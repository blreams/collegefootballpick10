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fileSharing userName="Byron Reams" algorithmName="SHA-512" hashValue="VzfcKz45z3E1BbE6rHJ5bVsGMqUNI4RKIQE0g0qFUqsjQtgNGZ1pGQiv80U7UeakgqKnuFWB9wHuOgZ8tzGIuA==" saltValue="HSANQGK0qCncKFVkPDrAb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225" yWindow="900" windowWidth="16035" windowHeight="9495" tabRatio="850" activeTab="14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50" r:id="rId7"/>
    <sheet name="Wk03" sheetId="251" r:id="rId8"/>
    <sheet name="Wk04" sheetId="252" r:id="rId9"/>
    <sheet name="Wk05" sheetId="253" r:id="rId10"/>
    <sheet name="Wk06" sheetId="254" r:id="rId11"/>
    <sheet name="Wk07" sheetId="255" r:id="rId12"/>
    <sheet name="Wk08" sheetId="256" r:id="rId13"/>
    <sheet name="Wk09" sheetId="257" r:id="rId14"/>
    <sheet name="Wk10" sheetId="258" r:id="rId15"/>
    <sheet name="Wk11" sheetId="259" r:id="rId16"/>
    <sheet name="Wk12" sheetId="260" r:id="rId17"/>
    <sheet name="Wk13" sheetId="261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62913" calcOnSave="0"/>
</workbook>
</file>

<file path=xl/calcChain.xml><?xml version="1.0" encoding="utf-8"?>
<calcChain xmlns="http://schemas.openxmlformats.org/spreadsheetml/2006/main">
  <c r="BN35" i="261" l="1"/>
  <c r="BM35" i="261"/>
  <c r="BL35" i="261"/>
  <c r="BK35" i="261"/>
  <c r="BJ35" i="261"/>
  <c r="BI35" i="261"/>
  <c r="BH35" i="261"/>
  <c r="BG35" i="261"/>
  <c r="BF35" i="261"/>
  <c r="BE35" i="261"/>
  <c r="BD35" i="261"/>
  <c r="BC35" i="261"/>
  <c r="BB35" i="261"/>
  <c r="BA35" i="261"/>
  <c r="AZ35" i="261"/>
  <c r="AY35" i="261"/>
  <c r="AX35" i="261"/>
  <c r="AW35" i="261"/>
  <c r="AV35" i="261"/>
  <c r="AU35" i="261"/>
  <c r="AT35" i="261"/>
  <c r="AS35" i="261"/>
  <c r="AR35" i="261"/>
  <c r="AQ35" i="261"/>
  <c r="AP35" i="261"/>
  <c r="AO35" i="261"/>
  <c r="AN35" i="261"/>
  <c r="AM35" i="261"/>
  <c r="AL35" i="261"/>
  <c r="AK35" i="261"/>
  <c r="AJ35" i="261"/>
  <c r="AI35" i="261"/>
  <c r="AH35" i="261"/>
  <c r="AG35" i="261"/>
  <c r="AF35" i="261"/>
  <c r="AE35" i="261"/>
  <c r="AD35" i="261"/>
  <c r="AC35" i="261"/>
  <c r="AB35" i="261"/>
  <c r="AA35" i="261"/>
  <c r="Z35" i="261"/>
  <c r="Y35" i="261"/>
  <c r="X35" i="261"/>
  <c r="W35" i="261"/>
  <c r="V35" i="261"/>
  <c r="U35" i="261"/>
  <c r="T35" i="261"/>
  <c r="S35" i="261"/>
  <c r="R35" i="261"/>
  <c r="Q35" i="261"/>
  <c r="P35" i="261"/>
  <c r="O35" i="261"/>
  <c r="N35" i="261"/>
  <c r="M35" i="261"/>
  <c r="L35" i="261"/>
  <c r="K35" i="261"/>
  <c r="BN29" i="261"/>
  <c r="BM29" i="261"/>
  <c r="BL29" i="261"/>
  <c r="BK29" i="261"/>
  <c r="BJ29" i="261"/>
  <c r="BI29" i="261"/>
  <c r="BH29" i="261"/>
  <c r="BG29" i="261"/>
  <c r="BF29" i="261"/>
  <c r="BE29" i="261"/>
  <c r="BD29" i="261"/>
  <c r="BC29" i="261"/>
  <c r="BB29" i="261"/>
  <c r="BA29" i="261"/>
  <c r="AZ29" i="261"/>
  <c r="AY29" i="261"/>
  <c r="AX29" i="261"/>
  <c r="AW29" i="261"/>
  <c r="AV29" i="261"/>
  <c r="AU29" i="261"/>
  <c r="AT29" i="261"/>
  <c r="AS29" i="261"/>
  <c r="AR29" i="261"/>
  <c r="AQ29" i="261"/>
  <c r="AP29" i="261"/>
  <c r="AO29" i="261"/>
  <c r="AN29" i="261"/>
  <c r="AM29" i="261"/>
  <c r="AL29" i="261"/>
  <c r="AK29" i="261"/>
  <c r="AJ29" i="261"/>
  <c r="AI29" i="261"/>
  <c r="AH29" i="261"/>
  <c r="AG29" i="261"/>
  <c r="AF29" i="261"/>
  <c r="AE29" i="261"/>
  <c r="AD29" i="261"/>
  <c r="AC29" i="261"/>
  <c r="AB29" i="261"/>
  <c r="AA29" i="261"/>
  <c r="Z29" i="261"/>
  <c r="Y29" i="261"/>
  <c r="X29" i="261"/>
  <c r="W29" i="261"/>
  <c r="V29" i="261"/>
  <c r="U29" i="261"/>
  <c r="T29" i="261"/>
  <c r="S29" i="261"/>
  <c r="R29" i="261"/>
  <c r="Q29" i="261"/>
  <c r="P29" i="261"/>
  <c r="O29" i="261"/>
  <c r="N29" i="261"/>
  <c r="M29" i="261"/>
  <c r="L29" i="261"/>
  <c r="K29" i="261"/>
  <c r="C29" i="261"/>
  <c r="BN28" i="261"/>
  <c r="BM28" i="261"/>
  <c r="BL28" i="261"/>
  <c r="BK28" i="261"/>
  <c r="BJ28" i="261"/>
  <c r="BI28" i="261"/>
  <c r="BH28" i="261"/>
  <c r="BG28" i="261"/>
  <c r="BF28" i="261"/>
  <c r="BE28" i="261"/>
  <c r="BD28" i="261"/>
  <c r="BC28" i="261"/>
  <c r="BB28" i="261"/>
  <c r="BA28" i="261"/>
  <c r="AZ28" i="261"/>
  <c r="AY28" i="261"/>
  <c r="AX28" i="261"/>
  <c r="AW28" i="261"/>
  <c r="AV28" i="261"/>
  <c r="AU28" i="261"/>
  <c r="AT28" i="261"/>
  <c r="AS28" i="261"/>
  <c r="AR28" i="261"/>
  <c r="AQ28" i="261"/>
  <c r="AP28" i="261"/>
  <c r="AO28" i="261"/>
  <c r="AN28" i="261"/>
  <c r="AM28" i="261"/>
  <c r="AL28" i="261"/>
  <c r="AK28" i="261"/>
  <c r="AJ28" i="261"/>
  <c r="AI28" i="261"/>
  <c r="AH28" i="261"/>
  <c r="AG28" i="261"/>
  <c r="AF28" i="261"/>
  <c r="AE28" i="261"/>
  <c r="AD28" i="261"/>
  <c r="AC28" i="261"/>
  <c r="AB28" i="261"/>
  <c r="AA28" i="261"/>
  <c r="Z28" i="261"/>
  <c r="Y28" i="261"/>
  <c r="X28" i="261"/>
  <c r="W28" i="261"/>
  <c r="V28" i="261"/>
  <c r="U28" i="261"/>
  <c r="T28" i="261"/>
  <c r="S28" i="261"/>
  <c r="R28" i="261"/>
  <c r="Q28" i="261"/>
  <c r="P28" i="261"/>
  <c r="O28" i="261"/>
  <c r="N28" i="261"/>
  <c r="M28" i="261"/>
  <c r="L28" i="261"/>
  <c r="K28" i="261"/>
  <c r="BN27" i="261"/>
  <c r="BM27" i="261"/>
  <c r="BL27" i="261"/>
  <c r="BK27" i="261"/>
  <c r="BJ27" i="261"/>
  <c r="BI27" i="261"/>
  <c r="BH27" i="261"/>
  <c r="BG27" i="261"/>
  <c r="BF27" i="261"/>
  <c r="BE27" i="261"/>
  <c r="BD27" i="261"/>
  <c r="BC27" i="261"/>
  <c r="BB27" i="261"/>
  <c r="BA27" i="261"/>
  <c r="AZ27" i="261"/>
  <c r="AY27" i="261"/>
  <c r="AX27" i="261"/>
  <c r="AW27" i="261"/>
  <c r="AV27" i="261"/>
  <c r="AU27" i="261"/>
  <c r="AT27" i="261"/>
  <c r="AS27" i="261"/>
  <c r="AR27" i="261"/>
  <c r="AQ27" i="261"/>
  <c r="AP27" i="261"/>
  <c r="AO27" i="261"/>
  <c r="AN27" i="261"/>
  <c r="AM27" i="261"/>
  <c r="AL27" i="261"/>
  <c r="AK27" i="261"/>
  <c r="AJ27" i="261"/>
  <c r="AI27" i="261"/>
  <c r="AH27" i="261"/>
  <c r="AG27" i="261"/>
  <c r="AF27" i="261"/>
  <c r="AE27" i="261"/>
  <c r="AD27" i="261"/>
  <c r="AC27" i="261"/>
  <c r="AB27" i="261"/>
  <c r="AA27" i="261"/>
  <c r="Z27" i="261"/>
  <c r="Y27" i="261"/>
  <c r="X27" i="261"/>
  <c r="W27" i="261"/>
  <c r="V27" i="261"/>
  <c r="U27" i="261"/>
  <c r="T27" i="261"/>
  <c r="S27" i="261"/>
  <c r="R27" i="261"/>
  <c r="Q27" i="261"/>
  <c r="P27" i="261"/>
  <c r="O27" i="261"/>
  <c r="N27" i="261"/>
  <c r="M27" i="261"/>
  <c r="L27" i="261"/>
  <c r="K27" i="261"/>
  <c r="BN26" i="261"/>
  <c r="BM26" i="261"/>
  <c r="BL26" i="261"/>
  <c r="BK26" i="261"/>
  <c r="BJ26" i="261"/>
  <c r="BI26" i="261"/>
  <c r="BH26" i="261"/>
  <c r="BG26" i="261"/>
  <c r="BF26" i="261"/>
  <c r="BE26" i="261"/>
  <c r="BD26" i="261"/>
  <c r="BC26" i="261"/>
  <c r="BB26" i="261"/>
  <c r="BA26" i="261"/>
  <c r="AZ26" i="261"/>
  <c r="AY26" i="261"/>
  <c r="AX26" i="261"/>
  <c r="AW26" i="261"/>
  <c r="AV26" i="261"/>
  <c r="AU26" i="261"/>
  <c r="AT26" i="261"/>
  <c r="AS26" i="261"/>
  <c r="AR26" i="261"/>
  <c r="AQ26" i="261"/>
  <c r="AP26" i="261"/>
  <c r="AO26" i="261"/>
  <c r="AN26" i="261"/>
  <c r="AM26" i="261"/>
  <c r="AL26" i="261"/>
  <c r="AK26" i="261"/>
  <c r="AJ26" i="261"/>
  <c r="AI26" i="261"/>
  <c r="AH26" i="261"/>
  <c r="AG26" i="261"/>
  <c r="AF26" i="261"/>
  <c r="AE26" i="261"/>
  <c r="AD26" i="261"/>
  <c r="AC26" i="261"/>
  <c r="AB26" i="261"/>
  <c r="AA26" i="261"/>
  <c r="Z26" i="261"/>
  <c r="Y26" i="261"/>
  <c r="X26" i="261"/>
  <c r="W26" i="261"/>
  <c r="V26" i="261"/>
  <c r="U26" i="261"/>
  <c r="T26" i="261"/>
  <c r="S26" i="261"/>
  <c r="R26" i="261"/>
  <c r="Q26" i="261"/>
  <c r="P26" i="261"/>
  <c r="O26" i="261"/>
  <c r="N26" i="261"/>
  <c r="M26" i="261"/>
  <c r="L26" i="261"/>
  <c r="K26" i="261"/>
  <c r="B24" i="261"/>
  <c r="B23" i="261"/>
  <c r="H22" i="261"/>
  <c r="E22" i="261"/>
  <c r="H21" i="261"/>
  <c r="E21" i="261"/>
  <c r="H20" i="261"/>
  <c r="E20" i="261"/>
  <c r="H19" i="261"/>
  <c r="E19" i="261"/>
  <c r="H18" i="261"/>
  <c r="E18" i="261"/>
  <c r="H17" i="261"/>
  <c r="E17" i="261"/>
  <c r="H16" i="261"/>
  <c r="E16" i="261"/>
  <c r="H15" i="261"/>
  <c r="E15" i="261"/>
  <c r="H14" i="261"/>
  <c r="E14" i="261"/>
  <c r="H13" i="261"/>
  <c r="E13" i="261"/>
  <c r="H12" i="261"/>
  <c r="E12" i="261"/>
  <c r="H11" i="261"/>
  <c r="E11" i="261"/>
  <c r="H10" i="261"/>
  <c r="E10" i="261"/>
  <c r="H9" i="261"/>
  <c r="E9" i="261"/>
  <c r="H8" i="261"/>
  <c r="E8" i="261"/>
  <c r="H7" i="261"/>
  <c r="E7" i="261"/>
  <c r="H6" i="261"/>
  <c r="E6" i="261"/>
  <c r="H5" i="261"/>
  <c r="E5" i="261"/>
  <c r="H4" i="261"/>
  <c r="E4" i="261"/>
  <c r="H3" i="261"/>
  <c r="E3" i="261"/>
  <c r="BC25" i="261" s="1"/>
  <c r="BC36" i="261" s="1"/>
  <c r="J1" i="261"/>
  <c r="I1" i="261"/>
  <c r="BN35" i="260"/>
  <c r="BM35" i="260"/>
  <c r="BL35" i="260"/>
  <c r="BK35" i="260"/>
  <c r="BJ35" i="260"/>
  <c r="BI35" i="260"/>
  <c r="BH35" i="260"/>
  <c r="BG35" i="260"/>
  <c r="BF35" i="260"/>
  <c r="BE35" i="260"/>
  <c r="BD35" i="260"/>
  <c r="BC35" i="260"/>
  <c r="BB35" i="260"/>
  <c r="BA35" i="260"/>
  <c r="AZ35" i="260"/>
  <c r="AY35" i="260"/>
  <c r="AX35" i="260"/>
  <c r="AW35" i="260"/>
  <c r="AV35" i="260"/>
  <c r="AU35" i="260"/>
  <c r="AT35" i="260"/>
  <c r="AS35" i="260"/>
  <c r="AR35" i="260"/>
  <c r="AQ35" i="260"/>
  <c r="AP35" i="260"/>
  <c r="AO35" i="260"/>
  <c r="AN35" i="260"/>
  <c r="AM35" i="260"/>
  <c r="AL35" i="260"/>
  <c r="AK35" i="260"/>
  <c r="AJ35" i="260"/>
  <c r="AI35" i="260"/>
  <c r="AH35" i="260"/>
  <c r="AG35" i="260"/>
  <c r="AF35" i="260"/>
  <c r="AE35" i="260"/>
  <c r="AD35" i="260"/>
  <c r="AC35" i="260"/>
  <c r="AB35" i="260"/>
  <c r="AA35" i="260"/>
  <c r="Z35" i="260"/>
  <c r="Y35" i="260"/>
  <c r="X35" i="260"/>
  <c r="W35" i="260"/>
  <c r="V35" i="260"/>
  <c r="U35" i="260"/>
  <c r="T35" i="260"/>
  <c r="S35" i="260"/>
  <c r="R35" i="260"/>
  <c r="Q35" i="260"/>
  <c r="P35" i="260"/>
  <c r="O35" i="260"/>
  <c r="N35" i="260"/>
  <c r="M35" i="260"/>
  <c r="L35" i="260"/>
  <c r="K35" i="260"/>
  <c r="BN29" i="260"/>
  <c r="BM29" i="260"/>
  <c r="BL29" i="260"/>
  <c r="BK29" i="260"/>
  <c r="BJ29" i="260"/>
  <c r="BI29" i="260"/>
  <c r="BH29" i="260"/>
  <c r="BG29" i="260"/>
  <c r="BF29" i="260"/>
  <c r="BE29" i="260"/>
  <c r="BD29" i="260"/>
  <c r="BC29" i="260"/>
  <c r="BB29" i="260"/>
  <c r="BA29" i="260"/>
  <c r="AZ29" i="260"/>
  <c r="AY29" i="260"/>
  <c r="AX29" i="260"/>
  <c r="AW29" i="260"/>
  <c r="AV29" i="260"/>
  <c r="AU29" i="260"/>
  <c r="AT29" i="260"/>
  <c r="AS29" i="260"/>
  <c r="AR29" i="260"/>
  <c r="AQ29" i="260"/>
  <c r="AP29" i="260"/>
  <c r="AO29" i="260"/>
  <c r="AN29" i="260"/>
  <c r="AM29" i="260"/>
  <c r="AL29" i="260"/>
  <c r="AK29" i="260"/>
  <c r="AJ29" i="260"/>
  <c r="AI29" i="260"/>
  <c r="AH29" i="260"/>
  <c r="AG29" i="260"/>
  <c r="AF29" i="260"/>
  <c r="AE29" i="260"/>
  <c r="AD29" i="260"/>
  <c r="AC29" i="260"/>
  <c r="AB29" i="260"/>
  <c r="AA29" i="260"/>
  <c r="Z29" i="260"/>
  <c r="Y29" i="260"/>
  <c r="X29" i="260"/>
  <c r="W29" i="260"/>
  <c r="V29" i="260"/>
  <c r="U29" i="260"/>
  <c r="T29" i="260"/>
  <c r="S29" i="260"/>
  <c r="R29" i="260"/>
  <c r="Q29" i="260"/>
  <c r="P29" i="260"/>
  <c r="O29" i="260"/>
  <c r="N29" i="260"/>
  <c r="M29" i="260"/>
  <c r="L29" i="260"/>
  <c r="K29" i="260"/>
  <c r="C29" i="260"/>
  <c r="BN28" i="260"/>
  <c r="BM28" i="260"/>
  <c r="BL28" i="260"/>
  <c r="BK28" i="260"/>
  <c r="BJ28" i="260"/>
  <c r="BI28" i="260"/>
  <c r="BH28" i="260"/>
  <c r="BG28" i="260"/>
  <c r="BF28" i="260"/>
  <c r="BE28" i="260"/>
  <c r="BD28" i="260"/>
  <c r="BC28" i="260"/>
  <c r="BB28" i="260"/>
  <c r="BA28" i="260"/>
  <c r="AZ28" i="260"/>
  <c r="AY28" i="260"/>
  <c r="AX28" i="260"/>
  <c r="AW28" i="260"/>
  <c r="AV28" i="260"/>
  <c r="AU28" i="260"/>
  <c r="AT28" i="260"/>
  <c r="AS28" i="260"/>
  <c r="AR28" i="260"/>
  <c r="AQ28" i="260"/>
  <c r="AP28" i="260"/>
  <c r="AO28" i="260"/>
  <c r="AN28" i="260"/>
  <c r="AM28" i="260"/>
  <c r="AL28" i="260"/>
  <c r="AK28" i="260"/>
  <c r="AJ28" i="260"/>
  <c r="AI28" i="260"/>
  <c r="AH28" i="260"/>
  <c r="AG28" i="260"/>
  <c r="AF28" i="260"/>
  <c r="AE28" i="260"/>
  <c r="AD28" i="260"/>
  <c r="AC28" i="260"/>
  <c r="AB28" i="260"/>
  <c r="AA28" i="260"/>
  <c r="Z28" i="260"/>
  <c r="Y28" i="260"/>
  <c r="X28" i="260"/>
  <c r="W28" i="260"/>
  <c r="V28" i="260"/>
  <c r="U28" i="260"/>
  <c r="T28" i="260"/>
  <c r="S28" i="260"/>
  <c r="R28" i="260"/>
  <c r="Q28" i="260"/>
  <c r="P28" i="260"/>
  <c r="O28" i="260"/>
  <c r="N28" i="260"/>
  <c r="M28" i="260"/>
  <c r="L28" i="260"/>
  <c r="K28" i="260"/>
  <c r="BN27" i="260"/>
  <c r="BM27" i="260"/>
  <c r="BL27" i="260"/>
  <c r="BK27" i="260"/>
  <c r="BJ27" i="260"/>
  <c r="BI27" i="260"/>
  <c r="BH27" i="260"/>
  <c r="BG27" i="260"/>
  <c r="BF27" i="260"/>
  <c r="BE27" i="260"/>
  <c r="BD27" i="260"/>
  <c r="BC27" i="260"/>
  <c r="BB27" i="260"/>
  <c r="BA27" i="260"/>
  <c r="AZ27" i="260"/>
  <c r="AY27" i="260"/>
  <c r="AX27" i="260"/>
  <c r="AW27" i="260"/>
  <c r="AV27" i="260"/>
  <c r="AU27" i="260"/>
  <c r="AT27" i="260"/>
  <c r="AS27" i="260"/>
  <c r="AR27" i="260"/>
  <c r="AQ27" i="260"/>
  <c r="AP27" i="260"/>
  <c r="AO27" i="260"/>
  <c r="AN27" i="260"/>
  <c r="AM27" i="260"/>
  <c r="AL27" i="260"/>
  <c r="AK27" i="260"/>
  <c r="AJ27" i="260"/>
  <c r="AI27" i="260"/>
  <c r="AH27" i="260"/>
  <c r="AG27" i="260"/>
  <c r="AF27" i="260"/>
  <c r="AE27" i="260"/>
  <c r="AD27" i="260"/>
  <c r="AC27" i="260"/>
  <c r="AB27" i="260"/>
  <c r="AA27" i="260"/>
  <c r="Z27" i="260"/>
  <c r="Y27" i="260"/>
  <c r="X27" i="260"/>
  <c r="W27" i="260"/>
  <c r="V27" i="260"/>
  <c r="U27" i="260"/>
  <c r="T27" i="260"/>
  <c r="S27" i="260"/>
  <c r="R27" i="260"/>
  <c r="Q27" i="260"/>
  <c r="P27" i="260"/>
  <c r="O27" i="260"/>
  <c r="N27" i="260"/>
  <c r="M27" i="260"/>
  <c r="L27" i="260"/>
  <c r="K27" i="260"/>
  <c r="BN26" i="260"/>
  <c r="BM26" i="260"/>
  <c r="BL26" i="260"/>
  <c r="BK26" i="260"/>
  <c r="BJ26" i="260"/>
  <c r="BI26" i="260"/>
  <c r="BH26" i="260"/>
  <c r="BG26" i="260"/>
  <c r="BF26" i="260"/>
  <c r="BE26" i="260"/>
  <c r="BD26" i="260"/>
  <c r="BC26" i="260"/>
  <c r="BB26" i="260"/>
  <c r="BA26" i="260"/>
  <c r="AZ26" i="260"/>
  <c r="AY26" i="260"/>
  <c r="AX26" i="260"/>
  <c r="AW26" i="260"/>
  <c r="AV26" i="260"/>
  <c r="AU26" i="260"/>
  <c r="AT26" i="260"/>
  <c r="AS26" i="260"/>
  <c r="AR26" i="260"/>
  <c r="AQ26" i="260"/>
  <c r="AP26" i="260"/>
  <c r="AO26" i="260"/>
  <c r="AN26" i="260"/>
  <c r="AM26" i="260"/>
  <c r="AL26" i="260"/>
  <c r="AK26" i="260"/>
  <c r="AJ26" i="260"/>
  <c r="AI26" i="260"/>
  <c r="AH26" i="260"/>
  <c r="AG26" i="260"/>
  <c r="AF26" i="260"/>
  <c r="AE26" i="260"/>
  <c r="AD26" i="260"/>
  <c r="AC26" i="260"/>
  <c r="AB26" i="260"/>
  <c r="AA26" i="260"/>
  <c r="Z26" i="260"/>
  <c r="Y26" i="260"/>
  <c r="X26" i="260"/>
  <c r="W26" i="260"/>
  <c r="V26" i="260"/>
  <c r="U26" i="260"/>
  <c r="T26" i="260"/>
  <c r="S26" i="260"/>
  <c r="R26" i="260"/>
  <c r="Q26" i="260"/>
  <c r="P26" i="260"/>
  <c r="O26" i="260"/>
  <c r="N26" i="260"/>
  <c r="M26" i="260"/>
  <c r="L26" i="260"/>
  <c r="K26" i="260"/>
  <c r="B24" i="260"/>
  <c r="B23" i="260"/>
  <c r="H22" i="260"/>
  <c r="E22" i="260"/>
  <c r="H21" i="260"/>
  <c r="E21" i="260"/>
  <c r="H20" i="260"/>
  <c r="E20" i="260"/>
  <c r="H19" i="260"/>
  <c r="E19" i="260"/>
  <c r="H18" i="260"/>
  <c r="E18" i="260"/>
  <c r="H17" i="260"/>
  <c r="E17" i="260"/>
  <c r="H16" i="260"/>
  <c r="E16" i="260"/>
  <c r="H15" i="260"/>
  <c r="E15" i="260"/>
  <c r="H14" i="260"/>
  <c r="E14" i="260"/>
  <c r="H13" i="260"/>
  <c r="E13" i="260"/>
  <c r="H12" i="260"/>
  <c r="E12" i="260"/>
  <c r="H11" i="260"/>
  <c r="E11" i="260"/>
  <c r="H10" i="260"/>
  <c r="E10" i="260"/>
  <c r="H9" i="260"/>
  <c r="E9" i="260"/>
  <c r="H8" i="260"/>
  <c r="E8" i="260"/>
  <c r="H7" i="260"/>
  <c r="E7" i="260"/>
  <c r="H6" i="260"/>
  <c r="E6" i="260"/>
  <c r="H5" i="260"/>
  <c r="E5" i="260"/>
  <c r="H4" i="260"/>
  <c r="E4" i="260"/>
  <c r="H3" i="260"/>
  <c r="BK30" i="260" s="1"/>
  <c r="E3" i="260"/>
  <c r="J1" i="260"/>
  <c r="I1" i="260"/>
  <c r="BN35" i="259"/>
  <c r="BM35" i="259"/>
  <c r="BL35" i="259"/>
  <c r="BK35" i="259"/>
  <c r="BJ35" i="259"/>
  <c r="BI35" i="259"/>
  <c r="BH35" i="259"/>
  <c r="BG35" i="259"/>
  <c r="BF35" i="259"/>
  <c r="BE35" i="259"/>
  <c r="BD35" i="259"/>
  <c r="BC35" i="259"/>
  <c r="BB35" i="259"/>
  <c r="BA35" i="259"/>
  <c r="AZ35" i="259"/>
  <c r="AY35" i="259"/>
  <c r="AX35" i="259"/>
  <c r="AW35" i="259"/>
  <c r="AV35" i="259"/>
  <c r="AU35" i="259"/>
  <c r="AT35" i="259"/>
  <c r="AS35" i="259"/>
  <c r="AR35" i="259"/>
  <c r="AQ35" i="259"/>
  <c r="AP35" i="259"/>
  <c r="AO35" i="259"/>
  <c r="AN35" i="259"/>
  <c r="AM35" i="259"/>
  <c r="AL35" i="259"/>
  <c r="AK35" i="259"/>
  <c r="AJ35" i="259"/>
  <c r="AI35" i="259"/>
  <c r="AH35" i="259"/>
  <c r="AG35" i="259"/>
  <c r="AF35" i="259"/>
  <c r="AE35" i="259"/>
  <c r="AD35" i="259"/>
  <c r="AC35" i="259"/>
  <c r="AB35" i="259"/>
  <c r="AA35" i="259"/>
  <c r="Z35" i="259"/>
  <c r="Y35" i="259"/>
  <c r="X35" i="259"/>
  <c r="W35" i="259"/>
  <c r="V35" i="259"/>
  <c r="U35" i="259"/>
  <c r="T35" i="259"/>
  <c r="S35" i="259"/>
  <c r="R35" i="259"/>
  <c r="Q35" i="259"/>
  <c r="P35" i="259"/>
  <c r="O35" i="259"/>
  <c r="N35" i="259"/>
  <c r="M35" i="259"/>
  <c r="L35" i="259"/>
  <c r="K35" i="259"/>
  <c r="BN29" i="259"/>
  <c r="BM29" i="259"/>
  <c r="BL29" i="259"/>
  <c r="BK29" i="259"/>
  <c r="BJ29" i="259"/>
  <c r="BI29" i="259"/>
  <c r="BH29" i="259"/>
  <c r="BG29" i="259"/>
  <c r="BF29" i="259"/>
  <c r="BE29" i="259"/>
  <c r="BD29" i="259"/>
  <c r="BC29" i="259"/>
  <c r="BB29" i="259"/>
  <c r="BA29" i="259"/>
  <c r="AZ29" i="259"/>
  <c r="AY29" i="259"/>
  <c r="AX29" i="259"/>
  <c r="AW29" i="259"/>
  <c r="AV29" i="259"/>
  <c r="AU29" i="259"/>
  <c r="AT29" i="259"/>
  <c r="AS29" i="259"/>
  <c r="AR29" i="259"/>
  <c r="AQ29" i="259"/>
  <c r="AP29" i="259"/>
  <c r="AO29" i="259"/>
  <c r="AN29" i="259"/>
  <c r="AM29" i="259"/>
  <c r="AL29" i="259"/>
  <c r="AK29" i="259"/>
  <c r="AJ29" i="259"/>
  <c r="AI29" i="259"/>
  <c r="AH29" i="259"/>
  <c r="AG29" i="259"/>
  <c r="AF29" i="259"/>
  <c r="AE29" i="259"/>
  <c r="AD29" i="259"/>
  <c r="AC29" i="259"/>
  <c r="AB29" i="259"/>
  <c r="AA29" i="259"/>
  <c r="Z29" i="259"/>
  <c r="Y29" i="259"/>
  <c r="X29" i="259"/>
  <c r="W29" i="259"/>
  <c r="V29" i="259"/>
  <c r="U29" i="259"/>
  <c r="T29" i="259"/>
  <c r="S29" i="259"/>
  <c r="R29" i="259"/>
  <c r="Q29" i="259"/>
  <c r="P29" i="259"/>
  <c r="O29" i="259"/>
  <c r="N29" i="259"/>
  <c r="M29" i="259"/>
  <c r="L29" i="259"/>
  <c r="K29" i="259"/>
  <c r="C29" i="259"/>
  <c r="BN28" i="259"/>
  <c r="BM28" i="259"/>
  <c r="BL28" i="259"/>
  <c r="BK28" i="259"/>
  <c r="BJ28" i="259"/>
  <c r="BI28" i="259"/>
  <c r="BH28" i="259"/>
  <c r="BG28" i="259"/>
  <c r="BF28" i="259"/>
  <c r="BE28" i="259"/>
  <c r="BD28" i="259"/>
  <c r="BC28" i="259"/>
  <c r="BB28" i="259"/>
  <c r="BA28" i="259"/>
  <c r="AZ28" i="259"/>
  <c r="AY28" i="259"/>
  <c r="AX28" i="259"/>
  <c r="AW28" i="259"/>
  <c r="AV28" i="259"/>
  <c r="AU28" i="259"/>
  <c r="AT28" i="259"/>
  <c r="AS28" i="259"/>
  <c r="AR28" i="259"/>
  <c r="AQ28" i="259"/>
  <c r="AP28" i="259"/>
  <c r="AO28" i="259"/>
  <c r="AN28" i="259"/>
  <c r="AM28" i="259"/>
  <c r="AL28" i="259"/>
  <c r="AK28" i="259"/>
  <c r="AJ28" i="259"/>
  <c r="AI28" i="259"/>
  <c r="AH28" i="259"/>
  <c r="AG28" i="259"/>
  <c r="AF28" i="259"/>
  <c r="AE28" i="259"/>
  <c r="AD28" i="259"/>
  <c r="AC28" i="259"/>
  <c r="AB28" i="259"/>
  <c r="AA28" i="259"/>
  <c r="Z28" i="259"/>
  <c r="Y28" i="259"/>
  <c r="X28" i="259"/>
  <c r="W28" i="259"/>
  <c r="V28" i="259"/>
  <c r="U28" i="259"/>
  <c r="T28" i="259"/>
  <c r="S28" i="259"/>
  <c r="R28" i="259"/>
  <c r="Q28" i="259"/>
  <c r="P28" i="259"/>
  <c r="O28" i="259"/>
  <c r="N28" i="259"/>
  <c r="M28" i="259"/>
  <c r="L28" i="259"/>
  <c r="K28" i="259"/>
  <c r="BN27" i="259"/>
  <c r="BM27" i="259"/>
  <c r="BL27" i="259"/>
  <c r="BK27" i="259"/>
  <c r="BJ27" i="259"/>
  <c r="BI27" i="259"/>
  <c r="BH27" i="259"/>
  <c r="BG27" i="259"/>
  <c r="BF27" i="259"/>
  <c r="BE27" i="259"/>
  <c r="BD27" i="259"/>
  <c r="BC27" i="259"/>
  <c r="BB27" i="259"/>
  <c r="BA27" i="259"/>
  <c r="AZ27" i="259"/>
  <c r="AY27" i="259"/>
  <c r="AX27" i="259"/>
  <c r="AW27" i="259"/>
  <c r="AV27" i="259"/>
  <c r="AU27" i="259"/>
  <c r="AT27" i="259"/>
  <c r="AS27" i="259"/>
  <c r="AR27" i="259"/>
  <c r="AQ27" i="259"/>
  <c r="AP27" i="259"/>
  <c r="AO27" i="259"/>
  <c r="AN27" i="259"/>
  <c r="AM27" i="259"/>
  <c r="AL27" i="259"/>
  <c r="AK27" i="259"/>
  <c r="AJ27" i="259"/>
  <c r="AI27" i="259"/>
  <c r="AH27" i="259"/>
  <c r="AG27" i="259"/>
  <c r="AF27" i="259"/>
  <c r="AE27" i="259"/>
  <c r="AD27" i="259"/>
  <c r="AC27" i="259"/>
  <c r="AB27" i="259"/>
  <c r="AA27" i="259"/>
  <c r="Z27" i="259"/>
  <c r="Y27" i="259"/>
  <c r="X27" i="259"/>
  <c r="W27" i="259"/>
  <c r="V27" i="259"/>
  <c r="U27" i="259"/>
  <c r="T27" i="259"/>
  <c r="S27" i="259"/>
  <c r="R27" i="259"/>
  <c r="Q27" i="259"/>
  <c r="P27" i="259"/>
  <c r="O27" i="259"/>
  <c r="N27" i="259"/>
  <c r="M27" i="259"/>
  <c r="L27" i="259"/>
  <c r="K27" i="259"/>
  <c r="BN26" i="259"/>
  <c r="BM26" i="259"/>
  <c r="BL26" i="259"/>
  <c r="BK26" i="259"/>
  <c r="BJ26" i="259"/>
  <c r="BI26" i="259"/>
  <c r="BH26" i="259"/>
  <c r="BG26" i="259"/>
  <c r="BF26" i="259"/>
  <c r="BE26" i="259"/>
  <c r="BD26" i="259"/>
  <c r="BC26" i="259"/>
  <c r="BB26" i="259"/>
  <c r="BA26" i="259"/>
  <c r="AZ26" i="259"/>
  <c r="AY26" i="259"/>
  <c r="AX26" i="259"/>
  <c r="AW26" i="259"/>
  <c r="AV26" i="259"/>
  <c r="AU26" i="259"/>
  <c r="AT26" i="259"/>
  <c r="AS26" i="259"/>
  <c r="AR26" i="259"/>
  <c r="AQ26" i="259"/>
  <c r="AP26" i="259"/>
  <c r="AO26" i="259"/>
  <c r="AN26" i="259"/>
  <c r="AM26" i="259"/>
  <c r="AL26" i="259"/>
  <c r="AK26" i="259"/>
  <c r="AJ26" i="259"/>
  <c r="AI26" i="259"/>
  <c r="AH26" i="259"/>
  <c r="AG26" i="259"/>
  <c r="AF26" i="259"/>
  <c r="AE26" i="259"/>
  <c r="AD26" i="259"/>
  <c r="AC26" i="259"/>
  <c r="AB26" i="259"/>
  <c r="AA26" i="259"/>
  <c r="Z26" i="259"/>
  <c r="Y26" i="259"/>
  <c r="X26" i="259"/>
  <c r="W26" i="259"/>
  <c r="V26" i="259"/>
  <c r="U26" i="259"/>
  <c r="T26" i="259"/>
  <c r="S26" i="259"/>
  <c r="R26" i="259"/>
  <c r="Q26" i="259"/>
  <c r="P26" i="259"/>
  <c r="O26" i="259"/>
  <c r="N26" i="259"/>
  <c r="M26" i="259"/>
  <c r="L26" i="259"/>
  <c r="K26" i="259"/>
  <c r="B24" i="259"/>
  <c r="B23" i="259"/>
  <c r="H22" i="259"/>
  <c r="E22" i="259"/>
  <c r="H21" i="259"/>
  <c r="E21" i="259"/>
  <c r="H20" i="259"/>
  <c r="E20" i="259"/>
  <c r="H19" i="259"/>
  <c r="E19" i="259"/>
  <c r="H18" i="259"/>
  <c r="E18" i="259"/>
  <c r="H17" i="259"/>
  <c r="E17" i="259"/>
  <c r="H16" i="259"/>
  <c r="E16" i="259"/>
  <c r="H15" i="259"/>
  <c r="E15" i="259"/>
  <c r="H14" i="259"/>
  <c r="E14" i="259"/>
  <c r="H13" i="259"/>
  <c r="E13" i="259"/>
  <c r="H12" i="259"/>
  <c r="E12" i="259"/>
  <c r="H11" i="259"/>
  <c r="E11" i="259"/>
  <c r="H10" i="259"/>
  <c r="E10" i="259"/>
  <c r="H9" i="259"/>
  <c r="E9" i="259"/>
  <c r="H8" i="259"/>
  <c r="E8" i="259"/>
  <c r="H7" i="259"/>
  <c r="E7" i="259"/>
  <c r="H6" i="259"/>
  <c r="E6" i="259"/>
  <c r="H5" i="259"/>
  <c r="E5" i="259"/>
  <c r="H4" i="259"/>
  <c r="E4" i="259"/>
  <c r="H3" i="259"/>
  <c r="E3" i="259"/>
  <c r="J1" i="259"/>
  <c r="I1" i="259"/>
  <c r="BN35" i="258"/>
  <c r="BM35" i="258"/>
  <c r="BL35" i="258"/>
  <c r="BK35" i="258"/>
  <c r="BJ35" i="258"/>
  <c r="BI35" i="258"/>
  <c r="BH35" i="258"/>
  <c r="BG35" i="258"/>
  <c r="BF35" i="258"/>
  <c r="BE35" i="258"/>
  <c r="BD35" i="258"/>
  <c r="BC35" i="258"/>
  <c r="BB35" i="258"/>
  <c r="BA35" i="258"/>
  <c r="AZ35" i="258"/>
  <c r="AY35" i="258"/>
  <c r="AX35" i="258"/>
  <c r="AW35" i="258"/>
  <c r="AV35" i="258"/>
  <c r="AU35" i="258"/>
  <c r="AT35" i="258"/>
  <c r="AS35" i="258"/>
  <c r="AR35" i="258"/>
  <c r="AQ35" i="258"/>
  <c r="AP35" i="258"/>
  <c r="AO35" i="258"/>
  <c r="AN35" i="258"/>
  <c r="AM35" i="258"/>
  <c r="AL35" i="258"/>
  <c r="AK35" i="258"/>
  <c r="AJ35" i="258"/>
  <c r="AI35" i="258"/>
  <c r="AH35" i="258"/>
  <c r="AG35" i="258"/>
  <c r="AF35" i="258"/>
  <c r="AE35" i="258"/>
  <c r="AD35" i="258"/>
  <c r="AC35" i="258"/>
  <c r="AB35" i="258"/>
  <c r="AA35" i="258"/>
  <c r="Z35" i="258"/>
  <c r="Y35" i="258"/>
  <c r="X35" i="258"/>
  <c r="W35" i="258"/>
  <c r="V35" i="258"/>
  <c r="U35" i="258"/>
  <c r="T35" i="258"/>
  <c r="S35" i="258"/>
  <c r="R35" i="258"/>
  <c r="Q35" i="258"/>
  <c r="P35" i="258"/>
  <c r="O35" i="258"/>
  <c r="N35" i="258"/>
  <c r="M35" i="258"/>
  <c r="L35" i="258"/>
  <c r="K35" i="258"/>
  <c r="BN29" i="258"/>
  <c r="BM29" i="258"/>
  <c r="BL29" i="258"/>
  <c r="BK29" i="258"/>
  <c r="BJ29" i="258"/>
  <c r="BI29" i="258"/>
  <c r="BH29" i="258"/>
  <c r="BG29" i="258"/>
  <c r="BF29" i="258"/>
  <c r="BE29" i="258"/>
  <c r="BD29" i="258"/>
  <c r="BC29" i="258"/>
  <c r="BB29" i="258"/>
  <c r="BA29" i="258"/>
  <c r="AZ29" i="258"/>
  <c r="AY29" i="258"/>
  <c r="AX29" i="258"/>
  <c r="AW29" i="258"/>
  <c r="AV29" i="258"/>
  <c r="AU29" i="258"/>
  <c r="AT29" i="258"/>
  <c r="AS29" i="258"/>
  <c r="AR29" i="258"/>
  <c r="AQ29" i="258"/>
  <c r="AP29" i="258"/>
  <c r="AO29" i="258"/>
  <c r="AN29" i="258"/>
  <c r="AM29" i="258"/>
  <c r="AL29" i="258"/>
  <c r="AK29" i="258"/>
  <c r="AJ29" i="258"/>
  <c r="AI29" i="258"/>
  <c r="AH29" i="258"/>
  <c r="AG29" i="258"/>
  <c r="AF29" i="258"/>
  <c r="AE29" i="258"/>
  <c r="AD29" i="258"/>
  <c r="AC29" i="258"/>
  <c r="AB29" i="258"/>
  <c r="AA29" i="258"/>
  <c r="Z29" i="258"/>
  <c r="Y29" i="258"/>
  <c r="X29" i="258"/>
  <c r="W29" i="258"/>
  <c r="V29" i="258"/>
  <c r="U29" i="258"/>
  <c r="T29" i="258"/>
  <c r="S29" i="258"/>
  <c r="R29" i="258"/>
  <c r="Q29" i="258"/>
  <c r="P29" i="258"/>
  <c r="O29" i="258"/>
  <c r="N29" i="258"/>
  <c r="M29" i="258"/>
  <c r="L29" i="258"/>
  <c r="K29" i="258"/>
  <c r="C29" i="258"/>
  <c r="BN28" i="258"/>
  <c r="BM28" i="258"/>
  <c r="BL28" i="258"/>
  <c r="BK28" i="258"/>
  <c r="BJ28" i="258"/>
  <c r="BI28" i="258"/>
  <c r="BH28" i="258"/>
  <c r="BG28" i="258"/>
  <c r="BF28" i="258"/>
  <c r="BE28" i="258"/>
  <c r="BD28" i="258"/>
  <c r="BC28" i="258"/>
  <c r="BB28" i="258"/>
  <c r="BA28" i="258"/>
  <c r="AZ28" i="258"/>
  <c r="AY28" i="258"/>
  <c r="AX28" i="258"/>
  <c r="AW28" i="258"/>
  <c r="AV28" i="258"/>
  <c r="AU28" i="258"/>
  <c r="AT28" i="258"/>
  <c r="AS28" i="258"/>
  <c r="AR28" i="258"/>
  <c r="AQ28" i="258"/>
  <c r="AP28" i="258"/>
  <c r="AO28" i="258"/>
  <c r="AN28" i="258"/>
  <c r="AM28" i="258"/>
  <c r="AL28" i="258"/>
  <c r="AK28" i="258"/>
  <c r="AJ28" i="258"/>
  <c r="AI28" i="258"/>
  <c r="AH28" i="258"/>
  <c r="AG28" i="258"/>
  <c r="AF28" i="258"/>
  <c r="AE28" i="258"/>
  <c r="AD28" i="258"/>
  <c r="AC28" i="258"/>
  <c r="AB28" i="258"/>
  <c r="AA28" i="258"/>
  <c r="Z28" i="258"/>
  <c r="Y28" i="258"/>
  <c r="X28" i="258"/>
  <c r="W28" i="258"/>
  <c r="V28" i="258"/>
  <c r="U28" i="258"/>
  <c r="T28" i="258"/>
  <c r="S28" i="258"/>
  <c r="R28" i="258"/>
  <c r="Q28" i="258"/>
  <c r="P28" i="258"/>
  <c r="O28" i="258"/>
  <c r="N28" i="258"/>
  <c r="M28" i="258"/>
  <c r="L28" i="258"/>
  <c r="K28" i="258"/>
  <c r="BN27" i="258"/>
  <c r="BM27" i="258"/>
  <c r="BL27" i="258"/>
  <c r="BK27" i="258"/>
  <c r="BJ27" i="258"/>
  <c r="BI27" i="258"/>
  <c r="BH27" i="258"/>
  <c r="BG27" i="258"/>
  <c r="BF27" i="258"/>
  <c r="BE27" i="258"/>
  <c r="BD27" i="258"/>
  <c r="BC27" i="258"/>
  <c r="BB27" i="258"/>
  <c r="BA27" i="258"/>
  <c r="AZ27" i="258"/>
  <c r="AY27" i="258"/>
  <c r="AX27" i="258"/>
  <c r="AW27" i="258"/>
  <c r="AV27" i="258"/>
  <c r="AU27" i="258"/>
  <c r="AT27" i="258"/>
  <c r="AS27" i="258"/>
  <c r="AR27" i="258"/>
  <c r="AQ27" i="258"/>
  <c r="AP27" i="258"/>
  <c r="AO27" i="258"/>
  <c r="AN27" i="258"/>
  <c r="AM27" i="258"/>
  <c r="AL27" i="258"/>
  <c r="AK27" i="258"/>
  <c r="AJ27" i="258"/>
  <c r="AI27" i="258"/>
  <c r="AH27" i="258"/>
  <c r="AG27" i="258"/>
  <c r="AF27" i="258"/>
  <c r="AE27" i="258"/>
  <c r="AD27" i="258"/>
  <c r="AC27" i="258"/>
  <c r="AB27" i="258"/>
  <c r="AA27" i="258"/>
  <c r="Z27" i="258"/>
  <c r="Y27" i="258"/>
  <c r="X27" i="258"/>
  <c r="W27" i="258"/>
  <c r="V27" i="258"/>
  <c r="U27" i="258"/>
  <c r="T27" i="258"/>
  <c r="S27" i="258"/>
  <c r="R27" i="258"/>
  <c r="Q27" i="258"/>
  <c r="P27" i="258"/>
  <c r="O27" i="258"/>
  <c r="N27" i="258"/>
  <c r="M27" i="258"/>
  <c r="L27" i="258"/>
  <c r="K27" i="258"/>
  <c r="BN26" i="258"/>
  <c r="BM26" i="258"/>
  <c r="BL26" i="258"/>
  <c r="BK26" i="258"/>
  <c r="BJ26" i="258"/>
  <c r="BI26" i="258"/>
  <c r="BH26" i="258"/>
  <c r="BG26" i="258"/>
  <c r="BF26" i="258"/>
  <c r="BE26" i="258"/>
  <c r="BD26" i="258"/>
  <c r="BC26" i="258"/>
  <c r="BB26" i="258"/>
  <c r="BA26" i="258"/>
  <c r="AZ26" i="258"/>
  <c r="AY26" i="258"/>
  <c r="AX26" i="258"/>
  <c r="AW26" i="258"/>
  <c r="AV26" i="258"/>
  <c r="AU26" i="258"/>
  <c r="AT26" i="258"/>
  <c r="AS26" i="258"/>
  <c r="AR26" i="258"/>
  <c r="AQ26" i="258"/>
  <c r="AP26" i="258"/>
  <c r="AO26" i="258"/>
  <c r="AN26" i="258"/>
  <c r="AM26" i="258"/>
  <c r="AL26" i="258"/>
  <c r="AK26" i="258"/>
  <c r="AJ26" i="258"/>
  <c r="AI26" i="258"/>
  <c r="AH26" i="258"/>
  <c r="AG26" i="258"/>
  <c r="AF26" i="258"/>
  <c r="AE26" i="258"/>
  <c r="AD26" i="258"/>
  <c r="AC26" i="258"/>
  <c r="AB26" i="258"/>
  <c r="AA26" i="258"/>
  <c r="Z26" i="258"/>
  <c r="Y26" i="258"/>
  <c r="X26" i="258"/>
  <c r="W26" i="258"/>
  <c r="V26" i="258"/>
  <c r="U26" i="258"/>
  <c r="T26" i="258"/>
  <c r="S26" i="258"/>
  <c r="R26" i="258"/>
  <c r="Q26" i="258"/>
  <c r="P26" i="258"/>
  <c r="O26" i="258"/>
  <c r="N26" i="258"/>
  <c r="M26" i="258"/>
  <c r="L26" i="258"/>
  <c r="K26" i="258"/>
  <c r="B24" i="258"/>
  <c r="B23" i="258"/>
  <c r="H22" i="258"/>
  <c r="E22" i="258"/>
  <c r="H21" i="258"/>
  <c r="E21" i="258"/>
  <c r="H20" i="258"/>
  <c r="E20" i="258"/>
  <c r="H19" i="258"/>
  <c r="E19" i="258"/>
  <c r="H18" i="258"/>
  <c r="E18" i="258"/>
  <c r="H17" i="258"/>
  <c r="E17" i="258"/>
  <c r="H16" i="258"/>
  <c r="E16" i="258"/>
  <c r="H15" i="258"/>
  <c r="E15" i="258"/>
  <c r="H14" i="258"/>
  <c r="E14" i="258"/>
  <c r="H13" i="258"/>
  <c r="E13" i="258"/>
  <c r="H12" i="258"/>
  <c r="E12" i="258"/>
  <c r="H11" i="258"/>
  <c r="E11" i="258"/>
  <c r="H10" i="258"/>
  <c r="E10" i="258"/>
  <c r="H9" i="258"/>
  <c r="E9" i="258"/>
  <c r="H8" i="258"/>
  <c r="E8" i="258"/>
  <c r="H7" i="258"/>
  <c r="E7" i="258"/>
  <c r="H6" i="258"/>
  <c r="E6" i="258"/>
  <c r="H5" i="258"/>
  <c r="E5" i="258"/>
  <c r="H4" i="258"/>
  <c r="E4" i="258"/>
  <c r="H3" i="258"/>
  <c r="E3" i="258"/>
  <c r="J1" i="258"/>
  <c r="I1" i="258"/>
  <c r="BN35" i="257"/>
  <c r="BM35" i="257"/>
  <c r="BL35" i="257"/>
  <c r="BK35" i="257"/>
  <c r="BJ35" i="257"/>
  <c r="BI35" i="257"/>
  <c r="BH35" i="257"/>
  <c r="BG35" i="257"/>
  <c r="BF35" i="257"/>
  <c r="BE35" i="257"/>
  <c r="BD35" i="257"/>
  <c r="BC35" i="257"/>
  <c r="BB35" i="257"/>
  <c r="BA35" i="257"/>
  <c r="AZ35" i="257"/>
  <c r="AY35" i="257"/>
  <c r="AX35" i="257"/>
  <c r="AW35" i="257"/>
  <c r="AV35" i="257"/>
  <c r="AU35" i="257"/>
  <c r="AT35" i="257"/>
  <c r="AS35" i="257"/>
  <c r="AR35" i="257"/>
  <c r="AQ35" i="257"/>
  <c r="AP35" i="257"/>
  <c r="AO35" i="257"/>
  <c r="AN35" i="257"/>
  <c r="AM35" i="257"/>
  <c r="AL35" i="257"/>
  <c r="AK35" i="257"/>
  <c r="AJ35" i="257"/>
  <c r="AI35" i="257"/>
  <c r="AH35" i="257"/>
  <c r="AG35" i="257"/>
  <c r="AF35" i="257"/>
  <c r="AE35" i="257"/>
  <c r="AD35" i="257"/>
  <c r="AC35" i="257"/>
  <c r="AB35" i="257"/>
  <c r="AA35" i="257"/>
  <c r="Z35" i="257"/>
  <c r="Y35" i="257"/>
  <c r="X35" i="257"/>
  <c r="W35" i="257"/>
  <c r="V35" i="257"/>
  <c r="U35" i="257"/>
  <c r="T35" i="257"/>
  <c r="S35" i="257"/>
  <c r="R35" i="257"/>
  <c r="Q35" i="257"/>
  <c r="P35" i="257"/>
  <c r="O35" i="257"/>
  <c r="N35" i="257"/>
  <c r="M35" i="257"/>
  <c r="L35" i="257"/>
  <c r="K35" i="257"/>
  <c r="BN29" i="257"/>
  <c r="BM29" i="257"/>
  <c r="BL29" i="257"/>
  <c r="BK29" i="257"/>
  <c r="BJ29" i="257"/>
  <c r="BI29" i="257"/>
  <c r="BH29" i="257"/>
  <c r="BG29" i="257"/>
  <c r="BF29" i="257"/>
  <c r="BE29" i="257"/>
  <c r="BD29" i="257"/>
  <c r="BC29" i="257"/>
  <c r="BB29" i="257"/>
  <c r="BA29" i="257"/>
  <c r="AZ29" i="257"/>
  <c r="AY29" i="257"/>
  <c r="AX29" i="257"/>
  <c r="AW29" i="257"/>
  <c r="AV29" i="257"/>
  <c r="AU29" i="257"/>
  <c r="AT29" i="257"/>
  <c r="AS29" i="257"/>
  <c r="AR29" i="257"/>
  <c r="AQ29" i="257"/>
  <c r="AP29" i="257"/>
  <c r="AO29" i="257"/>
  <c r="AN29" i="257"/>
  <c r="AM29" i="257"/>
  <c r="AL29" i="257"/>
  <c r="AK29" i="257"/>
  <c r="AJ29" i="257"/>
  <c r="AI29" i="257"/>
  <c r="AH29" i="257"/>
  <c r="AG29" i="257"/>
  <c r="AF29" i="257"/>
  <c r="AE29" i="257"/>
  <c r="AD29" i="257"/>
  <c r="AC29" i="257"/>
  <c r="AB29" i="257"/>
  <c r="AA29" i="257"/>
  <c r="Z29" i="257"/>
  <c r="Y29" i="257"/>
  <c r="X29" i="257"/>
  <c r="W29" i="257"/>
  <c r="V29" i="257"/>
  <c r="U29" i="257"/>
  <c r="T29" i="257"/>
  <c r="S29" i="257"/>
  <c r="R29" i="257"/>
  <c r="Q29" i="257"/>
  <c r="P29" i="257"/>
  <c r="O29" i="257"/>
  <c r="N29" i="257"/>
  <c r="M29" i="257"/>
  <c r="L29" i="257"/>
  <c r="K29" i="257"/>
  <c r="BN27" i="257"/>
  <c r="BM27" i="257"/>
  <c r="BL27" i="257"/>
  <c r="BK27" i="257"/>
  <c r="BJ27" i="257"/>
  <c r="BI27" i="257"/>
  <c r="BH27" i="257"/>
  <c r="BG27" i="257"/>
  <c r="BF27" i="257"/>
  <c r="BE27" i="257"/>
  <c r="BD27" i="257"/>
  <c r="BC27" i="257"/>
  <c r="BB27" i="257"/>
  <c r="BA27" i="257"/>
  <c r="AZ27" i="257"/>
  <c r="AY27" i="257"/>
  <c r="AX27" i="257"/>
  <c r="AW27" i="257"/>
  <c r="AV27" i="257"/>
  <c r="AU27" i="257"/>
  <c r="AT27" i="257"/>
  <c r="AS27" i="257"/>
  <c r="AR27" i="257"/>
  <c r="AQ27" i="257"/>
  <c r="AP27" i="257"/>
  <c r="AO27" i="257"/>
  <c r="AN27" i="257"/>
  <c r="AM27" i="257"/>
  <c r="AL27" i="257"/>
  <c r="AK27" i="257"/>
  <c r="AJ27" i="257"/>
  <c r="AI27" i="257"/>
  <c r="AH27" i="257"/>
  <c r="AG27" i="257"/>
  <c r="AF27" i="257"/>
  <c r="AE27" i="257"/>
  <c r="AD27" i="257"/>
  <c r="AC27" i="257"/>
  <c r="AB27" i="257"/>
  <c r="AA27" i="257"/>
  <c r="Z27" i="257"/>
  <c r="Y27" i="257"/>
  <c r="X27" i="257"/>
  <c r="W27" i="257"/>
  <c r="V27" i="257"/>
  <c r="U27" i="257"/>
  <c r="T27" i="257"/>
  <c r="S27" i="257"/>
  <c r="R27" i="257"/>
  <c r="Q27" i="257"/>
  <c r="P27" i="257"/>
  <c r="O27" i="257"/>
  <c r="N27" i="257"/>
  <c r="M27" i="257"/>
  <c r="L27" i="257"/>
  <c r="K27" i="257"/>
  <c r="BN26" i="257"/>
  <c r="BM26" i="257"/>
  <c r="BL26" i="257"/>
  <c r="BK26" i="257"/>
  <c r="BJ26" i="257"/>
  <c r="BI26" i="257"/>
  <c r="BH26" i="257"/>
  <c r="BG26" i="257"/>
  <c r="BF26" i="257"/>
  <c r="BE26" i="257"/>
  <c r="BD26" i="257"/>
  <c r="BC26" i="257"/>
  <c r="BB26" i="257"/>
  <c r="BA26" i="257"/>
  <c r="AZ26" i="257"/>
  <c r="AY26" i="257"/>
  <c r="AX26" i="257"/>
  <c r="AW26" i="257"/>
  <c r="AV26" i="257"/>
  <c r="AU26" i="257"/>
  <c r="AT26" i="257"/>
  <c r="AS26" i="257"/>
  <c r="AR26" i="257"/>
  <c r="AQ26" i="257"/>
  <c r="AP26" i="257"/>
  <c r="AO26" i="257"/>
  <c r="AN26" i="257"/>
  <c r="AM26" i="257"/>
  <c r="AL26" i="257"/>
  <c r="AK26" i="257"/>
  <c r="AJ26" i="257"/>
  <c r="AI26" i="257"/>
  <c r="AH26" i="257"/>
  <c r="AG26" i="257"/>
  <c r="AF26" i="257"/>
  <c r="AE26" i="257"/>
  <c r="AD26" i="257"/>
  <c r="AC26" i="257"/>
  <c r="AB26" i="257"/>
  <c r="AA26" i="257"/>
  <c r="Z26" i="257"/>
  <c r="Y26" i="257"/>
  <c r="X26" i="257"/>
  <c r="W26" i="257"/>
  <c r="V26" i="257"/>
  <c r="U26" i="257"/>
  <c r="T26" i="257"/>
  <c r="S26" i="257"/>
  <c r="R26" i="257"/>
  <c r="Q26" i="257"/>
  <c r="P26" i="257"/>
  <c r="O26" i="257"/>
  <c r="N26" i="257"/>
  <c r="M26" i="257"/>
  <c r="L26" i="257"/>
  <c r="K26" i="257"/>
  <c r="B24" i="257"/>
  <c r="B23" i="257"/>
  <c r="H22" i="257"/>
  <c r="E22" i="257"/>
  <c r="H21" i="257"/>
  <c r="E21" i="257"/>
  <c r="H20" i="257"/>
  <c r="E20" i="257"/>
  <c r="H19" i="257"/>
  <c r="E19" i="257"/>
  <c r="H18" i="257"/>
  <c r="E18" i="257"/>
  <c r="H17" i="257"/>
  <c r="E17" i="257"/>
  <c r="H16" i="257"/>
  <c r="E16" i="257"/>
  <c r="H15" i="257"/>
  <c r="E15" i="257"/>
  <c r="H14" i="257"/>
  <c r="E14" i="257"/>
  <c r="H13" i="257"/>
  <c r="E13" i="257"/>
  <c r="H12" i="257"/>
  <c r="E12" i="257"/>
  <c r="H11" i="257"/>
  <c r="E11" i="257"/>
  <c r="H10" i="257"/>
  <c r="E10" i="257"/>
  <c r="H9" i="257"/>
  <c r="E9" i="257"/>
  <c r="H8" i="257"/>
  <c r="E8" i="257"/>
  <c r="H7" i="257"/>
  <c r="E7" i="257"/>
  <c r="H6" i="257"/>
  <c r="E6" i="257"/>
  <c r="H5" i="257"/>
  <c r="E5" i="257"/>
  <c r="H4" i="257"/>
  <c r="E4" i="257"/>
  <c r="H3" i="257"/>
  <c r="E3" i="257"/>
  <c r="BK25" i="257" s="1"/>
  <c r="BK36" i="257" s="1"/>
  <c r="J1" i="257"/>
  <c r="I1" i="257"/>
  <c r="BN35" i="256"/>
  <c r="BM35" i="256"/>
  <c r="BL35" i="256"/>
  <c r="BK35" i="256"/>
  <c r="BJ35" i="256"/>
  <c r="BI35" i="256"/>
  <c r="BH35" i="256"/>
  <c r="BG35" i="256"/>
  <c r="BF35" i="256"/>
  <c r="BE35" i="256"/>
  <c r="BD35" i="256"/>
  <c r="BC35" i="256"/>
  <c r="BB35" i="256"/>
  <c r="BA35" i="256"/>
  <c r="AZ35" i="256"/>
  <c r="AY35" i="256"/>
  <c r="AX35" i="256"/>
  <c r="AW35" i="256"/>
  <c r="AV35" i="256"/>
  <c r="AU35" i="256"/>
  <c r="AT35" i="256"/>
  <c r="AS35" i="256"/>
  <c r="AR35" i="256"/>
  <c r="AQ35" i="256"/>
  <c r="AP35" i="256"/>
  <c r="AO35" i="256"/>
  <c r="AN35" i="256"/>
  <c r="AM35" i="256"/>
  <c r="AL35" i="256"/>
  <c r="AK35" i="256"/>
  <c r="AJ35" i="256"/>
  <c r="AI35" i="256"/>
  <c r="AH35" i="256"/>
  <c r="AG35" i="256"/>
  <c r="AF35" i="256"/>
  <c r="AE35" i="256"/>
  <c r="AD35" i="256"/>
  <c r="AC35" i="256"/>
  <c r="AB35" i="256"/>
  <c r="AA35" i="256"/>
  <c r="Z35" i="256"/>
  <c r="Y35" i="256"/>
  <c r="X35" i="256"/>
  <c r="W35" i="256"/>
  <c r="V35" i="256"/>
  <c r="U35" i="256"/>
  <c r="T35" i="256"/>
  <c r="S35" i="256"/>
  <c r="R35" i="256"/>
  <c r="Q35" i="256"/>
  <c r="P35" i="256"/>
  <c r="O35" i="256"/>
  <c r="N35" i="256"/>
  <c r="M35" i="256"/>
  <c r="L35" i="256"/>
  <c r="K35" i="256"/>
  <c r="BN29" i="256"/>
  <c r="BM29" i="256"/>
  <c r="BL29" i="256"/>
  <c r="BK29" i="256"/>
  <c r="BJ29" i="256"/>
  <c r="BI29" i="256"/>
  <c r="BH29" i="256"/>
  <c r="BG29" i="256"/>
  <c r="BF29" i="256"/>
  <c r="BE29" i="256"/>
  <c r="BD29" i="256"/>
  <c r="BC29" i="256"/>
  <c r="BB29" i="256"/>
  <c r="BA29" i="256"/>
  <c r="AZ29" i="256"/>
  <c r="AY29" i="256"/>
  <c r="AX29" i="256"/>
  <c r="AW29" i="256"/>
  <c r="AV29" i="256"/>
  <c r="AU29" i="256"/>
  <c r="AT29" i="256"/>
  <c r="AS29" i="256"/>
  <c r="AR29" i="256"/>
  <c r="AQ29" i="256"/>
  <c r="AP29" i="256"/>
  <c r="AO29" i="256"/>
  <c r="AN29" i="256"/>
  <c r="AM29" i="256"/>
  <c r="AL29" i="256"/>
  <c r="AK29" i="256"/>
  <c r="AJ29" i="256"/>
  <c r="AI29" i="256"/>
  <c r="AH29" i="256"/>
  <c r="AG29" i="256"/>
  <c r="AF29" i="256"/>
  <c r="AE29" i="256"/>
  <c r="AD29" i="256"/>
  <c r="AC29" i="256"/>
  <c r="AB29" i="256"/>
  <c r="AA29" i="256"/>
  <c r="Z29" i="256"/>
  <c r="Y29" i="256"/>
  <c r="X29" i="256"/>
  <c r="W29" i="256"/>
  <c r="V29" i="256"/>
  <c r="U29" i="256"/>
  <c r="T29" i="256"/>
  <c r="S29" i="256"/>
  <c r="R29" i="256"/>
  <c r="Q29" i="256"/>
  <c r="P29" i="256"/>
  <c r="O29" i="256"/>
  <c r="N29" i="256"/>
  <c r="M29" i="256"/>
  <c r="L29" i="256"/>
  <c r="K29" i="256"/>
  <c r="BN27" i="256"/>
  <c r="BM27" i="256"/>
  <c r="BL27" i="256"/>
  <c r="BK27" i="256"/>
  <c r="BJ27" i="256"/>
  <c r="BI27" i="256"/>
  <c r="BH27" i="256"/>
  <c r="BG27" i="256"/>
  <c r="BF27" i="256"/>
  <c r="BE27" i="256"/>
  <c r="BD27" i="256"/>
  <c r="BC27" i="256"/>
  <c r="BB27" i="256"/>
  <c r="BA27" i="256"/>
  <c r="AZ27" i="256"/>
  <c r="AY27" i="256"/>
  <c r="AX27" i="256"/>
  <c r="AW27" i="256"/>
  <c r="AV27" i="256"/>
  <c r="AU27" i="256"/>
  <c r="AT27" i="256"/>
  <c r="AS27" i="256"/>
  <c r="AR27" i="256"/>
  <c r="AQ27" i="256"/>
  <c r="AP27" i="256"/>
  <c r="AO27" i="256"/>
  <c r="AN27" i="256"/>
  <c r="AM27" i="256"/>
  <c r="AL27" i="256"/>
  <c r="AK27" i="256"/>
  <c r="AJ27" i="256"/>
  <c r="AI27" i="256"/>
  <c r="AH27" i="256"/>
  <c r="AG27" i="256"/>
  <c r="AF27" i="256"/>
  <c r="AE27" i="256"/>
  <c r="AD27" i="256"/>
  <c r="AC27" i="256"/>
  <c r="AB27" i="256"/>
  <c r="AA27" i="256"/>
  <c r="Z27" i="256"/>
  <c r="Y27" i="256"/>
  <c r="X27" i="256"/>
  <c r="W27" i="256"/>
  <c r="V27" i="256"/>
  <c r="U27" i="256"/>
  <c r="T27" i="256"/>
  <c r="S27" i="256"/>
  <c r="R27" i="256"/>
  <c r="Q27" i="256"/>
  <c r="P27" i="256"/>
  <c r="O27" i="256"/>
  <c r="N27" i="256"/>
  <c r="M27" i="256"/>
  <c r="L27" i="256"/>
  <c r="K27" i="256"/>
  <c r="BN26" i="256"/>
  <c r="BM26" i="256"/>
  <c r="BL26" i="256"/>
  <c r="BK26" i="256"/>
  <c r="BJ26" i="256"/>
  <c r="BI26" i="256"/>
  <c r="BH26" i="256"/>
  <c r="BG26" i="256"/>
  <c r="BF26" i="256"/>
  <c r="BE26" i="256"/>
  <c r="BD26" i="256"/>
  <c r="BC26" i="256"/>
  <c r="BB26" i="256"/>
  <c r="BA26" i="256"/>
  <c r="AZ26" i="256"/>
  <c r="AY26" i="256"/>
  <c r="AX26" i="256"/>
  <c r="AW26" i="256"/>
  <c r="AV26" i="256"/>
  <c r="AU26" i="256"/>
  <c r="AT26" i="256"/>
  <c r="AS26" i="256"/>
  <c r="AR26" i="256"/>
  <c r="AQ26" i="256"/>
  <c r="AP26" i="256"/>
  <c r="AO26" i="256"/>
  <c r="AN26" i="256"/>
  <c r="AM26" i="256"/>
  <c r="AL26" i="256"/>
  <c r="AK26" i="256"/>
  <c r="AJ26" i="256"/>
  <c r="AI26" i="256"/>
  <c r="AH26" i="256"/>
  <c r="AG26" i="256"/>
  <c r="AF26" i="256"/>
  <c r="AE26" i="256"/>
  <c r="AD26" i="256"/>
  <c r="AC26" i="256"/>
  <c r="AB26" i="256"/>
  <c r="AA26" i="256"/>
  <c r="Z26" i="256"/>
  <c r="Y26" i="256"/>
  <c r="X26" i="256"/>
  <c r="W26" i="256"/>
  <c r="V26" i="256"/>
  <c r="U26" i="256"/>
  <c r="T26" i="256"/>
  <c r="S26" i="256"/>
  <c r="R26" i="256"/>
  <c r="Q26" i="256"/>
  <c r="P26" i="256"/>
  <c r="O26" i="256"/>
  <c r="N26" i="256"/>
  <c r="M26" i="256"/>
  <c r="L26" i="256"/>
  <c r="K26" i="256"/>
  <c r="B24" i="256"/>
  <c r="B23" i="256"/>
  <c r="H22" i="256"/>
  <c r="E22" i="256"/>
  <c r="H21" i="256"/>
  <c r="E21" i="256"/>
  <c r="H20" i="256"/>
  <c r="E20" i="256"/>
  <c r="H19" i="256"/>
  <c r="E19" i="256"/>
  <c r="H18" i="256"/>
  <c r="E18" i="256"/>
  <c r="H17" i="256"/>
  <c r="E17" i="256"/>
  <c r="H16" i="256"/>
  <c r="E16" i="256"/>
  <c r="H15" i="256"/>
  <c r="E15" i="256"/>
  <c r="H14" i="256"/>
  <c r="E14" i="256"/>
  <c r="H13" i="256"/>
  <c r="E13" i="256"/>
  <c r="H12" i="256"/>
  <c r="E12" i="256"/>
  <c r="H11" i="256"/>
  <c r="E11" i="256"/>
  <c r="H10" i="256"/>
  <c r="E10" i="256"/>
  <c r="H9" i="256"/>
  <c r="E9" i="256"/>
  <c r="H8" i="256"/>
  <c r="E8" i="256"/>
  <c r="H7" i="256"/>
  <c r="E7" i="256"/>
  <c r="H6" i="256"/>
  <c r="E6" i="256"/>
  <c r="H5" i="256"/>
  <c r="E5" i="256"/>
  <c r="H4" i="256"/>
  <c r="E4" i="256"/>
  <c r="H3" i="256"/>
  <c r="E3" i="256"/>
  <c r="J1" i="256"/>
  <c r="I1" i="256"/>
  <c r="BN35" i="255"/>
  <c r="BM35" i="255"/>
  <c r="BL35" i="255"/>
  <c r="BK35" i="255"/>
  <c r="BJ35" i="255"/>
  <c r="BI35" i="255"/>
  <c r="BH35" i="255"/>
  <c r="BG35" i="255"/>
  <c r="BF35" i="255"/>
  <c r="BE35" i="255"/>
  <c r="BD35" i="255"/>
  <c r="BC35" i="255"/>
  <c r="BB35" i="255"/>
  <c r="BA35" i="255"/>
  <c r="AZ35" i="255"/>
  <c r="AY35" i="255"/>
  <c r="AX35" i="255"/>
  <c r="AW35" i="255"/>
  <c r="AV35" i="255"/>
  <c r="AU35" i="255"/>
  <c r="AT35" i="255"/>
  <c r="AS35" i="255"/>
  <c r="AR35" i="255"/>
  <c r="AQ35" i="255"/>
  <c r="AP35" i="255"/>
  <c r="AO35" i="255"/>
  <c r="AN35" i="255"/>
  <c r="AM35" i="255"/>
  <c r="AL35" i="255"/>
  <c r="AK35" i="255"/>
  <c r="AJ35" i="255"/>
  <c r="AI35" i="255"/>
  <c r="AH35" i="255"/>
  <c r="AG35" i="255"/>
  <c r="AF35" i="255"/>
  <c r="AE35" i="255"/>
  <c r="AD35" i="255"/>
  <c r="AC35" i="255"/>
  <c r="AB35" i="255"/>
  <c r="AA35" i="255"/>
  <c r="Z35" i="255"/>
  <c r="Y35" i="255"/>
  <c r="X35" i="255"/>
  <c r="W35" i="255"/>
  <c r="V35" i="255"/>
  <c r="U35" i="255"/>
  <c r="T35" i="255"/>
  <c r="S35" i="255"/>
  <c r="R35" i="255"/>
  <c r="Q35" i="255"/>
  <c r="P35" i="255"/>
  <c r="O35" i="255"/>
  <c r="N35" i="255"/>
  <c r="M35" i="255"/>
  <c r="L35" i="255"/>
  <c r="K35" i="255"/>
  <c r="BN29" i="255"/>
  <c r="BM29" i="255"/>
  <c r="BL29" i="255"/>
  <c r="BK29" i="255"/>
  <c r="BJ29" i="255"/>
  <c r="BI29" i="255"/>
  <c r="BH29" i="255"/>
  <c r="BG29" i="255"/>
  <c r="BF29" i="255"/>
  <c r="BE29" i="255"/>
  <c r="BD29" i="255"/>
  <c r="BC29" i="255"/>
  <c r="BB29" i="255"/>
  <c r="BA29" i="255"/>
  <c r="AZ29" i="255"/>
  <c r="AY29" i="255"/>
  <c r="AX29" i="255"/>
  <c r="AW29" i="255"/>
  <c r="AV29" i="255"/>
  <c r="AU29" i="255"/>
  <c r="AT29" i="255"/>
  <c r="AS29" i="255"/>
  <c r="AR29" i="255"/>
  <c r="AQ29" i="255"/>
  <c r="AP29" i="255"/>
  <c r="AO29" i="255"/>
  <c r="AN29" i="255"/>
  <c r="AM29" i="255"/>
  <c r="AL29" i="255"/>
  <c r="AK29" i="255"/>
  <c r="AJ29" i="255"/>
  <c r="AI29" i="255"/>
  <c r="AH29" i="255"/>
  <c r="AG29" i="255"/>
  <c r="AF29" i="255"/>
  <c r="AE29" i="255"/>
  <c r="AD29" i="255"/>
  <c r="AC29" i="255"/>
  <c r="AB29" i="255"/>
  <c r="AA29" i="255"/>
  <c r="Z29" i="255"/>
  <c r="Y29" i="255"/>
  <c r="X29" i="255"/>
  <c r="W29" i="255"/>
  <c r="V29" i="255"/>
  <c r="U29" i="255"/>
  <c r="T29" i="255"/>
  <c r="S29" i="255"/>
  <c r="R29" i="255"/>
  <c r="Q29" i="255"/>
  <c r="P29" i="255"/>
  <c r="O29" i="255"/>
  <c r="N29" i="255"/>
  <c r="M29" i="255"/>
  <c r="L29" i="255"/>
  <c r="K29" i="255"/>
  <c r="BN27" i="255"/>
  <c r="BM27" i="255"/>
  <c r="BL27" i="255"/>
  <c r="BK27" i="255"/>
  <c r="BJ27" i="255"/>
  <c r="BI27" i="255"/>
  <c r="BH27" i="255"/>
  <c r="BG27" i="255"/>
  <c r="BF27" i="255"/>
  <c r="BE27" i="255"/>
  <c r="BD27" i="255"/>
  <c r="BC27" i="255"/>
  <c r="BB27" i="255"/>
  <c r="BA27" i="255"/>
  <c r="AZ27" i="255"/>
  <c r="AY27" i="255"/>
  <c r="AX27" i="255"/>
  <c r="AW27" i="255"/>
  <c r="AV27" i="255"/>
  <c r="AU27" i="255"/>
  <c r="AT27" i="255"/>
  <c r="AS27" i="255"/>
  <c r="AR27" i="255"/>
  <c r="AQ27" i="255"/>
  <c r="AP27" i="255"/>
  <c r="AO27" i="255"/>
  <c r="AN27" i="255"/>
  <c r="AM27" i="255"/>
  <c r="AL27" i="255"/>
  <c r="AK27" i="255"/>
  <c r="AJ27" i="255"/>
  <c r="AI27" i="255"/>
  <c r="AH27" i="255"/>
  <c r="AG27" i="255"/>
  <c r="AF27" i="255"/>
  <c r="AE27" i="255"/>
  <c r="AD27" i="255"/>
  <c r="AC27" i="255"/>
  <c r="AB27" i="255"/>
  <c r="AA27" i="255"/>
  <c r="Z27" i="255"/>
  <c r="Y27" i="255"/>
  <c r="X27" i="255"/>
  <c r="W27" i="255"/>
  <c r="V27" i="255"/>
  <c r="U27" i="255"/>
  <c r="T27" i="255"/>
  <c r="S27" i="255"/>
  <c r="R27" i="255"/>
  <c r="Q27" i="255"/>
  <c r="P27" i="255"/>
  <c r="O27" i="255"/>
  <c r="N27" i="255"/>
  <c r="M27" i="255"/>
  <c r="L27" i="255"/>
  <c r="K27" i="255"/>
  <c r="BN26" i="255"/>
  <c r="BM26" i="255"/>
  <c r="BL26" i="255"/>
  <c r="BK26" i="255"/>
  <c r="BJ26" i="255"/>
  <c r="BI26" i="255"/>
  <c r="BH26" i="255"/>
  <c r="BG26" i="255"/>
  <c r="BF26" i="255"/>
  <c r="BE26" i="255"/>
  <c r="BD26" i="255"/>
  <c r="BC26" i="255"/>
  <c r="BB26" i="255"/>
  <c r="BA26" i="255"/>
  <c r="AZ26" i="255"/>
  <c r="AY26" i="255"/>
  <c r="AX26" i="255"/>
  <c r="AW26" i="255"/>
  <c r="AV26" i="255"/>
  <c r="AU26" i="255"/>
  <c r="AT26" i="255"/>
  <c r="AS26" i="255"/>
  <c r="AR26" i="255"/>
  <c r="AQ26" i="255"/>
  <c r="AP26" i="255"/>
  <c r="AO26" i="255"/>
  <c r="AN26" i="255"/>
  <c r="AM26" i="255"/>
  <c r="AL26" i="255"/>
  <c r="AK26" i="255"/>
  <c r="AJ26" i="255"/>
  <c r="AI26" i="255"/>
  <c r="AH26" i="255"/>
  <c r="AG26" i="255"/>
  <c r="AF26" i="255"/>
  <c r="AE26" i="255"/>
  <c r="AD26" i="255"/>
  <c r="AC26" i="255"/>
  <c r="AB26" i="255"/>
  <c r="AA26" i="255"/>
  <c r="Z26" i="255"/>
  <c r="Y26" i="255"/>
  <c r="X26" i="255"/>
  <c r="W26" i="255"/>
  <c r="V26" i="255"/>
  <c r="U26" i="255"/>
  <c r="T26" i="255"/>
  <c r="S26" i="255"/>
  <c r="R26" i="255"/>
  <c r="Q26" i="255"/>
  <c r="P26" i="255"/>
  <c r="O26" i="255"/>
  <c r="N26" i="255"/>
  <c r="M26" i="255"/>
  <c r="L26" i="255"/>
  <c r="K26" i="255"/>
  <c r="B24" i="255"/>
  <c r="B23" i="255"/>
  <c r="H22" i="255"/>
  <c r="E22" i="255"/>
  <c r="H21" i="255"/>
  <c r="E21" i="255"/>
  <c r="H20" i="255"/>
  <c r="E20" i="255"/>
  <c r="H19" i="255"/>
  <c r="E19" i="255"/>
  <c r="H18" i="255"/>
  <c r="E18" i="255"/>
  <c r="H17" i="255"/>
  <c r="E17" i="255"/>
  <c r="H16" i="255"/>
  <c r="E16" i="255"/>
  <c r="H15" i="255"/>
  <c r="E15" i="255"/>
  <c r="H14" i="255"/>
  <c r="E14" i="255"/>
  <c r="H13" i="255"/>
  <c r="E13" i="255"/>
  <c r="H12" i="255"/>
  <c r="E12" i="255"/>
  <c r="H11" i="255"/>
  <c r="E11" i="255"/>
  <c r="H10" i="255"/>
  <c r="E10" i="255"/>
  <c r="H9" i="255"/>
  <c r="E9" i="255"/>
  <c r="H8" i="255"/>
  <c r="E8" i="255"/>
  <c r="H7" i="255"/>
  <c r="E7" i="255"/>
  <c r="H6" i="255"/>
  <c r="E6" i="255"/>
  <c r="H5" i="255"/>
  <c r="E5" i="255"/>
  <c r="H4" i="255"/>
  <c r="E4" i="255"/>
  <c r="H3" i="255"/>
  <c r="E3" i="255"/>
  <c r="J1" i="255"/>
  <c r="I1" i="255"/>
  <c r="BN35" i="254"/>
  <c r="BM35" i="254"/>
  <c r="BL35" i="254"/>
  <c r="BK35" i="254"/>
  <c r="BJ35" i="254"/>
  <c r="BI35" i="254"/>
  <c r="BH35" i="254"/>
  <c r="BG35" i="254"/>
  <c r="BF35" i="254"/>
  <c r="BE35" i="254"/>
  <c r="BD35" i="254"/>
  <c r="BC35" i="254"/>
  <c r="BB35" i="254"/>
  <c r="BA35" i="254"/>
  <c r="AZ35" i="254"/>
  <c r="AY35" i="254"/>
  <c r="AX35" i="254"/>
  <c r="AW35" i="254"/>
  <c r="AV35" i="254"/>
  <c r="AU35" i="254"/>
  <c r="AT35" i="254"/>
  <c r="AS35" i="254"/>
  <c r="AR35" i="254"/>
  <c r="AQ35" i="254"/>
  <c r="AP35" i="254"/>
  <c r="AO35" i="254"/>
  <c r="AN35" i="254"/>
  <c r="AM35" i="254"/>
  <c r="AL35" i="254"/>
  <c r="AK35" i="254"/>
  <c r="AJ35" i="254"/>
  <c r="AI35" i="254"/>
  <c r="AH35" i="254"/>
  <c r="AG35" i="254"/>
  <c r="AF35" i="254"/>
  <c r="AE35" i="254"/>
  <c r="AD35" i="254"/>
  <c r="AC35" i="254"/>
  <c r="AB35" i="254"/>
  <c r="AA35" i="254"/>
  <c r="Z35" i="254"/>
  <c r="Y35" i="254"/>
  <c r="X35" i="254"/>
  <c r="W35" i="254"/>
  <c r="V35" i="254"/>
  <c r="U35" i="254"/>
  <c r="T35" i="254"/>
  <c r="S35" i="254"/>
  <c r="R35" i="254"/>
  <c r="Q35" i="254"/>
  <c r="P35" i="254"/>
  <c r="O35" i="254"/>
  <c r="N35" i="254"/>
  <c r="M35" i="254"/>
  <c r="L35" i="254"/>
  <c r="K35" i="254"/>
  <c r="BN29" i="254"/>
  <c r="BM29" i="254"/>
  <c r="BL29" i="254"/>
  <c r="BK29" i="254"/>
  <c r="BJ29" i="254"/>
  <c r="BI29" i="254"/>
  <c r="BH29" i="254"/>
  <c r="BG29" i="254"/>
  <c r="BF29" i="254"/>
  <c r="BE29" i="254"/>
  <c r="BD29" i="254"/>
  <c r="BC29" i="254"/>
  <c r="BB29" i="254"/>
  <c r="BA29" i="254"/>
  <c r="AZ29" i="254"/>
  <c r="AY29" i="254"/>
  <c r="AX29" i="254"/>
  <c r="AW29" i="254"/>
  <c r="AV29" i="254"/>
  <c r="AU29" i="254"/>
  <c r="AT29" i="254"/>
  <c r="AS29" i="254"/>
  <c r="AR29" i="254"/>
  <c r="AQ29" i="254"/>
  <c r="AP29" i="254"/>
  <c r="AO29" i="254"/>
  <c r="AN29" i="254"/>
  <c r="AM29" i="254"/>
  <c r="AL29" i="254"/>
  <c r="AK29" i="254"/>
  <c r="AJ29" i="254"/>
  <c r="AI29" i="254"/>
  <c r="AH29" i="254"/>
  <c r="AG29" i="254"/>
  <c r="AF29" i="254"/>
  <c r="AE29" i="254"/>
  <c r="AD29" i="254"/>
  <c r="AC29" i="254"/>
  <c r="AB29" i="254"/>
  <c r="AA29" i="254"/>
  <c r="Z29" i="254"/>
  <c r="Y29" i="254"/>
  <c r="X29" i="254"/>
  <c r="W29" i="254"/>
  <c r="V29" i="254"/>
  <c r="U29" i="254"/>
  <c r="T29" i="254"/>
  <c r="S29" i="254"/>
  <c r="R29" i="254"/>
  <c r="Q29" i="254"/>
  <c r="P29" i="254"/>
  <c r="O29" i="254"/>
  <c r="N29" i="254"/>
  <c r="M29" i="254"/>
  <c r="L29" i="254"/>
  <c r="K29" i="254"/>
  <c r="BN27" i="254"/>
  <c r="BM27" i="254"/>
  <c r="BL27" i="254"/>
  <c r="BK27" i="254"/>
  <c r="BJ27" i="254"/>
  <c r="BI27" i="254"/>
  <c r="BH27" i="254"/>
  <c r="BG27" i="254"/>
  <c r="BF27" i="254"/>
  <c r="BE27" i="254"/>
  <c r="BD27" i="254"/>
  <c r="BC27" i="254"/>
  <c r="BB27" i="254"/>
  <c r="BA27" i="254"/>
  <c r="AZ27" i="254"/>
  <c r="AY27" i="254"/>
  <c r="AX27" i="254"/>
  <c r="AW27" i="254"/>
  <c r="AV27" i="254"/>
  <c r="AU27" i="254"/>
  <c r="AT27" i="254"/>
  <c r="AS27" i="254"/>
  <c r="AR27" i="254"/>
  <c r="AQ27" i="254"/>
  <c r="AP27" i="254"/>
  <c r="AO27" i="254"/>
  <c r="AN27" i="254"/>
  <c r="AM27" i="254"/>
  <c r="AL27" i="254"/>
  <c r="AK27" i="254"/>
  <c r="AJ27" i="254"/>
  <c r="AI27" i="254"/>
  <c r="AH27" i="254"/>
  <c r="AG27" i="254"/>
  <c r="AF27" i="254"/>
  <c r="AE27" i="254"/>
  <c r="AD27" i="254"/>
  <c r="AC27" i="254"/>
  <c r="AB27" i="254"/>
  <c r="AA27" i="254"/>
  <c r="Z27" i="254"/>
  <c r="Y27" i="254"/>
  <c r="X27" i="254"/>
  <c r="W27" i="254"/>
  <c r="V27" i="254"/>
  <c r="U27" i="254"/>
  <c r="T27" i="254"/>
  <c r="S27" i="254"/>
  <c r="R27" i="254"/>
  <c r="Q27" i="254"/>
  <c r="P27" i="254"/>
  <c r="O27" i="254"/>
  <c r="N27" i="254"/>
  <c r="M27" i="254"/>
  <c r="L27" i="254"/>
  <c r="K27" i="254"/>
  <c r="BN26" i="254"/>
  <c r="BM26" i="254"/>
  <c r="BL26" i="254"/>
  <c r="BK26" i="254"/>
  <c r="BJ26" i="254"/>
  <c r="BI26" i="254"/>
  <c r="BH26" i="254"/>
  <c r="BG26" i="254"/>
  <c r="BF26" i="254"/>
  <c r="BE26" i="254"/>
  <c r="BD26" i="254"/>
  <c r="BC26" i="254"/>
  <c r="BB26" i="254"/>
  <c r="BA26" i="254"/>
  <c r="AZ26" i="254"/>
  <c r="AY26" i="254"/>
  <c r="AX26" i="254"/>
  <c r="AW26" i="254"/>
  <c r="AV26" i="254"/>
  <c r="AU26" i="254"/>
  <c r="AT26" i="254"/>
  <c r="AS26" i="254"/>
  <c r="AR26" i="254"/>
  <c r="AQ26" i="254"/>
  <c r="AP26" i="254"/>
  <c r="AO26" i="254"/>
  <c r="AN26" i="254"/>
  <c r="AM26" i="254"/>
  <c r="AL26" i="254"/>
  <c r="AK26" i="254"/>
  <c r="AJ26" i="254"/>
  <c r="AI26" i="254"/>
  <c r="AH26" i="254"/>
  <c r="AG26" i="254"/>
  <c r="AF26" i="254"/>
  <c r="AE26" i="254"/>
  <c r="AD26" i="254"/>
  <c r="AC26" i="254"/>
  <c r="AB26" i="254"/>
  <c r="AA26" i="254"/>
  <c r="Z26" i="254"/>
  <c r="Y26" i="254"/>
  <c r="X26" i="254"/>
  <c r="W26" i="254"/>
  <c r="V26" i="254"/>
  <c r="U26" i="254"/>
  <c r="T26" i="254"/>
  <c r="S26" i="254"/>
  <c r="R26" i="254"/>
  <c r="Q26" i="254"/>
  <c r="P26" i="254"/>
  <c r="O26" i="254"/>
  <c r="N26" i="254"/>
  <c r="M26" i="254"/>
  <c r="L26" i="254"/>
  <c r="K26" i="254"/>
  <c r="B24" i="254"/>
  <c r="B23" i="254"/>
  <c r="H22" i="254"/>
  <c r="E22" i="254"/>
  <c r="H21" i="254"/>
  <c r="E21" i="254"/>
  <c r="H20" i="254"/>
  <c r="E20" i="254"/>
  <c r="H19" i="254"/>
  <c r="E19" i="254"/>
  <c r="H18" i="254"/>
  <c r="E18" i="254"/>
  <c r="H17" i="254"/>
  <c r="E17" i="254"/>
  <c r="H16" i="254"/>
  <c r="E16" i="254"/>
  <c r="H15" i="254"/>
  <c r="E15" i="254"/>
  <c r="H14" i="254"/>
  <c r="E14" i="254"/>
  <c r="H13" i="254"/>
  <c r="E13" i="254"/>
  <c r="H12" i="254"/>
  <c r="E12" i="254"/>
  <c r="H11" i="254"/>
  <c r="E11" i="254"/>
  <c r="H10" i="254"/>
  <c r="E10" i="254"/>
  <c r="H9" i="254"/>
  <c r="E9" i="254"/>
  <c r="H8" i="254"/>
  <c r="E8" i="254"/>
  <c r="H7" i="254"/>
  <c r="E7" i="254"/>
  <c r="H6" i="254"/>
  <c r="E6" i="254"/>
  <c r="H5" i="254"/>
  <c r="E5" i="254"/>
  <c r="H4" i="254"/>
  <c r="E4" i="254"/>
  <c r="H3" i="254"/>
  <c r="E3" i="254"/>
  <c r="J1" i="254"/>
  <c r="I1" i="254"/>
  <c r="BN35" i="253"/>
  <c r="BM35" i="253"/>
  <c r="BL35" i="253"/>
  <c r="BK35" i="253"/>
  <c r="BJ35" i="253"/>
  <c r="BI35" i="253"/>
  <c r="BH35" i="253"/>
  <c r="BG35" i="253"/>
  <c r="BF35" i="253"/>
  <c r="BE35" i="253"/>
  <c r="BD35" i="253"/>
  <c r="BC35" i="253"/>
  <c r="BB35" i="253"/>
  <c r="BA35" i="253"/>
  <c r="AZ35" i="253"/>
  <c r="AY35" i="253"/>
  <c r="AX35" i="253"/>
  <c r="AW35" i="253"/>
  <c r="AV35" i="253"/>
  <c r="AU35" i="253"/>
  <c r="AT35" i="253"/>
  <c r="AS35" i="253"/>
  <c r="AR35" i="253"/>
  <c r="AQ35" i="253"/>
  <c r="AP35" i="253"/>
  <c r="AO35" i="253"/>
  <c r="AN35" i="253"/>
  <c r="AM35" i="253"/>
  <c r="AL35" i="253"/>
  <c r="AK35" i="253"/>
  <c r="AJ35" i="253"/>
  <c r="AI35" i="253"/>
  <c r="AH35" i="253"/>
  <c r="AG35" i="253"/>
  <c r="AF35" i="253"/>
  <c r="AE35" i="253"/>
  <c r="AD35" i="253"/>
  <c r="AC35" i="253"/>
  <c r="AB35" i="253"/>
  <c r="AA35" i="253"/>
  <c r="Z35" i="253"/>
  <c r="Y35" i="253"/>
  <c r="X35" i="253"/>
  <c r="W35" i="253"/>
  <c r="V35" i="253"/>
  <c r="U35" i="253"/>
  <c r="T35" i="253"/>
  <c r="S35" i="253"/>
  <c r="R35" i="253"/>
  <c r="Q35" i="253"/>
  <c r="P35" i="253"/>
  <c r="O35" i="253"/>
  <c r="N35" i="253"/>
  <c r="M35" i="253"/>
  <c r="L35" i="253"/>
  <c r="K35" i="253"/>
  <c r="BN29" i="253"/>
  <c r="BM29" i="253"/>
  <c r="BL29" i="253"/>
  <c r="BK29" i="253"/>
  <c r="BJ29" i="253"/>
  <c r="BI29" i="253"/>
  <c r="BH29" i="253"/>
  <c r="BG29" i="253"/>
  <c r="BF29" i="253"/>
  <c r="BE29" i="253"/>
  <c r="BD29" i="253"/>
  <c r="BC29" i="253"/>
  <c r="BB29" i="253"/>
  <c r="BA29" i="253"/>
  <c r="AZ29" i="253"/>
  <c r="AY29" i="253"/>
  <c r="AX29" i="253"/>
  <c r="AW29" i="253"/>
  <c r="AV29" i="253"/>
  <c r="AU29" i="253"/>
  <c r="AT29" i="253"/>
  <c r="AS29" i="253"/>
  <c r="AR29" i="253"/>
  <c r="AQ29" i="253"/>
  <c r="AP29" i="253"/>
  <c r="AO29" i="253"/>
  <c r="AN29" i="253"/>
  <c r="AM29" i="253"/>
  <c r="AL29" i="253"/>
  <c r="AK29" i="253"/>
  <c r="AJ29" i="253"/>
  <c r="AI29" i="253"/>
  <c r="AH29" i="253"/>
  <c r="AG29" i="253"/>
  <c r="AF29" i="253"/>
  <c r="AE29" i="253"/>
  <c r="AD29" i="253"/>
  <c r="AC29" i="253"/>
  <c r="AB29" i="253"/>
  <c r="AA29" i="253"/>
  <c r="Z29" i="253"/>
  <c r="Y29" i="253"/>
  <c r="X29" i="253"/>
  <c r="W29" i="253"/>
  <c r="V29" i="253"/>
  <c r="U29" i="253"/>
  <c r="T29" i="253"/>
  <c r="S29" i="253"/>
  <c r="R29" i="253"/>
  <c r="Q29" i="253"/>
  <c r="P29" i="253"/>
  <c r="O29" i="253"/>
  <c r="N29" i="253"/>
  <c r="M29" i="253"/>
  <c r="L29" i="253"/>
  <c r="K29" i="253"/>
  <c r="BN27" i="253"/>
  <c r="BM27" i="253"/>
  <c r="BL27" i="253"/>
  <c r="BK27" i="253"/>
  <c r="BJ27" i="253"/>
  <c r="BI27" i="253"/>
  <c r="BH27" i="253"/>
  <c r="BG27" i="253"/>
  <c r="BF27" i="253"/>
  <c r="BE27" i="253"/>
  <c r="BD27" i="253"/>
  <c r="BC27" i="253"/>
  <c r="BB27" i="253"/>
  <c r="BA27" i="253"/>
  <c r="AZ27" i="253"/>
  <c r="AY27" i="253"/>
  <c r="AX27" i="253"/>
  <c r="AW27" i="253"/>
  <c r="AV27" i="253"/>
  <c r="AU27" i="253"/>
  <c r="AT27" i="253"/>
  <c r="AS27" i="253"/>
  <c r="AR27" i="253"/>
  <c r="AQ27" i="253"/>
  <c r="AP27" i="253"/>
  <c r="AO27" i="253"/>
  <c r="AN27" i="253"/>
  <c r="AM27" i="253"/>
  <c r="AL27" i="253"/>
  <c r="AK27" i="253"/>
  <c r="AJ27" i="253"/>
  <c r="AI27" i="253"/>
  <c r="AH27" i="253"/>
  <c r="AG27" i="253"/>
  <c r="AF27" i="253"/>
  <c r="AE27" i="253"/>
  <c r="AD27" i="253"/>
  <c r="AC27" i="253"/>
  <c r="AB27" i="253"/>
  <c r="AA27" i="253"/>
  <c r="Z27" i="253"/>
  <c r="Y27" i="253"/>
  <c r="X27" i="253"/>
  <c r="W27" i="253"/>
  <c r="V27" i="253"/>
  <c r="U27" i="253"/>
  <c r="T27" i="253"/>
  <c r="S27" i="253"/>
  <c r="R27" i="253"/>
  <c r="Q27" i="253"/>
  <c r="P27" i="253"/>
  <c r="O27" i="253"/>
  <c r="N27" i="253"/>
  <c r="M27" i="253"/>
  <c r="L27" i="253"/>
  <c r="K27" i="253"/>
  <c r="BN26" i="253"/>
  <c r="BM26" i="253"/>
  <c r="BL26" i="253"/>
  <c r="BK26" i="253"/>
  <c r="BJ26" i="253"/>
  <c r="BI26" i="253"/>
  <c r="BH26" i="253"/>
  <c r="BG26" i="253"/>
  <c r="BF26" i="253"/>
  <c r="BE26" i="253"/>
  <c r="BD26" i="253"/>
  <c r="BC26" i="253"/>
  <c r="BB26" i="253"/>
  <c r="BA26" i="253"/>
  <c r="AZ26" i="253"/>
  <c r="AY26" i="253"/>
  <c r="AX26" i="253"/>
  <c r="AW26" i="253"/>
  <c r="AV26" i="253"/>
  <c r="AU26" i="253"/>
  <c r="AT26" i="253"/>
  <c r="AS26" i="253"/>
  <c r="AR26" i="253"/>
  <c r="AQ26" i="253"/>
  <c r="AP26" i="253"/>
  <c r="AO26" i="253"/>
  <c r="AN26" i="253"/>
  <c r="AM26" i="253"/>
  <c r="AL26" i="253"/>
  <c r="AK26" i="253"/>
  <c r="AJ26" i="253"/>
  <c r="AI26" i="253"/>
  <c r="AH26" i="253"/>
  <c r="AG26" i="253"/>
  <c r="AF26" i="253"/>
  <c r="AE26" i="253"/>
  <c r="AD26" i="253"/>
  <c r="AC26" i="253"/>
  <c r="AB26" i="253"/>
  <c r="AA26" i="253"/>
  <c r="Z26" i="253"/>
  <c r="Y26" i="253"/>
  <c r="X26" i="253"/>
  <c r="W26" i="253"/>
  <c r="V26" i="253"/>
  <c r="U26" i="253"/>
  <c r="T26" i="253"/>
  <c r="S26" i="253"/>
  <c r="R26" i="253"/>
  <c r="Q26" i="253"/>
  <c r="P26" i="253"/>
  <c r="O26" i="253"/>
  <c r="N26" i="253"/>
  <c r="M26" i="253"/>
  <c r="L26" i="253"/>
  <c r="K26" i="253"/>
  <c r="B24" i="253"/>
  <c r="B23" i="253"/>
  <c r="H22" i="253"/>
  <c r="E22" i="253"/>
  <c r="H21" i="253"/>
  <c r="E21" i="253"/>
  <c r="H20" i="253"/>
  <c r="E20" i="253"/>
  <c r="H19" i="253"/>
  <c r="E19" i="253"/>
  <c r="H18" i="253"/>
  <c r="E18" i="253"/>
  <c r="H17" i="253"/>
  <c r="E17" i="253"/>
  <c r="H16" i="253"/>
  <c r="E16" i="253"/>
  <c r="H15" i="253"/>
  <c r="E15" i="253"/>
  <c r="H14" i="253"/>
  <c r="E14" i="253"/>
  <c r="H13" i="253"/>
  <c r="E13" i="253"/>
  <c r="H12" i="253"/>
  <c r="E12" i="253"/>
  <c r="H11" i="253"/>
  <c r="E11" i="253"/>
  <c r="H10" i="253"/>
  <c r="E10" i="253"/>
  <c r="H9" i="253"/>
  <c r="E9" i="253"/>
  <c r="H8" i="253"/>
  <c r="E8" i="253"/>
  <c r="H7" i="253"/>
  <c r="E7" i="253"/>
  <c r="H6" i="253"/>
  <c r="E6" i="253"/>
  <c r="H5" i="253"/>
  <c r="E5" i="253"/>
  <c r="H4" i="253"/>
  <c r="E4" i="253"/>
  <c r="H3" i="253"/>
  <c r="E3" i="253"/>
  <c r="J1" i="253"/>
  <c r="I1" i="253"/>
  <c r="BN35" i="252"/>
  <c r="BM35" i="252"/>
  <c r="BL35" i="252"/>
  <c r="BK35" i="252"/>
  <c r="BJ35" i="252"/>
  <c r="BI35" i="252"/>
  <c r="BH35" i="252"/>
  <c r="BG35" i="252"/>
  <c r="BF35" i="252"/>
  <c r="BE35" i="252"/>
  <c r="BD35" i="252"/>
  <c r="BC35" i="252"/>
  <c r="BB35" i="252"/>
  <c r="BA35" i="252"/>
  <c r="AZ35" i="252"/>
  <c r="AY35" i="252"/>
  <c r="AX35" i="252"/>
  <c r="AW35" i="252"/>
  <c r="AV35" i="252"/>
  <c r="AU35" i="252"/>
  <c r="AT35" i="252"/>
  <c r="AS35" i="252"/>
  <c r="AR35" i="252"/>
  <c r="AQ35" i="252"/>
  <c r="AP35" i="252"/>
  <c r="AO35" i="252"/>
  <c r="AN35" i="252"/>
  <c r="AM35" i="252"/>
  <c r="AL35" i="252"/>
  <c r="AK35" i="252"/>
  <c r="AJ35" i="252"/>
  <c r="AI35" i="252"/>
  <c r="AH35" i="252"/>
  <c r="AG35" i="252"/>
  <c r="AF35" i="252"/>
  <c r="AE35" i="252"/>
  <c r="AD35" i="252"/>
  <c r="AC35" i="252"/>
  <c r="AB35" i="252"/>
  <c r="AA35" i="252"/>
  <c r="Z35" i="252"/>
  <c r="Y35" i="252"/>
  <c r="X35" i="252"/>
  <c r="W35" i="252"/>
  <c r="V35" i="252"/>
  <c r="U35" i="252"/>
  <c r="T35" i="252"/>
  <c r="S35" i="252"/>
  <c r="R35" i="252"/>
  <c r="Q35" i="252"/>
  <c r="P35" i="252"/>
  <c r="O35" i="252"/>
  <c r="N35" i="252"/>
  <c r="M35" i="252"/>
  <c r="L35" i="252"/>
  <c r="K35" i="252"/>
  <c r="BN29" i="252"/>
  <c r="BM29" i="252"/>
  <c r="BL29" i="252"/>
  <c r="BK29" i="252"/>
  <c r="BJ29" i="252"/>
  <c r="BI29" i="252"/>
  <c r="BH29" i="252"/>
  <c r="BG29" i="252"/>
  <c r="BF29" i="252"/>
  <c r="BE29" i="252"/>
  <c r="BD29" i="252"/>
  <c r="BC29" i="252"/>
  <c r="BB29" i="252"/>
  <c r="BA29" i="252"/>
  <c r="AZ29" i="252"/>
  <c r="AY29" i="252"/>
  <c r="AX29" i="252"/>
  <c r="AW29" i="252"/>
  <c r="AV29" i="252"/>
  <c r="AU29" i="252"/>
  <c r="AT29" i="252"/>
  <c r="AS29" i="252"/>
  <c r="AR29" i="252"/>
  <c r="AQ29" i="252"/>
  <c r="AP29" i="252"/>
  <c r="AO29" i="252"/>
  <c r="AN29" i="252"/>
  <c r="AM29" i="252"/>
  <c r="AL29" i="252"/>
  <c r="AK29" i="252"/>
  <c r="AJ29" i="252"/>
  <c r="AI29" i="252"/>
  <c r="AH29" i="252"/>
  <c r="AG29" i="252"/>
  <c r="AF29" i="252"/>
  <c r="AE29" i="252"/>
  <c r="AD29" i="252"/>
  <c r="AC29" i="252"/>
  <c r="AB29" i="252"/>
  <c r="AA29" i="252"/>
  <c r="Z29" i="252"/>
  <c r="Y29" i="252"/>
  <c r="X29" i="252"/>
  <c r="W29" i="252"/>
  <c r="V29" i="252"/>
  <c r="U29" i="252"/>
  <c r="T29" i="252"/>
  <c r="S29" i="252"/>
  <c r="R29" i="252"/>
  <c r="Q29" i="252"/>
  <c r="P29" i="252"/>
  <c r="O29" i="252"/>
  <c r="N29" i="252"/>
  <c r="M29" i="252"/>
  <c r="L29" i="252"/>
  <c r="K29" i="252"/>
  <c r="BN27" i="252"/>
  <c r="BM27" i="252"/>
  <c r="BL27" i="252"/>
  <c r="BK27" i="252"/>
  <c r="BJ27" i="252"/>
  <c r="BI27" i="252"/>
  <c r="BH27" i="252"/>
  <c r="BG27" i="252"/>
  <c r="BF27" i="252"/>
  <c r="BE27" i="252"/>
  <c r="BD27" i="252"/>
  <c r="BC27" i="252"/>
  <c r="BB27" i="252"/>
  <c r="BA27" i="252"/>
  <c r="AZ27" i="252"/>
  <c r="AY27" i="252"/>
  <c r="AX27" i="252"/>
  <c r="AW27" i="252"/>
  <c r="AV27" i="252"/>
  <c r="AU27" i="252"/>
  <c r="AT27" i="252"/>
  <c r="AS27" i="252"/>
  <c r="AR27" i="252"/>
  <c r="AQ27" i="252"/>
  <c r="AP27" i="252"/>
  <c r="AO27" i="252"/>
  <c r="AN27" i="252"/>
  <c r="AM27" i="252"/>
  <c r="AL27" i="252"/>
  <c r="AK27" i="252"/>
  <c r="AJ27" i="252"/>
  <c r="AI27" i="252"/>
  <c r="AH27" i="252"/>
  <c r="AG27" i="252"/>
  <c r="AF27" i="252"/>
  <c r="AE27" i="252"/>
  <c r="AD27" i="252"/>
  <c r="AC27" i="252"/>
  <c r="AB27" i="252"/>
  <c r="AA27" i="252"/>
  <c r="Z27" i="252"/>
  <c r="Y27" i="252"/>
  <c r="X27" i="252"/>
  <c r="W27" i="252"/>
  <c r="V27" i="252"/>
  <c r="U27" i="252"/>
  <c r="T27" i="252"/>
  <c r="S27" i="252"/>
  <c r="R27" i="252"/>
  <c r="Q27" i="252"/>
  <c r="P27" i="252"/>
  <c r="O27" i="252"/>
  <c r="N27" i="252"/>
  <c r="M27" i="252"/>
  <c r="L27" i="252"/>
  <c r="K27" i="252"/>
  <c r="BN26" i="252"/>
  <c r="BM26" i="252"/>
  <c r="BL26" i="252"/>
  <c r="BK26" i="252"/>
  <c r="BJ26" i="252"/>
  <c r="BI26" i="252"/>
  <c r="BH26" i="252"/>
  <c r="BG26" i="252"/>
  <c r="BF26" i="252"/>
  <c r="BE26" i="252"/>
  <c r="BD26" i="252"/>
  <c r="BC26" i="252"/>
  <c r="BB26" i="252"/>
  <c r="BA26" i="252"/>
  <c r="AZ26" i="252"/>
  <c r="AY26" i="252"/>
  <c r="AX26" i="252"/>
  <c r="AW26" i="252"/>
  <c r="AV26" i="252"/>
  <c r="AU26" i="252"/>
  <c r="AT26" i="252"/>
  <c r="AS26" i="252"/>
  <c r="AR26" i="252"/>
  <c r="AQ26" i="252"/>
  <c r="AP26" i="252"/>
  <c r="AO26" i="252"/>
  <c r="AN26" i="252"/>
  <c r="AM26" i="252"/>
  <c r="AL26" i="252"/>
  <c r="AK26" i="252"/>
  <c r="AJ26" i="252"/>
  <c r="AI26" i="252"/>
  <c r="AH26" i="252"/>
  <c r="AG26" i="252"/>
  <c r="AF26" i="252"/>
  <c r="AE26" i="252"/>
  <c r="AD26" i="252"/>
  <c r="AC26" i="252"/>
  <c r="AB26" i="252"/>
  <c r="AA26" i="252"/>
  <c r="Z26" i="252"/>
  <c r="Y26" i="252"/>
  <c r="X26" i="252"/>
  <c r="W26" i="252"/>
  <c r="V26" i="252"/>
  <c r="U26" i="252"/>
  <c r="T26" i="252"/>
  <c r="S26" i="252"/>
  <c r="R26" i="252"/>
  <c r="Q26" i="252"/>
  <c r="P26" i="252"/>
  <c r="O26" i="252"/>
  <c r="N26" i="252"/>
  <c r="M26" i="252"/>
  <c r="L26" i="252"/>
  <c r="K26" i="252"/>
  <c r="B24" i="252"/>
  <c r="B23" i="252"/>
  <c r="H22" i="252"/>
  <c r="E22" i="252"/>
  <c r="H21" i="252"/>
  <c r="E21" i="252"/>
  <c r="H20" i="252"/>
  <c r="E20" i="252"/>
  <c r="H19" i="252"/>
  <c r="E19" i="252"/>
  <c r="H18" i="252"/>
  <c r="E18" i="252"/>
  <c r="H17" i="252"/>
  <c r="E17" i="252"/>
  <c r="H16" i="252"/>
  <c r="E16" i="252"/>
  <c r="H15" i="252"/>
  <c r="E15" i="252"/>
  <c r="H14" i="252"/>
  <c r="E14" i="252"/>
  <c r="H13" i="252"/>
  <c r="E13" i="252"/>
  <c r="H12" i="252"/>
  <c r="E12" i="252"/>
  <c r="H11" i="252"/>
  <c r="E11" i="252"/>
  <c r="H10" i="252"/>
  <c r="E10" i="252"/>
  <c r="H9" i="252"/>
  <c r="E9" i="252"/>
  <c r="H8" i="252"/>
  <c r="E8" i="252"/>
  <c r="H7" i="252"/>
  <c r="E7" i="252"/>
  <c r="H6" i="252"/>
  <c r="E6" i="252"/>
  <c r="H5" i="252"/>
  <c r="E5" i="252"/>
  <c r="H4" i="252"/>
  <c r="E4" i="252"/>
  <c r="H3" i="252"/>
  <c r="E3" i="252"/>
  <c r="J1" i="252"/>
  <c r="I1" i="252"/>
  <c r="BN35" i="251"/>
  <c r="BM35" i="251"/>
  <c r="BL35" i="251"/>
  <c r="BK35" i="251"/>
  <c r="BJ35" i="251"/>
  <c r="BI35" i="251"/>
  <c r="BH35" i="251"/>
  <c r="BG35" i="251"/>
  <c r="BF35" i="251"/>
  <c r="BE35" i="251"/>
  <c r="BD35" i="251"/>
  <c r="BC35" i="251"/>
  <c r="BB35" i="251"/>
  <c r="BA35" i="251"/>
  <c r="AZ35" i="251"/>
  <c r="AY35" i="251"/>
  <c r="AX35" i="251"/>
  <c r="AW35" i="251"/>
  <c r="AV35" i="251"/>
  <c r="AU35" i="251"/>
  <c r="AT35" i="251"/>
  <c r="AS35" i="251"/>
  <c r="AR35" i="251"/>
  <c r="AQ35" i="251"/>
  <c r="AP35" i="251"/>
  <c r="AO35" i="251"/>
  <c r="AN35" i="251"/>
  <c r="AM35" i="251"/>
  <c r="AL35" i="251"/>
  <c r="AK35" i="251"/>
  <c r="AJ35" i="251"/>
  <c r="AI35" i="251"/>
  <c r="AH35" i="251"/>
  <c r="AG35" i="251"/>
  <c r="AF35" i="251"/>
  <c r="AE35" i="251"/>
  <c r="AD35" i="251"/>
  <c r="AC35" i="251"/>
  <c r="AB35" i="251"/>
  <c r="AA35" i="251"/>
  <c r="Z35" i="251"/>
  <c r="Y35" i="251"/>
  <c r="X35" i="251"/>
  <c r="W35" i="251"/>
  <c r="V35" i="251"/>
  <c r="U35" i="251"/>
  <c r="T35" i="251"/>
  <c r="S35" i="251"/>
  <c r="R35" i="251"/>
  <c r="Q35" i="251"/>
  <c r="P35" i="251"/>
  <c r="O35" i="251"/>
  <c r="N35" i="251"/>
  <c r="M35" i="251"/>
  <c r="L35" i="251"/>
  <c r="K35" i="251"/>
  <c r="BN29" i="251"/>
  <c r="BM29" i="251"/>
  <c r="BL29" i="251"/>
  <c r="BK29" i="251"/>
  <c r="BJ29" i="251"/>
  <c r="BI29" i="251"/>
  <c r="BH29" i="251"/>
  <c r="BG29" i="251"/>
  <c r="BF29" i="251"/>
  <c r="BE29" i="251"/>
  <c r="BD29" i="251"/>
  <c r="BC29" i="251"/>
  <c r="BB29" i="251"/>
  <c r="BA29" i="251"/>
  <c r="AZ29" i="251"/>
  <c r="AY29" i="251"/>
  <c r="AX29" i="251"/>
  <c r="AW29" i="251"/>
  <c r="AV29" i="251"/>
  <c r="AU29" i="251"/>
  <c r="AT29" i="251"/>
  <c r="AS29" i="251"/>
  <c r="AR29" i="251"/>
  <c r="AQ29" i="251"/>
  <c r="AP29" i="251"/>
  <c r="AO29" i="251"/>
  <c r="AN29" i="251"/>
  <c r="AM29" i="251"/>
  <c r="AL29" i="251"/>
  <c r="AK29" i="251"/>
  <c r="AJ29" i="251"/>
  <c r="AI29" i="251"/>
  <c r="AH29" i="251"/>
  <c r="AG29" i="251"/>
  <c r="AF29" i="251"/>
  <c r="AE29" i="251"/>
  <c r="AD29" i="251"/>
  <c r="AC29" i="251"/>
  <c r="AB29" i="251"/>
  <c r="AA29" i="251"/>
  <c r="Z29" i="251"/>
  <c r="Y29" i="251"/>
  <c r="X29" i="251"/>
  <c r="W29" i="251"/>
  <c r="V29" i="251"/>
  <c r="U29" i="251"/>
  <c r="T29" i="251"/>
  <c r="S29" i="251"/>
  <c r="R29" i="251"/>
  <c r="Q29" i="251"/>
  <c r="P29" i="251"/>
  <c r="O29" i="251"/>
  <c r="N29" i="251"/>
  <c r="M29" i="251"/>
  <c r="L29" i="251"/>
  <c r="K29" i="251"/>
  <c r="BN27" i="251"/>
  <c r="BM27" i="251"/>
  <c r="BL27" i="251"/>
  <c r="BK27" i="251"/>
  <c r="BJ27" i="251"/>
  <c r="BI27" i="251"/>
  <c r="BH27" i="251"/>
  <c r="BG27" i="251"/>
  <c r="BF27" i="251"/>
  <c r="BE27" i="251"/>
  <c r="BD27" i="251"/>
  <c r="BC27" i="251"/>
  <c r="BB27" i="251"/>
  <c r="BA27" i="251"/>
  <c r="AZ27" i="251"/>
  <c r="AY27" i="251"/>
  <c r="AX27" i="251"/>
  <c r="AW27" i="251"/>
  <c r="AV27" i="251"/>
  <c r="AU27" i="251"/>
  <c r="AT27" i="251"/>
  <c r="AS27" i="251"/>
  <c r="AR27" i="251"/>
  <c r="AQ27" i="251"/>
  <c r="AP27" i="251"/>
  <c r="AO27" i="251"/>
  <c r="AN27" i="251"/>
  <c r="AM27" i="251"/>
  <c r="AL27" i="251"/>
  <c r="AK27" i="251"/>
  <c r="AJ27" i="251"/>
  <c r="AI27" i="251"/>
  <c r="AH27" i="251"/>
  <c r="AG27" i="251"/>
  <c r="AF27" i="251"/>
  <c r="AE27" i="251"/>
  <c r="AD27" i="251"/>
  <c r="AC27" i="251"/>
  <c r="AB27" i="251"/>
  <c r="AA27" i="251"/>
  <c r="Z27" i="251"/>
  <c r="Y27" i="251"/>
  <c r="X27" i="251"/>
  <c r="W27" i="251"/>
  <c r="V27" i="251"/>
  <c r="U27" i="251"/>
  <c r="T27" i="251"/>
  <c r="S27" i="251"/>
  <c r="R27" i="251"/>
  <c r="Q27" i="251"/>
  <c r="P27" i="251"/>
  <c r="O27" i="251"/>
  <c r="N27" i="251"/>
  <c r="M27" i="251"/>
  <c r="L27" i="251"/>
  <c r="K27" i="251"/>
  <c r="BN26" i="251"/>
  <c r="BM26" i="251"/>
  <c r="BL26" i="251"/>
  <c r="BK26" i="251"/>
  <c r="BJ26" i="251"/>
  <c r="BI26" i="251"/>
  <c r="BH26" i="251"/>
  <c r="BG26" i="251"/>
  <c r="BF26" i="251"/>
  <c r="BE26" i="251"/>
  <c r="BD26" i="251"/>
  <c r="BC26" i="251"/>
  <c r="BB26" i="251"/>
  <c r="BA26" i="251"/>
  <c r="AZ26" i="251"/>
  <c r="AY26" i="251"/>
  <c r="AX26" i="251"/>
  <c r="AW26" i="251"/>
  <c r="AV26" i="251"/>
  <c r="AU26" i="251"/>
  <c r="AT26" i="251"/>
  <c r="AS26" i="251"/>
  <c r="AR26" i="251"/>
  <c r="AQ26" i="251"/>
  <c r="AP26" i="251"/>
  <c r="AO26" i="251"/>
  <c r="AN26" i="251"/>
  <c r="AM26" i="251"/>
  <c r="AL26" i="251"/>
  <c r="AK26" i="251"/>
  <c r="AJ26" i="251"/>
  <c r="AI26" i="251"/>
  <c r="AH26" i="251"/>
  <c r="AG26" i="251"/>
  <c r="AF26" i="251"/>
  <c r="AE26" i="251"/>
  <c r="AD26" i="251"/>
  <c r="AC26" i="251"/>
  <c r="AB26" i="251"/>
  <c r="AA26" i="251"/>
  <c r="Z26" i="251"/>
  <c r="Y26" i="251"/>
  <c r="X26" i="251"/>
  <c r="W26" i="251"/>
  <c r="V26" i="251"/>
  <c r="U26" i="251"/>
  <c r="T26" i="251"/>
  <c r="S26" i="251"/>
  <c r="R26" i="251"/>
  <c r="Q26" i="251"/>
  <c r="P26" i="251"/>
  <c r="O26" i="251"/>
  <c r="N26" i="251"/>
  <c r="M26" i="251"/>
  <c r="L26" i="251"/>
  <c r="K26" i="251"/>
  <c r="B24" i="251"/>
  <c r="B23" i="251"/>
  <c r="H22" i="251"/>
  <c r="E22" i="251"/>
  <c r="H21" i="251"/>
  <c r="E21" i="251"/>
  <c r="H20" i="251"/>
  <c r="E20" i="251"/>
  <c r="H19" i="251"/>
  <c r="E19" i="251"/>
  <c r="H18" i="251"/>
  <c r="E18" i="251"/>
  <c r="H17" i="251"/>
  <c r="E17" i="251"/>
  <c r="H16" i="251"/>
  <c r="E16" i="251"/>
  <c r="H15" i="251"/>
  <c r="E15" i="251"/>
  <c r="H14" i="251"/>
  <c r="E14" i="251"/>
  <c r="H13" i="251"/>
  <c r="E13" i="251"/>
  <c r="H12" i="251"/>
  <c r="E12" i="251"/>
  <c r="H11" i="251"/>
  <c r="E11" i="251"/>
  <c r="H10" i="251"/>
  <c r="E10" i="251"/>
  <c r="H9" i="251"/>
  <c r="E9" i="251"/>
  <c r="H8" i="251"/>
  <c r="E8" i="251"/>
  <c r="H7" i="251"/>
  <c r="E7" i="251"/>
  <c r="H6" i="251"/>
  <c r="E6" i="251"/>
  <c r="H5" i="251"/>
  <c r="E5" i="251"/>
  <c r="H4" i="251"/>
  <c r="E4" i="251"/>
  <c r="H3" i="251"/>
  <c r="E3" i="251"/>
  <c r="J1" i="251"/>
  <c r="I1" i="251"/>
  <c r="BN35" i="250"/>
  <c r="BM35" i="250"/>
  <c r="BL35" i="250"/>
  <c r="BK35" i="250"/>
  <c r="BJ35" i="250"/>
  <c r="BI35" i="250"/>
  <c r="BH35" i="250"/>
  <c r="BG35" i="250"/>
  <c r="BF35" i="250"/>
  <c r="BE35" i="250"/>
  <c r="BD35" i="250"/>
  <c r="BC35" i="250"/>
  <c r="BB35" i="250"/>
  <c r="BA35" i="250"/>
  <c r="AZ35" i="250"/>
  <c r="AY35" i="250"/>
  <c r="AX35" i="250"/>
  <c r="AW35" i="250"/>
  <c r="AV35" i="250"/>
  <c r="AU35" i="250"/>
  <c r="AT35" i="250"/>
  <c r="AS35" i="250"/>
  <c r="AR35" i="250"/>
  <c r="AQ35" i="250"/>
  <c r="AP35" i="250"/>
  <c r="AO35" i="250"/>
  <c r="AN35" i="250"/>
  <c r="AM35" i="250"/>
  <c r="AL35" i="250"/>
  <c r="AK35" i="250"/>
  <c r="AJ35" i="250"/>
  <c r="AI35" i="250"/>
  <c r="AH35" i="250"/>
  <c r="AG35" i="250"/>
  <c r="AF35" i="250"/>
  <c r="AE35" i="250"/>
  <c r="AD35" i="250"/>
  <c r="AC35" i="250"/>
  <c r="AB35" i="250"/>
  <c r="AA35" i="250"/>
  <c r="Z35" i="250"/>
  <c r="Y35" i="250"/>
  <c r="X35" i="250"/>
  <c r="W35" i="250"/>
  <c r="V35" i="250"/>
  <c r="U35" i="250"/>
  <c r="T35" i="250"/>
  <c r="S35" i="250"/>
  <c r="R35" i="250"/>
  <c r="Q35" i="250"/>
  <c r="P35" i="250"/>
  <c r="O35" i="250"/>
  <c r="N35" i="250"/>
  <c r="M35" i="250"/>
  <c r="L35" i="250"/>
  <c r="K35" i="250"/>
  <c r="BN29" i="250"/>
  <c r="BM29" i="250"/>
  <c r="BL29" i="250"/>
  <c r="BK29" i="250"/>
  <c r="BJ29" i="250"/>
  <c r="BI29" i="250"/>
  <c r="BH29" i="250"/>
  <c r="BG29" i="250"/>
  <c r="BF29" i="250"/>
  <c r="BE29" i="250"/>
  <c r="BD29" i="250"/>
  <c r="BC29" i="250"/>
  <c r="BB29" i="250"/>
  <c r="BA29" i="250"/>
  <c r="AZ29" i="250"/>
  <c r="AY29" i="250"/>
  <c r="AX29" i="250"/>
  <c r="AW29" i="250"/>
  <c r="AV29" i="250"/>
  <c r="AU29" i="250"/>
  <c r="AT29" i="250"/>
  <c r="AS29" i="250"/>
  <c r="AR29" i="250"/>
  <c r="AQ29" i="250"/>
  <c r="AP29" i="250"/>
  <c r="AO29" i="250"/>
  <c r="AN29" i="250"/>
  <c r="AM29" i="250"/>
  <c r="AL29" i="250"/>
  <c r="AK29" i="250"/>
  <c r="AJ29" i="250"/>
  <c r="AI29" i="250"/>
  <c r="AH29" i="250"/>
  <c r="AG29" i="250"/>
  <c r="AF29" i="250"/>
  <c r="AE29" i="250"/>
  <c r="AD29" i="250"/>
  <c r="AC29" i="250"/>
  <c r="AB29" i="250"/>
  <c r="AA29" i="250"/>
  <c r="Z29" i="250"/>
  <c r="Y29" i="250"/>
  <c r="X29" i="250"/>
  <c r="W29" i="250"/>
  <c r="V29" i="250"/>
  <c r="U29" i="250"/>
  <c r="T29" i="250"/>
  <c r="S29" i="250"/>
  <c r="R29" i="250"/>
  <c r="Q29" i="250"/>
  <c r="P29" i="250"/>
  <c r="O29" i="250"/>
  <c r="N29" i="250"/>
  <c r="M29" i="250"/>
  <c r="L29" i="250"/>
  <c r="K29" i="250"/>
  <c r="BN27" i="250"/>
  <c r="BM27" i="250"/>
  <c r="BL27" i="250"/>
  <c r="BK27" i="250"/>
  <c r="BJ27" i="250"/>
  <c r="BI27" i="250"/>
  <c r="BH27" i="250"/>
  <c r="BG27" i="250"/>
  <c r="BF27" i="250"/>
  <c r="BE27" i="250"/>
  <c r="BD27" i="250"/>
  <c r="BC27" i="250"/>
  <c r="BB27" i="250"/>
  <c r="BA27" i="250"/>
  <c r="AZ27" i="250"/>
  <c r="AY27" i="250"/>
  <c r="AX27" i="250"/>
  <c r="AW27" i="250"/>
  <c r="AV27" i="250"/>
  <c r="AU27" i="250"/>
  <c r="AT27" i="250"/>
  <c r="AS27" i="250"/>
  <c r="AR27" i="250"/>
  <c r="AQ27" i="250"/>
  <c r="AP27" i="250"/>
  <c r="AO27" i="250"/>
  <c r="AN27" i="250"/>
  <c r="AM27" i="250"/>
  <c r="AL27" i="250"/>
  <c r="AK27" i="250"/>
  <c r="AJ27" i="250"/>
  <c r="AI27" i="250"/>
  <c r="AH27" i="250"/>
  <c r="AG27" i="250"/>
  <c r="AF27" i="250"/>
  <c r="AE27" i="250"/>
  <c r="AD27" i="250"/>
  <c r="AC27" i="250"/>
  <c r="AB27" i="250"/>
  <c r="AA27" i="250"/>
  <c r="Z27" i="250"/>
  <c r="Y27" i="250"/>
  <c r="X27" i="250"/>
  <c r="W27" i="250"/>
  <c r="V27" i="250"/>
  <c r="U27" i="250"/>
  <c r="T27" i="250"/>
  <c r="S27" i="250"/>
  <c r="R27" i="250"/>
  <c r="Q27" i="250"/>
  <c r="P27" i="250"/>
  <c r="O27" i="250"/>
  <c r="N27" i="250"/>
  <c r="M27" i="250"/>
  <c r="L27" i="250"/>
  <c r="K27" i="250"/>
  <c r="BN26" i="250"/>
  <c r="BM26" i="250"/>
  <c r="BL26" i="250"/>
  <c r="BK26" i="250"/>
  <c r="BJ26" i="250"/>
  <c r="BI26" i="250"/>
  <c r="BH26" i="250"/>
  <c r="BG26" i="250"/>
  <c r="BF26" i="250"/>
  <c r="BE26" i="250"/>
  <c r="BD26" i="250"/>
  <c r="BC26" i="250"/>
  <c r="BB26" i="250"/>
  <c r="BA26" i="250"/>
  <c r="AZ26" i="250"/>
  <c r="AY26" i="250"/>
  <c r="AX26" i="250"/>
  <c r="AW26" i="250"/>
  <c r="AV26" i="250"/>
  <c r="AU26" i="250"/>
  <c r="AT26" i="250"/>
  <c r="AS26" i="250"/>
  <c r="AR26" i="250"/>
  <c r="AQ26" i="250"/>
  <c r="AP26" i="250"/>
  <c r="AO26" i="250"/>
  <c r="AN26" i="250"/>
  <c r="AM26" i="250"/>
  <c r="AL26" i="250"/>
  <c r="AK26" i="250"/>
  <c r="AJ26" i="250"/>
  <c r="AI26" i="250"/>
  <c r="AH26" i="250"/>
  <c r="AG26" i="250"/>
  <c r="AF26" i="250"/>
  <c r="AE26" i="250"/>
  <c r="AD26" i="250"/>
  <c r="AC26" i="250"/>
  <c r="AB26" i="250"/>
  <c r="AA26" i="250"/>
  <c r="Z26" i="250"/>
  <c r="Y26" i="250"/>
  <c r="X26" i="250"/>
  <c r="W26" i="250"/>
  <c r="V26" i="250"/>
  <c r="U26" i="250"/>
  <c r="T26" i="250"/>
  <c r="S26" i="250"/>
  <c r="R26" i="250"/>
  <c r="Q26" i="250"/>
  <c r="P26" i="250"/>
  <c r="O26" i="250"/>
  <c r="N26" i="250"/>
  <c r="M26" i="250"/>
  <c r="L26" i="250"/>
  <c r="K26" i="250"/>
  <c r="B24" i="250"/>
  <c r="B23" i="250"/>
  <c r="H22" i="250"/>
  <c r="E22" i="250"/>
  <c r="H21" i="250"/>
  <c r="E21" i="250"/>
  <c r="H20" i="250"/>
  <c r="E20" i="250"/>
  <c r="H19" i="250"/>
  <c r="E19" i="250"/>
  <c r="H18" i="250"/>
  <c r="E18" i="250"/>
  <c r="H17" i="250"/>
  <c r="E17" i="250"/>
  <c r="H16" i="250"/>
  <c r="E16" i="250"/>
  <c r="H15" i="250"/>
  <c r="E15" i="250"/>
  <c r="H14" i="250"/>
  <c r="E14" i="250"/>
  <c r="H13" i="250"/>
  <c r="E13" i="250"/>
  <c r="H12" i="250"/>
  <c r="E12" i="250"/>
  <c r="H11" i="250"/>
  <c r="E11" i="250"/>
  <c r="H10" i="250"/>
  <c r="E10" i="250"/>
  <c r="H9" i="250"/>
  <c r="E9" i="250"/>
  <c r="H8" i="250"/>
  <c r="E8" i="250"/>
  <c r="H7" i="250"/>
  <c r="E7" i="250"/>
  <c r="H6" i="250"/>
  <c r="E6" i="250"/>
  <c r="H5" i="250"/>
  <c r="E5" i="250"/>
  <c r="H4" i="250"/>
  <c r="E4" i="250"/>
  <c r="H3" i="250"/>
  <c r="E3" i="250"/>
  <c r="J1" i="250"/>
  <c r="I1" i="250"/>
  <c r="D27" i="14"/>
  <c r="B13" i="14"/>
  <c r="B35" i="14"/>
  <c r="D41" i="14"/>
  <c r="B54" i="14"/>
  <c r="D13" i="14"/>
  <c r="D35" i="14"/>
  <c r="B59" i="14"/>
  <c r="D59" i="14"/>
  <c r="D54" i="14"/>
  <c r="B41" i="14"/>
  <c r="V25" i="250" l="1"/>
  <c r="BB25" i="258"/>
  <c r="BB36" i="258" s="1"/>
  <c r="BK30" i="250"/>
  <c r="BN30" i="254"/>
  <c r="BL30" i="256"/>
  <c r="AL25" i="250"/>
  <c r="BK30" i="258"/>
  <c r="AB30" i="258"/>
  <c r="BH30" i="258"/>
  <c r="AJ30" i="258"/>
  <c r="L30" i="258"/>
  <c r="AR30" i="258"/>
  <c r="BI30" i="254"/>
  <c r="AN30" i="256"/>
  <c r="AY30" i="257"/>
  <c r="BJ25" i="258"/>
  <c r="T30" i="258"/>
  <c r="AZ30" i="258"/>
  <c r="AZ25" i="259"/>
  <c r="AZ36" i="259" s="1"/>
  <c r="P30" i="256"/>
  <c r="AV30" i="256"/>
  <c r="AY25" i="256"/>
  <c r="AY36" i="256" s="1"/>
  <c r="X30" i="256"/>
  <c r="BD30" i="256"/>
  <c r="AF30" i="256"/>
  <c r="AN30" i="254"/>
  <c r="BG25" i="256"/>
  <c r="BG36" i="256" s="1"/>
  <c r="P25" i="257"/>
  <c r="P36" i="257" s="1"/>
  <c r="X25" i="257"/>
  <c r="X36" i="257" s="1"/>
  <c r="AN25" i="257"/>
  <c r="AN36" i="257" s="1"/>
  <c r="BL25" i="257"/>
  <c r="BL36" i="257" s="1"/>
  <c r="Z25" i="258"/>
  <c r="BF25" i="258"/>
  <c r="BM25" i="252"/>
  <c r="BM36" i="252" s="1"/>
  <c r="AZ25" i="253"/>
  <c r="X30" i="254"/>
  <c r="AS30" i="254"/>
  <c r="BF30" i="255"/>
  <c r="BK30" i="256"/>
  <c r="AI25" i="256"/>
  <c r="AI36" i="256" s="1"/>
  <c r="Q30" i="256"/>
  <c r="Y30" i="256"/>
  <c r="AG30" i="256"/>
  <c r="AO30" i="256"/>
  <c r="AW30" i="256"/>
  <c r="BE30" i="256"/>
  <c r="BM30" i="256"/>
  <c r="Q25" i="257"/>
  <c r="Q36" i="257" s="1"/>
  <c r="Y25" i="257"/>
  <c r="Y36" i="257" s="1"/>
  <c r="AG25" i="257"/>
  <c r="AO25" i="257"/>
  <c r="AW25" i="257"/>
  <c r="AW36" i="257" s="1"/>
  <c r="BE25" i="257"/>
  <c r="BE36" i="257" s="1"/>
  <c r="BM25" i="257"/>
  <c r="N25" i="258"/>
  <c r="AD25" i="258"/>
  <c r="AT25" i="258"/>
  <c r="M30" i="258"/>
  <c r="U30" i="258"/>
  <c r="AC30" i="258"/>
  <c r="AK30" i="258"/>
  <c r="AS30" i="258"/>
  <c r="BA30" i="258"/>
  <c r="BI30" i="258"/>
  <c r="L25" i="259"/>
  <c r="L36" i="259" s="1"/>
  <c r="J25" i="261"/>
  <c r="X25" i="261"/>
  <c r="X36" i="261" s="1"/>
  <c r="AN25" i="261"/>
  <c r="AN36" i="261" s="1"/>
  <c r="BD25" i="261"/>
  <c r="BD36" i="261" s="1"/>
  <c r="R30" i="254"/>
  <c r="BB25" i="256"/>
  <c r="BB36" i="256" s="1"/>
  <c r="AA25" i="256"/>
  <c r="AA36" i="256" s="1"/>
  <c r="AF25" i="257"/>
  <c r="AF36" i="257" s="1"/>
  <c r="AV25" i="257"/>
  <c r="AV36" i="257" s="1"/>
  <c r="BD25" i="257"/>
  <c r="BD36" i="257" s="1"/>
  <c r="J25" i="258"/>
  <c r="AP25" i="258"/>
  <c r="BM25" i="250"/>
  <c r="BM36" i="250" s="1"/>
  <c r="BB25" i="250"/>
  <c r="BM30" i="251"/>
  <c r="BK30" i="252"/>
  <c r="AZ30" i="253"/>
  <c r="BK30" i="254"/>
  <c r="AC30" i="254"/>
  <c r="AX30" i="254"/>
  <c r="BN25" i="255"/>
  <c r="BN36" i="255" s="1"/>
  <c r="K25" i="256"/>
  <c r="AQ25" i="256"/>
  <c r="AQ36" i="256" s="1"/>
  <c r="L30" i="256"/>
  <c r="T30" i="256"/>
  <c r="AB30" i="256"/>
  <c r="AJ30" i="256"/>
  <c r="AR30" i="256"/>
  <c r="AZ30" i="256"/>
  <c r="BH30" i="256"/>
  <c r="L25" i="257"/>
  <c r="T25" i="257"/>
  <c r="T36" i="257" s="1"/>
  <c r="AB25" i="257"/>
  <c r="AJ25" i="257"/>
  <c r="AR25" i="257"/>
  <c r="AZ25" i="257"/>
  <c r="AZ36" i="257" s="1"/>
  <c r="BH25" i="257"/>
  <c r="BM25" i="258"/>
  <c r="BM36" i="258" s="1"/>
  <c r="R25" i="258"/>
  <c r="R36" i="258" s="1"/>
  <c r="AH25" i="258"/>
  <c r="AH36" i="258" s="1"/>
  <c r="AX25" i="258"/>
  <c r="AX36" i="258" s="1"/>
  <c r="BN25" i="258"/>
  <c r="BN36" i="258" s="1"/>
  <c r="P30" i="258"/>
  <c r="X30" i="258"/>
  <c r="AF30" i="258"/>
  <c r="AN30" i="258"/>
  <c r="AV30" i="258"/>
  <c r="BD30" i="258"/>
  <c r="BL30" i="258"/>
  <c r="AX30" i="259"/>
  <c r="R30" i="259"/>
  <c r="AB25" i="259"/>
  <c r="AB36" i="259" s="1"/>
  <c r="M30" i="260"/>
  <c r="BA30" i="261"/>
  <c r="O25" i="261"/>
  <c r="O36" i="261" s="1"/>
  <c r="AE25" i="261"/>
  <c r="AE36" i="261" s="1"/>
  <c r="AU25" i="261"/>
  <c r="AU36" i="261" s="1"/>
  <c r="BK25" i="261"/>
  <c r="BK36" i="261" s="1"/>
  <c r="M30" i="254"/>
  <c r="AH30" i="254"/>
  <c r="BD30" i="254"/>
  <c r="S25" i="256"/>
  <c r="S36" i="256" s="1"/>
  <c r="M30" i="256"/>
  <c r="U30" i="256"/>
  <c r="AC30" i="256"/>
  <c r="AK30" i="256"/>
  <c r="AS30" i="256"/>
  <c r="BA30" i="256"/>
  <c r="BI30" i="256"/>
  <c r="AQ30" i="257"/>
  <c r="M25" i="257"/>
  <c r="M36" i="257" s="1"/>
  <c r="U25" i="257"/>
  <c r="U36" i="257" s="1"/>
  <c r="AC25" i="257"/>
  <c r="AK25" i="257"/>
  <c r="AS25" i="257"/>
  <c r="AS36" i="257" s="1"/>
  <c r="BA25" i="257"/>
  <c r="BA36" i="257" s="1"/>
  <c r="BI25" i="257"/>
  <c r="V25" i="258"/>
  <c r="V36" i="258" s="1"/>
  <c r="AL25" i="258"/>
  <c r="AL36" i="258" s="1"/>
  <c r="Q30" i="258"/>
  <c r="Y30" i="258"/>
  <c r="AG30" i="258"/>
  <c r="AO30" i="258"/>
  <c r="AW30" i="258"/>
  <c r="BE30" i="258"/>
  <c r="BM30" i="258"/>
  <c r="AH30" i="260"/>
  <c r="P25" i="261"/>
  <c r="P36" i="261" s="1"/>
  <c r="AF25" i="261"/>
  <c r="AF36" i="261" s="1"/>
  <c r="AV25" i="261"/>
  <c r="AV36" i="261" s="1"/>
  <c r="BL25" i="261"/>
  <c r="BL36" i="261" s="1"/>
  <c r="BN30" i="260"/>
  <c r="BC30" i="260"/>
  <c r="W25" i="261"/>
  <c r="W36" i="261" s="1"/>
  <c r="AM25" i="261"/>
  <c r="AM36" i="261" s="1"/>
  <c r="BK25" i="255"/>
  <c r="BK36" i="255" s="1"/>
  <c r="L25" i="255"/>
  <c r="L36" i="255" s="1"/>
  <c r="Q25" i="255"/>
  <c r="Q36" i="255" s="1"/>
  <c r="V25" i="255"/>
  <c r="V36" i="255" s="1"/>
  <c r="AB25" i="255"/>
  <c r="AB36" i="255" s="1"/>
  <c r="AG25" i="255"/>
  <c r="AG36" i="255" s="1"/>
  <c r="AL25" i="255"/>
  <c r="AL36" i="255" s="1"/>
  <c r="AR25" i="255"/>
  <c r="AR36" i="255" s="1"/>
  <c r="AW25" i="255"/>
  <c r="AW36" i="255" s="1"/>
  <c r="BB25" i="255"/>
  <c r="BB36" i="255" s="1"/>
  <c r="BH25" i="255"/>
  <c r="BH36" i="255" s="1"/>
  <c r="BM25" i="255"/>
  <c r="BM36" i="255" s="1"/>
  <c r="R30" i="255"/>
  <c r="AH30" i="255"/>
  <c r="AX30" i="255"/>
  <c r="BN30" i="255"/>
  <c r="J25" i="255"/>
  <c r="P25" i="255"/>
  <c r="P36" i="255" s="1"/>
  <c r="U25" i="255"/>
  <c r="U36" i="255" s="1"/>
  <c r="Z25" i="255"/>
  <c r="Z36" i="255" s="1"/>
  <c r="AF25" i="255"/>
  <c r="AF36" i="255" s="1"/>
  <c r="AK25" i="255"/>
  <c r="AK36" i="255" s="1"/>
  <c r="AP25" i="255"/>
  <c r="AP36" i="255" s="1"/>
  <c r="AV25" i="255"/>
  <c r="AV36" i="255" s="1"/>
  <c r="BA25" i="255"/>
  <c r="BA36" i="255" s="1"/>
  <c r="BF25" i="255"/>
  <c r="BF36" i="255" s="1"/>
  <c r="BL25" i="255"/>
  <c r="BL36" i="255" s="1"/>
  <c r="N30" i="255"/>
  <c r="AD30" i="255"/>
  <c r="AT30" i="255"/>
  <c r="BJ30" i="255"/>
  <c r="H25" i="255"/>
  <c r="N25" i="255"/>
  <c r="N36" i="255" s="1"/>
  <c r="T25" i="255"/>
  <c r="T36" i="255" s="1"/>
  <c r="Y25" i="255"/>
  <c r="Y36" i="255" s="1"/>
  <c r="AD25" i="255"/>
  <c r="AD36" i="255" s="1"/>
  <c r="AJ25" i="255"/>
  <c r="AJ36" i="255" s="1"/>
  <c r="AO25" i="255"/>
  <c r="AO36" i="255" s="1"/>
  <c r="AT25" i="255"/>
  <c r="AT36" i="255" s="1"/>
  <c r="AZ25" i="255"/>
  <c r="AZ36" i="255" s="1"/>
  <c r="BE25" i="255"/>
  <c r="BE36" i="255" s="1"/>
  <c r="BJ25" i="255"/>
  <c r="BJ36" i="255" s="1"/>
  <c r="Z30" i="255"/>
  <c r="AP30" i="255"/>
  <c r="BM30" i="255"/>
  <c r="M25" i="255"/>
  <c r="M36" i="255" s="1"/>
  <c r="R25" i="255"/>
  <c r="R36" i="255" s="1"/>
  <c r="X25" i="255"/>
  <c r="X36" i="255" s="1"/>
  <c r="AC25" i="255"/>
  <c r="AC36" i="255" s="1"/>
  <c r="AH25" i="255"/>
  <c r="AH36" i="255" s="1"/>
  <c r="AN25" i="255"/>
  <c r="AN36" i="255" s="1"/>
  <c r="AS25" i="255"/>
  <c r="AS36" i="255" s="1"/>
  <c r="AX25" i="255"/>
  <c r="AX36" i="255" s="1"/>
  <c r="BD25" i="255"/>
  <c r="BD36" i="255" s="1"/>
  <c r="BI25" i="255"/>
  <c r="BI36" i="255" s="1"/>
  <c r="V30" i="255"/>
  <c r="AL30" i="255"/>
  <c r="BB30" i="255"/>
  <c r="L30" i="254"/>
  <c r="Q30" i="254"/>
  <c r="V30" i="254"/>
  <c r="AB30" i="254"/>
  <c r="AG30" i="254"/>
  <c r="AL30" i="254"/>
  <c r="AR30" i="254"/>
  <c r="AW30" i="254"/>
  <c r="BB30" i="254"/>
  <c r="BH30" i="254"/>
  <c r="BM30" i="254"/>
  <c r="AR25" i="254"/>
  <c r="AR36" i="254" s="1"/>
  <c r="P30" i="254"/>
  <c r="U30" i="254"/>
  <c r="Z30" i="254"/>
  <c r="AF30" i="254"/>
  <c r="AK30" i="254"/>
  <c r="AP30" i="254"/>
  <c r="AV30" i="254"/>
  <c r="BA30" i="254"/>
  <c r="BF30" i="254"/>
  <c r="BL30" i="254"/>
  <c r="N30" i="254"/>
  <c r="T30" i="254"/>
  <c r="Y30" i="254"/>
  <c r="AD30" i="254"/>
  <c r="AJ30" i="254"/>
  <c r="AO30" i="254"/>
  <c r="AT30" i="254"/>
  <c r="AZ30" i="254"/>
  <c r="BE30" i="254"/>
  <c r="BJ30" i="254"/>
  <c r="BE25" i="253"/>
  <c r="AJ25" i="253"/>
  <c r="T25" i="253"/>
  <c r="AO25" i="253"/>
  <c r="AO36" i="253" s="1"/>
  <c r="BJ25" i="253"/>
  <c r="BJ36" i="253" s="1"/>
  <c r="N25" i="253"/>
  <c r="N36" i="253" s="1"/>
  <c r="BK25" i="253"/>
  <c r="BK36" i="253" s="1"/>
  <c r="AT25" i="253"/>
  <c r="AT36" i="253" s="1"/>
  <c r="Y25" i="253"/>
  <c r="AD25" i="253"/>
  <c r="AD36" i="253" s="1"/>
  <c r="V25" i="252"/>
  <c r="AL25" i="252"/>
  <c r="BB25" i="252"/>
  <c r="BB36" i="252" s="1"/>
  <c r="J25" i="253"/>
  <c r="P25" i="253"/>
  <c r="P36" i="253" s="1"/>
  <c r="U25" i="253"/>
  <c r="U36" i="253" s="1"/>
  <c r="Z25" i="253"/>
  <c r="Z36" i="253" s="1"/>
  <c r="AF25" i="253"/>
  <c r="AF36" i="253" s="1"/>
  <c r="AK25" i="253"/>
  <c r="AK36" i="253" s="1"/>
  <c r="AP25" i="253"/>
  <c r="AP36" i="253" s="1"/>
  <c r="AV25" i="253"/>
  <c r="AV36" i="253" s="1"/>
  <c r="BA25" i="253"/>
  <c r="BA36" i="253" s="1"/>
  <c r="BF25" i="253"/>
  <c r="BF36" i="253" s="1"/>
  <c r="BL25" i="253"/>
  <c r="BL36" i="253" s="1"/>
  <c r="T36" i="253"/>
  <c r="AJ36" i="253"/>
  <c r="AZ36" i="253"/>
  <c r="L25" i="253"/>
  <c r="L36" i="253" s="1"/>
  <c r="Q25" i="253"/>
  <c r="Q36" i="253" s="1"/>
  <c r="V25" i="253"/>
  <c r="V36" i="253" s="1"/>
  <c r="AB25" i="253"/>
  <c r="AB36" i="253" s="1"/>
  <c r="AG25" i="253"/>
  <c r="AG36" i="253" s="1"/>
  <c r="AL25" i="253"/>
  <c r="AL36" i="253" s="1"/>
  <c r="AR25" i="253"/>
  <c r="AR36" i="253" s="1"/>
  <c r="AW25" i="253"/>
  <c r="AW36" i="253" s="1"/>
  <c r="BB25" i="253"/>
  <c r="BB36" i="253" s="1"/>
  <c r="BH25" i="253"/>
  <c r="BH36" i="253" s="1"/>
  <c r="BM25" i="253"/>
  <c r="BM36" i="253" s="1"/>
  <c r="M25" i="253"/>
  <c r="R25" i="253"/>
  <c r="R36" i="253" s="1"/>
  <c r="X25" i="253"/>
  <c r="X36" i="253" s="1"/>
  <c r="AC25" i="253"/>
  <c r="AH25" i="253"/>
  <c r="AH36" i="253" s="1"/>
  <c r="AN25" i="253"/>
  <c r="AN36" i="253" s="1"/>
  <c r="AS25" i="253"/>
  <c r="AX25" i="253"/>
  <c r="AX36" i="253" s="1"/>
  <c r="BD25" i="253"/>
  <c r="BD36" i="253" s="1"/>
  <c r="BI25" i="253"/>
  <c r="BI36" i="253" s="1"/>
  <c r="BN25" i="253"/>
  <c r="BN36" i="253" s="1"/>
  <c r="V36" i="252"/>
  <c r="AL36" i="252"/>
  <c r="AG30" i="252"/>
  <c r="AW30" i="252"/>
  <c r="J25" i="252"/>
  <c r="Z25" i="252"/>
  <c r="Z36" i="252" s="1"/>
  <c r="AP25" i="252"/>
  <c r="AP36" i="252" s="1"/>
  <c r="BF25" i="252"/>
  <c r="BF36" i="252" s="1"/>
  <c r="L30" i="252"/>
  <c r="T30" i="252"/>
  <c r="AB30" i="252"/>
  <c r="AJ30" i="252"/>
  <c r="AR30" i="252"/>
  <c r="AZ30" i="252"/>
  <c r="BH30" i="252"/>
  <c r="Q30" i="252"/>
  <c r="AO30" i="252"/>
  <c r="BE30" i="252"/>
  <c r="N25" i="252"/>
  <c r="N36" i="252" s="1"/>
  <c r="AD25" i="252"/>
  <c r="AD36" i="252" s="1"/>
  <c r="AT25" i="252"/>
  <c r="AT36" i="252" s="1"/>
  <c r="BJ25" i="252"/>
  <c r="BJ36" i="252" s="1"/>
  <c r="M30" i="252"/>
  <c r="U30" i="252"/>
  <c r="AC30" i="252"/>
  <c r="AK30" i="252"/>
  <c r="AS30" i="252"/>
  <c r="BA30" i="252"/>
  <c r="BI30" i="252"/>
  <c r="Y30" i="252"/>
  <c r="BM30" i="252"/>
  <c r="R25" i="252"/>
  <c r="R36" i="252" s="1"/>
  <c r="AH25" i="252"/>
  <c r="AH36" i="252" s="1"/>
  <c r="AX25" i="252"/>
  <c r="AX36" i="252" s="1"/>
  <c r="BN25" i="252"/>
  <c r="BN36" i="252" s="1"/>
  <c r="P30" i="252"/>
  <c r="X30" i="252"/>
  <c r="AF30" i="252"/>
  <c r="AN30" i="252"/>
  <c r="AV30" i="252"/>
  <c r="BD30" i="252"/>
  <c r="BL30" i="252"/>
  <c r="BD25" i="251"/>
  <c r="AF25" i="251"/>
  <c r="AF36" i="251" s="1"/>
  <c r="AN25" i="251"/>
  <c r="AN36" i="251" s="1"/>
  <c r="P25" i="251"/>
  <c r="P36" i="251" s="1"/>
  <c r="AV25" i="251"/>
  <c r="AV36" i="251" s="1"/>
  <c r="BK25" i="251"/>
  <c r="BK36" i="251" s="1"/>
  <c r="BL25" i="251"/>
  <c r="BL36" i="251" s="1"/>
  <c r="X25" i="251"/>
  <c r="X36" i="251" s="1"/>
  <c r="BN30" i="251"/>
  <c r="H25" i="251"/>
  <c r="Q25" i="251"/>
  <c r="Q36" i="251" s="1"/>
  <c r="Y25" i="251"/>
  <c r="Y36" i="251" s="1"/>
  <c r="AG25" i="251"/>
  <c r="AG36" i="251" s="1"/>
  <c r="AO25" i="251"/>
  <c r="AO36" i="251" s="1"/>
  <c r="AW25" i="251"/>
  <c r="AW36" i="251" s="1"/>
  <c r="BE25" i="251"/>
  <c r="BE36" i="251" s="1"/>
  <c r="BM25" i="251"/>
  <c r="BM36" i="251" s="1"/>
  <c r="V30" i="251"/>
  <c r="AL30" i="251"/>
  <c r="BB30" i="251"/>
  <c r="AH30" i="251"/>
  <c r="L25" i="251"/>
  <c r="L36" i="251" s="1"/>
  <c r="T25" i="251"/>
  <c r="T36" i="251" s="1"/>
  <c r="AB25" i="251"/>
  <c r="AB36" i="251" s="1"/>
  <c r="AJ25" i="251"/>
  <c r="AJ36" i="251" s="1"/>
  <c r="AR25" i="251"/>
  <c r="AR36" i="251" s="1"/>
  <c r="AZ25" i="251"/>
  <c r="AZ36" i="251" s="1"/>
  <c r="BH25" i="251"/>
  <c r="BH36" i="251" s="1"/>
  <c r="Z30" i="251"/>
  <c r="AP30" i="251"/>
  <c r="BF30" i="251"/>
  <c r="R30" i="251"/>
  <c r="AX30" i="251"/>
  <c r="M25" i="251"/>
  <c r="M36" i="251" s="1"/>
  <c r="U25" i="251"/>
  <c r="U36" i="251" s="1"/>
  <c r="AC25" i="251"/>
  <c r="AC36" i="251" s="1"/>
  <c r="AK25" i="251"/>
  <c r="AK36" i="251" s="1"/>
  <c r="AS25" i="251"/>
  <c r="AS36" i="251" s="1"/>
  <c r="BA25" i="251"/>
  <c r="BA36" i="251" s="1"/>
  <c r="BI25" i="251"/>
  <c r="BI36" i="251" s="1"/>
  <c r="N30" i="251"/>
  <c r="AD30" i="251"/>
  <c r="AT30" i="251"/>
  <c r="BJ30" i="251"/>
  <c r="Q30" i="250"/>
  <c r="AG30" i="250"/>
  <c r="BM30" i="250"/>
  <c r="J25" i="250"/>
  <c r="Z25" i="250"/>
  <c r="AP25" i="250"/>
  <c r="AP36" i="250" s="1"/>
  <c r="BF25" i="250"/>
  <c r="BF36" i="250" s="1"/>
  <c r="L30" i="250"/>
  <c r="T30" i="250"/>
  <c r="AB30" i="250"/>
  <c r="AJ30" i="250"/>
  <c r="AR30" i="250"/>
  <c r="AZ30" i="250"/>
  <c r="BH30" i="250"/>
  <c r="Y30" i="250"/>
  <c r="BE30" i="250"/>
  <c r="N25" i="250"/>
  <c r="AD25" i="250"/>
  <c r="AD36" i="250" s="1"/>
  <c r="AT25" i="250"/>
  <c r="AT36" i="250" s="1"/>
  <c r="BJ25" i="250"/>
  <c r="M30" i="250"/>
  <c r="U30" i="250"/>
  <c r="AC30" i="250"/>
  <c r="AK30" i="250"/>
  <c r="AS30" i="250"/>
  <c r="BA30" i="250"/>
  <c r="BI30" i="250"/>
  <c r="AO30" i="250"/>
  <c r="AW30" i="250"/>
  <c r="R25" i="250"/>
  <c r="R36" i="250" s="1"/>
  <c r="AH25" i="250"/>
  <c r="AH36" i="250" s="1"/>
  <c r="AX25" i="250"/>
  <c r="AX36" i="250" s="1"/>
  <c r="BN25" i="250"/>
  <c r="BN36" i="250" s="1"/>
  <c r="P30" i="250"/>
  <c r="X30" i="250"/>
  <c r="AF30" i="250"/>
  <c r="AN30" i="250"/>
  <c r="AV30" i="250"/>
  <c r="BD30" i="250"/>
  <c r="BL30" i="250"/>
  <c r="L39" i="250"/>
  <c r="T39" i="250"/>
  <c r="AB39" i="250"/>
  <c r="AJ39" i="250"/>
  <c r="AR39" i="250"/>
  <c r="AZ39" i="250"/>
  <c r="BH39" i="250"/>
  <c r="N39" i="251"/>
  <c r="R39" i="251"/>
  <c r="V39" i="251"/>
  <c r="Z39" i="251"/>
  <c r="AD39" i="251"/>
  <c r="AH39" i="251"/>
  <c r="AL39" i="251"/>
  <c r="AT39" i="251"/>
  <c r="AX39" i="251"/>
  <c r="BB39" i="251"/>
  <c r="BF39" i="251"/>
  <c r="BJ39" i="251"/>
  <c r="X39" i="250"/>
  <c r="AF39" i="250"/>
  <c r="AN39" i="250"/>
  <c r="AV39" i="250"/>
  <c r="BD39" i="250"/>
  <c r="BL39" i="250"/>
  <c r="P39" i="250"/>
  <c r="V36" i="250"/>
  <c r="AL36" i="250"/>
  <c r="BB36" i="250"/>
  <c r="M39" i="250"/>
  <c r="Q39" i="250"/>
  <c r="U39" i="250"/>
  <c r="Y39" i="250"/>
  <c r="AC39" i="250"/>
  <c r="AG39" i="250"/>
  <c r="AK39" i="250"/>
  <c r="AO39" i="250"/>
  <c r="AS39" i="250"/>
  <c r="AW39" i="250"/>
  <c r="BA39" i="250"/>
  <c r="BE39" i="250"/>
  <c r="BI39" i="250"/>
  <c r="BM39" i="250"/>
  <c r="BD36" i="251"/>
  <c r="K39" i="251"/>
  <c r="S39" i="251"/>
  <c r="W39" i="251"/>
  <c r="AA39" i="251"/>
  <c r="AE39" i="251"/>
  <c r="AI39" i="251"/>
  <c r="AM39" i="251"/>
  <c r="AQ39" i="251"/>
  <c r="AU39" i="251"/>
  <c r="AY39" i="251"/>
  <c r="BC39" i="251"/>
  <c r="BK39" i="251"/>
  <c r="Z36" i="250"/>
  <c r="N36" i="250"/>
  <c r="BJ36" i="250"/>
  <c r="N39" i="250"/>
  <c r="R39" i="250"/>
  <c r="V39" i="250"/>
  <c r="Z39" i="250"/>
  <c r="AD39" i="250"/>
  <c r="AH39" i="250"/>
  <c r="AL39" i="250"/>
  <c r="AT39" i="250"/>
  <c r="AX39" i="250"/>
  <c r="BB39" i="250"/>
  <c r="BF39" i="250"/>
  <c r="BJ39" i="250"/>
  <c r="BN39" i="250"/>
  <c r="L39" i="251"/>
  <c r="P39" i="251"/>
  <c r="T39" i="251"/>
  <c r="X39" i="251"/>
  <c r="AB39" i="251"/>
  <c r="AF39" i="251"/>
  <c r="AN39" i="251"/>
  <c r="AR39" i="251"/>
  <c r="AV39" i="251"/>
  <c r="AZ39" i="251"/>
  <c r="BD39" i="251"/>
  <c r="BH39" i="251"/>
  <c r="BL39" i="251"/>
  <c r="K39" i="250"/>
  <c r="O39" i="250"/>
  <c r="S39" i="250"/>
  <c r="W39" i="250"/>
  <c r="AA39" i="250"/>
  <c r="AE39" i="250"/>
  <c r="AI39" i="250"/>
  <c r="AM39" i="250"/>
  <c r="AQ39" i="250"/>
  <c r="AU39" i="250"/>
  <c r="AY39" i="250"/>
  <c r="BC39" i="250"/>
  <c r="BG39" i="250"/>
  <c r="BK39" i="250"/>
  <c r="M39" i="251"/>
  <c r="Y39" i="251"/>
  <c r="AC39" i="251"/>
  <c r="AO39" i="251"/>
  <c r="AS39" i="251"/>
  <c r="AW39" i="251"/>
  <c r="BA39" i="251"/>
  <c r="BE39" i="251"/>
  <c r="BI39" i="251"/>
  <c r="BM39" i="251"/>
  <c r="AE30" i="253"/>
  <c r="L25" i="254"/>
  <c r="L36" i="254" s="1"/>
  <c r="BM30" i="253"/>
  <c r="BI30" i="253"/>
  <c r="BE30" i="253"/>
  <c r="BA30" i="253"/>
  <c r="AW30" i="253"/>
  <c r="AS30" i="253"/>
  <c r="AO30" i="253"/>
  <c r="AK30" i="253"/>
  <c r="AG30" i="253"/>
  <c r="AC30" i="253"/>
  <c r="Y30" i="253"/>
  <c r="U30" i="253"/>
  <c r="Q30" i="253"/>
  <c r="M30" i="253"/>
  <c r="T30" i="253"/>
  <c r="AU30" i="253"/>
  <c r="BM25" i="254"/>
  <c r="BM36" i="254" s="1"/>
  <c r="BI25" i="254"/>
  <c r="BI36" i="254" s="1"/>
  <c r="BE25" i="254"/>
  <c r="BE36" i="254" s="1"/>
  <c r="BA25" i="254"/>
  <c r="BA36" i="254" s="1"/>
  <c r="AW25" i="254"/>
  <c r="AW36" i="254" s="1"/>
  <c r="AS25" i="254"/>
  <c r="AS36" i="254" s="1"/>
  <c r="AO25" i="254"/>
  <c r="AO36" i="254" s="1"/>
  <c r="AK25" i="254"/>
  <c r="AK36" i="254" s="1"/>
  <c r="AG25" i="254"/>
  <c r="AG36" i="254" s="1"/>
  <c r="AC25" i="254"/>
  <c r="AC36" i="254" s="1"/>
  <c r="Y25" i="254"/>
  <c r="Y36" i="254" s="1"/>
  <c r="U25" i="254"/>
  <c r="U36" i="254" s="1"/>
  <c r="Q25" i="254"/>
  <c r="Q36" i="254" s="1"/>
  <c r="M25" i="254"/>
  <c r="M36" i="254" s="1"/>
  <c r="G25" i="254"/>
  <c r="AB25" i="254"/>
  <c r="AB36" i="254" s="1"/>
  <c r="G25" i="250"/>
  <c r="S25" i="250"/>
  <c r="S36" i="250" s="1"/>
  <c r="AE25" i="250"/>
  <c r="AE36" i="250" s="1"/>
  <c r="AM25" i="250"/>
  <c r="AM36" i="250" s="1"/>
  <c r="AY25" i="250"/>
  <c r="AY36" i="250" s="1"/>
  <c r="BK25" i="250"/>
  <c r="BK36" i="250" s="1"/>
  <c r="S30" i="251"/>
  <c r="AI30" i="251"/>
  <c r="AU30" i="251"/>
  <c r="BG30" i="251"/>
  <c r="O25" i="252"/>
  <c r="O36" i="252" s="1"/>
  <c r="AA25" i="252"/>
  <c r="AA36" i="252" s="1"/>
  <c r="AI25" i="252"/>
  <c r="AI36" i="252" s="1"/>
  <c r="AU25" i="252"/>
  <c r="AU36" i="252" s="1"/>
  <c r="BC25" i="252"/>
  <c r="BC36" i="252" s="1"/>
  <c r="BK25" i="252"/>
  <c r="BK36" i="252" s="1"/>
  <c r="V30" i="253"/>
  <c r="AL30" i="253"/>
  <c r="BB30" i="253"/>
  <c r="N25" i="254"/>
  <c r="N36" i="254" s="1"/>
  <c r="AI25" i="254"/>
  <c r="AI36" i="254" s="1"/>
  <c r="BD25" i="254"/>
  <c r="BD36" i="254" s="1"/>
  <c r="Z30" i="253"/>
  <c r="AP30" i="253"/>
  <c r="BK30" i="253"/>
  <c r="W25" i="254"/>
  <c r="W36" i="254" s="1"/>
  <c r="AH25" i="254"/>
  <c r="AH36" i="254" s="1"/>
  <c r="AX25" i="254"/>
  <c r="AX36" i="254" s="1"/>
  <c r="BC25" i="254"/>
  <c r="BC36" i="254" s="1"/>
  <c r="BN25" i="254"/>
  <c r="BN36" i="254" s="1"/>
  <c r="K25" i="250"/>
  <c r="W25" i="250"/>
  <c r="W36" i="250" s="1"/>
  <c r="AI25" i="250"/>
  <c r="AI36" i="250" s="1"/>
  <c r="AQ25" i="250"/>
  <c r="AQ36" i="250" s="1"/>
  <c r="BC25" i="250"/>
  <c r="BC36" i="250" s="1"/>
  <c r="BG25" i="250"/>
  <c r="BG36" i="250" s="1"/>
  <c r="K30" i="251"/>
  <c r="W30" i="251"/>
  <c r="AE30" i="251"/>
  <c r="AQ30" i="251"/>
  <c r="BC30" i="251"/>
  <c r="K25" i="252"/>
  <c r="W25" i="252"/>
  <c r="W36" i="252" s="1"/>
  <c r="AM25" i="252"/>
  <c r="AM36" i="252" s="1"/>
  <c r="K30" i="253"/>
  <c r="AA30" i="253"/>
  <c r="AQ30" i="253"/>
  <c r="BG30" i="253"/>
  <c r="S25" i="254"/>
  <c r="S36" i="254" s="1"/>
  <c r="AD25" i="254"/>
  <c r="AD36" i="254" s="1"/>
  <c r="AT25" i="254"/>
  <c r="AT36" i="254" s="1"/>
  <c r="H25" i="250"/>
  <c r="L25" i="250"/>
  <c r="L36" i="250" s="1"/>
  <c r="P25" i="250"/>
  <c r="P36" i="250" s="1"/>
  <c r="T25" i="250"/>
  <c r="T36" i="250" s="1"/>
  <c r="X25" i="250"/>
  <c r="X36" i="250" s="1"/>
  <c r="AB25" i="250"/>
  <c r="AB36" i="250" s="1"/>
  <c r="AF25" i="250"/>
  <c r="AF36" i="250" s="1"/>
  <c r="AJ25" i="250"/>
  <c r="AJ36" i="250" s="1"/>
  <c r="AN25" i="250"/>
  <c r="AN36" i="250" s="1"/>
  <c r="AR25" i="250"/>
  <c r="AR36" i="250" s="1"/>
  <c r="AV25" i="250"/>
  <c r="AV36" i="250" s="1"/>
  <c r="AZ25" i="250"/>
  <c r="AZ36" i="250" s="1"/>
  <c r="BD25" i="250"/>
  <c r="BD36" i="250" s="1"/>
  <c r="BH25" i="250"/>
  <c r="BH36" i="250" s="1"/>
  <c r="BL25" i="250"/>
  <c r="BL36" i="250" s="1"/>
  <c r="N30" i="250"/>
  <c r="R30" i="250"/>
  <c r="V30" i="250"/>
  <c r="Z30" i="250"/>
  <c r="AD30" i="250"/>
  <c r="AH30" i="250"/>
  <c r="AL30" i="250"/>
  <c r="AP30" i="250"/>
  <c r="AT30" i="250"/>
  <c r="AX30" i="250"/>
  <c r="BB30" i="250"/>
  <c r="BF30" i="250"/>
  <c r="BJ30" i="250"/>
  <c r="BN30" i="250"/>
  <c r="J25" i="251"/>
  <c r="N25" i="251"/>
  <c r="N36" i="251" s="1"/>
  <c r="R25" i="251"/>
  <c r="R36" i="251" s="1"/>
  <c r="V25" i="251"/>
  <c r="V36" i="251" s="1"/>
  <c r="Z25" i="251"/>
  <c r="Z36" i="251" s="1"/>
  <c r="AD25" i="251"/>
  <c r="AD36" i="251" s="1"/>
  <c r="AH25" i="251"/>
  <c r="AH36" i="251" s="1"/>
  <c r="AL25" i="251"/>
  <c r="AL36" i="251" s="1"/>
  <c r="AP25" i="251"/>
  <c r="AP36" i="251" s="1"/>
  <c r="AT25" i="251"/>
  <c r="AT36" i="251" s="1"/>
  <c r="AX25" i="251"/>
  <c r="AX36" i="251" s="1"/>
  <c r="BB25" i="251"/>
  <c r="BB36" i="251" s="1"/>
  <c r="BF25" i="251"/>
  <c r="BF36" i="251" s="1"/>
  <c r="BJ25" i="251"/>
  <c r="BJ36" i="251" s="1"/>
  <c r="BN25" i="251"/>
  <c r="BN36" i="251" s="1"/>
  <c r="L30" i="251"/>
  <c r="P30" i="251"/>
  <c r="T30" i="251"/>
  <c r="X30" i="251"/>
  <c r="AB30" i="251"/>
  <c r="AF30" i="251"/>
  <c r="AJ30" i="251"/>
  <c r="AN30" i="251"/>
  <c r="AR30" i="251"/>
  <c r="AV30" i="251"/>
  <c r="AZ30" i="251"/>
  <c r="BD30" i="251"/>
  <c r="BH30" i="251"/>
  <c r="BL30" i="251"/>
  <c r="H25" i="252"/>
  <c r="L25" i="252"/>
  <c r="L36" i="252" s="1"/>
  <c r="P25" i="252"/>
  <c r="P36" i="252" s="1"/>
  <c r="T25" i="252"/>
  <c r="T36" i="252" s="1"/>
  <c r="X25" i="252"/>
  <c r="X36" i="252" s="1"/>
  <c r="AB25" i="252"/>
  <c r="AB36" i="252" s="1"/>
  <c r="AF25" i="252"/>
  <c r="AF36" i="252" s="1"/>
  <c r="AJ25" i="252"/>
  <c r="AJ36" i="252" s="1"/>
  <c r="AN25" i="252"/>
  <c r="AN36" i="252" s="1"/>
  <c r="AR25" i="252"/>
  <c r="AR36" i="252" s="1"/>
  <c r="AV25" i="252"/>
  <c r="AV36" i="252" s="1"/>
  <c r="AZ25" i="252"/>
  <c r="AZ36" i="252" s="1"/>
  <c r="BD25" i="252"/>
  <c r="BD36" i="252" s="1"/>
  <c r="BH25" i="252"/>
  <c r="BH36" i="252" s="1"/>
  <c r="BL25" i="252"/>
  <c r="BL36" i="252" s="1"/>
  <c r="N30" i="252"/>
  <c r="R30" i="252"/>
  <c r="V30" i="252"/>
  <c r="Z30" i="252"/>
  <c r="AD30" i="252"/>
  <c r="AH30" i="252"/>
  <c r="AL30" i="252"/>
  <c r="AP30" i="252"/>
  <c r="AT30" i="252"/>
  <c r="AX30" i="252"/>
  <c r="BB30" i="252"/>
  <c r="BF30" i="252"/>
  <c r="BJ30" i="252"/>
  <c r="BN30" i="252"/>
  <c r="H25" i="253"/>
  <c r="M36" i="253"/>
  <c r="AC36" i="253"/>
  <c r="AS36" i="253"/>
  <c r="L30" i="253"/>
  <c r="R30" i="253"/>
  <c r="W30" i="253"/>
  <c r="AB30" i="253"/>
  <c r="AH30" i="253"/>
  <c r="AM30" i="253"/>
  <c r="AR30" i="253"/>
  <c r="AX30" i="253"/>
  <c r="BC30" i="253"/>
  <c r="BH30" i="253"/>
  <c r="BN30" i="253"/>
  <c r="J25" i="254"/>
  <c r="O25" i="254"/>
  <c r="O36" i="254" s="1"/>
  <c r="T25" i="254"/>
  <c r="T36" i="254" s="1"/>
  <c r="Z25" i="254"/>
  <c r="Z36" i="254" s="1"/>
  <c r="AE25" i="254"/>
  <c r="AE36" i="254" s="1"/>
  <c r="AJ25" i="254"/>
  <c r="AJ36" i="254" s="1"/>
  <c r="AP25" i="254"/>
  <c r="AP36" i="254" s="1"/>
  <c r="AU25" i="254"/>
  <c r="AU36" i="254" s="1"/>
  <c r="AZ25" i="254"/>
  <c r="AZ36" i="254" s="1"/>
  <c r="BF25" i="254"/>
  <c r="BF36" i="254" s="1"/>
  <c r="BK25" i="254"/>
  <c r="BK36" i="254" s="1"/>
  <c r="O30" i="253"/>
  <c r="AJ30" i="253"/>
  <c r="BF30" i="253"/>
  <c r="R25" i="254"/>
  <c r="R36" i="254" s="1"/>
  <c r="AM25" i="254"/>
  <c r="AM36" i="254" s="1"/>
  <c r="BH25" i="254"/>
  <c r="BH36" i="254" s="1"/>
  <c r="O25" i="250"/>
  <c r="O36" i="250" s="1"/>
  <c r="AA25" i="250"/>
  <c r="AA36" i="250" s="1"/>
  <c r="AU25" i="250"/>
  <c r="AU36" i="250" s="1"/>
  <c r="O30" i="251"/>
  <c r="AA30" i="251"/>
  <c r="AM30" i="251"/>
  <c r="AY30" i="251"/>
  <c r="BK30" i="251"/>
  <c r="G25" i="252"/>
  <c r="S25" i="252"/>
  <c r="S36" i="252" s="1"/>
  <c r="AE25" i="252"/>
  <c r="AE36" i="252" s="1"/>
  <c r="AQ25" i="252"/>
  <c r="AQ36" i="252" s="1"/>
  <c r="AY25" i="252"/>
  <c r="AY36" i="252" s="1"/>
  <c r="BG25" i="252"/>
  <c r="BG36" i="252" s="1"/>
  <c r="P30" i="253"/>
  <c r="AF30" i="253"/>
  <c r="AV30" i="253"/>
  <c r="BL30" i="253"/>
  <c r="H25" i="254"/>
  <c r="X25" i="254"/>
  <c r="X36" i="254" s="1"/>
  <c r="AN25" i="254"/>
  <c r="AN36" i="254" s="1"/>
  <c r="AY25" i="254"/>
  <c r="AY36" i="254" s="1"/>
  <c r="BJ25" i="254"/>
  <c r="BJ36" i="254" s="1"/>
  <c r="M25" i="250"/>
  <c r="M36" i="250" s="1"/>
  <c r="Q25" i="250"/>
  <c r="Q36" i="250" s="1"/>
  <c r="U25" i="250"/>
  <c r="U36" i="250" s="1"/>
  <c r="Y25" i="250"/>
  <c r="Y36" i="250" s="1"/>
  <c r="AC25" i="250"/>
  <c r="AC36" i="250" s="1"/>
  <c r="AG25" i="250"/>
  <c r="AG36" i="250" s="1"/>
  <c r="AK25" i="250"/>
  <c r="AK36" i="250" s="1"/>
  <c r="AO25" i="250"/>
  <c r="AO36" i="250" s="1"/>
  <c r="AS25" i="250"/>
  <c r="AS36" i="250" s="1"/>
  <c r="AW25" i="250"/>
  <c r="AW36" i="250" s="1"/>
  <c r="BA25" i="250"/>
  <c r="BA36" i="250" s="1"/>
  <c r="BE25" i="250"/>
  <c r="BE36" i="250" s="1"/>
  <c r="BI25" i="250"/>
  <c r="BI36" i="250" s="1"/>
  <c r="K30" i="250"/>
  <c r="O30" i="250"/>
  <c r="S30" i="250"/>
  <c r="W30" i="250"/>
  <c r="AA30" i="250"/>
  <c r="AE30" i="250"/>
  <c r="AI30" i="250"/>
  <c r="AM30" i="250"/>
  <c r="AQ30" i="250"/>
  <c r="AU30" i="250"/>
  <c r="AY30" i="250"/>
  <c r="BC30" i="250"/>
  <c r="BG30" i="250"/>
  <c r="G25" i="251"/>
  <c r="K25" i="251"/>
  <c r="O25" i="251"/>
  <c r="O36" i="251" s="1"/>
  <c r="S25" i="251"/>
  <c r="S36" i="251" s="1"/>
  <c r="W25" i="251"/>
  <c r="W36" i="251" s="1"/>
  <c r="AA25" i="251"/>
  <c r="AA36" i="251" s="1"/>
  <c r="AE25" i="251"/>
  <c r="AE36" i="251" s="1"/>
  <c r="AI25" i="251"/>
  <c r="AI36" i="251" s="1"/>
  <c r="AM25" i="251"/>
  <c r="AM36" i="251" s="1"/>
  <c r="AQ25" i="251"/>
  <c r="AQ36" i="251" s="1"/>
  <c r="AU25" i="251"/>
  <c r="AU36" i="251" s="1"/>
  <c r="AY25" i="251"/>
  <c r="AY36" i="251" s="1"/>
  <c r="BC25" i="251"/>
  <c r="BC36" i="251" s="1"/>
  <c r="BG25" i="251"/>
  <c r="BG36" i="251" s="1"/>
  <c r="M30" i="251"/>
  <c r="Q30" i="251"/>
  <c r="U30" i="251"/>
  <c r="Y30" i="251"/>
  <c r="AC30" i="251"/>
  <c r="AG30" i="251"/>
  <c r="AK30" i="251"/>
  <c r="AO30" i="251"/>
  <c r="AS30" i="251"/>
  <c r="AW30" i="251"/>
  <c r="BA30" i="251"/>
  <c r="BE30" i="251"/>
  <c r="BI30" i="251"/>
  <c r="M25" i="252"/>
  <c r="M36" i="252" s="1"/>
  <c r="Q25" i="252"/>
  <c r="Q36" i="252" s="1"/>
  <c r="U25" i="252"/>
  <c r="U36" i="252" s="1"/>
  <c r="Y25" i="252"/>
  <c r="Y36" i="252" s="1"/>
  <c r="AC25" i="252"/>
  <c r="AC36" i="252" s="1"/>
  <c r="AG25" i="252"/>
  <c r="AG36" i="252" s="1"/>
  <c r="AK25" i="252"/>
  <c r="AK36" i="252" s="1"/>
  <c r="AO25" i="252"/>
  <c r="AO36" i="252" s="1"/>
  <c r="AS25" i="252"/>
  <c r="AS36" i="252" s="1"/>
  <c r="AW25" i="252"/>
  <c r="AW36" i="252" s="1"/>
  <c r="BA25" i="252"/>
  <c r="BA36" i="252" s="1"/>
  <c r="BE25" i="252"/>
  <c r="BE36" i="252" s="1"/>
  <c r="BI25" i="252"/>
  <c r="BI36" i="252" s="1"/>
  <c r="K30" i="252"/>
  <c r="O30" i="252"/>
  <c r="S30" i="252"/>
  <c r="W30" i="252"/>
  <c r="AA30" i="252"/>
  <c r="AE30" i="252"/>
  <c r="AI30" i="252"/>
  <c r="AM30" i="252"/>
  <c r="AQ30" i="252"/>
  <c r="AU30" i="252"/>
  <c r="AY30" i="252"/>
  <c r="BC30" i="252"/>
  <c r="BG30" i="252"/>
  <c r="Y36" i="253"/>
  <c r="BE36" i="253"/>
  <c r="N30" i="253"/>
  <c r="S30" i="253"/>
  <c r="X30" i="253"/>
  <c r="AD30" i="253"/>
  <c r="AI30" i="253"/>
  <c r="AN30" i="253"/>
  <c r="AT30" i="253"/>
  <c r="AY30" i="253"/>
  <c r="BD30" i="253"/>
  <c r="BJ30" i="253"/>
  <c r="K25" i="254"/>
  <c r="P25" i="254"/>
  <c r="P36" i="254" s="1"/>
  <c r="V25" i="254"/>
  <c r="V36" i="254" s="1"/>
  <c r="AA25" i="254"/>
  <c r="AA36" i="254" s="1"/>
  <c r="AF25" i="254"/>
  <c r="AF36" i="254" s="1"/>
  <c r="AL25" i="254"/>
  <c r="AL36" i="254" s="1"/>
  <c r="AQ25" i="254"/>
  <c r="AQ36" i="254" s="1"/>
  <c r="AV25" i="254"/>
  <c r="AV36" i="254" s="1"/>
  <c r="BB25" i="254"/>
  <c r="BB36" i="254" s="1"/>
  <c r="BG25" i="254"/>
  <c r="BG36" i="254" s="1"/>
  <c r="BL25" i="254"/>
  <c r="BL36" i="254" s="1"/>
  <c r="BG30" i="257"/>
  <c r="AA30" i="257"/>
  <c r="H25" i="257"/>
  <c r="S30" i="257"/>
  <c r="K30" i="255"/>
  <c r="O30" i="255"/>
  <c r="S30" i="255"/>
  <c r="W30" i="255"/>
  <c r="AA30" i="255"/>
  <c r="AE30" i="255"/>
  <c r="AI30" i="255"/>
  <c r="AM30" i="255"/>
  <c r="AQ30" i="255"/>
  <c r="AU30" i="255"/>
  <c r="AY30" i="255"/>
  <c r="BC30" i="255"/>
  <c r="BG30" i="255"/>
  <c r="BK30" i="255"/>
  <c r="N25" i="256"/>
  <c r="N36" i="256" s="1"/>
  <c r="AD25" i="256"/>
  <c r="AD36" i="256" s="1"/>
  <c r="AT25" i="256"/>
  <c r="AT36" i="256" s="1"/>
  <c r="BJ25" i="256"/>
  <c r="BJ36" i="256" s="1"/>
  <c r="L30" i="255"/>
  <c r="P30" i="255"/>
  <c r="T30" i="255"/>
  <c r="X30" i="255"/>
  <c r="AB30" i="255"/>
  <c r="AF30" i="255"/>
  <c r="AJ30" i="255"/>
  <c r="AN30" i="255"/>
  <c r="AR30" i="255"/>
  <c r="AV30" i="255"/>
  <c r="AZ30" i="255"/>
  <c r="BD30" i="255"/>
  <c r="BH30" i="255"/>
  <c r="BL30" i="255"/>
  <c r="AI30" i="257"/>
  <c r="BH25" i="260"/>
  <c r="BH36" i="260" s="1"/>
  <c r="Q25" i="260"/>
  <c r="Q36" i="260" s="1"/>
  <c r="G25" i="253"/>
  <c r="K25" i="253"/>
  <c r="O25" i="253"/>
  <c r="O36" i="253" s="1"/>
  <c r="S25" i="253"/>
  <c r="S36" i="253" s="1"/>
  <c r="W25" i="253"/>
  <c r="W36" i="253" s="1"/>
  <c r="AA25" i="253"/>
  <c r="AA36" i="253" s="1"/>
  <c r="AE25" i="253"/>
  <c r="AE36" i="253" s="1"/>
  <c r="AI25" i="253"/>
  <c r="AI36" i="253" s="1"/>
  <c r="AM25" i="253"/>
  <c r="AM36" i="253" s="1"/>
  <c r="AQ25" i="253"/>
  <c r="AQ36" i="253" s="1"/>
  <c r="AU25" i="253"/>
  <c r="AU36" i="253" s="1"/>
  <c r="AY25" i="253"/>
  <c r="AY36" i="253" s="1"/>
  <c r="BC25" i="253"/>
  <c r="BC36" i="253" s="1"/>
  <c r="BG25" i="253"/>
  <c r="BG36" i="253" s="1"/>
  <c r="K30" i="254"/>
  <c r="O30" i="254"/>
  <c r="S30" i="254"/>
  <c r="W30" i="254"/>
  <c r="AA30" i="254"/>
  <c r="AE30" i="254"/>
  <c r="AI30" i="254"/>
  <c r="AM30" i="254"/>
  <c r="AQ30" i="254"/>
  <c r="AU30" i="254"/>
  <c r="AY30" i="254"/>
  <c r="BC30" i="254"/>
  <c r="BG30" i="254"/>
  <c r="G25" i="255"/>
  <c r="K25" i="255"/>
  <c r="O25" i="255"/>
  <c r="O36" i="255" s="1"/>
  <c r="S25" i="255"/>
  <c r="S36" i="255" s="1"/>
  <c r="W25" i="255"/>
  <c r="W36" i="255" s="1"/>
  <c r="AA25" i="255"/>
  <c r="AA36" i="255" s="1"/>
  <c r="AE25" i="255"/>
  <c r="AE36" i="255" s="1"/>
  <c r="AI25" i="255"/>
  <c r="AI36" i="255" s="1"/>
  <c r="AM25" i="255"/>
  <c r="AM36" i="255" s="1"/>
  <c r="AQ25" i="255"/>
  <c r="AQ36" i="255" s="1"/>
  <c r="AU25" i="255"/>
  <c r="AU36" i="255" s="1"/>
  <c r="AY25" i="255"/>
  <c r="AY36" i="255" s="1"/>
  <c r="BC25" i="255"/>
  <c r="BC36" i="255" s="1"/>
  <c r="BG25" i="255"/>
  <c r="BG36" i="255" s="1"/>
  <c r="M30" i="255"/>
  <c r="Q30" i="255"/>
  <c r="U30" i="255"/>
  <c r="Y30" i="255"/>
  <c r="AC30" i="255"/>
  <c r="AG30" i="255"/>
  <c r="AK30" i="255"/>
  <c r="AO30" i="255"/>
  <c r="AS30" i="255"/>
  <c r="AW30" i="255"/>
  <c r="BA30" i="255"/>
  <c r="BE30" i="255"/>
  <c r="BI30" i="255"/>
  <c r="BK25" i="256"/>
  <c r="BK36" i="256" s="1"/>
  <c r="V25" i="256"/>
  <c r="V36" i="256" s="1"/>
  <c r="AL25" i="256"/>
  <c r="AL36" i="256" s="1"/>
  <c r="BK30" i="257"/>
  <c r="K30" i="257"/>
  <c r="G25" i="256"/>
  <c r="O25" i="256"/>
  <c r="O36" i="256" s="1"/>
  <c r="W25" i="256"/>
  <c r="W36" i="256" s="1"/>
  <c r="AE25" i="256"/>
  <c r="AE36" i="256" s="1"/>
  <c r="AM25" i="256"/>
  <c r="AM36" i="256" s="1"/>
  <c r="AU25" i="256"/>
  <c r="AU36" i="256" s="1"/>
  <c r="BC25" i="256"/>
  <c r="BC36" i="256" s="1"/>
  <c r="AG36" i="257"/>
  <c r="AO36" i="257"/>
  <c r="BM36" i="257"/>
  <c r="N30" i="257"/>
  <c r="V30" i="257"/>
  <c r="AD30" i="257"/>
  <c r="AL30" i="257"/>
  <c r="AT30" i="257"/>
  <c r="BB30" i="257"/>
  <c r="BJ30" i="257"/>
  <c r="Z36" i="258"/>
  <c r="AP36" i="258"/>
  <c r="BF36" i="258"/>
  <c r="AB25" i="260"/>
  <c r="AB36" i="260" s="1"/>
  <c r="BM25" i="256"/>
  <c r="BM36" i="256" s="1"/>
  <c r="BI25" i="256"/>
  <c r="BI36" i="256" s="1"/>
  <c r="BE25" i="256"/>
  <c r="BE36" i="256" s="1"/>
  <c r="BA25" i="256"/>
  <c r="BA36" i="256" s="1"/>
  <c r="AW25" i="256"/>
  <c r="AW36" i="256" s="1"/>
  <c r="AS25" i="256"/>
  <c r="AS36" i="256" s="1"/>
  <c r="AO25" i="256"/>
  <c r="AO36" i="256" s="1"/>
  <c r="AK25" i="256"/>
  <c r="AK36" i="256" s="1"/>
  <c r="AG25" i="256"/>
  <c r="AG36" i="256" s="1"/>
  <c r="AC25" i="256"/>
  <c r="AC36" i="256" s="1"/>
  <c r="Y25" i="256"/>
  <c r="Y36" i="256" s="1"/>
  <c r="U25" i="256"/>
  <c r="U36" i="256" s="1"/>
  <c r="Q25" i="256"/>
  <c r="Q36" i="256" s="1"/>
  <c r="M25" i="256"/>
  <c r="M36" i="256" s="1"/>
  <c r="BL25" i="256"/>
  <c r="BL36" i="256" s="1"/>
  <c r="BH25" i="256"/>
  <c r="BH36" i="256" s="1"/>
  <c r="BD25" i="256"/>
  <c r="BD36" i="256" s="1"/>
  <c r="AZ25" i="256"/>
  <c r="AZ36" i="256" s="1"/>
  <c r="AV25" i="256"/>
  <c r="AV36" i="256" s="1"/>
  <c r="AR25" i="256"/>
  <c r="AR36" i="256" s="1"/>
  <c r="AN25" i="256"/>
  <c r="AN36" i="256" s="1"/>
  <c r="AJ25" i="256"/>
  <c r="AJ36" i="256" s="1"/>
  <c r="AF25" i="256"/>
  <c r="AF36" i="256" s="1"/>
  <c r="AB25" i="256"/>
  <c r="AB36" i="256" s="1"/>
  <c r="X25" i="256"/>
  <c r="X36" i="256" s="1"/>
  <c r="T25" i="256"/>
  <c r="T36" i="256" s="1"/>
  <c r="P25" i="256"/>
  <c r="P36" i="256" s="1"/>
  <c r="L25" i="256"/>
  <c r="J25" i="256"/>
  <c r="R25" i="256"/>
  <c r="R36" i="256" s="1"/>
  <c r="Z25" i="256"/>
  <c r="Z36" i="256" s="1"/>
  <c r="AH25" i="256"/>
  <c r="AH36" i="256" s="1"/>
  <c r="AP25" i="256"/>
  <c r="AP36" i="256" s="1"/>
  <c r="AX25" i="256"/>
  <c r="AX36" i="256" s="1"/>
  <c r="BF25" i="256"/>
  <c r="BF36" i="256" s="1"/>
  <c r="BN25" i="256"/>
  <c r="BN36" i="256" s="1"/>
  <c r="L36" i="257"/>
  <c r="AB36" i="257"/>
  <c r="AJ36" i="257"/>
  <c r="AR36" i="257"/>
  <c r="BH36" i="257"/>
  <c r="O30" i="257"/>
  <c r="W30" i="257"/>
  <c r="AE30" i="257"/>
  <c r="AM30" i="257"/>
  <c r="AU30" i="257"/>
  <c r="BC30" i="257"/>
  <c r="N36" i="258"/>
  <c r="AD36" i="258"/>
  <c r="AT36" i="258"/>
  <c r="BJ36" i="258"/>
  <c r="BM30" i="257"/>
  <c r="BI30" i="257"/>
  <c r="BE30" i="257"/>
  <c r="BA30" i="257"/>
  <c r="AW30" i="257"/>
  <c r="AS30" i="257"/>
  <c r="AO30" i="257"/>
  <c r="AK30" i="257"/>
  <c r="AG30" i="257"/>
  <c r="AC30" i="257"/>
  <c r="Y30" i="257"/>
  <c r="U30" i="257"/>
  <c r="Q30" i="257"/>
  <c r="M30" i="257"/>
  <c r="BL30" i="257"/>
  <c r="BH30" i="257"/>
  <c r="BD30" i="257"/>
  <c r="AZ30" i="257"/>
  <c r="AV30" i="257"/>
  <c r="AR30" i="257"/>
  <c r="AN30" i="257"/>
  <c r="AJ30" i="257"/>
  <c r="AF30" i="257"/>
  <c r="AB30" i="257"/>
  <c r="X30" i="257"/>
  <c r="T30" i="257"/>
  <c r="P30" i="257"/>
  <c r="L30" i="257"/>
  <c r="AC36" i="257"/>
  <c r="AK36" i="257"/>
  <c r="BI36" i="257"/>
  <c r="R30" i="257"/>
  <c r="Z30" i="257"/>
  <c r="AH30" i="257"/>
  <c r="AP30" i="257"/>
  <c r="AX30" i="257"/>
  <c r="BF30" i="257"/>
  <c r="BN30" i="257"/>
  <c r="AM25" i="260"/>
  <c r="AM36" i="260" s="1"/>
  <c r="G25" i="258"/>
  <c r="K25" i="258"/>
  <c r="O25" i="258"/>
  <c r="O36" i="258" s="1"/>
  <c r="S25" i="258"/>
  <c r="S36" i="258" s="1"/>
  <c r="W25" i="258"/>
  <c r="W36" i="258" s="1"/>
  <c r="AA25" i="258"/>
  <c r="AA36" i="258" s="1"/>
  <c r="AE25" i="258"/>
  <c r="AE36" i="258" s="1"/>
  <c r="AI25" i="258"/>
  <c r="AI36" i="258" s="1"/>
  <c r="AM25" i="258"/>
  <c r="AM36" i="258" s="1"/>
  <c r="AQ25" i="258"/>
  <c r="AQ36" i="258" s="1"/>
  <c r="AU25" i="258"/>
  <c r="AU36" i="258" s="1"/>
  <c r="AY25" i="258"/>
  <c r="AY36" i="258" s="1"/>
  <c r="BC25" i="258"/>
  <c r="BC36" i="258" s="1"/>
  <c r="BG25" i="258"/>
  <c r="BG36" i="258" s="1"/>
  <c r="BK25" i="258"/>
  <c r="BK36" i="258" s="1"/>
  <c r="BL30" i="259"/>
  <c r="BH30" i="259"/>
  <c r="BD30" i="259"/>
  <c r="AZ30" i="259"/>
  <c r="AV30" i="259"/>
  <c r="AR30" i="259"/>
  <c r="AN30" i="259"/>
  <c r="AJ30" i="259"/>
  <c r="AF30" i="259"/>
  <c r="AB30" i="259"/>
  <c r="X30" i="259"/>
  <c r="T30" i="259"/>
  <c r="P30" i="259"/>
  <c r="L30" i="259"/>
  <c r="BK30" i="259"/>
  <c r="BG30" i="259"/>
  <c r="BC30" i="259"/>
  <c r="AY30" i="259"/>
  <c r="AU30" i="259"/>
  <c r="AQ30" i="259"/>
  <c r="AM30" i="259"/>
  <c r="AI30" i="259"/>
  <c r="AE30" i="259"/>
  <c r="AA30" i="259"/>
  <c r="W30" i="259"/>
  <c r="S30" i="259"/>
  <c r="O30" i="259"/>
  <c r="K30" i="259"/>
  <c r="BM30" i="259"/>
  <c r="BE30" i="259"/>
  <c r="AW30" i="259"/>
  <c r="AO30" i="259"/>
  <c r="AG30" i="259"/>
  <c r="Y30" i="259"/>
  <c r="Q30" i="259"/>
  <c r="BJ30" i="259"/>
  <c r="BB30" i="259"/>
  <c r="AT30" i="259"/>
  <c r="AL30" i="259"/>
  <c r="AD30" i="259"/>
  <c r="V30" i="259"/>
  <c r="N30" i="259"/>
  <c r="H25" i="259"/>
  <c r="BI30" i="259"/>
  <c r="BA30" i="259"/>
  <c r="AS30" i="259"/>
  <c r="AK30" i="259"/>
  <c r="AC30" i="259"/>
  <c r="U30" i="259"/>
  <c r="M30" i="259"/>
  <c r="BG25" i="259"/>
  <c r="BG36" i="259" s="1"/>
  <c r="AY25" i="259"/>
  <c r="AY36" i="259" s="1"/>
  <c r="AQ25" i="259"/>
  <c r="AQ36" i="259" s="1"/>
  <c r="S25" i="259"/>
  <c r="S36" i="259" s="1"/>
  <c r="AI25" i="259"/>
  <c r="AI36" i="259" s="1"/>
  <c r="BH25" i="259"/>
  <c r="BH36" i="259" s="1"/>
  <c r="Z30" i="259"/>
  <c r="BF30" i="259"/>
  <c r="H25" i="256"/>
  <c r="N30" i="256"/>
  <c r="R30" i="256"/>
  <c r="V30" i="256"/>
  <c r="Z30" i="256"/>
  <c r="AD30" i="256"/>
  <c r="AH30" i="256"/>
  <c r="AL30" i="256"/>
  <c r="AP30" i="256"/>
  <c r="AT30" i="256"/>
  <c r="AX30" i="256"/>
  <c r="BB30" i="256"/>
  <c r="BF30" i="256"/>
  <c r="BJ30" i="256"/>
  <c r="BN30" i="256"/>
  <c r="J25" i="257"/>
  <c r="N25" i="257"/>
  <c r="N36" i="257" s="1"/>
  <c r="R25" i="257"/>
  <c r="R36" i="257" s="1"/>
  <c r="V25" i="257"/>
  <c r="V36" i="257" s="1"/>
  <c r="Z25" i="257"/>
  <c r="Z36" i="257" s="1"/>
  <c r="AD25" i="257"/>
  <c r="AD36" i="257" s="1"/>
  <c r="AH25" i="257"/>
  <c r="AH36" i="257" s="1"/>
  <c r="AL25" i="257"/>
  <c r="AL36" i="257" s="1"/>
  <c r="AP25" i="257"/>
  <c r="AP36" i="257" s="1"/>
  <c r="AT25" i="257"/>
  <c r="AT36" i="257" s="1"/>
  <c r="AX25" i="257"/>
  <c r="AX36" i="257" s="1"/>
  <c r="BB25" i="257"/>
  <c r="BB36" i="257" s="1"/>
  <c r="BF25" i="257"/>
  <c r="BF36" i="257" s="1"/>
  <c r="BJ25" i="257"/>
  <c r="BJ36" i="257" s="1"/>
  <c r="BN25" i="257"/>
  <c r="BN36" i="257" s="1"/>
  <c r="H25" i="258"/>
  <c r="L25" i="258"/>
  <c r="L36" i="258" s="1"/>
  <c r="P25" i="258"/>
  <c r="P36" i="258" s="1"/>
  <c r="T25" i="258"/>
  <c r="T36" i="258" s="1"/>
  <c r="X25" i="258"/>
  <c r="X36" i="258" s="1"/>
  <c r="AB25" i="258"/>
  <c r="AB36" i="258" s="1"/>
  <c r="AF25" i="258"/>
  <c r="AF36" i="258" s="1"/>
  <c r="AJ25" i="258"/>
  <c r="AJ36" i="258" s="1"/>
  <c r="AN25" i="258"/>
  <c r="AN36" i="258" s="1"/>
  <c r="AR25" i="258"/>
  <c r="AR36" i="258" s="1"/>
  <c r="AV25" i="258"/>
  <c r="AV36" i="258" s="1"/>
  <c r="AZ25" i="258"/>
  <c r="AZ36" i="258" s="1"/>
  <c r="BD25" i="258"/>
  <c r="BD36" i="258" s="1"/>
  <c r="BH25" i="258"/>
  <c r="BH36" i="258" s="1"/>
  <c r="BL25" i="258"/>
  <c r="BL36" i="258" s="1"/>
  <c r="N30" i="258"/>
  <c r="R30" i="258"/>
  <c r="V30" i="258"/>
  <c r="Z30" i="258"/>
  <c r="AD30" i="258"/>
  <c r="AH30" i="258"/>
  <c r="AL30" i="258"/>
  <c r="AP30" i="258"/>
  <c r="AT30" i="258"/>
  <c r="AX30" i="258"/>
  <c r="BB30" i="258"/>
  <c r="BF30" i="258"/>
  <c r="BJ30" i="258"/>
  <c r="BN30" i="258"/>
  <c r="T25" i="259"/>
  <c r="T36" i="259" s="1"/>
  <c r="AJ25" i="259"/>
  <c r="AJ36" i="259" s="1"/>
  <c r="AH30" i="259"/>
  <c r="BN30" i="259"/>
  <c r="K30" i="256"/>
  <c r="O30" i="256"/>
  <c r="S30" i="256"/>
  <c r="W30" i="256"/>
  <c r="AA30" i="256"/>
  <c r="AE30" i="256"/>
  <c r="AI30" i="256"/>
  <c r="AM30" i="256"/>
  <c r="AQ30" i="256"/>
  <c r="AU30" i="256"/>
  <c r="AY30" i="256"/>
  <c r="BC30" i="256"/>
  <c r="BG30" i="256"/>
  <c r="G25" i="257"/>
  <c r="K25" i="257"/>
  <c r="O25" i="257"/>
  <c r="O36" i="257" s="1"/>
  <c r="S25" i="257"/>
  <c r="S36" i="257" s="1"/>
  <c r="W25" i="257"/>
  <c r="W36" i="257" s="1"/>
  <c r="AA25" i="257"/>
  <c r="AA36" i="257" s="1"/>
  <c r="AE25" i="257"/>
  <c r="AE36" i="257" s="1"/>
  <c r="AI25" i="257"/>
  <c r="AI36" i="257" s="1"/>
  <c r="AM25" i="257"/>
  <c r="AM36" i="257" s="1"/>
  <c r="AQ25" i="257"/>
  <c r="AQ36" i="257" s="1"/>
  <c r="AU25" i="257"/>
  <c r="AU36" i="257" s="1"/>
  <c r="AY25" i="257"/>
  <c r="AY36" i="257" s="1"/>
  <c r="BC25" i="257"/>
  <c r="BC36" i="257" s="1"/>
  <c r="BG25" i="257"/>
  <c r="BG36" i="257" s="1"/>
  <c r="M25" i="258"/>
  <c r="M36" i="258" s="1"/>
  <c r="Q25" i="258"/>
  <c r="Q36" i="258" s="1"/>
  <c r="U25" i="258"/>
  <c r="U36" i="258" s="1"/>
  <c r="Y25" i="258"/>
  <c r="Y36" i="258" s="1"/>
  <c r="AC25" i="258"/>
  <c r="AC36" i="258" s="1"/>
  <c r="AG25" i="258"/>
  <c r="AG36" i="258" s="1"/>
  <c r="AK25" i="258"/>
  <c r="AK36" i="258" s="1"/>
  <c r="AO25" i="258"/>
  <c r="AO36" i="258" s="1"/>
  <c r="AS25" i="258"/>
  <c r="AS36" i="258" s="1"/>
  <c r="AW25" i="258"/>
  <c r="AW36" i="258" s="1"/>
  <c r="BA25" i="258"/>
  <c r="BA36" i="258" s="1"/>
  <c r="BE25" i="258"/>
  <c r="BE36" i="258" s="1"/>
  <c r="BI25" i="258"/>
  <c r="BI36" i="258" s="1"/>
  <c r="K30" i="258"/>
  <c r="O30" i="258"/>
  <c r="S30" i="258"/>
  <c r="W30" i="258"/>
  <c r="AA30" i="258"/>
  <c r="AE30" i="258"/>
  <c r="AI30" i="258"/>
  <c r="AM30" i="258"/>
  <c r="AQ30" i="258"/>
  <c r="AU30" i="258"/>
  <c r="AY30" i="258"/>
  <c r="BC30" i="258"/>
  <c r="BG30" i="258"/>
  <c r="K25" i="259"/>
  <c r="AA25" i="259"/>
  <c r="AA36" i="259" s="1"/>
  <c r="AR25" i="259"/>
  <c r="AR36" i="259" s="1"/>
  <c r="AP30" i="259"/>
  <c r="BN25" i="260"/>
  <c r="BN36" i="260" s="1"/>
  <c r="BJ25" i="260"/>
  <c r="BJ36" i="260" s="1"/>
  <c r="BF25" i="260"/>
  <c r="BF36" i="260" s="1"/>
  <c r="BB25" i="260"/>
  <c r="BB36" i="260" s="1"/>
  <c r="AX25" i="260"/>
  <c r="AX36" i="260" s="1"/>
  <c r="AT25" i="260"/>
  <c r="AT36" i="260" s="1"/>
  <c r="AP25" i="260"/>
  <c r="AP36" i="260" s="1"/>
  <c r="AL25" i="260"/>
  <c r="AL36" i="260" s="1"/>
  <c r="AH25" i="260"/>
  <c r="AH36" i="260" s="1"/>
  <c r="AD25" i="260"/>
  <c r="AD36" i="260" s="1"/>
  <c r="Z25" i="260"/>
  <c r="Z36" i="260" s="1"/>
  <c r="V25" i="260"/>
  <c r="V36" i="260" s="1"/>
  <c r="R25" i="260"/>
  <c r="R36" i="260" s="1"/>
  <c r="N25" i="260"/>
  <c r="N36" i="260" s="1"/>
  <c r="J25" i="260"/>
  <c r="BL25" i="260"/>
  <c r="BL36" i="260" s="1"/>
  <c r="BG25" i="260"/>
  <c r="BG36" i="260" s="1"/>
  <c r="BA25" i="260"/>
  <c r="BA36" i="260" s="1"/>
  <c r="AV25" i="260"/>
  <c r="AV36" i="260" s="1"/>
  <c r="AQ25" i="260"/>
  <c r="AQ36" i="260" s="1"/>
  <c r="AK25" i="260"/>
  <c r="AK36" i="260" s="1"/>
  <c r="AF25" i="260"/>
  <c r="AF36" i="260" s="1"/>
  <c r="AA25" i="260"/>
  <c r="AA36" i="260" s="1"/>
  <c r="U25" i="260"/>
  <c r="U36" i="260" s="1"/>
  <c r="P25" i="260"/>
  <c r="P36" i="260" s="1"/>
  <c r="K25" i="260"/>
  <c r="BK25" i="260"/>
  <c r="BK36" i="260" s="1"/>
  <c r="BE25" i="260"/>
  <c r="BE36" i="260" s="1"/>
  <c r="AZ25" i="260"/>
  <c r="AZ36" i="260" s="1"/>
  <c r="AU25" i="260"/>
  <c r="AU36" i="260" s="1"/>
  <c r="AO25" i="260"/>
  <c r="AO36" i="260" s="1"/>
  <c r="AJ25" i="260"/>
  <c r="AJ36" i="260" s="1"/>
  <c r="AE25" i="260"/>
  <c r="AE36" i="260" s="1"/>
  <c r="Y25" i="260"/>
  <c r="Y36" i="260" s="1"/>
  <c r="T25" i="260"/>
  <c r="T36" i="260" s="1"/>
  <c r="O25" i="260"/>
  <c r="O36" i="260" s="1"/>
  <c r="BD25" i="260"/>
  <c r="BD36" i="260" s="1"/>
  <c r="AS25" i="260"/>
  <c r="AS36" i="260" s="1"/>
  <c r="AI25" i="260"/>
  <c r="AI36" i="260" s="1"/>
  <c r="X25" i="260"/>
  <c r="X36" i="260" s="1"/>
  <c r="M25" i="260"/>
  <c r="M36" i="260" s="1"/>
  <c r="BM25" i="260"/>
  <c r="BM36" i="260" s="1"/>
  <c r="BC25" i="260"/>
  <c r="BC36" i="260" s="1"/>
  <c r="AR25" i="260"/>
  <c r="AR36" i="260" s="1"/>
  <c r="AG25" i="260"/>
  <c r="AG36" i="260" s="1"/>
  <c r="W25" i="260"/>
  <c r="W36" i="260" s="1"/>
  <c r="L25" i="260"/>
  <c r="L36" i="260" s="1"/>
  <c r="BI25" i="260"/>
  <c r="BI36" i="260" s="1"/>
  <c r="AY25" i="260"/>
  <c r="AY36" i="260" s="1"/>
  <c r="AN25" i="260"/>
  <c r="AN36" i="260" s="1"/>
  <c r="AC25" i="260"/>
  <c r="AC36" i="260" s="1"/>
  <c r="S25" i="260"/>
  <c r="S36" i="260" s="1"/>
  <c r="G25" i="260"/>
  <c r="AW25" i="260"/>
  <c r="AW36" i="260" s="1"/>
  <c r="BN25" i="259"/>
  <c r="BN36" i="259" s="1"/>
  <c r="BJ25" i="259"/>
  <c r="BJ36" i="259" s="1"/>
  <c r="BF25" i="259"/>
  <c r="BF36" i="259" s="1"/>
  <c r="BB25" i="259"/>
  <c r="BB36" i="259" s="1"/>
  <c r="AX25" i="259"/>
  <c r="AX36" i="259" s="1"/>
  <c r="AT25" i="259"/>
  <c r="AT36" i="259" s="1"/>
  <c r="AP25" i="259"/>
  <c r="AP36" i="259" s="1"/>
  <c r="AL25" i="259"/>
  <c r="AL36" i="259" s="1"/>
  <c r="AH25" i="259"/>
  <c r="AH36" i="259" s="1"/>
  <c r="AD25" i="259"/>
  <c r="AD36" i="259" s="1"/>
  <c r="Z25" i="259"/>
  <c r="Z36" i="259" s="1"/>
  <c r="V25" i="259"/>
  <c r="V36" i="259" s="1"/>
  <c r="R25" i="259"/>
  <c r="R36" i="259" s="1"/>
  <c r="N25" i="259"/>
  <c r="N36" i="259" s="1"/>
  <c r="J25" i="259"/>
  <c r="BM25" i="259"/>
  <c r="BM36" i="259" s="1"/>
  <c r="BI25" i="259"/>
  <c r="BI36" i="259" s="1"/>
  <c r="BE25" i="259"/>
  <c r="BE36" i="259" s="1"/>
  <c r="BA25" i="259"/>
  <c r="BA36" i="259" s="1"/>
  <c r="AW25" i="259"/>
  <c r="AW36" i="259" s="1"/>
  <c r="AS25" i="259"/>
  <c r="AS36" i="259" s="1"/>
  <c r="AO25" i="259"/>
  <c r="AO36" i="259" s="1"/>
  <c r="AK25" i="259"/>
  <c r="AK36" i="259" s="1"/>
  <c r="AG25" i="259"/>
  <c r="AG36" i="259" s="1"/>
  <c r="AC25" i="259"/>
  <c r="AC36" i="259" s="1"/>
  <c r="Y25" i="259"/>
  <c r="Y36" i="259" s="1"/>
  <c r="U25" i="259"/>
  <c r="U36" i="259" s="1"/>
  <c r="Q25" i="259"/>
  <c r="Q36" i="259" s="1"/>
  <c r="M25" i="259"/>
  <c r="M36" i="259" s="1"/>
  <c r="G25" i="259"/>
  <c r="O25" i="259"/>
  <c r="O36" i="259" s="1"/>
  <c r="W25" i="259"/>
  <c r="W36" i="259" s="1"/>
  <c r="AE25" i="259"/>
  <c r="AE36" i="259" s="1"/>
  <c r="AM25" i="259"/>
  <c r="AM36" i="259" s="1"/>
  <c r="AU25" i="259"/>
  <c r="AU36" i="259" s="1"/>
  <c r="BC25" i="259"/>
  <c r="BC36" i="259" s="1"/>
  <c r="BK25" i="259"/>
  <c r="BK36" i="259" s="1"/>
  <c r="H25" i="260"/>
  <c r="R30" i="260"/>
  <c r="AM30" i="260"/>
  <c r="BI30" i="260"/>
  <c r="P25" i="259"/>
  <c r="P36" i="259" s="1"/>
  <c r="X25" i="259"/>
  <c r="X36" i="259" s="1"/>
  <c r="AF25" i="259"/>
  <c r="AF36" i="259" s="1"/>
  <c r="AN25" i="259"/>
  <c r="AN36" i="259" s="1"/>
  <c r="AV25" i="259"/>
  <c r="AV36" i="259" s="1"/>
  <c r="BD25" i="259"/>
  <c r="BD36" i="259" s="1"/>
  <c r="BL25" i="259"/>
  <c r="BL36" i="259" s="1"/>
  <c r="W30" i="260"/>
  <c r="AS30" i="260"/>
  <c r="BJ30" i="260"/>
  <c r="BE30" i="260"/>
  <c r="AY30" i="260"/>
  <c r="AT30" i="260"/>
  <c r="AO30" i="260"/>
  <c r="AI30" i="260"/>
  <c r="AD30" i="260"/>
  <c r="Y30" i="260"/>
  <c r="S30" i="260"/>
  <c r="N30" i="260"/>
  <c r="AC30" i="260"/>
  <c r="AX30" i="260"/>
  <c r="M30" i="261"/>
  <c r="AK30" i="261"/>
  <c r="BB30" i="261"/>
  <c r="U30" i="261"/>
  <c r="AL30" i="261"/>
  <c r="BI30" i="261"/>
  <c r="O30" i="260"/>
  <c r="U30" i="260"/>
  <c r="Z30" i="260"/>
  <c r="AE30" i="260"/>
  <c r="AK30" i="260"/>
  <c r="AP30" i="260"/>
  <c r="AU30" i="260"/>
  <c r="BA30" i="260"/>
  <c r="BF30" i="260"/>
  <c r="V30" i="261"/>
  <c r="AS30" i="261"/>
  <c r="BL30" i="260"/>
  <c r="BH30" i="260"/>
  <c r="BD30" i="260"/>
  <c r="AZ30" i="260"/>
  <c r="AV30" i="260"/>
  <c r="AR30" i="260"/>
  <c r="AN30" i="260"/>
  <c r="AJ30" i="260"/>
  <c r="AF30" i="260"/>
  <c r="AB30" i="260"/>
  <c r="X30" i="260"/>
  <c r="T30" i="260"/>
  <c r="P30" i="260"/>
  <c r="L30" i="260"/>
  <c r="K30" i="260"/>
  <c r="Q30" i="260"/>
  <c r="V30" i="260"/>
  <c r="AA30" i="260"/>
  <c r="AG30" i="260"/>
  <c r="AL30" i="260"/>
  <c r="AQ30" i="260"/>
  <c r="AW30" i="260"/>
  <c r="BB30" i="260"/>
  <c r="BG30" i="260"/>
  <c r="BM30" i="260"/>
  <c r="AC30" i="261"/>
  <c r="BL30" i="261"/>
  <c r="BH30" i="261"/>
  <c r="BD30" i="261"/>
  <c r="AZ30" i="261"/>
  <c r="AV30" i="261"/>
  <c r="AR30" i="261"/>
  <c r="AN30" i="261"/>
  <c r="AJ30" i="261"/>
  <c r="AF30" i="261"/>
  <c r="AB30" i="261"/>
  <c r="X30" i="261"/>
  <c r="T30" i="261"/>
  <c r="P30" i="261"/>
  <c r="L30" i="261"/>
  <c r="BK30" i="261"/>
  <c r="BG30" i="261"/>
  <c r="BC30" i="261"/>
  <c r="AY30" i="261"/>
  <c r="AU30" i="261"/>
  <c r="AQ30" i="261"/>
  <c r="AM30" i="261"/>
  <c r="AI30" i="261"/>
  <c r="AE30" i="261"/>
  <c r="AA30" i="261"/>
  <c r="W30" i="261"/>
  <c r="S30" i="261"/>
  <c r="O30" i="261"/>
  <c r="K30" i="261"/>
  <c r="BN30" i="261"/>
  <c r="BF30" i="261"/>
  <c r="AX30" i="261"/>
  <c r="AP30" i="261"/>
  <c r="AH30" i="261"/>
  <c r="Z30" i="261"/>
  <c r="R30" i="261"/>
  <c r="H25" i="261"/>
  <c r="BM30" i="261"/>
  <c r="BE30" i="261"/>
  <c r="AW30" i="261"/>
  <c r="AO30" i="261"/>
  <c r="AG30" i="261"/>
  <c r="Y30" i="261"/>
  <c r="Q30" i="261"/>
  <c r="N30" i="261"/>
  <c r="AD30" i="261"/>
  <c r="AT30" i="261"/>
  <c r="BJ30" i="261"/>
  <c r="BN25" i="261"/>
  <c r="BN36" i="261" s="1"/>
  <c r="BJ25" i="261"/>
  <c r="BJ36" i="261" s="1"/>
  <c r="BF25" i="261"/>
  <c r="BF36" i="261" s="1"/>
  <c r="BB25" i="261"/>
  <c r="BB36" i="261" s="1"/>
  <c r="AX25" i="261"/>
  <c r="AX36" i="261" s="1"/>
  <c r="AT25" i="261"/>
  <c r="AT36" i="261" s="1"/>
  <c r="AP25" i="261"/>
  <c r="AP36" i="261" s="1"/>
  <c r="AL25" i="261"/>
  <c r="AL36" i="261" s="1"/>
  <c r="AH25" i="261"/>
  <c r="AH36" i="261" s="1"/>
  <c r="AD25" i="261"/>
  <c r="AD36" i="261" s="1"/>
  <c r="Z25" i="261"/>
  <c r="Z36" i="261" s="1"/>
  <c r="V25" i="261"/>
  <c r="V36" i="261" s="1"/>
  <c r="R25" i="261"/>
  <c r="R36" i="261" s="1"/>
  <c r="N25" i="261"/>
  <c r="N36" i="261" s="1"/>
  <c r="BM25" i="261"/>
  <c r="BM36" i="261" s="1"/>
  <c r="BI25" i="261"/>
  <c r="BI36" i="261" s="1"/>
  <c r="BE25" i="261"/>
  <c r="BE36" i="261" s="1"/>
  <c r="BA25" i="261"/>
  <c r="BA36" i="261" s="1"/>
  <c r="AW25" i="261"/>
  <c r="AW36" i="261" s="1"/>
  <c r="AS25" i="261"/>
  <c r="AS36" i="261" s="1"/>
  <c r="AO25" i="261"/>
  <c r="AO36" i="261" s="1"/>
  <c r="AK25" i="261"/>
  <c r="AK36" i="261" s="1"/>
  <c r="AG25" i="261"/>
  <c r="AG36" i="261" s="1"/>
  <c r="AC25" i="261"/>
  <c r="AC36" i="261" s="1"/>
  <c r="Y25" i="261"/>
  <c r="Y36" i="261" s="1"/>
  <c r="U25" i="261"/>
  <c r="U36" i="261" s="1"/>
  <c r="Q25" i="261"/>
  <c r="Q36" i="261" s="1"/>
  <c r="M25" i="261"/>
  <c r="M36" i="261" s="1"/>
  <c r="G25" i="261"/>
  <c r="K25" i="261"/>
  <c r="S25" i="261"/>
  <c r="S36" i="261" s="1"/>
  <c r="AA25" i="261"/>
  <c r="AA36" i="261" s="1"/>
  <c r="AI25" i="261"/>
  <c r="AI36" i="261" s="1"/>
  <c r="AQ25" i="261"/>
  <c r="AQ36" i="261" s="1"/>
  <c r="AY25" i="261"/>
  <c r="AY36" i="261" s="1"/>
  <c r="BG25" i="261"/>
  <c r="BG36" i="261" s="1"/>
  <c r="L25" i="261"/>
  <c r="L36" i="261" s="1"/>
  <c r="T25" i="261"/>
  <c r="T36" i="261" s="1"/>
  <c r="AB25" i="261"/>
  <c r="AB36" i="261" s="1"/>
  <c r="AJ25" i="261"/>
  <c r="AJ36" i="261" s="1"/>
  <c r="AR25" i="261"/>
  <c r="AR36" i="261" s="1"/>
  <c r="AZ25" i="261"/>
  <c r="AZ36" i="261" s="1"/>
  <c r="BH25" i="261"/>
  <c r="BH36" i="261" s="1"/>
  <c r="BN26" i="1"/>
  <c r="BN27" i="1"/>
  <c r="BN29" i="1"/>
  <c r="BN35" i="1"/>
  <c r="K36" i="256" l="1"/>
  <c r="K36" i="259"/>
  <c r="K36" i="255"/>
  <c r="K36" i="250"/>
  <c r="K36" i="251"/>
  <c r="K36" i="252"/>
  <c r="K36" i="261"/>
  <c r="K36" i="260"/>
  <c r="K36" i="257"/>
  <c r="K36" i="258"/>
  <c r="L36" i="256"/>
  <c r="K36" i="253"/>
  <c r="K36" i="254"/>
  <c r="BM26" i="1"/>
  <c r="BM27" i="1"/>
  <c r="BM29" i="1"/>
  <c r="BM35" i="1"/>
  <c r="AU39" i="252" l="1"/>
  <c r="AN39" i="253"/>
  <c r="BD39" i="252"/>
  <c r="AM39" i="252"/>
  <c r="AJ39" i="253"/>
  <c r="AG39" i="253"/>
  <c r="BJ39" i="253"/>
  <c r="AH39" i="253"/>
  <c r="BL39" i="252"/>
  <c r="AB39" i="253"/>
  <c r="R39" i="253"/>
  <c r="AZ39" i="253"/>
  <c r="BB39" i="253"/>
  <c r="AR39" i="252"/>
  <c r="BJ39" i="252"/>
  <c r="S39" i="252"/>
  <c r="AP39" i="252"/>
  <c r="AY39" i="253"/>
  <c r="AE39" i="253"/>
  <c r="V39" i="253"/>
  <c r="N39" i="252"/>
  <c r="BN39" i="253"/>
  <c r="AQ39" i="252"/>
  <c r="AX39" i="253"/>
  <c r="X39" i="253"/>
  <c r="BH39" i="252"/>
  <c r="BE39" i="253"/>
  <c r="AL39" i="252"/>
  <c r="BH39" i="253"/>
  <c r="AH39" i="252"/>
  <c r="P39" i="252"/>
  <c r="M39" i="253"/>
  <c r="O39" i="252"/>
  <c r="AJ39" i="252"/>
  <c r="Y39" i="253"/>
  <c r="BN39" i="252"/>
  <c r="AS39" i="253"/>
  <c r="V39" i="252"/>
  <c r="AR39" i="253"/>
  <c r="AD39" i="252"/>
  <c r="R39" i="252"/>
  <c r="L39" i="252"/>
  <c r="BC39" i="252"/>
  <c r="L39" i="253"/>
  <c r="K39" i="252"/>
  <c r="AF39" i="252"/>
  <c r="T39" i="253"/>
  <c r="Z39" i="252"/>
  <c r="BG39" i="252"/>
  <c r="AZ39" i="252"/>
  <c r="AT39" i="253"/>
  <c r="U39" i="252"/>
  <c r="AO39" i="252"/>
  <c r="BI39" i="252"/>
  <c r="AW39" i="253"/>
  <c r="AI39" i="252"/>
  <c r="AL39" i="253"/>
  <c r="AA39" i="252"/>
  <c r="AN39" i="252"/>
  <c r="AD39" i="253"/>
  <c r="AX39" i="252"/>
  <c r="AB39" i="252"/>
  <c r="N39" i="253"/>
  <c r="BI39" i="253"/>
  <c r="BM39" i="253"/>
  <c r="BK39" i="252"/>
  <c r="AY39" i="252"/>
  <c r="AV39" i="252"/>
  <c r="AO39" i="253"/>
  <c r="AT39" i="252"/>
  <c r="W39" i="252"/>
  <c r="Q39" i="253"/>
  <c r="AF39" i="253"/>
  <c r="BF39" i="253"/>
  <c r="AK39" i="252"/>
  <c r="BA39" i="253"/>
  <c r="W39" i="253"/>
  <c r="M39" i="252"/>
  <c r="U39" i="253"/>
  <c r="BD39" i="253"/>
  <c r="AE39" i="252"/>
  <c r="BA39" i="252"/>
  <c r="S39" i="253"/>
  <c r="P39" i="253"/>
  <c r="AM39" i="253"/>
  <c r="AC39" i="252"/>
  <c r="AP39" i="253"/>
  <c r="K39" i="253"/>
  <c r="BB39" i="252"/>
  <c r="T39" i="252"/>
  <c r="AC39" i="253"/>
  <c r="AI39" i="253"/>
  <c r="Y39" i="252"/>
  <c r="AK39" i="253"/>
  <c r="BC39" i="253"/>
  <c r="AS39" i="252"/>
  <c r="BL39" i="253"/>
  <c r="BG39" i="253"/>
  <c r="BM39" i="252"/>
  <c r="Q39" i="252"/>
  <c r="Z39" i="253"/>
  <c r="AU39" i="253"/>
  <c r="AQ39" i="253"/>
  <c r="AG39" i="252"/>
  <c r="AV39" i="253"/>
  <c r="BK39" i="253"/>
  <c r="AW39" i="252"/>
  <c r="O39" i="253"/>
  <c r="I1" i="1"/>
  <c r="J1" i="1"/>
  <c r="F2" i="15" l="1"/>
  <c r="A13" i="237" l="1"/>
  <c r="A4" i="237"/>
  <c r="A3" i="237"/>
  <c r="A12" i="237"/>
  <c r="A11" i="237"/>
  <c r="A8" i="237"/>
  <c r="A10" i="237"/>
  <c r="A6" i="237"/>
  <c r="A5" i="237"/>
  <c r="A7" i="237"/>
  <c r="A9" i="237"/>
  <c r="B2" i="15" l="1"/>
  <c r="AQ39" i="255" l="1"/>
  <c r="T39" i="255"/>
  <c r="BG39" i="255"/>
  <c r="K39" i="255"/>
  <c r="Z39" i="255"/>
  <c r="BM39" i="255"/>
  <c r="BH39" i="255"/>
  <c r="AC39" i="255"/>
  <c r="AU39" i="255"/>
  <c r="X39" i="255"/>
  <c r="O39" i="255"/>
  <c r="BD39" i="255"/>
  <c r="AR39" i="255"/>
  <c r="BF39" i="255"/>
  <c r="V39" i="255"/>
  <c r="AH39" i="255"/>
  <c r="AE39" i="255"/>
  <c r="R39" i="255"/>
  <c r="P39" i="255"/>
  <c r="AZ39" i="255"/>
  <c r="BN39" i="255"/>
  <c r="AB39" i="255"/>
  <c r="AW39" i="255"/>
  <c r="BA39" i="255"/>
  <c r="L39" i="255"/>
  <c r="AV39" i="255"/>
  <c r="U39" i="255"/>
  <c r="AS39" i="255"/>
  <c r="BB39" i="255"/>
  <c r="AI39" i="255"/>
  <c r="AN39" i="255"/>
  <c r="BK39" i="255"/>
  <c r="AX39" i="255"/>
  <c r="AA39" i="255"/>
  <c r="N39" i="255"/>
  <c r="AG39" i="255"/>
  <c r="BL39" i="255"/>
  <c r="Y39" i="255"/>
  <c r="BJ39" i="255"/>
  <c r="BI39" i="255"/>
  <c r="AM39" i="255"/>
  <c r="AK39" i="255"/>
  <c r="S39" i="255"/>
  <c r="Q39" i="255"/>
  <c r="M39" i="255"/>
  <c r="AJ39" i="255"/>
  <c r="BC39" i="255"/>
  <c r="AD39" i="255"/>
  <c r="AT39" i="255"/>
  <c r="AP39" i="255"/>
  <c r="AL39" i="255"/>
  <c r="AF39" i="255"/>
  <c r="AO39" i="255"/>
  <c r="BE39" i="255"/>
  <c r="W39" i="255"/>
  <c r="AY39" i="255"/>
  <c r="AV110" i="18"/>
  <c r="Z110" i="18"/>
  <c r="BL110" i="18"/>
  <c r="AP110" i="18"/>
  <c r="V110" i="18"/>
  <c r="BF110" i="18"/>
  <c r="AL110" i="18"/>
  <c r="P110" i="18"/>
  <c r="BB110" i="18"/>
  <c r="AF110" i="18"/>
  <c r="J110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L110" i="18"/>
  <c r="T110" i="18"/>
  <c r="AB110" i="18"/>
  <c r="AJ110" i="18"/>
  <c r="AR110" i="18"/>
  <c r="AZ110" i="18"/>
  <c r="BH110" i="18"/>
  <c r="BN110" i="18"/>
  <c r="BD110" i="18"/>
  <c r="AT110" i="18"/>
  <c r="AH110" i="18"/>
  <c r="X110" i="18"/>
  <c r="N110" i="18"/>
  <c r="BJ110" i="18"/>
  <c r="AX110" i="18"/>
  <c r="AN110" i="18"/>
  <c r="AD110" i="18"/>
  <c r="R110" i="18"/>
  <c r="H110" i="18"/>
  <c r="C29" i="257"/>
  <c r="BF28" i="257"/>
  <c r="BN28" i="257"/>
  <c r="AL28" i="257"/>
  <c r="AO28" i="256"/>
  <c r="BH28" i="256"/>
  <c r="L28" i="256"/>
  <c r="BK28" i="256"/>
  <c r="X28" i="256"/>
  <c r="R28" i="256"/>
  <c r="AR28" i="257"/>
  <c r="AK28" i="256"/>
  <c r="Q28" i="257"/>
  <c r="BI28" i="257"/>
  <c r="S28" i="257"/>
  <c r="AV28" i="257"/>
  <c r="AG28" i="256"/>
  <c r="AJ28" i="256"/>
  <c r="BN28" i="256"/>
  <c r="AV28" i="256"/>
  <c r="AI28" i="257"/>
  <c r="BK28" i="257"/>
  <c r="BA28" i="256"/>
  <c r="AW28" i="257"/>
  <c r="AQ28" i="257"/>
  <c r="AU28" i="257"/>
  <c r="AR28" i="256"/>
  <c r="W28" i="257"/>
  <c r="K28" i="256"/>
  <c r="AG28" i="257"/>
  <c r="R28" i="257"/>
  <c r="X28" i="257"/>
  <c r="AQ28" i="256"/>
  <c r="T28" i="256"/>
  <c r="AT28" i="256"/>
  <c r="AP28" i="257"/>
  <c r="BB28" i="256"/>
  <c r="C29" i="256"/>
  <c r="BM28" i="257"/>
  <c r="BH28" i="257"/>
  <c r="BJ28" i="257"/>
  <c r="U28" i="256"/>
  <c r="S28" i="256"/>
  <c r="Z28" i="256"/>
  <c r="AW28" i="256"/>
  <c r="AL28" i="256"/>
  <c r="T28" i="257"/>
  <c r="N28" i="257"/>
  <c r="M28" i="256"/>
  <c r="M28" i="257"/>
  <c r="BG28" i="257"/>
  <c r="AF28" i="257"/>
  <c r="AB28" i="256"/>
  <c r="BC28" i="256"/>
  <c r="Y28" i="256"/>
  <c r="BI28" i="256"/>
  <c r="AS28" i="256"/>
  <c r="AJ28" i="257"/>
  <c r="AC28" i="256"/>
  <c r="N28" i="256"/>
  <c r="AK28" i="257"/>
  <c r="AH28" i="257"/>
  <c r="AM28" i="257"/>
  <c r="BE28" i="257"/>
  <c r="AF28" i="256"/>
  <c r="K28" i="257"/>
  <c r="Y28" i="257"/>
  <c r="BM28" i="256"/>
  <c r="AH28" i="256"/>
  <c r="P28" i="256"/>
  <c r="BG28" i="256"/>
  <c r="AB28" i="257"/>
  <c r="AN28" i="256"/>
  <c r="AY28" i="256"/>
  <c r="BA28" i="257"/>
  <c r="AP28" i="256"/>
  <c r="AS28" i="257"/>
  <c r="V28" i="257"/>
  <c r="AY28" i="257"/>
  <c r="AO28" i="257"/>
  <c r="W28" i="256"/>
  <c r="AI28" i="256"/>
  <c r="Q28" i="256"/>
  <c r="AA28" i="256"/>
  <c r="AD28" i="256"/>
  <c r="BB28" i="257"/>
  <c r="AU28" i="256"/>
  <c r="AX28" i="256"/>
  <c r="Z28" i="257"/>
  <c r="AX28" i="257"/>
  <c r="BC28" i="257"/>
  <c r="BJ28" i="256"/>
  <c r="BF28" i="256"/>
  <c r="BD28" i="256"/>
  <c r="AN28" i="257"/>
  <c r="AE28" i="256"/>
  <c r="BL28" i="257"/>
  <c r="O28" i="256"/>
  <c r="AZ28" i="257"/>
  <c r="AE28" i="257"/>
  <c r="BD28" i="257"/>
  <c r="AD28" i="257"/>
  <c r="L28" i="257"/>
  <c r="BE28" i="256"/>
  <c r="P28" i="257"/>
  <c r="V28" i="256"/>
  <c r="AZ28" i="256"/>
  <c r="AM28" i="256"/>
  <c r="U28" i="257"/>
  <c r="AT28" i="257"/>
  <c r="BL28" i="256"/>
  <c r="O28" i="257"/>
  <c r="AC28" i="257"/>
  <c r="AA28" i="257"/>
  <c r="AI39" i="256" l="1"/>
  <c r="AB39" i="256"/>
  <c r="BC39" i="256"/>
  <c r="BM39" i="256"/>
  <c r="BA39" i="256"/>
  <c r="W39" i="256"/>
  <c r="AL39" i="256"/>
  <c r="AC39" i="256"/>
  <c r="AS39" i="256"/>
  <c r="AD39" i="256"/>
  <c r="P39" i="256"/>
  <c r="Z39" i="256"/>
  <c r="BK39" i="256"/>
  <c r="BL39" i="256"/>
  <c r="N39" i="256"/>
  <c r="BJ39" i="256"/>
  <c r="AZ39" i="256"/>
  <c r="AT39" i="256"/>
  <c r="Y39" i="256"/>
  <c r="X39" i="256"/>
  <c r="S39" i="256"/>
  <c r="BB39" i="256"/>
  <c r="BE39" i="256"/>
  <c r="AJ39" i="256"/>
  <c r="K39" i="256"/>
  <c r="AV39" i="256"/>
  <c r="AU39" i="256"/>
  <c r="M39" i="256"/>
  <c r="AX39" i="256"/>
  <c r="AM39" i="256"/>
  <c r="R39" i="256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4" i="223"/>
  <c r="A5" i="223"/>
  <c r="A8" i="223"/>
  <c r="A6" i="223"/>
  <c r="A7" i="223"/>
  <c r="A11" i="223"/>
  <c r="A10" i="223"/>
  <c r="A9" i="223"/>
  <c r="A12" i="223"/>
  <c r="A13" i="223"/>
  <c r="A14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Y63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L39" i="257" l="1"/>
  <c r="AK39" i="256"/>
  <c r="BF39" i="256"/>
  <c r="BH39" i="256"/>
  <c r="BN39" i="257"/>
  <c r="AC39" i="257"/>
  <c r="AX39" i="257"/>
  <c r="AI39" i="257"/>
  <c r="AR39" i="256"/>
  <c r="R39" i="257"/>
  <c r="K39" i="257"/>
  <c r="BD39" i="257"/>
  <c r="BB39" i="257"/>
  <c r="X39" i="257"/>
  <c r="AH39" i="257"/>
  <c r="AJ39" i="257"/>
  <c r="AB39" i="257"/>
  <c r="BI39" i="257"/>
  <c r="BE39" i="257"/>
  <c r="Y39" i="257"/>
  <c r="U39" i="257"/>
  <c r="BK39" i="257"/>
  <c r="AM39" i="257"/>
  <c r="AR39" i="257"/>
  <c r="BJ39" i="257"/>
  <c r="AS39" i="257"/>
  <c r="AU39" i="257"/>
  <c r="AL39" i="257"/>
  <c r="BA39" i="257"/>
  <c r="AN39" i="256"/>
  <c r="AO39" i="257"/>
  <c r="BF39" i="257"/>
  <c r="Q39" i="256"/>
  <c r="U39" i="256"/>
  <c r="AD39" i="257"/>
  <c r="AQ39" i="256"/>
  <c r="Z39" i="257"/>
  <c r="AG39" i="257"/>
  <c r="AE39" i="257"/>
  <c r="Q39" i="257"/>
  <c r="BL39" i="257"/>
  <c r="AY39" i="257"/>
  <c r="AP39" i="256"/>
  <c r="AQ39" i="257"/>
  <c r="AH39" i="256"/>
  <c r="O39" i="256"/>
  <c r="P39" i="257"/>
  <c r="AT39" i="257"/>
  <c r="W39" i="257"/>
  <c r="AF39" i="256"/>
  <c r="AN39" i="257"/>
  <c r="S39" i="257"/>
  <c r="AG39" i="256"/>
  <c r="AW39" i="256"/>
  <c r="BM39" i="257"/>
  <c r="AV39" i="257"/>
  <c r="BC39" i="257"/>
  <c r="BG39" i="256"/>
  <c r="AF39" i="257"/>
  <c r="AW39" i="257"/>
  <c r="M39" i="257"/>
  <c r="AE39" i="256"/>
  <c r="BD39" i="256"/>
  <c r="AO39" i="256"/>
  <c r="BN39" i="256"/>
  <c r="AA39" i="256"/>
  <c r="T39" i="256"/>
  <c r="T39" i="257"/>
  <c r="V39" i="257"/>
  <c r="L39" i="256"/>
  <c r="AP39" i="257"/>
  <c r="AY39" i="256"/>
  <c r="BG39" i="257"/>
  <c r="V39" i="256"/>
  <c r="AK39" i="257"/>
  <c r="N39" i="257"/>
  <c r="W59" i="14"/>
  <c r="V13" i="14"/>
  <c r="V59" i="14"/>
  <c r="V54" i="14"/>
  <c r="V35" i="14"/>
  <c r="V41" i="14"/>
  <c r="T13" i="14"/>
  <c r="T59" i="14"/>
  <c r="T54" i="14"/>
  <c r="T35" i="14"/>
  <c r="T41" i="14"/>
  <c r="W54" i="14"/>
  <c r="W35" i="14"/>
  <c r="W41" i="14"/>
  <c r="U13" i="14"/>
  <c r="U59" i="14"/>
  <c r="U54" i="14"/>
  <c r="U35" i="14"/>
  <c r="U41" i="14"/>
  <c r="W13" i="14"/>
  <c r="BN25" i="1"/>
  <c r="BN30" i="1"/>
  <c r="BM25" i="1"/>
  <c r="BM30" i="1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V25" i="1"/>
  <c r="V36" i="1" s="1"/>
  <c r="AK25" i="1"/>
  <c r="AK36" i="1" s="1"/>
  <c r="BK25" i="1"/>
  <c r="AA25" i="1"/>
  <c r="AA36" i="1" s="1"/>
  <c r="AB25" i="1"/>
  <c r="AB36" i="1" s="1"/>
  <c r="AM25" i="1"/>
  <c r="AM36" i="1" s="1"/>
  <c r="AI25" i="1"/>
  <c r="AI36" i="1" s="1"/>
  <c r="BL25" i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U7" i="14"/>
  <c r="W4" i="14"/>
  <c r="W5" i="14"/>
  <c r="T7" i="14"/>
  <c r="U5" i="14"/>
  <c r="V7" i="14"/>
  <c r="T4" i="14"/>
  <c r="V5" i="14"/>
  <c r="U4" i="14"/>
  <c r="T5" i="14"/>
  <c r="V4" i="14"/>
  <c r="W7" i="14"/>
  <c r="F8" i="256"/>
  <c r="BC28" i="252"/>
  <c r="BJ2" i="259"/>
  <c r="F5" i="260"/>
  <c r="I10" i="260"/>
  <c r="BB28" i="252"/>
  <c r="AB28" i="255"/>
  <c r="BK28" i="251"/>
  <c r="AH2" i="254"/>
  <c r="BE2" i="255"/>
  <c r="AY28" i="253"/>
  <c r="AP28" i="252"/>
  <c r="O2" i="253"/>
  <c r="F12" i="260"/>
  <c r="L28" i="255"/>
  <c r="AC28" i="253"/>
  <c r="AJ2" i="255"/>
  <c r="N2" i="261"/>
  <c r="F4" i="251"/>
  <c r="F12" i="250"/>
  <c r="H2" i="261"/>
  <c r="I16" i="254"/>
  <c r="BL28" i="255"/>
  <c r="AU28" i="252"/>
  <c r="I9" i="258"/>
  <c r="T2" i="259"/>
  <c r="G2" i="257"/>
  <c r="U2" i="251"/>
  <c r="AT2" i="256"/>
  <c r="I20" i="260"/>
  <c r="AY2" i="258"/>
  <c r="C29" i="255"/>
  <c r="F6" i="257"/>
  <c r="L2" i="259"/>
  <c r="M28" i="253"/>
  <c r="BE2" i="256"/>
  <c r="BD2" i="258"/>
  <c r="I18" i="259"/>
  <c r="Z28" i="255"/>
  <c r="I10" i="254"/>
  <c r="BJ2" i="261"/>
  <c r="Z2" i="261"/>
  <c r="BE2" i="260"/>
  <c r="I22" i="258"/>
  <c r="T2" i="253"/>
  <c r="F19" i="250"/>
  <c r="AO28" i="255"/>
  <c r="BA2" i="258"/>
  <c r="Z28" i="251"/>
  <c r="AW2" i="257"/>
  <c r="I2" i="261"/>
  <c r="M2" i="259"/>
  <c r="I14" i="255"/>
  <c r="T28" i="250"/>
  <c r="AM28" i="255"/>
  <c r="X2" i="250"/>
  <c r="I21" i="258"/>
  <c r="AR2" i="250"/>
  <c r="AE2" i="253"/>
  <c r="H2" i="253"/>
  <c r="W2" i="257"/>
  <c r="AT2" i="260"/>
  <c r="F17" i="259"/>
  <c r="AE28" i="255"/>
  <c r="C30" i="257"/>
  <c r="F11" i="251"/>
  <c r="F8" i="253"/>
  <c r="X2" i="251"/>
  <c r="F17" i="258"/>
  <c r="BA2" i="251"/>
  <c r="AA28" i="255"/>
  <c r="AY2" i="259"/>
  <c r="AF28" i="252"/>
  <c r="AP2" i="257"/>
  <c r="AT2" i="259"/>
  <c r="J2" i="261"/>
  <c r="BA2" i="260"/>
  <c r="P28" i="253"/>
  <c r="V28" i="255"/>
  <c r="Z2" i="253"/>
  <c r="Z28" i="253"/>
  <c r="BB2" i="260"/>
  <c r="I18" i="258"/>
  <c r="I17" i="257"/>
  <c r="F15" i="253"/>
  <c r="BB2" i="258"/>
  <c r="U2" i="261"/>
  <c r="Y28" i="252"/>
  <c r="F8" i="255"/>
  <c r="U2" i="253"/>
  <c r="AG2" i="261"/>
  <c r="F7" i="261"/>
  <c r="AB28" i="252"/>
  <c r="AK2" i="255"/>
  <c r="F6" i="254"/>
  <c r="BA28" i="251"/>
  <c r="AP28" i="255"/>
  <c r="W28" i="252"/>
  <c r="I4" i="259"/>
  <c r="AF2" i="257"/>
  <c r="AU28" i="253"/>
  <c r="F11" i="253"/>
  <c r="I5" i="257"/>
  <c r="I5" i="250"/>
  <c r="I11" i="254"/>
  <c r="AH2" i="256"/>
  <c r="AZ2" i="260"/>
  <c r="W2" i="251"/>
  <c r="F16" i="259"/>
  <c r="I8" i="260"/>
  <c r="AF28" i="253"/>
  <c r="AN28" i="252"/>
  <c r="BL28" i="253"/>
  <c r="X2" i="259"/>
  <c r="R28" i="250"/>
  <c r="AT28" i="255"/>
  <c r="AA2" i="257"/>
  <c r="BA2" i="250"/>
  <c r="F13" i="253"/>
  <c r="I9" i="253"/>
  <c r="AF2" i="255"/>
  <c r="F18" i="251"/>
  <c r="AK28" i="255"/>
  <c r="AD2" i="252"/>
  <c r="I4" i="253"/>
  <c r="F17" i="260"/>
  <c r="T2" i="256"/>
  <c r="S28" i="252"/>
  <c r="BH2" i="258"/>
  <c r="I2" i="253"/>
  <c r="AI28" i="255"/>
  <c r="S2" i="258"/>
  <c r="F21" i="250"/>
  <c r="F20" i="253"/>
  <c r="I17" i="253"/>
  <c r="J2" i="255"/>
  <c r="AP2" i="251"/>
  <c r="F14" i="255"/>
  <c r="N28" i="255"/>
  <c r="I13" i="261"/>
  <c r="BB28" i="251"/>
  <c r="AG2" i="256"/>
  <c r="R2" i="250"/>
  <c r="I21" i="251"/>
  <c r="AM2" i="259"/>
  <c r="AM2" i="254"/>
  <c r="AM2" i="258"/>
  <c r="X28" i="255"/>
  <c r="W2" i="255"/>
  <c r="I12" i="252"/>
  <c r="AS2" i="250"/>
  <c r="I6" i="253"/>
  <c r="X2" i="256"/>
  <c r="BI2" i="250"/>
  <c r="BN28" i="255"/>
  <c r="F20" i="257"/>
  <c r="F16" i="253"/>
  <c r="I15" i="254"/>
  <c r="AA2" i="252"/>
  <c r="I9" i="259"/>
  <c r="Q2" i="260"/>
  <c r="G2" i="254"/>
  <c r="AL28" i="255"/>
  <c r="K2" i="258"/>
  <c r="AX2" i="254"/>
  <c r="C30" i="261"/>
  <c r="I8" i="261"/>
  <c r="AN2" i="251"/>
  <c r="AF2" i="250"/>
  <c r="AQ2" i="261"/>
  <c r="AV28" i="255"/>
  <c r="BJ2" i="254"/>
  <c r="Z28" i="250"/>
  <c r="AU2" i="251"/>
  <c r="BB2" i="256"/>
  <c r="I13" i="255"/>
  <c r="P2" i="257"/>
  <c r="I10" i="257"/>
  <c r="F24" i="261"/>
  <c r="T28" i="255"/>
  <c r="F14" i="258"/>
  <c r="I7" i="259"/>
  <c r="AR2" i="261"/>
  <c r="BB2" i="261"/>
  <c r="F18" i="258"/>
  <c r="AU28" i="255"/>
  <c r="AL2" i="251"/>
  <c r="AU2" i="256"/>
  <c r="F11" i="261"/>
  <c r="V2" i="257"/>
  <c r="AL28" i="253"/>
  <c r="I19" i="261"/>
  <c r="AK2" i="252"/>
  <c r="AF28" i="255"/>
  <c r="T2" i="260"/>
  <c r="AV2" i="256"/>
  <c r="F3" i="258"/>
  <c r="BK2" i="261"/>
  <c r="L2" i="254"/>
  <c r="AA2" i="251"/>
  <c r="F5" i="258"/>
  <c r="M28" i="255"/>
  <c r="I15" i="259"/>
  <c r="BC2" i="255"/>
  <c r="F16" i="258"/>
  <c r="BK2" i="251"/>
  <c r="F11" i="256"/>
  <c r="R2" i="252"/>
  <c r="AZ2" i="259"/>
  <c r="L28" i="253"/>
  <c r="Y28" i="255"/>
  <c r="AT28" i="253"/>
  <c r="X2" i="261"/>
  <c r="F13" i="255"/>
  <c r="M2" i="256"/>
  <c r="BA28" i="253"/>
  <c r="AV2" i="257"/>
  <c r="AX28" i="253"/>
  <c r="X28" i="253"/>
  <c r="F4" i="260"/>
  <c r="F9" i="255"/>
  <c r="BD2" i="253"/>
  <c r="BN2" i="253"/>
  <c r="AO2" i="250"/>
  <c r="AP2" i="256"/>
  <c r="I18" i="261"/>
  <c r="S28" i="253"/>
  <c r="AE28" i="253"/>
  <c r="BI28" i="255"/>
  <c r="O2" i="258"/>
  <c r="O28" i="255"/>
  <c r="F18" i="256"/>
  <c r="BH28" i="255"/>
  <c r="AY2" i="252"/>
  <c r="X2" i="258"/>
  <c r="G2" i="258"/>
  <c r="BI28" i="252"/>
  <c r="AK2" i="250"/>
  <c r="AZ2" i="261"/>
  <c r="I22" i="259"/>
  <c r="I22" i="251"/>
  <c r="F5" i="252"/>
  <c r="U28" i="255"/>
  <c r="AM2" i="260"/>
  <c r="I15" i="255"/>
  <c r="I20" i="257"/>
  <c r="AS2" i="254"/>
  <c r="AS2" i="259"/>
  <c r="U2" i="252"/>
  <c r="AW28" i="255"/>
  <c r="AX2" i="256"/>
  <c r="W2" i="254"/>
  <c r="AJ2" i="256"/>
  <c r="AA2" i="256"/>
  <c r="BM28" i="253"/>
  <c r="BI2" i="255"/>
  <c r="AE2" i="256"/>
  <c r="W28" i="255"/>
  <c r="I6" i="254"/>
  <c r="AW2" i="251"/>
  <c r="I5" i="255"/>
  <c r="V2" i="259"/>
  <c r="Y2" i="256"/>
  <c r="AP2" i="253"/>
  <c r="AR28" i="252"/>
  <c r="BE28" i="255"/>
  <c r="BC2" i="257"/>
  <c r="BN2" i="254"/>
  <c r="S2" i="257"/>
  <c r="R28" i="253"/>
  <c r="AO2" i="258"/>
  <c r="F16" i="260"/>
  <c r="AE2" i="261"/>
  <c r="F21" i="261"/>
  <c r="BA28" i="255"/>
  <c r="O2" i="254"/>
  <c r="AZ2" i="258"/>
  <c r="I21" i="252"/>
  <c r="AW2" i="261"/>
  <c r="AE2" i="258"/>
  <c r="F11" i="260"/>
  <c r="BM28" i="255"/>
  <c r="N28" i="251"/>
  <c r="K2" i="256"/>
  <c r="F6" i="259"/>
  <c r="Y2" i="260"/>
  <c r="BD2" i="256"/>
  <c r="U2" i="254"/>
  <c r="F13" i="257"/>
  <c r="BJ28" i="255"/>
  <c r="J2" i="253"/>
  <c r="AM2" i="251"/>
  <c r="BF2" i="259"/>
  <c r="AA28" i="253"/>
  <c r="AG2" i="253"/>
  <c r="AG2" i="252"/>
  <c r="I12" i="261"/>
  <c r="AZ28" i="255"/>
  <c r="F24" i="260"/>
  <c r="AJ2" i="258"/>
  <c r="AN2" i="257"/>
  <c r="BF2" i="261"/>
  <c r="AF2" i="256"/>
  <c r="N2" i="259"/>
  <c r="I9" i="255"/>
  <c r="AD28" i="255"/>
  <c r="I16" i="261"/>
  <c r="F19" i="261"/>
  <c r="F9" i="261"/>
  <c r="BI28" i="253"/>
  <c r="AO2" i="255"/>
  <c r="AF2" i="258"/>
  <c r="AC28" i="255"/>
  <c r="AB28" i="253"/>
  <c r="K2" i="253"/>
  <c r="BM2" i="260"/>
  <c r="AU28" i="251"/>
  <c r="BN2" i="256"/>
  <c r="F22" i="259"/>
  <c r="F7" i="255"/>
  <c r="AY28" i="255"/>
  <c r="K2" i="259"/>
  <c r="AN28" i="250"/>
  <c r="H2" i="260"/>
  <c r="W2" i="259"/>
  <c r="I14" i="258"/>
  <c r="I16" i="251"/>
  <c r="V2" i="258"/>
  <c r="BF28" i="255"/>
  <c r="F23" i="250"/>
  <c r="BG2" i="258"/>
  <c r="F14" i="257"/>
  <c r="F20" i="259"/>
  <c r="I17" i="261"/>
  <c r="AT2" i="257"/>
  <c r="BJ28" i="252"/>
  <c r="S2" i="261"/>
  <c r="BA2" i="254"/>
  <c r="F15" i="261"/>
  <c r="F5" i="261"/>
  <c r="BI2" i="254"/>
  <c r="AI28" i="251"/>
  <c r="F10" i="258"/>
  <c r="AW2" i="256"/>
  <c r="BJ2" i="256"/>
  <c r="AW2" i="250"/>
  <c r="BA2" i="253"/>
  <c r="BI28" i="250"/>
  <c r="F22" i="253"/>
  <c r="I9" i="256"/>
  <c r="W2" i="258"/>
  <c r="AG28" i="252"/>
  <c r="F10" i="253"/>
  <c r="I22" i="261"/>
  <c r="F10" i="259"/>
  <c r="R2" i="256"/>
  <c r="AL2" i="260"/>
  <c r="F4" i="261"/>
  <c r="AW2" i="254"/>
  <c r="AU2" i="259"/>
  <c r="I13" i="254"/>
  <c r="S28" i="250"/>
  <c r="AI2" i="261"/>
  <c r="I5" i="261"/>
  <c r="AK28" i="253"/>
  <c r="P2" i="253"/>
  <c r="I6" i="252"/>
  <c r="AV28" i="252"/>
  <c r="BL2" i="257"/>
  <c r="BJ28" i="251"/>
  <c r="N2" i="258"/>
  <c r="L2" i="256"/>
  <c r="F18" i="257"/>
  <c r="I6" i="261"/>
  <c r="AN28" i="255"/>
  <c r="F16" i="256"/>
  <c r="AJ2" i="260"/>
  <c r="BH28" i="252"/>
  <c r="I6" i="250"/>
  <c r="AH2" i="252"/>
  <c r="BD28" i="255"/>
  <c r="F3" i="255"/>
  <c r="BB28" i="255"/>
  <c r="BG28" i="253"/>
  <c r="I5" i="259"/>
  <c r="I11" i="257"/>
  <c r="P28" i="255"/>
  <c r="AB2" i="252"/>
  <c r="R28" i="255"/>
  <c r="I7" i="257"/>
  <c r="BG28" i="255"/>
  <c r="F6" i="260"/>
  <c r="F13" i="250"/>
  <c r="I6" i="257"/>
  <c r="X2" i="254"/>
  <c r="BI2" i="261"/>
  <c r="BC2" i="254"/>
  <c r="Z2" i="258"/>
  <c r="H2" i="254"/>
  <c r="G2" i="255"/>
  <c r="I18" i="250"/>
  <c r="F23" i="255"/>
  <c r="AJ2" i="261"/>
  <c r="P2" i="256"/>
  <c r="AE2" i="257"/>
  <c r="C30" i="259"/>
  <c r="F14" i="260"/>
  <c r="F16" i="255"/>
  <c r="AD2" i="257"/>
  <c r="AD2" i="250"/>
  <c r="I20" i="253"/>
  <c r="AE2" i="259"/>
  <c r="AN2" i="256"/>
  <c r="AC2" i="252"/>
  <c r="AW28" i="253"/>
  <c r="I22" i="255"/>
  <c r="AI2" i="259"/>
  <c r="J2" i="257"/>
  <c r="BM2" i="259"/>
  <c r="I3" i="253"/>
  <c r="F23" i="253"/>
  <c r="I22" i="254"/>
  <c r="AM2" i="252"/>
  <c r="F11" i="250"/>
  <c r="AR2" i="251"/>
  <c r="I12" i="259"/>
  <c r="I3" i="259"/>
  <c r="F11" i="258"/>
  <c r="AV2" i="250"/>
  <c r="BM2" i="258"/>
  <c r="F14" i="261"/>
  <c r="AB28" i="250"/>
  <c r="F14" i="259"/>
  <c r="F24" i="258"/>
  <c r="I14" i="261"/>
  <c r="I6" i="258"/>
  <c r="P2" i="259"/>
  <c r="AE2" i="251"/>
  <c r="AN2" i="261"/>
  <c r="BA2" i="256"/>
  <c r="M2" i="255"/>
  <c r="N2" i="255"/>
  <c r="BL2" i="254"/>
  <c r="U2" i="250"/>
  <c r="I11" i="252"/>
  <c r="F24" i="251"/>
  <c r="F8" i="259"/>
  <c r="AT2" i="261"/>
  <c r="AI28" i="253"/>
  <c r="I15" i="260"/>
  <c r="AW2" i="252"/>
  <c r="F16" i="261"/>
  <c r="AQ2" i="253"/>
  <c r="F15" i="258"/>
  <c r="AS2" i="258"/>
  <c r="AU2" i="258"/>
  <c r="BG28" i="252"/>
  <c r="BE2" i="252"/>
  <c r="AK2" i="259"/>
  <c r="I17" i="254"/>
  <c r="AT2" i="255"/>
  <c r="BH28" i="253"/>
  <c r="BL2" i="259"/>
  <c r="BH2" i="254"/>
  <c r="AP2" i="260"/>
  <c r="BA2" i="252"/>
  <c r="F7" i="256"/>
  <c r="AR28" i="255"/>
  <c r="I10" i="256"/>
  <c r="AW2" i="258"/>
  <c r="F4" i="256"/>
  <c r="F12" i="259"/>
  <c r="BE2" i="254"/>
  <c r="R2" i="260"/>
  <c r="Q28" i="252"/>
  <c r="BN2" i="251"/>
  <c r="F14" i="256"/>
  <c r="I17" i="256"/>
  <c r="AH2" i="260"/>
  <c r="K28" i="255"/>
  <c r="Z28" i="252"/>
  <c r="I20" i="259"/>
  <c r="I19" i="260"/>
  <c r="I10" i="250"/>
  <c r="I13" i="250"/>
  <c r="I10" i="261"/>
  <c r="O2" i="261"/>
  <c r="BN2" i="255"/>
  <c r="V28" i="253"/>
  <c r="AT28" i="252"/>
  <c r="AD2" i="258"/>
  <c r="F13" i="252"/>
  <c r="U2" i="256"/>
  <c r="AM2" i="255"/>
  <c r="S2" i="260"/>
  <c r="AL2" i="256"/>
  <c r="BL28" i="252"/>
  <c r="F5" i="250"/>
  <c r="I22" i="257"/>
  <c r="AR2" i="257"/>
  <c r="BK2" i="257"/>
  <c r="BI2" i="258"/>
  <c r="F21" i="260"/>
  <c r="F16" i="257"/>
  <c r="AQ28" i="255"/>
  <c r="T2" i="257"/>
  <c r="AJ28" i="255"/>
  <c r="AC2" i="253"/>
  <c r="S28" i="255"/>
  <c r="AI2" i="254"/>
  <c r="BK2" i="250"/>
  <c r="F22" i="260"/>
  <c r="L2" i="258"/>
  <c r="F11" i="259"/>
  <c r="I6" i="260"/>
  <c r="AZ2" i="252"/>
  <c r="I13" i="253"/>
  <c r="AY2" i="257"/>
  <c r="O2" i="251"/>
  <c r="I13" i="256"/>
  <c r="F19" i="260"/>
  <c r="C30" i="256"/>
  <c r="AT2" i="258"/>
  <c r="S2" i="255"/>
  <c r="F3" i="257"/>
  <c r="AE2" i="252"/>
  <c r="AZ2" i="257"/>
  <c r="AG2" i="260"/>
  <c r="AU2" i="257"/>
  <c r="F7" i="253"/>
  <c r="I4" i="260"/>
  <c r="I10" i="253"/>
  <c r="AX2" i="259"/>
  <c r="I13" i="257"/>
  <c r="AS2" i="261"/>
  <c r="AR2" i="260"/>
  <c r="BM2" i="257"/>
  <c r="BE28" i="251"/>
  <c r="BB28" i="253"/>
  <c r="AG2" i="257"/>
  <c r="AG2" i="258"/>
  <c r="AP2" i="254"/>
  <c r="S28" i="251"/>
  <c r="F6" i="252"/>
  <c r="F5" i="254"/>
  <c r="AX28" i="252"/>
  <c r="F8" i="254"/>
  <c r="F6" i="261"/>
  <c r="H2" i="258"/>
  <c r="F19" i="253"/>
  <c r="AX2" i="250"/>
  <c r="AG2" i="250"/>
  <c r="BI2" i="251"/>
  <c r="L28" i="251"/>
  <c r="F15" i="255"/>
  <c r="AH2" i="258"/>
  <c r="F14" i="250"/>
  <c r="I21" i="261"/>
  <c r="F12" i="252"/>
  <c r="AD2" i="251"/>
  <c r="F10" i="252"/>
  <c r="AA2" i="254"/>
  <c r="AH2" i="253"/>
  <c r="AP2" i="252"/>
  <c r="BN28" i="253"/>
  <c r="I7" i="258"/>
  <c r="AH28" i="251"/>
  <c r="U28" i="250"/>
  <c r="I3" i="252"/>
  <c r="F21" i="255"/>
  <c r="F4" i="254"/>
  <c r="Z2" i="257"/>
  <c r="I15" i="257"/>
  <c r="F8" i="260"/>
  <c r="AU2" i="253"/>
  <c r="F21" i="256"/>
  <c r="BB2" i="254"/>
  <c r="AX28" i="255"/>
  <c r="F18" i="253"/>
  <c r="BI2" i="256"/>
  <c r="U2" i="259"/>
  <c r="F20" i="258"/>
  <c r="AD2" i="255"/>
  <c r="AP2" i="261"/>
  <c r="AR2" i="259"/>
  <c r="BC28" i="255"/>
  <c r="AP28" i="253"/>
  <c r="AV2" i="259"/>
  <c r="AM28" i="252"/>
  <c r="M2" i="257"/>
  <c r="F10" i="257"/>
  <c r="AL2" i="258"/>
  <c r="I19" i="257"/>
  <c r="S2" i="251"/>
  <c r="I15" i="261"/>
  <c r="Q28" i="251"/>
  <c r="AI2" i="253"/>
  <c r="W28" i="251"/>
  <c r="I19" i="251"/>
  <c r="I3" i="257"/>
  <c r="F21" i="257"/>
  <c r="AK28" i="250"/>
  <c r="AK2" i="258"/>
  <c r="F8" i="258"/>
  <c r="K2" i="254"/>
  <c r="I12" i="257"/>
  <c r="AF2" i="259"/>
  <c r="I11" i="259"/>
  <c r="F4" i="252"/>
  <c r="F15" i="252"/>
  <c r="T28" i="253"/>
  <c r="AL2" i="259"/>
  <c r="AF2" i="260"/>
  <c r="F9" i="260"/>
  <c r="BK2" i="253"/>
  <c r="BC2" i="259"/>
  <c r="F6" i="255"/>
  <c r="BE28" i="252"/>
  <c r="T2" i="251"/>
  <c r="F14" i="251"/>
  <c r="I12" i="251"/>
  <c r="F22" i="255"/>
  <c r="I13" i="260"/>
  <c r="BD2" i="260"/>
  <c r="N2" i="260"/>
  <c r="BN2" i="259"/>
  <c r="BB2" i="255"/>
  <c r="I21" i="254"/>
  <c r="Q28" i="255"/>
  <c r="BG2" i="261"/>
  <c r="AM2" i="261"/>
  <c r="AO2" i="256"/>
  <c r="G2" i="259"/>
  <c r="F6" i="251"/>
  <c r="AM2" i="256"/>
  <c r="M2" i="261"/>
  <c r="BA28" i="252"/>
  <c r="Z2" i="256"/>
  <c r="AN2" i="259"/>
  <c r="G2" i="260"/>
  <c r="F13" i="261"/>
  <c r="AH28" i="250"/>
  <c r="F15" i="257"/>
  <c r="BK2" i="256"/>
  <c r="Q2" i="250"/>
  <c r="F19" i="256"/>
  <c r="O28" i="253"/>
  <c r="Y2" i="251"/>
  <c r="BF2" i="250"/>
  <c r="F15" i="260"/>
  <c r="AO28" i="253"/>
  <c r="I13" i="258"/>
  <c r="F12" i="256"/>
  <c r="BN28" i="252"/>
  <c r="BC28" i="253"/>
  <c r="F3" i="252"/>
  <c r="K2" i="251"/>
  <c r="Q2" i="251"/>
  <c r="BJ2" i="255"/>
  <c r="BL2" i="258"/>
  <c r="I15" i="256"/>
  <c r="AS2" i="260"/>
  <c r="AL28" i="252"/>
  <c r="AF2" i="254"/>
  <c r="I11" i="256"/>
  <c r="I14" i="254"/>
  <c r="L2" i="260"/>
  <c r="AD28" i="252"/>
  <c r="O2" i="256"/>
  <c r="F24" i="253"/>
  <c r="F13" i="259"/>
  <c r="BG2" i="257"/>
  <c r="AJ2" i="259"/>
  <c r="BF28" i="252"/>
  <c r="AC2" i="260"/>
  <c r="AN28" i="253"/>
  <c r="F13" i="260"/>
  <c r="C30" i="253"/>
  <c r="I17" i="258"/>
  <c r="AY2" i="256"/>
  <c r="AV2" i="251"/>
  <c r="F3" i="254"/>
  <c r="I3" i="261"/>
  <c r="AW2" i="253"/>
  <c r="F23" i="252"/>
  <c r="F9" i="259"/>
  <c r="X28" i="251"/>
  <c r="J2" i="260"/>
  <c r="I9" i="260"/>
  <c r="AV2" i="253"/>
  <c r="BH2" i="260"/>
  <c r="F23" i="261"/>
  <c r="BA28" i="250"/>
  <c r="F22" i="251"/>
  <c r="AQ2" i="257"/>
  <c r="I10" i="252"/>
  <c r="F20" i="260"/>
  <c r="AH2" i="261"/>
  <c r="I14" i="257"/>
  <c r="I18" i="251"/>
  <c r="AQ2" i="256"/>
  <c r="I8" i="258"/>
  <c r="AS28" i="252"/>
  <c r="N2" i="254"/>
  <c r="F16" i="251"/>
  <c r="G2" i="253"/>
  <c r="F5" i="259"/>
  <c r="I11" i="250"/>
  <c r="AW28" i="251"/>
  <c r="I20" i="252"/>
  <c r="AN2" i="260"/>
  <c r="AI2" i="255"/>
  <c r="AH2" i="259"/>
  <c r="AK2" i="257"/>
  <c r="V2" i="256"/>
  <c r="W28" i="250"/>
  <c r="BL28" i="250"/>
  <c r="BG2" i="256"/>
  <c r="I5" i="256"/>
  <c r="U2" i="260"/>
  <c r="K2" i="260"/>
  <c r="BL2" i="252"/>
  <c r="O2" i="252"/>
  <c r="AX2" i="255"/>
  <c r="I14" i="260"/>
  <c r="AV2" i="258"/>
  <c r="I17" i="260"/>
  <c r="BE2" i="258"/>
  <c r="Q2" i="257"/>
  <c r="I22" i="253"/>
  <c r="BH2" i="253"/>
  <c r="Y28" i="250"/>
  <c r="J2" i="259"/>
  <c r="F5" i="253"/>
  <c r="BE2" i="259"/>
  <c r="F24" i="259"/>
  <c r="AC2" i="256"/>
  <c r="I2" i="255"/>
  <c r="AQ28" i="252"/>
  <c r="L2" i="253"/>
  <c r="V2" i="251"/>
  <c r="F14" i="252"/>
  <c r="AQ2" i="259"/>
  <c r="F19" i="252"/>
  <c r="N2" i="257"/>
  <c r="I22" i="260"/>
  <c r="AZ2" i="250"/>
  <c r="P2" i="261"/>
  <c r="AI2" i="250"/>
  <c r="I16" i="258"/>
  <c r="P2" i="258"/>
  <c r="AG2" i="254"/>
  <c r="F22" i="257"/>
  <c r="O2" i="257"/>
  <c r="I2" i="257"/>
  <c r="F13" i="251"/>
  <c r="AM28" i="253"/>
  <c r="I2" i="252"/>
  <c r="AU2" i="261"/>
  <c r="F17" i="256"/>
  <c r="AY2" i="254"/>
  <c r="S2" i="254"/>
  <c r="Z2" i="255"/>
  <c r="BN28" i="251"/>
  <c r="T2" i="250"/>
  <c r="H2" i="250"/>
  <c r="I18" i="257"/>
  <c r="AB2" i="257"/>
  <c r="AM2" i="253"/>
  <c r="F24" i="250"/>
  <c r="C29" i="251"/>
  <c r="BB2" i="257"/>
  <c r="I8" i="255"/>
  <c r="K2" i="257"/>
  <c r="AR2" i="256"/>
  <c r="J2" i="250"/>
  <c r="I7" i="250"/>
  <c r="F11" i="257"/>
  <c r="F6" i="256"/>
  <c r="I3" i="254"/>
  <c r="AG2" i="255"/>
  <c r="I12" i="258"/>
  <c r="F4" i="259"/>
  <c r="I17" i="259"/>
  <c r="BH2" i="261"/>
  <c r="BJ2" i="257"/>
  <c r="G2" i="250"/>
  <c r="AZ28" i="253"/>
  <c r="F12" i="255"/>
  <c r="BH2" i="250"/>
  <c r="BL2" i="255"/>
  <c r="AR2" i="252"/>
  <c r="R2" i="261"/>
  <c r="BH2" i="259"/>
  <c r="F21" i="254"/>
  <c r="V28" i="252"/>
  <c r="BE2" i="253"/>
  <c r="AV2" i="260"/>
  <c r="F13" i="256"/>
  <c r="Y28" i="253"/>
  <c r="Z2" i="254"/>
  <c r="X2" i="257"/>
  <c r="I8" i="259"/>
  <c r="BJ28" i="250"/>
  <c r="AP2" i="255"/>
  <c r="AO2" i="259"/>
  <c r="J2" i="258"/>
  <c r="BN2" i="252"/>
  <c r="BK28" i="250"/>
  <c r="AR28" i="253"/>
  <c r="AO28" i="250"/>
  <c r="I18" i="260"/>
  <c r="F22" i="256"/>
  <c r="U2" i="255"/>
  <c r="BH2" i="252"/>
  <c r="AE2" i="260"/>
  <c r="BG2" i="252"/>
  <c r="AX28" i="251"/>
  <c r="AU2" i="255"/>
  <c r="AW28" i="250"/>
  <c r="AJ28" i="252"/>
  <c r="F21" i="258"/>
  <c r="AH2" i="257"/>
  <c r="F10" i="255"/>
  <c r="I19" i="259"/>
  <c r="BH2" i="257"/>
  <c r="AQ28" i="251"/>
  <c r="I11" i="258"/>
  <c r="AG28" i="255"/>
  <c r="F23" i="254"/>
  <c r="U28" i="253"/>
  <c r="I12" i="254"/>
  <c r="BB2" i="250"/>
  <c r="H2" i="259"/>
  <c r="F4" i="258"/>
  <c r="N28" i="250"/>
  <c r="I9" i="257"/>
  <c r="I3" i="258"/>
  <c r="BL2" i="256"/>
  <c r="W2" i="256"/>
  <c r="AN2" i="252"/>
  <c r="I5" i="258"/>
  <c r="AC2" i="259"/>
  <c r="V2" i="252"/>
  <c r="BB2" i="253"/>
  <c r="L2" i="250"/>
  <c r="T2" i="252"/>
  <c r="F10" i="250"/>
  <c r="F15" i="254"/>
  <c r="Z2" i="251"/>
  <c r="F7" i="250"/>
  <c r="I20" i="255"/>
  <c r="I18" i="252"/>
  <c r="BM2" i="255"/>
  <c r="AL28" i="250"/>
  <c r="I10" i="259"/>
  <c r="X28" i="252"/>
  <c r="BL2" i="253"/>
  <c r="I4" i="254"/>
  <c r="AS28" i="255"/>
  <c r="BM2" i="261"/>
  <c r="AU2" i="252"/>
  <c r="AD2" i="259"/>
  <c r="AY2" i="250"/>
  <c r="AV2" i="254"/>
  <c r="BM28" i="251"/>
  <c r="K2" i="255"/>
  <c r="F22" i="252"/>
  <c r="AN2" i="254"/>
  <c r="K28" i="253"/>
  <c r="BA2" i="259"/>
  <c r="F14" i="254"/>
  <c r="BE2" i="261"/>
  <c r="I6" i="259"/>
  <c r="I9" i="252"/>
  <c r="L28" i="252"/>
  <c r="I11" i="255"/>
  <c r="F20" i="255"/>
  <c r="AW2" i="255"/>
  <c r="AG2" i="251"/>
  <c r="I10" i="255"/>
  <c r="P2" i="254"/>
  <c r="BF2" i="256"/>
  <c r="I12" i="253"/>
  <c r="AC2" i="255"/>
  <c r="BI2" i="259"/>
  <c r="AD28" i="250"/>
  <c r="AS28" i="254"/>
  <c r="AP28" i="254"/>
  <c r="M28" i="254"/>
  <c r="AN28" i="254"/>
  <c r="Y2" i="257"/>
  <c r="BH2" i="255"/>
  <c r="AX28" i="250"/>
  <c r="BA2" i="255"/>
  <c r="W2" i="252"/>
  <c r="BH2" i="256"/>
  <c r="K2" i="250"/>
  <c r="K41" i="255"/>
  <c r="AU28" i="254"/>
  <c r="F24" i="255"/>
  <c r="BD2" i="254"/>
  <c r="AH28" i="253"/>
  <c r="F21" i="253"/>
  <c r="F23" i="258"/>
  <c r="H2" i="251"/>
  <c r="T28" i="251"/>
  <c r="AX2" i="261"/>
  <c r="F13" i="258"/>
  <c r="AQ2" i="254"/>
  <c r="O2" i="250"/>
  <c r="Y2" i="250"/>
  <c r="BL28" i="251"/>
  <c r="BB2" i="251"/>
  <c r="BG2" i="253"/>
  <c r="AD2" i="261"/>
  <c r="BK2" i="255"/>
  <c r="AP2" i="250"/>
  <c r="F4" i="253"/>
  <c r="N28" i="253"/>
  <c r="I2" i="259"/>
  <c r="N28" i="252"/>
  <c r="F19" i="255"/>
  <c r="AT2" i="251"/>
  <c r="AR2" i="258"/>
  <c r="AT2" i="252"/>
  <c r="T2" i="261"/>
  <c r="AQ2" i="260"/>
  <c r="I18" i="254"/>
  <c r="I13" i="259"/>
  <c r="F3" i="256"/>
  <c r="AU2" i="260"/>
  <c r="AU2" i="250"/>
  <c r="Z2" i="260"/>
  <c r="BF2" i="257"/>
  <c r="I3" i="256"/>
  <c r="BL2" i="260"/>
  <c r="AO2" i="261"/>
  <c r="I20" i="261"/>
  <c r="AX2" i="252"/>
  <c r="AB2" i="255"/>
  <c r="I16" i="253"/>
  <c r="AI28" i="250"/>
  <c r="BI28" i="251"/>
  <c r="Q2" i="261"/>
  <c r="F10" i="256"/>
  <c r="BE2" i="257"/>
  <c r="X28" i="250"/>
  <c r="AZ2" i="254"/>
  <c r="I8" i="253"/>
  <c r="I21" i="250"/>
  <c r="F8" i="251"/>
  <c r="BD2" i="257"/>
  <c r="G2" i="252"/>
  <c r="BN2" i="250"/>
  <c r="S2" i="256"/>
  <c r="BI2" i="253"/>
  <c r="BN2" i="258"/>
  <c r="F15" i="250"/>
  <c r="I11" i="260"/>
  <c r="Q2" i="255"/>
  <c r="AR28" i="250"/>
  <c r="W2" i="261"/>
  <c r="AS2" i="257"/>
  <c r="Y2" i="261"/>
  <c r="AP2" i="259"/>
  <c r="AA2" i="260"/>
  <c r="AC2" i="258"/>
  <c r="AH28" i="252"/>
  <c r="F15" i="251"/>
  <c r="F14" i="253"/>
  <c r="BF2" i="252"/>
  <c r="AG28" i="251"/>
  <c r="AC28" i="250"/>
  <c r="Q28" i="250"/>
  <c r="F9" i="252"/>
  <c r="AX2" i="260"/>
  <c r="AJ2" i="257"/>
  <c r="I17" i="255"/>
  <c r="I19" i="252"/>
  <c r="AD2" i="260"/>
  <c r="I10" i="251"/>
  <c r="I15" i="251"/>
  <c r="Z2" i="259"/>
  <c r="N2" i="253"/>
  <c r="BM2" i="252"/>
  <c r="AI2" i="251"/>
  <c r="P2" i="260"/>
  <c r="AG28" i="253"/>
  <c r="AB2" i="261"/>
  <c r="AZ2" i="255"/>
  <c r="AX2" i="258"/>
  <c r="F5" i="255"/>
  <c r="F10" i="261"/>
  <c r="C30" i="251"/>
  <c r="I19" i="258"/>
  <c r="AM28" i="250"/>
  <c r="V2" i="255"/>
  <c r="F3" i="251"/>
  <c r="I14" i="259"/>
  <c r="F3" i="253"/>
  <c r="F23" i="256"/>
  <c r="AE2" i="254"/>
  <c r="AM2" i="250"/>
  <c r="AH2" i="255"/>
  <c r="F20" i="250"/>
  <c r="F7" i="259"/>
  <c r="BF2" i="255"/>
  <c r="AG28" i="250"/>
  <c r="BC28" i="250"/>
  <c r="F17" i="251"/>
  <c r="T2" i="258"/>
  <c r="AU2" i="254"/>
  <c r="K2" i="252"/>
  <c r="O28" i="254"/>
  <c r="BF28" i="254"/>
  <c r="AJ28" i="254"/>
  <c r="AR28" i="254"/>
  <c r="L28" i="250"/>
  <c r="F15" i="256"/>
  <c r="T2" i="254"/>
  <c r="BE28" i="250"/>
  <c r="AW2" i="259"/>
  <c r="F10" i="260"/>
  <c r="F24" i="256"/>
  <c r="R28" i="251"/>
  <c r="AT28" i="254"/>
  <c r="F5" i="257"/>
  <c r="I22" i="256"/>
  <c r="BL2" i="261"/>
  <c r="BD2" i="252"/>
  <c r="F22" i="254"/>
  <c r="F11" i="255"/>
  <c r="F16" i="254"/>
  <c r="I20" i="254"/>
  <c r="BF28" i="251"/>
  <c r="BD28" i="251"/>
  <c r="AJ2" i="254"/>
  <c r="AH2" i="250"/>
  <c r="G2" i="261"/>
  <c r="AD28" i="253"/>
  <c r="AW28" i="252"/>
  <c r="M2" i="253"/>
  <c r="F23" i="257"/>
  <c r="AB28" i="251"/>
  <c r="W28" i="253"/>
  <c r="AO28" i="252"/>
  <c r="BH28" i="251"/>
  <c r="BC2" i="251"/>
  <c r="AL2" i="254"/>
  <c r="AD2" i="256"/>
  <c r="I21" i="260"/>
  <c r="AC2" i="254"/>
  <c r="BM2" i="253"/>
  <c r="Y2" i="258"/>
  <c r="I19" i="250"/>
  <c r="AA2" i="258"/>
  <c r="I17" i="250"/>
  <c r="C30" i="260"/>
  <c r="BM28" i="252"/>
  <c r="AY2" i="260"/>
  <c r="AA2" i="259"/>
  <c r="F12" i="258"/>
  <c r="BK2" i="260"/>
  <c r="F18" i="252"/>
  <c r="BK28" i="253"/>
  <c r="F19" i="257"/>
  <c r="AF2" i="253"/>
  <c r="C29" i="250"/>
  <c r="AB2" i="259"/>
  <c r="I15" i="253"/>
  <c r="AU28" i="250"/>
  <c r="I21" i="256"/>
  <c r="AC2" i="261"/>
  <c r="R2" i="258"/>
  <c r="AD28" i="251"/>
  <c r="N2" i="250"/>
  <c r="AB2" i="258"/>
  <c r="AO2" i="254"/>
  <c r="I22" i="250"/>
  <c r="I19" i="254"/>
  <c r="F7" i="260"/>
  <c r="I13" i="251"/>
  <c r="I16" i="257"/>
  <c r="AH28" i="255"/>
  <c r="BK28" i="255"/>
  <c r="AS2" i="256"/>
  <c r="F18" i="255"/>
  <c r="BD2" i="259"/>
  <c r="F23" i="260"/>
  <c r="AE28" i="252"/>
  <c r="AK2" i="260"/>
  <c r="G2" i="256"/>
  <c r="AZ2" i="256"/>
  <c r="AM2" i="257"/>
  <c r="W2" i="260"/>
  <c r="AT28" i="250"/>
  <c r="F3" i="260"/>
  <c r="F20" i="261"/>
  <c r="BJ2" i="251"/>
  <c r="AZ2" i="251"/>
  <c r="F24" i="257"/>
  <c r="I4" i="251"/>
  <c r="Q2" i="259"/>
  <c r="I13" i="252"/>
  <c r="I14" i="253"/>
  <c r="P28" i="252"/>
  <c r="F15" i="259"/>
  <c r="BJ2" i="250"/>
  <c r="BG28" i="250"/>
  <c r="AF2" i="261"/>
  <c r="AR2" i="255"/>
  <c r="I2" i="254"/>
  <c r="AQ28" i="253"/>
  <c r="F18" i="261"/>
  <c r="I14" i="250"/>
  <c r="O28" i="252"/>
  <c r="I16" i="256"/>
  <c r="Q28" i="253"/>
  <c r="V28" i="251"/>
  <c r="J2" i="256"/>
  <c r="AA2" i="255"/>
  <c r="F18" i="259"/>
  <c r="F21" i="259"/>
  <c r="AO2" i="251"/>
  <c r="K28" i="250"/>
  <c r="AT2" i="254"/>
  <c r="V2" i="254"/>
  <c r="I2" i="251"/>
  <c r="Y2" i="259"/>
  <c r="AV28" i="250"/>
  <c r="AT28" i="251"/>
  <c r="AK2" i="251"/>
  <c r="I7" i="256"/>
  <c r="I14" i="251"/>
  <c r="BG2" i="250"/>
  <c r="I10" i="258"/>
  <c r="I3" i="255"/>
  <c r="F11" i="252"/>
  <c r="AN2" i="258"/>
  <c r="AI2" i="256"/>
  <c r="M28" i="251"/>
  <c r="F12" i="254"/>
  <c r="AS2" i="252"/>
  <c r="AZ28" i="254"/>
  <c r="AV28" i="254"/>
  <c r="BE28" i="254"/>
  <c r="X28" i="254"/>
  <c r="AL2" i="252"/>
  <c r="BI2" i="260"/>
  <c r="W2" i="253"/>
  <c r="I4" i="256"/>
  <c r="F22" i="250"/>
  <c r="F6" i="253"/>
  <c r="AY2" i="251"/>
  <c r="P28" i="251"/>
  <c r="AL28" i="254"/>
  <c r="AP2" i="258"/>
  <c r="BC2" i="261"/>
  <c r="H2" i="256"/>
  <c r="BD2" i="261"/>
  <c r="AJ2" i="252"/>
  <c r="BI2" i="257"/>
  <c r="X2" i="260"/>
  <c r="AV2" i="261"/>
  <c r="AY28" i="251"/>
  <c r="AJ2" i="251"/>
  <c r="F8" i="257"/>
  <c r="K28" i="252"/>
  <c r="BG2" i="254"/>
  <c r="S2" i="252"/>
  <c r="I8" i="250"/>
  <c r="AY2" i="255"/>
  <c r="AK2" i="253"/>
  <c r="I9" i="261"/>
  <c r="AO2" i="257"/>
  <c r="F18" i="260"/>
  <c r="R2" i="253"/>
  <c r="BK2" i="259"/>
  <c r="AE2" i="250"/>
  <c r="I16" i="255"/>
  <c r="BF2" i="253"/>
  <c r="R28" i="252"/>
  <c r="L2" i="252"/>
  <c r="O2" i="259"/>
  <c r="P28" i="250"/>
  <c r="R2" i="257"/>
  <c r="I8" i="251"/>
  <c r="AS2" i="251"/>
  <c r="L2" i="255"/>
  <c r="AY2" i="253"/>
  <c r="BA2" i="257"/>
  <c r="AQ2" i="251"/>
  <c r="BM2" i="254"/>
  <c r="AN2" i="255"/>
  <c r="AK28" i="252"/>
  <c r="AX2" i="251"/>
  <c r="BF2" i="258"/>
  <c r="BC2" i="260"/>
  <c r="I9" i="251"/>
  <c r="Z2" i="250"/>
  <c r="AX2" i="253"/>
  <c r="AF28" i="250"/>
  <c r="AF2" i="251"/>
  <c r="AB2" i="260"/>
  <c r="I15" i="250"/>
  <c r="BC2" i="250"/>
  <c r="F9" i="253"/>
  <c r="AK28" i="251"/>
  <c r="BC2" i="252"/>
  <c r="N2" i="252"/>
  <c r="BN28" i="250"/>
  <c r="AI2" i="260"/>
  <c r="BD28" i="252"/>
  <c r="AA28" i="252"/>
  <c r="W2" i="250"/>
  <c r="Q2" i="252"/>
  <c r="I9" i="254"/>
  <c r="I7" i="261"/>
  <c r="AL2" i="257"/>
  <c r="U28" i="252"/>
  <c r="H2" i="257"/>
  <c r="I20" i="258"/>
  <c r="AT2" i="253"/>
  <c r="U2" i="257"/>
  <c r="F17" i="255"/>
  <c r="I3" i="250"/>
  <c r="I21" i="255"/>
  <c r="AO28" i="251"/>
  <c r="I2" i="256"/>
  <c r="F21" i="252"/>
  <c r="I12" i="250"/>
  <c r="BG2" i="260"/>
  <c r="BD2" i="250"/>
  <c r="F12" i="253"/>
  <c r="BH2" i="251"/>
  <c r="X2" i="255"/>
  <c r="M2" i="260"/>
  <c r="F16" i="250"/>
  <c r="AI2" i="252"/>
  <c r="BN2" i="260"/>
  <c r="AH2" i="251"/>
  <c r="F17" i="254"/>
  <c r="V2" i="261"/>
  <c r="Q2" i="256"/>
  <c r="AZ28" i="252"/>
  <c r="I8" i="256"/>
  <c r="AD2" i="253"/>
  <c r="I2" i="250"/>
  <c r="AR2" i="253"/>
  <c r="F20" i="252"/>
  <c r="BM28" i="250"/>
  <c r="I5" i="252"/>
  <c r="Y2" i="252"/>
  <c r="M28" i="250"/>
  <c r="M28" i="252"/>
  <c r="AC28" i="252"/>
  <c r="BF28" i="250"/>
  <c r="F22" i="258"/>
  <c r="I20" i="250"/>
  <c r="I8" i="252"/>
  <c r="F7" i="254"/>
  <c r="I5" i="251"/>
  <c r="F22" i="261"/>
  <c r="AQ28" i="250"/>
  <c r="AV28" i="251"/>
  <c r="I7" i="260"/>
  <c r="F13" i="254"/>
  <c r="BJ2" i="260"/>
  <c r="I17" i="252"/>
  <c r="L2" i="257"/>
  <c r="AE28" i="254"/>
  <c r="BH28" i="254"/>
  <c r="R28" i="254"/>
  <c r="AY28" i="252"/>
  <c r="BE28" i="253"/>
  <c r="AF28" i="251"/>
  <c r="BB2" i="259"/>
  <c r="F8" i="250"/>
  <c r="AZ28" i="251"/>
  <c r="AL2" i="253"/>
  <c r="I22" i="252"/>
  <c r="T28" i="254"/>
  <c r="BD28" i="254"/>
  <c r="AS28" i="253"/>
  <c r="Y2" i="255"/>
  <c r="I2" i="260"/>
  <c r="I6" i="255"/>
  <c r="AO2" i="253"/>
  <c r="S2" i="259"/>
  <c r="I2" i="258"/>
  <c r="F11" i="254"/>
  <c r="I18" i="255"/>
  <c r="AS28" i="250"/>
  <c r="I19" i="256"/>
  <c r="AO2" i="252"/>
  <c r="BD28" i="253"/>
  <c r="L2" i="261"/>
  <c r="F18" i="254"/>
  <c r="M2" i="254"/>
  <c r="J2" i="251"/>
  <c r="BC28" i="251"/>
  <c r="V2" i="250"/>
  <c r="AL2" i="261"/>
  <c r="BH28" i="250"/>
  <c r="F8" i="261"/>
  <c r="AT2" i="250"/>
  <c r="I7" i="253"/>
  <c r="AL2" i="250"/>
  <c r="F4" i="257"/>
  <c r="AQ2" i="255"/>
  <c r="I12" i="256"/>
  <c r="AB2" i="256"/>
  <c r="AQ2" i="252"/>
  <c r="I12" i="260"/>
  <c r="BJ28" i="254"/>
  <c r="BB28" i="254"/>
  <c r="AH28" i="254"/>
  <c r="AK2" i="261"/>
  <c r="AE2" i="255"/>
  <c r="AY2" i="261"/>
  <c r="AV2" i="255"/>
  <c r="I20" i="256"/>
  <c r="BD28" i="250"/>
  <c r="X2" i="252"/>
  <c r="I3" i="260"/>
  <c r="V2" i="260"/>
  <c r="AM28" i="251"/>
  <c r="U28" i="254"/>
  <c r="N2" i="256"/>
  <c r="BK28" i="252"/>
  <c r="AV28" i="253"/>
  <c r="I7" i="252"/>
  <c r="F12" i="251"/>
  <c r="BI2" i="252"/>
  <c r="AI2" i="258"/>
  <c r="BG28" i="251"/>
  <c r="O28" i="250"/>
  <c r="S2" i="253"/>
  <c r="AF2" i="252"/>
  <c r="F7" i="258"/>
  <c r="BF2" i="254"/>
  <c r="BM2" i="250"/>
  <c r="BB28" i="250"/>
  <c r="F24" i="252"/>
  <c r="BK2" i="252"/>
  <c r="I5" i="260"/>
  <c r="AD2" i="254"/>
  <c r="R2" i="259"/>
  <c r="BC2" i="258"/>
  <c r="I18" i="256"/>
  <c r="I4" i="257"/>
  <c r="AJ28" i="250"/>
  <c r="AZ28" i="250"/>
  <c r="I7" i="255"/>
  <c r="AG2" i="259"/>
  <c r="L2" i="251"/>
  <c r="Y28" i="254"/>
  <c r="C29" i="252"/>
  <c r="BC28" i="254"/>
  <c r="F12" i="261"/>
  <c r="F6" i="258"/>
  <c r="V28" i="250"/>
  <c r="I4" i="261"/>
  <c r="I5" i="254"/>
  <c r="AA28" i="251"/>
  <c r="AX2" i="257"/>
  <c r="F8" i="252"/>
  <c r="R2" i="255"/>
  <c r="AB2" i="254"/>
  <c r="AP28" i="251"/>
  <c r="AG28" i="254"/>
  <c r="L35" i="14"/>
  <c r="I4" i="255"/>
  <c r="F16" i="252"/>
  <c r="Q2" i="258"/>
  <c r="BJ2" i="258"/>
  <c r="BN2" i="257"/>
  <c r="C30" i="252"/>
  <c r="I16" i="260"/>
  <c r="AP28" i="250"/>
  <c r="F10" i="251"/>
  <c r="BF2" i="260"/>
  <c r="F17" i="253"/>
  <c r="BM2" i="251"/>
  <c r="K2" i="261"/>
  <c r="I4" i="250"/>
  <c r="AF28" i="254"/>
  <c r="N28" i="254"/>
  <c r="L28" i="254"/>
  <c r="AD28" i="254"/>
  <c r="I8" i="254"/>
  <c r="F23" i="251"/>
  <c r="F20" i="251"/>
  <c r="Z2" i="252"/>
  <c r="I16" i="252"/>
  <c r="F17" i="261"/>
  <c r="BC2" i="256"/>
  <c r="F12" i="257"/>
  <c r="I12" i="255"/>
  <c r="AW28" i="254"/>
  <c r="AL2" i="255"/>
  <c r="AQ2" i="250"/>
  <c r="F5" i="251"/>
  <c r="F17" i="250"/>
  <c r="F7" i="252"/>
  <c r="AL28" i="251"/>
  <c r="I21" i="253"/>
  <c r="AE28" i="251"/>
  <c r="M2" i="258"/>
  <c r="F5" i="256"/>
  <c r="AJ2" i="253"/>
  <c r="C30" i="258"/>
  <c r="I4" i="252"/>
  <c r="Y2" i="253"/>
  <c r="Y28" i="251"/>
  <c r="M2" i="250"/>
  <c r="F17" i="252"/>
  <c r="J2" i="252"/>
  <c r="Q2" i="253"/>
  <c r="P2" i="255"/>
  <c r="AK2" i="254"/>
  <c r="AR2" i="254"/>
  <c r="AS2" i="255"/>
  <c r="AS2" i="253"/>
  <c r="F9" i="257"/>
  <c r="AN28" i="251"/>
  <c r="I17" i="251"/>
  <c r="C30" i="254"/>
  <c r="S28" i="254"/>
  <c r="W28" i="254"/>
  <c r="AA28" i="254"/>
  <c r="AB28" i="254"/>
  <c r="AI28" i="252"/>
  <c r="AW2" i="260"/>
  <c r="AA2" i="253"/>
  <c r="I15" i="252"/>
  <c r="BG2" i="255"/>
  <c r="T28" i="252"/>
  <c r="AE28" i="250"/>
  <c r="F6" i="250"/>
  <c r="I8" i="257"/>
  <c r="BJ2" i="252"/>
  <c r="Q28" i="254"/>
  <c r="I5" i="253"/>
  <c r="F24" i="254"/>
  <c r="C29" i="254"/>
  <c r="H2" i="252"/>
  <c r="AN2" i="250"/>
  <c r="AB2" i="251"/>
  <c r="J2" i="254"/>
  <c r="AA28" i="250"/>
  <c r="N2" i="251"/>
  <c r="AN2" i="253"/>
  <c r="I14" i="256"/>
  <c r="U28" i="251"/>
  <c r="AZ2" i="253"/>
  <c r="I6" i="256"/>
  <c r="Z28" i="254"/>
  <c r="AC28" i="254"/>
  <c r="AK28" i="254"/>
  <c r="BN28" i="254"/>
  <c r="F7" i="257"/>
  <c r="F9" i="254"/>
  <c r="AA2" i="261"/>
  <c r="F4" i="255"/>
  <c r="F17" i="257"/>
  <c r="AJ28" i="251"/>
  <c r="F7" i="251"/>
  <c r="F19" i="254"/>
  <c r="F3" i="259"/>
  <c r="BM28" i="254"/>
  <c r="I19" i="255"/>
  <c r="AJ28" i="253"/>
  <c r="F19" i="258"/>
  <c r="BK2" i="258"/>
  <c r="AC2" i="251"/>
  <c r="F3" i="261"/>
  <c r="F23" i="259"/>
  <c r="I21" i="257"/>
  <c r="Q2" i="254"/>
  <c r="BJ2" i="253"/>
  <c r="BB2" i="252"/>
  <c r="BL2" i="251"/>
  <c r="I9" i="250"/>
  <c r="BJ28" i="253"/>
  <c r="BF2" i="251"/>
  <c r="Y2" i="254"/>
  <c r="R2" i="251"/>
  <c r="AO2" i="260"/>
  <c r="I20" i="251"/>
  <c r="AB2" i="250"/>
  <c r="I6" i="251"/>
  <c r="O2" i="255"/>
  <c r="H2" i="255"/>
  <c r="BD2" i="251"/>
  <c r="BK2" i="254"/>
  <c r="M2" i="252"/>
  <c r="X2" i="253"/>
  <c r="O2" i="260"/>
  <c r="BG28" i="254"/>
  <c r="K28" i="254"/>
  <c r="V28" i="254"/>
  <c r="AI28" i="254"/>
  <c r="BF28" i="253"/>
  <c r="BG2" i="259"/>
  <c r="F3" i="250"/>
  <c r="I11" i="251"/>
  <c r="F10" i="254"/>
  <c r="AQ2" i="258"/>
  <c r="P2" i="250"/>
  <c r="F9" i="250"/>
  <c r="F19" i="251"/>
  <c r="AJ2" i="250"/>
  <c r="P2" i="252"/>
  <c r="BI28" i="254"/>
  <c r="AB2" i="253"/>
  <c r="R2" i="254"/>
  <c r="AC2" i="250"/>
  <c r="I7" i="251"/>
  <c r="BA2" i="261"/>
  <c r="F20" i="254"/>
  <c r="F9" i="258"/>
  <c r="S2" i="250"/>
  <c r="AY28" i="250"/>
  <c r="I16" i="250"/>
  <c r="AA2" i="250"/>
  <c r="AK2" i="256"/>
  <c r="F9" i="251"/>
  <c r="K28" i="251"/>
  <c r="AX28" i="254"/>
  <c r="AQ28" i="254"/>
  <c r="BL28" i="254"/>
  <c r="P28" i="254"/>
  <c r="F20" i="256"/>
  <c r="BL2" i="250"/>
  <c r="BE2" i="251"/>
  <c r="F18" i="250"/>
  <c r="F9" i="256"/>
  <c r="AC2" i="257"/>
  <c r="AR28" i="251"/>
  <c r="F21" i="251"/>
  <c r="AS28" i="251"/>
  <c r="C29" i="253"/>
  <c r="I11" i="253"/>
  <c r="I7" i="254"/>
  <c r="BG2" i="251"/>
  <c r="BM2" i="256"/>
  <c r="I11" i="261"/>
  <c r="BC2" i="253"/>
  <c r="O28" i="251"/>
  <c r="I16" i="259"/>
  <c r="F19" i="259"/>
  <c r="P2" i="251"/>
  <c r="F4" i="250"/>
  <c r="I18" i="253"/>
  <c r="U2" i="258"/>
  <c r="M2" i="251"/>
  <c r="AI2" i="257"/>
  <c r="I4" i="258"/>
  <c r="BD2" i="255"/>
  <c r="V2" i="253"/>
  <c r="AC28" i="251"/>
  <c r="C30" i="250"/>
  <c r="AV2" i="252"/>
  <c r="I15" i="258"/>
  <c r="I19" i="253"/>
  <c r="T2" i="255"/>
  <c r="I3" i="251"/>
  <c r="I14" i="252"/>
  <c r="BE2" i="250"/>
  <c r="I21" i="259"/>
  <c r="BK28" i="254"/>
  <c r="AY28" i="254"/>
  <c r="AM28" i="254"/>
  <c r="BA28" i="254"/>
  <c r="G2" i="251"/>
  <c r="BN2" i="261"/>
  <c r="C30" i="255"/>
  <c r="AO28" i="254"/>
  <c r="S5" i="14"/>
  <c r="S35" i="14"/>
  <c r="L41" i="14"/>
  <c r="R35" i="14"/>
  <c r="O35" i="14"/>
  <c r="Q13" i="14"/>
  <c r="R13" i="14"/>
  <c r="Q35" i="14"/>
  <c r="Q41" i="14"/>
  <c r="S54" i="14"/>
  <c r="S59" i="14"/>
  <c r="L59" i="14"/>
  <c r="P13" i="14"/>
  <c r="M35" i="14"/>
  <c r="R41" i="14"/>
  <c r="P35" i="14"/>
  <c r="O13" i="14"/>
  <c r="N59" i="14"/>
  <c r="R59" i="14"/>
  <c r="L13" i="14"/>
  <c r="P41" i="14"/>
  <c r="S4" i="14"/>
  <c r="S41" i="14"/>
  <c r="R54" i="14"/>
  <c r="O59" i="14"/>
  <c r="M59" i="14"/>
  <c r="P54" i="14"/>
  <c r="N35" i="14"/>
  <c r="O41" i="14"/>
  <c r="M41" i="14"/>
  <c r="S13" i="14"/>
  <c r="S7" i="14"/>
  <c r="O54" i="14"/>
  <c r="P59" i="14"/>
  <c r="Q59" i="14"/>
  <c r="N54" i="14"/>
  <c r="N41" i="14"/>
  <c r="M13" i="14"/>
  <c r="Q54" i="14"/>
  <c r="M54" i="14"/>
  <c r="L54" i="14"/>
  <c r="N13" i="14"/>
  <c r="BN40" i="261" l="1"/>
  <c r="BN39" i="261"/>
  <c r="BE40" i="250"/>
  <c r="BH31" i="251"/>
  <c r="R31" i="251"/>
  <c r="O31" i="251"/>
  <c r="AY31" i="251"/>
  <c r="AF31" i="251"/>
  <c r="U31" i="251"/>
  <c r="BL31" i="251"/>
  <c r="AQ31" i="251"/>
  <c r="BB31" i="251"/>
  <c r="BK31" i="251"/>
  <c r="AJ31" i="251"/>
  <c r="AP31" i="251"/>
  <c r="V31" i="251"/>
  <c r="X31" i="251"/>
  <c r="AC31" i="251"/>
  <c r="AA31" i="251"/>
  <c r="BG31" i="251"/>
  <c r="AL31" i="251"/>
  <c r="AW31" i="251"/>
  <c r="BC31" i="251"/>
  <c r="S31" i="251"/>
  <c r="AT31" i="251"/>
  <c r="AB31" i="251"/>
  <c r="AR31" i="251"/>
  <c r="AU31" i="251"/>
  <c r="AE31" i="251"/>
  <c r="AK31" i="251"/>
  <c r="BF31" i="251"/>
  <c r="AH31" i="251"/>
  <c r="BA31" i="251"/>
  <c r="N31" i="251"/>
  <c r="L31" i="251"/>
  <c r="AZ31" i="251"/>
  <c r="AD31" i="251"/>
  <c r="AS31" i="251"/>
  <c r="BJ31" i="251"/>
  <c r="AV31" i="251"/>
  <c r="AX31" i="251"/>
  <c r="AN31" i="251"/>
  <c r="K31" i="251"/>
  <c r="Q31" i="251"/>
  <c r="AI31" i="251"/>
  <c r="Z31" i="251"/>
  <c r="Y31" i="251"/>
  <c r="BD31" i="251"/>
  <c r="I25" i="251"/>
  <c r="P31" i="251"/>
  <c r="BE31" i="251"/>
  <c r="BI31" i="251"/>
  <c r="AG31" i="251"/>
  <c r="AO31" i="251"/>
  <c r="W31" i="251"/>
  <c r="AM31" i="251"/>
  <c r="M31" i="251"/>
  <c r="BM31" i="251"/>
  <c r="T31" i="251"/>
  <c r="BN31" i="251"/>
  <c r="T40" i="255"/>
  <c r="AV40" i="252"/>
  <c r="V40" i="253"/>
  <c r="BD40" i="255"/>
  <c r="AI40" i="257"/>
  <c r="M40" i="251"/>
  <c r="U39" i="258"/>
  <c r="U40" i="258"/>
  <c r="P40" i="251"/>
  <c r="BC40" i="253"/>
  <c r="BM40" i="256"/>
  <c r="BG40" i="251"/>
  <c r="BG39" i="251"/>
  <c r="AC40" i="257"/>
  <c r="BE40" i="251"/>
  <c r="BL40" i="250"/>
  <c r="AK40" i="256"/>
  <c r="AA40" i="250"/>
  <c r="S40" i="250"/>
  <c r="BA39" i="261"/>
  <c r="BA40" i="261"/>
  <c r="AC40" i="250"/>
  <c r="R39" i="254"/>
  <c r="R40" i="254"/>
  <c r="AB40" i="253"/>
  <c r="P40" i="252"/>
  <c r="AJ40" i="250"/>
  <c r="P40" i="250"/>
  <c r="AQ40" i="258"/>
  <c r="AQ39" i="258"/>
  <c r="BG40" i="259"/>
  <c r="BG39" i="259"/>
  <c r="O40" i="260"/>
  <c r="O39" i="260"/>
  <c r="X40" i="253"/>
  <c r="M40" i="252"/>
  <c r="BK40" i="254"/>
  <c r="BK39" i="254"/>
  <c r="BD40" i="251"/>
  <c r="O40" i="255"/>
  <c r="AB40" i="250"/>
  <c r="AO39" i="260"/>
  <c r="AO40" i="260"/>
  <c r="R40" i="251"/>
  <c r="Y39" i="254"/>
  <c r="Y40" i="254"/>
  <c r="BF40" i="251"/>
  <c r="BL40" i="251"/>
  <c r="BB40" i="252"/>
  <c r="BJ40" i="253"/>
  <c r="Q39" i="254"/>
  <c r="Q40" i="254"/>
  <c r="AC40" i="251"/>
  <c r="BK40" i="258"/>
  <c r="BK39" i="258"/>
  <c r="AA39" i="261"/>
  <c r="AA40" i="261"/>
  <c r="AZ40" i="253"/>
  <c r="AN40" i="253"/>
  <c r="N40" i="251"/>
  <c r="AB40" i="251"/>
  <c r="AN40" i="250"/>
  <c r="BJ40" i="252"/>
  <c r="BG40" i="255"/>
  <c r="AA40" i="253"/>
  <c r="AA39" i="253"/>
  <c r="AW39" i="260"/>
  <c r="AW40" i="260"/>
  <c r="AS40" i="253"/>
  <c r="AS40" i="255"/>
  <c r="AR39" i="254"/>
  <c r="AR40" i="254"/>
  <c r="AK39" i="254"/>
  <c r="AK40" i="254"/>
  <c r="P40" i="255"/>
  <c r="Q40" i="253"/>
  <c r="M40" i="250"/>
  <c r="Y40" i="253"/>
  <c r="AJ40" i="253"/>
  <c r="M40" i="258"/>
  <c r="M39" i="258"/>
  <c r="AQ40" i="250"/>
  <c r="AL40" i="255"/>
  <c r="BC40" i="256"/>
  <c r="Z40" i="252"/>
  <c r="K39" i="261"/>
  <c r="K40" i="261"/>
  <c r="BM40" i="251"/>
  <c r="BF39" i="260"/>
  <c r="BF40" i="260"/>
  <c r="BN40" i="257"/>
  <c r="BJ39" i="258"/>
  <c r="BJ40" i="258"/>
  <c r="Q39" i="258"/>
  <c r="Q40" i="258"/>
  <c r="AB39" i="254"/>
  <c r="AB40" i="254"/>
  <c r="R40" i="255"/>
  <c r="AX40" i="257"/>
  <c r="L40" i="251"/>
  <c r="AG39" i="259"/>
  <c r="AG40" i="259"/>
  <c r="BC39" i="258"/>
  <c r="BC40" i="258"/>
  <c r="R40" i="259"/>
  <c r="R39" i="259"/>
  <c r="AD40" i="254"/>
  <c r="AD39" i="254"/>
  <c r="BK40" i="252"/>
  <c r="BM40" i="250"/>
  <c r="BF39" i="254"/>
  <c r="BF40" i="254"/>
  <c r="AF40" i="252"/>
  <c r="S40" i="253"/>
  <c r="AI39" i="258"/>
  <c r="AI40" i="258"/>
  <c r="BI40" i="252"/>
  <c r="N40" i="256"/>
  <c r="V39" i="260"/>
  <c r="V40" i="260"/>
  <c r="AO31" i="260"/>
  <c r="M31" i="260"/>
  <c r="BH31" i="260"/>
  <c r="S31" i="260"/>
  <c r="AM31" i="260"/>
  <c r="AF31" i="260"/>
  <c r="BL31" i="260"/>
  <c r="AD31" i="260"/>
  <c r="AE31" i="260"/>
  <c r="AQ31" i="260"/>
  <c r="BF31" i="260"/>
  <c r="AY31" i="260"/>
  <c r="AP31" i="260"/>
  <c r="AS31" i="260"/>
  <c r="AT31" i="260"/>
  <c r="BE31" i="260"/>
  <c r="BK31" i="260"/>
  <c r="U31" i="260"/>
  <c r="T31" i="260"/>
  <c r="Q31" i="260"/>
  <c r="AL31" i="260"/>
  <c r="BJ31" i="260"/>
  <c r="BI31" i="260"/>
  <c r="X31" i="260"/>
  <c r="AZ31" i="260"/>
  <c r="AX31" i="260"/>
  <c r="BG31" i="260"/>
  <c r="K31" i="260"/>
  <c r="P31" i="260"/>
  <c r="N31" i="260"/>
  <c r="AK31" i="260"/>
  <c r="Z31" i="260"/>
  <c r="AG31" i="260"/>
  <c r="BM31" i="260"/>
  <c r="V31" i="260"/>
  <c r="AA31" i="260"/>
  <c r="AW31" i="260"/>
  <c r="R31" i="260"/>
  <c r="BC31" i="260"/>
  <c r="AC31" i="260"/>
  <c r="BB31" i="260"/>
  <c r="AU31" i="260"/>
  <c r="L31" i="260"/>
  <c r="W31" i="260"/>
  <c r="AR31" i="260"/>
  <c r="I25" i="260"/>
  <c r="AI31" i="260"/>
  <c r="AV31" i="260"/>
  <c r="AB31" i="260"/>
  <c r="AH31" i="260"/>
  <c r="BN31" i="260"/>
  <c r="AJ31" i="260"/>
  <c r="BA31" i="260"/>
  <c r="O31" i="260"/>
  <c r="Y31" i="260"/>
  <c r="AN31" i="260"/>
  <c r="BD31" i="260"/>
  <c r="X39" i="252"/>
  <c r="X40" i="252"/>
  <c r="AV40" i="255"/>
  <c r="AY39" i="261"/>
  <c r="AY40" i="261"/>
  <c r="AE40" i="255"/>
  <c r="AK40" i="261"/>
  <c r="AK39" i="261"/>
  <c r="AQ40" i="252"/>
  <c r="AB40" i="256"/>
  <c r="AQ40" i="255"/>
  <c r="AL40" i="250"/>
  <c r="AT40" i="250"/>
  <c r="AL40" i="261"/>
  <c r="AL39" i="261"/>
  <c r="V40" i="250"/>
  <c r="M40" i="254"/>
  <c r="M39" i="254"/>
  <c r="L39" i="261"/>
  <c r="L40" i="261"/>
  <c r="AO40" i="252"/>
  <c r="S40" i="259"/>
  <c r="S39" i="259"/>
  <c r="AO40" i="253"/>
  <c r="Y40" i="255"/>
  <c r="AL40" i="253"/>
  <c r="BB40" i="259"/>
  <c r="BB39" i="259"/>
  <c r="L40" i="257"/>
  <c r="BJ40" i="260"/>
  <c r="BJ39" i="260"/>
  <c r="Y40" i="252"/>
  <c r="AR40" i="253"/>
  <c r="AD40" i="253"/>
  <c r="Q40" i="256"/>
  <c r="V40" i="261"/>
  <c r="V39" i="261"/>
  <c r="AH40" i="251"/>
  <c r="BN40" i="260"/>
  <c r="BN39" i="260"/>
  <c r="AI40" i="252"/>
  <c r="M39" i="260"/>
  <c r="M40" i="260"/>
  <c r="X40" i="255"/>
  <c r="BH40" i="251"/>
  <c r="BD40" i="250"/>
  <c r="BG39" i="260"/>
  <c r="BG40" i="260"/>
  <c r="X31" i="250"/>
  <c r="BM31" i="250"/>
  <c r="BC31" i="250"/>
  <c r="BD31" i="250"/>
  <c r="W31" i="250"/>
  <c r="P31" i="250"/>
  <c r="BK31" i="250"/>
  <c r="BJ31" i="250"/>
  <c r="AN31" i="250"/>
  <c r="AA31" i="250"/>
  <c r="AK31" i="250"/>
  <c r="U31" i="250"/>
  <c r="AJ31" i="250"/>
  <c r="AO31" i="250"/>
  <c r="BA31" i="250"/>
  <c r="AD31" i="250"/>
  <c r="AU31" i="250"/>
  <c r="AR31" i="250"/>
  <c r="AI31" i="250"/>
  <c r="I25" i="250"/>
  <c r="BF31" i="250"/>
  <c r="AP31" i="250"/>
  <c r="AS31" i="250"/>
  <c r="L31" i="250"/>
  <c r="BL31" i="250"/>
  <c r="AT31" i="250"/>
  <c r="Q31" i="250"/>
  <c r="S31" i="250"/>
  <c r="AG31" i="250"/>
  <c r="O31" i="250"/>
  <c r="AC31" i="250"/>
  <c r="V31" i="250"/>
  <c r="BI31" i="250"/>
  <c r="BH31" i="250"/>
  <c r="BB31" i="250"/>
  <c r="AL31" i="250"/>
  <c r="K31" i="250"/>
  <c r="AB31" i="250"/>
  <c r="AW31" i="250"/>
  <c r="T31" i="250"/>
  <c r="AX31" i="250"/>
  <c r="M31" i="250"/>
  <c r="AQ31" i="250"/>
  <c r="AF31" i="250"/>
  <c r="AV31" i="250"/>
  <c r="AE31" i="250"/>
  <c r="Z31" i="250"/>
  <c r="AY31" i="250"/>
  <c r="N31" i="250"/>
  <c r="Y31" i="250"/>
  <c r="BN31" i="250"/>
  <c r="BE31" i="250"/>
  <c r="AZ31" i="250"/>
  <c r="AH31" i="250"/>
  <c r="BG31" i="250"/>
  <c r="AM31" i="250"/>
  <c r="R31" i="250"/>
  <c r="U40" i="257"/>
  <c r="AT40" i="253"/>
  <c r="AL40" i="257"/>
  <c r="Q40" i="252"/>
  <c r="W40" i="250"/>
  <c r="AI39" i="260"/>
  <c r="AI40" i="260"/>
  <c r="N40" i="252"/>
  <c r="BC40" i="252"/>
  <c r="BC40" i="250"/>
  <c r="AB40" i="260"/>
  <c r="AB39" i="260"/>
  <c r="AF40" i="251"/>
  <c r="AX40" i="253"/>
  <c r="Z40" i="250"/>
  <c r="BC40" i="260"/>
  <c r="BC39" i="260"/>
  <c r="BF39" i="258"/>
  <c r="BF40" i="258"/>
  <c r="AX40" i="251"/>
  <c r="AN40" i="255"/>
  <c r="BM40" i="254"/>
  <c r="BM39" i="254"/>
  <c r="AQ40" i="251"/>
  <c r="BA40" i="257"/>
  <c r="AY40" i="253"/>
  <c r="L40" i="255"/>
  <c r="AS40" i="251"/>
  <c r="R40" i="257"/>
  <c r="O39" i="259"/>
  <c r="O40" i="259"/>
  <c r="L40" i="252"/>
  <c r="BF40" i="253"/>
  <c r="AE40" i="250"/>
  <c r="BK40" i="259"/>
  <c r="BK39" i="259"/>
  <c r="R40" i="253"/>
  <c r="AO40" i="257"/>
  <c r="AK40" i="253"/>
  <c r="AY40" i="255"/>
  <c r="S40" i="252"/>
  <c r="BG40" i="254"/>
  <c r="BG39" i="254"/>
  <c r="AJ39" i="251"/>
  <c r="AJ40" i="251"/>
  <c r="AV39" i="261"/>
  <c r="AV40" i="261"/>
  <c r="X40" i="260"/>
  <c r="X39" i="260"/>
  <c r="BI40" i="257"/>
  <c r="AJ40" i="252"/>
  <c r="BD39" i="261"/>
  <c r="BD40" i="261"/>
  <c r="BC40" i="261"/>
  <c r="BC39" i="261"/>
  <c r="AP40" i="258"/>
  <c r="AP39" i="258"/>
  <c r="AY40" i="251"/>
  <c r="W40" i="253"/>
  <c r="BI39" i="260"/>
  <c r="BI40" i="260"/>
  <c r="AL40" i="252"/>
  <c r="AS40" i="252"/>
  <c r="AI40" i="256"/>
  <c r="AN39" i="258"/>
  <c r="AN40" i="258"/>
  <c r="AX31" i="255"/>
  <c r="BA31" i="255"/>
  <c r="AG31" i="255"/>
  <c r="Y31" i="255"/>
  <c r="BI31" i="255"/>
  <c r="K31" i="255"/>
  <c r="AO31" i="255"/>
  <c r="BL31" i="255"/>
  <c r="Q31" i="255"/>
  <c r="AU31" i="255"/>
  <c r="AT31" i="255"/>
  <c r="BK31" i="255"/>
  <c r="AY31" i="255"/>
  <c r="AM31" i="255"/>
  <c r="AK31" i="255"/>
  <c r="BH31" i="255"/>
  <c r="AP31" i="255"/>
  <c r="AS31" i="255"/>
  <c r="AQ31" i="255"/>
  <c r="V31" i="255"/>
  <c r="R31" i="255"/>
  <c r="P31" i="255"/>
  <c r="M31" i="255"/>
  <c r="BN31" i="255"/>
  <c r="AA31" i="255"/>
  <c r="BG31" i="255"/>
  <c r="AE31" i="255"/>
  <c r="AW31" i="255"/>
  <c r="W31" i="255"/>
  <c r="N31" i="255"/>
  <c r="BE31" i="255"/>
  <c r="AZ31" i="255"/>
  <c r="X31" i="255"/>
  <c r="AN31" i="255"/>
  <c r="BC31" i="255"/>
  <c r="BF31" i="255"/>
  <c r="AV31" i="255"/>
  <c r="AR31" i="255"/>
  <c r="I25" i="255"/>
  <c r="BB31" i="255"/>
  <c r="U31" i="255"/>
  <c r="AI31" i="255"/>
  <c r="AH31" i="255"/>
  <c r="AD31" i="255"/>
  <c r="AF31" i="255"/>
  <c r="S31" i="255"/>
  <c r="AL31" i="255"/>
  <c r="BM31" i="255"/>
  <c r="AJ31" i="255"/>
  <c r="AC31" i="255"/>
  <c r="BD31" i="255"/>
  <c r="AB31" i="255"/>
  <c r="O31" i="255"/>
  <c r="L31" i="255"/>
  <c r="T31" i="255"/>
  <c r="Z31" i="255"/>
  <c r="BJ31" i="255"/>
  <c r="BG40" i="250"/>
  <c r="AK40" i="251"/>
  <c r="AK39" i="251"/>
  <c r="Y40" i="259"/>
  <c r="Y39" i="259"/>
  <c r="V40" i="254"/>
  <c r="V39" i="254"/>
  <c r="AT40" i="254"/>
  <c r="AT39" i="254"/>
  <c r="AO40" i="251"/>
  <c r="AA40" i="255"/>
  <c r="AR40" i="255"/>
  <c r="AF40" i="261"/>
  <c r="AF39" i="261"/>
  <c r="BJ40" i="250"/>
  <c r="Q40" i="259"/>
  <c r="Q39" i="259"/>
  <c r="AZ40" i="251"/>
  <c r="BJ40" i="251"/>
  <c r="W40" i="260"/>
  <c r="W39" i="260"/>
  <c r="AM40" i="257"/>
  <c r="AZ40" i="256"/>
  <c r="AK39" i="260"/>
  <c r="AK40" i="260"/>
  <c r="BD40" i="259"/>
  <c r="BD39" i="259"/>
  <c r="AS40" i="256"/>
  <c r="AO40" i="254"/>
  <c r="AO39" i="254"/>
  <c r="AB40" i="258"/>
  <c r="AB39" i="258"/>
  <c r="N40" i="250"/>
  <c r="R39" i="258"/>
  <c r="R40" i="258"/>
  <c r="AC39" i="261"/>
  <c r="AC40" i="261"/>
  <c r="AB39" i="259"/>
  <c r="AB40" i="259"/>
  <c r="AF40" i="253"/>
  <c r="BK40" i="260"/>
  <c r="BK39" i="260"/>
  <c r="AA39" i="259"/>
  <c r="AA40" i="259"/>
  <c r="AY40" i="260"/>
  <c r="AY39" i="260"/>
  <c r="AA40" i="258"/>
  <c r="AA39" i="258"/>
  <c r="Y40" i="258"/>
  <c r="Y39" i="258"/>
  <c r="BM40" i="253"/>
  <c r="AC40" i="254"/>
  <c r="AC39" i="254"/>
  <c r="AD40" i="256"/>
  <c r="AL39" i="254"/>
  <c r="AL40" i="254"/>
  <c r="BC40" i="251"/>
  <c r="M40" i="253"/>
  <c r="AH40" i="250"/>
  <c r="AJ40" i="254"/>
  <c r="AJ39" i="254"/>
  <c r="BD40" i="252"/>
  <c r="BL40" i="261"/>
  <c r="BL39" i="261"/>
  <c r="AW40" i="259"/>
  <c r="AW39" i="259"/>
  <c r="T39" i="254"/>
  <c r="T40" i="254"/>
  <c r="K40" i="252"/>
  <c r="AU39" i="254"/>
  <c r="AU40" i="254"/>
  <c r="T39" i="258"/>
  <c r="T40" i="258"/>
  <c r="BF40" i="255"/>
  <c r="AH40" i="255"/>
  <c r="AM40" i="250"/>
  <c r="AE40" i="254"/>
  <c r="AE39" i="254"/>
  <c r="V40" i="255"/>
  <c r="AX39" i="258"/>
  <c r="AX40" i="258"/>
  <c r="AZ40" i="255"/>
  <c r="AB40" i="261"/>
  <c r="AB39" i="261"/>
  <c r="P40" i="260"/>
  <c r="P39" i="260"/>
  <c r="AI40" i="251"/>
  <c r="BM40" i="252"/>
  <c r="N40" i="253"/>
  <c r="Z39" i="259"/>
  <c r="Z40" i="259"/>
  <c r="AD40" i="260"/>
  <c r="AD39" i="260"/>
  <c r="AJ40" i="257"/>
  <c r="AX40" i="260"/>
  <c r="AX39" i="260"/>
  <c r="BF39" i="252"/>
  <c r="BF40" i="252"/>
  <c r="AC39" i="258"/>
  <c r="AC40" i="258"/>
  <c r="AA40" i="260"/>
  <c r="AA39" i="260"/>
  <c r="AP40" i="259"/>
  <c r="AP39" i="259"/>
  <c r="Y40" i="261"/>
  <c r="Y39" i="261"/>
  <c r="AS40" i="257"/>
  <c r="W40" i="261"/>
  <c r="W39" i="261"/>
  <c r="Q40" i="255"/>
  <c r="BN39" i="258"/>
  <c r="BN40" i="258"/>
  <c r="BI40" i="253"/>
  <c r="S40" i="256"/>
  <c r="BN40" i="250"/>
  <c r="BD40" i="257"/>
  <c r="AZ40" i="254"/>
  <c r="AZ39" i="254"/>
  <c r="BE40" i="257"/>
  <c r="Q39" i="261"/>
  <c r="Q40" i="261"/>
  <c r="AB40" i="255"/>
  <c r="AX40" i="252"/>
  <c r="AO39" i="261"/>
  <c r="AO40" i="261"/>
  <c r="BL39" i="260"/>
  <c r="BL40" i="260"/>
  <c r="AH31" i="256"/>
  <c r="AT31" i="256"/>
  <c r="AB31" i="256"/>
  <c r="BM31" i="256"/>
  <c r="AM31" i="256"/>
  <c r="BA31" i="256"/>
  <c r="BB31" i="256"/>
  <c r="Z31" i="256"/>
  <c r="P31" i="256"/>
  <c r="BN31" i="256"/>
  <c r="BD31" i="256"/>
  <c r="BE31" i="256"/>
  <c r="BI31" i="256"/>
  <c r="S31" i="256"/>
  <c r="BC31" i="256"/>
  <c r="AI31" i="256"/>
  <c r="N31" i="256"/>
  <c r="O31" i="256"/>
  <c r="U31" i="256"/>
  <c r="AR31" i="256"/>
  <c r="AP31" i="256"/>
  <c r="W31" i="256"/>
  <c r="AN31" i="256"/>
  <c r="AZ31" i="256"/>
  <c r="AW31" i="256"/>
  <c r="Y31" i="256"/>
  <c r="BL31" i="256"/>
  <c r="AG31" i="256"/>
  <c r="AV31" i="256"/>
  <c r="AO31" i="256"/>
  <c r="Q31" i="256"/>
  <c r="M31" i="256"/>
  <c r="AJ31" i="256"/>
  <c r="AY31" i="256"/>
  <c r="AK31" i="256"/>
  <c r="AQ31" i="256"/>
  <c r="AX31" i="256"/>
  <c r="AL31" i="256"/>
  <c r="L31" i="256"/>
  <c r="X31" i="256"/>
  <c r="AD31" i="256"/>
  <c r="BJ31" i="256"/>
  <c r="AF31" i="256"/>
  <c r="BF31" i="256"/>
  <c r="BG31" i="256"/>
  <c r="V31" i="256"/>
  <c r="I25" i="256"/>
  <c r="AA31" i="256"/>
  <c r="T31" i="256"/>
  <c r="AS31" i="256"/>
  <c r="AC31" i="256"/>
  <c r="AE31" i="256"/>
  <c r="BH31" i="256"/>
  <c r="K31" i="256"/>
  <c r="BK31" i="256"/>
  <c r="AU31" i="256"/>
  <c r="R31" i="256"/>
  <c r="BF40" i="257"/>
  <c r="Z39" i="260"/>
  <c r="Z40" i="260"/>
  <c r="AU40" i="250"/>
  <c r="AU39" i="260"/>
  <c r="AU40" i="260"/>
  <c r="AQ39" i="260"/>
  <c r="AQ40" i="260"/>
  <c r="T39" i="261"/>
  <c r="T40" i="261"/>
  <c r="AT40" i="252"/>
  <c r="AR39" i="258"/>
  <c r="AR40" i="258"/>
  <c r="AT40" i="251"/>
  <c r="AP39" i="250"/>
  <c r="AP40" i="250"/>
  <c r="BK40" i="255"/>
  <c r="AD40" i="261"/>
  <c r="AD39" i="261"/>
  <c r="BG40" i="253"/>
  <c r="BB40" i="251"/>
  <c r="Y40" i="250"/>
  <c r="O40" i="250"/>
  <c r="AQ40" i="254"/>
  <c r="AQ39" i="254"/>
  <c r="AX40" i="261"/>
  <c r="AX39" i="261"/>
  <c r="BD40" i="254"/>
  <c r="BD39" i="254"/>
  <c r="K40" i="250"/>
  <c r="BH40" i="256"/>
  <c r="W40" i="252"/>
  <c r="BA40" i="255"/>
  <c r="BH40" i="255"/>
  <c r="Y40" i="257"/>
  <c r="BI39" i="259"/>
  <c r="BI40" i="259"/>
  <c r="AC40" i="255"/>
  <c r="BF40" i="256"/>
  <c r="P40" i="254"/>
  <c r="P39" i="254"/>
  <c r="AG40" i="251"/>
  <c r="AG39" i="251"/>
  <c r="AW40" i="255"/>
  <c r="BE40" i="261"/>
  <c r="BE39" i="261"/>
  <c r="BA40" i="259"/>
  <c r="BA39" i="259"/>
  <c r="AN40" i="254"/>
  <c r="AN39" i="254"/>
  <c r="K40" i="255"/>
  <c r="AV39" i="254"/>
  <c r="AV40" i="254"/>
  <c r="AY40" i="250"/>
  <c r="AD39" i="259"/>
  <c r="AD40" i="259"/>
  <c r="AU40" i="252"/>
  <c r="BM39" i="261"/>
  <c r="BM40" i="261"/>
  <c r="BL40" i="253"/>
  <c r="BM40" i="255"/>
  <c r="Z40" i="251"/>
  <c r="T40" i="252"/>
  <c r="L40" i="250"/>
  <c r="BB40" i="253"/>
  <c r="V40" i="252"/>
  <c r="AC40" i="259"/>
  <c r="AC39" i="259"/>
  <c r="AN40" i="252"/>
  <c r="W40" i="256"/>
  <c r="BL40" i="256"/>
  <c r="BK31" i="258"/>
  <c r="P31" i="258"/>
  <c r="AV31" i="258"/>
  <c r="L31" i="258"/>
  <c r="I25" i="258"/>
  <c r="N31" i="258"/>
  <c r="U31" i="258"/>
  <c r="BH31" i="258"/>
  <c r="AC31" i="258"/>
  <c r="AS31" i="258"/>
  <c r="AQ31" i="258"/>
  <c r="AI31" i="258"/>
  <c r="AD31" i="258"/>
  <c r="O31" i="258"/>
  <c r="BE31" i="258"/>
  <c r="BA31" i="258"/>
  <c r="AA31" i="258"/>
  <c r="X31" i="258"/>
  <c r="BG31" i="258"/>
  <c r="V31" i="258"/>
  <c r="AW31" i="258"/>
  <c r="AG31" i="258"/>
  <c r="BC31" i="258"/>
  <c r="BD31" i="258"/>
  <c r="BJ31" i="258"/>
  <c r="Y31" i="258"/>
  <c r="M31" i="258"/>
  <c r="BI31" i="258"/>
  <c r="AY31" i="258"/>
  <c r="K31" i="258"/>
  <c r="AB31" i="258"/>
  <c r="S31" i="258"/>
  <c r="W31" i="258"/>
  <c r="BN31" i="258"/>
  <c r="AF31" i="258"/>
  <c r="AO31" i="258"/>
  <c r="AX31" i="258"/>
  <c r="Z31" i="258"/>
  <c r="AP31" i="258"/>
  <c r="AU31" i="258"/>
  <c r="Q31" i="258"/>
  <c r="AJ31" i="258"/>
  <c r="AL31" i="258"/>
  <c r="BL31" i="258"/>
  <c r="AR31" i="258"/>
  <c r="AT31" i="258"/>
  <c r="BM31" i="258"/>
  <c r="AZ31" i="258"/>
  <c r="AM31" i="258"/>
  <c r="BB31" i="258"/>
  <c r="BF31" i="258"/>
  <c r="AN31" i="258"/>
  <c r="AK31" i="258"/>
  <c r="AH31" i="258"/>
  <c r="R31" i="258"/>
  <c r="T31" i="258"/>
  <c r="AE31" i="258"/>
  <c r="BB40" i="250"/>
  <c r="BH40" i="257"/>
  <c r="BH39" i="257"/>
  <c r="AH40" i="257"/>
  <c r="AU40" i="255"/>
  <c r="BG40" i="252"/>
  <c r="AE39" i="260"/>
  <c r="AE40" i="260"/>
  <c r="BH40" i="252"/>
  <c r="U40" i="255"/>
  <c r="BN40" i="252"/>
  <c r="AO40" i="259"/>
  <c r="AO39" i="259"/>
  <c r="AP40" i="255"/>
  <c r="X40" i="257"/>
  <c r="Z39" i="254"/>
  <c r="Z40" i="254"/>
  <c r="AV39" i="260"/>
  <c r="AV40" i="260"/>
  <c r="BE40" i="253"/>
  <c r="BH40" i="259"/>
  <c r="BH39" i="259"/>
  <c r="R39" i="261"/>
  <c r="R40" i="261"/>
  <c r="AR40" i="252"/>
  <c r="BL40" i="255"/>
  <c r="BH40" i="250"/>
  <c r="BJ40" i="257"/>
  <c r="BH40" i="261"/>
  <c r="BH39" i="261"/>
  <c r="AG40" i="255"/>
  <c r="Q31" i="254"/>
  <c r="AU31" i="254"/>
  <c r="L31" i="254"/>
  <c r="AI31" i="254"/>
  <c r="AE31" i="254"/>
  <c r="BM31" i="254"/>
  <c r="BD31" i="254"/>
  <c r="U31" i="254"/>
  <c r="BK31" i="254"/>
  <c r="AZ31" i="254"/>
  <c r="AO31" i="254"/>
  <c r="AK31" i="254"/>
  <c r="AJ31" i="254"/>
  <c r="AR31" i="254"/>
  <c r="BA31" i="254"/>
  <c r="AL31" i="254"/>
  <c r="BJ31" i="254"/>
  <c r="BB31" i="254"/>
  <c r="S31" i="254"/>
  <c r="AP31" i="254"/>
  <c r="V31" i="254"/>
  <c r="AA31" i="254"/>
  <c r="AV31" i="254"/>
  <c r="N31" i="254"/>
  <c r="AG31" i="254"/>
  <c r="Z31" i="254"/>
  <c r="BC31" i="254"/>
  <c r="K31" i="254"/>
  <c r="AQ31" i="254"/>
  <c r="BL31" i="254"/>
  <c r="BI31" i="254"/>
  <c r="O31" i="254"/>
  <c r="AB31" i="254"/>
  <c r="AN31" i="254"/>
  <c r="AF31" i="254"/>
  <c r="AD31" i="254"/>
  <c r="I25" i="254"/>
  <c r="P31" i="254"/>
  <c r="X31" i="254"/>
  <c r="AX31" i="254"/>
  <c r="BH31" i="254"/>
  <c r="BG31" i="254"/>
  <c r="AH31" i="254"/>
  <c r="AY31" i="254"/>
  <c r="M31" i="254"/>
  <c r="AM31" i="254"/>
  <c r="R31" i="254"/>
  <c r="Y31" i="254"/>
  <c r="W31" i="254"/>
  <c r="AC31" i="254"/>
  <c r="BE31" i="254"/>
  <c r="BN31" i="254"/>
  <c r="T31" i="254"/>
  <c r="AS31" i="254"/>
  <c r="BF31" i="254"/>
  <c r="AW31" i="254"/>
  <c r="AT31" i="254"/>
  <c r="AR40" i="256"/>
  <c r="K40" i="257"/>
  <c r="BB40" i="257"/>
  <c r="AM40" i="253"/>
  <c r="AB40" i="257"/>
  <c r="T40" i="250"/>
  <c r="Z40" i="255"/>
  <c r="S39" i="254"/>
  <c r="S40" i="254"/>
  <c r="AY39" i="254"/>
  <c r="AY40" i="254"/>
  <c r="AU39" i="261"/>
  <c r="AU40" i="261"/>
  <c r="O40" i="257"/>
  <c r="O39" i="257"/>
  <c r="AG39" i="254"/>
  <c r="AG40" i="254"/>
  <c r="P40" i="258"/>
  <c r="P39" i="258"/>
  <c r="AI40" i="250"/>
  <c r="P39" i="261"/>
  <c r="P40" i="261"/>
  <c r="AZ40" i="250"/>
  <c r="N40" i="257"/>
  <c r="AQ40" i="259"/>
  <c r="AQ39" i="259"/>
  <c r="V40" i="251"/>
  <c r="L40" i="253"/>
  <c r="AC40" i="256"/>
  <c r="BE39" i="259"/>
  <c r="BE40" i="259"/>
  <c r="BH40" i="253"/>
  <c r="Q40" i="257"/>
  <c r="BE39" i="258"/>
  <c r="BE40" i="258"/>
  <c r="AV40" i="258"/>
  <c r="AV39" i="258"/>
  <c r="AX40" i="255"/>
  <c r="O40" i="252"/>
  <c r="BL40" i="252"/>
  <c r="K39" i="260"/>
  <c r="K40" i="260"/>
  <c r="U39" i="260"/>
  <c r="U40" i="260"/>
  <c r="BG40" i="256"/>
  <c r="V40" i="256"/>
  <c r="AK40" i="257"/>
  <c r="AH40" i="259"/>
  <c r="AH39" i="259"/>
  <c r="AI40" i="255"/>
  <c r="AN39" i="260"/>
  <c r="AN40" i="260"/>
  <c r="N40" i="254"/>
  <c r="N39" i="254"/>
  <c r="AQ40" i="256"/>
  <c r="AH39" i="261"/>
  <c r="AH40" i="261"/>
  <c r="AQ40" i="257"/>
  <c r="BH40" i="260"/>
  <c r="BH39" i="260"/>
  <c r="AV40" i="253"/>
  <c r="AW40" i="253"/>
  <c r="AX31" i="261"/>
  <c r="AA31" i="261"/>
  <c r="AD31" i="261"/>
  <c r="AK31" i="261"/>
  <c r="AY31" i="261"/>
  <c r="S31" i="261"/>
  <c r="X31" i="261"/>
  <c r="AH31" i="261"/>
  <c r="AW31" i="261"/>
  <c r="AP31" i="261"/>
  <c r="AS31" i="261"/>
  <c r="BK31" i="261"/>
  <c r="K31" i="261"/>
  <c r="Q31" i="261"/>
  <c r="AN31" i="261"/>
  <c r="BN31" i="261"/>
  <c r="BA31" i="261"/>
  <c r="N31" i="261"/>
  <c r="BM31" i="261"/>
  <c r="BI31" i="261"/>
  <c r="Z31" i="261"/>
  <c r="AU31" i="261"/>
  <c r="BJ31" i="261"/>
  <c r="W31" i="261"/>
  <c r="R31" i="261"/>
  <c r="AI31" i="261"/>
  <c r="AF31" i="261"/>
  <c r="P31" i="261"/>
  <c r="BG31" i="261"/>
  <c r="AR31" i="261"/>
  <c r="AL31" i="261"/>
  <c r="T31" i="261"/>
  <c r="AC31" i="261"/>
  <c r="AJ31" i="261"/>
  <c r="AO31" i="261"/>
  <c r="AM31" i="261"/>
  <c r="L31" i="261"/>
  <c r="AE31" i="261"/>
  <c r="AB31" i="261"/>
  <c r="AV31" i="261"/>
  <c r="BL31" i="261"/>
  <c r="BC31" i="261"/>
  <c r="V31" i="261"/>
  <c r="BB31" i="261"/>
  <c r="BE31" i="261"/>
  <c r="BD31" i="261"/>
  <c r="O31" i="261"/>
  <c r="I25" i="261"/>
  <c r="BH31" i="261"/>
  <c r="AT31" i="261"/>
  <c r="U31" i="261"/>
  <c r="AZ31" i="261"/>
  <c r="M31" i="261"/>
  <c r="BF31" i="261"/>
  <c r="AG31" i="261"/>
  <c r="Y31" i="261"/>
  <c r="AQ31" i="261"/>
  <c r="AV40" i="251"/>
  <c r="AY40" i="256"/>
  <c r="AC39" i="260"/>
  <c r="AC40" i="260"/>
  <c r="AJ39" i="259"/>
  <c r="AJ40" i="259"/>
  <c r="BG40" i="257"/>
  <c r="O40" i="256"/>
  <c r="L40" i="260"/>
  <c r="L39" i="260"/>
  <c r="AF40" i="254"/>
  <c r="AF39" i="254"/>
  <c r="AS40" i="260"/>
  <c r="AS39" i="260"/>
  <c r="BL40" i="258"/>
  <c r="BL39" i="258"/>
  <c r="BJ40" i="255"/>
  <c r="Q39" i="251"/>
  <c r="Q40" i="251"/>
  <c r="K40" i="251"/>
  <c r="BF40" i="250"/>
  <c r="Y40" i="251"/>
  <c r="Q40" i="250"/>
  <c r="BK40" i="256"/>
  <c r="AN40" i="259"/>
  <c r="AN39" i="259"/>
  <c r="Z40" i="256"/>
  <c r="M39" i="261"/>
  <c r="M40" i="261"/>
  <c r="AM40" i="256"/>
  <c r="AO40" i="256"/>
  <c r="AM39" i="261"/>
  <c r="AM40" i="261"/>
  <c r="BG39" i="261"/>
  <c r="BG40" i="261"/>
  <c r="BB40" i="255"/>
  <c r="BN40" i="259"/>
  <c r="BN39" i="259"/>
  <c r="N39" i="260"/>
  <c r="N40" i="260"/>
  <c r="BD39" i="260"/>
  <c r="BD40" i="260"/>
  <c r="T40" i="251"/>
  <c r="BC39" i="259"/>
  <c r="BC40" i="259"/>
  <c r="BK40" i="253"/>
  <c r="AF40" i="260"/>
  <c r="AF39" i="260"/>
  <c r="AL39" i="259"/>
  <c r="AL40" i="259"/>
  <c r="AF39" i="259"/>
  <c r="AF40" i="259"/>
  <c r="K40" i="254"/>
  <c r="K39" i="254"/>
  <c r="AK39" i="258"/>
  <c r="AK40" i="258"/>
  <c r="BK31" i="257"/>
  <c r="AV31" i="257"/>
  <c r="Y31" i="257"/>
  <c r="AU31" i="257"/>
  <c r="AR31" i="257"/>
  <c r="T31" i="257"/>
  <c r="BC31" i="257"/>
  <c r="AX31" i="257"/>
  <c r="AG31" i="257"/>
  <c r="AW31" i="257"/>
  <c r="AL31" i="257"/>
  <c r="AF31" i="257"/>
  <c r="BD31" i="257"/>
  <c r="AK31" i="257"/>
  <c r="O31" i="257"/>
  <c r="AQ31" i="257"/>
  <c r="AO31" i="257"/>
  <c r="V31" i="257"/>
  <c r="L31" i="257"/>
  <c r="Z31" i="257"/>
  <c r="AI31" i="257"/>
  <c r="AY31" i="257"/>
  <c r="BE31" i="257"/>
  <c r="AT31" i="257"/>
  <c r="N31" i="257"/>
  <c r="P31" i="257"/>
  <c r="BJ31" i="257"/>
  <c r="BI31" i="257"/>
  <c r="AE31" i="257"/>
  <c r="AD31" i="257"/>
  <c r="AM31" i="257"/>
  <c r="AN31" i="257"/>
  <c r="R31" i="257"/>
  <c r="M31" i="257"/>
  <c r="U31" i="257"/>
  <c r="AZ31" i="257"/>
  <c r="AB31" i="257"/>
  <c r="BN31" i="257"/>
  <c r="AS31" i="257"/>
  <c r="BG31" i="257"/>
  <c r="BB31" i="257"/>
  <c r="Q31" i="257"/>
  <c r="BL31" i="257"/>
  <c r="I25" i="257"/>
  <c r="AH31" i="257"/>
  <c r="AJ31" i="257"/>
  <c r="K31" i="257"/>
  <c r="BM31" i="257"/>
  <c r="S31" i="257"/>
  <c r="AC31" i="257"/>
  <c r="BA31" i="257"/>
  <c r="X31" i="257"/>
  <c r="W31" i="257"/>
  <c r="AA31" i="257"/>
  <c r="AP31" i="257"/>
  <c r="BF31" i="257"/>
  <c r="BH31" i="257"/>
  <c r="AI40" i="253"/>
  <c r="S40" i="251"/>
  <c r="AL40" i="258"/>
  <c r="AL39" i="258"/>
  <c r="M40" i="257"/>
  <c r="AV40" i="259"/>
  <c r="AV39" i="259"/>
  <c r="AR40" i="259"/>
  <c r="AR39" i="259"/>
  <c r="AP39" i="261"/>
  <c r="AP40" i="261"/>
  <c r="AD40" i="255"/>
  <c r="U40" i="259"/>
  <c r="U39" i="259"/>
  <c r="BI39" i="256"/>
  <c r="BI40" i="256"/>
  <c r="BB39" i="254"/>
  <c r="BB40" i="254"/>
  <c r="AU40" i="253"/>
  <c r="Z40" i="257"/>
  <c r="BK31" i="252"/>
  <c r="AA31" i="252"/>
  <c r="AU31" i="252"/>
  <c r="BL31" i="252"/>
  <c r="AC31" i="252"/>
  <c r="AS31" i="252"/>
  <c r="BB31" i="252"/>
  <c r="AO31" i="252"/>
  <c r="M31" i="252"/>
  <c r="BH31" i="252"/>
  <c r="L31" i="252"/>
  <c r="AL31" i="252"/>
  <c r="U31" i="252"/>
  <c r="AR31" i="252"/>
  <c r="V31" i="252"/>
  <c r="X31" i="252"/>
  <c r="I25" i="252"/>
  <c r="K31" i="252"/>
  <c r="BM31" i="252"/>
  <c r="T31" i="252"/>
  <c r="BE31" i="252"/>
  <c r="AP31" i="252"/>
  <c r="S31" i="252"/>
  <c r="AN31" i="252"/>
  <c r="AQ31" i="252"/>
  <c r="AK31" i="252"/>
  <c r="R31" i="252"/>
  <c r="AG31" i="252"/>
  <c r="AW31" i="252"/>
  <c r="BA31" i="252"/>
  <c r="AJ31" i="252"/>
  <c r="BG31" i="252"/>
  <c r="N31" i="252"/>
  <c r="AE31" i="252"/>
  <c r="BD31" i="252"/>
  <c r="BN31" i="252"/>
  <c r="BF31" i="252"/>
  <c r="AF31" i="252"/>
  <c r="O31" i="252"/>
  <c r="AV31" i="252"/>
  <c r="AY31" i="252"/>
  <c r="Q31" i="252"/>
  <c r="AH31" i="252"/>
  <c r="BC31" i="252"/>
  <c r="AD31" i="252"/>
  <c r="P31" i="252"/>
  <c r="AT31" i="252"/>
  <c r="AB31" i="252"/>
  <c r="AM31" i="252"/>
  <c r="W31" i="252"/>
  <c r="BJ31" i="252"/>
  <c r="BI31" i="252"/>
  <c r="AI31" i="252"/>
  <c r="Y31" i="252"/>
  <c r="Z31" i="252"/>
  <c r="AX31" i="252"/>
  <c r="AZ31" i="252"/>
  <c r="AP40" i="252"/>
  <c r="AH40" i="253"/>
  <c r="AA39" i="254"/>
  <c r="AA40" i="254"/>
  <c r="AD40" i="251"/>
  <c r="AH40" i="258"/>
  <c r="AH39" i="258"/>
  <c r="BI40" i="251"/>
  <c r="AG40" i="250"/>
  <c r="AX40" i="250"/>
  <c r="AP39" i="254"/>
  <c r="AP40" i="254"/>
  <c r="AG40" i="258"/>
  <c r="AG39" i="258"/>
  <c r="AG40" i="257"/>
  <c r="BM40" i="257"/>
  <c r="AR40" i="260"/>
  <c r="AR39" i="260"/>
  <c r="AS39" i="261"/>
  <c r="AS40" i="261"/>
  <c r="AX40" i="259"/>
  <c r="AX39" i="259"/>
  <c r="AU40" i="257"/>
  <c r="AG40" i="260"/>
  <c r="AG39" i="260"/>
  <c r="AZ39" i="257"/>
  <c r="AZ40" i="257"/>
  <c r="AE40" i="252"/>
  <c r="S40" i="255"/>
  <c r="AT40" i="258"/>
  <c r="AT39" i="258"/>
  <c r="O39" i="251"/>
  <c r="O40" i="251"/>
  <c r="AY40" i="257"/>
  <c r="AZ40" i="252"/>
  <c r="L39" i="258"/>
  <c r="L40" i="258"/>
  <c r="BK40" i="250"/>
  <c r="AI39" i="254"/>
  <c r="AI40" i="254"/>
  <c r="AC40" i="253"/>
  <c r="T40" i="257"/>
  <c r="BI39" i="258"/>
  <c r="BI40" i="258"/>
  <c r="BK40" i="257"/>
  <c r="AR40" i="257"/>
  <c r="AL40" i="256"/>
  <c r="S40" i="260"/>
  <c r="S39" i="260"/>
  <c r="AM40" i="255"/>
  <c r="U40" i="256"/>
  <c r="AD39" i="258"/>
  <c r="AD40" i="258"/>
  <c r="BN40" i="255"/>
  <c r="O40" i="261"/>
  <c r="O39" i="261"/>
  <c r="AH39" i="260"/>
  <c r="AH40" i="260"/>
  <c r="BN39" i="251"/>
  <c r="BN40" i="251"/>
  <c r="R40" i="260"/>
  <c r="R39" i="260"/>
  <c r="BE39" i="254"/>
  <c r="BE40" i="254"/>
  <c r="AW39" i="258"/>
  <c r="AW40" i="258"/>
  <c r="BA40" i="252"/>
  <c r="AP39" i="260"/>
  <c r="AP40" i="260"/>
  <c r="BH40" i="254"/>
  <c r="BH39" i="254"/>
  <c r="BL40" i="259"/>
  <c r="BL39" i="259"/>
  <c r="AT40" i="255"/>
  <c r="AK40" i="259"/>
  <c r="AK39" i="259"/>
  <c r="BE39" i="252"/>
  <c r="BE40" i="252"/>
  <c r="AU39" i="258"/>
  <c r="AU40" i="258"/>
  <c r="AS39" i="258"/>
  <c r="AS40" i="258"/>
  <c r="AQ40" i="253"/>
  <c r="AW40" i="252"/>
  <c r="AT39" i="261"/>
  <c r="AT40" i="261"/>
  <c r="U40" i="250"/>
  <c r="BL40" i="254"/>
  <c r="BL39" i="254"/>
  <c r="N40" i="255"/>
  <c r="M40" i="255"/>
  <c r="BA40" i="256"/>
  <c r="AN40" i="261"/>
  <c r="AN39" i="261"/>
  <c r="AE40" i="251"/>
  <c r="P39" i="259"/>
  <c r="P40" i="259"/>
  <c r="BM39" i="258"/>
  <c r="BM40" i="258"/>
  <c r="AV40" i="250"/>
  <c r="I25" i="259"/>
  <c r="AG31" i="259"/>
  <c r="AQ31" i="259"/>
  <c r="BD31" i="259"/>
  <c r="AY31" i="259"/>
  <c r="AT31" i="259"/>
  <c r="BK31" i="259"/>
  <c r="R31" i="259"/>
  <c r="V31" i="259"/>
  <c r="AU31" i="259"/>
  <c r="BJ31" i="259"/>
  <c r="AV31" i="259"/>
  <c r="P31" i="259"/>
  <c r="BI31" i="259"/>
  <c r="AW31" i="259"/>
  <c r="BH31" i="259"/>
  <c r="AL31" i="259"/>
  <c r="AF31" i="259"/>
  <c r="BM31" i="259"/>
  <c r="AZ31" i="259"/>
  <c r="BA31" i="259"/>
  <c r="AR31" i="259"/>
  <c r="BC31" i="259"/>
  <c r="S31" i="259"/>
  <c r="Y31" i="259"/>
  <c r="AX31" i="259"/>
  <c r="BB31" i="259"/>
  <c r="T31" i="259"/>
  <c r="BG31" i="259"/>
  <c r="Q31" i="259"/>
  <c r="K31" i="259"/>
  <c r="AN31" i="259"/>
  <c r="L31" i="259"/>
  <c r="AB31" i="259"/>
  <c r="Z31" i="259"/>
  <c r="AK31" i="259"/>
  <c r="AI31" i="259"/>
  <c r="AE31" i="259"/>
  <c r="AJ31" i="259"/>
  <c r="U31" i="259"/>
  <c r="AA31" i="259"/>
  <c r="N31" i="259"/>
  <c r="BE31" i="259"/>
  <c r="AD31" i="259"/>
  <c r="M31" i="259"/>
  <c r="X31" i="259"/>
  <c r="AP31" i="259"/>
  <c r="AM31" i="259"/>
  <c r="BL31" i="259"/>
  <c r="BN31" i="259"/>
  <c r="W31" i="259"/>
  <c r="AC31" i="259"/>
  <c r="O31" i="259"/>
  <c r="AH31" i="259"/>
  <c r="BF31" i="259"/>
  <c r="AO31" i="259"/>
  <c r="AS31" i="259"/>
  <c r="AR40" i="251"/>
  <c r="AM40" i="252"/>
  <c r="AJ31" i="253"/>
  <c r="BL31" i="253"/>
  <c r="BJ31" i="253"/>
  <c r="AT31" i="253"/>
  <c r="Q31" i="253"/>
  <c r="AO31" i="253"/>
  <c r="AL31" i="253"/>
  <c r="S31" i="253"/>
  <c r="N31" i="253"/>
  <c r="L31" i="253"/>
  <c r="AP31" i="253"/>
  <c r="V31" i="253"/>
  <c r="AV31" i="253"/>
  <c r="AY31" i="253"/>
  <c r="P31" i="253"/>
  <c r="T31" i="253"/>
  <c r="AH31" i="253"/>
  <c r="BH31" i="253"/>
  <c r="R31" i="253"/>
  <c r="BB31" i="253"/>
  <c r="AF31" i="253"/>
  <c r="BA31" i="253"/>
  <c r="I25" i="253"/>
  <c r="AG31" i="253"/>
  <c r="BC31" i="253"/>
  <c r="O31" i="253"/>
  <c r="AX31" i="253"/>
  <c r="BG31" i="253"/>
  <c r="AE31" i="253"/>
  <c r="AZ31" i="253"/>
  <c r="AR31" i="253"/>
  <c r="AK31" i="253"/>
  <c r="M31" i="253"/>
  <c r="BI31" i="253"/>
  <c r="X31" i="253"/>
  <c r="BM31" i="253"/>
  <c r="K31" i="253"/>
  <c r="AB31" i="253"/>
  <c r="W31" i="253"/>
  <c r="BN31" i="253"/>
  <c r="BF31" i="253"/>
  <c r="AM31" i="253"/>
  <c r="AI31" i="253"/>
  <c r="AA31" i="253"/>
  <c r="Z31" i="253"/>
  <c r="AU31" i="253"/>
  <c r="AD31" i="253"/>
  <c r="AS31" i="253"/>
  <c r="BD31" i="253"/>
  <c r="Y31" i="253"/>
  <c r="U31" i="253"/>
  <c r="AW31" i="253"/>
  <c r="AN31" i="253"/>
  <c r="BE31" i="253"/>
  <c r="AQ31" i="253"/>
  <c r="BK31" i="253"/>
  <c r="AC31" i="253"/>
  <c r="BM40" i="259"/>
  <c r="BM39" i="259"/>
  <c r="AI40" i="259"/>
  <c r="AI39" i="259"/>
  <c r="AC40" i="252"/>
  <c r="AN40" i="256"/>
  <c r="AE39" i="259"/>
  <c r="AE40" i="259"/>
  <c r="AD40" i="250"/>
  <c r="AD40" i="257"/>
  <c r="AE40" i="257"/>
  <c r="P40" i="256"/>
  <c r="AJ40" i="261"/>
  <c r="AJ39" i="261"/>
  <c r="Z39" i="258"/>
  <c r="Z40" i="258"/>
  <c r="BC40" i="254"/>
  <c r="BC39" i="254"/>
  <c r="BI39" i="261"/>
  <c r="BI40" i="261"/>
  <c r="X40" i="254"/>
  <c r="X39" i="254"/>
  <c r="AB40" i="252"/>
  <c r="AH40" i="252"/>
  <c r="AJ40" i="260"/>
  <c r="AJ39" i="260"/>
  <c r="L40" i="256"/>
  <c r="N39" i="258"/>
  <c r="N40" i="258"/>
  <c r="BL40" i="257"/>
  <c r="P40" i="253"/>
  <c r="AI40" i="261"/>
  <c r="AI39" i="261"/>
  <c r="AU39" i="259"/>
  <c r="AU40" i="259"/>
  <c r="AW40" i="254"/>
  <c r="AW39" i="254"/>
  <c r="AL40" i="260"/>
  <c r="AL39" i="260"/>
  <c r="R40" i="256"/>
  <c r="W40" i="258"/>
  <c r="W39" i="258"/>
  <c r="BA40" i="253"/>
  <c r="AW40" i="250"/>
  <c r="BJ40" i="256"/>
  <c r="AW40" i="256"/>
  <c r="BI40" i="254"/>
  <c r="BI39" i="254"/>
  <c r="BA40" i="254"/>
  <c r="BA39" i="254"/>
  <c r="S40" i="261"/>
  <c r="S39" i="261"/>
  <c r="AT40" i="257"/>
  <c r="BG39" i="258"/>
  <c r="BG40" i="258"/>
  <c r="V39" i="258"/>
  <c r="V40" i="258"/>
  <c r="W39" i="259"/>
  <c r="W40" i="259"/>
  <c r="K39" i="259"/>
  <c r="K40" i="259"/>
  <c r="BN40" i="256"/>
  <c r="BM40" i="260"/>
  <c r="BM39" i="260"/>
  <c r="K40" i="253"/>
  <c r="AF39" i="258"/>
  <c r="AF40" i="258"/>
  <c r="AO40" i="255"/>
  <c r="N39" i="259"/>
  <c r="N40" i="259"/>
  <c r="AF40" i="256"/>
  <c r="BF39" i="261"/>
  <c r="BF40" i="261"/>
  <c r="AN40" i="257"/>
  <c r="AJ40" i="258"/>
  <c r="AJ39" i="258"/>
  <c r="AG40" i="252"/>
  <c r="AG40" i="253"/>
  <c r="BF40" i="259"/>
  <c r="BF39" i="259"/>
  <c r="AM40" i="251"/>
  <c r="U39" i="254"/>
  <c r="U40" i="254"/>
  <c r="BD40" i="256"/>
  <c r="Y40" i="260"/>
  <c r="Y39" i="260"/>
  <c r="K40" i="256"/>
  <c r="AE39" i="258"/>
  <c r="AE40" i="258"/>
  <c r="AW40" i="261"/>
  <c r="AW39" i="261"/>
  <c r="AZ39" i="258"/>
  <c r="AZ40" i="258"/>
  <c r="O40" i="254"/>
  <c r="O39" i="254"/>
  <c r="AE39" i="261"/>
  <c r="AE40" i="261"/>
  <c r="AO40" i="258"/>
  <c r="AO39" i="258"/>
  <c r="S40" i="257"/>
  <c r="BN40" i="254"/>
  <c r="BN39" i="254"/>
  <c r="BC40" i="257"/>
  <c r="AP40" i="253"/>
  <c r="Y40" i="256"/>
  <c r="V40" i="259"/>
  <c r="V39" i="259"/>
  <c r="AW40" i="251"/>
  <c r="AE40" i="256"/>
  <c r="BI40" i="255"/>
  <c r="AA40" i="256"/>
  <c r="AJ40" i="256"/>
  <c r="W40" i="254"/>
  <c r="W39" i="254"/>
  <c r="AX40" i="256"/>
  <c r="U40" i="252"/>
  <c r="AS40" i="259"/>
  <c r="AS39" i="259"/>
  <c r="AS39" i="254"/>
  <c r="AS40" i="254"/>
  <c r="AM39" i="260"/>
  <c r="AM40" i="260"/>
  <c r="AZ40" i="261"/>
  <c r="AZ39" i="261"/>
  <c r="AK40" i="250"/>
  <c r="X40" i="258"/>
  <c r="X39" i="258"/>
  <c r="AY40" i="252"/>
  <c r="O40" i="258"/>
  <c r="O39" i="258"/>
  <c r="AP40" i="256"/>
  <c r="AO40" i="250"/>
  <c r="BN40" i="253"/>
  <c r="BD40" i="253"/>
  <c r="AV40" i="257"/>
  <c r="M40" i="256"/>
  <c r="X40" i="261"/>
  <c r="X39" i="261"/>
  <c r="AZ40" i="259"/>
  <c r="AZ39" i="259"/>
  <c r="R40" i="252"/>
  <c r="BK40" i="251"/>
  <c r="BC40" i="255"/>
  <c r="AA40" i="251"/>
  <c r="L39" i="254"/>
  <c r="L40" i="254"/>
  <c r="BK40" i="261"/>
  <c r="BK39" i="261"/>
  <c r="AV40" i="256"/>
  <c r="T40" i="260"/>
  <c r="T39" i="260"/>
  <c r="AK40" i="252"/>
  <c r="V40" i="257"/>
  <c r="AU40" i="256"/>
  <c r="AL40" i="251"/>
  <c r="BB39" i="261"/>
  <c r="BB40" i="261"/>
  <c r="AR40" i="261"/>
  <c r="AR39" i="261"/>
  <c r="P40" i="257"/>
  <c r="BB40" i="256"/>
  <c r="AU40" i="251"/>
  <c r="BJ40" i="254"/>
  <c r="BJ39" i="254"/>
  <c r="AQ39" i="261"/>
  <c r="AQ40" i="261"/>
  <c r="AF40" i="250"/>
  <c r="AN40" i="251"/>
  <c r="AX39" i="254"/>
  <c r="AX40" i="254"/>
  <c r="K39" i="258"/>
  <c r="K40" i="258"/>
  <c r="Q39" i="260"/>
  <c r="Q40" i="260"/>
  <c r="AA40" i="252"/>
  <c r="BI40" i="250"/>
  <c r="X40" i="256"/>
  <c r="AS40" i="250"/>
  <c r="W40" i="255"/>
  <c r="AM40" i="258"/>
  <c r="AM39" i="258"/>
  <c r="AM39" i="254"/>
  <c r="AM40" i="254"/>
  <c r="AM39" i="259"/>
  <c r="AM40" i="259"/>
  <c r="R40" i="250"/>
  <c r="AG40" i="256"/>
  <c r="AP39" i="251"/>
  <c r="AP40" i="251"/>
  <c r="S39" i="258"/>
  <c r="S40" i="258"/>
  <c r="BH39" i="258"/>
  <c r="BH40" i="258"/>
  <c r="T40" i="256"/>
  <c r="AD40" i="252"/>
  <c r="AF40" i="255"/>
  <c r="BA40" i="250"/>
  <c r="AA39" i="257"/>
  <c r="AA40" i="257"/>
  <c r="X39" i="259"/>
  <c r="X40" i="259"/>
  <c r="W40" i="251"/>
  <c r="AZ40" i="260"/>
  <c r="AZ39" i="260"/>
  <c r="AH40" i="256"/>
  <c r="AF40" i="257"/>
  <c r="AK40" i="255"/>
  <c r="AG40" i="261"/>
  <c r="AG39" i="261"/>
  <c r="U40" i="253"/>
  <c r="U40" i="261"/>
  <c r="U39" i="261"/>
  <c r="BB40" i="258"/>
  <c r="BB39" i="258"/>
  <c r="BB39" i="260"/>
  <c r="BB40" i="260"/>
  <c r="Z40" i="253"/>
  <c r="BA39" i="260"/>
  <c r="BA40" i="260"/>
  <c r="AT40" i="259"/>
  <c r="AT39" i="259"/>
  <c r="AP40" i="257"/>
  <c r="AY40" i="259"/>
  <c r="AY39" i="259"/>
  <c r="BA40" i="251"/>
  <c r="X40" i="251"/>
  <c r="AT40" i="260"/>
  <c r="AT39" i="260"/>
  <c r="W40" i="257"/>
  <c r="AE40" i="253"/>
  <c r="AR40" i="250"/>
  <c r="X40" i="250"/>
  <c r="M39" i="259"/>
  <c r="M40" i="259"/>
  <c r="AW40" i="257"/>
  <c r="BA40" i="258"/>
  <c r="BA39" i="258"/>
  <c r="T40" i="253"/>
  <c r="BE39" i="260"/>
  <c r="BE40" i="260"/>
  <c r="Z40" i="261"/>
  <c r="Z39" i="261"/>
  <c r="BJ40" i="261"/>
  <c r="BJ39" i="261"/>
  <c r="BD40" i="258"/>
  <c r="BD39" i="258"/>
  <c r="BE40" i="256"/>
  <c r="L39" i="259"/>
  <c r="L40" i="259"/>
  <c r="AY40" i="258"/>
  <c r="AY39" i="258"/>
  <c r="AT40" i="256"/>
  <c r="U39" i="251"/>
  <c r="U40" i="251"/>
  <c r="T39" i="259"/>
  <c r="T40" i="259"/>
  <c r="N40" i="261"/>
  <c r="N39" i="261"/>
  <c r="AJ40" i="255"/>
  <c r="O40" i="253"/>
  <c r="BE40" i="255"/>
  <c r="AH39" i="254"/>
  <c r="AH40" i="254"/>
  <c r="BJ39" i="259"/>
  <c r="BJ40" i="259"/>
  <c r="E54" i="14"/>
  <c r="E41" i="14"/>
  <c r="E59" i="14"/>
  <c r="E13" i="14"/>
  <c r="E35" i="14"/>
  <c r="BL36" i="1"/>
  <c r="BJ36" i="1"/>
  <c r="BK36" i="1"/>
  <c r="BN36" i="1"/>
  <c r="BM36" i="1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AS30" i="1"/>
  <c r="D5" i="14"/>
  <c r="E5" i="14" s="1"/>
  <c r="K42" i="261"/>
  <c r="K41" i="260"/>
  <c r="K42" i="258"/>
  <c r="K42" i="259"/>
  <c r="K41" i="251"/>
  <c r="K42" i="254"/>
  <c r="K42" i="253"/>
  <c r="K42" i="250"/>
  <c r="K41" i="250"/>
  <c r="K42" i="252"/>
  <c r="K42" i="255"/>
  <c r="K41" i="261"/>
  <c r="K41" i="253"/>
  <c r="K41" i="252"/>
  <c r="K41" i="259"/>
  <c r="K42" i="251"/>
  <c r="K41" i="256"/>
  <c r="K42" i="257"/>
  <c r="K42" i="260"/>
  <c r="K41" i="258"/>
  <c r="K41" i="257"/>
  <c r="K42" i="256"/>
  <c r="K41" i="254"/>
  <c r="D14" i="14"/>
  <c r="D55" i="14"/>
  <c r="D25" i="14"/>
  <c r="D8" i="14"/>
  <c r="D58" i="14"/>
  <c r="D43" i="14"/>
  <c r="D22" i="14"/>
  <c r="D49" i="14"/>
  <c r="D48" i="14"/>
  <c r="D46" i="14"/>
  <c r="D19" i="14"/>
  <c r="D9" i="14"/>
  <c r="D15" i="14"/>
  <c r="D20" i="14"/>
  <c r="D56" i="14"/>
  <c r="D12" i="14"/>
  <c r="D32" i="14"/>
  <c r="D36" i="14"/>
  <c r="D31" i="14"/>
  <c r="D39" i="14"/>
  <c r="D62" i="14"/>
  <c r="D37" i="14"/>
  <c r="D63" i="14"/>
  <c r="D16" i="14"/>
  <c r="D33" i="14"/>
  <c r="D45" i="14"/>
  <c r="D51" i="14"/>
  <c r="D34" i="14"/>
  <c r="D61" i="14"/>
  <c r="D38" i="14"/>
  <c r="D24" i="14"/>
  <c r="D30" i="14"/>
  <c r="D17" i="14"/>
  <c r="D21" i="14"/>
  <c r="D52" i="14"/>
  <c r="D44" i="14"/>
  <c r="D28" i="14"/>
  <c r="D26" i="14"/>
  <c r="D11" i="14"/>
  <c r="D57" i="14"/>
  <c r="D29" i="14"/>
  <c r="D50" i="14"/>
  <c r="D23" i="14"/>
  <c r="D47" i="14"/>
  <c r="F41" i="14" l="1"/>
  <c r="F13" i="14"/>
  <c r="F35" i="14"/>
  <c r="F59" i="14"/>
  <c r="F54" i="14"/>
  <c r="E9" i="14"/>
  <c r="E62" i="14"/>
  <c r="E51" i="14"/>
  <c r="E56" i="14"/>
  <c r="E30" i="14"/>
  <c r="E34" i="14"/>
  <c r="E28" i="14"/>
  <c r="E22" i="14"/>
  <c r="E61" i="14"/>
  <c r="E11" i="14"/>
  <c r="F34" i="14"/>
  <c r="F57" i="14"/>
  <c r="F50" i="14"/>
  <c r="F26" i="14"/>
  <c r="E19" i="14"/>
  <c r="E33" i="14"/>
  <c r="E32" i="14"/>
  <c r="E39" i="14"/>
  <c r="E63" i="14"/>
  <c r="E26" i="14"/>
  <c r="E24" i="14"/>
  <c r="E58" i="14"/>
  <c r="E55" i="14"/>
  <c r="E12" i="14"/>
  <c r="E20" i="14"/>
  <c r="E50" i="14"/>
  <c r="E49" i="14"/>
  <c r="E47" i="14"/>
  <c r="E44" i="14"/>
  <c r="E8" i="14"/>
  <c r="E31" i="14"/>
  <c r="E27" i="14"/>
  <c r="E48" i="14"/>
  <c r="E21" i="14"/>
  <c r="E46" i="14"/>
  <c r="E14" i="14"/>
  <c r="E38" i="14"/>
  <c r="E17" i="14"/>
  <c r="E25" i="14"/>
  <c r="E15" i="14"/>
  <c r="E36" i="14"/>
  <c r="E29" i="14"/>
  <c r="E57" i="14"/>
  <c r="E45" i="14"/>
  <c r="E37" i="14"/>
  <c r="E16" i="14"/>
  <c r="F21" i="14"/>
  <c r="F30" i="14"/>
  <c r="F47" i="14"/>
  <c r="F55" i="14"/>
  <c r="F45" i="14"/>
  <c r="F12" i="14"/>
  <c r="F27" i="14"/>
  <c r="F19" i="14"/>
  <c r="F44" i="14"/>
  <c r="F31" i="14"/>
  <c r="F28" i="14"/>
  <c r="F29" i="14"/>
  <c r="F36" i="14"/>
  <c r="F9" i="14"/>
  <c r="F14" i="14"/>
  <c r="F56" i="14"/>
  <c r="F37" i="14"/>
  <c r="F33" i="14"/>
  <c r="F32" i="14"/>
  <c r="F24" i="14"/>
  <c r="F16" i="14"/>
  <c r="F58" i="14"/>
  <c r="F17" i="14"/>
  <c r="F48" i="14"/>
  <c r="F22" i="14"/>
  <c r="F15" i="14"/>
  <c r="F62" i="14"/>
  <c r="F46" i="14"/>
  <c r="F20" i="14"/>
  <c r="F25" i="14"/>
  <c r="F39" i="14"/>
  <c r="F38" i="14"/>
  <c r="F51" i="14"/>
  <c r="F61" i="14"/>
  <c r="F11" i="14"/>
  <c r="F8" i="14"/>
  <c r="F49" i="14"/>
  <c r="F63" i="14"/>
  <c r="F43" i="14"/>
  <c r="E43" i="14"/>
  <c r="E52" i="14"/>
  <c r="F52" i="14"/>
  <c r="E23" i="14"/>
  <c r="F23" i="14"/>
  <c r="D10" i="14"/>
  <c r="D53" i="14"/>
  <c r="D18" i="14"/>
  <c r="D42" i="14"/>
  <c r="D40" i="14"/>
  <c r="D60" i="14"/>
  <c r="E53" i="14" l="1"/>
  <c r="F53" i="14"/>
  <c r="F10" i="14"/>
  <c r="E10" i="14"/>
  <c r="F42" i="14"/>
  <c r="E42" i="14"/>
  <c r="E18" i="14"/>
  <c r="F18" i="14"/>
  <c r="E40" i="14"/>
  <c r="F40" i="14"/>
  <c r="F60" i="14"/>
  <c r="E60" i="14"/>
  <c r="A27" i="14"/>
  <c r="H27" i="14" l="1"/>
  <c r="Q4" i="14"/>
  <c r="R5" i="14"/>
  <c r="BN2" i="1"/>
  <c r="R7" i="14"/>
  <c r="Q5" i="14"/>
  <c r="Q7" i="14"/>
  <c r="R4" i="14"/>
  <c r="BN39" i="1" l="1"/>
  <c r="BN40" i="1"/>
  <c r="W50" i="14"/>
  <c r="W53" i="14"/>
  <c r="U53" i="14"/>
  <c r="V53" i="14"/>
  <c r="W26" i="14"/>
  <c r="T53" i="14"/>
  <c r="V34" i="14"/>
  <c r="T26" i="14"/>
  <c r="V50" i="14"/>
  <c r="U26" i="14"/>
  <c r="U34" i="14"/>
  <c r="W34" i="14"/>
  <c r="T34" i="14"/>
  <c r="V26" i="14"/>
  <c r="T50" i="14"/>
  <c r="U50" i="14"/>
  <c r="M4" i="14"/>
  <c r="N4" i="14"/>
  <c r="O7" i="14"/>
  <c r="P5" i="14"/>
  <c r="P7" i="14"/>
  <c r="O5" i="14"/>
  <c r="M5" i="14"/>
  <c r="B26" i="14"/>
  <c r="P4" i="14"/>
  <c r="B34" i="14"/>
  <c r="O4" i="14"/>
  <c r="N7" i="14"/>
  <c r="B50" i="14"/>
  <c r="M7" i="14"/>
  <c r="N5" i="14"/>
  <c r="O39" i="1" l="1"/>
  <c r="AP39" i="1"/>
  <c r="AX39" i="1"/>
  <c r="BE39" i="1"/>
  <c r="AL39" i="1"/>
  <c r="AK39" i="1"/>
  <c r="BC39" i="1"/>
  <c r="AW39" i="1"/>
  <c r="Z39" i="1"/>
  <c r="X39" i="1"/>
  <c r="AJ39" i="1"/>
  <c r="AA39" i="1"/>
  <c r="AS39" i="1"/>
  <c r="BA39" i="1"/>
  <c r="M39" i="1"/>
  <c r="S39" i="1"/>
  <c r="AB39" i="1"/>
  <c r="Y39" i="1"/>
  <c r="AD39" i="1"/>
  <c r="AM39" i="1"/>
  <c r="BI39" i="1"/>
  <c r="BD39" i="1"/>
  <c r="AC39" i="1"/>
  <c r="AI39" i="1"/>
  <c r="N39" i="1"/>
  <c r="V39" i="1"/>
  <c r="T39" i="1"/>
  <c r="AE39" i="1"/>
  <c r="AT39" i="1"/>
  <c r="P39" i="1"/>
  <c r="AG39" i="1"/>
  <c r="BF39" i="1"/>
  <c r="AN39" i="1"/>
  <c r="BB39" i="1"/>
  <c r="K39" i="1"/>
  <c r="AQ39" i="1"/>
  <c r="BL39" i="1"/>
  <c r="AH39" i="1"/>
  <c r="BG39" i="1"/>
  <c r="BJ39" i="1"/>
  <c r="Q39" i="1"/>
  <c r="AF39" i="1"/>
  <c r="W39" i="1"/>
  <c r="BH39" i="1"/>
  <c r="U39" i="1"/>
  <c r="AR39" i="1"/>
  <c r="AY39" i="1"/>
  <c r="AZ39" i="1"/>
  <c r="BK39" i="1"/>
  <c r="AO39" i="1"/>
  <c r="AU39" i="1"/>
  <c r="AV39" i="1"/>
  <c r="BM39" i="1"/>
  <c r="W61" i="14"/>
  <c r="W22" i="14"/>
  <c r="U30" i="14"/>
  <c r="V63" i="14"/>
  <c r="W9" i="14"/>
  <c r="U9" i="14"/>
  <c r="T15" i="14"/>
  <c r="W43" i="14"/>
  <c r="T55" i="14"/>
  <c r="W55" i="14"/>
  <c r="T19" i="14"/>
  <c r="W19" i="14"/>
  <c r="U17" i="14"/>
  <c r="T29" i="14"/>
  <c r="W29" i="14"/>
  <c r="W60" i="14"/>
  <c r="V58" i="14"/>
  <c r="T33" i="14"/>
  <c r="T20" i="14"/>
  <c r="T16" i="14"/>
  <c r="W16" i="14"/>
  <c r="V52" i="14"/>
  <c r="W8" i="14"/>
  <c r="T42" i="14"/>
  <c r="W42" i="14"/>
  <c r="V28" i="14"/>
  <c r="W28" i="14"/>
  <c r="U28" i="14"/>
  <c r="V47" i="14"/>
  <c r="T47" i="14"/>
  <c r="W18" i="14"/>
  <c r="V40" i="14"/>
  <c r="W25" i="14"/>
  <c r="V23" i="14"/>
  <c r="V44" i="14"/>
  <c r="V31" i="14"/>
  <c r="V27" i="14"/>
  <c r="U27" i="14"/>
  <c r="W11" i="14"/>
  <c r="U11" i="14"/>
  <c r="T11" i="14"/>
  <c r="U37" i="14"/>
  <c r="W39" i="14"/>
  <c r="T39" i="14"/>
  <c r="V10" i="14"/>
  <c r="U10" i="14"/>
  <c r="U62" i="14"/>
  <c r="W62" i="14"/>
  <c r="T56" i="14"/>
  <c r="T61" i="14"/>
  <c r="T22" i="14"/>
  <c r="U22" i="14"/>
  <c r="W30" i="14"/>
  <c r="T30" i="14"/>
  <c r="W63" i="14"/>
  <c r="U63" i="14"/>
  <c r="T9" i="14"/>
  <c r="W15" i="14"/>
  <c r="V43" i="14"/>
  <c r="U19" i="14"/>
  <c r="U21" i="14"/>
  <c r="T21" i="14"/>
  <c r="V17" i="14"/>
  <c r="T38" i="14"/>
  <c r="U38" i="14"/>
  <c r="U45" i="14"/>
  <c r="U60" i="14"/>
  <c r="T60" i="14"/>
  <c r="V60" i="14"/>
  <c r="U58" i="14"/>
  <c r="U33" i="14"/>
  <c r="W20" i="14"/>
  <c r="V16" i="14"/>
  <c r="U52" i="14"/>
  <c r="T8" i="14"/>
  <c r="U49" i="14"/>
  <c r="V42" i="14"/>
  <c r="W47" i="14"/>
  <c r="V18" i="14"/>
  <c r="T24" i="14"/>
  <c r="W24" i="14"/>
  <c r="T40" i="14"/>
  <c r="U40" i="14"/>
  <c r="V51" i="14"/>
  <c r="U51" i="14"/>
  <c r="T23" i="14"/>
  <c r="W23" i="14"/>
  <c r="T44" i="14"/>
  <c r="W31" i="14"/>
  <c r="W27" i="14"/>
  <c r="W48" i="14"/>
  <c r="U48" i="14"/>
  <c r="W10" i="14"/>
  <c r="T62" i="14"/>
  <c r="U56" i="14"/>
  <c r="U6" i="14"/>
  <c r="W57" i="14"/>
  <c r="V12" i="14"/>
  <c r="T12" i="14"/>
  <c r="V61" i="14"/>
  <c r="U61" i="14"/>
  <c r="V30" i="14"/>
  <c r="V9" i="14"/>
  <c r="T17" i="14"/>
  <c r="V38" i="14"/>
  <c r="V45" i="14"/>
  <c r="T45" i="14"/>
  <c r="T58" i="14"/>
  <c r="V14" i="14"/>
  <c r="U14" i="14"/>
  <c r="V33" i="14"/>
  <c r="V20" i="14"/>
  <c r="T36" i="14"/>
  <c r="W36" i="14"/>
  <c r="U36" i="14"/>
  <c r="V8" i="14"/>
  <c r="V49" i="14"/>
  <c r="T28" i="14"/>
  <c r="U47" i="14"/>
  <c r="U24" i="14"/>
  <c r="V24" i="14"/>
  <c r="W40" i="14"/>
  <c r="V46" i="14"/>
  <c r="T46" i="14"/>
  <c r="U25" i="14"/>
  <c r="W51" i="14"/>
  <c r="T51" i="14"/>
  <c r="V32" i="14"/>
  <c r="U32" i="14"/>
  <c r="U23" i="14"/>
  <c r="U44" i="14"/>
  <c r="W44" i="14"/>
  <c r="T31" i="14"/>
  <c r="T27" i="14"/>
  <c r="V48" i="14"/>
  <c r="V11" i="14"/>
  <c r="U39" i="14"/>
  <c r="V56" i="14"/>
  <c r="V6" i="14"/>
  <c r="T6" i="14"/>
  <c r="U57" i="14"/>
  <c r="T57" i="14"/>
  <c r="W6" i="14"/>
  <c r="U12" i="14"/>
  <c r="W12" i="14"/>
  <c r="V22" i="14"/>
  <c r="T63" i="14"/>
  <c r="V15" i="14"/>
  <c r="U15" i="14"/>
  <c r="T43" i="14"/>
  <c r="U43" i="14"/>
  <c r="U55" i="14"/>
  <c r="V55" i="14"/>
  <c r="V19" i="14"/>
  <c r="V21" i="14"/>
  <c r="W21" i="14"/>
  <c r="W17" i="14"/>
  <c r="W38" i="14"/>
  <c r="W45" i="14"/>
  <c r="V29" i="14"/>
  <c r="U29" i="14"/>
  <c r="W58" i="14"/>
  <c r="W14" i="14"/>
  <c r="T14" i="14"/>
  <c r="W33" i="14"/>
  <c r="U20" i="14"/>
  <c r="U16" i="14"/>
  <c r="V36" i="14"/>
  <c r="T52" i="14"/>
  <c r="W52" i="14"/>
  <c r="U8" i="14"/>
  <c r="W49" i="14"/>
  <c r="T49" i="14"/>
  <c r="U42" i="14"/>
  <c r="T18" i="14"/>
  <c r="U18" i="14"/>
  <c r="W46" i="14"/>
  <c r="U46" i="14"/>
  <c r="T25" i="14"/>
  <c r="V25" i="14"/>
  <c r="T32" i="14"/>
  <c r="W32" i="14"/>
  <c r="U31" i="14"/>
  <c r="T48" i="14"/>
  <c r="W37" i="14"/>
  <c r="T37" i="14"/>
  <c r="V37" i="14"/>
  <c r="V39" i="14"/>
  <c r="T10" i="14"/>
  <c r="V62" i="14"/>
  <c r="W56" i="14"/>
  <c r="V57" i="14"/>
  <c r="S26" i="14"/>
  <c r="M50" i="14"/>
  <c r="R6" i="14"/>
  <c r="Q34" i="14"/>
  <c r="R50" i="14"/>
  <c r="P6" i="14"/>
  <c r="S34" i="14"/>
  <c r="R26" i="14"/>
  <c r="P50" i="14"/>
  <c r="N50" i="14"/>
  <c r="M34" i="14"/>
  <c r="O50" i="14"/>
  <c r="N6" i="14"/>
  <c r="N34" i="14"/>
  <c r="S50" i="14"/>
  <c r="N26" i="14"/>
  <c r="O26" i="14"/>
  <c r="M26" i="14"/>
  <c r="Q6" i="14"/>
  <c r="Q50" i="14"/>
  <c r="O34" i="14"/>
  <c r="P26" i="14"/>
  <c r="S6" i="14"/>
  <c r="O6" i="14"/>
  <c r="Q26" i="14"/>
  <c r="R34" i="14"/>
  <c r="P34" i="14"/>
  <c r="A61" i="14" l="1"/>
  <c r="H61" i="14" l="1"/>
  <c r="A22" i="14"/>
  <c r="H22" i="14" l="1"/>
  <c r="A14" i="14"/>
  <c r="H14" i="14" s="1"/>
  <c r="A63" i="14" l="1"/>
  <c r="H63" i="14" l="1"/>
  <c r="A28" i="14" l="1"/>
  <c r="H28" i="14" l="1"/>
  <c r="A60" i="14" l="1"/>
  <c r="H60" i="14" l="1"/>
  <c r="A51" i="14"/>
  <c r="H165" i="237"/>
  <c r="V18" i="18"/>
  <c r="H62" i="237"/>
  <c r="F28" i="223"/>
  <c r="B85" i="237"/>
  <c r="B95" i="223"/>
  <c r="L15" i="18"/>
  <c r="H79" i="223"/>
  <c r="D125" i="223"/>
  <c r="BS27" i="15"/>
  <c r="D68" i="237"/>
  <c r="AB6" i="18"/>
  <c r="B179" i="223"/>
  <c r="J9" i="18"/>
  <c r="BG28" i="1"/>
  <c r="L55" i="223"/>
  <c r="D26" i="223"/>
  <c r="J4" i="18"/>
  <c r="N116" i="237"/>
  <c r="BO26" i="15"/>
  <c r="BV26" i="15"/>
  <c r="BO21" i="15"/>
  <c r="Y19" i="15"/>
  <c r="U14" i="18"/>
  <c r="BP20" i="15"/>
  <c r="H80" i="223"/>
  <c r="N61" i="223"/>
  <c r="E141" i="237"/>
  <c r="M23" i="15"/>
  <c r="J182" i="237"/>
  <c r="L63" i="237"/>
  <c r="BJ10" i="18"/>
  <c r="AT11" i="18"/>
  <c r="M23" i="223"/>
  <c r="BQ20" i="15"/>
  <c r="D169" i="223"/>
  <c r="BR29" i="15"/>
  <c r="BQ25" i="15"/>
  <c r="I172" i="237"/>
  <c r="BJ20" i="18"/>
  <c r="BH5" i="18"/>
  <c r="AH8" i="18"/>
  <c r="D24" i="237"/>
  <c r="AN15" i="18"/>
  <c r="K5" i="14"/>
  <c r="AV28" i="1"/>
  <c r="T22" i="18"/>
  <c r="B115" i="237"/>
  <c r="D62" i="237"/>
  <c r="AC30" i="15"/>
  <c r="Z15" i="18"/>
  <c r="N184" i="223"/>
  <c r="J151" i="237"/>
  <c r="D163" i="223"/>
  <c r="M72" i="223"/>
  <c r="D160" i="223"/>
  <c r="BT25" i="15"/>
  <c r="BN20" i="18"/>
  <c r="BT27" i="15"/>
  <c r="AF17" i="18"/>
  <c r="C134" i="223"/>
  <c r="I94" i="237"/>
  <c r="BP29" i="15"/>
  <c r="I189" i="237"/>
  <c r="AF16" i="18"/>
  <c r="J140" i="237"/>
  <c r="L101" i="223"/>
  <c r="AL20" i="15"/>
  <c r="BM2" i="1"/>
  <c r="AS27" i="15"/>
  <c r="G63" i="237"/>
  <c r="L5" i="14"/>
  <c r="AR17" i="18"/>
  <c r="BQ22" i="15"/>
  <c r="H189" i="237"/>
  <c r="N23" i="237"/>
  <c r="M45" i="223"/>
  <c r="J80" i="223"/>
  <c r="AO23" i="15"/>
  <c r="M42" i="223"/>
  <c r="B122" i="223"/>
  <c r="N187" i="223"/>
  <c r="J167" i="223"/>
  <c r="BR22" i="15"/>
  <c r="AQ6" i="18"/>
  <c r="M102" i="237"/>
  <c r="N179" i="237"/>
  <c r="K187" i="237"/>
  <c r="E162" i="237"/>
  <c r="E80" i="237"/>
  <c r="D59" i="223"/>
  <c r="K31" i="15"/>
  <c r="B138" i="237"/>
  <c r="C39" i="237"/>
  <c r="B182" i="223"/>
  <c r="H131" i="237"/>
  <c r="B156" i="223"/>
  <c r="C119" i="237"/>
  <c r="K80" i="223"/>
  <c r="AT23" i="15"/>
  <c r="D187" i="237"/>
  <c r="F156" i="237"/>
  <c r="R16" i="18"/>
  <c r="L132" i="223"/>
  <c r="M28" i="1"/>
  <c r="BL19" i="15"/>
  <c r="N180" i="223"/>
  <c r="BJ28" i="1"/>
  <c r="B184" i="237"/>
  <c r="N20" i="223"/>
  <c r="BB4" i="18"/>
  <c r="BC29" i="15"/>
  <c r="G141" i="223"/>
  <c r="X28" i="1"/>
  <c r="AM17" i="18"/>
  <c r="M187" i="223"/>
  <c r="AW18" i="18"/>
  <c r="BE22" i="18"/>
  <c r="D139" i="237"/>
  <c r="D189" i="223"/>
  <c r="AJ21" i="15"/>
  <c r="C84" i="223"/>
  <c r="L16" i="18"/>
  <c r="AT28" i="15"/>
  <c r="C90" i="223"/>
  <c r="C170" i="237"/>
  <c r="BL23" i="15"/>
  <c r="J100" i="223"/>
  <c r="I80" i="223"/>
  <c r="B80" i="237"/>
  <c r="B83" i="237"/>
  <c r="AQ29" i="15"/>
  <c r="N189" i="223"/>
  <c r="I151" i="223"/>
  <c r="BR25" i="15"/>
  <c r="H80" i="237"/>
  <c r="AA26" i="15"/>
  <c r="H103" i="237"/>
  <c r="J188" i="223"/>
  <c r="B188" i="223"/>
  <c r="I33" i="237"/>
  <c r="BM22" i="15"/>
  <c r="M122" i="223"/>
  <c r="B136" i="223"/>
  <c r="BJ28" i="15"/>
  <c r="K188" i="223"/>
  <c r="BR28" i="15"/>
  <c r="BT31" i="15"/>
  <c r="AA11" i="18"/>
  <c r="BO19" i="15"/>
  <c r="AK19" i="15"/>
  <c r="G187" i="237"/>
  <c r="BO23" i="15"/>
  <c r="Z24" i="15"/>
  <c r="F179" i="223"/>
  <c r="B132" i="237"/>
  <c r="N79" i="223"/>
  <c r="AO18" i="18"/>
  <c r="D67" i="237"/>
  <c r="E184" i="223"/>
  <c r="BM6" i="18"/>
  <c r="B93" i="223"/>
  <c r="AC2" i="1"/>
  <c r="C163" i="223"/>
  <c r="H61" i="237"/>
  <c r="B75" i="223"/>
  <c r="D130" i="237"/>
  <c r="J171" i="237"/>
  <c r="BL11" i="18"/>
  <c r="H42" i="223"/>
  <c r="AR20" i="15"/>
  <c r="M153" i="237"/>
  <c r="AG24" i="15"/>
  <c r="B55" i="223"/>
  <c r="B24" i="223"/>
  <c r="AE21" i="18"/>
  <c r="L171" i="223"/>
  <c r="BA23" i="15"/>
  <c r="F180" i="223"/>
  <c r="N88" i="223"/>
  <c r="AD13" i="18"/>
  <c r="D23" i="237"/>
  <c r="G154" i="237"/>
  <c r="J122" i="223"/>
  <c r="G42" i="223"/>
  <c r="J71" i="223"/>
  <c r="BL7" i="18"/>
  <c r="L119" i="237"/>
  <c r="H152" i="223"/>
  <c r="E102" i="237"/>
  <c r="BC23" i="15"/>
  <c r="D102" i="237"/>
  <c r="G183" i="223"/>
  <c r="F132" i="237"/>
  <c r="G80" i="223"/>
  <c r="K4" i="14"/>
  <c r="E85" i="237"/>
  <c r="L41" i="223"/>
  <c r="Z20" i="18"/>
  <c r="N118" i="223"/>
  <c r="BR27" i="15"/>
  <c r="AU27" i="15"/>
  <c r="AF28" i="1"/>
  <c r="BB15" i="18"/>
  <c r="F91" i="237"/>
  <c r="Y31" i="15"/>
  <c r="BL19" i="18"/>
  <c r="AL13" i="18"/>
  <c r="BF3" i="18"/>
  <c r="G70" i="223"/>
  <c r="AI12" i="18"/>
  <c r="AF7" i="18"/>
  <c r="G94" i="223"/>
  <c r="T7" i="18"/>
  <c r="F133" i="223"/>
  <c r="H170" i="237"/>
  <c r="L26" i="14"/>
  <c r="BP25" i="15"/>
  <c r="H130" i="237"/>
  <c r="BV30" i="15"/>
  <c r="BI31" i="15"/>
  <c r="N87" i="237"/>
  <c r="AW22" i="15"/>
  <c r="H57" i="223"/>
  <c r="N118" i="237"/>
  <c r="AO3" i="18"/>
  <c r="E150" i="223"/>
  <c r="AI29" i="15"/>
  <c r="I20" i="1"/>
  <c r="K56" i="237"/>
  <c r="L68" i="223"/>
  <c r="AQ28" i="1"/>
  <c r="AU8" i="18"/>
  <c r="H186" i="237"/>
  <c r="D122" i="237"/>
  <c r="H161" i="237"/>
  <c r="C20" i="237"/>
  <c r="J155" i="237"/>
  <c r="Q26" i="15"/>
  <c r="AY12" i="18"/>
  <c r="N140" i="223"/>
  <c r="G27" i="15"/>
  <c r="AA20" i="18"/>
  <c r="B71" i="237"/>
  <c r="AK29" i="15"/>
  <c r="J91" i="223"/>
  <c r="AY10" i="18"/>
  <c r="L60" i="223"/>
  <c r="K84" i="237"/>
  <c r="G69" i="223"/>
  <c r="AI19" i="18"/>
  <c r="N121" i="237"/>
  <c r="AJ27" i="15"/>
  <c r="F75" i="237"/>
  <c r="B15" i="185"/>
  <c r="G126" i="223"/>
  <c r="AB15" i="18"/>
  <c r="C37" i="223"/>
  <c r="K146" i="237"/>
  <c r="BC20" i="18"/>
  <c r="M77" i="223"/>
  <c r="P15" i="18"/>
  <c r="BA11" i="18"/>
  <c r="AY20" i="18"/>
  <c r="BO28" i="15"/>
  <c r="D30" i="223"/>
  <c r="G140" i="237"/>
  <c r="AE23" i="15"/>
  <c r="AG20" i="15"/>
  <c r="J26" i="237"/>
  <c r="L116" i="223"/>
  <c r="AH21" i="18"/>
  <c r="AZ5" i="18"/>
  <c r="C132" i="237"/>
  <c r="L91" i="223"/>
  <c r="BU31" i="15"/>
  <c r="AK28" i="1"/>
  <c r="M188" i="237"/>
  <c r="J79" i="237"/>
  <c r="Z20" i="15"/>
  <c r="BU26" i="15"/>
  <c r="BU19" i="15"/>
  <c r="BI28" i="1"/>
  <c r="G163" i="223"/>
  <c r="BR31" i="15"/>
  <c r="BV20" i="15"/>
  <c r="E188" i="223"/>
  <c r="K63" i="237"/>
  <c r="AA17" i="18"/>
  <c r="L61" i="223"/>
  <c r="W31" i="15"/>
  <c r="E189" i="223"/>
  <c r="BL8" i="18"/>
  <c r="BV28" i="15"/>
  <c r="M28" i="15"/>
  <c r="E32" i="223"/>
  <c r="C79" i="223"/>
  <c r="F153" i="223"/>
  <c r="F79" i="223"/>
  <c r="BN34" i="18"/>
  <c r="AG11" i="18"/>
  <c r="N80" i="237"/>
  <c r="BI19" i="18"/>
  <c r="D72" i="237"/>
  <c r="B146" i="237"/>
  <c r="L121" i="237"/>
  <c r="F43" i="223"/>
  <c r="I31" i="223"/>
  <c r="C141" i="223"/>
  <c r="I19" i="1"/>
  <c r="M189" i="223"/>
  <c r="K80" i="237"/>
  <c r="BQ26" i="15"/>
  <c r="AV20" i="18"/>
  <c r="L187" i="237"/>
  <c r="D161" i="237"/>
  <c r="BT20" i="15"/>
  <c r="J115" i="223"/>
  <c r="BR26" i="15"/>
  <c r="B32" i="223"/>
  <c r="AR2" i="1"/>
  <c r="BJ21" i="18"/>
  <c r="BN14" i="18"/>
  <c r="I72" i="237"/>
  <c r="F188" i="237"/>
  <c r="U4" i="18"/>
  <c r="K17" i="18"/>
  <c r="D154" i="237"/>
  <c r="L149" i="223"/>
  <c r="Z17" i="18"/>
  <c r="AV21" i="15"/>
  <c r="BC14" i="18"/>
  <c r="AF20" i="15"/>
  <c r="N86" i="223"/>
  <c r="J33" i="223"/>
  <c r="Y24" i="15"/>
  <c r="G39" i="223"/>
  <c r="BV25" i="15"/>
  <c r="L4" i="14"/>
  <c r="F79" i="237"/>
  <c r="I11" i="1"/>
  <c r="K137" i="223"/>
  <c r="H43" i="223"/>
  <c r="B185" i="237"/>
  <c r="AF6" i="18"/>
  <c r="AI25" i="15"/>
  <c r="E69" i="237"/>
  <c r="BL12" i="18"/>
  <c r="BV22" i="15"/>
  <c r="Y28" i="1"/>
  <c r="AK16" i="18"/>
  <c r="F42" i="237"/>
  <c r="D79" i="237"/>
  <c r="B186" i="237"/>
  <c r="BU28" i="15"/>
  <c r="N26" i="237"/>
  <c r="H166" i="237"/>
  <c r="L79" i="237"/>
  <c r="BA21" i="18"/>
  <c r="B137" i="223"/>
  <c r="E27" i="223"/>
  <c r="AP10" i="18"/>
  <c r="B37" i="14"/>
  <c r="K37" i="237"/>
  <c r="BM31" i="15"/>
  <c r="BN3" i="18"/>
  <c r="BT26" i="15"/>
  <c r="C67" i="237"/>
  <c r="I59" i="223"/>
  <c r="I60" i="237"/>
  <c r="L163" i="237"/>
  <c r="I83" i="237"/>
  <c r="BP23" i="15"/>
  <c r="AE28" i="1"/>
  <c r="F69" i="223"/>
  <c r="H39" i="223"/>
  <c r="BS20" i="15"/>
  <c r="D121" i="237"/>
  <c r="E170" i="237"/>
  <c r="I187" i="237"/>
  <c r="C69" i="223"/>
  <c r="H78" i="237"/>
  <c r="K69" i="237"/>
  <c r="D145" i="237"/>
  <c r="BQ29" i="15"/>
  <c r="G155" i="237"/>
  <c r="AW15" i="18"/>
  <c r="BT29" i="15"/>
  <c r="BP28" i="15"/>
  <c r="N6" i="18"/>
  <c r="D80" i="237"/>
  <c r="J80" i="237"/>
  <c r="E173" i="223"/>
  <c r="E154" i="223"/>
  <c r="F188" i="223"/>
  <c r="G79" i="237"/>
  <c r="C168" i="223"/>
  <c r="Z19" i="18"/>
  <c r="AL19" i="18"/>
  <c r="D171" i="223"/>
  <c r="L73" i="237"/>
  <c r="BT23" i="15"/>
  <c r="BT28" i="15"/>
  <c r="M188" i="223"/>
  <c r="AM10" i="18"/>
  <c r="L188" i="223"/>
  <c r="AU17" i="18"/>
  <c r="I188" i="237"/>
  <c r="H79" i="237"/>
  <c r="G15" i="18"/>
  <c r="J90" i="237"/>
  <c r="AS23" i="15"/>
  <c r="C188" i="223"/>
  <c r="BB11" i="18"/>
  <c r="M11" i="18"/>
  <c r="AR16" i="18"/>
  <c r="N28" i="223"/>
  <c r="G154" i="223"/>
  <c r="I56" i="223"/>
  <c r="E73" i="223"/>
  <c r="D155" i="237"/>
  <c r="AF2" i="1"/>
  <c r="C181" i="223"/>
  <c r="M164" i="223"/>
  <c r="AH19" i="15"/>
  <c r="P28" i="15"/>
  <c r="L95" i="237"/>
  <c r="AA2" i="1"/>
  <c r="AU13" i="18"/>
  <c r="BA2" i="1"/>
  <c r="S8" i="18"/>
  <c r="BA3" i="18"/>
  <c r="N173" i="223"/>
  <c r="J59" i="223"/>
  <c r="H39" i="237"/>
  <c r="O13" i="18"/>
  <c r="AP21" i="15"/>
  <c r="K78" i="223"/>
  <c r="AY25" i="15"/>
  <c r="BC6" i="18"/>
  <c r="G164" i="237"/>
  <c r="E119" i="237"/>
  <c r="F154" i="223"/>
  <c r="N136" i="237"/>
  <c r="C44" i="237"/>
  <c r="C126" i="237"/>
  <c r="U27" i="15"/>
  <c r="H31" i="237"/>
  <c r="M79" i="237"/>
  <c r="L187" i="223"/>
  <c r="G189" i="223"/>
  <c r="AM19" i="15"/>
  <c r="AB19" i="18"/>
  <c r="BQ30" i="15"/>
  <c r="I168" i="223"/>
  <c r="W10" i="18"/>
  <c r="F189" i="237"/>
  <c r="AI8" i="18"/>
  <c r="F59" i="237"/>
  <c r="L123" i="237"/>
  <c r="K7" i="14"/>
  <c r="J87" i="237"/>
  <c r="AV19" i="15"/>
  <c r="BQ28" i="15"/>
  <c r="M100" i="237"/>
  <c r="AT24" i="15"/>
  <c r="P22" i="18"/>
  <c r="BU30" i="15"/>
  <c r="BQ19" i="15"/>
  <c r="L165" i="237"/>
  <c r="AL30" i="15"/>
  <c r="B125" i="237"/>
  <c r="F10" i="1"/>
  <c r="AB16" i="18"/>
  <c r="E76" i="237"/>
  <c r="C73" i="237"/>
  <c r="M186" i="237"/>
  <c r="D117" i="237"/>
  <c r="G162" i="223"/>
  <c r="J83" i="223"/>
  <c r="D149" i="223"/>
  <c r="H23" i="15"/>
  <c r="N53" i="223"/>
  <c r="F24" i="1"/>
  <c r="N30" i="15"/>
  <c r="AL16" i="18"/>
  <c r="I63" i="223"/>
  <c r="J38" i="237"/>
  <c r="K168" i="223"/>
  <c r="D150" i="223"/>
  <c r="N120" i="223"/>
  <c r="K71" i="237"/>
  <c r="BB8" i="18"/>
  <c r="J181" i="223"/>
  <c r="H13" i="18"/>
  <c r="L162" i="237"/>
  <c r="M119" i="237"/>
  <c r="B93" i="237"/>
  <c r="F73" i="223"/>
  <c r="H147" i="223"/>
  <c r="H169" i="223"/>
  <c r="H168" i="237"/>
  <c r="S14" i="18"/>
  <c r="I62" i="237"/>
  <c r="L42" i="223"/>
  <c r="B183" i="223"/>
  <c r="D74" i="237"/>
  <c r="AI16" i="18"/>
  <c r="C118" i="223"/>
  <c r="F57" i="223"/>
  <c r="AA22" i="18"/>
  <c r="M122" i="237"/>
  <c r="N93" i="223"/>
  <c r="I115" i="223"/>
  <c r="BN28" i="15"/>
  <c r="AJ21" i="18"/>
  <c r="BN26" i="15"/>
  <c r="BB9" i="18"/>
  <c r="BP24" i="15"/>
  <c r="D160" i="237"/>
  <c r="W3" i="18"/>
  <c r="I54" i="223"/>
  <c r="F68" i="223"/>
  <c r="BO31" i="15"/>
  <c r="B134" i="237"/>
  <c r="E72" i="223"/>
  <c r="B43" i="223"/>
  <c r="D166" i="223"/>
  <c r="C58" i="237"/>
  <c r="E57" i="237"/>
  <c r="L91" i="237"/>
  <c r="N170" i="237"/>
  <c r="BV27" i="15"/>
  <c r="BM28" i="1"/>
  <c r="G80" i="237"/>
  <c r="C147" i="223"/>
  <c r="B59" i="223"/>
  <c r="AA28" i="1"/>
  <c r="C80" i="237"/>
  <c r="K59" i="223"/>
  <c r="AO11" i="18"/>
  <c r="F161" i="237"/>
  <c r="I79" i="237"/>
  <c r="K28" i="1"/>
  <c r="M126" i="237"/>
  <c r="BB3" i="18"/>
  <c r="BM20" i="15"/>
  <c r="N185" i="223"/>
  <c r="J63" i="237"/>
  <c r="K185" i="223"/>
  <c r="Y14" i="18"/>
  <c r="F121" i="237"/>
  <c r="G31" i="237"/>
  <c r="BF31" i="15"/>
  <c r="BE28" i="1"/>
  <c r="BT19" i="15"/>
  <c r="BT24" i="15"/>
  <c r="G130" i="237"/>
  <c r="G102" i="223"/>
  <c r="N41" i="237"/>
  <c r="AO2" i="1"/>
  <c r="N63" i="237"/>
  <c r="AY2" i="1"/>
  <c r="L131" i="237"/>
  <c r="F189" i="223"/>
  <c r="AY24" i="15"/>
  <c r="L21" i="223"/>
  <c r="N89" i="237"/>
  <c r="H183" i="223"/>
  <c r="BS22" i="15"/>
  <c r="B57" i="14"/>
  <c r="BP27" i="15"/>
  <c r="E179" i="223"/>
  <c r="C187" i="237"/>
  <c r="N72" i="237"/>
  <c r="N120" i="237"/>
  <c r="I70" i="237"/>
  <c r="BM21" i="15"/>
  <c r="M6" i="14"/>
  <c r="J25" i="223"/>
  <c r="C189" i="223"/>
  <c r="D80" i="223"/>
  <c r="C57" i="237"/>
  <c r="BN19" i="15"/>
  <c r="AJ28" i="1"/>
  <c r="Z10" i="18"/>
  <c r="E58" i="237"/>
  <c r="BD28" i="1"/>
  <c r="AC25" i="15"/>
  <c r="BM27" i="15"/>
  <c r="L62" i="237"/>
  <c r="N145" i="237"/>
  <c r="G188" i="223"/>
  <c r="B79" i="223"/>
  <c r="BN2" i="18"/>
  <c r="AL27" i="15"/>
  <c r="AR19" i="18"/>
  <c r="J145" i="237"/>
  <c r="W16" i="18"/>
  <c r="M182" i="237"/>
  <c r="AP30" i="15"/>
  <c r="AS28" i="1"/>
  <c r="BH20" i="15"/>
  <c r="C55" i="237"/>
  <c r="L6" i="18"/>
  <c r="V20" i="18"/>
  <c r="AL22" i="15"/>
  <c r="C88" i="223"/>
  <c r="E90" i="223"/>
  <c r="E39" i="237"/>
  <c r="E46" i="223"/>
  <c r="BP26" i="15"/>
  <c r="AZ23" i="15"/>
  <c r="P19" i="18"/>
  <c r="BQ23" i="15"/>
  <c r="G188" i="237"/>
  <c r="B62" i="14"/>
  <c r="N67" i="237"/>
  <c r="C85" i="237"/>
  <c r="BU24" i="15"/>
  <c r="AQ22" i="18"/>
  <c r="E187" i="237"/>
  <c r="BA19" i="18"/>
  <c r="AT17" i="18"/>
  <c r="E55" i="223"/>
  <c r="N123" i="237"/>
  <c r="J187" i="237"/>
  <c r="C187" i="223"/>
  <c r="B189" i="223"/>
  <c r="B116" i="223"/>
  <c r="C189" i="237"/>
  <c r="J116" i="237"/>
  <c r="H70" i="223"/>
  <c r="I101" i="223"/>
  <c r="AW3" i="18"/>
  <c r="B37" i="18"/>
  <c r="Q2" i="1"/>
  <c r="M121" i="223"/>
  <c r="E68" i="237"/>
  <c r="F88" i="223"/>
  <c r="B115" i="223"/>
  <c r="AZ12" i="18"/>
  <c r="N103" i="223"/>
  <c r="P3" i="18"/>
  <c r="C172" i="237"/>
  <c r="N79" i="237"/>
  <c r="BQ27" i="15"/>
  <c r="AV13" i="18"/>
  <c r="AQ24" i="15"/>
  <c r="C149" i="237"/>
  <c r="T19" i="18"/>
  <c r="K72" i="237"/>
  <c r="K30" i="15"/>
  <c r="F115" i="223"/>
  <c r="N32" i="223"/>
  <c r="AL9" i="18"/>
  <c r="BS29" i="15"/>
  <c r="AP28" i="1"/>
  <c r="AB21" i="18"/>
  <c r="BG22" i="18"/>
  <c r="K188" i="237"/>
  <c r="BL30" i="15"/>
  <c r="N41" i="223"/>
  <c r="BN27" i="15"/>
  <c r="BC31" i="15"/>
  <c r="L37" i="223"/>
  <c r="AU20" i="15"/>
  <c r="H46" i="223"/>
  <c r="N131" i="237"/>
  <c r="S17" i="18"/>
  <c r="AN28" i="1"/>
  <c r="BM23" i="15"/>
  <c r="BG31" i="15"/>
  <c r="N78" i="237"/>
  <c r="X20" i="15"/>
  <c r="N182" i="223"/>
  <c r="G24" i="15"/>
  <c r="AS12" i="18"/>
  <c r="G163" i="237"/>
  <c r="BV21" i="15"/>
  <c r="V27" i="15"/>
  <c r="L185" i="237"/>
  <c r="M103" i="223"/>
  <c r="AS21" i="18"/>
  <c r="J26" i="223"/>
  <c r="N69" i="237"/>
  <c r="K154" i="223"/>
  <c r="M119" i="223"/>
  <c r="N68" i="223"/>
  <c r="M71" i="223"/>
  <c r="BD22" i="18"/>
  <c r="E77" i="223"/>
  <c r="C24" i="223"/>
  <c r="I186" i="237"/>
  <c r="L165" i="223"/>
  <c r="E53" i="223"/>
  <c r="AA16" i="18"/>
  <c r="F135" i="223"/>
  <c r="Y27" i="15"/>
  <c r="BM7" i="18"/>
  <c r="B155" i="223"/>
  <c r="Z22" i="18"/>
  <c r="E133" i="223"/>
  <c r="D138" i="223"/>
  <c r="I146" i="237"/>
  <c r="N156" i="223"/>
  <c r="K165" i="237"/>
  <c r="H33" i="237"/>
  <c r="H151" i="223"/>
  <c r="E188" i="237"/>
  <c r="N132" i="223"/>
  <c r="B53" i="14"/>
  <c r="F59" i="223"/>
  <c r="BN29" i="15"/>
  <c r="AE19" i="15"/>
  <c r="J2" i="1"/>
  <c r="R3" i="18"/>
  <c r="BN23" i="15"/>
  <c r="N137" i="237"/>
  <c r="AO2" i="18"/>
  <c r="BT22" i="15"/>
  <c r="C87" i="237"/>
  <c r="G24" i="237"/>
  <c r="S20" i="15"/>
  <c r="B72" i="223"/>
  <c r="W19" i="15"/>
  <c r="E92" i="223"/>
  <c r="K124" i="223"/>
  <c r="B31" i="237"/>
  <c r="BO24" i="15"/>
  <c r="N67" i="223"/>
  <c r="BN21" i="15"/>
  <c r="AJ8" i="18"/>
  <c r="B10" i="14"/>
  <c r="AE13" i="18"/>
  <c r="BE10" i="18"/>
  <c r="BJ24" i="15"/>
  <c r="B147" i="223"/>
  <c r="F76" i="237"/>
  <c r="AH7" i="18"/>
  <c r="J151" i="223"/>
  <c r="L50" i="14"/>
  <c r="E134" i="223"/>
  <c r="BQ21" i="15"/>
  <c r="J76" i="223"/>
  <c r="F72" i="223"/>
  <c r="F92" i="223"/>
  <c r="F187" i="237"/>
  <c r="I42" i="223"/>
  <c r="BB19" i="15"/>
  <c r="F90" i="237"/>
  <c r="BP22" i="15"/>
  <c r="I187" i="223"/>
  <c r="AQ17" i="18"/>
  <c r="C45" i="223"/>
  <c r="BM10" i="18"/>
  <c r="AH17" i="18"/>
  <c r="I63" i="237"/>
  <c r="J171" i="223"/>
  <c r="AD8" i="18"/>
  <c r="K187" i="223"/>
  <c r="B149" i="237"/>
  <c r="E21" i="237"/>
  <c r="AN6" i="18"/>
  <c r="AZ20" i="18"/>
  <c r="AP25" i="15"/>
  <c r="BF28" i="1"/>
  <c r="Q27" i="15"/>
  <c r="E185" i="223"/>
  <c r="F80" i="237"/>
  <c r="J102" i="237"/>
  <c r="AI4" i="18"/>
  <c r="L79" i="223"/>
  <c r="G136" i="223"/>
  <c r="J189" i="223"/>
  <c r="N80" i="223"/>
  <c r="G189" i="237"/>
  <c r="B163" i="237"/>
  <c r="E169" i="237"/>
  <c r="H187" i="223"/>
  <c r="AH23" i="15"/>
  <c r="J124" i="223"/>
  <c r="AH28" i="1"/>
  <c r="I188" i="223"/>
  <c r="L59" i="237"/>
  <c r="C165" i="237"/>
  <c r="B90" i="237"/>
  <c r="B80" i="223"/>
  <c r="R4" i="18"/>
  <c r="K79" i="223"/>
  <c r="T16" i="18"/>
  <c r="N42" i="237"/>
  <c r="N187" i="237"/>
  <c r="L148" i="237"/>
  <c r="BS21" i="15"/>
  <c r="AU28" i="1"/>
  <c r="E30" i="223"/>
  <c r="BA28" i="1"/>
  <c r="AG28" i="1"/>
  <c r="BR30" i="15"/>
  <c r="K39" i="237"/>
  <c r="BS23" i="15"/>
  <c r="AQ20" i="15"/>
  <c r="L189" i="223"/>
  <c r="B118" i="223"/>
  <c r="AV2" i="1"/>
  <c r="BO29" i="15"/>
  <c r="BJ8" i="18"/>
  <c r="BS26" i="15"/>
  <c r="W4" i="18"/>
  <c r="N14" i="18"/>
  <c r="BO22" i="15"/>
  <c r="AC16" i="18"/>
  <c r="BJ4" i="18"/>
  <c r="H14" i="18"/>
  <c r="H63" i="237"/>
  <c r="M141" i="223"/>
  <c r="C29" i="1"/>
  <c r="C26" i="237"/>
  <c r="E187" i="223"/>
  <c r="M20" i="237"/>
  <c r="L34" i="14"/>
  <c r="BM29" i="15"/>
  <c r="D136" i="237"/>
  <c r="Z21" i="15"/>
  <c r="M62" i="237"/>
  <c r="F41" i="223"/>
  <c r="AL21" i="15"/>
  <c r="D186" i="237"/>
  <c r="K43" i="223"/>
  <c r="K118" i="237"/>
  <c r="AU16" i="18"/>
  <c r="C21" i="237"/>
  <c r="J163" i="237"/>
  <c r="AF11" i="18"/>
  <c r="E31" i="237"/>
  <c r="N84" i="223"/>
  <c r="L43" i="237"/>
  <c r="BA24" i="15"/>
  <c r="AC28" i="1"/>
  <c r="F44" i="237"/>
  <c r="BE15" i="18"/>
  <c r="D20" i="223"/>
  <c r="G59" i="223"/>
  <c r="H189" i="223"/>
  <c r="B31" i="223"/>
  <c r="D116" i="223"/>
  <c r="BH22" i="18"/>
  <c r="AN8" i="18"/>
  <c r="AP31" i="15"/>
  <c r="BI23" i="15"/>
  <c r="K189" i="223"/>
  <c r="B133" i="223"/>
  <c r="J187" i="223"/>
  <c r="I189" i="223"/>
  <c r="N136" i="223"/>
  <c r="N59" i="223"/>
  <c r="I68" i="237"/>
  <c r="F25" i="237"/>
  <c r="H150" i="223"/>
  <c r="D83" i="237"/>
  <c r="N172" i="237"/>
  <c r="F3" i="1"/>
  <c r="O18" i="18"/>
  <c r="D173" i="223"/>
  <c r="BJ23" i="15"/>
  <c r="AO21" i="18"/>
  <c r="N171" i="223"/>
  <c r="E118" i="237"/>
  <c r="D179" i="237"/>
  <c r="D179" i="223"/>
  <c r="V19" i="15"/>
  <c r="D167" i="223"/>
  <c r="AW16" i="18"/>
  <c r="AL28" i="1"/>
  <c r="C50" i="14"/>
  <c r="E167" i="223"/>
  <c r="J56" i="237"/>
  <c r="BU25" i="15"/>
  <c r="AM31" i="15"/>
  <c r="AL10" i="18"/>
  <c r="C121" i="223"/>
  <c r="J75" i="237"/>
  <c r="AV2" i="18"/>
  <c r="AF13" i="18"/>
  <c r="E160" i="237"/>
  <c r="L12" i="18"/>
  <c r="AY4" i="18"/>
  <c r="BM19" i="15"/>
  <c r="K147" i="223"/>
  <c r="J188" i="237"/>
  <c r="H44" i="223"/>
  <c r="B89" i="223"/>
  <c r="K189" i="237"/>
  <c r="BN19" i="18"/>
  <c r="I153" i="223"/>
  <c r="BO27" i="15"/>
  <c r="AJ11" i="18"/>
  <c r="BA22" i="15"/>
  <c r="U10" i="18"/>
  <c r="K26" i="237"/>
  <c r="K34" i="18"/>
  <c r="AO30" i="15"/>
  <c r="AX22" i="15"/>
  <c r="AN10" i="18"/>
  <c r="V13" i="18"/>
  <c r="F40" i="237"/>
  <c r="N101" i="237"/>
  <c r="O24" i="15"/>
  <c r="BB22" i="18"/>
  <c r="AL3" i="18"/>
  <c r="I87" i="237"/>
  <c r="K135" i="237"/>
  <c r="D94" i="223"/>
  <c r="N162" i="237"/>
  <c r="M145" i="223"/>
  <c r="Q11" i="18"/>
  <c r="BD6" i="18"/>
  <c r="M161" i="223"/>
  <c r="G75" i="237"/>
  <c r="AV7" i="18"/>
  <c r="U22" i="18"/>
  <c r="AA10" i="18"/>
  <c r="G68" i="223"/>
  <c r="BE29" i="15"/>
  <c r="AB7" i="18"/>
  <c r="BJ5" i="18"/>
  <c r="B21" i="223"/>
  <c r="B61" i="237"/>
  <c r="BH2" i="18"/>
  <c r="BM17" i="18"/>
  <c r="C92" i="223"/>
  <c r="O28" i="1"/>
  <c r="AI20" i="18"/>
  <c r="E73" i="237"/>
  <c r="BH10" i="18"/>
  <c r="BK3" i="18"/>
  <c r="AZ2" i="18"/>
  <c r="BU21" i="15"/>
  <c r="N71" i="223"/>
  <c r="AQ21" i="18"/>
  <c r="AL29" i="15"/>
  <c r="G136" i="237"/>
  <c r="BO25" i="15"/>
  <c r="M187" i="237"/>
  <c r="H56" i="223"/>
  <c r="F181" i="237"/>
  <c r="B39" i="14"/>
  <c r="N4" i="18"/>
  <c r="D180" i="237"/>
  <c r="J23" i="223"/>
  <c r="D151" i="237"/>
  <c r="I115" i="237"/>
  <c r="N38" i="237"/>
  <c r="E41" i="223"/>
  <c r="B27" i="14"/>
  <c r="N100" i="223"/>
  <c r="F182" i="237"/>
  <c r="I87" i="223"/>
  <c r="B56" i="14"/>
  <c r="AK30" i="15"/>
  <c r="C139" i="223"/>
  <c r="D181" i="223"/>
  <c r="I163" i="223"/>
  <c r="J93" i="237"/>
  <c r="K135" i="223"/>
  <c r="G100" i="223"/>
  <c r="BN22" i="18"/>
  <c r="I160" i="237"/>
  <c r="C25" i="237"/>
  <c r="E168" i="237"/>
  <c r="K120" i="237"/>
  <c r="AH34" i="18"/>
  <c r="M10" i="18"/>
  <c r="J60" i="223"/>
  <c r="J31" i="15"/>
  <c r="D101" i="237"/>
  <c r="BG25" i="15"/>
  <c r="P19" i="15"/>
  <c r="G150" i="237"/>
  <c r="F72" i="237"/>
  <c r="H187" i="237"/>
  <c r="J119" i="223"/>
  <c r="BE12" i="18"/>
  <c r="H25" i="223"/>
  <c r="AZ31" i="15"/>
  <c r="AR12" i="18"/>
  <c r="G135" i="237"/>
  <c r="AU3" i="18"/>
  <c r="D126" i="237"/>
  <c r="M155" i="223"/>
  <c r="BP31" i="15"/>
  <c r="BF29" i="15"/>
  <c r="L85" i="223"/>
  <c r="E25" i="223"/>
  <c r="C169" i="223"/>
  <c r="J156" i="223"/>
  <c r="AG5" i="18"/>
  <c r="H22" i="237"/>
  <c r="L43" i="223"/>
  <c r="L168" i="237"/>
  <c r="M146" i="237"/>
  <c r="AD28" i="1"/>
  <c r="W2" i="1"/>
  <c r="X7" i="18"/>
  <c r="H188" i="237"/>
  <c r="BU29" i="15"/>
  <c r="BI24" i="15"/>
  <c r="BV31" i="15"/>
  <c r="J40" i="237"/>
  <c r="AU22" i="15"/>
  <c r="C79" i="237"/>
  <c r="B132" i="223"/>
  <c r="H61" i="223"/>
  <c r="BO20" i="15"/>
  <c r="L164" i="223"/>
  <c r="C59" i="237"/>
  <c r="C73" i="223"/>
  <c r="BD24" i="15"/>
  <c r="AR28" i="1"/>
  <c r="H57" i="237"/>
  <c r="E164" i="223"/>
  <c r="H147" i="237"/>
  <c r="P28" i="1"/>
  <c r="S28" i="1"/>
  <c r="F125" i="237"/>
  <c r="BE22" i="15"/>
  <c r="BV24" i="15"/>
  <c r="G139" i="223"/>
  <c r="BS30" i="15"/>
  <c r="G21" i="223"/>
  <c r="F102" i="237"/>
  <c r="V28" i="1"/>
  <c r="BR21" i="15"/>
  <c r="H67" i="237"/>
  <c r="B186" i="223"/>
  <c r="AF21" i="18"/>
  <c r="Y9" i="18"/>
  <c r="B58" i="14"/>
  <c r="I77" i="223"/>
  <c r="F67" i="223"/>
  <c r="B9" i="185"/>
  <c r="W19" i="18"/>
  <c r="U23" i="15"/>
  <c r="B133" i="237"/>
  <c r="AC8" i="18"/>
  <c r="BB26" i="15"/>
  <c r="K93" i="237"/>
  <c r="AN20" i="18"/>
  <c r="G27" i="223"/>
  <c r="J53" i="237"/>
  <c r="AH21" i="15"/>
  <c r="J61" i="237"/>
  <c r="M62" i="223"/>
  <c r="BK21" i="18"/>
  <c r="C61" i="223"/>
  <c r="AO20" i="15"/>
  <c r="K62" i="237"/>
  <c r="F60" i="237"/>
  <c r="S5" i="18"/>
  <c r="BA5" i="18"/>
  <c r="I59" i="237"/>
  <c r="I95" i="223"/>
  <c r="AZ25" i="15"/>
  <c r="M22" i="237"/>
  <c r="G84" i="237"/>
  <c r="BP21" i="15"/>
  <c r="BR23" i="15"/>
  <c r="N57" i="223"/>
  <c r="Q28" i="1"/>
  <c r="BK8" i="18"/>
  <c r="Z23" i="15"/>
  <c r="B63" i="237"/>
  <c r="O14" i="18"/>
  <c r="H87" i="223"/>
  <c r="C93" i="237"/>
  <c r="AD30" i="15"/>
  <c r="H37" i="237"/>
  <c r="G27" i="237"/>
  <c r="AG28" i="15"/>
  <c r="BS31" i="15"/>
  <c r="M101" i="237"/>
  <c r="F134" i="223"/>
  <c r="H85" i="237"/>
  <c r="AW25" i="15"/>
  <c r="F187" i="223"/>
  <c r="C72" i="223"/>
  <c r="K77" i="223"/>
  <c r="R26" i="15"/>
  <c r="D120" i="223"/>
  <c r="C32" i="14"/>
  <c r="F100" i="223"/>
  <c r="M31" i="237"/>
  <c r="BJ19" i="15"/>
  <c r="K126" i="237"/>
  <c r="J162" i="237"/>
  <c r="N72" i="223"/>
  <c r="BG22" i="15"/>
  <c r="K41" i="237"/>
  <c r="BM30" i="15"/>
  <c r="AH9" i="18"/>
  <c r="B167" i="223"/>
  <c r="G18" i="18"/>
  <c r="AZ29" i="15"/>
  <c r="B164" i="237"/>
  <c r="AK23" i="15"/>
  <c r="I37" i="237"/>
  <c r="I73" i="237"/>
  <c r="H26" i="223"/>
  <c r="C138" i="237"/>
  <c r="AC27" i="15"/>
  <c r="BK5" i="18"/>
  <c r="E61" i="223"/>
  <c r="M24" i="15"/>
  <c r="T2" i="1"/>
  <c r="BH16" i="18"/>
  <c r="N167" i="237"/>
  <c r="E166" i="237"/>
  <c r="L152" i="237"/>
  <c r="AR6" i="18"/>
  <c r="AS15" i="18"/>
  <c r="M40" i="223"/>
  <c r="AP23" i="15"/>
  <c r="AA8" i="18"/>
  <c r="D78" i="223"/>
  <c r="B10" i="185"/>
  <c r="G117" i="223"/>
  <c r="J70" i="223"/>
  <c r="F166" i="237"/>
  <c r="AV10" i="18"/>
  <c r="AO10" i="18"/>
  <c r="E95" i="237"/>
  <c r="T4" i="18"/>
  <c r="X17" i="18"/>
  <c r="AK13" i="18"/>
  <c r="J85" i="237"/>
  <c r="BF22" i="18"/>
  <c r="F164" i="237"/>
  <c r="C140" i="237"/>
  <c r="BU22" i="15"/>
  <c r="G149" i="223"/>
  <c r="J132" i="237"/>
  <c r="I116" i="223"/>
  <c r="AR2" i="18"/>
  <c r="L25" i="15"/>
  <c r="H131" i="223"/>
  <c r="L28" i="223"/>
  <c r="M183" i="237"/>
  <c r="Z28" i="1"/>
  <c r="AI11" i="18"/>
  <c r="M83" i="223"/>
  <c r="D27" i="237"/>
  <c r="I45" i="223"/>
  <c r="F131" i="237"/>
  <c r="G115" i="237"/>
  <c r="AN14" i="18"/>
  <c r="J84" i="223"/>
  <c r="N169" i="223"/>
  <c r="N152" i="237"/>
  <c r="R5" i="18"/>
  <c r="AY3" i="18"/>
  <c r="AQ8" i="18"/>
  <c r="J161" i="223"/>
  <c r="AJ13" i="18"/>
  <c r="B173" i="223"/>
  <c r="AX19" i="18"/>
  <c r="J88" i="223"/>
  <c r="B38" i="14"/>
  <c r="K126" i="223"/>
  <c r="D163" i="237"/>
  <c r="G56" i="237"/>
  <c r="X19" i="15"/>
  <c r="J126" i="223"/>
  <c r="AP14" i="18"/>
  <c r="C29" i="223"/>
  <c r="E93" i="237"/>
  <c r="AD29" i="15"/>
  <c r="K115" i="223"/>
  <c r="H75" i="237"/>
  <c r="AS8" i="18"/>
  <c r="F88" i="237"/>
  <c r="H167" i="237"/>
  <c r="F41" i="237"/>
  <c r="O20" i="18"/>
  <c r="BG8" i="18"/>
  <c r="P20" i="15"/>
  <c r="I167" i="237"/>
  <c r="Q19" i="15"/>
  <c r="H150" i="237"/>
  <c r="D172" i="237"/>
  <c r="H140" i="223"/>
  <c r="AH15" i="18"/>
  <c r="N25" i="223"/>
  <c r="F23" i="1"/>
  <c r="E153" i="223"/>
  <c r="J172" i="237"/>
  <c r="E165" i="237"/>
  <c r="F2" i="14"/>
  <c r="D60" i="223"/>
  <c r="J13" i="18"/>
  <c r="AO15" i="18"/>
  <c r="N186" i="223"/>
  <c r="BL21" i="18"/>
  <c r="F126" i="237"/>
  <c r="L179" i="223"/>
  <c r="L152" i="223"/>
  <c r="I138" i="223"/>
  <c r="I62" i="223"/>
  <c r="K180" i="237"/>
  <c r="BI20" i="18"/>
  <c r="N55" i="223"/>
  <c r="G37" i="237"/>
  <c r="Y19" i="18"/>
  <c r="C31" i="237"/>
  <c r="K22" i="18"/>
  <c r="F54" i="237"/>
  <c r="E91" i="237"/>
  <c r="C127" i="237"/>
  <c r="L183" i="223"/>
  <c r="G22" i="223"/>
  <c r="BH11" i="18"/>
  <c r="V26" i="15"/>
  <c r="F22" i="237"/>
  <c r="O22" i="15"/>
  <c r="E44" i="237"/>
  <c r="B21" i="237"/>
  <c r="I85" i="237"/>
  <c r="M166" i="223"/>
  <c r="C168" i="237"/>
  <c r="U21" i="15"/>
  <c r="N24" i="15"/>
  <c r="H30" i="237"/>
  <c r="E87" i="237"/>
  <c r="AE3" i="18"/>
  <c r="BA25" i="15"/>
  <c r="AH26" i="15"/>
  <c r="H4" i="18"/>
  <c r="U7" i="18"/>
  <c r="J29" i="237"/>
  <c r="AB21" i="15"/>
  <c r="AT6" i="18"/>
  <c r="G123" i="223"/>
  <c r="AM9" i="18"/>
  <c r="M31" i="223"/>
  <c r="AQ25" i="15"/>
  <c r="L62" i="223"/>
  <c r="J120" i="223"/>
  <c r="C76" i="237"/>
  <c r="B171" i="237"/>
  <c r="AI10" i="18"/>
  <c r="C167" i="223"/>
  <c r="M54" i="237"/>
  <c r="Z9" i="18"/>
  <c r="H171" i="223"/>
  <c r="AE34" i="18"/>
  <c r="C116" i="237"/>
  <c r="AI15" i="18"/>
  <c r="C38" i="223"/>
  <c r="AN11" i="18"/>
  <c r="H40" i="223"/>
  <c r="AQ9" i="18"/>
  <c r="Q20" i="18"/>
  <c r="I13" i="1"/>
  <c r="BK29" i="15"/>
  <c r="BO30" i="15"/>
  <c r="BL15" i="18"/>
  <c r="J72" i="237"/>
  <c r="G147" i="237"/>
  <c r="D155" i="223"/>
  <c r="I76" i="237"/>
  <c r="R31" i="15"/>
  <c r="K117" i="237"/>
  <c r="B58" i="223"/>
  <c r="L29" i="15"/>
  <c r="W27" i="15"/>
  <c r="C69" i="237"/>
  <c r="D54" i="223"/>
  <c r="B125" i="223"/>
  <c r="G56" i="223"/>
  <c r="F172" i="237"/>
  <c r="AF18" i="18"/>
  <c r="G122" i="223"/>
  <c r="N163" i="237"/>
  <c r="BP30" i="15"/>
  <c r="F21" i="237"/>
  <c r="N172" i="223"/>
  <c r="I26" i="237"/>
  <c r="M29" i="237"/>
  <c r="AD22" i="18"/>
  <c r="E145" i="223"/>
  <c r="C23" i="237"/>
  <c r="Z31" i="15"/>
  <c r="I137" i="223"/>
  <c r="BE28" i="15"/>
  <c r="M79" i="223"/>
  <c r="M134" i="223"/>
  <c r="I183" i="237"/>
  <c r="BJ9" i="18"/>
  <c r="AW31" i="15"/>
  <c r="AT22" i="15"/>
  <c r="BB28" i="1"/>
  <c r="BG11" i="18"/>
  <c r="J20" i="18"/>
  <c r="L78" i="223"/>
  <c r="L19" i="15"/>
  <c r="K141" i="223"/>
  <c r="L57" i="223"/>
  <c r="AF22" i="15"/>
  <c r="U28" i="1"/>
  <c r="AU19" i="15"/>
  <c r="W28" i="1"/>
  <c r="J22" i="15"/>
  <c r="BF20" i="15"/>
  <c r="B117" i="237"/>
  <c r="BR20" i="15"/>
  <c r="L7" i="14"/>
  <c r="J189" i="237"/>
  <c r="R28" i="1"/>
  <c r="AU2" i="1"/>
  <c r="E63" i="237"/>
  <c r="L122" i="237"/>
  <c r="M185" i="237"/>
  <c r="E149" i="223"/>
  <c r="AX18" i="18"/>
  <c r="J30" i="15"/>
  <c r="K172" i="223"/>
  <c r="B85" i="223"/>
  <c r="L17" i="18"/>
  <c r="J28" i="223"/>
  <c r="K57" i="237"/>
  <c r="G22" i="18"/>
  <c r="AA23" i="15"/>
  <c r="G6" i="18"/>
  <c r="I180" i="237"/>
  <c r="N74" i="237"/>
  <c r="AA19" i="15"/>
  <c r="AV21" i="18"/>
  <c r="B56" i="237"/>
  <c r="M68" i="223"/>
  <c r="AX20" i="15"/>
  <c r="BN10" i="18"/>
  <c r="C57" i="223"/>
  <c r="V17" i="18"/>
  <c r="J30" i="237"/>
  <c r="B127" i="237"/>
  <c r="D28" i="223"/>
  <c r="M55" i="237"/>
  <c r="G185" i="223"/>
  <c r="H95" i="223"/>
  <c r="I28" i="223"/>
  <c r="M37" i="223"/>
  <c r="H23" i="237"/>
  <c r="H74" i="237"/>
  <c r="B160" i="223"/>
  <c r="D20" i="237"/>
  <c r="M63" i="237"/>
  <c r="B166" i="237"/>
  <c r="L188" i="237"/>
  <c r="N188" i="223"/>
  <c r="AX10" i="18"/>
  <c r="K139" i="237"/>
  <c r="I79" i="223"/>
  <c r="B42" i="237"/>
  <c r="I139" i="223"/>
  <c r="D67" i="223"/>
  <c r="BS28" i="15"/>
  <c r="F87" i="223"/>
  <c r="J55" i="237"/>
  <c r="AJ20" i="15"/>
  <c r="C125" i="223"/>
  <c r="AW28" i="1"/>
  <c r="BK2" i="1"/>
  <c r="M189" i="237"/>
  <c r="E90" i="237"/>
  <c r="AX28" i="1"/>
  <c r="N126" i="237"/>
  <c r="X31" i="15"/>
  <c r="L80" i="237"/>
  <c r="C26" i="223"/>
  <c r="N186" i="237"/>
  <c r="L60" i="237"/>
  <c r="N16" i="18"/>
  <c r="AR21" i="15"/>
  <c r="G55" i="237"/>
  <c r="M136" i="223"/>
  <c r="L83" i="237"/>
  <c r="J103" i="223"/>
  <c r="E125" i="237"/>
  <c r="J59" i="237"/>
  <c r="B47" i="14"/>
  <c r="L92" i="223"/>
  <c r="F21" i="223"/>
  <c r="E33" i="223"/>
  <c r="H28" i="223"/>
  <c r="D32" i="237"/>
  <c r="B27" i="237"/>
  <c r="AT25" i="15"/>
  <c r="E23" i="237"/>
  <c r="AU19" i="18"/>
  <c r="H69" i="223"/>
  <c r="C60" i="237"/>
  <c r="L21" i="18"/>
  <c r="H170" i="223"/>
  <c r="F165" i="237"/>
  <c r="L101" i="237"/>
  <c r="F53" i="237"/>
  <c r="I55" i="237"/>
  <c r="H40" i="237"/>
  <c r="J148" i="237"/>
  <c r="G101" i="237"/>
  <c r="I125" i="237"/>
  <c r="H27" i="237"/>
  <c r="L122" i="223"/>
  <c r="E168" i="223"/>
  <c r="L169" i="237"/>
  <c r="B40" i="223"/>
  <c r="K63" i="223"/>
  <c r="B54" i="223"/>
  <c r="H84" i="237"/>
  <c r="D180" i="223"/>
  <c r="BI17" i="18"/>
  <c r="C87" i="223"/>
  <c r="N39" i="223"/>
  <c r="BH2" i="1"/>
  <c r="C153" i="223"/>
  <c r="B30" i="223"/>
  <c r="D183" i="223"/>
  <c r="BI9" i="18"/>
  <c r="C54" i="223"/>
  <c r="X28" i="15"/>
  <c r="BF26" i="15"/>
  <c r="K56" i="223"/>
  <c r="T20" i="15"/>
  <c r="AI5" i="18"/>
  <c r="C34" i="14"/>
  <c r="G28" i="15"/>
  <c r="K134" i="223"/>
  <c r="I152" i="237"/>
  <c r="L100" i="237"/>
  <c r="E28" i="223"/>
  <c r="M3" i="18"/>
  <c r="G87" i="237"/>
  <c r="I184" i="237"/>
  <c r="BU27" i="15"/>
  <c r="AH4" i="18"/>
  <c r="K163" i="237"/>
  <c r="H126" i="223"/>
  <c r="AS22" i="15"/>
  <c r="BK24" i="15"/>
  <c r="N56" i="237"/>
  <c r="AF8" i="18"/>
  <c r="BN31" i="15"/>
  <c r="AF29" i="15"/>
  <c r="J89" i="237"/>
  <c r="L141" i="223"/>
  <c r="N126" i="223"/>
  <c r="I56" i="237"/>
  <c r="F171" i="237"/>
  <c r="G61" i="237"/>
  <c r="L121" i="223"/>
  <c r="V12" i="18"/>
  <c r="P31" i="15"/>
  <c r="L26" i="223"/>
  <c r="AM29" i="15"/>
  <c r="D83" i="223"/>
  <c r="G100" i="237"/>
  <c r="N60" i="223"/>
  <c r="AW23" i="15"/>
  <c r="K88" i="223"/>
  <c r="L5" i="18"/>
  <c r="B57" i="223"/>
  <c r="H141" i="223"/>
  <c r="BK22" i="18"/>
  <c r="L22" i="15"/>
  <c r="K76" i="223"/>
  <c r="AY29" i="15"/>
  <c r="N146" i="237"/>
  <c r="I163" i="237"/>
  <c r="F183" i="223"/>
  <c r="AG21" i="15"/>
  <c r="M135" i="237"/>
  <c r="C152" i="237"/>
  <c r="R13" i="18"/>
  <c r="X18" i="18"/>
  <c r="G124" i="223"/>
  <c r="G23" i="237"/>
  <c r="N27" i="237"/>
  <c r="I6" i="1"/>
  <c r="BA22" i="18"/>
  <c r="H182" i="223"/>
  <c r="J30" i="223"/>
  <c r="BJ3" i="18"/>
  <c r="C183" i="237"/>
  <c r="B36" i="18"/>
  <c r="G171" i="223"/>
  <c r="J78" i="237"/>
  <c r="AW29" i="15"/>
  <c r="D151" i="223"/>
  <c r="K78" i="237"/>
  <c r="AO27" i="15"/>
  <c r="I173" i="223"/>
  <c r="BK19" i="18"/>
  <c r="X29" i="15"/>
  <c r="B37" i="237"/>
  <c r="AX7" i="18"/>
  <c r="BL31" i="15"/>
  <c r="BA12" i="18"/>
  <c r="I164" i="237"/>
  <c r="AL6" i="18"/>
  <c r="AQ15" i="18"/>
  <c r="J167" i="237"/>
  <c r="L32" i="237"/>
  <c r="B145" i="223"/>
  <c r="BJ20" i="15"/>
  <c r="I127" i="237"/>
  <c r="B165" i="223"/>
  <c r="M127" i="237"/>
  <c r="I25" i="237"/>
  <c r="H7" i="18"/>
  <c r="B118" i="237"/>
  <c r="J20" i="237"/>
  <c r="X14" i="18"/>
  <c r="BG19" i="15"/>
  <c r="AJ31" i="15"/>
  <c r="L180" i="237"/>
  <c r="F130" i="223"/>
  <c r="O5" i="18"/>
  <c r="E87" i="223"/>
  <c r="AO13" i="18"/>
  <c r="D171" i="237"/>
  <c r="E162" i="223"/>
  <c r="B170" i="223"/>
  <c r="T21" i="18"/>
  <c r="J164" i="223"/>
  <c r="J135" i="223"/>
  <c r="B29" i="185"/>
  <c r="E56" i="237"/>
  <c r="B155" i="237"/>
  <c r="W18" i="18"/>
  <c r="T17" i="18"/>
  <c r="F44" i="223"/>
  <c r="AC21" i="15"/>
  <c r="G58" i="237"/>
  <c r="L71" i="223"/>
  <c r="K86" i="223"/>
  <c r="D164" i="237"/>
  <c r="AT3" i="18"/>
  <c r="F133" i="237"/>
  <c r="BI12" i="18"/>
  <c r="B30" i="185"/>
  <c r="J150" i="237"/>
  <c r="M118" i="237"/>
  <c r="AJ19" i="18"/>
  <c r="H184" i="237"/>
  <c r="B12" i="185"/>
  <c r="F156" i="223"/>
  <c r="E91" i="223"/>
  <c r="BG2" i="18"/>
  <c r="H145" i="237"/>
  <c r="B120" i="237"/>
  <c r="Y8" i="18"/>
  <c r="K12" i="18"/>
  <c r="AT5" i="18"/>
  <c r="N139" i="237"/>
  <c r="I150" i="237"/>
  <c r="AK8" i="18"/>
  <c r="L95" i="223"/>
  <c r="G118" i="223"/>
  <c r="AA13" i="18"/>
  <c r="L84" i="223"/>
  <c r="H27" i="15"/>
  <c r="AO28" i="1"/>
  <c r="BV23" i="15"/>
  <c r="L185" i="223"/>
  <c r="E136" i="223"/>
  <c r="D164" i="223"/>
  <c r="M180" i="237"/>
  <c r="BN22" i="15"/>
  <c r="AM11" i="18"/>
  <c r="K19" i="15"/>
  <c r="F80" i="223"/>
  <c r="I39" i="237"/>
  <c r="AM23" i="15"/>
  <c r="H59" i="223"/>
  <c r="AB17" i="18"/>
  <c r="BK28" i="1"/>
  <c r="AC26" i="15"/>
  <c r="E55" i="237"/>
  <c r="K127" i="223"/>
  <c r="R22" i="18"/>
  <c r="F25" i="223"/>
  <c r="I94" i="223"/>
  <c r="BL26" i="15"/>
  <c r="B86" i="237"/>
  <c r="I153" i="237"/>
  <c r="N56" i="223"/>
  <c r="BQ31" i="15"/>
  <c r="D187" i="223"/>
  <c r="BC4" i="18"/>
  <c r="P21" i="18"/>
  <c r="BD7" i="18"/>
  <c r="BV19" i="15"/>
  <c r="I9" i="1"/>
  <c r="J55" i="223"/>
  <c r="O6" i="18"/>
  <c r="H102" i="223"/>
  <c r="G120" i="223"/>
  <c r="AX26" i="15"/>
  <c r="AM2" i="18"/>
  <c r="Y5" i="18"/>
  <c r="J44" i="237"/>
  <c r="AN29" i="15"/>
  <c r="V19" i="18"/>
  <c r="AF2" i="18"/>
  <c r="O27" i="15"/>
  <c r="G70" i="237"/>
  <c r="B153" i="237"/>
  <c r="AR23" i="15"/>
  <c r="C169" i="237"/>
  <c r="M86" i="237"/>
  <c r="F137" i="223"/>
  <c r="N188" i="237"/>
  <c r="D126" i="223"/>
  <c r="L22" i="18"/>
  <c r="F57" i="237"/>
  <c r="BB29" i="15"/>
  <c r="T10" i="18"/>
  <c r="AQ28" i="15"/>
  <c r="L115" i="223"/>
  <c r="AC23" i="15"/>
  <c r="AX2" i="18"/>
  <c r="E100" i="223"/>
  <c r="AW8" i="18"/>
  <c r="E122" i="223"/>
  <c r="N164" i="237"/>
  <c r="I30" i="237"/>
  <c r="C68" i="237"/>
  <c r="E63" i="223"/>
  <c r="N160" i="237"/>
  <c r="F173" i="223"/>
  <c r="AO14" i="18"/>
  <c r="L59" i="223"/>
  <c r="C59" i="223"/>
  <c r="BN20" i="15"/>
  <c r="F43" i="237"/>
  <c r="BP19" i="15"/>
  <c r="L151" i="237"/>
  <c r="T5" i="18"/>
  <c r="BH31" i="15"/>
  <c r="BE23" i="15"/>
  <c r="E132" i="237"/>
  <c r="J19" i="15"/>
  <c r="M140" i="223"/>
  <c r="AQ14" i="18"/>
  <c r="B48" i="14"/>
  <c r="B20" i="223"/>
  <c r="E189" i="237"/>
  <c r="BJ30" i="15"/>
  <c r="AZ28" i="1"/>
  <c r="E80" i="223"/>
  <c r="L149" i="237"/>
  <c r="D69" i="237"/>
  <c r="D161" i="223"/>
  <c r="H160" i="237"/>
  <c r="N185" i="237"/>
  <c r="AL18" i="18"/>
  <c r="I86" i="223"/>
  <c r="D135" i="223"/>
  <c r="F141" i="223"/>
  <c r="E116" i="237"/>
  <c r="M78" i="223"/>
  <c r="B45" i="237"/>
  <c r="AC11" i="18"/>
  <c r="E126" i="223"/>
  <c r="D146" i="237"/>
  <c r="C58" i="223"/>
  <c r="AB29" i="15"/>
  <c r="I119" i="223"/>
  <c r="AP24" i="15"/>
  <c r="G20" i="15"/>
  <c r="B11" i="185"/>
  <c r="I120" i="237"/>
  <c r="N28" i="1"/>
  <c r="H22" i="223"/>
  <c r="AY21" i="18"/>
  <c r="F120" i="237"/>
  <c r="F119" i="223"/>
  <c r="M59" i="237"/>
  <c r="BA31" i="15"/>
  <c r="S18" i="18"/>
  <c r="F168" i="223"/>
  <c r="F160" i="223"/>
  <c r="C83" i="223"/>
  <c r="D40" i="237"/>
  <c r="B180" i="237"/>
  <c r="L167" i="223"/>
  <c r="K145" i="237"/>
  <c r="L27" i="223"/>
  <c r="M141" i="237"/>
  <c r="P2" i="1"/>
  <c r="C70" i="223"/>
  <c r="AL23" i="15"/>
  <c r="J153" i="237"/>
  <c r="B101" i="223"/>
  <c r="J147" i="223"/>
  <c r="E152" i="223"/>
  <c r="BL16" i="18"/>
  <c r="J180" i="223"/>
  <c r="AH24" i="15"/>
  <c r="M160" i="223"/>
  <c r="N135" i="223"/>
  <c r="C138" i="223"/>
  <c r="F151" i="223"/>
  <c r="D184" i="223"/>
  <c r="T19" i="15"/>
  <c r="N168" i="237"/>
  <c r="E71" i="237"/>
  <c r="AC18" i="18"/>
  <c r="H41" i="237"/>
  <c r="M61" i="237"/>
  <c r="F153" i="237"/>
  <c r="H120" i="223"/>
  <c r="G29" i="223"/>
  <c r="O34" i="18"/>
  <c r="AY22" i="18"/>
  <c r="M38" i="223"/>
  <c r="AH20" i="15"/>
  <c r="AW9" i="18"/>
  <c r="N22" i="18"/>
  <c r="L33" i="223"/>
  <c r="BJ19" i="18"/>
  <c r="E89" i="223"/>
  <c r="J154" i="237"/>
  <c r="AB22" i="15"/>
  <c r="J137" i="237"/>
  <c r="AY6" i="18"/>
  <c r="BD17" i="18"/>
  <c r="J185" i="237"/>
  <c r="K77" i="237"/>
  <c r="M134" i="237"/>
  <c r="J186" i="237"/>
  <c r="AS34" i="18"/>
  <c r="L124" i="237"/>
  <c r="F5" i="1"/>
  <c r="N93" i="237"/>
  <c r="B68" i="223"/>
  <c r="C162" i="223"/>
  <c r="B20" i="237"/>
  <c r="B151" i="223"/>
  <c r="G85" i="223"/>
  <c r="D73" i="223"/>
  <c r="H165" i="223"/>
  <c r="G32" i="237"/>
  <c r="M91" i="237"/>
  <c r="D39" i="237"/>
  <c r="W8" i="18"/>
  <c r="B121" i="223"/>
  <c r="R21" i="18"/>
  <c r="L161" i="223"/>
  <c r="I80" i="237"/>
  <c r="G131" i="223"/>
  <c r="W29" i="15"/>
  <c r="K61" i="223"/>
  <c r="M156" i="223"/>
  <c r="F74" i="223"/>
  <c r="BB16" i="18"/>
  <c r="AV15" i="18"/>
  <c r="E181" i="223"/>
  <c r="J26" i="15"/>
  <c r="BE19" i="15"/>
  <c r="AZ2" i="1"/>
  <c r="M140" i="237"/>
  <c r="W21" i="18"/>
  <c r="C125" i="237"/>
  <c r="J136" i="237"/>
  <c r="E155" i="223"/>
  <c r="V15" i="18"/>
  <c r="D91" i="223"/>
  <c r="C179" i="223"/>
  <c r="AM3" i="18"/>
  <c r="N27" i="15"/>
  <c r="BG13" i="18"/>
  <c r="N20" i="15"/>
  <c r="C155" i="223"/>
  <c r="K120" i="223"/>
  <c r="AU5" i="18"/>
  <c r="F14" i="1"/>
  <c r="BH6" i="18"/>
  <c r="AO19" i="18"/>
  <c r="J86" i="223"/>
  <c r="N33" i="237"/>
  <c r="N131" i="223"/>
  <c r="G30" i="237"/>
  <c r="Z3" i="18"/>
  <c r="C166" i="237"/>
  <c r="AS7" i="18"/>
  <c r="I136" i="237"/>
  <c r="B119" i="223"/>
  <c r="BD10" i="18"/>
  <c r="I121" i="223"/>
  <c r="K26" i="15"/>
  <c r="N61" i="237"/>
  <c r="E186" i="223"/>
  <c r="AD19" i="15"/>
  <c r="L133" i="237"/>
  <c r="H138" i="223"/>
  <c r="K37" i="223"/>
  <c r="BN21" i="18"/>
  <c r="AO4" i="18"/>
  <c r="I126" i="223"/>
  <c r="BB30" i="15"/>
  <c r="K186" i="237"/>
  <c r="AD2" i="1"/>
  <c r="F60" i="223"/>
  <c r="G186" i="237"/>
  <c r="H94" i="237"/>
  <c r="J20" i="15"/>
  <c r="G76" i="237"/>
  <c r="G42" i="237"/>
  <c r="H161" i="223"/>
  <c r="K167" i="223"/>
  <c r="BC10" i="18"/>
  <c r="L133" i="223"/>
  <c r="AN9" i="18"/>
  <c r="I88" i="237"/>
  <c r="BH27" i="15"/>
  <c r="N75" i="237"/>
  <c r="E131" i="237"/>
  <c r="BM26" i="15"/>
  <c r="M59" i="223"/>
  <c r="BN25" i="15"/>
  <c r="AP8" i="18"/>
  <c r="N189" i="237"/>
  <c r="BD15" i="18"/>
  <c r="B11" i="14"/>
  <c r="G79" i="223"/>
  <c r="I182" i="223"/>
  <c r="BR24" i="15"/>
  <c r="BU23" i="15"/>
  <c r="AS10" i="18"/>
  <c r="N140" i="237"/>
  <c r="G153" i="237"/>
  <c r="BM2" i="18"/>
  <c r="G88" i="223"/>
  <c r="T14" i="18"/>
  <c r="I165" i="223"/>
  <c r="B189" i="237"/>
  <c r="AZ4" i="18"/>
  <c r="B188" i="237"/>
  <c r="P26" i="15"/>
  <c r="D188" i="223"/>
  <c r="B187" i="237"/>
  <c r="J41" i="237"/>
  <c r="J42" i="223"/>
  <c r="AD22" i="15"/>
  <c r="AB5" i="18"/>
  <c r="E151" i="237"/>
  <c r="M80" i="237"/>
  <c r="F24" i="223"/>
  <c r="N15" i="18"/>
  <c r="E29" i="223"/>
  <c r="AK12" i="18"/>
  <c r="J22" i="237"/>
  <c r="N165" i="223"/>
  <c r="E147" i="223"/>
  <c r="AA7" i="18"/>
  <c r="R19" i="15"/>
  <c r="AS19" i="15"/>
  <c r="BE6" i="18"/>
  <c r="AF10" i="18"/>
  <c r="AI30" i="15"/>
  <c r="J118" i="237"/>
  <c r="AQ12" i="18"/>
  <c r="D45" i="223"/>
  <c r="I120" i="223"/>
  <c r="D182" i="237"/>
  <c r="C47" i="14"/>
  <c r="I38" i="223"/>
  <c r="G180" i="223"/>
  <c r="J74" i="237"/>
  <c r="H162" i="237"/>
  <c r="E123" i="237"/>
  <c r="AR4" i="18"/>
  <c r="M14" i="18"/>
  <c r="F117" i="237"/>
  <c r="F85" i="237"/>
  <c r="G10" i="18"/>
  <c r="M151" i="223"/>
  <c r="E136" i="237"/>
  <c r="I145" i="237"/>
  <c r="K79" i="237"/>
  <c r="G87" i="223"/>
  <c r="G116" i="223"/>
  <c r="I134" i="223"/>
  <c r="K102" i="223"/>
  <c r="H56" i="237"/>
  <c r="I168" i="237"/>
  <c r="BM25" i="15"/>
  <c r="D116" i="237"/>
  <c r="R21" i="15"/>
  <c r="E146" i="223"/>
  <c r="AY13" i="18"/>
  <c r="H121" i="223"/>
  <c r="J137" i="223"/>
  <c r="C70" i="237"/>
  <c r="D93" i="237"/>
  <c r="F63" i="237"/>
  <c r="AJ4" i="18"/>
  <c r="D93" i="223"/>
  <c r="J141" i="237"/>
  <c r="C103" i="237"/>
  <c r="L24" i="237"/>
  <c r="M63" i="223"/>
  <c r="D137" i="223"/>
  <c r="F149" i="223"/>
  <c r="H141" i="237"/>
  <c r="J94" i="223"/>
  <c r="M80" i="223"/>
  <c r="AK20" i="15"/>
  <c r="D89" i="237"/>
  <c r="D189" i="237"/>
  <c r="G93" i="223"/>
  <c r="D23" i="223"/>
  <c r="B162" i="223"/>
  <c r="AN16" i="18"/>
  <c r="K74" i="223"/>
  <c r="AC22" i="15"/>
  <c r="D146" i="223"/>
  <c r="I148" i="237"/>
  <c r="I89" i="223"/>
  <c r="AD21" i="18"/>
  <c r="AV28" i="15"/>
  <c r="F138" i="223"/>
  <c r="AD10" i="18"/>
  <c r="I127" i="223"/>
  <c r="BN13" i="18"/>
  <c r="AT20" i="15"/>
  <c r="I54" i="237"/>
  <c r="N91" i="223"/>
  <c r="E79" i="223"/>
  <c r="BD14" i="18"/>
  <c r="AD28" i="15"/>
  <c r="AO12" i="18"/>
  <c r="D119" i="237"/>
  <c r="L76" i="223"/>
  <c r="L181" i="223"/>
  <c r="B28" i="223"/>
  <c r="C42" i="237"/>
  <c r="L183" i="237"/>
  <c r="AZ22" i="15"/>
  <c r="K156" i="237"/>
  <c r="L154" i="237"/>
  <c r="C67" i="223"/>
  <c r="C130" i="237"/>
  <c r="AJ34" i="18"/>
  <c r="F123" i="223"/>
  <c r="AZ13" i="18"/>
  <c r="AE30" i="15"/>
  <c r="N163" i="223"/>
  <c r="E95" i="223"/>
  <c r="M7" i="18"/>
  <c r="E79" i="237"/>
  <c r="N77" i="237"/>
  <c r="BC18" i="18"/>
  <c r="C101" i="223"/>
  <c r="C173" i="223"/>
  <c r="C153" i="237"/>
  <c r="B140" i="237"/>
  <c r="AK7" i="18"/>
  <c r="AH20" i="18"/>
  <c r="J23" i="237"/>
  <c r="BD27" i="15"/>
  <c r="Q12" i="18"/>
  <c r="E83" i="223"/>
  <c r="J69" i="223"/>
  <c r="F152" i="237"/>
  <c r="L184" i="223"/>
  <c r="I11" i="18"/>
  <c r="E84" i="237"/>
  <c r="J28" i="237"/>
  <c r="BD26" i="15"/>
  <c r="AO22" i="18"/>
  <c r="BF24" i="15"/>
  <c r="N165" i="237"/>
  <c r="AX28" i="15"/>
  <c r="B29" i="14"/>
  <c r="T21" i="15"/>
  <c r="AV27" i="15"/>
  <c r="Y18" i="18"/>
  <c r="G146" i="223"/>
  <c r="E59" i="237"/>
  <c r="L75" i="237"/>
  <c r="I29" i="223"/>
  <c r="M135" i="223"/>
  <c r="M31" i="15"/>
  <c r="B51" i="14"/>
  <c r="D62" i="223"/>
  <c r="I55" i="223"/>
  <c r="E139" i="223"/>
  <c r="E180" i="223"/>
  <c r="N55" i="237"/>
  <c r="I61" i="237"/>
  <c r="N100" i="237"/>
  <c r="BH3" i="18"/>
  <c r="H70" i="237"/>
  <c r="C40" i="223"/>
  <c r="AW20" i="15"/>
  <c r="X20" i="18"/>
  <c r="M163" i="237"/>
  <c r="H119" i="223"/>
  <c r="F179" i="237"/>
  <c r="F53" i="223"/>
  <c r="C160" i="237"/>
  <c r="F102" i="223"/>
  <c r="L72" i="223"/>
  <c r="AG7" i="18"/>
  <c r="E41" i="237"/>
  <c r="AF4" i="18"/>
  <c r="J141" i="223"/>
  <c r="L29" i="237"/>
  <c r="G58" i="223"/>
  <c r="L86" i="237"/>
  <c r="AX29" i="15"/>
  <c r="BM15" i="18"/>
  <c r="I155" i="237"/>
  <c r="J79" i="223"/>
  <c r="AV22" i="18"/>
  <c r="D168" i="223"/>
  <c r="J117" i="223"/>
  <c r="BK9" i="18"/>
  <c r="J32" i="223"/>
  <c r="F89" i="237"/>
  <c r="M26" i="223"/>
  <c r="H8" i="18"/>
  <c r="H22" i="18"/>
  <c r="AV9" i="18"/>
  <c r="N91" i="237"/>
  <c r="BH28" i="1"/>
  <c r="K28" i="237"/>
  <c r="BC9" i="18"/>
  <c r="H121" i="237"/>
  <c r="Y6" i="18"/>
  <c r="K22" i="237"/>
  <c r="B57" i="237"/>
  <c r="L126" i="237"/>
  <c r="BG12" i="18"/>
  <c r="AN26" i="15"/>
  <c r="AZ24" i="15"/>
  <c r="D169" i="237"/>
  <c r="D165" i="237"/>
  <c r="AU20" i="18"/>
  <c r="AM22" i="18"/>
  <c r="AP19" i="15"/>
  <c r="D75" i="237"/>
  <c r="M33" i="223"/>
  <c r="BL25" i="15"/>
  <c r="X5" i="18"/>
  <c r="H115" i="223"/>
  <c r="G183" i="237"/>
  <c r="E43" i="237"/>
  <c r="BL28" i="1"/>
  <c r="K27" i="237"/>
  <c r="C185" i="237"/>
  <c r="M184" i="223"/>
  <c r="D156" i="237"/>
  <c r="J146" i="237"/>
  <c r="L93" i="237"/>
  <c r="E135" i="237"/>
  <c r="L181" i="237"/>
  <c r="BF15" i="18"/>
  <c r="D119" i="223"/>
  <c r="B73" i="237"/>
  <c r="E88" i="223"/>
  <c r="W22" i="18"/>
  <c r="I123" i="237"/>
  <c r="V6" i="18"/>
  <c r="AJ28" i="15"/>
  <c r="C186" i="237"/>
  <c r="T24" i="15"/>
  <c r="BH21" i="18"/>
  <c r="E22" i="223"/>
  <c r="E20" i="223"/>
  <c r="C88" i="237"/>
  <c r="N166" i="223"/>
  <c r="K42" i="237"/>
  <c r="G32" i="223"/>
  <c r="K60" i="223"/>
  <c r="M136" i="237"/>
  <c r="E76" i="223"/>
  <c r="C53" i="14"/>
  <c r="F183" i="237"/>
  <c r="F135" i="237"/>
  <c r="S29" i="15"/>
  <c r="AR19" i="15"/>
  <c r="K40" i="223"/>
  <c r="AD20" i="18"/>
  <c r="C95" i="223"/>
  <c r="L30" i="223"/>
  <c r="K163" i="223"/>
  <c r="J150" i="223"/>
  <c r="Z25" i="15"/>
  <c r="N21" i="18"/>
  <c r="M4" i="18"/>
  <c r="N167" i="223"/>
  <c r="M56" i="223"/>
  <c r="G151" i="237"/>
  <c r="C37" i="237"/>
  <c r="H20" i="15"/>
  <c r="AM30" i="15"/>
  <c r="C136" i="237"/>
  <c r="J78" i="223"/>
  <c r="I170" i="223"/>
  <c r="Q31" i="15"/>
  <c r="AS20" i="15"/>
  <c r="L103" i="223"/>
  <c r="AN21" i="15"/>
  <c r="N139" i="223"/>
  <c r="H29" i="15"/>
  <c r="C53" i="237"/>
  <c r="J168" i="223"/>
  <c r="BN18" i="18"/>
  <c r="L115" i="237"/>
  <c r="E94" i="237"/>
  <c r="AE26" i="15"/>
  <c r="N154" i="237"/>
  <c r="M180" i="223"/>
  <c r="W20" i="18"/>
  <c r="I10" i="1"/>
  <c r="B79" i="237"/>
  <c r="M30" i="223"/>
  <c r="BV29" i="15"/>
  <c r="E24" i="237"/>
  <c r="M73" i="237"/>
  <c r="K183" i="223"/>
  <c r="E156" i="237"/>
  <c r="M91" i="223"/>
  <c r="L40" i="237"/>
  <c r="N181" i="223"/>
  <c r="AU21" i="18"/>
  <c r="L78" i="237"/>
  <c r="N156" i="237"/>
  <c r="B23" i="223"/>
  <c r="B70" i="223"/>
  <c r="F95" i="237"/>
  <c r="G19" i="15"/>
  <c r="M22" i="18"/>
  <c r="N46" i="223"/>
  <c r="AS22" i="18"/>
  <c r="L44" i="237"/>
  <c r="D132" i="237"/>
  <c r="D188" i="237"/>
  <c r="BD23" i="15"/>
  <c r="B23" i="237"/>
  <c r="AB28" i="15"/>
  <c r="L94" i="223"/>
  <c r="L68" i="237"/>
  <c r="G139" i="237"/>
  <c r="E71" i="223"/>
  <c r="AF25" i="15"/>
  <c r="U22" i="15"/>
  <c r="BE14" i="18"/>
  <c r="F18" i="1"/>
  <c r="BI3" i="18"/>
  <c r="C22" i="237"/>
  <c r="M139" i="237"/>
  <c r="BF20" i="18"/>
  <c r="AU28" i="15"/>
  <c r="J131" i="223"/>
  <c r="M138" i="237"/>
  <c r="AD18" i="18"/>
  <c r="C46" i="237"/>
  <c r="E184" i="237"/>
  <c r="G44" i="237"/>
  <c r="J173" i="223"/>
  <c r="F137" i="237"/>
  <c r="F173" i="237"/>
  <c r="BT21" i="15"/>
  <c r="I185" i="237"/>
  <c r="BC19" i="15"/>
  <c r="AE31" i="15"/>
  <c r="J22" i="223"/>
  <c r="AU31" i="15"/>
  <c r="L186" i="223"/>
  <c r="U5" i="18"/>
  <c r="M18" i="18"/>
  <c r="I24" i="237"/>
  <c r="AB27" i="15"/>
  <c r="AP15" i="18"/>
  <c r="J37" i="237"/>
  <c r="AB19" i="15"/>
  <c r="J89" i="223"/>
  <c r="I102" i="237"/>
  <c r="G156" i="223"/>
  <c r="C186" i="223"/>
  <c r="F130" i="237"/>
  <c r="M39" i="223"/>
  <c r="BD3" i="18"/>
  <c r="I16" i="18"/>
  <c r="AW4" i="18"/>
  <c r="B87" i="237"/>
  <c r="H116" i="237"/>
  <c r="B33" i="223"/>
  <c r="AG26" i="15"/>
  <c r="I147" i="223"/>
  <c r="E94" i="223"/>
  <c r="J139" i="237"/>
  <c r="B46" i="223"/>
  <c r="T28" i="15"/>
  <c r="E46" i="237"/>
  <c r="L53" i="223"/>
  <c r="N5" i="18"/>
  <c r="AW19" i="15"/>
  <c r="K182" i="237"/>
  <c r="J115" i="237"/>
  <c r="C95" i="237"/>
  <c r="N8" i="18"/>
  <c r="K21" i="237"/>
  <c r="BC22" i="15"/>
  <c r="C146" i="237"/>
  <c r="AC2" i="18"/>
  <c r="N184" i="237"/>
  <c r="N85" i="223"/>
  <c r="I126" i="237"/>
  <c r="F58" i="223"/>
  <c r="Y29" i="15"/>
  <c r="N39" i="237"/>
  <c r="BF5" i="18"/>
  <c r="T15" i="18"/>
  <c r="BL14" i="18"/>
  <c r="BH7" i="18"/>
  <c r="O8" i="18"/>
  <c r="L2" i="18"/>
  <c r="AZ21" i="18"/>
  <c r="N22" i="237"/>
  <c r="K70" i="223"/>
  <c r="B18" i="14"/>
  <c r="J95" i="223"/>
  <c r="M60" i="237"/>
  <c r="K87" i="223"/>
  <c r="BK26" i="15"/>
  <c r="P16" i="18"/>
  <c r="M28" i="223"/>
  <c r="AE5" i="18"/>
  <c r="W30" i="15"/>
  <c r="BA2" i="18"/>
  <c r="AK11" i="18"/>
  <c r="J3" i="18"/>
  <c r="BD29" i="15"/>
  <c r="D141" i="237"/>
  <c r="L13" i="18"/>
  <c r="I17" i="18"/>
  <c r="B24" i="14"/>
  <c r="L58" i="223"/>
  <c r="W20" i="15"/>
  <c r="BB24" i="15"/>
  <c r="M133" i="237"/>
  <c r="AR15" i="18"/>
  <c r="K32" i="237"/>
  <c r="C74" i="237"/>
  <c r="F71" i="237"/>
  <c r="BA20" i="15"/>
  <c r="W15" i="18"/>
  <c r="N45" i="237"/>
  <c r="O19" i="15"/>
  <c r="N19" i="18"/>
  <c r="AI22" i="15"/>
  <c r="E37" i="237"/>
  <c r="C42" i="18"/>
  <c r="B32" i="14"/>
  <c r="R10" i="18"/>
  <c r="J95" i="237"/>
  <c r="D86" i="223"/>
  <c r="W13" i="18"/>
  <c r="H59" i="237"/>
  <c r="I139" i="237"/>
  <c r="B94" i="223"/>
  <c r="G20" i="18"/>
  <c r="L4" i="18"/>
  <c r="L146" i="237"/>
  <c r="BL22" i="18"/>
  <c r="H88" i="237"/>
  <c r="AG19" i="18"/>
  <c r="L139" i="223"/>
  <c r="Q22" i="15"/>
  <c r="J168" i="237"/>
  <c r="BI22" i="18"/>
  <c r="B74" i="237"/>
  <c r="J134" i="237"/>
  <c r="AK14" i="18"/>
  <c r="D61" i="223"/>
  <c r="E172" i="223"/>
  <c r="H160" i="223"/>
  <c r="E161" i="237"/>
  <c r="AI19" i="15"/>
  <c r="K153" i="223"/>
  <c r="H19" i="15"/>
  <c r="F63" i="223"/>
  <c r="BD16" i="18"/>
  <c r="AX11" i="18"/>
  <c r="D95" i="223"/>
  <c r="D120" i="237"/>
  <c r="B148" i="237"/>
  <c r="X34" i="18"/>
  <c r="H30" i="15"/>
  <c r="AI7" i="18"/>
  <c r="AE9" i="18"/>
  <c r="F39" i="237"/>
  <c r="K58" i="223"/>
  <c r="I32" i="237"/>
  <c r="AE22" i="18"/>
  <c r="C86" i="223"/>
  <c r="B25" i="223"/>
  <c r="AH12" i="18"/>
  <c r="I20" i="223"/>
  <c r="M152" i="223"/>
  <c r="BJ31" i="15"/>
  <c r="E116" i="223"/>
  <c r="F20" i="237"/>
  <c r="M131" i="237"/>
  <c r="AE6" i="18"/>
  <c r="I172" i="223"/>
  <c r="E29" i="237"/>
  <c r="K22" i="15"/>
  <c r="O2" i="1"/>
  <c r="I182" i="237"/>
  <c r="I40" i="223"/>
  <c r="G162" i="237"/>
  <c r="M57" i="237"/>
  <c r="N73" i="237"/>
  <c r="J2" i="18"/>
  <c r="AP28" i="15"/>
  <c r="H180" i="223"/>
  <c r="N33" i="223"/>
  <c r="AR34" i="18"/>
  <c r="BM16" i="18"/>
  <c r="AZ19" i="18"/>
  <c r="B127" i="223"/>
  <c r="AA4" i="18"/>
  <c r="H83" i="223"/>
  <c r="AN30" i="15"/>
  <c r="AM28" i="15"/>
  <c r="G90" i="223"/>
  <c r="M43" i="237"/>
  <c r="AY19" i="15"/>
  <c r="C184" i="223"/>
  <c r="AI23" i="15"/>
  <c r="AL17" i="18"/>
  <c r="E24" i="223"/>
  <c r="F16" i="1"/>
  <c r="BD30" i="15"/>
  <c r="BJ2" i="18"/>
  <c r="J21" i="237"/>
  <c r="I75" i="223"/>
  <c r="BM22" i="18"/>
  <c r="H135" i="223"/>
  <c r="W7" i="18"/>
  <c r="J180" i="237"/>
  <c r="H29" i="223"/>
  <c r="AT19" i="15"/>
  <c r="J170" i="223"/>
  <c r="AC7" i="18"/>
  <c r="G181" i="237"/>
  <c r="P8" i="18"/>
  <c r="F26" i="223"/>
  <c r="AG2" i="18"/>
  <c r="AN7" i="18"/>
  <c r="F7" i="1"/>
  <c r="F69" i="237"/>
  <c r="BF8" i="18"/>
  <c r="AX31" i="15"/>
  <c r="D152" i="237"/>
  <c r="AJ3" i="18"/>
  <c r="AS17" i="18"/>
  <c r="J85" i="223"/>
  <c r="X12" i="18"/>
  <c r="N31" i="223"/>
  <c r="K154" i="237"/>
  <c r="M94" i="223"/>
  <c r="F38" i="237"/>
  <c r="BH26" i="15"/>
  <c r="C89" i="223"/>
  <c r="W2" i="14"/>
  <c r="L23" i="223"/>
  <c r="J124" i="237"/>
  <c r="G187" i="223"/>
  <c r="E127" i="223"/>
  <c r="B37" i="223"/>
  <c r="N3" i="18"/>
  <c r="E67" i="223"/>
  <c r="AT28" i="1"/>
  <c r="AW14" i="18"/>
  <c r="D181" i="237"/>
  <c r="G121" i="223"/>
  <c r="J119" i="237"/>
  <c r="V9" i="18"/>
  <c r="N22" i="15"/>
  <c r="K8" i="18"/>
  <c r="J76" i="237"/>
  <c r="F68" i="237"/>
  <c r="U2" i="1"/>
  <c r="N86" i="237"/>
  <c r="R8" i="18"/>
  <c r="K186" i="223"/>
  <c r="K130" i="223"/>
  <c r="K30" i="223"/>
  <c r="M41" i="223"/>
  <c r="E30" i="237"/>
  <c r="AD31" i="15"/>
  <c r="G83" i="223"/>
  <c r="BE25" i="15"/>
  <c r="D162" i="237"/>
  <c r="I160" i="223"/>
  <c r="C135" i="237"/>
  <c r="N30" i="237"/>
  <c r="J54" i="237"/>
  <c r="Q29" i="15"/>
  <c r="N20" i="237"/>
  <c r="C91" i="237"/>
  <c r="AS16" i="18"/>
  <c r="J169" i="237"/>
  <c r="I60" i="223"/>
  <c r="BF27" i="15"/>
  <c r="AT34" i="18"/>
  <c r="N29" i="15"/>
  <c r="L80" i="223"/>
  <c r="AE20" i="15"/>
  <c r="U3" i="18"/>
  <c r="BH20" i="18"/>
  <c r="BB21" i="15"/>
  <c r="N38" i="223"/>
  <c r="C180" i="223"/>
  <c r="G7" i="18"/>
  <c r="H173" i="237"/>
  <c r="I77" i="237"/>
  <c r="E182" i="223"/>
  <c r="BH25" i="15"/>
  <c r="V21" i="15"/>
  <c r="K180" i="223"/>
  <c r="I17" i="1"/>
  <c r="AV6" i="18"/>
  <c r="M115" i="237"/>
  <c r="N149" i="223"/>
  <c r="AU24" i="15"/>
  <c r="M151" i="237"/>
  <c r="BA14" i="18"/>
  <c r="AK22" i="15"/>
  <c r="G160" i="237"/>
  <c r="L2" i="1"/>
  <c r="L38" i="237"/>
  <c r="AD20" i="15"/>
  <c r="Z2" i="18"/>
  <c r="E68" i="223"/>
  <c r="B152" i="237"/>
  <c r="N138" i="237"/>
  <c r="AH14" i="18"/>
  <c r="S21" i="15"/>
  <c r="M167" i="237"/>
  <c r="Z16" i="18"/>
  <c r="L160" i="223"/>
  <c r="B180" i="223"/>
  <c r="K61" i="237"/>
  <c r="AC19" i="15"/>
  <c r="K183" i="237"/>
  <c r="N138" i="223"/>
  <c r="K42" i="223"/>
  <c r="D101" i="223"/>
  <c r="N63" i="223"/>
  <c r="C156" i="223"/>
  <c r="I74" i="237"/>
  <c r="M76" i="223"/>
  <c r="O16" i="18"/>
  <c r="J134" i="223"/>
  <c r="M172" i="237"/>
  <c r="B84" i="237"/>
  <c r="K181" i="223"/>
  <c r="N90" i="223"/>
  <c r="Q6" i="18"/>
  <c r="M117" i="223"/>
  <c r="B62" i="237"/>
  <c r="H53" i="237"/>
  <c r="L31" i="15"/>
  <c r="AX8" i="18"/>
  <c r="AW2" i="18"/>
  <c r="U16" i="18"/>
  <c r="S10" i="18"/>
  <c r="Z26" i="15"/>
  <c r="N148" i="223"/>
  <c r="N29" i="237"/>
  <c r="R23" i="15"/>
  <c r="K131" i="237"/>
  <c r="L154" i="223"/>
  <c r="K115" i="237"/>
  <c r="X4" i="18"/>
  <c r="U13" i="18"/>
  <c r="AX17" i="18"/>
  <c r="F100" i="237"/>
  <c r="AP34" i="18"/>
  <c r="L69" i="237"/>
  <c r="AW11" i="18"/>
  <c r="I141" i="237"/>
  <c r="H30" i="223"/>
  <c r="L145" i="237"/>
  <c r="AK10" i="18"/>
  <c r="B91" i="223"/>
  <c r="X13" i="18"/>
  <c r="N76" i="237"/>
  <c r="K123" i="237"/>
  <c r="C122" i="237"/>
  <c r="BN16" i="18"/>
  <c r="G91" i="237"/>
  <c r="BB17" i="18"/>
  <c r="J44" i="223"/>
  <c r="C56" i="223"/>
  <c r="K53" i="237"/>
  <c r="E23" i="223"/>
  <c r="L130" i="237"/>
  <c r="L58" i="237"/>
  <c r="B149" i="223"/>
  <c r="C94" i="223"/>
  <c r="BJ29" i="15"/>
  <c r="AL21" i="18"/>
  <c r="Q16" i="18"/>
  <c r="I152" i="223"/>
  <c r="H185" i="223"/>
  <c r="AA9" i="18"/>
  <c r="Q24" i="15"/>
  <c r="B168" i="223"/>
  <c r="AV20" i="15"/>
  <c r="M154" i="223"/>
  <c r="N26" i="15"/>
  <c r="AA5" i="18"/>
  <c r="BA8" i="18"/>
  <c r="H72" i="237"/>
  <c r="AB13" i="18"/>
  <c r="L33" i="237"/>
  <c r="H139" i="237"/>
  <c r="K162" i="223"/>
  <c r="BG26" i="15"/>
  <c r="AT20" i="18"/>
  <c r="N125" i="237"/>
  <c r="P27" i="15"/>
  <c r="E40" i="223"/>
  <c r="N75" i="223"/>
  <c r="AR3" i="18"/>
  <c r="H185" i="237"/>
  <c r="B170" i="237"/>
  <c r="I164" i="223"/>
  <c r="L75" i="223"/>
  <c r="S11" i="18"/>
  <c r="J15" i="18"/>
  <c r="J183" i="223"/>
  <c r="L46" i="237"/>
  <c r="C145" i="237"/>
  <c r="B117" i="223"/>
  <c r="I183" i="223"/>
  <c r="H46" i="237"/>
  <c r="F149" i="237"/>
  <c r="I76" i="223"/>
  <c r="H173" i="223"/>
  <c r="AH16" i="18"/>
  <c r="BE2" i="18"/>
  <c r="BF13" i="18"/>
  <c r="M32" i="237"/>
  <c r="K130" i="237"/>
  <c r="C23" i="223"/>
  <c r="BA16" i="18"/>
  <c r="BE26" i="15"/>
  <c r="I24" i="223"/>
  <c r="F101" i="223"/>
  <c r="G148" i="237"/>
  <c r="BF12" i="18"/>
  <c r="BJ34" i="18"/>
  <c r="I37" i="223"/>
  <c r="BK25" i="15"/>
  <c r="BB19" i="18"/>
  <c r="T22" i="15"/>
  <c r="K132" i="237"/>
  <c r="AO31" i="15"/>
  <c r="AR10" i="18"/>
  <c r="BB21" i="18"/>
  <c r="B150" i="237"/>
  <c r="N76" i="223"/>
  <c r="F22" i="1"/>
  <c r="G8" i="18"/>
  <c r="C100" i="237"/>
  <c r="D102" i="223"/>
  <c r="I137" i="237"/>
  <c r="BI2" i="1"/>
  <c r="D63" i="237"/>
  <c r="K170" i="237"/>
  <c r="I95" i="237"/>
  <c r="I18" i="1"/>
  <c r="C116" i="223"/>
  <c r="BE17" i="18"/>
  <c r="F155" i="237"/>
  <c r="AH31" i="15"/>
  <c r="G119" i="237"/>
  <c r="B126" i="223"/>
  <c r="C63" i="237"/>
  <c r="L20" i="237"/>
  <c r="L171" i="237"/>
  <c r="BJ2" i="1"/>
  <c r="B162" i="237"/>
  <c r="H2" i="18"/>
  <c r="K149" i="223"/>
  <c r="Q21" i="15"/>
  <c r="D54" i="237"/>
  <c r="J120" i="237"/>
  <c r="M88" i="237"/>
  <c r="D147" i="223"/>
  <c r="Y2" i="1"/>
  <c r="N7" i="18"/>
  <c r="AE20" i="18"/>
  <c r="H184" i="223"/>
  <c r="J101" i="237"/>
  <c r="AQ19" i="15"/>
  <c r="AM16" i="18"/>
  <c r="D103" i="223"/>
  <c r="P2" i="18"/>
  <c r="D68" i="223"/>
  <c r="R25" i="15"/>
  <c r="S21" i="18"/>
  <c r="BB2" i="18"/>
  <c r="BC28" i="15"/>
  <c r="D76" i="223"/>
  <c r="H31" i="223"/>
  <c r="AW13" i="18"/>
  <c r="L77" i="223"/>
  <c r="BK10" i="18"/>
  <c r="L45" i="237"/>
  <c r="O7" i="18"/>
  <c r="D127" i="237"/>
  <c r="AA29" i="15"/>
  <c r="C78" i="223"/>
  <c r="AB12" i="18"/>
  <c r="B58" i="237"/>
  <c r="H149" i="223"/>
  <c r="M125" i="237"/>
  <c r="K125" i="237"/>
  <c r="BL5" i="18"/>
  <c r="BH19" i="15"/>
  <c r="M55" i="223"/>
  <c r="BL4" i="18"/>
  <c r="I31" i="237"/>
  <c r="AG20" i="18"/>
  <c r="BG34" i="18"/>
  <c r="BJ18" i="18"/>
  <c r="N151" i="237"/>
  <c r="F181" i="223"/>
  <c r="BL2" i="1"/>
  <c r="M69" i="223"/>
  <c r="BM8" i="18"/>
  <c r="E120" i="237"/>
  <c r="K121" i="223"/>
  <c r="BN17" i="18"/>
  <c r="F101" i="237"/>
  <c r="H62" i="223"/>
  <c r="AI24" i="15"/>
  <c r="C164" i="237"/>
  <c r="P20" i="18"/>
  <c r="P12" i="18"/>
  <c r="AI28" i="1"/>
  <c r="J146" i="223"/>
  <c r="D168" i="237"/>
  <c r="BL13" i="18"/>
  <c r="D56" i="237"/>
  <c r="M148" i="223"/>
  <c r="E103" i="223"/>
  <c r="K45" i="223"/>
  <c r="K90" i="223"/>
  <c r="AD21" i="15"/>
  <c r="F155" i="223"/>
  <c r="AW21" i="18"/>
  <c r="Y21" i="15"/>
  <c r="AY28" i="1"/>
  <c r="BE20" i="15"/>
  <c r="G92" i="237"/>
  <c r="J33" i="237"/>
  <c r="C130" i="223"/>
  <c r="I86" i="237"/>
  <c r="I132" i="237"/>
  <c r="F170" i="223"/>
  <c r="E124" i="237"/>
  <c r="H156" i="223"/>
  <c r="BC15" i="18"/>
  <c r="N77" i="223"/>
  <c r="G71" i="223"/>
  <c r="BK31" i="15"/>
  <c r="F185" i="223"/>
  <c r="BE30" i="15"/>
  <c r="B29" i="237"/>
  <c r="G140" i="223"/>
  <c r="AY21" i="15"/>
  <c r="AS26" i="15"/>
  <c r="M116" i="237"/>
  <c r="H53" i="223"/>
  <c r="H73" i="223"/>
  <c r="M139" i="223"/>
  <c r="B23" i="14"/>
  <c r="AB3" i="18"/>
  <c r="BJ15" i="18"/>
  <c r="E56" i="223"/>
  <c r="I162" i="223"/>
  <c r="B62" i="223"/>
  <c r="H119" i="237"/>
  <c r="F103" i="237"/>
  <c r="Q10" i="18"/>
  <c r="M115" i="223"/>
  <c r="AQ3" i="18"/>
  <c r="BF19" i="15"/>
  <c r="AG2" i="1"/>
  <c r="F23" i="237"/>
  <c r="L55" i="237"/>
  <c r="G84" i="223"/>
  <c r="L180" i="223"/>
  <c r="I43" i="237"/>
  <c r="D38" i="223"/>
  <c r="I90" i="223"/>
  <c r="L137" i="237"/>
  <c r="BG27" i="15"/>
  <c r="S31" i="15"/>
  <c r="M150" i="237"/>
  <c r="N95" i="237"/>
  <c r="T3" i="18"/>
  <c r="C185" i="223"/>
  <c r="L25" i="223"/>
  <c r="C133" i="223"/>
  <c r="F78" i="223"/>
  <c r="E88" i="237"/>
  <c r="BU20" i="15"/>
  <c r="D44" i="237"/>
  <c r="BR19" i="15"/>
  <c r="G103" i="223"/>
  <c r="L32" i="223"/>
  <c r="U25" i="15"/>
  <c r="J94" i="237"/>
  <c r="B69" i="223"/>
  <c r="T20" i="18"/>
  <c r="J88" i="237"/>
  <c r="E38" i="223"/>
  <c r="E121" i="237"/>
  <c r="I46" i="237"/>
  <c r="L147" i="237"/>
  <c r="AP4" i="18"/>
  <c r="K15" i="18"/>
  <c r="N13" i="18"/>
  <c r="R22" i="15"/>
  <c r="C35" i="14"/>
  <c r="M43" i="223"/>
  <c r="K20" i="18"/>
  <c r="F74" i="237"/>
  <c r="BB14" i="18"/>
  <c r="W12" i="18"/>
  <c r="C161" i="237"/>
  <c r="I169" i="223"/>
  <c r="L30" i="237"/>
  <c r="K28" i="223"/>
  <c r="N83" i="237"/>
  <c r="C28" i="237"/>
  <c r="D57" i="223"/>
  <c r="G146" i="237"/>
  <c r="N122" i="237"/>
  <c r="H168" i="223"/>
  <c r="K133" i="223"/>
  <c r="K173" i="237"/>
  <c r="H179" i="237"/>
  <c r="G39" i="237"/>
  <c r="J39" i="223"/>
  <c r="I71" i="223"/>
  <c r="AZ17" i="18"/>
  <c r="BA13" i="18"/>
  <c r="E89" i="237"/>
  <c r="V8" i="18"/>
  <c r="G119" i="223"/>
  <c r="H58" i="237"/>
  <c r="D100" i="223"/>
  <c r="J1" i="15"/>
  <c r="H167" i="223"/>
  <c r="B14" i="185"/>
  <c r="K40" i="237"/>
  <c r="AQ18" i="18"/>
  <c r="AD7" i="18"/>
  <c r="N130" i="237"/>
  <c r="E155" i="237"/>
  <c r="F145" i="223"/>
  <c r="BB7" i="18"/>
  <c r="L88" i="237"/>
  <c r="H87" i="237"/>
  <c r="AZ28" i="15"/>
  <c r="F20" i="1"/>
  <c r="Q22" i="18"/>
  <c r="J27" i="237"/>
  <c r="O20" i="15"/>
  <c r="E59" i="223"/>
  <c r="D117" i="223"/>
  <c r="BM21" i="18"/>
  <c r="K27" i="15"/>
  <c r="C43" i="237"/>
  <c r="K68" i="237"/>
  <c r="S19" i="18"/>
  <c r="D69" i="223"/>
  <c r="BA9" i="18"/>
  <c r="L83" i="223"/>
  <c r="E135" i="223"/>
  <c r="I57" i="223"/>
  <c r="I179" i="223"/>
  <c r="K75" i="223"/>
  <c r="AL19" i="15"/>
  <c r="L160" i="237"/>
  <c r="H172" i="237"/>
  <c r="K151" i="237"/>
  <c r="BF4" i="18"/>
  <c r="H155" i="223"/>
  <c r="M131" i="223"/>
  <c r="AE25" i="15"/>
  <c r="V20" i="15"/>
  <c r="N153" i="237"/>
  <c r="G160" i="223"/>
  <c r="E84" i="223"/>
  <c r="M72" i="237"/>
  <c r="L24" i="223"/>
  <c r="W14" i="18"/>
  <c r="K161" i="237"/>
  <c r="BG24" i="15"/>
  <c r="F161" i="223"/>
  <c r="AN3" i="18"/>
  <c r="K68" i="223"/>
  <c r="F172" i="223"/>
  <c r="AP5" i="18"/>
  <c r="K167" i="237"/>
  <c r="G131" i="237"/>
  <c r="C80" i="223"/>
  <c r="N28" i="237"/>
  <c r="B68" i="237"/>
  <c r="G21" i="15"/>
  <c r="K33" i="237"/>
  <c r="H166" i="223"/>
  <c r="K72" i="223"/>
  <c r="C183" i="223"/>
  <c r="N74" i="223"/>
  <c r="BB28" i="15"/>
  <c r="BB2" i="1"/>
  <c r="X3" i="18"/>
  <c r="M166" i="237"/>
  <c r="D55" i="237"/>
  <c r="AM7" i="18"/>
  <c r="AI6" i="18"/>
  <c r="AJ29" i="15"/>
  <c r="I22" i="223"/>
  <c r="J179" i="237"/>
  <c r="L69" i="223"/>
  <c r="L126" i="223"/>
  <c r="AU14" i="18"/>
  <c r="J155" i="223"/>
  <c r="AA19" i="18"/>
  <c r="AM18" i="18"/>
  <c r="AL14" i="18"/>
  <c r="D84" i="237"/>
  <c r="B35" i="18"/>
  <c r="BA21" i="15"/>
  <c r="J148" i="223"/>
  <c r="AD24" i="15"/>
  <c r="C134" i="237"/>
  <c r="L23" i="15"/>
  <c r="M124" i="237"/>
  <c r="AF34" i="18"/>
  <c r="E38" i="237"/>
  <c r="AA18" i="18"/>
  <c r="AS3" i="18"/>
  <c r="J170" i="237"/>
  <c r="O28" i="15"/>
  <c r="BH28" i="15"/>
  <c r="AH29" i="15"/>
  <c r="D41" i="237"/>
  <c r="H154" i="223"/>
  <c r="I135" i="223"/>
  <c r="O4" i="18"/>
  <c r="G172" i="223"/>
  <c r="C151" i="237"/>
  <c r="N43" i="223"/>
  <c r="K23" i="15"/>
  <c r="B9" i="14"/>
  <c r="G61" i="223"/>
  <c r="AQ11" i="18"/>
  <c r="E32" i="237"/>
  <c r="N141" i="237"/>
  <c r="C30" i="1"/>
  <c r="B131" i="223"/>
  <c r="E133" i="237"/>
  <c r="J5" i="18"/>
  <c r="F151" i="237"/>
  <c r="AT30" i="15"/>
  <c r="C150" i="223"/>
  <c r="B165" i="237"/>
  <c r="R14" i="18"/>
  <c r="F103" i="223"/>
  <c r="AX21" i="15"/>
  <c r="L74" i="237"/>
  <c r="I84" i="223"/>
  <c r="AR31" i="15"/>
  <c r="AV12" i="18"/>
  <c r="F167" i="237"/>
  <c r="S20" i="18"/>
  <c r="C32" i="237"/>
  <c r="M169" i="223"/>
  <c r="BF10" i="18"/>
  <c r="E122" i="237"/>
  <c r="B67" i="223"/>
  <c r="BD18" i="18"/>
  <c r="I85" i="223"/>
  <c r="L27" i="15"/>
  <c r="M181" i="223"/>
  <c r="AG9" i="18"/>
  <c r="E42" i="223"/>
  <c r="BA4" i="18"/>
  <c r="B84" i="223"/>
  <c r="AI21" i="18"/>
  <c r="BL21" i="15"/>
  <c r="AQ31" i="15"/>
  <c r="L74" i="223"/>
  <c r="BK30" i="15"/>
  <c r="AO17" i="18"/>
  <c r="I169" i="237"/>
  <c r="L88" i="223"/>
  <c r="AD16" i="18"/>
  <c r="K119" i="223"/>
  <c r="J161" i="237"/>
  <c r="E138" i="223"/>
  <c r="K59" i="237"/>
  <c r="D31" i="223"/>
  <c r="H90" i="223"/>
  <c r="Q4" i="18"/>
  <c r="AB20" i="18"/>
  <c r="K100" i="237"/>
  <c r="F93" i="223"/>
  <c r="AV31" i="15"/>
  <c r="R7" i="18"/>
  <c r="J23" i="15"/>
  <c r="N32" i="237"/>
  <c r="H117" i="223"/>
  <c r="B77" i="237"/>
  <c r="BM11" i="18"/>
  <c r="AH2" i="1"/>
  <c r="J87" i="223"/>
  <c r="BI4" i="18"/>
  <c r="T9" i="18"/>
  <c r="B44" i="14"/>
  <c r="J14" i="18"/>
  <c r="AQ16" i="18"/>
  <c r="BD12" i="18"/>
  <c r="B187" i="223"/>
  <c r="C33" i="237"/>
  <c r="X15" i="18"/>
  <c r="K138" i="223"/>
  <c r="G130" i="223"/>
  <c r="E126" i="237"/>
  <c r="L31" i="237"/>
  <c r="H148" i="237"/>
  <c r="B136" i="237"/>
  <c r="H12" i="18"/>
  <c r="C72" i="237"/>
  <c r="B40" i="237"/>
  <c r="BD31" i="15"/>
  <c r="AU22" i="18"/>
  <c r="I68" i="223"/>
  <c r="E22" i="237"/>
  <c r="H33" i="223"/>
  <c r="AV14" i="18"/>
  <c r="C75" i="237"/>
  <c r="H28" i="237"/>
  <c r="AE29" i="15"/>
  <c r="K161" i="223"/>
  <c r="N78" i="223"/>
  <c r="D149" i="237"/>
  <c r="AV22" i="15"/>
  <c r="F186" i="237"/>
  <c r="F55" i="223"/>
  <c r="K67" i="237"/>
  <c r="BF21" i="15"/>
  <c r="BM4" i="18"/>
  <c r="BG21" i="15"/>
  <c r="AJ12" i="18"/>
  <c r="M58" i="237"/>
  <c r="AF30" i="15"/>
  <c r="P17" i="18"/>
  <c r="AP22" i="15"/>
  <c r="D134" i="223"/>
  <c r="G127" i="237"/>
  <c r="S34" i="18"/>
  <c r="B73" i="223"/>
  <c r="AM25" i="15"/>
  <c r="H84" i="223"/>
  <c r="AU15" i="18"/>
  <c r="L44" i="223"/>
  <c r="K89" i="223"/>
  <c r="F122" i="223"/>
  <c r="H37" i="223"/>
  <c r="C38" i="237"/>
  <c r="AA14" i="18"/>
  <c r="BL18" i="18"/>
  <c r="I61" i="223"/>
  <c r="AJ22" i="18"/>
  <c r="C76" i="223"/>
  <c r="F29" i="223"/>
  <c r="E121" i="223"/>
  <c r="M89" i="237"/>
  <c r="N125" i="223"/>
  <c r="Z2" i="1"/>
  <c r="L40" i="223"/>
  <c r="AZ7" i="18"/>
  <c r="E172" i="237"/>
  <c r="AX12" i="18"/>
  <c r="M90" i="237"/>
  <c r="V5" i="18"/>
  <c r="J165" i="237"/>
  <c r="E153" i="237"/>
  <c r="I130" i="237"/>
  <c r="BK13" i="18"/>
  <c r="G179" i="223"/>
  <c r="H100" i="237"/>
  <c r="AY5" i="18"/>
  <c r="J92" i="223"/>
  <c r="F83" i="223"/>
  <c r="BI29" i="15"/>
  <c r="AD27" i="15"/>
  <c r="AP18" i="18"/>
  <c r="H92" i="237"/>
  <c r="H95" i="237"/>
  <c r="E127" i="237"/>
  <c r="E75" i="237"/>
  <c r="N19" i="15"/>
  <c r="N31" i="237"/>
  <c r="AF5" i="18"/>
  <c r="G169" i="223"/>
  <c r="C188" i="237"/>
  <c r="F37" i="237"/>
  <c r="U24" i="15"/>
  <c r="M127" i="223"/>
  <c r="BK4" i="18"/>
  <c r="E37" i="223"/>
  <c r="BG16" i="18"/>
  <c r="M168" i="237"/>
  <c r="H182" i="237"/>
  <c r="C117" i="223"/>
  <c r="AI27" i="15"/>
  <c r="J43" i="237"/>
  <c r="AN23" i="15"/>
  <c r="L26" i="237"/>
  <c r="J93" i="223"/>
  <c r="M20" i="223"/>
  <c r="G11" i="18"/>
  <c r="K21" i="18"/>
  <c r="I70" i="223"/>
  <c r="B86" i="223"/>
  <c r="K27" i="223"/>
  <c r="F116" i="223"/>
  <c r="K134" i="237"/>
  <c r="AV26" i="15"/>
  <c r="AS28" i="15"/>
  <c r="F170" i="237"/>
  <c r="H162" i="223"/>
  <c r="U8" i="18"/>
  <c r="BG6" i="18"/>
  <c r="AO25" i="15"/>
  <c r="AM13" i="18"/>
  <c r="D71" i="223"/>
  <c r="BH24" i="15"/>
  <c r="BB13" i="18"/>
  <c r="AR27" i="15"/>
  <c r="H43" i="237"/>
  <c r="L87" i="237"/>
  <c r="I39" i="223"/>
  <c r="F163" i="223"/>
  <c r="I124" i="237"/>
  <c r="W26" i="15"/>
  <c r="AE17" i="18"/>
  <c r="N152" i="223"/>
  <c r="X2" i="1"/>
  <c r="N141" i="223"/>
  <c r="I92" i="223"/>
  <c r="I14" i="18"/>
  <c r="N134" i="223"/>
  <c r="N169" i="237"/>
  <c r="B169" i="223"/>
  <c r="AZ27" i="15"/>
  <c r="B16" i="14"/>
  <c r="K155" i="223"/>
  <c r="F27" i="237"/>
  <c r="K73" i="223"/>
  <c r="N179" i="223"/>
  <c r="M21" i="223"/>
  <c r="J56" i="223"/>
  <c r="J91" i="237"/>
  <c r="H24" i="223"/>
  <c r="B26" i="223"/>
  <c r="J145" i="223"/>
  <c r="AZ14" i="18"/>
  <c r="G78" i="223"/>
  <c r="N153" i="223"/>
  <c r="G86" i="237"/>
  <c r="H154" i="237"/>
  <c r="J67" i="237"/>
  <c r="F6" i="1"/>
  <c r="J74" i="223"/>
  <c r="D77" i="237"/>
  <c r="L93" i="223"/>
  <c r="D85" i="237"/>
  <c r="L156" i="237"/>
  <c r="H74" i="223"/>
  <c r="N94" i="223"/>
  <c r="G135" i="223"/>
  <c r="BH19" i="18"/>
  <c r="C29" i="237"/>
  <c r="BN6" i="18"/>
  <c r="B24" i="237"/>
  <c r="E171" i="237"/>
  <c r="J184" i="223"/>
  <c r="I29" i="237"/>
  <c r="C71" i="223"/>
  <c r="K74" i="237"/>
  <c r="AM22" i="15"/>
  <c r="G165" i="237"/>
  <c r="H3" i="18"/>
  <c r="G185" i="237"/>
  <c r="AG30" i="15"/>
  <c r="W22" i="15"/>
  <c r="G29" i="237"/>
  <c r="H21" i="223"/>
  <c r="H45" i="237"/>
  <c r="E21" i="223"/>
  <c r="AC3" i="18"/>
  <c r="J34" i="18"/>
  <c r="I25" i="223"/>
  <c r="B14" i="14"/>
  <c r="BM24" i="15"/>
  <c r="N57" i="237"/>
  <c r="M75" i="237"/>
  <c r="AG25" i="15"/>
  <c r="C147" i="237"/>
  <c r="R34" i="18"/>
  <c r="K119" i="237"/>
  <c r="K173" i="223"/>
  <c r="J77" i="223"/>
  <c r="W6" i="18"/>
  <c r="E62" i="223"/>
  <c r="D87" i="237"/>
  <c r="AK4" i="18"/>
  <c r="AL22" i="18"/>
  <c r="Y13" i="18"/>
  <c r="L189" i="237"/>
  <c r="AB11" i="18"/>
  <c r="B21" i="14"/>
  <c r="L134" i="237"/>
  <c r="F184" i="223"/>
  <c r="L41" i="237"/>
  <c r="X9" i="18"/>
  <c r="M21" i="15"/>
  <c r="BK15" i="18"/>
  <c r="AS24" i="15"/>
  <c r="M13" i="18"/>
  <c r="F90" i="223"/>
  <c r="AP2" i="1"/>
  <c r="W5" i="18"/>
  <c r="L77" i="237"/>
  <c r="K139" i="223"/>
  <c r="E115" i="223"/>
  <c r="K136" i="237"/>
  <c r="S15" i="18"/>
  <c r="N25" i="237"/>
  <c r="B100" i="237"/>
  <c r="AU25" i="15"/>
  <c r="AK6" i="18"/>
  <c r="AD5" i="18"/>
  <c r="N154" i="223"/>
  <c r="B141" i="237"/>
  <c r="AL26" i="15"/>
  <c r="K43" i="237"/>
  <c r="H90" i="237"/>
  <c r="BD19" i="15"/>
  <c r="J125" i="237"/>
  <c r="J181" i="237"/>
  <c r="K123" i="223"/>
  <c r="I102" i="223"/>
  <c r="AD4" i="18"/>
  <c r="F93" i="237"/>
  <c r="BJ17" i="18"/>
  <c r="G14" i="18"/>
  <c r="AB25" i="15"/>
  <c r="F77" i="237"/>
  <c r="D186" i="223"/>
  <c r="C120" i="223"/>
  <c r="J101" i="223"/>
  <c r="L125" i="223"/>
  <c r="G78" i="237"/>
  <c r="Q8" i="18"/>
  <c r="E78" i="237"/>
  <c r="BB12" i="18"/>
  <c r="G67" i="223"/>
  <c r="K88" i="237"/>
  <c r="X26" i="15"/>
  <c r="AG10" i="18"/>
  <c r="AZ15" i="18"/>
  <c r="H67" i="223"/>
  <c r="D77" i="223"/>
  <c r="D41" i="223"/>
  <c r="C60" i="223"/>
  <c r="J72" i="223"/>
  <c r="M167" i="223"/>
  <c r="I180" i="223"/>
  <c r="J11" i="18"/>
  <c r="H68" i="237"/>
  <c r="BE20" i="18"/>
  <c r="N25" i="15"/>
  <c r="AR5" i="18"/>
  <c r="N31" i="15"/>
  <c r="BH29" i="15"/>
  <c r="N87" i="223"/>
  <c r="K150" i="237"/>
  <c r="K136" i="223"/>
  <c r="D85" i="223"/>
  <c r="AJ22" i="15"/>
  <c r="G77" i="237"/>
  <c r="J57" i="237"/>
  <c r="K91" i="223"/>
  <c r="AJ30" i="15"/>
  <c r="AR29" i="15"/>
  <c r="BN4" i="18"/>
  <c r="AR18" i="18"/>
  <c r="J62" i="237"/>
  <c r="BI26" i="15"/>
  <c r="G2" i="1"/>
  <c r="C28" i="223"/>
  <c r="G59" i="237"/>
  <c r="P5" i="18"/>
  <c r="C84" i="237"/>
  <c r="BI21" i="15"/>
  <c r="H118" i="237"/>
  <c r="E117" i="237"/>
  <c r="D42" i="237"/>
  <c r="G85" i="237"/>
  <c r="AG16" i="18"/>
  <c r="AZ18" i="18"/>
  <c r="D131" i="237"/>
  <c r="N84" i="237"/>
  <c r="AZ34" i="18"/>
  <c r="G43" i="237"/>
  <c r="AC12" i="18"/>
  <c r="G60" i="223"/>
  <c r="V2" i="18"/>
  <c r="F71" i="223"/>
  <c r="L141" i="237"/>
  <c r="D118" i="237"/>
  <c r="E131" i="223"/>
  <c r="G9" i="18"/>
  <c r="BF30" i="15"/>
  <c r="H181" i="237"/>
  <c r="G117" i="237"/>
  <c r="G30" i="15"/>
  <c r="D84" i="223"/>
  <c r="I23" i="223"/>
  <c r="J37" i="223"/>
  <c r="M94" i="237"/>
  <c r="D86" i="237"/>
  <c r="F33" i="237"/>
  <c r="V31" i="15"/>
  <c r="BJ13" i="18"/>
  <c r="P25" i="15"/>
  <c r="B63" i="223"/>
  <c r="B76" i="237"/>
  <c r="G37" i="223"/>
  <c r="G170" i="237"/>
  <c r="G60" i="237"/>
  <c r="E145" i="237"/>
  <c r="N89" i="223"/>
  <c r="N168" i="223"/>
  <c r="H29" i="237"/>
  <c r="J154" i="223"/>
  <c r="AF19" i="18"/>
  <c r="AJ24" i="15"/>
  <c r="G138" i="223"/>
  <c r="BN30" i="15"/>
  <c r="L172" i="223"/>
  <c r="AU9" i="18"/>
  <c r="E149" i="237"/>
  <c r="B150" i="223"/>
  <c r="BA19" i="15"/>
  <c r="H117" i="237"/>
  <c r="D55" i="223"/>
  <c r="U19" i="15"/>
  <c r="BK27" i="15"/>
  <c r="J132" i="223"/>
  <c r="I23" i="237"/>
  <c r="I5" i="18"/>
  <c r="E93" i="223"/>
  <c r="AR22" i="15"/>
  <c r="D39" i="223"/>
  <c r="D90" i="223"/>
  <c r="B32" i="237"/>
  <c r="BG19" i="18"/>
  <c r="B95" i="237"/>
  <c r="B153" i="223"/>
  <c r="C118" i="237"/>
  <c r="Q3" i="18"/>
  <c r="B52" i="14"/>
  <c r="C161" i="223"/>
  <c r="T28" i="1"/>
  <c r="Q25" i="15"/>
  <c r="C53" i="223"/>
  <c r="I16" i="1"/>
  <c r="M69" i="237"/>
  <c r="Q19" i="18"/>
  <c r="B67" i="237"/>
  <c r="J31" i="237"/>
  <c r="B102" i="223"/>
  <c r="F123" i="237"/>
  <c r="Z30" i="15"/>
  <c r="D88" i="237"/>
  <c r="G184" i="223"/>
  <c r="AD25" i="15"/>
  <c r="F167" i="223"/>
  <c r="BC21" i="15"/>
  <c r="AI2" i="1"/>
  <c r="G5" i="18"/>
  <c r="S2" i="1"/>
  <c r="K21" i="223"/>
  <c r="H75" i="223"/>
  <c r="G53" i="223"/>
  <c r="R9" i="18"/>
  <c r="X23" i="15"/>
  <c r="J103" i="237"/>
  <c r="K20" i="223"/>
  <c r="AG8" i="18"/>
  <c r="BC17" i="18"/>
  <c r="B137" i="237"/>
  <c r="C97" i="18"/>
  <c r="I140" i="237"/>
  <c r="AY8" i="18"/>
  <c r="Z29" i="15"/>
  <c r="N46" i="237"/>
  <c r="L89" i="237"/>
  <c r="C119" i="223"/>
  <c r="L186" i="237"/>
  <c r="B139" i="237"/>
  <c r="AK17" i="18"/>
  <c r="H20" i="237"/>
  <c r="Y25" i="15"/>
  <c r="I125" i="223"/>
  <c r="I145" i="223"/>
  <c r="B160" i="237"/>
  <c r="F84" i="223"/>
  <c r="AM5" i="18"/>
  <c r="K29" i="223"/>
  <c r="L102" i="223"/>
  <c r="J160" i="237"/>
  <c r="N44" i="223"/>
  <c r="Y20" i="15"/>
  <c r="M162" i="223"/>
  <c r="BJ22" i="18"/>
  <c r="BC21" i="18"/>
  <c r="M57" i="223"/>
  <c r="G38" i="223"/>
  <c r="B146" i="223"/>
  <c r="C67" i="18"/>
  <c r="X19" i="18"/>
  <c r="M87" i="237"/>
  <c r="L26" i="15"/>
  <c r="L30" i="15"/>
  <c r="H163" i="237"/>
  <c r="K116" i="237"/>
  <c r="AN18" i="18"/>
  <c r="BG18" i="18"/>
  <c r="AI22" i="18"/>
  <c r="AN25" i="15"/>
  <c r="K69" i="223"/>
  <c r="K169" i="237"/>
  <c r="E43" i="223"/>
  <c r="L173" i="223"/>
  <c r="AP7" i="18"/>
  <c r="E25" i="237"/>
  <c r="D140" i="237"/>
  <c r="D53" i="237"/>
  <c r="I150" i="223"/>
  <c r="BL6" i="18"/>
  <c r="AA2" i="18"/>
  <c r="BK23" i="15"/>
  <c r="M68" i="237"/>
  <c r="AT13" i="18"/>
  <c r="E140" i="223"/>
  <c r="E70" i="223"/>
  <c r="F23" i="223"/>
  <c r="I72" i="223"/>
  <c r="AN24" i="15"/>
  <c r="K152" i="237"/>
  <c r="K22" i="223"/>
  <c r="X6" i="18"/>
  <c r="J6" i="18"/>
  <c r="S30" i="15"/>
  <c r="H127" i="223"/>
  <c r="AO6" i="18"/>
  <c r="C123" i="237"/>
  <c r="AP11" i="18"/>
  <c r="BH18" i="18"/>
  <c r="B119" i="237"/>
  <c r="E58" i="223"/>
  <c r="AD3" i="18"/>
  <c r="H77" i="237"/>
  <c r="I15" i="18"/>
  <c r="F118" i="237"/>
  <c r="C78" i="237"/>
  <c r="I20" i="237"/>
  <c r="BF34" i="18"/>
  <c r="D76" i="237"/>
  <c r="J152" i="223"/>
  <c r="L123" i="223"/>
  <c r="C165" i="223"/>
  <c r="BI8" i="18"/>
  <c r="H54" i="223"/>
  <c r="L73" i="223"/>
  <c r="D43" i="223"/>
  <c r="F73" i="237"/>
  <c r="BH9" i="18"/>
  <c r="H77" i="223"/>
  <c r="D25" i="237"/>
  <c r="C92" i="237"/>
  <c r="I24" i="15"/>
  <c r="M60" i="223"/>
  <c r="I41" i="237"/>
  <c r="L67" i="237"/>
  <c r="C46" i="223"/>
  <c r="Q20" i="15"/>
  <c r="K44" i="223"/>
  <c r="J184" i="237"/>
  <c r="M9" i="18"/>
  <c r="B45" i="223"/>
  <c r="I42" i="237"/>
  <c r="O10" i="18"/>
  <c r="H146" i="223"/>
  <c r="C115" i="223"/>
  <c r="X30" i="15"/>
  <c r="F55" i="237"/>
  <c r="M147" i="223"/>
  <c r="K3" i="18"/>
  <c r="B63" i="14"/>
  <c r="J73" i="237"/>
  <c r="B110" i="18"/>
  <c r="BG7" i="18"/>
  <c r="I184" i="223"/>
  <c r="AD17" i="18"/>
  <c r="F42" i="223"/>
  <c r="B184" i="223"/>
  <c r="C23" i="14"/>
  <c r="AY11" i="18"/>
  <c r="B22" i="237"/>
  <c r="B141" i="223"/>
  <c r="E101" i="237"/>
  <c r="Z19" i="15"/>
  <c r="H149" i="237"/>
  <c r="L28" i="237"/>
  <c r="H153" i="237"/>
  <c r="B12" i="14"/>
  <c r="N119" i="223"/>
  <c r="D150" i="237"/>
  <c r="E147" i="237"/>
  <c r="J163" i="223"/>
  <c r="G63" i="223"/>
  <c r="J84" i="237"/>
  <c r="E171" i="223"/>
  <c r="L72" i="237"/>
  <c r="BL22" i="15"/>
  <c r="BM5" i="18"/>
  <c r="Y3" i="18"/>
  <c r="F146" i="223"/>
  <c r="J92" i="237"/>
  <c r="AO19" i="15"/>
  <c r="AE24" i="15"/>
  <c r="M85" i="237"/>
  <c r="L85" i="237"/>
  <c r="C32" i="223"/>
  <c r="L21" i="15"/>
  <c r="S23" i="15"/>
  <c r="L53" i="237"/>
  <c r="I131" i="223"/>
  <c r="BD22" i="15"/>
  <c r="Q18" i="18"/>
  <c r="I74" i="223"/>
  <c r="E54" i="237"/>
  <c r="F136" i="237"/>
  <c r="J16" i="18"/>
  <c r="BC7" i="18"/>
  <c r="C171" i="237"/>
  <c r="BN5" i="18"/>
  <c r="AX5" i="18"/>
  <c r="N53" i="237"/>
  <c r="F160" i="237"/>
  <c r="L134" i="223"/>
  <c r="BE27" i="15"/>
  <c r="R6" i="18"/>
  <c r="L120" i="223"/>
  <c r="W11" i="18"/>
  <c r="F154" i="237"/>
  <c r="T2" i="18"/>
  <c r="F147" i="237"/>
  <c r="H16" i="18"/>
  <c r="BD9" i="18"/>
  <c r="I12" i="1"/>
  <c r="AT21" i="15"/>
  <c r="E185" i="237"/>
  <c r="BI16" i="18"/>
  <c r="U20" i="15"/>
  <c r="B61" i="223"/>
  <c r="AV4" i="18"/>
  <c r="W34" i="18"/>
  <c r="BE5" i="18"/>
  <c r="Q5" i="18"/>
  <c r="BL2" i="18"/>
  <c r="BN12" i="18"/>
  <c r="BS19" i="15"/>
  <c r="G118" i="237"/>
  <c r="AR20" i="18"/>
  <c r="H137" i="223"/>
  <c r="G74" i="223"/>
  <c r="AL2" i="1"/>
  <c r="B46" i="237"/>
  <c r="AQ7" i="18"/>
  <c r="G124" i="237"/>
  <c r="E40" i="237"/>
  <c r="H44" i="237"/>
  <c r="U28" i="15"/>
  <c r="D123" i="237"/>
  <c r="G46" i="223"/>
  <c r="AX15" i="18"/>
  <c r="AT31" i="15"/>
  <c r="M32" i="223"/>
  <c r="D74" i="223"/>
  <c r="AM15" i="18"/>
  <c r="I44" i="223"/>
  <c r="C148" i="223"/>
  <c r="S7" i="18"/>
  <c r="K156" i="223"/>
  <c r="BS24" i="15"/>
  <c r="H45" i="223"/>
  <c r="F62" i="237"/>
  <c r="M67" i="223"/>
  <c r="D148" i="223"/>
  <c r="V10" i="18"/>
  <c r="BL20" i="15"/>
  <c r="AW22" i="18"/>
  <c r="I117" i="223"/>
  <c r="N62" i="223"/>
  <c r="AC13" i="18"/>
  <c r="M44" i="223"/>
  <c r="G88" i="237"/>
  <c r="J127" i="237"/>
  <c r="W23" i="15"/>
  <c r="I146" i="223"/>
  <c r="G31" i="223"/>
  <c r="M86" i="223"/>
  <c r="L150" i="237"/>
  <c r="D115" i="237"/>
  <c r="C63" i="223"/>
  <c r="BK14" i="18"/>
  <c r="K46" i="223"/>
  <c r="O25" i="15"/>
  <c r="B154" i="223"/>
  <c r="H85" i="223"/>
  <c r="AE16" i="18"/>
  <c r="B101" i="237"/>
  <c r="BD25" i="15"/>
  <c r="J121" i="237"/>
  <c r="M77" i="237"/>
  <c r="AL4" i="18"/>
  <c r="H27" i="223"/>
  <c r="K5" i="18"/>
  <c r="AD26" i="15"/>
  <c r="O9" i="18"/>
  <c r="T31" i="15"/>
  <c r="AP16" i="18"/>
  <c r="G182" i="223"/>
  <c r="L24" i="15"/>
  <c r="I38" i="237"/>
  <c r="AR9" i="18"/>
  <c r="AW26" i="15"/>
  <c r="H123" i="223"/>
  <c r="P23" i="15"/>
  <c r="AX3" i="18"/>
  <c r="F139" i="237"/>
  <c r="AX22" i="18"/>
  <c r="P30" i="15"/>
  <c r="E74" i="237"/>
  <c r="AN22" i="15"/>
  <c r="AG17" i="18"/>
  <c r="K94" i="223"/>
  <c r="AG14" i="18"/>
  <c r="BG30" i="15"/>
  <c r="D148" i="237"/>
  <c r="J40" i="223"/>
  <c r="K20" i="15"/>
  <c r="AY19" i="18"/>
  <c r="D125" i="237"/>
  <c r="D53" i="223"/>
  <c r="F27" i="223"/>
  <c r="AS5" i="18"/>
  <c r="F30" i="237"/>
  <c r="AS13" i="18"/>
  <c r="N148" i="237"/>
  <c r="G53" i="237"/>
  <c r="BF9" i="18"/>
  <c r="J166" i="223"/>
  <c r="C167" i="237"/>
  <c r="N123" i="223"/>
  <c r="C102" i="237"/>
  <c r="AS29" i="15"/>
  <c r="AB20" i="15"/>
  <c r="C123" i="223"/>
  <c r="H42" i="237"/>
  <c r="K165" i="223"/>
  <c r="J42" i="237"/>
  <c r="F31" i="237"/>
  <c r="BF23" i="15"/>
  <c r="L156" i="223"/>
  <c r="B92" i="223"/>
  <c r="E26" i="223"/>
  <c r="N12" i="18"/>
  <c r="G33" i="237"/>
  <c r="L21" i="237"/>
  <c r="D100" i="237"/>
  <c r="T8" i="18"/>
  <c r="S12" i="18"/>
  <c r="G86" i="223"/>
  <c r="K10" i="18"/>
  <c r="L45" i="223"/>
  <c r="M46" i="223"/>
  <c r="B124" i="223"/>
  <c r="AF19" i="15"/>
  <c r="M137" i="237"/>
  <c r="BI25" i="15"/>
  <c r="AA24" i="15"/>
  <c r="K73" i="237"/>
  <c r="BL17" i="18"/>
  <c r="BH23" i="15"/>
  <c r="B38" i="223"/>
  <c r="K16" i="18"/>
  <c r="AC20" i="18"/>
  <c r="I149" i="237"/>
  <c r="F94" i="223"/>
  <c r="H132" i="223"/>
  <c r="M120" i="223"/>
  <c r="J126" i="237"/>
  <c r="C139" i="237"/>
  <c r="I33" i="223"/>
  <c r="N69" i="223"/>
  <c r="AP20" i="18"/>
  <c r="M56" i="237"/>
  <c r="V7" i="18"/>
  <c r="E101" i="223"/>
  <c r="M76" i="237"/>
  <c r="C20" i="14"/>
  <c r="BE3" i="18"/>
  <c r="M54" i="223"/>
  <c r="BI6" i="18"/>
  <c r="AD23" i="15"/>
  <c r="K29" i="15"/>
  <c r="M103" i="237"/>
  <c r="BE13" i="18"/>
  <c r="AG3" i="18"/>
  <c r="AI31" i="15"/>
  <c r="N164" i="223"/>
  <c r="Q2" i="18"/>
  <c r="N85" i="237"/>
  <c r="L10" i="18"/>
  <c r="M179" i="223"/>
  <c r="M179" i="237"/>
  <c r="AU23" i="15"/>
  <c r="G25" i="223"/>
  <c r="H68" i="223"/>
  <c r="H179" i="223"/>
  <c r="L167" i="237"/>
  <c r="AR28" i="15"/>
  <c r="AN4" i="18"/>
  <c r="I136" i="223"/>
  <c r="P14" i="18"/>
  <c r="B163" i="223"/>
  <c r="H115" i="237"/>
  <c r="AH10" i="18"/>
  <c r="AX24" i="15"/>
  <c r="AN2" i="1"/>
  <c r="V3" i="18"/>
  <c r="C40" i="237"/>
  <c r="BD11" i="18"/>
  <c r="E148" i="223"/>
  <c r="D140" i="223"/>
  <c r="D123" i="223"/>
  <c r="I91" i="237"/>
  <c r="AL15" i="18"/>
  <c r="C89" i="237"/>
  <c r="B29" i="223"/>
  <c r="N23" i="223"/>
  <c r="AK15" i="18"/>
  <c r="BG20" i="15"/>
  <c r="I155" i="223"/>
  <c r="B61" i="14"/>
  <c r="M85" i="223"/>
  <c r="N147" i="237"/>
  <c r="T27" i="15"/>
  <c r="L6" i="14"/>
  <c r="B182" i="237"/>
  <c r="E181" i="237"/>
  <c r="AR30" i="15"/>
  <c r="M73" i="223"/>
  <c r="J63" i="223"/>
  <c r="M149" i="237"/>
  <c r="C141" i="237"/>
  <c r="J149" i="223"/>
  <c r="BE24" i="15"/>
  <c r="I154" i="237"/>
  <c r="C65" i="18"/>
  <c r="O21" i="18"/>
  <c r="M132" i="223"/>
  <c r="E27" i="237"/>
  <c r="C31" i="14"/>
  <c r="N22" i="223"/>
  <c r="I7" i="18"/>
  <c r="D133" i="223"/>
  <c r="M61" i="223"/>
  <c r="BA6" i="18"/>
  <c r="I118" i="223"/>
  <c r="K146" i="223"/>
  <c r="B72" i="237"/>
  <c r="B161" i="223"/>
  <c r="F138" i="237"/>
  <c r="BJ16" i="18"/>
  <c r="C71" i="237"/>
  <c r="AS25" i="15"/>
  <c r="F38" i="223"/>
  <c r="J25" i="15"/>
  <c r="F169" i="237"/>
  <c r="BC8" i="18"/>
  <c r="C117" i="237"/>
  <c r="J160" i="223"/>
  <c r="AX4" i="18"/>
  <c r="F45" i="223"/>
  <c r="F116" i="237"/>
  <c r="B53" i="223"/>
  <c r="F92" i="237"/>
  <c r="N21" i="237"/>
  <c r="F37" i="223"/>
  <c r="AJ23" i="15"/>
  <c r="H21" i="237"/>
  <c r="G166" i="223"/>
  <c r="BM13" i="18"/>
  <c r="BB22" i="15"/>
  <c r="AV17" i="18"/>
  <c r="J12" i="18"/>
  <c r="AW19" i="18"/>
  <c r="I75" i="237"/>
  <c r="F21" i="1"/>
  <c r="I156" i="223"/>
  <c r="K6" i="18"/>
  <c r="D185" i="237"/>
  <c r="N161" i="223"/>
  <c r="E103" i="237"/>
  <c r="B120" i="223"/>
  <c r="AE28" i="15"/>
  <c r="Q7" i="18"/>
  <c r="F127" i="223"/>
  <c r="H20" i="18"/>
  <c r="AM26" i="15"/>
  <c r="L19" i="18"/>
  <c r="B39" i="237"/>
  <c r="BF25" i="15"/>
  <c r="N127" i="237"/>
  <c r="N54" i="237"/>
  <c r="I15" i="1"/>
  <c r="BH17" i="18"/>
  <c r="L172" i="237"/>
  <c r="C22" i="14"/>
  <c r="I147" i="237"/>
  <c r="M23" i="237"/>
  <c r="AB23" i="15"/>
  <c r="AJ5" i="18"/>
  <c r="F184" i="237"/>
  <c r="C56" i="14"/>
  <c r="AK21" i="15"/>
  <c r="AV16" i="18"/>
  <c r="Y30" i="15"/>
  <c r="L164" i="237"/>
  <c r="D172" i="223"/>
  <c r="N150" i="237"/>
  <c r="F166" i="223"/>
  <c r="H11" i="18"/>
  <c r="AW30" i="15"/>
  <c r="O12" i="18"/>
  <c r="B28" i="237"/>
  <c r="AQ20" i="18"/>
  <c r="G33" i="223"/>
  <c r="E169" i="223"/>
  <c r="K23" i="237"/>
  <c r="BD8" i="18"/>
  <c r="BK16" i="18"/>
  <c r="C102" i="223"/>
  <c r="K89" i="237"/>
  <c r="B30" i="237"/>
  <c r="BK6" i="18"/>
  <c r="G73" i="223"/>
  <c r="G23" i="15"/>
  <c r="J147" i="237"/>
  <c r="H88" i="223"/>
  <c r="BF16" i="18"/>
  <c r="H169" i="237"/>
  <c r="L22" i="223"/>
  <c r="B166" i="223"/>
  <c r="K9" i="18"/>
  <c r="K179" i="237"/>
  <c r="L90" i="237"/>
  <c r="BB20" i="18"/>
  <c r="O31" i="15"/>
  <c r="L184" i="237"/>
  <c r="H26" i="237"/>
  <c r="J138" i="223"/>
  <c r="M15" i="18"/>
  <c r="L153" i="237"/>
  <c r="AM20" i="15"/>
  <c r="I93" i="237"/>
  <c r="K31" i="237"/>
  <c r="B27" i="223"/>
  <c r="BF14" i="18"/>
  <c r="B39" i="223"/>
  <c r="B41" i="223"/>
  <c r="F70" i="223"/>
  <c r="M39" i="237"/>
  <c r="J139" i="223"/>
  <c r="B44" i="237"/>
  <c r="BJ22" i="15"/>
  <c r="W2" i="18"/>
  <c r="K54" i="237"/>
  <c r="AJ25" i="15"/>
  <c r="J29" i="15"/>
  <c r="C44" i="223"/>
  <c r="S6" i="18"/>
  <c r="I30" i="223"/>
  <c r="D139" i="223"/>
  <c r="H124" i="223"/>
  <c r="BD28" i="15"/>
  <c r="C155" i="237"/>
  <c r="AM20" i="18"/>
  <c r="AQ22" i="15"/>
  <c r="AO24" i="15"/>
  <c r="N58" i="237"/>
  <c r="AL28" i="15"/>
  <c r="F120" i="223"/>
  <c r="B173" i="237"/>
  <c r="I122" i="237"/>
  <c r="AH3" i="18"/>
  <c r="K92" i="237"/>
  <c r="L182" i="237"/>
  <c r="F124" i="237"/>
  <c r="H28" i="15"/>
  <c r="AH30" i="15"/>
  <c r="F164" i="223"/>
  <c r="E183" i="223"/>
  <c r="AI2" i="18"/>
  <c r="J162" i="223"/>
  <c r="B123" i="237"/>
  <c r="K60" i="237"/>
  <c r="N17" i="18"/>
  <c r="BI5" i="18"/>
  <c r="J83" i="237"/>
  <c r="K145" i="223"/>
  <c r="I53" i="237"/>
  <c r="E45" i="223"/>
  <c r="M168" i="223"/>
  <c r="G44" i="223"/>
  <c r="BM28" i="15"/>
  <c r="D46" i="223"/>
  <c r="AZ16" i="18"/>
  <c r="N92" i="237"/>
  <c r="L119" i="223"/>
  <c r="I181" i="223"/>
  <c r="F61" i="223"/>
  <c r="D63" i="223"/>
  <c r="M124" i="223"/>
  <c r="H102" i="237"/>
  <c r="K13" i="18"/>
  <c r="J45" i="237"/>
  <c r="D30" i="237"/>
  <c r="AL5" i="18"/>
  <c r="B88" i="237"/>
  <c r="J38" i="223"/>
  <c r="K151" i="223"/>
  <c r="N133" i="237"/>
  <c r="BB18" i="18"/>
  <c r="M75" i="223"/>
  <c r="BG4" i="18"/>
  <c r="L136" i="223"/>
  <c r="S13" i="18"/>
  <c r="BA7" i="18"/>
  <c r="D70" i="237"/>
  <c r="AE19" i="18"/>
  <c r="G173" i="237"/>
  <c r="BC25" i="15"/>
  <c r="BC30" i="15"/>
  <c r="H156" i="237"/>
  <c r="U6" i="18"/>
  <c r="AG27" i="15"/>
  <c r="AU6" i="18"/>
  <c r="C132" i="223"/>
  <c r="J21" i="223"/>
  <c r="I5" i="1"/>
  <c r="I10" i="18"/>
  <c r="D124" i="237"/>
  <c r="E26" i="237"/>
  <c r="N10" i="18"/>
  <c r="L151" i="223"/>
  <c r="AR22" i="18"/>
  <c r="N117" i="223"/>
  <c r="AN19" i="18"/>
  <c r="H55" i="223"/>
  <c r="AV5" i="18"/>
  <c r="M170" i="223"/>
  <c r="AT8" i="18"/>
  <c r="C91" i="223"/>
  <c r="AE27" i="15"/>
  <c r="AF22" i="18"/>
  <c r="G166" i="237"/>
  <c r="M133" i="223"/>
  <c r="L8" i="18"/>
  <c r="M53" i="223"/>
  <c r="AV23" i="15"/>
  <c r="H60" i="237"/>
  <c r="AZ11" i="18"/>
  <c r="N145" i="223"/>
  <c r="S19" i="15"/>
  <c r="AT14" i="18"/>
  <c r="AO5" i="18"/>
  <c r="M183" i="223"/>
  <c r="I2" i="1"/>
  <c r="AF24" i="15"/>
  <c r="H20" i="223"/>
  <c r="AK3" i="18"/>
  <c r="F9" i="1"/>
  <c r="B156" i="237"/>
  <c r="K38" i="223"/>
  <c r="B33" i="14"/>
  <c r="J17" i="18"/>
  <c r="I130" i="223"/>
  <c r="M84" i="237"/>
  <c r="H163" i="223"/>
  <c r="BI18" i="18"/>
  <c r="BH8" i="18"/>
  <c r="BS25" i="15"/>
  <c r="D135" i="237"/>
  <c r="M2" i="1"/>
  <c r="L173" i="237"/>
  <c r="AH5" i="18"/>
  <c r="M171" i="223"/>
  <c r="AO16" i="18"/>
  <c r="F76" i="223"/>
  <c r="F118" i="223"/>
  <c r="AO21" i="15"/>
  <c r="BE21" i="15"/>
  <c r="N59" i="237"/>
  <c r="AS9" i="18"/>
  <c r="L161" i="237"/>
  <c r="G152" i="223"/>
  <c r="B154" i="237"/>
  <c r="N30" i="223"/>
  <c r="M170" i="237"/>
  <c r="C77" i="223"/>
  <c r="C56" i="237"/>
  <c r="H73" i="237"/>
  <c r="O21" i="15"/>
  <c r="B70" i="237"/>
  <c r="K86" i="237"/>
  <c r="L170" i="237"/>
  <c r="AG29" i="15"/>
  <c r="H145" i="223"/>
  <c r="I173" i="237"/>
  <c r="H89" i="237"/>
  <c r="B78" i="223"/>
  <c r="AX21" i="18"/>
  <c r="P9" i="18"/>
  <c r="I133" i="237"/>
  <c r="AI26" i="15"/>
  <c r="AL11" i="18"/>
  <c r="BK18" i="18"/>
  <c r="N71" i="237"/>
  <c r="L94" i="237"/>
  <c r="AP22" i="18"/>
  <c r="M181" i="237"/>
  <c r="I73" i="223"/>
  <c r="BJ6" i="18"/>
  <c r="G121" i="237"/>
  <c r="AP6" i="18"/>
  <c r="I90" i="237"/>
  <c r="M19" i="15"/>
  <c r="AN28" i="15"/>
  <c r="F46" i="237"/>
  <c r="L118" i="237"/>
  <c r="B25" i="237"/>
  <c r="M74" i="237"/>
  <c r="BJ25" i="15"/>
  <c r="AV19" i="18"/>
  <c r="K24" i="223"/>
  <c r="AH28" i="15"/>
  <c r="V30" i="15"/>
  <c r="AJ16" i="18"/>
  <c r="AF9" i="18"/>
  <c r="M125" i="223"/>
  <c r="R15" i="18"/>
  <c r="R2" i="18"/>
  <c r="R20" i="18"/>
  <c r="AW24" i="15"/>
  <c r="E86" i="223"/>
  <c r="AP3" i="18"/>
  <c r="D136" i="223"/>
  <c r="L124" i="223"/>
  <c r="V23" i="15"/>
  <c r="C150" i="237"/>
  <c r="J21" i="18"/>
  <c r="V28" i="15"/>
  <c r="H101" i="223"/>
  <c r="K23" i="223"/>
  <c r="H148" i="223"/>
  <c r="AH6" i="18"/>
  <c r="G89" i="237"/>
  <c r="G38" i="237"/>
  <c r="N133" i="223"/>
  <c r="J69" i="237"/>
  <c r="AW34" i="18"/>
  <c r="AO34" i="18"/>
  <c r="E33" i="237"/>
  <c r="K20" i="237"/>
  <c r="V11" i="18"/>
  <c r="M40" i="237"/>
  <c r="M173" i="237"/>
  <c r="H76" i="223"/>
  <c r="AA30" i="15"/>
  <c r="Y17" i="18"/>
  <c r="AT27" i="15"/>
  <c r="P7" i="18"/>
  <c r="L25" i="237"/>
  <c r="C93" i="223"/>
  <c r="B46" i="14"/>
  <c r="AJ2" i="1"/>
  <c r="AM28" i="1"/>
  <c r="BL27" i="15"/>
  <c r="M164" i="237"/>
  <c r="AR11" i="18"/>
  <c r="C51" i="14"/>
  <c r="C59" i="14"/>
  <c r="AF27" i="15"/>
  <c r="U19" i="18"/>
  <c r="J123" i="223"/>
  <c r="N121" i="223"/>
  <c r="N149" i="237"/>
  <c r="I4" i="1"/>
  <c r="B56" i="223"/>
  <c r="V21" i="18"/>
  <c r="M25" i="223"/>
  <c r="D59" i="237"/>
  <c r="E138" i="237"/>
  <c r="AV30" i="15"/>
  <c r="G12" i="18"/>
  <c r="D137" i="237"/>
  <c r="C73" i="18"/>
  <c r="AK34" i="18"/>
  <c r="F46" i="223"/>
  <c r="H91" i="223"/>
  <c r="Z8" i="18"/>
  <c r="G28" i="237"/>
  <c r="AF26" i="15"/>
  <c r="E137" i="237"/>
  <c r="J130" i="237"/>
  <c r="L118" i="223"/>
  <c r="C75" i="18"/>
  <c r="J71" i="237"/>
  <c r="G45" i="237"/>
  <c r="B41" i="237"/>
  <c r="AS31" i="15"/>
  <c r="L140" i="237"/>
  <c r="B121" i="237"/>
  <c r="J100" i="237"/>
  <c r="C62" i="18"/>
  <c r="M22" i="15"/>
  <c r="S24" i="15"/>
  <c r="G3" i="18"/>
  <c r="AR13" i="18"/>
  <c r="D40" i="223"/>
  <c r="AB28" i="1"/>
  <c r="J20" i="223"/>
  <c r="H140" i="237"/>
  <c r="BD21" i="18"/>
  <c r="N9" i="18"/>
  <c r="C68" i="223"/>
  <c r="M117" i="237"/>
  <c r="K127" i="237"/>
  <c r="H151" i="237"/>
  <c r="N23" i="15"/>
  <c r="D79" i="223"/>
  <c r="BK2" i="18"/>
  <c r="C57" i="14"/>
  <c r="M45" i="237"/>
  <c r="I100" i="237"/>
  <c r="H130" i="223"/>
  <c r="BE7" i="18"/>
  <c r="BB5" i="18"/>
  <c r="O2" i="18"/>
  <c r="D95" i="237"/>
  <c r="X22" i="18"/>
  <c r="I179" i="237"/>
  <c r="N181" i="237"/>
  <c r="AC9" i="18"/>
  <c r="Y23" i="15"/>
  <c r="K28" i="15"/>
  <c r="D154" i="223"/>
  <c r="E53" i="237"/>
  <c r="S27" i="15"/>
  <c r="J153" i="223"/>
  <c r="C163" i="237"/>
  <c r="C11" i="14"/>
  <c r="BC19" i="18"/>
  <c r="J133" i="237"/>
  <c r="E134" i="237"/>
  <c r="L162" i="223"/>
  <c r="J24" i="237"/>
  <c r="G76" i="223"/>
  <c r="T26" i="15"/>
  <c r="I25" i="15"/>
  <c r="I67" i="223"/>
  <c r="E173" i="237"/>
  <c r="BD5" i="18"/>
  <c r="BK34" i="18"/>
  <c r="BE4" i="18"/>
  <c r="C146" i="223"/>
  <c r="AD34" i="18"/>
  <c r="T13" i="18"/>
  <c r="B45" i="14"/>
  <c r="L155" i="223"/>
  <c r="I181" i="237"/>
  <c r="M38" i="237"/>
  <c r="S22" i="18"/>
  <c r="BF22" i="15"/>
  <c r="E117" i="223"/>
  <c r="AK25" i="15"/>
  <c r="J54" i="223"/>
  <c r="BE9" i="18"/>
  <c r="AO26" i="15"/>
  <c r="L7" i="18"/>
  <c r="M42" i="237"/>
  <c r="J133" i="223"/>
  <c r="D37" i="223"/>
  <c r="L61" i="237"/>
  <c r="L9" i="18"/>
  <c r="AX27" i="15"/>
  <c r="Z4" i="18"/>
  <c r="C122" i="223"/>
  <c r="C39" i="223"/>
  <c r="N161" i="237"/>
  <c r="BG15" i="18"/>
  <c r="AM24" i="15"/>
  <c r="N183" i="223"/>
  <c r="AT12" i="18"/>
  <c r="AM4" i="18"/>
  <c r="L140" i="223"/>
  <c r="AP13" i="18"/>
  <c r="C33" i="14"/>
  <c r="J86" i="237"/>
  <c r="I170" i="237"/>
  <c r="C62" i="237"/>
  <c r="L46" i="223"/>
  <c r="K160" i="223"/>
  <c r="I83" i="223"/>
  <c r="AR24" i="15"/>
  <c r="N146" i="223"/>
  <c r="BL3" i="18"/>
  <c r="H19" i="18"/>
  <c r="J166" i="237"/>
  <c r="I134" i="237"/>
  <c r="L116" i="237"/>
  <c r="F185" i="237"/>
  <c r="AZ22" i="18"/>
  <c r="F70" i="237"/>
  <c r="AI18" i="18"/>
  <c r="B172" i="237"/>
  <c r="K21" i="15"/>
  <c r="BH15" i="18"/>
  <c r="AN19" i="15"/>
  <c r="G145" i="223"/>
  <c r="I162" i="237"/>
  <c r="D132" i="223"/>
  <c r="J117" i="237"/>
  <c r="M165" i="237"/>
  <c r="AW12" i="18"/>
  <c r="J127" i="223"/>
  <c r="C37" i="14"/>
  <c r="G28" i="223"/>
  <c r="AK24" i="15"/>
  <c r="D156" i="223"/>
  <c r="L54" i="223"/>
  <c r="K32" i="223"/>
  <c r="F29" i="237"/>
  <c r="G132" i="237"/>
  <c r="AK5" i="18"/>
  <c r="B89" i="237"/>
  <c r="F45" i="237"/>
  <c r="C36" i="14"/>
  <c r="M89" i="223"/>
  <c r="E130" i="223"/>
  <c r="D57" i="237"/>
  <c r="N134" i="237"/>
  <c r="Y11" i="18"/>
  <c r="K148" i="237"/>
  <c r="AU11" i="18"/>
  <c r="U12" i="18"/>
  <c r="H71" i="223"/>
  <c r="L132" i="237"/>
  <c r="D33" i="223"/>
  <c r="K26" i="223"/>
  <c r="X21" i="18"/>
  <c r="AY22" i="15"/>
  <c r="F134" i="237"/>
  <c r="AG12" i="18"/>
  <c r="AY26" i="15"/>
  <c r="R2" i="1"/>
  <c r="BE2" i="1"/>
  <c r="G132" i="223"/>
  <c r="D145" i="223"/>
  <c r="M21" i="18"/>
  <c r="F75" i="223"/>
  <c r="BI28" i="15"/>
  <c r="H31" i="15"/>
  <c r="I34" i="18"/>
  <c r="H134" i="237"/>
  <c r="C60" i="14"/>
  <c r="E44" i="223"/>
  <c r="G69" i="237"/>
  <c r="J68" i="223"/>
  <c r="H34" i="18"/>
  <c r="AT2" i="1"/>
  <c r="AI3" i="18"/>
  <c r="AJ26" i="15"/>
  <c r="AJ18" i="18"/>
  <c r="P24" i="15"/>
  <c r="L63" i="223"/>
  <c r="AH11" i="18"/>
  <c r="M24" i="223"/>
  <c r="M126" i="223"/>
  <c r="T6" i="18"/>
  <c r="BB34" i="18"/>
  <c r="AD11" i="18"/>
  <c r="AK21" i="18"/>
  <c r="BK12" i="18"/>
  <c r="F132" i="223"/>
  <c r="G133" i="237"/>
  <c r="B26" i="237"/>
  <c r="D134" i="237"/>
  <c r="F182" i="223"/>
  <c r="K19" i="18"/>
  <c r="D131" i="223"/>
  <c r="B103" i="223"/>
  <c r="BJ27" i="15"/>
  <c r="N43" i="237"/>
  <c r="C41" i="18"/>
  <c r="E161" i="223"/>
  <c r="C30" i="223"/>
  <c r="W25" i="15"/>
  <c r="BG28" i="15"/>
  <c r="C74" i="223"/>
  <c r="M71" i="237"/>
  <c r="E146" i="237"/>
  <c r="H122" i="237"/>
  <c r="G164" i="223"/>
  <c r="B7" i="185"/>
  <c r="K184" i="223"/>
  <c r="G182" i="237"/>
  <c r="L14" i="18"/>
  <c r="K25" i="237"/>
  <c r="BF2" i="1"/>
  <c r="C12" i="14"/>
  <c r="G115" i="223"/>
  <c r="AV11" i="18"/>
  <c r="AE2" i="18"/>
  <c r="C20" i="223"/>
  <c r="I135" i="237"/>
  <c r="M92" i="237"/>
  <c r="AA31" i="15"/>
  <c r="AU10" i="18"/>
  <c r="I3" i="1"/>
  <c r="J41" i="223"/>
  <c r="K76" i="237"/>
  <c r="I140" i="223"/>
  <c r="N173" i="237"/>
  <c r="I27" i="237"/>
  <c r="AK27" i="15"/>
  <c r="J46" i="237"/>
  <c r="S3" i="18"/>
  <c r="C137" i="223"/>
  <c r="N70" i="237"/>
  <c r="N170" i="223"/>
  <c r="G151" i="223"/>
  <c r="AX2" i="1"/>
  <c r="I119" i="237"/>
  <c r="B33" i="237"/>
  <c r="C182" i="223"/>
  <c r="AN21" i="18"/>
  <c r="G95" i="237"/>
  <c r="Y4" i="18"/>
  <c r="G26" i="15"/>
  <c r="B30" i="14"/>
  <c r="AC4" i="18"/>
  <c r="C181" i="237"/>
  <c r="G74" i="237"/>
  <c r="AL20" i="18"/>
  <c r="AY31" i="15"/>
  <c r="R11" i="18"/>
  <c r="F119" i="237"/>
  <c r="AA21" i="15"/>
  <c r="I185" i="223"/>
  <c r="Y22" i="18"/>
  <c r="D88" i="223"/>
  <c r="N151" i="223"/>
  <c r="BM34" i="18"/>
  <c r="AU34" i="18"/>
  <c r="N40" i="237"/>
  <c r="P6" i="18"/>
  <c r="C149" i="223"/>
  <c r="L127" i="223"/>
  <c r="BC16" i="18"/>
  <c r="AN34" i="18"/>
  <c r="G137" i="237"/>
  <c r="M20" i="18"/>
  <c r="C180" i="237"/>
  <c r="C54" i="237"/>
  <c r="E57" i="223"/>
  <c r="I78" i="237"/>
  <c r="V24" i="15"/>
  <c r="AO22" i="15"/>
  <c r="G161" i="223"/>
  <c r="Z14" i="18"/>
  <c r="B130" i="237"/>
  <c r="C21" i="223"/>
  <c r="C45" i="237"/>
  <c r="J70" i="237"/>
  <c r="W21" i="15"/>
  <c r="N171" i="237"/>
  <c r="D58" i="223"/>
  <c r="N54" i="223"/>
  <c r="M95" i="223"/>
  <c r="I32" i="223"/>
  <c r="N21" i="223"/>
  <c r="G4" i="18"/>
  <c r="L84" i="237"/>
  <c r="AD19" i="18"/>
  <c r="D60" i="237"/>
  <c r="M46" i="237"/>
  <c r="K4" i="18"/>
  <c r="J29" i="223"/>
  <c r="AE15" i="18"/>
  <c r="BB31" i="15"/>
  <c r="AS20" i="18"/>
  <c r="D33" i="237"/>
  <c r="T29" i="15"/>
  <c r="B123" i="223"/>
  <c r="I100" i="223"/>
  <c r="I4" i="18"/>
  <c r="M137" i="223"/>
  <c r="Z22" i="15"/>
  <c r="G94" i="237"/>
  <c r="E54" i="223"/>
  <c r="B91" i="237"/>
  <c r="G186" i="223"/>
  <c r="G147" i="223"/>
  <c r="B76" i="223"/>
  <c r="BJ11" i="18"/>
  <c r="B130" i="223"/>
  <c r="D72" i="223"/>
  <c r="AC5" i="18"/>
  <c r="F117" i="223"/>
  <c r="D166" i="237"/>
  <c r="M58" i="223"/>
  <c r="T12" i="18"/>
  <c r="J18" i="18"/>
  <c r="H188" i="223"/>
  <c r="F186" i="223"/>
  <c r="AB8" i="18"/>
  <c r="M21" i="237"/>
  <c r="G25" i="15"/>
  <c r="J172" i="223"/>
  <c r="AF20" i="18"/>
  <c r="L117" i="237"/>
  <c r="BC13" i="18"/>
  <c r="AL8" i="18"/>
  <c r="R28" i="15"/>
  <c r="F89" i="223"/>
  <c r="L170" i="223"/>
  <c r="F4" i="1"/>
  <c r="AL34" i="18"/>
  <c r="L28" i="15"/>
  <c r="G123" i="237"/>
  <c r="K95" i="223"/>
  <c r="AZ10" i="18"/>
  <c r="I22" i="15"/>
  <c r="AZ3" i="18"/>
  <c r="F140" i="237"/>
  <c r="AO28" i="15"/>
  <c r="AM34" i="18"/>
  <c r="K184" i="237"/>
  <c r="K45" i="237"/>
  <c r="N92" i="223"/>
  <c r="G71" i="237"/>
  <c r="E102" i="223"/>
  <c r="F32" i="237"/>
  <c r="K25" i="223"/>
  <c r="J125" i="223"/>
  <c r="D130" i="223"/>
  <c r="AY14" i="18"/>
  <c r="E164" i="237"/>
  <c r="AE18" i="18"/>
  <c r="F61" i="237"/>
  <c r="D147" i="237"/>
  <c r="M6" i="18"/>
  <c r="I167" i="223"/>
  <c r="B152" i="223"/>
  <c r="M29" i="223"/>
  <c r="I124" i="223"/>
  <c r="BN8" i="18"/>
  <c r="M37" i="237"/>
  <c r="N27" i="223"/>
  <c r="M20" i="15"/>
  <c r="E62" i="237"/>
  <c r="M92" i="223"/>
  <c r="I2" i="18"/>
  <c r="I28" i="237"/>
  <c r="L120" i="237"/>
  <c r="O15" i="18"/>
  <c r="K103" i="237"/>
  <c r="C18" i="14"/>
  <c r="H153" i="223"/>
  <c r="F146" i="237"/>
  <c r="BE11" i="18"/>
  <c r="I26" i="223"/>
  <c r="N73" i="223"/>
  <c r="G19" i="18"/>
  <c r="AP2" i="18"/>
  <c r="B55" i="237"/>
  <c r="N116" i="223"/>
  <c r="BG10" i="18"/>
  <c r="K181" i="237"/>
  <c r="M17" i="18"/>
  <c r="O22" i="18"/>
  <c r="G20" i="223"/>
  <c r="N166" i="237"/>
  <c r="L86" i="223"/>
  <c r="K170" i="223"/>
  <c r="L127" i="237"/>
  <c r="D21" i="223"/>
  <c r="N11" i="18"/>
  <c r="C182" i="237"/>
  <c r="I93" i="223"/>
  <c r="M123" i="237"/>
  <c r="G62" i="223"/>
  <c r="G67" i="237"/>
  <c r="AL24" i="15"/>
  <c r="G29" i="15"/>
  <c r="C27" i="237"/>
  <c r="P18" i="18"/>
  <c r="M90" i="223"/>
  <c r="AK19" i="18"/>
  <c r="K75" i="237"/>
  <c r="N147" i="223"/>
  <c r="K100" i="223"/>
  <c r="C86" i="237"/>
  <c r="AB30" i="15"/>
  <c r="I131" i="237"/>
  <c r="J21" i="15"/>
  <c r="AF28" i="15"/>
  <c r="AD6" i="18"/>
  <c r="I21" i="237"/>
  <c r="F145" i="237"/>
  <c r="F19" i="1"/>
  <c r="K33" i="223"/>
  <c r="H10" i="18"/>
  <c r="F162" i="223"/>
  <c r="E141" i="223"/>
  <c r="U11" i="18"/>
  <c r="C68" i="18"/>
  <c r="J25" i="237"/>
  <c r="E115" i="237"/>
  <c r="C69" i="18"/>
  <c r="H24" i="237"/>
  <c r="BC34" i="18"/>
  <c r="L37" i="237"/>
  <c r="L145" i="223"/>
  <c r="BN28" i="1"/>
  <c r="BC2" i="1"/>
  <c r="V22" i="15"/>
  <c r="AS30" i="15"/>
  <c r="AJ17" i="18"/>
  <c r="AR25" i="15"/>
  <c r="G149" i="237"/>
  <c r="J77" i="237"/>
  <c r="L20" i="18"/>
  <c r="D87" i="223"/>
  <c r="K185" i="237"/>
  <c r="M2" i="18"/>
  <c r="L92" i="237"/>
  <c r="AY7" i="18"/>
  <c r="D133" i="237"/>
  <c r="BI30" i="15"/>
  <c r="AJ14" i="18"/>
  <c r="J24" i="223"/>
  <c r="B42" i="223"/>
  <c r="D89" i="223"/>
  <c r="C21" i="14"/>
  <c r="H136" i="237"/>
  <c r="T25" i="15"/>
  <c r="C131" i="223"/>
  <c r="W17" i="18"/>
  <c r="H25" i="237"/>
  <c r="J43" i="223"/>
  <c r="U29" i="15"/>
  <c r="N122" i="223"/>
  <c r="S4" i="18"/>
  <c r="I138" i="237"/>
  <c r="I2" i="14"/>
  <c r="C115" i="237"/>
  <c r="L131" i="223"/>
  <c r="Z5" i="18"/>
  <c r="G93" i="237"/>
  <c r="AB2" i="1"/>
  <c r="C17" i="14"/>
  <c r="AA34" i="18"/>
  <c r="V29" i="15"/>
  <c r="AO7" i="18"/>
  <c r="F87" i="237"/>
  <c r="C24" i="237"/>
  <c r="B122" i="237"/>
  <c r="AH22" i="18"/>
  <c r="G62" i="237"/>
  <c r="Y28" i="15"/>
  <c r="E167" i="237"/>
  <c r="AG22" i="18"/>
  <c r="F125" i="223"/>
  <c r="M186" i="223"/>
  <c r="F115" i="237"/>
  <c r="F124" i="223"/>
  <c r="H133" i="223"/>
  <c r="D118" i="223"/>
  <c r="N18" i="18"/>
  <c r="I161" i="223"/>
  <c r="AG18" i="18"/>
  <c r="G134" i="223"/>
  <c r="B135" i="237"/>
  <c r="BM9" i="18"/>
  <c r="BH21" i="15"/>
  <c r="B42" i="14"/>
  <c r="G17" i="18"/>
  <c r="D91" i="237"/>
  <c r="K85" i="237"/>
  <c r="E130" i="237"/>
  <c r="L20" i="15"/>
  <c r="J75" i="223"/>
  <c r="C164" i="223"/>
  <c r="C27" i="14"/>
  <c r="C33" i="223"/>
  <c r="AU2" i="18"/>
  <c r="F11" i="1"/>
  <c r="M120" i="237"/>
  <c r="C58" i="14"/>
  <c r="H146" i="237"/>
  <c r="D92" i="237"/>
  <c r="K171" i="237"/>
  <c r="B17" i="14"/>
  <c r="C41" i="14"/>
  <c r="U9" i="18"/>
  <c r="C90" i="18"/>
  <c r="Y21" i="18"/>
  <c r="BE34" i="18"/>
  <c r="AB34" i="18"/>
  <c r="H116" i="223"/>
  <c r="K7" i="18"/>
  <c r="M34" i="18"/>
  <c r="G40" i="237"/>
  <c r="G133" i="223"/>
  <c r="M19" i="18"/>
  <c r="C151" i="223"/>
  <c r="H55" i="237"/>
  <c r="AI9" i="18"/>
  <c r="M116" i="223"/>
  <c r="BH4" i="18"/>
  <c r="B164" i="223"/>
  <c r="R17" i="18"/>
  <c r="AT15" i="18"/>
  <c r="O29" i="15"/>
  <c r="AN13" i="18"/>
  <c r="C160" i="223"/>
  <c r="F148" i="237"/>
  <c r="I3" i="18"/>
  <c r="BC11" i="18"/>
  <c r="I122" i="223"/>
  <c r="V25" i="15"/>
  <c r="G155" i="223"/>
  <c r="D28" i="237"/>
  <c r="K83" i="237"/>
  <c r="AF15" i="18"/>
  <c r="C22" i="223"/>
  <c r="X24" i="15"/>
  <c r="C31" i="223"/>
  <c r="B44" i="223"/>
  <c r="C156" i="237"/>
  <c r="Z11" i="18"/>
  <c r="E74" i="223"/>
  <c r="M93" i="223"/>
  <c r="B60" i="223"/>
  <c r="H124" i="237"/>
  <c r="AX14" i="18"/>
  <c r="E163" i="237"/>
  <c r="B77" i="223"/>
  <c r="M130" i="223"/>
  <c r="I21" i="223"/>
  <c r="G91" i="223"/>
  <c r="E20" i="237"/>
  <c r="BJ12" i="18"/>
  <c r="BK20" i="18"/>
  <c r="AE14" i="18"/>
  <c r="AZ6" i="18"/>
  <c r="O17" i="18"/>
  <c r="Z28" i="15"/>
  <c r="H137" i="237"/>
  <c r="AQ30" i="15"/>
  <c r="BG29" i="15"/>
  <c r="AL12" i="18"/>
  <c r="J8" i="18"/>
  <c r="D124" i="223"/>
  <c r="H183" i="237"/>
  <c r="U34" i="18"/>
  <c r="I31" i="15"/>
  <c r="B145" i="237"/>
  <c r="H60" i="223"/>
  <c r="K153" i="237"/>
  <c r="N127" i="223"/>
  <c r="BA10" i="18"/>
  <c r="AF21" i="15"/>
  <c r="M26" i="237"/>
  <c r="P22" i="15"/>
  <c r="C154" i="237"/>
  <c r="J28" i="15"/>
  <c r="BD20" i="18"/>
  <c r="I9" i="18"/>
  <c r="K85" i="223"/>
  <c r="AH22" i="15"/>
  <c r="X10" i="18"/>
  <c r="D27" i="223"/>
  <c r="G83" i="237"/>
  <c r="F33" i="223"/>
  <c r="AA20" i="15"/>
  <c r="BE8" i="18"/>
  <c r="M148" i="237"/>
  <c r="AP12" i="18"/>
  <c r="B71" i="223"/>
  <c r="AO29" i="15"/>
  <c r="M146" i="223"/>
  <c r="D184" i="237"/>
  <c r="D167" i="237"/>
  <c r="BC12" i="18"/>
  <c r="M165" i="223"/>
  <c r="J31" i="223"/>
  <c r="I165" i="237"/>
  <c r="B181" i="237"/>
  <c r="AT29" i="15"/>
  <c r="H21" i="18"/>
  <c r="E152" i="237"/>
  <c r="I28" i="15"/>
  <c r="H101" i="237"/>
  <c r="G161" i="237"/>
  <c r="K164" i="237"/>
  <c r="L54" i="237"/>
  <c r="C166" i="223"/>
  <c r="J67" i="223"/>
  <c r="G153" i="223"/>
  <c r="J68" i="237"/>
  <c r="C173" i="237"/>
  <c r="K53" i="223"/>
  <c r="AC6" i="18"/>
  <c r="C50" i="18"/>
  <c r="BJ21" i="15"/>
  <c r="BG3" i="18"/>
  <c r="H23" i="223"/>
  <c r="T34" i="18"/>
  <c r="Z18" i="18"/>
  <c r="C80" i="18"/>
  <c r="B131" i="237"/>
  <c r="C75" i="223"/>
  <c r="T11" i="18"/>
  <c r="AL25" i="15"/>
  <c r="AV25" i="15"/>
  <c r="H83" i="237"/>
  <c r="G34" i="18"/>
  <c r="AE21" i="15"/>
  <c r="C85" i="223"/>
  <c r="F67" i="237"/>
  <c r="M83" i="237"/>
  <c r="AQ26" i="15"/>
  <c r="E100" i="237"/>
  <c r="J136" i="223"/>
  <c r="B74" i="223"/>
  <c r="N88" i="237"/>
  <c r="AW21" i="15"/>
  <c r="AD15" i="18"/>
  <c r="L135" i="223"/>
  <c r="H164" i="237"/>
  <c r="I27" i="15"/>
  <c r="C136" i="223"/>
  <c r="M102" i="223"/>
  <c r="N180" i="237"/>
  <c r="L76" i="237"/>
  <c r="AM2" i="1"/>
  <c r="M16" i="18"/>
  <c r="BA30" i="15"/>
  <c r="AQ2" i="1"/>
  <c r="L153" i="223"/>
  <c r="K125" i="223"/>
  <c r="D26" i="237"/>
  <c r="AQ2" i="18"/>
  <c r="G22" i="237"/>
  <c r="AY20" i="15"/>
  <c r="M171" i="237"/>
  <c r="BF17" i="18"/>
  <c r="B25" i="14"/>
  <c r="L11" i="18"/>
  <c r="F165" i="223"/>
  <c r="L138" i="223"/>
  <c r="Q34" i="18"/>
  <c r="BM3" i="18"/>
  <c r="I8" i="18"/>
  <c r="G116" i="237"/>
  <c r="AC20" i="15"/>
  <c r="I22" i="18"/>
  <c r="N103" i="237"/>
  <c r="N83" i="223"/>
  <c r="N37" i="237"/>
  <c r="BE31" i="15"/>
  <c r="G20" i="237"/>
  <c r="M132" i="237"/>
  <c r="F163" i="237"/>
  <c r="R27" i="15"/>
  <c r="AN17" i="18"/>
  <c r="AG6" i="18"/>
  <c r="AT16" i="18"/>
  <c r="G41" i="223"/>
  <c r="L18" i="18"/>
  <c r="V14" i="18"/>
  <c r="AC21" i="18"/>
  <c r="BK21" i="15"/>
  <c r="E148" i="237"/>
  <c r="N115" i="223"/>
  <c r="G127" i="223"/>
  <c r="C46" i="18"/>
  <c r="C137" i="237"/>
  <c r="AX19" i="15"/>
  <c r="BH30" i="15"/>
  <c r="AW5" i="18"/>
  <c r="I71" i="237"/>
  <c r="N135" i="237"/>
  <c r="AL2" i="18"/>
  <c r="L2" i="14"/>
  <c r="U15" i="18"/>
  <c r="AG15" i="18"/>
  <c r="K46" i="237"/>
  <c r="I27" i="223"/>
  <c r="L56" i="223"/>
  <c r="R19" i="18"/>
  <c r="AH27" i="15"/>
  <c r="C133" i="237"/>
  <c r="AT9" i="18"/>
  <c r="H136" i="223"/>
  <c r="B43" i="237"/>
  <c r="E179" i="237"/>
  <c r="Z7" i="18"/>
  <c r="AW10" i="18"/>
  <c r="N94" i="237"/>
  <c r="F8" i="1"/>
  <c r="B140" i="223"/>
  <c r="U17" i="18"/>
  <c r="AK28" i="15"/>
  <c r="E132" i="223"/>
  <c r="B151" i="237"/>
  <c r="BH13" i="18"/>
  <c r="H89" i="223"/>
  <c r="T30" i="15"/>
  <c r="I67" i="237"/>
  <c r="C62" i="223"/>
  <c r="BC20" i="15"/>
  <c r="BK11" i="18"/>
  <c r="E77" i="237"/>
  <c r="L27" i="237"/>
  <c r="G89" i="223"/>
  <c r="E151" i="223"/>
  <c r="G101" i="223"/>
  <c r="BL24" i="15"/>
  <c r="AM27" i="15"/>
  <c r="BE16" i="18"/>
  <c r="M25" i="237"/>
  <c r="I161" i="237"/>
  <c r="N29" i="223"/>
  <c r="AY16" i="18"/>
  <c r="L20" i="223"/>
  <c r="J57" i="223"/>
  <c r="D185" i="223"/>
  <c r="L39" i="237"/>
  <c r="L147" i="223"/>
  <c r="Y12" i="18"/>
  <c r="C39" i="14"/>
  <c r="E137" i="223"/>
  <c r="B55" i="14"/>
  <c r="H2" i="1"/>
  <c r="AQ19" i="18"/>
  <c r="BF21" i="18"/>
  <c r="I57" i="237"/>
  <c r="AB14" i="18"/>
  <c r="AM6" i="18"/>
  <c r="G46" i="237"/>
  <c r="AW27" i="15"/>
  <c r="L148" i="223"/>
  <c r="J121" i="223"/>
  <c r="AJ10" i="18"/>
  <c r="J118" i="223"/>
  <c r="B69" i="237"/>
  <c r="AY30" i="15"/>
  <c r="AY28" i="15"/>
  <c r="AN2" i="18"/>
  <c r="M22" i="223"/>
  <c r="BN11" i="18"/>
  <c r="BN7" i="18"/>
  <c r="G173" i="223"/>
  <c r="J73" i="223"/>
  <c r="I12" i="18"/>
  <c r="D46" i="237"/>
  <c r="K101" i="237"/>
  <c r="Y2" i="18"/>
  <c r="J7" i="18"/>
  <c r="AT18" i="18"/>
  <c r="N26" i="223"/>
  <c r="K18" i="18"/>
  <c r="K162" i="237"/>
  <c r="AZ8" i="18"/>
  <c r="K101" i="223"/>
  <c r="X27" i="15"/>
  <c r="O26" i="15"/>
  <c r="F140" i="223"/>
  <c r="E75" i="223"/>
  <c r="I148" i="223"/>
  <c r="L57" i="237"/>
  <c r="N117" i="237"/>
  <c r="Y16" i="18"/>
  <c r="J122" i="237"/>
  <c r="AS14" i="18"/>
  <c r="I58" i="223"/>
  <c r="C145" i="223"/>
  <c r="H180" i="237"/>
  <c r="H38" i="237"/>
  <c r="AQ4" i="18"/>
  <c r="M87" i="223"/>
  <c r="D94" i="237"/>
  <c r="E183" i="237"/>
  <c r="F30" i="223"/>
  <c r="M154" i="237"/>
  <c r="D56" i="223"/>
  <c r="AU30" i="15"/>
  <c r="Y7" i="18"/>
  <c r="C25" i="223"/>
  <c r="E186" i="237"/>
  <c r="F22" i="223"/>
  <c r="AE4" i="18"/>
  <c r="M93" i="237"/>
  <c r="J165" i="223"/>
  <c r="BK28" i="15"/>
  <c r="B124" i="237"/>
  <c r="G148" i="223"/>
  <c r="B185" i="223"/>
  <c r="M30" i="15"/>
  <c r="M24" i="237"/>
  <c r="Z6" i="18"/>
  <c r="E154" i="237"/>
  <c r="AN22" i="18"/>
  <c r="B87" i="223"/>
  <c r="L169" i="223"/>
  <c r="K179" i="223"/>
  <c r="H152" i="237"/>
  <c r="BM19" i="18"/>
  <c r="B126" i="237"/>
  <c r="H100" i="223"/>
  <c r="BB27" i="15"/>
  <c r="H86" i="223"/>
  <c r="AQ10" i="18"/>
  <c r="F131" i="223"/>
  <c r="BC24" i="15"/>
  <c r="X21" i="15"/>
  <c r="J58" i="237"/>
  <c r="K94" i="237"/>
  <c r="G68" i="237"/>
  <c r="AX34" i="18"/>
  <c r="AG22" i="15"/>
  <c r="F28" i="237"/>
  <c r="G167" i="223"/>
  <c r="G184" i="237"/>
  <c r="D165" i="223"/>
  <c r="AD9" i="18"/>
  <c r="AF23" i="15"/>
  <c r="P29" i="15"/>
  <c r="H93" i="223"/>
  <c r="H122" i="223"/>
  <c r="AQ34" i="18"/>
  <c r="M185" i="223"/>
  <c r="L28" i="1"/>
  <c r="J135" i="237"/>
  <c r="D42" i="223"/>
  <c r="N34" i="18"/>
  <c r="K121" i="237"/>
  <c r="K137" i="237"/>
  <c r="AK9" i="18"/>
  <c r="AY34" i="18"/>
  <c r="I116" i="237"/>
  <c r="BJ7" i="18"/>
  <c r="F94" i="237"/>
  <c r="AJ9" i="18"/>
  <c r="I40" i="237"/>
  <c r="H21" i="15"/>
  <c r="B147" i="237"/>
  <c r="P21" i="15"/>
  <c r="B53" i="237"/>
  <c r="E72" i="237"/>
  <c r="K92" i="223"/>
  <c r="M27" i="15"/>
  <c r="M130" i="237"/>
  <c r="I88" i="223"/>
  <c r="D73" i="237"/>
  <c r="S28" i="15"/>
  <c r="B134" i="223"/>
  <c r="U30" i="15"/>
  <c r="J27" i="223"/>
  <c r="BE18" i="18"/>
  <c r="Z27" i="15"/>
  <c r="F31" i="223"/>
  <c r="C94" i="237"/>
  <c r="AN31" i="15"/>
  <c r="AB10" i="18"/>
  <c r="R12" i="18"/>
  <c r="K138" i="237"/>
  <c r="AF12" i="18"/>
  <c r="BA29" i="15"/>
  <c r="G167" i="237"/>
  <c r="K140" i="223"/>
  <c r="L139" i="237"/>
  <c r="F83" i="237"/>
  <c r="E28" i="237"/>
  <c r="G102" i="237"/>
  <c r="AJ19" i="15"/>
  <c r="K44" i="237"/>
  <c r="K24" i="15"/>
  <c r="I43" i="223"/>
  <c r="N102" i="237"/>
  <c r="G16" i="18"/>
  <c r="G134" i="237"/>
  <c r="AX23" i="15"/>
  <c r="E60" i="237"/>
  <c r="M184" i="237"/>
  <c r="K116" i="223"/>
  <c r="N2" i="1"/>
  <c r="AQ27" i="15"/>
  <c r="G72" i="223"/>
  <c r="G26" i="237"/>
  <c r="B22" i="223"/>
  <c r="AW7" i="18"/>
  <c r="AG13" i="18"/>
  <c r="B8" i="14"/>
  <c r="U18" i="18"/>
  <c r="BG23" i="15"/>
  <c r="L150" i="223"/>
  <c r="BM12" i="18"/>
  <c r="AO20" i="18"/>
  <c r="M70" i="223"/>
  <c r="BM18" i="18"/>
  <c r="K41" i="223"/>
  <c r="M28" i="237"/>
  <c r="E83" i="237"/>
  <c r="H54" i="237"/>
  <c r="AS4" i="18"/>
  <c r="E165" i="223"/>
  <c r="B90" i="223"/>
  <c r="L70" i="223"/>
  <c r="H139" i="223"/>
  <c r="F32" i="223"/>
  <c r="J140" i="223"/>
  <c r="H41" i="223"/>
  <c r="P11" i="18"/>
  <c r="E39" i="223"/>
  <c r="AS19" i="18"/>
  <c r="D58" i="237"/>
  <c r="M101" i="223"/>
  <c r="BA15" i="18"/>
  <c r="L3" i="18"/>
  <c r="BB6" i="18"/>
  <c r="AG23" i="15"/>
  <c r="AP29" i="15"/>
  <c r="I118" i="237"/>
  <c r="BG21" i="18"/>
  <c r="L125" i="237"/>
  <c r="C101" i="237"/>
  <c r="H155" i="237"/>
  <c r="H125" i="223"/>
  <c r="AE8" i="18"/>
  <c r="H127" i="237"/>
  <c r="BL9" i="18"/>
  <c r="T23" i="15"/>
  <c r="J123" i="237"/>
  <c r="Q21" i="18"/>
  <c r="I44" i="237"/>
  <c r="M123" i="223"/>
  <c r="H25" i="15"/>
  <c r="K38" i="237"/>
  <c r="H103" i="223"/>
  <c r="AI20" i="15"/>
  <c r="F13" i="1"/>
  <c r="L163" i="223"/>
  <c r="C55" i="18"/>
  <c r="G120" i="237"/>
  <c r="AH13" i="18"/>
  <c r="C140" i="223"/>
  <c r="BQ24" i="15"/>
  <c r="H32" i="237"/>
  <c r="I20" i="18"/>
  <c r="Q13" i="18"/>
  <c r="E60" i="223"/>
  <c r="B49" i="14"/>
  <c r="F17" i="1"/>
  <c r="K62" i="223"/>
  <c r="K93" i="223"/>
  <c r="B20" i="14"/>
  <c r="AB2" i="18"/>
  <c r="AV8" i="18"/>
  <c r="I22" i="237"/>
  <c r="C83" i="237"/>
  <c r="AD2" i="18"/>
  <c r="C121" i="237"/>
  <c r="K71" i="223"/>
  <c r="H26" i="15"/>
  <c r="AE22" i="15"/>
  <c r="D70" i="223"/>
  <c r="F56" i="237"/>
  <c r="AV24" i="15"/>
  <c r="H118" i="223"/>
  <c r="J10" i="18"/>
  <c r="S22" i="15"/>
  <c r="I186" i="223"/>
  <c r="BD2" i="18"/>
  <c r="I132" i="223"/>
  <c r="K140" i="237"/>
  <c r="D141" i="223"/>
  <c r="C61" i="237"/>
  <c r="G31" i="15"/>
  <c r="H186" i="223"/>
  <c r="G73" i="237"/>
  <c r="K131" i="223"/>
  <c r="E85" i="223"/>
  <c r="AU4" i="18"/>
  <c r="N132" i="237"/>
  <c r="W24" i="15"/>
  <c r="H86" i="237"/>
  <c r="M100" i="223"/>
  <c r="E140" i="237"/>
  <c r="BD2" i="1"/>
  <c r="AL31" i="15"/>
  <c r="BL29" i="15"/>
  <c r="I20" i="15"/>
  <c r="C170" i="223"/>
  <c r="C154" i="223"/>
  <c r="H17" i="18"/>
  <c r="AT2" i="18"/>
  <c r="C61" i="14"/>
  <c r="D75" i="223"/>
  <c r="I6" i="18"/>
  <c r="G45" i="223"/>
  <c r="AD14" i="18"/>
  <c r="G40" i="223"/>
  <c r="C54" i="14"/>
  <c r="D21" i="237"/>
  <c r="J58" i="223"/>
  <c r="H181" i="223"/>
  <c r="AG19" i="15"/>
  <c r="BD20" i="15"/>
  <c r="AN12" i="18"/>
  <c r="J116" i="223"/>
  <c r="S9" i="18"/>
  <c r="BM14" i="18"/>
  <c r="H69" i="237"/>
  <c r="L166" i="223"/>
  <c r="AO9" i="18"/>
  <c r="BB23" i="15"/>
  <c r="B19" i="14"/>
  <c r="V2" i="1"/>
  <c r="D162" i="223"/>
  <c r="C16" i="14"/>
  <c r="C19" i="14"/>
  <c r="E118" i="223"/>
  <c r="M182" i="223"/>
  <c r="AI17" i="18"/>
  <c r="AB24" i="15"/>
  <c r="D153" i="237"/>
  <c r="C41" i="223"/>
  <c r="N137" i="223"/>
  <c r="AG4" i="18"/>
  <c r="M30" i="237"/>
  <c r="AB18" i="18"/>
  <c r="K84" i="223"/>
  <c r="N124" i="237"/>
  <c r="AK18" i="18"/>
  <c r="B167" i="237"/>
  <c r="C46" i="14"/>
  <c r="L138" i="237"/>
  <c r="E31" i="223"/>
  <c r="W28" i="15"/>
  <c r="C172" i="223"/>
  <c r="E150" i="237"/>
  <c r="G22" i="15"/>
  <c r="C126" i="223"/>
  <c r="BD4" i="18"/>
  <c r="F26" i="237"/>
  <c r="H126" i="237"/>
  <c r="BA20" i="18"/>
  <c r="J102" i="223"/>
  <c r="AZ26" i="15"/>
  <c r="BK20" i="15"/>
  <c r="M53" i="237"/>
  <c r="C48" i="14"/>
  <c r="BK19" i="15"/>
  <c r="H172" i="223"/>
  <c r="G125" i="237"/>
  <c r="S25" i="15"/>
  <c r="L182" i="223"/>
  <c r="AW6" i="18"/>
  <c r="BI10" i="18"/>
  <c r="F85" i="223"/>
  <c r="AE11" i="18"/>
  <c r="AZ9" i="18"/>
  <c r="D92" i="223"/>
  <c r="F15" i="1"/>
  <c r="Q23" i="15"/>
  <c r="N60" i="237"/>
  <c r="C30" i="237"/>
  <c r="AF3" i="18"/>
  <c r="X2" i="18"/>
  <c r="AZ21" i="15"/>
  <c r="BA27" i="15"/>
  <c r="N160" i="223"/>
  <c r="O30" i="15"/>
  <c r="G54" i="223"/>
  <c r="N40" i="223"/>
  <c r="BC28" i="1"/>
  <c r="C44" i="14" s="1"/>
  <c r="E123" i="223"/>
  <c r="N70" i="223"/>
  <c r="BI15" i="18"/>
  <c r="K160" i="237"/>
  <c r="C43" i="223"/>
  <c r="G103" i="237"/>
  <c r="D121" i="223"/>
  <c r="F168" i="237"/>
  <c r="C55" i="14"/>
  <c r="AS6" i="18"/>
  <c r="E69" i="223"/>
  <c r="B38" i="237"/>
  <c r="E156" i="223"/>
  <c r="H91" i="237"/>
  <c r="N2" i="18"/>
  <c r="K90" i="237"/>
  <c r="BF6" i="18"/>
  <c r="BI20" i="15"/>
  <c r="B75" i="237"/>
  <c r="N37" i="223"/>
  <c r="M153" i="223"/>
  <c r="G152" i="237"/>
  <c r="F54" i="223"/>
  <c r="G2" i="18"/>
  <c r="B13" i="185"/>
  <c r="AV3" i="18"/>
  <c r="C58" i="18"/>
  <c r="F86" i="223"/>
  <c r="B172" i="223"/>
  <c r="F84" i="237"/>
  <c r="D22" i="223"/>
  <c r="G170" i="223"/>
  <c r="H72" i="223"/>
  <c r="I41" i="223"/>
  <c r="E166" i="223"/>
  <c r="I133" i="223"/>
  <c r="B5" i="185"/>
  <c r="B179" i="237"/>
  <c r="AR26" i="15"/>
  <c r="BI2" i="18"/>
  <c r="I29" i="15"/>
  <c r="C148" i="237"/>
  <c r="BA34" i="18"/>
  <c r="AE12" i="18"/>
  <c r="AM12" i="18"/>
  <c r="J24" i="15"/>
  <c r="C127" i="223"/>
  <c r="I7" i="1"/>
  <c r="G95" i="223"/>
  <c r="AR21" i="18"/>
  <c r="AH2" i="18"/>
  <c r="BL28" i="15"/>
  <c r="I23" i="15"/>
  <c r="E180" i="237"/>
  <c r="AE7" i="18"/>
  <c r="K2" i="18"/>
  <c r="C49" i="18"/>
  <c r="C96" i="18"/>
  <c r="AF31" i="15"/>
  <c r="B139" i="223"/>
  <c r="E86" i="237"/>
  <c r="N44" i="237"/>
  <c r="BK22" i="15"/>
  <c r="H6" i="18"/>
  <c r="K102" i="237"/>
  <c r="C90" i="237"/>
  <c r="K133" i="237"/>
  <c r="C77" i="237"/>
  <c r="X22" i="15"/>
  <c r="BC26" i="15"/>
  <c r="AC15" i="18"/>
  <c r="F127" i="237"/>
  <c r="AA15" i="18"/>
  <c r="Z34" i="18"/>
  <c r="S16" i="18"/>
  <c r="B161" i="237"/>
  <c r="G169" i="237"/>
  <c r="H76" i="237"/>
  <c r="F150" i="237"/>
  <c r="M88" i="223"/>
  <c r="N155" i="223"/>
  <c r="AY27" i="15"/>
  <c r="U26" i="15"/>
  <c r="C30" i="14"/>
  <c r="AL7" i="18"/>
  <c r="D173" i="237"/>
  <c r="L103" i="237"/>
  <c r="K118" i="223"/>
  <c r="E124" i="223"/>
  <c r="N28" i="15"/>
  <c r="L130" i="223"/>
  <c r="M138" i="223"/>
  <c r="AA22" i="15"/>
  <c r="B102" i="237"/>
  <c r="N62" i="237"/>
  <c r="I121" i="237"/>
  <c r="M70" i="237"/>
  <c r="N155" i="237"/>
  <c r="K95" i="237"/>
  <c r="AA12" i="18"/>
  <c r="I21" i="15"/>
  <c r="AQ13" i="18"/>
  <c r="B6" i="185"/>
  <c r="G54" i="237"/>
  <c r="BD19" i="18"/>
  <c r="D170" i="223"/>
  <c r="AT7" i="18"/>
  <c r="I19" i="18"/>
  <c r="AH18" i="18"/>
  <c r="H135" i="237"/>
  <c r="D127" i="223"/>
  <c r="AI13" i="18"/>
  <c r="B31" i="14"/>
  <c r="K2" i="1"/>
  <c r="C63" i="14"/>
  <c r="F78" i="237"/>
  <c r="AR14" i="18"/>
  <c r="I141" i="223"/>
  <c r="M5" i="18"/>
  <c r="AU26" i="15"/>
  <c r="V22" i="18"/>
  <c r="D38" i="237"/>
  <c r="L102" i="237"/>
  <c r="K70" i="237"/>
  <c r="I69" i="223"/>
  <c r="AY17" i="18"/>
  <c r="AK22" i="18"/>
  <c r="K67" i="223"/>
  <c r="BN9" i="18"/>
  <c r="O23" i="15"/>
  <c r="I30" i="15"/>
  <c r="R29" i="15"/>
  <c r="G145" i="237"/>
  <c r="M147" i="237"/>
  <c r="AK2" i="1"/>
  <c r="AY2" i="18"/>
  <c r="M74" i="223"/>
  <c r="V16" i="18"/>
  <c r="L42" i="237"/>
  <c r="D152" i="223"/>
  <c r="B8" i="185"/>
  <c r="AA28" i="15"/>
  <c r="F20" i="223"/>
  <c r="G138" i="237"/>
  <c r="I84" i="237"/>
  <c r="J185" i="223"/>
  <c r="L135" i="237"/>
  <c r="K11" i="18"/>
  <c r="G137" i="223"/>
  <c r="G126" i="237"/>
  <c r="N45" i="223"/>
  <c r="N130" i="223"/>
  <c r="F62" i="223"/>
  <c r="BF28" i="15"/>
  <c r="BG14" i="18"/>
  <c r="J173" i="237"/>
  <c r="AC31" i="15"/>
  <c r="AC19" i="18"/>
  <c r="AS2" i="1"/>
  <c r="K182" i="223"/>
  <c r="BL10" i="18"/>
  <c r="K91" i="237"/>
  <c r="V4" i="18"/>
  <c r="F40" i="223"/>
  <c r="D25" i="223"/>
  <c r="K132" i="223"/>
  <c r="E70" i="237"/>
  <c r="AB22" i="18"/>
  <c r="N90" i="237"/>
  <c r="C131" i="237"/>
  <c r="O19" i="18"/>
  <c r="H134" i="223"/>
  <c r="B54" i="237"/>
  <c r="L23" i="237"/>
  <c r="G181" i="223"/>
  <c r="AM21" i="15"/>
  <c r="B169" i="237"/>
  <c r="M67" i="237"/>
  <c r="AN20" i="15"/>
  <c r="AR8" i="18"/>
  <c r="F148" i="223"/>
  <c r="R20" i="15"/>
  <c r="K149" i="237"/>
  <c r="G92" i="223"/>
  <c r="BD13" i="18"/>
  <c r="W9" i="18"/>
  <c r="F139" i="223"/>
  <c r="C184" i="237"/>
  <c r="H18" i="18"/>
  <c r="K30" i="237"/>
  <c r="Q14" i="18"/>
  <c r="AZ20" i="15"/>
  <c r="B36" i="14"/>
  <c r="AP21" i="18"/>
  <c r="BE19" i="18"/>
  <c r="AW17" i="18"/>
  <c r="L137" i="223"/>
  <c r="AM21" i="18"/>
  <c r="G171" i="237"/>
  <c r="BI7" i="18"/>
  <c r="F169" i="223"/>
  <c r="G21" i="18"/>
  <c r="AU21" i="15"/>
  <c r="AT19" i="18"/>
  <c r="N150" i="223"/>
  <c r="L70" i="237"/>
  <c r="AJ20" i="18"/>
  <c r="H125" i="237"/>
  <c r="M160" i="237"/>
  <c r="B78" i="237"/>
  <c r="N183" i="237"/>
  <c r="BK17" i="18"/>
  <c r="I89" i="237"/>
  <c r="AC14" i="18"/>
  <c r="H133" i="237"/>
  <c r="M149" i="223"/>
  <c r="AF14" i="18"/>
  <c r="Q15" i="18"/>
  <c r="J61" i="223"/>
  <c r="N24" i="223"/>
  <c r="B103" i="237"/>
  <c r="AG21" i="18"/>
  <c r="BI27" i="15"/>
  <c r="E45" i="237"/>
  <c r="L71" i="237"/>
  <c r="E61" i="237"/>
  <c r="BM20" i="18"/>
  <c r="C49" i="14"/>
  <c r="J32" i="237"/>
  <c r="AV34" i="18"/>
  <c r="F12" i="1"/>
  <c r="L67" i="223"/>
  <c r="BG5" i="18"/>
  <c r="F86" i="237"/>
  <c r="I154" i="223"/>
  <c r="B92" i="237"/>
  <c r="AW28" i="15"/>
  <c r="Y20" i="18"/>
  <c r="H24" i="15"/>
  <c r="K25" i="15"/>
  <c r="B116" i="237"/>
  <c r="N21" i="15"/>
  <c r="B181" i="223"/>
  <c r="D170" i="237"/>
  <c r="V54" i="18"/>
  <c r="S64" i="18"/>
  <c r="BM96" i="18"/>
  <c r="V83" i="18"/>
  <c r="L64" i="18"/>
  <c r="C93" i="18"/>
  <c r="AZ87" i="18"/>
  <c r="BM43" i="18"/>
  <c r="BM54" i="18"/>
  <c r="W96" i="18"/>
  <c r="BD63" i="18"/>
  <c r="K141" i="237"/>
  <c r="AY23" i="15"/>
  <c r="BI19" i="15"/>
  <c r="H78" i="223"/>
  <c r="M8" i="18"/>
  <c r="H132" i="237"/>
  <c r="U20" i="18"/>
  <c r="AA21" i="18"/>
  <c r="I53" i="223"/>
  <c r="I103" i="237"/>
  <c r="AJ15" i="18"/>
  <c r="L117" i="223"/>
  <c r="C179" i="237"/>
  <c r="AK2" i="18"/>
  <c r="AY9" i="18"/>
  <c r="H123" i="237"/>
  <c r="F77" i="223"/>
  <c r="AU29" i="15"/>
  <c r="G77" i="223"/>
  <c r="H63" i="223"/>
  <c r="K39" i="223"/>
  <c r="J179" i="223"/>
  <c r="BI21" i="18"/>
  <c r="B43" i="14"/>
  <c r="D78" i="237"/>
  <c r="E119" i="223"/>
  <c r="K122" i="237"/>
  <c r="AJ7" i="18"/>
  <c r="B60" i="14"/>
  <c r="AZ30" i="15"/>
  <c r="G75" i="223"/>
  <c r="AP17" i="18"/>
  <c r="AI34" i="18"/>
  <c r="M155" i="237"/>
  <c r="AK31" i="15"/>
  <c r="M12" i="18"/>
  <c r="BL34" i="18"/>
  <c r="K83" i="223"/>
  <c r="R24" i="15"/>
  <c r="G21" i="237"/>
  <c r="G13" i="18"/>
  <c r="AM8" i="18"/>
  <c r="F39" i="223"/>
  <c r="AA25" i="15"/>
  <c r="F147" i="223"/>
  <c r="AX6" i="18"/>
  <c r="BG9" i="18"/>
  <c r="C29" i="14"/>
  <c r="G24" i="223"/>
  <c r="I151" i="237"/>
  <c r="BI14" i="18"/>
  <c r="M41" i="237"/>
  <c r="M121" i="237"/>
  <c r="R2" i="14"/>
  <c r="F150" i="223"/>
  <c r="F91" i="223"/>
  <c r="C74" i="18"/>
  <c r="Y10" i="18"/>
  <c r="AC22" i="18"/>
  <c r="BI11" i="18"/>
  <c r="B183" i="237"/>
  <c r="N42" i="223"/>
  <c r="G125" i="223"/>
  <c r="B94" i="237"/>
  <c r="N68" i="237"/>
  <c r="AY15" i="18"/>
  <c r="B148" i="223"/>
  <c r="L31" i="223"/>
  <c r="AC29" i="15"/>
  <c r="AB4" i="18"/>
  <c r="T18" i="18"/>
  <c r="AV29" i="15"/>
  <c r="L22" i="237"/>
  <c r="B60" i="237"/>
  <c r="H15" i="18"/>
  <c r="H9" i="18"/>
  <c r="F121" i="223"/>
  <c r="H5" i="18"/>
  <c r="F24" i="237"/>
  <c r="M27" i="237"/>
  <c r="C52" i="14"/>
  <c r="AX20" i="18"/>
  <c r="AS21" i="15"/>
  <c r="F180" i="237"/>
  <c r="F58" i="237"/>
  <c r="BH22" i="15"/>
  <c r="AT21" i="18"/>
  <c r="K172" i="237"/>
  <c r="J45" i="223"/>
  <c r="BA26" i="15"/>
  <c r="I91" i="223"/>
  <c r="AK20" i="18"/>
  <c r="I26" i="15"/>
  <c r="M173" i="223"/>
  <c r="G41" i="237"/>
  <c r="BB10" i="18"/>
  <c r="F171" i="223"/>
  <c r="G168" i="237"/>
  <c r="Q9" i="18"/>
  <c r="BF11" i="18"/>
  <c r="AB26" i="15"/>
  <c r="AX13" i="18"/>
  <c r="AG34" i="18"/>
  <c r="AZ19" i="15"/>
  <c r="M25" i="15"/>
  <c r="P34" i="18"/>
  <c r="Q28" i="15"/>
  <c r="L168" i="223"/>
  <c r="N58" i="223"/>
  <c r="Y34" i="18"/>
  <c r="J183" i="237"/>
  <c r="E92" i="237"/>
  <c r="J39" i="237"/>
  <c r="P13" i="18"/>
  <c r="N95" i="223"/>
  <c r="C120" i="237"/>
  <c r="O11" i="18"/>
  <c r="H94" i="223"/>
  <c r="N115" i="237"/>
  <c r="AH19" i="18"/>
  <c r="L89" i="223"/>
  <c r="AP26" i="15"/>
  <c r="D29" i="223"/>
  <c r="AT22" i="18"/>
  <c r="N20" i="18"/>
  <c r="Y26" i="15"/>
  <c r="M84" i="223"/>
  <c r="BT30" i="15"/>
  <c r="AE10" i="18"/>
  <c r="M150" i="223"/>
  <c r="M95" i="237"/>
  <c r="I58" i="237"/>
  <c r="BC22" i="18"/>
  <c r="D44" i="223"/>
  <c r="N182" i="237"/>
  <c r="J138" i="237"/>
  <c r="Z13" i="18"/>
  <c r="D22" i="237"/>
  <c r="AO8" i="18"/>
  <c r="B135" i="223"/>
  <c r="C71" i="18"/>
  <c r="M26" i="15"/>
  <c r="AG62" i="18"/>
  <c r="AL87" i="18"/>
  <c r="BB72" i="18"/>
  <c r="BD43" i="18"/>
  <c r="N51" i="18"/>
  <c r="BM83" i="18"/>
  <c r="AH63" i="18"/>
  <c r="AE96" i="18"/>
  <c r="C42" i="14"/>
  <c r="AH85" i="18"/>
  <c r="T72" i="18"/>
  <c r="T83" i="18"/>
  <c r="V43" i="18"/>
  <c r="L43" i="18"/>
  <c r="AG53" i="18"/>
  <c r="C25" i="14"/>
  <c r="V63" i="18"/>
  <c r="G64" i="18"/>
  <c r="C72" i="18"/>
  <c r="H39" i="18"/>
  <c r="G45" i="18"/>
  <c r="AK51" i="18"/>
  <c r="W63" i="18"/>
  <c r="H72" i="18"/>
  <c r="W45" i="18"/>
  <c r="AO45" i="18"/>
  <c r="L44" i="18"/>
  <c r="M63" i="18"/>
  <c r="H96" i="18"/>
  <c r="H138" i="237"/>
  <c r="BB65" i="18"/>
  <c r="AF50" i="18"/>
  <c r="C38" i="14"/>
  <c r="BM72" i="18"/>
  <c r="T39" i="18"/>
  <c r="BM44" i="18"/>
  <c r="BM85" i="18"/>
  <c r="T38" i="18"/>
  <c r="AF64" i="18"/>
  <c r="C38" i="18"/>
  <c r="BM39" i="18"/>
  <c r="AG85" i="18"/>
  <c r="AL39" i="18"/>
  <c r="AO68" i="18"/>
  <c r="L96" i="18"/>
  <c r="S44" i="18"/>
  <c r="C40" i="14"/>
  <c r="AL65" i="18"/>
  <c r="AO83" i="18"/>
  <c r="G51" i="18"/>
  <c r="S43" i="18"/>
  <c r="AC17" i="18"/>
  <c r="B22" i="14"/>
  <c r="F136" i="223"/>
  <c r="AN27" i="15"/>
  <c r="C152" i="223"/>
  <c r="H171" i="237"/>
  <c r="M27" i="223"/>
  <c r="J169" i="223"/>
  <c r="G30" i="223"/>
  <c r="B88" i="223"/>
  <c r="Y22" i="15"/>
  <c r="D29" i="237"/>
  <c r="M172" i="223"/>
  <c r="I45" i="237"/>
  <c r="AU12" i="18"/>
  <c r="G25" i="237"/>
  <c r="L29" i="223"/>
  <c r="I123" i="223"/>
  <c r="AJ2" i="18"/>
  <c r="BL20" i="18"/>
  <c r="C171" i="223"/>
  <c r="G141" i="237"/>
  <c r="N24" i="237"/>
  <c r="K166" i="223"/>
  <c r="D61" i="237"/>
  <c r="I14" i="1"/>
  <c r="G156" i="237"/>
  <c r="M145" i="237"/>
  <c r="AC28" i="15"/>
  <c r="I101" i="237"/>
  <c r="H32" i="223"/>
  <c r="AE2" i="1"/>
  <c r="H93" i="237"/>
  <c r="AH25" i="15"/>
  <c r="AW20" i="18"/>
  <c r="E125" i="223"/>
  <c r="I166" i="237"/>
  <c r="BG17" i="18"/>
  <c r="D103" i="237"/>
  <c r="BD21" i="15"/>
  <c r="H92" i="223"/>
  <c r="C124" i="237"/>
  <c r="AS18" i="18"/>
  <c r="K150" i="223"/>
  <c r="U31" i="15"/>
  <c r="K122" i="223"/>
  <c r="G165" i="223"/>
  <c r="N119" i="237"/>
  <c r="BA28" i="15"/>
  <c r="D32" i="223"/>
  <c r="F126" i="223"/>
  <c r="X16" i="18"/>
  <c r="BC27" i="15"/>
  <c r="B168" i="237"/>
  <c r="I46" i="223"/>
  <c r="G23" i="223"/>
  <c r="BE21" i="18"/>
  <c r="J164" i="237"/>
  <c r="AA27" i="15"/>
  <c r="BI34" i="18"/>
  <c r="C92" i="18" s="1"/>
  <c r="G43" i="223"/>
  <c r="K29" i="237"/>
  <c r="K58" i="237"/>
  <c r="R18" i="18"/>
  <c r="AX25" i="15"/>
  <c r="BD34" i="18"/>
  <c r="F152" i="223"/>
  <c r="BJ26" i="15"/>
  <c r="BF7" i="18"/>
  <c r="J62" i="223"/>
  <c r="H22" i="15"/>
  <c r="AR7" i="18"/>
  <c r="H58" i="223"/>
  <c r="G72" i="237"/>
  <c r="AC34" i="18"/>
  <c r="C60" i="18" s="1"/>
  <c r="G26" i="223"/>
  <c r="K55" i="237"/>
  <c r="M161" i="237"/>
  <c r="K171" i="223"/>
  <c r="AD12" i="18"/>
  <c r="M152" i="237"/>
  <c r="Q17" i="18"/>
  <c r="C103" i="223"/>
  <c r="F95" i="223"/>
  <c r="I92" i="237"/>
  <c r="BG2" i="1"/>
  <c r="AB9" i="18"/>
  <c r="C76" i="18"/>
  <c r="K168" i="237"/>
  <c r="AQ21" i="15"/>
  <c r="H164" i="223"/>
  <c r="BB25" i="15"/>
  <c r="H71" i="237"/>
  <c r="AU7" i="18"/>
  <c r="M162" i="237"/>
  <c r="AB59" i="18"/>
  <c r="BN24" i="15"/>
  <c r="AV18" i="18"/>
  <c r="BC2" i="18"/>
  <c r="K103" i="223"/>
  <c r="BB20" i="15"/>
  <c r="BH12" i="18"/>
  <c r="C41" i="237"/>
  <c r="BA17" i="18"/>
  <c r="BD87" i="18"/>
  <c r="B171" i="223"/>
  <c r="L179" i="237"/>
  <c r="AT26" i="15"/>
  <c r="E139" i="237"/>
  <c r="AI21" i="15"/>
  <c r="J186" i="223"/>
  <c r="BF2" i="18"/>
  <c r="AI28" i="15"/>
  <c r="Z21" i="18"/>
  <c r="BA18" i="18"/>
  <c r="BI22" i="15"/>
  <c r="AI14" i="18"/>
  <c r="M169" i="237"/>
  <c r="O3" i="18"/>
  <c r="C28" i="14"/>
  <c r="K166" i="237"/>
  <c r="L146" i="223"/>
  <c r="B28" i="14"/>
  <c r="C135" i="223"/>
  <c r="E78" i="223"/>
  <c r="BF19" i="18"/>
  <c r="M78" i="237"/>
  <c r="C42" i="223"/>
  <c r="N162" i="223"/>
  <c r="Z12" i="18"/>
  <c r="D138" i="237"/>
  <c r="J22" i="18"/>
  <c r="D43" i="237"/>
  <c r="F141" i="237"/>
  <c r="J27" i="15"/>
  <c r="BK7" i="18"/>
  <c r="E67" i="237"/>
  <c r="I8" i="1"/>
  <c r="AA6" i="18"/>
  <c r="E163" i="223"/>
  <c r="B83" i="223"/>
  <c r="Y15" i="18"/>
  <c r="D45" i="237"/>
  <c r="L38" i="223"/>
  <c r="BJ14" i="18"/>
  <c r="W44" i="18"/>
  <c r="BJ45" i="18"/>
  <c r="AZ93" i="18"/>
  <c r="G72" i="18"/>
  <c r="I22" i="1"/>
  <c r="K50" i="14"/>
  <c r="BJ85" i="18"/>
  <c r="AV75" i="18"/>
  <c r="Q85" i="18"/>
  <c r="R72" i="18"/>
  <c r="BK50" i="18"/>
  <c r="BB48" i="18"/>
  <c r="BK56" i="18"/>
  <c r="BA79" i="18"/>
  <c r="AF83" i="18"/>
  <c r="AL59" i="18"/>
  <c r="C47" i="18"/>
  <c r="BA80" i="18"/>
  <c r="AL61" i="18"/>
  <c r="S80" i="18"/>
  <c r="BL64" i="18"/>
  <c r="AK64" i="18"/>
  <c r="H44" i="18"/>
  <c r="AE50" i="18"/>
  <c r="AB39" i="18"/>
  <c r="AF43" i="18"/>
  <c r="AG94" i="18"/>
  <c r="AL46" i="18"/>
  <c r="R48" i="18"/>
  <c r="AH57" i="18"/>
  <c r="AV49" i="18"/>
  <c r="BK94" i="18"/>
  <c r="AW84" i="18"/>
  <c r="AK75" i="18"/>
  <c r="BB95" i="18"/>
  <c r="L62" i="18"/>
  <c r="H66" i="18"/>
  <c r="AG87" i="18"/>
  <c r="AK88" i="18"/>
  <c r="AF65" i="18"/>
  <c r="AH56" i="18"/>
  <c r="AI39" i="18"/>
  <c r="AG80" i="18"/>
  <c r="N57" i="18"/>
  <c r="AK93" i="18"/>
  <c r="AW80" i="18"/>
  <c r="H51" i="18"/>
  <c r="BB83" i="18"/>
  <c r="M46" i="18"/>
  <c r="AH75" i="18"/>
  <c r="T50" i="18"/>
  <c r="V57" i="18"/>
  <c r="BK62" i="18"/>
  <c r="BA39" i="18"/>
  <c r="G66" i="18"/>
  <c r="S96" i="18"/>
  <c r="G44" i="18"/>
  <c r="AL83" i="18"/>
  <c r="AO49" i="18"/>
  <c r="BE46" i="18"/>
  <c r="AE45" i="18"/>
  <c r="AR54" i="18"/>
  <c r="BL51" i="18"/>
  <c r="BL79" i="18"/>
  <c r="AH49" i="18"/>
  <c r="AO57" i="18"/>
  <c r="AI48" i="18"/>
  <c r="L85" i="18"/>
  <c r="BD49" i="18"/>
  <c r="H83" i="18"/>
  <c r="M51" i="18"/>
  <c r="AV43" i="18"/>
  <c r="AR87" i="18"/>
  <c r="BD64" i="18"/>
  <c r="V51" i="18"/>
  <c r="BJ51" i="18"/>
  <c r="AK53" i="18"/>
  <c r="C9" i="14"/>
  <c r="T56" i="18"/>
  <c r="BK38" i="18"/>
  <c r="H50" i="18"/>
  <c r="AL88" i="18"/>
  <c r="BA51" i="18"/>
  <c r="BB46" i="18"/>
  <c r="R65" i="18"/>
  <c r="O64" i="18"/>
  <c r="H87" i="18"/>
  <c r="AB80" i="18"/>
  <c r="L95" i="18"/>
  <c r="AG61" i="18"/>
  <c r="BB93" i="18"/>
  <c r="BK51" i="18"/>
  <c r="G93" i="18"/>
  <c r="AK49" i="18"/>
  <c r="M57" i="18"/>
  <c r="BM64" i="18"/>
  <c r="C51" i="18"/>
  <c r="N43" i="18"/>
  <c r="H59" i="18"/>
  <c r="AL69" i="18"/>
  <c r="M56" i="18"/>
  <c r="AK68" i="18"/>
  <c r="AO75" i="18"/>
  <c r="C45" i="14"/>
  <c r="O57" i="18"/>
  <c r="AO80" i="18"/>
  <c r="BJ49" i="18"/>
  <c r="AR48" i="18"/>
  <c r="BJ79" i="18"/>
  <c r="T79" i="18"/>
  <c r="M62" i="18"/>
  <c r="Z80" i="18"/>
  <c r="AB43" i="18"/>
  <c r="BM51" i="18"/>
  <c r="AV95" i="18"/>
  <c r="Z54" i="18"/>
  <c r="BB44" i="18"/>
  <c r="AW49" i="18"/>
  <c r="AG57" i="18"/>
  <c r="AF96" i="18"/>
  <c r="AZ79" i="18"/>
  <c r="H88" i="18"/>
  <c r="H94" i="18"/>
  <c r="AE64" i="18"/>
  <c r="AL75" i="18"/>
  <c r="Q94" i="18"/>
  <c r="BB62" i="18"/>
  <c r="AK50" i="18"/>
  <c r="AW43" i="18"/>
  <c r="AE69" i="18"/>
  <c r="AK59" i="18"/>
  <c r="AV79" i="18"/>
  <c r="AG83" i="18"/>
  <c r="BD83" i="18"/>
  <c r="C77" i="18"/>
  <c r="Y66" i="18"/>
  <c r="AF38" i="18"/>
  <c r="AW46" i="18"/>
  <c r="V96" i="18"/>
  <c r="AL57" i="18"/>
  <c r="AE94" i="18"/>
  <c r="L83" i="18"/>
  <c r="N75" i="18"/>
  <c r="T68" i="18"/>
  <c r="AI50" i="18"/>
  <c r="R94" i="18"/>
  <c r="W85" i="18"/>
  <c r="AG44" i="18"/>
  <c r="I21" i="1"/>
  <c r="C55" i="223"/>
  <c r="G55" i="223"/>
  <c r="K164" i="223"/>
  <c r="J182" i="223"/>
  <c r="K54" i="223"/>
  <c r="D31" i="237"/>
  <c r="K57" i="223"/>
  <c r="L90" i="223"/>
  <c r="P10" i="18"/>
  <c r="AT10" i="18"/>
  <c r="BG20" i="18"/>
  <c r="C162" i="237"/>
  <c r="AB31" i="15"/>
  <c r="AK26" i="15"/>
  <c r="AC24" i="15"/>
  <c r="BC5" i="18"/>
  <c r="K31" i="223"/>
  <c r="I69" i="237"/>
  <c r="D71" i="237"/>
  <c r="B59" i="237"/>
  <c r="BH34" i="18"/>
  <c r="AQ5" i="18"/>
  <c r="S2" i="18"/>
  <c r="AS11" i="18"/>
  <c r="C124" i="223"/>
  <c r="C8" i="14"/>
  <c r="D182" i="223"/>
  <c r="B138" i="223"/>
  <c r="AC10" i="18"/>
  <c r="AS2" i="18"/>
  <c r="G57" i="223"/>
  <c r="AP27" i="15"/>
  <c r="H120" i="237"/>
  <c r="K152" i="223"/>
  <c r="L100" i="223"/>
  <c r="J60" i="237"/>
  <c r="D153" i="223"/>
  <c r="C14" i="14"/>
  <c r="AD59" i="18"/>
  <c r="BG61" i="18"/>
  <c r="AV84" i="18"/>
  <c r="BD93" i="18"/>
  <c r="AK87" i="18"/>
  <c r="AG84" i="18"/>
  <c r="BE69" i="18"/>
  <c r="L66" i="18"/>
  <c r="AV63" i="18"/>
  <c r="AE85" i="18"/>
  <c r="BA45" i="18"/>
  <c r="AB64" i="18"/>
  <c r="M66" i="18"/>
  <c r="BL60" i="18"/>
  <c r="L63" i="18"/>
  <c r="BM88" i="18"/>
  <c r="BA43" i="18"/>
  <c r="AI63" i="18"/>
  <c r="AQ61" i="18"/>
  <c r="BE88" i="18"/>
  <c r="BB66" i="18"/>
  <c r="M39" i="18"/>
  <c r="Y39" i="18"/>
  <c r="BB88" i="18"/>
  <c r="AQ63" i="18"/>
  <c r="M64" i="18"/>
  <c r="BL43" i="18"/>
  <c r="AL66" i="18"/>
  <c r="AD45" i="18"/>
  <c r="AO85" i="18"/>
  <c r="AW63" i="18"/>
  <c r="S53" i="18"/>
  <c r="V87" i="18"/>
  <c r="S72" i="18"/>
  <c r="H48" i="18"/>
  <c r="BK63" i="18"/>
  <c r="G57" i="18"/>
  <c r="AD43" i="18"/>
  <c r="BA60" i="18"/>
  <c r="AW85" i="18"/>
  <c r="W76" i="18"/>
  <c r="BE49" i="18"/>
  <c r="AD49" i="18"/>
  <c r="Z56" i="18"/>
  <c r="AC80" i="18"/>
  <c r="Y79" i="18"/>
  <c r="L60" i="18"/>
  <c r="BE95" i="18"/>
  <c r="AC72" i="18"/>
  <c r="Y93" i="18"/>
  <c r="AV76" i="18"/>
  <c r="V62" i="18"/>
  <c r="Z83" i="18"/>
  <c r="BK72" i="18"/>
  <c r="T43" i="18"/>
  <c r="AR63" i="18"/>
  <c r="Q88" i="18"/>
  <c r="O51" i="18"/>
  <c r="V64" i="18"/>
  <c r="O83" i="18"/>
  <c r="BJ83" i="18"/>
  <c r="AD87" i="18"/>
  <c r="BM84" i="18"/>
  <c r="BD79" i="18"/>
  <c r="S51" i="18"/>
  <c r="N63" i="18"/>
  <c r="G88" i="18"/>
  <c r="BL50" i="18"/>
  <c r="AO88" i="18"/>
  <c r="Y53" i="18"/>
  <c r="BJ57" i="18"/>
  <c r="O43" i="18"/>
  <c r="AR83" i="18"/>
  <c r="BL87" i="18"/>
  <c r="AG39" i="18"/>
  <c r="AV50" i="18"/>
  <c r="H68" i="18"/>
  <c r="O90" i="18"/>
  <c r="AB66" i="18"/>
  <c r="BL61" i="18"/>
  <c r="C43" i="14"/>
  <c r="BL88" i="18"/>
  <c r="N85" i="18"/>
  <c r="AS63" i="18"/>
  <c r="Z72" i="18"/>
  <c r="R75" i="18"/>
  <c r="T65" i="18"/>
  <c r="R69" i="18"/>
  <c r="BJ88" i="18"/>
  <c r="G49" i="18"/>
  <c r="BA50" i="18"/>
  <c r="C89" i="18"/>
  <c r="AR66" i="18"/>
  <c r="BG65" i="18"/>
  <c r="W68" i="18"/>
  <c r="BJ95" i="18"/>
  <c r="BE44" i="18"/>
  <c r="G84" i="18"/>
  <c r="AE43" i="18"/>
  <c r="AK94" i="18"/>
  <c r="T69" i="18"/>
  <c r="O49" i="18"/>
  <c r="O85" i="18"/>
  <c r="W83" i="18"/>
  <c r="BA62" i="18"/>
  <c r="W95" i="18"/>
  <c r="BE38" i="18"/>
  <c r="BD56" i="18"/>
  <c r="S88" i="18"/>
  <c r="W50" i="18"/>
  <c r="AI53" i="18"/>
  <c r="L93" i="18"/>
  <c r="BB53" i="18"/>
  <c r="AS60" i="18"/>
  <c r="BB49" i="18"/>
  <c r="Q66" i="18"/>
  <c r="AR61" i="18"/>
  <c r="BB68" i="18"/>
  <c r="AW39" i="18"/>
  <c r="AZ66" i="18"/>
  <c r="O69" i="18"/>
  <c r="G75" i="18"/>
  <c r="O88" i="18"/>
  <c r="W39" i="18"/>
  <c r="BD54" i="18"/>
  <c r="AE59" i="18"/>
  <c r="BJ48" i="18"/>
  <c r="BL39" i="18"/>
  <c r="AO38" i="18"/>
  <c r="AQ96" i="18"/>
  <c r="AO59" i="18"/>
  <c r="Q72" i="18"/>
  <c r="Q53" i="18"/>
  <c r="AL93" i="18"/>
  <c r="Q93" i="18"/>
  <c r="N90" i="18"/>
  <c r="AV51" i="18"/>
  <c r="BL85" i="18"/>
  <c r="AS38" i="18"/>
  <c r="R66" i="18"/>
  <c r="H65" i="18"/>
  <c r="Q61" i="18"/>
  <c r="BA68" i="18"/>
  <c r="Y95" i="18"/>
  <c r="M65" i="18"/>
  <c r="BL66" i="18"/>
  <c r="BL69" i="18"/>
  <c r="AH83" i="18"/>
  <c r="BB54" i="18"/>
  <c r="AC54" i="18"/>
  <c r="AV62" i="18"/>
  <c r="V48" i="18"/>
  <c r="AB95" i="18"/>
  <c r="G59" i="18"/>
  <c r="BJ96" i="18"/>
  <c r="AG60" i="18"/>
  <c r="V46" i="18"/>
  <c r="AV93" i="18"/>
  <c r="AQ43" i="18"/>
  <c r="BG44" i="18"/>
  <c r="BL90" i="18"/>
  <c r="AK79" i="18"/>
  <c r="AH79" i="18"/>
  <c r="AI87" i="18"/>
  <c r="AI76" i="18"/>
  <c r="BJ61" i="18"/>
  <c r="AQ87" i="18"/>
  <c r="AL45" i="18"/>
  <c r="Y46" i="18"/>
  <c r="BD69" i="18"/>
  <c r="AZ83" i="18"/>
  <c r="N61" i="18"/>
  <c r="AH62" i="18"/>
  <c r="AE38" i="18"/>
  <c r="AC96" i="18"/>
  <c r="BD72" i="18"/>
  <c r="AD72" i="18"/>
  <c r="AQ53" i="18"/>
  <c r="BJ74" i="18"/>
  <c r="AE93" i="18"/>
  <c r="W90" i="18"/>
  <c r="W84" i="18"/>
  <c r="BA85" i="18"/>
  <c r="T45" i="18"/>
  <c r="BJ38" i="18"/>
  <c r="BK39" i="18"/>
  <c r="BK49" i="18"/>
  <c r="AR50" i="18"/>
  <c r="AG50" i="18"/>
  <c r="AB68" i="18"/>
  <c r="BL54" i="18"/>
  <c r="K54" i="14"/>
  <c r="BL56" i="18"/>
  <c r="AO93" i="18"/>
  <c r="Q59" i="18"/>
  <c r="BE83" i="18"/>
  <c r="AL74" i="18"/>
  <c r="Z87" i="18"/>
  <c r="T66" i="18"/>
  <c r="AE65" i="18"/>
  <c r="AZ65" i="18"/>
  <c r="AC63" i="18"/>
  <c r="AD51" i="18"/>
  <c r="AH51" i="18"/>
  <c r="O61" i="18"/>
  <c r="AD85" i="18"/>
  <c r="L48" i="18"/>
  <c r="AL48" i="18"/>
  <c r="AH48" i="18"/>
  <c r="G95" i="18"/>
  <c r="AD60" i="18"/>
  <c r="AR90" i="18"/>
  <c r="AV90" i="18"/>
  <c r="AD83" i="18"/>
  <c r="AF66" i="18"/>
  <c r="Z75" i="18"/>
  <c r="O75" i="18"/>
  <c r="O68" i="18"/>
  <c r="AF46" i="18"/>
  <c r="AF63" i="18"/>
  <c r="T63" i="18"/>
  <c r="AK44" i="18"/>
  <c r="AD44" i="18"/>
  <c r="BA44" i="18"/>
  <c r="BM48" i="18"/>
  <c r="AD62" i="18"/>
  <c r="BL62" i="18"/>
  <c r="AH38" i="18"/>
  <c r="Z43" i="18"/>
  <c r="O39" i="18"/>
  <c r="AS39" i="18"/>
  <c r="AL96" i="18"/>
  <c r="AZ45" i="18"/>
  <c r="AC50" i="18"/>
  <c r="AG38" i="18"/>
  <c r="AO64" i="18"/>
  <c r="M94" i="18"/>
  <c r="AW94" i="18"/>
  <c r="AH94" i="18"/>
  <c r="H90" i="18"/>
  <c r="AZ69" i="18"/>
  <c r="AQ69" i="18"/>
  <c r="BA69" i="18"/>
  <c r="V79" i="18"/>
  <c r="AH53" i="18"/>
  <c r="BL53" i="18"/>
  <c r="AF80" i="18"/>
  <c r="H80" i="18"/>
  <c r="AO95" i="18"/>
  <c r="AK80" i="18"/>
  <c r="AB72" i="18"/>
  <c r="AB60" i="18"/>
  <c r="AR95" i="18"/>
  <c r="N46" i="18"/>
  <c r="T44" i="18"/>
  <c r="AO62" i="18"/>
  <c r="BM68" i="18"/>
  <c r="AV96" i="18"/>
  <c r="N76" i="18"/>
  <c r="AH50" i="18"/>
  <c r="BE64" i="18"/>
  <c r="AG90" i="18"/>
  <c r="V68" i="18"/>
  <c r="S56" i="18"/>
  <c r="E170" i="223"/>
  <c r="L166" i="237"/>
  <c r="R30" i="15"/>
  <c r="AP19" i="18"/>
  <c r="P4" i="18"/>
  <c r="I117" i="237"/>
  <c r="H38" i="223"/>
  <c r="M33" i="237"/>
  <c r="AX9" i="18"/>
  <c r="K155" i="237"/>
  <c r="G57" i="237"/>
  <c r="E42" i="237"/>
  <c r="AA3" i="18"/>
  <c r="J130" i="223"/>
  <c r="G180" i="237"/>
  <c r="AQ23" i="15"/>
  <c r="AF69" i="18"/>
  <c r="BL68" i="18"/>
  <c r="G63" i="18"/>
  <c r="BD38" i="18"/>
  <c r="Y83" i="18"/>
  <c r="Y69" i="18"/>
  <c r="BK76" i="18"/>
  <c r="T84" i="18"/>
  <c r="BD96" i="18"/>
  <c r="AR62" i="18"/>
  <c r="M80" i="18"/>
  <c r="AH96" i="18"/>
  <c r="BM79" i="18"/>
  <c r="L80" i="18"/>
  <c r="BK64" i="18"/>
  <c r="Q60" i="18"/>
  <c r="BL59" i="18"/>
  <c r="AQ72" i="18"/>
  <c r="P83" i="18"/>
  <c r="Y80" i="18"/>
  <c r="W54" i="18"/>
  <c r="P65" i="18"/>
  <c r="V61" i="18"/>
  <c r="AS46" i="18"/>
  <c r="M79" i="18"/>
  <c r="BE60" i="18"/>
  <c r="BG90" i="18"/>
  <c r="AZ58" i="18"/>
  <c r="W47" i="18"/>
  <c r="AH64" i="18"/>
  <c r="BD57" i="18"/>
  <c r="H56" i="18"/>
  <c r="BB96" i="18"/>
  <c r="AB54" i="18"/>
  <c r="AI68" i="18"/>
  <c r="AL58" i="18"/>
  <c r="BK54" i="18"/>
  <c r="AG68" i="18"/>
  <c r="AW62" i="18"/>
  <c r="S90" i="18"/>
  <c r="P49" i="18"/>
  <c r="N88" i="18"/>
  <c r="V56" i="18"/>
  <c r="BK43" i="18"/>
  <c r="T48" i="18"/>
  <c r="AC45" i="18"/>
  <c r="BA90" i="18"/>
  <c r="AK76" i="18"/>
  <c r="AE63" i="18"/>
  <c r="BJ75" i="18"/>
  <c r="AV87" i="18"/>
  <c r="R44" i="18"/>
  <c r="AQ76" i="18"/>
  <c r="AS80" i="18"/>
  <c r="BE90" i="18"/>
  <c r="T49" i="18"/>
  <c r="AZ61" i="18"/>
  <c r="Q56" i="18"/>
  <c r="S83" i="18"/>
  <c r="AI62" i="18"/>
  <c r="BA38" i="18"/>
  <c r="W53" i="18"/>
  <c r="L75" i="18"/>
  <c r="BL47" i="18"/>
  <c r="V95" i="18"/>
  <c r="AD94" i="18"/>
  <c r="AE68" i="18"/>
  <c r="AC46" i="18"/>
  <c r="AQ93" i="18"/>
  <c r="AC90" i="18"/>
  <c r="AQ95" i="18"/>
  <c r="AZ75" i="18"/>
  <c r="W87" i="18"/>
  <c r="AO65" i="18"/>
  <c r="V59" i="18"/>
  <c r="AH93" i="18"/>
  <c r="AF84" i="18"/>
  <c r="AW83" i="18"/>
  <c r="BE56" i="18"/>
  <c r="T64" i="18"/>
  <c r="AR88" i="18"/>
  <c r="BD48" i="18"/>
  <c r="Q96" i="18"/>
  <c r="N72" i="18"/>
  <c r="BA63" i="18"/>
  <c r="BA84" i="18"/>
  <c r="C79" i="18"/>
  <c r="C83" i="18"/>
  <c r="M45" i="18"/>
  <c r="Y68" i="18"/>
  <c r="L65" i="18"/>
  <c r="AS88" i="18"/>
  <c r="BB51" i="18"/>
  <c r="P76" i="18"/>
  <c r="AK60" i="18"/>
  <c r="BM90" i="18"/>
  <c r="T59" i="18"/>
  <c r="H84" i="18"/>
  <c r="BL58" i="18"/>
  <c r="BB60" i="18"/>
  <c r="BG47" i="18"/>
  <c r="Q75" i="18"/>
  <c r="AA46" i="18"/>
  <c r="O46" i="18"/>
  <c r="AK48" i="18"/>
  <c r="Z62" i="18"/>
  <c r="AH65" i="18"/>
  <c r="AR39" i="18"/>
  <c r="BL96" i="18"/>
  <c r="AG64" i="18"/>
  <c r="O94" i="18"/>
  <c r="AK69" i="18"/>
  <c r="AW72" i="18"/>
  <c r="I149" i="223"/>
  <c r="I21" i="18"/>
  <c r="J19" i="18"/>
  <c r="D90" i="237"/>
  <c r="M29" i="15"/>
  <c r="G168" i="223"/>
  <c r="AP20" i="15"/>
  <c r="AG31" i="15"/>
  <c r="K55" i="223"/>
  <c r="L87" i="223"/>
  <c r="L136" i="237"/>
  <c r="S26" i="15"/>
  <c r="J152" i="237"/>
  <c r="D122" i="223"/>
  <c r="I103" i="223"/>
  <c r="F56" i="223"/>
  <c r="BI13" i="18"/>
  <c r="AN5" i="18"/>
  <c r="G122" i="237"/>
  <c r="B100" i="223"/>
  <c r="I171" i="237"/>
  <c r="J53" i="223"/>
  <c r="C100" i="223"/>
  <c r="C27" i="223"/>
  <c r="BF18" i="18"/>
  <c r="K87" i="237"/>
  <c r="F122" i="237"/>
  <c r="U21" i="18"/>
  <c r="G90" i="237"/>
  <c r="AP9" i="18"/>
  <c r="F162" i="237"/>
  <c r="K24" i="237"/>
  <c r="BH14" i="18"/>
  <c r="K148" i="223"/>
  <c r="E182" i="237"/>
  <c r="D24" i="223"/>
  <c r="Y87" i="18"/>
  <c r="S91" i="18"/>
  <c r="Y73" i="18"/>
  <c r="O50" i="18"/>
  <c r="BI60" i="18"/>
  <c r="O95" i="18"/>
  <c r="AE47" i="18"/>
  <c r="BK91" i="18"/>
  <c r="J43" i="18"/>
  <c r="AG47" i="18"/>
  <c r="AB47" i="18"/>
  <c r="P46" i="18"/>
  <c r="Y96" i="18"/>
  <c r="H43" i="18"/>
  <c r="R64" i="18"/>
  <c r="BG76" i="18"/>
  <c r="S85" i="18"/>
  <c r="AI74" i="18"/>
  <c r="BM50" i="18"/>
  <c r="AG76" i="18"/>
  <c r="AQ49" i="18"/>
  <c r="AF85" i="18"/>
  <c r="AE58" i="18"/>
  <c r="AW79" i="18"/>
  <c r="Z89" i="18"/>
  <c r="U53" i="18"/>
  <c r="AN41" i="18"/>
  <c r="U76" i="18"/>
  <c r="AD84" i="18"/>
  <c r="BD62" i="18"/>
  <c r="AN83" i="18"/>
  <c r="AE61" i="18"/>
  <c r="Y94" i="18"/>
  <c r="BB85" i="18"/>
  <c r="P58" i="18"/>
  <c r="AI66" i="18"/>
  <c r="BK96" i="18"/>
  <c r="Z51" i="18"/>
  <c r="V71" i="18"/>
  <c r="L68" i="18"/>
  <c r="AV74" i="18"/>
  <c r="V80" i="18"/>
  <c r="AD66" i="18"/>
  <c r="BM74" i="18"/>
  <c r="H57" i="18"/>
  <c r="BJ60" i="18"/>
  <c r="AI57" i="18"/>
  <c r="U64" i="18"/>
  <c r="M76" i="18"/>
  <c r="R84" i="18"/>
  <c r="Z48" i="18"/>
  <c r="BF93" i="18"/>
  <c r="W51" i="18"/>
  <c r="AH44" i="18"/>
  <c r="BE45" i="18"/>
  <c r="BM87" i="18"/>
  <c r="AW57" i="18"/>
  <c r="G89" i="18"/>
  <c r="AW51" i="18"/>
  <c r="BE47" i="18"/>
  <c r="C64" i="18"/>
  <c r="AK63" i="18"/>
  <c r="AZ48" i="18"/>
  <c r="BB64" i="18"/>
  <c r="V69" i="18"/>
  <c r="H73" i="18"/>
  <c r="H47" i="18"/>
  <c r="AV72" i="18"/>
  <c r="V75" i="18"/>
  <c r="AO51" i="18"/>
  <c r="Q51" i="18"/>
  <c r="AH58" i="18"/>
  <c r="Q38" i="18"/>
  <c r="AW50" i="18"/>
  <c r="H58" i="18"/>
  <c r="BF52" i="18"/>
  <c r="R73" i="18"/>
  <c r="AE75" i="18"/>
  <c r="P84" i="18"/>
  <c r="Z64" i="18"/>
  <c r="BI88" i="18"/>
  <c r="BD85" i="18"/>
  <c r="AS74" i="18"/>
  <c r="U87" i="18"/>
  <c r="AP50" i="18"/>
  <c r="BI50" i="18"/>
  <c r="AL52" i="18"/>
  <c r="AZ43" i="18"/>
  <c r="AV58" i="18"/>
  <c r="BG85" i="18"/>
  <c r="AN48" i="18"/>
  <c r="T75" i="18"/>
  <c r="BI57" i="18"/>
  <c r="AR41" i="18"/>
  <c r="S54" i="18"/>
  <c r="AW53" i="18"/>
  <c r="BG80" i="18"/>
  <c r="Y61" i="18"/>
  <c r="AS91" i="18"/>
  <c r="J95" i="18"/>
  <c r="AL68" i="18"/>
  <c r="BM95" i="18"/>
  <c r="G38" i="18"/>
  <c r="AZ96" i="18"/>
  <c r="AD63" i="18"/>
  <c r="Y49" i="18"/>
  <c r="H63" i="18"/>
  <c r="BI48" i="18"/>
  <c r="AH47" i="18"/>
  <c r="L87" i="18"/>
  <c r="AO92" i="18"/>
  <c r="BH84" i="18"/>
  <c r="Z69" i="18"/>
  <c r="AN47" i="18"/>
  <c r="AL79" i="18"/>
  <c r="BM65" i="18"/>
  <c r="AR75" i="18"/>
  <c r="L38" i="18"/>
  <c r="U51" i="18"/>
  <c r="AI46" i="18"/>
  <c r="L76" i="18"/>
  <c r="BL74" i="18"/>
  <c r="AO69" i="18"/>
  <c r="BG69" i="18"/>
  <c r="Y57" i="18"/>
  <c r="Z60" i="18"/>
  <c r="AR94" i="18"/>
  <c r="AS93" i="18"/>
  <c r="Z79" i="18"/>
  <c r="AO61" i="18"/>
  <c r="Y71" i="18"/>
  <c r="AK65" i="18"/>
  <c r="P54" i="18"/>
  <c r="AC92" i="18"/>
  <c r="AL85" i="18"/>
  <c r="J96" i="18"/>
  <c r="P63" i="18"/>
  <c r="BG88" i="18"/>
  <c r="AR38" i="18"/>
  <c r="AA50" i="18"/>
  <c r="AZ56" i="18"/>
  <c r="AA38" i="18"/>
  <c r="BD89" i="18"/>
  <c r="BB58" i="18"/>
  <c r="AR69" i="18"/>
  <c r="AH66" i="18"/>
  <c r="AW44" i="18"/>
  <c r="AG54" i="18"/>
  <c r="R60" i="18"/>
  <c r="AS49" i="18"/>
  <c r="AH59" i="18"/>
  <c r="AQ41" i="18"/>
  <c r="C62" i="14"/>
  <c r="BM66" i="18"/>
  <c r="BM63" i="18"/>
  <c r="BB43" i="18"/>
  <c r="BE68" i="18"/>
  <c r="BF49" i="18"/>
  <c r="AP46" i="18"/>
  <c r="W57" i="18"/>
  <c r="AW91" i="18"/>
  <c r="AS53" i="18"/>
  <c r="AN95" i="18"/>
  <c r="AP80" i="18"/>
  <c r="R57" i="18"/>
  <c r="BA54" i="18"/>
  <c r="J79" i="18"/>
  <c r="T76" i="18"/>
  <c r="R38" i="18"/>
  <c r="Z68" i="18"/>
  <c r="AW47" i="18"/>
  <c r="T89" i="18"/>
  <c r="AD79" i="18"/>
  <c r="U62" i="18"/>
  <c r="Z59" i="18"/>
  <c r="C45" i="18"/>
  <c r="AV68" i="18"/>
  <c r="T46" i="18"/>
  <c r="AI61" i="18"/>
  <c r="BL41" i="18"/>
  <c r="BI45" i="18"/>
  <c r="AK95" i="18"/>
  <c r="AL43" i="18"/>
  <c r="BE94" i="18"/>
  <c r="BM69" i="18"/>
  <c r="AC49" i="18"/>
  <c r="AF88" i="18"/>
  <c r="AK61" i="18"/>
  <c r="W88" i="18"/>
  <c r="W59" i="18"/>
  <c r="BM62" i="18"/>
  <c r="W56" i="18"/>
  <c r="S66" i="18"/>
  <c r="BF50" i="18"/>
  <c r="V89" i="18"/>
  <c r="BL80" i="18"/>
  <c r="V72" i="18"/>
  <c r="BL72" i="18"/>
  <c r="AF59" i="18"/>
  <c r="BM93" i="18"/>
  <c r="W93" i="18"/>
  <c r="AQ79" i="18"/>
  <c r="U94" i="18"/>
  <c r="M49" i="18"/>
  <c r="AO73" i="18"/>
  <c r="C52" i="18"/>
  <c r="BL63" i="18"/>
  <c r="H61" i="18"/>
  <c r="J59" i="18"/>
  <c r="S95" i="18"/>
  <c r="Y44" i="18"/>
  <c r="Q84" i="18"/>
  <c r="AK43" i="18"/>
  <c r="BK46" i="18"/>
  <c r="V91" i="18"/>
  <c r="BK69" i="18"/>
  <c r="AP49" i="18"/>
  <c r="AI92" i="18"/>
  <c r="P85" i="18"/>
  <c r="AZ54" i="18"/>
  <c r="AK54" i="18"/>
  <c r="J62" i="18"/>
  <c r="Q83" i="18"/>
  <c r="BF95" i="18"/>
  <c r="G83" i="18"/>
  <c r="BJ56" i="18"/>
  <c r="S92" i="18"/>
  <c r="AL89" i="18"/>
  <c r="BH80" i="18"/>
  <c r="BI72" i="18"/>
  <c r="AZ72" i="18"/>
  <c r="S60" i="18"/>
  <c r="AF53" i="18"/>
  <c r="AF51" i="18"/>
  <c r="BE93" i="18"/>
  <c r="O93" i="18"/>
  <c r="BG94" i="18"/>
  <c r="AG69" i="18"/>
  <c r="AR49" i="18"/>
  <c r="BF85" i="18"/>
  <c r="AL76" i="18"/>
  <c r="BB73" i="18"/>
  <c r="BM59" i="18"/>
  <c r="Q63" i="18"/>
  <c r="G61" i="18"/>
  <c r="AV45" i="18"/>
  <c r="Q95" i="18"/>
  <c r="AI84" i="18"/>
  <c r="AO43" i="18"/>
  <c r="BL94" i="18"/>
  <c r="W91" i="18"/>
  <c r="AB69" i="18"/>
  <c r="AL92" i="18"/>
  <c r="BK61" i="18"/>
  <c r="AL54" i="18"/>
  <c r="BE54" i="18"/>
  <c r="AE62" i="18"/>
  <c r="BF48" i="18"/>
  <c r="G94" i="18"/>
  <c r="BF41" i="18"/>
  <c r="AI72" i="18"/>
  <c r="AR72" i="18"/>
  <c r="AC60" i="18"/>
  <c r="H53" i="18"/>
  <c r="BJ63" i="18"/>
  <c r="AF93" i="18"/>
  <c r="U93" i="18"/>
  <c r="Y43" i="18"/>
  <c r="Y64" i="18"/>
  <c r="BB63" i="18"/>
  <c r="AS50" i="18"/>
  <c r="AN59" i="18"/>
  <c r="C94" i="18"/>
  <c r="BA66" i="18"/>
  <c r="S41" i="18"/>
  <c r="BH68" i="18"/>
  <c r="BJ44" i="18"/>
  <c r="Y74" i="18"/>
  <c r="BA65" i="18"/>
  <c r="U43" i="18"/>
  <c r="BG66" i="18"/>
  <c r="AO94" i="18"/>
  <c r="AB91" i="18"/>
  <c r="AH69" i="18"/>
  <c r="J83" i="18"/>
  <c r="AI75" i="18"/>
  <c r="G85" i="18"/>
  <c r="W66" i="18"/>
  <c r="M54" i="18"/>
  <c r="N48" i="18"/>
  <c r="N95" i="18"/>
  <c r="BM38" i="18"/>
  <c r="AZ38" i="18"/>
  <c r="BD50" i="18"/>
  <c r="S89" i="18"/>
  <c r="J89" i="18"/>
  <c r="AD91" i="18"/>
  <c r="AL72" i="18"/>
  <c r="AC69" i="18"/>
  <c r="BD53" i="18"/>
  <c r="BJ65" i="18"/>
  <c r="S93" i="18"/>
  <c r="W43" i="18"/>
  <c r="Y90" i="18"/>
  <c r="BJ64" i="18"/>
  <c r="R76" i="18"/>
  <c r="P90" i="18"/>
  <c r="AI49" i="18"/>
  <c r="Q45" i="18"/>
  <c r="C39" i="18"/>
  <c r="AQ83" i="18"/>
  <c r="AH72" i="18"/>
  <c r="AA45" i="18"/>
  <c r="L59" i="18"/>
  <c r="P71" i="18"/>
  <c r="AI43" i="18"/>
  <c r="AZ52" i="18"/>
  <c r="U39" i="18"/>
  <c r="BG50" i="18"/>
  <c r="AZ50" i="18"/>
  <c r="U68" i="18"/>
  <c r="AW68" i="18"/>
  <c r="K59" i="14"/>
  <c r="J56" i="18"/>
  <c r="BG56" i="18"/>
  <c r="N93" i="18"/>
  <c r="AR59" i="18"/>
  <c r="BL52" i="18"/>
  <c r="AK83" i="18"/>
  <c r="G74" i="18"/>
  <c r="AD74" i="18"/>
  <c r="AZ41" i="18"/>
  <c r="AW87" i="18"/>
  <c r="BE87" i="18"/>
  <c r="O87" i="18"/>
  <c r="BI66" i="18"/>
  <c r="AR65" i="18"/>
  <c r="BD65" i="18"/>
  <c r="G65" i="18"/>
  <c r="Z88" i="18"/>
  <c r="AI88" i="18"/>
  <c r="AA63" i="18"/>
  <c r="AN51" i="18"/>
  <c r="AH61" i="18"/>
  <c r="AF61" i="18"/>
  <c r="M85" i="18"/>
  <c r="V92" i="18"/>
  <c r="W48" i="18"/>
  <c r="AB48" i="18"/>
  <c r="Z38" i="18"/>
  <c r="BE89" i="18"/>
  <c r="M91" i="18"/>
  <c r="AO60" i="18"/>
  <c r="BG95" i="18"/>
  <c r="BD90" i="18"/>
  <c r="AB90" i="18"/>
  <c r="BB79" i="18"/>
  <c r="AZ51" i="18"/>
  <c r="O84" i="18"/>
  <c r="AW58" i="18"/>
  <c r="T58" i="18"/>
  <c r="W61" i="18"/>
  <c r="AK66" i="18"/>
  <c r="AR47" i="18"/>
  <c r="BK47" i="18"/>
  <c r="BH75" i="18"/>
  <c r="AR74" i="18"/>
  <c r="BF46" i="18"/>
  <c r="AO46" i="18"/>
  <c r="AB46" i="18"/>
  <c r="AO63" i="18"/>
  <c r="M68" i="18"/>
  <c r="AL44" i="18"/>
  <c r="AP44" i="18"/>
  <c r="AV44" i="18"/>
  <c r="BH44" i="18"/>
  <c r="BG62" i="18"/>
  <c r="AN62" i="18"/>
  <c r="BA73" i="18"/>
  <c r="BF83" i="18"/>
  <c r="AI89" i="18"/>
  <c r="BG43" i="18"/>
  <c r="BD39" i="18"/>
  <c r="H49" i="18"/>
  <c r="AI96" i="18"/>
  <c r="H45" i="18"/>
  <c r="L57" i="18"/>
  <c r="AQ50" i="18"/>
  <c r="M41" i="18"/>
  <c r="BH85" i="18"/>
  <c r="L71" i="18"/>
  <c r="AK71" i="18"/>
  <c r="BG64" i="18"/>
  <c r="L94" i="18"/>
  <c r="W94" i="18"/>
  <c r="V94" i="18"/>
  <c r="BH90" i="18"/>
  <c r="AA69" i="18"/>
  <c r="Q69" i="18"/>
  <c r="AL53" i="18"/>
  <c r="Y54" i="18"/>
  <c r="AW88" i="18"/>
  <c r="AK72" i="18"/>
  <c r="W58" i="18"/>
  <c r="P79" i="18"/>
  <c r="AR68" i="18"/>
  <c r="H75" i="18"/>
  <c r="AH46" i="18"/>
  <c r="Q44" i="18"/>
  <c r="U44" i="18"/>
  <c r="AO48" i="18"/>
  <c r="AP88" i="18"/>
  <c r="H38" i="18"/>
  <c r="M96" i="18"/>
  <c r="BM57" i="18"/>
  <c r="BB71" i="18"/>
  <c r="AI69" i="18"/>
  <c r="AN69" i="18"/>
  <c r="AO72" i="18"/>
  <c r="K124" i="237"/>
  <c r="Q30" i="15"/>
  <c r="L39" i="223"/>
  <c r="X11" i="18"/>
  <c r="M44" i="237"/>
  <c r="J46" i="223"/>
  <c r="C82" i="18"/>
  <c r="D37" i="237"/>
  <c r="D115" i="223"/>
  <c r="G150" i="223"/>
  <c r="C26" i="14"/>
  <c r="AJ6" i="18"/>
  <c r="X8" i="18"/>
  <c r="E160" i="223"/>
  <c r="K117" i="223"/>
  <c r="N94" i="18"/>
  <c r="BM71" i="18"/>
  <c r="AG58" i="18"/>
  <c r="BJ91" i="18"/>
  <c r="AI71" i="18"/>
  <c r="BA58" i="18"/>
  <c r="BE62" i="18"/>
  <c r="Z95" i="18"/>
  <c r="N65" i="18"/>
  <c r="AA53" i="18"/>
  <c r="AN89" i="18"/>
  <c r="BK73" i="18"/>
  <c r="T47" i="18"/>
  <c r="AG43" i="18"/>
  <c r="Z73" i="18"/>
  <c r="T62" i="18"/>
  <c r="BJ80" i="18"/>
  <c r="AZ90" i="18"/>
  <c r="Z84" i="18"/>
  <c r="AP68" i="18"/>
  <c r="AG48" i="18"/>
  <c r="J48" i="18"/>
  <c r="P66" i="18"/>
  <c r="AG55" i="18"/>
  <c r="AG91" i="18"/>
  <c r="AK56" i="18"/>
  <c r="AL63" i="18"/>
  <c r="AK57" i="18"/>
  <c r="S73" i="18"/>
  <c r="BF75" i="18"/>
  <c r="O52" i="18"/>
  <c r="BI76" i="18"/>
  <c r="AS68" i="18"/>
  <c r="H64" i="18"/>
  <c r="V47" i="18"/>
  <c r="BE58" i="18"/>
  <c r="N96" i="18"/>
  <c r="AV88" i="18"/>
  <c r="AR91" i="18"/>
  <c r="V85" i="18"/>
  <c r="AB61" i="18"/>
  <c r="AI55" i="18"/>
  <c r="AD54" i="18"/>
  <c r="S38" i="18"/>
  <c r="AI64" i="18"/>
  <c r="BH48" i="18"/>
  <c r="AF68" i="18"/>
  <c r="R96" i="18"/>
  <c r="BM53" i="18"/>
  <c r="U75" i="18"/>
  <c r="V88" i="18"/>
  <c r="BK48" i="18"/>
  <c r="AJ74" i="18"/>
  <c r="AH43" i="18"/>
  <c r="L46" i="18"/>
  <c r="R80" i="18"/>
  <c r="U38" i="18"/>
  <c r="BF57" i="18"/>
  <c r="AJ79" i="18"/>
  <c r="U73" i="18"/>
  <c r="U72" i="18"/>
  <c r="R43" i="18"/>
  <c r="Y76" i="18"/>
  <c r="BJ87" i="18"/>
  <c r="J65" i="18"/>
  <c r="AV47" i="18"/>
  <c r="N44" i="18"/>
  <c r="AD64" i="18"/>
  <c r="BB69" i="18"/>
  <c r="P88" i="18"/>
  <c r="AW54" i="18"/>
  <c r="X74" i="18"/>
  <c r="R95" i="18"/>
  <c r="AO96" i="18"/>
  <c r="M72" i="18"/>
  <c r="BA57" i="18"/>
  <c r="AS54" i="18"/>
  <c r="N73" i="18"/>
  <c r="AE87" i="18"/>
  <c r="AC56" i="18"/>
  <c r="AQ39" i="18"/>
  <c r="O67" i="18"/>
  <c r="L54" i="18"/>
  <c r="N62" i="18"/>
  <c r="BF38" i="18"/>
  <c r="M50" i="18"/>
  <c r="BH59" i="18"/>
  <c r="AV53" i="18"/>
  <c r="AB93" i="18"/>
  <c r="BA74" i="18"/>
  <c r="AO52" i="18"/>
  <c r="Z45" i="18"/>
  <c r="AH87" i="18"/>
  <c r="AD73" i="18"/>
  <c r="AO56" i="18"/>
  <c r="AL64" i="18"/>
  <c r="M69" i="18"/>
  <c r="AD88" i="18"/>
  <c r="G48" i="18"/>
  <c r="AH71" i="18"/>
  <c r="BF96" i="18"/>
  <c r="AL91" i="18"/>
  <c r="BG60" i="18"/>
  <c r="AE57" i="18"/>
  <c r="BG41" i="18"/>
  <c r="AS79" i="18"/>
  <c r="R87" i="18"/>
  <c r="AQ57" i="18"/>
  <c r="AH68" i="18"/>
  <c r="BH52" i="18"/>
  <c r="AD41" i="18"/>
  <c r="N59" i="18"/>
  <c r="BG67" i="18"/>
  <c r="AB83" i="18"/>
  <c r="M61" i="18"/>
  <c r="AE83" i="18"/>
  <c r="G69" i="18"/>
  <c r="AL60" i="18"/>
  <c r="J93" i="18"/>
  <c r="J90" i="18"/>
  <c r="AK38" i="18"/>
  <c r="T52" i="18"/>
  <c r="BG49" i="18"/>
  <c r="AP57" i="18"/>
  <c r="Q54" i="18"/>
  <c r="AA64" i="18"/>
  <c r="AI93" i="18"/>
  <c r="N83" i="18"/>
  <c r="AF74" i="18"/>
  <c r="BK41" i="18"/>
  <c r="BA95" i="18"/>
  <c r="AH88" i="18"/>
  <c r="AL51" i="18"/>
  <c r="AQ92" i="18"/>
  <c r="AH76" i="18"/>
  <c r="AL38" i="18"/>
  <c r="AA91" i="18"/>
  <c r="V90" i="18"/>
  <c r="AJ54" i="18"/>
  <c r="AJ66" i="18"/>
  <c r="AJ47" i="18"/>
  <c r="BK75" i="18"/>
  <c r="AR46" i="18"/>
  <c r="Z55" i="18"/>
  <c r="AF87" i="18"/>
  <c r="AE44" i="18"/>
  <c r="AP62" i="18"/>
  <c r="AA73" i="18"/>
  <c r="L79" i="18"/>
  <c r="BI96" i="18"/>
  <c r="AJ50" i="18"/>
  <c r="N91" i="18"/>
  <c r="BI64" i="18"/>
  <c r="AL94" i="18"/>
  <c r="AL95" i="18"/>
  <c r="AI80" i="18"/>
  <c r="G80" i="18"/>
  <c r="B40" i="14"/>
  <c r="I18" i="18"/>
  <c r="AM14" i="18"/>
  <c r="X25" i="15"/>
  <c r="L56" i="237"/>
  <c r="AM19" i="18"/>
  <c r="BC3" i="18"/>
  <c r="AT4" i="18"/>
  <c r="D183" i="237"/>
  <c r="J90" i="223"/>
  <c r="AX16" i="18"/>
  <c r="AX30" i="15"/>
  <c r="I13" i="18"/>
  <c r="I166" i="223"/>
  <c r="M163" i="223"/>
  <c r="AW2" i="1"/>
  <c r="I171" i="223"/>
  <c r="BN15" i="18"/>
  <c r="AU18" i="18"/>
  <c r="E120" i="223"/>
  <c r="J131" i="237"/>
  <c r="K147" i="237"/>
  <c r="N101" i="223"/>
  <c r="V34" i="18"/>
  <c r="C53" i="18" s="1"/>
  <c r="G172" i="237"/>
  <c r="AQ54" i="18"/>
  <c r="C10" i="14"/>
  <c r="I78" i="223"/>
  <c r="N102" i="223"/>
  <c r="M156" i="237"/>
  <c r="G179" i="237"/>
  <c r="B15" i="14"/>
  <c r="L155" i="237"/>
  <c r="J156" i="237"/>
  <c r="L34" i="18"/>
  <c r="C43" i="18" s="1"/>
  <c r="U2" i="18"/>
  <c r="C13" i="14"/>
  <c r="I156" i="237"/>
  <c r="BD88" i="18"/>
  <c r="AC81" i="18"/>
  <c r="AT84" i="18"/>
  <c r="U48" i="18"/>
  <c r="BE57" i="18"/>
  <c r="BD45" i="18"/>
  <c r="BA97" i="18"/>
  <c r="AX96" i="18"/>
  <c r="R61" i="18"/>
  <c r="AN68" i="18"/>
  <c r="AV48" i="18"/>
  <c r="AA43" i="18"/>
  <c r="AT90" i="18"/>
  <c r="N58" i="18"/>
  <c r="BL95" i="18"/>
  <c r="AJ64" i="18"/>
  <c r="BB40" i="18"/>
  <c r="AN63" i="18"/>
  <c r="AZ85" i="18"/>
  <c r="S75" i="18"/>
  <c r="AQ58" i="18"/>
  <c r="AJ46" i="18"/>
  <c r="AA92" i="18"/>
  <c r="AR97" i="18"/>
  <c r="AQ64" i="18"/>
  <c r="AO66" i="18"/>
  <c r="AG63" i="18"/>
  <c r="T85" i="18"/>
  <c r="BI74" i="18"/>
  <c r="AX67" i="18"/>
  <c r="AA60" i="18"/>
  <c r="BI39" i="18"/>
  <c r="P69" i="18"/>
  <c r="O80" i="18"/>
  <c r="AB74" i="18"/>
  <c r="AR53" i="18"/>
  <c r="U66" i="18"/>
  <c r="AP63" i="18"/>
  <c r="Q49" i="18"/>
  <c r="C87" i="18"/>
  <c r="U65" i="18"/>
  <c r="AR71" i="18"/>
  <c r="AN92" i="18"/>
  <c r="AA71" i="18"/>
  <c r="BA91" i="18"/>
  <c r="AA94" i="18"/>
  <c r="AP52" i="18"/>
  <c r="AG96" i="18"/>
  <c r="W89" i="18"/>
  <c r="AF54" i="18"/>
  <c r="BE85" i="18"/>
  <c r="AI94" i="18"/>
  <c r="BG58" i="18"/>
  <c r="AA80" i="18"/>
  <c r="AS58" i="18"/>
  <c r="BC45" i="18"/>
  <c r="AG92" i="18"/>
  <c r="AW59" i="18"/>
  <c r="BE63" i="18"/>
  <c r="BB91" i="18"/>
  <c r="X62" i="18"/>
  <c r="BC95" i="18"/>
  <c r="C15" i="14"/>
  <c r="AQ55" i="18"/>
  <c r="BG81" i="18"/>
  <c r="BI43" i="18"/>
  <c r="BB57" i="18"/>
  <c r="J64" i="18"/>
  <c r="U97" i="18"/>
  <c r="BA92" i="18"/>
  <c r="Z49" i="18"/>
  <c r="AE41" i="18"/>
  <c r="P52" i="18"/>
  <c r="AB63" i="18"/>
  <c r="M59" i="18"/>
  <c r="BI78" i="18"/>
  <c r="AI51" i="18"/>
  <c r="Z65" i="18"/>
  <c r="L53" i="18"/>
  <c r="V44" i="18"/>
  <c r="AC39" i="18"/>
  <c r="AS92" i="18"/>
  <c r="AV55" i="18"/>
  <c r="AP90" i="18"/>
  <c r="BI41" i="18"/>
  <c r="Z53" i="18"/>
  <c r="Q71" i="18"/>
  <c r="AF95" i="18"/>
  <c r="AI41" i="18"/>
  <c r="J68" i="18"/>
  <c r="AB92" i="18"/>
  <c r="BA46" i="18"/>
  <c r="J149" i="237"/>
  <c r="X39" i="18"/>
  <c r="G71" i="18"/>
  <c r="BE61" i="18"/>
  <c r="AS56" i="18"/>
  <c r="I61" i="18"/>
  <c r="AJ83" i="18"/>
  <c r="AC55" i="18"/>
  <c r="T90" i="18"/>
  <c r="BH46" i="18"/>
  <c r="Z70" i="18"/>
  <c r="AW77" i="18"/>
  <c r="BJ46" i="18"/>
  <c r="AO84" i="18"/>
  <c r="AV66" i="18"/>
  <c r="BE66" i="18"/>
  <c r="P77" i="18"/>
  <c r="BB59" i="18"/>
  <c r="X49" i="18"/>
  <c r="AS73" i="18"/>
  <c r="Z90" i="18"/>
  <c r="BC80" i="18"/>
  <c r="AD96" i="18"/>
  <c r="G79" i="18"/>
  <c r="Q52" i="18"/>
  <c r="AN50" i="18"/>
  <c r="G73" i="18"/>
  <c r="Z46" i="18"/>
  <c r="W73" i="18"/>
  <c r="L97" i="18"/>
  <c r="BA55" i="18"/>
  <c r="AV41" i="18"/>
  <c r="AT76" i="18"/>
  <c r="R55" i="18"/>
  <c r="AZ57" i="18"/>
  <c r="H91" i="18"/>
  <c r="AM52" i="18"/>
  <c r="Z47" i="18"/>
  <c r="BG91" i="18"/>
  <c r="BG53" i="18"/>
  <c r="AN97" i="18"/>
  <c r="U95" i="18"/>
  <c r="AP77" i="18"/>
  <c r="AW64" i="18"/>
  <c r="Q57" i="18"/>
  <c r="AG79" i="18"/>
  <c r="AS95" i="18"/>
  <c r="AK47" i="18"/>
  <c r="C88" i="18"/>
  <c r="T80" i="18"/>
  <c r="V39" i="18"/>
  <c r="BC71" i="18"/>
  <c r="AR77" i="18"/>
  <c r="AK85" i="18"/>
  <c r="T92" i="18"/>
  <c r="S58" i="18"/>
  <c r="AB45" i="18"/>
  <c r="AE60" i="18"/>
  <c r="W60" i="18"/>
  <c r="T96" i="18"/>
  <c r="AJ56" i="18"/>
  <c r="BA94" i="18"/>
  <c r="BK60" i="18"/>
  <c r="BC92" i="18"/>
  <c r="G90" i="18"/>
  <c r="S94" i="18"/>
  <c r="R81" i="18"/>
  <c r="BA75" i="18"/>
  <c r="BN88" i="18"/>
  <c r="T53" i="18"/>
  <c r="BB38" i="18"/>
  <c r="N79" i="18"/>
  <c r="AR85" i="18"/>
  <c r="O74" i="18"/>
  <c r="AD47" i="18"/>
  <c r="BD91" i="18"/>
  <c r="AE95" i="18"/>
  <c r="L77" i="18"/>
  <c r="AG45" i="18"/>
  <c r="BJ90" i="18"/>
  <c r="S39" i="18"/>
  <c r="BN47" i="18"/>
  <c r="Y45" i="18"/>
  <c r="C24" i="14"/>
  <c r="AW97" i="18"/>
  <c r="G39" i="18"/>
  <c r="H86" i="18"/>
  <c r="AW38" i="18"/>
  <c r="W72" i="18"/>
  <c r="AR67" i="18"/>
  <c r="BF58" i="18"/>
  <c r="BD59" i="18"/>
  <c r="AC47" i="18"/>
  <c r="BG52" i="18"/>
  <c r="X57" i="18"/>
  <c r="Y47" i="18"/>
  <c r="BB86" i="18"/>
  <c r="L55" i="18"/>
  <c r="AG73" i="18"/>
  <c r="O63" i="18"/>
  <c r="BJ89" i="18"/>
  <c r="AZ94" i="18"/>
  <c r="BF81" i="18"/>
  <c r="AS75" i="18"/>
  <c r="BK88" i="18"/>
  <c r="T93" i="18"/>
  <c r="BB92" i="18"/>
  <c r="BH71" i="18"/>
  <c r="AX63" i="18"/>
  <c r="BK89" i="18"/>
  <c r="BD60" i="18"/>
  <c r="AC74" i="18"/>
  <c r="N66" i="18"/>
  <c r="AF79" i="18"/>
  <c r="AV39" i="18"/>
  <c r="J72" i="18"/>
  <c r="BK44" i="18"/>
  <c r="AM94" i="18"/>
  <c r="AK92" i="18"/>
  <c r="T78" i="18"/>
  <c r="AC59" i="18"/>
  <c r="AD89" i="18"/>
  <c r="BB47" i="18"/>
  <c r="T70" i="18"/>
  <c r="C70" i="18"/>
  <c r="V66" i="18"/>
  <c r="G43" i="18"/>
  <c r="BK65" i="18"/>
  <c r="P72" i="18"/>
  <c r="BA56" i="18"/>
  <c r="AS62" i="18"/>
  <c r="Z92" i="18"/>
  <c r="BE96" i="18"/>
  <c r="J41" i="18"/>
  <c r="X69" i="18"/>
  <c r="X92" i="18"/>
  <c r="AJ92" i="18"/>
  <c r="BJ84" i="18"/>
  <c r="BK79" i="18"/>
  <c r="BN52" i="18"/>
  <c r="R97" i="18"/>
  <c r="AT69" i="18"/>
  <c r="BG57" i="18"/>
  <c r="M38" i="18"/>
  <c r="BE91" i="18"/>
  <c r="BB45" i="18"/>
  <c r="V76" i="18"/>
  <c r="R56" i="18"/>
  <c r="BL71" i="18"/>
  <c r="AW73" i="18"/>
  <c r="BA49" i="18"/>
  <c r="AR73" i="18"/>
  <c r="H89" i="18"/>
  <c r="T54" i="18"/>
  <c r="BE79" i="18"/>
  <c r="AT52" i="18"/>
  <c r="AN91" i="18"/>
  <c r="S45" i="18"/>
  <c r="BC43" i="18"/>
  <c r="BB76" i="18"/>
  <c r="BB52" i="18"/>
  <c r="AN43" i="18"/>
  <c r="AP48" i="18"/>
  <c r="AD57" i="18"/>
  <c r="AU74" i="18"/>
  <c r="BK83" i="18"/>
  <c r="AN52" i="18"/>
  <c r="BD73" i="18"/>
  <c r="S87" i="18"/>
  <c r="W41" i="18"/>
  <c r="N78" i="18"/>
  <c r="BH95" i="18"/>
  <c r="AD56" i="18"/>
  <c r="AO70" i="18"/>
  <c r="AE39" i="18"/>
  <c r="BF64" i="18"/>
  <c r="AJ97" i="18"/>
  <c r="BH91" i="18"/>
  <c r="L69" i="18"/>
  <c r="AZ46" i="18"/>
  <c r="H77" i="18"/>
  <c r="BE51" i="18"/>
  <c r="AD61" i="18"/>
  <c r="BJ54" i="18"/>
  <c r="AX87" i="18"/>
  <c r="R62" i="18"/>
  <c r="S62" i="18"/>
  <c r="Q74" i="18"/>
  <c r="I74" i="18"/>
  <c r="AN46" i="18"/>
  <c r="AZ86" i="18"/>
  <c r="G47" i="18"/>
  <c r="AW96" i="18"/>
  <c r="N50" i="18"/>
  <c r="Q50" i="18"/>
  <c r="BH89" i="18"/>
  <c r="BD80" i="18"/>
  <c r="AS72" i="18"/>
  <c r="AJ72" i="18"/>
  <c r="AZ60" i="18"/>
  <c r="BA53" i="18"/>
  <c r="AB57" i="18"/>
  <c r="BL93" i="18"/>
  <c r="AD93" i="18"/>
  <c r="BG46" i="18"/>
  <c r="T87" i="18"/>
  <c r="AV38" i="18"/>
  <c r="Z52" i="18"/>
  <c r="AX49" i="18"/>
  <c r="AF57" i="18"/>
  <c r="AC68" i="18"/>
  <c r="BL77" i="18"/>
  <c r="AB70" i="18"/>
  <c r="BG38" i="18"/>
  <c r="BH51" i="18"/>
  <c r="BG87" i="18"/>
  <c r="AM41" i="18"/>
  <c r="AI45" i="18"/>
  <c r="I95" i="18"/>
  <c r="M44" i="18"/>
  <c r="U70" i="18"/>
  <c r="M84" i="18"/>
  <c r="L74" i="18"/>
  <c r="BJ67" i="18"/>
  <c r="T94" i="18"/>
  <c r="AJ69" i="18"/>
  <c r="N69" i="18"/>
  <c r="L49" i="18"/>
  <c r="BH88" i="18"/>
  <c r="AD39" i="18"/>
  <c r="H54" i="18"/>
  <c r="W97" i="18"/>
  <c r="S81" i="18"/>
  <c r="BF62" i="18"/>
  <c r="BL48" i="18"/>
  <c r="I78" i="18"/>
  <c r="BE71" i="18"/>
  <c r="AT86" i="18"/>
  <c r="G46" i="18"/>
  <c r="AQ56" i="18"/>
  <c r="S50" i="18"/>
  <c r="BB50" i="18"/>
  <c r="AJ89" i="18"/>
  <c r="AX80" i="18"/>
  <c r="O72" i="18"/>
  <c r="AT72" i="18"/>
  <c r="BH60" i="18"/>
  <c r="AO53" i="18"/>
  <c r="AF41" i="18"/>
  <c r="BJ69" i="18"/>
  <c r="V93" i="18"/>
  <c r="BI52" i="18"/>
  <c r="X90" i="18"/>
  <c r="Y84" i="18"/>
  <c r="AT67" i="18"/>
  <c r="AV65" i="18"/>
  <c r="AQ52" i="18"/>
  <c r="AT40" i="18"/>
  <c r="C59" i="18"/>
  <c r="S68" i="18"/>
  <c r="AT78" i="18"/>
  <c r="R83" i="18"/>
  <c r="I38" i="18"/>
  <c r="BJ73" i="18"/>
  <c r="N87" i="18"/>
  <c r="J46" i="18"/>
  <c r="BH45" i="18"/>
  <c r="M95" i="18"/>
  <c r="Y97" i="18"/>
  <c r="BN70" i="18"/>
  <c r="AK39" i="18"/>
  <c r="BA64" i="18"/>
  <c r="AO67" i="18"/>
  <c r="T91" i="18"/>
  <c r="W69" i="18"/>
  <c r="R49" i="18"/>
  <c r="BE73" i="18"/>
  <c r="BN61" i="18"/>
  <c r="BN54" i="18"/>
  <c r="AO54" i="18"/>
  <c r="AK62" i="18"/>
  <c r="AE46" i="18"/>
  <c r="O48" i="18"/>
  <c r="I83" i="18"/>
  <c r="AN67" i="18"/>
  <c r="BA86" i="18"/>
  <c r="BH38" i="18"/>
  <c r="AB96" i="18"/>
  <c r="S65" i="18"/>
  <c r="Y50" i="18"/>
  <c r="U89" i="18"/>
  <c r="J80" i="18"/>
  <c r="AO74" i="18"/>
  <c r="I72" i="18"/>
  <c r="AI60" i="18"/>
  <c r="J53" i="18"/>
  <c r="BF63" i="18"/>
  <c r="AC93" i="18"/>
  <c r="AU93" i="18"/>
  <c r="AE90" i="18"/>
  <c r="BA87" i="18"/>
  <c r="AT68" i="18"/>
  <c r="AV78" i="18"/>
  <c r="BF76" i="18"/>
  <c r="R54" i="18"/>
  <c r="AT88" i="18"/>
  <c r="AP69" i="18"/>
  <c r="C66" i="18"/>
  <c r="BD68" i="18"/>
  <c r="BH77" i="18"/>
  <c r="Q70" i="18"/>
  <c r="O96" i="18"/>
  <c r="AC51" i="18"/>
  <c r="AW61" i="18"/>
  <c r="BJ41" i="18"/>
  <c r="AW45" i="18"/>
  <c r="AZ95" i="18"/>
  <c r="AF44" i="18"/>
  <c r="V84" i="18"/>
  <c r="BE43" i="18"/>
  <c r="AW67" i="18"/>
  <c r="BK74" i="18"/>
  <c r="AL78" i="18"/>
  <c r="AM69" i="18"/>
  <c r="BM49" i="18"/>
  <c r="L88" i="18"/>
  <c r="BC61" i="18"/>
  <c r="AH54" i="18"/>
  <c r="G54" i="18"/>
  <c r="T81" i="18"/>
  <c r="AZ62" i="18"/>
  <c r="AQ48" i="18"/>
  <c r="AL40" i="18"/>
  <c r="BN40" i="18"/>
  <c r="AU86" i="18"/>
  <c r="V38" i="18"/>
  <c r="AG56" i="18"/>
  <c r="AX50" i="18"/>
  <c r="BJ50" i="18"/>
  <c r="AK89" i="18"/>
  <c r="W80" i="18"/>
  <c r="BG72" i="18"/>
  <c r="AC65" i="18"/>
  <c r="V74" i="18"/>
  <c r="AZ63" i="18"/>
  <c r="I93" i="18"/>
  <c r="BJ78" i="18"/>
  <c r="AB52" i="18"/>
  <c r="AL90" i="18"/>
  <c r="AH84" i="18"/>
  <c r="AT46" i="18"/>
  <c r="BG74" i="18"/>
  <c r="B41" i="18"/>
  <c r="AD48" i="18"/>
  <c r="C81" i="18"/>
  <c r="L72" i="18"/>
  <c r="AR45" i="18"/>
  <c r="Y59" i="18"/>
  <c r="AB38" i="18"/>
  <c r="AR43" i="18"/>
  <c r="BF97" i="18"/>
  <c r="BK57" i="18"/>
  <c r="AS77" i="18"/>
  <c r="AQ78" i="18"/>
  <c r="P70" i="18"/>
  <c r="N39" i="18"/>
  <c r="BL49" i="18"/>
  <c r="AB40" i="18"/>
  <c r="L50" i="18"/>
  <c r="AO50" i="18"/>
  <c r="BI68" i="18"/>
  <c r="BJ68" i="18"/>
  <c r="N54" i="18"/>
  <c r="AG49" i="18"/>
  <c r="K13" i="14"/>
  <c r="AB56" i="18"/>
  <c r="AW93" i="18"/>
  <c r="AM93" i="18"/>
  <c r="AU59" i="18"/>
  <c r="I52" i="18"/>
  <c r="BG83" i="18"/>
  <c r="AQ74" i="18"/>
  <c r="BH74" i="18"/>
  <c r="AH74" i="18"/>
  <c r="Y41" i="18"/>
  <c r="BD97" i="18"/>
  <c r="M87" i="18"/>
  <c r="BB87" i="18"/>
  <c r="AC84" i="18"/>
  <c r="AQ66" i="18"/>
  <c r="O78" i="18"/>
  <c r="AQ65" i="18"/>
  <c r="I65" i="18"/>
  <c r="O65" i="18"/>
  <c r="AN88" i="18"/>
  <c r="R63" i="18"/>
  <c r="BG63" i="18"/>
  <c r="J51" i="18"/>
  <c r="BM61" i="18"/>
  <c r="Y85" i="18"/>
  <c r="BN86" i="18"/>
  <c r="AM92" i="18"/>
  <c r="G92" i="18"/>
  <c r="AM76" i="18"/>
  <c r="AZ76" i="18"/>
  <c r="AU48" i="18"/>
  <c r="Y48" i="18"/>
  <c r="Y38" i="18"/>
  <c r="AG89" i="18"/>
  <c r="J91" i="18"/>
  <c r="AJ60" i="18"/>
  <c r="AW60" i="18"/>
  <c r="AQ90" i="18"/>
  <c r="AI90" i="18"/>
  <c r="BK90" i="18"/>
  <c r="AM79" i="18"/>
  <c r="AE51" i="18"/>
  <c r="AV67" i="18"/>
  <c r="AE84" i="18"/>
  <c r="AM61" i="18"/>
  <c r="O66" i="18"/>
  <c r="BB75" i="18"/>
  <c r="BM46" i="18"/>
  <c r="AS55" i="18"/>
  <c r="AO44" i="18"/>
  <c r="BI62" i="18"/>
  <c r="AP43" i="18"/>
  <c r="AI40" i="18"/>
  <c r="N74" i="18"/>
  <c r="AC71" i="18"/>
  <c r="BK87" i="18"/>
  <c r="H69" i="18"/>
  <c r="P86" i="18"/>
  <c r="N80" i="18"/>
  <c r="U83" i="18"/>
  <c r="K14" i="18"/>
  <c r="AY18" i="18"/>
  <c r="K169" i="223"/>
  <c r="M118" i="223"/>
  <c r="N124" i="223"/>
  <c r="AL56" i="18"/>
  <c r="Q76" i="18"/>
  <c r="W49" i="18"/>
  <c r="M43" i="18"/>
  <c r="W74" i="18"/>
  <c r="AW65" i="18"/>
  <c r="AX38" i="18"/>
  <c r="S42" i="18"/>
  <c r="AW74" i="18"/>
  <c r="K93" i="18"/>
  <c r="AP60" i="18"/>
  <c r="U80" i="18"/>
  <c r="AX77" i="18"/>
  <c r="O76" i="18"/>
  <c r="AU61" i="18"/>
  <c r="AF52" i="18"/>
  <c r="BM91" i="18"/>
  <c r="AS78" i="18"/>
  <c r="BA71" i="18"/>
  <c r="AN72" i="18"/>
  <c r="BE48" i="18"/>
  <c r="BC82" i="18"/>
  <c r="AT42" i="18"/>
  <c r="BA72" i="18"/>
  <c r="AT83" i="18"/>
  <c r="BC60" i="18"/>
  <c r="X58" i="18"/>
  <c r="AQ45" i="18"/>
  <c r="AZ64" i="18"/>
  <c r="G96" i="18"/>
  <c r="AI54" i="18"/>
  <c r="M53" i="18"/>
  <c r="AN94" i="18"/>
  <c r="AV60" i="18"/>
  <c r="AE40" i="18"/>
  <c r="AN71" i="18"/>
  <c r="AY53" i="18"/>
  <c r="U90" i="18"/>
  <c r="R47" i="18"/>
  <c r="AP51" i="18"/>
  <c r="AN61" i="18"/>
  <c r="S69" i="18"/>
  <c r="AE92" i="18"/>
  <c r="BJ58" i="18"/>
  <c r="AR64" i="18"/>
  <c r="AX89" i="18"/>
  <c r="AP55" i="18"/>
  <c r="AG88" i="18"/>
  <c r="AT56" i="18"/>
  <c r="AH73" i="18"/>
  <c r="AW52" i="18"/>
  <c r="Z74" i="18"/>
  <c r="AF94" i="18"/>
  <c r="H85" i="18"/>
  <c r="T67" i="18"/>
  <c r="AM43" i="18"/>
  <c r="AV69" i="18"/>
  <c r="AD82" i="18"/>
  <c r="W64" i="18"/>
  <c r="BF61" i="18"/>
  <c r="V53" i="18"/>
  <c r="BN58" i="18"/>
  <c r="AX95" i="18"/>
  <c r="AF39" i="18"/>
  <c r="BB94" i="18"/>
  <c r="AI65" i="18"/>
  <c r="AZ39" i="18"/>
  <c r="AG97" i="18"/>
  <c r="O47" i="18"/>
  <c r="AR57" i="18"/>
  <c r="G68" i="18"/>
  <c r="AH45" i="18"/>
  <c r="BB39" i="18"/>
  <c r="AS85" i="18"/>
  <c r="BL78" i="18"/>
  <c r="AK96" i="18"/>
  <c r="AP82" i="18"/>
  <c r="AZ84" i="18"/>
  <c r="R78" i="18"/>
  <c r="AD71" i="18"/>
  <c r="W86" i="18"/>
  <c r="BG77" i="18"/>
  <c r="BI85" i="18"/>
  <c r="AN93" i="18"/>
  <c r="I55" i="18"/>
  <c r="AU87" i="18"/>
  <c r="AK45" i="18"/>
  <c r="AM74" i="18"/>
  <c r="V67" i="18"/>
  <c r="BL75" i="18"/>
  <c r="AU81" i="18"/>
  <c r="Q48" i="18"/>
  <c r="BC59" i="18"/>
  <c r="S59" i="18"/>
  <c r="BH78" i="18"/>
  <c r="V45" i="18"/>
  <c r="BJ94" i="18"/>
  <c r="Y52" i="18"/>
  <c r="C91" i="18"/>
  <c r="BL83" i="18"/>
  <c r="BD51" i="18"/>
  <c r="N45" i="18"/>
  <c r="AU64" i="18"/>
  <c r="AD69" i="18"/>
  <c r="T88" i="18"/>
  <c r="AX69" i="18"/>
  <c r="Q46" i="18"/>
  <c r="BM73" i="18"/>
  <c r="AU89" i="18"/>
  <c r="BJ72" i="18"/>
  <c r="BH57" i="18"/>
  <c r="BA52" i="18"/>
  <c r="BH96" i="18"/>
  <c r="AL49" i="18"/>
  <c r="B68" i="18"/>
  <c r="K76" i="18"/>
  <c r="BD46" i="18"/>
  <c r="O45" i="18"/>
  <c r="O70" i="18"/>
  <c r="BE67" i="18"/>
  <c r="BA83" i="18"/>
  <c r="AD46" i="18"/>
  <c r="W62" i="18"/>
  <c r="AN40" i="18"/>
  <c r="W38" i="18"/>
  <c r="AL50" i="18"/>
  <c r="Y72" i="18"/>
  <c r="AR93" i="18"/>
  <c r="AK90" i="18"/>
  <c r="AX79" i="18"/>
  <c r="G78" i="18"/>
  <c r="AO87" i="18"/>
  <c r="AD95" i="18"/>
  <c r="R39" i="18"/>
  <c r="AV91" i="18"/>
  <c r="AU77" i="18"/>
  <c r="AE54" i="18"/>
  <c r="K62" i="18"/>
  <c r="BK71" i="18"/>
  <c r="V50" i="18"/>
  <c r="AM72" i="18"/>
  <c r="AZ53" i="18"/>
  <c r="M93" i="18"/>
  <c r="BN93" i="18"/>
  <c r="AJ59" i="18"/>
  <c r="AL97" i="18"/>
  <c r="BD78" i="18"/>
  <c r="H42" i="18"/>
  <c r="P50" i="18"/>
  <c r="BG68" i="18"/>
  <c r="K41" i="14"/>
  <c r="O59" i="18"/>
  <c r="T74" i="18"/>
  <c r="AS87" i="18"/>
  <c r="BD66" i="18"/>
  <c r="BF65" i="18"/>
  <c r="S63" i="18"/>
  <c r="BH61" i="18"/>
  <c r="AM86" i="18"/>
  <c r="BL92" i="18"/>
  <c r="AC48" i="18"/>
  <c r="AH91" i="18"/>
  <c r="AU90" i="18"/>
  <c r="AP79" i="18"/>
  <c r="AJ95" i="18"/>
  <c r="R58" i="18"/>
  <c r="BD70" i="18"/>
  <c r="AE66" i="18"/>
  <c r="AR79" i="18"/>
  <c r="AY46" i="18"/>
  <c r="M55" i="18"/>
  <c r="J44" i="18"/>
  <c r="AR44" i="18"/>
  <c r="AL62" i="18"/>
  <c r="Q89" i="18"/>
  <c r="AT39" i="18"/>
  <c r="I40" i="18"/>
  <c r="BM45" i="18"/>
  <c r="AA41" i="18"/>
  <c r="R71" i="18"/>
  <c r="BK95" i="18"/>
  <c r="BB90" i="18"/>
  <c r="BF69" i="18"/>
  <c r="G53" i="18"/>
  <c r="AH80" i="18"/>
  <c r="BJ93" i="18"/>
  <c r="AS65" i="18"/>
  <c r="C44" i="18"/>
  <c r="C78" i="18"/>
  <c r="C54" i="18"/>
  <c r="AA59" i="18"/>
  <c r="C86" i="18"/>
  <c r="C95" i="18"/>
  <c r="BK78" i="18"/>
  <c r="W78" i="18"/>
  <c r="W65" i="18"/>
  <c r="AB65" i="18"/>
  <c r="Y65" i="18"/>
  <c r="AZ44" i="18"/>
  <c r="BL44" i="18"/>
  <c r="O97" i="18"/>
  <c r="BN97" i="18"/>
  <c r="BM42" i="18"/>
  <c r="P42" i="18"/>
  <c r="BI54" i="18"/>
  <c r="AX54" i="18"/>
  <c r="Z44" i="18"/>
  <c r="AN44" i="18"/>
  <c r="AI44" i="18"/>
  <c r="AS44" i="18"/>
  <c r="AC44" i="18"/>
  <c r="BI44" i="18"/>
  <c r="O44" i="18"/>
  <c r="M83" i="18"/>
  <c r="AB44" i="18"/>
  <c r="BD44" i="18"/>
  <c r="AJ52" i="18"/>
  <c r="L52" i="18"/>
  <c r="U52" i="18"/>
  <c r="G52" i="18"/>
  <c r="U69" i="18"/>
  <c r="X52" i="18"/>
  <c r="BM52" i="18"/>
  <c r="M52" i="18"/>
  <c r="AO82" i="18"/>
  <c r="AR82" i="18"/>
  <c r="AK82" i="18"/>
  <c r="AN82" i="18"/>
  <c r="BF82" i="18"/>
  <c r="AQ82" i="18"/>
  <c r="AS82" i="18"/>
  <c r="W82" i="18"/>
  <c r="AY43" i="18"/>
  <c r="AY54" i="18"/>
  <c r="AZ82" i="18"/>
  <c r="AI38" i="18"/>
  <c r="O38" i="18"/>
  <c r="X38" i="18"/>
  <c r="AP38" i="18"/>
  <c r="BL38" i="18"/>
  <c r="AN38" i="18"/>
  <c r="G50" i="18"/>
  <c r="BI38" i="18"/>
  <c r="N38" i="18"/>
  <c r="G87" i="18"/>
  <c r="R70" i="18"/>
  <c r="AM54" i="18"/>
  <c r="AK70" i="18"/>
  <c r="AH70" i="18"/>
  <c r="AP70" i="18"/>
  <c r="AW70" i="18"/>
  <c r="AM63" i="18"/>
  <c r="G70" i="18"/>
  <c r="BG70" i="18"/>
  <c r="AM96" i="18"/>
  <c r="AM70" i="18"/>
  <c r="AM81" i="18"/>
  <c r="AG81" i="18"/>
  <c r="AZ81" i="18"/>
  <c r="N81" i="18"/>
  <c r="BN81" i="18"/>
  <c r="BC81" i="18"/>
  <c r="BM81" i="18"/>
  <c r="Z81" i="18"/>
  <c r="L81" i="18"/>
  <c r="W81" i="18"/>
  <c r="AY81" i="18"/>
  <c r="AD90" i="18"/>
  <c r="AO90" i="18"/>
  <c r="AX90" i="18"/>
  <c r="AS90" i="18"/>
  <c r="AF56" i="18"/>
  <c r="U56" i="18"/>
  <c r="Y56" i="18"/>
  <c r="L56" i="18"/>
  <c r="AR56" i="18"/>
  <c r="AE56" i="18"/>
  <c r="Y63" i="18"/>
  <c r="O56" i="18"/>
  <c r="O92" i="18"/>
  <c r="BF92" i="18"/>
  <c r="BI63" i="18"/>
  <c r="BJ92" i="18"/>
  <c r="AX92" i="18"/>
  <c r="AT92" i="18"/>
  <c r="AD92" i="18"/>
  <c r="BI83" i="18"/>
  <c r="BN92" i="18"/>
  <c r="BJ59" i="18"/>
  <c r="AG59" i="18"/>
  <c r="AB50" i="18"/>
  <c r="AB53" i="18"/>
  <c r="BE59" i="18"/>
  <c r="AS59" i="18"/>
  <c r="AI59" i="18"/>
  <c r="AB87" i="18"/>
  <c r="AZ59" i="18"/>
  <c r="AQ59" i="18"/>
  <c r="BN59" i="18"/>
  <c r="K51" i="18"/>
  <c r="R51" i="18"/>
  <c r="X51" i="18"/>
  <c r="I51" i="18"/>
  <c r="AQ51" i="18"/>
  <c r="T51" i="18"/>
  <c r="AA51" i="18"/>
  <c r="AG51" i="18"/>
  <c r="AR51" i="18"/>
  <c r="L51" i="18"/>
  <c r="L39" i="18"/>
  <c r="BG39" i="18"/>
  <c r="AO39" i="18"/>
  <c r="Z39" i="18"/>
  <c r="BN39" i="18"/>
  <c r="BJ39" i="18"/>
  <c r="AH39" i="18"/>
  <c r="I39" i="18"/>
  <c r="K39" i="18"/>
  <c r="P68" i="18"/>
  <c r="AQ68" i="18"/>
  <c r="BK68" i="18"/>
  <c r="Q68" i="18"/>
  <c r="AD68" i="18"/>
  <c r="AX68" i="18"/>
  <c r="N68" i="18"/>
  <c r="AZ68" i="18"/>
  <c r="AB85" i="18"/>
  <c r="AP85" i="18"/>
  <c r="K85" i="18"/>
  <c r="AI85" i="18"/>
  <c r="J85" i="18"/>
  <c r="BA48" i="18"/>
  <c r="BG48" i="18"/>
  <c r="M48" i="18"/>
  <c r="Q43" i="18"/>
  <c r="K48" i="18"/>
  <c r="Q65" i="18"/>
  <c r="V65" i="18"/>
  <c r="AD65" i="18"/>
  <c r="AA65" i="18"/>
  <c r="AG65" i="18"/>
  <c r="BL65" i="18"/>
  <c r="AY65" i="18"/>
  <c r="N64" i="18"/>
  <c r="AP45" i="18"/>
  <c r="AT45" i="18"/>
  <c r="L45" i="18"/>
  <c r="BL45" i="18"/>
  <c r="N53" i="18"/>
  <c r="J45" i="18"/>
  <c r="AF45" i="18"/>
  <c r="BG45" i="18"/>
  <c r="AB62" i="18"/>
  <c r="H62" i="18"/>
  <c r="AE53" i="18"/>
  <c r="AF62" i="18"/>
  <c r="G62" i="18"/>
  <c r="AX62" i="18"/>
  <c r="BE72" i="18"/>
  <c r="AE72" i="18"/>
  <c r="AG72" i="18"/>
  <c r="AF72" i="18"/>
  <c r="AP95" i="18"/>
  <c r="AG95" i="18"/>
  <c r="BI95" i="18"/>
  <c r="AC95" i="18"/>
  <c r="H95" i="18"/>
  <c r="AH95" i="18"/>
  <c r="BD95" i="18"/>
  <c r="T95" i="18"/>
  <c r="AI95" i="18"/>
  <c r="AW95" i="18"/>
  <c r="AR80" i="18"/>
  <c r="AZ80" i="18"/>
  <c r="AL80" i="18"/>
  <c r="X80" i="18"/>
  <c r="BF80" i="18"/>
  <c r="Q80" i="18"/>
  <c r="AJ80" i="18"/>
  <c r="I80" i="18"/>
  <c r="AM80" i="18"/>
  <c r="AV80" i="18"/>
  <c r="P80" i="18"/>
  <c r="BM80" i="18"/>
  <c r="AW69" i="18"/>
  <c r="BE80" i="18"/>
  <c r="BB80" i="18"/>
  <c r="BK80" i="18"/>
  <c r="AN80" i="18"/>
  <c r="AD80" i="18"/>
  <c r="AE80" i="18"/>
  <c r="M90" i="18"/>
  <c r="AJ90" i="18"/>
  <c r="BF90" i="18"/>
  <c r="L90" i="18"/>
  <c r="AY90" i="18"/>
  <c r="Q90" i="18"/>
  <c r="BG54" i="18"/>
  <c r="BG51" i="18"/>
  <c r="AH90" i="18"/>
  <c r="BA88" i="18"/>
  <c r="BE65" i="18"/>
  <c r="BE39" i="18"/>
  <c r="AA88" i="18"/>
  <c r="AE88" i="18"/>
  <c r="M88" i="18"/>
  <c r="BE50" i="18"/>
  <c r="BF88" i="18"/>
  <c r="I88" i="18"/>
  <c r="AB88" i="18"/>
  <c r="Y88" i="18"/>
  <c r="R88" i="18"/>
  <c r="X88" i="18"/>
  <c r="BE53" i="18"/>
  <c r="AZ88" i="18"/>
  <c r="R50" i="18"/>
  <c r="R45" i="18"/>
  <c r="R68" i="18"/>
  <c r="R85" i="18"/>
  <c r="U49" i="18"/>
  <c r="AZ49" i="18"/>
  <c r="V49" i="18"/>
  <c r="AA49" i="18"/>
  <c r="AN49" i="18"/>
  <c r="K49" i="18"/>
  <c r="AF49" i="18"/>
  <c r="AE49" i="18"/>
  <c r="S49" i="18"/>
  <c r="R53" i="18"/>
  <c r="N49" i="18"/>
  <c r="AB49" i="18"/>
  <c r="AA89" i="18"/>
  <c r="L89" i="18"/>
  <c r="BF68" i="18"/>
  <c r="BL89" i="18"/>
  <c r="AS89" i="18"/>
  <c r="BF51" i="18"/>
  <c r="X89" i="18"/>
  <c r="BF53" i="18"/>
  <c r="AR89" i="18"/>
  <c r="BF43" i="18"/>
  <c r="M89" i="18"/>
  <c r="AV89" i="18"/>
  <c r="AO89" i="18"/>
  <c r="BB89" i="18"/>
  <c r="BF87" i="18"/>
  <c r="BF89" i="18"/>
  <c r="BN89" i="18"/>
  <c r="AF75" i="18"/>
  <c r="AM75" i="18"/>
  <c r="BM75" i="18"/>
  <c r="AY75" i="18"/>
  <c r="BD75" i="18"/>
  <c r="Y75" i="18"/>
  <c r="M75" i="18"/>
  <c r="AB75" i="18"/>
  <c r="BG75" i="18"/>
  <c r="AP75" i="18"/>
  <c r="W75" i="18"/>
  <c r="AC75" i="18"/>
  <c r="AD75" i="18"/>
  <c r="AW75" i="18"/>
  <c r="AG75" i="18"/>
  <c r="AR96" i="18"/>
  <c r="BE75" i="18"/>
  <c r="P61" i="18"/>
  <c r="AD38" i="18"/>
  <c r="U61" i="18"/>
  <c r="BA61" i="18"/>
  <c r="AY61" i="18"/>
  <c r="BD61" i="18"/>
  <c r="K61" i="18"/>
  <c r="AA61" i="18"/>
  <c r="AX61" i="18"/>
  <c r="AT61" i="18"/>
  <c r="J61" i="18"/>
  <c r="S61" i="18"/>
  <c r="T61" i="18"/>
  <c r="AD50" i="18"/>
  <c r="L61" i="18"/>
  <c r="BB61" i="18"/>
  <c r="AD53" i="18"/>
  <c r="BI61" i="18"/>
  <c r="AJ61" i="18"/>
  <c r="Z61" i="18"/>
  <c r="AV61" i="18"/>
  <c r="Q39" i="18"/>
  <c r="Q62" i="18"/>
  <c r="Q87" i="18"/>
  <c r="AF48" i="18"/>
  <c r="Q64" i="18"/>
  <c r="AE48" i="18"/>
  <c r="AW48" i="18"/>
  <c r="S48" i="18"/>
  <c r="K34" i="14"/>
  <c r="K35" i="14"/>
  <c r="K26" i="14"/>
  <c r="BI59" i="18"/>
  <c r="AB51" i="18"/>
  <c r="X59" i="18"/>
  <c r="AV59" i="18"/>
  <c r="BA59" i="18"/>
  <c r="BK59" i="18"/>
  <c r="R59" i="18"/>
  <c r="AY59" i="18"/>
  <c r="AP59" i="18"/>
  <c r="AU85" i="18"/>
  <c r="AH78" i="18"/>
  <c r="AU51" i="18"/>
  <c r="AU72" i="18"/>
  <c r="Q78" i="18"/>
  <c r="AU38" i="18"/>
  <c r="L78" i="18"/>
  <c r="AU54" i="18"/>
  <c r="AA78" i="18"/>
  <c r="V78" i="18"/>
  <c r="AU43" i="18"/>
  <c r="J78" i="18"/>
  <c r="BB78" i="18"/>
  <c r="AJ78" i="18"/>
  <c r="AR78" i="18"/>
  <c r="M78" i="18"/>
  <c r="Z78" i="18"/>
  <c r="P78" i="18"/>
  <c r="H78" i="18"/>
  <c r="AB79" i="18"/>
  <c r="AI79" i="18"/>
  <c r="H79" i="18"/>
  <c r="O79" i="18"/>
  <c r="AC79" i="18"/>
  <c r="R79" i="18"/>
  <c r="AE79" i="18"/>
  <c r="AU79" i="18"/>
  <c r="Q79" i="18"/>
  <c r="W79" i="18"/>
  <c r="AV85" i="18"/>
  <c r="BI79" i="18"/>
  <c r="AV54" i="18"/>
  <c r="AV83" i="18"/>
  <c r="AV64" i="18"/>
  <c r="AO79" i="18"/>
  <c r="X79" i="18"/>
  <c r="AN79" i="18"/>
  <c r="BG79" i="18"/>
  <c r="S79" i="18"/>
  <c r="BI91" i="18"/>
  <c r="BL91" i="18"/>
  <c r="Z91" i="18"/>
  <c r="BH63" i="18"/>
  <c r="AX91" i="18"/>
  <c r="AI91" i="18"/>
  <c r="AJ91" i="18"/>
  <c r="BH43" i="18"/>
  <c r="AF91" i="18"/>
  <c r="AP91" i="18"/>
  <c r="R91" i="18"/>
  <c r="BH53" i="18"/>
  <c r="AK91" i="18"/>
  <c r="U84" i="18"/>
  <c r="S84" i="18"/>
  <c r="BK84" i="18"/>
  <c r="N84" i="18"/>
  <c r="AB84" i="18"/>
  <c r="BD84" i="18"/>
  <c r="AU84" i="18"/>
  <c r="AR84" i="18"/>
  <c r="AS84" i="18"/>
  <c r="BG84" i="18"/>
  <c r="L84" i="18"/>
  <c r="AN84" i="18"/>
  <c r="BB84" i="18"/>
  <c r="AP84" i="18"/>
  <c r="AL84" i="18"/>
  <c r="BA96" i="18"/>
  <c r="BE84" i="18"/>
  <c r="BN84" i="18"/>
  <c r="AY84" i="18"/>
  <c r="AK84" i="18"/>
  <c r="BL84" i="18"/>
  <c r="AC66" i="18"/>
  <c r="AI83" i="18"/>
  <c r="AG66" i="18"/>
  <c r="X66" i="18"/>
  <c r="BC66" i="18"/>
  <c r="AN66" i="18"/>
  <c r="AW66" i="18"/>
  <c r="AT66" i="18"/>
  <c r="BJ66" i="18"/>
  <c r="BK66" i="18"/>
  <c r="Z66" i="18"/>
  <c r="K66" i="18"/>
  <c r="I66" i="18"/>
  <c r="R46" i="18"/>
  <c r="O62" i="18"/>
  <c r="O54" i="18"/>
  <c r="U46" i="18"/>
  <c r="W46" i="18"/>
  <c r="AG46" i="18"/>
  <c r="AK46" i="18"/>
  <c r="H46" i="18"/>
  <c r="BL46" i="18"/>
  <c r="AV46" i="18"/>
  <c r="I46" i="18"/>
  <c r="O53" i="18"/>
  <c r="S46" i="18"/>
  <c r="Z96" i="18"/>
  <c r="Z85" i="18"/>
  <c r="Z57" i="18"/>
  <c r="BL57" i="18"/>
  <c r="K57" i="18"/>
  <c r="S57" i="18"/>
  <c r="AS57" i="18"/>
  <c r="Z63" i="18"/>
  <c r="AV57" i="18"/>
  <c r="AJ57" i="18"/>
  <c r="P57" i="18"/>
  <c r="Z50" i="18"/>
  <c r="T57" i="18"/>
  <c r="BK85" i="18"/>
  <c r="AV94" i="18"/>
  <c r="BK45" i="18"/>
  <c r="BH94" i="18"/>
  <c r="AJ94" i="18"/>
  <c r="BI94" i="18"/>
  <c r="AS94" i="18"/>
  <c r="BD94" i="18"/>
  <c r="BK53" i="18"/>
  <c r="AP94" i="18"/>
  <c r="Z94" i="18"/>
  <c r="AT94" i="18"/>
  <c r="AQ94" i="18"/>
  <c r="BM94" i="18"/>
  <c r="AB94" i="18"/>
  <c r="P56" i="18"/>
  <c r="I56" i="18"/>
  <c r="AW56" i="18"/>
  <c r="Y51" i="18"/>
  <c r="BB56" i="18"/>
  <c r="G56" i="18"/>
  <c r="BI56" i="18"/>
  <c r="N56" i="18"/>
  <c r="AI56" i="18"/>
  <c r="AV56" i="18"/>
  <c r="Y62" i="18"/>
  <c r="BM56" i="18"/>
  <c r="BJ62" i="18"/>
  <c r="H93" i="18"/>
  <c r="BJ43" i="18"/>
  <c r="AY93" i="18"/>
  <c r="BA93" i="18"/>
  <c r="BK93" i="18"/>
  <c r="P93" i="18"/>
  <c r="R93" i="18"/>
  <c r="BJ53" i="18"/>
  <c r="AA93" i="18"/>
  <c r="X93" i="18"/>
  <c r="AG93" i="18"/>
  <c r="BH93" i="18"/>
  <c r="Z93" i="18"/>
  <c r="AX93" i="18"/>
  <c r="K90" i="18"/>
  <c r="AW90" i="18"/>
  <c r="BG59" i="18"/>
  <c r="BG96" i="18"/>
  <c r="AF90" i="18"/>
  <c r="R90" i="18"/>
  <c r="AA90" i="18"/>
  <c r="BG93" i="18"/>
  <c r="AQ85" i="18"/>
  <c r="BE74" i="18"/>
  <c r="AQ46" i="18"/>
  <c r="AQ75" i="18"/>
  <c r="S74" i="18"/>
  <c r="AQ84" i="18"/>
  <c r="P74" i="18"/>
  <c r="AQ80" i="18"/>
  <c r="AQ88" i="18"/>
  <c r="AQ38" i="18"/>
  <c r="AQ62" i="18"/>
  <c r="J74" i="18"/>
  <c r="H74" i="18"/>
  <c r="AQ44" i="18"/>
  <c r="BD74" i="18"/>
  <c r="AE74" i="18"/>
  <c r="AZ74" i="18"/>
  <c r="BB74" i="18"/>
  <c r="R74" i="18"/>
  <c r="AG74" i="18"/>
  <c r="AA74" i="18"/>
  <c r="M74" i="18"/>
  <c r="AK74" i="18"/>
  <c r="AE76" i="18"/>
  <c r="AC76" i="18"/>
  <c r="BJ76" i="18"/>
  <c r="AS61" i="18"/>
  <c r="AB76" i="18"/>
  <c r="BE76" i="18"/>
  <c r="AS48" i="18"/>
  <c r="AS66" i="18"/>
  <c r="AS43" i="18"/>
  <c r="BM76" i="18"/>
  <c r="AF76" i="18"/>
  <c r="AW76" i="18"/>
  <c r="BN76" i="18"/>
  <c r="AJ76" i="18"/>
  <c r="AS69" i="18"/>
  <c r="BD76" i="18"/>
  <c r="BL76" i="18"/>
  <c r="AS83" i="18"/>
  <c r="BA76" i="18"/>
  <c r="AS51" i="18"/>
  <c r="AX76" i="18"/>
  <c r="AS45" i="18"/>
  <c r="AS96" i="18"/>
  <c r="AA76" i="18"/>
  <c r="S76" i="18"/>
  <c r="AO76" i="18"/>
  <c r="G76" i="18"/>
  <c r="Z76" i="18"/>
  <c r="AS64" i="18"/>
  <c r="AY76" i="18"/>
  <c r="AP76" i="18"/>
  <c r="AD76" i="18"/>
  <c r="AR76" i="18"/>
  <c r="H76" i="18"/>
  <c r="AN76" i="18"/>
  <c r="AS76" i="18"/>
  <c r="AU76" i="18"/>
  <c r="O60" i="18"/>
  <c r="AC94" i="18"/>
  <c r="AC62" i="18"/>
  <c r="AC57" i="18"/>
  <c r="G60" i="18"/>
  <c r="AC88" i="18"/>
  <c r="AC43" i="18"/>
  <c r="AC61" i="18"/>
  <c r="AR60" i="18"/>
  <c r="V60" i="18"/>
  <c r="AC64" i="18"/>
  <c r="AC85" i="18"/>
  <c r="AC38" i="18"/>
  <c r="AC53" i="18"/>
  <c r="AC87" i="18"/>
  <c r="Y60" i="18"/>
  <c r="AC83" i="18"/>
  <c r="N60" i="18"/>
  <c r="AQ60" i="18"/>
  <c r="AF60" i="18"/>
  <c r="T60" i="18"/>
  <c r="M60" i="18"/>
  <c r="AM60" i="18"/>
  <c r="BN60" i="18"/>
  <c r="BF60" i="18"/>
  <c r="AN60" i="18"/>
  <c r="BM60" i="18"/>
  <c r="AT60" i="18"/>
  <c r="AH60" i="18"/>
  <c r="H60" i="18"/>
  <c r="AA47" i="18"/>
  <c r="P94" i="18"/>
  <c r="Q47" i="18"/>
  <c r="AU47" i="18"/>
  <c r="AS47" i="18"/>
  <c r="P60" i="18"/>
  <c r="P47" i="18"/>
  <c r="P38" i="18"/>
  <c r="P75" i="18"/>
  <c r="BJ47" i="18"/>
  <c r="P45" i="18"/>
  <c r="K47" i="18"/>
  <c r="P53" i="18"/>
  <c r="AO47" i="18"/>
  <c r="P95" i="18"/>
  <c r="P51" i="18"/>
  <c r="P96" i="18"/>
  <c r="U47" i="18"/>
  <c r="AZ47" i="18"/>
  <c r="J47" i="18"/>
  <c r="P48" i="18"/>
  <c r="P59" i="18"/>
  <c r="P39" i="18"/>
  <c r="AQ47" i="18"/>
  <c r="BM47" i="18"/>
  <c r="AX47" i="18"/>
  <c r="AM47" i="18"/>
  <c r="P43" i="18"/>
  <c r="BD47" i="18"/>
  <c r="P62" i="18"/>
  <c r="AT47" i="18"/>
  <c r="L47" i="18"/>
  <c r="P44" i="18"/>
  <c r="AP47" i="18"/>
  <c r="BH47" i="18"/>
  <c r="N47" i="18"/>
  <c r="BF47" i="18"/>
  <c r="AI47" i="18"/>
  <c r="P64" i="18"/>
  <c r="P87" i="18"/>
  <c r="AF47" i="18"/>
  <c r="BA47" i="18"/>
  <c r="BI47" i="18"/>
  <c r="M47" i="18"/>
  <c r="S47" i="18"/>
  <c r="AL47" i="18"/>
  <c r="BE81" i="18"/>
  <c r="AO81" i="18"/>
  <c r="AW81" i="18"/>
  <c r="AX64" i="18"/>
  <c r="J81" i="18"/>
  <c r="AI81" i="18"/>
  <c r="AD81" i="18"/>
  <c r="AX57" i="18"/>
  <c r="AX83" i="18"/>
  <c r="AX65" i="18"/>
  <c r="AF81" i="18"/>
  <c r="H81" i="18"/>
  <c r="AT81" i="18"/>
  <c r="AX43" i="18"/>
  <c r="BK81" i="18"/>
  <c r="BL81" i="18"/>
  <c r="AX94" i="18"/>
  <c r="V81" i="18"/>
  <c r="AX51" i="18"/>
  <c r="AX46" i="18"/>
  <c r="I81" i="18"/>
  <c r="AJ81" i="18"/>
  <c r="X81" i="18"/>
  <c r="AX88" i="18"/>
  <c r="AX56" i="18"/>
  <c r="K81" i="18"/>
  <c r="P81" i="18"/>
  <c r="AV81" i="18"/>
  <c r="AH81" i="18"/>
  <c r="AK81" i="18"/>
  <c r="BH81" i="18"/>
  <c r="BD81" i="18"/>
  <c r="AX39" i="18"/>
  <c r="AL81" i="18"/>
  <c r="G81" i="18"/>
  <c r="AT58" i="18"/>
  <c r="AA72" i="18"/>
  <c r="AF58" i="18"/>
  <c r="Z58" i="18"/>
  <c r="AA44" i="18"/>
  <c r="AA57" i="18"/>
  <c r="AA85" i="18"/>
  <c r="BM58" i="18"/>
  <c r="AR58" i="18"/>
  <c r="K58" i="18"/>
  <c r="AB58" i="18"/>
  <c r="U58" i="18"/>
  <c r="AA87" i="18"/>
  <c r="AA48" i="18"/>
  <c r="AK58" i="18"/>
  <c r="AA39" i="18"/>
  <c r="AA75" i="18"/>
  <c r="AX58" i="18"/>
  <c r="O58" i="18"/>
  <c r="AA56" i="18"/>
  <c r="AA66" i="18"/>
  <c r="AP58" i="18"/>
  <c r="BK58" i="18"/>
  <c r="AA84" i="18"/>
  <c r="AA83" i="18"/>
  <c r="M58" i="18"/>
  <c r="AA68" i="18"/>
  <c r="AA96" i="18"/>
  <c r="G58" i="18"/>
  <c r="AA95" i="18"/>
  <c r="AA54" i="18"/>
  <c r="BC58" i="18"/>
  <c r="AU58" i="18"/>
  <c r="BH58" i="18"/>
  <c r="AA79" i="18"/>
  <c r="BD58" i="18"/>
  <c r="V58" i="18"/>
  <c r="AA62" i="18"/>
  <c r="J58" i="18"/>
  <c r="AM58" i="18"/>
  <c r="L58" i="18"/>
  <c r="BI58" i="18"/>
  <c r="Q58" i="18"/>
  <c r="AC58" i="18"/>
  <c r="AA58" i="18"/>
  <c r="AJ58" i="18"/>
  <c r="AN58" i="18"/>
  <c r="AI58" i="18"/>
  <c r="Y58" i="18"/>
  <c r="AD58" i="18"/>
  <c r="AO58" i="18"/>
  <c r="BH41" i="18"/>
  <c r="J50" i="18"/>
  <c r="J39" i="18"/>
  <c r="J57" i="18"/>
  <c r="P41" i="18"/>
  <c r="K41" i="18"/>
  <c r="Q41" i="18"/>
  <c r="BB41" i="18"/>
  <c r="J54" i="18"/>
  <c r="J88" i="18"/>
  <c r="J94" i="18"/>
  <c r="J84" i="18"/>
  <c r="AK41" i="18"/>
  <c r="AX41" i="18"/>
  <c r="BA41" i="18"/>
  <c r="J60" i="18"/>
  <c r="BN41" i="18"/>
  <c r="AS41" i="18"/>
  <c r="J76" i="18"/>
  <c r="J63" i="18"/>
  <c r="AU41" i="18"/>
  <c r="J38" i="18"/>
  <c r="O41" i="18"/>
  <c r="BM41" i="18"/>
  <c r="R41" i="18"/>
  <c r="J87" i="18"/>
  <c r="AH41" i="18"/>
  <c r="T41" i="18"/>
  <c r="J49" i="18"/>
  <c r="J66" i="18"/>
  <c r="J75" i="18"/>
  <c r="AO41" i="18"/>
  <c r="AJ41" i="18"/>
  <c r="BE41" i="18"/>
  <c r="G41" i="18"/>
  <c r="I41" i="18"/>
  <c r="Z41" i="18"/>
  <c r="AL41" i="18"/>
  <c r="U41" i="18"/>
  <c r="AP41" i="18"/>
  <c r="AC41" i="18"/>
  <c r="AB41" i="18"/>
  <c r="N41" i="18"/>
  <c r="V41" i="18"/>
  <c r="AG41" i="18"/>
  <c r="AW41" i="18"/>
  <c r="H41" i="18"/>
  <c r="BD41" i="18"/>
  <c r="L41" i="18"/>
  <c r="J69" i="18"/>
  <c r="Y92" i="18"/>
  <c r="BI75" i="18"/>
  <c r="H92" i="18"/>
  <c r="BI90" i="18"/>
  <c r="BI93" i="18"/>
  <c r="AP92" i="18"/>
  <c r="W92" i="18"/>
  <c r="BI49" i="18"/>
  <c r="BG92" i="18"/>
  <c r="AR92" i="18"/>
  <c r="P92" i="18"/>
  <c r="AV92" i="18"/>
  <c r="BI80" i="18"/>
  <c r="N92" i="18"/>
  <c r="U92" i="18"/>
  <c r="BI84" i="18"/>
  <c r="BI46" i="18"/>
  <c r="R92" i="18"/>
  <c r="AH92" i="18"/>
  <c r="BI87" i="18"/>
  <c r="BI69" i="18"/>
  <c r="AU92" i="18"/>
  <c r="L92" i="18"/>
  <c r="AY92" i="18"/>
  <c r="BE92" i="18"/>
  <c r="BH92" i="18"/>
  <c r="BD92" i="18"/>
  <c r="Q92" i="18"/>
  <c r="BI51" i="18"/>
  <c r="AW92" i="18"/>
  <c r="AF92" i="18"/>
  <c r="K92" i="18"/>
  <c r="BK92" i="18"/>
  <c r="BM92" i="18"/>
  <c r="AZ92" i="18"/>
  <c r="M92" i="18"/>
  <c r="J92" i="18"/>
  <c r="BI65" i="18"/>
  <c r="BI92" i="18"/>
  <c r="BI53" i="18"/>
  <c r="J71" i="18"/>
  <c r="U71" i="18"/>
  <c r="AE71" i="18"/>
  <c r="BJ71" i="18"/>
  <c r="M71" i="18"/>
  <c r="AX71" i="18"/>
  <c r="AP71" i="18"/>
  <c r="AN65" i="18"/>
  <c r="BI71" i="18"/>
  <c r="Z71" i="18"/>
  <c r="BG71" i="18"/>
  <c r="AO71" i="18"/>
  <c r="AN90" i="18"/>
  <c r="AJ71" i="18"/>
  <c r="AN56" i="18"/>
  <c r="AN75" i="18"/>
  <c r="AN74" i="18"/>
  <c r="AQ71" i="18"/>
  <c r="O71" i="18"/>
  <c r="AU71" i="18"/>
  <c r="AN64" i="18"/>
  <c r="K71" i="18"/>
  <c r="AN57" i="18"/>
  <c r="AN53" i="18"/>
  <c r="T71" i="18"/>
  <c r="BF71" i="18"/>
  <c r="AM71" i="18"/>
  <c r="AN85" i="18"/>
  <c r="AG71" i="18"/>
  <c r="W71" i="18"/>
  <c r="AB71" i="18"/>
  <c r="AT71" i="18"/>
  <c r="AN45" i="18"/>
  <c r="S71" i="18"/>
  <c r="H71" i="18"/>
  <c r="AS71" i="18"/>
  <c r="AW71" i="18"/>
  <c r="AN39" i="18"/>
  <c r="N71" i="18"/>
  <c r="AV71" i="18"/>
  <c r="AZ71" i="18"/>
  <c r="AF71" i="18"/>
  <c r="AN54" i="18"/>
  <c r="BD71" i="18"/>
  <c r="X71" i="18"/>
  <c r="AN96" i="18"/>
  <c r="AL71" i="18"/>
  <c r="I71" i="18"/>
  <c r="AN87" i="18"/>
  <c r="AH89" i="18"/>
  <c r="P89" i="18"/>
  <c r="AC89" i="18"/>
  <c r="BF39" i="18"/>
  <c r="Y89" i="18"/>
  <c r="AP89" i="18"/>
  <c r="AQ89" i="18"/>
  <c r="BF72" i="18"/>
  <c r="AZ89" i="18"/>
  <c r="BF54" i="18"/>
  <c r="BF44" i="18"/>
  <c r="AB89" i="18"/>
  <c r="BF74" i="18"/>
  <c r="BF59" i="18"/>
  <c r="BA89" i="18"/>
  <c r="N89" i="18"/>
  <c r="BF45" i="18"/>
  <c r="O89" i="18"/>
  <c r="BG89" i="18"/>
  <c r="BF66" i="18"/>
  <c r="BI89" i="18"/>
  <c r="BF94" i="18"/>
  <c r="AW89" i="18"/>
  <c r="BF84" i="18"/>
  <c r="BM89" i="18"/>
  <c r="BF79" i="18"/>
  <c r="R89" i="18"/>
  <c r="AE89" i="18"/>
  <c r="AM89" i="18"/>
  <c r="BF56" i="18"/>
  <c r="AF89" i="18"/>
  <c r="U63" i="18"/>
  <c r="U60" i="18"/>
  <c r="S52" i="18"/>
  <c r="AE52" i="18"/>
  <c r="AG52" i="18"/>
  <c r="BK52" i="18"/>
  <c r="U88" i="18"/>
  <c r="AC52" i="18"/>
  <c r="AA52" i="18"/>
  <c r="U59" i="18"/>
  <c r="U57" i="18"/>
  <c r="U74" i="18"/>
  <c r="R52" i="18"/>
  <c r="U50" i="18"/>
  <c r="U45" i="18"/>
  <c r="AR52" i="18"/>
  <c r="AK52" i="18"/>
  <c r="W52" i="18"/>
  <c r="AS52" i="18"/>
  <c r="BE52" i="18"/>
  <c r="V52" i="18"/>
  <c r="AH52" i="18"/>
  <c r="H52" i="18"/>
  <c r="BC52" i="18"/>
  <c r="AI52" i="18"/>
  <c r="U96" i="18"/>
  <c r="BD52" i="18"/>
  <c r="U79" i="18"/>
  <c r="BJ52" i="18"/>
  <c r="J52" i="18"/>
  <c r="AV52" i="18"/>
  <c r="U54" i="18"/>
  <c r="N52" i="18"/>
  <c r="AD52" i="18"/>
  <c r="U85" i="18"/>
  <c r="J73" i="18"/>
  <c r="AP39" i="18"/>
  <c r="BL73" i="18"/>
  <c r="AX73" i="18"/>
  <c r="K73" i="18"/>
  <c r="AP93" i="18"/>
  <c r="AB73" i="18"/>
  <c r="AP72" i="18"/>
  <c r="AP73" i="18"/>
  <c r="B73" i="18" s="1"/>
  <c r="AP54" i="18"/>
  <c r="AF73" i="18"/>
  <c r="AP56" i="18"/>
  <c r="AP65" i="18"/>
  <c r="AV73" i="18"/>
  <c r="AP74" i="18"/>
  <c r="AN73" i="18"/>
  <c r="AL73" i="18"/>
  <c r="V73" i="18"/>
  <c r="AP61" i="18"/>
  <c r="AP66" i="18"/>
  <c r="O73" i="18"/>
  <c r="BI73" i="18"/>
  <c r="AU73" i="18"/>
  <c r="AJ73" i="18"/>
  <c r="AQ73" i="18"/>
  <c r="P73" i="18"/>
  <c r="AP83" i="18"/>
  <c r="T73" i="18"/>
  <c r="X73" i="18"/>
  <c r="BH73" i="18"/>
  <c r="AP64" i="18"/>
  <c r="AC73" i="18"/>
  <c r="AI73" i="18"/>
  <c r="M73" i="18"/>
  <c r="AT73" i="18"/>
  <c r="AM73" i="18"/>
  <c r="BG73" i="18"/>
  <c r="AE73" i="18"/>
  <c r="L73" i="18"/>
  <c r="BF73" i="18"/>
  <c r="AK73" i="18"/>
  <c r="AP87" i="18"/>
  <c r="Q73" i="18"/>
  <c r="BC73" i="18"/>
  <c r="AP53" i="18"/>
  <c r="AP96" i="18"/>
  <c r="AZ73" i="18"/>
  <c r="BH50" i="18"/>
  <c r="Y91" i="18"/>
  <c r="BH79" i="18"/>
  <c r="AZ91" i="18"/>
  <c r="AU91" i="18"/>
  <c r="BH76" i="18"/>
  <c r="BH54" i="18"/>
  <c r="Q91" i="18"/>
  <c r="L91" i="18"/>
  <c r="G91" i="18"/>
  <c r="AQ91" i="18"/>
  <c r="O91" i="18"/>
  <c r="BH65" i="18"/>
  <c r="BH39" i="18"/>
  <c r="BH56" i="18"/>
  <c r="AC91" i="18"/>
  <c r="BH83" i="18"/>
  <c r="X91" i="18"/>
  <c r="BH72" i="18"/>
  <c r="P91" i="18"/>
  <c r="AO91" i="18"/>
  <c r="BN91" i="18"/>
  <c r="AE91" i="18"/>
  <c r="BH49" i="18"/>
  <c r="K91" i="18"/>
  <c r="BH87" i="18"/>
  <c r="BH62" i="18"/>
  <c r="BH64" i="18"/>
  <c r="AY91" i="18"/>
  <c r="BC91" i="18"/>
  <c r="AM91" i="18"/>
  <c r="I91" i="18"/>
  <c r="BF91" i="18"/>
  <c r="BH69" i="18"/>
  <c r="U91" i="18"/>
  <c r="BH66" i="18"/>
  <c r="BN67" i="18"/>
  <c r="AP67" i="18"/>
  <c r="AH67" i="18"/>
  <c r="AZ67" i="18"/>
  <c r="AJ62" i="18"/>
  <c r="J67" i="18"/>
  <c r="AK67" i="18"/>
  <c r="AJ38" i="18"/>
  <c r="AJ67" i="18"/>
  <c r="AU67" i="18"/>
  <c r="AB67" i="18"/>
  <c r="BC67" i="18"/>
  <c r="AJ49" i="18"/>
  <c r="BH67" i="18"/>
  <c r="AI67" i="18"/>
  <c r="U67" i="18"/>
  <c r="K67" i="18"/>
  <c r="AJ45" i="18"/>
  <c r="P67" i="18"/>
  <c r="AA67" i="18"/>
  <c r="S67" i="18"/>
  <c r="BL67" i="18"/>
  <c r="G67" i="18"/>
  <c r="AJ39" i="18"/>
  <c r="W67" i="18"/>
  <c r="AJ44" i="18"/>
  <c r="AJ93" i="18"/>
  <c r="AS67" i="18"/>
  <c r="L67" i="18"/>
  <c r="Y67" i="18"/>
  <c r="X67" i="18"/>
  <c r="AJ65" i="18"/>
  <c r="AJ48" i="18"/>
  <c r="AJ88" i="18"/>
  <c r="AJ68" i="18"/>
  <c r="AJ75" i="18"/>
  <c r="AJ84" i="18"/>
  <c r="AJ53" i="18"/>
  <c r="AJ85" i="18"/>
  <c r="I67" i="18"/>
  <c r="BM67" i="18"/>
  <c r="AD67" i="18"/>
  <c r="Z67" i="18"/>
  <c r="AC67" i="18"/>
  <c r="AJ51" i="18"/>
  <c r="AJ63" i="18"/>
  <c r="AM67" i="18"/>
  <c r="M67" i="18"/>
  <c r="AJ87" i="18"/>
  <c r="BI67" i="18"/>
  <c r="Q67" i="18"/>
  <c r="AL67" i="18"/>
  <c r="AE67" i="18"/>
  <c r="AF67" i="18"/>
  <c r="AG67" i="18"/>
  <c r="BF67" i="18"/>
  <c r="AJ43" i="18"/>
  <c r="BK67" i="18"/>
  <c r="BD67" i="18"/>
  <c r="BB67" i="18"/>
  <c r="BA67" i="18"/>
  <c r="AJ96" i="18"/>
  <c r="H67" i="18"/>
  <c r="R67" i="18"/>
  <c r="AQ67" i="18"/>
  <c r="N67" i="18"/>
  <c r="AO55" i="18"/>
  <c r="BK55" i="18"/>
  <c r="Q55" i="18"/>
  <c r="X75" i="18"/>
  <c r="X41" i="18"/>
  <c r="BE55" i="18"/>
  <c r="X50" i="18"/>
  <c r="X47" i="18"/>
  <c r="X96" i="18"/>
  <c r="U55" i="18"/>
  <c r="X76" i="18"/>
  <c r="X48" i="18"/>
  <c r="AZ55" i="18"/>
  <c r="X60" i="18"/>
  <c r="W55" i="18"/>
  <c r="AF55" i="18"/>
  <c r="BL55" i="18"/>
  <c r="BB55" i="18"/>
  <c r="BI55" i="18"/>
  <c r="O55" i="18"/>
  <c r="BF55" i="18"/>
  <c r="X46" i="18"/>
  <c r="X84" i="18"/>
  <c r="X64" i="18"/>
  <c r="X68" i="18"/>
  <c r="BH55" i="18"/>
  <c r="J55" i="18"/>
  <c r="AD55" i="18"/>
  <c r="AX55" i="18"/>
  <c r="X65" i="18"/>
  <c r="T55" i="18"/>
  <c r="AL55" i="18"/>
  <c r="X54" i="18"/>
  <c r="X61" i="18"/>
  <c r="AH55" i="18"/>
  <c r="X85" i="18"/>
  <c r="AE55" i="18"/>
  <c r="BN55" i="18"/>
  <c r="Y55" i="18"/>
  <c r="AT55" i="18"/>
  <c r="X95" i="18"/>
  <c r="AW55" i="18"/>
  <c r="N55" i="18"/>
  <c r="X94" i="18"/>
  <c r="X55" i="18"/>
  <c r="AU55" i="18"/>
  <c r="X56" i="18"/>
  <c r="S55" i="18"/>
  <c r="BD55" i="18"/>
  <c r="X87" i="18"/>
  <c r="AA55" i="18"/>
  <c r="V55" i="18"/>
  <c r="H55" i="18"/>
  <c r="AK55" i="18"/>
  <c r="X43" i="18"/>
  <c r="AM55" i="18"/>
  <c r="X72" i="18"/>
  <c r="X45" i="18"/>
  <c r="X63" i="18"/>
  <c r="AR55" i="18"/>
  <c r="AY55" i="18"/>
  <c r="AJ55" i="18"/>
  <c r="X44" i="18"/>
  <c r="G55" i="18"/>
  <c r="AB55" i="18"/>
  <c r="BM55" i="18"/>
  <c r="AN55" i="18"/>
  <c r="X83" i="18"/>
  <c r="BC55" i="18"/>
  <c r="P55" i="18"/>
  <c r="X53" i="18"/>
  <c r="BG55" i="18"/>
  <c r="BJ55" i="18"/>
  <c r="Y70" i="18"/>
  <c r="AM85" i="18"/>
  <c r="J70" i="18"/>
  <c r="AG70" i="18"/>
  <c r="AM66" i="18"/>
  <c r="AM45" i="18"/>
  <c r="AM53" i="18"/>
  <c r="M70" i="18"/>
  <c r="AM46" i="18"/>
  <c r="AD70" i="18"/>
  <c r="AM38" i="18"/>
  <c r="AM64" i="18"/>
  <c r="AM68" i="18"/>
  <c r="AM49" i="18"/>
  <c r="AN70" i="18"/>
  <c r="AM65" i="18"/>
  <c r="BH70" i="18"/>
  <c r="AM90" i="18"/>
  <c r="S70" i="18"/>
  <c r="I70" i="18"/>
  <c r="AQ70" i="18"/>
  <c r="BA70" i="18"/>
  <c r="AM48" i="18"/>
  <c r="BL70" i="18"/>
  <c r="AM84" i="18"/>
  <c r="AJ70" i="18"/>
  <c r="AM50" i="18"/>
  <c r="AE70" i="18"/>
  <c r="AS70" i="18"/>
  <c r="AM62" i="18"/>
  <c r="AM44" i="18"/>
  <c r="X70" i="18"/>
  <c r="AL70" i="18"/>
  <c r="AZ70" i="18"/>
  <c r="AM87" i="18"/>
  <c r="AM83" i="18"/>
  <c r="AM57" i="18"/>
  <c r="AF70" i="18"/>
  <c r="AU70" i="18"/>
  <c r="V70" i="18"/>
  <c r="AV70" i="18"/>
  <c r="BJ70" i="18"/>
  <c r="AM56" i="18"/>
  <c r="N70" i="18"/>
  <c r="AA70" i="18"/>
  <c r="BB70" i="18"/>
  <c r="AY70" i="18"/>
  <c r="AX70" i="18"/>
  <c r="BM70" i="18"/>
  <c r="BE70" i="18"/>
  <c r="AM95" i="18"/>
  <c r="AM39" i="18"/>
  <c r="AM59" i="18"/>
  <c r="K70" i="18"/>
  <c r="AM88" i="18"/>
  <c r="L70" i="18"/>
  <c r="W70" i="18"/>
  <c r="AM51" i="18"/>
  <c r="AT70" i="18"/>
  <c r="AR70" i="18"/>
  <c r="BF70" i="18"/>
  <c r="BK70" i="18"/>
  <c r="BI70" i="18"/>
  <c r="H70" i="18"/>
  <c r="BC70" i="18"/>
  <c r="AI70" i="18"/>
  <c r="AC70" i="18"/>
  <c r="AO86" i="18"/>
  <c r="BC65" i="18"/>
  <c r="BF86" i="18"/>
  <c r="BC41" i="18"/>
  <c r="BC87" i="18"/>
  <c r="BC51" i="18"/>
  <c r="AL86" i="18"/>
  <c r="BJ86" i="18"/>
  <c r="BC89" i="18"/>
  <c r="BC76" i="18"/>
  <c r="BC49" i="18"/>
  <c r="BC47" i="18"/>
  <c r="BC39" i="18"/>
  <c r="BC90" i="18"/>
  <c r="BC94" i="18"/>
  <c r="AX86" i="18"/>
  <c r="AW86" i="18"/>
  <c r="BC56" i="18"/>
  <c r="BC74" i="18"/>
  <c r="BC93" i="18"/>
  <c r="BD86" i="18"/>
  <c r="AP86" i="18"/>
  <c r="BC84" i="18"/>
  <c r="BC57" i="18"/>
  <c r="AC86" i="18"/>
  <c r="BC72" i="18"/>
  <c r="AR86" i="18"/>
  <c r="BC53" i="18"/>
  <c r="Z86" i="18"/>
  <c r="BC85" i="18"/>
  <c r="K86" i="18"/>
  <c r="U86" i="18"/>
  <c r="BG86" i="18"/>
  <c r="BC62" i="18"/>
  <c r="Q86" i="18"/>
  <c r="AI86" i="18"/>
  <c r="N86" i="18"/>
  <c r="T86" i="18"/>
  <c r="BC50" i="18"/>
  <c r="V86" i="18"/>
  <c r="BC48" i="18"/>
  <c r="BC88" i="18"/>
  <c r="BC75" i="18"/>
  <c r="J86" i="18"/>
  <c r="BC79" i="18"/>
  <c r="S86" i="18"/>
  <c r="BC83" i="18"/>
  <c r="O86" i="18"/>
  <c r="AF86" i="18"/>
  <c r="BC54" i="18"/>
  <c r="AS86" i="18"/>
  <c r="AY86" i="18"/>
  <c r="AQ86" i="18"/>
  <c r="AK86" i="18"/>
  <c r="AN86" i="18"/>
  <c r="AD86" i="18"/>
  <c r="BC64" i="18"/>
  <c r="BC38" i="18"/>
  <c r="BC46" i="18"/>
  <c r="BH86" i="18"/>
  <c r="BC63" i="18"/>
  <c r="I86" i="18"/>
  <c r="BC44" i="18"/>
  <c r="L86" i="18"/>
  <c r="Y86" i="18"/>
  <c r="AJ86" i="18"/>
  <c r="BM86" i="18"/>
  <c r="G86" i="18"/>
  <c r="BE86" i="18"/>
  <c r="AH86" i="18"/>
  <c r="AG86" i="18"/>
  <c r="X86" i="18"/>
  <c r="BK86" i="18"/>
  <c r="BC68" i="18"/>
  <c r="AE86" i="18"/>
  <c r="BC96" i="18"/>
  <c r="BL86" i="18"/>
  <c r="AA86" i="18"/>
  <c r="AB86" i="18"/>
  <c r="BI86" i="18"/>
  <c r="R86" i="18"/>
  <c r="M86" i="18"/>
  <c r="BC69" i="18"/>
  <c r="BC86" i="18"/>
  <c r="AV86" i="18"/>
  <c r="AT74" i="18"/>
  <c r="AT87" i="18"/>
  <c r="AB77" i="18"/>
  <c r="K77" i="18"/>
  <c r="AA77" i="18"/>
  <c r="AT57" i="18"/>
  <c r="AT85" i="18"/>
  <c r="AT49" i="18"/>
  <c r="AJ77" i="18"/>
  <c r="BE77" i="18"/>
  <c r="AT53" i="18"/>
  <c r="AN77" i="18"/>
  <c r="AI77" i="18"/>
  <c r="AT41" i="18"/>
  <c r="AT91" i="18"/>
  <c r="S77" i="18"/>
  <c r="AT79" i="18"/>
  <c r="AT54" i="18"/>
  <c r="AT89" i="18"/>
  <c r="BD77" i="18"/>
  <c r="J77" i="18"/>
  <c r="AC77" i="18"/>
  <c r="Y77" i="18"/>
  <c r="BA77" i="18"/>
  <c r="AT80" i="18"/>
  <c r="AE77" i="18"/>
  <c r="I77" i="18"/>
  <c r="O77" i="18"/>
  <c r="AT96" i="18"/>
  <c r="BN77" i="18"/>
  <c r="AM77" i="18"/>
  <c r="N77" i="18"/>
  <c r="AY77" i="18"/>
  <c r="AV77" i="18"/>
  <c r="X77" i="18"/>
  <c r="AT50" i="18"/>
  <c r="AH77" i="18"/>
  <c r="AT38" i="18"/>
  <c r="AT44" i="18"/>
  <c r="G77" i="18"/>
  <c r="AT93" i="18"/>
  <c r="T77" i="18"/>
  <c r="AT95" i="18"/>
  <c r="BK77" i="18"/>
  <c r="Q77" i="18"/>
  <c r="U77" i="18"/>
  <c r="BI77" i="18"/>
  <c r="AO77" i="18"/>
  <c r="AT65" i="18"/>
  <c r="AT59" i="18"/>
  <c r="BC77" i="18"/>
  <c r="BM77" i="18"/>
  <c r="AT75" i="18"/>
  <c r="AT48" i="18"/>
  <c r="AT64" i="18"/>
  <c r="AQ77" i="18"/>
  <c r="W77" i="18"/>
  <c r="AD77" i="18"/>
  <c r="AT62" i="18"/>
  <c r="AL77" i="18"/>
  <c r="AT51" i="18"/>
  <c r="R77" i="18"/>
  <c r="BJ77" i="18"/>
  <c r="AG77" i="18"/>
  <c r="AZ77" i="18"/>
  <c r="AK77" i="18"/>
  <c r="V77" i="18"/>
  <c r="AF77" i="18"/>
  <c r="AT77" i="18"/>
  <c r="AT43" i="18"/>
  <c r="BB77" i="18"/>
  <c r="Z77" i="18"/>
  <c r="BF77" i="18"/>
  <c r="AT63" i="18"/>
  <c r="M77" i="18"/>
  <c r="AS81" i="18"/>
  <c r="AR81" i="18"/>
  <c r="AX85" i="18"/>
  <c r="AX75" i="18"/>
  <c r="AE81" i="18"/>
  <c r="AX60" i="18"/>
  <c r="AX84" i="18"/>
  <c r="AX53" i="18"/>
  <c r="AB81" i="18"/>
  <c r="AX52" i="18"/>
  <c r="BJ81" i="18"/>
  <c r="AX44" i="18"/>
  <c r="BI81" i="18"/>
  <c r="AX45" i="18"/>
  <c r="O81" i="18"/>
  <c r="AP81" i="18"/>
  <c r="AA81" i="18"/>
  <c r="AX74" i="18"/>
  <c r="AX81" i="18"/>
  <c r="Y81" i="18"/>
  <c r="AQ81" i="18"/>
  <c r="BB81" i="18"/>
  <c r="U81" i="18"/>
  <c r="BA81" i="18"/>
  <c r="AN81" i="18"/>
  <c r="Q81" i="18"/>
  <c r="AX48" i="18"/>
  <c r="AX66" i="18"/>
  <c r="AX59" i="18"/>
  <c r="M81" i="18"/>
  <c r="AX72" i="18"/>
  <c r="K40" i="18"/>
  <c r="I57" i="18"/>
  <c r="Y40" i="18"/>
  <c r="BC40" i="18"/>
  <c r="V40" i="18"/>
  <c r="AH40" i="18"/>
  <c r="P40" i="18"/>
  <c r="I89" i="18"/>
  <c r="I53" i="18"/>
  <c r="BF40" i="18"/>
  <c r="Z40" i="18"/>
  <c r="I92" i="18"/>
  <c r="AQ40" i="18"/>
  <c r="AX40" i="18"/>
  <c r="I73" i="18"/>
  <c r="AK40" i="18"/>
  <c r="BI40" i="18"/>
  <c r="W40" i="18"/>
  <c r="AY40" i="18"/>
  <c r="I69" i="18"/>
  <c r="I94" i="18"/>
  <c r="I45" i="18"/>
  <c r="R40" i="18"/>
  <c r="BA40" i="18"/>
  <c r="O40" i="18"/>
  <c r="AS40" i="18"/>
  <c r="I63" i="18"/>
  <c r="N40" i="18"/>
  <c r="Q40" i="18"/>
  <c r="I87" i="18"/>
  <c r="I47" i="18"/>
  <c r="I44" i="18"/>
  <c r="I75" i="18"/>
  <c r="AZ40" i="18"/>
  <c r="I54" i="18"/>
  <c r="I59" i="18"/>
  <c r="T40" i="18"/>
  <c r="I58" i="18"/>
  <c r="BJ40" i="18"/>
  <c r="BG40" i="18"/>
  <c r="AD40" i="18"/>
  <c r="L40" i="18"/>
  <c r="I96" i="18"/>
  <c r="I79" i="18"/>
  <c r="I90" i="18"/>
  <c r="I76" i="18"/>
  <c r="I60" i="18"/>
  <c r="BD40" i="18"/>
  <c r="J40" i="18"/>
  <c r="AF40" i="18"/>
  <c r="AC40" i="18"/>
  <c r="I48" i="18"/>
  <c r="BK40" i="18"/>
  <c r="I84" i="18"/>
  <c r="I85" i="18"/>
  <c r="I64" i="18"/>
  <c r="AG40" i="18"/>
  <c r="G40" i="18"/>
  <c r="AO40" i="18"/>
  <c r="I49" i="18"/>
  <c r="S40" i="18"/>
  <c r="AV40" i="18"/>
  <c r="AU40" i="18"/>
  <c r="I68" i="18"/>
  <c r="BM40" i="18"/>
  <c r="H40" i="18"/>
  <c r="BE40" i="18"/>
  <c r="AM40" i="18"/>
  <c r="I50" i="18"/>
  <c r="I62" i="18"/>
  <c r="AP40" i="18"/>
  <c r="AA40" i="18"/>
  <c r="AJ40" i="18"/>
  <c r="AW40" i="18"/>
  <c r="I43" i="18"/>
  <c r="BH40" i="18"/>
  <c r="M40" i="18"/>
  <c r="X40" i="18"/>
  <c r="BL40" i="18"/>
  <c r="U40" i="18"/>
  <c r="AR40" i="18"/>
  <c r="BN90" i="18"/>
  <c r="BN73" i="18"/>
  <c r="P97" i="18"/>
  <c r="BN56" i="18"/>
  <c r="J97" i="18"/>
  <c r="BM97" i="18"/>
  <c r="BN75" i="18"/>
  <c r="BN83" i="18"/>
  <c r="BH97" i="18"/>
  <c r="BN95" i="18"/>
  <c r="AD97" i="18"/>
  <c r="S97" i="18"/>
  <c r="BN49" i="18"/>
  <c r="BN48" i="18"/>
  <c r="BN66" i="18"/>
  <c r="BN53" i="18"/>
  <c r="BN96" i="18"/>
  <c r="BN85" i="18"/>
  <c r="BN63" i="18"/>
  <c r="BG97" i="18"/>
  <c r="BN87" i="18"/>
  <c r="BN45" i="18"/>
  <c r="BN38" i="18"/>
  <c r="AA97" i="18"/>
  <c r="BN71" i="18"/>
  <c r="BN64" i="18"/>
  <c r="M97" i="18"/>
  <c r="AB97" i="18"/>
  <c r="T97" i="18"/>
  <c r="BN69" i="18"/>
  <c r="AO97" i="18"/>
  <c r="AX97" i="18"/>
  <c r="BC97" i="18"/>
  <c r="BN94" i="18"/>
  <c r="BN62" i="18"/>
  <c r="BN46" i="18"/>
  <c r="BN74" i="18"/>
  <c r="AQ97" i="18"/>
  <c r="G97" i="18"/>
  <c r="Z97" i="18"/>
  <c r="BN50" i="18"/>
  <c r="AU97" i="18"/>
  <c r="BN80" i="18"/>
  <c r="BN51" i="18"/>
  <c r="BN79" i="18"/>
  <c r="I97" i="18"/>
  <c r="BL97" i="18"/>
  <c r="BN57" i="18"/>
  <c r="BN68" i="18"/>
  <c r="H97" i="18"/>
  <c r="V97" i="18"/>
  <c r="BE97" i="18"/>
  <c r="AM97" i="18"/>
  <c r="AF97" i="18"/>
  <c r="BI97" i="18"/>
  <c r="AH97" i="18"/>
  <c r="AV97" i="18"/>
  <c r="AI97" i="18"/>
  <c r="BJ97" i="18"/>
  <c r="Q97" i="18"/>
  <c r="X97" i="18"/>
  <c r="BK97" i="18"/>
  <c r="AS97" i="18"/>
  <c r="BN44" i="18"/>
  <c r="BN43" i="18"/>
  <c r="AT97" i="18"/>
  <c r="K97" i="18"/>
  <c r="BN65" i="18"/>
  <c r="BN72" i="18"/>
  <c r="AY97" i="18"/>
  <c r="AZ97" i="18"/>
  <c r="BB97" i="18"/>
  <c r="AC97" i="18"/>
  <c r="AP97" i="18"/>
  <c r="N97" i="18"/>
  <c r="AE97" i="18"/>
  <c r="AK97" i="18"/>
  <c r="S78" i="18"/>
  <c r="AX78" i="18"/>
  <c r="AN78" i="18"/>
  <c r="AU83" i="18"/>
  <c r="AU39" i="18"/>
  <c r="AU80" i="18"/>
  <c r="AU94" i="18"/>
  <c r="AU52" i="18"/>
  <c r="AU60" i="18"/>
  <c r="X78" i="18"/>
  <c r="AG78" i="18"/>
  <c r="AW78" i="18"/>
  <c r="AU44" i="18"/>
  <c r="AU49" i="18"/>
  <c r="BM78" i="18"/>
  <c r="AY78" i="18"/>
  <c r="AU75" i="18"/>
  <c r="K78" i="18"/>
  <c r="AU95" i="18"/>
  <c r="AU56" i="18"/>
  <c r="Y78" i="18"/>
  <c r="AU45" i="18"/>
  <c r="AI78" i="18"/>
  <c r="AU46" i="18"/>
  <c r="AZ78" i="18"/>
  <c r="AU78" i="18"/>
  <c r="BF78" i="18"/>
  <c r="AP78" i="18"/>
  <c r="AM78" i="18"/>
  <c r="U78" i="18"/>
  <c r="BG78" i="18"/>
  <c r="AU57" i="18"/>
  <c r="AO78" i="18"/>
  <c r="AC78" i="18"/>
  <c r="AD78" i="18"/>
  <c r="AU68" i="18"/>
  <c r="AK78" i="18"/>
  <c r="AB78" i="18"/>
  <c r="BA78" i="18"/>
  <c r="AF78" i="18"/>
  <c r="AU62" i="18"/>
  <c r="BN78" i="18"/>
  <c r="AU69" i="18"/>
  <c r="AU50" i="18"/>
  <c r="AE78" i="18"/>
  <c r="AU96" i="18"/>
  <c r="BC78" i="18"/>
  <c r="AU66" i="18"/>
  <c r="AU65" i="18"/>
  <c r="AU88" i="18"/>
  <c r="BE78" i="18"/>
  <c r="AU63" i="18"/>
  <c r="AU53" i="18"/>
  <c r="K89" i="18"/>
  <c r="AF42" i="18"/>
  <c r="AS42" i="18"/>
  <c r="BJ42" i="18"/>
  <c r="K72" i="18"/>
  <c r="BL42" i="18"/>
  <c r="K52" i="18"/>
  <c r="K69" i="18"/>
  <c r="AE42" i="18"/>
  <c r="AK42" i="18"/>
  <c r="AP42" i="18"/>
  <c r="K46" i="18"/>
  <c r="K96" i="18"/>
  <c r="K75" i="18"/>
  <c r="T42" i="18"/>
  <c r="AW42" i="18"/>
  <c r="AM42" i="18"/>
  <c r="BF42" i="18"/>
  <c r="K55" i="18"/>
  <c r="K94" i="18"/>
  <c r="BB42" i="18"/>
  <c r="K45" i="18"/>
  <c r="AI42" i="18"/>
  <c r="AV42" i="18"/>
  <c r="AU42" i="18"/>
  <c r="AQ42" i="18"/>
  <c r="K43" i="18"/>
  <c r="K60" i="18"/>
  <c r="K84" i="18"/>
  <c r="AZ42" i="18"/>
  <c r="L42" i="18"/>
  <c r="O42" i="18"/>
  <c r="BG42" i="18"/>
  <c r="AR42" i="18"/>
  <c r="K63" i="18"/>
  <c r="J42" i="18"/>
  <c r="G42" i="18"/>
  <c r="K83" i="18"/>
  <c r="Y42" i="18"/>
  <c r="K54" i="18"/>
  <c r="M42" i="18"/>
  <c r="K65" i="18"/>
  <c r="AB42" i="18"/>
  <c r="I42" i="18"/>
  <c r="AO42" i="18"/>
  <c r="Q42" i="18"/>
  <c r="K44" i="18"/>
  <c r="K50" i="18"/>
  <c r="K42" i="18"/>
  <c r="K53" i="18"/>
  <c r="K79" i="18"/>
  <c r="Z42" i="18"/>
  <c r="K80" i="18"/>
  <c r="K95" i="18"/>
  <c r="AY42" i="18"/>
  <c r="AH42" i="18"/>
  <c r="AN42" i="18"/>
  <c r="K74" i="18"/>
  <c r="K68" i="18"/>
  <c r="K59" i="18"/>
  <c r="K88" i="18"/>
  <c r="BI42" i="18"/>
  <c r="K38" i="18"/>
  <c r="X42" i="18"/>
  <c r="BN42" i="18"/>
  <c r="AG42" i="18"/>
  <c r="BH42" i="18"/>
  <c r="BD42" i="18"/>
  <c r="K56" i="18"/>
  <c r="W42" i="18"/>
  <c r="K64" i="18"/>
  <c r="AD42" i="18"/>
  <c r="K87" i="18"/>
  <c r="R42" i="18"/>
  <c r="U42" i="18"/>
  <c r="N42" i="18"/>
  <c r="AC42" i="18"/>
  <c r="BE42" i="18"/>
  <c r="BK42" i="18"/>
  <c r="AJ42" i="18"/>
  <c r="BC42" i="18"/>
  <c r="AA42" i="18"/>
  <c r="BA42" i="18"/>
  <c r="V42" i="18"/>
  <c r="AL42" i="18"/>
  <c r="AX42" i="18"/>
  <c r="AY85" i="18"/>
  <c r="AF82" i="18"/>
  <c r="AY57" i="18"/>
  <c r="AY49" i="18"/>
  <c r="AY87" i="18"/>
  <c r="AY69" i="18"/>
  <c r="AY71" i="18"/>
  <c r="AY58" i="18"/>
  <c r="AY94" i="18"/>
  <c r="AY67" i="18"/>
  <c r="BG82" i="18"/>
  <c r="AY80" i="18"/>
  <c r="AY89" i="18"/>
  <c r="AJ82" i="18"/>
  <c r="BH82" i="18"/>
  <c r="R82" i="18"/>
  <c r="AY73" i="18"/>
  <c r="N82" i="18"/>
  <c r="AY96" i="18"/>
  <c r="AH82" i="18"/>
  <c r="AL82" i="18"/>
  <c r="AY48" i="18"/>
  <c r="S82" i="18"/>
  <c r="AY56" i="18"/>
  <c r="L82" i="18"/>
  <c r="AY41" i="18"/>
  <c r="AV82" i="18"/>
  <c r="I82" i="18"/>
  <c r="AY74" i="18"/>
  <c r="Z82" i="18"/>
  <c r="AY82" i="18"/>
  <c r="AT82" i="18"/>
  <c r="AX82" i="18"/>
  <c r="AY52" i="18"/>
  <c r="AY79" i="18"/>
  <c r="K82" i="18"/>
  <c r="AA82" i="18"/>
  <c r="AY66" i="18"/>
  <c r="M82" i="18"/>
  <c r="Y82" i="18"/>
  <c r="AY68" i="18"/>
  <c r="X82" i="18"/>
  <c r="BD82" i="18"/>
  <c r="AM82" i="18"/>
  <c r="AY47" i="18"/>
  <c r="AY38" i="18"/>
  <c r="AY50" i="18"/>
  <c r="O82" i="18"/>
  <c r="AY63" i="18"/>
  <c r="J82" i="18"/>
  <c r="BI82" i="18"/>
  <c r="AY88" i="18"/>
  <c r="AC82" i="18"/>
  <c r="BE82" i="18"/>
  <c r="BJ82" i="18"/>
  <c r="AY83" i="18"/>
  <c r="AY60" i="18"/>
  <c r="AY95" i="18"/>
  <c r="AY72" i="18"/>
  <c r="G82" i="18"/>
  <c r="BL82" i="18"/>
  <c r="P82" i="18"/>
  <c r="AY39" i="18"/>
  <c r="AY51" i="18"/>
  <c r="AY45" i="18"/>
  <c r="BA82" i="18"/>
  <c r="AI82" i="18"/>
  <c r="AY44" i="18"/>
  <c r="AU82" i="18"/>
  <c r="AB82" i="18"/>
  <c r="AY62" i="18"/>
  <c r="BK82" i="18"/>
  <c r="V82" i="18"/>
  <c r="BB82" i="18"/>
  <c r="T82" i="18"/>
  <c r="AE82" i="18"/>
  <c r="U82" i="18"/>
  <c r="AW82" i="18"/>
  <c r="Q82" i="18"/>
  <c r="AY64" i="18"/>
  <c r="AG82" i="18"/>
  <c r="BM82" i="18"/>
  <c r="H82" i="18"/>
  <c r="BN82" i="18"/>
  <c r="J26" i="14" l="1"/>
  <c r="I26" i="14"/>
  <c r="I35" i="14"/>
  <c r="J35" i="14"/>
  <c r="J34" i="14"/>
  <c r="I34" i="14"/>
  <c r="I41" i="14"/>
  <c r="J41" i="14"/>
  <c r="J13" i="14"/>
  <c r="I13" i="14"/>
  <c r="G178" i="237"/>
  <c r="G13" i="237" s="1"/>
  <c r="AW40" i="1"/>
  <c r="BC25" i="18"/>
  <c r="E159" i="223"/>
  <c r="E4" i="223" s="1"/>
  <c r="D114" i="223"/>
  <c r="D14" i="223" s="1"/>
  <c r="D36" i="237"/>
  <c r="D5" i="237" s="1"/>
  <c r="I59" i="14"/>
  <c r="J59" i="14"/>
  <c r="C99" i="223"/>
  <c r="C9" i="223" s="1"/>
  <c r="J52" i="223"/>
  <c r="J11" i="223" s="1"/>
  <c r="O100" i="223"/>
  <c r="B99" i="223"/>
  <c r="B9" i="223" s="1"/>
  <c r="J129" i="223"/>
  <c r="J10" i="223" s="1"/>
  <c r="AA25" i="18"/>
  <c r="I54" i="14"/>
  <c r="J54" i="14"/>
  <c r="L99" i="223"/>
  <c r="L9" i="223" s="1"/>
  <c r="O138" i="223"/>
  <c r="O59" i="237"/>
  <c r="I50" i="14"/>
  <c r="J50" i="14"/>
  <c r="B82" i="223"/>
  <c r="B12" i="223" s="1"/>
  <c r="O83" i="223"/>
  <c r="E66" i="237"/>
  <c r="E6" i="237" s="1"/>
  <c r="O25" i="18"/>
  <c r="L178" i="237"/>
  <c r="L13" i="237" s="1"/>
  <c r="O171" i="223"/>
  <c r="BG40" i="1"/>
  <c r="O168" i="237"/>
  <c r="AE40" i="1"/>
  <c r="M144" i="237"/>
  <c r="M3" i="237" s="1"/>
  <c r="O88" i="223"/>
  <c r="O135" i="223"/>
  <c r="N114" i="237"/>
  <c r="N11" i="237" s="1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O60" i="237"/>
  <c r="O148" i="223"/>
  <c r="O94" i="237"/>
  <c r="O183" i="237"/>
  <c r="K82" i="223"/>
  <c r="K12" i="223" s="1"/>
  <c r="J178" i="223"/>
  <c r="J13" i="223" s="1"/>
  <c r="C178" i="237"/>
  <c r="C13" i="237" s="1"/>
  <c r="I52" i="223"/>
  <c r="I11" i="223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O181" i="223"/>
  <c r="O116" i="237"/>
  <c r="O92" i="237"/>
  <c r="L66" i="223"/>
  <c r="L6" i="223" s="1"/>
  <c r="O103" i="237"/>
  <c r="O78" i="237"/>
  <c r="M159" i="237"/>
  <c r="M4" i="237" s="1"/>
  <c r="M66" i="237"/>
  <c r="M6" i="237" s="1"/>
  <c r="O169" i="237"/>
  <c r="O54" i="237"/>
  <c r="AS40" i="1"/>
  <c r="N129" i="223"/>
  <c r="N10" i="223" s="1"/>
  <c r="F19" i="223"/>
  <c r="F5" i="223" s="1"/>
  <c r="AK40" i="1"/>
  <c r="G144" i="237"/>
  <c r="G3" i="237" s="1"/>
  <c r="K66" i="223"/>
  <c r="K6" i="223" s="1"/>
  <c r="K40" i="1"/>
  <c r="O102" i="237"/>
  <c r="L129" i="223"/>
  <c r="L10" i="223" s="1"/>
  <c r="O161" i="237"/>
  <c r="O139" i="223"/>
  <c r="O179" i="237"/>
  <c r="B178" i="237"/>
  <c r="B13" i="237" s="1"/>
  <c r="O172" i="223"/>
  <c r="AV25" i="18"/>
  <c r="N36" i="223"/>
  <c r="N8" i="223" s="1"/>
  <c r="O75" i="237"/>
  <c r="O38" i="237"/>
  <c r="K159" i="237"/>
  <c r="K4" i="237" s="1"/>
  <c r="N159" i="223"/>
  <c r="N4" i="223" s="1"/>
  <c r="AF25" i="18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M52" i="237"/>
  <c r="M9" i="237" s="1"/>
  <c r="O167" i="237"/>
  <c r="V40" i="1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BD40" i="1"/>
  <c r="M99" i="223"/>
  <c r="M9" i="223" s="1"/>
  <c r="C82" i="237"/>
  <c r="C10" i="237" s="1"/>
  <c r="L25" i="18"/>
  <c r="O90" i="223"/>
  <c r="E82" i="237"/>
  <c r="E10" i="237" s="1"/>
  <c r="O22" i="223"/>
  <c r="N40" i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F82" i="237"/>
  <c r="F10" i="237" s="1"/>
  <c r="O134" i="223"/>
  <c r="M129" i="237"/>
  <c r="M12" i="237" s="1"/>
  <c r="B52" i="237"/>
  <c r="B9" i="237" s="1"/>
  <c r="O53" i="237"/>
  <c r="O147" i="237"/>
  <c r="H99" i="223"/>
  <c r="H9" i="223" s="1"/>
  <c r="O126" i="237"/>
  <c r="K178" i="223"/>
  <c r="K13" i="223" s="1"/>
  <c r="O87" i="223"/>
  <c r="O185" i="223"/>
  <c r="O124" i="237"/>
  <c r="C144" i="223"/>
  <c r="C7" i="223" s="1"/>
  <c r="O69" i="237"/>
  <c r="L19" i="223"/>
  <c r="L5" i="223" s="1"/>
  <c r="I66" i="237"/>
  <c r="I6" i="237" s="1"/>
  <c r="O151" i="237"/>
  <c r="O140" i="223"/>
  <c r="E178" i="237"/>
  <c r="E13" i="237" s="1"/>
  <c r="O43" i="237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N114" i="223"/>
  <c r="N14" i="223" s="1"/>
  <c r="G19" i="237"/>
  <c r="G7" i="237" s="1"/>
  <c r="N36" i="237"/>
  <c r="N5" i="237" s="1"/>
  <c r="N82" i="223"/>
  <c r="N12" i="223" s="1"/>
  <c r="BM25" i="18"/>
  <c r="AQ40" i="1"/>
  <c r="AM40" i="1"/>
  <c r="O74" i="223"/>
  <c r="E99" i="237"/>
  <c r="E8" i="237" s="1"/>
  <c r="M82" i="237"/>
  <c r="M10" i="237" s="1"/>
  <c r="F66" i="237"/>
  <c r="F6" i="237" s="1"/>
  <c r="H82" i="237"/>
  <c r="H10" i="237" s="1"/>
  <c r="O131" i="237"/>
  <c r="BG25" i="18"/>
  <c r="K52" i="223"/>
  <c r="K11" i="223" s="1"/>
  <c r="J66" i="223"/>
  <c r="J6" i="223" s="1"/>
  <c r="O181" i="237"/>
  <c r="O71" i="223"/>
  <c r="G82" i="237"/>
  <c r="G10" i="237" s="1"/>
  <c r="O145" i="237"/>
  <c r="B144" i="237"/>
  <c r="B3" i="237" s="1"/>
  <c r="E19" i="237"/>
  <c r="E7" i="237" s="1"/>
  <c r="M129" i="223"/>
  <c r="M10" i="223" s="1"/>
  <c r="O77" i="223"/>
  <c r="O60" i="223"/>
  <c r="O44" i="223"/>
  <c r="K82" i="237"/>
  <c r="K10" i="237" s="1"/>
  <c r="C159" i="223"/>
  <c r="C4" i="223" s="1"/>
  <c r="O164" i="223"/>
  <c r="E129" i="237"/>
  <c r="E12" i="237" s="1"/>
  <c r="O135" i="237"/>
  <c r="F114" i="237"/>
  <c r="F11" i="237" s="1"/>
  <c r="O122" i="237"/>
  <c r="AB40" i="1"/>
  <c r="C114" i="237"/>
  <c r="C11" i="237" s="1"/>
  <c r="O42" i="223"/>
  <c r="BC40" i="1"/>
  <c r="L144" i="223"/>
  <c r="L7" i="223" s="1"/>
  <c r="L36" i="237"/>
  <c r="L5" i="237" s="1"/>
  <c r="E114" i="237"/>
  <c r="E11" i="237" s="1"/>
  <c r="F144" i="237"/>
  <c r="F3" i="237" s="1"/>
  <c r="K99" i="223"/>
  <c r="K9" i="223" s="1"/>
  <c r="G66" i="237"/>
  <c r="G6" i="237" s="1"/>
  <c r="G19" i="223"/>
  <c r="G5" i="223" s="1"/>
  <c r="O55" i="237"/>
  <c r="M36" i="237"/>
  <c r="M5" i="237" s="1"/>
  <c r="O152" i="223"/>
  <c r="D129" i="223"/>
  <c r="D10" i="223" s="1"/>
  <c r="AZ25" i="18"/>
  <c r="O130" i="223"/>
  <c r="B129" i="223"/>
  <c r="B10" i="223" s="1"/>
  <c r="O76" i="223"/>
  <c r="O91" i="237"/>
  <c r="I99" i="223"/>
  <c r="I9" i="223" s="1"/>
  <c r="O123" i="223"/>
  <c r="B129" i="237"/>
  <c r="B12" i="237" s="1"/>
  <c r="O130" i="237"/>
  <c r="O33" i="237"/>
  <c r="AX40" i="1"/>
  <c r="S25" i="18"/>
  <c r="S31" i="1"/>
  <c r="BM31" i="1"/>
  <c r="AQ31" i="1"/>
  <c r="BH31" i="1"/>
  <c r="BA31" i="1"/>
  <c r="AY31" i="1"/>
  <c r="BD31" i="1"/>
  <c r="AO31" i="1"/>
  <c r="AR31" i="1"/>
  <c r="AW31" i="1"/>
  <c r="AS31" i="1"/>
  <c r="AC31" i="1"/>
  <c r="X31" i="1"/>
  <c r="BB31" i="1"/>
  <c r="BN31" i="1"/>
  <c r="BC31" i="1"/>
  <c r="AT31" i="1"/>
  <c r="BJ31" i="1"/>
  <c r="Z31" i="1"/>
  <c r="AB31" i="1"/>
  <c r="AA31" i="1"/>
  <c r="BE31" i="1"/>
  <c r="L31" i="1"/>
  <c r="P31" i="1"/>
  <c r="AE31" i="1"/>
  <c r="Y31" i="1"/>
  <c r="AJ31" i="1"/>
  <c r="K31" i="1"/>
  <c r="AK31" i="1"/>
  <c r="AH31" i="1"/>
  <c r="AI31" i="1"/>
  <c r="BG31" i="1"/>
  <c r="AD31" i="1"/>
  <c r="BL31" i="1"/>
  <c r="W31" i="1"/>
  <c r="AL31" i="1"/>
  <c r="N31" i="1"/>
  <c r="AX31" i="1"/>
  <c r="AZ31" i="1"/>
  <c r="AP31" i="1"/>
  <c r="U31" i="1"/>
  <c r="BI31" i="1"/>
  <c r="Q31" i="1"/>
  <c r="BK31" i="1"/>
  <c r="AG31" i="1"/>
  <c r="AN31" i="1"/>
  <c r="O31" i="1"/>
  <c r="BF31" i="1"/>
  <c r="AV31" i="1"/>
  <c r="AM31" i="1"/>
  <c r="AF31" i="1"/>
  <c r="R31" i="1"/>
  <c r="M31" i="1"/>
  <c r="V31" i="1"/>
  <c r="T31" i="1"/>
  <c r="I25" i="1"/>
  <c r="AU31" i="1"/>
  <c r="C19" i="223"/>
  <c r="C5" i="223" s="1"/>
  <c r="G114" i="223"/>
  <c r="G14" i="223" s="1"/>
  <c r="BF40" i="1"/>
  <c r="O103" i="223"/>
  <c r="O26" i="237"/>
  <c r="AI25" i="18"/>
  <c r="AT40" i="1"/>
  <c r="D144" i="223"/>
  <c r="D7" i="223" s="1"/>
  <c r="BE40" i="1"/>
  <c r="R39" i="1"/>
  <c r="R40" i="1"/>
  <c r="E129" i="223"/>
  <c r="E10" i="223" s="1"/>
  <c r="O89" i="237"/>
  <c r="G144" i="223"/>
  <c r="G7" i="223" s="1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O172" i="237"/>
  <c r="BL25" i="18"/>
  <c r="I82" i="223"/>
  <c r="I12" i="223" s="1"/>
  <c r="K159" i="223"/>
  <c r="K4" i="223" s="1"/>
  <c r="D36" i="223"/>
  <c r="D8" i="223" s="1"/>
  <c r="I66" i="223"/>
  <c r="I6" i="223" s="1"/>
  <c r="E52" i="237"/>
  <c r="E9" i="237" s="1"/>
  <c r="I178" i="237"/>
  <c r="I13" i="237" s="1"/>
  <c r="H129" i="223"/>
  <c r="H10" i="223" s="1"/>
  <c r="I99" i="237"/>
  <c r="I8" i="237" s="1"/>
  <c r="J19" i="223"/>
  <c r="J5" i="223" s="1"/>
  <c r="J99" i="237"/>
  <c r="J8" i="237" s="1"/>
  <c r="O121" i="237"/>
  <c r="O41" i="237"/>
  <c r="J129" i="237"/>
  <c r="J12" i="237" s="1"/>
  <c r="O56" i="223"/>
  <c r="AJ40" i="1"/>
  <c r="K19" i="237"/>
  <c r="K7" i="237" s="1"/>
  <c r="AP25" i="18"/>
  <c r="O25" i="237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78" i="223"/>
  <c r="H144" i="223"/>
  <c r="H7" i="223" s="1"/>
  <c r="O70" i="237"/>
  <c r="O154" i="237"/>
  <c r="M40" i="1"/>
  <c r="I129" i="223"/>
  <c r="I10" i="223" s="1"/>
  <c r="O156" i="237"/>
  <c r="AK25" i="18"/>
  <c r="H19" i="223"/>
  <c r="H5" i="223" s="1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N144" i="223"/>
  <c r="N7" i="223" s="1"/>
  <c r="M52" i="223"/>
  <c r="M11" i="223" s="1"/>
  <c r="O88" i="237"/>
  <c r="I52" i="237"/>
  <c r="I9" i="237" s="1"/>
  <c r="K144" i="223"/>
  <c r="K7" i="223" s="1"/>
  <c r="J82" i="237"/>
  <c r="J10" i="237" s="1"/>
  <c r="O123" i="237"/>
  <c r="AH25" i="18"/>
  <c r="O173" i="237"/>
  <c r="O44" i="237"/>
  <c r="O41" i="223"/>
  <c r="O39" i="223"/>
  <c r="O27" i="223"/>
  <c r="K178" i="237"/>
  <c r="K13" i="237" s="1"/>
  <c r="O166" i="223"/>
  <c r="O30" i="237"/>
  <c r="O28" i="237"/>
  <c r="O39" i="237"/>
  <c r="O120" i="223"/>
  <c r="F36" i="223"/>
  <c r="F8" i="223" s="1"/>
  <c r="B52" i="223"/>
  <c r="B11" i="223" s="1"/>
  <c r="O53" i="223"/>
  <c r="J159" i="223"/>
  <c r="J4" i="223" s="1"/>
  <c r="O161" i="223"/>
  <c r="O72" i="237"/>
  <c r="O182" i="237"/>
  <c r="O29" i="223"/>
  <c r="V25" i="18"/>
  <c r="AN40" i="1"/>
  <c r="H114" i="237"/>
  <c r="H11" i="237" s="1"/>
  <c r="O163" i="223"/>
  <c r="H178" i="223"/>
  <c r="H13" i="223" s="1"/>
  <c r="M178" i="237"/>
  <c r="M13" i="237" s="1"/>
  <c r="M178" i="223"/>
  <c r="M13" i="223" s="1"/>
  <c r="AG25" i="18"/>
  <c r="BE25" i="18"/>
  <c r="O38" i="223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O124" i="223"/>
  <c r="D99" i="237"/>
  <c r="D8" i="237" s="1"/>
  <c r="O92" i="223"/>
  <c r="G52" i="237"/>
  <c r="G9" i="237" s="1"/>
  <c r="D52" i="223"/>
  <c r="D11" i="223" s="1"/>
  <c r="AX25" i="18"/>
  <c r="O101" i="237"/>
  <c r="O154" i="223"/>
  <c r="D114" i="237"/>
  <c r="D11" i="237" s="1"/>
  <c r="M66" i="223"/>
  <c r="M6" i="223" s="1"/>
  <c r="O46" i="237"/>
  <c r="AL40" i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O61" i="223"/>
  <c r="F159" i="237"/>
  <c r="F4" i="237" s="1"/>
  <c r="N52" i="237"/>
  <c r="N9" i="237" s="1"/>
  <c r="L52" i="237"/>
  <c r="L9" i="237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Y25" i="18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141" i="223"/>
  <c r="O22" i="237"/>
  <c r="O184" i="223"/>
  <c r="K25" i="18"/>
  <c r="C114" i="223"/>
  <c r="C14" i="223" s="1"/>
  <c r="O45" i="223"/>
  <c r="L66" i="237"/>
  <c r="L6" i="237" s="1"/>
  <c r="I19" i="237"/>
  <c r="I7" i="237" s="1"/>
  <c r="AD25" i="18"/>
  <c r="O119" i="237"/>
  <c r="D52" i="237"/>
  <c r="D9" i="237" s="1"/>
  <c r="O146" i="223"/>
  <c r="J159" i="237"/>
  <c r="J4" i="237" s="1"/>
  <c r="B159" i="237"/>
  <c r="B4" i="237" s="1"/>
  <c r="O160" i="237"/>
  <c r="I144" i="223"/>
  <c r="I7" i="223" s="1"/>
  <c r="H19" i="237"/>
  <c r="H7" i="237" s="1"/>
  <c r="O139" i="237"/>
  <c r="O137" i="237"/>
  <c r="K19" i="223"/>
  <c r="K5" i="223" s="1"/>
  <c r="G52" i="223"/>
  <c r="G11" i="223" s="1"/>
  <c r="S40" i="1"/>
  <c r="AI40" i="1"/>
  <c r="O102" i="223"/>
  <c r="B66" i="237"/>
  <c r="B6" i="237" s="1"/>
  <c r="O67" i="237"/>
  <c r="C52" i="223"/>
  <c r="C11" i="223" s="1"/>
  <c r="Q25" i="18"/>
  <c r="O153" i="223"/>
  <c r="O95" i="237"/>
  <c r="O32" i="237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O150" i="223"/>
  <c r="E144" i="237"/>
  <c r="E3" i="237" s="1"/>
  <c r="G36" i="223"/>
  <c r="G8" i="223" s="1"/>
  <c r="O76" i="237"/>
  <c r="O63" i="223"/>
  <c r="J36" i="223"/>
  <c r="J8" i="223" s="1"/>
  <c r="H66" i="223"/>
  <c r="H6" i="223" s="1"/>
  <c r="G66" i="223"/>
  <c r="G6" i="223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O141" i="237"/>
  <c r="O100" i="237"/>
  <c r="B99" i="237"/>
  <c r="B8" i="237" s="1"/>
  <c r="E114" i="223"/>
  <c r="E14" i="223" s="1"/>
  <c r="AP40" i="1"/>
  <c r="AC25" i="18"/>
  <c r="O24" i="237"/>
  <c r="J66" i="237"/>
  <c r="J6" i="237" s="1"/>
  <c r="J144" i="223"/>
  <c r="J7" i="223" s="1"/>
  <c r="O26" i="223"/>
  <c r="N178" i="223"/>
  <c r="N13" i="223" s="1"/>
  <c r="O169" i="223"/>
  <c r="X40" i="1"/>
  <c r="O86" i="223"/>
  <c r="M19" i="223"/>
  <c r="M5" i="223" s="1"/>
  <c r="E36" i="223"/>
  <c r="E8" i="223" s="1"/>
  <c r="F36" i="237"/>
  <c r="F5" i="237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F82" i="223"/>
  <c r="F12" i="223" s="1"/>
  <c r="H99" i="237"/>
  <c r="H8" i="237" s="1"/>
  <c r="G178" i="223"/>
  <c r="G13" i="223" s="1"/>
  <c r="I129" i="237"/>
  <c r="I12" i="237" s="1"/>
  <c r="Z40" i="1"/>
  <c r="H36" i="223"/>
  <c r="H8" i="223" s="1"/>
  <c r="O73" i="223"/>
  <c r="K66" i="237"/>
  <c r="K6" i="237" s="1"/>
  <c r="O40" i="237"/>
  <c r="O136" i="237"/>
  <c r="G129" i="223"/>
  <c r="G10" i="223" s="1"/>
  <c r="O187" i="223"/>
  <c r="AH40" i="1"/>
  <c r="O77" i="237"/>
  <c r="K99" i="237"/>
  <c r="K8" i="237" s="1"/>
  <c r="O84" i="223"/>
  <c r="B66" i="223"/>
  <c r="B6" i="223" s="1"/>
  <c r="O67" i="223"/>
  <c r="O165" i="237"/>
  <c r="O131" i="223"/>
  <c r="AS25" i="18"/>
  <c r="J178" i="237"/>
  <c r="J13" i="237" s="1"/>
  <c r="X25" i="18"/>
  <c r="BB40" i="1"/>
  <c r="O68" i="237"/>
  <c r="AN25" i="18"/>
  <c r="G159" i="223"/>
  <c r="G4" i="223" s="1"/>
  <c r="L159" i="237"/>
  <c r="L4" i="237" s="1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I178" i="223"/>
  <c r="I13" i="223" s="1"/>
  <c r="L82" i="223"/>
  <c r="L12" i="223" s="1"/>
  <c r="F144" i="223"/>
  <c r="F7" i="223" s="1"/>
  <c r="N129" i="237"/>
  <c r="N12" i="237" s="1"/>
  <c r="D99" i="223"/>
  <c r="D9" i="223" s="1"/>
  <c r="H178" i="237"/>
  <c r="H13" i="237" s="1"/>
  <c r="N82" i="237"/>
  <c r="N10" i="237" s="1"/>
  <c r="O69" i="223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T25" i="18"/>
  <c r="AG40" i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AQ25" i="18"/>
  <c r="M114" i="223"/>
  <c r="M14" i="223" s="1"/>
  <c r="O62" i="223"/>
  <c r="AB25" i="18"/>
  <c r="H52" i="223"/>
  <c r="H11" i="223" s="1"/>
  <c r="O29" i="237"/>
  <c r="C129" i="223"/>
  <c r="C10" i="223" s="1"/>
  <c r="BL40" i="1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O58" i="237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Y40" i="1"/>
  <c r="O162" i="237"/>
  <c r="BJ40" i="1"/>
  <c r="L19" i="237"/>
  <c r="L7" i="237" s="1"/>
  <c r="O126" i="223"/>
  <c r="BI40" i="1"/>
  <c r="C99" i="237"/>
  <c r="C8" i="237" s="1"/>
  <c r="O150" i="237"/>
  <c r="I36" i="223"/>
  <c r="I8" i="223" s="1"/>
  <c r="K129" i="237"/>
  <c r="K12" i="237" s="1"/>
  <c r="O117" i="223"/>
  <c r="C144" i="237"/>
  <c r="C3" i="237" s="1"/>
  <c r="O170" i="237"/>
  <c r="AR25" i="18"/>
  <c r="O168" i="223"/>
  <c r="O149" i="223"/>
  <c r="L129" i="237"/>
  <c r="L12" i="237" s="1"/>
  <c r="K52" i="237"/>
  <c r="K9" i="237" s="1"/>
  <c r="O91" i="223"/>
  <c r="L144" i="237"/>
  <c r="L3" i="237" s="1"/>
  <c r="F99" i="237"/>
  <c r="F8" i="237" s="1"/>
  <c r="K114" i="237"/>
  <c r="K11" i="237" s="1"/>
  <c r="H52" i="237"/>
  <c r="H9" i="237" s="1"/>
  <c r="O62" i="237"/>
  <c r="O84" i="237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O180" i="223"/>
  <c r="L159" i="223"/>
  <c r="L4" i="223" s="1"/>
  <c r="O152" i="237"/>
  <c r="L39" i="1"/>
  <c r="L40" i="1"/>
  <c r="G159" i="237"/>
  <c r="G4" i="237" s="1"/>
  <c r="M114" i="237"/>
  <c r="M11" i="237" s="1"/>
  <c r="U25" i="18"/>
  <c r="N19" i="237"/>
  <c r="N7" i="237" s="1"/>
  <c r="I159" i="223"/>
  <c r="I4" i="223" s="1"/>
  <c r="G82" i="223"/>
  <c r="G12" i="223" s="1"/>
  <c r="K129" i="223"/>
  <c r="K10" i="223" s="1"/>
  <c r="U40" i="1"/>
  <c r="E66" i="223"/>
  <c r="E6" i="223" s="1"/>
  <c r="N25" i="18"/>
  <c r="O37" i="223"/>
  <c r="B36" i="223"/>
  <c r="B8" i="223" s="1"/>
  <c r="AJ25" i="18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H82" i="223"/>
  <c r="H12" i="223" s="1"/>
  <c r="O127" i="223"/>
  <c r="O40" i="1"/>
  <c r="F19" i="237"/>
  <c r="F7" i="237" s="1"/>
  <c r="I19" i="223"/>
  <c r="I5" i="223" s="1"/>
  <c r="O25" i="223"/>
  <c r="O148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H159" i="223"/>
  <c r="H4" i="223" s="1"/>
  <c r="O74" i="237"/>
  <c r="O94" i="223"/>
  <c r="E36" i="237"/>
  <c r="E5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J114" i="237"/>
  <c r="J11" i="237" s="1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L52" i="223"/>
  <c r="L11" i="223" s="1"/>
  <c r="O46" i="223"/>
  <c r="O33" i="223"/>
  <c r="O87" i="237"/>
  <c r="BD25" i="18"/>
  <c r="F129" i="237"/>
  <c r="F12" i="237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J36" i="237"/>
  <c r="J5" i="237" s="1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BI25" i="18"/>
  <c r="O23" i="237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O70" i="223"/>
  <c r="O23" i="223"/>
  <c r="O79" i="237"/>
  <c r="L114" i="237"/>
  <c r="L11" i="237" s="1"/>
  <c r="C52" i="237"/>
  <c r="C9" i="237" s="1"/>
  <c r="C36" i="237"/>
  <c r="C5" i="237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E19" i="223"/>
  <c r="E5" i="223" s="1"/>
  <c r="O73" i="237"/>
  <c r="H114" i="223"/>
  <c r="H14" i="223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O57" i="237"/>
  <c r="C159" i="237"/>
  <c r="C4" i="237" s="1"/>
  <c r="F52" i="223"/>
  <c r="F11" i="223" s="1"/>
  <c r="F178" i="237"/>
  <c r="F13" i="237" s="1"/>
  <c r="BH25" i="18"/>
  <c r="N99" i="237"/>
  <c r="N8" i="237" s="1"/>
  <c r="E82" i="223"/>
  <c r="E12" i="223" s="1"/>
  <c r="O140" i="237"/>
  <c r="C129" i="237"/>
  <c r="C12" i="237" s="1"/>
  <c r="C66" i="223"/>
  <c r="C6" i="223" s="1"/>
  <c r="O28" i="223"/>
  <c r="O162" i="223"/>
  <c r="I144" i="237"/>
  <c r="I3" i="237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O187" i="237"/>
  <c r="O188" i="237"/>
  <c r="O189" i="237"/>
  <c r="AD40" i="1"/>
  <c r="K36" i="223"/>
  <c r="K8" i="223" s="1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O119" i="223"/>
  <c r="Z25" i="18"/>
  <c r="AM25" i="18"/>
  <c r="C178" i="223"/>
  <c r="C13" i="223" s="1"/>
  <c r="AZ40" i="1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O121" i="223"/>
  <c r="O151" i="223"/>
  <c r="O20" i="237"/>
  <c r="B19" i="237"/>
  <c r="B7" i="237" s="1"/>
  <c r="O68" i="223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M159" i="223"/>
  <c r="M4" i="223" s="1"/>
  <c r="O101" i="223"/>
  <c r="P40" i="1"/>
  <c r="K144" i="237"/>
  <c r="K3" i="237" s="1"/>
  <c r="O180" i="237"/>
  <c r="C82" i="223"/>
  <c r="C12" i="223" s="1"/>
  <c r="F159" i="223"/>
  <c r="F4" i="223" s="1"/>
  <c r="O45" i="237"/>
  <c r="H159" i="237"/>
  <c r="H4" i="237" s="1"/>
  <c r="O20" i="223"/>
  <c r="B19" i="223"/>
  <c r="B5" i="223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N159" i="237"/>
  <c r="N4" i="237" s="1"/>
  <c r="E99" i="223"/>
  <c r="E9" i="223" s="1"/>
  <c r="L114" i="223"/>
  <c r="L14" i="223" s="1"/>
  <c r="O153" i="237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O86" i="237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120" i="237"/>
  <c r="H144" i="237"/>
  <c r="H3" i="237" s="1"/>
  <c r="B31" i="185"/>
  <c r="AT25" i="18"/>
  <c r="O155" i="237"/>
  <c r="A33" i="185"/>
  <c r="O170" i="223"/>
  <c r="F129" i="223"/>
  <c r="F10" i="223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J19" i="237"/>
  <c r="J7" i="237" s="1"/>
  <c r="O118" i="237"/>
  <c r="O165" i="223"/>
  <c r="O145" i="223"/>
  <c r="B144" i="223"/>
  <c r="B7" i="223" s="1"/>
  <c r="O37" i="237"/>
  <c r="B36" i="237"/>
  <c r="B5" i="237" s="1"/>
  <c r="BJ25" i="18"/>
  <c r="O57" i="223"/>
  <c r="G99" i="237"/>
  <c r="G8" i="237" s="1"/>
  <c r="D82" i="223"/>
  <c r="D12" i="223" s="1"/>
  <c r="M25" i="18"/>
  <c r="L99" i="237"/>
  <c r="L8" i="237" s="1"/>
  <c r="O30" i="223"/>
  <c r="BH40" i="1"/>
  <c r="O54" i="223"/>
  <c r="O40" i="223"/>
  <c r="F52" i="237"/>
  <c r="F9" i="237" s="1"/>
  <c r="O27" i="237"/>
  <c r="L82" i="237"/>
  <c r="L10" i="237" s="1"/>
  <c r="BK40" i="1"/>
  <c r="D66" i="223"/>
  <c r="D6" i="223" s="1"/>
  <c r="O42" i="237"/>
  <c r="O166" i="237"/>
  <c r="D19" i="237"/>
  <c r="D7" i="237" s="1"/>
  <c r="B159" i="223"/>
  <c r="B4" i="223" s="1"/>
  <c r="O160" i="223"/>
  <c r="M36" i="223"/>
  <c r="M8" i="223" s="1"/>
  <c r="O127" i="237"/>
  <c r="O56" i="237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O85" i="223"/>
  <c r="AU40" i="1"/>
  <c r="O117" i="237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E144" i="223"/>
  <c r="E7" i="223" s="1"/>
  <c r="O125" i="223"/>
  <c r="O58" i="223"/>
  <c r="O171" i="237"/>
  <c r="AE25" i="18"/>
  <c r="O21" i="237"/>
  <c r="G36" i="237"/>
  <c r="G5" i="237" s="1"/>
  <c r="L178" i="223"/>
  <c r="L13" i="223" s="1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K114" i="223"/>
  <c r="K14" i="223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173" i="223"/>
  <c r="AY25" i="18"/>
  <c r="G114" i="237"/>
  <c r="G11" i="237" s="1"/>
  <c r="M82" i="223"/>
  <c r="M12" i="223" s="1"/>
  <c r="T40" i="1"/>
  <c r="I36" i="237"/>
  <c r="I5" i="237" s="1"/>
  <c r="O164" i="237"/>
  <c r="O167" i="223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F99" i="223"/>
  <c r="F9" i="223" s="1"/>
  <c r="H36" i="237"/>
  <c r="H5" i="237" s="1"/>
  <c r="O63" i="237"/>
  <c r="J52" i="237"/>
  <c r="J9" i="237" s="1"/>
  <c r="O133" i="237"/>
  <c r="F66" i="223"/>
  <c r="F6" i="223" s="1"/>
  <c r="O186" i="223"/>
  <c r="H66" i="237"/>
  <c r="H6" i="237" s="1"/>
  <c r="O132" i="223"/>
  <c r="W40" i="1"/>
  <c r="AU25" i="18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I159" i="237"/>
  <c r="I4" i="237" s="1"/>
  <c r="G99" i="223"/>
  <c r="G9" i="223" s="1"/>
  <c r="N99" i="223"/>
  <c r="N9" i="223" s="1"/>
  <c r="I114" i="237"/>
  <c r="I11" i="237" s="1"/>
  <c r="BK25" i="18"/>
  <c r="O61" i="237"/>
  <c r="O21" i="223"/>
  <c r="M144" i="223"/>
  <c r="M7" i="223" s="1"/>
  <c r="O7" i="223" s="1"/>
  <c r="AL25" i="18"/>
  <c r="O89" i="223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E159" i="237"/>
  <c r="E4" i="237" s="1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D178" i="223"/>
  <c r="D13" i="223" s="1"/>
  <c r="D178" i="237"/>
  <c r="D13" i="237" s="1"/>
  <c r="D82" i="237"/>
  <c r="D10" i="237" s="1"/>
  <c r="O133" i="223"/>
  <c r="O31" i="223"/>
  <c r="D19" i="223"/>
  <c r="D5" i="223" s="1"/>
  <c r="M19" i="237"/>
  <c r="M7" i="237" s="1"/>
  <c r="AV40" i="1"/>
  <c r="O118" i="223"/>
  <c r="O80" i="223"/>
  <c r="O90" i="237"/>
  <c r="O163" i="237"/>
  <c r="O149" i="237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O147" i="223"/>
  <c r="N66" i="223"/>
  <c r="N6" i="223" s="1"/>
  <c r="O31" i="237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O72" i="223"/>
  <c r="R25" i="18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O155" i="223"/>
  <c r="E52" i="223"/>
  <c r="E11" i="223" s="1"/>
  <c r="L36" i="223"/>
  <c r="L8" i="223" s="1"/>
  <c r="F114" i="223"/>
  <c r="F14" i="223" s="1"/>
  <c r="P25" i="18"/>
  <c r="O115" i="223"/>
  <c r="B114" i="223"/>
  <c r="B14" i="223" s="1"/>
  <c r="Q40" i="1"/>
  <c r="AW25" i="18"/>
  <c r="O116" i="223"/>
  <c r="O189" i="223"/>
  <c r="N66" i="237"/>
  <c r="N6" i="237" s="1"/>
  <c r="J144" i="237"/>
  <c r="J3" i="237" s="1"/>
  <c r="J14" i="237" s="1"/>
  <c r="O79" i="223"/>
  <c r="N144" i="237"/>
  <c r="N3" i="237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E178" i="223"/>
  <c r="E13" i="223" s="1"/>
  <c r="O13" i="223" s="1"/>
  <c r="AY40" i="1"/>
  <c r="AO40" i="1"/>
  <c r="G129" i="237"/>
  <c r="G12" i="237" s="1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BB25" i="18"/>
  <c r="O59" i="223"/>
  <c r="O43" i="223"/>
  <c r="O134" i="237"/>
  <c r="W25" i="18"/>
  <c r="D159" i="237"/>
  <c r="D4" i="237" s="1"/>
  <c r="I114" i="223"/>
  <c r="I14" i="223" s="1"/>
  <c r="O183" i="223"/>
  <c r="O93" i="237"/>
  <c r="N52" i="223"/>
  <c r="N11" i="223" s="1"/>
  <c r="J82" i="223"/>
  <c r="J12" i="223" s="1"/>
  <c r="O125" i="237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M99" i="237"/>
  <c r="M8" i="237" s="1"/>
  <c r="O8" i="237" s="1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I7" i="14"/>
  <c r="J7" i="14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BA25" i="18"/>
  <c r="BA40" i="1"/>
  <c r="AA40" i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AF40" i="1"/>
  <c r="D144" i="237"/>
  <c r="D3" i="237" s="1"/>
  <c r="I82" i="237"/>
  <c r="I10" i="237" s="1"/>
  <c r="C66" i="237"/>
  <c r="C6" i="237" s="1"/>
  <c r="BN25" i="18"/>
  <c r="K36" i="237"/>
  <c r="K5" i="237" s="1"/>
  <c r="K14" i="237" s="1"/>
  <c r="O137" i="223"/>
  <c r="O186" i="237"/>
  <c r="O185" i="237"/>
  <c r="AR40" i="1"/>
  <c r="O32" i="223"/>
  <c r="J114" i="223"/>
  <c r="J14" i="223" s="1"/>
  <c r="O14" i="223" s="1"/>
  <c r="O146" i="237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C36" i="223"/>
  <c r="C8" i="223" s="1"/>
  <c r="O8" i="223" s="1"/>
  <c r="O71" i="237"/>
  <c r="C19" i="237"/>
  <c r="C7" i="237" s="1"/>
  <c r="AO25" i="18"/>
  <c r="H129" i="237"/>
  <c r="H12" i="237" s="1"/>
  <c r="H14" i="237" s="1"/>
  <c r="BF25" i="18"/>
  <c r="J4" i="14"/>
  <c r="I4" i="14"/>
  <c r="O24" i="223"/>
  <c r="O55" i="223"/>
  <c r="D129" i="237"/>
  <c r="D12" i="237" s="1"/>
  <c r="O75" i="223"/>
  <c r="AC40" i="1"/>
  <c r="O93" i="223"/>
  <c r="D66" i="237"/>
  <c r="D6" i="237" s="1"/>
  <c r="O132" i="237"/>
  <c r="F178" i="223"/>
  <c r="F13" i="223" s="1"/>
  <c r="F3" i="223" s="1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O136" i="223"/>
  <c r="O188" i="223"/>
  <c r="O83" i="237"/>
  <c r="B82" i="237"/>
  <c r="B10" i="237" s="1"/>
  <c r="B14" i="237" s="1"/>
  <c r="O80" i="237"/>
  <c r="J99" i="223"/>
  <c r="J9" i="223" s="1"/>
  <c r="N19" i="223"/>
  <c r="N5" i="223" s="1"/>
  <c r="O5" i="223" s="1"/>
  <c r="O184" i="237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O156" i="223"/>
  <c r="O182" i="223"/>
  <c r="O138" i="237"/>
  <c r="N178" i="237"/>
  <c r="N13" i="237" s="1"/>
  <c r="O13" i="237" s="1"/>
  <c r="O122" i="223"/>
  <c r="BM40" i="1"/>
  <c r="D159" i="223"/>
  <c r="D4" i="223" s="1"/>
  <c r="O4" i="223" s="1"/>
  <c r="O115" i="237"/>
  <c r="B114" i="237"/>
  <c r="B11" i="237" s="1"/>
  <c r="O11" i="237" s="1"/>
  <c r="J5" i="14"/>
  <c r="I5" i="14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B178" i="223"/>
  <c r="B13" i="223" s="1"/>
  <c r="B3" i="223" s="1"/>
  <c r="O179" i="223"/>
  <c r="O95" i="223"/>
  <c r="O85" i="237"/>
  <c r="K3" i="223"/>
  <c r="I3" i="223"/>
  <c r="C14" i="237"/>
  <c r="L3" i="223"/>
  <c r="O11" i="223"/>
  <c r="O6" i="223"/>
  <c r="O12" i="223"/>
  <c r="F14" i="237"/>
  <c r="G3" i="223"/>
  <c r="O10" i="223"/>
  <c r="O9" i="237"/>
  <c r="N3" i="223"/>
  <c r="I14" i="237"/>
  <c r="E14" i="237"/>
  <c r="O4" i="237"/>
  <c r="G14" i="237"/>
  <c r="O7" i="237"/>
  <c r="H3" i="223"/>
  <c r="L14" i="237"/>
  <c r="D6" i="14"/>
  <c r="E6" i="14" s="1"/>
  <c r="H51" i="14"/>
  <c r="K42" i="1"/>
  <c r="K41" i="1"/>
  <c r="Q15" i="14"/>
  <c r="M15" i="14"/>
  <c r="N40" i="14"/>
  <c r="S40" i="14"/>
  <c r="K28" i="14"/>
  <c r="R28" i="14"/>
  <c r="N28" i="14"/>
  <c r="P22" i="14"/>
  <c r="L22" i="14"/>
  <c r="C56" i="18"/>
  <c r="P60" i="14"/>
  <c r="M60" i="14"/>
  <c r="O43" i="14"/>
  <c r="N43" i="14"/>
  <c r="L43" i="14"/>
  <c r="P36" i="14"/>
  <c r="N36" i="14"/>
  <c r="O36" i="14"/>
  <c r="R31" i="14"/>
  <c r="P31" i="14"/>
  <c r="S19" i="14"/>
  <c r="O19" i="14"/>
  <c r="R19" i="14"/>
  <c r="P20" i="14"/>
  <c r="M20" i="14"/>
  <c r="L49" i="14"/>
  <c r="N49" i="14"/>
  <c r="L8" i="14"/>
  <c r="O8" i="14"/>
  <c r="R55" i="14"/>
  <c r="O55" i="14"/>
  <c r="N55" i="14"/>
  <c r="R25" i="14"/>
  <c r="Q25" i="14"/>
  <c r="L17" i="14"/>
  <c r="M17" i="14"/>
  <c r="K42" i="14"/>
  <c r="Q42" i="14"/>
  <c r="M30" i="14"/>
  <c r="Q30" i="14"/>
  <c r="I19" i="15"/>
  <c r="K6" i="14"/>
  <c r="S45" i="14"/>
  <c r="O45" i="14"/>
  <c r="P45" i="14"/>
  <c r="R46" i="14"/>
  <c r="O46" i="14"/>
  <c r="L33" i="14"/>
  <c r="S33" i="14"/>
  <c r="L61" i="14"/>
  <c r="K61" i="14"/>
  <c r="O61" i="14"/>
  <c r="R12" i="14"/>
  <c r="M12" i="14"/>
  <c r="L12" i="14"/>
  <c r="M63" i="14"/>
  <c r="N63" i="14"/>
  <c r="M52" i="14"/>
  <c r="S52" i="14"/>
  <c r="P21" i="14"/>
  <c r="Q21" i="14"/>
  <c r="L14" i="14"/>
  <c r="S14" i="14"/>
  <c r="M14" i="14"/>
  <c r="N16" i="14"/>
  <c r="S16" i="14"/>
  <c r="P44" i="14"/>
  <c r="K44" i="14"/>
  <c r="S9" i="14"/>
  <c r="K9" i="14"/>
  <c r="P9" i="14"/>
  <c r="O23" i="14"/>
  <c r="M23" i="14"/>
  <c r="L32" i="14"/>
  <c r="M32" i="14"/>
  <c r="P24" i="14"/>
  <c r="N24" i="14"/>
  <c r="O24" i="14"/>
  <c r="K18" i="14"/>
  <c r="L18" i="14"/>
  <c r="R51" i="14"/>
  <c r="S51" i="14"/>
  <c r="L29" i="14"/>
  <c r="M29" i="14"/>
  <c r="R11" i="14"/>
  <c r="M11" i="14"/>
  <c r="R48" i="14"/>
  <c r="M48" i="14"/>
  <c r="S47" i="14"/>
  <c r="N47" i="14"/>
  <c r="L47" i="14"/>
  <c r="Q38" i="14"/>
  <c r="R38" i="14"/>
  <c r="M58" i="14"/>
  <c r="L58" i="14"/>
  <c r="L56" i="14"/>
  <c r="K56" i="14"/>
  <c r="M27" i="14"/>
  <c r="N27" i="14"/>
  <c r="R27" i="14"/>
  <c r="P39" i="14"/>
  <c r="O39" i="14"/>
  <c r="O10" i="14"/>
  <c r="K10" i="14"/>
  <c r="R53" i="14"/>
  <c r="S53" i="14"/>
  <c r="P62" i="14"/>
  <c r="S62" i="14"/>
  <c r="P57" i="14"/>
  <c r="O57" i="14"/>
  <c r="L37" i="14"/>
  <c r="Q37" i="14"/>
  <c r="R15" i="14"/>
  <c r="L15" i="14"/>
  <c r="N15" i="14"/>
  <c r="R40" i="14"/>
  <c r="O40" i="14"/>
  <c r="M40" i="14"/>
  <c r="S28" i="14"/>
  <c r="Q28" i="14"/>
  <c r="S22" i="14"/>
  <c r="Q22" i="14"/>
  <c r="K22" i="14"/>
  <c r="R60" i="14"/>
  <c r="S60" i="14"/>
  <c r="P43" i="14"/>
  <c r="S43" i="14"/>
  <c r="R36" i="14"/>
  <c r="L36" i="14"/>
  <c r="K31" i="14"/>
  <c r="M31" i="14"/>
  <c r="C84" i="18"/>
  <c r="M19" i="14"/>
  <c r="K19" i="14"/>
  <c r="N20" i="14"/>
  <c r="O20" i="14"/>
  <c r="L20" i="14"/>
  <c r="K49" i="14"/>
  <c r="P49" i="14"/>
  <c r="Q8" i="14"/>
  <c r="M8" i="14"/>
  <c r="P55" i="14"/>
  <c r="S55" i="14"/>
  <c r="C48" i="18"/>
  <c r="P25" i="14"/>
  <c r="S25" i="14"/>
  <c r="R17" i="14"/>
  <c r="P17" i="14"/>
  <c r="S42" i="14"/>
  <c r="R42" i="14"/>
  <c r="O42" i="14"/>
  <c r="K30" i="14"/>
  <c r="S30" i="14"/>
  <c r="L30" i="14"/>
  <c r="R45" i="14"/>
  <c r="Q45" i="14"/>
  <c r="C61" i="18"/>
  <c r="S46" i="14"/>
  <c r="N46" i="14"/>
  <c r="K33" i="14"/>
  <c r="N33" i="14"/>
  <c r="O33" i="14"/>
  <c r="N61" i="14"/>
  <c r="S61" i="14"/>
  <c r="Q12" i="14"/>
  <c r="S12" i="14"/>
  <c r="S63" i="14"/>
  <c r="O63" i="14"/>
  <c r="R63" i="14"/>
  <c r="N52" i="14"/>
  <c r="K52" i="14"/>
  <c r="L21" i="14"/>
  <c r="S21" i="14"/>
  <c r="P14" i="14"/>
  <c r="R14" i="14"/>
  <c r="O16" i="14"/>
  <c r="M16" i="14"/>
  <c r="Q44" i="14"/>
  <c r="R44" i="14"/>
  <c r="M9" i="14"/>
  <c r="N9" i="14"/>
  <c r="R23" i="14"/>
  <c r="S23" i="14"/>
  <c r="N32" i="14"/>
  <c r="S32" i="14"/>
  <c r="Q32" i="14"/>
  <c r="L24" i="14"/>
  <c r="M24" i="14"/>
  <c r="R18" i="14"/>
  <c r="N18" i="14"/>
  <c r="Q18" i="14"/>
  <c r="Q51" i="14"/>
  <c r="N51" i="14"/>
  <c r="O51" i="14"/>
  <c r="S29" i="14"/>
  <c r="K29" i="14"/>
  <c r="N11" i="14"/>
  <c r="K11" i="14"/>
  <c r="K48" i="14"/>
  <c r="Q48" i="14"/>
  <c r="P47" i="14"/>
  <c r="Q47" i="14"/>
  <c r="P38" i="14"/>
  <c r="K38" i="14"/>
  <c r="S38" i="14"/>
  <c r="S58" i="14"/>
  <c r="O58" i="14"/>
  <c r="N58" i="14"/>
  <c r="O56" i="14"/>
  <c r="N56" i="14"/>
  <c r="K27" i="14"/>
  <c r="S27" i="14"/>
  <c r="S39" i="14"/>
  <c r="L39" i="14"/>
  <c r="L10" i="14"/>
  <c r="S10" i="14"/>
  <c r="O53" i="14"/>
  <c r="Q53" i="14"/>
  <c r="L62" i="14"/>
  <c r="O62" i="14"/>
  <c r="M57" i="14"/>
  <c r="S57" i="14"/>
  <c r="L57" i="14"/>
  <c r="K37" i="14"/>
  <c r="S37" i="14"/>
  <c r="S15" i="14"/>
  <c r="O15" i="14"/>
  <c r="K40" i="14"/>
  <c r="Q40" i="14"/>
  <c r="O28" i="14"/>
  <c r="L28" i="14"/>
  <c r="O22" i="14"/>
  <c r="M22" i="14"/>
  <c r="N60" i="14"/>
  <c r="O60" i="14"/>
  <c r="M43" i="14"/>
  <c r="Q43" i="14"/>
  <c r="Q36" i="14"/>
  <c r="S36" i="14"/>
  <c r="Q31" i="14"/>
  <c r="O31" i="14"/>
  <c r="N19" i="14"/>
  <c r="Q19" i="14"/>
  <c r="Q20" i="14"/>
  <c r="S20" i="14"/>
  <c r="M49" i="14"/>
  <c r="O49" i="14"/>
  <c r="R49" i="14"/>
  <c r="K8" i="14"/>
  <c r="S8" i="14"/>
  <c r="P8" i="14"/>
  <c r="K55" i="14"/>
  <c r="M55" i="14"/>
  <c r="K25" i="14"/>
  <c r="N25" i="14"/>
  <c r="L25" i="14"/>
  <c r="O17" i="14"/>
  <c r="K17" i="14"/>
  <c r="N42" i="14"/>
  <c r="P42" i="14"/>
  <c r="O30" i="14"/>
  <c r="P30" i="14"/>
  <c r="C40" i="18"/>
  <c r="K45" i="14"/>
  <c r="N45" i="14"/>
  <c r="M46" i="14"/>
  <c r="P46" i="14"/>
  <c r="K46" i="14"/>
  <c r="Q33" i="14"/>
  <c r="M33" i="14"/>
  <c r="P61" i="14"/>
  <c r="Q61" i="14"/>
  <c r="O12" i="14"/>
  <c r="N12" i="14"/>
  <c r="P63" i="14"/>
  <c r="K63" i="14"/>
  <c r="C25" i="18"/>
  <c r="L52" i="14"/>
  <c r="P52" i="14"/>
  <c r="Q52" i="14"/>
  <c r="M21" i="14"/>
  <c r="K21" i="14"/>
  <c r="Q14" i="14"/>
  <c r="O14" i="14"/>
  <c r="L16" i="14"/>
  <c r="R16" i="14"/>
  <c r="O44" i="14"/>
  <c r="M44" i="14"/>
  <c r="R9" i="14"/>
  <c r="O9" i="14"/>
  <c r="C63" i="18"/>
  <c r="P23" i="14"/>
  <c r="Q23" i="14"/>
  <c r="P32" i="14"/>
  <c r="R32" i="14"/>
  <c r="K24" i="14"/>
  <c r="Q24" i="14"/>
  <c r="O18" i="14"/>
  <c r="P18" i="14"/>
  <c r="K51" i="14"/>
  <c r="M51" i="14"/>
  <c r="O29" i="14"/>
  <c r="R29" i="14"/>
  <c r="Q29" i="14"/>
  <c r="P11" i="14"/>
  <c r="Q11" i="14"/>
  <c r="S48" i="14"/>
  <c r="L48" i="14"/>
  <c r="O48" i="14"/>
  <c r="R47" i="14"/>
  <c r="O47" i="14"/>
  <c r="O38" i="14"/>
  <c r="M38" i="14"/>
  <c r="P58" i="14"/>
  <c r="R58" i="14"/>
  <c r="M56" i="14"/>
  <c r="S56" i="14"/>
  <c r="R56" i="14"/>
  <c r="P27" i="14"/>
  <c r="L27" i="14"/>
  <c r="R39" i="14"/>
  <c r="M39" i="14"/>
  <c r="K39" i="14"/>
  <c r="M10" i="14"/>
  <c r="R10" i="14"/>
  <c r="L53" i="14"/>
  <c r="K53" i="14"/>
  <c r="P53" i="14"/>
  <c r="M62" i="14"/>
  <c r="R62" i="14"/>
  <c r="K57" i="14"/>
  <c r="Q57" i="14"/>
  <c r="N37" i="14"/>
  <c r="O37" i="14"/>
  <c r="P37" i="14"/>
  <c r="B40" i="18"/>
  <c r="K15" i="14"/>
  <c r="P15" i="14"/>
  <c r="P40" i="14"/>
  <c r="L40" i="14"/>
  <c r="M28" i="14"/>
  <c r="P28" i="14"/>
  <c r="R22" i="14"/>
  <c r="N22" i="14"/>
  <c r="K60" i="14"/>
  <c r="Q60" i="14"/>
  <c r="L60" i="14"/>
  <c r="R43" i="14"/>
  <c r="K43" i="14"/>
  <c r="K36" i="14"/>
  <c r="M36" i="14"/>
  <c r="L31" i="14"/>
  <c r="S31" i="14"/>
  <c r="N31" i="14"/>
  <c r="C57" i="18"/>
  <c r="L19" i="14"/>
  <c r="P19" i="14"/>
  <c r="K20" i="14"/>
  <c r="R20" i="14"/>
  <c r="Q49" i="14"/>
  <c r="S49" i="14"/>
  <c r="R8" i="14"/>
  <c r="N8" i="14"/>
  <c r="Q55" i="14"/>
  <c r="L55" i="14"/>
  <c r="O25" i="14"/>
  <c r="M25" i="14"/>
  <c r="S17" i="14"/>
  <c r="Q17" i="14"/>
  <c r="N17" i="14"/>
  <c r="M42" i="14"/>
  <c r="L42" i="14"/>
  <c r="R30" i="14"/>
  <c r="N30" i="14"/>
  <c r="C85" i="18"/>
  <c r="M45" i="14"/>
  <c r="L45" i="14"/>
  <c r="Q46" i="14"/>
  <c r="L46" i="14"/>
  <c r="R33" i="14"/>
  <c r="P33" i="14"/>
  <c r="M61" i="14"/>
  <c r="R61" i="14"/>
  <c r="K12" i="14"/>
  <c r="P12" i="14"/>
  <c r="L63" i="14"/>
  <c r="Q63" i="14"/>
  <c r="R52" i="14"/>
  <c r="O52" i="14"/>
  <c r="O21" i="14"/>
  <c r="N21" i="14"/>
  <c r="R21" i="14"/>
  <c r="N14" i="14"/>
  <c r="K14" i="14"/>
  <c r="Q16" i="14"/>
  <c r="K16" i="14"/>
  <c r="P16" i="14"/>
  <c r="S44" i="14"/>
  <c r="N44" i="14"/>
  <c r="L44" i="14"/>
  <c r="L9" i="14"/>
  <c r="Q9" i="14"/>
  <c r="L23" i="14"/>
  <c r="K23" i="14"/>
  <c r="N23" i="14"/>
  <c r="O32" i="14"/>
  <c r="K32" i="14"/>
  <c r="S24" i="14"/>
  <c r="R24" i="14"/>
  <c r="M18" i="14"/>
  <c r="S18" i="14"/>
  <c r="L51" i="14"/>
  <c r="P51" i="14"/>
  <c r="P29" i="14"/>
  <c r="N29" i="14"/>
  <c r="S11" i="14"/>
  <c r="L11" i="14"/>
  <c r="O11" i="14"/>
  <c r="P48" i="14"/>
  <c r="N48" i="14"/>
  <c r="K47" i="14"/>
  <c r="M47" i="14"/>
  <c r="L38" i="14"/>
  <c r="N38" i="14"/>
  <c r="K58" i="14"/>
  <c r="Q58" i="14"/>
  <c r="Q56" i="14"/>
  <c r="P56" i="14"/>
  <c r="Q27" i="14"/>
  <c r="O27" i="14"/>
  <c r="N39" i="14"/>
  <c r="Q39" i="14"/>
  <c r="N10" i="14"/>
  <c r="P10" i="14"/>
  <c r="Q10" i="14"/>
  <c r="N53" i="14"/>
  <c r="M53" i="14"/>
  <c r="K62" i="14"/>
  <c r="Q62" i="14"/>
  <c r="N62" i="14"/>
  <c r="N57" i="14"/>
  <c r="R57" i="14"/>
  <c r="R37" i="14"/>
  <c r="M37" i="14"/>
  <c r="B38" i="18"/>
  <c r="B46" i="18"/>
  <c r="B74" i="18"/>
  <c r="B93" i="18"/>
  <c r="B63" i="18"/>
  <c r="B65" i="18"/>
  <c r="B72" i="18"/>
  <c r="B64" i="18"/>
  <c r="B82" i="18"/>
  <c r="B62" i="18"/>
  <c r="B44" i="18"/>
  <c r="B45" i="18"/>
  <c r="B51" i="18"/>
  <c r="B95" i="18"/>
  <c r="B60" i="18"/>
  <c r="B83" i="18"/>
  <c r="B88" i="18"/>
  <c r="B50" i="18"/>
  <c r="B47" i="18"/>
  <c r="B66" i="18"/>
  <c r="B79" i="18"/>
  <c r="B52" i="18"/>
  <c r="B56" i="18"/>
  <c r="B48" i="18"/>
  <c r="B96" i="18"/>
  <c r="B89" i="18"/>
  <c r="B80" i="18"/>
  <c r="B67" i="18"/>
  <c r="B94" i="18"/>
  <c r="B58" i="18"/>
  <c r="B71" i="18"/>
  <c r="B69" i="18"/>
  <c r="B87" i="18"/>
  <c r="B49" i="18"/>
  <c r="B57" i="18"/>
  <c r="B85" i="18"/>
  <c r="B42" i="18"/>
  <c r="B59" i="18"/>
  <c r="B53" i="18"/>
  <c r="B54" i="18"/>
  <c r="B84" i="18"/>
  <c r="B43" i="18"/>
  <c r="B55" i="18"/>
  <c r="B75" i="18"/>
  <c r="B78" i="18"/>
  <c r="B97" i="18"/>
  <c r="B90" i="18"/>
  <c r="B81" i="18"/>
  <c r="B77" i="18"/>
  <c r="B91" i="18"/>
  <c r="B86" i="18"/>
  <c r="B76" i="18"/>
  <c r="B70" i="18"/>
  <c r="B61" i="18"/>
  <c r="B92" i="18"/>
  <c r="B39" i="18"/>
  <c r="C34" i="18"/>
  <c r="A43" i="18"/>
  <c r="A42" i="18"/>
  <c r="J3" i="223" l="1"/>
  <c r="O6" i="237"/>
  <c r="D3" i="223"/>
  <c r="O10" i="237"/>
  <c r="E3" i="223"/>
  <c r="M14" i="237"/>
  <c r="D14" i="237"/>
  <c r="N14" i="237"/>
  <c r="O5" i="237"/>
  <c r="O12" i="237"/>
  <c r="M3" i="223"/>
  <c r="C3" i="223"/>
  <c r="O3" i="237"/>
  <c r="A44" i="18"/>
  <c r="J62" i="14"/>
  <c r="I62" i="14"/>
  <c r="I58" i="14"/>
  <c r="J58" i="14"/>
  <c r="J47" i="14"/>
  <c r="I47" i="14"/>
  <c r="J32" i="14"/>
  <c r="I32" i="14"/>
  <c r="J23" i="14"/>
  <c r="I23" i="14"/>
  <c r="J16" i="14"/>
  <c r="I16" i="14"/>
  <c r="I14" i="14"/>
  <c r="J14" i="14"/>
  <c r="I12" i="14"/>
  <c r="J12" i="14"/>
  <c r="J20" i="14"/>
  <c r="I20" i="14"/>
  <c r="I36" i="14"/>
  <c r="J36" i="14"/>
  <c r="J43" i="14"/>
  <c r="I43" i="14"/>
  <c r="I60" i="14"/>
  <c r="J60" i="14"/>
  <c r="I15" i="14"/>
  <c r="J15" i="14"/>
  <c r="I57" i="14"/>
  <c r="J57" i="14"/>
  <c r="J53" i="14"/>
  <c r="I53" i="14"/>
  <c r="J39" i="14"/>
  <c r="I39" i="14"/>
  <c r="J51" i="14"/>
  <c r="I51" i="14"/>
  <c r="J24" i="14"/>
  <c r="I24" i="14"/>
  <c r="I21" i="14"/>
  <c r="J21" i="14"/>
  <c r="I63" i="14"/>
  <c r="J63" i="14"/>
  <c r="I46" i="14"/>
  <c r="J46" i="14"/>
  <c r="J45" i="14"/>
  <c r="I45" i="14"/>
  <c r="J17" i="14"/>
  <c r="I17" i="14"/>
  <c r="I25" i="14"/>
  <c r="J25" i="14"/>
  <c r="I55" i="14"/>
  <c r="J55" i="14"/>
  <c r="I8" i="14"/>
  <c r="J8" i="14"/>
  <c r="I40" i="14"/>
  <c r="J40" i="14"/>
  <c r="I37" i="14"/>
  <c r="J37" i="14"/>
  <c r="J27" i="14"/>
  <c r="I27" i="14"/>
  <c r="J38" i="14"/>
  <c r="I38" i="14"/>
  <c r="I48" i="14"/>
  <c r="J48" i="14"/>
  <c r="I11" i="14"/>
  <c r="J11" i="14"/>
  <c r="I29" i="14"/>
  <c r="J29" i="14"/>
  <c r="I52" i="14"/>
  <c r="J52" i="14"/>
  <c r="I33" i="14"/>
  <c r="J33" i="14"/>
  <c r="I30" i="14"/>
  <c r="J30" i="14"/>
  <c r="J49" i="14"/>
  <c r="I49" i="14"/>
  <c r="I19" i="14"/>
  <c r="J19" i="14"/>
  <c r="I31" i="14"/>
  <c r="J31" i="14"/>
  <c r="J22" i="14"/>
  <c r="I22" i="14"/>
  <c r="J10" i="14"/>
  <c r="I10" i="14"/>
  <c r="I56" i="14"/>
  <c r="J56" i="14"/>
  <c r="I18" i="14"/>
  <c r="J18" i="14"/>
  <c r="I9" i="14"/>
  <c r="J9" i="14"/>
  <c r="J44" i="14"/>
  <c r="I44" i="14"/>
  <c r="I61" i="14"/>
  <c r="J61" i="14"/>
  <c r="J6" i="14"/>
  <c r="I6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42" i="14"/>
  <c r="J42" i="14"/>
  <c r="J28" i="14"/>
  <c r="I28" i="14"/>
  <c r="O9" i="223"/>
  <c r="O3" i="223" s="1"/>
  <c r="A34" i="185"/>
  <c r="O14" i="237"/>
  <c r="A19" i="14"/>
  <c r="B34" i="18"/>
  <c r="B33" i="185"/>
  <c r="A35" i="185" l="1"/>
  <c r="A42" i="14"/>
  <c r="H19" i="14"/>
  <c r="B34" i="185"/>
  <c r="A36" i="185" l="1"/>
  <c r="H42" i="14"/>
  <c r="A36" i="14"/>
  <c r="B35" i="185"/>
  <c r="A37" i="185" l="1"/>
  <c r="A12" i="14"/>
  <c r="H36" i="14"/>
  <c r="B36" i="185"/>
  <c r="A38" i="185" l="1"/>
  <c r="H12" i="14"/>
  <c r="B37" i="185"/>
  <c r="A39" i="185" l="1"/>
  <c r="A16" i="14"/>
  <c r="B38" i="185"/>
  <c r="A40" i="185" l="1"/>
  <c r="H16" i="14"/>
  <c r="A37" i="14"/>
  <c r="B39" i="185"/>
  <c r="A41" i="185" l="1"/>
  <c r="H37" i="14"/>
  <c r="A9" i="14"/>
  <c r="B40" i="185"/>
  <c r="A42" i="185" l="1"/>
  <c r="A55" i="14"/>
  <c r="H9" i="14"/>
  <c r="B41" i="185"/>
  <c r="A43" i="185" l="1"/>
  <c r="H55" i="14"/>
  <c r="B43" i="185"/>
  <c r="B42" i="185"/>
  <c r="A11" i="14" l="1"/>
  <c r="H11" i="14" l="1"/>
  <c r="A62" i="14" l="1"/>
  <c r="H62" i="14" l="1"/>
  <c r="A58" i="14" l="1"/>
  <c r="H58" i="14" l="1"/>
  <c r="A17" i="14"/>
  <c r="H17" i="14" l="1"/>
  <c r="A56" i="14" l="1"/>
  <c r="H56" i="14" l="1"/>
  <c r="A52" i="14"/>
  <c r="H52" i="14" l="1"/>
  <c r="A8" i="14" l="1"/>
  <c r="H8" i="14" l="1"/>
  <c r="A10" i="14" l="1"/>
  <c r="H10" i="14" l="1"/>
  <c r="A57" i="14"/>
  <c r="A54" i="14" s="1"/>
  <c r="H54" i="14" s="1"/>
  <c r="H57" i="14" l="1"/>
  <c r="A59" i="14" l="1"/>
  <c r="H59" i="14" s="1"/>
  <c r="A38" i="14"/>
  <c r="A39" i="14" l="1"/>
  <c r="H39" i="14" s="1"/>
  <c r="H38" i="14"/>
  <c r="A53" i="14"/>
  <c r="H53" i="14" s="1"/>
  <c r="A43" i="14" l="1"/>
  <c r="A29" i="14" s="1"/>
  <c r="H29" i="14" l="1"/>
  <c r="A30" i="14"/>
  <c r="H43" i="14"/>
  <c r="H30" i="14" l="1"/>
  <c r="A18" i="14" l="1"/>
  <c r="H18" i="14" s="1"/>
  <c r="A15" i="14" l="1"/>
  <c r="H15" i="14" s="1"/>
  <c r="A13" i="14" l="1"/>
  <c r="H13" i="14" s="1"/>
  <c r="A23" i="14"/>
  <c r="A46" i="14"/>
  <c r="H46" i="14" s="1"/>
  <c r="A44" i="14" l="1"/>
  <c r="A24" i="14"/>
  <c r="H44" i="14"/>
  <c r="A47" i="14"/>
  <c r="A48" i="14" s="1"/>
  <c r="H23" i="14"/>
  <c r="A45" i="14" l="1"/>
  <c r="H45" i="14" s="1"/>
  <c r="H24" i="14"/>
  <c r="A25" i="14"/>
  <c r="H48" i="14"/>
  <c r="A49" i="14"/>
  <c r="A31" i="14"/>
  <c r="A32" i="14" s="1"/>
  <c r="H47" i="14"/>
  <c r="H32" i="14" l="1"/>
  <c r="A33" i="14"/>
  <c r="A26" i="14"/>
  <c r="H26" i="14" s="1"/>
  <c r="H25" i="14"/>
  <c r="A50" i="14"/>
  <c r="H50" i="14" s="1"/>
  <c r="H49" i="14"/>
  <c r="A40" i="14"/>
  <c r="H31" i="14"/>
  <c r="H40" i="14" l="1"/>
  <c r="A41" i="14"/>
  <c r="H41" i="14" s="1"/>
  <c r="A20" i="14"/>
  <c r="H33" i="14"/>
  <c r="A34" i="14"/>
  <c r="H20" i="14" l="1"/>
  <c r="A21" i="14"/>
  <c r="H21" i="14" s="1"/>
  <c r="H34" i="14"/>
  <c r="A35" i="14"/>
  <c r="H35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27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<sst xmlns="http://schemas.openxmlformats.org/spreadsheetml/2006/main" count="6305" uniqueCount="322">
  <si>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</si>
  <si>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</si>
  <si>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</si>
  <si>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</si>
  <si>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</si>
  <si>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</si>
  <si>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</si>
  <si>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</si>
  <si>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</si>
  <si>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</si>
  <si>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</si>
  <si>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</si>
  <si>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</si>
  <si>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</si>
  <si>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</si>
  <si>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</si>
  <si>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</si>
  <si>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</si>
  <si>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</si>
  <si>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</si>
  <si>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</si>
  <si>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</si>
  <si>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</si>
  <si>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</si>
  <si>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</si>
  <si>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</si>
  <si>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</si>
  <si>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</si>
  <si>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</si>
  <si>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</si>
  <si>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</si>
  <si>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</si>
  <si>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</si>
  <si>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</si>
  <si>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</si>
  <si>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</si>
  <si>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</si>
  <si>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</si>
  <si>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</si>
  <si>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</si>
  <si>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</si>
  <si>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</si>
  <si>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</si>
  <si>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</si>
  <si>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</si>
  <si>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</si>
  <si>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</si>
  <si>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</si>
  <si>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</si>
  <si>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</si>
  <si>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</si>
  <si>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</si>
  <si>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</si>
  <si>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</si>
  <si>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</si>
  <si>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</si>
  <si>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</si>
  <si>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</si>
  <si>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</si>
  <si>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</si>
  <si>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</si>
  <si>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</si>
  <si>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</si>
  <si>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</si>
  <si>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</si>
  <si>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</si>
  <si>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</si>
  <si>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</si>
  <si>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</si>
  <si>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</si>
  <si>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</si>
  <si>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</si>
  <si>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</si>
  <si>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</si>
  <si>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</si>
  <si>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</si>
  <si>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</si>
  <si>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</si>
  <si>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</si>
  <si>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</si>
  <si>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</si>
  <si>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</si>
  <si>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</si>
  <si>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</si>
  <si>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</si>
  <si>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</si>
  <si>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</si>
  <si>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</si>
  <si>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</si>
  <si>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</si>
  <si>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</si>
  <si>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</si>
  <si>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</si>
  <si>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</si>
  <si>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</si>
  <si>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</si>
  <si>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</si>
  <si>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</si>
  <si>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</si>
  <si>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</si>
  <si>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</si>
  <si>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</si>
  <si>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</si>
  <si>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</si>
  <si>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</si>
  <si>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</si>
  <si>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</si>
  <si>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</si>
  <si>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</si>
  <si>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</si>
  <si>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</si>
  <si>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</si>
  <si>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</si>
  <si>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</si>
  <si>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</si>
  <si>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</si>
  <si>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</si>
  <si>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</si>
  <si>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</si>
  <si>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</si>
  <si>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</si>
  <si>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</si>
  <si>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</si>
  <si>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</si>
  <si>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</si>
  <si>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Hendrick, Matt R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</si>
  <si>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</si>
  <si>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</si>
  <si>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</si>
  <si>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</si>
  <si>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</si>
  <si>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</si>
  <si>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Penrose, Tim Remote</t>
  </si>
  <si>
    <t>Ferguson, Scott Remote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</si>
  <si>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</si>
  <si>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</si>
  <si>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</si>
  <si>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</si>
  <si>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</si>
  <si>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</si>
  <si>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</si>
  <si>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</si>
  <si>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</si>
  <si>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</si>
  <si>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</si>
  <si>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</si>
  <si>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</si>
  <si>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</si>
  <si>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</si>
  <si>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</si>
  <si>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</si>
  <si>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</si>
  <si>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</si>
  <si>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</si>
  <si>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</si>
  <si>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</si>
  <si>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</si>
  <si>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</si>
  <si>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</si>
  <si>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</si>
  <si>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</si>
  <si>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</si>
  <si>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</si>
  <si>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</si>
  <si>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</si>
  <si>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</si>
  <si>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</si>
  <si>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</si>
  <si>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</si>
  <si>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</si>
  <si>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</si>
  <si>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</si>
  <si>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</si>
  <si>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</si>
  <si>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</si>
  <si>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</si>
  <si>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</si>
  <si>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</si>
  <si>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</si>
  <si>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</si>
  <si>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</si>
  <si>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</si>
  <si>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</si>
  <si>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</si>
  <si>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</si>
  <si>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</si>
  <si>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</si>
  <si>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</si>
  <si>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</si>
  <si>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</si>
  <si>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</si>
  <si>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</si>
  <si>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</si>
  <si>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</si>
  <si>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</si>
  <si>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</si>
  <si>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</si>
  <si>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</si>
  <si>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</si>
  <si>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</si>
  <si>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</si>
  <si>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</si>
  <si>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</si>
  <si>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</si>
  <si>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</si>
  <si>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</si>
  <si>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</si>
  <si>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</si>
  <si>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</si>
  <si>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</si>
  <si>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</si>
  <si>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</si>
  <si>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</si>
  <si>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</si>
  <si>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</si>
  <si>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</si>
  <si>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</si>
  <si>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</si>
  <si>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</si>
  <si>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</si>
  <si>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</si>
  <si>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</si>
  <si>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</si>
  <si>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</si>
  <si>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</si>
  <si>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</si>
  <si>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</si>
  <si>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</si>
  <si>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</si>
  <si>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</si>
  <si>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</si>
  <si>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</si>
  <si>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</si>
  <si>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</si>
  <si>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</si>
  <si>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</si>
  <si>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</si>
  <si>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</si>
  <si>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</si>
  <si>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</si>
  <si>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</si>
  <si>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</si>
  <si>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</si>
  <si>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</si>
  <si>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</si>
  <si>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</si>
  <si>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</si>
  <si>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</si>
  <si>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</si>
  <si>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</si>
  <si>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</si>
  <si>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</si>
  <si>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</si>
  <si>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</si>
  <si>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</si>
  <si>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</si>
  <si>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</si>
  <si>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</si>
  <si>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</si>
  <si>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</si>
  <si>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</si>
  <si>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</si>
  <si>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</si>
  <si>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</si>
  <si>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</si>
  <si>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Steel, Van Remote</t>
  </si>
  <si>
    <t>White, Jarred</t>
  </si>
  <si>
    <t>James, Larry Remote</t>
  </si>
  <si>
    <t>Holden, Brent Remote</t>
  </si>
  <si>
    <t>Powell, LaMar</t>
  </si>
  <si>
    <t>South Alabama</t>
  </si>
  <si>
    <t>Fonville, Chris</t>
  </si>
  <si>
    <t>Moore, Kevin B</t>
  </si>
  <si>
    <t>BYU</t>
  </si>
  <si>
    <t>Sapp, Carl G</t>
  </si>
  <si>
    <t>Sams, David</t>
  </si>
  <si>
    <t>Pacific 12</t>
  </si>
  <si>
    <t>Desing, Scott M</t>
  </si>
  <si>
    <t>Neill, Charles H</t>
  </si>
  <si>
    <t>Winburn, Steve A</t>
  </si>
  <si>
    <t>Young, Kenneth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</si>
  <si>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</si>
  <si>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</si>
  <si>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</si>
  <si>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</si>
  <si>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</si>
  <si>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</si>
  <si>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</si>
  <si>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Holley, Jeremy Remote</t>
  </si>
  <si>
    <t>Nguyen, Thai Remote</t>
  </si>
  <si>
    <t>Nance, Rob Remote</t>
  </si>
  <si>
    <t>Marsh, Alexander Remote</t>
  </si>
  <si>
    <t>All Participants</t>
  </si>
  <si>
    <t>Cut &amp; Paste from here for all poolers:</t>
  </si>
  <si>
    <t>Beasley, Tate</t>
  </si>
  <si>
    <t>Beckwith, Greg</t>
  </si>
  <si>
    <t>Warren, Todd Remote</t>
  </si>
  <si>
    <t>Gilmer, Justin T</t>
  </si>
  <si>
    <t>Mccoy, William M</t>
  </si>
  <si>
    <t>Stonecypher, David</t>
  </si>
  <si>
    <t>Locklear, Dave Remote</t>
  </si>
  <si>
    <t>Barker, Christopher A</t>
  </si>
  <si>
    <t>Appalachian State</t>
  </si>
  <si>
    <t>Georgia Southern</t>
  </si>
  <si>
    <t>Desetto, Daniel</t>
  </si>
  <si>
    <t>Carroll, Adam</t>
  </si>
  <si>
    <t>Delehanty, Kyle T</t>
  </si>
  <si>
    <t>Desetto, Thomas Remote</t>
  </si>
  <si>
    <t>Inabinet, Gregory</t>
  </si>
  <si>
    <t>Johnson, Creed D</t>
  </si>
  <si>
    <t>Montanez, Johanna</t>
  </si>
  <si>
    <t>Murdaugh, Stephen K</t>
  </si>
  <si>
    <t>Paul, Wilmaison</t>
  </si>
  <si>
    <t>Robbins, Thomas D</t>
  </si>
  <si>
    <t>x</t>
  </si>
  <si>
    <t>Daffron, Christopher</t>
  </si>
  <si>
    <t>Neeley, Amber Remote</t>
  </si>
  <si>
    <t>Neeley, Michael Remote</t>
  </si>
  <si>
    <t>Boykin, Jerome W</t>
  </si>
  <si>
    <t>Drebin, James</t>
  </si>
  <si>
    <t>Staub, Ryan</t>
  </si>
  <si>
    <t>Warren, Jason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</si>
</sst>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0" xfId="0" applyNumberFormat="1" applyFill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22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3-4F88-92F0-CB55F1D35158}"/>
            </c:ext>
          </c:extLst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23-4F88-92F0-CB55F1D35158}"/>
            </c:ext>
          </c:extLst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2.5</c:v>
                </c:pt>
                <c:pt idx="7">
                  <c:v>4.5</c:v>
                </c:pt>
                <c:pt idx="8">
                  <c:v>5.5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3-4F88-92F0-CB55F1D35158}"/>
            </c:ext>
          </c:extLst>
        </c:ser>
        <c:ser>
          <c:idx val="4"/>
          <c:order val="3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23-4F88-92F0-CB55F1D35158}"/>
            </c:ext>
          </c:extLst>
        </c:ser>
        <c:ser>
          <c:idx val="5"/>
          <c:order val="4"/>
          <c:tx>
            <c:strRef>
              <c:f>Chart!$L$2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-6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-7</c:v>
                </c:pt>
                <c:pt idx="8">
                  <c:v>-8</c:v>
                </c:pt>
                <c:pt idx="9">
                  <c:v>-11</c:v>
                </c:pt>
                <c:pt idx="10">
                  <c:v>-11</c:v>
                </c:pt>
                <c:pt idx="11">
                  <c:v>-11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23-4F88-92F0-CB55F1D35158}"/>
            </c:ext>
          </c:extLst>
        </c:ser>
        <c:ser>
          <c:idx val="6"/>
          <c:order val="5"/>
          <c:tx>
            <c:strRef>
              <c:f>Chart!$M$2</c:f>
              <c:strCache>
                <c:ptCount val="1"/>
                <c:pt idx="0">
                  <c:v>Beasley, Tate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-3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23-4F88-92F0-CB55F1D35158}"/>
            </c:ext>
          </c:extLst>
        </c:ser>
        <c:ser>
          <c:idx val="7"/>
          <c:order val="6"/>
          <c:tx>
            <c:strRef>
              <c:f>Chart!$N$2</c:f>
              <c:strCache>
                <c:ptCount val="1"/>
                <c:pt idx="0">
                  <c:v>Beckwith, Greg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23-4F88-92F0-CB55F1D35158}"/>
            </c:ext>
          </c:extLst>
        </c:ser>
        <c:ser>
          <c:idx val="8"/>
          <c:order val="7"/>
          <c:tx>
            <c:strRef>
              <c:f>Chart!$O$2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-8</c:v>
                </c:pt>
                <c:pt idx="5">
                  <c:v>-9</c:v>
                </c:pt>
                <c:pt idx="6">
                  <c:v>-13</c:v>
                </c:pt>
                <c:pt idx="7">
                  <c:v>-15</c:v>
                </c:pt>
                <c:pt idx="8">
                  <c:v>-16</c:v>
                </c:pt>
                <c:pt idx="9">
                  <c:v>-21</c:v>
                </c:pt>
                <c:pt idx="10">
                  <c:v>-21</c:v>
                </c:pt>
                <c:pt idx="11">
                  <c:v>-21</c:v>
                </c:pt>
                <c:pt idx="12">
                  <c:v>-21</c:v>
                </c:pt>
                <c:pt idx="13">
                  <c:v>-21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23-4F88-92F0-CB55F1D35158}"/>
            </c:ext>
          </c:extLst>
        </c:ser>
        <c:ser>
          <c:idx val="9"/>
          <c:order val="8"/>
          <c:tx>
            <c:strRef>
              <c:f>Chart!$P$2</c:f>
              <c:strCache>
                <c:ptCount val="1"/>
                <c:pt idx="0">
                  <c:v>Carroll, Adam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-4</c:v>
                </c:pt>
                <c:pt idx="7">
                  <c:v>-5</c:v>
                </c:pt>
                <c:pt idx="8">
                  <c:v>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23-4F88-92F0-CB55F1D35158}"/>
            </c:ext>
          </c:extLst>
        </c:ser>
        <c:ser>
          <c:idx val="10"/>
          <c:order val="9"/>
          <c:tx>
            <c:strRef>
              <c:f>Chart!$Q$2</c:f>
              <c:strCache>
                <c:ptCount val="1"/>
                <c:pt idx="0">
                  <c:v>Daffron, Christopher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-7</c:v>
                </c:pt>
                <c:pt idx="4">
                  <c:v>-7</c:v>
                </c:pt>
                <c:pt idx="5">
                  <c:v>-6</c:v>
                </c:pt>
                <c:pt idx="6">
                  <c:v>-7</c:v>
                </c:pt>
                <c:pt idx="7">
                  <c:v>-6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23-4F88-92F0-CB55F1D35158}"/>
            </c:ext>
          </c:extLst>
        </c:ser>
        <c:ser>
          <c:idx val="11"/>
          <c:order val="10"/>
          <c:tx>
            <c:strRef>
              <c:f>Chart!$R$2</c:f>
              <c:strCache>
                <c:ptCount val="1"/>
                <c:pt idx="0">
                  <c:v>Delehanty, Kyle T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-4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123-4F88-92F0-CB55F1D35158}"/>
            </c:ext>
          </c:extLst>
        </c:ser>
        <c:ser>
          <c:idx val="12"/>
          <c:order val="11"/>
          <c:tx>
            <c:strRef>
              <c:f>Chart!$S$2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-2</c:v>
                </c:pt>
                <c:pt idx="5">
                  <c:v>-1</c:v>
                </c:pt>
                <c:pt idx="6">
                  <c:v>-3</c:v>
                </c:pt>
                <c:pt idx="7">
                  <c:v>-4</c:v>
                </c:pt>
                <c:pt idx="8">
                  <c:v>-3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23-4F88-92F0-CB55F1D35158}"/>
            </c:ext>
          </c:extLst>
        </c:ser>
        <c:ser>
          <c:idx val="13"/>
          <c:order val="12"/>
          <c:tx>
            <c:strRef>
              <c:f>Chart!$T$2</c:f>
              <c:strCache>
                <c:ptCount val="1"/>
                <c:pt idx="0">
                  <c:v>Desetto, Thomas Remote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-12</c:v>
                </c:pt>
                <c:pt idx="7">
                  <c:v>-13</c:v>
                </c:pt>
                <c:pt idx="8">
                  <c:v>-14</c:v>
                </c:pt>
                <c:pt idx="9">
                  <c:v>-10</c:v>
                </c:pt>
                <c:pt idx="10">
                  <c:v>-10</c:v>
                </c:pt>
                <c:pt idx="11">
                  <c:v>-10</c:v>
                </c:pt>
                <c:pt idx="12">
                  <c:v>-10</c:v>
                </c:pt>
                <c:pt idx="13">
                  <c:v>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123-4F88-92F0-CB55F1D35158}"/>
            </c:ext>
          </c:extLst>
        </c:ser>
        <c:ser>
          <c:idx val="14"/>
          <c:order val="13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-8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-5</c:v>
                </c:pt>
                <c:pt idx="8">
                  <c:v>-4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23-4F88-92F0-CB55F1D35158}"/>
            </c:ext>
          </c:extLst>
        </c:ser>
        <c:ser>
          <c:idx val="15"/>
          <c:order val="14"/>
          <c:tx>
            <c:strRef>
              <c:f>Chart!$V$2</c:f>
              <c:strCache>
                <c:ptCount val="1"/>
                <c:pt idx="0">
                  <c:v>Drebin, James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123-4F88-92F0-CB55F1D35158}"/>
            </c:ext>
          </c:extLst>
        </c:ser>
        <c:ser>
          <c:idx val="16"/>
          <c:order val="15"/>
          <c:tx>
            <c:strRef>
              <c:f>Chart!$W$2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123-4F88-92F0-CB55F1D35158}"/>
            </c:ext>
          </c:extLst>
        </c:ser>
        <c:ser>
          <c:idx val="17"/>
          <c:order val="16"/>
          <c:tx>
            <c:strRef>
              <c:f>Chart!$X$2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-7</c:v>
                </c:pt>
                <c:pt idx="5">
                  <c:v>-6</c:v>
                </c:pt>
                <c:pt idx="6">
                  <c:v>-4</c:v>
                </c:pt>
                <c:pt idx="7">
                  <c:v>-1</c:v>
                </c:pt>
                <c:pt idx="8">
                  <c:v>-1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23-4F88-92F0-CB55F1D35158}"/>
            </c:ext>
          </c:extLst>
        </c:ser>
        <c:ser>
          <c:idx val="18"/>
          <c:order val="17"/>
          <c:tx>
            <c:strRef>
              <c:f>Chart!$Y$2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123-4F88-92F0-CB55F1D35158}"/>
            </c:ext>
          </c:extLst>
        </c:ser>
        <c:ser>
          <c:idx val="19"/>
          <c:order val="18"/>
          <c:tx>
            <c:strRef>
              <c:f>Chart!$Z$2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123-4F88-92F0-CB55F1D35158}"/>
            </c:ext>
          </c:extLst>
        </c:ser>
        <c:ser>
          <c:idx val="20"/>
          <c:order val="19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4.8461538461538538</c:v>
                </c:pt>
                <c:pt idx="11">
                  <c:v>4.8461538461538538</c:v>
                </c:pt>
                <c:pt idx="12">
                  <c:v>4.8461538461538538</c:v>
                </c:pt>
                <c:pt idx="13">
                  <c:v>4.8461538461538538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123-4F88-92F0-CB55F1D35158}"/>
            </c:ext>
          </c:extLst>
        </c:ser>
        <c:ser>
          <c:idx val="21"/>
          <c:order val="20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13.153846153846146</c:v>
                </c:pt>
                <c:pt idx="11">
                  <c:v>13.153846153846146</c:v>
                </c:pt>
                <c:pt idx="12">
                  <c:v>13.153846153846146</c:v>
                </c:pt>
                <c:pt idx="13">
                  <c:v>13.153846153846146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123-4F88-92F0-CB55F1D35158}"/>
            </c:ext>
          </c:extLst>
        </c:ser>
        <c:ser>
          <c:idx val="22"/>
          <c:order val="21"/>
          <c:tx>
            <c:strRef>
              <c:f>Chart!$AA$2</c:f>
              <c:strCache>
                <c:ptCount val="1"/>
                <c:pt idx="0">
                  <c:v>Gilmer, Justin T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-4</c:v>
                </c:pt>
                <c:pt idx="10">
                  <c:v>-4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123-4F88-92F0-CB55F1D35158}"/>
            </c:ext>
          </c:extLst>
        </c:ser>
        <c:ser>
          <c:idx val="23"/>
          <c:order val="22"/>
          <c:tx>
            <c:strRef>
              <c:f>Chart!$AB$2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123-4F88-92F0-CB55F1D35158}"/>
            </c:ext>
          </c:extLst>
        </c:ser>
        <c:ser>
          <c:idx val="24"/>
          <c:order val="23"/>
          <c:tx>
            <c:strRef>
              <c:f>Chart!$AC$2</c:f>
              <c:strCache>
                <c:ptCount val="1"/>
                <c:pt idx="0">
                  <c:v>Holden, Brent Remote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123-4F88-92F0-CB55F1D35158}"/>
            </c:ext>
          </c:extLst>
        </c:ser>
        <c:ser>
          <c:idx val="25"/>
          <c:order val="24"/>
          <c:tx>
            <c:strRef>
              <c:f>Chart!$AD$2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123-4F88-92F0-CB55F1D35158}"/>
            </c:ext>
          </c:extLst>
        </c:ser>
        <c:ser>
          <c:idx val="26"/>
          <c:order val="25"/>
          <c:tx>
            <c:strRef>
              <c:f>Chart!$AE$2</c:f>
              <c:strCache>
                <c:ptCount val="1"/>
                <c:pt idx="0">
                  <c:v>Inabinet, Gregory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-2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123-4F88-92F0-CB55F1D35158}"/>
            </c:ext>
          </c:extLst>
        </c:ser>
        <c:ser>
          <c:idx val="27"/>
          <c:order val="26"/>
          <c:tx>
            <c:strRef>
              <c:f>Chart!$AF$2</c:f>
              <c:strCache>
                <c:ptCount val="1"/>
                <c:pt idx="0">
                  <c:v>James, Larry Remote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123-4F88-92F0-CB55F1D35158}"/>
            </c:ext>
          </c:extLst>
        </c:ser>
        <c:ser>
          <c:idx val="28"/>
          <c:order val="27"/>
          <c:tx>
            <c:strRef>
              <c:f>Chart!$AG$2</c:f>
              <c:strCache>
                <c:ptCount val="1"/>
                <c:pt idx="0">
                  <c:v>Johnson, Creed D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-6</c:v>
                </c:pt>
                <c:pt idx="6">
                  <c:v>-5</c:v>
                </c:pt>
                <c:pt idx="7">
                  <c:v>-3</c:v>
                </c:pt>
                <c:pt idx="8">
                  <c:v>-4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123-4F88-92F0-CB55F1D35158}"/>
            </c:ext>
          </c:extLst>
        </c:ser>
        <c:ser>
          <c:idx val="29"/>
          <c:order val="28"/>
          <c:tx>
            <c:strRef>
              <c:f>Chart!$AH$2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123-4F88-92F0-CB55F1D35158}"/>
            </c:ext>
          </c:extLst>
        </c:ser>
        <c:ser>
          <c:idx val="30"/>
          <c:order val="29"/>
          <c:tx>
            <c:strRef>
              <c:f>Chart!$AI$2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-4</c:v>
                </c:pt>
                <c:pt idx="3">
                  <c:v>-3</c:v>
                </c:pt>
                <c:pt idx="4">
                  <c:v>1</c:v>
                </c:pt>
                <c:pt idx="5">
                  <c:v>2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123-4F88-92F0-CB55F1D35158}"/>
            </c:ext>
          </c:extLst>
        </c:ser>
        <c:ser>
          <c:idx val="31"/>
          <c:order val="30"/>
          <c:tx>
            <c:strRef>
              <c:f>Chart!$AJ$2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-3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-2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123-4F88-92F0-CB55F1D35158}"/>
            </c:ext>
          </c:extLst>
        </c:ser>
        <c:ser>
          <c:idx val="32"/>
          <c:order val="31"/>
          <c:tx>
            <c:strRef>
              <c:f>Chart!$AK$2</c:f>
              <c:strCache>
                <c:ptCount val="1"/>
                <c:pt idx="0">
                  <c:v>Mccoy, William M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-5</c:v>
                </c:pt>
                <c:pt idx="4">
                  <c:v>-7</c:v>
                </c:pt>
                <c:pt idx="5">
                  <c:v>-7</c:v>
                </c:pt>
                <c:pt idx="6">
                  <c:v>-10</c:v>
                </c:pt>
                <c:pt idx="7">
                  <c:v>-10</c:v>
                </c:pt>
                <c:pt idx="8">
                  <c:v>-8</c:v>
                </c:pt>
                <c:pt idx="9">
                  <c:v>-11</c:v>
                </c:pt>
                <c:pt idx="10">
                  <c:v>-11</c:v>
                </c:pt>
                <c:pt idx="11">
                  <c:v>-11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123-4F88-92F0-CB55F1D35158}"/>
            </c:ext>
          </c:extLst>
        </c:ser>
        <c:ser>
          <c:idx val="33"/>
          <c:order val="32"/>
          <c:tx>
            <c:strRef>
              <c:f>Chart!$AL$2</c:f>
              <c:strCache>
                <c:ptCount val="1"/>
                <c:pt idx="0">
                  <c:v>Montanez, Johanna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-6</c:v>
                </c:pt>
                <c:pt idx="6">
                  <c:v>-6</c:v>
                </c:pt>
                <c:pt idx="7">
                  <c:v>-8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123-4F88-92F0-CB55F1D35158}"/>
            </c:ext>
          </c:extLst>
        </c:ser>
        <c:ser>
          <c:idx val="34"/>
          <c:order val="33"/>
          <c:tx>
            <c:strRef>
              <c:f>Chart!$AM$2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-3</c:v>
                </c:pt>
                <c:pt idx="2">
                  <c:v>-4</c:v>
                </c:pt>
                <c:pt idx="3">
                  <c:v>-3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123-4F88-92F0-CB55F1D35158}"/>
            </c:ext>
          </c:extLst>
        </c:ser>
        <c:ser>
          <c:idx val="35"/>
          <c:order val="34"/>
          <c:tx>
            <c:strRef>
              <c:f>Chart!$AN$2</c:f>
              <c:strCache>
                <c:ptCount val="1"/>
                <c:pt idx="0">
                  <c:v>Murdaugh, Stephen K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-3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123-4F88-92F0-CB55F1D35158}"/>
            </c:ext>
          </c:extLst>
        </c:ser>
        <c:ser>
          <c:idx val="36"/>
          <c:order val="35"/>
          <c:tx>
            <c:strRef>
              <c:f>Chart!$AO$2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-5</c:v>
                </c:pt>
                <c:pt idx="8">
                  <c:v>-3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123-4F88-92F0-CB55F1D35158}"/>
            </c:ext>
          </c:extLst>
        </c:ser>
        <c:ser>
          <c:idx val="37"/>
          <c:order val="36"/>
          <c:tx>
            <c:strRef>
              <c:f>Chart!$AP$2</c:f>
              <c:strCache>
                <c:ptCount val="1"/>
                <c:pt idx="0">
                  <c:v>Nance, Rob Remote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-4</c:v>
                </c:pt>
                <c:pt idx="3">
                  <c:v>-9</c:v>
                </c:pt>
                <c:pt idx="4">
                  <c:v>-8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-8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123-4F88-92F0-CB55F1D35158}"/>
            </c:ext>
          </c:extLst>
        </c:ser>
        <c:ser>
          <c:idx val="38"/>
          <c:order val="37"/>
          <c:tx>
            <c:strRef>
              <c:f>Chart!$AQ$2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123-4F88-92F0-CB55F1D35158}"/>
            </c:ext>
          </c:extLst>
        </c:ser>
        <c:ser>
          <c:idx val="39"/>
          <c:order val="38"/>
          <c:tx>
            <c:strRef>
              <c:f>Chart!$AR$2</c:f>
              <c:strCache>
                <c:ptCount val="1"/>
                <c:pt idx="0">
                  <c:v>Neeley, Michael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123-4F88-92F0-CB55F1D35158}"/>
            </c:ext>
          </c:extLst>
        </c:ser>
        <c:ser>
          <c:idx val="40"/>
          <c:order val="39"/>
          <c:tx>
            <c:strRef>
              <c:f>Chart!$AS$2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123-4F88-92F0-CB55F1D35158}"/>
            </c:ext>
          </c:extLst>
        </c:ser>
        <c:ser>
          <c:idx val="41"/>
          <c:order val="40"/>
          <c:tx>
            <c:strRef>
              <c:f>Chart!$AT$2</c:f>
              <c:strCache>
                <c:ptCount val="1"/>
                <c:pt idx="0">
                  <c:v>Nguyen, Thai Remote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-2</c:v>
                </c:pt>
                <c:pt idx="6">
                  <c:v>-7</c:v>
                </c:pt>
                <c:pt idx="7">
                  <c:v>-6</c:v>
                </c:pt>
                <c:pt idx="8">
                  <c:v>-7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123-4F88-92F0-CB55F1D35158}"/>
            </c:ext>
          </c:extLst>
        </c:ser>
        <c:ser>
          <c:idx val="42"/>
          <c:order val="41"/>
          <c:tx>
            <c:strRef>
              <c:f>Chart!$AU$2</c:f>
              <c:strCache>
                <c:ptCount val="1"/>
                <c:pt idx="0">
                  <c:v>Paul, Wilmaison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123-4F88-92F0-CB55F1D35158}"/>
            </c:ext>
          </c:extLst>
        </c:ser>
        <c:ser>
          <c:idx val="43"/>
          <c:order val="42"/>
          <c:tx>
            <c:strRef>
              <c:f>Chart!$AV$2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-2</c:v>
                </c:pt>
                <c:pt idx="6">
                  <c:v>-3</c:v>
                </c:pt>
                <c:pt idx="7">
                  <c:v>-2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123-4F88-92F0-CB55F1D35158}"/>
            </c:ext>
          </c:extLst>
        </c:ser>
        <c:ser>
          <c:idx val="44"/>
          <c:order val="43"/>
          <c:tx>
            <c:strRef>
              <c:f>Chart!$AW$2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-3</c:v>
                </c:pt>
                <c:pt idx="6">
                  <c:v>-3</c:v>
                </c:pt>
                <c:pt idx="7">
                  <c:v>0</c:v>
                </c:pt>
                <c:pt idx="8">
                  <c:v>2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123-4F88-92F0-CB55F1D35158}"/>
            </c:ext>
          </c:extLst>
        </c:ser>
        <c:ser>
          <c:idx val="45"/>
          <c:order val="44"/>
          <c:tx>
            <c:strRef>
              <c:f>Chart!$AX$2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123-4F88-92F0-CB55F1D35158}"/>
            </c:ext>
          </c:extLst>
        </c:ser>
        <c:ser>
          <c:idx val="46"/>
          <c:order val="45"/>
          <c:tx>
            <c:strRef>
              <c:f>Chart!$AY$2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123-4F88-92F0-CB55F1D35158}"/>
            </c:ext>
          </c:extLst>
        </c:ser>
        <c:ser>
          <c:idx val="47"/>
          <c:order val="46"/>
          <c:tx>
            <c:strRef>
              <c:f>Chart!$AZ$2</c:f>
              <c:strCache>
                <c:ptCount val="1"/>
                <c:pt idx="0">
                  <c:v>Robbins, Thomas D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-2</c:v>
                </c:pt>
                <c:pt idx="7">
                  <c:v>-2</c:v>
                </c:pt>
                <c:pt idx="8">
                  <c:v>0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123-4F88-92F0-CB55F1D35158}"/>
            </c:ext>
          </c:extLst>
        </c:ser>
        <c:ser>
          <c:idx val="48"/>
          <c:order val="47"/>
          <c:tx>
            <c:strRef>
              <c:f>Chart!$BA$2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10</c:v>
                </c:pt>
                <c:pt idx="8">
                  <c:v>10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123-4F88-92F0-CB55F1D35158}"/>
            </c:ext>
          </c:extLst>
        </c:ser>
        <c:ser>
          <c:idx val="49"/>
          <c:order val="48"/>
          <c:tx>
            <c:strRef>
              <c:f>Chart!$BB$2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0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123-4F88-92F0-CB55F1D35158}"/>
            </c:ext>
          </c:extLst>
        </c:ser>
        <c:ser>
          <c:idx val="50"/>
          <c:order val="49"/>
          <c:tx>
            <c:strRef>
              <c:f>Chart!$BC$2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-2</c:v>
                </c:pt>
                <c:pt idx="4">
                  <c:v>0</c:v>
                </c:pt>
                <c:pt idx="5">
                  <c:v>-2</c:v>
                </c:pt>
                <c:pt idx="6">
                  <c:v>-4</c:v>
                </c:pt>
                <c:pt idx="7">
                  <c:v>-4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123-4F88-92F0-CB55F1D35158}"/>
            </c:ext>
          </c:extLst>
        </c:ser>
        <c:ser>
          <c:idx val="51"/>
          <c:order val="50"/>
          <c:tx>
            <c:strRef>
              <c:f>Chart!$BD$2</c:f>
              <c:strCache>
                <c:ptCount val="1"/>
                <c:pt idx="0">
                  <c:v>Staub, Kevin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123-4F88-92F0-CB55F1D35158}"/>
            </c:ext>
          </c:extLst>
        </c:ser>
        <c:ser>
          <c:idx val="52"/>
          <c:order val="51"/>
          <c:tx>
            <c:strRef>
              <c:f>Chart!$BE$2</c:f>
              <c:strCache>
                <c:ptCount val="1"/>
                <c:pt idx="0">
                  <c:v>Staub, Ryan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1</c:v>
                </c:pt>
                <c:pt idx="4">
                  <c:v>-4</c:v>
                </c:pt>
                <c:pt idx="5">
                  <c:v>-4</c:v>
                </c:pt>
                <c:pt idx="6">
                  <c:v>-6</c:v>
                </c:pt>
                <c:pt idx="7">
                  <c:v>-6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-8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123-4F88-92F0-CB55F1D35158}"/>
            </c:ext>
          </c:extLst>
        </c:ser>
        <c:ser>
          <c:idx val="53"/>
          <c:order val="52"/>
          <c:tx>
            <c:strRef>
              <c:f>Chart!$BF$2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-9</c:v>
                </c:pt>
                <c:pt idx="5">
                  <c:v>-8</c:v>
                </c:pt>
                <c:pt idx="6">
                  <c:v>-8</c:v>
                </c:pt>
                <c:pt idx="7">
                  <c:v>-6</c:v>
                </c:pt>
                <c:pt idx="8">
                  <c:v>-4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123-4F88-92F0-CB55F1D35158}"/>
            </c:ext>
          </c:extLst>
        </c:ser>
        <c:ser>
          <c:idx val="54"/>
          <c:order val="53"/>
          <c:tx>
            <c:strRef>
              <c:f>Chart!$BG$2</c:f>
              <c:strCache>
                <c:ptCount val="1"/>
                <c:pt idx="0">
                  <c:v>Stonecypher, David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-4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123-4F88-92F0-CB55F1D35158}"/>
            </c:ext>
          </c:extLst>
        </c:ser>
        <c:ser>
          <c:idx val="55"/>
          <c:order val="54"/>
          <c:tx>
            <c:strRef>
              <c:f>Chart!$BH$2</c:f>
              <c:strCache>
                <c:ptCount val="1"/>
                <c:pt idx="0">
                  <c:v>Straw, Adam 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123-4F88-92F0-CB55F1D35158}"/>
            </c:ext>
          </c:extLst>
        </c:ser>
        <c:ser>
          <c:idx val="56"/>
          <c:order val="55"/>
          <c:tx>
            <c:strRef>
              <c:f>Chart!$BI$2</c:f>
              <c:strCache>
                <c:ptCount val="1"/>
                <c:pt idx="0">
                  <c:v>Warren, Jason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2</c:v>
                </c:pt>
                <c:pt idx="7">
                  <c:v>3</c:v>
                </c:pt>
                <c:pt idx="8">
                  <c:v>-2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123-4F88-92F0-CB55F1D35158}"/>
            </c:ext>
          </c:extLst>
        </c:ser>
        <c:ser>
          <c:idx val="57"/>
          <c:order val="56"/>
          <c:tx>
            <c:strRef>
              <c:f>Chart!$BJ$2</c:f>
              <c:strCache>
                <c:ptCount val="1"/>
                <c:pt idx="0">
                  <c:v>Warren, Todd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123-4F88-92F0-CB55F1D35158}"/>
            </c:ext>
          </c:extLst>
        </c:ser>
        <c:ser>
          <c:idx val="58"/>
          <c:order val="57"/>
          <c:tx>
            <c:strRef>
              <c:f>Chart!$BK$2</c:f>
              <c:strCache>
                <c:ptCount val="1"/>
                <c:pt idx="0">
                  <c:v>Wells, Seth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-9</c:v>
                </c:pt>
                <c:pt idx="9">
                  <c:v>-9</c:v>
                </c:pt>
                <c:pt idx="10">
                  <c:v>-9</c:v>
                </c:pt>
                <c:pt idx="11">
                  <c:v>-9</c:v>
                </c:pt>
                <c:pt idx="12">
                  <c:v>-9</c:v>
                </c:pt>
                <c:pt idx="13">
                  <c:v>-9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123-4F88-92F0-CB55F1D35158}"/>
            </c:ext>
          </c:extLst>
        </c:ser>
        <c:ser>
          <c:idx val="59"/>
          <c:order val="58"/>
          <c:tx>
            <c:strRef>
              <c:f>Chart!$BL$2</c:f>
              <c:strCache>
                <c:ptCount val="1"/>
                <c:pt idx="0">
                  <c:v>White, Jarred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-6</c:v>
                </c:pt>
                <c:pt idx="6">
                  <c:v>-7</c:v>
                </c:pt>
                <c:pt idx="7">
                  <c:v>-7</c:v>
                </c:pt>
                <c:pt idx="8">
                  <c:v>-7</c:v>
                </c:pt>
                <c:pt idx="9">
                  <c:v>-7</c:v>
                </c:pt>
                <c:pt idx="10">
                  <c:v>-7</c:v>
                </c:pt>
                <c:pt idx="11">
                  <c:v>-7</c:v>
                </c:pt>
                <c:pt idx="12">
                  <c:v>-7</c:v>
                </c:pt>
                <c:pt idx="13">
                  <c:v>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8123-4F88-92F0-CB55F1D35158}"/>
            </c:ext>
          </c:extLst>
        </c:ser>
        <c:ser>
          <c:idx val="60"/>
          <c:order val="59"/>
          <c:tx>
            <c:strRef>
              <c:f>Chart!$BM$2</c:f>
              <c:strCache>
                <c:ptCount val="1"/>
                <c:pt idx="0">
                  <c:v>Winburn, Steve A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-1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8123-4F88-92F0-CB55F1D35158}"/>
            </c:ext>
          </c:extLst>
        </c:ser>
        <c:ser>
          <c:idx val="61"/>
          <c:order val="60"/>
          <c:tx>
            <c:strRef>
              <c:f>Chart!$BN$2</c:f>
              <c:strCache>
                <c:ptCount val="1"/>
                <c:pt idx="0">
                  <c:v>Young, Kenneth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3C-8123-4F88-92F0-CB55F1D35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2212208"/>
        <c:axId val="332162448"/>
      </c:lineChart>
      <c:catAx>
        <c:axId val="3322122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1624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32162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212208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81"/>
          <c:y val="7.7177508269018784E-3"/>
          <c:w val="0.11303719596438672"/>
          <c:h val="0.99228229144705826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7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2"/>
          <c:w val="0.90931732174234514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5</c:v>
                </c:pt>
                <c:pt idx="3">
                  <c:v>10</c:v>
                </c:pt>
                <c:pt idx="4">
                  <c:v>19</c:v>
                </c:pt>
                <c:pt idx="5">
                  <c:v>9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C7-4175-B5F2-6E1A9C90F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025128"/>
        <c:axId val="334489640"/>
      </c:barChart>
      <c:catAx>
        <c:axId val="333025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489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4896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6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02512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2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7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24</c:v>
                </c:pt>
                <c:pt idx="1">
                  <c:v>27</c:v>
                </c:pt>
                <c:pt idx="2">
                  <c:v>30</c:v>
                </c:pt>
                <c:pt idx="3">
                  <c:v>33</c:v>
                </c:pt>
                <c:pt idx="4">
                  <c:v>36</c:v>
                </c:pt>
                <c:pt idx="5">
                  <c:v>39</c:v>
                </c:pt>
                <c:pt idx="6">
                  <c:v>42</c:v>
                </c:pt>
                <c:pt idx="7">
                  <c:v>45</c:v>
                </c:pt>
                <c:pt idx="8">
                  <c:v>48</c:v>
                </c:pt>
                <c:pt idx="9">
                  <c:v>51</c:v>
                </c:pt>
                <c:pt idx="10">
                  <c:v>54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9</c:v>
                </c:pt>
                <c:pt idx="6">
                  <c:v>10</c:v>
                </c:pt>
                <c:pt idx="7">
                  <c:v>17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A-4259-86EA-0737E6522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352640"/>
        <c:axId val="334353024"/>
      </c:barChart>
      <c:catAx>
        <c:axId val="33435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353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353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E-2"/>
              <c:y val="0.424020637126246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3526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11" r="0.75000000000000511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19050</xdr:rowOff>
        </xdr:from>
        <xdr:to>
          <xdr:col>13</xdr:col>
          <xdr:colOff>142875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</xdr:colOff>
          <xdr:row>0</xdr:row>
          <xdr:rowOff>28575</xdr:rowOff>
        </xdr:from>
        <xdr:to>
          <xdr:col>20</xdr:col>
          <xdr:colOff>200025</xdr:colOff>
          <xdr:row>1</xdr:row>
          <xdr:rowOff>9525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19050</xdr:rowOff>
        </xdr:from>
        <xdr:to>
          <xdr:col>26</xdr:col>
          <xdr:colOff>590550</xdr:colOff>
          <xdr:row>0</xdr:row>
          <xdr:rowOff>219075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552450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552450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552450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552450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552450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552450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552450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552450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552450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552450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552450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552450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552450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238125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238125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219075</xdr:colOff>
      <xdr:row>94</xdr:row>
      <xdr:rowOff>33617</xdr:rowOff>
    </xdr:to>
    <xdr:graphicFrame macro="">
      <xdr:nvGraphicFramePr>
        <xdr:cNvPr id="1474" name="Chart 4">
          <a:extLst>
            <a:ext uri="{FF2B5EF4-FFF2-40B4-BE49-F238E27FC236}">
              <a16:creationId xmlns:a16="http://schemas.microsoft.com/office/drawing/2014/main" id="{00000000-0008-0000-0100-0000C2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>
          <a:extLst>
            <a:ext uri="{FF2B5EF4-FFF2-40B4-BE49-F238E27FC236}">
              <a16:creationId xmlns:a16="http://schemas.microsoft.com/office/drawing/2014/main" id="{00000000-0008-0000-0200-000041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>
          <a:extLst>
            <a:ext uri="{FF2B5EF4-FFF2-40B4-BE49-F238E27FC236}">
              <a16:creationId xmlns:a16="http://schemas.microsoft.com/office/drawing/2014/main" id="{00000000-0008-0000-0200-0000425F0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5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5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5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6465" name="Button 1" hidden="1">
              <a:extLst>
                <a:ext uri="{63B3BB69-23CF-44E3-9099-C40C66FF867C}">
                  <a14:compatExt spid="_x0000_s446465"/>
                </a:ext>
                <a:ext uri="{FF2B5EF4-FFF2-40B4-BE49-F238E27FC236}">
                  <a16:creationId xmlns:a16="http://schemas.microsoft.com/office/drawing/2014/main" id="{00000000-0008-0000-0600-000001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6466" name="Button 2" hidden="1">
              <a:extLst>
                <a:ext uri="{63B3BB69-23CF-44E3-9099-C40C66FF867C}">
                  <a14:compatExt spid="_x0000_s446466"/>
                </a:ext>
                <a:ext uri="{FF2B5EF4-FFF2-40B4-BE49-F238E27FC236}">
                  <a16:creationId xmlns:a16="http://schemas.microsoft.com/office/drawing/2014/main" id="{00000000-0008-0000-0600-000002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6467" name="Button 3" hidden="1">
              <a:extLst>
                <a:ext uri="{63B3BB69-23CF-44E3-9099-C40C66FF867C}">
                  <a14:compatExt spid="_x0000_s446467"/>
                </a:ext>
                <a:ext uri="{FF2B5EF4-FFF2-40B4-BE49-F238E27FC236}">
                  <a16:creationId xmlns:a16="http://schemas.microsoft.com/office/drawing/2014/main" id="{00000000-0008-0000-0600-000003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7489" name="Button 1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:a16="http://schemas.microsoft.com/office/drawing/2014/main" id="{00000000-0008-0000-0700-000001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7490" name="Button 2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:a16="http://schemas.microsoft.com/office/drawing/2014/main" id="{00000000-0008-0000-0700-000002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7491" name="Button 3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:a16="http://schemas.microsoft.com/office/drawing/2014/main" id="{00000000-0008-0000-0700-000003D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8513" name="Button 1" hidden="1">
              <a:extLst>
                <a:ext uri="{63B3BB69-23CF-44E3-9099-C40C66FF867C}">
                  <a14:compatExt spid="_x0000_s448513"/>
                </a:ext>
                <a:ext uri="{FF2B5EF4-FFF2-40B4-BE49-F238E27FC236}">
                  <a16:creationId xmlns:a16="http://schemas.microsoft.com/office/drawing/2014/main" id="{00000000-0008-0000-0800-000001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8514" name="Button 2" hidden="1">
              <a:extLst>
                <a:ext uri="{63B3BB69-23CF-44E3-9099-C40C66FF867C}">
                  <a14:compatExt spid="_x0000_s448514"/>
                </a:ext>
                <a:ext uri="{FF2B5EF4-FFF2-40B4-BE49-F238E27FC236}">
                  <a16:creationId xmlns:a16="http://schemas.microsoft.com/office/drawing/2014/main" id="{00000000-0008-0000-0800-000002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8515" name="Button 3" hidden="1">
              <a:extLst>
                <a:ext uri="{63B3BB69-23CF-44E3-9099-C40C66FF867C}">
                  <a14:compatExt spid="_x0000_s448515"/>
                </a:ext>
                <a:ext uri="{FF2B5EF4-FFF2-40B4-BE49-F238E27FC236}">
                  <a16:creationId xmlns:a16="http://schemas.microsoft.com/office/drawing/2014/main" id="{00000000-0008-0000-0800-000003D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49537" name="Button 1" hidden="1">
              <a:extLst>
                <a:ext uri="{63B3BB69-23CF-44E3-9099-C40C66FF867C}">
                  <a14:compatExt spid="_x0000_s449537"/>
                </a:ext>
                <a:ext uri="{FF2B5EF4-FFF2-40B4-BE49-F238E27FC236}">
                  <a16:creationId xmlns:a16="http://schemas.microsoft.com/office/drawing/2014/main" id="{00000000-0008-0000-0900-000001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49538" name="Button 2" hidden="1">
              <a:extLst>
                <a:ext uri="{63B3BB69-23CF-44E3-9099-C40C66FF867C}">
                  <a14:compatExt spid="_x0000_s449538"/>
                </a:ext>
                <a:ext uri="{FF2B5EF4-FFF2-40B4-BE49-F238E27FC236}">
                  <a16:creationId xmlns:a16="http://schemas.microsoft.com/office/drawing/2014/main" id="{00000000-0008-0000-0900-000002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49539" name="Button 3" hidden="1">
              <a:extLst>
                <a:ext uri="{63B3BB69-23CF-44E3-9099-C40C66FF867C}">
                  <a14:compatExt spid="_x0000_s449539"/>
                </a:ext>
                <a:ext uri="{FF2B5EF4-FFF2-40B4-BE49-F238E27FC236}">
                  <a16:creationId xmlns:a16="http://schemas.microsoft.com/office/drawing/2014/main" id="{00000000-0008-0000-0900-000003D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0561" name="Button 1" hidden="1">
              <a:extLst>
                <a:ext uri="{63B3BB69-23CF-44E3-9099-C40C66FF867C}">
                  <a14:compatExt spid="_x0000_s450561"/>
                </a:ext>
                <a:ext uri="{FF2B5EF4-FFF2-40B4-BE49-F238E27FC236}">
                  <a16:creationId xmlns:a16="http://schemas.microsoft.com/office/drawing/2014/main" id="{00000000-0008-0000-0A00-000001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0562" name="Button 2" hidden="1">
              <a:extLst>
                <a:ext uri="{63B3BB69-23CF-44E3-9099-C40C66FF867C}">
                  <a14:compatExt spid="_x0000_s450562"/>
                </a:ext>
                <a:ext uri="{FF2B5EF4-FFF2-40B4-BE49-F238E27FC236}">
                  <a16:creationId xmlns:a16="http://schemas.microsoft.com/office/drawing/2014/main" id="{00000000-0008-0000-0A00-000002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0563" name="Button 3" hidden="1">
              <a:extLst>
                <a:ext uri="{63B3BB69-23CF-44E3-9099-C40C66FF867C}">
                  <a14:compatExt spid="_x0000_s450563"/>
                </a:ext>
                <a:ext uri="{FF2B5EF4-FFF2-40B4-BE49-F238E27FC236}">
                  <a16:creationId xmlns:a16="http://schemas.microsoft.com/office/drawing/2014/main" id="{00000000-0008-0000-0A00-000003E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1585" name="Button 1" hidden="1">
              <a:extLst>
                <a:ext uri="{63B3BB69-23CF-44E3-9099-C40C66FF867C}">
                  <a14:compatExt spid="_x0000_s451585"/>
                </a:ext>
                <a:ext uri="{FF2B5EF4-FFF2-40B4-BE49-F238E27FC236}">
                  <a16:creationId xmlns:a16="http://schemas.microsoft.com/office/drawing/2014/main" id="{00000000-0008-0000-0B00-000001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1586" name="Button 2" hidden="1">
              <a:extLst>
                <a:ext uri="{63B3BB69-23CF-44E3-9099-C40C66FF867C}">
                  <a14:compatExt spid="_x0000_s451586"/>
                </a:ext>
                <a:ext uri="{FF2B5EF4-FFF2-40B4-BE49-F238E27FC236}">
                  <a16:creationId xmlns:a16="http://schemas.microsoft.com/office/drawing/2014/main" id="{00000000-0008-0000-0B00-000002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1587" name="Button 3" hidden="1">
              <a:extLst>
                <a:ext uri="{63B3BB69-23CF-44E3-9099-C40C66FF867C}">
                  <a14:compatExt spid="_x0000_s451587"/>
                </a:ext>
                <a:ext uri="{FF2B5EF4-FFF2-40B4-BE49-F238E27FC236}">
                  <a16:creationId xmlns:a16="http://schemas.microsoft.com/office/drawing/2014/main" id="{00000000-0008-0000-0B00-000003E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2609" name="Button 1" hidden="1">
              <a:extLst>
                <a:ext uri="{63B3BB69-23CF-44E3-9099-C40C66FF867C}">
                  <a14:compatExt spid="_x0000_s452609"/>
                </a:ext>
                <a:ext uri="{FF2B5EF4-FFF2-40B4-BE49-F238E27FC236}">
                  <a16:creationId xmlns:a16="http://schemas.microsoft.com/office/drawing/2014/main" id="{00000000-0008-0000-0C00-000001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2610" name="Button 2" hidden="1">
              <a:extLst>
                <a:ext uri="{63B3BB69-23CF-44E3-9099-C40C66FF867C}">
                  <a14:compatExt spid="_x0000_s452610"/>
                </a:ext>
                <a:ext uri="{FF2B5EF4-FFF2-40B4-BE49-F238E27FC236}">
                  <a16:creationId xmlns:a16="http://schemas.microsoft.com/office/drawing/2014/main" id="{00000000-0008-0000-0C00-000002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2611" name="Button 3" hidden="1">
              <a:extLst>
                <a:ext uri="{63B3BB69-23CF-44E3-9099-C40C66FF867C}">
                  <a14:compatExt spid="_x0000_s452611"/>
                </a:ext>
                <a:ext uri="{FF2B5EF4-FFF2-40B4-BE49-F238E27FC236}">
                  <a16:creationId xmlns:a16="http://schemas.microsoft.com/office/drawing/2014/main" id="{00000000-0008-0000-0C00-000003E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3633" name="Button 1" hidden="1">
              <a:extLst>
                <a:ext uri="{63B3BB69-23CF-44E3-9099-C40C66FF867C}">
                  <a14:compatExt spid="_x0000_s453633"/>
                </a:ext>
                <a:ext uri="{FF2B5EF4-FFF2-40B4-BE49-F238E27FC236}">
                  <a16:creationId xmlns:a16="http://schemas.microsoft.com/office/drawing/2014/main" id="{00000000-0008-0000-0D00-000001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3634" name="Button 2" hidden="1">
              <a:extLst>
                <a:ext uri="{63B3BB69-23CF-44E3-9099-C40C66FF867C}">
                  <a14:compatExt spid="_x0000_s453634"/>
                </a:ext>
                <a:ext uri="{FF2B5EF4-FFF2-40B4-BE49-F238E27FC236}">
                  <a16:creationId xmlns:a16="http://schemas.microsoft.com/office/drawing/2014/main" id="{00000000-0008-0000-0D00-000002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3635" name="Button 3" hidden="1">
              <a:extLst>
                <a:ext uri="{63B3BB69-23CF-44E3-9099-C40C66FF867C}">
                  <a14:compatExt spid="_x0000_s453635"/>
                </a:ext>
                <a:ext uri="{FF2B5EF4-FFF2-40B4-BE49-F238E27FC236}">
                  <a16:creationId xmlns:a16="http://schemas.microsoft.com/office/drawing/2014/main" id="{00000000-0008-0000-0D00-000003E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4657" name="Button 1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00000000-0008-0000-0E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4658" name="Button 2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00000000-0008-0000-0E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4659" name="Button 3" hidden="1">
              <a:extLst>
                <a:ext uri="{63B3BB69-23CF-44E3-9099-C40C66FF867C}">
                  <a14:compatExt spid="_x0000_s454659"/>
                </a:ext>
                <a:ext uri="{FF2B5EF4-FFF2-40B4-BE49-F238E27FC236}">
                  <a16:creationId xmlns:a16="http://schemas.microsoft.com/office/drawing/2014/main" id="{00000000-0008-0000-0E00-000003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5681" name="Button 1" hidden="1">
              <a:extLst>
                <a:ext uri="{63B3BB69-23CF-44E3-9099-C40C66FF867C}">
                  <a14:compatExt spid="_x0000_s455681"/>
                </a:ext>
                <a:ext uri="{FF2B5EF4-FFF2-40B4-BE49-F238E27FC236}">
                  <a16:creationId xmlns:a16="http://schemas.microsoft.com/office/drawing/2014/main" id="{00000000-0008-0000-0F00-000001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5682" name="Button 2" hidden="1">
              <a:extLst>
                <a:ext uri="{63B3BB69-23CF-44E3-9099-C40C66FF867C}">
                  <a14:compatExt spid="_x0000_s455682"/>
                </a:ext>
                <a:ext uri="{FF2B5EF4-FFF2-40B4-BE49-F238E27FC236}">
                  <a16:creationId xmlns:a16="http://schemas.microsoft.com/office/drawing/2014/main" id="{00000000-0008-0000-0F00-000002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5683" name="Button 3" hidden="1">
              <a:extLst>
                <a:ext uri="{63B3BB69-23CF-44E3-9099-C40C66FF867C}">
                  <a14:compatExt spid="_x0000_s455683"/>
                </a:ext>
                <a:ext uri="{FF2B5EF4-FFF2-40B4-BE49-F238E27FC236}">
                  <a16:creationId xmlns:a16="http://schemas.microsoft.com/office/drawing/2014/main" id="{00000000-0008-0000-0F00-000003F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6705" name="Button 1" hidden="1">
              <a:extLst>
                <a:ext uri="{63B3BB69-23CF-44E3-9099-C40C66FF867C}">
                  <a14:compatExt spid="_x0000_s456705"/>
                </a:ext>
                <a:ext uri="{FF2B5EF4-FFF2-40B4-BE49-F238E27FC236}">
                  <a16:creationId xmlns:a16="http://schemas.microsoft.com/office/drawing/2014/main" id="{00000000-0008-0000-1000-000001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6706" name="Button 2" hidden="1">
              <a:extLst>
                <a:ext uri="{63B3BB69-23CF-44E3-9099-C40C66FF867C}">
                  <a14:compatExt spid="_x0000_s456706"/>
                </a:ext>
                <a:ext uri="{FF2B5EF4-FFF2-40B4-BE49-F238E27FC236}">
                  <a16:creationId xmlns:a16="http://schemas.microsoft.com/office/drawing/2014/main" id="{00000000-0008-0000-1000-000002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6707" name="Button 3" hidden="1">
              <a:extLst>
                <a:ext uri="{63B3BB69-23CF-44E3-9099-C40C66FF867C}">
                  <a14:compatExt spid="_x0000_s456707"/>
                </a:ext>
                <a:ext uri="{FF2B5EF4-FFF2-40B4-BE49-F238E27FC236}">
                  <a16:creationId xmlns:a16="http://schemas.microsoft.com/office/drawing/2014/main" id="{00000000-0008-0000-1000-000003F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133350</xdr:rowOff>
        </xdr:from>
        <xdr:to>
          <xdr:col>1</xdr:col>
          <xdr:colOff>781050</xdr:colOff>
          <xdr:row>1</xdr:row>
          <xdr:rowOff>390525</xdr:rowOff>
        </xdr:to>
        <xdr:sp macro="" textlink="">
          <xdr:nvSpPr>
            <xdr:cNvPr id="457729" name="Button 1" hidden="1">
              <a:extLst>
                <a:ext uri="{63B3BB69-23CF-44E3-9099-C40C66FF867C}">
                  <a14:compatExt spid="_x0000_s457729"/>
                </a:ext>
                <a:ext uri="{FF2B5EF4-FFF2-40B4-BE49-F238E27FC236}">
                  <a16:creationId xmlns:a16="http://schemas.microsoft.com/office/drawing/2014/main" id="{00000000-0008-0000-1100-000001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476250</xdr:rowOff>
        </xdr:from>
        <xdr:to>
          <xdr:col>1</xdr:col>
          <xdr:colOff>781050</xdr:colOff>
          <xdr:row>1</xdr:row>
          <xdr:rowOff>733425</xdr:rowOff>
        </xdr:to>
        <xdr:sp macro="" textlink="">
          <xdr:nvSpPr>
            <xdr:cNvPr id="457730" name="Button 2" hidden="1">
              <a:extLst>
                <a:ext uri="{63B3BB69-23CF-44E3-9099-C40C66FF867C}">
                  <a14:compatExt spid="_x0000_s457730"/>
                </a:ext>
                <a:ext uri="{FF2B5EF4-FFF2-40B4-BE49-F238E27FC236}">
                  <a16:creationId xmlns:a16="http://schemas.microsoft.com/office/drawing/2014/main" id="{00000000-0008-0000-1100-000002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847725</xdr:rowOff>
        </xdr:from>
        <xdr:to>
          <xdr:col>1</xdr:col>
          <xdr:colOff>923925</xdr:colOff>
          <xdr:row>1</xdr:row>
          <xdr:rowOff>1104900</xdr:rowOff>
        </xdr:to>
        <xdr:sp macro="" textlink="">
          <xdr:nvSpPr>
            <xdr:cNvPr id="457731" name="Button 3" hidden="1">
              <a:extLst>
                <a:ext uri="{63B3BB69-23CF-44E3-9099-C40C66FF867C}">
                  <a14:compatExt spid="_x0000_s457731"/>
                </a:ext>
                <a:ext uri="{FF2B5EF4-FFF2-40B4-BE49-F238E27FC236}">
                  <a16:creationId xmlns:a16="http://schemas.microsoft.com/office/drawing/2014/main" id="{00000000-0008-0000-1100-000003F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  <a:ext uri="{FF2B5EF4-FFF2-40B4-BE49-F238E27FC236}">
                  <a16:creationId xmlns:a16="http://schemas.microsoft.com/office/drawing/2014/main" id="{00000000-0008-0000-1300-00000A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57150</xdr:rowOff>
        </xdr:from>
        <xdr:to>
          <xdr:col>0</xdr:col>
          <xdr:colOff>1076325</xdr:colOff>
          <xdr:row>1</xdr:row>
          <xdr:rowOff>295275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  <a:ext uri="{FF2B5EF4-FFF2-40B4-BE49-F238E27FC236}">
                  <a16:creationId xmlns:a16="http://schemas.microsoft.com/office/drawing/2014/main" id="{00000000-0008-0000-1400-0000018C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3"/>
  <sheetViews>
    <sheetView zoomScale="75" zoomScaleNormal="75" workbookViewId="0"/>
  </sheetViews>
  <sheetFormatPr defaultRowHeight="12.75" x14ac:dyDescent="0.2"/>
  <cols>
    <col min="1" max="1" width="6" bestFit="1" customWidth="1"/>
    <col min="2" max="2" width="29.28515625" bestFit="1" customWidth="1"/>
    <col min="3" max="3" width="3.7109375" bestFit="1" customWidth="1"/>
    <col min="4" max="4" width="4.5703125" bestFit="1" customWidth="1"/>
    <col min="5" max="5" width="7.42578125" bestFit="1" customWidth="1"/>
    <col min="6" max="7" width="4" bestFit="1" customWidth="1"/>
    <col min="8" max="8" width="4.7109375" bestFit="1" customWidth="1"/>
    <col min="9" max="10" width="3.7109375" bestFit="1" customWidth="1"/>
    <col min="11" max="23" width="3.5703125" customWidth="1"/>
    <col min="24" max="24" width="3.28515625" customWidth="1"/>
    <col min="25" max="25" width="4" bestFit="1" customWidth="1"/>
    <col min="26" max="26" width="3" bestFit="1" customWidth="1"/>
  </cols>
  <sheetData>
    <row r="1" spans="1:29" ht="18" x14ac:dyDescent="0.25">
      <c r="A1" s="24"/>
      <c r="B1" s="7" t="s">
        <v>9</v>
      </c>
    </row>
    <row r="2" spans="1:29" ht="18" x14ac:dyDescent="0.25">
      <c r="B2" s="7" t="s">
        <v>37</v>
      </c>
      <c r="D2" s="19">
        <f>FLOOR((COUNT(Begin:End!D3:D22)/20),1)</f>
        <v>9</v>
      </c>
      <c r="E2" s="28" t="s">
        <v>45</v>
      </c>
      <c r="F2" s="110">
        <f ca="1">AVERAGE(INDIRECT("R8C4:R"&amp;8+playercnt-1&amp;"C4",FALSE))</f>
        <v>42.732142857142854</v>
      </c>
      <c r="G2" s="111"/>
      <c r="I2" s="112">
        <f ca="1">SUM(INDIRECT("R8C4:R"&amp;8+playercnt-1&amp;"C4",FALSE))/((playercnt)*games_completed)</f>
        <v>0.47480158730158728</v>
      </c>
      <c r="J2" s="112"/>
      <c r="L2" s="113">
        <f ca="1">SUM(INDIRECT("R8C4:R"&amp;8+playercnt-1&amp;"C4",FALSE))-(playercnt*games_completed/2)</f>
        <v>-127</v>
      </c>
      <c r="M2" s="113"/>
      <c r="O2" s="28" t="s">
        <v>46</v>
      </c>
      <c r="R2">
        <f ca="1">MEDIAN(INDIRECT("R8C4:R"&amp;8+playercnt-1&amp;"C4",FALSE))</f>
        <v>43.5</v>
      </c>
      <c r="U2" s="28" t="s">
        <v>47</v>
      </c>
      <c r="W2">
        <f ca="1">MODE(INDIRECT("R8C4:R"&amp;8+playercnt-1&amp;"C4",FALSE))</f>
        <v>44</v>
      </c>
    </row>
    <row r="3" spans="1:29" ht="87" customHeight="1" x14ac:dyDescent="0.2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">
      <c r="A4" s="84">
        <v>1</v>
      </c>
      <c r="B4" s="29" t="str">
        <f>Chart!$G$2</f>
        <v>Mrs. HomeTeam</v>
      </c>
      <c r="C4" s="10"/>
      <c r="D4" s="10">
        <f>SUM(Begin:End!$G$25)</f>
        <v>48</v>
      </c>
      <c r="E4" s="25">
        <f t="shared" ref="E4:E7" si="0">D4/games_completed</f>
        <v>0.53333333333333333</v>
      </c>
      <c r="F4" s="11"/>
      <c r="G4" s="16"/>
      <c r="H4" s="20"/>
      <c r="I4" s="17">
        <f t="shared" ref="I4:I7" ca="1" si="1">MAX(K4:W4)</f>
        <v>8</v>
      </c>
      <c r="J4" s="17">
        <f t="shared" ref="J4:J7" ca="1" si="2">MIN(K4:W4)</f>
        <v>3</v>
      </c>
      <c r="K4" s="13">
        <f ca="1">IF($D$2&gt;=(COLUMN()-10),INDIRECT(ADDRESS(25,7,1,,K$3)),"")</f>
        <v>8</v>
      </c>
      <c r="L4" s="13">
        <f t="shared" ref="L4:W4" ca="1" si="3">IF($D$2&gt;=(COLUMN()-10),INDIRECT(ADDRESS(25,7,1,,L$3)),"")</f>
        <v>4</v>
      </c>
      <c r="M4" s="13">
        <f t="shared" ca="1" si="3"/>
        <v>5</v>
      </c>
      <c r="N4" s="13">
        <f t="shared" ca="1" si="3"/>
        <v>5</v>
      </c>
      <c r="O4" s="13">
        <f t="shared" ca="1" si="3"/>
        <v>5</v>
      </c>
      <c r="P4" s="13">
        <f t="shared" ca="1" si="3"/>
        <v>3</v>
      </c>
      <c r="Q4" s="13">
        <f t="shared" ca="1" si="3"/>
        <v>4</v>
      </c>
      <c r="R4" s="13">
        <f t="shared" ca="1" si="3"/>
        <v>6</v>
      </c>
      <c r="S4" s="13">
        <f t="shared" ca="1" si="3"/>
        <v>8</v>
      </c>
      <c r="T4" s="13" t="str">
        <f t="shared" ca="1" si="3"/>
        <v/>
      </c>
      <c r="U4" s="13" t="str">
        <f t="shared" ca="1" si="3"/>
        <v/>
      </c>
      <c r="V4" s="13" t="str">
        <f t="shared" ca="1" si="3"/>
        <v/>
      </c>
      <c r="W4" s="13" t="str">
        <f t="shared" ca="1" si="3"/>
        <v/>
      </c>
      <c r="X4" s="14"/>
      <c r="Y4" s="14"/>
      <c r="AB4" s="22"/>
    </row>
    <row r="5" spans="1:29" x14ac:dyDescent="0.2">
      <c r="A5" s="84">
        <v>1</v>
      </c>
      <c r="B5" s="29" t="str">
        <f>Chart!$H$2</f>
        <v>Mr. Favorite</v>
      </c>
      <c r="C5" s="10"/>
      <c r="D5" s="10">
        <f>SUM(Begin:End!$H$25)</f>
        <v>48</v>
      </c>
      <c r="E5" s="25">
        <f t="shared" si="0"/>
        <v>0.53333333333333333</v>
      </c>
      <c r="F5" s="11"/>
      <c r="G5" s="16"/>
      <c r="H5" s="20"/>
      <c r="I5" s="17">
        <f t="shared" ca="1" si="1"/>
        <v>8</v>
      </c>
      <c r="J5" s="17">
        <f t="shared" ca="1" si="2"/>
        <v>3</v>
      </c>
      <c r="K5" s="13">
        <f ca="1">IF($D$2&gt;=(COLUMN()-10),INDIRECT(ADDRESS(25,8,1,,K$3)),"")</f>
        <v>4</v>
      </c>
      <c r="L5" s="13">
        <f t="shared" ref="L5:W5" ca="1" si="4">IF($D$2&gt;=(COLUMN()-10),INDIRECT(ADDRESS(25,8,1,,L$3)),"")</f>
        <v>6</v>
      </c>
      <c r="M5" s="13">
        <f t="shared" ca="1" si="4"/>
        <v>5</v>
      </c>
      <c r="N5" s="13">
        <f t="shared" ca="1" si="4"/>
        <v>8</v>
      </c>
      <c r="O5" s="13">
        <f t="shared" ca="1" si="4"/>
        <v>6</v>
      </c>
      <c r="P5" s="13">
        <f t="shared" ca="1" si="4"/>
        <v>5</v>
      </c>
      <c r="Q5" s="13">
        <f t="shared" ca="1" si="4"/>
        <v>5</v>
      </c>
      <c r="R5" s="13">
        <f t="shared" ca="1" si="4"/>
        <v>6</v>
      </c>
      <c r="S5" s="13">
        <f t="shared" ca="1" si="4"/>
        <v>3</v>
      </c>
      <c r="T5" s="13" t="str">
        <f t="shared" ca="1" si="4"/>
        <v/>
      </c>
      <c r="U5" s="13" t="str">
        <f t="shared" ca="1" si="4"/>
        <v/>
      </c>
      <c r="V5" s="13" t="str">
        <f t="shared" ca="1" si="4"/>
        <v/>
      </c>
      <c r="W5" s="13" t="str">
        <f t="shared" ca="1" si="4"/>
        <v/>
      </c>
      <c r="X5" s="14"/>
      <c r="Y5" s="14"/>
      <c r="AB5" s="22"/>
    </row>
    <row r="6" spans="1:29" x14ac:dyDescent="0.2">
      <c r="A6" s="84">
        <v>1</v>
      </c>
      <c r="B6" s="29" t="str">
        <f>Chart!$I$2</f>
        <v>Miss CDC</v>
      </c>
      <c r="C6" s="10"/>
      <c r="D6" s="10">
        <f ca="1">SUM(Begin:End!$I$25)</f>
        <v>48.5</v>
      </c>
      <c r="E6" s="25">
        <f t="shared" ca="1" si="0"/>
        <v>0.53888888888888886</v>
      </c>
      <c r="F6" s="11"/>
      <c r="G6" s="16"/>
      <c r="H6" s="20"/>
      <c r="I6" s="17">
        <f t="shared" ca="1" si="1"/>
        <v>7</v>
      </c>
      <c r="J6" s="17">
        <f t="shared" ca="1" si="2"/>
        <v>3</v>
      </c>
      <c r="K6" s="13">
        <f ca="1">IF($D$2&gt;=(COLUMN()-10),INDIRECT(ADDRESS(25,9,1,,K$3)),"")</f>
        <v>5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6</v>
      </c>
      <c r="O6" s="13">
        <f t="shared" ca="1" si="5"/>
        <v>5</v>
      </c>
      <c r="P6" s="13">
        <f t="shared" ca="1" si="5"/>
        <v>6.5</v>
      </c>
      <c r="Q6" s="13">
        <f t="shared" ca="1" si="5"/>
        <v>7</v>
      </c>
      <c r="R6" s="13">
        <f t="shared" ca="1" si="5"/>
        <v>6</v>
      </c>
      <c r="S6" s="13">
        <f t="shared" ca="1" si="5"/>
        <v>3</v>
      </c>
      <c r="T6" s="13" t="str">
        <f t="shared" ca="1" si="5"/>
        <v/>
      </c>
      <c r="U6" s="13" t="str">
        <f t="shared" ca="1" si="5"/>
        <v/>
      </c>
      <c r="V6" s="13" t="str">
        <f t="shared" ca="1" si="5"/>
        <v/>
      </c>
      <c r="W6" s="13" t="str">
        <f t="shared" ca="1" si="5"/>
        <v/>
      </c>
      <c r="X6" s="14"/>
      <c r="Y6" s="14"/>
      <c r="AB6" s="22"/>
    </row>
    <row r="7" spans="1:29" ht="13.5" thickBot="1" x14ac:dyDescent="0.25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 t="str">
        <f t="shared" ca="1" si="6"/>
        <v/>
      </c>
      <c r="U7" s="54" t="str">
        <f t="shared" ca="1" si="6"/>
        <v/>
      </c>
      <c r="V7" s="54" t="str">
        <f t="shared" ca="1" si="6"/>
        <v/>
      </c>
      <c r="W7" s="54" t="str">
        <f t="shared" ca="1" si="6"/>
        <v/>
      </c>
      <c r="X7" s="55"/>
      <c r="Y7" s="55"/>
    </row>
    <row r="8" spans="1:29" x14ac:dyDescent="0.2">
      <c r="A8" s="83">
        <f t="shared" ref="A8:A39" si="7">IF(D8=D7,A7,Y8)</f>
        <v>1</v>
      </c>
      <c r="B8" s="39" t="str">
        <f t="shared" ref="B8:B39" ca="1" si="8">INDIRECT(ADDRESS(2,10+INDIRECT(ADDRESS(ROW(),24)),,,"Chart"))</f>
        <v>Ruffin, Chris</v>
      </c>
      <c r="C8" s="40">
        <f t="shared" ref="C8:C39" ca="1" si="9">sumAcrossWkSheets(28,10,X8)</f>
        <v>1</v>
      </c>
      <c r="D8" s="40">
        <f t="shared" ref="D8:D39" si="10">sumAcrossWkSheets(25,10,X8)</f>
        <v>54</v>
      </c>
      <c r="E8" s="41">
        <f t="shared" ref="E8:E39" si="11">D8/games_completed</f>
        <v>0.6</v>
      </c>
      <c r="F8" s="42">
        <f t="shared" ref="F8:F39" si="12">$D$8-D8</f>
        <v>0</v>
      </c>
      <c r="G8" s="43">
        <v>1</v>
      </c>
      <c r="H8" s="44">
        <f t="shared" ref="H8:H39" si="13">G8-A8</f>
        <v>0</v>
      </c>
      <c r="I8" s="45">
        <f t="shared" ref="I8:I39" ca="1" si="14">MAX(K8:W8)</f>
        <v>8</v>
      </c>
      <c r="J8" s="45">
        <f t="shared" ref="J8:J39" ca="1" si="15">MIN(K8:W8)</f>
        <v>3</v>
      </c>
      <c r="K8" s="46">
        <f ca="1">IF($D$2&gt;=(COLUMN()-10),HLOOKUP($B8,INDIRECT(ADDRESS(2,11,1,,K$3)):INDIRECT(ADDRESS(25,playercnt+10,1,,K$3)),24),"")</f>
        <v>8</v>
      </c>
      <c r="L8" s="46">
        <f ca="1">IF($D$2&gt;=(COLUMN()-10),HLOOKUP($B8,INDIRECT(ADDRESS(2,11,1,,L$3)):INDIRECT(ADDRESS(25,playercnt+10,1,,L$3)),24),"")</f>
        <v>7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3</v>
      </c>
      <c r="P8" s="46">
        <f ca="1">IF($D$2&gt;=(COLUMN()-10),HLOOKUP($B8,INDIRECT(ADDRESS(2,11,1,,P$3)):INDIRECT(ADDRESS(25,playercnt+10,1,,P$3)),24),"")</f>
        <v>8</v>
      </c>
      <c r="Q8" s="46">
        <f ca="1">IF($D$2&gt;=(COLUMN()-10),HLOOKUP($B8,INDIRECT(ADDRESS(2,11,1,,Q$3)):INDIRECT(ADDRESS(25,playercnt+10,1,,Q$3)),24),"")</f>
        <v>6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4</v>
      </c>
      <c r="T8" s="46" t="str">
        <f ca="1">IF($D$2&gt;=(COLUMN()-10),HLOOKUP($B8,INDIRECT(ADDRESS(2,11,1,,T$3)):INDIRECT(ADDRESS(25,playercnt+10,1,,T$3)),24),"")</f>
        <v/>
      </c>
      <c r="U8" s="46" t="str">
        <f ca="1">IF($D$2&gt;=(COLUMN()-10),HLOOKUP($B8,INDIRECT(ADDRESS(2,11,1,,U$3)):INDIRECT(ADDRESS(25,playercnt+10,1,,U$3)),24),"")</f>
        <v/>
      </c>
      <c r="V8" s="46" t="str">
        <f ca="1">IF($D$2&gt;=(COLUMN()-10),HLOOKUP($B8,INDIRECT(ADDRESS(2,11,1,,V$3)):INDIRECT(ADDRESS(25,playercnt+10,1,,V$3)),24),"")</f>
        <v/>
      </c>
      <c r="W8" s="46" t="str">
        <f ca="1">IF($D$2&gt;=(COLUMN()-10),HLOOKUP($B8,INDIRECT(ADDRESS(2,11,1,,W$3)):INDIRECT(ADDRESS(25,playercnt+10,1,,W$3)),24),"")</f>
        <v/>
      </c>
      <c r="X8" s="47">
        <v>43</v>
      </c>
      <c r="Y8" s="47">
        <f>Y7+1</f>
        <v>1</v>
      </c>
      <c r="AC8" s="24"/>
    </row>
    <row r="9" spans="1:29" x14ac:dyDescent="0.2">
      <c r="A9" s="83">
        <f t="shared" si="7"/>
        <v>2</v>
      </c>
      <c r="B9" s="39" t="str">
        <f t="shared" ca="1" si="8"/>
        <v>Holley, Jeremy Remote</v>
      </c>
      <c r="C9" s="40">
        <f t="shared" ca="1" si="9"/>
        <v>0</v>
      </c>
      <c r="D9" s="40">
        <f t="shared" si="10"/>
        <v>52</v>
      </c>
      <c r="E9" s="25">
        <f t="shared" si="11"/>
        <v>0.57777777777777772</v>
      </c>
      <c r="F9" s="11">
        <f t="shared" si="12"/>
        <v>2</v>
      </c>
      <c r="G9" s="16">
        <v>2</v>
      </c>
      <c r="H9" s="20">
        <f t="shared" si="13"/>
        <v>0</v>
      </c>
      <c r="I9" s="17">
        <f t="shared" ca="1" si="14"/>
        <v>7</v>
      </c>
      <c r="J9" s="17">
        <f t="shared" ca="1" si="15"/>
        <v>3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4</v>
      </c>
      <c r="N9" s="46">
        <f ca="1">IF($D$2&gt;=(COLUMN()-10),HLOOKUP($B9,INDIRECT(ADDRESS(2,11,1,,N$3)):INDIRECT(ADDRESS(25,playercnt+10,1,,N$3)),24),"")</f>
        <v>7</v>
      </c>
      <c r="O9" s="46">
        <f ca="1">IF($D$2&gt;=(COLUMN()-10),HLOOKUP($B9,INDIRECT(ADDRESS(2,11,1,,O$3)):INDIRECT(ADDRESS(25,playercnt+10,1,,O$3)),24),"")</f>
        <v>6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7</v>
      </c>
      <c r="S9" s="46">
        <f ca="1">IF($D$2&gt;=(COLUMN()-10),HLOOKUP($B9,INDIRECT(ADDRESS(2,11,1,,S$3)):INDIRECT(ADDRESS(25,playercnt+10,1,,S$3)),24),"")</f>
        <v>3</v>
      </c>
      <c r="T9" s="46" t="str">
        <f ca="1">IF($D$2&gt;=(COLUMN()-10),HLOOKUP($B9,INDIRECT(ADDRESS(2,11,1,,T$3)):INDIRECT(ADDRESS(25,playercnt+10,1,,T$3)),24),"")</f>
        <v/>
      </c>
      <c r="U9" s="46" t="str">
        <f ca="1">IF($D$2&gt;=(COLUMN()-10),HLOOKUP($B9,INDIRECT(ADDRESS(2,11,1,,U$3)):INDIRECT(ADDRESS(25,playercnt+10,1,,U$3)),24),"")</f>
        <v/>
      </c>
      <c r="V9" s="46" t="str">
        <f ca="1">IF($D$2&gt;=(COLUMN()-10),HLOOKUP($B9,INDIRECT(ADDRESS(2,11,1,,V$3)):INDIRECT(ADDRESS(25,playercnt+10,1,,V$3)),24),"")</f>
        <v/>
      </c>
      <c r="W9" s="46" t="str">
        <f ca="1">IF($D$2&gt;=(COLUMN()-10),HLOOKUP($B9,INDIRECT(ADDRESS(2,11,1,,W$3)):INDIRECT(ADDRESS(25,playercnt+10,1,,W$3)),24),"")</f>
        <v/>
      </c>
      <c r="X9" s="14">
        <v>20</v>
      </c>
      <c r="Y9" s="14">
        <f t="shared" ref="Y9:Y25" si="16">Y8+1</f>
        <v>2</v>
      </c>
    </row>
    <row r="10" spans="1:29" x14ac:dyDescent="0.2">
      <c r="A10" s="83">
        <f t="shared" si="7"/>
        <v>2</v>
      </c>
      <c r="B10" s="39" t="str">
        <f t="shared" ca="1" si="8"/>
        <v>Staub, Kevin</v>
      </c>
      <c r="C10" s="40">
        <f t="shared" ca="1" si="9"/>
        <v>1</v>
      </c>
      <c r="D10" s="40">
        <f t="shared" si="10"/>
        <v>52</v>
      </c>
      <c r="E10" s="25">
        <f t="shared" si="11"/>
        <v>0.57777777777777772</v>
      </c>
      <c r="F10" s="11">
        <f t="shared" si="12"/>
        <v>2</v>
      </c>
      <c r="G10" s="43">
        <v>3</v>
      </c>
      <c r="H10" s="20">
        <f t="shared" si="13"/>
        <v>1</v>
      </c>
      <c r="I10" s="17">
        <f t="shared" ca="1" si="14"/>
        <v>8</v>
      </c>
      <c r="J10" s="17">
        <f t="shared" ca="1" si="15"/>
        <v>4</v>
      </c>
      <c r="K10" s="46">
        <f ca="1">IF($D$2&gt;=(COLUMN()-10),HLOOKUP($B10,INDIRECT(ADDRESS(2,11,1,,K$3)):INDIRECT(ADDRESS(25,playercnt+10,1,,K$3)),24),"")</f>
        <v>6</v>
      </c>
      <c r="L10" s="46">
        <f ca="1">IF($D$2&gt;=(COLUMN()-10),HLOOKUP($B10,INDIRECT(ADDRESS(2,11,1,,L$3)):INDIRECT(ADDRESS(25,playercnt+10,1,,L$3)),24),"")</f>
        <v>6</v>
      </c>
      <c r="M10" s="46">
        <f ca="1">IF($D$2&gt;=(COLUMN()-10),HLOOKUP($B10,INDIRECT(ADDRESS(2,11,1,,M$3)):INDIRECT(ADDRESS(25,playercnt+10,1,,M$3)),24),"")</f>
        <v>7</v>
      </c>
      <c r="N10" s="46">
        <f ca="1">IF($D$2&gt;=(COLUMN()-10),HLOOKUP($B10,INDIRECT(ADDRESS(2,11,1,,N$3)):INDIRECT(ADDRESS(25,playercnt+10,1,,N$3)),24),"")</f>
        <v>4</v>
      </c>
      <c r="O10" s="46">
        <f ca="1">IF($D$2&gt;=(COLUMN()-10),HLOOKUP($B10,INDIRECT(ADDRESS(2,11,1,,O$3)):INDIRECT(ADDRESS(25,playercnt+10,1,,O$3)),24),"")</f>
        <v>8</v>
      </c>
      <c r="P10" s="46">
        <f ca="1">IF($D$2&gt;=(COLUMN()-10),HLOOKUP($B10,INDIRECT(ADDRESS(2,11,1,,P$3)):INDIRECT(ADDRESS(25,playercnt+10,1,,P$3)),24),"")</f>
        <v>4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4</v>
      </c>
      <c r="T10" s="46" t="str">
        <f ca="1">IF($D$2&gt;=(COLUMN()-10),HLOOKUP($B10,INDIRECT(ADDRESS(2,11,1,,T$3)):INDIRECT(ADDRESS(25,playercnt+10,1,,T$3)),24),"")</f>
        <v/>
      </c>
      <c r="U10" s="46" t="str">
        <f ca="1">IF($D$2&gt;=(COLUMN()-10),HLOOKUP($B10,INDIRECT(ADDRESS(2,11,1,,U$3)):INDIRECT(ADDRESS(25,playercnt+10,1,,U$3)),24),"")</f>
        <v/>
      </c>
      <c r="V10" s="46" t="str">
        <f ca="1">IF($D$2&gt;=(COLUMN()-10),HLOOKUP($B10,INDIRECT(ADDRESS(2,11,1,,V$3)):INDIRECT(ADDRESS(25,playercnt+10,1,,V$3)),24),"")</f>
        <v/>
      </c>
      <c r="W10" s="46" t="str">
        <f ca="1">IF($D$2&gt;=(COLUMN()-10),HLOOKUP($B10,INDIRECT(ADDRESS(2,11,1,,W$3)):INDIRECT(ADDRESS(25,playercnt+10,1,,W$3)),24),"")</f>
        <v/>
      </c>
      <c r="X10" s="47">
        <v>46</v>
      </c>
      <c r="Y10" s="14">
        <f t="shared" si="16"/>
        <v>3</v>
      </c>
    </row>
    <row r="11" spans="1:29" x14ac:dyDescent="0.2">
      <c r="A11" s="83">
        <f t="shared" si="7"/>
        <v>4</v>
      </c>
      <c r="B11" s="39" t="str">
        <f t="shared" ca="1" si="8"/>
        <v>Locklear, Dave Remote</v>
      </c>
      <c r="C11" s="40">
        <f t="shared" ca="1" si="9"/>
        <v>0</v>
      </c>
      <c r="D11" s="40">
        <f t="shared" si="10"/>
        <v>51</v>
      </c>
      <c r="E11" s="25">
        <f t="shared" si="11"/>
        <v>0.56666666666666665</v>
      </c>
      <c r="F11" s="11">
        <f t="shared" si="12"/>
        <v>3</v>
      </c>
      <c r="G11" s="16">
        <v>4</v>
      </c>
      <c r="H11" s="20">
        <f t="shared" si="13"/>
        <v>0</v>
      </c>
      <c r="I11" s="17">
        <f t="shared" ca="1" si="14"/>
        <v>7</v>
      </c>
      <c r="J11" s="17">
        <f t="shared" ca="1" si="15"/>
        <v>4</v>
      </c>
      <c r="K11" s="46">
        <f ca="1">IF($D$2&gt;=(COLUMN()-10),HLOOKUP($B11,INDIRECT(ADDRESS(2,11,1,,K$3)):INDIRECT(ADDRESS(25,playercnt+10,1,,K$3)),24),"")</f>
        <v>6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5</v>
      </c>
      <c r="N11" s="46">
        <f ca="1">IF($D$2&gt;=(COLUMN()-10),HLOOKUP($B11,INDIRECT(ADDRESS(2,11,1,,N$3)):INDIRECT(ADDRESS(25,playercnt+10,1,,N$3)),24),"")</f>
        <v>7</v>
      </c>
      <c r="O11" s="46">
        <f ca="1">IF($D$2&gt;=(COLUMN()-10),HLOOKUP($B11,INDIRECT(ADDRESS(2,11,1,,O$3)):INDIRECT(ADDRESS(25,playercnt+10,1,,O$3)),24),"")</f>
        <v>4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7</v>
      </c>
      <c r="R11" s="46">
        <f ca="1">IF($D$2&gt;=(COLUMN()-10),HLOOKUP($B11,INDIRECT(ADDRESS(2,11,1,,R$3)):INDIRECT(ADDRESS(25,playercnt+10,1,,R$3)),24),"")</f>
        <v>4</v>
      </c>
      <c r="S11" s="46">
        <f ca="1">IF($D$2&gt;=(COLUMN()-10),HLOOKUP($B11,INDIRECT(ADDRESS(2,11,1,,S$3)):INDIRECT(ADDRESS(25,playercnt+10,1,,S$3)),24),"")</f>
        <v>5</v>
      </c>
      <c r="T11" s="46" t="str">
        <f ca="1">IF($D$2&gt;=(COLUMN()-10),HLOOKUP($B11,INDIRECT(ADDRESS(2,11,1,,T$3)):INDIRECT(ADDRESS(25,playercnt+10,1,,T$3)),24),"")</f>
        <v/>
      </c>
      <c r="U11" s="46" t="str">
        <f ca="1">IF($D$2&gt;=(COLUMN()-10),HLOOKUP($B11,INDIRECT(ADDRESS(2,11,1,,U$3)):INDIRECT(ADDRESS(25,playercnt+10,1,,U$3)),24),"")</f>
        <v/>
      </c>
      <c r="V11" s="46" t="str">
        <f ca="1">IF($D$2&gt;=(COLUMN()-10),HLOOKUP($B11,INDIRECT(ADDRESS(2,11,1,,V$3)):INDIRECT(ADDRESS(25,playercnt+10,1,,V$3)),24),"")</f>
        <v/>
      </c>
      <c r="W11" s="46" t="str">
        <f ca="1">IF($D$2&gt;=(COLUMN()-10),HLOOKUP($B11,INDIRECT(ADDRESS(2,11,1,,W$3)):INDIRECT(ADDRESS(25,playercnt+10,1,,W$3)),24),"")</f>
        <v/>
      </c>
      <c r="X11" s="14">
        <v>24</v>
      </c>
      <c r="Y11" s="14">
        <f t="shared" si="16"/>
        <v>4</v>
      </c>
    </row>
    <row r="12" spans="1:29" x14ac:dyDescent="0.2">
      <c r="A12" s="83">
        <f t="shared" si="7"/>
        <v>5</v>
      </c>
      <c r="B12" s="39" t="str">
        <f t="shared" ca="1" si="8"/>
        <v>Fonville, Chris</v>
      </c>
      <c r="C12" s="40">
        <f t="shared" ca="1" si="9"/>
        <v>0</v>
      </c>
      <c r="D12" s="40">
        <f t="shared" si="10"/>
        <v>49</v>
      </c>
      <c r="E12" s="25">
        <f t="shared" si="11"/>
        <v>0.5444444444444444</v>
      </c>
      <c r="F12" s="11">
        <f t="shared" si="12"/>
        <v>5</v>
      </c>
      <c r="G12" s="43">
        <v>7</v>
      </c>
      <c r="H12" s="20">
        <f t="shared" si="13"/>
        <v>2</v>
      </c>
      <c r="I12" s="17">
        <f t="shared" ca="1" si="14"/>
        <v>7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7</v>
      </c>
      <c r="L12" s="46">
        <f ca="1">IF($D$2&gt;=(COLUMN()-10),HLOOKUP($B12,INDIRECT(ADDRESS(2,11,1,,L$3)):INDIRECT(ADDRESS(25,playercnt+10,1,,L$3)),24),"")</f>
        <v>5</v>
      </c>
      <c r="M12" s="46">
        <f ca="1">IF($D$2&gt;=(COLUMN()-10),HLOOKUP($B12,INDIRECT(ADDRESS(2,11,1,,M$3)):INDIRECT(ADDRESS(25,playercnt+10,1,,M$3)),24),"")</f>
        <v>6</v>
      </c>
      <c r="N12" s="46">
        <f ca="1">IF($D$2&gt;=(COLUMN()-10),HLOOKUP($B12,INDIRECT(ADDRESS(2,11,1,,N$3)):INDIRECT(ADDRESS(25,playercnt+10,1,,N$3)),24),"")</f>
        <v>4</v>
      </c>
      <c r="O12" s="46">
        <f ca="1">IF($D$2&gt;=(COLUMN()-10),HLOOKUP($B12,INDIRECT(ADDRESS(2,11,1,,O$3)):INDIRECT(ADDRESS(25,playercnt+10,1,,O$3)),24),"")</f>
        <v>7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3</v>
      </c>
      <c r="R12" s="46">
        <f ca="1">IF($D$2&gt;=(COLUMN()-10),HLOOKUP($B12,INDIRECT(ADDRESS(2,11,1,,R$3)):INDIRECT(ADDRESS(25,playercnt+10,1,,R$3)),24),"")</f>
        <v>7</v>
      </c>
      <c r="S12" s="46">
        <f ca="1">IF($D$2&gt;=(COLUMN()-10),HLOOKUP($B12,INDIRECT(ADDRESS(2,11,1,,S$3)):INDIRECT(ADDRESS(25,playercnt+10,1,,S$3)),24),"")</f>
        <v>5</v>
      </c>
      <c r="T12" s="46" t="str">
        <f ca="1">IF($D$2&gt;=(COLUMN()-10),HLOOKUP($B12,INDIRECT(ADDRESS(2,11,1,,T$3)):INDIRECT(ADDRESS(25,playercnt+10,1,,T$3)),24),"")</f>
        <v/>
      </c>
      <c r="U12" s="46" t="str">
        <f ca="1">IF($D$2&gt;=(COLUMN()-10),HLOOKUP($B12,INDIRECT(ADDRESS(2,11,1,,U$3)):INDIRECT(ADDRESS(25,playercnt+10,1,,U$3)),24),"")</f>
        <v/>
      </c>
      <c r="V12" s="46" t="str">
        <f ca="1">IF($D$2&gt;=(COLUMN()-10),HLOOKUP($B12,INDIRECT(ADDRESS(2,11,1,,V$3)):INDIRECT(ADDRESS(25,playercnt+10,1,,V$3)),24),"")</f>
        <v/>
      </c>
      <c r="W12" s="46" t="str">
        <f ca="1">IF($D$2&gt;=(COLUMN()-10),HLOOKUP($B12,INDIRECT(ADDRESS(2,11,1,,W$3)):INDIRECT(ADDRESS(25,playercnt+10,1,,W$3)),24),"")</f>
        <v/>
      </c>
      <c r="X12" s="47">
        <v>16</v>
      </c>
      <c r="Y12" s="14">
        <f t="shared" si="16"/>
        <v>5</v>
      </c>
    </row>
    <row r="13" spans="1:29" x14ac:dyDescent="0.2">
      <c r="A13" s="83">
        <f t="shared" si="7"/>
        <v>5</v>
      </c>
      <c r="B13" s="39" t="str">
        <f t="shared" ca="1" si="8"/>
        <v>Warren, Todd Remote</v>
      </c>
      <c r="C13" s="40">
        <f t="shared" ca="1" si="9"/>
        <v>0</v>
      </c>
      <c r="D13" s="40">
        <f t="shared" si="10"/>
        <v>49</v>
      </c>
      <c r="E13" s="25">
        <f t="shared" si="11"/>
        <v>0.5444444444444444</v>
      </c>
      <c r="F13" s="11">
        <f t="shared" si="12"/>
        <v>5</v>
      </c>
      <c r="G13" s="16">
        <v>7</v>
      </c>
      <c r="H13" s="20">
        <f t="shared" si="13"/>
        <v>2</v>
      </c>
      <c r="I13" s="17">
        <f t="shared" ca="1" si="14"/>
        <v>7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3</v>
      </c>
      <c r="L13" s="46">
        <f ca="1">IF($D$2&gt;=(COLUMN()-10),HLOOKUP($B13,INDIRECT(ADDRESS(2,11,1,,L$3)):INDIRECT(ADDRESS(25,playercnt+10,1,,L$3)),24),"")</f>
        <v>7</v>
      </c>
      <c r="M13" s="46">
        <f ca="1">IF($D$2&gt;=(COLUMN()-10),HLOOKUP($B13,INDIRECT(ADDRESS(2,11,1,,M$3)):INDIRECT(ADDRESS(25,playercnt+10,1,,M$3)),24),"")</f>
        <v>6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6</v>
      </c>
      <c r="P13" s="46">
        <f ca="1">IF($D$2&gt;=(COLUMN()-10),HLOOKUP($B13,INDIRECT(ADDRESS(2,11,1,,P$3)):INDIRECT(ADDRESS(25,playercnt+10,1,,P$3)),24),"")</f>
        <v>6</v>
      </c>
      <c r="Q13" s="46">
        <f ca="1">IF($D$2&gt;=(COLUMN()-10),HLOOKUP($B13,INDIRECT(ADDRESS(2,11,1,,Q$3)):INDIRECT(ADDRESS(25,playercnt+10,1,,Q$3)),24),"")</f>
        <v>6</v>
      </c>
      <c r="R13" s="46">
        <f ca="1">IF($D$2&gt;=(COLUMN()-10),HLOOKUP($B13,INDIRECT(ADDRESS(2,11,1,,R$3)):INDIRECT(ADDRESS(25,playercnt+10,1,,R$3)),24),"")</f>
        <v>4</v>
      </c>
      <c r="S13" s="46">
        <f ca="1">IF($D$2&gt;=(COLUMN()-10),HLOOKUP($B13,INDIRECT(ADDRESS(2,11,1,,S$3)):INDIRECT(ADDRESS(25,playercnt+10,1,,S$3)),24),"")</f>
        <v>5</v>
      </c>
      <c r="T13" s="46" t="str">
        <f ca="1">IF($D$2&gt;=(COLUMN()-10),HLOOKUP($B13,INDIRECT(ADDRESS(2,11,1,,T$3)):INDIRECT(ADDRESS(25,playercnt+10,1,,T$3)),24),"")</f>
        <v/>
      </c>
      <c r="U13" s="46" t="str">
        <f ca="1">IF($D$2&gt;=(COLUMN()-10),HLOOKUP($B13,INDIRECT(ADDRESS(2,11,1,,U$3)):INDIRECT(ADDRESS(25,playercnt+10,1,,U$3)),24),"")</f>
        <v/>
      </c>
      <c r="V13" s="46" t="str">
        <f ca="1">IF($D$2&gt;=(COLUMN()-10),HLOOKUP($B13,INDIRECT(ADDRESS(2,11,1,,V$3)):INDIRECT(ADDRESS(25,playercnt+10,1,,V$3)),24),"")</f>
        <v/>
      </c>
      <c r="W13" s="46" t="str">
        <f ca="1">IF($D$2&gt;=(COLUMN()-10),HLOOKUP($B13,INDIRECT(ADDRESS(2,11,1,,W$3)):INDIRECT(ADDRESS(25,playercnt+10,1,,W$3)),24),"")</f>
        <v/>
      </c>
      <c r="X13" s="14">
        <v>52</v>
      </c>
      <c r="Y13" s="14">
        <f t="shared" si="16"/>
        <v>6</v>
      </c>
    </row>
    <row r="14" spans="1:29" x14ac:dyDescent="0.2">
      <c r="A14" s="83">
        <f t="shared" si="7"/>
        <v>7</v>
      </c>
      <c r="B14" s="39" t="str">
        <f t="shared" ca="1" si="8"/>
        <v>Beckwith, Greg</v>
      </c>
      <c r="C14" s="40">
        <f t="shared" ca="1" si="9"/>
        <v>0</v>
      </c>
      <c r="D14" s="40">
        <f t="shared" si="10"/>
        <v>48</v>
      </c>
      <c r="E14" s="25">
        <f t="shared" si="11"/>
        <v>0.53333333333333333</v>
      </c>
      <c r="F14" s="11">
        <f t="shared" si="12"/>
        <v>6</v>
      </c>
      <c r="G14" s="43">
        <v>5</v>
      </c>
      <c r="H14" s="20">
        <f t="shared" si="13"/>
        <v>-2</v>
      </c>
      <c r="I14" s="17">
        <f t="shared" ca="1" si="14"/>
        <v>8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7</v>
      </c>
      <c r="L14" s="46">
        <f ca="1">IF($D$2&gt;=(COLUMN()-10),HLOOKUP($B14,INDIRECT(ADDRESS(2,11,1,,L$3)):INDIRECT(ADDRESS(25,playercnt+10,1,,L$3)),24),"")</f>
        <v>4</v>
      </c>
      <c r="M14" s="46">
        <f ca="1">IF($D$2&gt;=(COLUMN()-10),HLOOKUP($B14,INDIRECT(ADDRESS(2,11,1,,M$3)):INDIRECT(ADDRESS(25,playercnt+10,1,,M$3)),24),"")</f>
        <v>8</v>
      </c>
      <c r="N14" s="46">
        <f ca="1">IF($D$2&gt;=(COLUMN()-10),HLOOKUP($B14,INDIRECT(ADDRESS(2,11,1,,N$3)):INDIRECT(ADDRESS(25,playercnt+10,1,,N$3)),24),"")</f>
        <v>6</v>
      </c>
      <c r="O14" s="46">
        <f ca="1">IF($D$2&gt;=(COLUMN()-10),HLOOKUP($B14,INDIRECT(ADDRESS(2,11,1,,O$3)):INDIRECT(ADDRESS(25,playercnt+10,1,,O$3)),24),"")</f>
        <v>5</v>
      </c>
      <c r="P14" s="46">
        <f ca="1">IF($D$2&gt;=(COLUMN()-10),HLOOKUP($B14,INDIRECT(ADDRESS(2,11,1,,P$3)):INDIRECT(ADDRESS(25,playercnt+10,1,,P$3)),24),"")</f>
        <v>4</v>
      </c>
      <c r="Q14" s="46">
        <f ca="1">IF($D$2&gt;=(COLUMN()-10),HLOOKUP($B14,INDIRECT(ADDRESS(2,11,1,,Q$3)):INDIRECT(ADDRESS(25,playercnt+10,1,,Q$3)),24),"")</f>
        <v>5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3</v>
      </c>
      <c r="T14" s="46" t="str">
        <f ca="1">IF($D$2&gt;=(COLUMN()-10),HLOOKUP($B14,INDIRECT(ADDRESS(2,11,1,,T$3)):INDIRECT(ADDRESS(25,playercnt+10,1,,T$3)),24),"")</f>
        <v/>
      </c>
      <c r="U14" s="46" t="str">
        <f ca="1">IF($D$2&gt;=(COLUMN()-10),HLOOKUP($B14,INDIRECT(ADDRESS(2,11,1,,U$3)):INDIRECT(ADDRESS(25,playercnt+10,1,,U$3)),24),"")</f>
        <v/>
      </c>
      <c r="V14" s="46" t="str">
        <f ca="1">IF($D$2&gt;=(COLUMN()-10),HLOOKUP($B14,INDIRECT(ADDRESS(2,11,1,,V$3)):INDIRECT(ADDRESS(25,playercnt+10,1,,V$3)),24),"")</f>
        <v/>
      </c>
      <c r="W14" s="46" t="str">
        <f ca="1">IF($D$2&gt;=(COLUMN()-10),HLOOKUP($B14,INDIRECT(ADDRESS(2,11,1,,W$3)):INDIRECT(ADDRESS(25,playercnt+10,1,,W$3)),24),"")</f>
        <v/>
      </c>
      <c r="X14" s="47">
        <v>4</v>
      </c>
      <c r="Y14" s="14">
        <f t="shared" si="16"/>
        <v>7</v>
      </c>
    </row>
    <row r="15" spans="1:29" x14ac:dyDescent="0.2">
      <c r="A15" s="83">
        <f t="shared" si="7"/>
        <v>7</v>
      </c>
      <c r="B15" s="39" t="str">
        <f t="shared" ca="1" si="8"/>
        <v>Robbins, Dale</v>
      </c>
      <c r="C15" s="40">
        <f t="shared" ca="1" si="9"/>
        <v>0</v>
      </c>
      <c r="D15" s="40">
        <f t="shared" si="10"/>
        <v>48</v>
      </c>
      <c r="E15" s="25">
        <f t="shared" si="11"/>
        <v>0.53333333333333333</v>
      </c>
      <c r="F15" s="11">
        <f t="shared" si="12"/>
        <v>6</v>
      </c>
      <c r="G15" s="16">
        <v>10</v>
      </c>
      <c r="H15" s="20">
        <f t="shared" si="13"/>
        <v>3</v>
      </c>
      <c r="I15" s="17">
        <f t="shared" ca="1" si="14"/>
        <v>8</v>
      </c>
      <c r="J15" s="17">
        <f t="shared" ca="1" si="15"/>
        <v>3</v>
      </c>
      <c r="K15" s="46">
        <f ca="1">IF($D$2&gt;=(COLUMN()-10),HLOOKUP($B15,INDIRECT(ADDRESS(2,11,1,,K$3)):INDIRECT(ADDRESS(25,playercnt+10,1,,K$3)),24),"")</f>
        <v>6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5</v>
      </c>
      <c r="N15" s="46">
        <f ca="1">IF($D$2&gt;=(COLUMN()-10),HLOOKUP($B15,INDIRECT(ADDRESS(2,11,1,,N$3)):INDIRECT(ADDRESS(25,playercnt+10,1,,N$3)),24),"")</f>
        <v>5</v>
      </c>
      <c r="O15" s="46">
        <f ca="1">IF($D$2&gt;=(COLUMN()-10),HLOOKUP($B15,INDIRECT(ADDRESS(2,11,1,,O$3)):INDIRECT(ADDRESS(25,playercnt+10,1,,O$3)),24),"")</f>
        <v>3</v>
      </c>
      <c r="P15" s="46">
        <f ca="1">IF($D$2&gt;=(COLUMN()-10),HLOOKUP($B15,INDIRECT(ADDRESS(2,11,1,,P$3)):INDIRECT(ADDRESS(25,playercnt+10,1,,P$3)),24),"")</f>
        <v>5</v>
      </c>
      <c r="Q15" s="46">
        <f ca="1">IF($D$2&gt;=(COLUMN()-10),HLOOKUP($B15,INDIRECT(ADDRESS(2,11,1,,Q$3)):INDIRECT(ADDRESS(25,playercnt+10,1,,Q$3)),24),"")</f>
        <v>6</v>
      </c>
      <c r="R15" s="46">
        <f ca="1">IF($D$2&gt;=(COLUMN()-10),HLOOKUP($B15,INDIRECT(ADDRESS(2,11,1,,R$3)):INDIRECT(ADDRESS(25,playercnt+10,1,,R$3)),24),"")</f>
        <v>8</v>
      </c>
      <c r="S15" s="46">
        <f ca="1">IF($D$2&gt;=(COLUMN()-10),HLOOKUP($B15,INDIRECT(ADDRESS(2,11,1,,S$3)):INDIRECT(ADDRESS(25,playercnt+10,1,,S$3)),24),"")</f>
        <v>5</v>
      </c>
      <c r="T15" s="46" t="str">
        <f ca="1">IF($D$2&gt;=(COLUMN()-10),HLOOKUP($B15,INDIRECT(ADDRESS(2,11,1,,T$3)):INDIRECT(ADDRESS(25,playercnt+10,1,,T$3)),24),"")</f>
        <v/>
      </c>
      <c r="U15" s="46" t="str">
        <f ca="1">IF($D$2&gt;=(COLUMN()-10),HLOOKUP($B15,INDIRECT(ADDRESS(2,11,1,,U$3)):INDIRECT(ADDRESS(25,playercnt+10,1,,U$3)),24),"")</f>
        <v/>
      </c>
      <c r="V15" s="46" t="str">
        <f ca="1">IF($D$2&gt;=(COLUMN()-10),HLOOKUP($B15,INDIRECT(ADDRESS(2,11,1,,V$3)):INDIRECT(ADDRESS(25,playercnt+10,1,,V$3)),24),"")</f>
        <v/>
      </c>
      <c r="W15" s="46" t="str">
        <f ca="1">IF($D$2&gt;=(COLUMN()-10),HLOOKUP($B15,INDIRECT(ADDRESS(2,11,1,,W$3)):INDIRECT(ADDRESS(25,playercnt+10,1,,W$3)),24),"")</f>
        <v/>
      </c>
      <c r="X15" s="14">
        <v>41</v>
      </c>
      <c r="Y15" s="14">
        <f t="shared" si="16"/>
        <v>8</v>
      </c>
    </row>
    <row r="16" spans="1:29" x14ac:dyDescent="0.2">
      <c r="A16" s="83">
        <f t="shared" si="7"/>
        <v>9</v>
      </c>
      <c r="B16" s="39" t="str">
        <f t="shared" ca="1" si="8"/>
        <v>Hendrick, Matt R</v>
      </c>
      <c r="C16" s="40">
        <f t="shared" ca="1" si="9"/>
        <v>0</v>
      </c>
      <c r="D16" s="40">
        <f t="shared" si="10"/>
        <v>47</v>
      </c>
      <c r="E16" s="25">
        <f t="shared" si="11"/>
        <v>0.52222222222222225</v>
      </c>
      <c r="F16" s="11">
        <f t="shared" si="12"/>
        <v>7</v>
      </c>
      <c r="G16" s="43">
        <v>14</v>
      </c>
      <c r="H16" s="20">
        <f t="shared" si="13"/>
        <v>5</v>
      </c>
      <c r="I16" s="17">
        <f t="shared" ca="1" si="14"/>
        <v>7</v>
      </c>
      <c r="J16" s="17">
        <f t="shared" ca="1" si="15"/>
        <v>3</v>
      </c>
      <c r="K16" s="46">
        <f ca="1">IF($D$2&gt;=(COLUMN()-10),HLOOKUP($B16,INDIRECT(ADDRESS(2,11,1,,K$3)):INDIRECT(ADDRESS(25,playercnt+10,1,,K$3)),24),"")</f>
        <v>4</v>
      </c>
      <c r="L16" s="46">
        <f ca="1">IF($D$2&gt;=(COLUMN()-10),HLOOKUP($B16,INDIRECT(ADDRESS(2,11,1,,L$3)):INDIRECT(ADDRESS(25,playercnt+10,1,,L$3)),24),"")</f>
        <v>6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6</v>
      </c>
      <c r="O16" s="46">
        <f ca="1">IF($D$2&gt;=(COLUMN()-10),HLOOKUP($B16,INDIRECT(ADDRESS(2,11,1,,O$3)):INDIRECT(ADDRESS(25,playercnt+10,1,,O$3)),24),"")</f>
        <v>5</v>
      </c>
      <c r="P16" s="46">
        <f ca="1">IF($D$2&gt;=(COLUMN()-10),HLOOKUP($B16,INDIRECT(ADDRESS(2,11,1,,P$3)):INDIRECT(ADDRESS(25,playercnt+10,1,,P$3)),24),"")</f>
        <v>5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3</v>
      </c>
      <c r="S16" s="46">
        <f ca="1">IF($D$2&gt;=(COLUMN()-10),HLOOKUP($B16,INDIRECT(ADDRESS(2,11,1,,S$3)):INDIRECT(ADDRESS(25,playercnt+10,1,,S$3)),24),"")</f>
        <v>5</v>
      </c>
      <c r="T16" s="46" t="str">
        <f ca="1">IF($D$2&gt;=(COLUMN()-10),HLOOKUP($B16,INDIRECT(ADDRESS(2,11,1,,T$3)):INDIRECT(ADDRESS(25,playercnt+10,1,,T$3)),24),"")</f>
        <v/>
      </c>
      <c r="U16" s="46" t="str">
        <f ca="1">IF($D$2&gt;=(COLUMN()-10),HLOOKUP($B16,INDIRECT(ADDRESS(2,11,1,,U$3)):INDIRECT(ADDRESS(25,playercnt+10,1,,U$3)),24),"")</f>
        <v/>
      </c>
      <c r="V16" s="46" t="str">
        <f ca="1">IF($D$2&gt;=(COLUMN()-10),HLOOKUP($B16,INDIRECT(ADDRESS(2,11,1,,V$3)):INDIRECT(ADDRESS(25,playercnt+10,1,,V$3)),24),"")</f>
        <v/>
      </c>
      <c r="W16" s="46" t="str">
        <f ca="1">IF($D$2&gt;=(COLUMN()-10),HLOOKUP($B16,INDIRECT(ADDRESS(2,11,1,,W$3)):INDIRECT(ADDRESS(25,playercnt+10,1,,W$3)),24),"")</f>
        <v/>
      </c>
      <c r="X16" s="47">
        <v>18</v>
      </c>
      <c r="Y16" s="14">
        <f t="shared" si="16"/>
        <v>9</v>
      </c>
    </row>
    <row r="17" spans="1:25" x14ac:dyDescent="0.2">
      <c r="A17" s="83">
        <f t="shared" si="7"/>
        <v>9</v>
      </c>
      <c r="B17" s="39" t="str">
        <f t="shared" ca="1" si="8"/>
        <v>Neeley, Amber Remote</v>
      </c>
      <c r="C17" s="40">
        <f t="shared" ca="1" si="9"/>
        <v>1</v>
      </c>
      <c r="D17" s="40">
        <f t="shared" si="10"/>
        <v>47</v>
      </c>
      <c r="E17" s="25">
        <f t="shared" si="11"/>
        <v>0.52222222222222225</v>
      </c>
      <c r="F17" s="11">
        <f t="shared" si="12"/>
        <v>7</v>
      </c>
      <c r="G17" s="16">
        <v>10</v>
      </c>
      <c r="H17" s="20">
        <f t="shared" si="13"/>
        <v>1</v>
      </c>
      <c r="I17" s="17">
        <f t="shared" ca="1" si="14"/>
        <v>8</v>
      </c>
      <c r="J17" s="17">
        <f t="shared" ca="1" si="15"/>
        <v>4</v>
      </c>
      <c r="K17" s="46">
        <f ca="1">IF($D$2&gt;=(COLUMN()-10),HLOOKUP($B17,INDIRECT(ADDRESS(2,11,1,,K$3)):INDIRECT(ADDRESS(25,playercnt+10,1,,K$3)),24),"")</f>
        <v>5</v>
      </c>
      <c r="L17" s="46">
        <f ca="1">IF($D$2&gt;=(COLUMN()-10),HLOOKUP($B17,INDIRECT(ADDRESS(2,11,1,,L$3)):INDIRECT(ADDRESS(25,playercnt+10,1,,L$3)),24),"")</f>
        <v>8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5</v>
      </c>
      <c r="O17" s="46">
        <f ca="1">IF($D$2&gt;=(COLUMN()-10),HLOOKUP($B17,INDIRECT(ADDRESS(2,11,1,,O$3)):INDIRECT(ADDRESS(25,playercnt+10,1,,O$3)),24),"")</f>
        <v>5</v>
      </c>
      <c r="P17" s="46">
        <f ca="1">IF($D$2&gt;=(COLUMN()-10),HLOOKUP($B17,INDIRECT(ADDRESS(2,11,1,,P$3)):INDIRECT(ADDRESS(25,playercnt+10,1,,P$3)),24),"")</f>
        <v>6</v>
      </c>
      <c r="Q17" s="46">
        <f ca="1">IF($D$2&gt;=(COLUMN()-10),HLOOKUP($B17,INDIRECT(ADDRESS(2,11,1,,Q$3)):INDIRECT(ADDRESS(25,playercnt+10,1,,Q$3)),24),"")</f>
        <v>4</v>
      </c>
      <c r="R17" s="46">
        <f ca="1">IF($D$2&gt;=(COLUMN()-10),HLOOKUP($B17,INDIRECT(ADDRESS(2,11,1,,R$3)):INDIRECT(ADDRESS(25,playercnt+10,1,,R$3)),24),"")</f>
        <v>4</v>
      </c>
      <c r="S17" s="46">
        <f ca="1">IF($D$2&gt;=(COLUMN()-10),HLOOKUP($B17,INDIRECT(ADDRESS(2,11,1,,S$3)):INDIRECT(ADDRESS(25,playercnt+10,1,,S$3)),24),"")</f>
        <v>4</v>
      </c>
      <c r="T17" s="46" t="str">
        <f ca="1">IF($D$2&gt;=(COLUMN()-10),HLOOKUP($B17,INDIRECT(ADDRESS(2,11,1,,T$3)):INDIRECT(ADDRESS(25,playercnt+10,1,,T$3)),24),"")</f>
        <v/>
      </c>
      <c r="U17" s="46" t="str">
        <f ca="1">IF($D$2&gt;=(COLUMN()-10),HLOOKUP($B17,INDIRECT(ADDRESS(2,11,1,,U$3)):INDIRECT(ADDRESS(25,playercnt+10,1,,U$3)),24),"")</f>
        <v/>
      </c>
      <c r="V17" s="46" t="str">
        <f ca="1">IF($D$2&gt;=(COLUMN()-10),HLOOKUP($B17,INDIRECT(ADDRESS(2,11,1,,V$3)):INDIRECT(ADDRESS(25,playercnt+10,1,,V$3)),24),"")</f>
        <v/>
      </c>
      <c r="W17" s="46" t="str">
        <f ca="1">IF($D$2&gt;=(COLUMN()-10),HLOOKUP($B17,INDIRECT(ADDRESS(2,11,1,,W$3)):INDIRECT(ADDRESS(25,playercnt+10,1,,W$3)),24),"")</f>
        <v/>
      </c>
      <c r="X17" s="14">
        <v>33</v>
      </c>
      <c r="Y17" s="14">
        <f t="shared" si="16"/>
        <v>10</v>
      </c>
    </row>
    <row r="18" spans="1:25" x14ac:dyDescent="0.2">
      <c r="A18" s="83">
        <f t="shared" si="7"/>
        <v>9</v>
      </c>
      <c r="B18" s="39" t="str">
        <f t="shared" ca="1" si="8"/>
        <v>Neill, Charles H</v>
      </c>
      <c r="C18" s="40">
        <f t="shared" ca="1" si="9"/>
        <v>1</v>
      </c>
      <c r="D18" s="40">
        <f t="shared" si="10"/>
        <v>47</v>
      </c>
      <c r="E18" s="25">
        <f t="shared" si="11"/>
        <v>0.52222222222222225</v>
      </c>
      <c r="F18" s="11">
        <f t="shared" si="12"/>
        <v>7</v>
      </c>
      <c r="G18" s="43">
        <v>10</v>
      </c>
      <c r="H18" s="20">
        <f t="shared" si="13"/>
        <v>1</v>
      </c>
      <c r="I18" s="17">
        <f t="shared" ca="1" si="14"/>
        <v>9</v>
      </c>
      <c r="J18" s="17">
        <f t="shared" ca="1" si="15"/>
        <v>2</v>
      </c>
      <c r="K18" s="46">
        <f ca="1">IF($D$2&gt;=(COLUMN()-10),HLOOKUP($B18,INDIRECT(ADDRESS(2,11,1,,K$3)):INDIRECT(ADDRESS(25,playercnt+10,1,,K$3)),24),"")</f>
        <v>9</v>
      </c>
      <c r="L18" s="46">
        <f ca="1">IF($D$2&gt;=(COLUMN()-10),HLOOKUP($B18,INDIRECT(ADDRESS(2,11,1,,L$3)):INDIRECT(ADDRESS(25,playercnt+10,1,,L$3)),24),"")</f>
        <v>2</v>
      </c>
      <c r="M18" s="46">
        <f ca="1">IF($D$2&gt;=(COLUMN()-10),HLOOKUP($B18,INDIRECT(ADDRESS(2,11,1,,M$3)):INDIRECT(ADDRESS(25,playercnt+10,1,,M$3)),24),"")</f>
        <v>7</v>
      </c>
      <c r="N18" s="46">
        <f ca="1">IF($D$2&gt;=(COLUMN()-10),HLOOKUP($B18,INDIRECT(ADDRESS(2,11,1,,N$3)):INDIRECT(ADDRESS(25,playercnt+10,1,,N$3)),24),"")</f>
        <v>3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5</v>
      </c>
      <c r="Q18" s="46">
        <f ca="1">IF($D$2&gt;=(COLUMN()-10),HLOOKUP($B18,INDIRECT(ADDRESS(2,11,1,,Q$3)):INDIRECT(ADDRESS(25,playercnt+10,1,,Q$3)),24),"")</f>
        <v>5</v>
      </c>
      <c r="R18" s="46">
        <f ca="1">IF($D$2&gt;=(COLUMN()-10),HLOOKUP($B18,INDIRECT(ADDRESS(2,11,1,,R$3)):INDIRECT(ADDRESS(25,playercnt+10,1,,R$3)),24),"")</f>
        <v>6</v>
      </c>
      <c r="S18" s="46">
        <f ca="1">IF($D$2&gt;=(COLUMN()-10),HLOOKUP($B18,INDIRECT(ADDRESS(2,11,1,,S$3)):INDIRECT(ADDRESS(25,playercnt+10,1,,S$3)),24),"")</f>
        <v>4</v>
      </c>
      <c r="T18" s="46" t="str">
        <f ca="1">IF($D$2&gt;=(COLUMN()-10),HLOOKUP($B18,INDIRECT(ADDRESS(2,11,1,,T$3)):INDIRECT(ADDRESS(25,playercnt+10,1,,T$3)),24),"")</f>
        <v/>
      </c>
      <c r="U18" s="46" t="str">
        <f ca="1">IF($D$2&gt;=(COLUMN()-10),HLOOKUP($B18,INDIRECT(ADDRESS(2,11,1,,U$3)):INDIRECT(ADDRESS(25,playercnt+10,1,,U$3)),24),"")</f>
        <v/>
      </c>
      <c r="V18" s="46" t="str">
        <f ca="1">IF($D$2&gt;=(COLUMN()-10),HLOOKUP($B18,INDIRECT(ADDRESS(2,11,1,,V$3)):INDIRECT(ADDRESS(25,playercnt+10,1,,V$3)),24),"")</f>
        <v/>
      </c>
      <c r="W18" s="46" t="str">
        <f ca="1">IF($D$2&gt;=(COLUMN()-10),HLOOKUP($B18,INDIRECT(ADDRESS(2,11,1,,W$3)):INDIRECT(ADDRESS(25,playercnt+10,1,,W$3)),24),"")</f>
        <v/>
      </c>
      <c r="X18" s="47">
        <v>35</v>
      </c>
      <c r="Y18" s="14">
        <f t="shared" si="16"/>
        <v>11</v>
      </c>
    </row>
    <row r="19" spans="1:25" x14ac:dyDescent="0.2">
      <c r="A19" s="83">
        <f t="shared" si="7"/>
        <v>12</v>
      </c>
      <c r="B19" s="39" t="str">
        <f t="shared" ca="1" si="8"/>
        <v>Edwards, Christopher S</v>
      </c>
      <c r="C19" s="40">
        <f t="shared" ca="1" si="9"/>
        <v>0</v>
      </c>
      <c r="D19" s="40">
        <f t="shared" si="10"/>
        <v>46</v>
      </c>
      <c r="E19" s="25">
        <f t="shared" si="11"/>
        <v>0.51111111111111107</v>
      </c>
      <c r="F19" s="11">
        <f t="shared" si="12"/>
        <v>8</v>
      </c>
      <c r="G19" s="16">
        <v>7</v>
      </c>
      <c r="H19" s="20">
        <f t="shared" si="13"/>
        <v>-5</v>
      </c>
      <c r="I19" s="17">
        <f t="shared" ca="1" si="14"/>
        <v>7</v>
      </c>
      <c r="J19" s="17">
        <f t="shared" ca="1" si="15"/>
        <v>2</v>
      </c>
      <c r="K19" s="46">
        <f ca="1">IF($D$2&gt;=(COLUMN()-10),HLOOKUP($B19,INDIRECT(ADDRESS(2,11,1,,K$3)):INDIRECT(ADDRESS(25,playercnt+10,1,,K$3)),24),"")</f>
        <v>5</v>
      </c>
      <c r="L19" s="46">
        <f ca="1">IF($D$2&gt;=(COLUMN()-10),HLOOKUP($B19,INDIRECT(ADDRESS(2,11,1,,L$3)):INDIRECT(ADDRESS(25,playercnt+10,1,,L$3)),24),"")</f>
        <v>5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7</v>
      </c>
      <c r="O19" s="46">
        <f ca="1">IF($D$2&gt;=(COLUMN()-10),HLOOKUP($B19,INDIRECT(ADDRESS(2,11,1,,O$3)):INDIRECT(ADDRESS(25,playercnt+10,1,,O$3)),24),"")</f>
        <v>4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6</v>
      </c>
      <c r="R19" s="46">
        <f ca="1">IF($D$2&gt;=(COLUMN()-10),HLOOKUP($B19,INDIRECT(ADDRESS(2,11,1,,R$3)):INDIRECT(ADDRESS(25,playercnt+10,1,,R$3)),24),"")</f>
        <v>6</v>
      </c>
      <c r="S19" s="46">
        <f ca="1">IF($D$2&gt;=(COLUMN()-10),HLOOKUP($B19,INDIRECT(ADDRESS(2,11,1,,S$3)):INDIRECT(ADDRESS(25,playercnt+10,1,,S$3)),24),"")</f>
        <v>2</v>
      </c>
      <c r="T19" s="46" t="str">
        <f ca="1">IF($D$2&gt;=(COLUMN()-10),HLOOKUP($B19,INDIRECT(ADDRESS(2,11,1,,T$3)):INDIRECT(ADDRESS(25,playercnt+10,1,,T$3)),24),"")</f>
        <v/>
      </c>
      <c r="U19" s="46" t="str">
        <f ca="1">IF($D$2&gt;=(COLUMN()-10),HLOOKUP($B19,INDIRECT(ADDRESS(2,11,1,,U$3)):INDIRECT(ADDRESS(25,playercnt+10,1,,U$3)),24),"")</f>
        <v/>
      </c>
      <c r="V19" s="46" t="str">
        <f ca="1">IF($D$2&gt;=(COLUMN()-10),HLOOKUP($B19,INDIRECT(ADDRESS(2,11,1,,V$3)):INDIRECT(ADDRESS(25,playercnt+10,1,,V$3)),24),"")</f>
        <v/>
      </c>
      <c r="W19" s="46" t="str">
        <f ca="1">IF($D$2&gt;=(COLUMN()-10),HLOOKUP($B19,INDIRECT(ADDRESS(2,11,1,,W$3)):INDIRECT(ADDRESS(25,playercnt+10,1,,W$3)),24),"")</f>
        <v/>
      </c>
      <c r="X19" s="14">
        <v>13</v>
      </c>
      <c r="Y19" s="14">
        <f t="shared" si="16"/>
        <v>12</v>
      </c>
    </row>
    <row r="20" spans="1:25" x14ac:dyDescent="0.2">
      <c r="A20" s="83">
        <f t="shared" si="7"/>
        <v>12</v>
      </c>
      <c r="B20" s="39" t="str">
        <f t="shared" ca="1" si="8"/>
        <v>Reams, Byron L</v>
      </c>
      <c r="C20" s="40">
        <f t="shared" ca="1" si="9"/>
        <v>0</v>
      </c>
      <c r="D20" s="40">
        <f t="shared" si="10"/>
        <v>46</v>
      </c>
      <c r="E20" s="25">
        <f t="shared" si="11"/>
        <v>0.51111111111111107</v>
      </c>
      <c r="F20" s="11">
        <f t="shared" si="12"/>
        <v>8</v>
      </c>
      <c r="G20" s="43">
        <v>14</v>
      </c>
      <c r="H20" s="20">
        <f t="shared" si="13"/>
        <v>2</v>
      </c>
      <c r="I20" s="17">
        <f t="shared" ca="1" si="14"/>
        <v>8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8</v>
      </c>
      <c r="L20" s="46">
        <f ca="1">IF($D$2&gt;=(COLUMN()-10),HLOOKUP($B20,INDIRECT(ADDRESS(2,11,1,,L$3)):INDIRECT(ADDRESS(25,playercnt+10,1,,L$3)),24),"")</f>
        <v>3</v>
      </c>
      <c r="M20" s="46">
        <f ca="1">IF($D$2&gt;=(COLUMN()-10),HLOOKUP($B20,INDIRECT(ADDRESS(2,11,1,,M$3)):INDIRECT(ADDRESS(25,playercnt+10,1,,M$3)),24),"")</f>
        <v>6</v>
      </c>
      <c r="N20" s="46">
        <f ca="1">IF($D$2&gt;=(COLUMN()-10),HLOOKUP($B20,INDIRECT(ADDRESS(2,11,1,,N$3)):INDIRECT(ADDRESS(25,playercnt+10,1,,N$3)),24),"")</f>
        <v>6</v>
      </c>
      <c r="O20" s="46">
        <f ca="1">IF($D$2&gt;=(COLUMN()-10),HLOOKUP($B20,INDIRECT(ADDRESS(2,11,1,,O$3)):INDIRECT(ADDRESS(25,playercnt+10,1,,O$3)),24),"")</f>
        <v>2</v>
      </c>
      <c r="P20" s="46">
        <f ca="1">IF($D$2&gt;=(COLUMN()-10),HLOOKUP($B20,INDIRECT(ADDRESS(2,11,1,,P$3)):INDIRECT(ADDRESS(25,playercnt+10,1,,P$3)),24),"")</f>
        <v>6</v>
      </c>
      <c r="Q20" s="46">
        <f ca="1">IF($D$2&gt;=(COLUMN()-10),HLOOKUP($B20,INDIRECT(ADDRESS(2,11,1,,Q$3)):INDIRECT(ADDRESS(25,playercnt+10,1,,Q$3)),24),"")</f>
        <v>6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4</v>
      </c>
      <c r="T20" s="46" t="str">
        <f ca="1">IF($D$2&gt;=(COLUMN()-10),HLOOKUP($B20,INDIRECT(ADDRESS(2,11,1,,T$3)):INDIRECT(ADDRESS(25,playercnt+10,1,,T$3)),24),"")</f>
        <v/>
      </c>
      <c r="U20" s="46" t="str">
        <f ca="1">IF($D$2&gt;=(COLUMN()-10),HLOOKUP($B20,INDIRECT(ADDRESS(2,11,1,,U$3)):INDIRECT(ADDRESS(25,playercnt+10,1,,U$3)),24),"")</f>
        <v/>
      </c>
      <c r="V20" s="46" t="str">
        <f ca="1">IF($D$2&gt;=(COLUMN()-10),HLOOKUP($B20,INDIRECT(ADDRESS(2,11,1,,V$3)):INDIRECT(ADDRESS(25,playercnt+10,1,,V$3)),24),"")</f>
        <v/>
      </c>
      <c r="W20" s="46" t="str">
        <f ca="1">IF($D$2&gt;=(COLUMN()-10),HLOOKUP($B20,INDIRECT(ADDRESS(2,11,1,,W$3)):INDIRECT(ADDRESS(25,playercnt+10,1,,W$3)),24),"")</f>
        <v/>
      </c>
      <c r="X20" s="47">
        <v>40</v>
      </c>
      <c r="Y20" s="14">
        <f t="shared" si="16"/>
        <v>13</v>
      </c>
    </row>
    <row r="21" spans="1:25" x14ac:dyDescent="0.2">
      <c r="A21" s="83">
        <f t="shared" si="7"/>
        <v>12</v>
      </c>
      <c r="B21" s="39" t="str">
        <f t="shared" ca="1" si="8"/>
        <v>Sams, David</v>
      </c>
      <c r="C21" s="40">
        <f t="shared" ca="1" si="9"/>
        <v>0</v>
      </c>
      <c r="D21" s="40">
        <f t="shared" si="10"/>
        <v>46</v>
      </c>
      <c r="E21" s="25">
        <f t="shared" si="11"/>
        <v>0.51111111111111107</v>
      </c>
      <c r="F21" s="11">
        <f t="shared" si="12"/>
        <v>8</v>
      </c>
      <c r="G21" s="16">
        <v>28</v>
      </c>
      <c r="H21" s="20">
        <f t="shared" si="13"/>
        <v>16</v>
      </c>
      <c r="I21" s="17">
        <f t="shared" ca="1" si="14"/>
        <v>7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5</v>
      </c>
      <c r="L21" s="46">
        <f ca="1">IF($D$2&gt;=(COLUMN()-10),HLOOKUP($B21,INDIRECT(ADDRESS(2,11,1,,L$3)):INDIRECT(ADDRESS(25,playercnt+10,1,,L$3)),24),"")</f>
        <v>4</v>
      </c>
      <c r="M21" s="46">
        <f ca="1">IF($D$2&gt;=(COLUMN()-10),HLOOKUP($B21,INDIRECT(ADDRESS(2,11,1,,M$3)):INDIRECT(ADDRESS(25,playercnt+10,1,,M$3)),24),"")</f>
        <v>7</v>
      </c>
      <c r="N21" s="46">
        <f ca="1">IF($D$2&gt;=(COLUMN()-10),HLOOKUP($B21,INDIRECT(ADDRESS(2,11,1,,N$3)):INDIRECT(ADDRESS(25,playercnt+10,1,,N$3)),24),"")</f>
        <v>7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4</v>
      </c>
      <c r="Q21" s="46">
        <f ca="1">IF($D$2&gt;=(COLUMN()-10),HLOOKUP($B21,INDIRECT(ADDRESS(2,11,1,,Q$3)):INDIRECT(ADDRESS(25,playercnt+10,1,,Q$3)),24),"")</f>
        <v>3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7</v>
      </c>
      <c r="T21" s="46" t="str">
        <f ca="1">IF($D$2&gt;=(COLUMN()-10),HLOOKUP($B21,INDIRECT(ADDRESS(2,11,1,,T$3)):INDIRECT(ADDRESS(25,playercnt+10,1,,T$3)),24),"")</f>
        <v/>
      </c>
      <c r="U21" s="46" t="str">
        <f ca="1">IF($D$2&gt;=(COLUMN()-10),HLOOKUP($B21,INDIRECT(ADDRESS(2,11,1,,U$3)):INDIRECT(ADDRESS(25,playercnt+10,1,,U$3)),24),"")</f>
        <v/>
      </c>
      <c r="V21" s="46" t="str">
        <f ca="1">IF($D$2&gt;=(COLUMN()-10),HLOOKUP($B21,INDIRECT(ADDRESS(2,11,1,,V$3)):INDIRECT(ADDRESS(25,playercnt+10,1,,V$3)),24),"")</f>
        <v/>
      </c>
      <c r="W21" s="46" t="str">
        <f ca="1">IF($D$2&gt;=(COLUMN()-10),HLOOKUP($B21,INDIRECT(ADDRESS(2,11,1,,W$3)):INDIRECT(ADDRESS(25,playercnt+10,1,,W$3)),24),"")</f>
        <v/>
      </c>
      <c r="X21" s="14">
        <v>44</v>
      </c>
      <c r="Y21" s="14">
        <f t="shared" si="16"/>
        <v>14</v>
      </c>
    </row>
    <row r="22" spans="1:25" x14ac:dyDescent="0.2">
      <c r="A22" s="83">
        <f t="shared" si="7"/>
        <v>15</v>
      </c>
      <c r="B22" s="39" t="str">
        <f t="shared" ca="1" si="8"/>
        <v>Beasley, Tate</v>
      </c>
      <c r="C22" s="40">
        <f t="shared" ca="1" si="9"/>
        <v>0</v>
      </c>
      <c r="D22" s="40">
        <f t="shared" si="10"/>
        <v>45</v>
      </c>
      <c r="E22" s="25">
        <f t="shared" si="11"/>
        <v>0.5</v>
      </c>
      <c r="F22" s="11">
        <f t="shared" si="12"/>
        <v>9</v>
      </c>
      <c r="G22" s="43">
        <v>22</v>
      </c>
      <c r="H22" s="20">
        <f t="shared" si="13"/>
        <v>7</v>
      </c>
      <c r="I22" s="17">
        <f t="shared" ca="1" si="14"/>
        <v>7</v>
      </c>
      <c r="J22" s="17">
        <f t="shared" ca="1" si="15"/>
        <v>0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7</v>
      </c>
      <c r="M22" s="46">
        <f ca="1">IF($D$2&gt;=(COLUMN()-10),HLOOKUP($B22,INDIRECT(ADDRESS(2,11,1,,M$3)):INDIRECT(ADDRESS(25,playercnt+10,1,,M$3)),24),"")</f>
        <v>4</v>
      </c>
      <c r="N22" s="46">
        <f ca="1">IF($D$2&gt;=(COLUMN()-10),HLOOKUP($B22,INDIRECT(ADDRESS(2,11,1,,N$3)):INDIRECT(ADDRESS(25,playercnt+10,1,,N$3)),24),"")</f>
        <v>6</v>
      </c>
      <c r="O22" s="46">
        <f ca="1">IF($D$2&gt;=(COLUMN()-10),HLOOKUP($B22,INDIRECT(ADDRESS(2,11,1,,O$3)):INDIRECT(ADDRESS(25,playercnt+10,1,,O$3)),24),"")</f>
        <v>6</v>
      </c>
      <c r="P22" s="46">
        <f ca="1">IF($D$2&gt;=(COLUMN()-10),HLOOKUP($B22,INDIRECT(ADDRESS(2,11,1,,P$3)):INDIRECT(ADDRESS(25,playercnt+10,1,,P$3)),24),"")</f>
        <v>0</v>
      </c>
      <c r="Q22" s="46">
        <f ca="1">IF($D$2&gt;=(COLUMN()-10),HLOOKUP($B22,INDIRECT(ADDRESS(2,11,1,,Q$3)):INDIRECT(ADDRESS(25,playercnt+10,1,,Q$3)),24),"")</f>
        <v>7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5</v>
      </c>
      <c r="T22" s="46" t="str">
        <f ca="1">IF($D$2&gt;=(COLUMN()-10),HLOOKUP($B22,INDIRECT(ADDRESS(2,11,1,,T$3)):INDIRECT(ADDRESS(25,playercnt+10,1,,T$3)),24),"")</f>
        <v/>
      </c>
      <c r="U22" s="46" t="str">
        <f ca="1">IF($D$2&gt;=(COLUMN()-10),HLOOKUP($B22,INDIRECT(ADDRESS(2,11,1,,U$3)):INDIRECT(ADDRESS(25,playercnt+10,1,,U$3)),24),"")</f>
        <v/>
      </c>
      <c r="V22" s="46" t="str">
        <f ca="1">IF($D$2&gt;=(COLUMN()-10),HLOOKUP($B22,INDIRECT(ADDRESS(2,11,1,,V$3)):INDIRECT(ADDRESS(25,playercnt+10,1,,V$3)),24),"")</f>
        <v/>
      </c>
      <c r="W22" s="46" t="str">
        <f ca="1">IF($D$2&gt;=(COLUMN()-10),HLOOKUP($B22,INDIRECT(ADDRESS(2,11,1,,W$3)):INDIRECT(ADDRESS(25,playercnt+10,1,,W$3)),24),"")</f>
        <v/>
      </c>
      <c r="X22" s="47">
        <v>3</v>
      </c>
      <c r="Y22" s="14">
        <f t="shared" si="16"/>
        <v>15</v>
      </c>
    </row>
    <row r="23" spans="1:25" x14ac:dyDescent="0.2">
      <c r="A23" s="83">
        <f t="shared" si="7"/>
        <v>15</v>
      </c>
      <c r="B23" s="39" t="str">
        <f t="shared" ca="1" si="8"/>
        <v>Carroll, Adam</v>
      </c>
      <c r="C23" s="40">
        <f t="shared" ca="1" si="9"/>
        <v>0</v>
      </c>
      <c r="D23" s="40">
        <f t="shared" si="10"/>
        <v>45</v>
      </c>
      <c r="E23" s="25">
        <f t="shared" si="11"/>
        <v>0.5</v>
      </c>
      <c r="F23" s="11">
        <f t="shared" si="12"/>
        <v>9</v>
      </c>
      <c r="G23" s="16">
        <v>34</v>
      </c>
      <c r="H23" s="20">
        <f t="shared" si="13"/>
        <v>19</v>
      </c>
      <c r="I23" s="17">
        <f t="shared" ca="1" si="14"/>
        <v>8</v>
      </c>
      <c r="J23" s="17">
        <f t="shared" ca="1" si="15"/>
        <v>3</v>
      </c>
      <c r="K23" s="46">
        <f ca="1">IF($D$2&gt;=(COLUMN()-10),HLOOKUP($B23,INDIRECT(ADDRESS(2,11,1,,K$3)):INDIRECT(ADDRESS(25,playercnt+10,1,,K$3)),24),"")</f>
        <v>5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3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5</v>
      </c>
      <c r="Q23" s="46">
        <f ca="1">IF($D$2&gt;=(COLUMN()-10),HLOOKUP($B23,INDIRECT(ADDRESS(2,11,1,,Q$3)):INDIRECT(ADDRESS(25,playercnt+10,1,,Q$3)),24),"")</f>
        <v>4</v>
      </c>
      <c r="R23" s="46">
        <f ca="1">IF($D$2&gt;=(COLUMN()-10),HLOOKUP($B23,INDIRECT(ADDRESS(2,11,1,,R$3)):INDIRECT(ADDRESS(25,playercnt+10,1,,R$3)),24),"")</f>
        <v>8</v>
      </c>
      <c r="S23" s="46">
        <f ca="1">IF($D$2&gt;=(COLUMN()-10),HLOOKUP($B23,INDIRECT(ADDRESS(2,11,1,,S$3)):INDIRECT(ADDRESS(25,playercnt+10,1,,S$3)),24),"")</f>
        <v>7</v>
      </c>
      <c r="T23" s="46" t="str">
        <f ca="1">IF($D$2&gt;=(COLUMN()-10),HLOOKUP($B23,INDIRECT(ADDRESS(2,11,1,,T$3)):INDIRECT(ADDRESS(25,playercnt+10,1,,T$3)),24),"")</f>
        <v/>
      </c>
      <c r="U23" s="46" t="str">
        <f ca="1">IF($D$2&gt;=(COLUMN()-10),HLOOKUP($B23,INDIRECT(ADDRESS(2,11,1,,U$3)):INDIRECT(ADDRESS(25,playercnt+10,1,,U$3)),24),"")</f>
        <v/>
      </c>
      <c r="V23" s="46" t="str">
        <f ca="1">IF($D$2&gt;=(COLUMN()-10),HLOOKUP($B23,INDIRECT(ADDRESS(2,11,1,,V$3)):INDIRECT(ADDRESS(25,playercnt+10,1,,V$3)),24),"")</f>
        <v/>
      </c>
      <c r="W23" s="46" t="str">
        <f ca="1">IF($D$2&gt;=(COLUMN()-10),HLOOKUP($B23,INDIRECT(ADDRESS(2,11,1,,W$3)):INDIRECT(ADDRESS(25,playercnt+10,1,,W$3)),24),"")</f>
        <v/>
      </c>
      <c r="X23" s="14">
        <v>6</v>
      </c>
      <c r="Y23" s="14">
        <f t="shared" si="16"/>
        <v>16</v>
      </c>
    </row>
    <row r="24" spans="1:25" x14ac:dyDescent="0.2">
      <c r="A24" s="83">
        <f t="shared" si="7"/>
        <v>15</v>
      </c>
      <c r="B24" s="39" t="str">
        <f t="shared" ca="1" si="8"/>
        <v>Drebin, James</v>
      </c>
      <c r="C24" s="40">
        <f t="shared" ca="1" si="9"/>
        <v>0</v>
      </c>
      <c r="D24" s="40">
        <f t="shared" si="10"/>
        <v>45</v>
      </c>
      <c r="E24" s="25">
        <f t="shared" si="11"/>
        <v>0.5</v>
      </c>
      <c r="F24" s="11">
        <f t="shared" si="12"/>
        <v>9</v>
      </c>
      <c r="G24" s="43">
        <v>17</v>
      </c>
      <c r="H24" s="20">
        <f t="shared" si="13"/>
        <v>2</v>
      </c>
      <c r="I24" s="17">
        <f t="shared" ca="1" si="14"/>
        <v>6</v>
      </c>
      <c r="J24" s="17">
        <f t="shared" ca="1" si="15"/>
        <v>3</v>
      </c>
      <c r="K24" s="46">
        <f ca="1">IF($D$2&gt;=(COLUMN()-10),HLOOKUP($B24,INDIRECT(ADDRESS(2,11,1,,K$3)):INDIRECT(ADDRESS(25,playercnt+10,1,,K$3)),24),"")</f>
        <v>6</v>
      </c>
      <c r="L24" s="46">
        <f ca="1">IF($D$2&gt;=(COLUMN()-10),HLOOKUP($B24,INDIRECT(ADDRESS(2,11,1,,L$3)):INDIRECT(ADDRESS(25,playercnt+10,1,,L$3)),24),"")</f>
        <v>6</v>
      </c>
      <c r="M24" s="46">
        <f ca="1">IF($D$2&gt;=(COLUMN()-10),HLOOKUP($B24,INDIRECT(ADDRESS(2,11,1,,M$3)):INDIRECT(ADDRESS(25,playercnt+10,1,,M$3)),24),"")</f>
        <v>5</v>
      </c>
      <c r="N24" s="46">
        <f ca="1">IF($D$2&gt;=(COLUMN()-10),HLOOKUP($B24,INDIRECT(ADDRESS(2,11,1,,N$3)):INDIRECT(ADDRESS(25,playercnt+10,1,,N$3)),24),"")</f>
        <v>3</v>
      </c>
      <c r="O24" s="46">
        <f ca="1">IF($D$2&gt;=(COLUMN()-10),HLOOKUP($B24,INDIRECT(ADDRESS(2,11,1,,O$3)):INDIRECT(ADDRESS(25,playercnt+10,1,,O$3)),24),"")</f>
        <v>5</v>
      </c>
      <c r="P24" s="46">
        <f ca="1">IF($D$2&gt;=(COLUMN()-10),HLOOKUP($B24,INDIRECT(ADDRESS(2,11,1,,P$3)):INDIRECT(ADDRESS(25,playercnt+10,1,,P$3)),24),"")</f>
        <v>5</v>
      </c>
      <c r="Q24" s="46">
        <f ca="1">IF($D$2&gt;=(COLUMN()-10),HLOOKUP($B24,INDIRECT(ADDRESS(2,11,1,,Q$3)):INDIRECT(ADDRESS(25,playercnt+10,1,,Q$3)),24),"")</f>
        <v>6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 t="str">
        <f ca="1">IF($D$2&gt;=(COLUMN()-10),HLOOKUP($B24,INDIRECT(ADDRESS(2,11,1,,T$3)):INDIRECT(ADDRESS(25,playercnt+10,1,,T$3)),24),"")</f>
        <v/>
      </c>
      <c r="U24" s="46" t="str">
        <f ca="1">IF($D$2&gt;=(COLUMN()-10),HLOOKUP($B24,INDIRECT(ADDRESS(2,11,1,,U$3)):INDIRECT(ADDRESS(25,playercnt+10,1,,U$3)),24),"")</f>
        <v/>
      </c>
      <c r="V24" s="46" t="str">
        <f ca="1">IF($D$2&gt;=(COLUMN()-10),HLOOKUP($B24,INDIRECT(ADDRESS(2,11,1,,V$3)):INDIRECT(ADDRESS(25,playercnt+10,1,,V$3)),24),"")</f>
        <v/>
      </c>
      <c r="W24" s="46" t="str">
        <f ca="1">IF($D$2&gt;=(COLUMN()-10),HLOOKUP($B24,INDIRECT(ADDRESS(2,11,1,,W$3)):INDIRECT(ADDRESS(25,playercnt+10,1,,W$3)),24),"")</f>
        <v/>
      </c>
      <c r="X24" s="47">
        <v>12</v>
      </c>
      <c r="Y24" s="14">
        <f t="shared" si="16"/>
        <v>17</v>
      </c>
    </row>
    <row r="25" spans="1:25" x14ac:dyDescent="0.2">
      <c r="A25" s="83">
        <f t="shared" si="7"/>
        <v>15</v>
      </c>
      <c r="B25" s="39" t="str">
        <f t="shared" ca="1" si="8"/>
        <v>Neeley, Michael Remote</v>
      </c>
      <c r="C25" s="40">
        <f t="shared" ca="1" si="9"/>
        <v>0</v>
      </c>
      <c r="D25" s="40">
        <f t="shared" si="10"/>
        <v>45</v>
      </c>
      <c r="E25" s="25">
        <f t="shared" si="11"/>
        <v>0.5</v>
      </c>
      <c r="F25" s="11">
        <f t="shared" si="12"/>
        <v>9</v>
      </c>
      <c r="G25" s="16">
        <v>10</v>
      </c>
      <c r="H25" s="20">
        <f t="shared" si="13"/>
        <v>-5</v>
      </c>
      <c r="I25" s="17">
        <f t="shared" ca="1" si="14"/>
        <v>7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3</v>
      </c>
      <c r="L25" s="46">
        <f ca="1">IF($D$2&gt;=(COLUMN()-10),HLOOKUP($B25,INDIRECT(ADDRESS(2,11,1,,L$3)):INDIRECT(ADDRESS(25,playercnt+10,1,,L$3)),24),"")</f>
        <v>6</v>
      </c>
      <c r="M25" s="46">
        <f ca="1">IF($D$2&gt;=(COLUMN()-10),HLOOKUP($B25,INDIRECT(ADDRESS(2,11,1,,M$3)):INDIRECT(ADDRESS(25,playercnt+10,1,,M$3)),24),"")</f>
        <v>7</v>
      </c>
      <c r="N25" s="46">
        <f ca="1">IF($D$2&gt;=(COLUMN()-10),HLOOKUP($B25,INDIRECT(ADDRESS(2,11,1,,N$3)):INDIRECT(ADDRESS(25,playercnt+10,1,,N$3)),24),"")</f>
        <v>3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7</v>
      </c>
      <c r="R25" s="46">
        <f ca="1">IF($D$2&gt;=(COLUMN()-10),HLOOKUP($B25,INDIRECT(ADDRESS(2,11,1,,R$3)):INDIRECT(ADDRESS(25,playercnt+10,1,,R$3)),24),"")</f>
        <v>7</v>
      </c>
      <c r="S25" s="46">
        <f ca="1">IF($D$2&gt;=(COLUMN()-10),HLOOKUP($B25,INDIRECT(ADDRESS(2,11,1,,S$3)):INDIRECT(ADDRESS(25,playercnt+10,1,,S$3)),24),"")</f>
        <v>2</v>
      </c>
      <c r="T25" s="46" t="str">
        <f ca="1">IF($D$2&gt;=(COLUMN()-10),HLOOKUP($B25,INDIRECT(ADDRESS(2,11,1,,T$3)):INDIRECT(ADDRESS(25,playercnt+10,1,,T$3)),24),"")</f>
        <v/>
      </c>
      <c r="U25" s="46" t="str">
        <f ca="1">IF($D$2&gt;=(COLUMN()-10),HLOOKUP($B25,INDIRECT(ADDRESS(2,11,1,,U$3)):INDIRECT(ADDRESS(25,playercnt+10,1,,U$3)),24),"")</f>
        <v/>
      </c>
      <c r="V25" s="46" t="str">
        <f ca="1">IF($D$2&gt;=(COLUMN()-10),HLOOKUP($B25,INDIRECT(ADDRESS(2,11,1,,V$3)):INDIRECT(ADDRESS(25,playercnt+10,1,,V$3)),24),"")</f>
        <v/>
      </c>
      <c r="W25" s="46" t="str">
        <f ca="1">IF($D$2&gt;=(COLUMN()-10),HLOOKUP($B25,INDIRECT(ADDRESS(2,11,1,,W$3)):INDIRECT(ADDRESS(25,playercnt+10,1,,W$3)),24),"")</f>
        <v/>
      </c>
      <c r="X25" s="14">
        <v>34</v>
      </c>
      <c r="Y25" s="14">
        <f t="shared" si="16"/>
        <v>18</v>
      </c>
    </row>
    <row r="26" spans="1:25" x14ac:dyDescent="0.2">
      <c r="A26" s="83">
        <f t="shared" si="7"/>
        <v>15</v>
      </c>
      <c r="B26" s="39" t="str">
        <f t="shared" ca="1" si="8"/>
        <v>Straw, Adam D</v>
      </c>
      <c r="C26" s="40">
        <f t="shared" ca="1" si="9"/>
        <v>1</v>
      </c>
      <c r="D26" s="40">
        <f t="shared" si="10"/>
        <v>45</v>
      </c>
      <c r="E26" s="25">
        <f t="shared" si="11"/>
        <v>0.5</v>
      </c>
      <c r="F26" s="11">
        <f t="shared" si="12"/>
        <v>9</v>
      </c>
      <c r="G26" s="43">
        <v>5</v>
      </c>
      <c r="H26" s="20">
        <f t="shared" si="13"/>
        <v>-10</v>
      </c>
      <c r="I26" s="17">
        <f t="shared" ca="1" si="14"/>
        <v>8</v>
      </c>
      <c r="J26" s="17">
        <f t="shared" ca="1" si="15"/>
        <v>0</v>
      </c>
      <c r="K26" s="46">
        <f ca="1">IF($D$2&gt;=(COLUMN()-10),HLOOKUP($B26,INDIRECT(ADDRESS(2,11,1,,K$3)):INDIRECT(ADDRESS(25,playercnt+10,1,,K$3)),24),"")</f>
        <v>6</v>
      </c>
      <c r="L26" s="46">
        <f ca="1">IF($D$2&gt;=(COLUMN()-10),HLOOKUP($B26,INDIRECT(ADDRESS(2,11,1,,L$3)):INDIRECT(ADDRESS(25,playercnt+10,1,,L$3)),24),"")</f>
        <v>5</v>
      </c>
      <c r="M26" s="46">
        <f ca="1">IF($D$2&gt;=(COLUMN()-10),HLOOKUP($B26,INDIRECT(ADDRESS(2,11,1,,M$3)):INDIRECT(ADDRESS(25,playercnt+10,1,,M$3)),24),"")</f>
        <v>6</v>
      </c>
      <c r="N26" s="46">
        <f ca="1">IF($D$2&gt;=(COLUMN()-10),HLOOKUP($B26,INDIRECT(ADDRESS(2,11,1,,N$3)):INDIRECT(ADDRESS(25,playercnt+10,1,,N$3)),24),"")</f>
        <v>3</v>
      </c>
      <c r="O26" s="46">
        <f ca="1">IF($D$2&gt;=(COLUMN()-10),HLOOKUP($B26,INDIRECT(ADDRESS(2,11,1,,O$3)):INDIRECT(ADDRESS(25,playercnt+10,1,,O$3)),24),"")</f>
        <v>6</v>
      </c>
      <c r="P26" s="46">
        <f ca="1">IF($D$2&gt;=(COLUMN()-10),HLOOKUP($B26,INDIRECT(ADDRESS(2,11,1,,P$3)):INDIRECT(ADDRESS(25,playercnt+10,1,,P$3)),24),"")</f>
        <v>4</v>
      </c>
      <c r="Q26" s="46">
        <f ca="1">IF($D$2&gt;=(COLUMN()-10),HLOOKUP($B26,INDIRECT(ADDRESS(2,11,1,,Q$3)):INDIRECT(ADDRESS(25,playercnt+10,1,,Q$3)),24),"")</f>
        <v>7</v>
      </c>
      <c r="R26" s="46">
        <f ca="1">IF($D$2&gt;=(COLUMN()-10),HLOOKUP($B26,INDIRECT(ADDRESS(2,11,1,,R$3)):INDIRECT(ADDRESS(25,playercnt+10,1,,R$3)),24),"")</f>
        <v>8</v>
      </c>
      <c r="S26" s="46">
        <f ca="1">IF($D$2&gt;=(COLUMN()-10),HLOOKUP($B26,INDIRECT(ADDRESS(2,11,1,,S$3)):INDIRECT(ADDRESS(25,playercnt+10,1,,S$3)),24),"")</f>
        <v>0</v>
      </c>
      <c r="T26" s="46" t="str">
        <f ca="1">IF($D$2&gt;=(COLUMN()-10),HLOOKUP($B26,INDIRECT(ADDRESS(2,11,1,,T$3)):INDIRECT(ADDRESS(25,playercnt+10,1,,T$3)),24),"")</f>
        <v/>
      </c>
      <c r="U26" s="46" t="str">
        <f ca="1">IF($D$2&gt;=(COLUMN()-10),HLOOKUP($B26,INDIRECT(ADDRESS(2,11,1,,U$3)):INDIRECT(ADDRESS(25,playercnt+10,1,,U$3)),24),"")</f>
        <v/>
      </c>
      <c r="V26" s="46" t="str">
        <f ca="1">IF($D$2&gt;=(COLUMN()-10),HLOOKUP($B26,INDIRECT(ADDRESS(2,11,1,,V$3)):INDIRECT(ADDRESS(25,playercnt+10,1,,V$3)),24),"")</f>
        <v/>
      </c>
      <c r="W26" s="46" t="str">
        <f ca="1">IF($D$2&gt;=(COLUMN()-10),HLOOKUP($B26,INDIRECT(ADDRESS(2,11,1,,W$3)):INDIRECT(ADDRESS(25,playercnt+10,1,,W$3)),24),"")</f>
        <v/>
      </c>
      <c r="X26" s="47">
        <v>50</v>
      </c>
      <c r="Y26" s="14">
        <f t="shared" ref="Y26:Y36" si="17">Y25+1</f>
        <v>19</v>
      </c>
    </row>
    <row r="27" spans="1:25" x14ac:dyDescent="0.2">
      <c r="A27" s="83">
        <f t="shared" si="7"/>
        <v>20</v>
      </c>
      <c r="B27" s="39" t="str">
        <f t="shared" ca="1" si="8"/>
        <v>Aaron, Chip</v>
      </c>
      <c r="C27" s="40">
        <f t="shared" ca="1" si="9"/>
        <v>1</v>
      </c>
      <c r="D27" s="40">
        <f t="shared" si="10"/>
        <v>44</v>
      </c>
      <c r="E27" s="25">
        <f t="shared" si="11"/>
        <v>0.48888888888888887</v>
      </c>
      <c r="F27" s="11">
        <f t="shared" si="12"/>
        <v>10</v>
      </c>
      <c r="G27" s="16">
        <v>17</v>
      </c>
      <c r="H27" s="20">
        <f t="shared" si="13"/>
        <v>-3</v>
      </c>
      <c r="I27" s="17">
        <f t="shared" ca="1" si="14"/>
        <v>8</v>
      </c>
      <c r="J27" s="17">
        <f t="shared" ca="1" si="15"/>
        <v>3</v>
      </c>
      <c r="K27" s="46">
        <f ca="1">IF($D$2&gt;=(COLUMN()-10),HLOOKUP($B27,INDIRECT(ADDRESS(2,11,1,,K$3)):INDIRECT(ADDRESS(25,playercnt+10,1,,K$3)),24),"")</f>
        <v>6</v>
      </c>
      <c r="L27" s="46">
        <f ca="1">IF($D$2&gt;=(COLUMN()-10),HLOOKUP($B27,INDIRECT(ADDRESS(2,11,1,,L$3)):INDIRECT(ADDRESS(25,playercnt+10,1,,L$3)),24),"")</f>
        <v>3</v>
      </c>
      <c r="M27" s="46">
        <f ca="1">IF($D$2&gt;=(COLUMN()-10),HLOOKUP($B27,INDIRECT(ADDRESS(2,11,1,,M$3)):INDIRECT(ADDRESS(25,playercnt+10,1,,M$3)),24),"")</f>
        <v>8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5</v>
      </c>
      <c r="P27" s="46">
        <f ca="1">IF($D$2&gt;=(COLUMN()-10),HLOOKUP($B27,INDIRECT(ADDRESS(2,11,1,,P$3)):INDIRECT(ADDRESS(25,playercnt+10,1,,P$3)),24),"")</f>
        <v>4</v>
      </c>
      <c r="Q27" s="46">
        <f ca="1">IF($D$2&gt;=(COLUMN()-10),HLOOKUP($B27,INDIRECT(ADDRESS(2,11,1,,Q$3)):INDIRECT(ADDRESS(25,playercnt+10,1,,Q$3)),24),"")</f>
        <v>6</v>
      </c>
      <c r="R27" s="46">
        <f ca="1">IF($D$2&gt;=(COLUMN()-10),HLOOKUP($B27,INDIRECT(ADDRESS(2,11,1,,R$3)):INDIRECT(ADDRESS(25,playercnt+10,1,,R$3)),24),"")</f>
        <v>5</v>
      </c>
      <c r="S27" s="46">
        <f ca="1">IF($D$2&gt;=(COLUMN()-10),HLOOKUP($B27,INDIRECT(ADDRESS(2,11,1,,S$3)):INDIRECT(ADDRESS(25,playercnt+10,1,,S$3)),24),"")</f>
        <v>3</v>
      </c>
      <c r="T27" s="46" t="str">
        <f ca="1">IF($D$2&gt;=(COLUMN()-10),HLOOKUP($B27,INDIRECT(ADDRESS(2,11,1,,T$3)):INDIRECT(ADDRESS(25,playercnt+10,1,,T$3)),24),"")</f>
        <v/>
      </c>
      <c r="U27" s="46" t="str">
        <f ca="1">IF($D$2&gt;=(COLUMN()-10),HLOOKUP($B27,INDIRECT(ADDRESS(2,11,1,,U$3)):INDIRECT(ADDRESS(25,playercnt+10,1,,U$3)),24),"")</f>
        <v/>
      </c>
      <c r="V27" s="46" t="str">
        <f ca="1">IF($D$2&gt;=(COLUMN()-10),HLOOKUP($B27,INDIRECT(ADDRESS(2,11,1,,V$3)):INDIRECT(ADDRESS(25,playercnt+10,1,,V$3)),24),"")</f>
        <v/>
      </c>
      <c r="W27" s="46" t="str">
        <f ca="1">IF($D$2&gt;=(COLUMN()-10),HLOOKUP($B27,INDIRECT(ADDRESS(2,11,1,,W$3)):INDIRECT(ADDRESS(25,playercnt+10,1,,W$3)),24),"")</f>
        <v/>
      </c>
      <c r="X27" s="14">
        <v>1</v>
      </c>
      <c r="Y27" s="14">
        <f t="shared" si="17"/>
        <v>20</v>
      </c>
    </row>
    <row r="28" spans="1:25" x14ac:dyDescent="0.2">
      <c r="A28" s="83">
        <f t="shared" si="7"/>
        <v>20</v>
      </c>
      <c r="B28" s="39" t="str">
        <f t="shared" ca="1" si="8"/>
        <v>Delehanty, Kyle T</v>
      </c>
      <c r="C28" s="40">
        <f t="shared" ca="1" si="9"/>
        <v>0</v>
      </c>
      <c r="D28" s="40">
        <f t="shared" si="10"/>
        <v>44</v>
      </c>
      <c r="E28" s="25">
        <f t="shared" si="11"/>
        <v>0.48888888888888887</v>
      </c>
      <c r="F28" s="11">
        <f t="shared" si="12"/>
        <v>10</v>
      </c>
      <c r="G28" s="43">
        <v>28</v>
      </c>
      <c r="H28" s="20">
        <f t="shared" si="13"/>
        <v>8</v>
      </c>
      <c r="I28" s="17">
        <f t="shared" ca="1" si="14"/>
        <v>8</v>
      </c>
      <c r="J28" s="17">
        <f t="shared" ca="1" si="15"/>
        <v>0</v>
      </c>
      <c r="K28" s="46">
        <f ca="1">IF($D$2&gt;=(COLUMN()-10),HLOOKUP($B28,INDIRECT(ADDRESS(2,11,1,,K$3)):INDIRECT(ADDRESS(25,playercnt+10,1,,K$3)),24),"")</f>
        <v>0</v>
      </c>
      <c r="L28" s="46">
        <f ca="1">IF($D$2&gt;=(COLUMN()-10),HLOOKUP($B28,INDIRECT(ADDRESS(2,11,1,,L$3)):INDIRECT(ADDRESS(25,playercnt+10,1,,L$3)),24),"")</f>
        <v>5</v>
      </c>
      <c r="M28" s="46">
        <f ca="1">IF($D$2&gt;=(COLUMN()-10),HLOOKUP($B28,INDIRECT(ADDRESS(2,11,1,,M$3)):INDIRECT(ADDRESS(25,playercnt+10,1,,M$3)),24),"")</f>
        <v>6</v>
      </c>
      <c r="N28" s="46">
        <f ca="1">IF($D$2&gt;=(COLUMN()-10),HLOOKUP($B28,INDIRECT(ADDRESS(2,11,1,,N$3)):INDIRECT(ADDRESS(25,playercnt+10,1,,N$3)),24),"")</f>
        <v>7</v>
      </c>
      <c r="O28" s="46">
        <f ca="1">IF($D$2&gt;=(COLUMN()-10),HLOOKUP($B28,INDIRECT(ADDRESS(2,11,1,,O$3)):INDIRECT(ADDRESS(25,playercnt+10,1,,O$3)),24),"")</f>
        <v>3</v>
      </c>
      <c r="P28" s="46">
        <f ca="1">IF($D$2&gt;=(COLUMN()-10),HLOOKUP($B28,INDIRECT(ADDRESS(2,11,1,,P$3)):INDIRECT(ADDRESS(25,playercnt+10,1,,P$3)),24),"")</f>
        <v>5</v>
      </c>
      <c r="Q28" s="46">
        <f ca="1">IF($D$2&gt;=(COLUMN()-10),HLOOKUP($B28,INDIRECT(ADDRESS(2,11,1,,Q$3)):INDIRECT(ADDRESS(25,playercnt+10,1,,Q$3)),24),"")</f>
        <v>8</v>
      </c>
      <c r="R28" s="46">
        <f ca="1">IF($D$2&gt;=(COLUMN()-10),HLOOKUP($B28,INDIRECT(ADDRESS(2,11,1,,R$3)):INDIRECT(ADDRESS(25,playercnt+10,1,,R$3)),24),"")</f>
        <v>5</v>
      </c>
      <c r="S28" s="46">
        <f ca="1">IF($D$2&gt;=(COLUMN()-10),HLOOKUP($B28,INDIRECT(ADDRESS(2,11,1,,S$3)):INDIRECT(ADDRESS(25,playercnt+10,1,,S$3)),24),"")</f>
        <v>5</v>
      </c>
      <c r="T28" s="46" t="str">
        <f ca="1">IF($D$2&gt;=(COLUMN()-10),HLOOKUP($B28,INDIRECT(ADDRESS(2,11,1,,T$3)):INDIRECT(ADDRESS(25,playercnt+10,1,,T$3)),24),"")</f>
        <v/>
      </c>
      <c r="U28" s="46" t="str">
        <f ca="1">IF($D$2&gt;=(COLUMN()-10),HLOOKUP($B28,INDIRECT(ADDRESS(2,11,1,,U$3)):INDIRECT(ADDRESS(25,playercnt+10,1,,U$3)),24),"")</f>
        <v/>
      </c>
      <c r="V28" s="46" t="str">
        <f ca="1">IF($D$2&gt;=(COLUMN()-10),HLOOKUP($B28,INDIRECT(ADDRESS(2,11,1,,V$3)):INDIRECT(ADDRESS(25,playercnt+10,1,,V$3)),24),"")</f>
        <v/>
      </c>
      <c r="W28" s="46" t="str">
        <f ca="1">IF($D$2&gt;=(COLUMN()-10),HLOOKUP($B28,INDIRECT(ADDRESS(2,11,1,,W$3)):INDIRECT(ADDRESS(25,playercnt+10,1,,W$3)),24),"")</f>
        <v/>
      </c>
      <c r="X28" s="47">
        <v>8</v>
      </c>
      <c r="Y28" s="14">
        <f t="shared" si="17"/>
        <v>21</v>
      </c>
    </row>
    <row r="29" spans="1:25" x14ac:dyDescent="0.2">
      <c r="A29" s="83">
        <f t="shared" si="7"/>
        <v>20</v>
      </c>
      <c r="B29" s="39" t="str">
        <f t="shared" ca="1" si="8"/>
        <v>Marsh, Alexander Remote</v>
      </c>
      <c r="C29" s="40">
        <f t="shared" ca="1" si="9"/>
        <v>1</v>
      </c>
      <c r="D29" s="40">
        <f t="shared" si="10"/>
        <v>44</v>
      </c>
      <c r="E29" s="25">
        <f t="shared" si="11"/>
        <v>0.48888888888888887</v>
      </c>
      <c r="F29" s="11">
        <f t="shared" si="12"/>
        <v>10</v>
      </c>
      <c r="G29" s="16">
        <v>22</v>
      </c>
      <c r="H29" s="20">
        <f t="shared" si="13"/>
        <v>2</v>
      </c>
      <c r="I29" s="17">
        <f t="shared" ca="1" si="14"/>
        <v>9</v>
      </c>
      <c r="J29" s="17">
        <f t="shared" ca="1" si="15"/>
        <v>2</v>
      </c>
      <c r="K29" s="46">
        <f ca="1">IF($D$2&gt;=(COLUMN()-10),HLOOKUP($B29,INDIRECT(ADDRESS(2,11,1,,K$3)):INDIRECT(ADDRESS(25,playercnt+10,1,,K$3)),24),"")</f>
        <v>4</v>
      </c>
      <c r="L29" s="46">
        <f ca="1">IF($D$2&gt;=(COLUMN()-10),HLOOKUP($B29,INDIRECT(ADDRESS(2,11,1,,L$3)):INDIRECT(ADDRESS(25,playercnt+10,1,,L$3)),24),"")</f>
        <v>2</v>
      </c>
      <c r="M29" s="46">
        <f ca="1">IF($D$2&gt;=(COLUMN()-10),HLOOKUP($B29,INDIRECT(ADDRESS(2,11,1,,M$3)):INDIRECT(ADDRESS(25,playercnt+10,1,,M$3)),24),"")</f>
        <v>6</v>
      </c>
      <c r="N29" s="46">
        <f ca="1">IF($D$2&gt;=(COLUMN()-10),HLOOKUP($B29,INDIRECT(ADDRESS(2,11,1,,N$3)):INDIRECT(ADDRESS(25,playercnt+10,1,,N$3)),24),"")</f>
        <v>9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2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5</v>
      </c>
      <c r="S29" s="46">
        <f ca="1">IF($D$2&gt;=(COLUMN()-10),HLOOKUP($B29,INDIRECT(ADDRESS(2,11,1,,S$3)):INDIRECT(ADDRESS(25,playercnt+10,1,,S$3)),24),"")</f>
        <v>4</v>
      </c>
      <c r="T29" s="46" t="str">
        <f ca="1">IF($D$2&gt;=(COLUMN()-10),HLOOKUP($B29,INDIRECT(ADDRESS(2,11,1,,T$3)):INDIRECT(ADDRESS(25,playercnt+10,1,,T$3)),24),"")</f>
        <v/>
      </c>
      <c r="U29" s="46" t="str">
        <f ca="1">IF($D$2&gt;=(COLUMN()-10),HLOOKUP($B29,INDIRECT(ADDRESS(2,11,1,,U$3)):INDIRECT(ADDRESS(25,playercnt+10,1,,U$3)),24),"")</f>
        <v/>
      </c>
      <c r="V29" s="46" t="str">
        <f ca="1">IF($D$2&gt;=(COLUMN()-10),HLOOKUP($B29,INDIRECT(ADDRESS(2,11,1,,V$3)):INDIRECT(ADDRESS(25,playercnt+10,1,,V$3)),24),"")</f>
        <v/>
      </c>
      <c r="W29" s="46" t="str">
        <f ca="1">IF($D$2&gt;=(COLUMN()-10),HLOOKUP($B29,INDIRECT(ADDRESS(2,11,1,,W$3)):INDIRECT(ADDRESS(25,playercnt+10,1,,W$3)),24),"")</f>
        <v/>
      </c>
      <c r="X29" s="14">
        <v>25</v>
      </c>
      <c r="Y29" s="14">
        <f t="shared" si="17"/>
        <v>22</v>
      </c>
    </row>
    <row r="30" spans="1:25" x14ac:dyDescent="0.2">
      <c r="A30" s="83">
        <f t="shared" si="7"/>
        <v>20</v>
      </c>
      <c r="B30" s="39" t="str">
        <f t="shared" ca="1" si="8"/>
        <v>Moore, Kevin B</v>
      </c>
      <c r="C30" s="40">
        <f t="shared" ca="1" si="9"/>
        <v>0</v>
      </c>
      <c r="D30" s="40">
        <f t="shared" si="10"/>
        <v>44</v>
      </c>
      <c r="E30" s="25">
        <f t="shared" si="11"/>
        <v>0.48888888888888887</v>
      </c>
      <c r="F30" s="11">
        <f t="shared" si="12"/>
        <v>10</v>
      </c>
      <c r="G30" s="43">
        <v>22</v>
      </c>
      <c r="H30" s="20">
        <f t="shared" si="13"/>
        <v>2</v>
      </c>
      <c r="I30" s="17">
        <f t="shared" ca="1" si="14"/>
        <v>7</v>
      </c>
      <c r="J30" s="17">
        <f t="shared" ca="1" si="15"/>
        <v>2</v>
      </c>
      <c r="K30" s="46">
        <f ca="1">IF($D$2&gt;=(COLUMN()-10),HLOOKUP($B30,INDIRECT(ADDRESS(2,11,1,,K$3)):INDIRECT(ADDRESS(25,playercnt+10,1,,K$3)),24),"")</f>
        <v>2</v>
      </c>
      <c r="L30" s="46">
        <f ca="1">IF($D$2&gt;=(COLUMN()-10),HLOOKUP($B30,INDIRECT(ADDRESS(2,11,1,,L$3)):INDIRECT(ADDRESS(25,playercnt+10,1,,L$3)),24),"")</f>
        <v>4</v>
      </c>
      <c r="M30" s="46">
        <f ca="1">IF($D$2&gt;=(COLUMN()-10),HLOOKUP($B30,INDIRECT(ADDRESS(2,11,1,,M$3)):INDIRECT(ADDRESS(25,playercnt+10,1,,M$3)),24),"")</f>
        <v>6</v>
      </c>
      <c r="N30" s="46">
        <f ca="1">IF($D$2&gt;=(COLUMN()-10),HLOOKUP($B30,INDIRECT(ADDRESS(2,11,1,,N$3)):INDIRECT(ADDRESS(25,playercnt+10,1,,N$3)),24),"")</f>
        <v>7</v>
      </c>
      <c r="O30" s="46">
        <f ca="1">IF($D$2&gt;=(COLUMN()-10),HLOOKUP($B30,INDIRECT(ADDRESS(2,11,1,,O$3)):INDIRECT(ADDRESS(25,playercnt+10,1,,O$3)),24),"")</f>
        <v>5</v>
      </c>
      <c r="P30" s="46">
        <f ca="1">IF($D$2&gt;=(COLUMN()-10),HLOOKUP($B30,INDIRECT(ADDRESS(2,11,1,,P$3)):INDIRECT(ADDRESS(25,playercnt+10,1,,P$3)),24),"")</f>
        <v>6</v>
      </c>
      <c r="Q30" s="46">
        <f ca="1">IF($D$2&gt;=(COLUMN()-10),HLOOKUP($B30,INDIRECT(ADDRESS(2,11,1,,Q$3)):INDIRECT(ADDRESS(25,playercnt+10,1,,Q$3)),24),"")</f>
        <v>6</v>
      </c>
      <c r="R30" s="46">
        <f ca="1">IF($D$2&gt;=(COLUMN()-10),HLOOKUP($B30,INDIRECT(ADDRESS(2,11,1,,R$3)):INDIRECT(ADDRESS(25,playercnt+10,1,,R$3)),24),"")</f>
        <v>4</v>
      </c>
      <c r="S30" s="46">
        <f ca="1">IF($D$2&gt;=(COLUMN()-10),HLOOKUP($B30,INDIRECT(ADDRESS(2,11,1,,S$3)):INDIRECT(ADDRESS(25,playercnt+10,1,,S$3)),24),"")</f>
        <v>4</v>
      </c>
      <c r="T30" s="46" t="str">
        <f ca="1">IF($D$2&gt;=(COLUMN()-10),HLOOKUP($B30,INDIRECT(ADDRESS(2,11,1,,T$3)):INDIRECT(ADDRESS(25,playercnt+10,1,,T$3)),24),"")</f>
        <v/>
      </c>
      <c r="U30" s="46" t="str">
        <f ca="1">IF($D$2&gt;=(COLUMN()-10),HLOOKUP($B30,INDIRECT(ADDRESS(2,11,1,,U$3)):INDIRECT(ADDRESS(25,playercnt+10,1,,U$3)),24),"")</f>
        <v/>
      </c>
      <c r="V30" s="46" t="str">
        <f ca="1">IF($D$2&gt;=(COLUMN()-10),HLOOKUP($B30,INDIRECT(ADDRESS(2,11,1,,V$3)):INDIRECT(ADDRESS(25,playercnt+10,1,,V$3)),24),"")</f>
        <v/>
      </c>
      <c r="W30" s="46" t="str">
        <f ca="1">IF($D$2&gt;=(COLUMN()-10),HLOOKUP($B30,INDIRECT(ADDRESS(2,11,1,,W$3)):INDIRECT(ADDRESS(25,playercnt+10,1,,W$3)),24),"")</f>
        <v/>
      </c>
      <c r="X30" s="47">
        <v>29</v>
      </c>
      <c r="Y30" s="14">
        <f t="shared" si="17"/>
        <v>23</v>
      </c>
    </row>
    <row r="31" spans="1:25" x14ac:dyDescent="0.2">
      <c r="A31" s="83">
        <f t="shared" si="7"/>
        <v>20</v>
      </c>
      <c r="B31" s="39" t="str">
        <f t="shared" ca="1" si="8"/>
        <v>Murdaugh, Stephen K</v>
      </c>
      <c r="C31" s="40">
        <f t="shared" ca="1" si="9"/>
        <v>0</v>
      </c>
      <c r="D31" s="40">
        <f t="shared" si="10"/>
        <v>44</v>
      </c>
      <c r="E31" s="25">
        <f t="shared" si="11"/>
        <v>0.48888888888888887</v>
      </c>
      <c r="F31" s="11">
        <f t="shared" si="12"/>
        <v>10</v>
      </c>
      <c r="G31" s="16">
        <v>37</v>
      </c>
      <c r="H31" s="20">
        <f t="shared" si="13"/>
        <v>17</v>
      </c>
      <c r="I31" s="17">
        <f t="shared" ca="1" si="14"/>
        <v>7</v>
      </c>
      <c r="J31" s="17">
        <f t="shared" ca="1" si="15"/>
        <v>3</v>
      </c>
      <c r="K31" s="46">
        <f ca="1">IF($D$2&gt;=(COLUMN()-10),HLOOKUP($B31,INDIRECT(ADDRESS(2,11,1,,K$3)):INDIRECT(ADDRESS(25,playercnt+10,1,,K$3)),24),"")</f>
        <v>4</v>
      </c>
      <c r="L31" s="46">
        <f ca="1">IF($D$2&gt;=(COLUMN()-10),HLOOKUP($B31,INDIRECT(ADDRESS(2,11,1,,L$3)):INDIRECT(ADDRESS(25,playercnt+10,1,,L$3)),24),"")</f>
        <v>7</v>
      </c>
      <c r="M31" s="46">
        <f ca="1">IF($D$2&gt;=(COLUMN()-10),HLOOKUP($B31,INDIRECT(ADDRESS(2,11,1,,M$3)):INDIRECT(ADDRESS(25,playercnt+10,1,,M$3)),24),"")</f>
        <v>5</v>
      </c>
      <c r="N31" s="46">
        <f ca="1">IF($D$2&gt;=(COLUMN()-10),HLOOKUP($B31,INDIRECT(ADDRESS(2,11,1,,N$3)):INDIRECT(ADDRESS(25,playercnt+10,1,,N$3)),24),"")</f>
        <v>5</v>
      </c>
      <c r="O31" s="46">
        <f ca="1">IF($D$2&gt;=(COLUMN()-10),HLOOKUP($B31,INDIRECT(ADDRESS(2,11,1,,O$3)):INDIRECT(ADDRESS(25,playercnt+10,1,,O$3)),24),"")</f>
        <v>3</v>
      </c>
      <c r="P31" s="46">
        <f ca="1">IF($D$2&gt;=(COLUMN()-10),HLOOKUP($B31,INDIRECT(ADDRESS(2,11,1,,P$3)):INDIRECT(ADDRESS(25,playercnt+10,1,,P$3)),24),"")</f>
        <v>4</v>
      </c>
      <c r="Q31" s="46">
        <f ca="1">IF($D$2&gt;=(COLUMN()-10),HLOOKUP($B31,INDIRECT(ADDRESS(2,11,1,,Q$3)):INDIRECT(ADDRESS(25,playercnt+10,1,,Q$3)),24),"")</f>
        <v>5</v>
      </c>
      <c r="R31" s="46">
        <f ca="1">IF($D$2&gt;=(COLUMN()-10),HLOOKUP($B31,INDIRECT(ADDRESS(2,11,1,,R$3)):INDIRECT(ADDRESS(25,playercnt+10,1,,R$3)),24),"")</f>
        <v>4</v>
      </c>
      <c r="S31" s="46">
        <f ca="1">IF($D$2&gt;=(COLUMN()-10),HLOOKUP($B31,INDIRECT(ADDRESS(2,11,1,,S$3)):INDIRECT(ADDRESS(25,playercnt+10,1,,S$3)),24),"")</f>
        <v>7</v>
      </c>
      <c r="T31" s="46" t="str">
        <f ca="1">IF($D$2&gt;=(COLUMN()-10),HLOOKUP($B31,INDIRECT(ADDRESS(2,11,1,,T$3)):INDIRECT(ADDRESS(25,playercnt+10,1,,T$3)),24),"")</f>
        <v/>
      </c>
      <c r="U31" s="46" t="str">
        <f ca="1">IF($D$2&gt;=(COLUMN()-10),HLOOKUP($B31,INDIRECT(ADDRESS(2,11,1,,U$3)):INDIRECT(ADDRESS(25,playercnt+10,1,,U$3)),24),"")</f>
        <v/>
      </c>
      <c r="V31" s="46" t="str">
        <f ca="1">IF($D$2&gt;=(COLUMN()-10),HLOOKUP($B31,INDIRECT(ADDRESS(2,11,1,,V$3)):INDIRECT(ADDRESS(25,playercnt+10,1,,V$3)),24),"")</f>
        <v/>
      </c>
      <c r="W31" s="46" t="str">
        <f ca="1">IF($D$2&gt;=(COLUMN()-10),HLOOKUP($B31,INDIRECT(ADDRESS(2,11,1,,W$3)):INDIRECT(ADDRESS(25,playercnt+10,1,,W$3)),24),"")</f>
        <v/>
      </c>
      <c r="X31" s="14">
        <v>30</v>
      </c>
      <c r="Y31" s="14">
        <f t="shared" si="17"/>
        <v>24</v>
      </c>
    </row>
    <row r="32" spans="1:25" x14ac:dyDescent="0.2">
      <c r="A32" s="83">
        <f t="shared" si="7"/>
        <v>20</v>
      </c>
      <c r="B32" s="39" t="str">
        <f t="shared" ca="1" si="8"/>
        <v>Paul, Wilmaison</v>
      </c>
      <c r="C32" s="40">
        <f t="shared" ca="1" si="9"/>
        <v>0</v>
      </c>
      <c r="D32" s="40">
        <f t="shared" si="10"/>
        <v>44</v>
      </c>
      <c r="E32" s="25">
        <f t="shared" si="11"/>
        <v>0.48888888888888887</v>
      </c>
      <c r="F32" s="11">
        <f t="shared" si="12"/>
        <v>10</v>
      </c>
      <c r="G32" s="43">
        <v>17</v>
      </c>
      <c r="H32" s="20">
        <f t="shared" si="13"/>
        <v>-3</v>
      </c>
      <c r="I32" s="17">
        <f t="shared" ca="1" si="14"/>
        <v>7</v>
      </c>
      <c r="J32" s="17">
        <f t="shared" ca="1" si="15"/>
        <v>3</v>
      </c>
      <c r="K32" s="46">
        <f ca="1">IF($D$2&gt;=(COLUMN()-10),HLOOKUP($B32,INDIRECT(ADDRESS(2,11,1,,K$3)):INDIRECT(ADDRESS(25,playercnt+10,1,,K$3)),24),"")</f>
        <v>4</v>
      </c>
      <c r="L32" s="46">
        <f ca="1">IF($D$2&gt;=(COLUMN()-10),HLOOKUP($B32,INDIRECT(ADDRESS(2,11,1,,L$3)):INDIRECT(ADDRESS(25,playercnt+10,1,,L$3)),24),"")</f>
        <v>7</v>
      </c>
      <c r="M32" s="46">
        <f ca="1">IF($D$2&gt;=(COLUMN()-10),HLOOKUP($B32,INDIRECT(ADDRESS(2,11,1,,M$3)):INDIRECT(ADDRESS(25,playercnt+10,1,,M$3)),24),"")</f>
        <v>6</v>
      </c>
      <c r="N32" s="46">
        <f ca="1">IF($D$2&gt;=(COLUMN()-10),HLOOKUP($B32,INDIRECT(ADDRESS(2,11,1,,N$3)):INDIRECT(ADDRESS(25,playercnt+10,1,,N$3)),24),"")</f>
        <v>5</v>
      </c>
      <c r="O32" s="46">
        <f ca="1">IF($D$2&gt;=(COLUMN()-10),HLOOKUP($B32,INDIRECT(ADDRESS(2,11,1,,O$3)):INDIRECT(ADDRESS(25,playercnt+10,1,,O$3)),24),"")</f>
        <v>3</v>
      </c>
      <c r="P32" s="46">
        <f ca="1">IF($D$2&gt;=(COLUMN()-10),HLOOKUP($B32,INDIRECT(ADDRESS(2,11,1,,P$3)):INDIRECT(ADDRESS(25,playercnt+10,1,,P$3)),24),"")</f>
        <v>4</v>
      </c>
      <c r="Q32" s="46">
        <f ca="1">IF($D$2&gt;=(COLUMN()-10),HLOOKUP($B32,INDIRECT(ADDRESS(2,11,1,,Q$3)):INDIRECT(ADDRESS(25,playercnt+10,1,,Q$3)),24),"")</f>
        <v>6</v>
      </c>
      <c r="R32" s="46">
        <f ca="1">IF($D$2&gt;=(COLUMN()-10),HLOOKUP($B32,INDIRECT(ADDRESS(2,11,1,,R$3)):INDIRECT(ADDRESS(25,playercnt+10,1,,R$3)),24),"")</f>
        <v>6</v>
      </c>
      <c r="S32" s="46">
        <f ca="1">IF($D$2&gt;=(COLUMN()-10),HLOOKUP($B32,INDIRECT(ADDRESS(2,11,1,,S$3)):INDIRECT(ADDRESS(25,playercnt+10,1,,S$3)),24),"")</f>
        <v>3</v>
      </c>
      <c r="T32" s="46" t="str">
        <f ca="1">IF($D$2&gt;=(COLUMN()-10),HLOOKUP($B32,INDIRECT(ADDRESS(2,11,1,,T$3)):INDIRECT(ADDRESS(25,playercnt+10,1,,T$3)),24),"")</f>
        <v/>
      </c>
      <c r="U32" s="46" t="str">
        <f ca="1">IF($D$2&gt;=(COLUMN()-10),HLOOKUP($B32,INDIRECT(ADDRESS(2,11,1,,U$3)):INDIRECT(ADDRESS(25,playercnt+10,1,,U$3)),24),"")</f>
        <v/>
      </c>
      <c r="V32" s="46" t="str">
        <f ca="1">IF($D$2&gt;=(COLUMN()-10),HLOOKUP($B32,INDIRECT(ADDRESS(2,11,1,,V$3)):INDIRECT(ADDRESS(25,playercnt+10,1,,V$3)),24),"")</f>
        <v/>
      </c>
      <c r="W32" s="46" t="str">
        <f ca="1">IF($D$2&gt;=(COLUMN()-10),HLOOKUP($B32,INDIRECT(ADDRESS(2,11,1,,W$3)):INDIRECT(ADDRESS(25,playercnt+10,1,,W$3)),24),"")</f>
        <v/>
      </c>
      <c r="X32" s="47">
        <v>37</v>
      </c>
      <c r="Y32" s="14">
        <f t="shared" si="17"/>
        <v>25</v>
      </c>
    </row>
    <row r="33" spans="1:25" x14ac:dyDescent="0.2">
      <c r="A33" s="83">
        <f t="shared" si="7"/>
        <v>20</v>
      </c>
      <c r="B33" s="39" t="str">
        <f t="shared" ca="1" si="8"/>
        <v>Powell, LaMar</v>
      </c>
      <c r="C33" s="40">
        <f t="shared" ca="1" si="9"/>
        <v>1</v>
      </c>
      <c r="D33" s="40">
        <f t="shared" si="10"/>
        <v>44</v>
      </c>
      <c r="E33" s="25">
        <f t="shared" si="11"/>
        <v>0.48888888888888887</v>
      </c>
      <c r="F33" s="11">
        <f t="shared" si="12"/>
        <v>10</v>
      </c>
      <c r="G33" s="16">
        <v>14</v>
      </c>
      <c r="H33" s="20">
        <f t="shared" si="13"/>
        <v>-6</v>
      </c>
      <c r="I33" s="17">
        <f t="shared" ca="1" si="14"/>
        <v>8</v>
      </c>
      <c r="J33" s="17">
        <f t="shared" ca="1" si="15"/>
        <v>2</v>
      </c>
      <c r="K33" s="46">
        <f ca="1">IF($D$2&gt;=(COLUMN()-10),HLOOKUP($B33,INDIRECT(ADDRESS(2,11,1,,K$3)):INDIRECT(ADDRESS(25,playercnt+10,1,,K$3)),24),"")</f>
        <v>4</v>
      </c>
      <c r="L33" s="46">
        <f ca="1">IF($D$2&gt;=(COLUMN()-10),HLOOKUP($B33,INDIRECT(ADDRESS(2,11,1,,L$3)):INDIRECT(ADDRESS(25,playercnt+10,1,,L$3)),24),"")</f>
        <v>3</v>
      </c>
      <c r="M33" s="46">
        <f ca="1">IF($D$2&gt;=(COLUMN()-10),HLOOKUP($B33,INDIRECT(ADDRESS(2,11,1,,M$3)):INDIRECT(ADDRESS(25,playercnt+10,1,,M$3)),24),"")</f>
        <v>4</v>
      </c>
      <c r="N33" s="46">
        <f ca="1">IF($D$2&gt;=(COLUMN()-10),HLOOKUP($B33,INDIRECT(ADDRESS(2,11,1,,N$3)):INDIRECT(ADDRESS(25,playercnt+10,1,,N$3)),24),"")</f>
        <v>4</v>
      </c>
      <c r="O33" s="46">
        <f ca="1">IF($D$2&gt;=(COLUMN()-10),HLOOKUP($B33,INDIRECT(ADDRESS(2,11,1,,O$3)):INDIRECT(ADDRESS(25,playercnt+10,1,,O$3)),24),"")</f>
        <v>7</v>
      </c>
      <c r="P33" s="46">
        <f ca="1">IF($D$2&gt;=(COLUMN()-10),HLOOKUP($B33,INDIRECT(ADDRESS(2,11,1,,P$3)):INDIRECT(ADDRESS(25,playercnt+10,1,,P$3)),24),"")</f>
        <v>5</v>
      </c>
      <c r="Q33" s="46">
        <f ca="1">IF($D$2&gt;=(COLUMN()-10),HLOOKUP($B33,INDIRECT(ADDRESS(2,11,1,,Q$3)):INDIRECT(ADDRESS(25,playercnt+10,1,,Q$3)),24),"")</f>
        <v>8</v>
      </c>
      <c r="R33" s="46">
        <f ca="1">IF($D$2&gt;=(COLUMN()-10),HLOOKUP($B33,INDIRECT(ADDRESS(2,11,1,,R$3)):INDIRECT(ADDRESS(25,playercnt+10,1,,R$3)),24),"")</f>
        <v>7</v>
      </c>
      <c r="S33" s="46">
        <f ca="1">IF($D$2&gt;=(COLUMN()-10),HLOOKUP($B33,INDIRECT(ADDRESS(2,11,1,,S$3)):INDIRECT(ADDRESS(25,playercnt+10,1,,S$3)),24),"")</f>
        <v>2</v>
      </c>
      <c r="T33" s="46" t="str">
        <f ca="1">IF($D$2&gt;=(COLUMN()-10),HLOOKUP($B33,INDIRECT(ADDRESS(2,11,1,,T$3)):INDIRECT(ADDRESS(25,playercnt+10,1,,T$3)),24),"")</f>
        <v/>
      </c>
      <c r="U33" s="46" t="str">
        <f ca="1">IF($D$2&gt;=(COLUMN()-10),HLOOKUP($B33,INDIRECT(ADDRESS(2,11,1,,U$3)):INDIRECT(ADDRESS(25,playercnt+10,1,,U$3)),24),"")</f>
        <v/>
      </c>
      <c r="V33" s="46" t="str">
        <f ca="1">IF($D$2&gt;=(COLUMN()-10),HLOOKUP($B33,INDIRECT(ADDRESS(2,11,1,,V$3)):INDIRECT(ADDRESS(25,playercnt+10,1,,V$3)),24),"")</f>
        <v/>
      </c>
      <c r="W33" s="46" t="str">
        <f ca="1">IF($D$2&gt;=(COLUMN()-10),HLOOKUP($B33,INDIRECT(ADDRESS(2,11,1,,W$3)):INDIRECT(ADDRESS(25,playercnt+10,1,,W$3)),24),"")</f>
        <v/>
      </c>
      <c r="X33" s="14">
        <v>39</v>
      </c>
      <c r="Y33" s="14">
        <f t="shared" si="17"/>
        <v>26</v>
      </c>
    </row>
    <row r="34" spans="1:25" x14ac:dyDescent="0.2">
      <c r="A34" s="83">
        <f t="shared" si="7"/>
        <v>20</v>
      </c>
      <c r="B34" s="39" t="str">
        <f t="shared" ca="1" si="8"/>
        <v>Warren, Jason</v>
      </c>
      <c r="C34" s="40">
        <f t="shared" ca="1" si="9"/>
        <v>0</v>
      </c>
      <c r="D34" s="40">
        <f t="shared" si="10"/>
        <v>44</v>
      </c>
      <c r="E34" s="25">
        <f t="shared" si="11"/>
        <v>0.48888888888888887</v>
      </c>
      <c r="F34" s="11">
        <f t="shared" si="12"/>
        <v>10</v>
      </c>
      <c r="G34" s="43">
        <v>34</v>
      </c>
      <c r="H34" s="20">
        <f t="shared" si="13"/>
        <v>14</v>
      </c>
      <c r="I34" s="17">
        <f t="shared" ca="1" si="14"/>
        <v>9</v>
      </c>
      <c r="J34" s="17">
        <f t="shared" ca="1" si="15"/>
        <v>0</v>
      </c>
      <c r="K34" s="46">
        <f ca="1">IF($D$2&gt;=(COLUMN()-10),HLOOKUP($B34,INDIRECT(ADDRESS(2,11,1,,K$3)):INDIRECT(ADDRESS(25,playercnt+10,1,,K$3)),24),"")</f>
        <v>9</v>
      </c>
      <c r="L34" s="46">
        <f ca="1">IF($D$2&gt;=(COLUMN()-10),HLOOKUP($B34,INDIRECT(ADDRESS(2,11,1,,L$3)):INDIRECT(ADDRESS(25,playercnt+10,1,,L$3)),24),"")</f>
        <v>6</v>
      </c>
      <c r="M34" s="46">
        <f ca="1">IF($D$2&gt;=(COLUMN()-10),HLOOKUP($B34,INDIRECT(ADDRESS(2,11,1,,M$3)):INDIRECT(ADDRESS(25,playercnt+10,1,,M$3)),24),"")</f>
        <v>5</v>
      </c>
      <c r="N34" s="46">
        <f ca="1">IF($D$2&gt;=(COLUMN()-10),HLOOKUP($B34,INDIRECT(ADDRESS(2,11,1,,N$3)):INDIRECT(ADDRESS(25,playercnt+10,1,,N$3)),24),"")</f>
        <v>6</v>
      </c>
      <c r="O34" s="46">
        <f ca="1">IF($D$2&gt;=(COLUMN()-10),HLOOKUP($B34,INDIRECT(ADDRESS(2,11,1,,O$3)):INDIRECT(ADDRESS(25,playercnt+10,1,,O$3)),24),"")</f>
        <v>3</v>
      </c>
      <c r="P34" s="46">
        <f ca="1">IF($D$2&gt;=(COLUMN()-10),HLOOKUP($B34,INDIRECT(ADDRESS(2,11,1,,P$3)):INDIRECT(ADDRESS(25,playercnt+10,1,,P$3)),24),"")</f>
        <v>3</v>
      </c>
      <c r="Q34" s="46">
        <f ca="1">IF($D$2&gt;=(COLUMN()-10),HLOOKUP($B34,INDIRECT(ADDRESS(2,11,1,,Q$3)):INDIRECT(ADDRESS(25,playercnt+10,1,,Q$3)),24),"")</f>
        <v>6</v>
      </c>
      <c r="R34" s="46">
        <f ca="1">IF($D$2&gt;=(COLUMN()-10),HLOOKUP($B34,INDIRECT(ADDRESS(2,11,1,,R$3)):INDIRECT(ADDRESS(25,playercnt+10,1,,R$3)),24),"")</f>
        <v>0</v>
      </c>
      <c r="S34" s="46">
        <f ca="1">IF($D$2&gt;=(COLUMN()-10),HLOOKUP($B34,INDIRECT(ADDRESS(2,11,1,,S$3)):INDIRECT(ADDRESS(25,playercnt+10,1,,S$3)),24),"")</f>
        <v>6</v>
      </c>
      <c r="T34" s="46" t="str">
        <f ca="1">IF($D$2&gt;=(COLUMN()-10),HLOOKUP($B34,INDIRECT(ADDRESS(2,11,1,,T$3)):INDIRECT(ADDRESS(25,playercnt+10,1,,T$3)),24),"")</f>
        <v/>
      </c>
      <c r="U34" s="46" t="str">
        <f ca="1">IF($D$2&gt;=(COLUMN()-10),HLOOKUP($B34,INDIRECT(ADDRESS(2,11,1,,U$3)):INDIRECT(ADDRESS(25,playercnt+10,1,,U$3)),24),"")</f>
        <v/>
      </c>
      <c r="V34" s="46" t="str">
        <f ca="1">IF($D$2&gt;=(COLUMN()-10),HLOOKUP($B34,INDIRECT(ADDRESS(2,11,1,,V$3)):INDIRECT(ADDRESS(25,playercnt+10,1,,V$3)),24),"")</f>
        <v/>
      </c>
      <c r="W34" s="46" t="str">
        <f ca="1">IF($D$2&gt;=(COLUMN()-10),HLOOKUP($B34,INDIRECT(ADDRESS(2,11,1,,W$3)):INDIRECT(ADDRESS(25,playercnt+10,1,,W$3)),24),"")</f>
        <v/>
      </c>
      <c r="X34" s="47">
        <v>51</v>
      </c>
      <c r="Y34" s="14">
        <f t="shared" si="17"/>
        <v>27</v>
      </c>
    </row>
    <row r="35" spans="1:25" x14ac:dyDescent="0.2">
      <c r="A35" s="83">
        <f t="shared" si="7"/>
        <v>20</v>
      </c>
      <c r="B35" s="39" t="str">
        <f t="shared" ca="1" si="8"/>
        <v>Winburn, Steve A</v>
      </c>
      <c r="C35" s="40">
        <f t="shared" ca="1" si="9"/>
        <v>0</v>
      </c>
      <c r="D35" s="40">
        <f t="shared" si="10"/>
        <v>44</v>
      </c>
      <c r="E35" s="25">
        <f t="shared" si="11"/>
        <v>0.48888888888888887</v>
      </c>
      <c r="F35" s="11">
        <f t="shared" si="12"/>
        <v>10</v>
      </c>
      <c r="G35" s="16">
        <v>22</v>
      </c>
      <c r="H35" s="20">
        <f t="shared" si="13"/>
        <v>2</v>
      </c>
      <c r="I35" s="17">
        <f t="shared" ca="1" si="14"/>
        <v>7</v>
      </c>
      <c r="J35" s="17">
        <f t="shared" ca="1" si="15"/>
        <v>2</v>
      </c>
      <c r="K35" s="46">
        <f ca="1">IF($D$2&gt;=(COLUMN()-10),HLOOKUP($B35,INDIRECT(ADDRESS(2,11,1,,K$3)):INDIRECT(ADDRESS(25,playercnt+10,1,,K$3)),24),"")</f>
        <v>7</v>
      </c>
      <c r="L35" s="46">
        <f ca="1">IF($D$2&gt;=(COLUMN()-10),HLOOKUP($B35,INDIRECT(ADDRESS(2,11,1,,L$3)):INDIRECT(ADDRESS(25,playercnt+10,1,,L$3)),24),"")</f>
        <v>4</v>
      </c>
      <c r="M35" s="46">
        <f ca="1">IF($D$2&gt;=(COLUMN()-10),HLOOKUP($B35,INDIRECT(ADDRESS(2,11,1,,M$3)):INDIRECT(ADDRESS(25,playercnt+10,1,,M$3)),24),"")</f>
        <v>5</v>
      </c>
      <c r="N35" s="46">
        <f ca="1">IF($D$2&gt;=(COLUMN()-10),HLOOKUP($B35,INDIRECT(ADDRESS(2,11,1,,N$3)):INDIRECT(ADDRESS(25,playercnt+10,1,,N$3)),24),"")</f>
        <v>6</v>
      </c>
      <c r="O35" s="46">
        <f ca="1">IF($D$2&gt;=(COLUMN()-10),HLOOKUP($B35,INDIRECT(ADDRESS(2,11,1,,O$3)):INDIRECT(ADDRESS(25,playercnt+10,1,,O$3)),24),"")</f>
        <v>5</v>
      </c>
      <c r="P35" s="46">
        <f ca="1">IF($D$2&gt;=(COLUMN()-10),HLOOKUP($B35,INDIRECT(ADDRESS(2,11,1,,P$3)):INDIRECT(ADDRESS(25,playercnt+10,1,,P$3)),24),"")</f>
        <v>2</v>
      </c>
      <c r="Q35" s="46">
        <f ca="1">IF($D$2&gt;=(COLUMN()-10),HLOOKUP($B35,INDIRECT(ADDRESS(2,11,1,,Q$3)):INDIRECT(ADDRESS(25,playercnt+10,1,,Q$3)),24),"")</f>
        <v>7</v>
      </c>
      <c r="R35" s="46">
        <f ca="1">IF($D$2&gt;=(COLUMN()-10),HLOOKUP($B35,INDIRECT(ADDRESS(2,11,1,,R$3)):INDIRECT(ADDRESS(25,playercnt+10,1,,R$3)),24),"")</f>
        <v>4</v>
      </c>
      <c r="S35" s="46">
        <f ca="1">IF($D$2&gt;=(COLUMN()-10),HLOOKUP($B35,INDIRECT(ADDRESS(2,11,1,,S$3)):INDIRECT(ADDRESS(25,playercnt+10,1,,S$3)),24),"")</f>
        <v>4</v>
      </c>
      <c r="T35" s="46" t="str">
        <f ca="1">IF($D$2&gt;=(COLUMN()-10),HLOOKUP($B35,INDIRECT(ADDRESS(2,11,1,,T$3)):INDIRECT(ADDRESS(25,playercnt+10,1,,T$3)),24),"")</f>
        <v/>
      </c>
      <c r="U35" s="46" t="str">
        <f ca="1">IF($D$2&gt;=(COLUMN()-10),HLOOKUP($B35,INDIRECT(ADDRESS(2,11,1,,U$3)):INDIRECT(ADDRESS(25,playercnt+10,1,,U$3)),24),"")</f>
        <v/>
      </c>
      <c r="V35" s="46" t="str">
        <f ca="1">IF($D$2&gt;=(COLUMN()-10),HLOOKUP($B35,INDIRECT(ADDRESS(2,11,1,,V$3)):INDIRECT(ADDRESS(25,playercnt+10,1,,V$3)),24),"")</f>
        <v/>
      </c>
      <c r="W35" s="46" t="str">
        <f ca="1">IF($D$2&gt;=(COLUMN()-10),HLOOKUP($B35,INDIRECT(ADDRESS(2,11,1,,W$3)):INDIRECT(ADDRESS(25,playercnt+10,1,,W$3)),24),"")</f>
        <v/>
      </c>
      <c r="X35" s="14">
        <v>55</v>
      </c>
      <c r="Y35" s="14">
        <f t="shared" si="17"/>
        <v>28</v>
      </c>
    </row>
    <row r="36" spans="1:25" x14ac:dyDescent="0.2">
      <c r="A36" s="83">
        <f t="shared" si="7"/>
        <v>29</v>
      </c>
      <c r="B36" s="39" t="str">
        <f t="shared" ca="1" si="8"/>
        <v>Ferguson, Scott Remote</v>
      </c>
      <c r="C36" s="40">
        <f t="shared" ca="1" si="9"/>
        <v>0</v>
      </c>
      <c r="D36" s="40">
        <f t="shared" si="10"/>
        <v>43</v>
      </c>
      <c r="E36" s="25">
        <f t="shared" si="11"/>
        <v>0.4777777777777778</v>
      </c>
      <c r="F36" s="11">
        <f t="shared" si="12"/>
        <v>11</v>
      </c>
      <c r="G36" s="43">
        <v>28</v>
      </c>
      <c r="H36" s="20">
        <f t="shared" si="13"/>
        <v>-1</v>
      </c>
      <c r="I36" s="17">
        <f t="shared" ca="1" si="14"/>
        <v>7</v>
      </c>
      <c r="J36" s="17">
        <f t="shared" ca="1" si="15"/>
        <v>4</v>
      </c>
      <c r="K36" s="46">
        <f ca="1">IF($D$2&gt;=(COLUMN()-10),HLOOKUP($B36,INDIRECT(ADDRESS(2,11,1,,K$3)):INDIRECT(ADDRESS(25,playercnt+10,1,,K$3)),24),"")</f>
        <v>4</v>
      </c>
      <c r="L36" s="46">
        <f ca="1">IF($D$2&gt;=(COLUMN()-10),HLOOKUP($B36,INDIRECT(ADDRESS(2,11,1,,L$3)):INDIRECT(ADDRESS(25,playercnt+10,1,,L$3)),24),"")</f>
        <v>4</v>
      </c>
      <c r="M36" s="46">
        <f ca="1">IF($D$2&gt;=(COLUMN()-10),HLOOKUP($B36,INDIRECT(ADDRESS(2,11,1,,M$3)):INDIRECT(ADDRESS(25,playercnt+10,1,,M$3)),24),"")</f>
        <v>5</v>
      </c>
      <c r="N36" s="46">
        <f ca="1">IF($D$2&gt;=(COLUMN()-10),HLOOKUP($B36,INDIRECT(ADDRESS(2,11,1,,N$3)):INDIRECT(ADDRESS(25,playercnt+10,1,,N$3)),24),"")</f>
        <v>6</v>
      </c>
      <c r="O36" s="46">
        <f ca="1">IF($D$2&gt;=(COLUMN()-10),HLOOKUP($B36,INDIRECT(ADDRESS(2,11,1,,O$3)):INDIRECT(ADDRESS(25,playercnt+10,1,,O$3)),24),"")</f>
        <v>4</v>
      </c>
      <c r="P36" s="46">
        <f ca="1">IF($D$2&gt;=(COLUMN()-10),HLOOKUP($B36,INDIRECT(ADDRESS(2,11,1,,P$3)):INDIRECT(ADDRESS(25,playercnt+10,1,,P$3)),24),"")</f>
        <v>4</v>
      </c>
      <c r="Q36" s="46">
        <f ca="1">IF($D$2&gt;=(COLUMN()-10),HLOOKUP($B36,INDIRECT(ADDRESS(2,11,1,,Q$3)):INDIRECT(ADDRESS(25,playercnt+10,1,,Q$3)),24),"")</f>
        <v>5</v>
      </c>
      <c r="R36" s="46">
        <f ca="1">IF($D$2&gt;=(COLUMN()-10),HLOOKUP($B36,INDIRECT(ADDRESS(2,11,1,,R$3)):INDIRECT(ADDRESS(25,playercnt+10,1,,R$3)),24),"")</f>
        <v>7</v>
      </c>
      <c r="S36" s="46">
        <f ca="1">IF($D$2&gt;=(COLUMN()-10),HLOOKUP($B36,INDIRECT(ADDRESS(2,11,1,,S$3)):INDIRECT(ADDRESS(25,playercnt+10,1,,S$3)),24),"")</f>
        <v>4</v>
      </c>
      <c r="T36" s="46" t="str">
        <f ca="1">IF($D$2&gt;=(COLUMN()-10),HLOOKUP($B36,INDIRECT(ADDRESS(2,11,1,,T$3)):INDIRECT(ADDRESS(25,playercnt+10,1,,T$3)),24),"")</f>
        <v/>
      </c>
      <c r="U36" s="46" t="str">
        <f ca="1">IF($D$2&gt;=(COLUMN()-10),HLOOKUP($B36,INDIRECT(ADDRESS(2,11,1,,U$3)):INDIRECT(ADDRESS(25,playercnt+10,1,,U$3)),24),"")</f>
        <v/>
      </c>
      <c r="V36" s="46" t="str">
        <f ca="1">IF($D$2&gt;=(COLUMN()-10),HLOOKUP($B36,INDIRECT(ADDRESS(2,11,1,,V$3)):INDIRECT(ADDRESS(25,playercnt+10,1,,V$3)),24),"")</f>
        <v/>
      </c>
      <c r="W36" s="46" t="str">
        <f ca="1">IF($D$2&gt;=(COLUMN()-10),HLOOKUP($B36,INDIRECT(ADDRESS(2,11,1,,W$3)):INDIRECT(ADDRESS(25,playercnt+10,1,,W$3)),24),"")</f>
        <v/>
      </c>
      <c r="X36" s="47">
        <v>15</v>
      </c>
      <c r="Y36" s="14">
        <f t="shared" si="17"/>
        <v>29</v>
      </c>
    </row>
    <row r="37" spans="1:25" x14ac:dyDescent="0.2">
      <c r="A37" s="83">
        <f t="shared" si="7"/>
        <v>29</v>
      </c>
      <c r="B37" s="39" t="str">
        <f t="shared" ca="1" si="8"/>
        <v>Holden, Brent Remote</v>
      </c>
      <c r="C37" s="40">
        <f t="shared" ca="1" si="9"/>
        <v>0</v>
      </c>
      <c r="D37" s="40">
        <f t="shared" si="10"/>
        <v>43</v>
      </c>
      <c r="E37" s="25">
        <f t="shared" si="11"/>
        <v>0.4777777777777778</v>
      </c>
      <c r="F37" s="11">
        <f t="shared" si="12"/>
        <v>11</v>
      </c>
      <c r="G37" s="16">
        <v>28</v>
      </c>
      <c r="H37" s="20">
        <f t="shared" si="13"/>
        <v>-1</v>
      </c>
      <c r="I37" s="17">
        <f t="shared" ca="1" si="14"/>
        <v>7</v>
      </c>
      <c r="J37" s="17">
        <f t="shared" ca="1" si="15"/>
        <v>1</v>
      </c>
      <c r="K37" s="46">
        <f ca="1">IF($D$2&gt;=(COLUMN()-10),HLOOKUP($B37,INDIRECT(ADDRESS(2,11,1,,K$3)):INDIRECT(ADDRESS(25,playercnt+10,1,,K$3)),24),"")</f>
        <v>6</v>
      </c>
      <c r="L37" s="46">
        <f ca="1">IF($D$2&gt;=(COLUMN()-10),HLOOKUP($B37,INDIRECT(ADDRESS(2,11,1,,L$3)):INDIRECT(ADDRESS(25,playercnt+10,1,,L$3)),24),"")</f>
        <v>5</v>
      </c>
      <c r="M37" s="46">
        <f ca="1">IF($D$2&gt;=(COLUMN()-10),HLOOKUP($B37,INDIRECT(ADDRESS(2,11,1,,M$3)):INDIRECT(ADDRESS(25,playercnt+10,1,,M$3)),24),"")</f>
        <v>7</v>
      </c>
      <c r="N37" s="46">
        <f ca="1">IF($D$2&gt;=(COLUMN()-10),HLOOKUP($B37,INDIRECT(ADDRESS(2,11,1,,N$3)):INDIRECT(ADDRESS(25,playercnt+10,1,,N$3)),24),"")</f>
        <v>6</v>
      </c>
      <c r="O37" s="46">
        <f ca="1">IF($D$2&gt;=(COLUMN()-10),HLOOKUP($B37,INDIRECT(ADDRESS(2,11,1,,O$3)):INDIRECT(ADDRESS(25,playercnt+10,1,,O$3)),24),"")</f>
        <v>1</v>
      </c>
      <c r="P37" s="46">
        <f ca="1">IF($D$2&gt;=(COLUMN()-10),HLOOKUP($B37,INDIRECT(ADDRESS(2,11,1,,P$3)):INDIRECT(ADDRESS(25,playercnt+10,1,,P$3)),24),"")</f>
        <v>4</v>
      </c>
      <c r="Q37" s="46">
        <f ca="1">IF($D$2&gt;=(COLUMN()-10),HLOOKUP($B37,INDIRECT(ADDRESS(2,11,1,,Q$3)):INDIRECT(ADDRESS(25,playercnt+10,1,,Q$3)),24),"")</f>
        <v>6</v>
      </c>
      <c r="R37" s="46">
        <f ca="1">IF($D$2&gt;=(COLUMN()-10),HLOOKUP($B37,INDIRECT(ADDRESS(2,11,1,,R$3)):INDIRECT(ADDRESS(25,playercnt+10,1,,R$3)),24),"")</f>
        <v>4</v>
      </c>
      <c r="S37" s="46">
        <f ca="1">IF($D$2&gt;=(COLUMN()-10),HLOOKUP($B37,INDIRECT(ADDRESS(2,11,1,,S$3)):INDIRECT(ADDRESS(25,playercnt+10,1,,S$3)),24),"")</f>
        <v>4</v>
      </c>
      <c r="T37" s="46" t="str">
        <f ca="1">IF($D$2&gt;=(COLUMN()-10),HLOOKUP($B37,INDIRECT(ADDRESS(2,11,1,,T$3)):INDIRECT(ADDRESS(25,playercnt+10,1,,T$3)),24),"")</f>
        <v/>
      </c>
      <c r="U37" s="46" t="str">
        <f ca="1">IF($D$2&gt;=(COLUMN()-10),HLOOKUP($B37,INDIRECT(ADDRESS(2,11,1,,U$3)):INDIRECT(ADDRESS(25,playercnt+10,1,,U$3)),24),"")</f>
        <v/>
      </c>
      <c r="V37" s="46" t="str">
        <f ca="1">IF($D$2&gt;=(COLUMN()-10),HLOOKUP($B37,INDIRECT(ADDRESS(2,11,1,,V$3)):INDIRECT(ADDRESS(25,playercnt+10,1,,V$3)),24),"")</f>
        <v/>
      </c>
      <c r="W37" s="46" t="str">
        <f ca="1">IF($D$2&gt;=(COLUMN()-10),HLOOKUP($B37,INDIRECT(ADDRESS(2,11,1,,W$3)):INDIRECT(ADDRESS(25,playercnt+10,1,,W$3)),24),"")</f>
        <v/>
      </c>
      <c r="X37" s="14">
        <v>19</v>
      </c>
      <c r="Y37" s="14">
        <f>Y36+1</f>
        <v>30</v>
      </c>
    </row>
    <row r="38" spans="1:25" x14ac:dyDescent="0.2">
      <c r="A38" s="83">
        <f t="shared" si="7"/>
        <v>29</v>
      </c>
      <c r="B38" s="39" t="str">
        <f t="shared" ca="1" si="8"/>
        <v>Johnson, Creed D</v>
      </c>
      <c r="C38" s="40">
        <f t="shared" ca="1" si="9"/>
        <v>0</v>
      </c>
      <c r="D38" s="40">
        <f t="shared" si="10"/>
        <v>43</v>
      </c>
      <c r="E38" s="25">
        <f t="shared" si="11"/>
        <v>0.4777777777777778</v>
      </c>
      <c r="F38" s="11">
        <f t="shared" si="12"/>
        <v>11</v>
      </c>
      <c r="G38" s="43">
        <v>41</v>
      </c>
      <c r="H38" s="20">
        <f t="shared" si="13"/>
        <v>12</v>
      </c>
      <c r="I38" s="17">
        <f t="shared" ca="1" si="14"/>
        <v>7</v>
      </c>
      <c r="J38" s="17">
        <f t="shared" ca="1" si="15"/>
        <v>0</v>
      </c>
      <c r="K38" s="46">
        <f ca="1">IF($D$2&gt;=(COLUMN()-10),HLOOKUP($B38,INDIRECT(ADDRESS(2,11,1,,K$3)):INDIRECT(ADDRESS(25,playercnt+10,1,,K$3)),24),"")</f>
        <v>5</v>
      </c>
      <c r="L38" s="46">
        <f ca="1">IF($D$2&gt;=(COLUMN()-10),HLOOKUP($B38,INDIRECT(ADDRESS(2,11,1,,L$3)):INDIRECT(ADDRESS(25,playercnt+10,1,,L$3)),24),"")</f>
        <v>3</v>
      </c>
      <c r="M38" s="46">
        <f ca="1">IF($D$2&gt;=(COLUMN()-10),HLOOKUP($B38,INDIRECT(ADDRESS(2,11,1,,M$3)):INDIRECT(ADDRESS(25,playercnt+10,1,,M$3)),24),"")</f>
        <v>0</v>
      </c>
      <c r="N38" s="46">
        <f ca="1">IF($D$2&gt;=(COLUMN()-10),HLOOKUP($B38,INDIRECT(ADDRESS(2,11,1,,N$3)):INDIRECT(ADDRESS(25,playercnt+10,1,,N$3)),24),"")</f>
        <v>6</v>
      </c>
      <c r="O38" s="46">
        <f ca="1">IF($D$2&gt;=(COLUMN()-10),HLOOKUP($B38,INDIRECT(ADDRESS(2,11,1,,O$3)):INDIRECT(ADDRESS(25,playercnt+10,1,,O$3)),24),"")</f>
        <v>5</v>
      </c>
      <c r="P38" s="46">
        <f ca="1">IF($D$2&gt;=(COLUMN()-10),HLOOKUP($B38,INDIRECT(ADDRESS(2,11,1,,P$3)):INDIRECT(ADDRESS(25,playercnt+10,1,,P$3)),24),"")</f>
        <v>6</v>
      </c>
      <c r="Q38" s="46">
        <f ca="1">IF($D$2&gt;=(COLUMN()-10),HLOOKUP($B38,INDIRECT(ADDRESS(2,11,1,,Q$3)):INDIRECT(ADDRESS(25,playercnt+10,1,,Q$3)),24),"")</f>
        <v>7</v>
      </c>
      <c r="R38" s="46">
        <f ca="1">IF($D$2&gt;=(COLUMN()-10),HLOOKUP($B38,INDIRECT(ADDRESS(2,11,1,,R$3)):INDIRECT(ADDRESS(25,playercnt+10,1,,R$3)),24),"")</f>
        <v>4</v>
      </c>
      <c r="S38" s="46">
        <f ca="1">IF($D$2&gt;=(COLUMN()-10),HLOOKUP($B38,INDIRECT(ADDRESS(2,11,1,,S$3)):INDIRECT(ADDRESS(25,playercnt+10,1,,S$3)),24),"")</f>
        <v>7</v>
      </c>
      <c r="T38" s="46" t="str">
        <f ca="1">IF($D$2&gt;=(COLUMN()-10),HLOOKUP($B38,INDIRECT(ADDRESS(2,11,1,,T$3)):INDIRECT(ADDRESS(25,playercnt+10,1,,T$3)),24),"")</f>
        <v/>
      </c>
      <c r="U38" s="46" t="str">
        <f ca="1">IF($D$2&gt;=(COLUMN()-10),HLOOKUP($B38,INDIRECT(ADDRESS(2,11,1,,U$3)):INDIRECT(ADDRESS(25,playercnt+10,1,,U$3)),24),"")</f>
        <v/>
      </c>
      <c r="V38" s="46" t="str">
        <f ca="1">IF($D$2&gt;=(COLUMN()-10),HLOOKUP($B38,INDIRECT(ADDRESS(2,11,1,,V$3)):INDIRECT(ADDRESS(25,playercnt+10,1,,V$3)),24),"")</f>
        <v/>
      </c>
      <c r="W38" s="46" t="str">
        <f ca="1">IF($D$2&gt;=(COLUMN()-10),HLOOKUP($B38,INDIRECT(ADDRESS(2,11,1,,W$3)):INDIRECT(ADDRESS(25,playercnt+10,1,,W$3)),24),"")</f>
        <v/>
      </c>
      <c r="X38" s="47">
        <v>23</v>
      </c>
      <c r="Y38" s="14">
        <f>Y37+1</f>
        <v>31</v>
      </c>
    </row>
    <row r="39" spans="1:25" x14ac:dyDescent="0.2">
      <c r="A39" s="83">
        <f t="shared" si="7"/>
        <v>29</v>
      </c>
      <c r="B39" s="39" t="str">
        <f t="shared" ca="1" si="8"/>
        <v>Martin, Douglas C</v>
      </c>
      <c r="C39" s="40">
        <f t="shared" ca="1" si="9"/>
        <v>0</v>
      </c>
      <c r="D39" s="40">
        <f t="shared" si="10"/>
        <v>43</v>
      </c>
      <c r="E39" s="25">
        <f t="shared" si="11"/>
        <v>0.4777777777777778</v>
      </c>
      <c r="F39" s="11">
        <f t="shared" si="12"/>
        <v>11</v>
      </c>
      <c r="G39" s="16">
        <v>28</v>
      </c>
      <c r="H39" s="20">
        <f t="shared" si="13"/>
        <v>-1</v>
      </c>
      <c r="I39" s="17">
        <f t="shared" ca="1" si="14"/>
        <v>7</v>
      </c>
      <c r="J39" s="17">
        <f t="shared" ca="1" si="15"/>
        <v>0</v>
      </c>
      <c r="K39" s="46">
        <f ca="1">IF($D$2&gt;=(COLUMN()-10),HLOOKUP($B39,INDIRECT(ADDRESS(2,11,1,,K$3)):INDIRECT(ADDRESS(25,playercnt+10,1,,K$3)),24),"")</f>
        <v>5</v>
      </c>
      <c r="L39" s="46">
        <f ca="1">IF($D$2&gt;=(COLUMN()-10),HLOOKUP($B39,INDIRECT(ADDRESS(2,11,1,,L$3)):INDIRECT(ADDRESS(25,playercnt+10,1,,L$3)),24),"")</f>
        <v>7</v>
      </c>
      <c r="M39" s="46">
        <f ca="1">IF($D$2&gt;=(COLUMN()-10),HLOOKUP($B39,INDIRECT(ADDRESS(2,11,1,,M$3)):INDIRECT(ADDRESS(25,playercnt+10,1,,M$3)),24),"")</f>
        <v>0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4</v>
      </c>
      <c r="P39" s="46">
        <f ca="1">IF($D$2&gt;=(COLUMN()-10),HLOOKUP($B39,INDIRECT(ADDRESS(2,11,1,,P$3)):INDIRECT(ADDRESS(25,playercnt+10,1,,P$3)),24),"")</f>
        <v>5</v>
      </c>
      <c r="Q39" s="46">
        <f ca="1">IF($D$2&gt;=(COLUMN()-10),HLOOKUP($B39,INDIRECT(ADDRESS(2,11,1,,Q$3)):INDIRECT(ADDRESS(25,playercnt+10,1,,Q$3)),24),"")</f>
        <v>7</v>
      </c>
      <c r="R39" s="46">
        <f ca="1">IF($D$2&gt;=(COLUMN()-10),HLOOKUP($B39,INDIRECT(ADDRESS(2,11,1,,R$3)):INDIRECT(ADDRESS(25,playercnt+10,1,,R$3)),24),"")</f>
        <v>6</v>
      </c>
      <c r="S39" s="46">
        <f ca="1">IF($D$2&gt;=(COLUMN()-10),HLOOKUP($B39,INDIRECT(ADDRESS(2,11,1,,S$3)):INDIRECT(ADDRESS(25,playercnt+10,1,,S$3)),24),"")</f>
        <v>4</v>
      </c>
      <c r="T39" s="46" t="str">
        <f ca="1">IF($D$2&gt;=(COLUMN()-10),HLOOKUP($B39,INDIRECT(ADDRESS(2,11,1,,T$3)):INDIRECT(ADDRESS(25,playercnt+10,1,,T$3)),24),"")</f>
        <v/>
      </c>
      <c r="U39" s="46" t="str">
        <f ca="1">IF($D$2&gt;=(COLUMN()-10),HLOOKUP($B39,INDIRECT(ADDRESS(2,11,1,,U$3)):INDIRECT(ADDRESS(25,playercnt+10,1,,U$3)),24),"")</f>
        <v/>
      </c>
      <c r="V39" s="46" t="str">
        <f ca="1">IF($D$2&gt;=(COLUMN()-10),HLOOKUP($B39,INDIRECT(ADDRESS(2,11,1,,V$3)):INDIRECT(ADDRESS(25,playercnt+10,1,,V$3)),24),"")</f>
        <v/>
      </c>
      <c r="W39" s="46" t="str">
        <f ca="1">IF($D$2&gt;=(COLUMN()-10),HLOOKUP($B39,INDIRECT(ADDRESS(2,11,1,,W$3)):INDIRECT(ADDRESS(25,playercnt+10,1,,W$3)),24),"")</f>
        <v/>
      </c>
      <c r="X39" s="14">
        <v>26</v>
      </c>
      <c r="Y39" s="14">
        <f t="shared" ref="Y39:Y44" si="18">Y38+1</f>
        <v>32</v>
      </c>
    </row>
    <row r="40" spans="1:25" x14ac:dyDescent="0.2">
      <c r="A40" s="83">
        <f t="shared" ref="A40:A63" si="19">IF(D40=D39,A39,Y40)</f>
        <v>29</v>
      </c>
      <c r="B40" s="39" t="str">
        <f t="shared" ref="B40:B63" ca="1" si="20">INDIRECT(ADDRESS(2,10+INDIRECT(ADDRESS(ROW(),24)),,,"Chart"))</f>
        <v>Murphy, William A</v>
      </c>
      <c r="C40" s="40">
        <f t="shared" ref="C40:C63" ca="1" si="21">sumAcrossWkSheets(28,10,X40)</f>
        <v>0</v>
      </c>
      <c r="D40" s="40">
        <f t="shared" ref="D40:D63" si="22">sumAcrossWkSheets(25,10,X40)</f>
        <v>43</v>
      </c>
      <c r="E40" s="25">
        <f t="shared" ref="E40:E71" si="23">D40/games_completed</f>
        <v>0.4777777777777778</v>
      </c>
      <c r="F40" s="11">
        <f t="shared" ref="F40:F63" si="24">$D$8-D40</f>
        <v>11</v>
      </c>
      <c r="G40" s="43">
        <v>37</v>
      </c>
      <c r="H40" s="20">
        <f t="shared" ref="H40:H71" si="25">G40-A40</f>
        <v>8</v>
      </c>
      <c r="I40" s="17">
        <f t="shared" ref="I40:I63" ca="1" si="26">MAX(K40:W40)</f>
        <v>7</v>
      </c>
      <c r="J40" s="17">
        <f t="shared" ref="J40:J71" ca="1" si="27">MIN(K40:W40)</f>
        <v>3</v>
      </c>
      <c r="K40" s="46">
        <f ca="1">IF($D$2&gt;=(COLUMN()-10),HLOOKUP($B40,INDIRECT(ADDRESS(2,11,1,,K$3)):INDIRECT(ADDRESS(25,playercnt+10,1,,K$3)),24),"")</f>
        <v>5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5</v>
      </c>
      <c r="N40" s="46">
        <f ca="1">IF($D$2&gt;=(COLUMN()-10),HLOOKUP($B40,INDIRECT(ADDRESS(2,11,1,,N$3)):INDIRECT(ADDRESS(25,playercnt+10,1,,N$3)),24),"")</f>
        <v>5</v>
      </c>
      <c r="O40" s="46">
        <f ca="1">IF($D$2&gt;=(COLUMN()-10),HLOOKUP($B40,INDIRECT(ADDRESS(2,11,1,,O$3)):INDIRECT(ADDRESS(25,playercnt+10,1,,O$3)),24),"")</f>
        <v>4</v>
      </c>
      <c r="P40" s="46">
        <f ca="1">IF($D$2&gt;=(COLUMN()-10),HLOOKUP($B40,INDIRECT(ADDRESS(2,11,1,,P$3)):INDIRECT(ADDRESS(25,playercnt+10,1,,P$3)),24),"")</f>
        <v>4</v>
      </c>
      <c r="Q40" s="46">
        <f ca="1">IF($D$2&gt;=(COLUMN()-10),HLOOKUP($B40,INDIRECT(ADDRESS(2,11,1,,Q$3)):INDIRECT(ADDRESS(25,playercnt+10,1,,Q$3)),24),"")</f>
        <v>3</v>
      </c>
      <c r="R40" s="46">
        <f ca="1">IF($D$2&gt;=(COLUMN()-10),HLOOKUP($B40,INDIRECT(ADDRESS(2,11,1,,R$3)):INDIRECT(ADDRESS(25,playercnt+10,1,,R$3)),24),"")</f>
        <v>7</v>
      </c>
      <c r="S40" s="46">
        <f ca="1">IF($D$2&gt;=(COLUMN()-10),HLOOKUP($B40,INDIRECT(ADDRESS(2,11,1,,S$3)):INDIRECT(ADDRESS(25,playercnt+10,1,,S$3)),24),"")</f>
        <v>6</v>
      </c>
      <c r="T40" s="46" t="str">
        <f ca="1">IF($D$2&gt;=(COLUMN()-10),HLOOKUP($B40,INDIRECT(ADDRESS(2,11,1,,T$3)):INDIRECT(ADDRESS(25,playercnt+10,1,,T$3)),24),"")</f>
        <v/>
      </c>
      <c r="U40" s="46" t="str">
        <f ca="1">IF($D$2&gt;=(COLUMN()-10),HLOOKUP($B40,INDIRECT(ADDRESS(2,11,1,,U$3)):INDIRECT(ADDRESS(25,playercnt+10,1,,U$3)),24),"")</f>
        <v/>
      </c>
      <c r="V40" s="46" t="str">
        <f ca="1">IF($D$2&gt;=(COLUMN()-10),HLOOKUP($B40,INDIRECT(ADDRESS(2,11,1,,V$3)):INDIRECT(ADDRESS(25,playercnt+10,1,,V$3)),24),"")</f>
        <v/>
      </c>
      <c r="W40" s="46" t="str">
        <f ca="1">IF($D$2&gt;=(COLUMN()-10),HLOOKUP($B40,INDIRECT(ADDRESS(2,11,1,,W$3)):INDIRECT(ADDRESS(25,playercnt+10,1,,W$3)),24),"")</f>
        <v/>
      </c>
      <c r="X40" s="47">
        <v>31</v>
      </c>
      <c r="Y40" s="14">
        <f t="shared" si="18"/>
        <v>33</v>
      </c>
    </row>
    <row r="41" spans="1:25" x14ac:dyDescent="0.2">
      <c r="A41" s="83">
        <f t="shared" si="19"/>
        <v>29</v>
      </c>
      <c r="B41" s="39" t="str">
        <f t="shared" ca="1" si="20"/>
        <v>Young, Kenneth</v>
      </c>
      <c r="C41" s="40">
        <f t="shared" ca="1" si="21"/>
        <v>0</v>
      </c>
      <c r="D41" s="40">
        <f t="shared" si="22"/>
        <v>43</v>
      </c>
      <c r="E41" s="25">
        <f t="shared" si="23"/>
        <v>0.4777777777777778</v>
      </c>
      <c r="F41" s="11">
        <f t="shared" si="24"/>
        <v>11</v>
      </c>
      <c r="G41" s="16">
        <v>22</v>
      </c>
      <c r="H41" s="20">
        <f t="shared" si="25"/>
        <v>-7</v>
      </c>
      <c r="I41" s="17">
        <f t="shared" ca="1" si="26"/>
        <v>7</v>
      </c>
      <c r="J41" s="17">
        <f t="shared" ca="1" si="27"/>
        <v>0</v>
      </c>
      <c r="K41" s="46">
        <f ca="1">IF($D$2&gt;=(COLUMN()-10),HLOOKUP($B41,INDIRECT(ADDRESS(2,11,1,,K$3)):INDIRECT(ADDRESS(25,playercnt+10,1,,K$3)),24),"")</f>
        <v>7</v>
      </c>
      <c r="L41" s="46">
        <f ca="1">IF($D$2&gt;=(COLUMN()-10),HLOOKUP($B41,INDIRECT(ADDRESS(2,11,1,,L$3)):INDIRECT(ADDRESS(25,playercnt+10,1,,L$3)),24),"")</f>
        <v>5</v>
      </c>
      <c r="M41" s="46">
        <f ca="1">IF($D$2&gt;=(COLUMN()-10),HLOOKUP($B41,INDIRECT(ADDRESS(2,11,1,,M$3)):INDIRECT(ADDRESS(25,playercnt+10,1,,M$3)),24),"")</f>
        <v>0</v>
      </c>
      <c r="N41" s="46">
        <f ca="1">IF($D$2&gt;=(COLUMN()-10),HLOOKUP($B41,INDIRECT(ADDRESS(2,11,1,,N$3)):INDIRECT(ADDRESS(25,playercnt+10,1,,N$3)),24),"")</f>
        <v>4</v>
      </c>
      <c r="O41" s="46">
        <f ca="1">IF($D$2&gt;=(COLUMN()-10),HLOOKUP($B41,INDIRECT(ADDRESS(2,11,1,,O$3)):INDIRECT(ADDRESS(25,playercnt+10,1,,O$3)),24),"")</f>
        <v>6</v>
      </c>
      <c r="P41" s="46">
        <f ca="1">IF($D$2&gt;=(COLUMN()-10),HLOOKUP($B41,INDIRECT(ADDRESS(2,11,1,,P$3)):INDIRECT(ADDRESS(25,playercnt+10,1,,P$3)),24),"")</f>
        <v>6</v>
      </c>
      <c r="Q41" s="46">
        <f ca="1">IF($D$2&gt;=(COLUMN()-10),HLOOKUP($B41,INDIRECT(ADDRESS(2,11,1,,Q$3)):INDIRECT(ADDRESS(25,playercnt+10,1,,Q$3)),24),"")</f>
        <v>5</v>
      </c>
      <c r="R41" s="46">
        <f ca="1">IF($D$2&gt;=(COLUMN()-10),HLOOKUP($B41,INDIRECT(ADDRESS(2,11,1,,R$3)):INDIRECT(ADDRESS(25,playercnt+10,1,,R$3)),24),"")</f>
        <v>7</v>
      </c>
      <c r="S41" s="46">
        <f ca="1">IF($D$2&gt;=(COLUMN()-10),HLOOKUP($B41,INDIRECT(ADDRESS(2,11,1,,S$3)):INDIRECT(ADDRESS(25,playercnt+10,1,,S$3)),24),"")</f>
        <v>3</v>
      </c>
      <c r="T41" s="46" t="str">
        <f ca="1">IF($D$2&gt;=(COLUMN()-10),HLOOKUP($B41,INDIRECT(ADDRESS(2,11,1,,T$3)):INDIRECT(ADDRESS(25,playercnt+10,1,,T$3)),24),"")</f>
        <v/>
      </c>
      <c r="U41" s="46" t="str">
        <f ca="1">IF($D$2&gt;=(COLUMN()-10),HLOOKUP($B41,INDIRECT(ADDRESS(2,11,1,,U$3)):INDIRECT(ADDRESS(25,playercnt+10,1,,U$3)),24),"")</f>
        <v/>
      </c>
      <c r="V41" s="46" t="str">
        <f ca="1">IF($D$2&gt;=(COLUMN()-10),HLOOKUP($B41,INDIRECT(ADDRESS(2,11,1,,V$3)):INDIRECT(ADDRESS(25,playercnt+10,1,,V$3)),24),"")</f>
        <v/>
      </c>
      <c r="W41" s="46" t="str">
        <f ca="1">IF($D$2&gt;=(COLUMN()-10),HLOOKUP($B41,INDIRECT(ADDRESS(2,11,1,,W$3)):INDIRECT(ADDRESS(25,playercnt+10,1,,W$3)),24),"")</f>
        <v/>
      </c>
      <c r="X41" s="14">
        <v>56</v>
      </c>
      <c r="Y41" s="14">
        <f t="shared" si="18"/>
        <v>34</v>
      </c>
    </row>
    <row r="42" spans="1:25" x14ac:dyDescent="0.2">
      <c r="A42" s="83">
        <f t="shared" si="19"/>
        <v>35</v>
      </c>
      <c r="B42" s="39" t="str">
        <f t="shared" ca="1" si="20"/>
        <v>Emptage, Nick</v>
      </c>
      <c r="C42" s="40">
        <f t="shared" ca="1" si="21"/>
        <v>0</v>
      </c>
      <c r="D42" s="40">
        <f t="shared" si="22"/>
        <v>42</v>
      </c>
      <c r="E42" s="25">
        <f t="shared" si="23"/>
        <v>0.46666666666666667</v>
      </c>
      <c r="F42" s="11">
        <f t="shared" si="24"/>
        <v>12</v>
      </c>
      <c r="G42" s="43">
        <v>28</v>
      </c>
      <c r="H42" s="20">
        <f t="shared" si="25"/>
        <v>-7</v>
      </c>
      <c r="I42" s="17">
        <f t="shared" ca="1" si="26"/>
        <v>8</v>
      </c>
      <c r="J42" s="17">
        <f t="shared" ca="1" si="27"/>
        <v>0</v>
      </c>
      <c r="K42" s="46">
        <f ca="1">IF($D$2&gt;=(COLUMN()-10),HLOOKUP($B42,INDIRECT(ADDRESS(2,11,1,,K$3)):INDIRECT(ADDRESS(25,playercnt+10,1,,K$3)),24),"")</f>
        <v>3</v>
      </c>
      <c r="L42" s="46">
        <f ca="1">IF($D$2&gt;=(COLUMN()-10),HLOOKUP($B42,INDIRECT(ADDRESS(2,11,1,,L$3)):INDIRECT(ADDRESS(25,playercnt+10,1,,L$3)),24),"")</f>
        <v>5</v>
      </c>
      <c r="M42" s="46">
        <f ca="1">IF($D$2&gt;=(COLUMN()-10),HLOOKUP($B42,INDIRECT(ADDRESS(2,11,1,,M$3)):INDIRECT(ADDRESS(25,playercnt+10,1,,M$3)),24),"")</f>
        <v>5</v>
      </c>
      <c r="N42" s="46">
        <f ca="1">IF($D$2&gt;=(COLUMN()-10),HLOOKUP($B42,INDIRECT(ADDRESS(2,11,1,,N$3)):INDIRECT(ADDRESS(25,playercnt+10,1,,N$3)),24),"")</f>
        <v>0</v>
      </c>
      <c r="O42" s="46">
        <f ca="1">IF($D$2&gt;=(COLUMN()-10),HLOOKUP($B42,INDIRECT(ADDRESS(2,11,1,,O$3)):INDIRECT(ADDRESS(25,playercnt+10,1,,O$3)),24),"")</f>
        <v>6</v>
      </c>
      <c r="P42" s="46">
        <f ca="1">IF($D$2&gt;=(COLUMN()-10),HLOOKUP($B42,INDIRECT(ADDRESS(2,11,1,,P$3)):INDIRECT(ADDRESS(25,playercnt+10,1,,P$3)),24),"")</f>
        <v>7</v>
      </c>
      <c r="Q42" s="46">
        <f ca="1">IF($D$2&gt;=(COLUMN()-10),HLOOKUP($B42,INDIRECT(ADDRESS(2,11,1,,Q$3)):INDIRECT(ADDRESS(25,playercnt+10,1,,Q$3)),24),"")</f>
        <v>8</v>
      </c>
      <c r="R42" s="46">
        <f ca="1">IF($D$2&gt;=(COLUMN()-10),HLOOKUP($B42,INDIRECT(ADDRESS(2,11,1,,R$3)):INDIRECT(ADDRESS(25,playercnt+10,1,,R$3)),24),"")</f>
        <v>5</v>
      </c>
      <c r="S42" s="46">
        <f ca="1">IF($D$2&gt;=(COLUMN()-10),HLOOKUP($B42,INDIRECT(ADDRESS(2,11,1,,S$3)):INDIRECT(ADDRESS(25,playercnt+10,1,,S$3)),24),"")</f>
        <v>3</v>
      </c>
      <c r="T42" s="46" t="str">
        <f ca="1">IF($D$2&gt;=(COLUMN()-10),HLOOKUP($B42,INDIRECT(ADDRESS(2,11,1,,T$3)):INDIRECT(ADDRESS(25,playercnt+10,1,,T$3)),24),"")</f>
        <v/>
      </c>
      <c r="U42" s="46" t="str">
        <f ca="1">IF($D$2&gt;=(COLUMN()-10),HLOOKUP($B42,INDIRECT(ADDRESS(2,11,1,,U$3)):INDIRECT(ADDRESS(25,playercnt+10,1,,U$3)),24),"")</f>
        <v/>
      </c>
      <c r="V42" s="46" t="str">
        <f ca="1">IF($D$2&gt;=(COLUMN()-10),HLOOKUP($B42,INDIRECT(ADDRESS(2,11,1,,V$3)):INDIRECT(ADDRESS(25,playercnt+10,1,,V$3)),24),"")</f>
        <v/>
      </c>
      <c r="W42" s="46" t="str">
        <f ca="1">IF($D$2&gt;=(COLUMN()-10),HLOOKUP($B42,INDIRECT(ADDRESS(2,11,1,,W$3)):INDIRECT(ADDRESS(25,playercnt+10,1,,W$3)),24),"")</f>
        <v/>
      </c>
      <c r="X42" s="47">
        <v>14</v>
      </c>
      <c r="Y42" s="14">
        <f t="shared" si="18"/>
        <v>35</v>
      </c>
    </row>
    <row r="43" spans="1:25" x14ac:dyDescent="0.2">
      <c r="A43" s="83">
        <f t="shared" si="19"/>
        <v>35</v>
      </c>
      <c r="B43" s="39" t="str">
        <f t="shared" ca="1" si="20"/>
        <v>James, Larry Remote</v>
      </c>
      <c r="C43" s="40">
        <f t="shared" ca="1" si="21"/>
        <v>0</v>
      </c>
      <c r="D43" s="40">
        <f t="shared" si="22"/>
        <v>42</v>
      </c>
      <c r="E43" s="25">
        <f t="shared" si="23"/>
        <v>0.46666666666666667</v>
      </c>
      <c r="F43" s="11">
        <f t="shared" si="24"/>
        <v>12</v>
      </c>
      <c r="G43" s="16">
        <v>17</v>
      </c>
      <c r="H43" s="20">
        <f t="shared" si="25"/>
        <v>-18</v>
      </c>
      <c r="I43" s="17">
        <f t="shared" ca="1" si="26"/>
        <v>6</v>
      </c>
      <c r="J43" s="17">
        <f t="shared" ca="1" si="27"/>
        <v>1</v>
      </c>
      <c r="K43" s="46">
        <f ca="1">IF($D$2&gt;=(COLUMN()-10),HLOOKUP($B43,INDIRECT(ADDRESS(2,11,1,,K$3)):INDIRECT(ADDRESS(25,playercnt+10,1,,K$3)),24),"")</f>
        <v>4</v>
      </c>
      <c r="L43" s="46">
        <f ca="1">IF($D$2&gt;=(COLUMN()-10),HLOOKUP($B43,INDIRECT(ADDRESS(2,11,1,,L$3)):INDIRECT(ADDRESS(25,playercnt+10,1,,L$3)),24),"")</f>
        <v>6</v>
      </c>
      <c r="M43" s="46">
        <f ca="1">IF($D$2&gt;=(COLUMN()-10),HLOOKUP($B43,INDIRECT(ADDRESS(2,11,1,,M$3)):INDIRECT(ADDRESS(25,playercnt+10,1,,M$3)),24),"")</f>
        <v>6</v>
      </c>
      <c r="N43" s="46">
        <f ca="1">IF($D$2&gt;=(COLUMN()-10),HLOOKUP($B43,INDIRECT(ADDRESS(2,11,1,,N$3)):INDIRECT(ADDRESS(25,playercnt+10,1,,N$3)),24),"")</f>
        <v>4</v>
      </c>
      <c r="O43" s="46">
        <f ca="1">IF($D$2&gt;=(COLUMN()-10),HLOOKUP($B43,INDIRECT(ADDRESS(2,11,1,,O$3)):INDIRECT(ADDRESS(25,playercnt+10,1,,O$3)),24),"")</f>
        <v>6</v>
      </c>
      <c r="P43" s="46">
        <f ca="1">IF($D$2&gt;=(COLUMN()-10),HLOOKUP($B43,INDIRECT(ADDRESS(2,11,1,,P$3)):INDIRECT(ADDRESS(25,playercnt+10,1,,P$3)),24),"")</f>
        <v>4</v>
      </c>
      <c r="Q43" s="46">
        <f ca="1">IF($D$2&gt;=(COLUMN()-10),HLOOKUP($B43,INDIRECT(ADDRESS(2,11,1,,Q$3)):INDIRECT(ADDRESS(25,playercnt+10,1,,Q$3)),24),"")</f>
        <v>5</v>
      </c>
      <c r="R43" s="46">
        <f ca="1">IF($D$2&gt;=(COLUMN()-10),HLOOKUP($B43,INDIRECT(ADDRESS(2,11,1,,R$3)):INDIRECT(ADDRESS(25,playercnt+10,1,,R$3)),24),"")</f>
        <v>6</v>
      </c>
      <c r="S43" s="46">
        <f ca="1">IF($D$2&gt;=(COLUMN()-10),HLOOKUP($B43,INDIRECT(ADDRESS(2,11,1,,S$3)):INDIRECT(ADDRESS(25,playercnt+10,1,,S$3)),24),"")</f>
        <v>1</v>
      </c>
      <c r="T43" s="46" t="str">
        <f ca="1">IF($D$2&gt;=(COLUMN()-10),HLOOKUP($B43,INDIRECT(ADDRESS(2,11,1,,T$3)):INDIRECT(ADDRESS(25,playercnt+10,1,,T$3)),24),"")</f>
        <v/>
      </c>
      <c r="U43" s="46" t="str">
        <f ca="1">IF($D$2&gt;=(COLUMN()-10),HLOOKUP($B43,INDIRECT(ADDRESS(2,11,1,,U$3)):INDIRECT(ADDRESS(25,playercnt+10,1,,U$3)),24),"")</f>
        <v/>
      </c>
      <c r="V43" s="46" t="str">
        <f ca="1">IF($D$2&gt;=(COLUMN()-10),HLOOKUP($B43,INDIRECT(ADDRESS(2,11,1,,V$3)):INDIRECT(ADDRESS(25,playercnt+10,1,,V$3)),24),"")</f>
        <v/>
      </c>
      <c r="W43" s="46" t="str">
        <f ca="1">IF($D$2&gt;=(COLUMN()-10),HLOOKUP($B43,INDIRECT(ADDRESS(2,11,1,,W$3)):INDIRECT(ADDRESS(25,playercnt+10,1,,W$3)),24),"")</f>
        <v/>
      </c>
      <c r="X43" s="14">
        <v>22</v>
      </c>
      <c r="Y43" s="14">
        <f t="shared" si="18"/>
        <v>36</v>
      </c>
    </row>
    <row r="44" spans="1:25" x14ac:dyDescent="0.2">
      <c r="A44" s="83">
        <f t="shared" si="19"/>
        <v>35</v>
      </c>
      <c r="B44" s="39" t="str">
        <f t="shared" ca="1" si="20"/>
        <v>Sapp, Carl G</v>
      </c>
      <c r="C44" s="40">
        <f t="shared" ca="1" si="21"/>
        <v>0</v>
      </c>
      <c r="D44" s="40">
        <f t="shared" si="22"/>
        <v>42</v>
      </c>
      <c r="E44" s="25">
        <f t="shared" si="23"/>
        <v>0.46666666666666667</v>
      </c>
      <c r="F44" s="11">
        <f t="shared" si="24"/>
        <v>12</v>
      </c>
      <c r="G44" s="43">
        <v>34</v>
      </c>
      <c r="H44" s="20">
        <f t="shared" si="25"/>
        <v>-1</v>
      </c>
      <c r="I44" s="17">
        <f t="shared" ca="1" si="26"/>
        <v>7</v>
      </c>
      <c r="J44" s="17">
        <f t="shared" ca="1" si="27"/>
        <v>3</v>
      </c>
      <c r="K44" s="46">
        <f ca="1">IF($D$2&gt;=(COLUMN()-10),HLOOKUP($B44,INDIRECT(ADDRESS(2,11,1,,K$3)):INDIRECT(ADDRESS(25,playercnt+10,1,,K$3)),24),"")</f>
        <v>4</v>
      </c>
      <c r="L44" s="46">
        <f ca="1">IF($D$2&gt;=(COLUMN()-10),HLOOKUP($B44,INDIRECT(ADDRESS(2,11,1,,L$3)):INDIRECT(ADDRESS(25,playercnt+10,1,,L$3)),24),"")</f>
        <v>4</v>
      </c>
      <c r="M44" s="46">
        <f ca="1">IF($D$2&gt;=(COLUMN()-10),HLOOKUP($B44,INDIRECT(ADDRESS(2,11,1,,M$3)):INDIRECT(ADDRESS(25,playercnt+10,1,,M$3)),24),"")</f>
        <v>5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3</v>
      </c>
      <c r="P44" s="46">
        <f ca="1">IF($D$2&gt;=(COLUMN()-10),HLOOKUP($B44,INDIRECT(ADDRESS(2,11,1,,P$3)):INDIRECT(ADDRESS(25,playercnt+10,1,,P$3)),24),"")</f>
        <v>3</v>
      </c>
      <c r="Q44" s="46">
        <f ca="1">IF($D$2&gt;=(COLUMN()-10),HLOOKUP($B44,INDIRECT(ADDRESS(2,11,1,,Q$3)):INDIRECT(ADDRESS(25,playercnt+10,1,,Q$3)),24),"")</f>
        <v>5</v>
      </c>
      <c r="R44" s="46">
        <f ca="1">IF($D$2&gt;=(COLUMN()-10),HLOOKUP($B44,INDIRECT(ADDRESS(2,11,1,,R$3)):INDIRECT(ADDRESS(25,playercnt+10,1,,R$3)),24),"")</f>
        <v>7</v>
      </c>
      <c r="S44" s="46">
        <f ca="1">IF($D$2&gt;=(COLUMN()-10),HLOOKUP($B44,INDIRECT(ADDRESS(2,11,1,,S$3)):INDIRECT(ADDRESS(25,playercnt+10,1,,S$3)),24),"")</f>
        <v>4</v>
      </c>
      <c r="T44" s="46" t="str">
        <f ca="1">IF($D$2&gt;=(COLUMN()-10),HLOOKUP($B44,INDIRECT(ADDRESS(2,11,1,,T$3)):INDIRECT(ADDRESS(25,playercnt+10,1,,T$3)),24),"")</f>
        <v/>
      </c>
      <c r="U44" s="46" t="str">
        <f ca="1">IF($D$2&gt;=(COLUMN()-10),HLOOKUP($B44,INDIRECT(ADDRESS(2,11,1,,U$3)):INDIRECT(ADDRESS(25,playercnt+10,1,,U$3)),24),"")</f>
        <v/>
      </c>
      <c r="V44" s="46" t="str">
        <f ca="1">IF($D$2&gt;=(COLUMN()-10),HLOOKUP($B44,INDIRECT(ADDRESS(2,11,1,,V$3)):INDIRECT(ADDRESS(25,playercnt+10,1,,V$3)),24),"")</f>
        <v/>
      </c>
      <c r="W44" s="46" t="str">
        <f ca="1">IF($D$2&gt;=(COLUMN()-10),HLOOKUP($B44,INDIRECT(ADDRESS(2,11,1,,W$3)):INDIRECT(ADDRESS(25,playercnt+10,1,,W$3)),24),"")</f>
        <v/>
      </c>
      <c r="X44" s="47">
        <v>45</v>
      </c>
      <c r="Y44" s="14">
        <f t="shared" si="18"/>
        <v>37</v>
      </c>
    </row>
    <row r="45" spans="1:25" x14ac:dyDescent="0.2">
      <c r="A45" s="83">
        <f t="shared" si="19"/>
        <v>38</v>
      </c>
      <c r="B45" s="39" t="str">
        <f t="shared" ca="1" si="20"/>
        <v>Gilmer, Justin T</v>
      </c>
      <c r="C45" s="40">
        <f t="shared" ca="1" si="21"/>
        <v>0</v>
      </c>
      <c r="D45" s="40">
        <f t="shared" si="22"/>
        <v>41</v>
      </c>
      <c r="E45" s="25">
        <f t="shared" si="23"/>
        <v>0.45555555555555555</v>
      </c>
      <c r="F45" s="11">
        <f t="shared" si="24"/>
        <v>13</v>
      </c>
      <c r="G45" s="16">
        <v>17</v>
      </c>
      <c r="H45" s="20">
        <f t="shared" si="25"/>
        <v>-21</v>
      </c>
      <c r="I45" s="17">
        <f t="shared" ca="1" si="26"/>
        <v>8</v>
      </c>
      <c r="J45" s="17">
        <f t="shared" ca="1" si="27"/>
        <v>0</v>
      </c>
      <c r="K45" s="46">
        <f ca="1">IF($D$2&gt;=(COLUMN()-10),HLOOKUP($B45,INDIRECT(ADDRESS(2,11,1,,K$3)):INDIRECT(ADDRESS(25,playercnt+10,1,,K$3)),24),"")</f>
        <v>5</v>
      </c>
      <c r="L45" s="46">
        <f ca="1">IF($D$2&gt;=(COLUMN()-10),HLOOKUP($B45,INDIRECT(ADDRESS(2,11,1,,L$3)):INDIRECT(ADDRESS(25,playercnt+10,1,,L$3)),24),"")</f>
        <v>8</v>
      </c>
      <c r="M45" s="46">
        <f ca="1">IF($D$2&gt;=(COLUMN()-10),HLOOKUP($B45,INDIRECT(ADDRESS(2,11,1,,M$3)):INDIRECT(ADDRESS(25,playercnt+10,1,,M$3)),24),"")</f>
        <v>7</v>
      </c>
      <c r="N45" s="46">
        <f ca="1">IF($D$2&gt;=(COLUMN()-10),HLOOKUP($B45,INDIRECT(ADDRESS(2,11,1,,N$3)):INDIRECT(ADDRESS(25,playercnt+10,1,,N$3)),24),"")</f>
        <v>5</v>
      </c>
      <c r="O45" s="46">
        <f ca="1">IF($D$2&gt;=(COLUMN()-10),HLOOKUP($B45,INDIRECT(ADDRESS(2,11,1,,O$3)):INDIRECT(ADDRESS(25,playercnt+10,1,,O$3)),24),"")</f>
        <v>0</v>
      </c>
      <c r="P45" s="46">
        <f ca="1">IF($D$2&gt;=(COLUMN()-10),HLOOKUP($B45,INDIRECT(ADDRESS(2,11,1,,P$3)):INDIRECT(ADDRESS(25,playercnt+10,1,,P$3)),24),"")</f>
        <v>5</v>
      </c>
      <c r="Q45" s="46">
        <f ca="1">IF($D$2&gt;=(COLUMN()-10),HLOOKUP($B45,INDIRECT(ADDRESS(2,11,1,,Q$3)):INDIRECT(ADDRESS(25,playercnt+10,1,,Q$3)),24),"")</f>
        <v>7</v>
      </c>
      <c r="R45" s="46">
        <f ca="1">IF($D$2&gt;=(COLUMN()-10),HLOOKUP($B45,INDIRECT(ADDRESS(2,11,1,,R$3)):INDIRECT(ADDRESS(25,playercnt+10,1,,R$3)),24),"")</f>
        <v>4</v>
      </c>
      <c r="S45" s="46">
        <f ca="1">IF($D$2&gt;=(COLUMN()-10),HLOOKUP($B45,INDIRECT(ADDRESS(2,11,1,,S$3)):INDIRECT(ADDRESS(25,playercnt+10,1,,S$3)),24),"")</f>
        <v>0</v>
      </c>
      <c r="T45" s="46" t="str">
        <f ca="1">IF($D$2&gt;=(COLUMN()-10),HLOOKUP($B45,INDIRECT(ADDRESS(2,11,1,,T$3)):INDIRECT(ADDRESS(25,playercnt+10,1,,T$3)),24),"")</f>
        <v/>
      </c>
      <c r="U45" s="46" t="str">
        <f ca="1">IF($D$2&gt;=(COLUMN()-10),HLOOKUP($B45,INDIRECT(ADDRESS(2,11,1,,U$3)):INDIRECT(ADDRESS(25,playercnt+10,1,,U$3)),24),"")</f>
        <v/>
      </c>
      <c r="V45" s="46" t="str">
        <f ca="1">IF($D$2&gt;=(COLUMN()-10),HLOOKUP($B45,INDIRECT(ADDRESS(2,11,1,,V$3)):INDIRECT(ADDRESS(25,playercnt+10,1,,V$3)),24),"")</f>
        <v/>
      </c>
      <c r="W45" s="46" t="str">
        <f ca="1">IF($D$2&gt;=(COLUMN()-10),HLOOKUP($B45,INDIRECT(ADDRESS(2,11,1,,W$3)):INDIRECT(ADDRESS(25,playercnt+10,1,,W$3)),24),"")</f>
        <v/>
      </c>
      <c r="X45" s="14">
        <v>17</v>
      </c>
      <c r="Y45" s="14">
        <f t="shared" ref="Y45:Y50" si="28">Y44+1</f>
        <v>38</v>
      </c>
    </row>
    <row r="46" spans="1:25" x14ac:dyDescent="0.2">
      <c r="A46" s="83">
        <f t="shared" si="19"/>
        <v>39</v>
      </c>
      <c r="B46" s="39" t="str">
        <f t="shared" ca="1" si="20"/>
        <v>Daffron, Christopher</v>
      </c>
      <c r="C46" s="40">
        <f t="shared" ca="1" si="21"/>
        <v>0</v>
      </c>
      <c r="D46" s="40">
        <f t="shared" si="22"/>
        <v>40</v>
      </c>
      <c r="E46" s="25">
        <f t="shared" si="23"/>
        <v>0.44444444444444442</v>
      </c>
      <c r="F46" s="11">
        <f t="shared" si="24"/>
        <v>14</v>
      </c>
      <c r="G46" s="43">
        <v>37</v>
      </c>
      <c r="H46" s="20">
        <f t="shared" si="25"/>
        <v>-2</v>
      </c>
      <c r="I46" s="17">
        <f t="shared" ca="1" si="26"/>
        <v>8</v>
      </c>
      <c r="J46" s="17">
        <f t="shared" ca="1" si="27"/>
        <v>0</v>
      </c>
      <c r="K46" s="46">
        <f ca="1">IF($D$2&gt;=(COLUMN()-10),HLOOKUP($B46,INDIRECT(ADDRESS(2,11,1,,K$3)):INDIRECT(ADDRESS(25,playercnt+10,1,,K$3)),24),"")</f>
        <v>4</v>
      </c>
      <c r="L46" s="46">
        <f ca="1">IF($D$2&gt;=(COLUMN()-10),HLOOKUP($B46,INDIRECT(ADDRESS(2,11,1,,L$3)):INDIRECT(ADDRESS(25,playercnt+10,1,,L$3)),24),"")</f>
        <v>4</v>
      </c>
      <c r="M46" s="46">
        <f ca="1">IF($D$2&gt;=(COLUMN()-10),HLOOKUP($B46,INDIRECT(ADDRESS(2,11,1,,M$3)):INDIRECT(ADDRESS(25,playercnt+10,1,,M$3)),24),"")</f>
        <v>0</v>
      </c>
      <c r="N46" s="46">
        <f ca="1">IF($D$2&gt;=(COLUMN()-10),HLOOKUP($B46,INDIRECT(ADDRESS(2,11,1,,N$3)):INDIRECT(ADDRESS(25,playercnt+10,1,,N$3)),24),"")</f>
        <v>5</v>
      </c>
      <c r="O46" s="46">
        <f ca="1">IF($D$2&gt;=(COLUMN()-10),HLOOKUP($B46,INDIRECT(ADDRESS(2,11,1,,O$3)):INDIRECT(ADDRESS(25,playercnt+10,1,,O$3)),24),"")</f>
        <v>6</v>
      </c>
      <c r="P46" s="46">
        <f ca="1">IF($D$2&gt;=(COLUMN()-10),HLOOKUP($B46,INDIRECT(ADDRESS(2,11,1,,P$3)):INDIRECT(ADDRESS(25,playercnt+10,1,,P$3)),24),"")</f>
        <v>4</v>
      </c>
      <c r="Q46" s="46">
        <f ca="1">IF($D$2&gt;=(COLUMN()-10),HLOOKUP($B46,INDIRECT(ADDRESS(2,11,1,,Q$3)):INDIRECT(ADDRESS(25,playercnt+10,1,,Q$3)),24),"")</f>
        <v>6</v>
      </c>
      <c r="R46" s="46">
        <f ca="1">IF($D$2&gt;=(COLUMN()-10),HLOOKUP($B46,INDIRECT(ADDRESS(2,11,1,,R$3)):INDIRECT(ADDRESS(25,playercnt+10,1,,R$3)),24),"")</f>
        <v>8</v>
      </c>
      <c r="S46" s="46">
        <f ca="1">IF($D$2&gt;=(COLUMN()-10),HLOOKUP($B46,INDIRECT(ADDRESS(2,11,1,,S$3)):INDIRECT(ADDRESS(25,playercnt+10,1,,S$3)),24),"")</f>
        <v>3</v>
      </c>
      <c r="T46" s="46" t="str">
        <f ca="1">IF($D$2&gt;=(COLUMN()-10),HLOOKUP($B46,INDIRECT(ADDRESS(2,11,1,,T$3)):INDIRECT(ADDRESS(25,playercnt+10,1,,T$3)),24),"")</f>
        <v/>
      </c>
      <c r="U46" s="46" t="str">
        <f ca="1">IF($D$2&gt;=(COLUMN()-10),HLOOKUP($B46,INDIRECT(ADDRESS(2,11,1,,U$3)):INDIRECT(ADDRESS(25,playercnt+10,1,,U$3)),24),"")</f>
        <v/>
      </c>
      <c r="V46" s="46" t="str">
        <f ca="1">IF($D$2&gt;=(COLUMN()-10),HLOOKUP($B46,INDIRECT(ADDRESS(2,11,1,,V$3)):INDIRECT(ADDRESS(25,playercnt+10,1,,V$3)),24),"")</f>
        <v/>
      </c>
      <c r="W46" s="46" t="str">
        <f ca="1">IF($D$2&gt;=(COLUMN()-10),HLOOKUP($B46,INDIRECT(ADDRESS(2,11,1,,W$3)):INDIRECT(ADDRESS(25,playercnt+10,1,,W$3)),24),"")</f>
        <v/>
      </c>
      <c r="X46" s="47">
        <v>7</v>
      </c>
      <c r="Y46" s="14">
        <f t="shared" si="28"/>
        <v>39</v>
      </c>
    </row>
    <row r="47" spans="1:25" x14ac:dyDescent="0.2">
      <c r="A47" s="83">
        <f t="shared" si="19"/>
        <v>39</v>
      </c>
      <c r="B47" s="39" t="str">
        <f t="shared" ca="1" si="20"/>
        <v>Desetto, Daniel</v>
      </c>
      <c r="C47" s="40">
        <f t="shared" ca="1" si="21"/>
        <v>0</v>
      </c>
      <c r="D47" s="40">
        <f t="shared" si="22"/>
        <v>40</v>
      </c>
      <c r="E47" s="25">
        <f t="shared" si="23"/>
        <v>0.44444444444444442</v>
      </c>
      <c r="F47" s="11">
        <f t="shared" si="24"/>
        <v>14</v>
      </c>
      <c r="G47" s="16">
        <v>37</v>
      </c>
      <c r="H47" s="20">
        <f t="shared" si="25"/>
        <v>-2</v>
      </c>
      <c r="I47" s="17">
        <f t="shared" ca="1" si="26"/>
        <v>7</v>
      </c>
      <c r="J47" s="17">
        <f t="shared" ca="1" si="27"/>
        <v>3</v>
      </c>
      <c r="K47" s="46">
        <f ca="1">IF($D$2&gt;=(COLUMN()-10),HLOOKUP($B47,INDIRECT(ADDRESS(2,11,1,,K$3)):INDIRECT(ADDRESS(25,playercnt+10,1,,K$3)),24),"")</f>
        <v>3</v>
      </c>
      <c r="L47" s="46">
        <f ca="1">IF($D$2&gt;=(COLUMN()-10),HLOOKUP($B47,INDIRECT(ADDRESS(2,11,1,,L$3)):INDIRECT(ADDRESS(25,playercnt+10,1,,L$3)),24),"")</f>
        <v>4</v>
      </c>
      <c r="M47" s="46">
        <f ca="1">IF($D$2&gt;=(COLUMN()-10),HLOOKUP($B47,INDIRECT(ADDRESS(2,11,1,,M$3)):INDIRECT(ADDRESS(25,playercnt+10,1,,M$3)),24),"")</f>
        <v>4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6</v>
      </c>
      <c r="P47" s="46">
        <f ca="1">IF($D$2&gt;=(COLUMN()-10),HLOOKUP($B47,INDIRECT(ADDRESS(2,11,1,,P$3)):INDIRECT(ADDRESS(25,playercnt+10,1,,P$3)),24),"")</f>
        <v>3</v>
      </c>
      <c r="Q47" s="46">
        <f ca="1">IF($D$2&gt;=(COLUMN()-10),HLOOKUP($B47,INDIRECT(ADDRESS(2,11,1,,Q$3)):INDIRECT(ADDRESS(25,playercnt+10,1,,Q$3)),24),"")</f>
        <v>4</v>
      </c>
      <c r="R47" s="46">
        <f ca="1">IF($D$2&gt;=(COLUMN()-10),HLOOKUP($B47,INDIRECT(ADDRESS(2,11,1,,R$3)):INDIRECT(ADDRESS(25,playercnt+10,1,,R$3)),24),"")</f>
        <v>6</v>
      </c>
      <c r="S47" s="46">
        <f ca="1">IF($D$2&gt;=(COLUMN()-10),HLOOKUP($B47,INDIRECT(ADDRESS(2,11,1,,S$3)):INDIRECT(ADDRESS(25,playercnt+10,1,,S$3)),24),"")</f>
        <v>3</v>
      </c>
      <c r="T47" s="46" t="str">
        <f ca="1">IF($D$2&gt;=(COLUMN()-10),HLOOKUP($B47,INDIRECT(ADDRESS(2,11,1,,T$3)):INDIRECT(ADDRESS(25,playercnt+10,1,,T$3)),24),"")</f>
        <v/>
      </c>
      <c r="U47" s="46" t="str">
        <f ca="1">IF($D$2&gt;=(COLUMN()-10),HLOOKUP($B47,INDIRECT(ADDRESS(2,11,1,,U$3)):INDIRECT(ADDRESS(25,playercnt+10,1,,U$3)),24),"")</f>
        <v/>
      </c>
      <c r="V47" s="46" t="str">
        <f ca="1">IF($D$2&gt;=(COLUMN()-10),HLOOKUP($B47,INDIRECT(ADDRESS(2,11,1,,V$3)):INDIRECT(ADDRESS(25,playercnt+10,1,,V$3)),24),"")</f>
        <v/>
      </c>
      <c r="W47" s="46" t="str">
        <f ca="1">IF($D$2&gt;=(COLUMN()-10),HLOOKUP($B47,INDIRECT(ADDRESS(2,11,1,,W$3)):INDIRECT(ADDRESS(25,playercnt+10,1,,W$3)),24),"")</f>
        <v/>
      </c>
      <c r="X47" s="14">
        <v>9</v>
      </c>
      <c r="Y47" s="14">
        <f t="shared" si="28"/>
        <v>40</v>
      </c>
    </row>
    <row r="48" spans="1:25" x14ac:dyDescent="0.2">
      <c r="A48" s="83">
        <f t="shared" si="19"/>
        <v>39</v>
      </c>
      <c r="B48" s="39" t="str">
        <f t="shared" ca="1" si="20"/>
        <v>Penrose, Tim Remote</v>
      </c>
      <c r="C48" s="40">
        <f t="shared" ca="1" si="21"/>
        <v>0</v>
      </c>
      <c r="D48" s="40">
        <f t="shared" si="22"/>
        <v>40</v>
      </c>
      <c r="E48" s="25">
        <f t="shared" si="23"/>
        <v>0.44444444444444442</v>
      </c>
      <c r="F48" s="11">
        <f t="shared" si="24"/>
        <v>14</v>
      </c>
      <c r="G48" s="43">
        <v>41</v>
      </c>
      <c r="H48" s="20">
        <f t="shared" si="25"/>
        <v>2</v>
      </c>
      <c r="I48" s="17">
        <f t="shared" ca="1" si="26"/>
        <v>6</v>
      </c>
      <c r="J48" s="17">
        <f t="shared" ca="1" si="27"/>
        <v>2</v>
      </c>
      <c r="K48" s="46">
        <f ca="1">IF($D$2&gt;=(COLUMN()-10),HLOOKUP($B48,INDIRECT(ADDRESS(2,11,1,,K$3)):INDIRECT(ADDRESS(25,playercnt+10,1,,K$3)),24),"")</f>
        <v>5</v>
      </c>
      <c r="L48" s="46">
        <f ca="1">IF($D$2&gt;=(COLUMN()-10),HLOOKUP($B48,INDIRECT(ADDRESS(2,11,1,,L$3)):INDIRECT(ADDRESS(25,playercnt+10,1,,L$3)),24),"")</f>
        <v>6</v>
      </c>
      <c r="M48" s="46">
        <f ca="1">IF($D$2&gt;=(COLUMN()-10),HLOOKUP($B48,INDIRECT(ADDRESS(2,11,1,,M$3)):INDIRECT(ADDRESS(25,playercnt+10,1,,M$3)),24),"")</f>
        <v>6</v>
      </c>
      <c r="N48" s="46">
        <f ca="1">IF($D$2&gt;=(COLUMN()-10),HLOOKUP($B48,INDIRECT(ADDRESS(2,11,1,,N$3)):INDIRECT(ADDRESS(25,playercnt+10,1,,N$3)),24),"")</f>
        <v>4</v>
      </c>
      <c r="O48" s="46">
        <f ca="1">IF($D$2&gt;=(COLUMN()-10),HLOOKUP($B48,INDIRECT(ADDRESS(2,11,1,,O$3)):INDIRECT(ADDRESS(25,playercnt+10,1,,O$3)),24),"")</f>
        <v>2</v>
      </c>
      <c r="P48" s="46">
        <f ca="1">IF($D$2&gt;=(COLUMN()-10),HLOOKUP($B48,INDIRECT(ADDRESS(2,11,1,,P$3)):INDIRECT(ADDRESS(25,playercnt+10,1,,P$3)),24),"")</f>
        <v>4</v>
      </c>
      <c r="Q48" s="46">
        <f ca="1">IF($D$2&gt;=(COLUMN()-10),HLOOKUP($B48,INDIRECT(ADDRESS(2,11,1,,Q$3)):INDIRECT(ADDRESS(25,playercnt+10,1,,Q$3)),24),"")</f>
        <v>6</v>
      </c>
      <c r="R48" s="46">
        <f ca="1">IF($D$2&gt;=(COLUMN()-10),HLOOKUP($B48,INDIRECT(ADDRESS(2,11,1,,R$3)):INDIRECT(ADDRESS(25,playercnt+10,1,,R$3)),24),"")</f>
        <v>3</v>
      </c>
      <c r="S48" s="46">
        <f ca="1">IF($D$2&gt;=(COLUMN()-10),HLOOKUP($B48,INDIRECT(ADDRESS(2,11,1,,S$3)):INDIRECT(ADDRESS(25,playercnt+10,1,,S$3)),24),"")</f>
        <v>4</v>
      </c>
      <c r="T48" s="46" t="str">
        <f ca="1">IF($D$2&gt;=(COLUMN()-10),HLOOKUP($B48,INDIRECT(ADDRESS(2,11,1,,T$3)):INDIRECT(ADDRESS(25,playercnt+10,1,,T$3)),24),"")</f>
        <v/>
      </c>
      <c r="U48" s="46" t="str">
        <f ca="1">IF($D$2&gt;=(COLUMN()-10),HLOOKUP($B48,INDIRECT(ADDRESS(2,11,1,,U$3)):INDIRECT(ADDRESS(25,playercnt+10,1,,U$3)),24),"")</f>
        <v/>
      </c>
      <c r="V48" s="46" t="str">
        <f ca="1">IF($D$2&gt;=(COLUMN()-10),HLOOKUP($B48,INDIRECT(ADDRESS(2,11,1,,V$3)):INDIRECT(ADDRESS(25,playercnt+10,1,,V$3)),24),"")</f>
        <v/>
      </c>
      <c r="W48" s="46" t="str">
        <f ca="1">IF($D$2&gt;=(COLUMN()-10),HLOOKUP($B48,INDIRECT(ADDRESS(2,11,1,,W$3)):INDIRECT(ADDRESS(25,playercnt+10,1,,W$3)),24),"")</f>
        <v/>
      </c>
      <c r="X48" s="47">
        <v>38</v>
      </c>
      <c r="Y48" s="14">
        <f t="shared" si="28"/>
        <v>41</v>
      </c>
    </row>
    <row r="49" spans="1:25" x14ac:dyDescent="0.2">
      <c r="A49" s="83">
        <f t="shared" si="19"/>
        <v>39</v>
      </c>
      <c r="B49" s="39" t="str">
        <f t="shared" ca="1" si="20"/>
        <v>Robbins, Thomas D</v>
      </c>
      <c r="C49" s="40">
        <f t="shared" ca="1" si="21"/>
        <v>0</v>
      </c>
      <c r="D49" s="40">
        <f t="shared" si="22"/>
        <v>40</v>
      </c>
      <c r="E49" s="25">
        <f t="shared" si="23"/>
        <v>0.44444444444444442</v>
      </c>
      <c r="F49" s="11">
        <f t="shared" si="24"/>
        <v>14</v>
      </c>
      <c r="G49" s="16">
        <v>22</v>
      </c>
      <c r="H49" s="20">
        <f t="shared" si="25"/>
        <v>-17</v>
      </c>
      <c r="I49" s="17">
        <f t="shared" ca="1" si="26"/>
        <v>8</v>
      </c>
      <c r="J49" s="17">
        <f t="shared" ca="1" si="27"/>
        <v>0</v>
      </c>
      <c r="K49" s="46">
        <f ca="1">IF($D$2&gt;=(COLUMN()-10),HLOOKUP($B49,INDIRECT(ADDRESS(2,11,1,,K$3)):INDIRECT(ADDRESS(25,playercnt+10,1,,K$3)),24),"")</f>
        <v>8</v>
      </c>
      <c r="L49" s="46">
        <f ca="1">IF($D$2&gt;=(COLUMN()-10),HLOOKUP($B49,INDIRECT(ADDRESS(2,11,1,,L$3)):INDIRECT(ADDRESS(25,playercnt+10,1,,L$3)),24),"")</f>
        <v>5</v>
      </c>
      <c r="M49" s="46">
        <f ca="1">IF($D$2&gt;=(COLUMN()-10),HLOOKUP($B49,INDIRECT(ADDRESS(2,11,1,,M$3)):INDIRECT(ADDRESS(25,playercnt+10,1,,M$3)),24),"")</f>
        <v>5</v>
      </c>
      <c r="N49" s="46">
        <f ca="1">IF($D$2&gt;=(COLUMN()-10),HLOOKUP($B49,INDIRECT(ADDRESS(2,11,1,,N$3)):INDIRECT(ADDRESS(25,playercnt+10,1,,N$3)),24),"")</f>
        <v>4</v>
      </c>
      <c r="O49" s="46">
        <f ca="1">IF($D$2&gt;=(COLUMN()-10),HLOOKUP($B49,INDIRECT(ADDRESS(2,11,1,,O$3)):INDIRECT(ADDRESS(25,playercnt+10,1,,O$3)),24),"")</f>
        <v>6</v>
      </c>
      <c r="P49" s="46">
        <f ca="1">IF($D$2&gt;=(COLUMN()-10),HLOOKUP($B49,INDIRECT(ADDRESS(2,11,1,,P$3)):INDIRECT(ADDRESS(25,playercnt+10,1,,P$3)),24),"")</f>
        <v>0</v>
      </c>
      <c r="Q49" s="46">
        <f ca="1">IF($D$2&gt;=(COLUMN()-10),HLOOKUP($B49,INDIRECT(ADDRESS(2,11,1,,Q$3)):INDIRECT(ADDRESS(25,playercnt+10,1,,Q$3)),24),"")</f>
        <v>5</v>
      </c>
      <c r="R49" s="46">
        <f ca="1">IF($D$2&gt;=(COLUMN()-10),HLOOKUP($B49,INDIRECT(ADDRESS(2,11,1,,R$3)):INDIRECT(ADDRESS(25,playercnt+10,1,,R$3)),24),"")</f>
        <v>7</v>
      </c>
      <c r="S49" s="46">
        <f ca="1">IF($D$2&gt;=(COLUMN()-10),HLOOKUP($B49,INDIRECT(ADDRESS(2,11,1,,S$3)):INDIRECT(ADDRESS(25,playercnt+10,1,,S$3)),24),"")</f>
        <v>0</v>
      </c>
      <c r="T49" s="46" t="str">
        <f ca="1">IF($D$2&gt;=(COLUMN()-10),HLOOKUP($B49,INDIRECT(ADDRESS(2,11,1,,T$3)):INDIRECT(ADDRESS(25,playercnt+10,1,,T$3)),24),"")</f>
        <v/>
      </c>
      <c r="U49" s="46" t="str">
        <f ca="1">IF($D$2&gt;=(COLUMN()-10),HLOOKUP($B49,INDIRECT(ADDRESS(2,11,1,,U$3)):INDIRECT(ADDRESS(25,playercnt+10,1,,U$3)),24),"")</f>
        <v/>
      </c>
      <c r="V49" s="46" t="str">
        <f ca="1">IF($D$2&gt;=(COLUMN()-10),HLOOKUP($B49,INDIRECT(ADDRESS(2,11,1,,V$3)):INDIRECT(ADDRESS(25,playercnt+10,1,,V$3)),24),"")</f>
        <v/>
      </c>
      <c r="W49" s="46" t="str">
        <f ca="1">IF($D$2&gt;=(COLUMN()-10),HLOOKUP($B49,INDIRECT(ADDRESS(2,11,1,,W$3)):INDIRECT(ADDRESS(25,playercnt+10,1,,W$3)),24),"")</f>
        <v/>
      </c>
      <c r="X49" s="14">
        <v>42</v>
      </c>
      <c r="Y49" s="14">
        <f t="shared" si="28"/>
        <v>42</v>
      </c>
    </row>
    <row r="50" spans="1:25" x14ac:dyDescent="0.2">
      <c r="A50" s="83">
        <f t="shared" si="19"/>
        <v>39</v>
      </c>
      <c r="B50" s="39" t="str">
        <f t="shared" ca="1" si="20"/>
        <v>Steel, Van Remote</v>
      </c>
      <c r="C50" s="40">
        <f t="shared" ca="1" si="21"/>
        <v>0</v>
      </c>
      <c r="D50" s="40">
        <f t="shared" si="22"/>
        <v>40</v>
      </c>
      <c r="E50" s="25">
        <f t="shared" si="23"/>
        <v>0.44444444444444442</v>
      </c>
      <c r="F50" s="11">
        <f t="shared" si="24"/>
        <v>14</v>
      </c>
      <c r="G50" s="43">
        <v>41</v>
      </c>
      <c r="H50" s="20">
        <f t="shared" si="25"/>
        <v>2</v>
      </c>
      <c r="I50" s="17">
        <f t="shared" ca="1" si="26"/>
        <v>7</v>
      </c>
      <c r="J50" s="17">
        <f t="shared" ca="1" si="27"/>
        <v>0</v>
      </c>
      <c r="K50" s="46">
        <f ca="1">IF($D$2&gt;=(COLUMN()-10),HLOOKUP($B50,INDIRECT(ADDRESS(2,11,1,,K$3)):INDIRECT(ADDRESS(25,playercnt+10,1,,K$3)),24),"")</f>
        <v>4</v>
      </c>
      <c r="L50" s="46">
        <f ca="1">IF($D$2&gt;=(COLUMN()-10),HLOOKUP($B50,INDIRECT(ADDRESS(2,11,1,,L$3)):INDIRECT(ADDRESS(25,playercnt+10,1,,L$3)),24),"")</f>
        <v>4</v>
      </c>
      <c r="M50" s="46">
        <f ca="1">IF($D$2&gt;=(COLUMN()-10),HLOOKUP($B50,INDIRECT(ADDRESS(2,11,1,,M$3)):INDIRECT(ADDRESS(25,playercnt+10,1,,M$3)),24),"")</f>
        <v>3</v>
      </c>
      <c r="N50" s="46">
        <f ca="1">IF($D$2&gt;=(COLUMN()-10),HLOOKUP($B50,INDIRECT(ADDRESS(2,11,1,,N$3)):INDIRECT(ADDRESS(25,playercnt+10,1,,N$3)),24),"")</f>
        <v>0</v>
      </c>
      <c r="O50" s="46">
        <f ca="1">IF($D$2&gt;=(COLUMN()-10),HLOOKUP($B50,INDIRECT(ADDRESS(2,11,1,,O$3)):INDIRECT(ADDRESS(25,playercnt+10,1,,O$3)),24),"")</f>
        <v>6</v>
      </c>
      <c r="P50" s="46">
        <f ca="1">IF($D$2&gt;=(COLUMN()-10),HLOOKUP($B50,INDIRECT(ADDRESS(2,11,1,,P$3)):INDIRECT(ADDRESS(25,playercnt+10,1,,P$3)),24),"")</f>
        <v>5</v>
      </c>
      <c r="Q50" s="46">
        <f ca="1">IF($D$2&gt;=(COLUMN()-10),HLOOKUP($B50,INDIRECT(ADDRESS(2,11,1,,Q$3)):INDIRECT(ADDRESS(25,playercnt+10,1,,Q$3)),24),"")</f>
        <v>7</v>
      </c>
      <c r="R50" s="46">
        <f ca="1">IF($D$2&gt;=(COLUMN()-10),HLOOKUP($B50,INDIRECT(ADDRESS(2,11,1,,R$3)):INDIRECT(ADDRESS(25,playercnt+10,1,,R$3)),24),"")</f>
        <v>7</v>
      </c>
      <c r="S50" s="46">
        <f ca="1">IF($D$2&gt;=(COLUMN()-10),HLOOKUP($B50,INDIRECT(ADDRESS(2,11,1,,S$3)):INDIRECT(ADDRESS(25,playercnt+10,1,,S$3)),24),"")</f>
        <v>4</v>
      </c>
      <c r="T50" s="46" t="str">
        <f ca="1">IF($D$2&gt;=(COLUMN()-10),HLOOKUP($B50,INDIRECT(ADDRESS(2,11,1,,T$3)):INDIRECT(ADDRESS(25,playercnt+10,1,,T$3)),24),"")</f>
        <v/>
      </c>
      <c r="U50" s="46" t="str">
        <f ca="1">IF($D$2&gt;=(COLUMN()-10),HLOOKUP($B50,INDIRECT(ADDRESS(2,11,1,,U$3)):INDIRECT(ADDRESS(25,playercnt+10,1,,U$3)),24),"")</f>
        <v/>
      </c>
      <c r="V50" s="46" t="str">
        <f ca="1">IF($D$2&gt;=(COLUMN()-10),HLOOKUP($B50,INDIRECT(ADDRESS(2,11,1,,V$3)):INDIRECT(ADDRESS(25,playercnt+10,1,,V$3)),24),"")</f>
        <v/>
      </c>
      <c r="W50" s="46" t="str">
        <f ca="1">IF($D$2&gt;=(COLUMN()-10),HLOOKUP($B50,INDIRECT(ADDRESS(2,11,1,,W$3)):INDIRECT(ADDRESS(25,playercnt+10,1,,W$3)),24),"")</f>
        <v/>
      </c>
      <c r="X50" s="47">
        <v>48</v>
      </c>
      <c r="Y50" s="14">
        <f t="shared" si="28"/>
        <v>43</v>
      </c>
    </row>
    <row r="51" spans="1:25" x14ac:dyDescent="0.2">
      <c r="A51" s="83">
        <f t="shared" si="19"/>
        <v>44</v>
      </c>
      <c r="B51" s="39" t="str">
        <f t="shared" ca="1" si="20"/>
        <v>Desing, Scott M</v>
      </c>
      <c r="C51" s="40">
        <f t="shared" ca="1" si="21"/>
        <v>0</v>
      </c>
      <c r="D51" s="40">
        <f t="shared" si="22"/>
        <v>39</v>
      </c>
      <c r="E51" s="25">
        <f t="shared" si="23"/>
        <v>0.43333333333333335</v>
      </c>
      <c r="F51" s="11">
        <f t="shared" si="24"/>
        <v>15</v>
      </c>
      <c r="G51" s="16">
        <v>41</v>
      </c>
      <c r="H51" s="20">
        <f t="shared" si="25"/>
        <v>-3</v>
      </c>
      <c r="I51" s="17">
        <f t="shared" ca="1" si="26"/>
        <v>7</v>
      </c>
      <c r="J51" s="17">
        <f t="shared" ca="1" si="27"/>
        <v>0</v>
      </c>
      <c r="K51" s="46">
        <f ca="1">IF($D$2&gt;=(COLUMN()-10),HLOOKUP($B51,INDIRECT(ADDRESS(2,11,1,,K$3)):INDIRECT(ADDRESS(25,playercnt+10,1,,K$3)),24),"")</f>
        <v>4</v>
      </c>
      <c r="L51" s="46">
        <f ca="1">IF($D$2&gt;=(COLUMN()-10),HLOOKUP($B51,INDIRECT(ADDRESS(2,11,1,,L$3)):INDIRECT(ADDRESS(25,playercnt+10,1,,L$3)),24),"")</f>
        <v>3</v>
      </c>
      <c r="M51" s="46">
        <f ca="1">IF($D$2&gt;=(COLUMN()-10),HLOOKUP($B51,INDIRECT(ADDRESS(2,11,1,,M$3)):INDIRECT(ADDRESS(25,playercnt+10,1,,M$3)),24),"")</f>
        <v>0</v>
      </c>
      <c r="N51" s="46">
        <f ca="1">IF($D$2&gt;=(COLUMN()-10),HLOOKUP($B51,INDIRECT(ADDRESS(2,11,1,,N$3)):INDIRECT(ADDRESS(25,playercnt+10,1,,N$3)),24),"")</f>
        <v>6</v>
      </c>
      <c r="O51" s="46">
        <f ca="1">IF($D$2&gt;=(COLUMN()-10),HLOOKUP($B51,INDIRECT(ADDRESS(2,11,1,,O$3)):INDIRECT(ADDRESS(25,playercnt+10,1,,O$3)),24),"")</f>
        <v>5</v>
      </c>
      <c r="P51" s="46">
        <f ca="1">IF($D$2&gt;=(COLUMN()-10),HLOOKUP($B51,INDIRECT(ADDRESS(2,11,1,,P$3)):INDIRECT(ADDRESS(25,playercnt+10,1,,P$3)),24),"")</f>
        <v>5</v>
      </c>
      <c r="Q51" s="46">
        <f ca="1">IF($D$2&gt;=(COLUMN()-10),HLOOKUP($B51,INDIRECT(ADDRESS(2,11,1,,Q$3)):INDIRECT(ADDRESS(25,playercnt+10,1,,Q$3)),24),"")</f>
        <v>7</v>
      </c>
      <c r="R51" s="46">
        <f ca="1">IF($D$2&gt;=(COLUMN()-10),HLOOKUP($B51,INDIRECT(ADDRESS(2,11,1,,R$3)):INDIRECT(ADDRESS(25,playercnt+10,1,,R$3)),24),"")</f>
        <v>6</v>
      </c>
      <c r="S51" s="46">
        <f ca="1">IF($D$2&gt;=(COLUMN()-10),HLOOKUP($B51,INDIRECT(ADDRESS(2,11,1,,S$3)):INDIRECT(ADDRESS(25,playercnt+10,1,,S$3)),24),"")</f>
        <v>3</v>
      </c>
      <c r="T51" s="46" t="str">
        <f ca="1">IF($D$2&gt;=(COLUMN()-10),HLOOKUP($B51,INDIRECT(ADDRESS(2,11,1,,T$3)):INDIRECT(ADDRESS(25,playercnt+10,1,,T$3)),24),"")</f>
        <v/>
      </c>
      <c r="U51" s="46" t="str">
        <f ca="1">IF($D$2&gt;=(COLUMN()-10),HLOOKUP($B51,INDIRECT(ADDRESS(2,11,1,,U$3)):INDIRECT(ADDRESS(25,playercnt+10,1,,U$3)),24),"")</f>
        <v/>
      </c>
      <c r="V51" s="46" t="str">
        <f ca="1">IF($D$2&gt;=(COLUMN()-10),HLOOKUP($B51,INDIRECT(ADDRESS(2,11,1,,V$3)):INDIRECT(ADDRESS(25,playercnt+10,1,,V$3)),24),"")</f>
        <v/>
      </c>
      <c r="W51" s="46" t="str">
        <f ca="1">IF($D$2&gt;=(COLUMN()-10),HLOOKUP($B51,INDIRECT(ADDRESS(2,11,1,,W$3)):INDIRECT(ADDRESS(25,playercnt+10,1,,W$3)),24),"")</f>
        <v/>
      </c>
      <c r="X51" s="14">
        <v>11</v>
      </c>
      <c r="Y51" s="14">
        <f t="shared" ref="Y51:Y56" si="29">Y50+1</f>
        <v>44</v>
      </c>
    </row>
    <row r="52" spans="1:25" x14ac:dyDescent="0.2">
      <c r="A52" s="83">
        <f t="shared" si="19"/>
        <v>44</v>
      </c>
      <c r="B52" s="39" t="str">
        <f t="shared" ca="1" si="20"/>
        <v>Nguyen, Thai Remote</v>
      </c>
      <c r="C52" s="40">
        <f t="shared" ca="1" si="21"/>
        <v>0</v>
      </c>
      <c r="D52" s="40">
        <f t="shared" si="22"/>
        <v>39</v>
      </c>
      <c r="E52" s="25">
        <f t="shared" si="23"/>
        <v>0.43333333333333335</v>
      </c>
      <c r="F52" s="11">
        <f t="shared" si="24"/>
        <v>15</v>
      </c>
      <c r="G52" s="43">
        <v>46</v>
      </c>
      <c r="H52" s="20">
        <f t="shared" si="25"/>
        <v>2</v>
      </c>
      <c r="I52" s="17">
        <f t="shared" ca="1" si="26"/>
        <v>6</v>
      </c>
      <c r="J52" s="17">
        <f t="shared" ca="1" si="27"/>
        <v>0</v>
      </c>
      <c r="K52" s="46">
        <f ca="1">IF($D$2&gt;=(COLUMN()-10),HLOOKUP($B52,INDIRECT(ADDRESS(2,11,1,,K$3)):INDIRECT(ADDRESS(25,playercnt+10,1,,K$3)),24),"")</f>
        <v>4</v>
      </c>
      <c r="L52" s="46">
        <f ca="1">IF($D$2&gt;=(COLUMN()-10),HLOOKUP($B52,INDIRECT(ADDRESS(2,11,1,,L$3)):INDIRECT(ADDRESS(25,playercnt+10,1,,L$3)),24),"")</f>
        <v>4</v>
      </c>
      <c r="M52" s="46">
        <f ca="1">IF($D$2&gt;=(COLUMN()-10),HLOOKUP($B52,INDIRECT(ADDRESS(2,11,1,,M$3)):INDIRECT(ADDRESS(25,playercnt+10,1,,M$3)),24),"")</f>
        <v>6</v>
      </c>
      <c r="N52" s="46">
        <f ca="1">IF($D$2&gt;=(COLUMN()-10),HLOOKUP($B52,INDIRECT(ADDRESS(2,11,1,,N$3)):INDIRECT(ADDRESS(25,playercnt+10,1,,N$3)),24),"")</f>
        <v>4</v>
      </c>
      <c r="O52" s="46">
        <f ca="1">IF($D$2&gt;=(COLUMN()-10),HLOOKUP($B52,INDIRECT(ADDRESS(2,11,1,,O$3)):INDIRECT(ADDRESS(25,playercnt+10,1,,O$3)),24),"")</f>
        <v>5</v>
      </c>
      <c r="P52" s="46">
        <f ca="1">IF($D$2&gt;=(COLUMN()-10),HLOOKUP($B52,INDIRECT(ADDRESS(2,11,1,,P$3)):INDIRECT(ADDRESS(25,playercnt+10,1,,P$3)),24),"")</f>
        <v>0</v>
      </c>
      <c r="Q52" s="46">
        <f ca="1">IF($D$2&gt;=(COLUMN()-10),HLOOKUP($B52,INDIRECT(ADDRESS(2,11,1,,Q$3)):INDIRECT(ADDRESS(25,playercnt+10,1,,Q$3)),24),"")</f>
        <v>6</v>
      </c>
      <c r="R52" s="46">
        <f ca="1">IF($D$2&gt;=(COLUMN()-10),HLOOKUP($B52,INDIRECT(ADDRESS(2,11,1,,R$3)):INDIRECT(ADDRESS(25,playercnt+10,1,,R$3)),24),"")</f>
        <v>4</v>
      </c>
      <c r="S52" s="46">
        <f ca="1">IF($D$2&gt;=(COLUMN()-10),HLOOKUP($B52,INDIRECT(ADDRESS(2,11,1,,S$3)):INDIRECT(ADDRESS(25,playercnt+10,1,,S$3)),24),"")</f>
        <v>6</v>
      </c>
      <c r="T52" s="46" t="str">
        <f ca="1">IF($D$2&gt;=(COLUMN()-10),HLOOKUP($B52,INDIRECT(ADDRESS(2,11,1,,T$3)):INDIRECT(ADDRESS(25,playercnt+10,1,,T$3)),24),"")</f>
        <v/>
      </c>
      <c r="U52" s="46" t="str">
        <f ca="1">IF($D$2&gt;=(COLUMN()-10),HLOOKUP($B52,INDIRECT(ADDRESS(2,11,1,,U$3)):INDIRECT(ADDRESS(25,playercnt+10,1,,U$3)),24),"")</f>
        <v/>
      </c>
      <c r="V52" s="46" t="str">
        <f ca="1">IF($D$2&gt;=(COLUMN()-10),HLOOKUP($B52,INDIRECT(ADDRESS(2,11,1,,V$3)):INDIRECT(ADDRESS(25,playercnt+10,1,,V$3)),24),"")</f>
        <v/>
      </c>
      <c r="W52" s="46" t="str">
        <f ca="1">IF($D$2&gt;=(COLUMN()-10),HLOOKUP($B52,INDIRECT(ADDRESS(2,11,1,,W$3)):INDIRECT(ADDRESS(25,playercnt+10,1,,W$3)),24),"")</f>
        <v/>
      </c>
      <c r="X52" s="47">
        <v>36</v>
      </c>
      <c r="Y52" s="14">
        <f t="shared" si="29"/>
        <v>45</v>
      </c>
    </row>
    <row r="53" spans="1:25" x14ac:dyDescent="0.2">
      <c r="A53" s="83">
        <f t="shared" si="19"/>
        <v>44</v>
      </c>
      <c r="B53" s="39" t="str">
        <f t="shared" ca="1" si="20"/>
        <v>Stonecypher, David</v>
      </c>
      <c r="C53" s="40">
        <f t="shared" ca="1" si="21"/>
        <v>0</v>
      </c>
      <c r="D53" s="40">
        <f t="shared" si="22"/>
        <v>39</v>
      </c>
      <c r="E53" s="25">
        <f t="shared" si="23"/>
        <v>0.43333333333333335</v>
      </c>
      <c r="F53" s="11">
        <f t="shared" si="24"/>
        <v>15</v>
      </c>
      <c r="G53" s="16">
        <v>41</v>
      </c>
      <c r="H53" s="20">
        <f t="shared" si="25"/>
        <v>-3</v>
      </c>
      <c r="I53" s="17">
        <f t="shared" ca="1" si="26"/>
        <v>6</v>
      </c>
      <c r="J53" s="17">
        <f t="shared" ca="1" si="27"/>
        <v>0</v>
      </c>
      <c r="K53" s="46">
        <f ca="1">IF($D$2&gt;=(COLUMN()-10),HLOOKUP($B53,INDIRECT(ADDRESS(2,11,1,,K$3)):INDIRECT(ADDRESS(25,playercnt+10,1,,K$3)),24),"")</f>
        <v>6</v>
      </c>
      <c r="L53" s="46">
        <f ca="1">IF($D$2&gt;=(COLUMN()-10),HLOOKUP($B53,INDIRECT(ADDRESS(2,11,1,,L$3)):INDIRECT(ADDRESS(25,playercnt+10,1,,L$3)),24),"")</f>
        <v>2</v>
      </c>
      <c r="M53" s="46">
        <f ca="1">IF($D$2&gt;=(COLUMN()-10),HLOOKUP($B53,INDIRECT(ADDRESS(2,11,1,,M$3)):INDIRECT(ADDRESS(25,playercnt+10,1,,M$3)),24),"")</f>
        <v>0</v>
      </c>
      <c r="N53" s="46">
        <f ca="1">IF($D$2&gt;=(COLUMN()-10),HLOOKUP($B53,INDIRECT(ADDRESS(2,11,1,,N$3)):INDIRECT(ADDRESS(25,playercnt+10,1,,N$3)),24),"")</f>
        <v>6</v>
      </c>
      <c r="O53" s="46">
        <f ca="1">IF($D$2&gt;=(COLUMN()-10),HLOOKUP($B53,INDIRECT(ADDRESS(2,11,1,,O$3)):INDIRECT(ADDRESS(25,playercnt+10,1,,O$3)),24),"")</f>
        <v>6</v>
      </c>
      <c r="P53" s="46">
        <f ca="1">IF($D$2&gt;=(COLUMN()-10),HLOOKUP($B53,INDIRECT(ADDRESS(2,11,1,,P$3)):INDIRECT(ADDRESS(25,playercnt+10,1,,P$3)),24),"")</f>
        <v>6</v>
      </c>
      <c r="Q53" s="46">
        <f ca="1">IF($D$2&gt;=(COLUMN()-10),HLOOKUP($B53,INDIRECT(ADDRESS(2,11,1,,Q$3)):INDIRECT(ADDRESS(25,playercnt+10,1,,Q$3)),24),"")</f>
        <v>6</v>
      </c>
      <c r="R53" s="46">
        <f ca="1">IF($D$2&gt;=(COLUMN()-10),HLOOKUP($B53,INDIRECT(ADDRESS(2,11,1,,R$3)):INDIRECT(ADDRESS(25,playercnt+10,1,,R$3)),24),"")</f>
        <v>4</v>
      </c>
      <c r="S53" s="46">
        <f ca="1">IF($D$2&gt;=(COLUMN()-10),HLOOKUP($B53,INDIRECT(ADDRESS(2,11,1,,S$3)):INDIRECT(ADDRESS(25,playercnt+10,1,,S$3)),24),"")</f>
        <v>3</v>
      </c>
      <c r="T53" s="46" t="str">
        <f ca="1">IF($D$2&gt;=(COLUMN()-10),HLOOKUP($B53,INDIRECT(ADDRESS(2,11,1,,T$3)):INDIRECT(ADDRESS(25,playercnt+10,1,,T$3)),24),"")</f>
        <v/>
      </c>
      <c r="U53" s="46" t="str">
        <f ca="1">IF($D$2&gt;=(COLUMN()-10),HLOOKUP($B53,INDIRECT(ADDRESS(2,11,1,,U$3)):INDIRECT(ADDRESS(25,playercnt+10,1,,U$3)),24),"")</f>
        <v/>
      </c>
      <c r="V53" s="46" t="str">
        <f ca="1">IF($D$2&gt;=(COLUMN()-10),HLOOKUP($B53,INDIRECT(ADDRESS(2,11,1,,V$3)):INDIRECT(ADDRESS(25,playercnt+10,1,,V$3)),24),"")</f>
        <v/>
      </c>
      <c r="W53" s="46" t="str">
        <f ca="1">IF($D$2&gt;=(COLUMN()-10),HLOOKUP($B53,INDIRECT(ADDRESS(2,11,1,,W$3)):INDIRECT(ADDRESS(25,playercnt+10,1,,W$3)),24),"")</f>
        <v/>
      </c>
      <c r="X53" s="14">
        <v>49</v>
      </c>
      <c r="Y53" s="14">
        <f t="shared" si="29"/>
        <v>46</v>
      </c>
    </row>
    <row r="54" spans="1:25" x14ac:dyDescent="0.2">
      <c r="A54" s="83">
        <f t="shared" si="19"/>
        <v>47</v>
      </c>
      <c r="B54" s="39" t="str">
        <f t="shared" ca="1" si="20"/>
        <v>White, Jarred</v>
      </c>
      <c r="C54" s="40">
        <f t="shared" ca="1" si="21"/>
        <v>0</v>
      </c>
      <c r="D54" s="40">
        <f t="shared" si="22"/>
        <v>38</v>
      </c>
      <c r="E54" s="25">
        <f t="shared" si="23"/>
        <v>0.42222222222222222</v>
      </c>
      <c r="F54" s="11">
        <f t="shared" si="24"/>
        <v>16</v>
      </c>
      <c r="G54" s="43">
        <v>46</v>
      </c>
      <c r="H54" s="20">
        <f t="shared" si="25"/>
        <v>-1</v>
      </c>
      <c r="I54" s="17">
        <f t="shared" ca="1" si="26"/>
        <v>6</v>
      </c>
      <c r="J54" s="17">
        <f t="shared" ca="1" si="27"/>
        <v>1</v>
      </c>
      <c r="K54" s="46">
        <f ca="1">IF($D$2&gt;=(COLUMN()-10),HLOOKUP($B54,INDIRECT(ADDRESS(2,11,1,,K$3)):INDIRECT(ADDRESS(25,playercnt+10,1,,K$3)),24),"")</f>
        <v>3</v>
      </c>
      <c r="L54" s="46">
        <f ca="1">IF($D$2&gt;=(COLUMN()-10),HLOOKUP($B54,INDIRECT(ADDRESS(2,11,1,,L$3)):INDIRECT(ADDRESS(25,playercnt+10,1,,L$3)),24),"")</f>
        <v>6</v>
      </c>
      <c r="M54" s="46">
        <f ca="1">IF($D$2&gt;=(COLUMN()-10),HLOOKUP($B54,INDIRECT(ADDRESS(2,11,1,,M$3)):INDIRECT(ADDRESS(25,playercnt+10,1,,M$3)),24),"")</f>
        <v>1</v>
      </c>
      <c r="N54" s="46">
        <f ca="1">IF($D$2&gt;=(COLUMN()-10),HLOOKUP($B54,INDIRECT(ADDRESS(2,11,1,,N$3)):INDIRECT(ADDRESS(25,playercnt+10,1,,N$3)),24),"")</f>
        <v>5</v>
      </c>
      <c r="O54" s="46">
        <f ca="1">IF($D$2&gt;=(COLUMN()-10),HLOOKUP($B54,INDIRECT(ADDRESS(2,11,1,,O$3)):INDIRECT(ADDRESS(25,playercnt+10,1,,O$3)),24),"")</f>
        <v>4</v>
      </c>
      <c r="P54" s="46">
        <f ca="1">IF($D$2&gt;=(COLUMN()-10),HLOOKUP($B54,INDIRECT(ADDRESS(2,11,1,,P$3)):INDIRECT(ADDRESS(25,playercnt+10,1,,P$3)),24),"")</f>
        <v>4</v>
      </c>
      <c r="Q54" s="46">
        <f ca="1">IF($D$2&gt;=(COLUMN()-10),HLOOKUP($B54,INDIRECT(ADDRESS(2,11,1,,Q$3)):INDIRECT(ADDRESS(25,playercnt+10,1,,Q$3)),24),"")</f>
        <v>5</v>
      </c>
      <c r="R54" s="46">
        <f ca="1">IF($D$2&gt;=(COLUMN()-10),HLOOKUP($B54,INDIRECT(ADDRESS(2,11,1,,R$3)):INDIRECT(ADDRESS(25,playercnt+10,1,,R$3)),24),"")</f>
        <v>5</v>
      </c>
      <c r="S54" s="46">
        <f ca="1">IF($D$2&gt;=(COLUMN()-10),HLOOKUP($B54,INDIRECT(ADDRESS(2,11,1,,S$3)):INDIRECT(ADDRESS(25,playercnt+10,1,,S$3)),24),"")</f>
        <v>5</v>
      </c>
      <c r="T54" s="46" t="str">
        <f ca="1">IF($D$2&gt;=(COLUMN()-10),HLOOKUP($B54,INDIRECT(ADDRESS(2,11,1,,T$3)):INDIRECT(ADDRESS(25,playercnt+10,1,,T$3)),24),"")</f>
        <v/>
      </c>
      <c r="U54" s="46" t="str">
        <f ca="1">IF($D$2&gt;=(COLUMN()-10),HLOOKUP($B54,INDIRECT(ADDRESS(2,11,1,,U$3)):INDIRECT(ADDRESS(25,playercnt+10,1,,U$3)),24),"")</f>
        <v/>
      </c>
      <c r="V54" s="46" t="str">
        <f ca="1">IF($D$2&gt;=(COLUMN()-10),HLOOKUP($B54,INDIRECT(ADDRESS(2,11,1,,V$3)):INDIRECT(ADDRESS(25,playercnt+10,1,,V$3)),24),"")</f>
        <v/>
      </c>
      <c r="W54" s="46" t="str">
        <f ca="1">IF($D$2&gt;=(COLUMN()-10),HLOOKUP($B54,INDIRECT(ADDRESS(2,11,1,,W$3)):INDIRECT(ADDRESS(25,playercnt+10,1,,W$3)),24),"")</f>
        <v/>
      </c>
      <c r="X54" s="47">
        <v>54</v>
      </c>
      <c r="Y54" s="14">
        <f t="shared" si="29"/>
        <v>47</v>
      </c>
    </row>
    <row r="55" spans="1:25" x14ac:dyDescent="0.2">
      <c r="A55" s="83">
        <f t="shared" si="19"/>
        <v>48</v>
      </c>
      <c r="B55" s="39" t="str">
        <f t="shared" ca="1" si="20"/>
        <v>Inabinet, Gregory</v>
      </c>
      <c r="C55" s="40">
        <f t="shared" ca="1" si="21"/>
        <v>0</v>
      </c>
      <c r="D55" s="40">
        <f t="shared" si="22"/>
        <v>37</v>
      </c>
      <c r="E55" s="25">
        <f t="shared" si="23"/>
        <v>0.41111111111111109</v>
      </c>
      <c r="F55" s="11">
        <f t="shared" si="24"/>
        <v>17</v>
      </c>
      <c r="G55" s="16">
        <v>46</v>
      </c>
      <c r="H55" s="20">
        <f t="shared" si="25"/>
        <v>-2</v>
      </c>
      <c r="I55" s="17">
        <f t="shared" ca="1" si="26"/>
        <v>6</v>
      </c>
      <c r="J55" s="17">
        <f t="shared" ca="1" si="27"/>
        <v>0</v>
      </c>
      <c r="K55" s="46">
        <f ca="1">IF($D$2&gt;=(COLUMN()-10),HLOOKUP($B55,INDIRECT(ADDRESS(2,11,1,,K$3)):INDIRECT(ADDRESS(25,playercnt+10,1,,K$3)),24),"")</f>
        <v>6</v>
      </c>
      <c r="L55" s="46">
        <f ca="1">IF($D$2&gt;=(COLUMN()-10),HLOOKUP($B55,INDIRECT(ADDRESS(2,11,1,,L$3)):INDIRECT(ADDRESS(25,playercnt+10,1,,L$3)),24),"")</f>
        <v>4</v>
      </c>
      <c r="M55" s="46">
        <f ca="1">IF($D$2&gt;=(COLUMN()-10),HLOOKUP($B55,INDIRECT(ADDRESS(2,11,1,,M$3)):INDIRECT(ADDRESS(25,playercnt+10,1,,M$3)),24),"")</f>
        <v>5</v>
      </c>
      <c r="N55" s="46">
        <f ca="1">IF($D$2&gt;=(COLUMN()-10),HLOOKUP($B55,INDIRECT(ADDRESS(2,11,1,,N$3)):INDIRECT(ADDRESS(25,playercnt+10,1,,N$3)),24),"")</f>
        <v>2</v>
      </c>
      <c r="O55" s="46">
        <f ca="1">IF($D$2&gt;=(COLUMN()-10),HLOOKUP($B55,INDIRECT(ADDRESS(2,11,1,,O$3)):INDIRECT(ADDRESS(25,playercnt+10,1,,O$3)),24),"")</f>
        <v>6</v>
      </c>
      <c r="P55" s="46">
        <f ca="1">IF($D$2&gt;=(COLUMN()-10),HLOOKUP($B55,INDIRECT(ADDRESS(2,11,1,,P$3)):INDIRECT(ADDRESS(25,playercnt+10,1,,P$3)),24),"")</f>
        <v>0</v>
      </c>
      <c r="Q55" s="46">
        <f ca="1">IF($D$2&gt;=(COLUMN()-10),HLOOKUP($B55,INDIRECT(ADDRESS(2,11,1,,Q$3)):INDIRECT(ADDRESS(25,playercnt+10,1,,Q$3)),24),"")</f>
        <v>5</v>
      </c>
      <c r="R55" s="46">
        <f ca="1">IF($D$2&gt;=(COLUMN()-10),HLOOKUP($B55,INDIRECT(ADDRESS(2,11,1,,R$3)):INDIRECT(ADDRESS(25,playercnt+10,1,,R$3)),24),"")</f>
        <v>5</v>
      </c>
      <c r="S55" s="46">
        <f ca="1">IF($D$2&gt;=(COLUMN()-10),HLOOKUP($B55,INDIRECT(ADDRESS(2,11,1,,S$3)):INDIRECT(ADDRESS(25,playercnt+10,1,,S$3)),24),"")</f>
        <v>4</v>
      </c>
      <c r="T55" s="46" t="str">
        <f ca="1">IF($D$2&gt;=(COLUMN()-10),HLOOKUP($B55,INDIRECT(ADDRESS(2,11,1,,T$3)):INDIRECT(ADDRESS(25,playercnt+10,1,,T$3)),24),"")</f>
        <v/>
      </c>
      <c r="U55" s="46" t="str">
        <f ca="1">IF($D$2&gt;=(COLUMN()-10),HLOOKUP($B55,INDIRECT(ADDRESS(2,11,1,,U$3)):INDIRECT(ADDRESS(25,playercnt+10,1,,U$3)),24),"")</f>
        <v/>
      </c>
      <c r="V55" s="46" t="str">
        <f ca="1">IF($D$2&gt;=(COLUMN()-10),HLOOKUP($B55,INDIRECT(ADDRESS(2,11,1,,V$3)):INDIRECT(ADDRESS(25,playercnt+10,1,,V$3)),24),"")</f>
        <v/>
      </c>
      <c r="W55" s="46" t="str">
        <f ca="1">IF($D$2&gt;=(COLUMN()-10),HLOOKUP($B55,INDIRECT(ADDRESS(2,11,1,,W$3)):INDIRECT(ADDRESS(25,playercnt+10,1,,W$3)),24),"")</f>
        <v/>
      </c>
      <c r="X55" s="14">
        <v>21</v>
      </c>
      <c r="Y55" s="14">
        <f t="shared" si="29"/>
        <v>48</v>
      </c>
    </row>
    <row r="56" spans="1:25" x14ac:dyDescent="0.2">
      <c r="A56" s="83">
        <f t="shared" si="19"/>
        <v>48</v>
      </c>
      <c r="B56" s="39" t="str">
        <f t="shared" ca="1" si="20"/>
        <v>Montanez, Johanna</v>
      </c>
      <c r="C56" s="40">
        <f t="shared" ca="1" si="21"/>
        <v>0</v>
      </c>
      <c r="D56" s="40">
        <f t="shared" si="22"/>
        <v>37</v>
      </c>
      <c r="E56" s="25">
        <f t="shared" si="23"/>
        <v>0.41111111111111109</v>
      </c>
      <c r="F56" s="11">
        <f t="shared" si="24"/>
        <v>17</v>
      </c>
      <c r="G56" s="43">
        <v>46</v>
      </c>
      <c r="H56" s="20">
        <f t="shared" si="25"/>
        <v>-2</v>
      </c>
      <c r="I56" s="17">
        <f t="shared" ca="1" si="26"/>
        <v>6</v>
      </c>
      <c r="J56" s="17">
        <f t="shared" ca="1" si="27"/>
        <v>2</v>
      </c>
      <c r="K56" s="46">
        <f ca="1">IF($D$2&gt;=(COLUMN()-10),HLOOKUP($B56,INDIRECT(ADDRESS(2,11,1,,K$3)):INDIRECT(ADDRESS(25,playercnt+10,1,,K$3)),24),"")</f>
        <v>5</v>
      </c>
      <c r="L56" s="46">
        <f ca="1">IF($D$2&gt;=(COLUMN()-10),HLOOKUP($B56,INDIRECT(ADDRESS(2,11,1,,L$3)):INDIRECT(ADDRESS(25,playercnt+10,1,,L$3)),24),"")</f>
        <v>3</v>
      </c>
      <c r="M56" s="46">
        <f ca="1">IF($D$2&gt;=(COLUMN()-10),HLOOKUP($B56,INDIRECT(ADDRESS(2,11,1,,M$3)):INDIRECT(ADDRESS(25,playercnt+10,1,,M$3)),24),"")</f>
        <v>4</v>
      </c>
      <c r="N56" s="46">
        <f ca="1">IF($D$2&gt;=(COLUMN()-10),HLOOKUP($B56,INDIRECT(ADDRESS(2,11,1,,N$3)):INDIRECT(ADDRESS(25,playercnt+10,1,,N$3)),24),"")</f>
        <v>5</v>
      </c>
      <c r="O56" s="46">
        <f ca="1">IF($D$2&gt;=(COLUMN()-10),HLOOKUP($B56,INDIRECT(ADDRESS(2,11,1,,O$3)):INDIRECT(ADDRESS(25,playercnt+10,1,,O$3)),24),"")</f>
        <v>2</v>
      </c>
      <c r="P56" s="46">
        <f ca="1">IF($D$2&gt;=(COLUMN()-10),HLOOKUP($B56,INDIRECT(ADDRESS(2,11,1,,P$3)):INDIRECT(ADDRESS(25,playercnt+10,1,,P$3)),24),"")</f>
        <v>5</v>
      </c>
      <c r="Q56" s="46">
        <f ca="1">IF($D$2&gt;=(COLUMN()-10),HLOOKUP($B56,INDIRECT(ADDRESS(2,11,1,,Q$3)):INDIRECT(ADDRESS(25,playercnt+10,1,,Q$3)),24),"")</f>
        <v>3</v>
      </c>
      <c r="R56" s="46">
        <f ca="1">IF($D$2&gt;=(COLUMN()-10),HLOOKUP($B56,INDIRECT(ADDRESS(2,11,1,,R$3)):INDIRECT(ADDRESS(25,playercnt+10,1,,R$3)),24),"")</f>
        <v>6</v>
      </c>
      <c r="S56" s="46">
        <f ca="1">IF($D$2&gt;=(COLUMN()-10),HLOOKUP($B56,INDIRECT(ADDRESS(2,11,1,,S$3)):INDIRECT(ADDRESS(25,playercnt+10,1,,S$3)),24),"")</f>
        <v>4</v>
      </c>
      <c r="T56" s="46" t="str">
        <f ca="1">IF($D$2&gt;=(COLUMN()-10),HLOOKUP($B56,INDIRECT(ADDRESS(2,11,1,,T$3)):INDIRECT(ADDRESS(25,playercnt+10,1,,T$3)),24),"")</f>
        <v/>
      </c>
      <c r="U56" s="46" t="str">
        <f ca="1">IF($D$2&gt;=(COLUMN()-10),HLOOKUP($B56,INDIRECT(ADDRESS(2,11,1,,U$3)):INDIRECT(ADDRESS(25,playercnt+10,1,,U$3)),24),"")</f>
        <v/>
      </c>
      <c r="V56" s="46" t="str">
        <f ca="1">IF($D$2&gt;=(COLUMN()-10),HLOOKUP($B56,INDIRECT(ADDRESS(2,11,1,,V$3)):INDIRECT(ADDRESS(25,playercnt+10,1,,V$3)),24),"")</f>
        <v/>
      </c>
      <c r="W56" s="46" t="str">
        <f ca="1">IF($D$2&gt;=(COLUMN()-10),HLOOKUP($B56,INDIRECT(ADDRESS(2,11,1,,W$3)):INDIRECT(ADDRESS(25,playercnt+10,1,,W$3)),24),"")</f>
        <v/>
      </c>
      <c r="X56" s="47">
        <v>28</v>
      </c>
      <c r="Y56" s="14">
        <f t="shared" si="29"/>
        <v>49</v>
      </c>
    </row>
    <row r="57" spans="1:25" x14ac:dyDescent="0.2">
      <c r="A57" s="83">
        <f t="shared" si="19"/>
        <v>48</v>
      </c>
      <c r="B57" s="39" t="str">
        <f t="shared" ca="1" si="20"/>
        <v>Staub, Ryan</v>
      </c>
      <c r="C57" s="40">
        <f t="shared" ca="1" si="21"/>
        <v>0</v>
      </c>
      <c r="D57" s="40">
        <f t="shared" si="22"/>
        <v>37</v>
      </c>
      <c r="E57" s="25">
        <f t="shared" si="23"/>
        <v>0.41111111111111109</v>
      </c>
      <c r="F57" s="11">
        <f t="shared" si="24"/>
        <v>17</v>
      </c>
      <c r="G57" s="16">
        <v>46</v>
      </c>
      <c r="H57" s="20">
        <f t="shared" si="25"/>
        <v>-2</v>
      </c>
      <c r="I57" s="17">
        <f t="shared" ca="1" si="26"/>
        <v>7</v>
      </c>
      <c r="J57" s="17">
        <f t="shared" ca="1" si="27"/>
        <v>0</v>
      </c>
      <c r="K57" s="46">
        <f ca="1">IF($D$2&gt;=(COLUMN()-10),HLOOKUP($B57,INDIRECT(ADDRESS(2,11,1,,K$3)):INDIRECT(ADDRESS(25,playercnt+10,1,,K$3)),24),"")</f>
        <v>3</v>
      </c>
      <c r="L57" s="46">
        <f ca="1">IF($D$2&gt;=(COLUMN()-10),HLOOKUP($B57,INDIRECT(ADDRESS(2,11,1,,L$3)):INDIRECT(ADDRESS(25,playercnt+10,1,,L$3)),24),"")</f>
        <v>6</v>
      </c>
      <c r="M57" s="46">
        <f ca="1">IF($D$2&gt;=(COLUMN()-10),HLOOKUP($B57,INDIRECT(ADDRESS(2,11,1,,M$3)):INDIRECT(ADDRESS(25,playercnt+10,1,,M$3)),24),"")</f>
        <v>7</v>
      </c>
      <c r="N57" s="46">
        <f ca="1">IF($D$2&gt;=(COLUMN()-10),HLOOKUP($B57,INDIRECT(ADDRESS(2,11,1,,N$3)):INDIRECT(ADDRESS(25,playercnt+10,1,,N$3)),24),"")</f>
        <v>0</v>
      </c>
      <c r="O57" s="46">
        <f ca="1">IF($D$2&gt;=(COLUMN()-10),HLOOKUP($B57,INDIRECT(ADDRESS(2,11,1,,O$3)):INDIRECT(ADDRESS(25,playercnt+10,1,,O$3)),24),"")</f>
        <v>5</v>
      </c>
      <c r="P57" s="46">
        <f ca="1">IF($D$2&gt;=(COLUMN()-10),HLOOKUP($B57,INDIRECT(ADDRESS(2,11,1,,P$3)):INDIRECT(ADDRESS(25,playercnt+10,1,,P$3)),24),"")</f>
        <v>3</v>
      </c>
      <c r="Q57" s="46">
        <f ca="1">IF($D$2&gt;=(COLUMN()-10),HLOOKUP($B57,INDIRECT(ADDRESS(2,11,1,,Q$3)):INDIRECT(ADDRESS(25,playercnt+10,1,,Q$3)),24),"")</f>
        <v>5</v>
      </c>
      <c r="R57" s="46">
        <f ca="1">IF($D$2&gt;=(COLUMN()-10),HLOOKUP($B57,INDIRECT(ADDRESS(2,11,1,,R$3)):INDIRECT(ADDRESS(25,playercnt+10,1,,R$3)),24),"")</f>
        <v>4</v>
      </c>
      <c r="S57" s="46">
        <f ca="1">IF($D$2&gt;=(COLUMN()-10),HLOOKUP($B57,INDIRECT(ADDRESS(2,11,1,,S$3)):INDIRECT(ADDRESS(25,playercnt+10,1,,S$3)),24),"")</f>
        <v>4</v>
      </c>
      <c r="T57" s="46" t="str">
        <f ca="1">IF($D$2&gt;=(COLUMN()-10),HLOOKUP($B57,INDIRECT(ADDRESS(2,11,1,,T$3)):INDIRECT(ADDRESS(25,playercnt+10,1,,T$3)),24),"")</f>
        <v/>
      </c>
      <c r="U57" s="46" t="str">
        <f ca="1">IF($D$2&gt;=(COLUMN()-10),HLOOKUP($B57,INDIRECT(ADDRESS(2,11,1,,U$3)):INDIRECT(ADDRESS(25,playercnt+10,1,,U$3)),24),"")</f>
        <v/>
      </c>
      <c r="V57" s="46" t="str">
        <f ca="1">IF($D$2&gt;=(COLUMN()-10),HLOOKUP($B57,INDIRECT(ADDRESS(2,11,1,,V$3)):INDIRECT(ADDRESS(25,playercnt+10,1,,V$3)),24),"")</f>
        <v/>
      </c>
      <c r="W57" s="46" t="str">
        <f ca="1">IF($D$2&gt;=(COLUMN()-10),HLOOKUP($B57,INDIRECT(ADDRESS(2,11,1,,W$3)):INDIRECT(ADDRESS(25,playercnt+10,1,,W$3)),24),"")</f>
        <v/>
      </c>
      <c r="X57" s="14">
        <v>47</v>
      </c>
      <c r="Y57" s="14">
        <f t="shared" ref="Y57:Y63" si="30">Y56+1</f>
        <v>50</v>
      </c>
    </row>
    <row r="58" spans="1:25" x14ac:dyDescent="0.2">
      <c r="A58" s="83">
        <f t="shared" si="19"/>
        <v>51</v>
      </c>
      <c r="B58" s="39" t="str">
        <f t="shared" ca="1" si="20"/>
        <v>Nance, Rob Remote</v>
      </c>
      <c r="C58" s="40">
        <f t="shared" ca="1" si="21"/>
        <v>0</v>
      </c>
      <c r="D58" s="40">
        <f t="shared" si="22"/>
        <v>36</v>
      </c>
      <c r="E58" s="25">
        <f t="shared" si="23"/>
        <v>0.4</v>
      </c>
      <c r="F58" s="11">
        <f t="shared" si="24"/>
        <v>18</v>
      </c>
      <c r="G58" s="43">
        <v>51</v>
      </c>
      <c r="H58" s="20">
        <f t="shared" si="25"/>
        <v>0</v>
      </c>
      <c r="I58" s="17">
        <f t="shared" ca="1" si="26"/>
        <v>6</v>
      </c>
      <c r="J58" s="17">
        <f t="shared" ca="1" si="27"/>
        <v>0</v>
      </c>
      <c r="K58" s="46">
        <f ca="1">IF($D$2&gt;=(COLUMN()-10),HLOOKUP($B58,INDIRECT(ADDRESS(2,11,1,,K$3)):INDIRECT(ADDRESS(25,playercnt+10,1,,K$3)),24),"")</f>
        <v>6</v>
      </c>
      <c r="L58" s="46">
        <f ca="1">IF($D$2&gt;=(COLUMN()-10),HLOOKUP($B58,INDIRECT(ADDRESS(2,11,1,,L$3)):INDIRECT(ADDRESS(25,playercnt+10,1,,L$3)),24),"")</f>
        <v>0</v>
      </c>
      <c r="M58" s="46">
        <f ca="1">IF($D$2&gt;=(COLUMN()-10),HLOOKUP($B58,INDIRECT(ADDRESS(2,11,1,,M$3)):INDIRECT(ADDRESS(25,playercnt+10,1,,M$3)),24),"")</f>
        <v>0</v>
      </c>
      <c r="N58" s="46">
        <f ca="1">IF($D$2&gt;=(COLUMN()-10),HLOOKUP($B58,INDIRECT(ADDRESS(2,11,1,,N$3)):INDIRECT(ADDRESS(25,playercnt+10,1,,N$3)),24),"")</f>
        <v>6</v>
      </c>
      <c r="O58" s="46">
        <f ca="1">IF($D$2&gt;=(COLUMN()-10),HLOOKUP($B58,INDIRECT(ADDRESS(2,11,1,,O$3)):INDIRECT(ADDRESS(25,playercnt+10,1,,O$3)),24),"")</f>
        <v>4</v>
      </c>
      <c r="P58" s="46">
        <f ca="1">IF($D$2&gt;=(COLUMN()-10),HLOOKUP($B58,INDIRECT(ADDRESS(2,11,1,,P$3)):INDIRECT(ADDRESS(25,playercnt+10,1,,P$3)),24),"")</f>
        <v>5</v>
      </c>
      <c r="Q58" s="46">
        <f ca="1">IF($D$2&gt;=(COLUMN()-10),HLOOKUP($B58,INDIRECT(ADDRESS(2,11,1,,Q$3)):INDIRECT(ADDRESS(25,playercnt+10,1,,Q$3)),24),"")</f>
        <v>6</v>
      </c>
      <c r="R58" s="46">
        <f ca="1">IF($D$2&gt;=(COLUMN()-10),HLOOKUP($B58,INDIRECT(ADDRESS(2,11,1,,R$3)):INDIRECT(ADDRESS(25,playercnt+10,1,,R$3)),24),"")</f>
        <v>5</v>
      </c>
      <c r="S58" s="46">
        <f ca="1">IF($D$2&gt;=(COLUMN()-10),HLOOKUP($B58,INDIRECT(ADDRESS(2,11,1,,S$3)):INDIRECT(ADDRESS(25,playercnt+10,1,,S$3)),24),"")</f>
        <v>4</v>
      </c>
      <c r="T58" s="46" t="str">
        <f ca="1">IF($D$2&gt;=(COLUMN()-10),HLOOKUP($B58,INDIRECT(ADDRESS(2,11,1,,T$3)):INDIRECT(ADDRESS(25,playercnt+10,1,,T$3)),24),"")</f>
        <v/>
      </c>
      <c r="U58" s="46" t="str">
        <f ca="1">IF($D$2&gt;=(COLUMN()-10),HLOOKUP($B58,INDIRECT(ADDRESS(2,11,1,,U$3)):INDIRECT(ADDRESS(25,playercnt+10,1,,U$3)),24),"")</f>
        <v/>
      </c>
      <c r="V58" s="46" t="str">
        <f ca="1">IF($D$2&gt;=(COLUMN()-10),HLOOKUP($B58,INDIRECT(ADDRESS(2,11,1,,V$3)):INDIRECT(ADDRESS(25,playercnt+10,1,,V$3)),24),"")</f>
        <v/>
      </c>
      <c r="W58" s="46" t="str">
        <f ca="1">IF($D$2&gt;=(COLUMN()-10),HLOOKUP($B58,INDIRECT(ADDRESS(2,11,1,,W$3)):INDIRECT(ADDRESS(25,playercnt+10,1,,W$3)),24),"")</f>
        <v/>
      </c>
      <c r="X58" s="47">
        <v>32</v>
      </c>
      <c r="Y58" s="14">
        <f t="shared" si="30"/>
        <v>51</v>
      </c>
    </row>
    <row r="59" spans="1:25" x14ac:dyDescent="0.2">
      <c r="A59" s="83">
        <f t="shared" si="19"/>
        <v>51</v>
      </c>
      <c r="B59" s="39" t="str">
        <f t="shared" ca="1" si="20"/>
        <v>Wells, Seth Remote</v>
      </c>
      <c r="C59" s="40">
        <f t="shared" ca="1" si="21"/>
        <v>0</v>
      </c>
      <c r="D59" s="40">
        <f t="shared" si="22"/>
        <v>36</v>
      </c>
      <c r="E59" s="25">
        <f t="shared" si="23"/>
        <v>0.4</v>
      </c>
      <c r="F59" s="11">
        <f t="shared" si="24"/>
        <v>18</v>
      </c>
      <c r="G59" s="43">
        <v>54</v>
      </c>
      <c r="H59" s="20">
        <f t="shared" si="25"/>
        <v>3</v>
      </c>
      <c r="I59" s="17">
        <f t="shared" ca="1" si="26"/>
        <v>6</v>
      </c>
      <c r="J59" s="17">
        <f t="shared" ca="1" si="27"/>
        <v>2</v>
      </c>
      <c r="K59" s="46">
        <f ca="1">IF($D$2&gt;=(COLUMN()-10),HLOOKUP($B59,INDIRECT(ADDRESS(2,11,1,,K$3)):INDIRECT(ADDRESS(25,playercnt+10,1,,K$3)),24),"")</f>
        <v>6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4</v>
      </c>
      <c r="N59" s="46">
        <f ca="1">IF($D$2&gt;=(COLUMN()-10),HLOOKUP($B59,INDIRECT(ADDRESS(2,11,1,,N$3)):INDIRECT(ADDRESS(25,playercnt+10,1,,N$3)),24),"")</f>
        <v>2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4</v>
      </c>
      <c r="Q59" s="46">
        <f ca="1">IF($D$2&gt;=(COLUMN()-10),HLOOKUP($B59,INDIRECT(ADDRESS(2,11,1,,Q$3)):INDIRECT(ADDRESS(25,playercnt+10,1,,Q$3)),24),"")</f>
        <v>3</v>
      </c>
      <c r="R59" s="46">
        <f ca="1">IF($D$2&gt;=(COLUMN()-10),HLOOKUP($B59,INDIRECT(ADDRESS(2,11,1,,R$3)):INDIRECT(ADDRESS(25,playercnt+10,1,,R$3)),24),"")</f>
        <v>4</v>
      </c>
      <c r="S59" s="46">
        <f ca="1">IF($D$2&gt;=(COLUMN()-10),HLOOKUP($B59,INDIRECT(ADDRESS(2,11,1,,S$3)):INDIRECT(ADDRESS(25,playercnt+10,1,,S$3)),24),"")</f>
        <v>5</v>
      </c>
      <c r="T59" s="46" t="str">
        <f ca="1">IF($D$2&gt;=(COLUMN()-10),HLOOKUP($B59,INDIRECT(ADDRESS(2,11,1,,T$3)):INDIRECT(ADDRESS(25,playercnt+10,1,,T$3)),24),"")</f>
        <v/>
      </c>
      <c r="U59" s="46" t="str">
        <f ca="1">IF($D$2&gt;=(COLUMN()-10),HLOOKUP($B59,INDIRECT(ADDRESS(2,11,1,,U$3)):INDIRECT(ADDRESS(25,playercnt+10,1,,U$3)),24),"")</f>
        <v/>
      </c>
      <c r="V59" s="46" t="str">
        <f ca="1">IF($D$2&gt;=(COLUMN()-10),HLOOKUP($B59,INDIRECT(ADDRESS(2,11,1,,V$3)):INDIRECT(ADDRESS(25,playercnt+10,1,,V$3)),24),"")</f>
        <v/>
      </c>
      <c r="W59" s="46" t="str">
        <f ca="1">IF($D$2&gt;=(COLUMN()-10),HLOOKUP($B59,INDIRECT(ADDRESS(2,11,1,,W$3)):INDIRECT(ADDRESS(25,playercnt+10,1,,W$3)),24),"")</f>
        <v/>
      </c>
      <c r="X59" s="47">
        <v>53</v>
      </c>
      <c r="Y59" s="14">
        <f t="shared" si="30"/>
        <v>52</v>
      </c>
    </row>
    <row r="60" spans="1:25" x14ac:dyDescent="0.2">
      <c r="A60" s="83">
        <f t="shared" si="19"/>
        <v>53</v>
      </c>
      <c r="B60" s="39" t="str">
        <f t="shared" ca="1" si="20"/>
        <v>Desetto, Thomas Remote</v>
      </c>
      <c r="C60" s="40">
        <f t="shared" ca="1" si="21"/>
        <v>1</v>
      </c>
      <c r="D60" s="40">
        <f t="shared" si="22"/>
        <v>35</v>
      </c>
      <c r="E60" s="25">
        <f t="shared" si="23"/>
        <v>0.3888888888888889</v>
      </c>
      <c r="F60" s="11">
        <f t="shared" si="24"/>
        <v>19</v>
      </c>
      <c r="G60" s="43">
        <v>55</v>
      </c>
      <c r="H60" s="20">
        <f t="shared" si="25"/>
        <v>2</v>
      </c>
      <c r="I60" s="17">
        <f t="shared" ca="1" si="26"/>
        <v>9</v>
      </c>
      <c r="J60" s="17">
        <f t="shared" ca="1" si="27"/>
        <v>0</v>
      </c>
      <c r="K60" s="46">
        <f ca="1">IF($D$2&gt;=(COLUMN()-10),HLOOKUP($B60,INDIRECT(ADDRESS(2,11,1,,K$3)):INDIRECT(ADDRESS(25,playercnt+10,1,,K$3)),24),"")</f>
        <v>4</v>
      </c>
      <c r="L60" s="46">
        <f ca="1">IF($D$2&gt;=(COLUMN()-10),HLOOKUP($B60,INDIRECT(ADDRESS(2,11,1,,L$3)):INDIRECT(ADDRESS(25,playercnt+10,1,,L$3)),24),"")</f>
        <v>2</v>
      </c>
      <c r="M60" s="46">
        <f ca="1">IF($D$2&gt;=(COLUMN()-10),HLOOKUP($B60,INDIRECT(ADDRESS(2,11,1,,M$3)):INDIRECT(ADDRESS(25,playercnt+10,1,,M$3)),24),"")</f>
        <v>5</v>
      </c>
      <c r="N60" s="46">
        <f ca="1">IF($D$2&gt;=(COLUMN()-10),HLOOKUP($B60,INDIRECT(ADDRESS(2,11,1,,N$3)):INDIRECT(ADDRESS(25,playercnt+10,1,,N$3)),24),"")</f>
        <v>2</v>
      </c>
      <c r="O60" s="46">
        <f ca="1">IF($D$2&gt;=(COLUMN()-10),HLOOKUP($B60,INDIRECT(ADDRESS(2,11,1,,O$3)):INDIRECT(ADDRESS(25,playercnt+10,1,,O$3)),24),"")</f>
        <v>5</v>
      </c>
      <c r="P60" s="46">
        <f ca="1">IF($D$2&gt;=(COLUMN()-10),HLOOKUP($B60,INDIRECT(ADDRESS(2,11,1,,P$3)):INDIRECT(ADDRESS(25,playercnt+10,1,,P$3)),24),"")</f>
        <v>0</v>
      </c>
      <c r="Q60" s="46">
        <f ca="1">IF($D$2&gt;=(COLUMN()-10),HLOOKUP($B60,INDIRECT(ADDRESS(2,11,1,,Q$3)):INDIRECT(ADDRESS(25,playercnt+10,1,,Q$3)),24),"")</f>
        <v>4</v>
      </c>
      <c r="R60" s="46">
        <f ca="1">IF($D$2&gt;=(COLUMN()-10),HLOOKUP($B60,INDIRECT(ADDRESS(2,11,1,,R$3)):INDIRECT(ADDRESS(25,playercnt+10,1,,R$3)),24),"")</f>
        <v>4</v>
      </c>
      <c r="S60" s="46">
        <f ca="1">IF($D$2&gt;=(COLUMN()-10),HLOOKUP($B60,INDIRECT(ADDRESS(2,11,1,,S$3)):INDIRECT(ADDRESS(25,playercnt+10,1,,S$3)),24),"")</f>
        <v>9</v>
      </c>
      <c r="T60" s="46" t="str">
        <f ca="1">IF($D$2&gt;=(COLUMN()-10),HLOOKUP($B60,INDIRECT(ADDRESS(2,11,1,,T$3)):INDIRECT(ADDRESS(25,playercnt+10,1,,T$3)),24),"")</f>
        <v/>
      </c>
      <c r="U60" s="46" t="str">
        <f ca="1">IF($D$2&gt;=(COLUMN()-10),HLOOKUP($B60,INDIRECT(ADDRESS(2,11,1,,U$3)):INDIRECT(ADDRESS(25,playercnt+10,1,,U$3)),24),"")</f>
        <v/>
      </c>
      <c r="V60" s="46" t="str">
        <f ca="1">IF($D$2&gt;=(COLUMN()-10),HLOOKUP($B60,INDIRECT(ADDRESS(2,11,1,,V$3)):INDIRECT(ADDRESS(25,playercnt+10,1,,V$3)),24),"")</f>
        <v/>
      </c>
      <c r="W60" s="46" t="str">
        <f ca="1">IF($D$2&gt;=(COLUMN()-10),HLOOKUP($B60,INDIRECT(ADDRESS(2,11,1,,W$3)):INDIRECT(ADDRESS(25,playercnt+10,1,,W$3)),24),"")</f>
        <v/>
      </c>
      <c r="X60" s="47">
        <v>10</v>
      </c>
      <c r="Y60" s="14">
        <f t="shared" si="30"/>
        <v>53</v>
      </c>
    </row>
    <row r="61" spans="1:25" x14ac:dyDescent="0.2">
      <c r="A61" s="83">
        <f t="shared" si="19"/>
        <v>54</v>
      </c>
      <c r="B61" s="39" t="str">
        <f t="shared" ca="1" si="20"/>
        <v>Barker, Christopher A</v>
      </c>
      <c r="C61" s="40">
        <f t="shared" ca="1" si="21"/>
        <v>0</v>
      </c>
      <c r="D61" s="40">
        <f t="shared" si="22"/>
        <v>34</v>
      </c>
      <c r="E61" s="25">
        <f t="shared" si="23"/>
        <v>0.37777777777777777</v>
      </c>
      <c r="F61" s="11">
        <f t="shared" si="24"/>
        <v>20</v>
      </c>
      <c r="G61" s="43">
        <v>51</v>
      </c>
      <c r="H61" s="20">
        <f t="shared" si="25"/>
        <v>-3</v>
      </c>
      <c r="I61" s="17">
        <f t="shared" ca="1" si="26"/>
        <v>7</v>
      </c>
      <c r="J61" s="17">
        <f t="shared" ca="1" si="27"/>
        <v>0</v>
      </c>
      <c r="K61" s="46">
        <f ca="1">IF($D$2&gt;=(COLUMN()-10),HLOOKUP($B61,INDIRECT(ADDRESS(2,11,1,,K$3)):INDIRECT(ADDRESS(25,playercnt+10,1,,K$3)),24),"")</f>
        <v>0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7</v>
      </c>
      <c r="N61" s="46">
        <f ca="1">IF($D$2&gt;=(COLUMN()-10),HLOOKUP($B61,INDIRECT(ADDRESS(2,11,1,,N$3)):INDIRECT(ADDRESS(25,playercnt+10,1,,N$3)),24),"")</f>
        <v>5</v>
      </c>
      <c r="O61" s="46">
        <f ca="1">IF($D$2&gt;=(COLUMN()-10),HLOOKUP($B61,INDIRECT(ADDRESS(2,11,1,,O$3)):INDIRECT(ADDRESS(25,playercnt+10,1,,O$3)),24),"")</f>
        <v>5</v>
      </c>
      <c r="P61" s="46">
        <f ca="1">IF($D$2&gt;=(COLUMN()-10),HLOOKUP($B61,INDIRECT(ADDRESS(2,11,1,,P$3)):INDIRECT(ADDRESS(25,playercnt+10,1,,P$3)),24),"")</f>
        <v>2</v>
      </c>
      <c r="Q61" s="46">
        <f ca="1">IF($D$2&gt;=(COLUMN()-10),HLOOKUP($B61,INDIRECT(ADDRESS(2,11,1,,Q$3)):INDIRECT(ADDRESS(25,playercnt+10,1,,Q$3)),24),"")</f>
        <v>5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2</v>
      </c>
      <c r="T61" s="46" t="str">
        <f ca="1">IF($D$2&gt;=(COLUMN()-10),HLOOKUP($B61,INDIRECT(ADDRESS(2,11,1,,T$3)):INDIRECT(ADDRESS(25,playercnt+10,1,,T$3)),24),"")</f>
        <v/>
      </c>
      <c r="U61" s="46" t="str">
        <f ca="1">IF($D$2&gt;=(COLUMN()-10),HLOOKUP($B61,INDIRECT(ADDRESS(2,11,1,,U$3)):INDIRECT(ADDRESS(25,playercnt+10,1,,U$3)),24),"")</f>
        <v/>
      </c>
      <c r="V61" s="46" t="str">
        <f ca="1">IF($D$2&gt;=(COLUMN()-10),HLOOKUP($B61,INDIRECT(ADDRESS(2,11,1,,V$3)):INDIRECT(ADDRESS(25,playercnt+10,1,,V$3)),24),"")</f>
        <v/>
      </c>
      <c r="W61" s="46" t="str">
        <f ca="1">IF($D$2&gt;=(COLUMN()-10),HLOOKUP($B61,INDIRECT(ADDRESS(2,11,1,,W$3)):INDIRECT(ADDRESS(25,playercnt+10,1,,W$3)),24),"")</f>
        <v/>
      </c>
      <c r="X61" s="47">
        <v>2</v>
      </c>
      <c r="Y61" s="14">
        <f t="shared" si="30"/>
        <v>54</v>
      </c>
    </row>
    <row r="62" spans="1:25" x14ac:dyDescent="0.2">
      <c r="A62" s="83">
        <f t="shared" si="19"/>
        <v>54</v>
      </c>
      <c r="B62" s="39" t="str">
        <f t="shared" ca="1" si="20"/>
        <v>Mccoy, William M</v>
      </c>
      <c r="C62" s="40">
        <f t="shared" ca="1" si="21"/>
        <v>0</v>
      </c>
      <c r="D62" s="40">
        <f t="shared" si="22"/>
        <v>34</v>
      </c>
      <c r="E62" s="25">
        <f t="shared" si="23"/>
        <v>0.37777777777777777</v>
      </c>
      <c r="F62" s="11">
        <f t="shared" si="24"/>
        <v>20</v>
      </c>
      <c r="G62" s="43">
        <v>51</v>
      </c>
      <c r="H62" s="20">
        <f t="shared" si="25"/>
        <v>-3</v>
      </c>
      <c r="I62" s="17">
        <f t="shared" ca="1" si="26"/>
        <v>7</v>
      </c>
      <c r="J62" s="17">
        <f t="shared" ca="1" si="27"/>
        <v>0</v>
      </c>
      <c r="K62" s="46">
        <f ca="1">IF($D$2&gt;=(COLUMN()-10),HLOOKUP($B62,INDIRECT(ADDRESS(2,11,1,,K$3)):INDIRECT(ADDRESS(25,playercnt+10,1,,K$3)),24),"")</f>
        <v>7</v>
      </c>
      <c r="L62" s="46">
        <f ca="1">IF($D$2&gt;=(COLUMN()-10),HLOOKUP($B62,INDIRECT(ADDRESS(2,11,1,,L$3)):INDIRECT(ADDRESS(25,playercnt+10,1,,L$3)),24),"")</f>
        <v>3</v>
      </c>
      <c r="M62" s="46">
        <f ca="1">IF($D$2&gt;=(COLUMN()-10),HLOOKUP($B62,INDIRECT(ADDRESS(2,11,1,,M$3)):INDIRECT(ADDRESS(25,playercnt+10,1,,M$3)),24),"")</f>
        <v>0</v>
      </c>
      <c r="N62" s="46">
        <f ca="1">IF($D$2&gt;=(COLUMN()-10),HLOOKUP($B62,INDIRECT(ADDRESS(2,11,1,,N$3)):INDIRECT(ADDRESS(25,playercnt+10,1,,N$3)),24),"")</f>
        <v>3</v>
      </c>
      <c r="O62" s="46">
        <f ca="1">IF($D$2&gt;=(COLUMN()-10),HLOOKUP($B62,INDIRECT(ADDRESS(2,11,1,,O$3)):INDIRECT(ADDRESS(25,playercnt+10,1,,O$3)),24),"")</f>
        <v>5</v>
      </c>
      <c r="P62" s="46">
        <f ca="1">IF($D$2&gt;=(COLUMN()-10),HLOOKUP($B62,INDIRECT(ADDRESS(2,11,1,,P$3)):INDIRECT(ADDRESS(25,playercnt+10,1,,P$3)),24),"")</f>
        <v>2</v>
      </c>
      <c r="Q62" s="46">
        <f ca="1">IF($D$2&gt;=(COLUMN()-10),HLOOKUP($B62,INDIRECT(ADDRESS(2,11,1,,Q$3)):INDIRECT(ADDRESS(25,playercnt+10,1,,Q$3)),24),"")</f>
        <v>5</v>
      </c>
      <c r="R62" s="46">
        <f ca="1">IF($D$2&gt;=(COLUMN()-10),HLOOKUP($B62,INDIRECT(ADDRESS(2,11,1,,R$3)):INDIRECT(ADDRESS(25,playercnt+10,1,,R$3)),24),"")</f>
        <v>7</v>
      </c>
      <c r="S62" s="46">
        <f ca="1">IF($D$2&gt;=(COLUMN()-10),HLOOKUP($B62,INDIRECT(ADDRESS(2,11,1,,S$3)):INDIRECT(ADDRESS(25,playercnt+10,1,,S$3)),24),"")</f>
        <v>2</v>
      </c>
      <c r="T62" s="46" t="str">
        <f ca="1">IF($D$2&gt;=(COLUMN()-10),HLOOKUP($B62,INDIRECT(ADDRESS(2,11,1,,T$3)):INDIRECT(ADDRESS(25,playercnt+10,1,,T$3)),24),"")</f>
        <v/>
      </c>
      <c r="U62" s="46" t="str">
        <f ca="1">IF($D$2&gt;=(COLUMN()-10),HLOOKUP($B62,INDIRECT(ADDRESS(2,11,1,,U$3)):INDIRECT(ADDRESS(25,playercnt+10,1,,U$3)),24),"")</f>
        <v/>
      </c>
      <c r="V62" s="46" t="str">
        <f ca="1">IF($D$2&gt;=(COLUMN()-10),HLOOKUP($B62,INDIRECT(ADDRESS(2,11,1,,V$3)):INDIRECT(ADDRESS(25,playercnt+10,1,,V$3)),24),"")</f>
        <v/>
      </c>
      <c r="W62" s="46" t="str">
        <f ca="1">IF($D$2&gt;=(COLUMN()-10),HLOOKUP($B62,INDIRECT(ADDRESS(2,11,1,,W$3)):INDIRECT(ADDRESS(25,playercnt+10,1,,W$3)),24),"")</f>
        <v/>
      </c>
      <c r="X62" s="47">
        <v>27</v>
      </c>
      <c r="Y62" s="14">
        <f t="shared" si="30"/>
        <v>55</v>
      </c>
    </row>
    <row r="63" spans="1:25" x14ac:dyDescent="0.2">
      <c r="A63" s="83">
        <f t="shared" si="19"/>
        <v>56</v>
      </c>
      <c r="B63" s="39" t="str">
        <f t="shared" ca="1" si="20"/>
        <v>Boykin, Jerome W</v>
      </c>
      <c r="C63" s="40">
        <f t="shared" ca="1" si="21"/>
        <v>0</v>
      </c>
      <c r="D63" s="40">
        <f t="shared" si="22"/>
        <v>24</v>
      </c>
      <c r="E63" s="25">
        <f t="shared" si="23"/>
        <v>0.26666666666666666</v>
      </c>
      <c r="F63" s="11">
        <f t="shared" si="24"/>
        <v>30</v>
      </c>
      <c r="G63" s="43">
        <v>56</v>
      </c>
      <c r="H63" s="20">
        <f t="shared" si="25"/>
        <v>0</v>
      </c>
      <c r="I63" s="17">
        <f t="shared" ca="1" si="26"/>
        <v>5</v>
      </c>
      <c r="J63" s="17">
        <f t="shared" ca="1" si="27"/>
        <v>0</v>
      </c>
      <c r="K63" s="46">
        <f ca="1">IF($D$2&gt;=(COLUMN()-10),HLOOKUP($B63,INDIRECT(ADDRESS(2,11,1,,K$3)):INDIRECT(ADDRESS(25,playercnt+10,1,,K$3)),24),"")</f>
        <v>5</v>
      </c>
      <c r="L63" s="46">
        <f ca="1">IF($D$2&gt;=(COLUMN()-10),HLOOKUP($B63,INDIRECT(ADDRESS(2,11,1,,L$3)):INDIRECT(ADDRESS(25,playercnt+10,1,,L$3)),24),"")</f>
        <v>3</v>
      </c>
      <c r="M63" s="46">
        <f ca="1">IF($D$2&gt;=(COLUMN()-10),HLOOKUP($B63,INDIRECT(ADDRESS(2,11,1,,M$3)):INDIRECT(ADDRESS(25,playercnt+10,1,,M$3)),24),"")</f>
        <v>0</v>
      </c>
      <c r="N63" s="46">
        <f ca="1">IF($D$2&gt;=(COLUMN()-10),HLOOKUP($B63,INDIRECT(ADDRESS(2,11,1,,N$3)):INDIRECT(ADDRESS(25,playercnt+10,1,,N$3)),24),"")</f>
        <v>4</v>
      </c>
      <c r="O63" s="46">
        <f ca="1">IF($D$2&gt;=(COLUMN()-10),HLOOKUP($B63,INDIRECT(ADDRESS(2,11,1,,O$3)):INDIRECT(ADDRESS(25,playercnt+10,1,,O$3)),24),"")</f>
        <v>4</v>
      </c>
      <c r="P63" s="46">
        <f ca="1">IF($D$2&gt;=(COLUMN()-10),HLOOKUP($B63,INDIRECT(ADDRESS(2,11,1,,P$3)):INDIRECT(ADDRESS(25,playercnt+10,1,,P$3)),24),"")</f>
        <v>1</v>
      </c>
      <c r="Q63" s="46">
        <f ca="1">IF($D$2&gt;=(COLUMN()-10),HLOOKUP($B63,INDIRECT(ADDRESS(2,11,1,,Q$3)):INDIRECT(ADDRESS(25,playercnt+10,1,,Q$3)),24),"")</f>
        <v>3</v>
      </c>
      <c r="R63" s="46">
        <f ca="1">IF($D$2&gt;=(COLUMN()-10),HLOOKUP($B63,INDIRECT(ADDRESS(2,11,1,,R$3)):INDIRECT(ADDRESS(25,playercnt+10,1,,R$3)),24),"")</f>
        <v>4</v>
      </c>
      <c r="S63" s="46">
        <f ca="1">IF($D$2&gt;=(COLUMN()-10),HLOOKUP($B63,INDIRECT(ADDRESS(2,11,1,,S$3)):INDIRECT(ADDRESS(25,playercnt+10,1,,S$3)),24),"")</f>
        <v>0</v>
      </c>
      <c r="T63" s="46" t="str">
        <f ca="1">IF($D$2&gt;=(COLUMN()-10),HLOOKUP($B63,INDIRECT(ADDRESS(2,11,1,,T$3)):INDIRECT(ADDRESS(25,playercnt+10,1,,T$3)),24),"")</f>
        <v/>
      </c>
      <c r="U63" s="46" t="str">
        <f ca="1">IF($D$2&gt;=(COLUMN()-10),HLOOKUP($B63,INDIRECT(ADDRESS(2,11,1,,U$3)):INDIRECT(ADDRESS(25,playercnt+10,1,,U$3)),24),"")</f>
        <v/>
      </c>
      <c r="V63" s="46" t="str">
        <f ca="1">IF($D$2&gt;=(COLUMN()-10),HLOOKUP($B63,INDIRECT(ADDRESS(2,11,1,,V$3)):INDIRECT(ADDRESS(25,playercnt+10,1,,V$3)),24),"")</f>
        <v/>
      </c>
      <c r="W63" s="46" t="str">
        <f ca="1">IF($D$2&gt;=(COLUMN()-10),HLOOKUP($B63,INDIRECT(ADDRESS(2,11,1,,W$3)):INDIRECT(ADDRESS(25,playercnt+10,1,,W$3)),24),"")</f>
        <v/>
      </c>
      <c r="X63" s="47">
        <v>5</v>
      </c>
      <c r="Y63" s="14">
        <f t="shared" si="30"/>
        <v>56</v>
      </c>
    </row>
  </sheetData>
  <sortState ref="A8:X63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3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19050</xdr:colOff>
                    <xdr:row>0</xdr:row>
                    <xdr:rowOff>19050</xdr:rowOff>
                  </from>
                  <to>
                    <xdr:col>13</xdr:col>
                    <xdr:colOff>142875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19050</xdr:colOff>
                    <xdr:row>0</xdr:row>
                    <xdr:rowOff>28575</xdr:rowOff>
                  </from>
                  <to>
                    <xdr:col>20</xdr:col>
                    <xdr:colOff>200025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19050</xdr:rowOff>
                  </from>
                  <to>
                    <xdr:col>26</xdr:col>
                    <xdr:colOff>590550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opLeftCell="A2" zoomScale="85" zoomScaleNormal="85" workbookViewId="0">
      <pane ySplit="3075" topLeftCell="A34" activePane="bottomLeft"/>
      <selection activeCell="E2" sqref="E2"/>
      <selection pane="bottomLeft" activeCell="E17" sqref="E17:BN17"/>
    </sheetView>
  </sheetViews>
  <sheetFormatPr defaultRowHeight="12.75" x14ac:dyDescent="0.2"/>
  <cols>
    <col min="1" max="1" width="7.5703125" customWidth="1"/>
    <col min="2" max="2" width="4.28515625" customWidth="1"/>
    <col min="3" max="4" width="3" customWidth="1"/>
    <col min="5" max="5" width="4.85546875" bestFit="1" customWidth="1"/>
    <col min="6" max="6" width="5.85546875" bestFit="1" customWidth="1"/>
    <col min="7" max="78" width="3.28515625" customWidth="1"/>
  </cols>
  <sheetData>
    <row r="1" spans="1:78" ht="18" x14ac:dyDescent="0.25">
      <c r="A1" s="7" t="s">
        <v>13</v>
      </c>
      <c r="B1" s="7"/>
      <c r="C1" s="7"/>
      <c r="D1" s="7"/>
      <c r="H1" s="6"/>
      <c r="J1">
        <f ca="1">SUM(INDIRECT("RC11:RC"&amp;11+playercnt-1, FALSE))</f>
        <v>56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  <c r="BN1">
        <v>1</v>
      </c>
      <c r="BO1">
        <v>1</v>
      </c>
      <c r="BP1">
        <v>1</v>
      </c>
      <c r="BQ1">
        <v>1</v>
      </c>
      <c r="BR1">
        <v>1</v>
      </c>
      <c r="BS1">
        <v>1</v>
      </c>
      <c r="BT1">
        <v>1</v>
      </c>
      <c r="BU1">
        <v>1</v>
      </c>
      <c r="BV1">
        <v>1</v>
      </c>
    </row>
    <row r="2" spans="1:78" ht="138" customHeight="1" x14ac:dyDescent="0.2">
      <c r="A2" s="56">
        <f>weekcnt</f>
        <v>9</v>
      </c>
      <c r="B2" s="98">
        <f>COUNTA(K2:BZ2)</f>
        <v>56</v>
      </c>
      <c r="E2" s="23">
        <v>0.55384615384615388</v>
      </c>
      <c r="F2" s="23">
        <f>84/130</f>
        <v>0.64615384615384619</v>
      </c>
      <c r="G2" s="31" t="s">
        <v>51</v>
      </c>
      <c r="H2" s="31" t="s">
        <v>52</v>
      </c>
      <c r="I2" s="31" t="s">
        <v>53</v>
      </c>
      <c r="J2" s="31" t="s">
        <v>38</v>
      </c>
      <c r="K2" s="4" t="s">
        <v>42</v>
      </c>
      <c r="L2" s="23" t="s">
        <v>301</v>
      </c>
      <c r="M2" s="23" t="s">
        <v>294</v>
      </c>
      <c r="N2" s="4" t="s">
        <v>295</v>
      </c>
      <c r="O2" s="4" t="s">
        <v>318</v>
      </c>
      <c r="P2" s="23" t="s">
        <v>305</v>
      </c>
      <c r="Q2" s="4" t="s">
        <v>315</v>
      </c>
      <c r="R2" s="4" t="s">
        <v>306</v>
      </c>
      <c r="S2" s="23" t="s">
        <v>304</v>
      </c>
      <c r="T2" s="4" t="s">
        <v>307</v>
      </c>
      <c r="U2" s="23" t="s">
        <v>277</v>
      </c>
      <c r="V2" s="4" t="s">
        <v>319</v>
      </c>
      <c r="W2" s="4" t="s">
        <v>131</v>
      </c>
      <c r="X2" s="4" t="s">
        <v>136</v>
      </c>
      <c r="Y2" s="4" t="s">
        <v>133</v>
      </c>
      <c r="Z2" s="4" t="s">
        <v>271</v>
      </c>
      <c r="AA2" s="4" t="s">
        <v>297</v>
      </c>
      <c r="AB2" s="4" t="s">
        <v>125</v>
      </c>
      <c r="AC2" s="4" t="s">
        <v>268</v>
      </c>
      <c r="AD2" s="4" t="s">
        <v>288</v>
      </c>
      <c r="AE2" s="4" t="s">
        <v>308</v>
      </c>
      <c r="AF2" s="4" t="s">
        <v>267</v>
      </c>
      <c r="AG2" s="4" t="s">
        <v>309</v>
      </c>
      <c r="AH2" s="4" t="s">
        <v>300</v>
      </c>
      <c r="AI2" s="4" t="s">
        <v>291</v>
      </c>
      <c r="AJ2" s="23" t="s">
        <v>48</v>
      </c>
      <c r="AK2" s="23" t="s">
        <v>298</v>
      </c>
      <c r="AL2" s="23" t="s">
        <v>310</v>
      </c>
      <c r="AM2" s="23" t="s">
        <v>272</v>
      </c>
      <c r="AN2" s="23" t="s">
        <v>311</v>
      </c>
      <c r="AO2" s="23" t="s">
        <v>49</v>
      </c>
      <c r="AP2" s="23" t="s">
        <v>290</v>
      </c>
      <c r="AQ2" s="23" t="s">
        <v>316</v>
      </c>
      <c r="AR2" s="23" t="s">
        <v>317</v>
      </c>
      <c r="AS2" s="23" t="s">
        <v>278</v>
      </c>
      <c r="AT2" s="23" t="s">
        <v>289</v>
      </c>
      <c r="AU2" s="23" t="s">
        <v>312</v>
      </c>
      <c r="AV2" s="23" t="s">
        <v>132</v>
      </c>
      <c r="AW2" s="23" t="s">
        <v>269</v>
      </c>
      <c r="AX2" s="23" t="s">
        <v>50</v>
      </c>
      <c r="AY2" s="23" t="s">
        <v>43</v>
      </c>
      <c r="AZ2" s="23" t="s">
        <v>313</v>
      </c>
      <c r="BA2" s="23" t="s">
        <v>135</v>
      </c>
      <c r="BB2" s="23" t="s">
        <v>275</v>
      </c>
      <c r="BC2" s="23" t="s">
        <v>274</v>
      </c>
      <c r="BD2" s="23" t="s">
        <v>44</v>
      </c>
      <c r="BE2" s="23" t="s">
        <v>320</v>
      </c>
      <c r="BF2" s="4" t="s">
        <v>265</v>
      </c>
      <c r="BG2" s="23" t="s">
        <v>299</v>
      </c>
      <c r="BH2" s="23" t="s">
        <v>126</v>
      </c>
      <c r="BI2" s="23" t="s">
        <v>321</v>
      </c>
      <c r="BJ2" s="23" t="s">
        <v>296</v>
      </c>
      <c r="BK2" s="23" t="s">
        <v>134</v>
      </c>
      <c r="BL2" s="23" t="s">
        <v>266</v>
      </c>
      <c r="BM2" s="23" t="s">
        <v>279</v>
      </c>
      <c r="BN2" s="4" t="s">
        <v>280</v>
      </c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</row>
    <row r="4" spans="1:78" x14ac:dyDescent="0.2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3</v>
      </c>
      <c r="H4">
        <f ca="1">IF(($A$2)&gt;=(ROW()-3),H$17*(SUM(H$19:H19)-((ROW()-3)*5)),H3)</f>
        <v>-1</v>
      </c>
      <c r="I4">
        <f ca="1">IF(($A$2)&gt;=(ROW()-3),I$17*(SUM(I$19:I19)-((ROW()-3)*5)),I3)</f>
        <v>0</v>
      </c>
      <c r="J4">
        <f ca="1">IF(($A$2)&gt;=(ROW()-3),J$17*(SUM(J$19:J19)-((ROW()-3)*5)),J3)</f>
        <v>-5</v>
      </c>
      <c r="K4">
        <f ca="1">IF(($A$2)&gt;=(ROW()-3),K$17*(SUM(K$19:K19)-((ROW()-3)*5)),K3)</f>
        <v>1</v>
      </c>
      <c r="L4">
        <f ca="1">IF(($A$2)&gt;=(ROW()-3),L$17*(SUM(L$19:L19)-((ROW()-3)*5)),L3)</f>
        <v>-5</v>
      </c>
      <c r="M4">
        <f ca="1">IF(($A$2)&gt;=(ROW()-3),M$17*(SUM(M$19:M19)-((ROW()-3)*5)),M3)</f>
        <v>-1</v>
      </c>
      <c r="N4">
        <f ca="1">IF(($A$2)&gt;=(ROW()-3),N$17*(SUM(N$19:N19)-((ROW()-3)*5)),N3)</f>
        <v>2</v>
      </c>
      <c r="O4">
        <f ca="1">IF(($A$2)&gt;=(ROW()-3),O$17*(SUM(O$19:O19)-((ROW()-3)*5)),O3)</f>
        <v>0</v>
      </c>
      <c r="P4">
        <f ca="1">IF(($A$2)&gt;=(ROW()-3),P$17*(SUM(P$19:P19)-((ROW()-3)*5)),P3)</f>
        <v>0</v>
      </c>
      <c r="Q4">
        <f ca="1">IF(($A$2)&gt;=(ROW()-3),Q$17*(SUM(Q$19:Q19)-((ROW()-3)*5)),Q3)</f>
        <v>-1</v>
      </c>
      <c r="R4">
        <f ca="1">IF(($A$2)&gt;=(ROW()-3),R$17*(SUM(R$19:R19)-((ROW()-3)*5)),R3)</f>
        <v>-5</v>
      </c>
      <c r="S4">
        <f ca="1">IF(($A$2)&gt;=(ROW()-3),S$17*(SUM(S$19:S19)-((ROW()-3)*5)),S3)</f>
        <v>-2</v>
      </c>
      <c r="T4">
        <f ca="1">IF(($A$2)&gt;=(ROW()-3),T$17*(SUM(T$19:T19)-((ROW()-3)*5)),T3)</f>
        <v>-1</v>
      </c>
      <c r="U4">
        <f ca="1">IF(($A$2)&gt;=(ROW()-3),U$17*(SUM(U$19:U19)-((ROW()-3)*5)),U3)</f>
        <v>-1</v>
      </c>
      <c r="V4">
        <f ca="1">IF(($A$2)&gt;=(ROW()-3),V$17*(SUM(V$19:V19)-((ROW()-3)*5)),V3)</f>
        <v>1</v>
      </c>
      <c r="W4">
        <f ca="1">IF(($A$2)&gt;=(ROW()-3),W$17*(SUM(W$19:W19)-((ROW()-3)*5)),W3)</f>
        <v>0</v>
      </c>
      <c r="X4">
        <f ca="1">IF(($A$2)&gt;=(ROW()-3),X$17*(SUM(X$19:X19)-((ROW()-3)*5)),X3)</f>
        <v>-2</v>
      </c>
      <c r="Y4">
        <f ca="1">IF(($A$2)&gt;=(ROW()-3),Y$17*(SUM(Y$19:Y19)-((ROW()-3)*5)),Y3)</f>
        <v>-1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-1</v>
      </c>
      <c r="AC4">
        <f ca="1">IF(($A$2)&gt;=(ROW()-3),AC$17*(SUM(AC$19:AC19)-((ROW()-3)*5)),AC3)</f>
        <v>1</v>
      </c>
      <c r="AD4">
        <f ca="1">IF(($A$2)&gt;=(ROW()-3),AD$17*(SUM(AD$19:AD19)-((ROW()-3)*5)),AD3)</f>
        <v>1</v>
      </c>
      <c r="AE4">
        <f ca="1">IF(($A$2)&gt;=(ROW()-3),AE$17*(SUM(AE$19:AE19)-((ROW()-3)*5)),AE3)</f>
        <v>1</v>
      </c>
      <c r="AF4">
        <f ca="1">IF(($A$2)&gt;=(ROW()-3),AF$17*(SUM(AF$19:AF19)-((ROW()-3)*5)),AF3)</f>
        <v>-1</v>
      </c>
      <c r="AG4">
        <f ca="1">IF(($A$2)&gt;=(ROW()-3),AG$17*(SUM(AG$19:AG19)-((ROW()-3)*5)),AG3)</f>
        <v>0</v>
      </c>
      <c r="AH4">
        <f ca="1">IF(($A$2)&gt;=(ROW()-3),AH$17*(SUM(AH$19:AH19)-((ROW()-3)*5)),AH3)</f>
        <v>1</v>
      </c>
      <c r="AI4">
        <f ca="1">IF(($A$2)&gt;=(ROW()-3),AI$17*(SUM(AI$19:AI19)-((ROW()-3)*5)),AI3)</f>
        <v>-1</v>
      </c>
      <c r="AJ4">
        <f ca="1">IF(($A$2)&gt;=(ROW()-3),AJ$17*(SUM(AJ$19:AJ19)-((ROW()-3)*5)),AJ3)</f>
        <v>0</v>
      </c>
      <c r="AK4">
        <f ca="1">IF(($A$2)&gt;=(ROW()-3),AK$17*(SUM(AK$19:AK19)-((ROW()-3)*5)),AK3)</f>
        <v>2</v>
      </c>
      <c r="AL4">
        <f ca="1">IF(($A$2)&gt;=(ROW()-3),AL$17*(SUM(AL$19:AL19)-((ROW()-3)*5)),AL3)</f>
        <v>0</v>
      </c>
      <c r="AM4">
        <f ca="1">IF(($A$2)&gt;=(ROW()-3),AM$17*(SUM(AM$19:AM19)-((ROW()-3)*5)),AM3)</f>
        <v>-3</v>
      </c>
      <c r="AN4">
        <f ca="1">IF(($A$2)&gt;=(ROW()-3),AN$17*(SUM(AN$19:AN19)-((ROW()-3)*5)),AN3)</f>
        <v>-1</v>
      </c>
      <c r="AO4">
        <f ca="1">IF(($A$2)&gt;=(ROW()-3),AO$17*(SUM(AO$19:AO19)-((ROW()-3)*5)),AO3)</f>
        <v>0</v>
      </c>
      <c r="AP4">
        <f ca="1">IF(($A$2)&gt;=(ROW()-3),AP$17*(SUM(AP$19:AP19)-((ROW()-3)*5)),AP3)</f>
        <v>1</v>
      </c>
      <c r="AQ4">
        <f ca="1">IF(($A$2)&gt;=(ROW()-3),AQ$17*(SUM(AQ$19:AQ19)-((ROW()-3)*5)),AQ3)</f>
        <v>0</v>
      </c>
      <c r="AR4">
        <f ca="1">IF(($A$2)&gt;=(ROW()-3),AR$17*(SUM(AR$19:AR19)-((ROW()-3)*5)),AR3)</f>
        <v>-2</v>
      </c>
      <c r="AS4">
        <f ca="1">IF(($A$2)&gt;=(ROW()-3),AS$17*(SUM(AS$19:AS19)-((ROW()-3)*5)),AS3)</f>
        <v>4</v>
      </c>
      <c r="AT4">
        <f ca="1">IF(($A$2)&gt;=(ROW()-3),AT$17*(SUM(AT$19:AT19)-((ROW()-3)*5)),AT3)</f>
        <v>-1</v>
      </c>
      <c r="AU4">
        <f ca="1">IF(($A$2)&gt;=(ROW()-3),AU$17*(SUM(AU$19:AU19)-((ROW()-3)*5)),AU3)</f>
        <v>-1</v>
      </c>
      <c r="AV4">
        <f ca="1">IF(($A$2)&gt;=(ROW()-3),AV$17*(SUM(AV$19:AV19)-((ROW()-3)*5)),AV3)</f>
        <v>0</v>
      </c>
      <c r="AW4">
        <f ca="1">IF(($A$2)&gt;=(ROW()-3),AW$17*(SUM(AW$19:AW19)-((ROW()-3)*5)),AW3)</f>
        <v>-1</v>
      </c>
      <c r="AX4">
        <f ca="1">IF(($A$2)&gt;=(ROW()-3),AX$17*(SUM(AX$19:AX19)-((ROW()-3)*5)),AX3)</f>
        <v>3</v>
      </c>
      <c r="AY4">
        <f ca="1">IF(($A$2)&gt;=(ROW()-3),AY$17*(SUM(AY$19:AY19)-((ROW()-3)*5)),AY3)</f>
        <v>1</v>
      </c>
      <c r="AZ4">
        <f ca="1">IF(($A$2)&gt;=(ROW()-3),AZ$17*(SUM(AZ$19:AZ19)-((ROW()-3)*5)),AZ3)</f>
        <v>3</v>
      </c>
      <c r="BA4">
        <f ca="1">IF(($A$2)&gt;=(ROW()-3),BA$17*(SUM(BA$19:BA19)-((ROW()-3)*5)),BA3)</f>
        <v>3</v>
      </c>
      <c r="BB4">
        <f ca="1">IF(($A$2)&gt;=(ROW()-3),BB$17*(SUM(BB$19:BB19)-((ROW()-3)*5)),BB3)</f>
        <v>0</v>
      </c>
      <c r="BC4">
        <f ca="1">IF(($A$2)&gt;=(ROW()-3),BC$17*(SUM(BC$19:BC19)-((ROW()-3)*5)),BC3)</f>
        <v>-1</v>
      </c>
      <c r="BD4">
        <f ca="1">IF(($A$2)&gt;=(ROW()-3),BD$17*(SUM(BD$19:BD19)-((ROW()-3)*5)),BD3)</f>
        <v>1</v>
      </c>
      <c r="BE4">
        <f ca="1">IF(($A$2)&gt;=(ROW()-3),BE$17*(SUM(BE$19:BE19)-((ROW()-3)*5)),BE3)</f>
        <v>-2</v>
      </c>
      <c r="BF4">
        <f ca="1">IF(($A$2)&gt;=(ROW()-3),BF$17*(SUM(BF$19:BF19)-((ROW()-3)*5)),BF3)</f>
        <v>-1</v>
      </c>
      <c r="BG4">
        <f ca="1">IF(($A$2)&gt;=(ROW()-3),BG$17*(SUM(BG$19:BG19)-((ROW()-3)*5)),BG3)</f>
        <v>1</v>
      </c>
      <c r="BH4">
        <f ca="1">IF(($A$2)&gt;=(ROW()-3),BH$17*(SUM(BH$19:BH19)-((ROW()-3)*5)),BH3)</f>
        <v>1</v>
      </c>
      <c r="BI4">
        <f ca="1">IF(($A$2)&gt;=(ROW()-3),BI$17*(SUM(BI$19:BI19)-((ROW()-3)*5)),BI3)</f>
        <v>4</v>
      </c>
      <c r="BJ4">
        <f ca="1">IF(($A$2)&gt;=(ROW()-3),BJ$17*(SUM(BJ$19:BJ19)-((ROW()-3)*5)),BJ3)</f>
        <v>-2</v>
      </c>
      <c r="BK4">
        <f ca="1">IF(($A$2)&gt;=(ROW()-3),BK$17*(SUM(BK$19:BK19)-((ROW()-3)*5)),BK3)</f>
        <v>1</v>
      </c>
      <c r="BL4">
        <f ca="1">IF(($A$2)&gt;=(ROW()-3),BL$17*(SUM(BL$19:BL19)-((ROW()-3)*5)),BL3)</f>
        <v>-2</v>
      </c>
      <c r="BM4">
        <f ca="1">IF(($A$2)&gt;=(ROW()-3),BM$17*(SUM(BM$19:BM19)-((ROW()-3)*5)),BM3)</f>
        <v>2</v>
      </c>
      <c r="BN4">
        <f ca="1">IF(($A$2)&gt;=(ROW()-3),BN$17*(SUM(BN$19:BN19)-((ROW()-3)*5)),BN3)</f>
        <v>2</v>
      </c>
      <c r="BO4">
        <f ca="1">IF(($A$2)&gt;=(ROW()-3),BO$17*(SUM(BO$19:BO19)-((ROW()-3)*5)),BO3)</f>
        <v>0</v>
      </c>
      <c r="BP4">
        <f ca="1">IF(($A$2)&gt;=(ROW()-3),BP$17*(SUM(BP$19:BP19)-((ROW()-3)*5)),BP3)</f>
        <v>0</v>
      </c>
      <c r="BQ4">
        <f ca="1">IF(($A$2)&gt;=(ROW()-3),BQ$17*(SUM(BQ$19:BQ19)-((ROW()-3)*5)),BQ3)</f>
        <v>0</v>
      </c>
      <c r="BR4">
        <f ca="1">IF(($A$2)&gt;=(ROW()-3),BR$17*(SUM(BR$19:BR19)-((ROW()-3)*5)),BR3)</f>
        <v>0</v>
      </c>
      <c r="BS4">
        <f ca="1">IF(($A$2)&gt;=(ROW()-3),BS$17*(SUM(BS$19:BS19)-((ROW()-3)*5)),BS3)</f>
        <v>0</v>
      </c>
      <c r="BT4">
        <f ca="1">IF(($A$2)&gt;=(ROW()-3),BT$17*(SUM(BT$19:BT19)-((ROW()-3)*5)),BT3)</f>
        <v>0</v>
      </c>
      <c r="BU4">
        <f ca="1">IF(($A$2)&gt;=(ROW()-3),BU$17*(SUM(BU$19:BU19)-((ROW()-3)*5)),BU3)</f>
        <v>0</v>
      </c>
      <c r="BV4">
        <f ca="1">IF(($A$2)&gt;=(ROW()-3),BV$17*(SUM(BV$19:BV19)-((ROW()-3)*5)),BV3)</f>
        <v>0</v>
      </c>
    </row>
    <row r="5" spans="1:78" x14ac:dyDescent="0.2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-1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-6</v>
      </c>
      <c r="M5">
        <f ca="1">IF(($A$2)&gt;=(ROW()-3),M$17*(SUM(M$19:M20)-((ROW()-3)*5)),M4)</f>
        <v>1</v>
      </c>
      <c r="N5">
        <f ca="1">IF(($A$2)&gt;=(ROW()-3),N$17*(SUM(N$19:N20)-((ROW()-3)*5)),N4)</f>
        <v>1</v>
      </c>
      <c r="O5">
        <f ca="1">IF(($A$2)&gt;=(ROW()-3),O$17*(SUM(O$19:O20)-((ROW()-3)*5)),O4)</f>
        <v>-2</v>
      </c>
      <c r="P5">
        <f ca="1">IF(($A$2)&gt;=(ROW()-3),P$17*(SUM(P$19:P20)-((ROW()-3)*5)),P4)</f>
        <v>-1</v>
      </c>
      <c r="Q5">
        <f ca="1">IF(($A$2)&gt;=(ROW()-3),Q$17*(SUM(Q$19:Q20)-((ROW()-3)*5)),Q4)</f>
        <v>-2</v>
      </c>
      <c r="R5">
        <f ca="1">IF(($A$2)&gt;=(ROW()-3),R$17*(SUM(R$19:R20)-((ROW()-3)*5)),R4)</f>
        <v>-5</v>
      </c>
      <c r="S5">
        <f ca="1">IF(($A$2)&gt;=(ROW()-3),S$17*(SUM(S$19:S20)-((ROW()-3)*5)),S4)</f>
        <v>-3</v>
      </c>
      <c r="T5">
        <f ca="1">IF(($A$2)&gt;=(ROW()-3),T$17*(SUM(T$19:T20)-((ROW()-3)*5)),T4)</f>
        <v>-4</v>
      </c>
      <c r="U5">
        <f ca="1">IF(($A$2)&gt;=(ROW()-3),U$17*(SUM(U$19:U20)-((ROW()-3)*5)),U4)</f>
        <v>-3</v>
      </c>
      <c r="V5">
        <f ca="1">IF(($A$2)&gt;=(ROW()-3),V$17*(SUM(V$19:V20)-((ROW()-3)*5)),V4)</f>
        <v>2</v>
      </c>
      <c r="W5">
        <f ca="1">IF(($A$2)&gt;=(ROW()-3),W$17*(SUM(W$19:W20)-((ROW()-3)*5)),W4)</f>
        <v>0</v>
      </c>
      <c r="X5">
        <f ca="1">IF(($A$2)&gt;=(ROW()-3),X$17*(SUM(X$19:X20)-((ROW()-3)*5)),X4)</f>
        <v>-2</v>
      </c>
      <c r="Y5">
        <f ca="1">IF(($A$2)&gt;=(ROW()-3),Y$17*(SUM(Y$19:Y20)-((ROW()-3)*5)),Y4)</f>
        <v>-2</v>
      </c>
      <c r="Z5">
        <f ca="1">IF(($A$2)&gt;=(ROW()-3),Z$17*(SUM(Z$19:Z20)-((ROW()-3)*5)),Z4)</f>
        <v>2</v>
      </c>
      <c r="AA5">
        <f ca="1">IF(($A$2)&gt;=(ROW()-3),AA$17*(SUM(AA$19:AA20)-((ROW()-3)*5)),AA4)</f>
        <v>3</v>
      </c>
      <c r="AB5">
        <f ca="1">IF(($A$2)&gt;=(ROW()-3),AB$17*(SUM(AB$19:AB20)-((ROW()-3)*5)),AB4)</f>
        <v>0</v>
      </c>
      <c r="AC5">
        <f ca="1">IF(($A$2)&gt;=(ROW()-3),AC$17*(SUM(AC$19:AC20)-((ROW()-3)*5)),AC4)</f>
        <v>1</v>
      </c>
      <c r="AD5">
        <f ca="1">IF(($A$2)&gt;=(ROW()-3),AD$17*(SUM(AD$19:AD20)-((ROW()-3)*5)),AD4)</f>
        <v>2</v>
      </c>
      <c r="AE5">
        <f ca="1">IF(($A$2)&gt;=(ROW()-3),AE$17*(SUM(AE$19:AE20)-((ROW()-3)*5)),AE4)</f>
        <v>0</v>
      </c>
      <c r="AF5">
        <f ca="1">IF(($A$2)&gt;=(ROW()-3),AF$17*(SUM(AF$19:AF20)-((ROW()-3)*5)),AF4)</f>
        <v>0</v>
      </c>
      <c r="AG5">
        <f ca="1">IF(($A$2)&gt;=(ROW()-3),AG$17*(SUM(AG$19:AG20)-((ROW()-3)*5)),AG4)</f>
        <v>-2</v>
      </c>
      <c r="AH5">
        <f ca="1">IF(($A$2)&gt;=(ROW()-3),AH$17*(SUM(AH$19:AH20)-((ROW()-3)*5)),AH4)</f>
        <v>3</v>
      </c>
      <c r="AI5">
        <f ca="1">IF(($A$2)&gt;=(ROW()-3),AI$17*(SUM(AI$19:AI20)-((ROW()-3)*5)),AI4)</f>
        <v>-4</v>
      </c>
      <c r="AJ5">
        <f ca="1">IF(($A$2)&gt;=(ROW()-3),AJ$17*(SUM(AJ$19:AJ20)-((ROW()-3)*5)),AJ4)</f>
        <v>2</v>
      </c>
      <c r="AK5">
        <f ca="1">IF(($A$2)&gt;=(ROW()-3),AK$17*(SUM(AK$19:AK20)-((ROW()-3)*5)),AK4)</f>
        <v>0</v>
      </c>
      <c r="AL5">
        <f ca="1">IF(($A$2)&gt;=(ROW()-3),AL$17*(SUM(AL$19:AL20)-((ROW()-3)*5)),AL4)</f>
        <v>-2</v>
      </c>
      <c r="AM5">
        <f ca="1">IF(($A$2)&gt;=(ROW()-3),AM$17*(SUM(AM$19:AM20)-((ROW()-3)*5)),AM4)</f>
        <v>-4</v>
      </c>
      <c r="AN5">
        <f ca="1">IF(($A$2)&gt;=(ROW()-3),AN$17*(SUM(AN$19:AN20)-((ROW()-3)*5)),AN4)</f>
        <v>1</v>
      </c>
      <c r="AO5">
        <f ca="1">IF(($A$2)&gt;=(ROW()-3),AO$17*(SUM(AO$19:AO20)-((ROW()-3)*5)),AO4)</f>
        <v>-1</v>
      </c>
      <c r="AP5">
        <f ca="1">IF(($A$2)&gt;=(ROW()-3),AP$17*(SUM(AP$19:AP20)-((ROW()-3)*5)),AP4)</f>
        <v>-4</v>
      </c>
      <c r="AQ5">
        <f ca="1">IF(($A$2)&gt;=(ROW()-3),AQ$17*(SUM(AQ$19:AQ20)-((ROW()-3)*5)),AQ4)</f>
        <v>3</v>
      </c>
      <c r="AR5">
        <f ca="1">IF(($A$2)&gt;=(ROW()-3),AR$17*(SUM(AR$19:AR20)-((ROW()-3)*5)),AR4)</f>
        <v>-1</v>
      </c>
      <c r="AS5">
        <f ca="1">IF(($A$2)&gt;=(ROW()-3),AS$17*(SUM(AS$19:AS20)-((ROW()-3)*5)),AS4)</f>
        <v>1</v>
      </c>
      <c r="AT5">
        <f ca="1">IF(($A$2)&gt;=(ROW()-3),AT$17*(SUM(AT$19:AT20)-((ROW()-3)*5)),AT4)</f>
        <v>-2</v>
      </c>
      <c r="AU5">
        <f ca="1">IF(($A$2)&gt;=(ROW()-3),AU$17*(SUM(AU$19:AU20)-((ROW()-3)*5)),AU4)</f>
        <v>1</v>
      </c>
      <c r="AV5">
        <f ca="1">IF(($A$2)&gt;=(ROW()-3),AV$17*(SUM(AV$19:AV20)-((ROW()-3)*5)),AV4)</f>
        <v>1</v>
      </c>
      <c r="AW5">
        <f ca="1">IF(($A$2)&gt;=(ROW()-3),AW$17*(SUM(AW$19:AW20)-((ROW()-3)*5)),AW4)</f>
        <v>-3</v>
      </c>
      <c r="AX5">
        <f ca="1">IF(($A$2)&gt;=(ROW()-3),AX$17*(SUM(AX$19:AX20)-((ROW()-3)*5)),AX4)</f>
        <v>1</v>
      </c>
      <c r="AY5">
        <f ca="1">IF(($A$2)&gt;=(ROW()-3),AY$17*(SUM(AY$19:AY20)-((ROW()-3)*5)),AY4)</f>
        <v>1</v>
      </c>
      <c r="AZ5">
        <f ca="1">IF(($A$2)&gt;=(ROW()-3),AZ$17*(SUM(AZ$19:AZ20)-((ROW()-3)*5)),AZ4)</f>
        <v>3</v>
      </c>
      <c r="BA5">
        <f ca="1">IF(($A$2)&gt;=(ROW()-3),BA$17*(SUM(BA$19:BA20)-((ROW()-3)*5)),BA4)</f>
        <v>5</v>
      </c>
      <c r="BB5">
        <f ca="1">IF(($A$2)&gt;=(ROW()-3),BB$17*(SUM(BB$19:BB20)-((ROW()-3)*5)),BB4)</f>
        <v>-1</v>
      </c>
      <c r="BC5">
        <f ca="1">IF(($A$2)&gt;=(ROW()-3),BC$17*(SUM(BC$19:BC20)-((ROW()-3)*5)),BC4)</f>
        <v>-2</v>
      </c>
      <c r="BD5">
        <f ca="1">IF(($A$2)&gt;=(ROW()-3),BD$17*(SUM(BD$19:BD20)-((ROW()-3)*5)),BD4)</f>
        <v>2</v>
      </c>
      <c r="BE5">
        <f ca="1">IF(($A$2)&gt;=(ROW()-3),BE$17*(SUM(BE$19:BE20)-((ROW()-3)*5)),BE4)</f>
        <v>-1</v>
      </c>
      <c r="BF5">
        <f ca="1">IF(($A$2)&gt;=(ROW()-3),BF$17*(SUM(BF$19:BF20)-((ROW()-3)*5)),BF4)</f>
        <v>-2</v>
      </c>
      <c r="BG5">
        <f ca="1">IF(($A$2)&gt;=(ROW()-3),BG$17*(SUM(BG$19:BG20)-((ROW()-3)*5)),BG4)</f>
        <v>-2</v>
      </c>
      <c r="BH5">
        <f ca="1">IF(($A$2)&gt;=(ROW()-3),BH$17*(SUM(BH$19:BH20)-((ROW()-3)*5)),BH4)</f>
        <v>1</v>
      </c>
      <c r="BI5">
        <f ca="1">IF(($A$2)&gt;=(ROW()-3),BI$17*(SUM(BI$19:BI20)-((ROW()-3)*5)),BI4)</f>
        <v>5</v>
      </c>
      <c r="BJ5">
        <f ca="1">IF(($A$2)&gt;=(ROW()-3),BJ$17*(SUM(BJ$19:BJ20)-((ROW()-3)*5)),BJ4)</f>
        <v>0</v>
      </c>
      <c r="BK5">
        <f ca="1">IF(($A$2)&gt;=(ROW()-3),BK$17*(SUM(BK$19:BK20)-((ROW()-3)*5)),BK4)</f>
        <v>0</v>
      </c>
      <c r="BL5">
        <f ca="1">IF(($A$2)&gt;=(ROW()-3),BL$17*(SUM(BL$19:BL20)-((ROW()-3)*5)),BL4)</f>
        <v>-1</v>
      </c>
      <c r="BM5">
        <f ca="1">IF(($A$2)&gt;=(ROW()-3),BM$17*(SUM(BM$19:BM20)-((ROW()-3)*5)),BM4)</f>
        <v>1</v>
      </c>
      <c r="BN5">
        <f ca="1">IF(($A$2)&gt;=(ROW()-3),BN$17*(SUM(BN$19:BN20)-((ROW()-3)*5)),BN4)</f>
        <v>2</v>
      </c>
      <c r="BO5">
        <f ca="1">IF(($A$2)&gt;=(ROW()-3),BO$17*(SUM(BO$19:BO20)-((ROW()-3)*5)),BO4)</f>
        <v>0</v>
      </c>
      <c r="BP5">
        <f ca="1">IF(($A$2)&gt;=(ROW()-3),BP$17*(SUM(BP$19:BP20)-((ROW()-3)*5)),BP4)</f>
        <v>0</v>
      </c>
      <c r="BQ5">
        <f ca="1">IF(($A$2)&gt;=(ROW()-3),BQ$17*(SUM(BQ$19:BQ20)-((ROW()-3)*5)),BQ4)</f>
        <v>0</v>
      </c>
      <c r="BR5">
        <f ca="1">IF(($A$2)&gt;=(ROW()-3),BR$17*(SUM(BR$19:BR20)-((ROW()-3)*5)),BR4)</f>
        <v>0</v>
      </c>
      <c r="BS5">
        <f ca="1">IF(($A$2)&gt;=(ROW()-3),BS$17*(SUM(BS$19:BS20)-((ROW()-3)*5)),BS4)</f>
        <v>0</v>
      </c>
      <c r="BT5">
        <f ca="1">IF(($A$2)&gt;=(ROW()-3),BT$17*(SUM(BT$19:BT20)-((ROW()-3)*5)),BT4)</f>
        <v>0</v>
      </c>
      <c r="BU5">
        <f ca="1">IF(($A$2)&gt;=(ROW()-3),BU$17*(SUM(BU$19:BU20)-((ROW()-3)*5)),BU4)</f>
        <v>0</v>
      </c>
      <c r="BV5">
        <f ca="1">IF(($A$2)&gt;=(ROW()-3),BV$17*(SUM(BV$19:BV20)-((ROW()-3)*5)),BV4)</f>
        <v>0</v>
      </c>
    </row>
    <row r="6" spans="1:78" x14ac:dyDescent="0.2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2</v>
      </c>
      <c r="H6">
        <f ca="1">IF(($A$2)&gt;=(ROW()-3),H$17*(SUM(H$19:H21)-((ROW()-3)*5)),H5)</f>
        <v>0</v>
      </c>
      <c r="I6">
        <f ca="1">IF(($A$2)&gt;=(ROW()-3),I$17*(SUM(I$19:I21)-((ROW()-3)*5)),I5)</f>
        <v>0</v>
      </c>
      <c r="J6">
        <f ca="1">IF(($A$2)&gt;=(ROW()-3),J$17*(SUM(J$19:J21)-((ROW()-3)*5)),J5)</f>
        <v>-15</v>
      </c>
      <c r="K6">
        <f ca="1">IF(($A$2)&gt;=(ROW()-3),K$17*(SUM(K$19:K21)-((ROW()-3)*5)),K5)</f>
        <v>2</v>
      </c>
      <c r="L6">
        <f ca="1">IF(($A$2)&gt;=(ROW()-3),L$17*(SUM(L$19:L21)-((ROW()-3)*5)),L5)</f>
        <v>-4</v>
      </c>
      <c r="M6">
        <f ca="1">IF(($A$2)&gt;=(ROW()-3),M$17*(SUM(M$19:M21)-((ROW()-3)*5)),M5)</f>
        <v>0</v>
      </c>
      <c r="N6">
        <f ca="1">IF(($A$2)&gt;=(ROW()-3),N$17*(SUM(N$19:N21)-((ROW()-3)*5)),N5)</f>
        <v>4</v>
      </c>
      <c r="O6">
        <f ca="1">IF(($A$2)&gt;=(ROW()-3),O$17*(SUM(O$19:O21)-((ROW()-3)*5)),O5)</f>
        <v>-7</v>
      </c>
      <c r="P6">
        <f ca="1">IF(($A$2)&gt;=(ROW()-3),P$17*(SUM(P$19:P21)-((ROW()-3)*5)),P5)</f>
        <v>-3</v>
      </c>
      <c r="Q6">
        <f ca="1">IF(($A$2)&gt;=(ROW()-3),Q$17*(SUM(Q$19:Q21)-((ROW()-3)*5)),Q5)</f>
        <v>-7</v>
      </c>
      <c r="R6">
        <f ca="1">IF(($A$2)&gt;=(ROW()-3),R$17*(SUM(R$19:R21)-((ROW()-3)*5)),R5)</f>
        <v>-4</v>
      </c>
      <c r="S6">
        <f ca="1">IF(($A$2)&gt;=(ROW()-3),S$17*(SUM(S$19:S21)-((ROW()-3)*5)),S5)</f>
        <v>-4</v>
      </c>
      <c r="T6">
        <f ca="1">IF(($A$2)&gt;=(ROW()-3),T$17*(SUM(T$19:T21)-((ROW()-3)*5)),T5)</f>
        <v>-4</v>
      </c>
      <c r="U6">
        <f ca="1">IF(($A$2)&gt;=(ROW()-3),U$17*(SUM(U$19:U21)-((ROW()-3)*5)),U5)</f>
        <v>-8</v>
      </c>
      <c r="V6">
        <f ca="1">IF(($A$2)&gt;=(ROW()-3),V$17*(SUM(V$19:V21)-((ROW()-3)*5)),V5)</f>
        <v>2</v>
      </c>
      <c r="W6">
        <f ca="1">IF(($A$2)&gt;=(ROW()-3),W$17*(SUM(W$19:W21)-((ROW()-3)*5)),W5)</f>
        <v>0</v>
      </c>
      <c r="X6">
        <f ca="1">IF(($A$2)&gt;=(ROW()-3),X$17*(SUM(X$19:X21)-((ROW()-3)*5)),X5)</f>
        <v>-2</v>
      </c>
      <c r="Y6">
        <f ca="1">IF(($A$2)&gt;=(ROW()-3),Y$17*(SUM(Y$19:Y21)-((ROW()-3)*5)),Y5)</f>
        <v>-2</v>
      </c>
      <c r="Z6">
        <f ca="1">IF(($A$2)&gt;=(ROW()-3),Z$17*(SUM(Z$19:Z21)-((ROW()-3)*5)),Z5)</f>
        <v>3</v>
      </c>
      <c r="AA6">
        <f ca="1">IF(($A$2)&gt;=(ROW()-3),AA$17*(SUM(AA$19:AA21)-((ROW()-3)*5)),AA5)</f>
        <v>5</v>
      </c>
      <c r="AB6">
        <f ca="1">IF(($A$2)&gt;=(ROW()-3),AB$17*(SUM(AB$19:AB21)-((ROW()-3)*5)),AB5)</f>
        <v>1</v>
      </c>
      <c r="AC6">
        <f ca="1">IF(($A$2)&gt;=(ROW()-3),AC$17*(SUM(AC$19:AC21)-((ROW()-3)*5)),AC5)</f>
        <v>3</v>
      </c>
      <c r="AD6">
        <f ca="1">IF(($A$2)&gt;=(ROW()-3),AD$17*(SUM(AD$19:AD21)-((ROW()-3)*5)),AD5)</f>
        <v>1</v>
      </c>
      <c r="AE6">
        <f ca="1">IF(($A$2)&gt;=(ROW()-3),AE$17*(SUM(AE$19:AE21)-((ROW()-3)*5)),AE5)</f>
        <v>0</v>
      </c>
      <c r="AF6">
        <f ca="1">IF(($A$2)&gt;=(ROW()-3),AF$17*(SUM(AF$19:AF21)-((ROW()-3)*5)),AF5)</f>
        <v>1</v>
      </c>
      <c r="AG6">
        <f ca="1">IF(($A$2)&gt;=(ROW()-3),AG$17*(SUM(AG$19:AG21)-((ROW()-3)*5)),AG5)</f>
        <v>-7</v>
      </c>
      <c r="AH6">
        <f ca="1">IF(($A$2)&gt;=(ROW()-3),AH$17*(SUM(AH$19:AH21)-((ROW()-3)*5)),AH5)</f>
        <v>3</v>
      </c>
      <c r="AI6">
        <f ca="1">IF(($A$2)&gt;=(ROW()-3),AI$17*(SUM(AI$19:AI21)-((ROW()-3)*5)),AI5)</f>
        <v>-3</v>
      </c>
      <c r="AJ6">
        <f ca="1">IF(($A$2)&gt;=(ROW()-3),AJ$17*(SUM(AJ$19:AJ21)-((ROW()-3)*5)),AJ5)</f>
        <v>-3</v>
      </c>
      <c r="AK6">
        <f ca="1">IF(($A$2)&gt;=(ROW()-3),AK$17*(SUM(AK$19:AK21)-((ROW()-3)*5)),AK5)</f>
        <v>-5</v>
      </c>
      <c r="AL6">
        <f ca="1">IF(($A$2)&gt;=(ROW()-3),AL$17*(SUM(AL$19:AL21)-((ROW()-3)*5)),AL5)</f>
        <v>-3</v>
      </c>
      <c r="AM6">
        <f ca="1">IF(($A$2)&gt;=(ROW()-3),AM$17*(SUM(AM$19:AM21)-((ROW()-3)*5)),AM5)</f>
        <v>-3</v>
      </c>
      <c r="AN6">
        <f ca="1">IF(($A$2)&gt;=(ROW()-3),AN$17*(SUM(AN$19:AN21)-((ROW()-3)*5)),AN5)</f>
        <v>1</v>
      </c>
      <c r="AO6">
        <f ca="1">IF(($A$2)&gt;=(ROW()-3),AO$17*(SUM(AO$19:AO21)-((ROW()-3)*5)),AO5)</f>
        <v>-1</v>
      </c>
      <c r="AP6">
        <f ca="1">IF(($A$2)&gt;=(ROW()-3),AP$17*(SUM(AP$19:AP21)-((ROW()-3)*5)),AP5)</f>
        <v>-9</v>
      </c>
      <c r="AQ6">
        <f ca="1">IF(($A$2)&gt;=(ROW()-3),AQ$17*(SUM(AQ$19:AQ21)-((ROW()-3)*5)),AQ5)</f>
        <v>4</v>
      </c>
      <c r="AR6">
        <f ca="1">IF(($A$2)&gt;=(ROW()-3),AR$17*(SUM(AR$19:AR21)-((ROW()-3)*5)),AR5)</f>
        <v>1</v>
      </c>
      <c r="AS6">
        <f ca="1">IF(($A$2)&gt;=(ROW()-3),AS$17*(SUM(AS$19:AS21)-((ROW()-3)*5)),AS5)</f>
        <v>3</v>
      </c>
      <c r="AT6">
        <f ca="1">IF(($A$2)&gt;=(ROW()-3),AT$17*(SUM(AT$19:AT21)-((ROW()-3)*5)),AT5)</f>
        <v>-1</v>
      </c>
      <c r="AU6">
        <f ca="1">IF(($A$2)&gt;=(ROW()-3),AU$17*(SUM(AU$19:AU21)-((ROW()-3)*5)),AU5)</f>
        <v>2</v>
      </c>
      <c r="AV6">
        <f ca="1">IF(($A$2)&gt;=(ROW()-3),AV$17*(SUM(AV$19:AV21)-((ROW()-3)*5)),AV5)</f>
        <v>2</v>
      </c>
      <c r="AW6">
        <f ca="1">IF(($A$2)&gt;=(ROW()-3),AW$17*(SUM(AW$19:AW21)-((ROW()-3)*5)),AW5)</f>
        <v>-4</v>
      </c>
      <c r="AX6">
        <f ca="1">IF(($A$2)&gt;=(ROW()-3),AX$17*(SUM(AX$19:AX21)-((ROW()-3)*5)),AX5)</f>
        <v>2</v>
      </c>
      <c r="AY6">
        <f ca="1">IF(($A$2)&gt;=(ROW()-3),AY$17*(SUM(AY$19:AY21)-((ROW()-3)*5)),AY5)</f>
        <v>1</v>
      </c>
      <c r="AZ6">
        <f ca="1">IF(($A$2)&gt;=(ROW()-3),AZ$17*(SUM(AZ$19:AZ21)-((ROW()-3)*5)),AZ5)</f>
        <v>3</v>
      </c>
      <c r="BA6">
        <f ca="1">IF(($A$2)&gt;=(ROW()-3),BA$17*(SUM(BA$19:BA21)-((ROW()-3)*5)),BA5)</f>
        <v>7</v>
      </c>
      <c r="BB6">
        <f ca="1">IF(($A$2)&gt;=(ROW()-3),BB$17*(SUM(BB$19:BB21)-((ROW()-3)*5)),BB5)</f>
        <v>1</v>
      </c>
      <c r="BC6">
        <f ca="1">IF(($A$2)&gt;=(ROW()-3),BC$17*(SUM(BC$19:BC21)-((ROW()-3)*5)),BC5)</f>
        <v>-2</v>
      </c>
      <c r="BD6">
        <f ca="1">IF(($A$2)&gt;=(ROW()-3),BD$17*(SUM(BD$19:BD21)-((ROW()-3)*5)),BD5)</f>
        <v>4</v>
      </c>
      <c r="BE6">
        <f ca="1">IF(($A$2)&gt;=(ROW()-3),BE$17*(SUM(BE$19:BE21)-((ROW()-3)*5)),BE5)</f>
        <v>1</v>
      </c>
      <c r="BF6">
        <f ca="1">IF(($A$2)&gt;=(ROW()-3),BF$17*(SUM(BF$19:BF21)-((ROW()-3)*5)),BF5)</f>
        <v>-4</v>
      </c>
      <c r="BG6">
        <f ca="1">IF(($A$2)&gt;=(ROW()-3),BG$17*(SUM(BG$19:BG21)-((ROW()-3)*5)),BG5)</f>
        <v>-7</v>
      </c>
      <c r="BH6">
        <f ca="1">IF(($A$2)&gt;=(ROW()-3),BH$17*(SUM(BH$19:BH21)-((ROW()-3)*5)),BH5)</f>
        <v>2</v>
      </c>
      <c r="BI6">
        <f ca="1">IF(($A$2)&gt;=(ROW()-3),BI$17*(SUM(BI$19:BI21)-((ROW()-3)*5)),BI5)</f>
        <v>5</v>
      </c>
      <c r="BJ6">
        <f ca="1">IF(($A$2)&gt;=(ROW()-3),BJ$17*(SUM(BJ$19:BJ21)-((ROW()-3)*5)),BJ5)</f>
        <v>1</v>
      </c>
      <c r="BK6">
        <f ca="1">IF(($A$2)&gt;=(ROW()-3),BK$17*(SUM(BK$19:BK21)-((ROW()-3)*5)),BK5)</f>
        <v>-1</v>
      </c>
      <c r="BL6">
        <f ca="1">IF(($A$2)&gt;=(ROW()-3),BL$17*(SUM(BL$19:BL21)-((ROW()-3)*5)),BL5)</f>
        <v>-5</v>
      </c>
      <c r="BM6">
        <f ca="1">IF(($A$2)&gt;=(ROW()-3),BM$17*(SUM(BM$19:BM21)-((ROW()-3)*5)),BM5)</f>
        <v>1</v>
      </c>
      <c r="BN6">
        <f ca="1">IF(($A$2)&gt;=(ROW()-3),BN$17*(SUM(BN$19:BN21)-((ROW()-3)*5)),BN5)</f>
        <v>-3</v>
      </c>
      <c r="BO6">
        <f ca="1">IF(($A$2)&gt;=(ROW()-3),BO$17*(SUM(BO$19:BO21)-((ROW()-3)*5)),BO5)</f>
        <v>0</v>
      </c>
      <c r="BP6">
        <f ca="1">IF(($A$2)&gt;=(ROW()-3),BP$17*(SUM(BP$19:BP21)-((ROW()-3)*5)),BP5)</f>
        <v>0</v>
      </c>
      <c r="BQ6">
        <f ca="1">IF(($A$2)&gt;=(ROW()-3),BQ$17*(SUM(BQ$19:BQ21)-((ROW()-3)*5)),BQ5)</f>
        <v>0</v>
      </c>
      <c r="BR6">
        <f ca="1">IF(($A$2)&gt;=(ROW()-3),BR$17*(SUM(BR$19:BR21)-((ROW()-3)*5)),BR5)</f>
        <v>0</v>
      </c>
      <c r="BS6">
        <f ca="1">IF(($A$2)&gt;=(ROW()-3),BS$17*(SUM(BS$19:BS21)-((ROW()-3)*5)),BS5)</f>
        <v>0</v>
      </c>
      <c r="BT6">
        <f ca="1">IF(($A$2)&gt;=(ROW()-3),BT$17*(SUM(BT$19:BT21)-((ROW()-3)*5)),BT5)</f>
        <v>0</v>
      </c>
      <c r="BU6">
        <f ca="1">IF(($A$2)&gt;=(ROW()-3),BU$17*(SUM(BU$19:BU21)-((ROW()-3)*5)),BU5)</f>
        <v>0</v>
      </c>
      <c r="BV6">
        <f ca="1">IF(($A$2)&gt;=(ROW()-3),BV$17*(SUM(BV$19:BV21)-((ROW()-3)*5)),BV5)</f>
        <v>0</v>
      </c>
    </row>
    <row r="7" spans="1:78" x14ac:dyDescent="0.2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2</v>
      </c>
      <c r="H7">
        <f ca="1">IF(($A$2)&gt;=(ROW()-3),H$17*(SUM(H$19:H22)-((ROW()-3)*5)),H6)</f>
        <v>3</v>
      </c>
      <c r="I7">
        <f ca="1">IF(($A$2)&gt;=(ROW()-3),I$17*(SUM(I$19:I22)-((ROW()-3)*5)),I6)</f>
        <v>1</v>
      </c>
      <c r="J7">
        <f ca="1">IF(($A$2)&gt;=(ROW()-3),J$17*(SUM(J$19:J22)-((ROW()-3)*5)),J6)</f>
        <v>-20</v>
      </c>
      <c r="K7">
        <f ca="1">IF(($A$2)&gt;=(ROW()-3),K$17*(SUM(K$19:K22)-((ROW()-3)*5)),K6)</f>
        <v>1</v>
      </c>
      <c r="L7">
        <f ca="1">IF(($A$2)&gt;=(ROW()-3),L$17*(SUM(L$19:L22)-((ROW()-3)*5)),L6)</f>
        <v>-4</v>
      </c>
      <c r="M7">
        <f ca="1">IF(($A$2)&gt;=(ROW()-3),M$17*(SUM(M$19:M22)-((ROW()-3)*5)),M6)</f>
        <v>1</v>
      </c>
      <c r="N7">
        <f ca="1">IF(($A$2)&gt;=(ROW()-3),N$17*(SUM(N$19:N22)-((ROW()-3)*5)),N6)</f>
        <v>5</v>
      </c>
      <c r="O7">
        <f ca="1">IF(($A$2)&gt;=(ROW()-3),O$17*(SUM(O$19:O22)-((ROW()-3)*5)),O6)</f>
        <v>-8</v>
      </c>
      <c r="P7">
        <f ca="1">IF(($A$2)&gt;=(ROW()-3),P$17*(SUM(P$19:P22)-((ROW()-3)*5)),P6)</f>
        <v>-4</v>
      </c>
      <c r="Q7">
        <f ca="1">IF(($A$2)&gt;=(ROW()-3),Q$17*(SUM(Q$19:Q22)-((ROW()-3)*5)),Q6)</f>
        <v>-7</v>
      </c>
      <c r="R7">
        <f ca="1">IF(($A$2)&gt;=(ROW()-3),R$17*(SUM(R$19:R22)-((ROW()-3)*5)),R6)</f>
        <v>-2</v>
      </c>
      <c r="S7">
        <f ca="1">IF(($A$2)&gt;=(ROW()-3),S$17*(SUM(S$19:S22)-((ROW()-3)*5)),S6)</f>
        <v>-2</v>
      </c>
      <c r="T7">
        <f ca="1">IF(($A$2)&gt;=(ROW()-3),T$17*(SUM(T$19:T22)-((ROW()-3)*5)),T6)</f>
        <v>-7</v>
      </c>
      <c r="U7">
        <f ca="1">IF(($A$2)&gt;=(ROW()-3),U$17*(SUM(U$19:U22)-((ROW()-3)*5)),U6)</f>
        <v>-7</v>
      </c>
      <c r="V7">
        <f ca="1">IF(($A$2)&gt;=(ROW()-3),V$17*(SUM(V$19:V22)-((ROW()-3)*5)),V6)</f>
        <v>0</v>
      </c>
      <c r="W7">
        <f ca="1">IF(($A$2)&gt;=(ROW()-3),W$17*(SUM(W$19:W22)-((ROW()-3)*5)),W6)</f>
        <v>2</v>
      </c>
      <c r="X7">
        <f ca="1">IF(($A$2)&gt;=(ROW()-3),X$17*(SUM(X$19:X22)-((ROW()-3)*5)),X6)</f>
        <v>-7</v>
      </c>
      <c r="Y7">
        <f ca="1">IF(($A$2)&gt;=(ROW()-3),Y$17*(SUM(Y$19:Y22)-((ROW()-3)*5)),Y6)</f>
        <v>-1</v>
      </c>
      <c r="Z7">
        <f ca="1">IF(($A$2)&gt;=(ROW()-3),Z$17*(SUM(Z$19:Z22)-((ROW()-3)*5)),Z6)</f>
        <v>2</v>
      </c>
      <c r="AA7">
        <f ca="1">IF(($A$2)&gt;=(ROW()-3),AA$17*(SUM(AA$19:AA22)-((ROW()-3)*5)),AA6)</f>
        <v>5</v>
      </c>
      <c r="AB7">
        <f ca="1">IF(($A$2)&gt;=(ROW()-3),AB$17*(SUM(AB$19:AB22)-((ROW()-3)*5)),AB6)</f>
        <v>2</v>
      </c>
      <c r="AC7">
        <f ca="1">IF(($A$2)&gt;=(ROW()-3),AC$17*(SUM(AC$19:AC22)-((ROW()-3)*5)),AC6)</f>
        <v>4</v>
      </c>
      <c r="AD7">
        <f ca="1">IF(($A$2)&gt;=(ROW()-3),AD$17*(SUM(AD$19:AD22)-((ROW()-3)*5)),AD6)</f>
        <v>3</v>
      </c>
      <c r="AE7">
        <f ca="1">IF(($A$2)&gt;=(ROW()-3),AE$17*(SUM(AE$19:AE22)-((ROW()-3)*5)),AE6)</f>
        <v>-3</v>
      </c>
      <c r="AF7">
        <f ca="1">IF(($A$2)&gt;=(ROW()-3),AF$17*(SUM(AF$19:AF22)-((ROW()-3)*5)),AF6)</f>
        <v>0</v>
      </c>
      <c r="AG7">
        <f ca="1">IF(($A$2)&gt;=(ROW()-3),AG$17*(SUM(AG$19:AG22)-((ROW()-3)*5)),AG6)</f>
        <v>-6</v>
      </c>
      <c r="AH7">
        <f ca="1">IF(($A$2)&gt;=(ROW()-3),AH$17*(SUM(AH$19:AH22)-((ROW()-3)*5)),AH6)</f>
        <v>5</v>
      </c>
      <c r="AI7">
        <f ca="1">IF(($A$2)&gt;=(ROW()-3),AI$17*(SUM(AI$19:AI22)-((ROW()-3)*5)),AI6)</f>
        <v>1</v>
      </c>
      <c r="AJ7">
        <f ca="1">IF(($A$2)&gt;=(ROW()-3),AJ$17*(SUM(AJ$19:AJ22)-((ROW()-3)*5)),AJ6)</f>
        <v>-3</v>
      </c>
      <c r="AK7">
        <f ca="1">IF(($A$2)&gt;=(ROW()-3),AK$17*(SUM(AK$19:AK22)-((ROW()-3)*5)),AK6)</f>
        <v>-7</v>
      </c>
      <c r="AL7">
        <f ca="1">IF(($A$2)&gt;=(ROW()-3),AL$17*(SUM(AL$19:AL22)-((ROW()-3)*5)),AL6)</f>
        <v>-3</v>
      </c>
      <c r="AM7">
        <f ca="1">IF(($A$2)&gt;=(ROW()-3),AM$17*(SUM(AM$19:AM22)-((ROW()-3)*5)),AM6)</f>
        <v>-1</v>
      </c>
      <c r="AN7">
        <f ca="1">IF(($A$2)&gt;=(ROW()-3),AN$17*(SUM(AN$19:AN22)-((ROW()-3)*5)),AN6)</f>
        <v>1</v>
      </c>
      <c r="AO7">
        <f ca="1">IF(($A$2)&gt;=(ROW()-3),AO$17*(SUM(AO$19:AO22)-((ROW()-3)*5)),AO6)</f>
        <v>-1</v>
      </c>
      <c r="AP7">
        <f ca="1">IF(($A$2)&gt;=(ROW()-3),AP$17*(SUM(AP$19:AP22)-((ROW()-3)*5)),AP6)</f>
        <v>-8</v>
      </c>
      <c r="AQ7">
        <f ca="1">IF(($A$2)&gt;=(ROW()-3),AQ$17*(SUM(AQ$19:AQ22)-((ROW()-3)*5)),AQ6)</f>
        <v>4</v>
      </c>
      <c r="AR7">
        <f ca="1">IF(($A$2)&gt;=(ROW()-3),AR$17*(SUM(AR$19:AR22)-((ROW()-3)*5)),AR6)</f>
        <v>-1</v>
      </c>
      <c r="AS7">
        <f ca="1">IF(($A$2)&gt;=(ROW()-3),AS$17*(SUM(AS$19:AS22)-((ROW()-3)*5)),AS6)</f>
        <v>1</v>
      </c>
      <c r="AT7">
        <f ca="1">IF(($A$2)&gt;=(ROW()-3),AT$17*(SUM(AT$19:AT22)-((ROW()-3)*5)),AT6)</f>
        <v>-2</v>
      </c>
      <c r="AU7">
        <f ca="1">IF(($A$2)&gt;=(ROW()-3),AU$17*(SUM(AU$19:AU22)-((ROW()-3)*5)),AU6)</f>
        <v>2</v>
      </c>
      <c r="AV7">
        <f ca="1">IF(($A$2)&gt;=(ROW()-3),AV$17*(SUM(AV$19:AV22)-((ROW()-3)*5)),AV6)</f>
        <v>1</v>
      </c>
      <c r="AW7">
        <f ca="1">IF(($A$2)&gt;=(ROW()-3),AW$17*(SUM(AW$19:AW22)-((ROW()-3)*5)),AW6)</f>
        <v>-5</v>
      </c>
      <c r="AX7">
        <f ca="1">IF(($A$2)&gt;=(ROW()-3),AX$17*(SUM(AX$19:AX22)-((ROW()-3)*5)),AX6)</f>
        <v>3</v>
      </c>
      <c r="AY7">
        <f ca="1">IF(($A$2)&gt;=(ROW()-3),AY$17*(SUM(AY$19:AY22)-((ROW()-3)*5)),AY6)</f>
        <v>1</v>
      </c>
      <c r="AZ7">
        <f ca="1">IF(($A$2)&gt;=(ROW()-3),AZ$17*(SUM(AZ$19:AZ22)-((ROW()-3)*5)),AZ6)</f>
        <v>2</v>
      </c>
      <c r="BA7">
        <f ca="1">IF(($A$2)&gt;=(ROW()-3),BA$17*(SUM(BA$19:BA22)-((ROW()-3)*5)),BA6)</f>
        <v>8</v>
      </c>
      <c r="BB7">
        <f ca="1">IF(($A$2)&gt;=(ROW()-3),BB$17*(SUM(BB$19:BB22)-((ROW()-3)*5)),BB6)</f>
        <v>3</v>
      </c>
      <c r="BC7">
        <f ca="1">IF(($A$2)&gt;=(ROW()-3),BC$17*(SUM(BC$19:BC22)-((ROW()-3)*5)),BC6)</f>
        <v>0</v>
      </c>
      <c r="BD7">
        <f ca="1">IF(($A$2)&gt;=(ROW()-3),BD$17*(SUM(BD$19:BD22)-((ROW()-3)*5)),BD6)</f>
        <v>3</v>
      </c>
      <c r="BE7">
        <f ca="1">IF(($A$2)&gt;=(ROW()-3),BE$17*(SUM(BE$19:BE22)-((ROW()-3)*5)),BE6)</f>
        <v>-4</v>
      </c>
      <c r="BF7">
        <f ca="1">IF(($A$2)&gt;=(ROW()-3),BF$17*(SUM(BF$19:BF22)-((ROW()-3)*5)),BF6)</f>
        <v>-9</v>
      </c>
      <c r="BG7">
        <f ca="1">IF(($A$2)&gt;=(ROW()-3),BG$17*(SUM(BG$19:BG22)-((ROW()-3)*5)),BG6)</f>
        <v>-6</v>
      </c>
      <c r="BH7">
        <f ca="1">IF(($A$2)&gt;=(ROW()-3),BH$17*(SUM(BH$19:BH22)-((ROW()-3)*5)),BH6)</f>
        <v>0</v>
      </c>
      <c r="BI7">
        <f ca="1">IF(($A$2)&gt;=(ROW()-3),BI$17*(SUM(BI$19:BI22)-((ROW()-3)*5)),BI6)</f>
        <v>6</v>
      </c>
      <c r="BJ7">
        <f ca="1">IF(($A$2)&gt;=(ROW()-3),BJ$17*(SUM(BJ$19:BJ22)-((ROW()-3)*5)),BJ6)</f>
        <v>2</v>
      </c>
      <c r="BK7">
        <f ca="1">IF(($A$2)&gt;=(ROW()-3),BK$17*(SUM(BK$19:BK22)-((ROW()-3)*5)),BK6)</f>
        <v>-4</v>
      </c>
      <c r="BL7">
        <f ca="1">IF(($A$2)&gt;=(ROW()-3),BL$17*(SUM(BL$19:BL22)-((ROW()-3)*5)),BL6)</f>
        <v>-5</v>
      </c>
      <c r="BM7">
        <f ca="1">IF(($A$2)&gt;=(ROW()-3),BM$17*(SUM(BM$19:BM22)-((ROW()-3)*5)),BM6)</f>
        <v>2</v>
      </c>
      <c r="BN7">
        <f ca="1">IF(($A$2)&gt;=(ROW()-3),BN$17*(SUM(BN$19:BN22)-((ROW()-3)*5)),BN6)</f>
        <v>-4</v>
      </c>
      <c r="BO7">
        <f ca="1">IF(($A$2)&gt;=(ROW()-3),BO$17*(SUM(BO$19:BO22)-((ROW()-3)*5)),BO6)</f>
        <v>0</v>
      </c>
      <c r="BP7">
        <f ca="1">IF(($A$2)&gt;=(ROW()-3),BP$17*(SUM(BP$19:BP22)-((ROW()-3)*5)),BP6)</f>
        <v>0</v>
      </c>
      <c r="BQ7">
        <f ca="1">IF(($A$2)&gt;=(ROW()-3),BQ$17*(SUM(BQ$19:BQ22)-((ROW()-3)*5)),BQ6)</f>
        <v>0</v>
      </c>
      <c r="BR7">
        <f ca="1">IF(($A$2)&gt;=(ROW()-3),BR$17*(SUM(BR$19:BR22)-((ROW()-3)*5)),BR6)</f>
        <v>0</v>
      </c>
      <c r="BS7">
        <f ca="1">IF(($A$2)&gt;=(ROW()-3),BS$17*(SUM(BS$19:BS22)-((ROW()-3)*5)),BS6)</f>
        <v>0</v>
      </c>
      <c r="BT7">
        <f ca="1">IF(($A$2)&gt;=(ROW()-3),BT$17*(SUM(BT$19:BT22)-((ROW()-3)*5)),BT6)</f>
        <v>0</v>
      </c>
      <c r="BU7">
        <f ca="1">IF(($A$2)&gt;=(ROW()-3),BU$17*(SUM(BU$19:BU22)-((ROW()-3)*5)),BU6)</f>
        <v>0</v>
      </c>
      <c r="BV7">
        <f ca="1">IF(($A$2)&gt;=(ROW()-3),BV$17*(SUM(BV$19:BV22)-((ROW()-3)*5)),BV6)</f>
        <v>0</v>
      </c>
    </row>
    <row r="8" spans="1:78" x14ac:dyDescent="0.2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2</v>
      </c>
      <c r="H8">
        <f ca="1">IF(($A$2)&gt;=(ROW()-3),H$17*(SUM(H$19:H23)-((ROW()-3)*5)),H7)</f>
        <v>4</v>
      </c>
      <c r="I8">
        <f ca="1">IF(($A$2)&gt;=(ROW()-3),I$17*(SUM(I$19:I23)-((ROW()-3)*5)),I7)</f>
        <v>1</v>
      </c>
      <c r="J8">
        <f ca="1">IF(($A$2)&gt;=(ROW()-3),J$17*(SUM(J$19:J23)-((ROW()-3)*5)),J7)</f>
        <v>-25</v>
      </c>
      <c r="K8">
        <f ca="1">IF(($A$2)&gt;=(ROW()-3),K$17*(SUM(K$19:K23)-((ROW()-3)*5)),K7)</f>
        <v>1</v>
      </c>
      <c r="L8">
        <f ca="1">IF(($A$2)&gt;=(ROW()-3),L$17*(SUM(L$19:L23)-((ROW()-3)*5)),L7)</f>
        <v>-4</v>
      </c>
      <c r="M8">
        <f ca="1">IF(($A$2)&gt;=(ROW()-3),M$17*(SUM(M$19:M23)-((ROW()-3)*5)),M7)</f>
        <v>2</v>
      </c>
      <c r="N8">
        <f ca="1">IF(($A$2)&gt;=(ROW()-3),N$17*(SUM(N$19:N23)-((ROW()-3)*5)),N7)</f>
        <v>5</v>
      </c>
      <c r="O8">
        <f ca="1">IF(($A$2)&gt;=(ROW()-3),O$17*(SUM(O$19:O23)-((ROW()-3)*5)),O7)</f>
        <v>-9</v>
      </c>
      <c r="P8">
        <f ca="1">IF(($A$2)&gt;=(ROW()-3),P$17*(SUM(P$19:P23)-((ROW()-3)*5)),P7)</f>
        <v>-4</v>
      </c>
      <c r="Q8">
        <f ca="1">IF(($A$2)&gt;=(ROW()-3),Q$17*(SUM(Q$19:Q23)-((ROW()-3)*5)),Q7)</f>
        <v>-6</v>
      </c>
      <c r="R8">
        <f ca="1">IF(($A$2)&gt;=(ROW()-3),R$17*(SUM(R$19:R23)-((ROW()-3)*5)),R7)</f>
        <v>-4</v>
      </c>
      <c r="S8">
        <f ca="1">IF(($A$2)&gt;=(ROW()-3),S$17*(SUM(S$19:S23)-((ROW()-3)*5)),S7)</f>
        <v>-1</v>
      </c>
      <c r="T8">
        <f ca="1">IF(($A$2)&gt;=(ROW()-3),T$17*(SUM(T$19:T23)-((ROW()-3)*5)),T7)</f>
        <v>-7</v>
      </c>
      <c r="U8">
        <f ca="1">IF(($A$2)&gt;=(ROW()-3),U$17*(SUM(U$19:U23)-((ROW()-3)*5)),U7)</f>
        <v>-7</v>
      </c>
      <c r="V8">
        <f ca="1">IF(($A$2)&gt;=(ROW()-3),V$17*(SUM(V$19:V23)-((ROW()-3)*5)),V7)</f>
        <v>0</v>
      </c>
      <c r="W8">
        <f ca="1">IF(($A$2)&gt;=(ROW()-3),W$17*(SUM(W$19:W23)-((ROW()-3)*5)),W7)</f>
        <v>1</v>
      </c>
      <c r="X8">
        <f ca="1">IF(($A$2)&gt;=(ROW()-3),X$17*(SUM(X$19:X23)-((ROW()-3)*5)),X7)</f>
        <v>-6</v>
      </c>
      <c r="Y8">
        <f ca="1">IF(($A$2)&gt;=(ROW()-3),Y$17*(SUM(Y$19:Y23)-((ROW()-3)*5)),Y7)</f>
        <v>-2</v>
      </c>
      <c r="Z8">
        <f ca="1">IF(($A$2)&gt;=(ROW()-3),Z$17*(SUM(Z$19:Z23)-((ROW()-3)*5)),Z7)</f>
        <v>4</v>
      </c>
      <c r="AA8">
        <f ca="1">IF(($A$2)&gt;=(ROW()-3),AA$17*(SUM(AA$19:AA23)-((ROW()-3)*5)),AA7)</f>
        <v>0</v>
      </c>
      <c r="AB8">
        <f ca="1">IF(($A$2)&gt;=(ROW()-3),AB$17*(SUM(AB$19:AB23)-((ROW()-3)*5)),AB7)</f>
        <v>2</v>
      </c>
      <c r="AC8">
        <f ca="1">IF(($A$2)&gt;=(ROW()-3),AC$17*(SUM(AC$19:AC23)-((ROW()-3)*5)),AC7)</f>
        <v>0</v>
      </c>
      <c r="AD8">
        <f ca="1">IF(($A$2)&gt;=(ROW()-3),AD$17*(SUM(AD$19:AD23)-((ROW()-3)*5)),AD7)</f>
        <v>4</v>
      </c>
      <c r="AE8">
        <f ca="1">IF(($A$2)&gt;=(ROW()-3),AE$17*(SUM(AE$19:AE23)-((ROW()-3)*5)),AE7)</f>
        <v>-2</v>
      </c>
      <c r="AF8">
        <f ca="1">IF(($A$2)&gt;=(ROW()-3),AF$17*(SUM(AF$19:AF23)-((ROW()-3)*5)),AF7)</f>
        <v>1</v>
      </c>
      <c r="AG8">
        <f ca="1">IF(($A$2)&gt;=(ROW()-3),AG$17*(SUM(AG$19:AG23)-((ROW()-3)*5)),AG7)</f>
        <v>-6</v>
      </c>
      <c r="AH8">
        <f ca="1">IF(($A$2)&gt;=(ROW()-3),AH$17*(SUM(AH$19:AH23)-((ROW()-3)*5)),AH7)</f>
        <v>4</v>
      </c>
      <c r="AI8">
        <f ca="1">IF(($A$2)&gt;=(ROW()-3),AI$17*(SUM(AI$19:AI23)-((ROW()-3)*5)),AI7)</f>
        <v>2</v>
      </c>
      <c r="AJ8">
        <f ca="1">IF(($A$2)&gt;=(ROW()-3),AJ$17*(SUM(AJ$19:AJ23)-((ROW()-3)*5)),AJ7)</f>
        <v>-4</v>
      </c>
      <c r="AK8">
        <f ca="1">IF(($A$2)&gt;=(ROW()-3),AK$17*(SUM(AK$19:AK23)-((ROW()-3)*5)),AK7)</f>
        <v>-7</v>
      </c>
      <c r="AL8">
        <f ca="1">IF(($A$2)&gt;=(ROW()-3),AL$17*(SUM(AL$19:AL23)-((ROW()-3)*5)),AL7)</f>
        <v>-6</v>
      </c>
      <c r="AM8">
        <f ca="1">IF(($A$2)&gt;=(ROW()-3),AM$17*(SUM(AM$19:AM23)-((ROW()-3)*5)),AM7)</f>
        <v>-1</v>
      </c>
      <c r="AN8">
        <f ca="1">IF(($A$2)&gt;=(ROW()-3),AN$17*(SUM(AN$19:AN23)-((ROW()-3)*5)),AN7)</f>
        <v>-1</v>
      </c>
      <c r="AO8">
        <f ca="1">IF(($A$2)&gt;=(ROW()-3),AO$17*(SUM(AO$19:AO23)-((ROW()-3)*5)),AO7)</f>
        <v>-2</v>
      </c>
      <c r="AP8">
        <f ca="1">IF(($A$2)&gt;=(ROW()-3),AP$17*(SUM(AP$19:AP23)-((ROW()-3)*5)),AP7)</f>
        <v>-9</v>
      </c>
      <c r="AQ8">
        <f ca="1">IF(($A$2)&gt;=(ROW()-3),AQ$17*(SUM(AQ$19:AQ23)-((ROW()-3)*5)),AQ7)</f>
        <v>4</v>
      </c>
      <c r="AR8">
        <f ca="1">IF(($A$2)&gt;=(ROW()-3),AR$17*(SUM(AR$19:AR23)-((ROW()-3)*5)),AR7)</f>
        <v>0</v>
      </c>
      <c r="AS8">
        <f ca="1">IF(($A$2)&gt;=(ROW()-3),AS$17*(SUM(AS$19:AS23)-((ROW()-3)*5)),AS7)</f>
        <v>2</v>
      </c>
      <c r="AT8">
        <f ca="1">IF(($A$2)&gt;=(ROW()-3),AT$17*(SUM(AT$19:AT23)-((ROW()-3)*5)),AT7)</f>
        <v>-2</v>
      </c>
      <c r="AU8">
        <f ca="1">IF(($A$2)&gt;=(ROW()-3),AU$17*(SUM(AU$19:AU23)-((ROW()-3)*5)),AU7)</f>
        <v>0</v>
      </c>
      <c r="AV8">
        <f ca="1">IF(($A$2)&gt;=(ROW()-3),AV$17*(SUM(AV$19:AV23)-((ROW()-3)*5)),AV7)</f>
        <v>-2</v>
      </c>
      <c r="AW8">
        <f ca="1">IF(($A$2)&gt;=(ROW()-3),AW$17*(SUM(AW$19:AW23)-((ROW()-3)*5)),AW7)</f>
        <v>-3</v>
      </c>
      <c r="AX8">
        <f ca="1">IF(($A$2)&gt;=(ROW()-3),AX$17*(SUM(AX$19:AX23)-((ROW()-3)*5)),AX7)</f>
        <v>0</v>
      </c>
      <c r="AY8">
        <f ca="1">IF(($A$2)&gt;=(ROW()-3),AY$17*(SUM(AY$19:AY23)-((ROW()-3)*5)),AY7)</f>
        <v>-1</v>
      </c>
      <c r="AZ8">
        <f ca="1">IF(($A$2)&gt;=(ROW()-3),AZ$17*(SUM(AZ$19:AZ23)-((ROW()-3)*5)),AZ7)</f>
        <v>3</v>
      </c>
      <c r="BA8">
        <f ca="1">IF(($A$2)&gt;=(ROW()-3),BA$17*(SUM(BA$19:BA23)-((ROW()-3)*5)),BA7)</f>
        <v>6</v>
      </c>
      <c r="BB8">
        <f ca="1">IF(($A$2)&gt;=(ROW()-3),BB$17*(SUM(BB$19:BB23)-((ROW()-3)*5)),BB7)</f>
        <v>3</v>
      </c>
      <c r="BC8">
        <f ca="1">IF(($A$2)&gt;=(ROW()-3),BC$17*(SUM(BC$19:BC23)-((ROW()-3)*5)),BC7)</f>
        <v>-2</v>
      </c>
      <c r="BD8">
        <f ca="1">IF(($A$2)&gt;=(ROW()-3),BD$17*(SUM(BD$19:BD23)-((ROW()-3)*5)),BD7)</f>
        <v>6</v>
      </c>
      <c r="BE8">
        <f ca="1">IF(($A$2)&gt;=(ROW()-3),BE$17*(SUM(BE$19:BE23)-((ROW()-3)*5)),BE7)</f>
        <v>-4</v>
      </c>
      <c r="BF8">
        <f ca="1">IF(($A$2)&gt;=(ROW()-3),BF$17*(SUM(BF$19:BF23)-((ROW()-3)*5)),BF7)</f>
        <v>-8</v>
      </c>
      <c r="BG8">
        <f ca="1">IF(($A$2)&gt;=(ROW()-3),BG$17*(SUM(BG$19:BG23)-((ROW()-3)*5)),BG7)</f>
        <v>-5</v>
      </c>
      <c r="BH8">
        <f ca="1">IF(($A$2)&gt;=(ROW()-3),BH$17*(SUM(BH$19:BH23)-((ROW()-3)*5)),BH7)</f>
        <v>1</v>
      </c>
      <c r="BI8">
        <f ca="1">IF(($A$2)&gt;=(ROW()-3),BI$17*(SUM(BI$19:BI23)-((ROW()-3)*5)),BI7)</f>
        <v>4</v>
      </c>
      <c r="BJ8">
        <f ca="1">IF(($A$2)&gt;=(ROW()-3),BJ$17*(SUM(BJ$19:BJ23)-((ROW()-3)*5)),BJ7)</f>
        <v>3</v>
      </c>
      <c r="BK8">
        <f ca="1">IF(($A$2)&gt;=(ROW()-3),BK$17*(SUM(BK$19:BK23)-((ROW()-3)*5)),BK7)</f>
        <v>-5</v>
      </c>
      <c r="BL8">
        <f ca="1">IF(($A$2)&gt;=(ROW()-3),BL$17*(SUM(BL$19:BL23)-((ROW()-3)*5)),BL7)</f>
        <v>-6</v>
      </c>
      <c r="BM8">
        <f ca="1">IF(($A$2)&gt;=(ROW()-3),BM$17*(SUM(BM$19:BM23)-((ROW()-3)*5)),BM7)</f>
        <v>2</v>
      </c>
      <c r="BN8">
        <f ca="1">IF(($A$2)&gt;=(ROW()-3),BN$17*(SUM(BN$19:BN23)-((ROW()-3)*5)),BN7)</f>
        <v>-3</v>
      </c>
      <c r="BO8">
        <f ca="1">IF(($A$2)&gt;=(ROW()-3),BO$17*(SUM(BO$19:BO23)-((ROW()-3)*5)),BO7)</f>
        <v>0</v>
      </c>
      <c r="BP8">
        <f ca="1">IF(($A$2)&gt;=(ROW()-3),BP$17*(SUM(BP$19:BP23)-((ROW()-3)*5)),BP7)</f>
        <v>0</v>
      </c>
      <c r="BQ8">
        <f ca="1">IF(($A$2)&gt;=(ROW()-3),BQ$17*(SUM(BQ$19:BQ23)-((ROW()-3)*5)),BQ7)</f>
        <v>0</v>
      </c>
      <c r="BR8">
        <f ca="1">IF(($A$2)&gt;=(ROW()-3),BR$17*(SUM(BR$19:BR23)-((ROW()-3)*5)),BR7)</f>
        <v>0</v>
      </c>
      <c r="BS8">
        <f ca="1">IF(($A$2)&gt;=(ROW()-3),BS$17*(SUM(BS$19:BS23)-((ROW()-3)*5)),BS7)</f>
        <v>0</v>
      </c>
      <c r="BT8">
        <f ca="1">IF(($A$2)&gt;=(ROW()-3),BT$17*(SUM(BT$19:BT23)-((ROW()-3)*5)),BT7)</f>
        <v>0</v>
      </c>
      <c r="BU8">
        <f ca="1">IF(($A$2)&gt;=(ROW()-3),BU$17*(SUM(BU$19:BU23)-((ROW()-3)*5)),BU7)</f>
        <v>0</v>
      </c>
      <c r="BV8">
        <f ca="1">IF(($A$2)&gt;=(ROW()-3),BV$17*(SUM(BV$19:BV23)-((ROW()-3)*5)),BV7)</f>
        <v>0</v>
      </c>
    </row>
    <row r="9" spans="1:78" x14ac:dyDescent="0.2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4</v>
      </c>
      <c r="I9">
        <f ca="1">IF(($A$2)&gt;=(ROW()-3),I$17*(SUM(I$19:I24)-((ROW()-3)*5)),I8)</f>
        <v>2.5</v>
      </c>
      <c r="J9">
        <f ca="1">IF(($A$2)&gt;=(ROW()-3),J$17*(SUM(J$19:J24)-((ROW()-3)*5)),J8)</f>
        <v>-30</v>
      </c>
      <c r="K9">
        <f ca="1">IF(($A$2)&gt;=(ROW()-3),K$17*(SUM(K$19:K24)-((ROW()-3)*5)),K8)</f>
        <v>0</v>
      </c>
      <c r="L9">
        <f ca="1">IF(($A$2)&gt;=(ROW()-3),L$17*(SUM(L$19:L24)-((ROW()-3)*5)),L8)</f>
        <v>-7</v>
      </c>
      <c r="M9">
        <f ca="1">IF(($A$2)&gt;=(ROW()-3),M$17*(SUM(M$19:M24)-((ROW()-3)*5)),M8)</f>
        <v>-3</v>
      </c>
      <c r="N9">
        <f ca="1">IF(($A$2)&gt;=(ROW()-3),N$17*(SUM(N$19:N24)-((ROW()-3)*5)),N8)</f>
        <v>4</v>
      </c>
      <c r="O9">
        <f ca="1">IF(($A$2)&gt;=(ROW()-3),O$17*(SUM(O$19:O24)-((ROW()-3)*5)),O8)</f>
        <v>-13</v>
      </c>
      <c r="P9">
        <f ca="1">IF(($A$2)&gt;=(ROW()-3),P$17*(SUM(P$19:P24)-((ROW()-3)*5)),P8)</f>
        <v>-4</v>
      </c>
      <c r="Q9">
        <f ca="1">IF(($A$2)&gt;=(ROW()-3),Q$17*(SUM(Q$19:Q24)-((ROW()-3)*5)),Q8)</f>
        <v>-7</v>
      </c>
      <c r="R9">
        <f ca="1">IF(($A$2)&gt;=(ROW()-3),R$17*(SUM(R$19:R24)-((ROW()-3)*5)),R8)</f>
        <v>-4</v>
      </c>
      <c r="S9">
        <f ca="1">IF(($A$2)&gt;=(ROW()-3),S$17*(SUM(S$19:S24)-((ROW()-3)*5)),S8)</f>
        <v>-3</v>
      </c>
      <c r="T9">
        <f ca="1">IF(($A$2)&gt;=(ROW()-3),T$17*(SUM(T$19:T24)-((ROW()-3)*5)),T8)</f>
        <v>-12</v>
      </c>
      <c r="U9">
        <f ca="1">IF(($A$2)&gt;=(ROW()-3),U$17*(SUM(U$19:U24)-((ROW()-3)*5)),U8)</f>
        <v>-7</v>
      </c>
      <c r="V9">
        <f ca="1">IF(($A$2)&gt;=(ROW()-3),V$17*(SUM(V$19:V24)-((ROW()-3)*5)),V8)</f>
        <v>0</v>
      </c>
      <c r="W9">
        <f ca="1">IF(($A$2)&gt;=(ROW()-3),W$17*(SUM(W$19:W24)-((ROW()-3)*5)),W8)</f>
        <v>2</v>
      </c>
      <c r="X9">
        <f ca="1">IF(($A$2)&gt;=(ROW()-3),X$17*(SUM(X$19:X24)-((ROW()-3)*5)),X8)</f>
        <v>-4</v>
      </c>
      <c r="Y9">
        <f ca="1">IF(($A$2)&gt;=(ROW()-3),Y$17*(SUM(Y$19:Y24)-((ROW()-3)*5)),Y8)</f>
        <v>-3</v>
      </c>
      <c r="Z9">
        <f ca="1">IF(($A$2)&gt;=(ROW()-3),Z$17*(SUM(Z$19:Z24)-((ROW()-3)*5)),Z8)</f>
        <v>4</v>
      </c>
      <c r="AA9">
        <f ca="1">IF(($A$2)&gt;=(ROW()-3),AA$17*(SUM(AA$19:AA24)-((ROW()-3)*5)),AA8)</f>
        <v>0</v>
      </c>
      <c r="AB9">
        <f ca="1">IF(($A$2)&gt;=(ROW()-3),AB$17*(SUM(AB$19:AB24)-((ROW()-3)*5)),AB8)</f>
        <v>2</v>
      </c>
      <c r="AC9">
        <f ca="1">IF(($A$2)&gt;=(ROW()-3),AC$17*(SUM(AC$19:AC24)-((ROW()-3)*5)),AC8)</f>
        <v>-1</v>
      </c>
      <c r="AD9">
        <f ca="1">IF(($A$2)&gt;=(ROW()-3),AD$17*(SUM(AD$19:AD24)-((ROW()-3)*5)),AD8)</f>
        <v>5</v>
      </c>
      <c r="AE9">
        <f ca="1">IF(($A$2)&gt;=(ROW()-3),AE$17*(SUM(AE$19:AE24)-((ROW()-3)*5)),AE8)</f>
        <v>-7</v>
      </c>
      <c r="AF9">
        <f ca="1">IF(($A$2)&gt;=(ROW()-3),AF$17*(SUM(AF$19:AF24)-((ROW()-3)*5)),AF8)</f>
        <v>0</v>
      </c>
      <c r="AG9">
        <f ca="1">IF(($A$2)&gt;=(ROW()-3),AG$17*(SUM(AG$19:AG24)-((ROW()-3)*5)),AG8)</f>
        <v>-5</v>
      </c>
      <c r="AH9">
        <f ca="1">IF(($A$2)&gt;=(ROW()-3),AH$17*(SUM(AH$19:AH24)-((ROW()-3)*5)),AH8)</f>
        <v>5</v>
      </c>
      <c r="AI9">
        <f ca="1">IF(($A$2)&gt;=(ROW()-3),AI$17*(SUM(AI$19:AI24)-((ROW()-3)*5)),AI8)</f>
        <v>-1</v>
      </c>
      <c r="AJ9">
        <f ca="1">IF(($A$2)&gt;=(ROW()-3),AJ$17*(SUM(AJ$19:AJ24)-((ROW()-3)*5)),AJ8)</f>
        <v>-4</v>
      </c>
      <c r="AK9">
        <f ca="1">IF(($A$2)&gt;=(ROW()-3),AK$17*(SUM(AK$19:AK24)-((ROW()-3)*5)),AK8)</f>
        <v>-10</v>
      </c>
      <c r="AL9">
        <f ca="1">IF(($A$2)&gt;=(ROW()-3),AL$17*(SUM(AL$19:AL24)-((ROW()-3)*5)),AL8)</f>
        <v>-6</v>
      </c>
      <c r="AM9">
        <f ca="1">IF(($A$2)&gt;=(ROW()-3),AM$17*(SUM(AM$19:AM24)-((ROW()-3)*5)),AM8)</f>
        <v>0</v>
      </c>
      <c r="AN9">
        <f ca="1">IF(($A$2)&gt;=(ROW()-3),AN$17*(SUM(AN$19:AN24)-((ROW()-3)*5)),AN8)</f>
        <v>-2</v>
      </c>
      <c r="AO9">
        <f ca="1">IF(($A$2)&gt;=(ROW()-3),AO$17*(SUM(AO$19:AO24)-((ROW()-3)*5)),AO8)</f>
        <v>-3</v>
      </c>
      <c r="AP9">
        <f ca="1">IF(($A$2)&gt;=(ROW()-3),AP$17*(SUM(AP$19:AP24)-((ROW()-3)*5)),AP8)</f>
        <v>-9</v>
      </c>
      <c r="AQ9">
        <f ca="1">IF(($A$2)&gt;=(ROW()-3),AQ$17*(SUM(AQ$19:AQ24)-((ROW()-3)*5)),AQ8)</f>
        <v>5</v>
      </c>
      <c r="AR9">
        <f ca="1">IF(($A$2)&gt;=(ROW()-3),AR$17*(SUM(AR$19:AR24)-((ROW()-3)*5)),AR8)</f>
        <v>-1</v>
      </c>
      <c r="AS9">
        <f ca="1">IF(($A$2)&gt;=(ROW()-3),AS$17*(SUM(AS$19:AS24)-((ROW()-3)*5)),AS8)</f>
        <v>2</v>
      </c>
      <c r="AT9">
        <f ca="1">IF(($A$2)&gt;=(ROW()-3),AT$17*(SUM(AT$19:AT24)-((ROW()-3)*5)),AT8)</f>
        <v>-7</v>
      </c>
      <c r="AU9">
        <f ca="1">IF(($A$2)&gt;=(ROW()-3),AU$17*(SUM(AU$19:AU24)-((ROW()-3)*5)),AU8)</f>
        <v>-1</v>
      </c>
      <c r="AV9">
        <f ca="1">IF(($A$2)&gt;=(ROW()-3),AV$17*(SUM(AV$19:AV24)-((ROW()-3)*5)),AV8)</f>
        <v>-3</v>
      </c>
      <c r="AW9">
        <f ca="1">IF(($A$2)&gt;=(ROW()-3),AW$17*(SUM(AW$19:AW24)-((ROW()-3)*5)),AW8)</f>
        <v>-3</v>
      </c>
      <c r="AX9">
        <f ca="1">IF(($A$2)&gt;=(ROW()-3),AX$17*(SUM(AX$19:AX24)-((ROW()-3)*5)),AX8)</f>
        <v>1</v>
      </c>
      <c r="AY9">
        <f ca="1">IF(($A$2)&gt;=(ROW()-3),AY$17*(SUM(AY$19:AY24)-((ROW()-3)*5)),AY8)</f>
        <v>-1</v>
      </c>
      <c r="AZ9">
        <f ca="1">IF(($A$2)&gt;=(ROW()-3),AZ$17*(SUM(AZ$19:AZ24)-((ROW()-3)*5)),AZ8)</f>
        <v>-2</v>
      </c>
      <c r="BA9">
        <f ca="1">IF(($A$2)&gt;=(ROW()-3),BA$17*(SUM(BA$19:BA24)-((ROW()-3)*5)),BA8)</f>
        <v>9</v>
      </c>
      <c r="BB9">
        <f ca="1">IF(($A$2)&gt;=(ROW()-3),BB$17*(SUM(BB$19:BB24)-((ROW()-3)*5)),BB8)</f>
        <v>2</v>
      </c>
      <c r="BC9">
        <f ca="1">IF(($A$2)&gt;=(ROW()-3),BC$17*(SUM(BC$19:BC24)-((ROW()-3)*5)),BC8)</f>
        <v>-4</v>
      </c>
      <c r="BD9">
        <f ca="1">IF(($A$2)&gt;=(ROW()-3),BD$17*(SUM(BD$19:BD24)-((ROW()-3)*5)),BD8)</f>
        <v>5</v>
      </c>
      <c r="BE9">
        <f ca="1">IF(($A$2)&gt;=(ROW()-3),BE$17*(SUM(BE$19:BE24)-((ROW()-3)*5)),BE8)</f>
        <v>-6</v>
      </c>
      <c r="BF9">
        <f ca="1">IF(($A$2)&gt;=(ROW()-3),BF$17*(SUM(BF$19:BF24)-((ROW()-3)*5)),BF8)</f>
        <v>-8</v>
      </c>
      <c r="BG9">
        <f ca="1">IF(($A$2)&gt;=(ROW()-3),BG$17*(SUM(BG$19:BG24)-((ROW()-3)*5)),BG8)</f>
        <v>-4</v>
      </c>
      <c r="BH9">
        <f ca="1">IF(($A$2)&gt;=(ROW()-3),BH$17*(SUM(BH$19:BH24)-((ROW()-3)*5)),BH8)</f>
        <v>0</v>
      </c>
      <c r="BI9">
        <f ca="1">IF(($A$2)&gt;=(ROW()-3),BI$17*(SUM(BI$19:BI24)-((ROW()-3)*5)),BI8)</f>
        <v>2</v>
      </c>
      <c r="BJ9">
        <f ca="1">IF(($A$2)&gt;=(ROW()-3),BJ$17*(SUM(BJ$19:BJ24)-((ROW()-3)*5)),BJ8)</f>
        <v>4</v>
      </c>
      <c r="BK9">
        <f ca="1">IF(($A$2)&gt;=(ROW()-3),BK$17*(SUM(BK$19:BK24)-((ROW()-3)*5)),BK8)</f>
        <v>-6</v>
      </c>
      <c r="BL9">
        <f ca="1">IF(($A$2)&gt;=(ROW()-3),BL$17*(SUM(BL$19:BL24)-((ROW()-3)*5)),BL8)</f>
        <v>-7</v>
      </c>
      <c r="BM9">
        <f ca="1">IF(($A$2)&gt;=(ROW()-3),BM$17*(SUM(BM$19:BM24)-((ROW()-3)*5)),BM8)</f>
        <v>-1</v>
      </c>
      <c r="BN9">
        <f ca="1">IF(($A$2)&gt;=(ROW()-3),BN$17*(SUM(BN$19:BN24)-((ROW()-3)*5)),BN8)</f>
        <v>-2</v>
      </c>
      <c r="BO9">
        <f ca="1">IF(($A$2)&gt;=(ROW()-3),BO$17*(SUM(BO$19:BO24)-((ROW()-3)*5)),BO8)</f>
        <v>0</v>
      </c>
      <c r="BP9">
        <f ca="1">IF(($A$2)&gt;=(ROW()-3),BP$17*(SUM(BP$19:BP24)-((ROW()-3)*5)),BP8)</f>
        <v>0</v>
      </c>
      <c r="BQ9">
        <f ca="1">IF(($A$2)&gt;=(ROW()-3),BQ$17*(SUM(BQ$19:BQ24)-((ROW()-3)*5)),BQ8)</f>
        <v>0</v>
      </c>
      <c r="BR9">
        <f ca="1">IF(($A$2)&gt;=(ROW()-3),BR$17*(SUM(BR$19:BR24)-((ROW()-3)*5)),BR8)</f>
        <v>0</v>
      </c>
      <c r="BS9">
        <f ca="1">IF(($A$2)&gt;=(ROW()-3),BS$17*(SUM(BS$19:BS24)-((ROW()-3)*5)),BS8)</f>
        <v>0</v>
      </c>
      <c r="BT9">
        <f ca="1">IF(($A$2)&gt;=(ROW()-3),BT$17*(SUM(BT$19:BT24)-((ROW()-3)*5)),BT8)</f>
        <v>0</v>
      </c>
      <c r="BU9">
        <f ca="1">IF(($A$2)&gt;=(ROW()-3),BU$17*(SUM(BU$19:BU24)-((ROW()-3)*5)),BU8)</f>
        <v>0</v>
      </c>
      <c r="BV9">
        <f ca="1">IF(($A$2)&gt;=(ROW()-3),BV$17*(SUM(BV$19:BV24)-((ROW()-3)*5)),BV8)</f>
        <v>0</v>
      </c>
    </row>
    <row r="10" spans="1:78" x14ac:dyDescent="0.2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-1</v>
      </c>
      <c r="H10">
        <f ca="1">IF(($A$2)&gt;=(ROW()-3),H$17*(SUM(H$19:H25)-((ROW()-3)*5)),H9)</f>
        <v>4</v>
      </c>
      <c r="I10">
        <f ca="1">IF(($A$2)&gt;=(ROW()-3),I$17*(SUM(I$19:I25)-((ROW()-3)*5)),I9)</f>
        <v>4.5</v>
      </c>
      <c r="J10">
        <f ca="1">IF(($A$2)&gt;=(ROW()-3),J$17*(SUM(J$19:J25)-((ROW()-3)*5)),J9)</f>
        <v>-35</v>
      </c>
      <c r="K10">
        <f ca="1">IF(($A$2)&gt;=(ROW()-3),K$17*(SUM(K$19:K25)-((ROW()-3)*5)),K9)</f>
        <v>1</v>
      </c>
      <c r="L10">
        <f ca="1">IF(($A$2)&gt;=(ROW()-3),L$17*(SUM(L$19:L25)-((ROW()-3)*5)),L9)</f>
        <v>-7</v>
      </c>
      <c r="M10">
        <f ca="1">IF(($A$2)&gt;=(ROW()-3),M$17*(SUM(M$19:M25)-((ROW()-3)*5)),M9)</f>
        <v>-1</v>
      </c>
      <c r="N10">
        <f ca="1">IF(($A$2)&gt;=(ROW()-3),N$17*(SUM(N$19:N25)-((ROW()-3)*5)),N9)</f>
        <v>4</v>
      </c>
      <c r="O10">
        <f ca="1">IF(($A$2)&gt;=(ROW()-3),O$17*(SUM(O$19:O25)-((ROW()-3)*5)),O9)</f>
        <v>-15</v>
      </c>
      <c r="P10">
        <f ca="1">IF(($A$2)&gt;=(ROW()-3),P$17*(SUM(P$19:P25)-((ROW()-3)*5)),P9)</f>
        <v>-5</v>
      </c>
      <c r="Q10">
        <f ca="1">IF(($A$2)&gt;=(ROW()-3),Q$17*(SUM(Q$19:Q25)-((ROW()-3)*5)),Q9)</f>
        <v>-6</v>
      </c>
      <c r="R10">
        <f ca="1">IF(($A$2)&gt;=(ROW()-3),R$17*(SUM(R$19:R25)-((ROW()-3)*5)),R9)</f>
        <v>-1</v>
      </c>
      <c r="S10">
        <f ca="1">IF(($A$2)&gt;=(ROW()-3),S$17*(SUM(S$19:S25)-((ROW()-3)*5)),S9)</f>
        <v>-4</v>
      </c>
      <c r="T10">
        <f ca="1">IF(($A$2)&gt;=(ROW()-3),T$17*(SUM(T$19:T25)-((ROW()-3)*5)),T9)</f>
        <v>-13</v>
      </c>
      <c r="U10">
        <f ca="1">IF(($A$2)&gt;=(ROW()-3),U$17*(SUM(U$19:U25)-((ROW()-3)*5)),U9)</f>
        <v>-5</v>
      </c>
      <c r="V10">
        <f ca="1">IF(($A$2)&gt;=(ROW()-3),V$17*(SUM(V$19:V25)-((ROW()-3)*5)),V9)</f>
        <v>1</v>
      </c>
      <c r="W10">
        <f ca="1">IF(($A$2)&gt;=(ROW()-3),W$17*(SUM(W$19:W25)-((ROW()-3)*5)),W9)</f>
        <v>3</v>
      </c>
      <c r="X10">
        <f ca="1">IF(($A$2)&gt;=(ROW()-3),X$17*(SUM(X$19:X25)-((ROW()-3)*5)),X9)</f>
        <v>-1</v>
      </c>
      <c r="Y10">
        <f ca="1">IF(($A$2)&gt;=(ROW()-3),Y$17*(SUM(Y$19:Y25)-((ROW()-3)*5)),Y9)</f>
        <v>-3</v>
      </c>
      <c r="Z10">
        <f ca="1">IF(($A$2)&gt;=(ROW()-3),Z$17*(SUM(Z$19:Z25)-((ROW()-3)*5)),Z9)</f>
        <v>2</v>
      </c>
      <c r="AA10">
        <f ca="1">IF(($A$2)&gt;=(ROW()-3),AA$17*(SUM(AA$19:AA25)-((ROW()-3)*5)),AA9)</f>
        <v>2</v>
      </c>
      <c r="AB10">
        <f ca="1">IF(($A$2)&gt;=(ROW()-3),AB$17*(SUM(AB$19:AB25)-((ROW()-3)*5)),AB9)</f>
        <v>4</v>
      </c>
      <c r="AC10">
        <f ca="1">IF(($A$2)&gt;=(ROW()-3),AC$17*(SUM(AC$19:AC25)-((ROW()-3)*5)),AC9)</f>
        <v>0</v>
      </c>
      <c r="AD10">
        <f ca="1">IF(($A$2)&gt;=(ROW()-3),AD$17*(SUM(AD$19:AD25)-((ROW()-3)*5)),AD9)</f>
        <v>7</v>
      </c>
      <c r="AE10">
        <f ca="1">IF(($A$2)&gt;=(ROW()-3),AE$17*(SUM(AE$19:AE25)-((ROW()-3)*5)),AE9)</f>
        <v>-7</v>
      </c>
      <c r="AF10">
        <f ca="1">IF(($A$2)&gt;=(ROW()-3),AF$17*(SUM(AF$19:AF25)-((ROW()-3)*5)),AF9)</f>
        <v>0</v>
      </c>
      <c r="AG10">
        <f ca="1">IF(($A$2)&gt;=(ROW()-3),AG$17*(SUM(AG$19:AG25)-((ROW()-3)*5)),AG9)</f>
        <v>-3</v>
      </c>
      <c r="AH10">
        <f ca="1">IF(($A$2)&gt;=(ROW()-3),AH$17*(SUM(AH$19:AH25)-((ROW()-3)*5)),AH9)</f>
        <v>7</v>
      </c>
      <c r="AI10">
        <f ca="1">IF(($A$2)&gt;=(ROW()-3),AI$17*(SUM(AI$19:AI25)-((ROW()-3)*5)),AI9)</f>
        <v>0</v>
      </c>
      <c r="AJ10">
        <f ca="1">IF(($A$2)&gt;=(ROW()-3),AJ$17*(SUM(AJ$19:AJ25)-((ROW()-3)*5)),AJ9)</f>
        <v>-2</v>
      </c>
      <c r="AK10">
        <f ca="1">IF(($A$2)&gt;=(ROW()-3),AK$17*(SUM(AK$19:AK25)-((ROW()-3)*5)),AK9)</f>
        <v>-10</v>
      </c>
      <c r="AL10">
        <f ca="1">IF(($A$2)&gt;=(ROW()-3),AL$17*(SUM(AL$19:AL25)-((ROW()-3)*5)),AL9)</f>
        <v>-8</v>
      </c>
      <c r="AM10">
        <f ca="1">IF(($A$2)&gt;=(ROW()-3),AM$17*(SUM(AM$19:AM25)-((ROW()-3)*5)),AM9)</f>
        <v>1</v>
      </c>
      <c r="AN10">
        <f ca="1">IF(($A$2)&gt;=(ROW()-3),AN$17*(SUM(AN$19:AN25)-((ROW()-3)*5)),AN9)</f>
        <v>-2</v>
      </c>
      <c r="AO10">
        <f ca="1">IF(($A$2)&gt;=(ROW()-3),AO$17*(SUM(AO$19:AO25)-((ROW()-3)*5)),AO9)</f>
        <v>-5</v>
      </c>
      <c r="AP10">
        <f ca="1">IF(($A$2)&gt;=(ROW()-3),AP$17*(SUM(AP$19:AP25)-((ROW()-3)*5)),AP9)</f>
        <v>-8</v>
      </c>
      <c r="AQ10">
        <f ca="1">IF(($A$2)&gt;=(ROW()-3),AQ$17*(SUM(AQ$19:AQ25)-((ROW()-3)*5)),AQ9)</f>
        <v>4</v>
      </c>
      <c r="AR10">
        <f ca="1">IF(($A$2)&gt;=(ROW()-3),AR$17*(SUM(AR$19:AR25)-((ROW()-3)*5)),AR9)</f>
        <v>1</v>
      </c>
      <c r="AS10">
        <f ca="1">IF(($A$2)&gt;=(ROW()-3),AS$17*(SUM(AS$19:AS25)-((ROW()-3)*5)),AS9)</f>
        <v>2</v>
      </c>
      <c r="AT10">
        <f ca="1">IF(($A$2)&gt;=(ROW()-3),AT$17*(SUM(AT$19:AT25)-((ROW()-3)*5)),AT9)</f>
        <v>-6</v>
      </c>
      <c r="AU10">
        <f ca="1">IF(($A$2)&gt;=(ROW()-3),AU$17*(SUM(AU$19:AU25)-((ROW()-3)*5)),AU9)</f>
        <v>0</v>
      </c>
      <c r="AV10">
        <f ca="1">IF(($A$2)&gt;=(ROW()-3),AV$17*(SUM(AV$19:AV25)-((ROW()-3)*5)),AV9)</f>
        <v>-2</v>
      </c>
      <c r="AW10">
        <f ca="1">IF(($A$2)&gt;=(ROW()-3),AW$17*(SUM(AW$19:AW25)-((ROW()-3)*5)),AW9)</f>
        <v>0</v>
      </c>
      <c r="AX10">
        <f ca="1">IF(($A$2)&gt;=(ROW()-3),AX$17*(SUM(AX$19:AX25)-((ROW()-3)*5)),AX9)</f>
        <v>2</v>
      </c>
      <c r="AY10">
        <f ca="1">IF(($A$2)&gt;=(ROW()-3),AY$17*(SUM(AY$19:AY25)-((ROW()-3)*5)),AY9)</f>
        <v>0</v>
      </c>
      <c r="AZ10">
        <f ca="1">IF(($A$2)&gt;=(ROW()-3),AZ$17*(SUM(AZ$19:AZ25)-((ROW()-3)*5)),AZ9)</f>
        <v>-2</v>
      </c>
      <c r="BA10">
        <f ca="1">IF(($A$2)&gt;=(ROW()-3),BA$17*(SUM(BA$19:BA25)-((ROW()-3)*5)),BA9)</f>
        <v>10</v>
      </c>
      <c r="BB10">
        <f ca="1">IF(($A$2)&gt;=(ROW()-3),BB$17*(SUM(BB$19:BB25)-((ROW()-3)*5)),BB9)</f>
        <v>0</v>
      </c>
      <c r="BC10">
        <f ca="1">IF(($A$2)&gt;=(ROW()-3),BC$17*(SUM(BC$19:BC25)-((ROW()-3)*5)),BC9)</f>
        <v>-4</v>
      </c>
      <c r="BD10">
        <f ca="1">IF(($A$2)&gt;=(ROW()-3),BD$17*(SUM(BD$19:BD25)-((ROW()-3)*5)),BD9)</f>
        <v>6</v>
      </c>
      <c r="BE10">
        <f ca="1">IF(($A$2)&gt;=(ROW()-3),BE$17*(SUM(BE$19:BE25)-((ROW()-3)*5)),BE9)</f>
        <v>-6</v>
      </c>
      <c r="BF10">
        <f ca="1">IF(($A$2)&gt;=(ROW()-3),BF$17*(SUM(BF$19:BF25)-((ROW()-3)*5)),BF9)</f>
        <v>-6</v>
      </c>
      <c r="BG10">
        <f ca="1">IF(($A$2)&gt;=(ROW()-3),BG$17*(SUM(BG$19:BG25)-((ROW()-3)*5)),BG9)</f>
        <v>-3</v>
      </c>
      <c r="BH10">
        <f ca="1">IF(($A$2)&gt;=(ROW()-3),BH$17*(SUM(BH$19:BH25)-((ROW()-3)*5)),BH9)</f>
        <v>2</v>
      </c>
      <c r="BI10">
        <f ca="1">IF(($A$2)&gt;=(ROW()-3),BI$17*(SUM(BI$19:BI25)-((ROW()-3)*5)),BI9)</f>
        <v>3</v>
      </c>
      <c r="BJ10">
        <f ca="1">IF(($A$2)&gt;=(ROW()-3),BJ$17*(SUM(BJ$19:BJ25)-((ROW()-3)*5)),BJ9)</f>
        <v>5</v>
      </c>
      <c r="BK10">
        <f ca="1">IF(($A$2)&gt;=(ROW()-3),BK$17*(SUM(BK$19:BK25)-((ROW()-3)*5)),BK9)</f>
        <v>-8</v>
      </c>
      <c r="BL10">
        <f ca="1">IF(($A$2)&gt;=(ROW()-3),BL$17*(SUM(BL$19:BL25)-((ROW()-3)*5)),BL9)</f>
        <v>-7</v>
      </c>
      <c r="BM10">
        <f ca="1">IF(($A$2)&gt;=(ROW()-3),BM$17*(SUM(BM$19:BM25)-((ROW()-3)*5)),BM9)</f>
        <v>1</v>
      </c>
      <c r="BN10">
        <f ca="1">IF(($A$2)&gt;=(ROW()-3),BN$17*(SUM(BN$19:BN25)-((ROW()-3)*5)),BN9)</f>
        <v>-2</v>
      </c>
      <c r="BO10">
        <f ca="1">IF(($A$2)&gt;=(ROW()-3),BO$17*(SUM(BO$19:BO25)-((ROW()-3)*5)),BO9)</f>
        <v>0</v>
      </c>
      <c r="BP10">
        <f ca="1">IF(($A$2)&gt;=(ROW()-3),BP$17*(SUM(BP$19:BP25)-((ROW()-3)*5)),BP9)</f>
        <v>0</v>
      </c>
      <c r="BQ10">
        <f ca="1">IF(($A$2)&gt;=(ROW()-3),BQ$17*(SUM(BQ$19:BQ25)-((ROW()-3)*5)),BQ9)</f>
        <v>0</v>
      </c>
      <c r="BR10">
        <f ca="1">IF(($A$2)&gt;=(ROW()-3),BR$17*(SUM(BR$19:BR25)-((ROW()-3)*5)),BR9)</f>
        <v>0</v>
      </c>
      <c r="BS10">
        <f ca="1">IF(($A$2)&gt;=(ROW()-3),BS$17*(SUM(BS$19:BS25)-((ROW()-3)*5)),BS9)</f>
        <v>0</v>
      </c>
      <c r="BT10">
        <f ca="1">IF(($A$2)&gt;=(ROW()-3),BT$17*(SUM(BT$19:BT25)-((ROW()-3)*5)),BT9)</f>
        <v>0</v>
      </c>
      <c r="BU10">
        <f ca="1">IF(($A$2)&gt;=(ROW()-3),BU$17*(SUM(BU$19:BU25)-((ROW()-3)*5)),BU9)</f>
        <v>0</v>
      </c>
      <c r="BV10">
        <f ca="1">IF(($A$2)&gt;=(ROW()-3),BV$17*(SUM(BV$19:BV25)-((ROW()-3)*5)),BV9)</f>
        <v>0</v>
      </c>
    </row>
    <row r="11" spans="1:78" x14ac:dyDescent="0.2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0</v>
      </c>
      <c r="H11">
        <f ca="1">IF(($A$2)&gt;=(ROW()-3),H$17*(SUM(H$19:H26)-((ROW()-3)*5)),H10)</f>
        <v>5</v>
      </c>
      <c r="I11">
        <f ca="1">IF(($A$2)&gt;=(ROW()-3),I$17*(SUM(I$19:I26)-((ROW()-3)*5)),I10)</f>
        <v>5.5</v>
      </c>
      <c r="J11">
        <f ca="1">IF(($A$2)&gt;=(ROW()-3),J$17*(SUM(J$19:J26)-((ROW()-3)*5)),J10)</f>
        <v>-40</v>
      </c>
      <c r="K11">
        <f ca="1">IF(($A$2)&gt;=(ROW()-3),K$17*(SUM(K$19:K26)-((ROW()-3)*5)),K10)</f>
        <v>1</v>
      </c>
      <c r="L11">
        <f ca="1">IF(($A$2)&gt;=(ROW()-3),L$17*(SUM(L$19:L26)-((ROW()-3)*5)),L10)</f>
        <v>-8</v>
      </c>
      <c r="M11">
        <f ca="1">IF(($A$2)&gt;=(ROW()-3),M$17*(SUM(M$19:M26)-((ROW()-3)*5)),M10)</f>
        <v>0</v>
      </c>
      <c r="N11">
        <f ca="1">IF(($A$2)&gt;=(ROW()-3),N$17*(SUM(N$19:N26)-((ROW()-3)*5)),N10)</f>
        <v>5</v>
      </c>
      <c r="O11">
        <f ca="1">IF(($A$2)&gt;=(ROW()-3),O$17*(SUM(O$19:O26)-((ROW()-3)*5)),O10)</f>
        <v>-16</v>
      </c>
      <c r="P11">
        <f ca="1">IF(($A$2)&gt;=(ROW()-3),P$17*(SUM(P$19:P26)-((ROW()-3)*5)),P10)</f>
        <v>-2</v>
      </c>
      <c r="Q11">
        <f ca="1">IF(($A$2)&gt;=(ROW()-3),Q$17*(SUM(Q$19:Q26)-((ROW()-3)*5)),Q10)</f>
        <v>-3</v>
      </c>
      <c r="R11">
        <f ca="1">IF(($A$2)&gt;=(ROW()-3),R$17*(SUM(R$19:R26)-((ROW()-3)*5)),R10)</f>
        <v>-1</v>
      </c>
      <c r="S11">
        <f ca="1">IF(($A$2)&gt;=(ROW()-3),S$17*(SUM(S$19:S26)-((ROW()-3)*5)),S10)</f>
        <v>-3</v>
      </c>
      <c r="T11">
        <f ca="1">IF(($A$2)&gt;=(ROW()-3),T$17*(SUM(T$19:T26)-((ROW()-3)*5)),T10)</f>
        <v>-14</v>
      </c>
      <c r="U11">
        <f ca="1">IF(($A$2)&gt;=(ROW()-3),U$17*(SUM(U$19:U26)-((ROW()-3)*5)),U10)</f>
        <v>-4</v>
      </c>
      <c r="V11">
        <f ca="1">IF(($A$2)&gt;=(ROW()-3),V$17*(SUM(V$19:V26)-((ROW()-3)*5)),V10)</f>
        <v>1</v>
      </c>
      <c r="W11">
        <f ca="1">IF(($A$2)&gt;=(ROW()-3),W$17*(SUM(W$19:W26)-((ROW()-3)*5)),W10)</f>
        <v>4</v>
      </c>
      <c r="X11">
        <f ca="1">IF(($A$2)&gt;=(ROW()-3),X$17*(SUM(X$19:X26)-((ROW()-3)*5)),X10)</f>
        <v>-1</v>
      </c>
      <c r="Y11">
        <f ca="1">IF(($A$2)&gt;=(ROW()-3),Y$17*(SUM(Y$19:Y26)-((ROW()-3)*5)),Y10)</f>
        <v>-1</v>
      </c>
      <c r="Z11">
        <f ca="1">IF(($A$2)&gt;=(ROW()-3),Z$17*(SUM(Z$19:Z26)-((ROW()-3)*5)),Z10)</f>
        <v>4</v>
      </c>
      <c r="AA11">
        <f ca="1">IF(($A$2)&gt;=(ROW()-3),AA$17*(SUM(AA$19:AA26)-((ROW()-3)*5)),AA10)</f>
        <v>1</v>
      </c>
      <c r="AB11">
        <f ca="1">IF(($A$2)&gt;=(ROW()-3),AB$17*(SUM(AB$19:AB26)-((ROW()-3)*5)),AB10)</f>
        <v>2</v>
      </c>
      <c r="AC11">
        <f ca="1">IF(($A$2)&gt;=(ROW()-3),AC$17*(SUM(AC$19:AC26)-((ROW()-3)*5)),AC10)</f>
        <v>-1</v>
      </c>
      <c r="AD11">
        <f ca="1">IF(($A$2)&gt;=(ROW()-3),AD$17*(SUM(AD$19:AD26)-((ROW()-3)*5)),AD10)</f>
        <v>9</v>
      </c>
      <c r="AE11">
        <f ca="1">IF(($A$2)&gt;=(ROW()-3),AE$17*(SUM(AE$19:AE26)-((ROW()-3)*5)),AE10)</f>
        <v>-7</v>
      </c>
      <c r="AF11">
        <f ca="1">IF(($A$2)&gt;=(ROW()-3),AF$17*(SUM(AF$19:AF26)-((ROW()-3)*5)),AF10)</f>
        <v>1</v>
      </c>
      <c r="AG11">
        <f ca="1">IF(($A$2)&gt;=(ROW()-3),AG$17*(SUM(AG$19:AG26)-((ROW()-3)*5)),AG10)</f>
        <v>-4</v>
      </c>
      <c r="AH11">
        <f ca="1">IF(($A$2)&gt;=(ROW()-3),AH$17*(SUM(AH$19:AH26)-((ROW()-3)*5)),AH10)</f>
        <v>6</v>
      </c>
      <c r="AI11">
        <f ca="1">IF(($A$2)&gt;=(ROW()-3),AI$17*(SUM(AI$19:AI26)-((ROW()-3)*5)),AI10)</f>
        <v>0</v>
      </c>
      <c r="AJ11">
        <f ca="1">IF(($A$2)&gt;=(ROW()-3),AJ$17*(SUM(AJ$19:AJ26)-((ROW()-3)*5)),AJ10)</f>
        <v>-1</v>
      </c>
      <c r="AK11">
        <f ca="1">IF(($A$2)&gt;=(ROW()-3),AK$17*(SUM(AK$19:AK26)-((ROW()-3)*5)),AK10)</f>
        <v>-8</v>
      </c>
      <c r="AL11">
        <f ca="1">IF(($A$2)&gt;=(ROW()-3),AL$17*(SUM(AL$19:AL26)-((ROW()-3)*5)),AL10)</f>
        <v>-7</v>
      </c>
      <c r="AM11">
        <f ca="1">IF(($A$2)&gt;=(ROW()-3),AM$17*(SUM(AM$19:AM26)-((ROW()-3)*5)),AM10)</f>
        <v>0</v>
      </c>
      <c r="AN11">
        <f ca="1">IF(($A$2)&gt;=(ROW()-3),AN$17*(SUM(AN$19:AN26)-((ROW()-3)*5)),AN10)</f>
        <v>-3</v>
      </c>
      <c r="AO11">
        <f ca="1">IF(($A$2)&gt;=(ROW()-3),AO$17*(SUM(AO$19:AO26)-((ROW()-3)*5)),AO10)</f>
        <v>-3</v>
      </c>
      <c r="AP11">
        <f ca="1">IF(($A$2)&gt;=(ROW()-3),AP$17*(SUM(AP$19:AP26)-((ROW()-3)*5)),AP10)</f>
        <v>-8</v>
      </c>
      <c r="AQ11">
        <f ca="1">IF(($A$2)&gt;=(ROW()-3),AQ$17*(SUM(AQ$19:AQ26)-((ROW()-3)*5)),AQ10)</f>
        <v>3</v>
      </c>
      <c r="AR11">
        <f ca="1">IF(($A$2)&gt;=(ROW()-3),AR$17*(SUM(AR$19:AR26)-((ROW()-3)*5)),AR10)</f>
        <v>3</v>
      </c>
      <c r="AS11">
        <f ca="1">IF(($A$2)&gt;=(ROW()-3),AS$17*(SUM(AS$19:AS26)-((ROW()-3)*5)),AS10)</f>
        <v>3</v>
      </c>
      <c r="AT11">
        <f ca="1">IF(($A$2)&gt;=(ROW()-3),AT$17*(SUM(AT$19:AT26)-((ROW()-3)*5)),AT10)</f>
        <v>-7</v>
      </c>
      <c r="AU11">
        <f ca="1">IF(($A$2)&gt;=(ROW()-3),AU$17*(SUM(AU$19:AU26)-((ROW()-3)*5)),AU10)</f>
        <v>1</v>
      </c>
      <c r="AV11">
        <f ca="1">IF(($A$2)&gt;=(ROW()-3),AV$17*(SUM(AV$19:AV26)-((ROW()-3)*5)),AV10)</f>
        <v>-4</v>
      </c>
      <c r="AW11">
        <f ca="1">IF(($A$2)&gt;=(ROW()-3),AW$17*(SUM(AW$19:AW26)-((ROW()-3)*5)),AW10)</f>
        <v>2</v>
      </c>
      <c r="AX11">
        <f ca="1">IF(($A$2)&gt;=(ROW()-3),AX$17*(SUM(AX$19:AX26)-((ROW()-3)*5)),AX10)</f>
        <v>2</v>
      </c>
      <c r="AY11">
        <f ca="1">IF(($A$2)&gt;=(ROW()-3),AY$17*(SUM(AY$19:AY26)-((ROW()-3)*5)),AY10)</f>
        <v>3</v>
      </c>
      <c r="AZ11">
        <f ca="1">IF(($A$2)&gt;=(ROW()-3),AZ$17*(SUM(AZ$19:AZ26)-((ROW()-3)*5)),AZ10)</f>
        <v>0</v>
      </c>
      <c r="BA11">
        <f ca="1">IF(($A$2)&gt;=(ROW()-3),BA$17*(SUM(BA$19:BA26)-((ROW()-3)*5)),BA10)</f>
        <v>10</v>
      </c>
      <c r="BB11">
        <f ca="1">IF(($A$2)&gt;=(ROW()-3),BB$17*(SUM(BB$19:BB26)-((ROW()-3)*5)),BB10)</f>
        <v>-1</v>
      </c>
      <c r="BC11">
        <f ca="1">IF(($A$2)&gt;=(ROW()-3),BC$17*(SUM(BC$19:BC26)-((ROW()-3)*5)),BC10)</f>
        <v>-2</v>
      </c>
      <c r="BD11">
        <f ca="1">IF(($A$2)&gt;=(ROW()-3),BD$17*(SUM(BD$19:BD26)-((ROW()-3)*5)),BD10)</f>
        <v>8</v>
      </c>
      <c r="BE11">
        <f ca="1">IF(($A$2)&gt;=(ROW()-3),BE$17*(SUM(BE$19:BE26)-((ROW()-3)*5)),BE10)</f>
        <v>-7</v>
      </c>
      <c r="BF11">
        <f ca="1">IF(($A$2)&gt;=(ROW()-3),BF$17*(SUM(BF$19:BF26)-((ROW()-3)*5)),BF10)</f>
        <v>-4</v>
      </c>
      <c r="BG11">
        <f ca="1">IF(($A$2)&gt;=(ROW()-3),BG$17*(SUM(BG$19:BG26)-((ROW()-3)*5)),BG10)</f>
        <v>-4</v>
      </c>
      <c r="BH11">
        <f ca="1">IF(($A$2)&gt;=(ROW()-3),BH$17*(SUM(BH$19:BH26)-((ROW()-3)*5)),BH10)</f>
        <v>5</v>
      </c>
      <c r="BI11">
        <f ca="1">IF(($A$2)&gt;=(ROW()-3),BI$17*(SUM(BI$19:BI26)-((ROW()-3)*5)),BI10)</f>
        <v>-2</v>
      </c>
      <c r="BJ11">
        <f ca="1">IF(($A$2)&gt;=(ROW()-3),BJ$17*(SUM(BJ$19:BJ26)-((ROW()-3)*5)),BJ10)</f>
        <v>4</v>
      </c>
      <c r="BK11">
        <f ca="1">IF(($A$2)&gt;=(ROW()-3),BK$17*(SUM(BK$19:BK26)-((ROW()-3)*5)),BK10)</f>
        <v>-9</v>
      </c>
      <c r="BL11">
        <f ca="1">IF(($A$2)&gt;=(ROW()-3),BL$17*(SUM(BL$19:BL26)-((ROW()-3)*5)),BL10)</f>
        <v>-7</v>
      </c>
      <c r="BM11">
        <f ca="1">IF(($A$2)&gt;=(ROW()-3),BM$17*(SUM(BM$19:BM26)-((ROW()-3)*5)),BM10)</f>
        <v>0</v>
      </c>
      <c r="BN11">
        <f ca="1">IF(($A$2)&gt;=(ROW()-3),BN$17*(SUM(BN$19:BN26)-((ROW()-3)*5)),BN10)</f>
        <v>0</v>
      </c>
      <c r="BO11">
        <f ca="1">IF(($A$2)&gt;=(ROW()-3),BO$17*(SUM(BO$19:BO26)-((ROW()-3)*5)),BO10)</f>
        <v>0</v>
      </c>
      <c r="BP11">
        <f ca="1">IF(($A$2)&gt;=(ROW()-3),BP$17*(SUM(BP$19:BP26)-((ROW()-3)*5)),BP10)</f>
        <v>0</v>
      </c>
      <c r="BQ11">
        <f ca="1">IF(($A$2)&gt;=(ROW()-3),BQ$17*(SUM(BQ$19:BQ26)-((ROW()-3)*5)),BQ10)</f>
        <v>0</v>
      </c>
      <c r="BR11">
        <f ca="1">IF(($A$2)&gt;=(ROW()-3),BR$17*(SUM(BR$19:BR26)-((ROW()-3)*5)),BR10)</f>
        <v>0</v>
      </c>
      <c r="BS11">
        <f ca="1">IF(($A$2)&gt;=(ROW()-3),BS$17*(SUM(BS$19:BS26)-((ROW()-3)*5)),BS10)</f>
        <v>0</v>
      </c>
      <c r="BT11">
        <f ca="1">IF(($A$2)&gt;=(ROW()-3),BT$17*(SUM(BT$19:BT26)-((ROW()-3)*5)),BT10)</f>
        <v>0</v>
      </c>
      <c r="BU11">
        <f ca="1">IF(($A$2)&gt;=(ROW()-3),BU$17*(SUM(BU$19:BU26)-((ROW()-3)*5)),BU10)</f>
        <v>0</v>
      </c>
      <c r="BV11">
        <f ca="1">IF(($A$2)&gt;=(ROW()-3),BV$17*(SUM(BV$19:BV26)-((ROW()-3)*5)),BV10)</f>
        <v>0</v>
      </c>
    </row>
    <row r="12" spans="1:78" x14ac:dyDescent="0.2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3</v>
      </c>
      <c r="H12">
        <f ca="1">IF(($A$2)&gt;=(ROW()-3),H$17*(SUM(H$19:H27)-((ROW()-3)*5)),H11)</f>
        <v>3</v>
      </c>
      <c r="I12">
        <f ca="1">IF(($A$2)&gt;=(ROW()-3),I$17*(SUM(I$19:I27)-((ROW()-3)*5)),I11)</f>
        <v>3.5</v>
      </c>
      <c r="J12">
        <f ca="1">IF(($A$2)&gt;=(ROW()-3),J$17*(SUM(J$19:J27)-((ROW()-3)*5)),J11)</f>
        <v>-45</v>
      </c>
      <c r="K12">
        <f ca="1">IF(($A$2)&gt;=(ROW()-3),K$17*(SUM(K$19:K27)-((ROW()-3)*5)),K11)</f>
        <v>-1</v>
      </c>
      <c r="L12">
        <f ca="1">IF(($A$2)&gt;=(ROW()-3),L$17*(SUM(L$19:L27)-((ROW()-3)*5)),L11)</f>
        <v>-11</v>
      </c>
      <c r="M12">
        <f ca="1">IF(($A$2)&gt;=(ROW()-3),M$17*(SUM(M$19:M27)-((ROW()-3)*5)),M11)</f>
        <v>0</v>
      </c>
      <c r="N12">
        <f ca="1">IF(($A$2)&gt;=(ROW()-3),N$17*(SUM(N$19:N27)-((ROW()-3)*5)),N11)</f>
        <v>3</v>
      </c>
      <c r="O12">
        <f ca="1">IF(($A$2)&gt;=(ROW()-3),O$17*(SUM(O$19:O27)-((ROW()-3)*5)),O11)</f>
        <v>-21</v>
      </c>
      <c r="P12">
        <f ca="1">IF(($A$2)&gt;=(ROW()-3),P$17*(SUM(P$19:P27)-((ROW()-3)*5)),P11)</f>
        <v>0</v>
      </c>
      <c r="Q12">
        <f ca="1">IF(($A$2)&gt;=(ROW()-3),Q$17*(SUM(Q$19:Q27)-((ROW()-3)*5)),Q11)</f>
        <v>-5</v>
      </c>
      <c r="R12">
        <f ca="1">IF(($A$2)&gt;=(ROW()-3),R$17*(SUM(R$19:R27)-((ROW()-3)*5)),R11)</f>
        <v>-1</v>
      </c>
      <c r="S12">
        <f ca="1">IF(($A$2)&gt;=(ROW()-3),S$17*(SUM(S$19:S27)-((ROW()-3)*5)),S11)</f>
        <v>-5</v>
      </c>
      <c r="T12">
        <f ca="1">IF(($A$2)&gt;=(ROW()-3),T$17*(SUM(T$19:T27)-((ROW()-3)*5)),T11)</f>
        <v>-10</v>
      </c>
      <c r="U12">
        <f ca="1">IF(($A$2)&gt;=(ROW()-3),U$17*(SUM(U$19:U27)-((ROW()-3)*5)),U11)</f>
        <v>-6</v>
      </c>
      <c r="V12">
        <f ca="1">IF(($A$2)&gt;=(ROW()-3),V$17*(SUM(V$19:V27)-((ROW()-3)*5)),V11)</f>
        <v>0</v>
      </c>
      <c r="W12">
        <f ca="1">IF(($A$2)&gt;=(ROW()-3),W$17*(SUM(W$19:W27)-((ROW()-3)*5)),W11)</f>
        <v>1</v>
      </c>
      <c r="X12">
        <f ca="1">IF(($A$2)&gt;=(ROW()-3),X$17*(SUM(X$19:X27)-((ROW()-3)*5)),X11)</f>
        <v>-3</v>
      </c>
      <c r="Y12">
        <f ca="1">IF(($A$2)&gt;=(ROW()-3),Y$17*(SUM(Y$19:Y27)-((ROW()-3)*5)),Y11)</f>
        <v>-2</v>
      </c>
      <c r="Z12">
        <f ca="1">IF(($A$2)&gt;=(ROW()-3),Z$17*(SUM(Z$19:Z27)-((ROW()-3)*5)),Z11)</f>
        <v>4</v>
      </c>
      <c r="AA12">
        <f ca="1">IF(($A$2)&gt;=(ROW()-3),AA$17*(SUM(AA$19:AA27)-((ROW()-3)*5)),AA11)</f>
        <v>-4</v>
      </c>
      <c r="AB12">
        <f ca="1">IF(($A$2)&gt;=(ROW()-3),AB$17*(SUM(AB$19:AB27)-((ROW()-3)*5)),AB11)</f>
        <v>2</v>
      </c>
      <c r="AC12">
        <f ca="1">IF(($A$2)&gt;=(ROW()-3),AC$17*(SUM(AC$19:AC27)-((ROW()-3)*5)),AC11)</f>
        <v>-2</v>
      </c>
      <c r="AD12">
        <f ca="1">IF(($A$2)&gt;=(ROW()-3),AD$17*(SUM(AD$19:AD27)-((ROW()-3)*5)),AD11)</f>
        <v>7</v>
      </c>
      <c r="AE12">
        <f ca="1">IF(($A$2)&gt;=(ROW()-3),AE$17*(SUM(AE$19:AE27)-((ROW()-3)*5)),AE11)</f>
        <v>-8</v>
      </c>
      <c r="AF12">
        <f ca="1">IF(($A$2)&gt;=(ROW()-3),AF$17*(SUM(AF$19:AF27)-((ROW()-3)*5)),AF11)</f>
        <v>-3</v>
      </c>
      <c r="AG12">
        <f ca="1">IF(($A$2)&gt;=(ROW()-3),AG$17*(SUM(AG$19:AG27)-((ROW()-3)*5)),AG11)</f>
        <v>-2</v>
      </c>
      <c r="AH12">
        <f ca="1">IF(($A$2)&gt;=(ROW()-3),AH$17*(SUM(AH$19:AH27)-((ROW()-3)*5)),AH11)</f>
        <v>6</v>
      </c>
      <c r="AI12">
        <f ca="1">IF(($A$2)&gt;=(ROW()-3),AI$17*(SUM(AI$19:AI27)-((ROW()-3)*5)),AI11)</f>
        <v>-1</v>
      </c>
      <c r="AJ12">
        <f ca="1">IF(($A$2)&gt;=(ROW()-3),AJ$17*(SUM(AJ$19:AJ27)-((ROW()-3)*5)),AJ11)</f>
        <v>-2</v>
      </c>
      <c r="AK12">
        <f ca="1">IF(($A$2)&gt;=(ROW()-3),AK$17*(SUM(AK$19:AK27)-((ROW()-3)*5)),AK11)</f>
        <v>-11</v>
      </c>
      <c r="AL12">
        <f ca="1">IF(($A$2)&gt;=(ROW()-3),AL$17*(SUM(AL$19:AL27)-((ROW()-3)*5)),AL11)</f>
        <v>-8</v>
      </c>
      <c r="AM12">
        <f ca="1">IF(($A$2)&gt;=(ROW()-3),AM$17*(SUM(AM$19:AM27)-((ROW()-3)*5)),AM11)</f>
        <v>-1</v>
      </c>
      <c r="AN12">
        <f ca="1">IF(($A$2)&gt;=(ROW()-3),AN$17*(SUM(AN$19:AN27)-((ROW()-3)*5)),AN11)</f>
        <v>-1</v>
      </c>
      <c r="AO12">
        <f ca="1">IF(($A$2)&gt;=(ROW()-3),AO$17*(SUM(AO$19:AO27)-((ROW()-3)*5)),AO11)</f>
        <v>-2</v>
      </c>
      <c r="AP12">
        <f ca="1">IF(($A$2)&gt;=(ROW()-3),AP$17*(SUM(AP$19:AP27)-((ROW()-3)*5)),AP11)</f>
        <v>-9</v>
      </c>
      <c r="AQ12">
        <f ca="1">IF(($A$2)&gt;=(ROW()-3),AQ$17*(SUM(AQ$19:AQ27)-((ROW()-3)*5)),AQ11)</f>
        <v>2</v>
      </c>
      <c r="AR12">
        <f ca="1">IF(($A$2)&gt;=(ROW()-3),AR$17*(SUM(AR$19:AR27)-((ROW()-3)*5)),AR11)</f>
        <v>0</v>
      </c>
      <c r="AS12">
        <f ca="1">IF(($A$2)&gt;=(ROW()-3),AS$17*(SUM(AS$19:AS27)-((ROW()-3)*5)),AS11)</f>
        <v>2</v>
      </c>
      <c r="AT12">
        <f ca="1">IF(($A$2)&gt;=(ROW()-3),AT$17*(SUM(AT$19:AT27)-((ROW()-3)*5)),AT11)</f>
        <v>-6</v>
      </c>
      <c r="AU12">
        <f ca="1">IF(($A$2)&gt;=(ROW()-3),AU$17*(SUM(AU$19:AU27)-((ROW()-3)*5)),AU11)</f>
        <v>-1</v>
      </c>
      <c r="AV12">
        <f ca="1">IF(($A$2)&gt;=(ROW()-3),AV$17*(SUM(AV$19:AV27)-((ROW()-3)*5)),AV11)</f>
        <v>-5</v>
      </c>
      <c r="AW12">
        <f ca="1">IF(($A$2)&gt;=(ROW()-3),AW$17*(SUM(AW$19:AW27)-((ROW()-3)*5)),AW11)</f>
        <v>-1</v>
      </c>
      <c r="AX12">
        <f ca="1">IF(($A$2)&gt;=(ROW()-3),AX$17*(SUM(AX$19:AX27)-((ROW()-3)*5)),AX11)</f>
        <v>1</v>
      </c>
      <c r="AY12">
        <f ca="1">IF(($A$2)&gt;=(ROW()-3),AY$17*(SUM(AY$19:AY27)-((ROW()-3)*5)),AY11)</f>
        <v>3</v>
      </c>
      <c r="AZ12">
        <f ca="1">IF(($A$2)&gt;=(ROW()-3),AZ$17*(SUM(AZ$19:AZ27)-((ROW()-3)*5)),AZ11)</f>
        <v>-5</v>
      </c>
      <c r="BA12">
        <f ca="1">IF(($A$2)&gt;=(ROW()-3),BA$17*(SUM(BA$19:BA27)-((ROW()-3)*5)),BA11)</f>
        <v>9</v>
      </c>
      <c r="BB12">
        <f ca="1">IF(($A$2)&gt;=(ROW()-3),BB$17*(SUM(BB$19:BB27)-((ROW()-3)*5)),BB11)</f>
        <v>1</v>
      </c>
      <c r="BC12">
        <f ca="1">IF(($A$2)&gt;=(ROW()-3),BC$17*(SUM(BC$19:BC27)-((ROW()-3)*5)),BC11)</f>
        <v>-3</v>
      </c>
      <c r="BD12">
        <f ca="1">IF(($A$2)&gt;=(ROW()-3),BD$17*(SUM(BD$19:BD27)-((ROW()-3)*5)),BD11)</f>
        <v>7</v>
      </c>
      <c r="BE12">
        <f ca="1">IF(($A$2)&gt;=(ROW()-3),BE$17*(SUM(BE$19:BE27)-((ROW()-3)*5)),BE11)</f>
        <v>-8</v>
      </c>
      <c r="BF12">
        <f ca="1">IF(($A$2)&gt;=(ROW()-3),BF$17*(SUM(BF$19:BF27)-((ROW()-3)*5)),BF11)</f>
        <v>-5</v>
      </c>
      <c r="BG12">
        <f ca="1">IF(($A$2)&gt;=(ROW()-3),BG$17*(SUM(BG$19:BG27)-((ROW()-3)*5)),BG11)</f>
        <v>-6</v>
      </c>
      <c r="BH12">
        <f ca="1">IF(($A$2)&gt;=(ROW()-3),BH$17*(SUM(BH$19:BH27)-((ROW()-3)*5)),BH11)</f>
        <v>0</v>
      </c>
      <c r="BI12">
        <f ca="1">IF(($A$2)&gt;=(ROW()-3),BI$17*(SUM(BI$19:BI27)-((ROW()-3)*5)),BI11)</f>
        <v>-1</v>
      </c>
      <c r="BJ12">
        <f ca="1">IF(($A$2)&gt;=(ROW()-3),BJ$17*(SUM(BJ$19:BJ27)-((ROW()-3)*5)),BJ11)</f>
        <v>4</v>
      </c>
      <c r="BK12">
        <f ca="1">IF(($A$2)&gt;=(ROW()-3),BK$17*(SUM(BK$19:BK27)-((ROW()-3)*5)),BK11)</f>
        <v>-9</v>
      </c>
      <c r="BL12">
        <f ca="1">IF(($A$2)&gt;=(ROW()-3),BL$17*(SUM(BL$19:BL27)-((ROW()-3)*5)),BL11)</f>
        <v>-7</v>
      </c>
      <c r="BM12">
        <f ca="1">IF(($A$2)&gt;=(ROW()-3),BM$17*(SUM(BM$19:BM27)-((ROW()-3)*5)),BM11)</f>
        <v>-1</v>
      </c>
      <c r="BN12">
        <f ca="1">IF(($A$2)&gt;=(ROW()-3),BN$17*(SUM(BN$19:BN27)-((ROW()-3)*5)),BN11)</f>
        <v>-2</v>
      </c>
      <c r="BO12">
        <f ca="1">IF(($A$2)&gt;=(ROW()-3),BO$17*(SUM(BO$19:BO27)-((ROW()-3)*5)),BO11)</f>
        <v>0</v>
      </c>
      <c r="BP12">
        <f ca="1">IF(($A$2)&gt;=(ROW()-3),BP$17*(SUM(BP$19:BP27)-((ROW()-3)*5)),BP11)</f>
        <v>0</v>
      </c>
      <c r="BQ12">
        <f ca="1">IF(($A$2)&gt;=(ROW()-3),BQ$17*(SUM(BQ$19:BQ27)-((ROW()-3)*5)),BQ11)</f>
        <v>0</v>
      </c>
      <c r="BR12">
        <f ca="1">IF(($A$2)&gt;=(ROW()-3),BR$17*(SUM(BR$19:BR27)-((ROW()-3)*5)),BR11)</f>
        <v>0</v>
      </c>
      <c r="BS12">
        <f ca="1">IF(($A$2)&gt;=(ROW()-3),BS$17*(SUM(BS$19:BS27)-((ROW()-3)*5)),BS11)</f>
        <v>0</v>
      </c>
      <c r="BT12">
        <f ca="1">IF(($A$2)&gt;=(ROW()-3),BT$17*(SUM(BT$19:BT27)-((ROW()-3)*5)),BT11)</f>
        <v>0</v>
      </c>
      <c r="BU12">
        <f ca="1">IF(($A$2)&gt;=(ROW()-3),BU$17*(SUM(BU$19:BU27)-((ROW()-3)*5)),BU11)</f>
        <v>0</v>
      </c>
      <c r="BV12">
        <f ca="1">IF(($A$2)&gt;=(ROW()-3),BV$17*(SUM(BV$19:BV27)-((ROW()-3)*5)),BV11)</f>
        <v>0</v>
      </c>
    </row>
    <row r="13" spans="1:78" x14ac:dyDescent="0.2">
      <c r="A13" s="6" t="s">
        <v>25</v>
      </c>
      <c r="B13" s="6"/>
      <c r="C13" s="6"/>
      <c r="D13" s="6"/>
      <c r="E13">
        <f>IF(($A$2)&gt;=(ROW()-3),E$17*(SUM(E$19:E28)-((ROW()-3)*5)),E12)</f>
        <v>4.8461538461538538</v>
      </c>
      <c r="F13">
        <f>IF(($A$2)&gt;=(ROW()-3),F$17*(SUM(F$19:F28)-((ROW()-3)*5)),F12)</f>
        <v>13.153846153846146</v>
      </c>
      <c r="G13">
        <f ca="1">IF(($A$2)&gt;=(ROW()-3),G$17*(SUM(G$19:G28)-((ROW()-3)*5)),G12)</f>
        <v>3</v>
      </c>
      <c r="H13">
        <f ca="1">IF(($A$2)&gt;=(ROW()-3),H$17*(SUM(H$19:H28)-((ROW()-3)*5)),H12)</f>
        <v>3</v>
      </c>
      <c r="I13">
        <f ca="1">IF(($A$2)&gt;=(ROW()-3),I$17*(SUM(I$19:I28)-((ROW()-3)*5)),I12)</f>
        <v>3.5</v>
      </c>
      <c r="J13">
        <f ca="1">IF(($A$2)&gt;=(ROW()-3),J$17*(SUM(J$19:J28)-((ROW()-3)*5)),J12)</f>
        <v>-45</v>
      </c>
      <c r="K13">
        <f ca="1">IF(($A$2)&gt;=(ROW()-3),K$17*(SUM(K$19:K28)-((ROW()-3)*5)),K12)</f>
        <v>-1</v>
      </c>
      <c r="L13">
        <f ca="1">IF(($A$2)&gt;=(ROW()-3),L$17*(SUM(L$19:L28)-((ROW()-3)*5)),L12)</f>
        <v>-11</v>
      </c>
      <c r="M13">
        <f ca="1">IF(($A$2)&gt;=(ROW()-3),M$17*(SUM(M$19:M28)-((ROW()-3)*5)),M12)</f>
        <v>0</v>
      </c>
      <c r="N13">
        <f ca="1">IF(($A$2)&gt;=(ROW()-3),N$17*(SUM(N$19:N28)-((ROW()-3)*5)),N12)</f>
        <v>3</v>
      </c>
      <c r="O13">
        <f ca="1">IF(($A$2)&gt;=(ROW()-3),O$17*(SUM(O$19:O28)-((ROW()-3)*5)),O12)</f>
        <v>-21</v>
      </c>
      <c r="P13">
        <f ca="1">IF(($A$2)&gt;=(ROW()-3),P$17*(SUM(P$19:P28)-((ROW()-3)*5)),P12)</f>
        <v>0</v>
      </c>
      <c r="Q13">
        <f ca="1">IF(($A$2)&gt;=(ROW()-3),Q$17*(SUM(Q$19:Q28)-((ROW()-3)*5)),Q12)</f>
        <v>-5</v>
      </c>
      <c r="R13">
        <f ca="1">IF(($A$2)&gt;=(ROW()-3),R$17*(SUM(R$19:R28)-((ROW()-3)*5)),R12)</f>
        <v>-1</v>
      </c>
      <c r="S13">
        <f ca="1">IF(($A$2)&gt;=(ROW()-3),S$17*(SUM(S$19:S28)-((ROW()-3)*5)),S12)</f>
        <v>-5</v>
      </c>
      <c r="T13">
        <f ca="1">IF(($A$2)&gt;=(ROW()-3),T$17*(SUM(T$19:T28)-((ROW()-3)*5)),T12)</f>
        <v>-10</v>
      </c>
      <c r="U13">
        <f ca="1">IF(($A$2)&gt;=(ROW()-3),U$17*(SUM(U$19:U28)-((ROW()-3)*5)),U12)</f>
        <v>-6</v>
      </c>
      <c r="V13">
        <f ca="1">IF(($A$2)&gt;=(ROW()-3),V$17*(SUM(V$19:V28)-((ROW()-3)*5)),V12)</f>
        <v>0</v>
      </c>
      <c r="W13">
        <f ca="1">IF(($A$2)&gt;=(ROW()-3),W$17*(SUM(W$19:W28)-((ROW()-3)*5)),W12)</f>
        <v>1</v>
      </c>
      <c r="X13">
        <f ca="1">IF(($A$2)&gt;=(ROW()-3),X$17*(SUM(X$19:X28)-((ROW()-3)*5)),X12)</f>
        <v>-3</v>
      </c>
      <c r="Y13">
        <f ca="1">IF(($A$2)&gt;=(ROW()-3),Y$17*(SUM(Y$19:Y28)-((ROW()-3)*5)),Y12)</f>
        <v>-2</v>
      </c>
      <c r="Z13">
        <f ca="1">IF(($A$2)&gt;=(ROW()-3),Z$17*(SUM(Z$19:Z28)-((ROW()-3)*5)),Z12)</f>
        <v>4</v>
      </c>
      <c r="AA13">
        <f ca="1">IF(($A$2)&gt;=(ROW()-3),AA$17*(SUM(AA$19:AA28)-((ROW()-3)*5)),AA12)</f>
        <v>-4</v>
      </c>
      <c r="AB13">
        <f ca="1">IF(($A$2)&gt;=(ROW()-3),AB$17*(SUM(AB$19:AB28)-((ROW()-3)*5)),AB12)</f>
        <v>2</v>
      </c>
      <c r="AC13">
        <f ca="1">IF(($A$2)&gt;=(ROW()-3),AC$17*(SUM(AC$19:AC28)-((ROW()-3)*5)),AC12)</f>
        <v>-2</v>
      </c>
      <c r="AD13">
        <f ca="1">IF(($A$2)&gt;=(ROW()-3),AD$17*(SUM(AD$19:AD28)-((ROW()-3)*5)),AD12)</f>
        <v>7</v>
      </c>
      <c r="AE13">
        <f ca="1">IF(($A$2)&gt;=(ROW()-3),AE$17*(SUM(AE$19:AE28)-((ROW()-3)*5)),AE12)</f>
        <v>-8</v>
      </c>
      <c r="AF13">
        <f ca="1">IF(($A$2)&gt;=(ROW()-3),AF$17*(SUM(AF$19:AF28)-((ROW()-3)*5)),AF12)</f>
        <v>-3</v>
      </c>
      <c r="AG13">
        <f ca="1">IF(($A$2)&gt;=(ROW()-3),AG$17*(SUM(AG$19:AG28)-((ROW()-3)*5)),AG12)</f>
        <v>-2</v>
      </c>
      <c r="AH13">
        <f ca="1">IF(($A$2)&gt;=(ROW()-3),AH$17*(SUM(AH$19:AH28)-((ROW()-3)*5)),AH12)</f>
        <v>6</v>
      </c>
      <c r="AI13">
        <f ca="1">IF(($A$2)&gt;=(ROW()-3),AI$17*(SUM(AI$19:AI28)-((ROW()-3)*5)),AI12)</f>
        <v>-1</v>
      </c>
      <c r="AJ13">
        <f ca="1">IF(($A$2)&gt;=(ROW()-3),AJ$17*(SUM(AJ$19:AJ28)-((ROW()-3)*5)),AJ12)</f>
        <v>-2</v>
      </c>
      <c r="AK13">
        <f ca="1">IF(($A$2)&gt;=(ROW()-3),AK$17*(SUM(AK$19:AK28)-((ROW()-3)*5)),AK12)</f>
        <v>-11</v>
      </c>
      <c r="AL13">
        <f ca="1">IF(($A$2)&gt;=(ROW()-3),AL$17*(SUM(AL$19:AL28)-((ROW()-3)*5)),AL12)</f>
        <v>-8</v>
      </c>
      <c r="AM13">
        <f ca="1">IF(($A$2)&gt;=(ROW()-3),AM$17*(SUM(AM$19:AM28)-((ROW()-3)*5)),AM12)</f>
        <v>-1</v>
      </c>
      <c r="AN13">
        <f ca="1">IF(($A$2)&gt;=(ROW()-3),AN$17*(SUM(AN$19:AN28)-((ROW()-3)*5)),AN12)</f>
        <v>-1</v>
      </c>
      <c r="AO13">
        <f ca="1">IF(($A$2)&gt;=(ROW()-3),AO$17*(SUM(AO$19:AO28)-((ROW()-3)*5)),AO12)</f>
        <v>-2</v>
      </c>
      <c r="AP13">
        <f ca="1">IF(($A$2)&gt;=(ROW()-3),AP$17*(SUM(AP$19:AP28)-((ROW()-3)*5)),AP12)</f>
        <v>-9</v>
      </c>
      <c r="AQ13">
        <f ca="1">IF(($A$2)&gt;=(ROW()-3),AQ$17*(SUM(AQ$19:AQ28)-((ROW()-3)*5)),AQ12)</f>
        <v>2</v>
      </c>
      <c r="AR13">
        <f ca="1">IF(($A$2)&gt;=(ROW()-3),AR$17*(SUM(AR$19:AR28)-((ROW()-3)*5)),AR12)</f>
        <v>0</v>
      </c>
      <c r="AS13">
        <f ca="1">IF(($A$2)&gt;=(ROW()-3),AS$17*(SUM(AS$19:AS28)-((ROW()-3)*5)),AS12)</f>
        <v>2</v>
      </c>
      <c r="AT13">
        <f ca="1">IF(($A$2)&gt;=(ROW()-3),AT$17*(SUM(AT$19:AT28)-((ROW()-3)*5)),AT12)</f>
        <v>-6</v>
      </c>
      <c r="AU13">
        <f ca="1">IF(($A$2)&gt;=(ROW()-3),AU$17*(SUM(AU$19:AU28)-((ROW()-3)*5)),AU12)</f>
        <v>-1</v>
      </c>
      <c r="AV13">
        <f ca="1">IF(($A$2)&gt;=(ROW()-3),AV$17*(SUM(AV$19:AV28)-((ROW()-3)*5)),AV12)</f>
        <v>-5</v>
      </c>
      <c r="AW13">
        <f ca="1">IF(($A$2)&gt;=(ROW()-3),AW$17*(SUM(AW$19:AW28)-((ROW()-3)*5)),AW12)</f>
        <v>-1</v>
      </c>
      <c r="AX13">
        <f ca="1">IF(($A$2)&gt;=(ROW()-3),AX$17*(SUM(AX$19:AX28)-((ROW()-3)*5)),AX12)</f>
        <v>1</v>
      </c>
      <c r="AY13">
        <f ca="1">IF(($A$2)&gt;=(ROW()-3),AY$17*(SUM(AY$19:AY28)-((ROW()-3)*5)),AY12)</f>
        <v>3</v>
      </c>
      <c r="AZ13">
        <f ca="1">IF(($A$2)&gt;=(ROW()-3),AZ$17*(SUM(AZ$19:AZ28)-((ROW()-3)*5)),AZ12)</f>
        <v>-5</v>
      </c>
      <c r="BA13">
        <f ca="1">IF(($A$2)&gt;=(ROW()-3),BA$17*(SUM(BA$19:BA28)-((ROW()-3)*5)),BA12)</f>
        <v>9</v>
      </c>
      <c r="BB13">
        <f ca="1">IF(($A$2)&gt;=(ROW()-3),BB$17*(SUM(BB$19:BB28)-((ROW()-3)*5)),BB12)</f>
        <v>1</v>
      </c>
      <c r="BC13">
        <f ca="1">IF(($A$2)&gt;=(ROW()-3),BC$17*(SUM(BC$19:BC28)-((ROW()-3)*5)),BC12)</f>
        <v>-3</v>
      </c>
      <c r="BD13">
        <f ca="1">IF(($A$2)&gt;=(ROW()-3),BD$17*(SUM(BD$19:BD28)-((ROW()-3)*5)),BD12)</f>
        <v>7</v>
      </c>
      <c r="BE13">
        <f ca="1">IF(($A$2)&gt;=(ROW()-3),BE$17*(SUM(BE$19:BE28)-((ROW()-3)*5)),BE12)</f>
        <v>-8</v>
      </c>
      <c r="BF13">
        <f ca="1">IF(($A$2)&gt;=(ROW()-3),BF$17*(SUM(BF$19:BF28)-((ROW()-3)*5)),BF12)</f>
        <v>-5</v>
      </c>
      <c r="BG13">
        <f ca="1">IF(($A$2)&gt;=(ROW()-3),BG$17*(SUM(BG$19:BG28)-((ROW()-3)*5)),BG12)</f>
        <v>-6</v>
      </c>
      <c r="BH13">
        <f ca="1">IF(($A$2)&gt;=(ROW()-3),BH$17*(SUM(BH$19:BH28)-((ROW()-3)*5)),BH12)</f>
        <v>0</v>
      </c>
      <c r="BI13">
        <f ca="1">IF(($A$2)&gt;=(ROW()-3),BI$17*(SUM(BI$19:BI28)-((ROW()-3)*5)),BI12)</f>
        <v>-1</v>
      </c>
      <c r="BJ13">
        <f ca="1">IF(($A$2)&gt;=(ROW()-3),BJ$17*(SUM(BJ$19:BJ28)-((ROW()-3)*5)),BJ12)</f>
        <v>4</v>
      </c>
      <c r="BK13">
        <f ca="1">IF(($A$2)&gt;=(ROW()-3),BK$17*(SUM(BK$19:BK28)-((ROW()-3)*5)),BK12)</f>
        <v>-9</v>
      </c>
      <c r="BL13">
        <f ca="1">IF(($A$2)&gt;=(ROW()-3),BL$17*(SUM(BL$19:BL28)-((ROW()-3)*5)),BL12)</f>
        <v>-7</v>
      </c>
      <c r="BM13">
        <f ca="1">IF(($A$2)&gt;=(ROW()-3),BM$17*(SUM(BM$19:BM28)-((ROW()-3)*5)),BM12)</f>
        <v>-1</v>
      </c>
      <c r="BN13">
        <f ca="1">IF(($A$2)&gt;=(ROW()-3),BN$17*(SUM(BN$19:BN28)-((ROW()-3)*5)),BN12)</f>
        <v>-2</v>
      </c>
      <c r="BO13">
        <f ca="1">IF(($A$2)&gt;=(ROW()-3),BO$17*(SUM(BO$19:BO28)-((ROW()-3)*5)),BO12)</f>
        <v>0</v>
      </c>
      <c r="BP13">
        <f ca="1">IF(($A$2)&gt;=(ROW()-3),BP$17*(SUM(BP$19:BP28)-((ROW()-3)*5)),BP12)</f>
        <v>0</v>
      </c>
      <c r="BQ13">
        <f ca="1">IF(($A$2)&gt;=(ROW()-3),BQ$17*(SUM(BQ$19:BQ28)-((ROW()-3)*5)),BQ12)</f>
        <v>0</v>
      </c>
      <c r="BR13">
        <f ca="1">IF(($A$2)&gt;=(ROW()-3),BR$17*(SUM(BR$19:BR28)-((ROW()-3)*5)),BR12)</f>
        <v>0</v>
      </c>
      <c r="BS13">
        <f ca="1">IF(($A$2)&gt;=(ROW()-3),BS$17*(SUM(BS$19:BS28)-((ROW()-3)*5)),BS12)</f>
        <v>0</v>
      </c>
      <c r="BT13">
        <f ca="1">IF(($A$2)&gt;=(ROW()-3),BT$17*(SUM(BT$19:BT28)-((ROW()-3)*5)),BT12)</f>
        <v>0</v>
      </c>
      <c r="BU13">
        <f ca="1">IF(($A$2)&gt;=(ROW()-3),BU$17*(SUM(BU$19:BU28)-((ROW()-3)*5)),BU12)</f>
        <v>0</v>
      </c>
      <c r="BV13">
        <f ca="1">IF(($A$2)&gt;=(ROW()-3),BV$17*(SUM(BV$19:BV28)-((ROW()-3)*5)),BV12)</f>
        <v>0</v>
      </c>
    </row>
    <row r="14" spans="1:78" x14ac:dyDescent="0.2">
      <c r="A14" s="6" t="s">
        <v>26</v>
      </c>
      <c r="B14" s="6"/>
      <c r="C14" s="6"/>
      <c r="D14" s="6"/>
      <c r="E14">
        <f>IF(($A$2)&gt;=(ROW()-3),E$17*(SUM(E$19:E29)-((ROW()-3)*5)),E13)</f>
        <v>4.8461538461538538</v>
      </c>
      <c r="F14">
        <f>IF(($A$2)&gt;=(ROW()-3),F$17*(SUM(F$19:F29)-((ROW()-3)*5)),F13)</f>
        <v>13.153846153846146</v>
      </c>
      <c r="G14">
        <f ca="1">IF(($A$2)&gt;=(ROW()-3),G$17*(SUM(G$19:G29)-((ROW()-3)*5)),G13)</f>
        <v>3</v>
      </c>
      <c r="H14">
        <f ca="1">IF(($A$2)&gt;=(ROW()-3),H$17*(SUM(H$19:H29)-((ROW()-3)*5)),H13)</f>
        <v>3</v>
      </c>
      <c r="I14">
        <f ca="1">IF(($A$2)&gt;=(ROW()-3),I$17*(SUM(I$19:I29)-((ROW()-3)*5)),I13)</f>
        <v>3.5</v>
      </c>
      <c r="J14">
        <f ca="1">IF(($A$2)&gt;=(ROW()-3),J$17*(SUM(J$19:J29)-((ROW()-3)*5)),J13)</f>
        <v>-45</v>
      </c>
      <c r="K14">
        <f ca="1">IF(($A$2)&gt;=(ROW()-3),K$17*(SUM(K$19:K29)-((ROW()-3)*5)),K13)</f>
        <v>-1</v>
      </c>
      <c r="L14">
        <f ca="1">IF(($A$2)&gt;=(ROW()-3),L$17*(SUM(L$19:L29)-((ROW()-3)*5)),L13)</f>
        <v>-11</v>
      </c>
      <c r="M14">
        <f ca="1">IF(($A$2)&gt;=(ROW()-3),M$17*(SUM(M$19:M29)-((ROW()-3)*5)),M13)</f>
        <v>0</v>
      </c>
      <c r="N14">
        <f ca="1">IF(($A$2)&gt;=(ROW()-3),N$17*(SUM(N$19:N29)-((ROW()-3)*5)),N13)</f>
        <v>3</v>
      </c>
      <c r="O14">
        <f ca="1">IF(($A$2)&gt;=(ROW()-3),O$17*(SUM(O$19:O29)-((ROW()-3)*5)),O13)</f>
        <v>-21</v>
      </c>
      <c r="P14">
        <f ca="1">IF(($A$2)&gt;=(ROW()-3),P$17*(SUM(P$19:P29)-((ROW()-3)*5)),P13)</f>
        <v>0</v>
      </c>
      <c r="Q14">
        <f ca="1">IF(($A$2)&gt;=(ROW()-3),Q$17*(SUM(Q$19:Q29)-((ROW()-3)*5)),Q13)</f>
        <v>-5</v>
      </c>
      <c r="R14">
        <f ca="1">IF(($A$2)&gt;=(ROW()-3),R$17*(SUM(R$19:R29)-((ROW()-3)*5)),R13)</f>
        <v>-1</v>
      </c>
      <c r="S14">
        <f ca="1">IF(($A$2)&gt;=(ROW()-3),S$17*(SUM(S$19:S29)-((ROW()-3)*5)),S13)</f>
        <v>-5</v>
      </c>
      <c r="T14">
        <f ca="1">IF(($A$2)&gt;=(ROW()-3),T$17*(SUM(T$19:T29)-((ROW()-3)*5)),T13)</f>
        <v>-10</v>
      </c>
      <c r="U14">
        <f ca="1">IF(($A$2)&gt;=(ROW()-3),U$17*(SUM(U$19:U29)-((ROW()-3)*5)),U13)</f>
        <v>-6</v>
      </c>
      <c r="V14">
        <f ca="1">IF(($A$2)&gt;=(ROW()-3),V$17*(SUM(V$19:V29)-((ROW()-3)*5)),V13)</f>
        <v>0</v>
      </c>
      <c r="W14">
        <f ca="1">IF(($A$2)&gt;=(ROW()-3),W$17*(SUM(W$19:W29)-((ROW()-3)*5)),W13)</f>
        <v>1</v>
      </c>
      <c r="X14">
        <f ca="1">IF(($A$2)&gt;=(ROW()-3),X$17*(SUM(X$19:X29)-((ROW()-3)*5)),X13)</f>
        <v>-3</v>
      </c>
      <c r="Y14">
        <f ca="1">IF(($A$2)&gt;=(ROW()-3),Y$17*(SUM(Y$19:Y29)-((ROW()-3)*5)),Y13)</f>
        <v>-2</v>
      </c>
      <c r="Z14">
        <f ca="1">IF(($A$2)&gt;=(ROW()-3),Z$17*(SUM(Z$19:Z29)-((ROW()-3)*5)),Z13)</f>
        <v>4</v>
      </c>
      <c r="AA14">
        <f ca="1">IF(($A$2)&gt;=(ROW()-3),AA$17*(SUM(AA$19:AA29)-((ROW()-3)*5)),AA13)</f>
        <v>-4</v>
      </c>
      <c r="AB14">
        <f ca="1">IF(($A$2)&gt;=(ROW()-3),AB$17*(SUM(AB$19:AB29)-((ROW()-3)*5)),AB13)</f>
        <v>2</v>
      </c>
      <c r="AC14">
        <f ca="1">IF(($A$2)&gt;=(ROW()-3),AC$17*(SUM(AC$19:AC29)-((ROW()-3)*5)),AC13)</f>
        <v>-2</v>
      </c>
      <c r="AD14">
        <f ca="1">IF(($A$2)&gt;=(ROW()-3),AD$17*(SUM(AD$19:AD29)-((ROW()-3)*5)),AD13)</f>
        <v>7</v>
      </c>
      <c r="AE14">
        <f ca="1">IF(($A$2)&gt;=(ROW()-3),AE$17*(SUM(AE$19:AE29)-((ROW()-3)*5)),AE13)</f>
        <v>-8</v>
      </c>
      <c r="AF14">
        <f ca="1">IF(($A$2)&gt;=(ROW()-3),AF$17*(SUM(AF$19:AF29)-((ROW()-3)*5)),AF13)</f>
        <v>-3</v>
      </c>
      <c r="AG14">
        <f ca="1">IF(($A$2)&gt;=(ROW()-3),AG$17*(SUM(AG$19:AG29)-((ROW()-3)*5)),AG13)</f>
        <v>-2</v>
      </c>
      <c r="AH14">
        <f ca="1">IF(($A$2)&gt;=(ROW()-3),AH$17*(SUM(AH$19:AH29)-((ROW()-3)*5)),AH13)</f>
        <v>6</v>
      </c>
      <c r="AI14">
        <f ca="1">IF(($A$2)&gt;=(ROW()-3),AI$17*(SUM(AI$19:AI29)-((ROW()-3)*5)),AI13)</f>
        <v>-1</v>
      </c>
      <c r="AJ14">
        <f ca="1">IF(($A$2)&gt;=(ROW()-3),AJ$17*(SUM(AJ$19:AJ29)-((ROW()-3)*5)),AJ13)</f>
        <v>-2</v>
      </c>
      <c r="AK14">
        <f ca="1">IF(($A$2)&gt;=(ROW()-3),AK$17*(SUM(AK$19:AK29)-((ROW()-3)*5)),AK13)</f>
        <v>-11</v>
      </c>
      <c r="AL14">
        <f ca="1">IF(($A$2)&gt;=(ROW()-3),AL$17*(SUM(AL$19:AL29)-((ROW()-3)*5)),AL13)</f>
        <v>-8</v>
      </c>
      <c r="AM14">
        <f ca="1">IF(($A$2)&gt;=(ROW()-3),AM$17*(SUM(AM$19:AM29)-((ROW()-3)*5)),AM13)</f>
        <v>-1</v>
      </c>
      <c r="AN14">
        <f ca="1">IF(($A$2)&gt;=(ROW()-3),AN$17*(SUM(AN$19:AN29)-((ROW()-3)*5)),AN13)</f>
        <v>-1</v>
      </c>
      <c r="AO14">
        <f ca="1">IF(($A$2)&gt;=(ROW()-3),AO$17*(SUM(AO$19:AO29)-((ROW()-3)*5)),AO13)</f>
        <v>-2</v>
      </c>
      <c r="AP14">
        <f ca="1">IF(($A$2)&gt;=(ROW()-3),AP$17*(SUM(AP$19:AP29)-((ROW()-3)*5)),AP13)</f>
        <v>-9</v>
      </c>
      <c r="AQ14">
        <f ca="1">IF(($A$2)&gt;=(ROW()-3),AQ$17*(SUM(AQ$19:AQ29)-((ROW()-3)*5)),AQ13)</f>
        <v>2</v>
      </c>
      <c r="AR14">
        <f ca="1">IF(($A$2)&gt;=(ROW()-3),AR$17*(SUM(AR$19:AR29)-((ROW()-3)*5)),AR13)</f>
        <v>0</v>
      </c>
      <c r="AS14">
        <f ca="1">IF(($A$2)&gt;=(ROW()-3),AS$17*(SUM(AS$19:AS29)-((ROW()-3)*5)),AS13)</f>
        <v>2</v>
      </c>
      <c r="AT14">
        <f ca="1">IF(($A$2)&gt;=(ROW()-3),AT$17*(SUM(AT$19:AT29)-((ROW()-3)*5)),AT13)</f>
        <v>-6</v>
      </c>
      <c r="AU14">
        <f ca="1">IF(($A$2)&gt;=(ROW()-3),AU$17*(SUM(AU$19:AU29)-((ROW()-3)*5)),AU13)</f>
        <v>-1</v>
      </c>
      <c r="AV14">
        <f ca="1">IF(($A$2)&gt;=(ROW()-3),AV$17*(SUM(AV$19:AV29)-((ROW()-3)*5)),AV13)</f>
        <v>-5</v>
      </c>
      <c r="AW14">
        <f ca="1">IF(($A$2)&gt;=(ROW()-3),AW$17*(SUM(AW$19:AW29)-((ROW()-3)*5)),AW13)</f>
        <v>-1</v>
      </c>
      <c r="AX14">
        <f ca="1">IF(($A$2)&gt;=(ROW()-3),AX$17*(SUM(AX$19:AX29)-((ROW()-3)*5)),AX13)</f>
        <v>1</v>
      </c>
      <c r="AY14">
        <f ca="1">IF(($A$2)&gt;=(ROW()-3),AY$17*(SUM(AY$19:AY29)-((ROW()-3)*5)),AY13)</f>
        <v>3</v>
      </c>
      <c r="AZ14">
        <f ca="1">IF(($A$2)&gt;=(ROW()-3),AZ$17*(SUM(AZ$19:AZ29)-((ROW()-3)*5)),AZ13)</f>
        <v>-5</v>
      </c>
      <c r="BA14">
        <f ca="1">IF(($A$2)&gt;=(ROW()-3),BA$17*(SUM(BA$19:BA29)-((ROW()-3)*5)),BA13)</f>
        <v>9</v>
      </c>
      <c r="BB14">
        <f ca="1">IF(($A$2)&gt;=(ROW()-3),BB$17*(SUM(BB$19:BB29)-((ROW()-3)*5)),BB13)</f>
        <v>1</v>
      </c>
      <c r="BC14">
        <f ca="1">IF(($A$2)&gt;=(ROW()-3),BC$17*(SUM(BC$19:BC29)-((ROW()-3)*5)),BC13)</f>
        <v>-3</v>
      </c>
      <c r="BD14">
        <f ca="1">IF(($A$2)&gt;=(ROW()-3),BD$17*(SUM(BD$19:BD29)-((ROW()-3)*5)),BD13)</f>
        <v>7</v>
      </c>
      <c r="BE14">
        <f ca="1">IF(($A$2)&gt;=(ROW()-3),BE$17*(SUM(BE$19:BE29)-((ROW()-3)*5)),BE13)</f>
        <v>-8</v>
      </c>
      <c r="BF14">
        <f ca="1">IF(($A$2)&gt;=(ROW()-3),BF$17*(SUM(BF$19:BF29)-((ROW()-3)*5)),BF13)</f>
        <v>-5</v>
      </c>
      <c r="BG14">
        <f ca="1">IF(($A$2)&gt;=(ROW()-3),BG$17*(SUM(BG$19:BG29)-((ROW()-3)*5)),BG13)</f>
        <v>-6</v>
      </c>
      <c r="BH14">
        <f ca="1">IF(($A$2)&gt;=(ROW()-3),BH$17*(SUM(BH$19:BH29)-((ROW()-3)*5)),BH13)</f>
        <v>0</v>
      </c>
      <c r="BI14">
        <f ca="1">IF(($A$2)&gt;=(ROW()-3),BI$17*(SUM(BI$19:BI29)-((ROW()-3)*5)),BI13)</f>
        <v>-1</v>
      </c>
      <c r="BJ14">
        <f ca="1">IF(($A$2)&gt;=(ROW()-3),BJ$17*(SUM(BJ$19:BJ29)-((ROW()-3)*5)),BJ13)</f>
        <v>4</v>
      </c>
      <c r="BK14">
        <f ca="1">IF(($A$2)&gt;=(ROW()-3),BK$17*(SUM(BK$19:BK29)-((ROW()-3)*5)),BK13)</f>
        <v>-9</v>
      </c>
      <c r="BL14">
        <f ca="1">IF(($A$2)&gt;=(ROW()-3),BL$17*(SUM(BL$19:BL29)-((ROW()-3)*5)),BL13)</f>
        <v>-7</v>
      </c>
      <c r="BM14">
        <f ca="1">IF(($A$2)&gt;=(ROW()-3),BM$17*(SUM(BM$19:BM29)-((ROW()-3)*5)),BM13)</f>
        <v>-1</v>
      </c>
      <c r="BN14">
        <f ca="1">IF(($A$2)&gt;=(ROW()-3),BN$17*(SUM(BN$19:BN29)-((ROW()-3)*5)),BN13)</f>
        <v>-2</v>
      </c>
      <c r="BO14">
        <f ca="1">IF(($A$2)&gt;=(ROW()-3),BO$17*(SUM(BO$19:BO29)-((ROW()-3)*5)),BO13)</f>
        <v>0</v>
      </c>
      <c r="BP14">
        <f ca="1">IF(($A$2)&gt;=(ROW()-3),BP$17*(SUM(BP$19:BP29)-((ROW()-3)*5)),BP13)</f>
        <v>0</v>
      </c>
      <c r="BQ14">
        <f ca="1">IF(($A$2)&gt;=(ROW()-3),BQ$17*(SUM(BQ$19:BQ29)-((ROW()-3)*5)),BQ13)</f>
        <v>0</v>
      </c>
      <c r="BR14">
        <f ca="1">IF(($A$2)&gt;=(ROW()-3),BR$17*(SUM(BR$19:BR29)-((ROW()-3)*5)),BR13)</f>
        <v>0</v>
      </c>
      <c r="BS14">
        <f ca="1">IF(($A$2)&gt;=(ROW()-3),BS$17*(SUM(BS$19:BS29)-((ROW()-3)*5)),BS13)</f>
        <v>0</v>
      </c>
      <c r="BT14">
        <f ca="1">IF(($A$2)&gt;=(ROW()-3),BT$17*(SUM(BT$19:BT29)-((ROW()-3)*5)),BT13)</f>
        <v>0</v>
      </c>
      <c r="BU14">
        <f ca="1">IF(($A$2)&gt;=(ROW()-3),BU$17*(SUM(BU$19:BU29)-((ROW()-3)*5)),BU13)</f>
        <v>0</v>
      </c>
      <c r="BV14">
        <f ca="1">IF(($A$2)&gt;=(ROW()-3),BV$17*(SUM(BV$19:BV29)-((ROW()-3)*5)),BV13)</f>
        <v>0</v>
      </c>
    </row>
    <row r="15" spans="1:78" x14ac:dyDescent="0.2">
      <c r="A15" s="6" t="s">
        <v>27</v>
      </c>
      <c r="B15" s="6"/>
      <c r="C15" s="6"/>
      <c r="D15" s="6"/>
      <c r="E15">
        <f>IF(($A$2)&gt;=(ROW()-3),E$17*(SUM(E$19:E30)-((ROW()-3)*5)),E14)</f>
        <v>4.8461538461538538</v>
      </c>
      <c r="F15">
        <f>IF(($A$2)&gt;=(ROW()-3),F$17*(SUM(F$19:F30)-((ROW()-3)*5)),F14)</f>
        <v>13.153846153846146</v>
      </c>
      <c r="G15">
        <f ca="1">IF(($A$2)&gt;=(ROW()-3),G$17*(SUM(G$19:G30)-((ROW()-3)*5)),G14)</f>
        <v>3</v>
      </c>
      <c r="H15">
        <f ca="1">IF(($A$2)&gt;=(ROW()-3),H$17*(SUM(H$19:H30)-((ROW()-3)*5)),H14)</f>
        <v>3</v>
      </c>
      <c r="I15">
        <f ca="1">IF(($A$2)&gt;=(ROW()-3),I$17*(SUM(I$19:I30)-((ROW()-3)*5)),I14)</f>
        <v>3.5</v>
      </c>
      <c r="J15">
        <f ca="1">IF(($A$2)&gt;=(ROW()-3),J$17*(SUM(J$19:J30)-((ROW()-3)*5)),J14)</f>
        <v>-45</v>
      </c>
      <c r="K15">
        <f ca="1">IF(($A$2)&gt;=(ROW()-3),K$17*(SUM(K$19:K30)-((ROW()-3)*5)),K14)</f>
        <v>-1</v>
      </c>
      <c r="L15">
        <f ca="1">IF(($A$2)&gt;=(ROW()-3),L$17*(SUM(L$19:L30)-((ROW()-3)*5)),L14)</f>
        <v>-11</v>
      </c>
      <c r="M15">
        <f ca="1">IF(($A$2)&gt;=(ROW()-3),M$17*(SUM(M$19:M30)-((ROW()-3)*5)),M14)</f>
        <v>0</v>
      </c>
      <c r="N15">
        <f ca="1">IF(($A$2)&gt;=(ROW()-3),N$17*(SUM(N$19:N30)-((ROW()-3)*5)),N14)</f>
        <v>3</v>
      </c>
      <c r="O15">
        <f ca="1">IF(($A$2)&gt;=(ROW()-3),O$17*(SUM(O$19:O30)-((ROW()-3)*5)),O14)</f>
        <v>-21</v>
      </c>
      <c r="P15">
        <f ca="1">IF(($A$2)&gt;=(ROW()-3),P$17*(SUM(P$19:P30)-((ROW()-3)*5)),P14)</f>
        <v>0</v>
      </c>
      <c r="Q15">
        <f ca="1">IF(($A$2)&gt;=(ROW()-3),Q$17*(SUM(Q$19:Q30)-((ROW()-3)*5)),Q14)</f>
        <v>-5</v>
      </c>
      <c r="R15">
        <f ca="1">IF(($A$2)&gt;=(ROW()-3),R$17*(SUM(R$19:R30)-((ROW()-3)*5)),R14)</f>
        <v>-1</v>
      </c>
      <c r="S15">
        <f ca="1">IF(($A$2)&gt;=(ROW()-3),S$17*(SUM(S$19:S30)-((ROW()-3)*5)),S14)</f>
        <v>-5</v>
      </c>
      <c r="T15">
        <f ca="1">IF(($A$2)&gt;=(ROW()-3),T$17*(SUM(T$19:T30)-((ROW()-3)*5)),T14)</f>
        <v>-10</v>
      </c>
      <c r="U15">
        <f ca="1">IF(($A$2)&gt;=(ROW()-3),U$17*(SUM(U$19:U30)-((ROW()-3)*5)),U14)</f>
        <v>-6</v>
      </c>
      <c r="V15">
        <f ca="1">IF(($A$2)&gt;=(ROW()-3),V$17*(SUM(V$19:V30)-((ROW()-3)*5)),V14)</f>
        <v>0</v>
      </c>
      <c r="W15">
        <f ca="1">IF(($A$2)&gt;=(ROW()-3),W$17*(SUM(W$19:W30)-((ROW()-3)*5)),W14)</f>
        <v>1</v>
      </c>
      <c r="X15">
        <f ca="1">IF(($A$2)&gt;=(ROW()-3),X$17*(SUM(X$19:X30)-((ROW()-3)*5)),X14)</f>
        <v>-3</v>
      </c>
      <c r="Y15">
        <f ca="1">IF(($A$2)&gt;=(ROW()-3),Y$17*(SUM(Y$19:Y30)-((ROW()-3)*5)),Y14)</f>
        <v>-2</v>
      </c>
      <c r="Z15">
        <f ca="1">IF(($A$2)&gt;=(ROW()-3),Z$17*(SUM(Z$19:Z30)-((ROW()-3)*5)),Z14)</f>
        <v>4</v>
      </c>
      <c r="AA15">
        <f ca="1">IF(($A$2)&gt;=(ROW()-3),AA$17*(SUM(AA$19:AA30)-((ROW()-3)*5)),AA14)</f>
        <v>-4</v>
      </c>
      <c r="AB15">
        <f ca="1">IF(($A$2)&gt;=(ROW()-3),AB$17*(SUM(AB$19:AB30)-((ROW()-3)*5)),AB14)</f>
        <v>2</v>
      </c>
      <c r="AC15">
        <f ca="1">IF(($A$2)&gt;=(ROW()-3),AC$17*(SUM(AC$19:AC30)-((ROW()-3)*5)),AC14)</f>
        <v>-2</v>
      </c>
      <c r="AD15">
        <f ca="1">IF(($A$2)&gt;=(ROW()-3),AD$17*(SUM(AD$19:AD30)-((ROW()-3)*5)),AD14)</f>
        <v>7</v>
      </c>
      <c r="AE15">
        <f ca="1">IF(($A$2)&gt;=(ROW()-3),AE$17*(SUM(AE$19:AE30)-((ROW()-3)*5)),AE14)</f>
        <v>-8</v>
      </c>
      <c r="AF15">
        <f ca="1">IF(($A$2)&gt;=(ROW()-3),AF$17*(SUM(AF$19:AF30)-((ROW()-3)*5)),AF14)</f>
        <v>-3</v>
      </c>
      <c r="AG15">
        <f ca="1">IF(($A$2)&gt;=(ROW()-3),AG$17*(SUM(AG$19:AG30)-((ROW()-3)*5)),AG14)</f>
        <v>-2</v>
      </c>
      <c r="AH15">
        <f ca="1">IF(($A$2)&gt;=(ROW()-3),AH$17*(SUM(AH$19:AH30)-((ROW()-3)*5)),AH14)</f>
        <v>6</v>
      </c>
      <c r="AI15">
        <f ca="1">IF(($A$2)&gt;=(ROW()-3),AI$17*(SUM(AI$19:AI30)-((ROW()-3)*5)),AI14)</f>
        <v>-1</v>
      </c>
      <c r="AJ15">
        <f ca="1">IF(($A$2)&gt;=(ROW()-3),AJ$17*(SUM(AJ$19:AJ30)-((ROW()-3)*5)),AJ14)</f>
        <v>-2</v>
      </c>
      <c r="AK15">
        <f ca="1">IF(($A$2)&gt;=(ROW()-3),AK$17*(SUM(AK$19:AK30)-((ROW()-3)*5)),AK14)</f>
        <v>-11</v>
      </c>
      <c r="AL15">
        <f ca="1">IF(($A$2)&gt;=(ROW()-3),AL$17*(SUM(AL$19:AL30)-((ROW()-3)*5)),AL14)</f>
        <v>-8</v>
      </c>
      <c r="AM15">
        <f ca="1">IF(($A$2)&gt;=(ROW()-3),AM$17*(SUM(AM$19:AM30)-((ROW()-3)*5)),AM14)</f>
        <v>-1</v>
      </c>
      <c r="AN15">
        <f ca="1">IF(($A$2)&gt;=(ROW()-3),AN$17*(SUM(AN$19:AN30)-((ROW()-3)*5)),AN14)</f>
        <v>-1</v>
      </c>
      <c r="AO15">
        <f ca="1">IF(($A$2)&gt;=(ROW()-3),AO$17*(SUM(AO$19:AO30)-((ROW()-3)*5)),AO14)</f>
        <v>-2</v>
      </c>
      <c r="AP15">
        <f ca="1">IF(($A$2)&gt;=(ROW()-3),AP$17*(SUM(AP$19:AP30)-((ROW()-3)*5)),AP14)</f>
        <v>-9</v>
      </c>
      <c r="AQ15">
        <f ca="1">IF(($A$2)&gt;=(ROW()-3),AQ$17*(SUM(AQ$19:AQ30)-((ROW()-3)*5)),AQ14)</f>
        <v>2</v>
      </c>
      <c r="AR15">
        <f ca="1">IF(($A$2)&gt;=(ROW()-3),AR$17*(SUM(AR$19:AR30)-((ROW()-3)*5)),AR14)</f>
        <v>0</v>
      </c>
      <c r="AS15">
        <f ca="1">IF(($A$2)&gt;=(ROW()-3),AS$17*(SUM(AS$19:AS30)-((ROW()-3)*5)),AS14)</f>
        <v>2</v>
      </c>
      <c r="AT15">
        <f ca="1">IF(($A$2)&gt;=(ROW()-3),AT$17*(SUM(AT$19:AT30)-((ROW()-3)*5)),AT14)</f>
        <v>-6</v>
      </c>
      <c r="AU15">
        <f ca="1">IF(($A$2)&gt;=(ROW()-3),AU$17*(SUM(AU$19:AU30)-((ROW()-3)*5)),AU14)</f>
        <v>-1</v>
      </c>
      <c r="AV15">
        <f ca="1">IF(($A$2)&gt;=(ROW()-3),AV$17*(SUM(AV$19:AV30)-((ROW()-3)*5)),AV14)</f>
        <v>-5</v>
      </c>
      <c r="AW15">
        <f ca="1">IF(($A$2)&gt;=(ROW()-3),AW$17*(SUM(AW$19:AW30)-((ROW()-3)*5)),AW14)</f>
        <v>-1</v>
      </c>
      <c r="AX15">
        <f ca="1">IF(($A$2)&gt;=(ROW()-3),AX$17*(SUM(AX$19:AX30)-((ROW()-3)*5)),AX14)</f>
        <v>1</v>
      </c>
      <c r="AY15">
        <f ca="1">IF(($A$2)&gt;=(ROW()-3),AY$17*(SUM(AY$19:AY30)-((ROW()-3)*5)),AY14)</f>
        <v>3</v>
      </c>
      <c r="AZ15">
        <f ca="1">IF(($A$2)&gt;=(ROW()-3),AZ$17*(SUM(AZ$19:AZ30)-((ROW()-3)*5)),AZ14)</f>
        <v>-5</v>
      </c>
      <c r="BA15">
        <f ca="1">IF(($A$2)&gt;=(ROW()-3),BA$17*(SUM(BA$19:BA30)-((ROW()-3)*5)),BA14)</f>
        <v>9</v>
      </c>
      <c r="BB15">
        <f ca="1">IF(($A$2)&gt;=(ROW()-3),BB$17*(SUM(BB$19:BB30)-((ROW()-3)*5)),BB14)</f>
        <v>1</v>
      </c>
      <c r="BC15">
        <f ca="1">IF(($A$2)&gt;=(ROW()-3),BC$17*(SUM(BC$19:BC30)-((ROW()-3)*5)),BC14)</f>
        <v>-3</v>
      </c>
      <c r="BD15">
        <f ca="1">IF(($A$2)&gt;=(ROW()-3),BD$17*(SUM(BD$19:BD30)-((ROW()-3)*5)),BD14)</f>
        <v>7</v>
      </c>
      <c r="BE15">
        <f ca="1">IF(($A$2)&gt;=(ROW()-3),BE$17*(SUM(BE$19:BE30)-((ROW()-3)*5)),BE14)</f>
        <v>-8</v>
      </c>
      <c r="BF15">
        <f ca="1">IF(($A$2)&gt;=(ROW()-3),BF$17*(SUM(BF$19:BF30)-((ROW()-3)*5)),BF14)</f>
        <v>-5</v>
      </c>
      <c r="BG15">
        <f ca="1">IF(($A$2)&gt;=(ROW()-3),BG$17*(SUM(BG$19:BG30)-((ROW()-3)*5)),BG14)</f>
        <v>-6</v>
      </c>
      <c r="BH15">
        <f ca="1">IF(($A$2)&gt;=(ROW()-3),BH$17*(SUM(BH$19:BH30)-((ROW()-3)*5)),BH14)</f>
        <v>0</v>
      </c>
      <c r="BI15">
        <f ca="1">IF(($A$2)&gt;=(ROW()-3),BI$17*(SUM(BI$19:BI30)-((ROW()-3)*5)),BI14)</f>
        <v>-1</v>
      </c>
      <c r="BJ15">
        <f ca="1">IF(($A$2)&gt;=(ROW()-3),BJ$17*(SUM(BJ$19:BJ30)-((ROW()-3)*5)),BJ14)</f>
        <v>4</v>
      </c>
      <c r="BK15">
        <f ca="1">IF(($A$2)&gt;=(ROW()-3),BK$17*(SUM(BK$19:BK30)-((ROW()-3)*5)),BK14)</f>
        <v>-9</v>
      </c>
      <c r="BL15">
        <f ca="1">IF(($A$2)&gt;=(ROW()-3),BL$17*(SUM(BL$19:BL30)-((ROW()-3)*5)),BL14)</f>
        <v>-7</v>
      </c>
      <c r="BM15">
        <f ca="1">IF(($A$2)&gt;=(ROW()-3),BM$17*(SUM(BM$19:BM30)-((ROW()-3)*5)),BM14)</f>
        <v>-1</v>
      </c>
      <c r="BN15">
        <f ca="1">IF(($A$2)&gt;=(ROW()-3),BN$17*(SUM(BN$19:BN30)-((ROW()-3)*5)),BN14)</f>
        <v>-2</v>
      </c>
      <c r="BO15">
        <f ca="1">IF(($A$2)&gt;=(ROW()-3),BO$17*(SUM(BO$19:BO30)-((ROW()-3)*5)),BO14)</f>
        <v>0</v>
      </c>
      <c r="BP15">
        <f ca="1">IF(($A$2)&gt;=(ROW()-3),BP$17*(SUM(BP$19:BP30)-((ROW()-3)*5)),BP14)</f>
        <v>0</v>
      </c>
      <c r="BQ15">
        <f ca="1">IF(($A$2)&gt;=(ROW()-3),BQ$17*(SUM(BQ$19:BQ30)-((ROW()-3)*5)),BQ14)</f>
        <v>0</v>
      </c>
      <c r="BR15">
        <f ca="1">IF(($A$2)&gt;=(ROW()-3),BR$17*(SUM(BR$19:BR30)-((ROW()-3)*5)),BR14)</f>
        <v>0</v>
      </c>
      <c r="BS15">
        <f ca="1">IF(($A$2)&gt;=(ROW()-3),BS$17*(SUM(BS$19:BS30)-((ROW()-3)*5)),BS14)</f>
        <v>0</v>
      </c>
      <c r="BT15">
        <f ca="1">IF(($A$2)&gt;=(ROW()-3),BT$17*(SUM(BT$19:BT30)-((ROW()-3)*5)),BT14)</f>
        <v>0</v>
      </c>
      <c r="BU15">
        <f ca="1">IF(($A$2)&gt;=(ROW()-3),BU$17*(SUM(BU$19:BU30)-((ROW()-3)*5)),BU14)</f>
        <v>0</v>
      </c>
      <c r="BV15">
        <f ca="1">IF(($A$2)&gt;=(ROW()-3),BV$17*(SUM(BV$19:BV30)-((ROW()-3)*5)),BV14)</f>
        <v>0</v>
      </c>
    </row>
    <row r="16" spans="1:78" x14ac:dyDescent="0.2">
      <c r="A16" s="6" t="s">
        <v>28</v>
      </c>
      <c r="B16" s="6"/>
      <c r="C16" s="6"/>
      <c r="D16" s="6"/>
      <c r="E16">
        <f>IF(($A$2)&gt;=(ROW()-3),E$17*(SUM(E$19:E31)-((ROW()-3)*5)),E15)</f>
        <v>4.8461538461538538</v>
      </c>
      <c r="F16">
        <f>IF(($A$2)&gt;=(ROW()-3),F$17*(SUM(F$19:F31)-((ROW()-3)*5)),F15)</f>
        <v>13.153846153846146</v>
      </c>
      <c r="G16">
        <f ca="1">IF(($A$2)&gt;=(ROW()-3),G$17*(SUM(G$19:G31)-((ROW()-3)*5)),G15)</f>
        <v>3</v>
      </c>
      <c r="H16">
        <f ca="1">IF(($A$2)&gt;=(ROW()-3),H$17*(SUM(H$19:H31)-((ROW()-3)*5)),H15)</f>
        <v>3</v>
      </c>
      <c r="I16">
        <f ca="1">IF(($A$2)&gt;=(ROW()-3),I$17*(SUM(I$19:I31)-((ROW()-3)*5)),I15)</f>
        <v>3.5</v>
      </c>
      <c r="J16">
        <f ca="1">IF(($A$2)&gt;=(ROW()-3),J$17*(SUM(J$19:J31)-((ROW()-3)*5)),J15)</f>
        <v>-45</v>
      </c>
      <c r="K16">
        <f ca="1">IF(($A$2)&gt;=(ROW()-3),K$17*(SUM(K$19:K31)-((ROW()-3)*5)),K15)</f>
        <v>-1</v>
      </c>
      <c r="L16">
        <f ca="1">IF(($A$2)&gt;=(ROW()-3),L$17*(SUM(L$19:L31)-((ROW()-3)*5)),L15)</f>
        <v>-11</v>
      </c>
      <c r="M16">
        <f ca="1">IF(($A$2)&gt;=(ROW()-3),M$17*(SUM(M$19:M31)-((ROW()-3)*5)),M15)</f>
        <v>0</v>
      </c>
      <c r="N16">
        <f ca="1">IF(($A$2)&gt;=(ROW()-3),N$17*(SUM(N$19:N31)-((ROW()-3)*5)),N15)</f>
        <v>3</v>
      </c>
      <c r="O16">
        <f ca="1">IF(($A$2)&gt;=(ROW()-3),O$17*(SUM(O$19:O31)-((ROW()-3)*5)),O15)</f>
        <v>-21</v>
      </c>
      <c r="P16">
        <f ca="1">IF(($A$2)&gt;=(ROW()-3),P$17*(SUM(P$19:P31)-((ROW()-3)*5)),P15)</f>
        <v>0</v>
      </c>
      <c r="Q16">
        <f ca="1">IF(($A$2)&gt;=(ROW()-3),Q$17*(SUM(Q$19:Q31)-((ROW()-3)*5)),Q15)</f>
        <v>-5</v>
      </c>
      <c r="R16">
        <f ca="1">IF(($A$2)&gt;=(ROW()-3),R$17*(SUM(R$19:R31)-((ROW()-3)*5)),R15)</f>
        <v>-1</v>
      </c>
      <c r="S16">
        <f ca="1">IF(($A$2)&gt;=(ROW()-3),S$17*(SUM(S$19:S31)-((ROW()-3)*5)),S15)</f>
        <v>-5</v>
      </c>
      <c r="T16">
        <f ca="1">IF(($A$2)&gt;=(ROW()-3),T$17*(SUM(T$19:T31)-((ROW()-3)*5)),T15)</f>
        <v>-10</v>
      </c>
      <c r="U16">
        <f ca="1">IF(($A$2)&gt;=(ROW()-3),U$17*(SUM(U$19:U31)-((ROW()-3)*5)),U15)</f>
        <v>-6</v>
      </c>
      <c r="V16">
        <f ca="1">IF(($A$2)&gt;=(ROW()-3),V$17*(SUM(V$19:V31)-((ROW()-3)*5)),V15)</f>
        <v>0</v>
      </c>
      <c r="W16">
        <f ca="1">IF(($A$2)&gt;=(ROW()-3),W$17*(SUM(W$19:W31)-((ROW()-3)*5)),W15)</f>
        <v>1</v>
      </c>
      <c r="X16">
        <f ca="1">IF(($A$2)&gt;=(ROW()-3),X$17*(SUM(X$19:X31)-((ROW()-3)*5)),X15)</f>
        <v>-3</v>
      </c>
      <c r="Y16">
        <f ca="1">IF(($A$2)&gt;=(ROW()-3),Y$17*(SUM(Y$19:Y31)-((ROW()-3)*5)),Y15)</f>
        <v>-2</v>
      </c>
      <c r="Z16">
        <f ca="1">IF(($A$2)&gt;=(ROW()-3),Z$17*(SUM(Z$19:Z31)-((ROW()-3)*5)),Z15)</f>
        <v>4</v>
      </c>
      <c r="AA16">
        <f ca="1">IF(($A$2)&gt;=(ROW()-3),AA$17*(SUM(AA$19:AA31)-((ROW()-3)*5)),AA15)</f>
        <v>-4</v>
      </c>
      <c r="AB16">
        <f ca="1">IF(($A$2)&gt;=(ROW()-3),AB$17*(SUM(AB$19:AB31)-((ROW()-3)*5)),AB15)</f>
        <v>2</v>
      </c>
      <c r="AC16">
        <f ca="1">IF(($A$2)&gt;=(ROW()-3),AC$17*(SUM(AC$19:AC31)-((ROW()-3)*5)),AC15)</f>
        <v>-2</v>
      </c>
      <c r="AD16">
        <f ca="1">IF(($A$2)&gt;=(ROW()-3),AD$17*(SUM(AD$19:AD31)-((ROW()-3)*5)),AD15)</f>
        <v>7</v>
      </c>
      <c r="AE16">
        <f ca="1">IF(($A$2)&gt;=(ROW()-3),AE$17*(SUM(AE$19:AE31)-((ROW()-3)*5)),AE15)</f>
        <v>-8</v>
      </c>
      <c r="AF16">
        <f ca="1">IF(($A$2)&gt;=(ROW()-3),AF$17*(SUM(AF$19:AF31)-((ROW()-3)*5)),AF15)</f>
        <v>-3</v>
      </c>
      <c r="AG16">
        <f ca="1">IF(($A$2)&gt;=(ROW()-3),AG$17*(SUM(AG$19:AG31)-((ROW()-3)*5)),AG15)</f>
        <v>-2</v>
      </c>
      <c r="AH16">
        <f ca="1">IF(($A$2)&gt;=(ROW()-3),AH$17*(SUM(AH$19:AH31)-((ROW()-3)*5)),AH15)</f>
        <v>6</v>
      </c>
      <c r="AI16">
        <f ca="1">IF(($A$2)&gt;=(ROW()-3),AI$17*(SUM(AI$19:AI31)-((ROW()-3)*5)),AI15)</f>
        <v>-1</v>
      </c>
      <c r="AJ16">
        <f ca="1">IF(($A$2)&gt;=(ROW()-3),AJ$17*(SUM(AJ$19:AJ31)-((ROW()-3)*5)),AJ15)</f>
        <v>-2</v>
      </c>
      <c r="AK16">
        <f ca="1">IF(($A$2)&gt;=(ROW()-3),AK$17*(SUM(AK$19:AK31)-((ROW()-3)*5)),AK15)</f>
        <v>-11</v>
      </c>
      <c r="AL16">
        <f ca="1">IF(($A$2)&gt;=(ROW()-3),AL$17*(SUM(AL$19:AL31)-((ROW()-3)*5)),AL15)</f>
        <v>-8</v>
      </c>
      <c r="AM16">
        <f ca="1">IF(($A$2)&gt;=(ROW()-3),AM$17*(SUM(AM$19:AM31)-((ROW()-3)*5)),AM15)</f>
        <v>-1</v>
      </c>
      <c r="AN16">
        <f ca="1">IF(($A$2)&gt;=(ROW()-3),AN$17*(SUM(AN$19:AN31)-((ROW()-3)*5)),AN15)</f>
        <v>-1</v>
      </c>
      <c r="AO16">
        <f ca="1">IF(($A$2)&gt;=(ROW()-3),AO$17*(SUM(AO$19:AO31)-((ROW()-3)*5)),AO15)</f>
        <v>-2</v>
      </c>
      <c r="AP16">
        <f ca="1">IF(($A$2)&gt;=(ROW()-3),AP$17*(SUM(AP$19:AP31)-((ROW()-3)*5)),AP15)</f>
        <v>-9</v>
      </c>
      <c r="AQ16">
        <f ca="1">IF(($A$2)&gt;=(ROW()-3),AQ$17*(SUM(AQ$19:AQ31)-((ROW()-3)*5)),AQ15)</f>
        <v>2</v>
      </c>
      <c r="AR16">
        <f ca="1">IF(($A$2)&gt;=(ROW()-3),AR$17*(SUM(AR$19:AR31)-((ROW()-3)*5)),AR15)</f>
        <v>0</v>
      </c>
      <c r="AS16">
        <f ca="1">IF(($A$2)&gt;=(ROW()-3),AS$17*(SUM(AS$19:AS31)-((ROW()-3)*5)),AS15)</f>
        <v>2</v>
      </c>
      <c r="AT16">
        <f ca="1">IF(($A$2)&gt;=(ROW()-3),AT$17*(SUM(AT$19:AT31)-((ROW()-3)*5)),AT15)</f>
        <v>-6</v>
      </c>
      <c r="AU16">
        <f ca="1">IF(($A$2)&gt;=(ROW()-3),AU$17*(SUM(AU$19:AU31)-((ROW()-3)*5)),AU15)</f>
        <v>-1</v>
      </c>
      <c r="AV16">
        <f ca="1">IF(($A$2)&gt;=(ROW()-3),AV$17*(SUM(AV$19:AV31)-((ROW()-3)*5)),AV15)</f>
        <v>-5</v>
      </c>
      <c r="AW16">
        <f ca="1">IF(($A$2)&gt;=(ROW()-3),AW$17*(SUM(AW$19:AW31)-((ROW()-3)*5)),AW15)</f>
        <v>-1</v>
      </c>
      <c r="AX16">
        <f ca="1">IF(($A$2)&gt;=(ROW()-3),AX$17*(SUM(AX$19:AX31)-((ROW()-3)*5)),AX15)</f>
        <v>1</v>
      </c>
      <c r="AY16">
        <f ca="1">IF(($A$2)&gt;=(ROW()-3),AY$17*(SUM(AY$19:AY31)-((ROW()-3)*5)),AY15)</f>
        <v>3</v>
      </c>
      <c r="AZ16">
        <f ca="1">IF(($A$2)&gt;=(ROW()-3),AZ$17*(SUM(AZ$19:AZ31)-((ROW()-3)*5)),AZ15)</f>
        <v>-5</v>
      </c>
      <c r="BA16">
        <f ca="1">IF(($A$2)&gt;=(ROW()-3),BA$17*(SUM(BA$19:BA31)-((ROW()-3)*5)),BA15)</f>
        <v>9</v>
      </c>
      <c r="BB16">
        <f ca="1">IF(($A$2)&gt;=(ROW()-3),BB$17*(SUM(BB$19:BB31)-((ROW()-3)*5)),BB15)</f>
        <v>1</v>
      </c>
      <c r="BC16">
        <f ca="1">IF(($A$2)&gt;=(ROW()-3),BC$17*(SUM(BC$19:BC31)-((ROW()-3)*5)),BC15)</f>
        <v>-3</v>
      </c>
      <c r="BD16">
        <f ca="1">IF(($A$2)&gt;=(ROW()-3),BD$17*(SUM(BD$19:BD31)-((ROW()-3)*5)),BD15)</f>
        <v>7</v>
      </c>
      <c r="BE16">
        <f ca="1">IF(($A$2)&gt;=(ROW()-3),BE$17*(SUM(BE$19:BE31)-((ROW()-3)*5)),BE15)</f>
        <v>-8</v>
      </c>
      <c r="BF16">
        <f ca="1">IF(($A$2)&gt;=(ROW()-3),BF$17*(SUM(BF$19:BF31)-((ROW()-3)*5)),BF15)</f>
        <v>-5</v>
      </c>
      <c r="BG16">
        <f ca="1">IF(($A$2)&gt;=(ROW()-3),BG$17*(SUM(BG$19:BG31)-((ROW()-3)*5)),BG15)</f>
        <v>-6</v>
      </c>
      <c r="BH16">
        <f ca="1">IF(($A$2)&gt;=(ROW()-3),BH$17*(SUM(BH$19:BH31)-((ROW()-3)*5)),BH15)</f>
        <v>0</v>
      </c>
      <c r="BI16">
        <f ca="1">IF(($A$2)&gt;=(ROW()-3),BI$17*(SUM(BI$19:BI31)-((ROW()-3)*5)),BI15)</f>
        <v>-1</v>
      </c>
      <c r="BJ16">
        <f ca="1">IF(($A$2)&gt;=(ROW()-3),BJ$17*(SUM(BJ$19:BJ31)-((ROW()-3)*5)),BJ15)</f>
        <v>4</v>
      </c>
      <c r="BK16">
        <f ca="1">IF(($A$2)&gt;=(ROW()-3),BK$17*(SUM(BK$19:BK31)-((ROW()-3)*5)),BK15)</f>
        <v>-9</v>
      </c>
      <c r="BL16">
        <f ca="1">IF(($A$2)&gt;=(ROW()-3),BL$17*(SUM(BL$19:BL31)-((ROW()-3)*5)),BL15)</f>
        <v>-7</v>
      </c>
      <c r="BM16">
        <f ca="1">IF(($A$2)&gt;=(ROW()-3),BM$17*(SUM(BM$19:BM31)-((ROW()-3)*5)),BM15)</f>
        <v>-1</v>
      </c>
      <c r="BN16">
        <f ca="1">IF(($A$2)&gt;=(ROW()-3),BN$17*(SUM(BN$19:BN31)-((ROW()-3)*5)),BN15)</f>
        <v>-2</v>
      </c>
      <c r="BO16">
        <f ca="1">IF(($A$2)&gt;=(ROW()-3),BO$17*(SUM(BO$19:BO31)-((ROW()-3)*5)),BO15)</f>
        <v>0</v>
      </c>
      <c r="BP16">
        <f ca="1">IF(($A$2)&gt;=(ROW()-3),BP$17*(SUM(BP$19:BP31)-((ROW()-3)*5)),BP15)</f>
        <v>0</v>
      </c>
      <c r="BQ16">
        <f ca="1">IF(($A$2)&gt;=(ROW()-3),BQ$17*(SUM(BQ$19:BQ31)-((ROW()-3)*5)),BQ15)</f>
        <v>0</v>
      </c>
      <c r="BR16">
        <f ca="1">IF(($A$2)&gt;=(ROW()-3),BR$17*(SUM(BR$19:BR31)-((ROW()-3)*5)),BR15)</f>
        <v>0</v>
      </c>
      <c r="BS16">
        <f ca="1">IF(($A$2)&gt;=(ROW()-3),BS$17*(SUM(BS$19:BS31)-((ROW()-3)*5)),BS15)</f>
        <v>0</v>
      </c>
      <c r="BT16">
        <f ca="1">IF(($A$2)&gt;=(ROW()-3),BT$17*(SUM(BT$19:BT31)-((ROW()-3)*5)),BT15)</f>
        <v>0</v>
      </c>
      <c r="BU16">
        <f ca="1">IF(($A$2)&gt;=(ROW()-3),BU$17*(SUM(BU$19:BU31)-((ROW()-3)*5)),BU15)</f>
        <v>0</v>
      </c>
      <c r="BV16">
        <f ca="1">IF(($A$2)&gt;=(ROW()-3),BV$17*(SUM(BV$19:BV31)-((ROW()-3)*5)),BV15)</f>
        <v>0</v>
      </c>
    </row>
    <row r="17" spans="1:74" x14ac:dyDescent="0.2">
      <c r="A17" s="6" t="s">
        <v>129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</row>
    <row r="19" spans="1:74" x14ac:dyDescent="0.2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8</v>
      </c>
      <c r="H19">
        <f t="shared" ca="1" si="0"/>
        <v>4</v>
      </c>
      <c r="I19">
        <f t="shared" ref="I19:AK28" ca="1" si="1">INDIRECT(ADDRESS(25,COLUMN(),1,,$A19))</f>
        <v>5</v>
      </c>
      <c r="J19">
        <f t="shared" ca="1" si="1"/>
        <v>0</v>
      </c>
      <c r="K19">
        <f t="shared" ca="1" si="1"/>
        <v>6</v>
      </c>
      <c r="L19">
        <f t="shared" ca="1" si="1"/>
        <v>0</v>
      </c>
      <c r="M19">
        <f t="shared" ca="1" si="1"/>
        <v>4</v>
      </c>
      <c r="N19">
        <f t="shared" ca="1" si="1"/>
        <v>7</v>
      </c>
      <c r="O19">
        <f t="shared" ca="1" si="1"/>
        <v>5</v>
      </c>
      <c r="P19">
        <f t="shared" ca="1" si="1"/>
        <v>5</v>
      </c>
      <c r="Q19">
        <f t="shared" ca="1" si="1"/>
        <v>4</v>
      </c>
      <c r="R19">
        <f t="shared" ca="1" si="1"/>
        <v>0</v>
      </c>
      <c r="S19">
        <f t="shared" ca="1" si="1"/>
        <v>3</v>
      </c>
      <c r="T19">
        <f t="shared" ca="1" si="1"/>
        <v>4</v>
      </c>
      <c r="U19">
        <f t="shared" ca="1" si="1"/>
        <v>4</v>
      </c>
      <c r="V19">
        <f t="shared" ca="1" si="1"/>
        <v>6</v>
      </c>
      <c r="W19">
        <f t="shared" ca="1" si="1"/>
        <v>5</v>
      </c>
      <c r="X19">
        <f t="shared" ca="1" si="1"/>
        <v>3</v>
      </c>
      <c r="Y19">
        <f t="shared" ca="1" si="1"/>
        <v>4</v>
      </c>
      <c r="Z19">
        <f t="shared" ca="1" si="1"/>
        <v>7</v>
      </c>
      <c r="AA19">
        <f t="shared" ca="1" si="1"/>
        <v>5</v>
      </c>
      <c r="AB19">
        <f t="shared" ca="1" si="1"/>
        <v>4</v>
      </c>
      <c r="AC19">
        <f t="shared" ca="1" si="1"/>
        <v>6</v>
      </c>
      <c r="AD19">
        <f t="shared" ca="1" si="1"/>
        <v>6</v>
      </c>
      <c r="AE19">
        <f t="shared" ca="1" si="1"/>
        <v>6</v>
      </c>
      <c r="AF19">
        <f t="shared" ca="1" si="1"/>
        <v>4</v>
      </c>
      <c r="AG19">
        <f t="shared" ca="1" si="1"/>
        <v>5</v>
      </c>
      <c r="AH19">
        <f t="shared" ca="1" si="1"/>
        <v>6</v>
      </c>
      <c r="AI19">
        <f t="shared" ca="1" si="1"/>
        <v>4</v>
      </c>
      <c r="AJ19">
        <f t="shared" ca="1" si="1"/>
        <v>5</v>
      </c>
      <c r="AK19">
        <f t="shared" ca="1" si="1"/>
        <v>7</v>
      </c>
      <c r="AL19">
        <f t="shared" ref="AL19:BC31" ca="1" si="2">INDIRECT(ADDRESS(25,COLUMN(),1,,$A19))</f>
        <v>5</v>
      </c>
      <c r="AM19">
        <f t="shared" ca="1" si="2"/>
        <v>2</v>
      </c>
      <c r="AN19">
        <f t="shared" ca="1" si="2"/>
        <v>4</v>
      </c>
      <c r="AO19">
        <f t="shared" ca="1" si="2"/>
        <v>5</v>
      </c>
      <c r="AP19">
        <f t="shared" ca="1" si="2"/>
        <v>6</v>
      </c>
      <c r="AQ19">
        <f t="shared" ca="1" si="2"/>
        <v>5</v>
      </c>
      <c r="AR19">
        <f t="shared" ca="1" si="2"/>
        <v>3</v>
      </c>
      <c r="AS19">
        <f t="shared" ca="1" si="2"/>
        <v>9</v>
      </c>
      <c r="AT19">
        <f t="shared" ca="1" si="2"/>
        <v>4</v>
      </c>
      <c r="AU19">
        <f t="shared" ca="1" si="2"/>
        <v>4</v>
      </c>
      <c r="AV19">
        <f t="shared" ca="1" si="2"/>
        <v>5</v>
      </c>
      <c r="AW19">
        <f t="shared" ca="1" si="2"/>
        <v>4</v>
      </c>
      <c r="AX19">
        <f t="shared" ca="1" si="2"/>
        <v>8</v>
      </c>
      <c r="AY19">
        <f t="shared" ca="1" si="2"/>
        <v>6</v>
      </c>
      <c r="AZ19">
        <f t="shared" ca="1" si="2"/>
        <v>8</v>
      </c>
      <c r="BA19">
        <f t="shared" ca="1" si="2"/>
        <v>8</v>
      </c>
      <c r="BB19">
        <f t="shared" ca="1" si="2"/>
        <v>5</v>
      </c>
      <c r="BC19">
        <f t="shared" ca="1" si="2"/>
        <v>4</v>
      </c>
      <c r="BD19">
        <f t="shared" ref="BD19:BS31" ca="1" si="3">INDIRECT(ADDRESS(25,COLUMN(),1,,$A19))</f>
        <v>6</v>
      </c>
      <c r="BE19">
        <f t="shared" ca="1" si="3"/>
        <v>3</v>
      </c>
      <c r="BF19">
        <f t="shared" ca="1" si="3"/>
        <v>4</v>
      </c>
      <c r="BG19">
        <f t="shared" ca="1" si="3"/>
        <v>6</v>
      </c>
      <c r="BH19">
        <f t="shared" ca="1" si="3"/>
        <v>6</v>
      </c>
      <c r="BI19">
        <f t="shared" ca="1" si="3"/>
        <v>9</v>
      </c>
      <c r="BJ19">
        <f t="shared" ca="1" si="3"/>
        <v>3</v>
      </c>
      <c r="BK19">
        <f t="shared" ca="1" si="3"/>
        <v>6</v>
      </c>
      <c r="BL19">
        <f t="shared" ca="1" si="3"/>
        <v>3</v>
      </c>
      <c r="BM19">
        <f t="shared" ca="1" si="3"/>
        <v>7</v>
      </c>
      <c r="BN19">
        <f t="shared" ca="1" si="3"/>
        <v>7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ref="BN19:BV31" ca="1" si="4">INDIRECT(ADDRESS(25,COLUMN(),1,,$A19))</f>
        <v>0</v>
      </c>
      <c r="BU19">
        <f t="shared" ca="1" si="4"/>
        <v>0</v>
      </c>
      <c r="BV19">
        <f t="shared" ca="1" si="4"/>
        <v>0</v>
      </c>
    </row>
    <row r="20" spans="1:74" x14ac:dyDescent="0.2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4</v>
      </c>
      <c r="H20">
        <f t="shared" ca="1" si="0"/>
        <v>6</v>
      </c>
      <c r="I20">
        <f t="shared" ref="I20:W20" ca="1" si="7">INDIRECT(ADDRESS(25,COLUMN(),1,,$A20))</f>
        <v>4</v>
      </c>
      <c r="J20">
        <f t="shared" ca="1" si="7"/>
        <v>0</v>
      </c>
      <c r="K20">
        <f t="shared" ca="1" si="7"/>
        <v>3</v>
      </c>
      <c r="L20">
        <f t="shared" ca="1" si="7"/>
        <v>4</v>
      </c>
      <c r="M20">
        <f t="shared" ca="1" si="7"/>
        <v>7</v>
      </c>
      <c r="N20">
        <f t="shared" ca="1" si="7"/>
        <v>4</v>
      </c>
      <c r="O20">
        <f t="shared" ca="1" si="7"/>
        <v>3</v>
      </c>
      <c r="P20">
        <f t="shared" ca="1" si="7"/>
        <v>4</v>
      </c>
      <c r="Q20">
        <f t="shared" ca="1" si="7"/>
        <v>4</v>
      </c>
      <c r="R20">
        <f t="shared" ca="1" si="7"/>
        <v>5</v>
      </c>
      <c r="S20">
        <f t="shared" ca="1" si="7"/>
        <v>4</v>
      </c>
      <c r="T20">
        <f t="shared" ca="1" si="7"/>
        <v>2</v>
      </c>
      <c r="U20">
        <f t="shared" ca="1" si="7"/>
        <v>3</v>
      </c>
      <c r="V20">
        <f t="shared" ca="1" si="7"/>
        <v>6</v>
      </c>
      <c r="W20">
        <f t="shared" ca="1" si="7"/>
        <v>5</v>
      </c>
      <c r="X20">
        <f t="shared" ca="1" si="1"/>
        <v>5</v>
      </c>
      <c r="Y20">
        <f t="shared" ca="1" si="1"/>
        <v>4</v>
      </c>
      <c r="Z20">
        <f t="shared" ca="1" si="1"/>
        <v>5</v>
      </c>
      <c r="AA20">
        <f t="shared" ca="1" si="1"/>
        <v>8</v>
      </c>
      <c r="AB20">
        <f t="shared" ca="1" si="1"/>
        <v>6</v>
      </c>
      <c r="AC20">
        <f t="shared" ca="1" si="1"/>
        <v>5</v>
      </c>
      <c r="AD20">
        <f t="shared" ca="1" si="1"/>
        <v>6</v>
      </c>
      <c r="AE20">
        <f t="shared" ca="1" si="1"/>
        <v>4</v>
      </c>
      <c r="AF20">
        <f t="shared" ca="1" si="1"/>
        <v>6</v>
      </c>
      <c r="AG20">
        <f t="shared" ca="1" si="1"/>
        <v>3</v>
      </c>
      <c r="AH20">
        <f t="shared" ca="1" si="1"/>
        <v>7</v>
      </c>
      <c r="AI20">
        <f t="shared" ca="1" si="1"/>
        <v>2</v>
      </c>
      <c r="AJ20">
        <f t="shared" ca="1" si="1"/>
        <v>7</v>
      </c>
      <c r="AK20">
        <f t="shared" ca="1" si="1"/>
        <v>3</v>
      </c>
      <c r="AL20">
        <f t="shared" ca="1" si="2"/>
        <v>3</v>
      </c>
      <c r="AM20">
        <f t="shared" ca="1" si="2"/>
        <v>4</v>
      </c>
      <c r="AN20">
        <f t="shared" ca="1" si="2"/>
        <v>7</v>
      </c>
      <c r="AO20">
        <f t="shared" ca="1" si="2"/>
        <v>4</v>
      </c>
      <c r="AP20">
        <f t="shared" ca="1" si="2"/>
        <v>0</v>
      </c>
      <c r="AQ20">
        <f t="shared" ca="1" si="2"/>
        <v>8</v>
      </c>
      <c r="AR20">
        <f t="shared" ca="1" si="2"/>
        <v>6</v>
      </c>
      <c r="AS20">
        <f t="shared" ca="1" si="2"/>
        <v>2</v>
      </c>
      <c r="AT20">
        <f t="shared" ca="1" si="2"/>
        <v>4</v>
      </c>
      <c r="AU20">
        <f t="shared" ca="1" si="2"/>
        <v>7</v>
      </c>
      <c r="AV20">
        <f t="shared" ca="1" si="2"/>
        <v>6</v>
      </c>
      <c r="AW20">
        <f t="shared" ca="1" si="2"/>
        <v>3</v>
      </c>
      <c r="AX20">
        <f t="shared" ca="1" si="2"/>
        <v>3</v>
      </c>
      <c r="AY20">
        <f t="shared" ca="1" si="2"/>
        <v>5</v>
      </c>
      <c r="AZ20">
        <f t="shared" ca="1" si="2"/>
        <v>5</v>
      </c>
      <c r="BA20">
        <f t="shared" ca="1" si="2"/>
        <v>7</v>
      </c>
      <c r="BB20">
        <f t="shared" ca="1" si="2"/>
        <v>4</v>
      </c>
      <c r="BC20">
        <f t="shared" ref="BC20:BC31" ca="1" si="8">INDIRECT(ADDRESS(25,COLUMN(),1,,$A20))</f>
        <v>4</v>
      </c>
      <c r="BD20">
        <f t="shared" ca="1" si="3"/>
        <v>6</v>
      </c>
      <c r="BE20">
        <f t="shared" ca="1" si="3"/>
        <v>6</v>
      </c>
      <c r="BF20">
        <f t="shared" ca="1" si="3"/>
        <v>4</v>
      </c>
      <c r="BG20">
        <f t="shared" ca="1" si="3"/>
        <v>2</v>
      </c>
      <c r="BH20">
        <f t="shared" ca="1" si="3"/>
        <v>5</v>
      </c>
      <c r="BI20">
        <f t="shared" ca="1" si="3"/>
        <v>6</v>
      </c>
      <c r="BJ20">
        <f t="shared" ca="1" si="3"/>
        <v>7</v>
      </c>
      <c r="BK20">
        <f t="shared" ca="1" si="3"/>
        <v>4</v>
      </c>
      <c r="BL20">
        <f t="shared" ca="1" si="3"/>
        <v>6</v>
      </c>
      <c r="BM20">
        <f t="shared" ca="1" si="3"/>
        <v>4</v>
      </c>
      <c r="BN20">
        <f t="shared" ca="1" si="4"/>
        <v>5</v>
      </c>
      <c r="BO20">
        <f t="shared" ca="1" si="4"/>
        <v>0</v>
      </c>
      <c r="BP20">
        <f t="shared" ca="1" si="4"/>
        <v>0</v>
      </c>
      <c r="BQ20">
        <f t="shared" ca="1" si="4"/>
        <v>0</v>
      </c>
      <c r="BR20">
        <f t="shared" ca="1" si="4"/>
        <v>0</v>
      </c>
      <c r="BS20">
        <f t="shared" ca="1" si="4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</row>
    <row r="21" spans="1:74" x14ac:dyDescent="0.2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5</v>
      </c>
      <c r="H21">
        <f t="shared" ca="1" si="0"/>
        <v>5</v>
      </c>
      <c r="I21">
        <f t="shared" ca="1" si="1"/>
        <v>6</v>
      </c>
      <c r="J21">
        <f t="shared" ca="1" si="1"/>
        <v>0</v>
      </c>
      <c r="K21">
        <f t="shared" ca="1" si="1"/>
        <v>8</v>
      </c>
      <c r="L21">
        <f t="shared" ca="1" si="1"/>
        <v>7</v>
      </c>
      <c r="M21">
        <f t="shared" ca="1" si="1"/>
        <v>4</v>
      </c>
      <c r="N21">
        <f t="shared" ca="1" si="1"/>
        <v>8</v>
      </c>
      <c r="O21">
        <f t="shared" ca="1" si="1"/>
        <v>0</v>
      </c>
      <c r="P21">
        <f t="shared" ca="1" si="1"/>
        <v>3</v>
      </c>
      <c r="Q21">
        <f t="shared" ca="1" si="1"/>
        <v>0</v>
      </c>
      <c r="R21">
        <f t="shared" ca="1" si="1"/>
        <v>6</v>
      </c>
      <c r="S21">
        <f t="shared" ca="1" si="1"/>
        <v>4</v>
      </c>
      <c r="T21">
        <f t="shared" ca="1" si="1"/>
        <v>5</v>
      </c>
      <c r="U21">
        <f t="shared" ca="1" si="1"/>
        <v>0</v>
      </c>
      <c r="V21">
        <f t="shared" ca="1" si="1"/>
        <v>5</v>
      </c>
      <c r="W21">
        <f t="shared" ca="1" si="1"/>
        <v>5</v>
      </c>
      <c r="X21">
        <f t="shared" ca="1" si="1"/>
        <v>5</v>
      </c>
      <c r="Y21">
        <f t="shared" ca="1" si="1"/>
        <v>5</v>
      </c>
      <c r="Z21">
        <f t="shared" ca="1" si="1"/>
        <v>6</v>
      </c>
      <c r="AA21">
        <f t="shared" ca="1" si="1"/>
        <v>7</v>
      </c>
      <c r="AB21">
        <f t="shared" ca="1" si="1"/>
        <v>6</v>
      </c>
      <c r="AC21">
        <f t="shared" ca="1" si="1"/>
        <v>7</v>
      </c>
      <c r="AD21">
        <f t="shared" ca="1" si="1"/>
        <v>4</v>
      </c>
      <c r="AE21">
        <f t="shared" ca="1" si="1"/>
        <v>5</v>
      </c>
      <c r="AF21">
        <f t="shared" ca="1" si="1"/>
        <v>6</v>
      </c>
      <c r="AG21">
        <f t="shared" ca="1" si="1"/>
        <v>0</v>
      </c>
      <c r="AH21">
        <f t="shared" ca="1" si="1"/>
        <v>5</v>
      </c>
      <c r="AI21">
        <f t="shared" ca="1" si="1"/>
        <v>6</v>
      </c>
      <c r="AJ21">
        <f t="shared" ca="1" si="1"/>
        <v>0</v>
      </c>
      <c r="AK21">
        <f t="shared" ca="1" si="1"/>
        <v>0</v>
      </c>
      <c r="AL21">
        <f t="shared" ca="1" si="2"/>
        <v>4</v>
      </c>
      <c r="AM21">
        <f t="shared" ca="1" si="2"/>
        <v>6</v>
      </c>
      <c r="AN21">
        <f t="shared" ca="1" si="2"/>
        <v>5</v>
      </c>
      <c r="AO21">
        <f t="shared" ca="1" si="2"/>
        <v>5</v>
      </c>
      <c r="AP21">
        <f t="shared" ca="1" si="2"/>
        <v>0</v>
      </c>
      <c r="AQ21">
        <f t="shared" ca="1" si="2"/>
        <v>6</v>
      </c>
      <c r="AR21">
        <f t="shared" ca="1" si="2"/>
        <v>7</v>
      </c>
      <c r="AS21">
        <f t="shared" ca="1" si="2"/>
        <v>7</v>
      </c>
      <c r="AT21">
        <f t="shared" ca="1" si="2"/>
        <v>6</v>
      </c>
      <c r="AU21">
        <f t="shared" ca="1" si="2"/>
        <v>6</v>
      </c>
      <c r="AV21">
        <f t="shared" ca="1" si="2"/>
        <v>6</v>
      </c>
      <c r="AW21">
        <f t="shared" ca="1" si="2"/>
        <v>4</v>
      </c>
      <c r="AX21">
        <f t="shared" ca="1" si="2"/>
        <v>6</v>
      </c>
      <c r="AY21">
        <f t="shared" ca="1" si="2"/>
        <v>5</v>
      </c>
      <c r="AZ21">
        <f t="shared" ca="1" si="2"/>
        <v>5</v>
      </c>
      <c r="BA21">
        <f t="shared" ca="1" si="2"/>
        <v>7</v>
      </c>
      <c r="BB21">
        <f t="shared" ca="1" si="2"/>
        <v>7</v>
      </c>
      <c r="BC21">
        <f t="shared" ca="1" si="8"/>
        <v>5</v>
      </c>
      <c r="BD21">
        <f t="shared" ca="1" si="3"/>
        <v>7</v>
      </c>
      <c r="BE21">
        <f t="shared" ca="1" si="3"/>
        <v>7</v>
      </c>
      <c r="BF21">
        <f t="shared" ca="1" si="3"/>
        <v>3</v>
      </c>
      <c r="BG21">
        <f t="shared" ca="1" si="3"/>
        <v>0</v>
      </c>
      <c r="BH21">
        <f t="shared" ca="1" si="3"/>
        <v>6</v>
      </c>
      <c r="BI21">
        <f t="shared" ca="1" si="3"/>
        <v>5</v>
      </c>
      <c r="BJ21">
        <f t="shared" ca="1" si="3"/>
        <v>6</v>
      </c>
      <c r="BK21">
        <f t="shared" ca="1" si="3"/>
        <v>4</v>
      </c>
      <c r="BL21">
        <f t="shared" ca="1" si="3"/>
        <v>1</v>
      </c>
      <c r="BM21">
        <f t="shared" ca="1" si="3"/>
        <v>5</v>
      </c>
      <c r="BN21">
        <f t="shared" ca="1" si="4"/>
        <v>0</v>
      </c>
      <c r="BO21">
        <f t="shared" ca="1" si="4"/>
        <v>0</v>
      </c>
      <c r="BP21">
        <f t="shared" ca="1" si="4"/>
        <v>0</v>
      </c>
      <c r="BQ21">
        <f t="shared" ca="1" si="4"/>
        <v>0</v>
      </c>
      <c r="BR21">
        <f t="shared" ca="1" si="4"/>
        <v>0</v>
      </c>
      <c r="BS21">
        <f t="shared" ca="1" si="4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</row>
    <row r="22" spans="1:74" x14ac:dyDescent="0.2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8</v>
      </c>
      <c r="I22">
        <f t="shared" ca="1" si="1"/>
        <v>6</v>
      </c>
      <c r="J22">
        <f t="shared" ca="1" si="1"/>
        <v>0</v>
      </c>
      <c r="K22">
        <f t="shared" ca="1" si="1"/>
        <v>4</v>
      </c>
      <c r="L22">
        <f t="shared" ca="1" si="1"/>
        <v>5</v>
      </c>
      <c r="M22">
        <f t="shared" ca="1" si="1"/>
        <v>6</v>
      </c>
      <c r="N22">
        <f t="shared" ca="1" si="1"/>
        <v>6</v>
      </c>
      <c r="O22">
        <f t="shared" ca="1" si="1"/>
        <v>4</v>
      </c>
      <c r="P22">
        <f t="shared" ca="1" si="1"/>
        <v>4</v>
      </c>
      <c r="Q22">
        <f t="shared" ca="1" si="1"/>
        <v>5</v>
      </c>
      <c r="R22">
        <f t="shared" ca="1" si="1"/>
        <v>7</v>
      </c>
      <c r="S22">
        <f t="shared" ca="1" si="1"/>
        <v>7</v>
      </c>
      <c r="T22">
        <f t="shared" ca="1" si="1"/>
        <v>2</v>
      </c>
      <c r="U22">
        <f t="shared" ca="1" si="1"/>
        <v>6</v>
      </c>
      <c r="V22">
        <f t="shared" ca="1" si="1"/>
        <v>3</v>
      </c>
      <c r="W22">
        <f t="shared" ca="1" si="1"/>
        <v>7</v>
      </c>
      <c r="X22">
        <f t="shared" ca="1" si="1"/>
        <v>0</v>
      </c>
      <c r="Y22">
        <f t="shared" ca="1" si="1"/>
        <v>6</v>
      </c>
      <c r="Z22">
        <f t="shared" ca="1" si="1"/>
        <v>4</v>
      </c>
      <c r="AA22">
        <f t="shared" ca="1" si="1"/>
        <v>5</v>
      </c>
      <c r="AB22">
        <f t="shared" ca="1" si="1"/>
        <v>6</v>
      </c>
      <c r="AC22">
        <f t="shared" ca="1" si="1"/>
        <v>6</v>
      </c>
      <c r="AD22">
        <f t="shared" ca="1" si="1"/>
        <v>7</v>
      </c>
      <c r="AE22">
        <f t="shared" ca="1" si="1"/>
        <v>2</v>
      </c>
      <c r="AF22">
        <f t="shared" ca="1" si="1"/>
        <v>4</v>
      </c>
      <c r="AG22">
        <f t="shared" ca="1" si="1"/>
        <v>6</v>
      </c>
      <c r="AH22">
        <f t="shared" ca="1" si="1"/>
        <v>7</v>
      </c>
      <c r="AI22">
        <f t="shared" ca="1" si="1"/>
        <v>9</v>
      </c>
      <c r="AJ22">
        <f t="shared" ca="1" si="1"/>
        <v>5</v>
      </c>
      <c r="AK22">
        <f t="shared" ca="1" si="1"/>
        <v>3</v>
      </c>
      <c r="AL22">
        <f t="shared" ca="1" si="2"/>
        <v>5</v>
      </c>
      <c r="AM22">
        <f t="shared" ca="1" si="2"/>
        <v>7</v>
      </c>
      <c r="AN22">
        <f t="shared" ca="1" si="2"/>
        <v>5</v>
      </c>
      <c r="AO22">
        <f t="shared" ca="1" si="2"/>
        <v>5</v>
      </c>
      <c r="AP22">
        <f t="shared" ca="1" si="2"/>
        <v>6</v>
      </c>
      <c r="AQ22">
        <f t="shared" ca="1" si="2"/>
        <v>5</v>
      </c>
      <c r="AR22">
        <f t="shared" ca="1" si="2"/>
        <v>3</v>
      </c>
      <c r="AS22">
        <f t="shared" ca="1" si="2"/>
        <v>3</v>
      </c>
      <c r="AT22">
        <f t="shared" ca="1" si="2"/>
        <v>4</v>
      </c>
      <c r="AU22">
        <f t="shared" ca="1" si="2"/>
        <v>5</v>
      </c>
      <c r="AV22">
        <f t="shared" ca="1" si="2"/>
        <v>4</v>
      </c>
      <c r="AW22">
        <f t="shared" ca="1" si="2"/>
        <v>4</v>
      </c>
      <c r="AX22">
        <f t="shared" ca="1" si="2"/>
        <v>6</v>
      </c>
      <c r="AY22">
        <f t="shared" ca="1" si="2"/>
        <v>5</v>
      </c>
      <c r="AZ22">
        <f t="shared" ca="1" si="2"/>
        <v>4</v>
      </c>
      <c r="BA22">
        <f t="shared" ca="1" si="2"/>
        <v>6</v>
      </c>
      <c r="BB22">
        <f t="shared" ca="1" si="2"/>
        <v>7</v>
      </c>
      <c r="BC22">
        <f t="shared" ca="1" si="8"/>
        <v>7</v>
      </c>
      <c r="BD22">
        <f t="shared" ca="1" si="3"/>
        <v>4</v>
      </c>
      <c r="BE22">
        <f t="shared" ca="1" si="3"/>
        <v>0</v>
      </c>
      <c r="BF22">
        <f t="shared" ca="1" si="3"/>
        <v>0</v>
      </c>
      <c r="BG22">
        <f t="shared" ca="1" si="3"/>
        <v>6</v>
      </c>
      <c r="BH22">
        <f t="shared" ca="1" si="3"/>
        <v>3</v>
      </c>
      <c r="BI22">
        <f t="shared" ca="1" si="3"/>
        <v>6</v>
      </c>
      <c r="BJ22">
        <f t="shared" ca="1" si="3"/>
        <v>6</v>
      </c>
      <c r="BK22">
        <f t="shared" ca="1" si="3"/>
        <v>2</v>
      </c>
      <c r="BL22">
        <f t="shared" ca="1" si="3"/>
        <v>5</v>
      </c>
      <c r="BM22">
        <f t="shared" ca="1" si="3"/>
        <v>6</v>
      </c>
      <c r="BN22">
        <f t="shared" ca="1" si="4"/>
        <v>4</v>
      </c>
      <c r="BO22">
        <f t="shared" ca="1" si="4"/>
        <v>0</v>
      </c>
      <c r="BP22">
        <f t="shared" ca="1" si="4"/>
        <v>0</v>
      </c>
      <c r="BQ22">
        <f t="shared" ca="1" si="4"/>
        <v>0</v>
      </c>
      <c r="BR22">
        <f t="shared" ca="1" si="4"/>
        <v>0</v>
      </c>
      <c r="BS22">
        <f t="shared" ca="1" si="4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</row>
    <row r="23" spans="1:74" x14ac:dyDescent="0.2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5</v>
      </c>
      <c r="J23">
        <f t="shared" ca="1" si="1"/>
        <v>0</v>
      </c>
      <c r="K23">
        <f t="shared" ca="1" si="1"/>
        <v>5</v>
      </c>
      <c r="L23">
        <f t="shared" ca="1" si="1"/>
        <v>5</v>
      </c>
      <c r="M23">
        <f t="shared" ca="1" si="1"/>
        <v>6</v>
      </c>
      <c r="N23">
        <f t="shared" ca="1" si="1"/>
        <v>5</v>
      </c>
      <c r="O23">
        <f t="shared" ca="1" si="1"/>
        <v>4</v>
      </c>
      <c r="P23">
        <f t="shared" ca="1" si="1"/>
        <v>5</v>
      </c>
      <c r="Q23">
        <f t="shared" ca="1" si="1"/>
        <v>6</v>
      </c>
      <c r="R23">
        <f t="shared" ca="1" si="1"/>
        <v>3</v>
      </c>
      <c r="S23">
        <f t="shared" ca="1" si="1"/>
        <v>6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4</v>
      </c>
      <c r="X23">
        <f t="shared" ca="1" si="1"/>
        <v>6</v>
      </c>
      <c r="Y23">
        <f t="shared" ca="1" si="1"/>
        <v>4</v>
      </c>
      <c r="Z23">
        <f t="shared" ca="1" si="1"/>
        <v>7</v>
      </c>
      <c r="AA23">
        <f t="shared" ca="1" si="1"/>
        <v>0</v>
      </c>
      <c r="AB23">
        <f t="shared" ca="1" si="1"/>
        <v>5</v>
      </c>
      <c r="AC23">
        <f t="shared" ca="1" si="1"/>
        <v>1</v>
      </c>
      <c r="AD23">
        <f t="shared" ca="1" si="1"/>
        <v>6</v>
      </c>
      <c r="AE23">
        <f t="shared" ca="1" si="1"/>
        <v>6</v>
      </c>
      <c r="AF23">
        <f t="shared" ca="1" si="1"/>
        <v>6</v>
      </c>
      <c r="AG23">
        <f t="shared" ca="1" si="1"/>
        <v>5</v>
      </c>
      <c r="AH23">
        <f t="shared" ca="1" si="1"/>
        <v>4</v>
      </c>
      <c r="AI23">
        <f t="shared" ca="1" si="1"/>
        <v>6</v>
      </c>
      <c r="AJ23">
        <f t="shared" ca="1" si="1"/>
        <v>4</v>
      </c>
      <c r="AK23">
        <f t="shared" ca="1" si="1"/>
        <v>5</v>
      </c>
      <c r="AL23">
        <f t="shared" ca="1" si="2"/>
        <v>2</v>
      </c>
      <c r="AM23">
        <f t="shared" ca="1" si="2"/>
        <v>5</v>
      </c>
      <c r="AN23">
        <f t="shared" ca="1" si="2"/>
        <v>3</v>
      </c>
      <c r="AO23">
        <f t="shared" ca="1" si="2"/>
        <v>4</v>
      </c>
      <c r="AP23">
        <f t="shared" ca="1" si="2"/>
        <v>4</v>
      </c>
      <c r="AQ23">
        <f t="shared" ca="1" si="2"/>
        <v>5</v>
      </c>
      <c r="AR23">
        <f t="shared" ca="1" si="2"/>
        <v>6</v>
      </c>
      <c r="AS23">
        <f t="shared" ca="1" si="2"/>
        <v>6</v>
      </c>
      <c r="AT23">
        <f t="shared" ca="1" si="2"/>
        <v>5</v>
      </c>
      <c r="AU23">
        <f t="shared" ca="1" si="2"/>
        <v>3</v>
      </c>
      <c r="AV23">
        <f t="shared" ca="1" si="2"/>
        <v>2</v>
      </c>
      <c r="AW23">
        <f t="shared" ca="1" si="2"/>
        <v>7</v>
      </c>
      <c r="AX23">
        <f t="shared" ca="1" si="2"/>
        <v>2</v>
      </c>
      <c r="AY23">
        <f t="shared" ca="1" si="2"/>
        <v>3</v>
      </c>
      <c r="AZ23">
        <f t="shared" ca="1" si="2"/>
        <v>6</v>
      </c>
      <c r="BA23">
        <f t="shared" ca="1" si="2"/>
        <v>3</v>
      </c>
      <c r="BB23">
        <f t="shared" ca="1" si="2"/>
        <v>5</v>
      </c>
      <c r="BC23">
        <f t="shared" ca="1" si="8"/>
        <v>3</v>
      </c>
      <c r="BD23">
        <f t="shared" ca="1" si="3"/>
        <v>8</v>
      </c>
      <c r="BE23">
        <f t="shared" ca="1" si="3"/>
        <v>5</v>
      </c>
      <c r="BF23">
        <f t="shared" ca="1" si="3"/>
        <v>6</v>
      </c>
      <c r="BG23">
        <f t="shared" ca="1" si="3"/>
        <v>6</v>
      </c>
      <c r="BH23">
        <f t="shared" ca="1" si="3"/>
        <v>6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4</v>
      </c>
      <c r="BM23">
        <f t="shared" ca="1" si="3"/>
        <v>5</v>
      </c>
      <c r="BN23">
        <f t="shared" ca="1" si="4"/>
        <v>6</v>
      </c>
      <c r="BO23">
        <f t="shared" ca="1" si="4"/>
        <v>0</v>
      </c>
      <c r="BP23">
        <f t="shared" ca="1" si="4"/>
        <v>0</v>
      </c>
      <c r="BQ23">
        <f t="shared" ca="1" si="4"/>
        <v>0</v>
      </c>
      <c r="BR23">
        <f t="shared" ca="1" si="4"/>
        <v>0</v>
      </c>
      <c r="BS23">
        <f t="shared" ca="1" si="4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</row>
    <row r="24" spans="1:74" x14ac:dyDescent="0.2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3</v>
      </c>
      <c r="H24">
        <f t="shared" ca="1" si="0"/>
        <v>5</v>
      </c>
      <c r="I24">
        <f t="shared" ca="1" si="1"/>
        <v>6.5</v>
      </c>
      <c r="J24">
        <f t="shared" ca="1" si="1"/>
        <v>0</v>
      </c>
      <c r="K24">
        <f t="shared" ca="1" si="1"/>
        <v>4</v>
      </c>
      <c r="L24">
        <f t="shared" ca="1" si="1"/>
        <v>2</v>
      </c>
      <c r="M24">
        <f t="shared" ca="1" si="1"/>
        <v>0</v>
      </c>
      <c r="N24">
        <f t="shared" ca="1" si="1"/>
        <v>4</v>
      </c>
      <c r="O24">
        <f t="shared" ca="1" si="1"/>
        <v>1</v>
      </c>
      <c r="P24">
        <f t="shared" ca="1" si="1"/>
        <v>5</v>
      </c>
      <c r="Q24">
        <f t="shared" ca="1" si="1"/>
        <v>4</v>
      </c>
      <c r="R24">
        <f t="shared" ca="1" si="1"/>
        <v>5</v>
      </c>
      <c r="S24">
        <f t="shared" ca="1" si="1"/>
        <v>3</v>
      </c>
      <c r="T24">
        <f t="shared" ca="1" si="1"/>
        <v>0</v>
      </c>
      <c r="U24">
        <f t="shared" ca="1" si="1"/>
        <v>5</v>
      </c>
      <c r="V24">
        <f t="shared" ca="1" si="1"/>
        <v>5</v>
      </c>
      <c r="W24">
        <f t="shared" ca="1" si="1"/>
        <v>6</v>
      </c>
      <c r="X24">
        <f t="shared" ca="1" si="1"/>
        <v>7</v>
      </c>
      <c r="Y24">
        <f t="shared" ca="1" si="1"/>
        <v>4</v>
      </c>
      <c r="Z24">
        <f t="shared" ca="1" si="1"/>
        <v>5</v>
      </c>
      <c r="AA24">
        <f t="shared" ca="1" si="1"/>
        <v>5</v>
      </c>
      <c r="AB24">
        <f t="shared" ca="1" si="1"/>
        <v>5</v>
      </c>
      <c r="AC24">
        <f t="shared" ca="1" si="1"/>
        <v>4</v>
      </c>
      <c r="AD24">
        <f t="shared" ca="1" si="1"/>
        <v>6</v>
      </c>
      <c r="AE24">
        <f t="shared" ca="1" si="1"/>
        <v>0</v>
      </c>
      <c r="AF24">
        <f t="shared" ca="1" si="1"/>
        <v>4</v>
      </c>
      <c r="AG24">
        <f t="shared" ca="1" si="1"/>
        <v>6</v>
      </c>
      <c r="AH24">
        <f t="shared" ca="1" si="1"/>
        <v>6</v>
      </c>
      <c r="AI24">
        <f t="shared" ca="1" si="1"/>
        <v>2</v>
      </c>
      <c r="AJ24">
        <f t="shared" ca="1" si="1"/>
        <v>5</v>
      </c>
      <c r="AK24">
        <f t="shared" ca="1" si="1"/>
        <v>2</v>
      </c>
      <c r="AL24">
        <f t="shared" ca="1" si="2"/>
        <v>5</v>
      </c>
      <c r="AM24">
        <f t="shared" ca="1" si="2"/>
        <v>6</v>
      </c>
      <c r="AN24">
        <f t="shared" ca="1" si="2"/>
        <v>4</v>
      </c>
      <c r="AO24">
        <f t="shared" ca="1" si="2"/>
        <v>4</v>
      </c>
      <c r="AP24">
        <f t="shared" ca="1" si="2"/>
        <v>5</v>
      </c>
      <c r="AQ24">
        <f t="shared" ca="1" si="2"/>
        <v>6</v>
      </c>
      <c r="AR24">
        <f t="shared" ca="1" si="2"/>
        <v>4</v>
      </c>
      <c r="AS24">
        <f t="shared" ca="1" si="2"/>
        <v>5</v>
      </c>
      <c r="AT24">
        <f t="shared" ca="1" si="2"/>
        <v>0</v>
      </c>
      <c r="AU24">
        <f t="shared" ca="1" si="2"/>
        <v>4</v>
      </c>
      <c r="AV24">
        <f t="shared" ca="1" si="2"/>
        <v>4</v>
      </c>
      <c r="AW24">
        <f t="shared" ca="1" si="2"/>
        <v>5</v>
      </c>
      <c r="AX24">
        <f t="shared" ca="1" si="2"/>
        <v>6</v>
      </c>
      <c r="AY24">
        <f t="shared" ca="1" si="2"/>
        <v>5</v>
      </c>
      <c r="AZ24">
        <f t="shared" ca="1" si="2"/>
        <v>0</v>
      </c>
      <c r="BA24">
        <f t="shared" ca="1" si="2"/>
        <v>8</v>
      </c>
      <c r="BB24">
        <f t="shared" ca="1" si="2"/>
        <v>4</v>
      </c>
      <c r="BC24">
        <f t="shared" ca="1" si="8"/>
        <v>3</v>
      </c>
      <c r="BD24">
        <f t="shared" ca="1" si="3"/>
        <v>4</v>
      </c>
      <c r="BE24">
        <f t="shared" ca="1" si="3"/>
        <v>3</v>
      </c>
      <c r="BF24">
        <f t="shared" ca="1" si="3"/>
        <v>5</v>
      </c>
      <c r="BG24">
        <f t="shared" ca="1" si="3"/>
        <v>6</v>
      </c>
      <c r="BH24">
        <f t="shared" ca="1" si="3"/>
        <v>4</v>
      </c>
      <c r="BI24">
        <f t="shared" ca="1" si="3"/>
        <v>3</v>
      </c>
      <c r="BJ24">
        <f t="shared" ca="1" si="3"/>
        <v>6</v>
      </c>
      <c r="BK24">
        <f t="shared" ca="1" si="3"/>
        <v>4</v>
      </c>
      <c r="BL24">
        <f t="shared" ca="1" si="3"/>
        <v>4</v>
      </c>
      <c r="BM24">
        <f t="shared" ca="1" si="3"/>
        <v>2</v>
      </c>
      <c r="BN24">
        <f t="shared" ca="1" si="4"/>
        <v>6</v>
      </c>
      <c r="BO24">
        <f t="shared" ca="1" si="4"/>
        <v>0</v>
      </c>
      <c r="BP24">
        <f t="shared" ca="1" si="4"/>
        <v>0</v>
      </c>
      <c r="BQ24">
        <f t="shared" ca="1" si="4"/>
        <v>0</v>
      </c>
      <c r="BR24">
        <f t="shared" ca="1" si="4"/>
        <v>0</v>
      </c>
      <c r="BS24">
        <f t="shared" ca="1" si="4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</row>
    <row r="25" spans="1:74" x14ac:dyDescent="0.2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7</v>
      </c>
      <c r="J25">
        <f t="shared" ca="1" si="1"/>
        <v>0</v>
      </c>
      <c r="K25">
        <f t="shared" ca="1" si="1"/>
        <v>6</v>
      </c>
      <c r="L25">
        <f t="shared" ca="1" si="1"/>
        <v>5</v>
      </c>
      <c r="M25">
        <f t="shared" ca="1" si="1"/>
        <v>7</v>
      </c>
      <c r="N25">
        <f t="shared" ca="1" si="1"/>
        <v>5</v>
      </c>
      <c r="O25">
        <f t="shared" ca="1" si="1"/>
        <v>3</v>
      </c>
      <c r="P25">
        <f t="shared" ca="1" si="1"/>
        <v>4</v>
      </c>
      <c r="Q25">
        <f t="shared" ca="1" si="1"/>
        <v>6</v>
      </c>
      <c r="R25">
        <f t="shared" ca="1" si="1"/>
        <v>8</v>
      </c>
      <c r="S25">
        <f t="shared" ca="1" si="1"/>
        <v>4</v>
      </c>
      <c r="T25">
        <f t="shared" ca="1" si="1"/>
        <v>4</v>
      </c>
      <c r="U25">
        <f t="shared" ca="1" si="1"/>
        <v>7</v>
      </c>
      <c r="V25">
        <f t="shared" ca="1" si="1"/>
        <v>6</v>
      </c>
      <c r="W25">
        <f t="shared" ca="1" si="1"/>
        <v>6</v>
      </c>
      <c r="X25">
        <f t="shared" ca="1" si="1"/>
        <v>8</v>
      </c>
      <c r="Y25">
        <f t="shared" ca="1" si="1"/>
        <v>5</v>
      </c>
      <c r="Z25">
        <f t="shared" ca="1" si="1"/>
        <v>3</v>
      </c>
      <c r="AA25">
        <f t="shared" ca="1" si="1"/>
        <v>7</v>
      </c>
      <c r="AB25">
        <f t="shared" ca="1" si="1"/>
        <v>7</v>
      </c>
      <c r="AC25">
        <f t="shared" ca="1" si="1"/>
        <v>6</v>
      </c>
      <c r="AD25">
        <f t="shared" ca="1" si="1"/>
        <v>7</v>
      </c>
      <c r="AE25">
        <f t="shared" ca="1" si="1"/>
        <v>5</v>
      </c>
      <c r="AF25">
        <f t="shared" ca="1" si="1"/>
        <v>5</v>
      </c>
      <c r="AG25">
        <f t="shared" ca="1" si="1"/>
        <v>7</v>
      </c>
      <c r="AH25">
        <f t="shared" ca="1" si="1"/>
        <v>7</v>
      </c>
      <c r="AI25">
        <f t="shared" ca="1" si="1"/>
        <v>6</v>
      </c>
      <c r="AJ25">
        <f t="shared" ca="1" si="1"/>
        <v>7</v>
      </c>
      <c r="AK25">
        <f t="shared" ca="1" si="1"/>
        <v>5</v>
      </c>
      <c r="AL25">
        <f t="shared" ca="1" si="2"/>
        <v>3</v>
      </c>
      <c r="AM25">
        <f t="shared" ca="1" si="2"/>
        <v>6</v>
      </c>
      <c r="AN25">
        <f t="shared" ca="1" si="2"/>
        <v>5</v>
      </c>
      <c r="AO25">
        <f t="shared" ca="1" si="2"/>
        <v>3</v>
      </c>
      <c r="AP25">
        <f t="shared" ca="1" si="2"/>
        <v>6</v>
      </c>
      <c r="AQ25">
        <f t="shared" ca="1" si="2"/>
        <v>4</v>
      </c>
      <c r="AR25">
        <f t="shared" ca="1" si="2"/>
        <v>7</v>
      </c>
      <c r="AS25">
        <f t="shared" ca="1" si="2"/>
        <v>5</v>
      </c>
      <c r="AT25">
        <f t="shared" ca="1" si="2"/>
        <v>6</v>
      </c>
      <c r="AU25">
        <f t="shared" ca="1" si="2"/>
        <v>6</v>
      </c>
      <c r="AV25">
        <f t="shared" ca="1" si="2"/>
        <v>6</v>
      </c>
      <c r="AW25">
        <f t="shared" ca="1" si="2"/>
        <v>8</v>
      </c>
      <c r="AX25">
        <f t="shared" ca="1" si="2"/>
        <v>6</v>
      </c>
      <c r="AY25">
        <f t="shared" ca="1" si="2"/>
        <v>6</v>
      </c>
      <c r="AZ25">
        <f t="shared" ca="1" si="2"/>
        <v>5</v>
      </c>
      <c r="BA25">
        <f t="shared" ca="1" si="2"/>
        <v>6</v>
      </c>
      <c r="BB25">
        <f t="shared" ca="1" si="2"/>
        <v>3</v>
      </c>
      <c r="BC25">
        <f t="shared" ca="1" si="8"/>
        <v>5</v>
      </c>
      <c r="BD25">
        <f t="shared" ca="1" si="3"/>
        <v>6</v>
      </c>
      <c r="BE25">
        <f t="shared" ca="1" si="3"/>
        <v>5</v>
      </c>
      <c r="BF25">
        <f t="shared" ca="1" si="3"/>
        <v>7</v>
      </c>
      <c r="BG25">
        <f t="shared" ca="1" si="3"/>
        <v>6</v>
      </c>
      <c r="BH25">
        <f t="shared" ca="1" si="3"/>
        <v>7</v>
      </c>
      <c r="BI25">
        <f t="shared" ca="1" si="3"/>
        <v>6</v>
      </c>
      <c r="BJ25">
        <f t="shared" ca="1" si="3"/>
        <v>6</v>
      </c>
      <c r="BK25">
        <f t="shared" ca="1" si="3"/>
        <v>3</v>
      </c>
      <c r="BL25">
        <f t="shared" ca="1" si="3"/>
        <v>5</v>
      </c>
      <c r="BM25">
        <f t="shared" ca="1" si="3"/>
        <v>7</v>
      </c>
      <c r="BN25">
        <f t="shared" ca="1" si="4"/>
        <v>5</v>
      </c>
      <c r="BO25">
        <f t="shared" ca="1" si="4"/>
        <v>0</v>
      </c>
      <c r="BP25">
        <f t="shared" ca="1" si="4"/>
        <v>0</v>
      </c>
      <c r="BQ25">
        <f t="shared" ca="1" si="4"/>
        <v>0</v>
      </c>
      <c r="BR25">
        <f t="shared" ca="1" si="4"/>
        <v>0</v>
      </c>
      <c r="BS25">
        <f t="shared" ca="1" si="4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</row>
    <row r="26" spans="1:74" x14ac:dyDescent="0.2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6</v>
      </c>
      <c r="H26">
        <f t="shared" ca="1" si="0"/>
        <v>6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4</v>
      </c>
      <c r="M26">
        <f t="shared" ca="1" si="1"/>
        <v>6</v>
      </c>
      <c r="N26">
        <f t="shared" ca="1" si="1"/>
        <v>6</v>
      </c>
      <c r="O26">
        <f t="shared" ca="1" si="1"/>
        <v>4</v>
      </c>
      <c r="P26">
        <f t="shared" ca="1" si="1"/>
        <v>8</v>
      </c>
      <c r="Q26">
        <f t="shared" ca="1" si="1"/>
        <v>8</v>
      </c>
      <c r="R26">
        <f t="shared" ca="1" si="1"/>
        <v>5</v>
      </c>
      <c r="S26">
        <f t="shared" ca="1" si="1"/>
        <v>6</v>
      </c>
      <c r="T26">
        <f t="shared" ca="1" si="1"/>
        <v>4</v>
      </c>
      <c r="U26">
        <f t="shared" ca="1" si="1"/>
        <v>6</v>
      </c>
      <c r="V26">
        <f t="shared" ca="1" si="1"/>
        <v>5</v>
      </c>
      <c r="W26">
        <f t="shared" ca="1" si="1"/>
        <v>6</v>
      </c>
      <c r="X26">
        <f t="shared" ca="1" si="1"/>
        <v>5</v>
      </c>
      <c r="Y26">
        <f t="shared" ca="1" si="1"/>
        <v>7</v>
      </c>
      <c r="Z26">
        <f t="shared" ca="1" si="1"/>
        <v>7</v>
      </c>
      <c r="AA26">
        <f t="shared" ca="1" si="1"/>
        <v>4</v>
      </c>
      <c r="AB26">
        <f t="shared" ca="1" si="1"/>
        <v>3</v>
      </c>
      <c r="AC26">
        <f t="shared" ca="1" si="1"/>
        <v>4</v>
      </c>
      <c r="AD26">
        <f t="shared" ca="1" si="1"/>
        <v>7</v>
      </c>
      <c r="AE26">
        <f t="shared" ca="1" si="1"/>
        <v>5</v>
      </c>
      <c r="AF26">
        <f t="shared" ca="1" si="1"/>
        <v>6</v>
      </c>
      <c r="AG26">
        <f t="shared" ca="1" si="1"/>
        <v>4</v>
      </c>
      <c r="AH26">
        <f t="shared" ca="1" si="1"/>
        <v>4</v>
      </c>
      <c r="AI26">
        <f t="shared" ca="1" si="1"/>
        <v>5</v>
      </c>
      <c r="AJ26">
        <f t="shared" ca="1" si="1"/>
        <v>6</v>
      </c>
      <c r="AK26">
        <f t="shared" ca="1" si="1"/>
        <v>7</v>
      </c>
      <c r="AL26">
        <f t="shared" ca="1" si="2"/>
        <v>6</v>
      </c>
      <c r="AM26">
        <f t="shared" ca="1" si="2"/>
        <v>4</v>
      </c>
      <c r="AN26">
        <f t="shared" ca="1" si="2"/>
        <v>4</v>
      </c>
      <c r="AO26">
        <f t="shared" ca="1" si="2"/>
        <v>7</v>
      </c>
      <c r="AP26">
        <f t="shared" ca="1" si="2"/>
        <v>5</v>
      </c>
      <c r="AQ26">
        <f t="shared" ca="1" si="2"/>
        <v>4</v>
      </c>
      <c r="AR26">
        <f t="shared" ca="1" si="2"/>
        <v>7</v>
      </c>
      <c r="AS26">
        <f t="shared" ca="1" si="2"/>
        <v>6</v>
      </c>
      <c r="AT26">
        <f t="shared" ca="1" si="2"/>
        <v>4</v>
      </c>
      <c r="AU26">
        <f t="shared" ca="1" si="2"/>
        <v>6</v>
      </c>
      <c r="AV26">
        <f t="shared" ca="1" si="2"/>
        <v>3</v>
      </c>
      <c r="AW26">
        <f t="shared" ca="1" si="2"/>
        <v>7</v>
      </c>
      <c r="AX26">
        <f t="shared" ca="1" si="2"/>
        <v>5</v>
      </c>
      <c r="AY26">
        <f t="shared" ca="1" si="2"/>
        <v>8</v>
      </c>
      <c r="AZ26">
        <f t="shared" ca="1" si="2"/>
        <v>7</v>
      </c>
      <c r="BA26">
        <f t="shared" ca="1" si="2"/>
        <v>5</v>
      </c>
      <c r="BB26">
        <f t="shared" ca="1" si="2"/>
        <v>4</v>
      </c>
      <c r="BC26">
        <f t="shared" ca="1" si="8"/>
        <v>7</v>
      </c>
      <c r="BD26">
        <f t="shared" ca="1" si="3"/>
        <v>7</v>
      </c>
      <c r="BE26">
        <f t="shared" ca="1" si="3"/>
        <v>4</v>
      </c>
      <c r="BF26">
        <f t="shared" ca="1" si="3"/>
        <v>7</v>
      </c>
      <c r="BG26">
        <f t="shared" ca="1" si="3"/>
        <v>4</v>
      </c>
      <c r="BH26">
        <f t="shared" ca="1" si="3"/>
        <v>8</v>
      </c>
      <c r="BI26">
        <f t="shared" ca="1" si="3"/>
        <v>0</v>
      </c>
      <c r="BJ26">
        <f t="shared" ca="1" si="3"/>
        <v>4</v>
      </c>
      <c r="BK26">
        <f t="shared" ca="1" si="3"/>
        <v>4</v>
      </c>
      <c r="BL26">
        <f t="shared" ca="1" si="3"/>
        <v>5</v>
      </c>
      <c r="BM26">
        <f t="shared" ca="1" si="3"/>
        <v>4</v>
      </c>
      <c r="BN26">
        <f t="shared" ca="1" si="4"/>
        <v>7</v>
      </c>
      <c r="BO26">
        <f t="shared" ca="1" si="4"/>
        <v>0</v>
      </c>
      <c r="BP26">
        <f t="shared" ca="1" si="4"/>
        <v>0</v>
      </c>
      <c r="BQ26">
        <f t="shared" ca="1" si="4"/>
        <v>0</v>
      </c>
      <c r="BR26">
        <f t="shared" ca="1" si="4"/>
        <v>0</v>
      </c>
      <c r="BS26">
        <f t="shared" ca="1" si="4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</row>
    <row r="27" spans="1:74" x14ac:dyDescent="0.2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8</v>
      </c>
      <c r="H27">
        <f t="shared" ca="1" si="0"/>
        <v>3</v>
      </c>
      <c r="I27">
        <f t="shared" ca="1" si="1"/>
        <v>3</v>
      </c>
      <c r="J27">
        <f t="shared" ca="1" si="1"/>
        <v>0</v>
      </c>
      <c r="K27">
        <f t="shared" ca="1" si="1"/>
        <v>3</v>
      </c>
      <c r="L27">
        <f t="shared" ca="1" si="1"/>
        <v>2</v>
      </c>
      <c r="M27">
        <f t="shared" ca="1" si="1"/>
        <v>5</v>
      </c>
      <c r="N27">
        <f t="shared" ca="1" si="1"/>
        <v>3</v>
      </c>
      <c r="O27">
        <f t="shared" ca="1" si="1"/>
        <v>0</v>
      </c>
      <c r="P27">
        <f t="shared" ca="1" si="1"/>
        <v>7</v>
      </c>
      <c r="Q27">
        <f t="shared" ca="1" si="1"/>
        <v>3</v>
      </c>
      <c r="R27">
        <f t="shared" ca="1" si="1"/>
        <v>5</v>
      </c>
      <c r="S27">
        <f t="shared" ca="1" si="1"/>
        <v>3</v>
      </c>
      <c r="T27">
        <f t="shared" ca="1" si="1"/>
        <v>9</v>
      </c>
      <c r="U27">
        <f t="shared" ca="1" si="1"/>
        <v>3</v>
      </c>
      <c r="V27">
        <f t="shared" ca="1" si="1"/>
        <v>4</v>
      </c>
      <c r="W27">
        <f t="shared" ca="1" si="1"/>
        <v>2</v>
      </c>
      <c r="X27">
        <f t="shared" ca="1" si="1"/>
        <v>3</v>
      </c>
      <c r="Y27">
        <f t="shared" ca="1" si="1"/>
        <v>4</v>
      </c>
      <c r="Z27">
        <f t="shared" ca="1" si="1"/>
        <v>5</v>
      </c>
      <c r="AA27">
        <f t="shared" ca="1" si="1"/>
        <v>0</v>
      </c>
      <c r="AB27">
        <f t="shared" ca="1" si="1"/>
        <v>5</v>
      </c>
      <c r="AC27">
        <f t="shared" ca="1" si="1"/>
        <v>4</v>
      </c>
      <c r="AD27">
        <f t="shared" ca="1" si="1"/>
        <v>3</v>
      </c>
      <c r="AE27">
        <f t="shared" ca="1" si="1"/>
        <v>4</v>
      </c>
      <c r="AF27">
        <f t="shared" ca="1" si="1"/>
        <v>1</v>
      </c>
      <c r="AG27">
        <f t="shared" ca="1" si="1"/>
        <v>7</v>
      </c>
      <c r="AH27">
        <f t="shared" ca="1" si="1"/>
        <v>5</v>
      </c>
      <c r="AI27">
        <f t="shared" ca="1" si="1"/>
        <v>4</v>
      </c>
      <c r="AJ27">
        <f t="shared" ca="1" si="1"/>
        <v>4</v>
      </c>
      <c r="AK27">
        <f t="shared" ca="1" si="1"/>
        <v>2</v>
      </c>
      <c r="AL27">
        <f t="shared" ca="1" si="2"/>
        <v>4</v>
      </c>
      <c r="AM27">
        <f t="shared" ca="1" si="2"/>
        <v>4</v>
      </c>
      <c r="AN27">
        <f t="shared" ca="1" si="2"/>
        <v>7</v>
      </c>
      <c r="AO27">
        <f t="shared" ca="1" si="2"/>
        <v>6</v>
      </c>
      <c r="AP27">
        <f t="shared" ca="1" si="2"/>
        <v>4</v>
      </c>
      <c r="AQ27">
        <f t="shared" ca="1" si="2"/>
        <v>4</v>
      </c>
      <c r="AR27">
        <f t="shared" ca="1" si="2"/>
        <v>2</v>
      </c>
      <c r="AS27">
        <f t="shared" ca="1" si="2"/>
        <v>4</v>
      </c>
      <c r="AT27">
        <f t="shared" ca="1" si="2"/>
        <v>6</v>
      </c>
      <c r="AU27">
        <f t="shared" ca="1" si="2"/>
        <v>3</v>
      </c>
      <c r="AV27">
        <f t="shared" ca="1" si="2"/>
        <v>4</v>
      </c>
      <c r="AW27">
        <f t="shared" ca="1" si="2"/>
        <v>2</v>
      </c>
      <c r="AX27">
        <f t="shared" ca="1" si="2"/>
        <v>4</v>
      </c>
      <c r="AY27">
        <f t="shared" ca="1" si="2"/>
        <v>5</v>
      </c>
      <c r="AZ27">
        <f t="shared" ca="1" si="2"/>
        <v>0</v>
      </c>
      <c r="BA27">
        <f t="shared" ca="1" si="2"/>
        <v>4</v>
      </c>
      <c r="BB27">
        <f t="shared" ca="1" si="2"/>
        <v>7</v>
      </c>
      <c r="BC27">
        <f t="shared" ca="1" si="8"/>
        <v>4</v>
      </c>
      <c r="BD27">
        <f t="shared" ca="1" si="3"/>
        <v>4</v>
      </c>
      <c r="BE27">
        <f t="shared" ca="1" si="3"/>
        <v>4</v>
      </c>
      <c r="BF27">
        <f t="shared" ca="1" si="3"/>
        <v>4</v>
      </c>
      <c r="BG27">
        <f t="shared" ca="1" si="3"/>
        <v>3</v>
      </c>
      <c r="BH27">
        <f t="shared" ca="1" si="3"/>
        <v>0</v>
      </c>
      <c r="BI27">
        <f t="shared" ca="1" si="3"/>
        <v>6</v>
      </c>
      <c r="BJ27">
        <f t="shared" ca="1" si="3"/>
        <v>5</v>
      </c>
      <c r="BK27">
        <f t="shared" ca="1" si="3"/>
        <v>5</v>
      </c>
      <c r="BL27">
        <f t="shared" ca="1" si="3"/>
        <v>5</v>
      </c>
      <c r="BM27">
        <f t="shared" ca="1" si="3"/>
        <v>4</v>
      </c>
      <c r="BN27">
        <f t="shared" ca="1" si="4"/>
        <v>3</v>
      </c>
      <c r="BO27">
        <f t="shared" ca="1" si="4"/>
        <v>0</v>
      </c>
      <c r="BP27">
        <f t="shared" ca="1" si="4"/>
        <v>0</v>
      </c>
      <c r="BQ27">
        <f t="shared" ca="1" si="4"/>
        <v>0</v>
      </c>
      <c r="BR27">
        <f t="shared" ca="1" si="4"/>
        <v>0</v>
      </c>
      <c r="BS27">
        <f t="shared" ca="1" si="4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</row>
    <row r="28" spans="1:74" x14ac:dyDescent="0.2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0</v>
      </c>
      <c r="H28">
        <f t="shared" ca="1" si="0"/>
        <v>0</v>
      </c>
      <c r="I28">
        <f t="shared" ca="1" si="1"/>
        <v>0</v>
      </c>
      <c r="J28">
        <f t="shared" ca="1" si="1"/>
        <v>0</v>
      </c>
      <c r="K28">
        <f t="shared" ca="1" si="1"/>
        <v>0</v>
      </c>
      <c r="L28">
        <f t="shared" ca="1" si="1"/>
        <v>0</v>
      </c>
      <c r="M28">
        <f t="shared" ca="1" si="1"/>
        <v>0</v>
      </c>
      <c r="N28">
        <f t="shared" ca="1" si="1"/>
        <v>0</v>
      </c>
      <c r="O28">
        <f t="shared" ca="1" si="1"/>
        <v>0</v>
      </c>
      <c r="P28">
        <f t="shared" ca="1" si="1"/>
        <v>0</v>
      </c>
      <c r="Q28">
        <f t="shared" ca="1" si="1"/>
        <v>0</v>
      </c>
      <c r="R28">
        <f t="shared" ref="I28:AM31" ca="1" si="9">INDIRECT(ADDRESS(25,COLUMN(),1,,$A28))</f>
        <v>0</v>
      </c>
      <c r="S28">
        <f t="shared" ca="1" si="9"/>
        <v>0</v>
      </c>
      <c r="T28">
        <f t="shared" ca="1" si="9"/>
        <v>0</v>
      </c>
      <c r="U28">
        <f t="shared" ca="1" si="9"/>
        <v>0</v>
      </c>
      <c r="V28">
        <f t="shared" ca="1" si="9"/>
        <v>0</v>
      </c>
      <c r="W28">
        <f t="shared" ca="1" si="9"/>
        <v>0</v>
      </c>
      <c r="X28">
        <f t="shared" ca="1" si="9"/>
        <v>0</v>
      </c>
      <c r="Y28">
        <f t="shared" ca="1" si="9"/>
        <v>0</v>
      </c>
      <c r="Z28">
        <f t="shared" ca="1" si="9"/>
        <v>0</v>
      </c>
      <c r="AA28">
        <f t="shared" ca="1" si="9"/>
        <v>0</v>
      </c>
      <c r="AB28">
        <f t="shared" ca="1" si="9"/>
        <v>0</v>
      </c>
      <c r="AC28">
        <f t="shared" ca="1" si="9"/>
        <v>0</v>
      </c>
      <c r="AD28">
        <f t="shared" ca="1" si="9"/>
        <v>0</v>
      </c>
      <c r="AE28">
        <f t="shared" ca="1" si="9"/>
        <v>0</v>
      </c>
      <c r="AF28">
        <f t="shared" ca="1" si="9"/>
        <v>0</v>
      </c>
      <c r="AG28">
        <f t="shared" ca="1" si="9"/>
        <v>0</v>
      </c>
      <c r="AH28">
        <f t="shared" ca="1" si="9"/>
        <v>0</v>
      </c>
      <c r="AI28">
        <f t="shared" ca="1" si="9"/>
        <v>0</v>
      </c>
      <c r="AJ28">
        <f t="shared" ca="1" si="9"/>
        <v>0</v>
      </c>
      <c r="AK28">
        <f t="shared" ca="1" si="9"/>
        <v>0</v>
      </c>
      <c r="AL28">
        <f t="shared" ca="1" si="9"/>
        <v>0</v>
      </c>
      <c r="AM28">
        <f t="shared" ca="1" si="9"/>
        <v>0</v>
      </c>
      <c r="AN28">
        <f t="shared" ca="1" si="2"/>
        <v>0</v>
      </c>
      <c r="AO28">
        <f t="shared" ca="1" si="2"/>
        <v>0</v>
      </c>
      <c r="AP28">
        <f t="shared" ca="1" si="2"/>
        <v>0</v>
      </c>
      <c r="AQ28">
        <f t="shared" ca="1" si="2"/>
        <v>0</v>
      </c>
      <c r="AR28">
        <f t="shared" ca="1" si="2"/>
        <v>0</v>
      </c>
      <c r="AS28">
        <f t="shared" ca="1" si="2"/>
        <v>0</v>
      </c>
      <c r="AT28">
        <f t="shared" ca="1" si="2"/>
        <v>0</v>
      </c>
      <c r="AU28">
        <f t="shared" ca="1" si="2"/>
        <v>0</v>
      </c>
      <c r="AV28">
        <f t="shared" ca="1" si="2"/>
        <v>0</v>
      </c>
      <c r="AW28">
        <f t="shared" ca="1" si="2"/>
        <v>0</v>
      </c>
      <c r="AX28">
        <f t="shared" ca="1" si="2"/>
        <v>0</v>
      </c>
      <c r="AY28">
        <f t="shared" ca="1" si="2"/>
        <v>0</v>
      </c>
      <c r="AZ28">
        <f t="shared" ca="1" si="2"/>
        <v>0</v>
      </c>
      <c r="BA28">
        <f t="shared" ca="1" si="2"/>
        <v>0</v>
      </c>
      <c r="BB28">
        <f t="shared" ca="1" si="2"/>
        <v>0</v>
      </c>
      <c r="BC28">
        <f t="shared" ca="1" si="8"/>
        <v>0</v>
      </c>
      <c r="BD28">
        <f t="shared" ca="1" si="3"/>
        <v>0</v>
      </c>
      <c r="BE28">
        <f t="shared" ca="1" si="3"/>
        <v>0</v>
      </c>
      <c r="BF28">
        <f t="shared" ca="1" si="3"/>
        <v>0</v>
      </c>
      <c r="BG28">
        <f t="shared" ca="1" si="3"/>
        <v>0</v>
      </c>
      <c r="BH28">
        <f t="shared" ca="1" si="3"/>
        <v>0</v>
      </c>
      <c r="BI28">
        <f t="shared" ca="1" si="3"/>
        <v>0</v>
      </c>
      <c r="BJ28">
        <f t="shared" ca="1" si="3"/>
        <v>0</v>
      </c>
      <c r="BK28">
        <f t="shared" ca="1" si="3"/>
        <v>0</v>
      </c>
      <c r="BL28">
        <f t="shared" ca="1" si="3"/>
        <v>0</v>
      </c>
      <c r="BM28">
        <f t="shared" ca="1" si="3"/>
        <v>0</v>
      </c>
      <c r="BN28">
        <f t="shared" ca="1" si="4"/>
        <v>0</v>
      </c>
      <c r="BO28">
        <f t="shared" ca="1" si="4"/>
        <v>0</v>
      </c>
      <c r="BP28">
        <f t="shared" ca="1" si="4"/>
        <v>0</v>
      </c>
      <c r="BQ28">
        <f t="shared" ca="1" si="4"/>
        <v>0</v>
      </c>
      <c r="BR28">
        <f t="shared" ca="1" si="4"/>
        <v>0</v>
      </c>
      <c r="BS28">
        <f t="shared" ca="1" si="4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</row>
    <row r="29" spans="1:74" x14ac:dyDescent="0.2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0</v>
      </c>
      <c r="H29">
        <f t="shared" ca="1" si="0"/>
        <v>0</v>
      </c>
      <c r="I29">
        <f t="shared" ca="1" si="9"/>
        <v>0</v>
      </c>
      <c r="J29">
        <f t="shared" ca="1" si="9"/>
        <v>0</v>
      </c>
      <c r="K29">
        <f t="shared" ca="1" si="9"/>
        <v>0</v>
      </c>
      <c r="L29">
        <f t="shared" ca="1" si="9"/>
        <v>0</v>
      </c>
      <c r="M29">
        <f t="shared" ca="1" si="9"/>
        <v>0</v>
      </c>
      <c r="N29">
        <f t="shared" ca="1" si="9"/>
        <v>0</v>
      </c>
      <c r="O29">
        <f t="shared" ca="1" si="9"/>
        <v>0</v>
      </c>
      <c r="P29">
        <f t="shared" ca="1" si="9"/>
        <v>0</v>
      </c>
      <c r="Q29">
        <f t="shared" ca="1" si="9"/>
        <v>0</v>
      </c>
      <c r="R29">
        <f t="shared" ca="1" si="9"/>
        <v>0</v>
      </c>
      <c r="S29">
        <f t="shared" ca="1" si="9"/>
        <v>0</v>
      </c>
      <c r="T29">
        <f t="shared" ca="1" si="9"/>
        <v>0</v>
      </c>
      <c r="U29">
        <f t="shared" ca="1" si="9"/>
        <v>0</v>
      </c>
      <c r="V29">
        <f t="shared" ca="1" si="9"/>
        <v>0</v>
      </c>
      <c r="W29">
        <f t="shared" ca="1" si="9"/>
        <v>0</v>
      </c>
      <c r="X29">
        <f t="shared" ca="1" si="9"/>
        <v>0</v>
      </c>
      <c r="Y29">
        <f t="shared" ca="1" si="9"/>
        <v>0</v>
      </c>
      <c r="Z29">
        <f t="shared" ca="1" si="9"/>
        <v>0</v>
      </c>
      <c r="AA29">
        <f t="shared" ca="1" si="9"/>
        <v>0</v>
      </c>
      <c r="AB29">
        <f t="shared" ca="1" si="9"/>
        <v>0</v>
      </c>
      <c r="AC29">
        <f t="shared" ca="1" si="9"/>
        <v>0</v>
      </c>
      <c r="AD29">
        <f t="shared" ca="1" si="9"/>
        <v>0</v>
      </c>
      <c r="AE29">
        <f t="shared" ca="1" si="9"/>
        <v>0</v>
      </c>
      <c r="AF29">
        <f t="shared" ca="1" si="9"/>
        <v>0</v>
      </c>
      <c r="AG29">
        <f t="shared" ca="1" si="9"/>
        <v>0</v>
      </c>
      <c r="AH29">
        <f t="shared" ca="1" si="9"/>
        <v>0</v>
      </c>
      <c r="AI29">
        <f t="shared" ca="1" si="9"/>
        <v>0</v>
      </c>
      <c r="AJ29">
        <f t="shared" ca="1" si="9"/>
        <v>0</v>
      </c>
      <c r="AK29">
        <f t="shared" ca="1" si="9"/>
        <v>0</v>
      </c>
      <c r="AL29">
        <f t="shared" ca="1" si="9"/>
        <v>0</v>
      </c>
      <c r="AM29">
        <f t="shared" ca="1" si="2"/>
        <v>0</v>
      </c>
      <c r="AN29">
        <f t="shared" ca="1" si="2"/>
        <v>0</v>
      </c>
      <c r="AO29">
        <f t="shared" ca="1" si="2"/>
        <v>0</v>
      </c>
      <c r="AP29">
        <f t="shared" ca="1" si="2"/>
        <v>0</v>
      </c>
      <c r="AQ29">
        <f t="shared" ca="1" si="2"/>
        <v>0</v>
      </c>
      <c r="AR29">
        <f t="shared" ca="1" si="2"/>
        <v>0</v>
      </c>
      <c r="AS29">
        <f t="shared" ca="1" si="2"/>
        <v>0</v>
      </c>
      <c r="AT29">
        <f t="shared" ca="1" si="2"/>
        <v>0</v>
      </c>
      <c r="AU29">
        <f t="shared" ca="1" si="2"/>
        <v>0</v>
      </c>
      <c r="AV29">
        <f t="shared" ca="1" si="2"/>
        <v>0</v>
      </c>
      <c r="AW29">
        <f t="shared" ca="1" si="2"/>
        <v>0</v>
      </c>
      <c r="AX29">
        <f t="shared" ca="1" si="2"/>
        <v>0</v>
      </c>
      <c r="AY29">
        <f t="shared" ca="1" si="2"/>
        <v>0</v>
      </c>
      <c r="AZ29">
        <f t="shared" ca="1" si="2"/>
        <v>0</v>
      </c>
      <c r="BA29">
        <f t="shared" ca="1" si="2"/>
        <v>0</v>
      </c>
      <c r="BB29">
        <f t="shared" ca="1" si="2"/>
        <v>0</v>
      </c>
      <c r="BC29">
        <f t="shared" ca="1" si="8"/>
        <v>0</v>
      </c>
      <c r="BD29">
        <f t="shared" ca="1" si="3"/>
        <v>0</v>
      </c>
      <c r="BE29">
        <f t="shared" ca="1" si="3"/>
        <v>0</v>
      </c>
      <c r="BF29">
        <f t="shared" ca="1" si="3"/>
        <v>0</v>
      </c>
      <c r="BG29">
        <f t="shared" ca="1" si="3"/>
        <v>0</v>
      </c>
      <c r="BH29">
        <f t="shared" ca="1" si="3"/>
        <v>0</v>
      </c>
      <c r="BI29">
        <f t="shared" ca="1" si="3"/>
        <v>0</v>
      </c>
      <c r="BJ29">
        <f t="shared" ca="1" si="3"/>
        <v>0</v>
      </c>
      <c r="BK29">
        <f t="shared" ca="1" si="3"/>
        <v>0</v>
      </c>
      <c r="BL29">
        <f t="shared" ca="1" si="3"/>
        <v>0</v>
      </c>
      <c r="BM29">
        <f t="shared" ca="1" si="3"/>
        <v>0</v>
      </c>
      <c r="BN29">
        <f t="shared" ca="1" si="4"/>
        <v>0</v>
      </c>
      <c r="BO29">
        <f t="shared" ca="1" si="4"/>
        <v>0</v>
      </c>
      <c r="BP29">
        <f t="shared" ca="1" si="4"/>
        <v>0</v>
      </c>
      <c r="BQ29">
        <f t="shared" ca="1" si="4"/>
        <v>0</v>
      </c>
      <c r="BR29">
        <f t="shared" ca="1" si="4"/>
        <v>0</v>
      </c>
      <c r="BS29">
        <f t="shared" ca="1" si="4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</row>
    <row r="30" spans="1:74" x14ac:dyDescent="0.2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0</v>
      </c>
      <c r="H30">
        <f t="shared" ca="1" si="0"/>
        <v>0</v>
      </c>
      <c r="I30">
        <f t="shared" ca="1" si="9"/>
        <v>0</v>
      </c>
      <c r="J30">
        <f t="shared" ca="1" si="9"/>
        <v>0</v>
      </c>
      <c r="K30">
        <f t="shared" ca="1" si="9"/>
        <v>0</v>
      </c>
      <c r="L30">
        <f t="shared" ca="1" si="9"/>
        <v>0</v>
      </c>
      <c r="M30">
        <f t="shared" ca="1" si="9"/>
        <v>0</v>
      </c>
      <c r="N30">
        <f t="shared" ca="1" si="9"/>
        <v>0</v>
      </c>
      <c r="O30">
        <f t="shared" ca="1" si="9"/>
        <v>0</v>
      </c>
      <c r="P30">
        <f t="shared" ca="1" si="9"/>
        <v>0</v>
      </c>
      <c r="Q30">
        <f t="shared" ca="1" si="9"/>
        <v>0</v>
      </c>
      <c r="R30">
        <f t="shared" ca="1" si="9"/>
        <v>0</v>
      </c>
      <c r="S30">
        <f t="shared" ca="1" si="9"/>
        <v>0</v>
      </c>
      <c r="T30">
        <f t="shared" ca="1" si="9"/>
        <v>0</v>
      </c>
      <c r="U30">
        <f t="shared" ca="1" si="9"/>
        <v>0</v>
      </c>
      <c r="V30">
        <f t="shared" ca="1" si="9"/>
        <v>0</v>
      </c>
      <c r="W30">
        <f t="shared" ca="1" si="9"/>
        <v>0</v>
      </c>
      <c r="X30">
        <f t="shared" ca="1" si="9"/>
        <v>0</v>
      </c>
      <c r="Y30">
        <f t="shared" ca="1" si="9"/>
        <v>0</v>
      </c>
      <c r="Z30">
        <f t="shared" ca="1" si="9"/>
        <v>0</v>
      </c>
      <c r="AA30">
        <f t="shared" ca="1" si="9"/>
        <v>0</v>
      </c>
      <c r="AB30">
        <f t="shared" ca="1" si="9"/>
        <v>0</v>
      </c>
      <c r="AC30">
        <f t="shared" ca="1" si="9"/>
        <v>0</v>
      </c>
      <c r="AD30">
        <f t="shared" ca="1" si="9"/>
        <v>0</v>
      </c>
      <c r="AE30">
        <f t="shared" ca="1" si="9"/>
        <v>0</v>
      </c>
      <c r="AF30">
        <f t="shared" ca="1" si="9"/>
        <v>0</v>
      </c>
      <c r="AG30">
        <f t="shared" ca="1" si="9"/>
        <v>0</v>
      </c>
      <c r="AH30">
        <f t="shared" ca="1" si="9"/>
        <v>0</v>
      </c>
      <c r="AI30">
        <f t="shared" ca="1" si="9"/>
        <v>0</v>
      </c>
      <c r="AJ30">
        <f t="shared" ca="1" si="9"/>
        <v>0</v>
      </c>
      <c r="AK30">
        <f t="shared" ca="1" si="9"/>
        <v>0</v>
      </c>
      <c r="AL30">
        <f t="shared" ca="1" si="9"/>
        <v>0</v>
      </c>
      <c r="AM30">
        <f t="shared" ca="1" si="2"/>
        <v>0</v>
      </c>
      <c r="AN30">
        <f t="shared" ca="1" si="2"/>
        <v>0</v>
      </c>
      <c r="AO30">
        <f t="shared" ca="1" si="2"/>
        <v>0</v>
      </c>
      <c r="AP30">
        <f t="shared" ca="1" si="2"/>
        <v>0</v>
      </c>
      <c r="AQ30">
        <f t="shared" ca="1" si="2"/>
        <v>0</v>
      </c>
      <c r="AR30">
        <f t="shared" ca="1" si="2"/>
        <v>0</v>
      </c>
      <c r="AS30">
        <f t="shared" ca="1" si="2"/>
        <v>0</v>
      </c>
      <c r="AT30">
        <f t="shared" ca="1" si="2"/>
        <v>0</v>
      </c>
      <c r="AU30">
        <f t="shared" ca="1" si="2"/>
        <v>0</v>
      </c>
      <c r="AV30">
        <f t="shared" ca="1" si="2"/>
        <v>0</v>
      </c>
      <c r="AW30">
        <f t="shared" ca="1" si="2"/>
        <v>0</v>
      </c>
      <c r="AX30">
        <f t="shared" ca="1" si="2"/>
        <v>0</v>
      </c>
      <c r="AY30">
        <f t="shared" ca="1" si="2"/>
        <v>0</v>
      </c>
      <c r="AZ30">
        <f t="shared" ca="1" si="2"/>
        <v>0</v>
      </c>
      <c r="BA30">
        <f t="shared" ca="1" si="2"/>
        <v>0</v>
      </c>
      <c r="BB30">
        <f t="shared" ca="1" si="2"/>
        <v>0</v>
      </c>
      <c r="BC30">
        <f t="shared" ca="1" si="8"/>
        <v>0</v>
      </c>
      <c r="BD30">
        <f t="shared" ca="1" si="3"/>
        <v>0</v>
      </c>
      <c r="BE30">
        <f t="shared" ca="1" si="3"/>
        <v>0</v>
      </c>
      <c r="BF30">
        <f t="shared" ca="1" si="3"/>
        <v>0</v>
      </c>
      <c r="BG30">
        <f t="shared" ca="1" si="3"/>
        <v>0</v>
      </c>
      <c r="BH30">
        <f t="shared" ca="1" si="3"/>
        <v>0</v>
      </c>
      <c r="BI30">
        <f t="shared" ca="1" si="3"/>
        <v>0</v>
      </c>
      <c r="BJ30">
        <f t="shared" ca="1" si="3"/>
        <v>0</v>
      </c>
      <c r="BK30">
        <f t="shared" ca="1" si="3"/>
        <v>0</v>
      </c>
      <c r="BL30">
        <f t="shared" ca="1" si="3"/>
        <v>0</v>
      </c>
      <c r="BM30">
        <f t="shared" ca="1" si="3"/>
        <v>0</v>
      </c>
      <c r="BN30">
        <f t="shared" ca="1" si="4"/>
        <v>0</v>
      </c>
      <c r="BO30">
        <f t="shared" ca="1" si="4"/>
        <v>0</v>
      </c>
      <c r="BP30">
        <f t="shared" ca="1" si="4"/>
        <v>0</v>
      </c>
      <c r="BQ30">
        <f t="shared" ca="1" si="4"/>
        <v>0</v>
      </c>
      <c r="BR30">
        <f t="shared" ca="1" si="4"/>
        <v>0</v>
      </c>
      <c r="BS30">
        <f t="shared" ca="1" si="4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</row>
    <row r="31" spans="1:74" x14ac:dyDescent="0.2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0</v>
      </c>
      <c r="H31">
        <f t="shared" ca="1" si="0"/>
        <v>0</v>
      </c>
      <c r="I31">
        <f t="shared" ca="1" si="9"/>
        <v>0</v>
      </c>
      <c r="J31">
        <f t="shared" ca="1" si="9"/>
        <v>0</v>
      </c>
      <c r="K31">
        <f t="shared" ca="1" si="9"/>
        <v>0</v>
      </c>
      <c r="L31">
        <f t="shared" ca="1" si="9"/>
        <v>0</v>
      </c>
      <c r="M31">
        <f t="shared" ca="1" si="9"/>
        <v>0</v>
      </c>
      <c r="N31">
        <f t="shared" ca="1" si="9"/>
        <v>0</v>
      </c>
      <c r="O31">
        <f t="shared" ca="1" si="9"/>
        <v>0</v>
      </c>
      <c r="P31">
        <f t="shared" ca="1" si="9"/>
        <v>0</v>
      </c>
      <c r="Q31">
        <f t="shared" ca="1" si="9"/>
        <v>0</v>
      </c>
      <c r="R31">
        <f t="shared" ca="1" si="9"/>
        <v>0</v>
      </c>
      <c r="S31">
        <f t="shared" ca="1" si="9"/>
        <v>0</v>
      </c>
      <c r="T31">
        <f t="shared" ca="1" si="9"/>
        <v>0</v>
      </c>
      <c r="U31">
        <f t="shared" ca="1" si="9"/>
        <v>0</v>
      </c>
      <c r="V31">
        <f t="shared" ca="1" si="9"/>
        <v>0</v>
      </c>
      <c r="W31">
        <f t="shared" ca="1" si="9"/>
        <v>0</v>
      </c>
      <c r="X31">
        <f t="shared" ca="1" si="9"/>
        <v>0</v>
      </c>
      <c r="Y31">
        <f t="shared" ca="1" si="9"/>
        <v>0</v>
      </c>
      <c r="Z31">
        <f t="shared" ca="1" si="9"/>
        <v>0</v>
      </c>
      <c r="AA31">
        <f t="shared" ca="1" si="9"/>
        <v>0</v>
      </c>
      <c r="AB31">
        <f t="shared" ca="1" si="9"/>
        <v>0</v>
      </c>
      <c r="AC31">
        <f t="shared" ca="1" si="9"/>
        <v>0</v>
      </c>
      <c r="AD31">
        <f t="shared" ca="1" si="9"/>
        <v>0</v>
      </c>
      <c r="AE31">
        <f t="shared" ca="1" si="9"/>
        <v>0</v>
      </c>
      <c r="AF31">
        <f t="shared" ca="1" si="9"/>
        <v>0</v>
      </c>
      <c r="AG31">
        <f t="shared" ca="1" si="9"/>
        <v>0</v>
      </c>
      <c r="AH31">
        <f t="shared" ca="1" si="9"/>
        <v>0</v>
      </c>
      <c r="AI31">
        <f t="shared" ca="1" si="9"/>
        <v>0</v>
      </c>
      <c r="AJ31">
        <f t="shared" ca="1" si="9"/>
        <v>0</v>
      </c>
      <c r="AK31">
        <f t="shared" ca="1" si="9"/>
        <v>0</v>
      </c>
      <c r="AL31">
        <f t="shared" ca="1" si="9"/>
        <v>0</v>
      </c>
      <c r="AM31">
        <f t="shared" ca="1" si="2"/>
        <v>0</v>
      </c>
      <c r="AN31">
        <f t="shared" ca="1" si="2"/>
        <v>0</v>
      </c>
      <c r="AO31">
        <f t="shared" ca="1" si="2"/>
        <v>0</v>
      </c>
      <c r="AP31">
        <f t="shared" ca="1" si="2"/>
        <v>0</v>
      </c>
      <c r="AQ31">
        <f t="shared" ca="1" si="2"/>
        <v>0</v>
      </c>
      <c r="AR31">
        <f t="shared" ca="1" si="2"/>
        <v>0</v>
      </c>
      <c r="AS31">
        <f t="shared" ca="1" si="2"/>
        <v>0</v>
      </c>
      <c r="AT31">
        <f t="shared" ca="1" si="2"/>
        <v>0</v>
      </c>
      <c r="AU31">
        <f t="shared" ca="1" si="2"/>
        <v>0</v>
      </c>
      <c r="AV31">
        <f t="shared" ca="1" si="2"/>
        <v>0</v>
      </c>
      <c r="AW31">
        <f t="shared" ca="1" si="2"/>
        <v>0</v>
      </c>
      <c r="AX31">
        <f t="shared" ca="1" si="2"/>
        <v>0</v>
      </c>
      <c r="AY31">
        <f t="shared" ca="1" si="2"/>
        <v>0</v>
      </c>
      <c r="AZ31">
        <f t="shared" ca="1" si="2"/>
        <v>0</v>
      </c>
      <c r="BA31">
        <f t="shared" ca="1" si="2"/>
        <v>0</v>
      </c>
      <c r="BB31">
        <f t="shared" ca="1" si="2"/>
        <v>0</v>
      </c>
      <c r="BC31">
        <f t="shared" ca="1" si="8"/>
        <v>0</v>
      </c>
      <c r="BD31">
        <f t="shared" ca="1" si="3"/>
        <v>0</v>
      </c>
      <c r="BE31">
        <f t="shared" ca="1" si="3"/>
        <v>0</v>
      </c>
      <c r="BF31">
        <f t="shared" ca="1" si="3"/>
        <v>0</v>
      </c>
      <c r="BG31">
        <f t="shared" ca="1" si="3"/>
        <v>0</v>
      </c>
      <c r="BH31">
        <f t="shared" ca="1" si="3"/>
        <v>0</v>
      </c>
      <c r="BI31">
        <f t="shared" ca="1" si="3"/>
        <v>0</v>
      </c>
      <c r="BJ31">
        <f t="shared" ca="1" si="3"/>
        <v>0</v>
      </c>
      <c r="BK31">
        <f t="shared" ca="1" si="3"/>
        <v>0</v>
      </c>
      <c r="BL31">
        <f t="shared" ca="1" si="3"/>
        <v>0</v>
      </c>
      <c r="BM31">
        <f t="shared" ca="1" si="3"/>
        <v>0</v>
      </c>
      <c r="BN31">
        <f t="shared" ca="1" si="4"/>
        <v>0</v>
      </c>
      <c r="BO31">
        <f t="shared" ca="1" si="4"/>
        <v>0</v>
      </c>
      <c r="BP31">
        <f t="shared" ca="1" si="4"/>
        <v>0</v>
      </c>
      <c r="BQ31">
        <f t="shared" ca="1" si="4"/>
        <v>0</v>
      </c>
      <c r="BR31">
        <f t="shared" ca="1" si="4"/>
        <v>0</v>
      </c>
      <c r="BS31">
        <f t="shared" ca="1" si="4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B33" sqref="B33"/>
    </sheetView>
  </sheetViews>
  <sheetFormatPr defaultRowHeight="12.75" x14ac:dyDescent="0.2"/>
  <sheetData>
    <row r="1" spans="1:2" x14ac:dyDescent="0.2">
      <c r="A1" s="26" t="str">
        <f>IF(ISBLANK(B1),IF((weekcnt)&lt;10,("Wk0"&amp;(weekcnt)),("Wk"&amp;(weekcnt))),B1)</f>
        <v>Wk09</v>
      </c>
      <c r="B1" s="26"/>
    </row>
    <row r="3" spans="1:2" ht="13.5" thickBot="1" x14ac:dyDescent="0.25"/>
    <row r="4" spans="1:2" x14ac:dyDescent="0.2">
      <c r="A4" s="77" t="s">
        <v>110</v>
      </c>
      <c r="B4" s="77" t="s">
        <v>109</v>
      </c>
    </row>
    <row r="5" spans="1:2" x14ac:dyDescent="0.2">
      <c r="A5" s="74">
        <v>0</v>
      </c>
      <c r="B5" s="75">
        <f ca="1">histoBin(INDIRECT($A$1&amp;"!R25C11:R25C"&amp;11+[0]!playercnt-1,FALSE),A5-0.5,A5+0.5)</f>
        <v>4</v>
      </c>
    </row>
    <row r="6" spans="1:2" x14ac:dyDescent="0.2">
      <c r="A6" s="74">
        <v>1</v>
      </c>
      <c r="B6" s="75">
        <f ca="1">histoBin(INDIRECT($A$1&amp;"!R25C11:R25C"&amp;11+[0]!playercnt-1,FALSE),A6-0.5,A6+0.5)</f>
        <v>1</v>
      </c>
    </row>
    <row r="7" spans="1:2" x14ac:dyDescent="0.2">
      <c r="A7" s="74">
        <v>2</v>
      </c>
      <c r="B7" s="75">
        <f ca="1">histoBin(INDIRECT($A$1&amp;"!R25C11:R25C"&amp;11+[0]!playercnt-1,FALSE),A7-0.5,A7+0.5)</f>
        <v>5</v>
      </c>
    </row>
    <row r="8" spans="1:2" x14ac:dyDescent="0.2">
      <c r="A8" s="74">
        <v>3</v>
      </c>
      <c r="B8" s="75">
        <f ca="1">histoBin(INDIRECT($A$1&amp;"!R25C11:R25C"&amp;11+[0]!playercnt-1,FALSE),A8-0.5,A8+0.5)</f>
        <v>10</v>
      </c>
    </row>
    <row r="9" spans="1:2" x14ac:dyDescent="0.2">
      <c r="A9" s="74">
        <v>4</v>
      </c>
      <c r="B9" s="75">
        <f ca="1">histoBin(INDIRECT($A$1&amp;"!R25C11:R25C"&amp;11+[0]!playercnt-1,FALSE),A9-0.5,A9+0.5)</f>
        <v>19</v>
      </c>
    </row>
    <row r="10" spans="1:2" x14ac:dyDescent="0.2">
      <c r="A10" s="74">
        <v>5</v>
      </c>
      <c r="B10" s="75">
        <f ca="1">histoBin(INDIRECT($A$1&amp;"!R25C11:R25C"&amp;11+[0]!playercnt-1,FALSE),A10-0.5,A10+0.5)</f>
        <v>9</v>
      </c>
    </row>
    <row r="11" spans="1:2" x14ac:dyDescent="0.2">
      <c r="A11" s="74">
        <v>6</v>
      </c>
      <c r="B11" s="75">
        <f ca="1">histoBin(INDIRECT($A$1&amp;"!R25C11:R25C"&amp;11+[0]!playercnt-1,FALSE),A11-0.5,A11+0.5)</f>
        <v>3</v>
      </c>
    </row>
    <row r="12" spans="1:2" x14ac:dyDescent="0.2">
      <c r="A12" s="74">
        <v>7</v>
      </c>
      <c r="B12" s="75">
        <f ca="1">histoBin(INDIRECT($A$1&amp;"!R25C11:R25C"&amp;11+[0]!playercnt-1,FALSE),A12-0.5,A12+0.5)</f>
        <v>4</v>
      </c>
    </row>
    <row r="13" spans="1:2" x14ac:dyDescent="0.2">
      <c r="A13" s="74">
        <v>8</v>
      </c>
      <c r="B13" s="75">
        <f ca="1">histoBin(INDIRECT($A$1&amp;"!R25C11:R25C"&amp;11+[0]!playercnt-1,FALSE),A13-0.5,A13+0.5)</f>
        <v>0</v>
      </c>
    </row>
    <row r="14" spans="1:2" x14ac:dyDescent="0.2">
      <c r="A14" s="74">
        <v>9</v>
      </c>
      <c r="B14" s="75">
        <f ca="1">histoBin(INDIRECT($A$1&amp;"!R25C11:R25C"&amp;11+[0]!playercnt-1,FALSE),A14-0.5,A14+0.5)</f>
        <v>1</v>
      </c>
    </row>
    <row r="15" spans="1:2" x14ac:dyDescent="0.2">
      <c r="A15" s="74">
        <v>10</v>
      </c>
      <c r="B15" s="75">
        <f ca="1">histoBin(INDIRECT($A$1&amp;"!R25C11:R25C"&amp;11+[0]!playercnt-1,FALSE),A15-0.5,A15+0.5)</f>
        <v>0</v>
      </c>
    </row>
    <row r="16" spans="1:2" ht="13.5" thickBot="1" x14ac:dyDescent="0.25">
      <c r="A16" s="76"/>
      <c r="B16" s="76"/>
    </row>
    <row r="29" spans="1:2" x14ac:dyDescent="0.2">
      <c r="A29" t="s">
        <v>111</v>
      </c>
      <c r="B29" s="74">
        <f ca="1">MIN(INDIRECT("Standings!R8C4:R"&amp;8+playercnt-1&amp;"C4",FALSE))</f>
        <v>24</v>
      </c>
    </row>
    <row r="30" spans="1:2" x14ac:dyDescent="0.2">
      <c r="A30" t="s">
        <v>112</v>
      </c>
      <c r="B30" s="74">
        <f ca="1">MAX(INDIRECT("Standings!R8C4:R"&amp;8+playercnt-1&amp;"C4",FALSE))</f>
        <v>54</v>
      </c>
    </row>
    <row r="31" spans="1:2" ht="13.5" thickBot="1" x14ac:dyDescent="0.25">
      <c r="A31" t="s">
        <v>113</v>
      </c>
      <c r="B31">
        <f ca="1">IF((B30-B29)&lt;=10,1,(((B30-B29)/10)))</f>
        <v>3</v>
      </c>
    </row>
    <row r="32" spans="1:2" x14ac:dyDescent="0.2">
      <c r="A32" s="77" t="s">
        <v>110</v>
      </c>
      <c r="B32" s="77" t="s">
        <v>109</v>
      </c>
    </row>
    <row r="33" spans="1:2" x14ac:dyDescent="0.2">
      <c r="A33" s="74">
        <f ca="1">B29</f>
        <v>24</v>
      </c>
      <c r="B33" s="75">
        <f ca="1">histoBin(INDIRECT("Standings!R8C4:R"&amp;8+playercnt-1&amp;"C4",FALSE),A33-($B$31/2),A33+($B$31/2))</f>
        <v>1</v>
      </c>
    </row>
    <row r="34" spans="1:2" x14ac:dyDescent="0.2">
      <c r="A34" s="74">
        <f ca="1">A33+$B$31</f>
        <v>27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">
      <c r="A35" s="74">
        <f t="shared" ref="A35:A42" ca="1" si="1">A34+$B$31</f>
        <v>30</v>
      </c>
      <c r="B35" s="75">
        <f t="shared" ca="1" si="0"/>
        <v>0</v>
      </c>
    </row>
    <row r="36" spans="1:2" x14ac:dyDescent="0.2">
      <c r="A36" s="74">
        <f t="shared" ca="1" si="1"/>
        <v>33</v>
      </c>
      <c r="B36" s="75">
        <f t="shared" ca="1" si="0"/>
        <v>2</v>
      </c>
    </row>
    <row r="37" spans="1:2" x14ac:dyDescent="0.2">
      <c r="A37" s="74">
        <f t="shared" ca="1" si="1"/>
        <v>36</v>
      </c>
      <c r="B37" s="75">
        <f t="shared" ca="1" si="0"/>
        <v>6</v>
      </c>
    </row>
    <row r="38" spans="1:2" x14ac:dyDescent="0.2">
      <c r="A38" s="74">
        <f t="shared" ca="1" si="1"/>
        <v>39</v>
      </c>
      <c r="B38" s="75">
        <f t="shared" ca="1" si="0"/>
        <v>9</v>
      </c>
    </row>
    <row r="39" spans="1:2" x14ac:dyDescent="0.2">
      <c r="A39" s="74">
        <f t="shared" ca="1" si="1"/>
        <v>42</v>
      </c>
      <c r="B39" s="75">
        <f t="shared" ca="1" si="0"/>
        <v>10</v>
      </c>
    </row>
    <row r="40" spans="1:2" x14ac:dyDescent="0.2">
      <c r="A40" s="74">
        <f t="shared" ca="1" si="1"/>
        <v>45</v>
      </c>
      <c r="B40" s="75">
        <f t="shared" ca="1" si="0"/>
        <v>17</v>
      </c>
    </row>
    <row r="41" spans="1:2" x14ac:dyDescent="0.2">
      <c r="A41" s="74">
        <f t="shared" ca="1" si="1"/>
        <v>48</v>
      </c>
      <c r="B41" s="75">
        <f t="shared" ca="1" si="0"/>
        <v>7</v>
      </c>
    </row>
    <row r="42" spans="1:2" x14ac:dyDescent="0.2">
      <c r="A42" s="74">
        <f t="shared" ca="1" si="1"/>
        <v>51</v>
      </c>
      <c r="B42" s="75">
        <f t="shared" ca="1" si="0"/>
        <v>3</v>
      </c>
    </row>
    <row r="43" spans="1:2" x14ac:dyDescent="0.2">
      <c r="A43" s="74">
        <f ca="1">A42+$B$31</f>
        <v>54</v>
      </c>
      <c r="B43" s="75">
        <f t="shared" ca="1" si="0"/>
        <v>1</v>
      </c>
    </row>
    <row r="44" spans="1:2" ht="13.5" thickBot="1" x14ac:dyDescent="0.25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N110"/>
  <sheetViews>
    <sheetView zoomScale="70" zoomScaleNormal="70" workbookViewId="0">
      <pane ySplit="2145" topLeftCell="A36" activePane="bottomLeft"/>
      <selection activeCell="CA1" sqref="BO1:CA1048576"/>
      <selection pane="bottomLeft" activeCell="G38" sqref="G38"/>
    </sheetView>
  </sheetViews>
  <sheetFormatPr defaultRowHeight="12.75" x14ac:dyDescent="0.2"/>
  <cols>
    <col min="1" max="1" width="9.7109375" bestFit="1" customWidth="1"/>
    <col min="2" max="2" width="9.7109375" style="26" bestFit="1" customWidth="1"/>
    <col min="3" max="3" width="17.140625" bestFit="1" customWidth="1"/>
    <col min="4" max="6" width="0.7109375" customWidth="1"/>
    <col min="7" max="66" width="3.28515625" customWidth="1"/>
  </cols>
  <sheetData>
    <row r="2" spans="4:66" ht="120.75" x14ac:dyDescent="0.2">
      <c r="D2" s="2"/>
      <c r="E2" s="2"/>
      <c r="F2" s="2"/>
      <c r="G2" s="2" t="str">
        <f t="shared" ref="G2:BN2" ca="1" si="0">INDIRECT(ADDRESS(2,COLUMN(),,,$A$33))</f>
        <v>Mrs. HomeTeam</v>
      </c>
      <c r="H2" s="2" t="str">
        <f t="shared" ca="1" si="0"/>
        <v>Mr. Favorite</v>
      </c>
      <c r="I2" s="2" t="str">
        <f t="shared" ca="1" si="0"/>
        <v>Miss CDC</v>
      </c>
      <c r="J2" s="2" t="str">
        <f t="shared" ca="1" si="0"/>
        <v>Sagarin</v>
      </c>
      <c r="K2" s="2" t="str">
        <f t="shared" ca="1" si="0"/>
        <v>Aaron, Chip</v>
      </c>
      <c r="L2" s="2" t="str">
        <f t="shared" ca="1" si="0"/>
        <v>Barker, Christopher A</v>
      </c>
      <c r="M2" s="2" t="str">
        <f t="shared" ca="1" si="0"/>
        <v>Beasley, Tate</v>
      </c>
      <c r="N2" s="2" t="str">
        <f t="shared" ca="1" si="0"/>
        <v>Beckwith, Greg</v>
      </c>
      <c r="O2" s="2" t="str">
        <f t="shared" ca="1" si="0"/>
        <v>Boykin, Jerome W</v>
      </c>
      <c r="P2" s="2" t="str">
        <f t="shared" ca="1" si="0"/>
        <v>Carroll, Adam</v>
      </c>
      <c r="Q2" s="2" t="str">
        <f t="shared" ca="1" si="0"/>
        <v>Daffron, Christopher</v>
      </c>
      <c r="R2" s="2" t="str">
        <f t="shared" ca="1" si="0"/>
        <v>Delehanty, Kyle T</v>
      </c>
      <c r="S2" s="2" t="str">
        <f t="shared" ca="1" si="0"/>
        <v>Desetto, Daniel</v>
      </c>
      <c r="T2" s="2" t="str">
        <f t="shared" ca="1" si="0"/>
        <v>Desetto, Thomas Remote</v>
      </c>
      <c r="U2" s="2" t="str">
        <f t="shared" ca="1" si="0"/>
        <v>Desing, Scott M</v>
      </c>
      <c r="V2" s="2" t="str">
        <f t="shared" ca="1" si="0"/>
        <v>Drebin, James</v>
      </c>
      <c r="W2" s="2" t="str">
        <f t="shared" ca="1" si="0"/>
        <v>Edwards, Christopher S</v>
      </c>
      <c r="X2" s="2" t="str">
        <f t="shared" ca="1" si="0"/>
        <v>Emptage, Nick</v>
      </c>
      <c r="Y2" s="2" t="str">
        <f t="shared" ca="1" si="0"/>
        <v>Ferguson, Scott Remote</v>
      </c>
      <c r="Z2" s="2" t="str">
        <f t="shared" ca="1" si="0"/>
        <v>Fonville, Chris</v>
      </c>
      <c r="AA2" s="2" t="str">
        <f t="shared" ca="1" si="0"/>
        <v>Gilmer, Justin T</v>
      </c>
      <c r="AB2" s="2" t="str">
        <f t="shared" ca="1" si="0"/>
        <v>Hendrick, Matt R</v>
      </c>
      <c r="AC2" s="2" t="str">
        <f t="shared" ca="1" si="0"/>
        <v>Holden, Brent Remote</v>
      </c>
      <c r="AD2" s="2" t="str">
        <f t="shared" ca="1" si="0"/>
        <v>Holley, Jeremy Remote</v>
      </c>
      <c r="AE2" s="2" t="str">
        <f t="shared" ca="1" si="0"/>
        <v>Inabinet, Gregory</v>
      </c>
      <c r="AF2" s="2" t="str">
        <f t="shared" ca="1" si="0"/>
        <v>James, Larry Remote</v>
      </c>
      <c r="AG2" s="2" t="str">
        <f t="shared" ca="1" si="0"/>
        <v>Johnson, Creed D</v>
      </c>
      <c r="AH2" s="2" t="str">
        <f t="shared" ca="1" si="0"/>
        <v>Locklear, Dave Remote</v>
      </c>
      <c r="AI2" s="2" t="str">
        <f t="shared" ca="1" si="0"/>
        <v>Marsh, Alexander Remote</v>
      </c>
      <c r="AJ2" s="2" t="str">
        <f t="shared" ca="1" si="0"/>
        <v>Martin, Douglas C</v>
      </c>
      <c r="AK2" s="2" t="str">
        <f t="shared" ca="1" si="0"/>
        <v>Mccoy, William M</v>
      </c>
      <c r="AL2" s="2" t="str">
        <f t="shared" ca="1" si="0"/>
        <v>Montanez, Johanna</v>
      </c>
      <c r="AM2" s="2" t="str">
        <f t="shared" ca="1" si="0"/>
        <v>Moore, Kevin B</v>
      </c>
      <c r="AN2" s="2" t="str">
        <f t="shared" ca="1" si="0"/>
        <v>Murdaugh, Stephen K</v>
      </c>
      <c r="AO2" s="2" t="str">
        <f t="shared" ca="1" si="0"/>
        <v>Murphy, William A</v>
      </c>
      <c r="AP2" s="2" t="str">
        <f t="shared" ca="1" si="0"/>
        <v>Nance, Rob Remote</v>
      </c>
      <c r="AQ2" s="2" t="str">
        <f t="shared" ca="1" si="0"/>
        <v>Neeley, Amber Remote</v>
      </c>
      <c r="AR2" s="2" t="str">
        <f t="shared" ca="1" si="0"/>
        <v>Neeley, Michael Remote</v>
      </c>
      <c r="AS2" s="2" t="str">
        <f t="shared" ca="1" si="0"/>
        <v>Neill, Charles H</v>
      </c>
      <c r="AT2" s="2" t="str">
        <f t="shared" ca="1" si="0"/>
        <v>Nguyen, Thai Remote</v>
      </c>
      <c r="AU2" s="2" t="str">
        <f t="shared" ca="1" si="0"/>
        <v>Paul, Wilmaison</v>
      </c>
      <c r="AV2" s="2" t="str">
        <f t="shared" ca="1" si="0"/>
        <v>Penrose, Tim Remote</v>
      </c>
      <c r="AW2" s="2" t="str">
        <f t="shared" ca="1" si="0"/>
        <v>Powell, LaMar</v>
      </c>
      <c r="AX2" s="2" t="str">
        <f t="shared" ca="1" si="0"/>
        <v>Reams, Byron L</v>
      </c>
      <c r="AY2" s="2" t="str">
        <f t="shared" ca="1" si="0"/>
        <v>Robbins, Dale</v>
      </c>
      <c r="AZ2" s="2" t="str">
        <f t="shared" ca="1" si="0"/>
        <v>Robbins, Thomas D</v>
      </c>
      <c r="BA2" s="2" t="str">
        <f t="shared" ca="1" si="0"/>
        <v>Ruffin, Chris</v>
      </c>
      <c r="BB2" s="2" t="str">
        <f t="shared" ca="1" si="0"/>
        <v>Sams, David</v>
      </c>
      <c r="BC2" s="2" t="str">
        <f t="shared" ca="1" si="0"/>
        <v>Sapp, Carl G</v>
      </c>
      <c r="BD2" s="2" t="str">
        <f t="shared" ca="1" si="0"/>
        <v>Staub, Kevin</v>
      </c>
      <c r="BE2" s="2" t="str">
        <f t="shared" ca="1" si="0"/>
        <v>Staub, Ryan</v>
      </c>
      <c r="BF2" s="2" t="str">
        <f t="shared" ca="1" si="0"/>
        <v>Steel, Van Remote</v>
      </c>
      <c r="BG2" s="2" t="str">
        <f t="shared" ca="1" si="0"/>
        <v>Stonecypher, David</v>
      </c>
      <c r="BH2" s="2" t="str">
        <f t="shared" ca="1" si="0"/>
        <v>Straw, Adam D</v>
      </c>
      <c r="BI2" s="2" t="str">
        <f t="shared" ca="1" si="0"/>
        <v>Warren, Jason</v>
      </c>
      <c r="BJ2" s="2" t="str">
        <f t="shared" ca="1" si="0"/>
        <v>Warren, Todd Remote</v>
      </c>
      <c r="BK2" s="2" t="str">
        <f t="shared" ca="1" si="0"/>
        <v>Wells, Seth Remote</v>
      </c>
      <c r="BL2" s="2" t="str">
        <f t="shared" ca="1" si="0"/>
        <v>White, Jarred</v>
      </c>
      <c r="BM2" s="2" t="str">
        <f t="shared" ca="1" si="0"/>
        <v>Winburn, Steve A</v>
      </c>
      <c r="BN2" s="2" t="str">
        <f t="shared" ca="1" si="0"/>
        <v>Young, Kenneth</v>
      </c>
    </row>
    <row r="3" spans="4:66" x14ac:dyDescent="0.2">
      <c r="G3">
        <f t="shared" ref="G3:T16" ca="1" si="1">COUNTA(INDIRECT(ADDRESS(ROW(),COLUMN(),,,$A$33)))</f>
        <v>0</v>
      </c>
      <c r="H3">
        <f ca="1">(INDIRECT(ADDRESS(ROW(),COLUMN(),,,$A$33)))</f>
        <v>1</v>
      </c>
      <c r="I3">
        <f ca="1">(INDIRECT(ADDRESS(ROW(),COLUMN(),,,$A$33)))</f>
        <v>1</v>
      </c>
      <c r="J3">
        <f t="shared" ca="1" si="1"/>
        <v>0</v>
      </c>
      <c r="K3">
        <f t="shared" ca="1" si="1"/>
        <v>1</v>
      </c>
      <c r="L3">
        <f t="shared" ca="1" si="1"/>
        <v>1</v>
      </c>
      <c r="M3">
        <f t="shared" ca="1" si="1"/>
        <v>1</v>
      </c>
      <c r="N3">
        <f t="shared" ca="1" si="1"/>
        <v>1</v>
      </c>
      <c r="O3">
        <f t="shared" ca="1" si="1"/>
        <v>1</v>
      </c>
      <c r="P3">
        <f t="shared" ca="1" si="1"/>
        <v>1</v>
      </c>
      <c r="Q3">
        <f t="shared" ca="1" si="1"/>
        <v>1</v>
      </c>
      <c r="R3">
        <f t="shared" ca="1" si="1"/>
        <v>1</v>
      </c>
      <c r="S3">
        <f t="shared" ca="1" si="1"/>
        <v>1</v>
      </c>
      <c r="T3">
        <f t="shared" ca="1" si="1"/>
        <v>0</v>
      </c>
      <c r="U3">
        <f t="shared" ref="U3:AJ18" ca="1" si="2">COUNTA(INDIRECT(ADDRESS(ROW(),COLUMN(),,,$A$33)))</f>
        <v>1</v>
      </c>
      <c r="V3">
        <f t="shared" ca="1" si="2"/>
        <v>1</v>
      </c>
      <c r="W3">
        <f t="shared" ca="1" si="2"/>
        <v>1</v>
      </c>
      <c r="X3">
        <f t="shared" ca="1" si="2"/>
        <v>1</v>
      </c>
      <c r="Y3">
        <f t="shared" ca="1" si="2"/>
        <v>1</v>
      </c>
      <c r="Z3">
        <f t="shared" ca="1" si="2"/>
        <v>1</v>
      </c>
      <c r="AA3">
        <f t="shared" ca="1" si="2"/>
        <v>1</v>
      </c>
      <c r="AB3">
        <f t="shared" ca="1" si="2"/>
        <v>1</v>
      </c>
      <c r="AC3">
        <f t="shared" ca="1" si="2"/>
        <v>1</v>
      </c>
      <c r="AD3">
        <f t="shared" ca="1" si="2"/>
        <v>1</v>
      </c>
      <c r="AE3">
        <f t="shared" ca="1" si="2"/>
        <v>1</v>
      </c>
      <c r="AF3">
        <f t="shared" ca="1" si="2"/>
        <v>1</v>
      </c>
      <c r="AG3">
        <f t="shared" ca="1" si="2"/>
        <v>1</v>
      </c>
      <c r="AH3">
        <f t="shared" ca="1" si="2"/>
        <v>1</v>
      </c>
      <c r="AI3">
        <f t="shared" ca="1" si="2"/>
        <v>1</v>
      </c>
      <c r="AJ3">
        <f t="shared" ca="1" si="2"/>
        <v>1</v>
      </c>
      <c r="AK3">
        <f t="shared" ref="AG3:AV18" ca="1" si="3">COUNTA(INDIRECT(ADDRESS(ROW(),COLUMN(),,,$A$33)))</f>
        <v>0</v>
      </c>
      <c r="AL3">
        <f t="shared" ca="1" si="3"/>
        <v>1</v>
      </c>
      <c r="AM3">
        <f t="shared" ca="1" si="3"/>
        <v>1</v>
      </c>
      <c r="AN3">
        <f t="shared" ca="1" si="3"/>
        <v>1</v>
      </c>
      <c r="AO3">
        <f t="shared" ca="1" si="3"/>
        <v>0</v>
      </c>
      <c r="AP3">
        <f t="shared" ca="1" si="3"/>
        <v>0</v>
      </c>
      <c r="AQ3">
        <f t="shared" ca="1" si="3"/>
        <v>1</v>
      </c>
      <c r="AR3">
        <f t="shared" ca="1" si="3"/>
        <v>0</v>
      </c>
      <c r="AS3">
        <f t="shared" ca="1" si="3"/>
        <v>1</v>
      </c>
      <c r="AT3">
        <f t="shared" ca="1" si="3"/>
        <v>1</v>
      </c>
      <c r="AU3">
        <f t="shared" ca="1" si="3"/>
        <v>1</v>
      </c>
      <c r="AV3">
        <f t="shared" ca="1" si="3"/>
        <v>1</v>
      </c>
      <c r="AW3">
        <f t="shared" ref="AW3:BN4" ca="1" si="4">COUNTA(INDIRECT(ADDRESS(ROW(),COLUMN(),,,$A$33)))</f>
        <v>1</v>
      </c>
      <c r="AX3">
        <f t="shared" ca="1" si="4"/>
        <v>1</v>
      </c>
      <c r="AY3">
        <f t="shared" ca="1" si="4"/>
        <v>1</v>
      </c>
      <c r="AZ3">
        <f t="shared" ca="1" si="4"/>
        <v>1</v>
      </c>
      <c r="BA3">
        <f t="shared" ca="1" si="4"/>
        <v>1</v>
      </c>
      <c r="BB3">
        <f t="shared" ca="1" si="4"/>
        <v>1</v>
      </c>
      <c r="BC3">
        <f t="shared" ca="1" si="4"/>
        <v>1</v>
      </c>
      <c r="BD3">
        <f t="shared" ca="1" si="4"/>
        <v>1</v>
      </c>
      <c r="BE3">
        <f t="shared" ca="1" si="4"/>
        <v>1</v>
      </c>
      <c r="BF3">
        <f t="shared" ca="1" si="4"/>
        <v>1</v>
      </c>
      <c r="BG3">
        <f t="shared" ca="1" si="4"/>
        <v>0</v>
      </c>
      <c r="BH3">
        <f t="shared" ca="1" si="4"/>
        <v>1</v>
      </c>
      <c r="BI3">
        <f t="shared" ca="1" si="4"/>
        <v>1</v>
      </c>
      <c r="BJ3">
        <f t="shared" ca="1" si="4"/>
        <v>1</v>
      </c>
      <c r="BK3">
        <f t="shared" ca="1" si="4"/>
        <v>1</v>
      </c>
      <c r="BL3">
        <f t="shared" ca="1" si="4"/>
        <v>1</v>
      </c>
      <c r="BM3">
        <f t="shared" ca="1" si="4"/>
        <v>1</v>
      </c>
      <c r="BN3">
        <f t="shared" ca="1" si="4"/>
        <v>1</v>
      </c>
    </row>
    <row r="4" spans="4:66" x14ac:dyDescent="0.2">
      <c r="G4">
        <f t="shared" ca="1" si="1"/>
        <v>1</v>
      </c>
      <c r="H4">
        <f t="shared" ref="H4:H22" ca="1" si="5">(INDIRECT(ADDRESS(ROW(),COLUMN(),,,$A$33)))</f>
        <v>0</v>
      </c>
      <c r="I4">
        <f t="shared" ref="I4:I22" ca="1" si="6">(INDIRECT(ADDRESS(ROW(),COLUMN(),,,$A$33)))</f>
        <v>0</v>
      </c>
      <c r="J4">
        <f t="shared" ca="1" si="1"/>
        <v>0</v>
      </c>
      <c r="K4">
        <f t="shared" ca="1" si="1"/>
        <v>0</v>
      </c>
      <c r="L4">
        <f t="shared" ca="1" si="1"/>
        <v>0</v>
      </c>
      <c r="M4">
        <f t="shared" ca="1" si="1"/>
        <v>0</v>
      </c>
      <c r="N4">
        <f t="shared" ca="1" si="1"/>
        <v>0</v>
      </c>
      <c r="O4">
        <f t="shared" ca="1" si="1"/>
        <v>0</v>
      </c>
      <c r="P4">
        <f t="shared" ca="1" si="1"/>
        <v>0</v>
      </c>
      <c r="Q4">
        <f t="shared" ca="1" si="1"/>
        <v>0</v>
      </c>
      <c r="R4">
        <f t="shared" ca="1" si="1"/>
        <v>0</v>
      </c>
      <c r="S4">
        <f t="shared" ca="1" si="1"/>
        <v>0</v>
      </c>
      <c r="T4">
        <f t="shared" ca="1" si="1"/>
        <v>1</v>
      </c>
      <c r="U4">
        <f t="shared" ca="1" si="2"/>
        <v>0</v>
      </c>
      <c r="V4">
        <f t="shared" ca="1" si="2"/>
        <v>0</v>
      </c>
      <c r="W4">
        <f t="shared" ca="1" si="2"/>
        <v>0</v>
      </c>
      <c r="X4">
        <f t="shared" ca="1" si="2"/>
        <v>0</v>
      </c>
      <c r="Y4">
        <f t="shared" ca="1" si="2"/>
        <v>0</v>
      </c>
      <c r="Z4">
        <f t="shared" ca="1" si="2"/>
        <v>0</v>
      </c>
      <c r="AA4">
        <f t="shared" ca="1" si="2"/>
        <v>0</v>
      </c>
      <c r="AB4">
        <f t="shared" ca="1" si="2"/>
        <v>0</v>
      </c>
      <c r="AC4">
        <f t="shared" ca="1" si="2"/>
        <v>0</v>
      </c>
      <c r="AD4">
        <f t="shared" ca="1" si="2"/>
        <v>0</v>
      </c>
      <c r="AE4">
        <f t="shared" ca="1" si="2"/>
        <v>0</v>
      </c>
      <c r="AF4">
        <f t="shared" ca="1" si="2"/>
        <v>0</v>
      </c>
      <c r="AG4">
        <f t="shared" ca="1" si="3"/>
        <v>0</v>
      </c>
      <c r="AH4">
        <f t="shared" ca="1" si="3"/>
        <v>0</v>
      </c>
      <c r="AI4">
        <f t="shared" ca="1" si="3"/>
        <v>0</v>
      </c>
      <c r="AJ4">
        <f t="shared" ca="1" si="3"/>
        <v>0</v>
      </c>
      <c r="AK4">
        <f t="shared" ca="1" si="3"/>
        <v>0</v>
      </c>
      <c r="AL4">
        <f t="shared" ca="1" si="3"/>
        <v>0</v>
      </c>
      <c r="AM4">
        <f t="shared" ca="1" si="3"/>
        <v>0</v>
      </c>
      <c r="AN4">
        <f t="shared" ca="1" si="3"/>
        <v>0</v>
      </c>
      <c r="AO4">
        <f t="shared" ca="1" si="3"/>
        <v>1</v>
      </c>
      <c r="AP4">
        <f t="shared" ref="AP4:BI19" ca="1" si="7">COUNTA(INDIRECT(ADDRESS(ROW(),COLUMN(),,,$A$33)))</f>
        <v>0</v>
      </c>
      <c r="AQ4">
        <f t="shared" ca="1" si="7"/>
        <v>0</v>
      </c>
      <c r="AR4">
        <f t="shared" ca="1" si="7"/>
        <v>1</v>
      </c>
      <c r="AS4">
        <f t="shared" ca="1" si="7"/>
        <v>0</v>
      </c>
      <c r="AT4">
        <f t="shared" ca="1" si="7"/>
        <v>0</v>
      </c>
      <c r="AU4">
        <f t="shared" ca="1" si="7"/>
        <v>0</v>
      </c>
      <c r="AV4">
        <f t="shared" ca="1" si="7"/>
        <v>0</v>
      </c>
      <c r="AW4">
        <f t="shared" ca="1" si="7"/>
        <v>0</v>
      </c>
      <c r="AX4">
        <f t="shared" ca="1" si="7"/>
        <v>0</v>
      </c>
      <c r="AY4">
        <f t="shared" ca="1" si="7"/>
        <v>0</v>
      </c>
      <c r="AZ4">
        <f t="shared" ca="1" si="7"/>
        <v>0</v>
      </c>
      <c r="BA4">
        <f t="shared" ca="1" si="7"/>
        <v>0</v>
      </c>
      <c r="BB4">
        <f t="shared" ca="1" si="7"/>
        <v>0</v>
      </c>
      <c r="BC4">
        <f t="shared" ca="1" si="7"/>
        <v>0</v>
      </c>
      <c r="BD4">
        <f t="shared" ca="1" si="7"/>
        <v>0</v>
      </c>
      <c r="BE4">
        <f t="shared" ca="1" si="7"/>
        <v>0</v>
      </c>
      <c r="BF4">
        <f t="shared" ca="1" si="7"/>
        <v>0</v>
      </c>
      <c r="BG4">
        <f t="shared" ca="1" si="7"/>
        <v>1</v>
      </c>
      <c r="BH4">
        <f t="shared" ca="1" si="7"/>
        <v>0</v>
      </c>
      <c r="BI4">
        <f t="shared" ca="1" si="7"/>
        <v>0</v>
      </c>
      <c r="BJ4">
        <f t="shared" ca="1" si="4"/>
        <v>0</v>
      </c>
      <c r="BK4">
        <f t="shared" ca="1" si="4"/>
        <v>0</v>
      </c>
      <c r="BL4">
        <f t="shared" ca="1" si="4"/>
        <v>0</v>
      </c>
      <c r="BM4">
        <f t="shared" ca="1" si="4"/>
        <v>0</v>
      </c>
      <c r="BN4">
        <f t="shared" ca="1" si="4"/>
        <v>0</v>
      </c>
    </row>
    <row r="5" spans="4:66" x14ac:dyDescent="0.2">
      <c r="G5">
        <f t="shared" ca="1" si="1"/>
        <v>0</v>
      </c>
      <c r="H5">
        <f t="shared" ca="1" si="5"/>
        <v>0</v>
      </c>
      <c r="I5">
        <f t="shared" ca="1" si="6"/>
        <v>0.5</v>
      </c>
      <c r="J5">
        <f t="shared" ca="1" si="1"/>
        <v>0</v>
      </c>
      <c r="K5">
        <f t="shared" ca="1" si="1"/>
        <v>0</v>
      </c>
      <c r="L5">
        <f t="shared" ca="1" si="1"/>
        <v>0</v>
      </c>
      <c r="M5">
        <f t="shared" ca="1" si="1"/>
        <v>1</v>
      </c>
      <c r="N5">
        <f t="shared" ca="1" si="1"/>
        <v>0</v>
      </c>
      <c r="O5">
        <f t="shared" ca="1" si="1"/>
        <v>1</v>
      </c>
      <c r="P5">
        <f t="shared" ca="1" si="1"/>
        <v>1</v>
      </c>
      <c r="Q5">
        <f t="shared" ca="1" si="1"/>
        <v>1</v>
      </c>
      <c r="R5">
        <f t="shared" ca="1" si="1"/>
        <v>0</v>
      </c>
      <c r="S5">
        <f t="shared" ca="1" si="1"/>
        <v>1</v>
      </c>
      <c r="T5">
        <f t="shared" ca="1" si="1"/>
        <v>1</v>
      </c>
      <c r="U5">
        <f t="shared" ca="1" si="2"/>
        <v>0</v>
      </c>
      <c r="V5">
        <f t="shared" ca="1" si="2"/>
        <v>1</v>
      </c>
      <c r="W5">
        <f t="shared" ca="1" si="2"/>
        <v>1</v>
      </c>
      <c r="X5">
        <f t="shared" ca="1" si="2"/>
        <v>1</v>
      </c>
      <c r="Y5">
        <f t="shared" ca="1" si="2"/>
        <v>0</v>
      </c>
      <c r="Z5">
        <f t="shared" ca="1" si="2"/>
        <v>1</v>
      </c>
      <c r="AA5">
        <f t="shared" ca="1" si="2"/>
        <v>1</v>
      </c>
      <c r="AB5">
        <f t="shared" ca="1" si="2"/>
        <v>0</v>
      </c>
      <c r="AC5">
        <f t="shared" ca="1" si="2"/>
        <v>0</v>
      </c>
      <c r="AD5">
        <f t="shared" ca="1" si="2"/>
        <v>0</v>
      </c>
      <c r="AE5">
        <f t="shared" ca="1" si="2"/>
        <v>0</v>
      </c>
      <c r="AF5">
        <f t="shared" ca="1" si="2"/>
        <v>1</v>
      </c>
      <c r="AG5">
        <f t="shared" ca="1" si="3"/>
        <v>0</v>
      </c>
      <c r="AH5">
        <f t="shared" ca="1" si="3"/>
        <v>0</v>
      </c>
      <c r="AI5">
        <f t="shared" ca="1" si="3"/>
        <v>1</v>
      </c>
      <c r="AJ5">
        <f t="shared" ca="1" si="3"/>
        <v>0</v>
      </c>
      <c r="AK5">
        <f t="shared" ca="1" si="3"/>
        <v>0</v>
      </c>
      <c r="AL5">
        <f t="shared" ca="1" si="3"/>
        <v>0</v>
      </c>
      <c r="AM5">
        <f t="shared" ca="1" si="3"/>
        <v>0</v>
      </c>
      <c r="AN5">
        <f t="shared" ca="1" si="3"/>
        <v>0</v>
      </c>
      <c r="AO5">
        <f t="shared" ca="1" si="3"/>
        <v>1</v>
      </c>
      <c r="AP5">
        <f t="shared" ca="1" si="7"/>
        <v>0</v>
      </c>
      <c r="AQ5">
        <f t="shared" ca="1" si="7"/>
        <v>0</v>
      </c>
      <c r="AR5">
        <f t="shared" ca="1" si="7"/>
        <v>1</v>
      </c>
      <c r="AS5">
        <f t="shared" ca="1" si="7"/>
        <v>1</v>
      </c>
      <c r="AT5">
        <f t="shared" ca="1" si="7"/>
        <v>0</v>
      </c>
      <c r="AU5">
        <f t="shared" ca="1" si="7"/>
        <v>1</v>
      </c>
      <c r="AV5">
        <f t="shared" ca="1" si="7"/>
        <v>0</v>
      </c>
      <c r="AW5">
        <f t="shared" ca="1" si="7"/>
        <v>1</v>
      </c>
      <c r="AX5">
        <f t="shared" ca="1" si="7"/>
        <v>1</v>
      </c>
      <c r="AY5">
        <f t="shared" ca="1" si="7"/>
        <v>0</v>
      </c>
      <c r="AZ5">
        <f t="shared" ca="1" si="7"/>
        <v>1</v>
      </c>
      <c r="BA5">
        <f t="shared" ca="1" si="7"/>
        <v>1</v>
      </c>
      <c r="BB5">
        <f t="shared" ca="1" si="7"/>
        <v>0</v>
      </c>
      <c r="BC5">
        <f t="shared" ref="BC5:BN18" ca="1" si="8">COUNTA(INDIRECT(ADDRESS(ROW(),COLUMN(),,,$A$33)))</f>
        <v>0</v>
      </c>
      <c r="BD5">
        <f t="shared" ca="1" si="8"/>
        <v>1</v>
      </c>
      <c r="BE5">
        <f t="shared" ca="1" si="8"/>
        <v>1</v>
      </c>
      <c r="BF5">
        <f t="shared" ca="1" si="8"/>
        <v>0</v>
      </c>
      <c r="BG5">
        <f t="shared" ca="1" si="8"/>
        <v>1</v>
      </c>
      <c r="BH5">
        <f t="shared" ca="1" si="8"/>
        <v>0</v>
      </c>
      <c r="BI5">
        <f t="shared" ca="1" si="8"/>
        <v>0</v>
      </c>
      <c r="BJ5">
        <f t="shared" ca="1" si="8"/>
        <v>1</v>
      </c>
      <c r="BK5">
        <f t="shared" ca="1" si="8"/>
        <v>1</v>
      </c>
      <c r="BL5">
        <f t="shared" ca="1" si="8"/>
        <v>1</v>
      </c>
      <c r="BM5">
        <f t="shared" ca="1" si="8"/>
        <v>0</v>
      </c>
      <c r="BN5">
        <f t="shared" ca="1" si="8"/>
        <v>0</v>
      </c>
    </row>
    <row r="6" spans="4:66" x14ac:dyDescent="0.2">
      <c r="G6">
        <f t="shared" ca="1" si="1"/>
        <v>1</v>
      </c>
      <c r="H6">
        <f t="shared" ca="1" si="5"/>
        <v>1</v>
      </c>
      <c r="I6">
        <f t="shared" ca="1" si="6"/>
        <v>0.5</v>
      </c>
      <c r="J6">
        <f t="shared" ca="1" si="1"/>
        <v>0</v>
      </c>
      <c r="K6">
        <f t="shared" ca="1" si="1"/>
        <v>1</v>
      </c>
      <c r="L6">
        <f t="shared" ca="1" si="1"/>
        <v>1</v>
      </c>
      <c r="M6">
        <f t="shared" ca="1" si="1"/>
        <v>0</v>
      </c>
      <c r="N6">
        <f t="shared" ca="1" si="1"/>
        <v>1</v>
      </c>
      <c r="O6">
        <f t="shared" ca="1" si="1"/>
        <v>0</v>
      </c>
      <c r="P6">
        <f t="shared" ca="1" si="1"/>
        <v>0</v>
      </c>
      <c r="Q6">
        <f t="shared" ca="1" si="1"/>
        <v>0</v>
      </c>
      <c r="R6">
        <f t="shared" ca="1" si="1"/>
        <v>1</v>
      </c>
      <c r="S6">
        <f t="shared" ca="1" si="1"/>
        <v>0</v>
      </c>
      <c r="T6">
        <f t="shared" ca="1" si="1"/>
        <v>0</v>
      </c>
      <c r="U6">
        <f t="shared" ca="1" si="2"/>
        <v>1</v>
      </c>
      <c r="V6">
        <f t="shared" ca="1" si="2"/>
        <v>0</v>
      </c>
      <c r="W6">
        <f t="shared" ca="1" si="2"/>
        <v>0</v>
      </c>
      <c r="X6">
        <f t="shared" ca="1" si="2"/>
        <v>0</v>
      </c>
      <c r="Y6">
        <f t="shared" ca="1" si="2"/>
        <v>1</v>
      </c>
      <c r="Z6">
        <f t="shared" ca="1" si="2"/>
        <v>0</v>
      </c>
      <c r="AA6">
        <f t="shared" ca="1" si="2"/>
        <v>0</v>
      </c>
      <c r="AB6">
        <f t="shared" ca="1" si="2"/>
        <v>1</v>
      </c>
      <c r="AC6">
        <f t="shared" ca="1" si="2"/>
        <v>1</v>
      </c>
      <c r="AD6">
        <f t="shared" ca="1" si="2"/>
        <v>1</v>
      </c>
      <c r="AE6">
        <f t="shared" ca="1" si="2"/>
        <v>1</v>
      </c>
      <c r="AF6">
        <f t="shared" ca="1" si="2"/>
        <v>0</v>
      </c>
      <c r="AG6">
        <f t="shared" ca="1" si="3"/>
        <v>1</v>
      </c>
      <c r="AH6">
        <f t="shared" ca="1" si="3"/>
        <v>1</v>
      </c>
      <c r="AI6">
        <f t="shared" ca="1" si="3"/>
        <v>0</v>
      </c>
      <c r="AJ6">
        <f t="shared" ca="1" si="3"/>
        <v>1</v>
      </c>
      <c r="AK6">
        <f t="shared" ca="1" si="3"/>
        <v>0</v>
      </c>
      <c r="AL6">
        <f t="shared" ca="1" si="3"/>
        <v>1</v>
      </c>
      <c r="AM6">
        <f t="shared" ca="1" si="3"/>
        <v>1</v>
      </c>
      <c r="AN6">
        <f t="shared" ca="1" si="3"/>
        <v>1</v>
      </c>
      <c r="AO6">
        <f t="shared" ca="1" si="3"/>
        <v>0</v>
      </c>
      <c r="AP6">
        <f t="shared" ca="1" si="7"/>
        <v>0</v>
      </c>
      <c r="AQ6">
        <f t="shared" ca="1" si="7"/>
        <v>1</v>
      </c>
      <c r="AR6">
        <f t="shared" ca="1" si="7"/>
        <v>0</v>
      </c>
      <c r="AS6">
        <f t="shared" ca="1" si="7"/>
        <v>0</v>
      </c>
      <c r="AT6">
        <f t="shared" ca="1" si="7"/>
        <v>1</v>
      </c>
      <c r="AU6">
        <f t="shared" ca="1" si="7"/>
        <v>0</v>
      </c>
      <c r="AV6">
        <f t="shared" ca="1" si="7"/>
        <v>1</v>
      </c>
      <c r="AW6">
        <f t="shared" ca="1" si="7"/>
        <v>0</v>
      </c>
      <c r="AX6">
        <f t="shared" ca="1" si="7"/>
        <v>0</v>
      </c>
      <c r="AY6">
        <f t="shared" ca="1" si="7"/>
        <v>1</v>
      </c>
      <c r="AZ6">
        <f t="shared" ca="1" si="7"/>
        <v>0</v>
      </c>
      <c r="BA6">
        <f t="shared" ca="1" si="7"/>
        <v>0</v>
      </c>
      <c r="BB6">
        <f t="shared" ca="1" si="7"/>
        <v>1</v>
      </c>
      <c r="BC6">
        <f t="shared" ca="1" si="8"/>
        <v>1</v>
      </c>
      <c r="BD6">
        <f t="shared" ca="1" si="8"/>
        <v>0</v>
      </c>
      <c r="BE6">
        <f t="shared" ca="1" si="8"/>
        <v>0</v>
      </c>
      <c r="BF6">
        <f t="shared" ca="1" si="8"/>
        <v>1</v>
      </c>
      <c r="BG6">
        <f t="shared" ca="1" si="8"/>
        <v>0</v>
      </c>
      <c r="BH6">
        <f t="shared" ca="1" si="8"/>
        <v>1</v>
      </c>
      <c r="BI6">
        <f t="shared" ca="1" si="8"/>
        <v>1</v>
      </c>
      <c r="BJ6">
        <f t="shared" ca="1" si="8"/>
        <v>0</v>
      </c>
      <c r="BK6">
        <f t="shared" ca="1" si="8"/>
        <v>0</v>
      </c>
      <c r="BL6">
        <f t="shared" ca="1" si="8"/>
        <v>0</v>
      </c>
      <c r="BM6">
        <f t="shared" ca="1" si="8"/>
        <v>1</v>
      </c>
      <c r="BN6">
        <f t="shared" ca="1" si="8"/>
        <v>1</v>
      </c>
    </row>
    <row r="7" spans="4:66" x14ac:dyDescent="0.2">
      <c r="G7">
        <f t="shared" ca="1" si="1"/>
        <v>0</v>
      </c>
      <c r="H7">
        <f t="shared" ca="1" si="5"/>
        <v>0</v>
      </c>
      <c r="I7">
        <f t="shared" ca="1" si="6"/>
        <v>1</v>
      </c>
      <c r="J7">
        <f t="shared" ca="1" si="1"/>
        <v>0</v>
      </c>
      <c r="K7">
        <f t="shared" ca="1" si="1"/>
        <v>1</v>
      </c>
      <c r="L7">
        <f t="shared" ca="1" si="1"/>
        <v>1</v>
      </c>
      <c r="M7">
        <f t="shared" ca="1" si="1"/>
        <v>1</v>
      </c>
      <c r="N7">
        <f t="shared" ca="1" si="1"/>
        <v>0</v>
      </c>
      <c r="O7">
        <f t="shared" ca="1" si="1"/>
        <v>0</v>
      </c>
      <c r="P7">
        <f t="shared" ca="1" si="1"/>
        <v>0</v>
      </c>
      <c r="Q7">
        <f t="shared" ca="1" si="1"/>
        <v>0</v>
      </c>
      <c r="R7">
        <f t="shared" ca="1" si="1"/>
        <v>1</v>
      </c>
      <c r="S7">
        <f t="shared" ca="1" si="1"/>
        <v>1</v>
      </c>
      <c r="T7">
        <f t="shared" ca="1" si="1"/>
        <v>0</v>
      </c>
      <c r="U7">
        <f t="shared" ca="1" si="2"/>
        <v>1</v>
      </c>
      <c r="V7">
        <f t="shared" ca="1" si="2"/>
        <v>0</v>
      </c>
      <c r="W7">
        <f t="shared" ca="1" si="2"/>
        <v>1</v>
      </c>
      <c r="X7">
        <f t="shared" ca="1" si="2"/>
        <v>1</v>
      </c>
      <c r="Y7">
        <f t="shared" ca="1" si="2"/>
        <v>0</v>
      </c>
      <c r="Z7">
        <f t="shared" ca="1" si="2"/>
        <v>0</v>
      </c>
      <c r="AA7">
        <f t="shared" ca="1" si="2"/>
        <v>1</v>
      </c>
      <c r="AB7">
        <f t="shared" ca="1" si="2"/>
        <v>0</v>
      </c>
      <c r="AC7">
        <f t="shared" ca="1" si="2"/>
        <v>1</v>
      </c>
      <c r="AD7">
        <f t="shared" ca="1" si="2"/>
        <v>0</v>
      </c>
      <c r="AE7">
        <f t="shared" ca="1" si="2"/>
        <v>1</v>
      </c>
      <c r="AF7">
        <f t="shared" ca="1" si="2"/>
        <v>1</v>
      </c>
      <c r="AG7">
        <f t="shared" ca="1" si="3"/>
        <v>1</v>
      </c>
      <c r="AH7">
        <f t="shared" ca="1" si="3"/>
        <v>1</v>
      </c>
      <c r="AI7">
        <f t="shared" ca="1" si="3"/>
        <v>0</v>
      </c>
      <c r="AJ7">
        <f t="shared" ca="1" si="3"/>
        <v>0</v>
      </c>
      <c r="AK7">
        <f t="shared" ca="1" si="3"/>
        <v>0</v>
      </c>
      <c r="AL7">
        <f t="shared" ca="1" si="3"/>
        <v>0</v>
      </c>
      <c r="AM7">
        <f t="shared" ca="1" si="3"/>
        <v>1</v>
      </c>
      <c r="AN7">
        <f t="shared" ca="1" si="3"/>
        <v>1</v>
      </c>
      <c r="AO7">
        <f t="shared" ca="1" si="3"/>
        <v>0</v>
      </c>
      <c r="AP7">
        <f t="shared" ca="1" si="7"/>
        <v>0</v>
      </c>
      <c r="AQ7">
        <f t="shared" ca="1" si="7"/>
        <v>0</v>
      </c>
      <c r="AR7">
        <f t="shared" ca="1" si="7"/>
        <v>1</v>
      </c>
      <c r="AS7">
        <f t="shared" ca="1" si="7"/>
        <v>1</v>
      </c>
      <c r="AT7">
        <f t="shared" ca="1" si="7"/>
        <v>0</v>
      </c>
      <c r="AU7">
        <f t="shared" ca="1" si="7"/>
        <v>0</v>
      </c>
      <c r="AV7">
        <f t="shared" ca="1" si="7"/>
        <v>1</v>
      </c>
      <c r="AW7">
        <f t="shared" ca="1" si="7"/>
        <v>1</v>
      </c>
      <c r="AX7">
        <f t="shared" ca="1" si="7"/>
        <v>1</v>
      </c>
      <c r="AY7">
        <f t="shared" ca="1" si="7"/>
        <v>0</v>
      </c>
      <c r="AZ7">
        <f t="shared" ca="1" si="7"/>
        <v>1</v>
      </c>
      <c r="BA7">
        <f t="shared" ca="1" si="7"/>
        <v>0</v>
      </c>
      <c r="BB7">
        <f t="shared" ca="1" si="7"/>
        <v>0</v>
      </c>
      <c r="BC7">
        <f t="shared" ca="1" si="8"/>
        <v>0</v>
      </c>
      <c r="BD7">
        <f t="shared" ca="1" si="8"/>
        <v>0</v>
      </c>
      <c r="BE7">
        <f t="shared" ca="1" si="8"/>
        <v>0</v>
      </c>
      <c r="BF7">
        <f t="shared" ca="1" si="8"/>
        <v>0</v>
      </c>
      <c r="BG7">
        <f t="shared" ca="1" si="8"/>
        <v>1</v>
      </c>
      <c r="BH7">
        <f t="shared" ca="1" si="8"/>
        <v>1</v>
      </c>
      <c r="BI7">
        <f t="shared" ca="1" si="8"/>
        <v>1</v>
      </c>
      <c r="BJ7">
        <f t="shared" ca="1" si="8"/>
        <v>1</v>
      </c>
      <c r="BK7">
        <f t="shared" ca="1" si="8"/>
        <v>1</v>
      </c>
      <c r="BL7">
        <f t="shared" ca="1" si="8"/>
        <v>1</v>
      </c>
      <c r="BM7">
        <f t="shared" ca="1" si="8"/>
        <v>1</v>
      </c>
      <c r="BN7">
        <f t="shared" ca="1" si="8"/>
        <v>1</v>
      </c>
    </row>
    <row r="8" spans="4:66" x14ac:dyDescent="0.2">
      <c r="G8">
        <f t="shared" ca="1" si="1"/>
        <v>1</v>
      </c>
      <c r="H8">
        <f t="shared" ca="1" si="5"/>
        <v>1</v>
      </c>
      <c r="I8">
        <f t="shared" ca="1" si="6"/>
        <v>0</v>
      </c>
      <c r="J8">
        <f t="shared" ca="1" si="1"/>
        <v>0</v>
      </c>
      <c r="K8">
        <f t="shared" ca="1" si="1"/>
        <v>0</v>
      </c>
      <c r="L8">
        <f t="shared" ca="1" si="1"/>
        <v>0</v>
      </c>
      <c r="M8">
        <f t="shared" ca="1" si="1"/>
        <v>0</v>
      </c>
      <c r="N8">
        <f t="shared" ca="1" si="1"/>
        <v>1</v>
      </c>
      <c r="O8">
        <f t="shared" ca="1" si="1"/>
        <v>1</v>
      </c>
      <c r="P8">
        <f t="shared" ca="1" si="1"/>
        <v>1</v>
      </c>
      <c r="Q8">
        <f t="shared" ca="1" si="1"/>
        <v>1</v>
      </c>
      <c r="R8">
        <f t="shared" ca="1" si="1"/>
        <v>0</v>
      </c>
      <c r="S8">
        <f t="shared" ca="1" si="1"/>
        <v>0</v>
      </c>
      <c r="T8">
        <f t="shared" ca="1" si="1"/>
        <v>1</v>
      </c>
      <c r="U8">
        <f t="shared" ca="1" si="2"/>
        <v>0</v>
      </c>
      <c r="V8">
        <f t="shared" ca="1" si="2"/>
        <v>1</v>
      </c>
      <c r="W8">
        <f t="shared" ca="1" si="2"/>
        <v>0</v>
      </c>
      <c r="X8">
        <f t="shared" ca="1" si="2"/>
        <v>0</v>
      </c>
      <c r="Y8">
        <f t="shared" ca="1" si="2"/>
        <v>1</v>
      </c>
      <c r="Z8">
        <f t="shared" ca="1" si="2"/>
        <v>1</v>
      </c>
      <c r="AA8">
        <f t="shared" ca="1" si="2"/>
        <v>0</v>
      </c>
      <c r="AB8">
        <f t="shared" ca="1" si="2"/>
        <v>1</v>
      </c>
      <c r="AC8">
        <f t="shared" ca="1" si="2"/>
        <v>0</v>
      </c>
      <c r="AD8">
        <f t="shared" ca="1" si="2"/>
        <v>1</v>
      </c>
      <c r="AE8">
        <f t="shared" ca="1" si="2"/>
        <v>0</v>
      </c>
      <c r="AF8">
        <f t="shared" ca="1" si="2"/>
        <v>0</v>
      </c>
      <c r="AG8">
        <f t="shared" ca="1" si="3"/>
        <v>0</v>
      </c>
      <c r="AH8">
        <f t="shared" ca="1" si="3"/>
        <v>0</v>
      </c>
      <c r="AI8">
        <f t="shared" ca="1" si="3"/>
        <v>1</v>
      </c>
      <c r="AJ8">
        <f t="shared" ca="1" si="3"/>
        <v>1</v>
      </c>
      <c r="AK8">
        <f t="shared" ca="1" si="3"/>
        <v>0</v>
      </c>
      <c r="AL8">
        <f t="shared" ca="1" si="3"/>
        <v>1</v>
      </c>
      <c r="AM8">
        <f t="shared" ca="1" si="3"/>
        <v>0</v>
      </c>
      <c r="AN8">
        <f t="shared" ca="1" si="3"/>
        <v>0</v>
      </c>
      <c r="AO8">
        <f t="shared" ca="1" si="3"/>
        <v>1</v>
      </c>
      <c r="AP8">
        <f t="shared" ca="1" si="7"/>
        <v>0</v>
      </c>
      <c r="AQ8">
        <f t="shared" ca="1" si="7"/>
        <v>1</v>
      </c>
      <c r="AR8">
        <f t="shared" ca="1" si="7"/>
        <v>0</v>
      </c>
      <c r="AS8">
        <f t="shared" ca="1" si="7"/>
        <v>0</v>
      </c>
      <c r="AT8">
        <f t="shared" ca="1" si="7"/>
        <v>1</v>
      </c>
      <c r="AU8">
        <f t="shared" ca="1" si="7"/>
        <v>1</v>
      </c>
      <c r="AV8">
        <f t="shared" ca="1" si="7"/>
        <v>0</v>
      </c>
      <c r="AW8">
        <f t="shared" ca="1" si="7"/>
        <v>0</v>
      </c>
      <c r="AX8">
        <f t="shared" ca="1" si="7"/>
        <v>0</v>
      </c>
      <c r="AY8">
        <f t="shared" ca="1" si="7"/>
        <v>1</v>
      </c>
      <c r="AZ8">
        <f t="shared" ca="1" si="7"/>
        <v>0</v>
      </c>
      <c r="BA8">
        <f t="shared" ca="1" si="7"/>
        <v>1</v>
      </c>
      <c r="BB8">
        <f t="shared" ca="1" si="7"/>
        <v>1</v>
      </c>
      <c r="BC8">
        <f t="shared" ca="1" si="8"/>
        <v>1</v>
      </c>
      <c r="BD8">
        <f t="shared" ca="1" si="8"/>
        <v>1</v>
      </c>
      <c r="BE8">
        <f t="shared" ca="1" si="8"/>
        <v>1</v>
      </c>
      <c r="BF8">
        <f t="shared" ca="1" si="8"/>
        <v>1</v>
      </c>
      <c r="BG8">
        <f t="shared" ca="1" si="8"/>
        <v>0</v>
      </c>
      <c r="BH8">
        <f t="shared" ca="1" si="8"/>
        <v>0</v>
      </c>
      <c r="BI8">
        <f t="shared" ca="1" si="8"/>
        <v>0</v>
      </c>
      <c r="BJ8">
        <f t="shared" ca="1" si="8"/>
        <v>0</v>
      </c>
      <c r="BK8">
        <f t="shared" ca="1" si="8"/>
        <v>0</v>
      </c>
      <c r="BL8">
        <f t="shared" ca="1" si="8"/>
        <v>0</v>
      </c>
      <c r="BM8">
        <f t="shared" ca="1" si="8"/>
        <v>0</v>
      </c>
      <c r="BN8">
        <f t="shared" ca="1" si="8"/>
        <v>0</v>
      </c>
    </row>
    <row r="9" spans="4:66" x14ac:dyDescent="0.2">
      <c r="G9">
        <f t="shared" ca="1" si="1"/>
        <v>0</v>
      </c>
      <c r="H9">
        <f t="shared" ca="1" si="5"/>
        <v>0</v>
      </c>
      <c r="I9">
        <f t="shared" ca="1" si="6"/>
        <v>1</v>
      </c>
      <c r="J9">
        <f t="shared" ca="1" si="1"/>
        <v>0</v>
      </c>
      <c r="K9">
        <f t="shared" ca="1" si="1"/>
        <v>1</v>
      </c>
      <c r="L9">
        <f t="shared" ca="1" si="1"/>
        <v>0</v>
      </c>
      <c r="M9">
        <f t="shared" ca="1" si="1"/>
        <v>1</v>
      </c>
      <c r="N9">
        <f t="shared" ca="1" si="1"/>
        <v>0</v>
      </c>
      <c r="O9">
        <f t="shared" ca="1" si="1"/>
        <v>0</v>
      </c>
      <c r="P9">
        <f t="shared" ca="1" si="1"/>
        <v>1</v>
      </c>
      <c r="Q9">
        <f t="shared" ca="1" si="1"/>
        <v>1</v>
      </c>
      <c r="R9">
        <f t="shared" ca="1" si="1"/>
        <v>0</v>
      </c>
      <c r="S9">
        <f t="shared" ca="1" si="1"/>
        <v>0</v>
      </c>
      <c r="T9">
        <f t="shared" ca="1" si="1"/>
        <v>1</v>
      </c>
      <c r="U9">
        <f t="shared" ca="1" si="2"/>
        <v>0</v>
      </c>
      <c r="V9">
        <f t="shared" ca="1" si="2"/>
        <v>1</v>
      </c>
      <c r="W9">
        <f t="shared" ca="1" si="2"/>
        <v>1</v>
      </c>
      <c r="X9">
        <f t="shared" ca="1" si="2"/>
        <v>1</v>
      </c>
      <c r="Y9">
        <f t="shared" ca="1" si="2"/>
        <v>0</v>
      </c>
      <c r="Z9">
        <f t="shared" ca="1" si="2"/>
        <v>1</v>
      </c>
      <c r="AA9">
        <f t="shared" ca="1" si="2"/>
        <v>1</v>
      </c>
      <c r="AB9">
        <f t="shared" ca="1" si="2"/>
        <v>1</v>
      </c>
      <c r="AC9">
        <f t="shared" ca="1" si="2"/>
        <v>0</v>
      </c>
      <c r="AD9">
        <f t="shared" ca="1" si="2"/>
        <v>0</v>
      </c>
      <c r="AE9">
        <f t="shared" ca="1" si="2"/>
        <v>0</v>
      </c>
      <c r="AF9">
        <f t="shared" ca="1" si="2"/>
        <v>1</v>
      </c>
      <c r="AG9">
        <f t="shared" ca="1" si="3"/>
        <v>1</v>
      </c>
      <c r="AH9">
        <f t="shared" ca="1" si="3"/>
        <v>1</v>
      </c>
      <c r="AI9">
        <f t="shared" ca="1" si="3"/>
        <v>1</v>
      </c>
      <c r="AJ9">
        <f t="shared" ca="1" si="3"/>
        <v>1</v>
      </c>
      <c r="AK9">
        <f t="shared" ca="1" si="3"/>
        <v>0</v>
      </c>
      <c r="AL9">
        <f t="shared" ca="1" si="3"/>
        <v>1</v>
      </c>
      <c r="AM9">
        <f t="shared" ca="1" si="3"/>
        <v>1</v>
      </c>
      <c r="AN9">
        <f t="shared" ca="1" si="3"/>
        <v>0</v>
      </c>
      <c r="AO9">
        <f t="shared" ca="1" si="3"/>
        <v>0</v>
      </c>
      <c r="AP9">
        <f t="shared" ca="1" si="7"/>
        <v>0</v>
      </c>
      <c r="AQ9">
        <f t="shared" ca="1" si="7"/>
        <v>1</v>
      </c>
      <c r="AR9">
        <f t="shared" ca="1" si="7"/>
        <v>1</v>
      </c>
      <c r="AS9">
        <f t="shared" ca="1" si="7"/>
        <v>0</v>
      </c>
      <c r="AT9">
        <f t="shared" ca="1" si="7"/>
        <v>1</v>
      </c>
      <c r="AU9">
        <f t="shared" ca="1" si="7"/>
        <v>1</v>
      </c>
      <c r="AV9">
        <f t="shared" ca="1" si="7"/>
        <v>0</v>
      </c>
      <c r="AW9">
        <f t="shared" ca="1" si="7"/>
        <v>0</v>
      </c>
      <c r="AX9">
        <f t="shared" ca="1" si="7"/>
        <v>1</v>
      </c>
      <c r="AY9">
        <f t="shared" ca="1" si="7"/>
        <v>1</v>
      </c>
      <c r="AZ9">
        <f t="shared" ca="1" si="7"/>
        <v>1</v>
      </c>
      <c r="BA9">
        <f t="shared" ca="1" si="7"/>
        <v>0</v>
      </c>
      <c r="BB9">
        <f t="shared" ca="1" si="7"/>
        <v>0</v>
      </c>
      <c r="BC9">
        <f t="shared" ca="1" si="8"/>
        <v>0</v>
      </c>
      <c r="BD9">
        <f t="shared" ca="1" si="8"/>
        <v>0</v>
      </c>
      <c r="BE9">
        <f t="shared" ca="1" si="8"/>
        <v>1</v>
      </c>
      <c r="BF9">
        <f t="shared" ca="1" si="8"/>
        <v>1</v>
      </c>
      <c r="BG9">
        <f t="shared" ca="1" si="8"/>
        <v>1</v>
      </c>
      <c r="BH9">
        <f t="shared" ca="1" si="8"/>
        <v>1</v>
      </c>
      <c r="BI9">
        <f t="shared" ca="1" si="8"/>
        <v>0</v>
      </c>
      <c r="BJ9">
        <f t="shared" ca="1" si="8"/>
        <v>1</v>
      </c>
      <c r="BK9">
        <f t="shared" ca="1" si="8"/>
        <v>0</v>
      </c>
      <c r="BL9">
        <f t="shared" ca="1" si="8"/>
        <v>0</v>
      </c>
      <c r="BM9">
        <f t="shared" ca="1" si="8"/>
        <v>1</v>
      </c>
      <c r="BN9">
        <f t="shared" ca="1" si="8"/>
        <v>0</v>
      </c>
    </row>
    <row r="10" spans="4:66" x14ac:dyDescent="0.2">
      <c r="G10">
        <f t="shared" ca="1" si="1"/>
        <v>1</v>
      </c>
      <c r="H10">
        <f t="shared" ca="1" si="5"/>
        <v>1</v>
      </c>
      <c r="I10">
        <f t="shared" ca="1" si="6"/>
        <v>0</v>
      </c>
      <c r="J10">
        <f t="shared" ca="1" si="1"/>
        <v>0</v>
      </c>
      <c r="K10">
        <f t="shared" ca="1" si="1"/>
        <v>0</v>
      </c>
      <c r="L10">
        <f t="shared" ca="1" si="1"/>
        <v>1</v>
      </c>
      <c r="M10">
        <f t="shared" ca="1" si="1"/>
        <v>0</v>
      </c>
      <c r="N10">
        <f t="shared" ca="1" si="1"/>
        <v>1</v>
      </c>
      <c r="O10">
        <f t="shared" ca="1" si="1"/>
        <v>1</v>
      </c>
      <c r="P10">
        <f t="shared" ca="1" si="1"/>
        <v>0</v>
      </c>
      <c r="Q10">
        <f t="shared" ca="1" si="1"/>
        <v>0</v>
      </c>
      <c r="R10">
        <f t="shared" ca="1" si="1"/>
        <v>1</v>
      </c>
      <c r="S10">
        <f t="shared" ca="1" si="1"/>
        <v>1</v>
      </c>
      <c r="T10">
        <f t="shared" ca="1" si="1"/>
        <v>0</v>
      </c>
      <c r="U10">
        <f t="shared" ca="1" si="2"/>
        <v>1</v>
      </c>
      <c r="V10">
        <f t="shared" ca="1" si="2"/>
        <v>0</v>
      </c>
      <c r="W10">
        <f t="shared" ca="1" si="2"/>
        <v>0</v>
      </c>
      <c r="X10">
        <f t="shared" ca="1" si="2"/>
        <v>0</v>
      </c>
      <c r="Y10">
        <f t="shared" ca="1" si="2"/>
        <v>1</v>
      </c>
      <c r="Z10">
        <f t="shared" ca="1" si="2"/>
        <v>0</v>
      </c>
      <c r="AA10">
        <f t="shared" ca="1" si="2"/>
        <v>0</v>
      </c>
      <c r="AB10">
        <f t="shared" ca="1" si="2"/>
        <v>0</v>
      </c>
      <c r="AC10">
        <f t="shared" ca="1" si="2"/>
        <v>1</v>
      </c>
      <c r="AD10">
        <f t="shared" ca="1" si="2"/>
        <v>1</v>
      </c>
      <c r="AE10">
        <f t="shared" ca="1" si="2"/>
        <v>1</v>
      </c>
      <c r="AF10">
        <f t="shared" ca="1" si="2"/>
        <v>0</v>
      </c>
      <c r="AG10">
        <f t="shared" ca="1" si="3"/>
        <v>0</v>
      </c>
      <c r="AH10">
        <f t="shared" ca="1" si="3"/>
        <v>0</v>
      </c>
      <c r="AI10">
        <f t="shared" ca="1" si="3"/>
        <v>0</v>
      </c>
      <c r="AJ10">
        <f t="shared" ca="1" si="3"/>
        <v>0</v>
      </c>
      <c r="AK10">
        <f t="shared" ca="1" si="3"/>
        <v>0</v>
      </c>
      <c r="AL10">
        <f t="shared" ca="1" si="3"/>
        <v>0</v>
      </c>
      <c r="AM10">
        <f t="shared" ca="1" si="3"/>
        <v>0</v>
      </c>
      <c r="AN10">
        <f t="shared" ca="1" si="3"/>
        <v>1</v>
      </c>
      <c r="AO10">
        <f t="shared" ca="1" si="3"/>
        <v>1</v>
      </c>
      <c r="AP10">
        <f t="shared" ca="1" si="7"/>
        <v>0</v>
      </c>
      <c r="AQ10">
        <f t="shared" ca="1" si="7"/>
        <v>0</v>
      </c>
      <c r="AR10">
        <f t="shared" ca="1" si="7"/>
        <v>0</v>
      </c>
      <c r="AS10">
        <f t="shared" ca="1" si="7"/>
        <v>1</v>
      </c>
      <c r="AT10">
        <f t="shared" ca="1" si="7"/>
        <v>0</v>
      </c>
      <c r="AU10">
        <f t="shared" ca="1" si="7"/>
        <v>0</v>
      </c>
      <c r="AV10">
        <f t="shared" ca="1" si="7"/>
        <v>1</v>
      </c>
      <c r="AW10">
        <f t="shared" ca="1" si="7"/>
        <v>1</v>
      </c>
      <c r="AX10">
        <f t="shared" ca="1" si="7"/>
        <v>0</v>
      </c>
      <c r="AY10">
        <f t="shared" ca="1" si="7"/>
        <v>0</v>
      </c>
      <c r="AZ10">
        <f t="shared" ca="1" si="7"/>
        <v>0</v>
      </c>
      <c r="BA10">
        <f t="shared" ca="1" si="7"/>
        <v>1</v>
      </c>
      <c r="BB10">
        <f t="shared" ca="1" si="7"/>
        <v>1</v>
      </c>
      <c r="BC10">
        <f t="shared" ca="1" si="8"/>
        <v>1</v>
      </c>
      <c r="BD10">
        <f t="shared" ca="1" si="8"/>
        <v>1</v>
      </c>
      <c r="BE10">
        <f t="shared" ca="1" si="8"/>
        <v>0</v>
      </c>
      <c r="BF10">
        <f t="shared" ca="1" si="8"/>
        <v>0</v>
      </c>
      <c r="BG10">
        <f t="shared" ca="1" si="8"/>
        <v>0</v>
      </c>
      <c r="BH10">
        <f t="shared" ca="1" si="8"/>
        <v>0</v>
      </c>
      <c r="BI10">
        <f t="shared" ca="1" si="8"/>
        <v>1</v>
      </c>
      <c r="BJ10">
        <f t="shared" ca="1" si="8"/>
        <v>0</v>
      </c>
      <c r="BK10">
        <f t="shared" ca="1" si="8"/>
        <v>1</v>
      </c>
      <c r="BL10">
        <f t="shared" ca="1" si="8"/>
        <v>1</v>
      </c>
      <c r="BM10">
        <f t="shared" ca="1" si="8"/>
        <v>0</v>
      </c>
      <c r="BN10">
        <f t="shared" ca="1" si="8"/>
        <v>1</v>
      </c>
    </row>
    <row r="11" spans="4:66" x14ac:dyDescent="0.2">
      <c r="G11">
        <f t="shared" ca="1" si="1"/>
        <v>0</v>
      </c>
      <c r="H11">
        <f t="shared" ca="1" si="5"/>
        <v>1</v>
      </c>
      <c r="I11">
        <f t="shared" ca="1" si="6"/>
        <v>1</v>
      </c>
      <c r="J11">
        <f t="shared" ca="1" si="1"/>
        <v>0</v>
      </c>
      <c r="K11">
        <f t="shared" ca="1" si="1"/>
        <v>1</v>
      </c>
      <c r="L11">
        <f t="shared" ca="1" si="1"/>
        <v>1</v>
      </c>
      <c r="M11">
        <f t="shared" ca="1" si="1"/>
        <v>1</v>
      </c>
      <c r="N11">
        <f t="shared" ca="1" si="1"/>
        <v>1</v>
      </c>
      <c r="O11">
        <f t="shared" ca="1" si="1"/>
        <v>0</v>
      </c>
      <c r="P11">
        <f t="shared" ca="1" si="1"/>
        <v>1</v>
      </c>
      <c r="Q11">
        <f t="shared" ca="1" si="1"/>
        <v>1</v>
      </c>
      <c r="R11">
        <f t="shared" ca="1" si="1"/>
        <v>0</v>
      </c>
      <c r="S11">
        <f t="shared" ca="1" si="1"/>
        <v>1</v>
      </c>
      <c r="T11">
        <f t="shared" ca="1" si="1"/>
        <v>1</v>
      </c>
      <c r="U11">
        <f t="shared" ca="1" si="2"/>
        <v>1</v>
      </c>
      <c r="V11">
        <f t="shared" ca="1" si="2"/>
        <v>1</v>
      </c>
      <c r="W11">
        <f t="shared" ca="1" si="2"/>
        <v>0</v>
      </c>
      <c r="X11">
        <f t="shared" ca="1" si="2"/>
        <v>1</v>
      </c>
      <c r="Y11">
        <f t="shared" ca="1" si="2"/>
        <v>0</v>
      </c>
      <c r="Z11">
        <f t="shared" ca="1" si="2"/>
        <v>1</v>
      </c>
      <c r="AA11">
        <f t="shared" ca="1" si="2"/>
        <v>0</v>
      </c>
      <c r="AB11">
        <f t="shared" ca="1" si="2"/>
        <v>0</v>
      </c>
      <c r="AC11">
        <f t="shared" ca="1" si="2"/>
        <v>0</v>
      </c>
      <c r="AD11">
        <f t="shared" ca="1" si="2"/>
        <v>0</v>
      </c>
      <c r="AE11">
        <f t="shared" ca="1" si="2"/>
        <v>1</v>
      </c>
      <c r="AF11">
        <f t="shared" ca="1" si="2"/>
        <v>1</v>
      </c>
      <c r="AG11">
        <f t="shared" ca="1" si="3"/>
        <v>1</v>
      </c>
      <c r="AH11">
        <f t="shared" ca="1" si="3"/>
        <v>1</v>
      </c>
      <c r="AI11">
        <f t="shared" ca="1" si="3"/>
        <v>0</v>
      </c>
      <c r="AJ11">
        <f t="shared" ca="1" si="3"/>
        <v>1</v>
      </c>
      <c r="AK11">
        <f t="shared" ca="1" si="3"/>
        <v>0</v>
      </c>
      <c r="AL11">
        <f t="shared" ca="1" si="3"/>
        <v>0</v>
      </c>
      <c r="AM11">
        <f t="shared" ca="1" si="3"/>
        <v>1</v>
      </c>
      <c r="AN11">
        <f t="shared" ca="1" si="3"/>
        <v>1</v>
      </c>
      <c r="AO11">
        <f t="shared" ca="1" si="3"/>
        <v>0</v>
      </c>
      <c r="AP11">
        <f t="shared" ca="1" si="7"/>
        <v>0</v>
      </c>
      <c r="AQ11">
        <f t="shared" ca="1" si="7"/>
        <v>1</v>
      </c>
      <c r="AR11">
        <f t="shared" ca="1" si="7"/>
        <v>0</v>
      </c>
      <c r="AS11">
        <f t="shared" ca="1" si="7"/>
        <v>1</v>
      </c>
      <c r="AT11">
        <f t="shared" ca="1" si="7"/>
        <v>1</v>
      </c>
      <c r="AU11">
        <f t="shared" ca="1" si="7"/>
        <v>1</v>
      </c>
      <c r="AV11">
        <f t="shared" ca="1" si="7"/>
        <v>1</v>
      </c>
      <c r="AW11">
        <f t="shared" ca="1" si="7"/>
        <v>1</v>
      </c>
      <c r="AX11">
        <f t="shared" ca="1" si="7"/>
        <v>1</v>
      </c>
      <c r="AY11">
        <f t="shared" ca="1" si="7"/>
        <v>0</v>
      </c>
      <c r="AZ11">
        <f t="shared" ca="1" si="7"/>
        <v>1</v>
      </c>
      <c r="BA11">
        <f t="shared" ca="1" si="7"/>
        <v>1</v>
      </c>
      <c r="BB11">
        <f t="shared" ca="1" si="7"/>
        <v>1</v>
      </c>
      <c r="BC11">
        <f t="shared" ca="1" si="8"/>
        <v>1</v>
      </c>
      <c r="BD11">
        <f t="shared" ca="1" si="8"/>
        <v>0</v>
      </c>
      <c r="BE11">
        <f t="shared" ca="1" si="8"/>
        <v>1</v>
      </c>
      <c r="BF11">
        <f t="shared" ca="1" si="8"/>
        <v>1</v>
      </c>
      <c r="BG11">
        <f t="shared" ca="1" si="8"/>
        <v>1</v>
      </c>
      <c r="BH11">
        <f t="shared" ca="1" si="8"/>
        <v>0</v>
      </c>
      <c r="BI11">
        <f t="shared" ca="1" si="8"/>
        <v>1</v>
      </c>
      <c r="BJ11">
        <f t="shared" ca="1" si="8"/>
        <v>1</v>
      </c>
      <c r="BK11">
        <f t="shared" ca="1" si="8"/>
        <v>1</v>
      </c>
      <c r="BL11">
        <f t="shared" ca="1" si="8"/>
        <v>1</v>
      </c>
      <c r="BM11">
        <f t="shared" ca="1" si="8"/>
        <v>1</v>
      </c>
      <c r="BN11">
        <f t="shared" ca="1" si="8"/>
        <v>1</v>
      </c>
    </row>
    <row r="12" spans="4:66" x14ac:dyDescent="0.2">
      <c r="G12">
        <f t="shared" ca="1" si="1"/>
        <v>1</v>
      </c>
      <c r="H12">
        <f t="shared" ca="1" si="5"/>
        <v>0</v>
      </c>
      <c r="I12">
        <f t="shared" ca="1" si="6"/>
        <v>0</v>
      </c>
      <c r="J12">
        <f t="shared" ca="1" si="1"/>
        <v>0</v>
      </c>
      <c r="K12">
        <f t="shared" ca="1" si="1"/>
        <v>0</v>
      </c>
      <c r="L12">
        <f t="shared" ca="1" si="1"/>
        <v>0</v>
      </c>
      <c r="M12">
        <f t="shared" ca="1" si="1"/>
        <v>0</v>
      </c>
      <c r="N12">
        <f t="shared" ca="1" si="1"/>
        <v>0</v>
      </c>
      <c r="O12">
        <f t="shared" ca="1" si="1"/>
        <v>1</v>
      </c>
      <c r="P12">
        <f t="shared" ca="1" si="1"/>
        <v>0</v>
      </c>
      <c r="Q12">
        <f t="shared" ca="1" si="1"/>
        <v>0</v>
      </c>
      <c r="R12">
        <f t="shared" ca="1" si="1"/>
        <v>1</v>
      </c>
      <c r="S12">
        <f t="shared" ca="1" si="1"/>
        <v>0</v>
      </c>
      <c r="T12">
        <f t="shared" ca="1" si="1"/>
        <v>0</v>
      </c>
      <c r="U12">
        <f t="shared" ca="1" si="2"/>
        <v>0</v>
      </c>
      <c r="V12">
        <f t="shared" ca="1" si="2"/>
        <v>0</v>
      </c>
      <c r="W12">
        <f t="shared" ca="1" si="2"/>
        <v>1</v>
      </c>
      <c r="X12">
        <f t="shared" ca="1" si="2"/>
        <v>0</v>
      </c>
      <c r="Y12">
        <f t="shared" ca="1" si="2"/>
        <v>1</v>
      </c>
      <c r="Z12">
        <f t="shared" ca="1" si="2"/>
        <v>0</v>
      </c>
      <c r="AA12">
        <f t="shared" ca="1" si="2"/>
        <v>1</v>
      </c>
      <c r="AB12">
        <f t="shared" ca="1" si="2"/>
        <v>1</v>
      </c>
      <c r="AC12">
        <f t="shared" ca="1" si="2"/>
        <v>1</v>
      </c>
      <c r="AD12">
        <f t="shared" ca="1" si="2"/>
        <v>1</v>
      </c>
      <c r="AE12">
        <f t="shared" ca="1" si="2"/>
        <v>0</v>
      </c>
      <c r="AF12">
        <f t="shared" ca="1" si="2"/>
        <v>0</v>
      </c>
      <c r="AG12">
        <f t="shared" ca="1" si="3"/>
        <v>0</v>
      </c>
      <c r="AH12">
        <f t="shared" ca="1" si="3"/>
        <v>0</v>
      </c>
      <c r="AI12">
        <f t="shared" ca="1" si="3"/>
        <v>1</v>
      </c>
      <c r="AJ12">
        <f t="shared" ca="1" si="3"/>
        <v>0</v>
      </c>
      <c r="AK12">
        <f t="shared" ca="1" si="3"/>
        <v>0</v>
      </c>
      <c r="AL12">
        <f t="shared" ca="1" si="3"/>
        <v>1</v>
      </c>
      <c r="AM12">
        <f t="shared" ca="1" si="3"/>
        <v>0</v>
      </c>
      <c r="AN12">
        <f t="shared" ca="1" si="3"/>
        <v>0</v>
      </c>
      <c r="AO12">
        <f t="shared" ca="1" si="3"/>
        <v>1</v>
      </c>
      <c r="AP12">
        <f t="shared" ca="1" si="7"/>
        <v>0</v>
      </c>
      <c r="AQ12">
        <f t="shared" ca="1" si="7"/>
        <v>0</v>
      </c>
      <c r="AR12">
        <f t="shared" ca="1" si="7"/>
        <v>1</v>
      </c>
      <c r="AS12">
        <f t="shared" ca="1" si="7"/>
        <v>0</v>
      </c>
      <c r="AT12">
        <f t="shared" ca="1" si="7"/>
        <v>0</v>
      </c>
      <c r="AU12">
        <f t="shared" ca="1" si="7"/>
        <v>0</v>
      </c>
      <c r="AV12">
        <f t="shared" ca="1" si="7"/>
        <v>0</v>
      </c>
      <c r="AW12">
        <f t="shared" ca="1" si="7"/>
        <v>0</v>
      </c>
      <c r="AX12">
        <f t="shared" ca="1" si="7"/>
        <v>0</v>
      </c>
      <c r="AY12">
        <f t="shared" ca="1" si="7"/>
        <v>1</v>
      </c>
      <c r="AZ12">
        <f t="shared" ca="1" si="7"/>
        <v>0</v>
      </c>
      <c r="BA12">
        <f t="shared" ca="1" si="7"/>
        <v>0</v>
      </c>
      <c r="BB12">
        <f t="shared" ca="1" si="7"/>
        <v>0</v>
      </c>
      <c r="BC12">
        <f t="shared" ca="1" si="8"/>
        <v>0</v>
      </c>
      <c r="BD12">
        <f t="shared" ca="1" si="8"/>
        <v>1</v>
      </c>
      <c r="BE12">
        <f t="shared" ca="1" si="8"/>
        <v>0</v>
      </c>
      <c r="BF12">
        <f t="shared" ca="1" si="8"/>
        <v>0</v>
      </c>
      <c r="BG12">
        <f t="shared" ca="1" si="8"/>
        <v>0</v>
      </c>
      <c r="BH12">
        <f t="shared" ca="1" si="8"/>
        <v>1</v>
      </c>
      <c r="BI12">
        <f t="shared" ca="1" si="8"/>
        <v>0</v>
      </c>
      <c r="BJ12">
        <f t="shared" ca="1" si="8"/>
        <v>0</v>
      </c>
      <c r="BK12">
        <f t="shared" ca="1" si="8"/>
        <v>0</v>
      </c>
      <c r="BL12">
        <f t="shared" ca="1" si="8"/>
        <v>0</v>
      </c>
      <c r="BM12">
        <f t="shared" ca="1" si="8"/>
        <v>0</v>
      </c>
      <c r="BN12">
        <f t="shared" ca="1" si="8"/>
        <v>0</v>
      </c>
    </row>
    <row r="13" spans="4:66" x14ac:dyDescent="0.2">
      <c r="G13">
        <f t="shared" ca="1" si="1"/>
        <v>0</v>
      </c>
      <c r="H13">
        <f t="shared" ca="1" si="5"/>
        <v>1</v>
      </c>
      <c r="I13">
        <f t="shared" ca="1" si="6"/>
        <v>1</v>
      </c>
      <c r="J13">
        <f t="shared" ca="1" si="1"/>
        <v>0</v>
      </c>
      <c r="K13">
        <f t="shared" ca="1" si="1"/>
        <v>1</v>
      </c>
      <c r="L13">
        <f t="shared" ca="1" si="1"/>
        <v>1</v>
      </c>
      <c r="M13">
        <f t="shared" ca="1" si="1"/>
        <v>0</v>
      </c>
      <c r="N13">
        <f t="shared" ca="1" si="1"/>
        <v>1</v>
      </c>
      <c r="O13">
        <f t="shared" ca="1" si="1"/>
        <v>0</v>
      </c>
      <c r="P13">
        <f t="shared" ca="1" si="1"/>
        <v>1</v>
      </c>
      <c r="Q13">
        <f t="shared" ca="1" si="1"/>
        <v>0</v>
      </c>
      <c r="R13">
        <f t="shared" ca="1" si="1"/>
        <v>0</v>
      </c>
      <c r="S13">
        <f t="shared" ca="1" si="1"/>
        <v>1</v>
      </c>
      <c r="T13">
        <f t="shared" ca="1" si="1"/>
        <v>0</v>
      </c>
      <c r="U13">
        <f t="shared" ca="1" si="2"/>
        <v>1</v>
      </c>
      <c r="V13">
        <f t="shared" ca="1" si="2"/>
        <v>1</v>
      </c>
      <c r="W13">
        <f t="shared" ca="1" si="2"/>
        <v>1</v>
      </c>
      <c r="X13">
        <f t="shared" ca="1" si="2"/>
        <v>0</v>
      </c>
      <c r="Y13">
        <f t="shared" ca="1" si="2"/>
        <v>1</v>
      </c>
      <c r="Z13">
        <f t="shared" ca="1" si="2"/>
        <v>1</v>
      </c>
      <c r="AA13">
        <f t="shared" ca="1" si="2"/>
        <v>0</v>
      </c>
      <c r="AB13">
        <f t="shared" ca="1" si="2"/>
        <v>1</v>
      </c>
      <c r="AC13">
        <f t="shared" ca="1" si="2"/>
        <v>1</v>
      </c>
      <c r="AD13">
        <f t="shared" ca="1" si="2"/>
        <v>0</v>
      </c>
      <c r="AE13">
        <f t="shared" ca="1" si="2"/>
        <v>0</v>
      </c>
      <c r="AF13">
        <f t="shared" ca="1" si="2"/>
        <v>0</v>
      </c>
      <c r="AG13">
        <f t="shared" ca="1" si="3"/>
        <v>1</v>
      </c>
      <c r="AH13">
        <f t="shared" ca="1" si="3"/>
        <v>1</v>
      </c>
      <c r="AI13">
        <f t="shared" ca="1" si="3"/>
        <v>0</v>
      </c>
      <c r="AJ13">
        <f t="shared" ca="1" si="3"/>
        <v>1</v>
      </c>
      <c r="AK13">
        <f t="shared" ca="1" si="3"/>
        <v>0</v>
      </c>
      <c r="AL13">
        <f t="shared" ca="1" si="3"/>
        <v>1</v>
      </c>
      <c r="AM13">
        <f t="shared" ca="1" si="3"/>
        <v>1</v>
      </c>
      <c r="AN13">
        <f t="shared" ca="1" si="3"/>
        <v>1</v>
      </c>
      <c r="AO13">
        <f t="shared" ca="1" si="3"/>
        <v>0</v>
      </c>
      <c r="AP13">
        <f t="shared" ca="1" si="7"/>
        <v>0</v>
      </c>
      <c r="AQ13">
        <f t="shared" ca="1" si="7"/>
        <v>1</v>
      </c>
      <c r="AR13">
        <f t="shared" ca="1" si="7"/>
        <v>1</v>
      </c>
      <c r="AS13">
        <f t="shared" ca="1" si="7"/>
        <v>0</v>
      </c>
      <c r="AT13">
        <f t="shared" ca="1" si="7"/>
        <v>1</v>
      </c>
      <c r="AU13">
        <f t="shared" ca="1" si="7"/>
        <v>1</v>
      </c>
      <c r="AV13">
        <f t="shared" ca="1" si="7"/>
        <v>1</v>
      </c>
      <c r="AW13">
        <f t="shared" ca="1" si="7"/>
        <v>0</v>
      </c>
      <c r="AX13">
        <f t="shared" ca="1" si="7"/>
        <v>1</v>
      </c>
      <c r="AY13">
        <f t="shared" ca="1" si="7"/>
        <v>1</v>
      </c>
      <c r="AZ13">
        <f t="shared" ca="1" si="7"/>
        <v>1</v>
      </c>
      <c r="BA13">
        <f t="shared" ca="1" si="7"/>
        <v>1</v>
      </c>
      <c r="BB13">
        <f t="shared" ca="1" si="7"/>
        <v>1</v>
      </c>
      <c r="BC13">
        <f t="shared" ca="1" si="8"/>
        <v>1</v>
      </c>
      <c r="BD13">
        <f t="shared" ca="1" si="8"/>
        <v>0</v>
      </c>
      <c r="BE13">
        <f t="shared" ca="1" si="8"/>
        <v>0</v>
      </c>
      <c r="BF13">
        <f t="shared" ca="1" si="8"/>
        <v>1</v>
      </c>
      <c r="BG13">
        <f t="shared" ca="1" si="8"/>
        <v>0</v>
      </c>
      <c r="BH13">
        <f t="shared" ca="1" si="8"/>
        <v>1</v>
      </c>
      <c r="BI13">
        <f t="shared" ca="1" si="8"/>
        <v>1</v>
      </c>
      <c r="BJ13">
        <f t="shared" ca="1" si="8"/>
        <v>0</v>
      </c>
      <c r="BK13">
        <f t="shared" ca="1" si="8"/>
        <v>1</v>
      </c>
      <c r="BL13">
        <f t="shared" ca="1" si="8"/>
        <v>0</v>
      </c>
      <c r="BM13">
        <f t="shared" ca="1" si="8"/>
        <v>1</v>
      </c>
      <c r="BN13">
        <f t="shared" ca="1" si="8"/>
        <v>1</v>
      </c>
    </row>
    <row r="14" spans="4:66" x14ac:dyDescent="0.2">
      <c r="G14">
        <f t="shared" ca="1" si="1"/>
        <v>1</v>
      </c>
      <c r="H14">
        <f t="shared" ca="1" si="5"/>
        <v>0</v>
      </c>
      <c r="I14">
        <f t="shared" ca="1" si="6"/>
        <v>0</v>
      </c>
      <c r="J14">
        <f t="shared" ca="1" si="1"/>
        <v>0</v>
      </c>
      <c r="K14">
        <f t="shared" ca="1" si="1"/>
        <v>0</v>
      </c>
      <c r="L14">
        <f t="shared" ca="1" si="1"/>
        <v>0</v>
      </c>
      <c r="M14">
        <f t="shared" ca="1" si="1"/>
        <v>1</v>
      </c>
      <c r="N14">
        <f t="shared" ca="1" si="1"/>
        <v>0</v>
      </c>
      <c r="O14">
        <f t="shared" ca="1" si="1"/>
        <v>1</v>
      </c>
      <c r="P14">
        <f t="shared" ca="1" si="1"/>
        <v>0</v>
      </c>
      <c r="Q14">
        <f t="shared" ca="1" si="1"/>
        <v>1</v>
      </c>
      <c r="R14">
        <f t="shared" ca="1" si="1"/>
        <v>1</v>
      </c>
      <c r="S14">
        <f t="shared" ca="1" si="1"/>
        <v>0</v>
      </c>
      <c r="T14">
        <f t="shared" ca="1" si="1"/>
        <v>1</v>
      </c>
      <c r="U14">
        <f t="shared" ca="1" si="2"/>
        <v>0</v>
      </c>
      <c r="V14">
        <f t="shared" ca="1" si="2"/>
        <v>0</v>
      </c>
      <c r="W14">
        <f t="shared" ca="1" si="2"/>
        <v>0</v>
      </c>
      <c r="X14">
        <f t="shared" ca="1" si="2"/>
        <v>1</v>
      </c>
      <c r="Y14">
        <f t="shared" ca="1" si="2"/>
        <v>0</v>
      </c>
      <c r="Z14">
        <f t="shared" ca="1" si="2"/>
        <v>0</v>
      </c>
      <c r="AA14">
        <f t="shared" ca="1" si="2"/>
        <v>1</v>
      </c>
      <c r="AB14">
        <f t="shared" ca="1" si="2"/>
        <v>0</v>
      </c>
      <c r="AC14">
        <f t="shared" ca="1" si="2"/>
        <v>0</v>
      </c>
      <c r="AD14">
        <f t="shared" ca="1" si="2"/>
        <v>1</v>
      </c>
      <c r="AE14">
        <f t="shared" ca="1" si="2"/>
        <v>1</v>
      </c>
      <c r="AF14">
        <f t="shared" ca="1" si="2"/>
        <v>1</v>
      </c>
      <c r="AG14">
        <f t="shared" ca="1" si="3"/>
        <v>0</v>
      </c>
      <c r="AH14">
        <f t="shared" ca="1" si="3"/>
        <v>0</v>
      </c>
      <c r="AI14">
        <f t="shared" ca="1" si="3"/>
        <v>1</v>
      </c>
      <c r="AJ14">
        <f t="shared" ca="1" si="3"/>
        <v>0</v>
      </c>
      <c r="AK14">
        <f t="shared" ca="1" si="3"/>
        <v>0</v>
      </c>
      <c r="AL14">
        <f t="shared" ca="1" si="3"/>
        <v>0</v>
      </c>
      <c r="AM14">
        <f t="shared" ca="1" si="3"/>
        <v>0</v>
      </c>
      <c r="AN14">
        <f t="shared" ca="1" si="3"/>
        <v>0</v>
      </c>
      <c r="AO14">
        <f t="shared" ca="1" si="3"/>
        <v>1</v>
      </c>
      <c r="AP14">
        <f t="shared" ca="1" si="7"/>
        <v>0</v>
      </c>
      <c r="AQ14">
        <f t="shared" ca="1" si="7"/>
        <v>0</v>
      </c>
      <c r="AR14">
        <f t="shared" ca="1" si="7"/>
        <v>0</v>
      </c>
      <c r="AS14">
        <f t="shared" ca="1" si="7"/>
        <v>1</v>
      </c>
      <c r="AT14">
        <f t="shared" ca="1" si="7"/>
        <v>0</v>
      </c>
      <c r="AU14">
        <f t="shared" ca="1" si="7"/>
        <v>0</v>
      </c>
      <c r="AV14">
        <f t="shared" ca="1" si="7"/>
        <v>0</v>
      </c>
      <c r="AW14">
        <f t="shared" ca="1" si="7"/>
        <v>1</v>
      </c>
      <c r="AX14">
        <f t="shared" ca="1" si="7"/>
        <v>0</v>
      </c>
      <c r="AY14">
        <f t="shared" ca="1" si="7"/>
        <v>0</v>
      </c>
      <c r="AZ14">
        <f t="shared" ca="1" si="7"/>
        <v>0</v>
      </c>
      <c r="BA14">
        <f t="shared" ca="1" si="7"/>
        <v>0</v>
      </c>
      <c r="BB14">
        <f t="shared" ca="1" si="7"/>
        <v>0</v>
      </c>
      <c r="BC14">
        <f t="shared" ca="1" si="8"/>
        <v>0</v>
      </c>
      <c r="BD14">
        <f t="shared" ca="1" si="8"/>
        <v>1</v>
      </c>
      <c r="BE14">
        <f t="shared" ca="1" si="8"/>
        <v>1</v>
      </c>
      <c r="BF14">
        <f t="shared" ca="1" si="8"/>
        <v>0</v>
      </c>
      <c r="BG14">
        <f t="shared" ca="1" si="8"/>
        <v>1</v>
      </c>
      <c r="BH14">
        <f t="shared" ca="1" si="8"/>
        <v>0</v>
      </c>
      <c r="BI14">
        <f t="shared" ca="1" si="8"/>
        <v>0</v>
      </c>
      <c r="BJ14">
        <f t="shared" ca="1" si="8"/>
        <v>1</v>
      </c>
      <c r="BK14">
        <f t="shared" ca="1" si="8"/>
        <v>0</v>
      </c>
      <c r="BL14">
        <f t="shared" ca="1" si="8"/>
        <v>1</v>
      </c>
      <c r="BM14">
        <f t="shared" ca="1" si="8"/>
        <v>0</v>
      </c>
      <c r="BN14">
        <f t="shared" ca="1" si="8"/>
        <v>0</v>
      </c>
    </row>
    <row r="15" spans="4:66" x14ac:dyDescent="0.2">
      <c r="G15">
        <f t="shared" ca="1" si="1"/>
        <v>0</v>
      </c>
      <c r="H15">
        <f t="shared" ca="1" si="5"/>
        <v>0</v>
      </c>
      <c r="I15">
        <f t="shared" ca="1" si="6"/>
        <v>0</v>
      </c>
      <c r="J15">
        <f t="shared" ca="1" si="1"/>
        <v>0</v>
      </c>
      <c r="K15">
        <f t="shared" ca="1" si="1"/>
        <v>0</v>
      </c>
      <c r="L15">
        <f t="shared" ca="1" si="1"/>
        <v>0</v>
      </c>
      <c r="M15">
        <f t="shared" ca="1" si="1"/>
        <v>1</v>
      </c>
      <c r="N15">
        <f t="shared" ca="1" si="1"/>
        <v>0</v>
      </c>
      <c r="O15">
        <f t="shared" ca="1" si="1"/>
        <v>0</v>
      </c>
      <c r="P15">
        <f t="shared" ca="1" si="1"/>
        <v>0</v>
      </c>
      <c r="Q15">
        <f t="shared" ca="1" si="1"/>
        <v>0</v>
      </c>
      <c r="R15">
        <f t="shared" ca="1" si="1"/>
        <v>0</v>
      </c>
      <c r="S15">
        <f t="shared" ca="1" si="1"/>
        <v>1</v>
      </c>
      <c r="T15">
        <f t="shared" ca="1" si="1"/>
        <v>0</v>
      </c>
      <c r="U15">
        <f t="shared" ca="1" si="2"/>
        <v>0</v>
      </c>
      <c r="V15">
        <f t="shared" ca="1" si="2"/>
        <v>1</v>
      </c>
      <c r="W15">
        <f t="shared" ca="1" si="2"/>
        <v>1</v>
      </c>
      <c r="X15">
        <f t="shared" ca="1" si="2"/>
        <v>0</v>
      </c>
      <c r="Y15">
        <f t="shared" ca="1" si="2"/>
        <v>0</v>
      </c>
      <c r="Z15">
        <f t="shared" ca="1" si="2"/>
        <v>1</v>
      </c>
      <c r="AA15">
        <f t="shared" ca="1" si="2"/>
        <v>1</v>
      </c>
      <c r="AB15">
        <f t="shared" ca="1" si="2"/>
        <v>0</v>
      </c>
      <c r="AC15">
        <f t="shared" ca="1" si="2"/>
        <v>1</v>
      </c>
      <c r="AD15">
        <f t="shared" ca="1" si="2"/>
        <v>0</v>
      </c>
      <c r="AE15">
        <f t="shared" ca="1" si="2"/>
        <v>1</v>
      </c>
      <c r="AF15">
        <f t="shared" ca="1" si="2"/>
        <v>1</v>
      </c>
      <c r="AG15">
        <f t="shared" ca="1" si="3"/>
        <v>1</v>
      </c>
      <c r="AH15">
        <f t="shared" ca="1" si="3"/>
        <v>0</v>
      </c>
      <c r="AI15">
        <f t="shared" ca="1" si="3"/>
        <v>0</v>
      </c>
      <c r="AJ15">
        <f t="shared" ca="1" si="3"/>
        <v>1</v>
      </c>
      <c r="AK15">
        <f t="shared" ca="1" si="3"/>
        <v>0</v>
      </c>
      <c r="AL15">
        <f t="shared" ca="1" si="3"/>
        <v>0</v>
      </c>
      <c r="AM15">
        <f t="shared" ca="1" si="3"/>
        <v>0</v>
      </c>
      <c r="AN15">
        <f t="shared" ca="1" si="3"/>
        <v>0</v>
      </c>
      <c r="AO15">
        <f t="shared" ca="1" si="3"/>
        <v>1</v>
      </c>
      <c r="AP15">
        <f t="shared" ca="1" si="7"/>
        <v>0</v>
      </c>
      <c r="AQ15">
        <f t="shared" ca="1" si="7"/>
        <v>1</v>
      </c>
      <c r="AR15">
        <f t="shared" ca="1" si="7"/>
        <v>0</v>
      </c>
      <c r="AS15">
        <f t="shared" ca="1" si="7"/>
        <v>0</v>
      </c>
      <c r="AT15">
        <f t="shared" ca="1" si="7"/>
        <v>0</v>
      </c>
      <c r="AU15">
        <f t="shared" ca="1" si="7"/>
        <v>0</v>
      </c>
      <c r="AV15">
        <f t="shared" ca="1" si="7"/>
        <v>0</v>
      </c>
      <c r="AW15">
        <f t="shared" ca="1" si="7"/>
        <v>0</v>
      </c>
      <c r="AX15">
        <f t="shared" ca="1" si="7"/>
        <v>0</v>
      </c>
      <c r="AY15">
        <f t="shared" ca="1" si="7"/>
        <v>0</v>
      </c>
      <c r="AZ15">
        <f t="shared" ca="1" si="7"/>
        <v>1</v>
      </c>
      <c r="BA15">
        <f t="shared" ca="1" si="7"/>
        <v>1</v>
      </c>
      <c r="BB15">
        <f t="shared" ca="1" si="7"/>
        <v>0</v>
      </c>
      <c r="BC15">
        <f t="shared" ca="1" si="8"/>
        <v>1</v>
      </c>
      <c r="BD15">
        <f t="shared" ca="1" si="8"/>
        <v>1</v>
      </c>
      <c r="BE15">
        <f t="shared" ca="1" si="8"/>
        <v>0</v>
      </c>
      <c r="BF15">
        <f t="shared" ca="1" si="8"/>
        <v>1</v>
      </c>
      <c r="BG15">
        <f t="shared" ca="1" si="8"/>
        <v>0</v>
      </c>
      <c r="BH15">
        <f t="shared" ca="1" si="8"/>
        <v>1</v>
      </c>
      <c r="BI15">
        <f t="shared" ca="1" si="8"/>
        <v>0</v>
      </c>
      <c r="BJ15">
        <f t="shared" ca="1" si="8"/>
        <v>1</v>
      </c>
      <c r="BK15">
        <f t="shared" ca="1" si="8"/>
        <v>1</v>
      </c>
      <c r="BL15">
        <f t="shared" ca="1" si="8"/>
        <v>0</v>
      </c>
      <c r="BM15">
        <f t="shared" ca="1" si="8"/>
        <v>1</v>
      </c>
      <c r="BN15">
        <f t="shared" ca="1" si="8"/>
        <v>1</v>
      </c>
    </row>
    <row r="16" spans="4:66" x14ac:dyDescent="0.2">
      <c r="G16">
        <f t="shared" ca="1" si="1"/>
        <v>1</v>
      </c>
      <c r="H16">
        <f t="shared" ca="1" si="5"/>
        <v>1</v>
      </c>
      <c r="I16">
        <f t="shared" ca="1" si="6"/>
        <v>1</v>
      </c>
      <c r="J16">
        <f t="shared" ref="J16:Y22" ca="1" si="9">COUNTA(INDIRECT(ADDRESS(ROW(),COLUMN(),,,$A$33)))</f>
        <v>0</v>
      </c>
      <c r="K16">
        <f t="shared" ca="1" si="9"/>
        <v>1</v>
      </c>
      <c r="L16">
        <f t="shared" ca="1" si="9"/>
        <v>1</v>
      </c>
      <c r="M16">
        <f t="shared" ca="1" si="9"/>
        <v>0</v>
      </c>
      <c r="N16">
        <f t="shared" ca="1" si="9"/>
        <v>1</v>
      </c>
      <c r="O16">
        <f t="shared" ca="1" si="9"/>
        <v>1</v>
      </c>
      <c r="P16">
        <f t="shared" ca="1" si="9"/>
        <v>1</v>
      </c>
      <c r="Q16">
        <f t="shared" ca="1" si="9"/>
        <v>1</v>
      </c>
      <c r="R16">
        <f t="shared" ca="1" si="9"/>
        <v>1</v>
      </c>
      <c r="S16">
        <f t="shared" ca="1" si="9"/>
        <v>0</v>
      </c>
      <c r="T16">
        <f t="shared" ca="1" si="9"/>
        <v>1</v>
      </c>
      <c r="U16">
        <f t="shared" ca="1" si="9"/>
        <v>1</v>
      </c>
      <c r="V16">
        <f t="shared" ca="1" si="9"/>
        <v>0</v>
      </c>
      <c r="W16">
        <f t="shared" ca="1" si="9"/>
        <v>0</v>
      </c>
      <c r="X16">
        <f t="shared" ca="1" si="9"/>
        <v>1</v>
      </c>
      <c r="Y16">
        <f t="shared" ca="1" si="9"/>
        <v>1</v>
      </c>
      <c r="Z16">
        <f t="shared" ca="1" si="2"/>
        <v>0</v>
      </c>
      <c r="AA16">
        <f t="shared" ca="1" si="2"/>
        <v>0</v>
      </c>
      <c r="AB16">
        <f t="shared" ca="1" si="2"/>
        <v>1</v>
      </c>
      <c r="AC16">
        <f t="shared" ca="1" si="2"/>
        <v>0</v>
      </c>
      <c r="AD16">
        <f t="shared" ca="1" si="2"/>
        <v>1</v>
      </c>
      <c r="AE16">
        <f t="shared" ca="1" si="2"/>
        <v>0</v>
      </c>
      <c r="AF16">
        <f t="shared" ca="1" si="2"/>
        <v>0</v>
      </c>
      <c r="AG16">
        <f t="shared" ca="1" si="3"/>
        <v>0</v>
      </c>
      <c r="AH16">
        <f t="shared" ca="1" si="3"/>
        <v>1</v>
      </c>
      <c r="AI16">
        <f t="shared" ca="1" si="3"/>
        <v>1</v>
      </c>
      <c r="AJ16">
        <f t="shared" ca="1" si="3"/>
        <v>0</v>
      </c>
      <c r="AK16">
        <f t="shared" ca="1" si="3"/>
        <v>0</v>
      </c>
      <c r="AL16">
        <f t="shared" ca="1" si="3"/>
        <v>1</v>
      </c>
      <c r="AM16">
        <f t="shared" ca="1" si="3"/>
        <v>1</v>
      </c>
      <c r="AN16">
        <f t="shared" ca="1" si="3"/>
        <v>1</v>
      </c>
      <c r="AO16">
        <f t="shared" ca="1" si="3"/>
        <v>0</v>
      </c>
      <c r="AP16">
        <f t="shared" ca="1" si="7"/>
        <v>0</v>
      </c>
      <c r="AQ16">
        <f t="shared" ca="1" si="7"/>
        <v>0</v>
      </c>
      <c r="AR16">
        <f t="shared" ca="1" si="7"/>
        <v>1</v>
      </c>
      <c r="AS16">
        <f t="shared" ca="1" si="7"/>
        <v>1</v>
      </c>
      <c r="AT16">
        <f t="shared" ca="1" si="7"/>
        <v>1</v>
      </c>
      <c r="AU16">
        <f t="shared" ca="1" si="7"/>
        <v>1</v>
      </c>
      <c r="AV16">
        <f t="shared" ca="1" si="7"/>
        <v>1</v>
      </c>
      <c r="AW16">
        <f t="shared" ca="1" si="7"/>
        <v>1</v>
      </c>
      <c r="AX16">
        <f t="shared" ca="1" si="7"/>
        <v>1</v>
      </c>
      <c r="AY16">
        <f t="shared" ca="1" si="7"/>
        <v>1</v>
      </c>
      <c r="AZ16">
        <f t="shared" ca="1" si="7"/>
        <v>0</v>
      </c>
      <c r="BA16">
        <f t="shared" ca="1" si="7"/>
        <v>0</v>
      </c>
      <c r="BB16">
        <f t="shared" ca="1" si="7"/>
        <v>1</v>
      </c>
      <c r="BC16">
        <f t="shared" ca="1" si="8"/>
        <v>0</v>
      </c>
      <c r="BD16">
        <f t="shared" ca="1" si="8"/>
        <v>0</v>
      </c>
      <c r="BE16">
        <f t="shared" ca="1" si="8"/>
        <v>1</v>
      </c>
      <c r="BF16">
        <f t="shared" ca="1" si="8"/>
        <v>0</v>
      </c>
      <c r="BG16">
        <f t="shared" ca="1" si="8"/>
        <v>1</v>
      </c>
      <c r="BH16">
        <f t="shared" ca="1" si="8"/>
        <v>0</v>
      </c>
      <c r="BI16">
        <f t="shared" ca="1" si="8"/>
        <v>1</v>
      </c>
      <c r="BJ16">
        <f t="shared" ca="1" si="8"/>
        <v>0</v>
      </c>
      <c r="BK16">
        <f t="shared" ca="1" si="8"/>
        <v>0</v>
      </c>
      <c r="BL16">
        <f t="shared" ca="1" si="8"/>
        <v>1</v>
      </c>
      <c r="BM16">
        <f t="shared" ca="1" si="8"/>
        <v>0</v>
      </c>
      <c r="BN16">
        <f t="shared" ca="1" si="8"/>
        <v>0</v>
      </c>
    </row>
    <row r="17" spans="3:66" x14ac:dyDescent="0.2">
      <c r="G17">
        <f t="shared" ref="G17:G22" ca="1" si="10">COUNTA(INDIRECT(ADDRESS(ROW(),COLUMN(),,,$A$33)))</f>
        <v>0</v>
      </c>
      <c r="H17">
        <f t="shared" ca="1" si="5"/>
        <v>1</v>
      </c>
      <c r="I17">
        <f t="shared" ca="1" si="6"/>
        <v>1</v>
      </c>
      <c r="J17">
        <f t="shared" ca="1" si="9"/>
        <v>0</v>
      </c>
      <c r="K17">
        <f t="shared" ca="1" si="9"/>
        <v>0</v>
      </c>
      <c r="L17">
        <f t="shared" ca="1" si="9"/>
        <v>1</v>
      </c>
      <c r="M17">
        <f t="shared" ca="1" si="9"/>
        <v>1</v>
      </c>
      <c r="N17">
        <f t="shared" ca="1" si="9"/>
        <v>0</v>
      </c>
      <c r="O17">
        <f t="shared" ca="1" si="9"/>
        <v>1</v>
      </c>
      <c r="P17">
        <f t="shared" ca="1" si="9"/>
        <v>0</v>
      </c>
      <c r="Q17">
        <f t="shared" ca="1" si="9"/>
        <v>1</v>
      </c>
      <c r="R17">
        <f t="shared" ca="1" si="9"/>
        <v>0</v>
      </c>
      <c r="S17">
        <f t="shared" ca="1" si="9"/>
        <v>1</v>
      </c>
      <c r="T17">
        <f t="shared" ca="1" si="9"/>
        <v>1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1</v>
      </c>
      <c r="AA17">
        <f t="shared" ca="1" si="2"/>
        <v>1</v>
      </c>
      <c r="AB17">
        <f t="shared" ca="1" si="2"/>
        <v>1</v>
      </c>
      <c r="AC17">
        <f t="shared" ca="1" si="2"/>
        <v>1</v>
      </c>
      <c r="AD17">
        <f t="shared" ca="1" si="2"/>
        <v>1</v>
      </c>
      <c r="AE17">
        <f t="shared" ca="1" si="2"/>
        <v>1</v>
      </c>
      <c r="AF17">
        <f t="shared" ca="1" si="2"/>
        <v>1</v>
      </c>
      <c r="AG17">
        <f t="shared" ca="1" si="3"/>
        <v>1</v>
      </c>
      <c r="AH17">
        <f t="shared" ca="1" si="3"/>
        <v>0</v>
      </c>
      <c r="AI17">
        <f t="shared" ca="1" si="3"/>
        <v>1</v>
      </c>
      <c r="AJ17">
        <f t="shared" ca="1" si="3"/>
        <v>1</v>
      </c>
      <c r="AK17">
        <f t="shared" ca="1" si="3"/>
        <v>0</v>
      </c>
      <c r="AL17">
        <f t="shared" ca="1" si="3"/>
        <v>1</v>
      </c>
      <c r="AM17">
        <f t="shared" ca="1" si="3"/>
        <v>1</v>
      </c>
      <c r="AN17">
        <f t="shared" ca="1" si="3"/>
        <v>1</v>
      </c>
      <c r="AO17">
        <f t="shared" ca="1" si="3"/>
        <v>1</v>
      </c>
      <c r="AP17">
        <f t="shared" ca="1" si="7"/>
        <v>0</v>
      </c>
      <c r="AQ17">
        <f t="shared" ca="1" si="7"/>
        <v>1</v>
      </c>
      <c r="AR17">
        <f t="shared" ca="1" si="7"/>
        <v>0</v>
      </c>
      <c r="AS17">
        <f t="shared" ca="1" si="7"/>
        <v>1</v>
      </c>
      <c r="AT17">
        <f t="shared" ca="1" si="7"/>
        <v>0</v>
      </c>
      <c r="AU17">
        <f t="shared" ca="1" si="7"/>
        <v>1</v>
      </c>
      <c r="AV17">
        <f t="shared" ca="1" si="7"/>
        <v>1</v>
      </c>
      <c r="AW17">
        <f t="shared" ca="1" si="7"/>
        <v>1</v>
      </c>
      <c r="AX17">
        <f t="shared" ca="1" si="7"/>
        <v>0</v>
      </c>
      <c r="AY17">
        <f t="shared" ca="1" si="7"/>
        <v>0</v>
      </c>
      <c r="AZ17">
        <f t="shared" ca="1" si="7"/>
        <v>1</v>
      </c>
      <c r="BA17">
        <f t="shared" ca="1" si="7"/>
        <v>1</v>
      </c>
      <c r="BB17">
        <f t="shared" ca="1" si="7"/>
        <v>1</v>
      </c>
      <c r="BC17">
        <f t="shared" ca="1" si="8"/>
        <v>1</v>
      </c>
      <c r="BD17">
        <f t="shared" ca="1" si="8"/>
        <v>1</v>
      </c>
      <c r="BE17">
        <f t="shared" ca="1" si="8"/>
        <v>1</v>
      </c>
      <c r="BF17">
        <f t="shared" ca="1" si="8"/>
        <v>1</v>
      </c>
      <c r="BG17">
        <f t="shared" ca="1" si="8"/>
        <v>1</v>
      </c>
      <c r="BH17">
        <f t="shared" ca="1" si="8"/>
        <v>1</v>
      </c>
      <c r="BI17">
        <f t="shared" ca="1" si="8"/>
        <v>1</v>
      </c>
      <c r="BJ17">
        <f t="shared" ca="1" si="8"/>
        <v>1</v>
      </c>
      <c r="BK17">
        <f t="shared" ca="1" si="8"/>
        <v>0</v>
      </c>
      <c r="BL17">
        <f t="shared" ca="1" si="8"/>
        <v>0</v>
      </c>
      <c r="BM17">
        <f t="shared" ca="1" si="8"/>
        <v>1</v>
      </c>
      <c r="BN17">
        <f t="shared" ca="1" si="8"/>
        <v>0</v>
      </c>
    </row>
    <row r="18" spans="3:66" x14ac:dyDescent="0.2">
      <c r="G18">
        <f t="shared" ca="1" si="10"/>
        <v>1</v>
      </c>
      <c r="H18">
        <f t="shared" ca="1" si="5"/>
        <v>0</v>
      </c>
      <c r="I18">
        <f t="shared" ca="1" si="6"/>
        <v>0</v>
      </c>
      <c r="J18">
        <f t="shared" ca="1" si="9"/>
        <v>0</v>
      </c>
      <c r="K18">
        <f t="shared" ca="1" si="9"/>
        <v>1</v>
      </c>
      <c r="L18">
        <f t="shared" ca="1" si="9"/>
        <v>0</v>
      </c>
      <c r="M18">
        <f t="shared" ca="1" si="9"/>
        <v>0</v>
      </c>
      <c r="N18">
        <f t="shared" ca="1" si="9"/>
        <v>1</v>
      </c>
      <c r="O18">
        <f t="shared" ca="1" si="9"/>
        <v>0</v>
      </c>
      <c r="P18">
        <f t="shared" ca="1" si="9"/>
        <v>1</v>
      </c>
      <c r="Q18">
        <f t="shared" ca="1" si="9"/>
        <v>0</v>
      </c>
      <c r="R18">
        <f t="shared" ca="1" si="9"/>
        <v>1</v>
      </c>
      <c r="S18">
        <f t="shared" ca="1" si="9"/>
        <v>0</v>
      </c>
      <c r="T18">
        <f t="shared" ca="1" si="9"/>
        <v>0</v>
      </c>
      <c r="U18">
        <f t="shared" ca="1" si="2"/>
        <v>0</v>
      </c>
      <c r="V18">
        <f t="shared" ca="1" si="2"/>
        <v>0</v>
      </c>
      <c r="W18">
        <f t="shared" ca="1" si="2"/>
        <v>0</v>
      </c>
      <c r="X18">
        <f t="shared" ca="1" si="2"/>
        <v>0</v>
      </c>
      <c r="Y18">
        <f t="shared" ca="1" si="2"/>
        <v>0</v>
      </c>
      <c r="Z18">
        <f t="shared" ca="1" si="2"/>
        <v>0</v>
      </c>
      <c r="AA18">
        <f t="shared" ca="1" si="2"/>
        <v>0</v>
      </c>
      <c r="AB18">
        <f t="shared" ca="1" si="2"/>
        <v>0</v>
      </c>
      <c r="AC18">
        <f t="shared" ca="1" si="2"/>
        <v>0</v>
      </c>
      <c r="AD18">
        <f t="shared" ca="1" si="2"/>
        <v>0</v>
      </c>
      <c r="AE18">
        <f t="shared" ca="1" si="2"/>
        <v>0</v>
      </c>
      <c r="AF18">
        <f t="shared" ca="1" si="2"/>
        <v>0</v>
      </c>
      <c r="AG18">
        <f t="shared" ca="1" si="3"/>
        <v>0</v>
      </c>
      <c r="AH18">
        <f t="shared" ca="1" si="3"/>
        <v>1</v>
      </c>
      <c r="AI18">
        <f t="shared" ca="1" si="3"/>
        <v>0</v>
      </c>
      <c r="AJ18">
        <f t="shared" ca="1" si="3"/>
        <v>0</v>
      </c>
      <c r="AK18">
        <f t="shared" ca="1" si="3"/>
        <v>0</v>
      </c>
      <c r="AL18">
        <f t="shared" ca="1" si="3"/>
        <v>0</v>
      </c>
      <c r="AM18">
        <f t="shared" ca="1" si="3"/>
        <v>0</v>
      </c>
      <c r="AN18">
        <f t="shared" ca="1" si="3"/>
        <v>0</v>
      </c>
      <c r="AO18">
        <f t="shared" ca="1" si="3"/>
        <v>0</v>
      </c>
      <c r="AP18">
        <f t="shared" ca="1" si="7"/>
        <v>0</v>
      </c>
      <c r="AQ18">
        <f t="shared" ca="1" si="7"/>
        <v>0</v>
      </c>
      <c r="AR18">
        <f t="shared" ca="1" si="7"/>
        <v>1</v>
      </c>
      <c r="AS18">
        <f t="shared" ca="1" si="7"/>
        <v>0</v>
      </c>
      <c r="AT18">
        <f t="shared" ca="1" si="7"/>
        <v>1</v>
      </c>
      <c r="AU18">
        <f t="shared" ca="1" si="7"/>
        <v>0</v>
      </c>
      <c r="AV18">
        <f t="shared" ca="1" si="7"/>
        <v>0</v>
      </c>
      <c r="AW18">
        <f t="shared" ca="1" si="7"/>
        <v>0</v>
      </c>
      <c r="AX18">
        <f t="shared" ca="1" si="7"/>
        <v>1</v>
      </c>
      <c r="AY18">
        <f t="shared" ca="1" si="7"/>
        <v>1</v>
      </c>
      <c r="AZ18">
        <f t="shared" ca="1" si="7"/>
        <v>0</v>
      </c>
      <c r="BA18">
        <f t="shared" ca="1" si="7"/>
        <v>0</v>
      </c>
      <c r="BB18">
        <f t="shared" ca="1" si="7"/>
        <v>0</v>
      </c>
      <c r="BC18">
        <f t="shared" ca="1" si="8"/>
        <v>0</v>
      </c>
      <c r="BD18">
        <f t="shared" ca="1" si="8"/>
        <v>0</v>
      </c>
      <c r="BE18">
        <f t="shared" ca="1" si="8"/>
        <v>0</v>
      </c>
      <c r="BF18">
        <f t="shared" ca="1" si="8"/>
        <v>0</v>
      </c>
      <c r="BG18">
        <f t="shared" ca="1" si="8"/>
        <v>0</v>
      </c>
      <c r="BH18">
        <f t="shared" ca="1" si="8"/>
        <v>0</v>
      </c>
      <c r="BI18">
        <f t="shared" ca="1" si="8"/>
        <v>0</v>
      </c>
      <c r="BJ18">
        <f t="shared" ca="1" si="8"/>
        <v>0</v>
      </c>
      <c r="BK18">
        <f t="shared" ca="1" si="8"/>
        <v>1</v>
      </c>
      <c r="BL18">
        <f t="shared" ca="1" si="8"/>
        <v>1</v>
      </c>
      <c r="BM18">
        <f t="shared" ca="1" si="8"/>
        <v>0</v>
      </c>
      <c r="BN18">
        <f t="shared" ca="1" si="8"/>
        <v>1</v>
      </c>
    </row>
    <row r="19" spans="3:66" x14ac:dyDescent="0.2">
      <c r="G19">
        <f t="shared" ca="1" si="10"/>
        <v>0</v>
      </c>
      <c r="H19">
        <f t="shared" ca="1" si="5"/>
        <v>0</v>
      </c>
      <c r="I19">
        <f t="shared" ca="1" si="6"/>
        <v>0</v>
      </c>
      <c r="J19">
        <f t="shared" ca="1" si="9"/>
        <v>0</v>
      </c>
      <c r="K19">
        <f t="shared" ca="1" si="9"/>
        <v>1</v>
      </c>
      <c r="L19">
        <f t="shared" ca="1" si="9"/>
        <v>0</v>
      </c>
      <c r="M19">
        <f t="shared" ca="1" si="9"/>
        <v>1</v>
      </c>
      <c r="N19">
        <f t="shared" ca="1" si="9"/>
        <v>0</v>
      </c>
      <c r="O19">
        <f t="shared" ca="1" si="9"/>
        <v>0</v>
      </c>
      <c r="P19">
        <f t="shared" ca="1" si="9"/>
        <v>0</v>
      </c>
      <c r="Q19">
        <f t="shared" ca="1" si="9"/>
        <v>0</v>
      </c>
      <c r="R19">
        <f t="shared" ca="1" si="9"/>
        <v>0</v>
      </c>
      <c r="S19">
        <f t="shared" ca="1" si="9"/>
        <v>0</v>
      </c>
      <c r="T19">
        <f t="shared" ca="1" si="9"/>
        <v>0</v>
      </c>
      <c r="U19">
        <f t="shared" ref="U19:AJ22" ca="1" si="11">COUNTA(INDIRECT(ADDRESS(ROW(),COLUMN(),,,$A$33)))</f>
        <v>0</v>
      </c>
      <c r="V19">
        <f t="shared" ca="1" si="11"/>
        <v>1</v>
      </c>
      <c r="W19">
        <f t="shared" ca="1" si="11"/>
        <v>0</v>
      </c>
      <c r="X19">
        <f t="shared" ca="1" si="11"/>
        <v>1</v>
      </c>
      <c r="Y19">
        <f t="shared" ca="1" si="11"/>
        <v>0</v>
      </c>
      <c r="Z19">
        <f t="shared" ca="1" si="11"/>
        <v>1</v>
      </c>
      <c r="AA19">
        <f t="shared" ca="1" si="11"/>
        <v>1</v>
      </c>
      <c r="AB19">
        <f t="shared" ca="1" si="11"/>
        <v>1</v>
      </c>
      <c r="AC19">
        <f t="shared" ca="1" si="11"/>
        <v>0</v>
      </c>
      <c r="AD19">
        <f t="shared" ca="1" si="11"/>
        <v>1</v>
      </c>
      <c r="AE19">
        <f t="shared" ca="1" si="11"/>
        <v>0</v>
      </c>
      <c r="AF19">
        <f t="shared" ca="1" si="11"/>
        <v>1</v>
      </c>
      <c r="AG19">
        <f t="shared" ca="1" si="11"/>
        <v>1</v>
      </c>
      <c r="AH19">
        <f t="shared" ca="1" si="11"/>
        <v>0</v>
      </c>
      <c r="AI19">
        <f t="shared" ca="1" si="11"/>
        <v>1</v>
      </c>
      <c r="AJ19">
        <f t="shared" ca="1" si="11"/>
        <v>1</v>
      </c>
      <c r="AK19">
        <f t="shared" ref="AG19:AV22" ca="1" si="12">COUNTA(INDIRECT(ADDRESS(ROW(),COLUMN(),,,$A$33)))</f>
        <v>0</v>
      </c>
      <c r="AL19">
        <f t="shared" ca="1" si="12"/>
        <v>0</v>
      </c>
      <c r="AM19">
        <f t="shared" ca="1" si="12"/>
        <v>0</v>
      </c>
      <c r="AN19">
        <f t="shared" ca="1" si="12"/>
        <v>0</v>
      </c>
      <c r="AO19">
        <f t="shared" ca="1" si="12"/>
        <v>0</v>
      </c>
      <c r="AP19">
        <f t="shared" ca="1" si="12"/>
        <v>0</v>
      </c>
      <c r="AQ19">
        <f t="shared" ca="1" si="12"/>
        <v>1</v>
      </c>
      <c r="AR19">
        <f t="shared" ca="1" si="12"/>
        <v>0</v>
      </c>
      <c r="AS19">
        <f t="shared" ca="1" si="12"/>
        <v>0</v>
      </c>
      <c r="AT19">
        <f t="shared" ca="1" si="12"/>
        <v>1</v>
      </c>
      <c r="AU19">
        <f t="shared" ca="1" si="12"/>
        <v>1</v>
      </c>
      <c r="AV19">
        <f t="shared" ca="1" si="12"/>
        <v>0</v>
      </c>
      <c r="AW19">
        <f t="shared" ca="1" si="7"/>
        <v>0</v>
      </c>
      <c r="AX19">
        <f t="shared" ca="1" si="7"/>
        <v>0</v>
      </c>
      <c r="AY19">
        <f t="shared" ca="1" si="7"/>
        <v>0</v>
      </c>
      <c r="AZ19">
        <f t="shared" ca="1" si="7"/>
        <v>0</v>
      </c>
      <c r="BA19">
        <f t="shared" ca="1" si="7"/>
        <v>0</v>
      </c>
      <c r="BB19">
        <f t="shared" ca="1" si="7"/>
        <v>0</v>
      </c>
      <c r="BC19">
        <f t="shared" ref="BC19:BN20" ca="1" si="13">COUNTA(INDIRECT(ADDRESS(ROW(),COLUMN(),,,$A$33)))</f>
        <v>1</v>
      </c>
      <c r="BD19">
        <f t="shared" ca="1" si="13"/>
        <v>1</v>
      </c>
      <c r="BE19">
        <f t="shared" ca="1" si="13"/>
        <v>0</v>
      </c>
      <c r="BF19">
        <f t="shared" ca="1" si="13"/>
        <v>0</v>
      </c>
      <c r="BG19">
        <f t="shared" ca="1" si="13"/>
        <v>0</v>
      </c>
      <c r="BH19">
        <f t="shared" ca="1" si="13"/>
        <v>1</v>
      </c>
      <c r="BI19">
        <f t="shared" ca="1" si="13"/>
        <v>0</v>
      </c>
      <c r="BJ19">
        <f t="shared" ca="1" si="13"/>
        <v>0</v>
      </c>
      <c r="BK19">
        <f t="shared" ca="1" si="13"/>
        <v>1</v>
      </c>
      <c r="BL19">
        <f t="shared" ca="1" si="13"/>
        <v>0</v>
      </c>
      <c r="BM19">
        <f t="shared" ca="1" si="13"/>
        <v>0</v>
      </c>
      <c r="BN19">
        <f t="shared" ca="1" si="13"/>
        <v>1</v>
      </c>
    </row>
    <row r="20" spans="3:66" x14ac:dyDescent="0.2">
      <c r="G20">
        <f t="shared" ca="1" si="10"/>
        <v>1</v>
      </c>
      <c r="H20">
        <f t="shared" ca="1" si="5"/>
        <v>1</v>
      </c>
      <c r="I20">
        <f t="shared" ca="1" si="6"/>
        <v>1</v>
      </c>
      <c r="J20">
        <f t="shared" ca="1" si="9"/>
        <v>0</v>
      </c>
      <c r="K20">
        <f t="shared" ca="1" si="9"/>
        <v>0</v>
      </c>
      <c r="L20">
        <f t="shared" ca="1" si="9"/>
        <v>1</v>
      </c>
      <c r="M20">
        <f t="shared" ca="1" si="9"/>
        <v>0</v>
      </c>
      <c r="N20">
        <f t="shared" ca="1" si="9"/>
        <v>1</v>
      </c>
      <c r="O20">
        <f t="shared" ca="1" si="9"/>
        <v>1</v>
      </c>
      <c r="P20">
        <f t="shared" ca="1" si="9"/>
        <v>1</v>
      </c>
      <c r="Q20">
        <f t="shared" ca="1" si="9"/>
        <v>1</v>
      </c>
      <c r="R20">
        <f t="shared" ca="1" si="9"/>
        <v>1</v>
      </c>
      <c r="S20">
        <f t="shared" ca="1" si="9"/>
        <v>1</v>
      </c>
      <c r="T20">
        <f t="shared" ca="1" si="9"/>
        <v>1</v>
      </c>
      <c r="U20">
        <f t="shared" ca="1" si="11"/>
        <v>1</v>
      </c>
      <c r="V20">
        <f t="shared" ca="1" si="11"/>
        <v>0</v>
      </c>
      <c r="W20">
        <f t="shared" ca="1" si="11"/>
        <v>1</v>
      </c>
      <c r="X20">
        <f t="shared" ca="1" si="11"/>
        <v>0</v>
      </c>
      <c r="Y20">
        <f t="shared" ca="1" si="11"/>
        <v>1</v>
      </c>
      <c r="Z20">
        <f t="shared" ca="1" si="11"/>
        <v>0</v>
      </c>
      <c r="AA20">
        <f t="shared" ca="1" si="11"/>
        <v>0</v>
      </c>
      <c r="AB20">
        <f t="shared" ca="1" si="11"/>
        <v>0</v>
      </c>
      <c r="AC20">
        <f t="shared" ca="1" si="11"/>
        <v>1</v>
      </c>
      <c r="AD20">
        <f t="shared" ca="1" si="11"/>
        <v>0</v>
      </c>
      <c r="AE20">
        <f t="shared" ca="1" si="11"/>
        <v>1</v>
      </c>
      <c r="AF20">
        <f t="shared" ca="1" si="11"/>
        <v>0</v>
      </c>
      <c r="AG20">
        <f t="shared" ca="1" si="12"/>
        <v>0</v>
      </c>
      <c r="AH20">
        <f t="shared" ca="1" si="12"/>
        <v>1</v>
      </c>
      <c r="AI20">
        <f t="shared" ca="1" si="12"/>
        <v>0</v>
      </c>
      <c r="AJ20">
        <f t="shared" ca="1" si="12"/>
        <v>0</v>
      </c>
      <c r="AK20">
        <f t="shared" ca="1" si="12"/>
        <v>0</v>
      </c>
      <c r="AL20">
        <f t="shared" ca="1" si="12"/>
        <v>1</v>
      </c>
      <c r="AM20">
        <f t="shared" ca="1" si="12"/>
        <v>1</v>
      </c>
      <c r="AN20">
        <f t="shared" ca="1" si="12"/>
        <v>1</v>
      </c>
      <c r="AO20">
        <f t="shared" ca="1" si="12"/>
        <v>1</v>
      </c>
      <c r="AP20">
        <f t="shared" ref="AP20:BI22" ca="1" si="14">COUNTA(INDIRECT(ADDRESS(ROW(),COLUMN(),,,$A$33)))</f>
        <v>0</v>
      </c>
      <c r="AQ20">
        <f t="shared" ca="1" si="14"/>
        <v>0</v>
      </c>
      <c r="AR20">
        <f t="shared" ca="1" si="14"/>
        <v>1</v>
      </c>
      <c r="AS20">
        <f t="shared" ca="1" si="14"/>
        <v>1</v>
      </c>
      <c r="AT20">
        <f t="shared" ca="1" si="14"/>
        <v>0</v>
      </c>
      <c r="AU20">
        <f t="shared" ca="1" si="14"/>
        <v>0</v>
      </c>
      <c r="AV20">
        <f t="shared" ca="1" si="14"/>
        <v>1</v>
      </c>
      <c r="AW20">
        <f t="shared" ca="1" si="14"/>
        <v>1</v>
      </c>
      <c r="AX20">
        <f t="shared" ca="1" si="14"/>
        <v>1</v>
      </c>
      <c r="AY20">
        <f t="shared" ca="1" si="14"/>
        <v>1</v>
      </c>
      <c r="AZ20">
        <f t="shared" ca="1" si="14"/>
        <v>1</v>
      </c>
      <c r="BA20">
        <f t="shared" ca="1" si="14"/>
        <v>1</v>
      </c>
      <c r="BB20">
        <f t="shared" ca="1" si="14"/>
        <v>1</v>
      </c>
      <c r="BC20">
        <f t="shared" ca="1" si="14"/>
        <v>0</v>
      </c>
      <c r="BD20">
        <f t="shared" ca="1" si="14"/>
        <v>0</v>
      </c>
      <c r="BE20">
        <f t="shared" ca="1" si="14"/>
        <v>1</v>
      </c>
      <c r="BF20">
        <f t="shared" ca="1" si="14"/>
        <v>1</v>
      </c>
      <c r="BG20">
        <f t="shared" ca="1" si="14"/>
        <v>1</v>
      </c>
      <c r="BH20">
        <f t="shared" ca="1" si="14"/>
        <v>0</v>
      </c>
      <c r="BI20">
        <f t="shared" ca="1" si="14"/>
        <v>1</v>
      </c>
      <c r="BJ20">
        <f t="shared" ca="1" si="13"/>
        <v>1</v>
      </c>
      <c r="BK20">
        <f t="shared" ca="1" si="13"/>
        <v>0</v>
      </c>
      <c r="BL20">
        <f t="shared" ca="1" si="13"/>
        <v>1</v>
      </c>
      <c r="BM20">
        <f t="shared" ca="1" si="13"/>
        <v>1</v>
      </c>
      <c r="BN20">
        <f t="shared" ca="1" si="13"/>
        <v>0</v>
      </c>
    </row>
    <row r="21" spans="3:66" x14ac:dyDescent="0.2">
      <c r="G21">
        <f t="shared" ca="1" si="10"/>
        <v>0</v>
      </c>
      <c r="H21">
        <f t="shared" ca="1" si="5"/>
        <v>1</v>
      </c>
      <c r="I21">
        <f t="shared" ca="1" si="6"/>
        <v>1</v>
      </c>
      <c r="J21">
        <f t="shared" ca="1" si="9"/>
        <v>0</v>
      </c>
      <c r="K21">
        <f t="shared" ca="1" si="9"/>
        <v>1</v>
      </c>
      <c r="L21">
        <f t="shared" ca="1" si="9"/>
        <v>1</v>
      </c>
      <c r="M21">
        <f t="shared" ca="1" si="9"/>
        <v>1</v>
      </c>
      <c r="N21">
        <f t="shared" ca="1" si="9"/>
        <v>1</v>
      </c>
      <c r="O21">
        <f t="shared" ca="1" si="9"/>
        <v>1</v>
      </c>
      <c r="P21">
        <f t="shared" ca="1" si="9"/>
        <v>0</v>
      </c>
      <c r="Q21">
        <f t="shared" ca="1" si="9"/>
        <v>1</v>
      </c>
      <c r="R21">
        <f t="shared" ca="1" si="9"/>
        <v>0</v>
      </c>
      <c r="S21">
        <f t="shared" ca="1" si="9"/>
        <v>1</v>
      </c>
      <c r="T21">
        <f t="shared" ca="1" si="9"/>
        <v>1</v>
      </c>
      <c r="U21">
        <f t="shared" ca="1" si="11"/>
        <v>1</v>
      </c>
      <c r="V21">
        <f t="shared" ca="1" si="11"/>
        <v>0</v>
      </c>
      <c r="W21">
        <f t="shared" ca="1" si="11"/>
        <v>1</v>
      </c>
      <c r="X21">
        <f t="shared" ca="1" si="11"/>
        <v>0</v>
      </c>
      <c r="Y21">
        <f t="shared" ca="1" si="11"/>
        <v>1</v>
      </c>
      <c r="Z21">
        <f t="shared" ca="1" si="11"/>
        <v>1</v>
      </c>
      <c r="AA21">
        <f t="shared" ca="1" si="11"/>
        <v>1</v>
      </c>
      <c r="AB21">
        <f t="shared" ca="1" si="11"/>
        <v>0</v>
      </c>
      <c r="AC21">
        <f t="shared" ca="1" si="11"/>
        <v>1</v>
      </c>
      <c r="AD21">
        <f t="shared" ca="1" si="11"/>
        <v>1</v>
      </c>
      <c r="AE21">
        <f t="shared" ca="1" si="11"/>
        <v>1</v>
      </c>
      <c r="AF21">
        <f t="shared" ca="1" si="11"/>
        <v>1</v>
      </c>
      <c r="AG21">
        <f t="shared" ca="1" si="12"/>
        <v>1</v>
      </c>
      <c r="AH21">
        <f t="shared" ca="1" si="12"/>
        <v>1</v>
      </c>
      <c r="AI21">
        <f t="shared" ca="1" si="12"/>
        <v>1</v>
      </c>
      <c r="AJ21">
        <f t="shared" ca="1" si="12"/>
        <v>1</v>
      </c>
      <c r="AK21">
        <f t="shared" ca="1" si="12"/>
        <v>0</v>
      </c>
      <c r="AL21">
        <f t="shared" ca="1" si="12"/>
        <v>1</v>
      </c>
      <c r="AM21">
        <f t="shared" ca="1" si="12"/>
        <v>0</v>
      </c>
      <c r="AN21">
        <f t="shared" ca="1" si="12"/>
        <v>1</v>
      </c>
      <c r="AO21">
        <f t="shared" ca="1" si="12"/>
        <v>1</v>
      </c>
      <c r="AP21">
        <f t="shared" ca="1" si="14"/>
        <v>0</v>
      </c>
      <c r="AQ21">
        <f t="shared" ca="1" si="14"/>
        <v>1</v>
      </c>
      <c r="AR21">
        <f t="shared" ca="1" si="14"/>
        <v>1</v>
      </c>
      <c r="AS21">
        <f t="shared" ca="1" si="14"/>
        <v>1</v>
      </c>
      <c r="AT21">
        <f t="shared" ca="1" si="14"/>
        <v>1</v>
      </c>
      <c r="AU21">
        <f t="shared" ca="1" si="14"/>
        <v>1</v>
      </c>
      <c r="AV21">
        <f t="shared" ca="1" si="14"/>
        <v>1</v>
      </c>
      <c r="AW21">
        <f t="shared" ca="1" si="14"/>
        <v>1</v>
      </c>
      <c r="AX21">
        <f t="shared" ca="1" si="14"/>
        <v>1</v>
      </c>
      <c r="AY21">
        <f t="shared" ca="1" si="14"/>
        <v>1</v>
      </c>
      <c r="AZ21">
        <f t="shared" ca="1" si="14"/>
        <v>1</v>
      </c>
      <c r="BA21">
        <f t="shared" ca="1" si="14"/>
        <v>1</v>
      </c>
      <c r="BB21">
        <f t="shared" ca="1" si="14"/>
        <v>1</v>
      </c>
      <c r="BC21">
        <f t="shared" ref="BC21:BN22" ca="1" si="15">COUNTA(INDIRECT(ADDRESS(ROW(),COLUMN(),,,$A$33)))</f>
        <v>1</v>
      </c>
      <c r="BD21">
        <f t="shared" ca="1" si="15"/>
        <v>0</v>
      </c>
      <c r="BE21">
        <f t="shared" ca="1" si="15"/>
        <v>1</v>
      </c>
      <c r="BF21">
        <f t="shared" ca="1" si="15"/>
        <v>0</v>
      </c>
      <c r="BG21">
        <f t="shared" ca="1" si="15"/>
        <v>1</v>
      </c>
      <c r="BH21">
        <f t="shared" ca="1" si="15"/>
        <v>1</v>
      </c>
      <c r="BI21">
        <f t="shared" ca="1" si="15"/>
        <v>1</v>
      </c>
      <c r="BJ21">
        <f t="shared" ca="1" si="15"/>
        <v>1</v>
      </c>
      <c r="BK21">
        <f t="shared" ca="1" si="15"/>
        <v>1</v>
      </c>
      <c r="BL21">
        <f t="shared" ca="1" si="15"/>
        <v>1</v>
      </c>
      <c r="BM21">
        <f t="shared" ca="1" si="15"/>
        <v>1</v>
      </c>
      <c r="BN21">
        <f t="shared" ca="1" si="15"/>
        <v>1</v>
      </c>
    </row>
    <row r="22" spans="3:66" x14ac:dyDescent="0.2">
      <c r="G22">
        <f t="shared" ca="1" si="10"/>
        <v>1</v>
      </c>
      <c r="H22">
        <f t="shared" ca="1" si="5"/>
        <v>0</v>
      </c>
      <c r="I22">
        <f t="shared" ca="1" si="6"/>
        <v>0</v>
      </c>
      <c r="J22">
        <f t="shared" ca="1" si="9"/>
        <v>0</v>
      </c>
      <c r="K22">
        <f t="shared" ca="1" si="9"/>
        <v>0</v>
      </c>
      <c r="L22">
        <f t="shared" ca="1" si="9"/>
        <v>0</v>
      </c>
      <c r="M22">
        <f t="shared" ca="1" si="9"/>
        <v>0</v>
      </c>
      <c r="N22">
        <f t="shared" ca="1" si="9"/>
        <v>0</v>
      </c>
      <c r="O22">
        <f t="shared" ca="1" si="9"/>
        <v>0</v>
      </c>
      <c r="P22">
        <f t="shared" ca="1" si="9"/>
        <v>1</v>
      </c>
      <c r="Q22">
        <f t="shared" ca="1" si="9"/>
        <v>0</v>
      </c>
      <c r="R22">
        <f t="shared" ca="1" si="9"/>
        <v>1</v>
      </c>
      <c r="S22">
        <f t="shared" ca="1" si="9"/>
        <v>0</v>
      </c>
      <c r="T22">
        <f t="shared" ca="1" si="9"/>
        <v>0</v>
      </c>
      <c r="U22">
        <f t="shared" ca="1" si="11"/>
        <v>0</v>
      </c>
      <c r="V22">
        <f t="shared" ca="1" si="11"/>
        <v>1</v>
      </c>
      <c r="W22">
        <f t="shared" ca="1" si="11"/>
        <v>0</v>
      </c>
      <c r="X22">
        <f t="shared" ca="1" si="11"/>
        <v>1</v>
      </c>
      <c r="Y22">
        <f t="shared" ca="1" si="11"/>
        <v>0</v>
      </c>
      <c r="Z22">
        <f t="shared" ca="1" si="11"/>
        <v>0</v>
      </c>
      <c r="AA22">
        <f t="shared" ca="1" si="11"/>
        <v>0</v>
      </c>
      <c r="AB22">
        <f t="shared" ca="1" si="11"/>
        <v>1</v>
      </c>
      <c r="AC22">
        <f t="shared" ca="1" si="11"/>
        <v>0</v>
      </c>
      <c r="AD22">
        <f t="shared" ca="1" si="11"/>
        <v>0</v>
      </c>
      <c r="AE22">
        <f t="shared" ca="1" si="11"/>
        <v>0</v>
      </c>
      <c r="AF22">
        <f t="shared" ca="1" si="11"/>
        <v>0</v>
      </c>
      <c r="AG22">
        <f t="shared" ca="1" si="12"/>
        <v>0</v>
      </c>
      <c r="AH22">
        <f t="shared" ca="1" si="12"/>
        <v>0</v>
      </c>
      <c r="AI22">
        <f t="shared" ca="1" si="12"/>
        <v>0</v>
      </c>
      <c r="AJ22">
        <f t="shared" ca="1" si="12"/>
        <v>0</v>
      </c>
      <c r="AK22">
        <f t="shared" ca="1" si="12"/>
        <v>0</v>
      </c>
      <c r="AL22">
        <f t="shared" ca="1" si="12"/>
        <v>0</v>
      </c>
      <c r="AM22">
        <f t="shared" ca="1" si="12"/>
        <v>1</v>
      </c>
      <c r="AN22">
        <f t="shared" ca="1" si="12"/>
        <v>0</v>
      </c>
      <c r="AO22">
        <f t="shared" ca="1" si="12"/>
        <v>0</v>
      </c>
      <c r="AP22">
        <f t="shared" ca="1" si="14"/>
        <v>0</v>
      </c>
      <c r="AQ22">
        <f t="shared" ca="1" si="14"/>
        <v>0</v>
      </c>
      <c r="AR22">
        <f t="shared" ca="1" si="14"/>
        <v>0</v>
      </c>
      <c r="AS22">
        <f t="shared" ca="1" si="14"/>
        <v>0</v>
      </c>
      <c r="AT22">
        <f t="shared" ca="1" si="14"/>
        <v>0</v>
      </c>
      <c r="AU22">
        <f t="shared" ca="1" si="14"/>
        <v>0</v>
      </c>
      <c r="AV22">
        <f t="shared" ca="1" si="14"/>
        <v>0</v>
      </c>
      <c r="AW22">
        <f t="shared" ca="1" si="14"/>
        <v>0</v>
      </c>
      <c r="AX22">
        <f t="shared" ca="1" si="14"/>
        <v>0</v>
      </c>
      <c r="AY22">
        <f t="shared" ca="1" si="14"/>
        <v>0</v>
      </c>
      <c r="AZ22">
        <f t="shared" ca="1" si="14"/>
        <v>0</v>
      </c>
      <c r="BA22">
        <f t="shared" ca="1" si="14"/>
        <v>0</v>
      </c>
      <c r="BB22">
        <f t="shared" ca="1" si="14"/>
        <v>0</v>
      </c>
      <c r="BC22">
        <f t="shared" ca="1" si="15"/>
        <v>0</v>
      </c>
      <c r="BD22">
        <f t="shared" ca="1" si="15"/>
        <v>1</v>
      </c>
      <c r="BE22">
        <f t="shared" ca="1" si="15"/>
        <v>0</v>
      </c>
      <c r="BF22">
        <f t="shared" ca="1" si="15"/>
        <v>1</v>
      </c>
      <c r="BG22">
        <f t="shared" ca="1" si="15"/>
        <v>0</v>
      </c>
      <c r="BH22">
        <f t="shared" ca="1" si="15"/>
        <v>0</v>
      </c>
      <c r="BI22">
        <f t="shared" ca="1" si="15"/>
        <v>0</v>
      </c>
      <c r="BJ22">
        <f t="shared" ca="1" si="15"/>
        <v>0</v>
      </c>
      <c r="BK22">
        <f t="shared" ca="1" si="15"/>
        <v>0</v>
      </c>
      <c r="BL22">
        <f t="shared" ca="1" si="15"/>
        <v>0</v>
      </c>
      <c r="BM22">
        <f t="shared" ca="1" si="15"/>
        <v>0</v>
      </c>
      <c r="BN22">
        <f t="shared" ca="1" si="15"/>
        <v>0</v>
      </c>
    </row>
    <row r="25" spans="3:66" x14ac:dyDescent="0.2">
      <c r="C25">
        <f ca="1">SUM(INDIRECT("RC11:RC"&amp;11+playercnt-1,FALSE))</f>
        <v>54</v>
      </c>
      <c r="K25">
        <f ca="1">IF(SUM(K3:K22)=0,0,1)</f>
        <v>1</v>
      </c>
      <c r="L25">
        <f t="shared" ref="L25:AO25" ca="1" si="16">IF(SUM(L3:L22)=0,0,1)</f>
        <v>1</v>
      </c>
      <c r="M25">
        <f t="shared" ca="1" si="16"/>
        <v>1</v>
      </c>
      <c r="N25">
        <f t="shared" ca="1" si="16"/>
        <v>1</v>
      </c>
      <c r="O25">
        <f t="shared" ca="1" si="16"/>
        <v>1</v>
      </c>
      <c r="P25">
        <f t="shared" ca="1" si="16"/>
        <v>1</v>
      </c>
      <c r="Q25">
        <f t="shared" ca="1" si="16"/>
        <v>1</v>
      </c>
      <c r="R25">
        <f t="shared" ca="1" si="16"/>
        <v>1</v>
      </c>
      <c r="S25">
        <f t="shared" ca="1" si="16"/>
        <v>1</v>
      </c>
      <c r="T25">
        <f t="shared" ca="1" si="16"/>
        <v>1</v>
      </c>
      <c r="U25">
        <f t="shared" ca="1" si="16"/>
        <v>1</v>
      </c>
      <c r="V25">
        <f t="shared" ca="1" si="16"/>
        <v>1</v>
      </c>
      <c r="W25">
        <f t="shared" ca="1" si="16"/>
        <v>1</v>
      </c>
      <c r="X25">
        <f t="shared" ca="1" si="16"/>
        <v>1</v>
      </c>
      <c r="Y25">
        <f t="shared" ca="1" si="16"/>
        <v>1</v>
      </c>
      <c r="Z25">
        <f t="shared" ca="1" si="16"/>
        <v>1</v>
      </c>
      <c r="AA25">
        <f t="shared" ca="1" si="16"/>
        <v>1</v>
      </c>
      <c r="AB25">
        <f t="shared" ca="1" si="16"/>
        <v>1</v>
      </c>
      <c r="AC25">
        <f t="shared" ca="1" si="16"/>
        <v>1</v>
      </c>
      <c r="AD25">
        <f t="shared" ca="1" si="16"/>
        <v>1</v>
      </c>
      <c r="AE25">
        <f t="shared" ca="1" si="16"/>
        <v>1</v>
      </c>
      <c r="AF25">
        <f t="shared" ca="1" si="16"/>
        <v>1</v>
      </c>
      <c r="AG25">
        <f t="shared" ca="1" si="16"/>
        <v>1</v>
      </c>
      <c r="AH25">
        <f t="shared" ca="1" si="16"/>
        <v>1</v>
      </c>
      <c r="AI25">
        <f t="shared" ca="1" si="16"/>
        <v>1</v>
      </c>
      <c r="AJ25">
        <f t="shared" ca="1" si="16"/>
        <v>1</v>
      </c>
      <c r="AK25">
        <f t="shared" ca="1" si="16"/>
        <v>0</v>
      </c>
      <c r="AL25">
        <f t="shared" ca="1" si="16"/>
        <v>1</v>
      </c>
      <c r="AM25">
        <f t="shared" ca="1" si="16"/>
        <v>1</v>
      </c>
      <c r="AN25">
        <f t="shared" ca="1" si="16"/>
        <v>1</v>
      </c>
      <c r="AO25">
        <f t="shared" ca="1" si="16"/>
        <v>1</v>
      </c>
      <c r="AP25">
        <f t="shared" ref="AP25:AU25" ca="1" si="17">IF(SUM(AP3:AP22)=0,0,1)</f>
        <v>0</v>
      </c>
      <c r="AQ25">
        <f t="shared" ca="1" si="17"/>
        <v>1</v>
      </c>
      <c r="AR25">
        <f t="shared" ca="1" si="17"/>
        <v>1</v>
      </c>
      <c r="AS25">
        <f t="shared" ca="1" si="17"/>
        <v>1</v>
      </c>
      <c r="AT25">
        <f t="shared" ca="1" si="17"/>
        <v>1</v>
      </c>
      <c r="AU25">
        <f t="shared" ca="1" si="17"/>
        <v>1</v>
      </c>
      <c r="AV25">
        <f t="shared" ref="AV25:BA25" ca="1" si="18">IF(SUM(AV3:AV22)=0,0,1)</f>
        <v>1</v>
      </c>
      <c r="AW25">
        <f t="shared" ca="1" si="18"/>
        <v>1</v>
      </c>
      <c r="AX25">
        <f t="shared" ca="1" si="18"/>
        <v>1</v>
      </c>
      <c r="AY25">
        <f t="shared" ca="1" si="18"/>
        <v>1</v>
      </c>
      <c r="AZ25">
        <f t="shared" ca="1" si="18"/>
        <v>1</v>
      </c>
      <c r="BA25">
        <f t="shared" ca="1" si="18"/>
        <v>1</v>
      </c>
      <c r="BB25">
        <f t="shared" ref="BB25:BG25" ca="1" si="19">IF(SUM(BB3:BB22)=0,0,1)</f>
        <v>1</v>
      </c>
      <c r="BC25">
        <f t="shared" ca="1" si="19"/>
        <v>1</v>
      </c>
      <c r="BD25">
        <f t="shared" ca="1" si="19"/>
        <v>1</v>
      </c>
      <c r="BE25">
        <f t="shared" ca="1" si="19"/>
        <v>1</v>
      </c>
      <c r="BF25">
        <f t="shared" ca="1" si="19"/>
        <v>1</v>
      </c>
      <c r="BG25">
        <f t="shared" ca="1" si="19"/>
        <v>1</v>
      </c>
      <c r="BH25">
        <f ca="1">IF(SUM(BH3:BH22)=0,0,1)</f>
        <v>1</v>
      </c>
      <c r="BI25">
        <f t="shared" ref="BI25:BN25" ca="1" si="20">IF(SUM(BI3:BI22)=0,0,1)</f>
        <v>1</v>
      </c>
      <c r="BJ25">
        <f t="shared" ca="1" si="20"/>
        <v>1</v>
      </c>
      <c r="BK25">
        <f t="shared" ca="1" si="20"/>
        <v>1</v>
      </c>
      <c r="BL25">
        <f t="shared" ca="1" si="20"/>
        <v>1</v>
      </c>
      <c r="BM25">
        <f t="shared" ca="1" si="20"/>
        <v>1</v>
      </c>
      <c r="BN25">
        <f t="shared" ca="1" si="20"/>
        <v>1</v>
      </c>
    </row>
    <row r="33" spans="1:66" x14ac:dyDescent="0.2">
      <c r="A33" s="26" t="str">
        <f>IF(ISBLANK(B33),IF((weekcnt+1)&lt;10,("Wk0"&amp;(weekcnt+1)),("Wk"&amp;(weekcnt+1))),B33)</f>
        <v>Wk10</v>
      </c>
    </row>
    <row r="34" spans="1:66" ht="111" customHeight="1" x14ac:dyDescent="0.2">
      <c r="B34" s="22">
        <f ca="1">(SUM(INDIRECT("R42C11:R"&amp;42+playercnt-1&amp;"C"&amp;11+playercnt-1,FALSE))-(10*picks_entered))/((picks_entered^2)-picks_entered)</f>
        <v>5.8930817610062896</v>
      </c>
      <c r="C34" s="27">
        <f ca="1">AVERAGE(INDIRECT("R42C[-1]:R"&amp;42+playercnt-1&amp;"C[-1]",FALSE))</f>
        <v>5.8930817610062896</v>
      </c>
      <c r="D34" s="2"/>
      <c r="E34" s="2"/>
      <c r="F34" s="2"/>
      <c r="G34" s="2" t="str">
        <f t="shared" ref="G34:BN34" ca="1" si="21">IF((COLUMN()-10)&lt;=playercnt,INDIRECT(ADDRESS(2,COLUMN(),,,$A$33)),"")</f>
        <v>Mrs. HomeTeam</v>
      </c>
      <c r="H34" s="2" t="str">
        <f t="shared" ca="1" si="21"/>
        <v>Mr. Favorite</v>
      </c>
      <c r="I34" s="2" t="str">
        <f t="shared" ca="1" si="21"/>
        <v>Miss CDC</v>
      </c>
      <c r="J34" s="2" t="str">
        <f t="shared" ca="1" si="21"/>
        <v>Sagarin</v>
      </c>
      <c r="K34" s="2" t="str">
        <f t="shared" ca="1" si="21"/>
        <v>Aaron, Chip</v>
      </c>
      <c r="L34" s="2" t="str">
        <f t="shared" ca="1" si="21"/>
        <v>Barker, Christopher A</v>
      </c>
      <c r="M34" s="2" t="str">
        <f t="shared" ca="1" si="21"/>
        <v>Beasley, Tate</v>
      </c>
      <c r="N34" s="2" t="str">
        <f t="shared" ca="1" si="21"/>
        <v>Beckwith, Greg</v>
      </c>
      <c r="O34" s="2" t="str">
        <f t="shared" ca="1" si="21"/>
        <v>Boykin, Jerome W</v>
      </c>
      <c r="P34" s="2" t="str">
        <f t="shared" ca="1" si="21"/>
        <v>Carroll, Adam</v>
      </c>
      <c r="Q34" s="2" t="str">
        <f t="shared" ca="1" si="21"/>
        <v>Daffron, Christopher</v>
      </c>
      <c r="R34" s="2" t="str">
        <f t="shared" ca="1" si="21"/>
        <v>Delehanty, Kyle T</v>
      </c>
      <c r="S34" s="2" t="str">
        <f t="shared" ca="1" si="21"/>
        <v>Desetto, Daniel</v>
      </c>
      <c r="T34" s="2" t="str">
        <f t="shared" ca="1" si="21"/>
        <v>Desetto, Thomas Remote</v>
      </c>
      <c r="U34" s="2" t="str">
        <f t="shared" ca="1" si="21"/>
        <v>Desing, Scott M</v>
      </c>
      <c r="V34" s="2" t="str">
        <f t="shared" ca="1" si="21"/>
        <v>Drebin, James</v>
      </c>
      <c r="W34" s="2" t="str">
        <f t="shared" ca="1" si="21"/>
        <v>Edwards, Christopher S</v>
      </c>
      <c r="X34" s="2" t="str">
        <f t="shared" ca="1" si="21"/>
        <v>Emptage, Nick</v>
      </c>
      <c r="Y34" s="2" t="str">
        <f t="shared" ca="1" si="21"/>
        <v>Ferguson, Scott Remote</v>
      </c>
      <c r="Z34" s="2" t="str">
        <f t="shared" ca="1" si="21"/>
        <v>Fonville, Chris</v>
      </c>
      <c r="AA34" s="2" t="str">
        <f t="shared" ca="1" si="21"/>
        <v>Gilmer, Justin T</v>
      </c>
      <c r="AB34" s="2" t="str">
        <f t="shared" ca="1" si="21"/>
        <v>Hendrick, Matt R</v>
      </c>
      <c r="AC34" s="2" t="str">
        <f t="shared" ca="1" si="21"/>
        <v>Holden, Brent Remote</v>
      </c>
      <c r="AD34" s="2" t="str">
        <f t="shared" ca="1" si="21"/>
        <v>Holley, Jeremy Remote</v>
      </c>
      <c r="AE34" s="2" t="str">
        <f t="shared" ca="1" si="21"/>
        <v>Inabinet, Gregory</v>
      </c>
      <c r="AF34" s="2" t="str">
        <f t="shared" ca="1" si="21"/>
        <v>James, Larry Remote</v>
      </c>
      <c r="AG34" s="2" t="str">
        <f t="shared" ca="1" si="21"/>
        <v>Johnson, Creed D</v>
      </c>
      <c r="AH34" s="2" t="str">
        <f t="shared" ca="1" si="21"/>
        <v>Locklear, Dave Remote</v>
      </c>
      <c r="AI34" s="2" t="str">
        <f t="shared" ca="1" si="21"/>
        <v>Marsh, Alexander Remote</v>
      </c>
      <c r="AJ34" s="2" t="str">
        <f t="shared" ca="1" si="21"/>
        <v>Martin, Douglas C</v>
      </c>
      <c r="AK34" s="2" t="str">
        <f t="shared" ca="1" si="21"/>
        <v>Mccoy, William M</v>
      </c>
      <c r="AL34" s="2" t="str">
        <f t="shared" ca="1" si="21"/>
        <v>Montanez, Johanna</v>
      </c>
      <c r="AM34" s="2" t="str">
        <f t="shared" ca="1" si="21"/>
        <v>Moore, Kevin B</v>
      </c>
      <c r="AN34" s="2" t="str">
        <f t="shared" ca="1" si="21"/>
        <v>Murdaugh, Stephen K</v>
      </c>
      <c r="AO34" s="2" t="str">
        <f t="shared" ca="1" si="21"/>
        <v>Murphy, William A</v>
      </c>
      <c r="AP34" s="2" t="str">
        <f t="shared" ca="1" si="21"/>
        <v>Nance, Rob Remote</v>
      </c>
      <c r="AQ34" s="2" t="str">
        <f t="shared" ca="1" si="21"/>
        <v>Neeley, Amber Remote</v>
      </c>
      <c r="AR34" s="2" t="str">
        <f t="shared" ca="1" si="21"/>
        <v>Neeley, Michael Remote</v>
      </c>
      <c r="AS34" s="2" t="str">
        <f t="shared" ca="1" si="21"/>
        <v>Neill, Charles H</v>
      </c>
      <c r="AT34" s="2" t="str">
        <f t="shared" ca="1" si="21"/>
        <v>Nguyen, Thai Remote</v>
      </c>
      <c r="AU34" s="2" t="str">
        <f t="shared" ca="1" si="21"/>
        <v>Paul, Wilmaison</v>
      </c>
      <c r="AV34" s="2" t="str">
        <f t="shared" ca="1" si="21"/>
        <v>Penrose, Tim Remote</v>
      </c>
      <c r="AW34" s="2" t="str">
        <f t="shared" ca="1" si="21"/>
        <v>Powell, LaMar</v>
      </c>
      <c r="AX34" s="2" t="str">
        <f t="shared" ca="1" si="21"/>
        <v>Reams, Byron L</v>
      </c>
      <c r="AY34" s="2" t="str">
        <f t="shared" ca="1" si="21"/>
        <v>Robbins, Dale</v>
      </c>
      <c r="AZ34" s="2" t="str">
        <f t="shared" ca="1" si="21"/>
        <v>Robbins, Thomas D</v>
      </c>
      <c r="BA34" s="2" t="str">
        <f t="shared" ca="1" si="21"/>
        <v>Ruffin, Chris</v>
      </c>
      <c r="BB34" s="2" t="str">
        <f t="shared" ca="1" si="21"/>
        <v>Sams, David</v>
      </c>
      <c r="BC34" s="2" t="str">
        <f t="shared" ca="1" si="21"/>
        <v>Sapp, Carl G</v>
      </c>
      <c r="BD34" s="2" t="str">
        <f t="shared" ca="1" si="21"/>
        <v>Staub, Kevin</v>
      </c>
      <c r="BE34" s="2" t="str">
        <f t="shared" ca="1" si="21"/>
        <v>Staub, Ryan</v>
      </c>
      <c r="BF34" s="2" t="str">
        <f t="shared" ca="1" si="21"/>
        <v>Steel, Van Remote</v>
      </c>
      <c r="BG34" s="2" t="str">
        <f t="shared" ca="1" si="21"/>
        <v>Stonecypher, David</v>
      </c>
      <c r="BH34" s="2" t="str">
        <f t="shared" ca="1" si="21"/>
        <v>Straw, Adam D</v>
      </c>
      <c r="BI34" s="2" t="str">
        <f t="shared" ca="1" si="21"/>
        <v>Warren, Jason</v>
      </c>
      <c r="BJ34" s="2" t="str">
        <f t="shared" ca="1" si="21"/>
        <v>Warren, Todd Remote</v>
      </c>
      <c r="BK34" s="2" t="str">
        <f t="shared" ca="1" si="21"/>
        <v>Wells, Seth Remote</v>
      </c>
      <c r="BL34" s="2" t="str">
        <f t="shared" ca="1" si="21"/>
        <v>White, Jarred</v>
      </c>
      <c r="BM34" s="2" t="str">
        <f t="shared" ca="1" si="21"/>
        <v>Winburn, Steve A</v>
      </c>
      <c r="BN34" s="2" t="str">
        <f t="shared" ca="1" si="21"/>
        <v>Young, Kenneth</v>
      </c>
    </row>
    <row r="35" spans="1:66" ht="3" customHeight="1" x14ac:dyDescent="0.2">
      <c r="A35" s="22"/>
      <c r="B35" s="27" t="str">
        <f ca="1">IF(INDIRECT(ADDRESS(ROW(),COLUMN()+(ROW()-33)))=10,(SUM(D35:AW35)-10)/(playercnt-1),"")</f>
        <v/>
      </c>
    </row>
    <row r="36" spans="1:66" ht="3.75" customHeight="1" x14ac:dyDescent="0.2">
      <c r="A36" s="22"/>
      <c r="B36" s="27" t="str">
        <f ca="1">IF(INDIRECT(ADDRESS(ROW(),COLUMN()+(ROW()-33)))=10,(SUM(D36:AW36)-10)/(playercnt-1),"")</f>
        <v/>
      </c>
    </row>
    <row r="37" spans="1:66" ht="3" customHeight="1" x14ac:dyDescent="0.2">
      <c r="B37" s="27" t="str">
        <f ca="1">IF(INDIRECT(ADDRESS(ROW(),COLUMN()+(ROW()-33)))=10,(SUM(D37:AW37)-10)/(playercnt-1),"")</f>
        <v/>
      </c>
    </row>
    <row r="38" spans="1:66" x14ac:dyDescent="0.2">
      <c r="A38" s="22"/>
      <c r="B38" s="27">
        <f ca="1">IF(INDIRECT(ADDRESS(ROW(),COLUMN()+(ROW()-33)))=10,(SUM(INDIRECT("RC11:RC"&amp;11+playercnt-1,FALSE))-10)/(picks_entered-1),"")</f>
        <v>3.5283018867924527</v>
      </c>
      <c r="C38" t="str">
        <f t="shared" ref="C38:C53" ca="1" si="22">INDIRECT(ADDRESS(34,ROW()-31))</f>
        <v>Mrs. HomeTeam</v>
      </c>
      <c r="G38">
        <f ca="1">IF(AND(((COLUMN()-10)&lt;=playercnt),((ROW()-41)&lt;=playercnt)),SUMPRODUCT(INDIRECT(ADDRESS(3,ROW()-31,1)):INDIRECT(ADDRESS(22,ROW()-31,1)),G$3:G$22),"")</f>
        <v>10</v>
      </c>
      <c r="H38">
        <f ca="1">IF(AND(((COLUMN()-10)&lt;=playercnt),((ROW()-41)&lt;=playercnt)),SUMPRODUCT(INDIRECT(ADDRESS(3,ROW()-31,1)):INDIRECT(ADDRESS(22,ROW()-31,1)),H$3:H$22),"")</f>
        <v>5</v>
      </c>
      <c r="I38">
        <f ca="1">IF(AND(((COLUMN()-10)&lt;=playercnt),((ROW()-41)&lt;=playercnt)),SUMPRODUCT(INDIRECT(ADDRESS(3,ROW()-31,1)):INDIRECT(ADDRESS(22,ROW()-31,1)),I$3:I$22),"")</f>
        <v>2.5</v>
      </c>
      <c r="J38">
        <f ca="1">IF(AND(((COLUMN()-10)&lt;=playercnt),((ROW()-41)&lt;=playercnt)),SUMPRODUCT(INDIRECT(ADDRESS(3,ROW()-31,1)):INDIRECT(ADDRESS(22,ROW()-31,1)),J$3:J$22),"")</f>
        <v>0</v>
      </c>
      <c r="K38">
        <f ca="1">IF(AND(((COLUMN()-10)&lt;=playercnt),((ROW()-41)&lt;=playercnt)),SUMPRODUCT(INDIRECT(ADDRESS(3,ROW()-31,1)):INDIRECT(ADDRESS(22,ROW()-31,1)),K$3:K$22),"")</f>
        <v>3</v>
      </c>
      <c r="L38">
        <f ca="1">IF(AND(((COLUMN()-10)&lt;=playercnt),((ROW()-41)&lt;=playercnt)),SUMPRODUCT(INDIRECT(ADDRESS(3,ROW()-31,1)):INDIRECT(ADDRESS(22,ROW()-31,1)),L$3:L$22),"")</f>
        <v>4</v>
      </c>
      <c r="M38">
        <f ca="1">IF(AND(((COLUMN()-10)&lt;=playercnt),((ROW()-41)&lt;=playercnt)),SUMPRODUCT(INDIRECT(ADDRESS(3,ROW()-31,1)):INDIRECT(ADDRESS(22,ROW()-31,1)),M$3:M$22),"")</f>
        <v>1</v>
      </c>
      <c r="N38">
        <f ca="1">IF(AND(((COLUMN()-10)&lt;=playercnt),((ROW()-41)&lt;=playercnt)),SUMPRODUCT(INDIRECT(ADDRESS(3,ROW()-31,1)):INDIRECT(ADDRESS(22,ROW()-31,1)),N$3:N$22),"")</f>
        <v>6</v>
      </c>
      <c r="O38">
        <f ca="1">IF(AND(((COLUMN()-10)&lt;=playercnt),((ROW()-41)&lt;=playercnt)),SUMPRODUCT(INDIRECT(ADDRESS(3,ROW()-31,1)):INDIRECT(ADDRESS(22,ROW()-31,1)),O$3:O$22),"")</f>
        <v>6</v>
      </c>
      <c r="P38">
        <f ca="1">IF(AND(((COLUMN()-10)&lt;=playercnt),((ROW()-41)&lt;=playercnt)),SUMPRODUCT(INDIRECT(ADDRESS(3,ROW()-31,1)):INDIRECT(ADDRESS(22,ROW()-31,1)),P$3:P$22),"")</f>
        <v>5</v>
      </c>
      <c r="Q38">
        <f ca="1">IF(AND(((COLUMN()-10)&lt;=playercnt),((ROW()-41)&lt;=playercnt)),SUMPRODUCT(INDIRECT(ADDRESS(3,ROW()-31,1)):INDIRECT(ADDRESS(22,ROW()-31,1)),Q$3:Q$22),"")</f>
        <v>4</v>
      </c>
      <c r="R38">
        <f ca="1">IF(AND(((COLUMN()-10)&lt;=playercnt),((ROW()-41)&lt;=playercnt)),SUMPRODUCT(INDIRECT(ADDRESS(3,ROW()-31,1)):INDIRECT(ADDRESS(22,ROW()-31,1)),R$3:R$22),"")</f>
        <v>8</v>
      </c>
      <c r="S38">
        <f ca="1">IF(AND(((COLUMN()-10)&lt;=playercnt),((ROW()-41)&lt;=playercnt)),SUMPRODUCT(INDIRECT(ADDRESS(3,ROW()-31,1)):INDIRECT(ADDRESS(22,ROW()-31,1)),S$3:S$22),"")</f>
        <v>2</v>
      </c>
      <c r="T38">
        <f ca="1">IF(AND(((COLUMN()-10)&lt;=playercnt),((ROW()-41)&lt;=playercnt)),SUMPRODUCT(INDIRECT(ADDRESS(3,ROW()-31,1)):INDIRECT(ADDRESS(22,ROW()-31,1)),T$3:T$22),"")</f>
        <v>5</v>
      </c>
      <c r="U38">
        <f ca="1">IF(AND(((COLUMN()-10)&lt;=playercnt),((ROW()-41)&lt;=playercnt)),SUMPRODUCT(INDIRECT(ADDRESS(3,ROW()-31,1)):INDIRECT(ADDRESS(22,ROW()-31,1)),U$3:U$22),"")</f>
        <v>4</v>
      </c>
      <c r="V38">
        <f ca="1">IF(AND(((COLUMN()-10)&lt;=playercnt),((ROW()-41)&lt;=playercnt)),SUMPRODUCT(INDIRECT(ADDRESS(3,ROW()-31,1)):INDIRECT(ADDRESS(22,ROW()-31,1)),V$3:V$22),"")</f>
        <v>2</v>
      </c>
      <c r="W38">
        <f ca="1">IF(AND(((COLUMN()-10)&lt;=playercnt),((ROW()-41)&lt;=playercnt)),SUMPRODUCT(INDIRECT(ADDRESS(3,ROW()-31,1)):INDIRECT(ADDRESS(22,ROW()-31,1)),W$3:W$22),"")</f>
        <v>2</v>
      </c>
      <c r="X38">
        <f ca="1">IF(AND(((COLUMN()-10)&lt;=playercnt),((ROW()-41)&lt;=playercnt)),SUMPRODUCT(INDIRECT(ADDRESS(3,ROW()-31,1)):INDIRECT(ADDRESS(22,ROW()-31,1)),X$3:X$22),"")</f>
        <v>3</v>
      </c>
      <c r="Y38">
        <f ca="1">IF(AND(((COLUMN()-10)&lt;=playercnt),((ROW()-41)&lt;=playercnt)),SUMPRODUCT(INDIRECT(ADDRESS(3,ROW()-31,1)):INDIRECT(ADDRESS(22,ROW()-31,1)),Y$3:Y$22),"")</f>
        <v>6</v>
      </c>
      <c r="Z38">
        <f ca="1">IF(AND(((COLUMN()-10)&lt;=playercnt),((ROW()-41)&lt;=playercnt)),SUMPRODUCT(INDIRECT(ADDRESS(3,ROW()-31,1)):INDIRECT(ADDRESS(22,ROW()-31,1)),Z$3:Z$22),"")</f>
        <v>1</v>
      </c>
      <c r="AA38">
        <f ca="1">IF(AND(((COLUMN()-10)&lt;=playercnt),((ROW()-41)&lt;=playercnt)),SUMPRODUCT(INDIRECT(ADDRESS(3,ROW()-31,1)):INDIRECT(ADDRESS(22,ROW()-31,1)),AA$3:AA$22),"")</f>
        <v>2</v>
      </c>
      <c r="AB38">
        <f ca="1">IF(AND(((COLUMN()-10)&lt;=playercnt),((ROW()-41)&lt;=playercnt)),SUMPRODUCT(INDIRECT(ADDRESS(3,ROW()-31,1)):INDIRECT(ADDRESS(22,ROW()-31,1)),AB$3:AB$22),"")</f>
        <v>5</v>
      </c>
      <c r="AC38">
        <f ca="1">IF(AND(((COLUMN()-10)&lt;=playercnt),((ROW()-41)&lt;=playercnt)),SUMPRODUCT(INDIRECT(ADDRESS(3,ROW()-31,1)):INDIRECT(ADDRESS(22,ROW()-31,1)),AC$3:AC$22),"")</f>
        <v>4</v>
      </c>
      <c r="AD38">
        <f ca="1">IF(AND(((COLUMN()-10)&lt;=playercnt),((ROW()-41)&lt;=playercnt)),SUMPRODUCT(INDIRECT(ADDRESS(3,ROW()-31,1)):INDIRECT(ADDRESS(22,ROW()-31,1)),AD$3:AD$22),"")</f>
        <v>6</v>
      </c>
      <c r="AE38">
        <f ca="1">IF(AND(((COLUMN()-10)&lt;=playercnt),((ROW()-41)&lt;=playercnt)),SUMPRODUCT(INDIRECT(ADDRESS(3,ROW()-31,1)):INDIRECT(ADDRESS(22,ROW()-31,1)),AE$3:AE$22),"")</f>
        <v>4</v>
      </c>
      <c r="AF38">
        <f ca="1">IF(AND(((COLUMN()-10)&lt;=playercnt),((ROW()-41)&lt;=playercnt)),SUMPRODUCT(INDIRECT(ADDRESS(3,ROW()-31,1)):INDIRECT(ADDRESS(22,ROW()-31,1)),AF$3:AF$22),"")</f>
        <v>1</v>
      </c>
      <c r="AG38">
        <f ca="1">IF(AND(((COLUMN()-10)&lt;=playercnt),((ROW()-41)&lt;=playercnt)),SUMPRODUCT(INDIRECT(ADDRESS(3,ROW()-31,1)):INDIRECT(ADDRESS(22,ROW()-31,1)),AG$3:AG$22),"")</f>
        <v>1</v>
      </c>
      <c r="AH38">
        <f ca="1">IF(AND(((COLUMN()-10)&lt;=playercnt),((ROW()-41)&lt;=playercnt)),SUMPRODUCT(INDIRECT(ADDRESS(3,ROW()-31,1)):INDIRECT(ADDRESS(22,ROW()-31,1)),AH$3:AH$22),"")</f>
        <v>4</v>
      </c>
      <c r="AI38">
        <f ca="1">IF(AND(((COLUMN()-10)&lt;=playercnt),((ROW()-41)&lt;=playercnt)),SUMPRODUCT(INDIRECT(ADDRESS(3,ROW()-31,1)):INDIRECT(ADDRESS(22,ROW()-31,1)),AI$3:AI$22),"")</f>
        <v>4</v>
      </c>
      <c r="AJ38">
        <f ca="1">IF(AND(((COLUMN()-10)&lt;=playercnt),((ROW()-41)&lt;=playercnt)),SUMPRODUCT(INDIRECT(ADDRESS(3,ROW()-31,1)):INDIRECT(ADDRESS(22,ROW()-31,1)),AJ$3:AJ$22),"")</f>
        <v>2</v>
      </c>
      <c r="AK38">
        <f ca="1">IF(AND(((COLUMN()-10)&lt;=playercnt),((ROW()-41)&lt;=playercnt)),SUMPRODUCT(INDIRECT(ADDRESS(3,ROW()-31,1)):INDIRECT(ADDRESS(22,ROW()-31,1)),AK$3:AK$22),"")</f>
        <v>0</v>
      </c>
      <c r="AL38">
        <f ca="1">IF(AND(((COLUMN()-10)&lt;=playercnt),((ROW()-41)&lt;=playercnt)),SUMPRODUCT(INDIRECT(ADDRESS(3,ROW()-31,1)):INDIRECT(ADDRESS(22,ROW()-31,1)),AL$3:AL$22),"")</f>
        <v>5</v>
      </c>
      <c r="AM38">
        <f ca="1">IF(AND(((COLUMN()-10)&lt;=playercnt),((ROW()-41)&lt;=playercnt)),SUMPRODUCT(INDIRECT(ADDRESS(3,ROW()-31,1)):INDIRECT(ADDRESS(22,ROW()-31,1)),AM$3:AM$22),"")</f>
        <v>4</v>
      </c>
      <c r="AN38">
        <f ca="1">IF(AND(((COLUMN()-10)&lt;=playercnt),((ROW()-41)&lt;=playercnt)),SUMPRODUCT(INDIRECT(ADDRESS(3,ROW()-31,1)):INDIRECT(ADDRESS(22,ROW()-31,1)),AN$3:AN$22),"")</f>
        <v>4</v>
      </c>
      <c r="AO38">
        <f ca="1">IF(AND(((COLUMN()-10)&lt;=playercnt),((ROW()-41)&lt;=playercnt)),SUMPRODUCT(INDIRECT(ADDRESS(3,ROW()-31,1)):INDIRECT(ADDRESS(22,ROW()-31,1)),AO$3:AO$22),"")</f>
        <v>6</v>
      </c>
      <c r="AP38">
        <f ca="1">IF(AND(((COLUMN()-10)&lt;=playercnt),((ROW()-41)&lt;=playercnt)),SUMPRODUCT(INDIRECT(ADDRESS(3,ROW()-31,1)):INDIRECT(ADDRESS(22,ROW()-31,1)),AP$3:AP$22),"")</f>
        <v>0</v>
      </c>
      <c r="AQ38">
        <f ca="1">IF(AND(((COLUMN()-10)&lt;=playercnt),((ROW()-41)&lt;=playercnt)),SUMPRODUCT(INDIRECT(ADDRESS(3,ROW()-31,1)):INDIRECT(ADDRESS(22,ROW()-31,1)),AQ$3:AQ$22),"")</f>
        <v>2</v>
      </c>
      <c r="AR38">
        <f ca="1">IF(AND(((COLUMN()-10)&lt;=playercnt),((ROW()-41)&lt;=playercnt)),SUMPRODUCT(INDIRECT(ADDRESS(3,ROW()-31,1)):INDIRECT(ADDRESS(22,ROW()-31,1)),AR$3:AR$22),"")</f>
        <v>5</v>
      </c>
      <c r="AS38">
        <f ca="1">IF(AND(((COLUMN()-10)&lt;=playercnt),((ROW()-41)&lt;=playercnt)),SUMPRODUCT(INDIRECT(ADDRESS(3,ROW()-31,1)):INDIRECT(ADDRESS(22,ROW()-31,1)),AS$3:AS$22),"")</f>
        <v>4</v>
      </c>
      <c r="AT38">
        <f ca="1">IF(AND(((COLUMN()-10)&lt;=playercnt),((ROW()-41)&lt;=playercnt)),SUMPRODUCT(INDIRECT(ADDRESS(3,ROW()-31,1)):INDIRECT(ADDRESS(22,ROW()-31,1)),AT$3:AT$22),"")</f>
        <v>4</v>
      </c>
      <c r="AU38">
        <f ca="1">IF(AND(((COLUMN()-10)&lt;=playercnt),((ROW()-41)&lt;=playercnt)),SUMPRODUCT(INDIRECT(ADDRESS(3,ROW()-31,1)):INDIRECT(ADDRESS(22,ROW()-31,1)),AU$3:AU$22),"")</f>
        <v>2</v>
      </c>
      <c r="AV38">
        <f ca="1">IF(AND(((COLUMN()-10)&lt;=playercnt),((ROW()-41)&lt;=playercnt)),SUMPRODUCT(INDIRECT(ADDRESS(3,ROW()-31,1)):INDIRECT(ADDRESS(22,ROW()-31,1)),AV$3:AV$22),"")</f>
        <v>4</v>
      </c>
      <c r="AW38">
        <f ca="1">IF(AND(((COLUMN()-10)&lt;=playercnt),((ROW()-41)&lt;=playercnt)),SUMPRODUCT(INDIRECT(ADDRESS(3,ROW()-31,1)):INDIRECT(ADDRESS(22,ROW()-31,1)),AW$3:AW$22),"")</f>
        <v>4</v>
      </c>
      <c r="AX38">
        <f ca="1">IF(AND(((COLUMN()-10)&lt;=playercnt),((ROW()-41)&lt;=playercnt)),SUMPRODUCT(INDIRECT(ADDRESS(3,ROW()-31,1)):INDIRECT(ADDRESS(22,ROW()-31,1)),AX$3:AX$22),"")</f>
        <v>3</v>
      </c>
      <c r="AY38">
        <f ca="1">IF(AND(((COLUMN()-10)&lt;=playercnt),((ROW()-41)&lt;=playercnt)),SUMPRODUCT(INDIRECT(ADDRESS(3,ROW()-31,1)):INDIRECT(ADDRESS(22,ROW()-31,1)),AY$3:AY$22),"")</f>
        <v>6</v>
      </c>
      <c r="AZ38">
        <f ca="1">IF(AND(((COLUMN()-10)&lt;=playercnt),((ROW()-41)&lt;=playercnt)),SUMPRODUCT(INDIRECT(ADDRESS(3,ROW()-31,1)):INDIRECT(ADDRESS(22,ROW()-31,1)),AZ$3:AZ$22),"")</f>
        <v>1</v>
      </c>
      <c r="BA38">
        <f ca="1">IF(AND(((COLUMN()-10)&lt;=playercnt),((ROW()-41)&lt;=playercnt)),SUMPRODUCT(INDIRECT(ADDRESS(3,ROW()-31,1)):INDIRECT(ADDRESS(22,ROW()-31,1)),BA$3:BA$22),"")</f>
        <v>3</v>
      </c>
      <c r="BB38">
        <f ca="1">IF(AND(((COLUMN()-10)&lt;=playercnt),((ROW()-41)&lt;=playercnt)),SUMPRODUCT(INDIRECT(ADDRESS(3,ROW()-31,1)):INDIRECT(ADDRESS(22,ROW()-31,1)),BB$3:BB$22),"")</f>
        <v>5</v>
      </c>
      <c r="BC38">
        <f ca="1">IF(AND(((COLUMN()-10)&lt;=playercnt),((ROW()-41)&lt;=playercnt)),SUMPRODUCT(INDIRECT(ADDRESS(3,ROW()-31,1)):INDIRECT(ADDRESS(22,ROW()-31,1)),BC$3:BC$22),"")</f>
        <v>3</v>
      </c>
      <c r="BD38">
        <f ca="1">IF(AND(((COLUMN()-10)&lt;=playercnt),((ROW()-41)&lt;=playercnt)),SUMPRODUCT(INDIRECT(ADDRESS(3,ROW()-31,1)):INDIRECT(ADDRESS(22,ROW()-31,1)),BD$3:BD$22),"")</f>
        <v>5</v>
      </c>
      <c r="BE38">
        <f ca="1">IF(AND(((COLUMN()-10)&lt;=playercnt),((ROW()-41)&lt;=playercnt)),SUMPRODUCT(INDIRECT(ADDRESS(3,ROW()-31,1)):INDIRECT(ADDRESS(22,ROW()-31,1)),BE$3:BE$22),"")</f>
        <v>4</v>
      </c>
      <c r="BF38">
        <f ca="1">IF(AND(((COLUMN()-10)&lt;=playercnt),((ROW()-41)&lt;=playercnt)),SUMPRODUCT(INDIRECT(ADDRESS(3,ROW()-31,1)):INDIRECT(ADDRESS(22,ROW()-31,1)),BF$3:BF$22),"")</f>
        <v>4</v>
      </c>
      <c r="BG38">
        <f ca="1">IF(AND(((COLUMN()-10)&lt;=playercnt),((ROW()-41)&lt;=playercnt)),SUMPRODUCT(INDIRECT(ADDRESS(3,ROW()-31,1)):INDIRECT(ADDRESS(22,ROW()-31,1)),BG$3:BG$22),"")</f>
        <v>4</v>
      </c>
      <c r="BH38">
        <f ca="1">IF(AND(((COLUMN()-10)&lt;=playercnt),((ROW()-41)&lt;=playercnt)),SUMPRODUCT(INDIRECT(ADDRESS(3,ROW()-31,1)):INDIRECT(ADDRESS(22,ROW()-31,1)),BH$3:BH$22),"")</f>
        <v>2</v>
      </c>
      <c r="BI38">
        <f ca="1">IF(AND(((COLUMN()-10)&lt;=playercnt),((ROW()-41)&lt;=playercnt)),SUMPRODUCT(INDIRECT(ADDRESS(3,ROW()-31,1)):INDIRECT(ADDRESS(22,ROW()-31,1)),BI$3:BI$22),"")</f>
        <v>4</v>
      </c>
      <c r="BJ38">
        <f ca="1">IF(AND(((COLUMN()-10)&lt;=playercnt),((ROW()-41)&lt;=playercnt)),SUMPRODUCT(INDIRECT(ADDRESS(3,ROW()-31,1)):INDIRECT(ADDRESS(22,ROW()-31,1)),BJ$3:BJ$22),"")</f>
        <v>2</v>
      </c>
      <c r="BK38">
        <f ca="1">IF(AND(((COLUMN()-10)&lt;=playercnt),((ROW()-41)&lt;=playercnt)),SUMPRODUCT(INDIRECT(ADDRESS(3,ROW()-31,1)):INDIRECT(ADDRESS(22,ROW()-31,1)),BK$3:BK$22),"")</f>
        <v>2</v>
      </c>
      <c r="BL38">
        <f ca="1">IF(AND(((COLUMN()-10)&lt;=playercnt),((ROW()-41)&lt;=playercnt)),SUMPRODUCT(INDIRECT(ADDRESS(3,ROW()-31,1)):INDIRECT(ADDRESS(22,ROW()-31,1)),BL$3:BL$22),"")</f>
        <v>5</v>
      </c>
      <c r="BM38">
        <f ca="1">IF(AND(((COLUMN()-10)&lt;=playercnt),((ROW()-41)&lt;=playercnt)),SUMPRODUCT(INDIRECT(ADDRESS(3,ROW()-31,1)):INDIRECT(ADDRESS(22,ROW()-31,1)),BM$3:BM$22),"")</f>
        <v>2</v>
      </c>
      <c r="BN38">
        <f ca="1">IF(AND(((COLUMN()-10)&lt;=playercnt),((ROW()-41)&lt;=playercnt)),SUMPRODUCT(INDIRECT(ADDRESS(3,ROW()-31,1)):INDIRECT(ADDRESS(22,ROW()-31,1)),BN$3:BN$22),"")</f>
        <v>3</v>
      </c>
    </row>
    <row r="39" spans="1:66" x14ac:dyDescent="0.2">
      <c r="A39" s="22"/>
      <c r="B39" s="27">
        <f ca="1">IF(INDIRECT(ADDRESS(ROW(),COLUMN()+(ROW()-33)))=10,(SUM(INDIRECT("RC11:RC"&amp;11+playercnt-1,FALSE))-10)/(picks_entered-1),"")</f>
        <v>6.4339622641509431</v>
      </c>
      <c r="C39" t="str">
        <f t="shared" ca="1" si="22"/>
        <v>Mr. Favorite</v>
      </c>
      <c r="G39">
        <f ca="1">IF(AND(((COLUMN()-10)&lt;=playercnt),((ROW()-41)&lt;=playercnt)),SUMPRODUCT(INDIRECT(ADDRESS(3,ROW()-31,1)):INDIRECT(ADDRESS(22,ROW()-31,1)),G$3:G$22),"")</f>
        <v>5</v>
      </c>
      <c r="H39">
        <f ca="1">IF(AND(((COLUMN()-10)&lt;=playercnt),((ROW()-41)&lt;=playercnt)),SUMPRODUCT(INDIRECT(ADDRESS(3,ROW()-31,1)):INDIRECT(ADDRESS(22,ROW()-31,1)),H$3:H$22),"")</f>
        <v>10</v>
      </c>
      <c r="I39">
        <f ca="1">IF(AND(((COLUMN()-10)&lt;=playercnt),((ROW()-41)&lt;=playercnt)),SUMPRODUCT(INDIRECT(ADDRESS(3,ROW()-31,1)):INDIRECT(ADDRESS(22,ROW()-31,1)),I$3:I$22),"")</f>
        <v>7.5</v>
      </c>
      <c r="J39">
        <f ca="1">IF(AND(((COLUMN()-10)&lt;=playercnt),((ROW()-41)&lt;=playercnt)),SUMPRODUCT(INDIRECT(ADDRESS(3,ROW()-31,1)):INDIRECT(ADDRESS(22,ROW()-31,1)),J$3:J$22),"")</f>
        <v>0</v>
      </c>
      <c r="K39">
        <f ca="1">IF(AND(((COLUMN()-10)&lt;=playercnt),((ROW()-41)&lt;=playercnt)),SUMPRODUCT(INDIRECT(ADDRESS(3,ROW()-31,1)):INDIRECT(ADDRESS(22,ROW()-31,1)),K$3:K$22),"")</f>
        <v>6</v>
      </c>
      <c r="L39">
        <f ca="1">IF(AND(((COLUMN()-10)&lt;=playercnt),((ROW()-41)&lt;=playercnt)),SUMPRODUCT(INDIRECT(ADDRESS(3,ROW()-31,1)):INDIRECT(ADDRESS(22,ROW()-31,1)),L$3:L$22),"")</f>
        <v>9</v>
      </c>
      <c r="M39">
        <f ca="1">IF(AND(((COLUMN()-10)&lt;=playercnt),((ROW()-41)&lt;=playercnt)),SUMPRODUCT(INDIRECT(ADDRESS(3,ROW()-31,1)):INDIRECT(ADDRESS(22,ROW()-31,1)),M$3:M$22),"")</f>
        <v>4</v>
      </c>
      <c r="N39">
        <f ca="1">IF(AND(((COLUMN()-10)&lt;=playercnt),((ROW()-41)&lt;=playercnt)),SUMPRODUCT(INDIRECT(ADDRESS(3,ROW()-31,1)):INDIRECT(ADDRESS(22,ROW()-31,1)),N$3:N$22),"")</f>
        <v>9</v>
      </c>
      <c r="O39">
        <f ca="1">IF(AND(((COLUMN()-10)&lt;=playercnt),((ROW()-41)&lt;=playercnt)),SUMPRODUCT(INDIRECT(ADDRESS(3,ROW()-31,1)):INDIRECT(ADDRESS(22,ROW()-31,1)),O$3:O$22),"")</f>
        <v>7</v>
      </c>
      <c r="P39">
        <f ca="1">IF(AND(((COLUMN()-10)&lt;=playercnt),((ROW()-41)&lt;=playercnt)),SUMPRODUCT(INDIRECT(ADDRESS(3,ROW()-31,1)):INDIRECT(ADDRESS(22,ROW()-31,1)),P$3:P$22),"")</f>
        <v>6</v>
      </c>
      <c r="Q39">
        <f ca="1">IF(AND(((COLUMN()-10)&lt;=playercnt),((ROW()-41)&lt;=playercnt)),SUMPRODUCT(INDIRECT(ADDRESS(3,ROW()-31,1)):INDIRECT(ADDRESS(22,ROW()-31,1)),Q$3:Q$22),"")</f>
        <v>7</v>
      </c>
      <c r="R39">
        <f ca="1">IF(AND(((COLUMN()-10)&lt;=playercnt),((ROW()-41)&lt;=playercnt)),SUMPRODUCT(INDIRECT(ADDRESS(3,ROW()-31,1)):INDIRECT(ADDRESS(22,ROW()-31,1)),R$3:R$22),"")</f>
        <v>5</v>
      </c>
      <c r="S39">
        <f ca="1">IF(AND(((COLUMN()-10)&lt;=playercnt),((ROW()-41)&lt;=playercnt)),SUMPRODUCT(INDIRECT(ADDRESS(3,ROW()-31,1)):INDIRECT(ADDRESS(22,ROW()-31,1)),S$3:S$22),"")</f>
        <v>7</v>
      </c>
      <c r="T39">
        <f ca="1">IF(AND(((COLUMN()-10)&lt;=playercnt),((ROW()-41)&lt;=playercnt)),SUMPRODUCT(INDIRECT(ADDRESS(3,ROW()-31,1)):INDIRECT(ADDRESS(22,ROW()-31,1)),T$3:T$22),"")</f>
        <v>6</v>
      </c>
      <c r="U39">
        <f ca="1">IF(AND(((COLUMN()-10)&lt;=playercnt),((ROW()-41)&lt;=playercnt)),SUMPRODUCT(INDIRECT(ADDRESS(3,ROW()-31,1)):INDIRECT(ADDRESS(22,ROW()-31,1)),U$3:U$22),"")</f>
        <v>9</v>
      </c>
      <c r="V39">
        <f ca="1">IF(AND(((COLUMN()-10)&lt;=playercnt),((ROW()-41)&lt;=playercnt)),SUMPRODUCT(INDIRECT(ADDRESS(3,ROW()-31,1)):INDIRECT(ADDRESS(22,ROW()-31,1)),V$3:V$22),"")</f>
        <v>5</v>
      </c>
      <c r="W39">
        <f ca="1">IF(AND(((COLUMN()-10)&lt;=playercnt),((ROW()-41)&lt;=playercnt)),SUMPRODUCT(INDIRECT(ADDRESS(3,ROW()-31,1)):INDIRECT(ADDRESS(22,ROW()-31,1)),W$3:W$22),"")</f>
        <v>5</v>
      </c>
      <c r="X39">
        <f ca="1">IF(AND(((COLUMN()-10)&lt;=playercnt),((ROW()-41)&lt;=playercnt)),SUMPRODUCT(INDIRECT(ADDRESS(3,ROW()-31,1)):INDIRECT(ADDRESS(22,ROW()-31,1)),X$3:X$22),"")</f>
        <v>4</v>
      </c>
      <c r="Y39">
        <f ca="1">IF(AND(((COLUMN()-10)&lt;=playercnt),((ROW()-41)&lt;=playercnt)),SUMPRODUCT(INDIRECT(ADDRESS(3,ROW()-31,1)):INDIRECT(ADDRESS(22,ROW()-31,1)),Y$3:Y$22),"")</f>
        <v>9</v>
      </c>
      <c r="Z39">
        <f ca="1">IF(AND(((COLUMN()-10)&lt;=playercnt),((ROW()-41)&lt;=playercnt)),SUMPRODUCT(INDIRECT(ADDRESS(3,ROW()-31,1)):INDIRECT(ADDRESS(22,ROW()-31,1)),Z$3:Z$22),"")</f>
        <v>6</v>
      </c>
      <c r="AA39">
        <f ca="1">IF(AND(((COLUMN()-10)&lt;=playercnt),((ROW()-41)&lt;=playercnt)),SUMPRODUCT(INDIRECT(ADDRESS(3,ROW()-31,1)):INDIRECT(ADDRESS(22,ROW()-31,1)),AA$3:AA$22),"")</f>
        <v>3</v>
      </c>
      <c r="AB39">
        <f ca="1">IF(AND(((COLUMN()-10)&lt;=playercnt),((ROW()-41)&lt;=playercnt)),SUMPRODUCT(INDIRECT(ADDRESS(3,ROW()-31,1)):INDIRECT(ADDRESS(22,ROW()-31,1)),AB$3:AB$22),"")</f>
        <v>6</v>
      </c>
      <c r="AC39">
        <f ca="1">IF(AND(((COLUMN()-10)&lt;=playercnt),((ROW()-41)&lt;=playercnt)),SUMPRODUCT(INDIRECT(ADDRESS(3,ROW()-31,1)):INDIRECT(ADDRESS(22,ROW()-31,1)),AC$3:AC$22),"")</f>
        <v>7</v>
      </c>
      <c r="AD39">
        <f ca="1">IF(AND(((COLUMN()-10)&lt;=playercnt),((ROW()-41)&lt;=playercnt)),SUMPRODUCT(INDIRECT(ADDRESS(3,ROW()-31,1)):INDIRECT(ADDRESS(22,ROW()-31,1)),AD$3:AD$22),"")</f>
        <v>7</v>
      </c>
      <c r="AE39">
        <f ca="1">IF(AND(((COLUMN()-10)&lt;=playercnt),((ROW()-41)&lt;=playercnt)),SUMPRODUCT(INDIRECT(ADDRESS(3,ROW()-31,1)):INDIRECT(ADDRESS(22,ROW()-31,1)),AE$3:AE$22),"")</f>
        <v>7</v>
      </c>
      <c r="AF39">
        <f ca="1">IF(AND(((COLUMN()-10)&lt;=playercnt),((ROW()-41)&lt;=playercnt)),SUMPRODUCT(INDIRECT(ADDRESS(3,ROW()-31,1)):INDIRECT(ADDRESS(22,ROW()-31,1)),AF$3:AF$22),"")</f>
        <v>4</v>
      </c>
      <c r="AG39">
        <f ca="1">IF(AND(((COLUMN()-10)&lt;=playercnt),((ROW()-41)&lt;=playercnt)),SUMPRODUCT(INDIRECT(ADDRESS(3,ROW()-31,1)):INDIRECT(ADDRESS(22,ROW()-31,1)),AG$3:AG$22),"")</f>
        <v>6</v>
      </c>
      <c r="AH39">
        <f ca="1">IF(AND(((COLUMN()-10)&lt;=playercnt),((ROW()-41)&lt;=playercnt)),SUMPRODUCT(INDIRECT(ADDRESS(3,ROW()-31,1)):INDIRECT(ADDRESS(22,ROW()-31,1)),AH$3:AH$22),"")</f>
        <v>7</v>
      </c>
      <c r="AI39">
        <f ca="1">IF(AND(((COLUMN()-10)&lt;=playercnt),((ROW()-41)&lt;=playercnt)),SUMPRODUCT(INDIRECT(ADDRESS(3,ROW()-31,1)):INDIRECT(ADDRESS(22,ROW()-31,1)),AI$3:AI$22),"")</f>
        <v>5</v>
      </c>
      <c r="AJ39">
        <f ca="1">IF(AND(((COLUMN()-10)&lt;=playercnt),((ROW()-41)&lt;=playercnt)),SUMPRODUCT(INDIRECT(ADDRESS(3,ROW()-31,1)):INDIRECT(ADDRESS(22,ROW()-31,1)),AJ$3:AJ$22),"")</f>
        <v>7</v>
      </c>
      <c r="AK39">
        <f ca="1">IF(AND(((COLUMN()-10)&lt;=playercnt),((ROW()-41)&lt;=playercnt)),SUMPRODUCT(INDIRECT(ADDRESS(3,ROW()-31,1)):INDIRECT(ADDRESS(22,ROW()-31,1)),AK$3:AK$22),"")</f>
        <v>0</v>
      </c>
      <c r="AL39">
        <f ca="1">IF(AND(((COLUMN()-10)&lt;=playercnt),((ROW()-41)&lt;=playercnt)),SUMPRODUCT(INDIRECT(ADDRESS(3,ROW()-31,1)):INDIRECT(ADDRESS(22,ROW()-31,1)),AL$3:AL$22),"")</f>
        <v>8</v>
      </c>
      <c r="AM39">
        <f ca="1">IF(AND(((COLUMN()-10)&lt;=playercnt),((ROW()-41)&lt;=playercnt)),SUMPRODUCT(INDIRECT(ADDRESS(3,ROW()-31,1)):INDIRECT(ADDRESS(22,ROW()-31,1)),AM$3:AM$22),"")</f>
        <v>7</v>
      </c>
      <c r="AN39">
        <f ca="1">IF(AND(((COLUMN()-10)&lt;=playercnt),((ROW()-41)&lt;=playercnt)),SUMPRODUCT(INDIRECT(ADDRESS(3,ROW()-31,1)):INDIRECT(ADDRESS(22,ROW()-31,1)),AN$3:AN$22),"")</f>
        <v>9</v>
      </c>
      <c r="AO39">
        <f ca="1">IF(AND(((COLUMN()-10)&lt;=playercnt),((ROW()-41)&lt;=playercnt)),SUMPRODUCT(INDIRECT(ADDRESS(3,ROW()-31,1)):INDIRECT(ADDRESS(22,ROW()-31,1)),AO$3:AO$22),"")</f>
        <v>5</v>
      </c>
      <c r="AP39">
        <f ca="1">IF(AND(((COLUMN()-10)&lt;=playercnt),((ROW()-41)&lt;=playercnt)),SUMPRODUCT(INDIRECT(ADDRESS(3,ROW()-31,1)):INDIRECT(ADDRESS(22,ROW()-31,1)),AP$3:AP$22),"")</f>
        <v>0</v>
      </c>
      <c r="AQ39">
        <f ca="1">IF(AND(((COLUMN()-10)&lt;=playercnt),((ROW()-41)&lt;=playercnt)),SUMPRODUCT(INDIRECT(ADDRESS(3,ROW()-31,1)):INDIRECT(ADDRESS(22,ROW()-31,1)),AQ$3:AQ$22),"")</f>
        <v>7</v>
      </c>
      <c r="AR39">
        <f ca="1">IF(AND(((COLUMN()-10)&lt;=playercnt),((ROW()-41)&lt;=playercnt)),SUMPRODUCT(INDIRECT(ADDRESS(3,ROW()-31,1)):INDIRECT(ADDRESS(22,ROW()-31,1)),AR$3:AR$22),"")</f>
        <v>4</v>
      </c>
      <c r="AS39">
        <f ca="1">IF(AND(((COLUMN()-10)&lt;=playercnt),((ROW()-41)&lt;=playercnt)),SUMPRODUCT(INDIRECT(ADDRESS(3,ROW()-31,1)):INDIRECT(ADDRESS(22,ROW()-31,1)),AS$3:AS$22),"")</f>
        <v>7</v>
      </c>
      <c r="AT39">
        <f ca="1">IF(AND(((COLUMN()-10)&lt;=playercnt),((ROW()-41)&lt;=playercnt)),SUMPRODUCT(INDIRECT(ADDRESS(3,ROW()-31,1)):INDIRECT(ADDRESS(22,ROW()-31,1)),AT$3:AT$22),"")</f>
        <v>7</v>
      </c>
      <c r="AU39">
        <f ca="1">IF(AND(((COLUMN()-10)&lt;=playercnt),((ROW()-41)&lt;=playercnt)),SUMPRODUCT(INDIRECT(ADDRESS(3,ROW()-31,1)):INDIRECT(ADDRESS(22,ROW()-31,1)),AU$3:AU$22),"")</f>
        <v>7</v>
      </c>
      <c r="AV39">
        <f ca="1">IF(AND(((COLUMN()-10)&lt;=playercnt),((ROW()-41)&lt;=playercnt)),SUMPRODUCT(INDIRECT(ADDRESS(3,ROW()-31,1)):INDIRECT(ADDRESS(22,ROW()-31,1)),AV$3:AV$22),"")</f>
        <v>9</v>
      </c>
      <c r="AW39">
        <f ca="1">IF(AND(((COLUMN()-10)&lt;=playercnt),((ROW()-41)&lt;=playercnt)),SUMPRODUCT(INDIRECT(ADDRESS(3,ROW()-31,1)):INDIRECT(ADDRESS(22,ROW()-31,1)),AW$3:AW$22),"")</f>
        <v>7</v>
      </c>
      <c r="AX39">
        <f ca="1">IF(AND(((COLUMN()-10)&lt;=playercnt),((ROW()-41)&lt;=playercnt)),SUMPRODUCT(INDIRECT(ADDRESS(3,ROW()-31,1)):INDIRECT(ADDRESS(22,ROW()-31,1)),AX$3:AX$22),"")</f>
        <v>6</v>
      </c>
      <c r="AY39">
        <f ca="1">IF(AND(((COLUMN()-10)&lt;=playercnt),((ROW()-41)&lt;=playercnt)),SUMPRODUCT(INDIRECT(ADDRESS(3,ROW()-31,1)):INDIRECT(ADDRESS(22,ROW()-31,1)),AY$3:AY$22),"")</f>
        <v>7</v>
      </c>
      <c r="AZ39">
        <f ca="1">IF(AND(((COLUMN()-10)&lt;=playercnt),((ROW()-41)&lt;=playercnt)),SUMPRODUCT(INDIRECT(ADDRESS(3,ROW()-31,1)):INDIRECT(ADDRESS(22,ROW()-31,1)),AZ$3:AZ$22),"")</f>
        <v>6</v>
      </c>
      <c r="BA39">
        <f ca="1">IF(AND(((COLUMN()-10)&lt;=playercnt),((ROW()-41)&lt;=playercnt)),SUMPRODUCT(INDIRECT(ADDRESS(3,ROW()-31,1)):INDIRECT(ADDRESS(22,ROW()-31,1)),BA$3:BA$22),"")</f>
        <v>8</v>
      </c>
      <c r="BB39">
        <f ca="1">IF(AND(((COLUMN()-10)&lt;=playercnt),((ROW()-41)&lt;=playercnt)),SUMPRODUCT(INDIRECT(ADDRESS(3,ROW()-31,1)):INDIRECT(ADDRESS(22,ROW()-31,1)),BB$3:BB$22),"")</f>
        <v>10</v>
      </c>
      <c r="BC39">
        <f ca="1">IF(AND(((COLUMN()-10)&lt;=playercnt),((ROW()-41)&lt;=playercnt)),SUMPRODUCT(INDIRECT(ADDRESS(3,ROW()-31,1)):INDIRECT(ADDRESS(22,ROW()-31,1)),BC$3:BC$22),"")</f>
        <v>8</v>
      </c>
      <c r="BD39">
        <f ca="1">IF(AND(((COLUMN()-10)&lt;=playercnt),((ROW()-41)&lt;=playercnt)),SUMPRODUCT(INDIRECT(ADDRESS(3,ROW()-31,1)):INDIRECT(ADDRESS(22,ROW()-31,1)),BD$3:BD$22),"")</f>
        <v>4</v>
      </c>
      <c r="BE39">
        <f ca="1">IF(AND(((COLUMN()-10)&lt;=playercnt),((ROW()-41)&lt;=playercnt)),SUMPRODUCT(INDIRECT(ADDRESS(3,ROW()-31,1)):INDIRECT(ADDRESS(22,ROW()-31,1)),BE$3:BE$22),"")</f>
        <v>7</v>
      </c>
      <c r="BF39">
        <f ca="1">IF(AND(((COLUMN()-10)&lt;=playercnt),((ROW()-41)&lt;=playercnt)),SUMPRODUCT(INDIRECT(ADDRESS(3,ROW()-31,1)):INDIRECT(ADDRESS(22,ROW()-31,1)),BF$3:BF$22),"")</f>
        <v>7</v>
      </c>
      <c r="BG39">
        <f ca="1">IF(AND(((COLUMN()-10)&lt;=playercnt),((ROW()-41)&lt;=playercnt)),SUMPRODUCT(INDIRECT(ADDRESS(3,ROW()-31,1)):INDIRECT(ADDRESS(22,ROW()-31,1)),BG$3:BG$22),"")</f>
        <v>5</v>
      </c>
      <c r="BH39">
        <f ca="1">IF(AND(((COLUMN()-10)&lt;=playercnt),((ROW()-41)&lt;=playercnt)),SUMPRODUCT(INDIRECT(ADDRESS(3,ROW()-31,1)):INDIRECT(ADDRESS(22,ROW()-31,1)),BH$3:BH$22),"")</f>
        <v>5</v>
      </c>
      <c r="BI39">
        <f ca="1">IF(AND(((COLUMN()-10)&lt;=playercnt),((ROW()-41)&lt;=playercnt)),SUMPRODUCT(INDIRECT(ADDRESS(3,ROW()-31,1)):INDIRECT(ADDRESS(22,ROW()-31,1)),BI$3:BI$22),"")</f>
        <v>9</v>
      </c>
      <c r="BJ39">
        <f ca="1">IF(AND(((COLUMN()-10)&lt;=playercnt),((ROW()-41)&lt;=playercnt)),SUMPRODUCT(INDIRECT(ADDRESS(3,ROW()-31,1)):INDIRECT(ADDRESS(22,ROW()-31,1)),BJ$3:BJ$22),"")</f>
        <v>5</v>
      </c>
      <c r="BK39">
        <f ca="1">IF(AND(((COLUMN()-10)&lt;=playercnt),((ROW()-41)&lt;=playercnt)),SUMPRODUCT(INDIRECT(ADDRESS(3,ROW()-31,1)):INDIRECT(ADDRESS(22,ROW()-31,1)),BK$3:BK$22),"")</f>
        <v>5</v>
      </c>
      <c r="BL39">
        <f ca="1">IF(AND(((COLUMN()-10)&lt;=playercnt),((ROW()-41)&lt;=playercnt)),SUMPRODUCT(INDIRECT(ADDRESS(3,ROW()-31,1)):INDIRECT(ADDRESS(22,ROW()-31,1)),BL$3:BL$22),"")</f>
        <v>6</v>
      </c>
      <c r="BM39">
        <f ca="1">IF(AND(((COLUMN()-10)&lt;=playercnt),((ROW()-41)&lt;=playercnt)),SUMPRODUCT(INDIRECT(ADDRESS(3,ROW()-31,1)):INDIRECT(ADDRESS(22,ROW()-31,1)),BM$3:BM$22),"")</f>
        <v>7</v>
      </c>
      <c r="BN39">
        <f ca="1">IF(AND(((COLUMN()-10)&lt;=playercnt),((ROW()-41)&lt;=playercnt)),SUMPRODUCT(INDIRECT(ADDRESS(3,ROW()-31,1)):INDIRECT(ADDRESS(22,ROW()-31,1)),BN$3:BN$22),"")</f>
        <v>6</v>
      </c>
    </row>
    <row r="40" spans="1:66" x14ac:dyDescent="0.2">
      <c r="B40" s="27" t="str">
        <f t="shared" ref="B40:B97" ca="1" si="23">IF(INDIRECT(ADDRESS(ROW(),COLUMN()+(ROW()-33)))=10,(SUM(INDIRECT("RC11:RC"&amp;11+playercnt-1,FALSE))-10)/(picks_entered-1),"")</f>
        <v/>
      </c>
      <c r="C40" t="str">
        <f t="shared" ca="1" si="22"/>
        <v>Miss CDC</v>
      </c>
      <c r="G40">
        <f ca="1">IF(AND(((COLUMN()-10)&lt;=playercnt),((ROW()-41)&lt;=playercnt)),SUMPRODUCT(INDIRECT(ADDRESS(3,ROW()-31,1)):INDIRECT(ADDRESS(22,ROW()-31,1)),G$3:G$22),"")</f>
        <v>2.5</v>
      </c>
      <c r="H40">
        <f ca="1">IF(AND(((COLUMN()-10)&lt;=playercnt),((ROW()-41)&lt;=playercnt)),SUMPRODUCT(INDIRECT(ADDRESS(3,ROW()-31,1)):INDIRECT(ADDRESS(22,ROW()-31,1)),H$3:H$22),"")</f>
        <v>7.5</v>
      </c>
      <c r="I40">
        <f ca="1">IF(AND(((COLUMN()-10)&lt;=playercnt),((ROW()-41)&lt;=playercnt)),SUMPRODUCT(INDIRECT(ADDRESS(3,ROW()-31,1)):INDIRECT(ADDRESS(22,ROW()-31,1)),I$3:I$22),"")</f>
        <v>9.5</v>
      </c>
      <c r="J40">
        <f ca="1">IF(AND(((COLUMN()-10)&lt;=playercnt),((ROW()-41)&lt;=playercnt)),SUMPRODUCT(INDIRECT(ADDRESS(3,ROW()-31,1)):INDIRECT(ADDRESS(22,ROW()-31,1)),J$3:J$22),"")</f>
        <v>0</v>
      </c>
      <c r="K40">
        <f ca="1">IF(AND(((COLUMN()-10)&lt;=playercnt),((ROW()-41)&lt;=playercnt)),SUMPRODUCT(INDIRECT(ADDRESS(3,ROW()-31,1)):INDIRECT(ADDRESS(22,ROW()-31,1)),K$3:K$22),"")</f>
        <v>7.5</v>
      </c>
      <c r="L40">
        <f ca="1">IF(AND(((COLUMN()-10)&lt;=playercnt),((ROW()-41)&lt;=playercnt)),SUMPRODUCT(INDIRECT(ADDRESS(3,ROW()-31,1)):INDIRECT(ADDRESS(22,ROW()-31,1)),L$3:L$22),"")</f>
        <v>8.5</v>
      </c>
      <c r="M40">
        <f ca="1">IF(AND(((COLUMN()-10)&lt;=playercnt),((ROW()-41)&lt;=playercnt)),SUMPRODUCT(INDIRECT(ADDRESS(3,ROW()-31,1)):INDIRECT(ADDRESS(22,ROW()-31,1)),M$3:M$22),"")</f>
        <v>6.5</v>
      </c>
      <c r="N40">
        <f ca="1">IF(AND(((COLUMN()-10)&lt;=playercnt),((ROW()-41)&lt;=playercnt)),SUMPRODUCT(INDIRECT(ADDRESS(3,ROW()-31,1)):INDIRECT(ADDRESS(22,ROW()-31,1)),N$3:N$22),"")</f>
        <v>6.5</v>
      </c>
      <c r="O40">
        <f ca="1">IF(AND(((COLUMN()-10)&lt;=playercnt),((ROW()-41)&lt;=playercnt)),SUMPRODUCT(INDIRECT(ADDRESS(3,ROW()-31,1)):INDIRECT(ADDRESS(22,ROW()-31,1)),O$3:O$22),"")</f>
        <v>5.5</v>
      </c>
      <c r="P40">
        <f ca="1">IF(AND(((COLUMN()-10)&lt;=playercnt),((ROW()-41)&lt;=playercnt)),SUMPRODUCT(INDIRECT(ADDRESS(3,ROW()-31,1)):INDIRECT(ADDRESS(22,ROW()-31,1)),P$3:P$22),"")</f>
        <v>6.5</v>
      </c>
      <c r="Q40">
        <f ca="1">IF(AND(((COLUMN()-10)&lt;=playercnt),((ROW()-41)&lt;=playercnt)),SUMPRODUCT(INDIRECT(ADDRESS(3,ROW()-31,1)):INDIRECT(ADDRESS(22,ROW()-31,1)),Q$3:Q$22),"")</f>
        <v>7.5</v>
      </c>
      <c r="R40">
        <f ca="1">IF(AND(((COLUMN()-10)&lt;=playercnt),((ROW()-41)&lt;=playercnt)),SUMPRODUCT(INDIRECT(ADDRESS(3,ROW()-31,1)):INDIRECT(ADDRESS(22,ROW()-31,1)),R$3:R$22),"")</f>
        <v>4.5</v>
      </c>
      <c r="S40">
        <f ca="1">IF(AND(((COLUMN()-10)&lt;=playercnt),((ROW()-41)&lt;=playercnt)),SUMPRODUCT(INDIRECT(ADDRESS(3,ROW()-31,1)):INDIRECT(ADDRESS(22,ROW()-31,1)),S$3:S$22),"")</f>
        <v>7.5</v>
      </c>
      <c r="T40">
        <f ca="1">IF(AND(((COLUMN()-10)&lt;=playercnt),((ROW()-41)&lt;=playercnt)),SUMPRODUCT(INDIRECT(ADDRESS(3,ROW()-31,1)):INDIRECT(ADDRESS(22,ROW()-31,1)),T$3:T$22),"")</f>
        <v>6.5</v>
      </c>
      <c r="U40">
        <f ca="1">IF(AND(((COLUMN()-10)&lt;=playercnt),((ROW()-41)&lt;=playercnt)),SUMPRODUCT(INDIRECT(ADDRESS(3,ROW()-31,1)):INDIRECT(ADDRESS(22,ROW()-31,1)),U$3:U$22),"")</f>
        <v>8.5</v>
      </c>
      <c r="V40">
        <f ca="1">IF(AND(((COLUMN()-10)&lt;=playercnt),((ROW()-41)&lt;=playercnt)),SUMPRODUCT(INDIRECT(ADDRESS(3,ROW()-31,1)):INDIRECT(ADDRESS(22,ROW()-31,1)),V$3:V$22),"")</f>
        <v>5.5</v>
      </c>
      <c r="W40">
        <f ca="1">IF(AND(((COLUMN()-10)&lt;=playercnt),((ROW()-41)&lt;=playercnt)),SUMPRODUCT(INDIRECT(ADDRESS(3,ROW()-31,1)):INDIRECT(ADDRESS(22,ROW()-31,1)),W$3:W$22),"")</f>
        <v>7.5</v>
      </c>
      <c r="X40">
        <f ca="1">IF(AND(((COLUMN()-10)&lt;=playercnt),((ROW()-41)&lt;=playercnt)),SUMPRODUCT(INDIRECT(ADDRESS(3,ROW()-31,1)):INDIRECT(ADDRESS(22,ROW()-31,1)),X$3:X$22),"")</f>
        <v>6.5</v>
      </c>
      <c r="Y40">
        <f ca="1">IF(AND(((COLUMN()-10)&lt;=playercnt),((ROW()-41)&lt;=playercnt)),SUMPRODUCT(INDIRECT(ADDRESS(3,ROW()-31,1)):INDIRECT(ADDRESS(22,ROW()-31,1)),Y$3:Y$22),"")</f>
        <v>6.5</v>
      </c>
      <c r="Z40">
        <f ca="1">IF(AND(((COLUMN()-10)&lt;=playercnt),((ROW()-41)&lt;=playercnt)),SUMPRODUCT(INDIRECT(ADDRESS(3,ROW()-31,1)):INDIRECT(ADDRESS(22,ROW()-31,1)),Z$3:Z$22),"")</f>
        <v>6.5</v>
      </c>
      <c r="AA40">
        <f ca="1">IF(AND(((COLUMN()-10)&lt;=playercnt),((ROW()-41)&lt;=playercnt)),SUMPRODUCT(INDIRECT(ADDRESS(3,ROW()-31,1)):INDIRECT(ADDRESS(22,ROW()-31,1)),AA$3:AA$22),"")</f>
        <v>5.5</v>
      </c>
      <c r="AB40">
        <f ca="1">IF(AND(((COLUMN()-10)&lt;=playercnt),((ROW()-41)&lt;=playercnt)),SUMPRODUCT(INDIRECT(ADDRESS(3,ROW()-31,1)):INDIRECT(ADDRESS(22,ROW()-31,1)),AB$3:AB$22),"")</f>
        <v>5.5</v>
      </c>
      <c r="AC40">
        <f ca="1">IF(AND(((COLUMN()-10)&lt;=playercnt),((ROW()-41)&lt;=playercnt)),SUMPRODUCT(INDIRECT(ADDRESS(3,ROW()-31,1)):INDIRECT(ADDRESS(22,ROW()-31,1)),AC$3:AC$22),"")</f>
        <v>6.5</v>
      </c>
      <c r="AD40">
        <f ca="1">IF(AND(((COLUMN()-10)&lt;=playercnt),((ROW()-41)&lt;=playercnt)),SUMPRODUCT(INDIRECT(ADDRESS(3,ROW()-31,1)):INDIRECT(ADDRESS(22,ROW()-31,1)),AD$3:AD$22),"")</f>
        <v>4.5</v>
      </c>
      <c r="AE40">
        <f ca="1">IF(AND(((COLUMN()-10)&lt;=playercnt),((ROW()-41)&lt;=playercnt)),SUMPRODUCT(INDIRECT(ADDRESS(3,ROW()-31,1)):INDIRECT(ADDRESS(22,ROW()-31,1)),AE$3:AE$22),"")</f>
        <v>6.5</v>
      </c>
      <c r="AF40">
        <f ca="1">IF(AND(((COLUMN()-10)&lt;=playercnt),((ROW()-41)&lt;=playercnt)),SUMPRODUCT(INDIRECT(ADDRESS(3,ROW()-31,1)):INDIRECT(ADDRESS(22,ROW()-31,1)),AF$3:AF$22),"")</f>
        <v>6.5</v>
      </c>
      <c r="AG40">
        <f ca="1">IF(AND(((COLUMN()-10)&lt;=playercnt),((ROW()-41)&lt;=playercnt)),SUMPRODUCT(INDIRECT(ADDRESS(3,ROW()-31,1)):INDIRECT(ADDRESS(22,ROW()-31,1)),AG$3:AG$22),"")</f>
        <v>7.5</v>
      </c>
      <c r="AH40">
        <f ca="1">IF(AND(((COLUMN()-10)&lt;=playercnt),((ROW()-41)&lt;=playercnt)),SUMPRODUCT(INDIRECT(ADDRESS(3,ROW()-31,1)):INDIRECT(ADDRESS(22,ROW()-31,1)),AH$3:AH$22),"")</f>
        <v>8.5</v>
      </c>
      <c r="AI40">
        <f ca="1">IF(AND(((COLUMN()-10)&lt;=playercnt),((ROW()-41)&lt;=playercnt)),SUMPRODUCT(INDIRECT(ADDRESS(3,ROW()-31,1)):INDIRECT(ADDRESS(22,ROW()-31,1)),AI$3:AI$22),"")</f>
        <v>5.5</v>
      </c>
      <c r="AJ40">
        <f ca="1">IF(AND(((COLUMN()-10)&lt;=playercnt),((ROW()-41)&lt;=playercnt)),SUMPRODUCT(INDIRECT(ADDRESS(3,ROW()-31,1)):INDIRECT(ADDRESS(22,ROW()-31,1)),AJ$3:AJ$22),"")</f>
        <v>6.5</v>
      </c>
      <c r="AK40">
        <f ca="1">IF(AND(((COLUMN()-10)&lt;=playercnt),((ROW()-41)&lt;=playercnt)),SUMPRODUCT(INDIRECT(ADDRESS(3,ROW()-31,1)):INDIRECT(ADDRESS(22,ROW()-31,1)),AK$3:AK$22),"")</f>
        <v>0</v>
      </c>
      <c r="AL40">
        <f ca="1">IF(AND(((COLUMN()-10)&lt;=playercnt),((ROW()-41)&lt;=playercnt)),SUMPRODUCT(INDIRECT(ADDRESS(3,ROW()-31,1)):INDIRECT(ADDRESS(22,ROW()-31,1)),AL$3:AL$22),"")</f>
        <v>7.5</v>
      </c>
      <c r="AM40">
        <f ca="1">IF(AND(((COLUMN()-10)&lt;=playercnt),((ROW()-41)&lt;=playercnt)),SUMPRODUCT(INDIRECT(ADDRESS(3,ROW()-31,1)):INDIRECT(ADDRESS(22,ROW()-31,1)),AM$3:AM$22),"")</f>
        <v>8.5</v>
      </c>
      <c r="AN40">
        <f ca="1">IF(AND(((COLUMN()-10)&lt;=playercnt),((ROW()-41)&lt;=playercnt)),SUMPRODUCT(INDIRECT(ADDRESS(3,ROW()-31,1)):INDIRECT(ADDRESS(22,ROW()-31,1)),AN$3:AN$22),"")</f>
        <v>8.5</v>
      </c>
      <c r="AO40">
        <f ca="1">IF(AND(((COLUMN()-10)&lt;=playercnt),((ROW()-41)&lt;=playercnt)),SUMPRODUCT(INDIRECT(ADDRESS(3,ROW()-31,1)):INDIRECT(ADDRESS(22,ROW()-31,1)),AO$3:AO$22),"")</f>
        <v>3.5</v>
      </c>
      <c r="AP40">
        <f ca="1">IF(AND(((COLUMN()-10)&lt;=playercnt),((ROW()-41)&lt;=playercnt)),SUMPRODUCT(INDIRECT(ADDRESS(3,ROW()-31,1)):INDIRECT(ADDRESS(22,ROW()-31,1)),AP$3:AP$22),"")</f>
        <v>0</v>
      </c>
      <c r="AQ40">
        <f ca="1">IF(AND(((COLUMN()-10)&lt;=playercnt),((ROW()-41)&lt;=playercnt)),SUMPRODUCT(INDIRECT(ADDRESS(3,ROW()-31,1)):INDIRECT(ADDRESS(22,ROW()-31,1)),AQ$3:AQ$22),"")</f>
        <v>6.5</v>
      </c>
      <c r="AR40">
        <f ca="1">IF(AND(((COLUMN()-10)&lt;=playercnt),((ROW()-41)&lt;=playercnt)),SUMPRODUCT(INDIRECT(ADDRESS(3,ROW()-31,1)):INDIRECT(ADDRESS(22,ROW()-31,1)),AR$3:AR$22),"")</f>
        <v>6.5</v>
      </c>
      <c r="AS40">
        <f ca="1">IF(AND(((COLUMN()-10)&lt;=playercnt),((ROW()-41)&lt;=playercnt)),SUMPRODUCT(INDIRECT(ADDRESS(3,ROW()-31,1)):INDIRECT(ADDRESS(22,ROW()-31,1)),AS$3:AS$22),"")</f>
        <v>7.5</v>
      </c>
      <c r="AT40">
        <f ca="1">IF(AND(((COLUMN()-10)&lt;=playercnt),((ROW()-41)&lt;=playercnt)),SUMPRODUCT(INDIRECT(ADDRESS(3,ROW()-31,1)):INDIRECT(ADDRESS(22,ROW()-31,1)),AT$3:AT$22),"")</f>
        <v>6.5</v>
      </c>
      <c r="AU40">
        <f ca="1">IF(AND(((COLUMN()-10)&lt;=playercnt),((ROW()-41)&lt;=playercnt)),SUMPRODUCT(INDIRECT(ADDRESS(3,ROW()-31,1)):INDIRECT(ADDRESS(22,ROW()-31,1)),AU$3:AU$22),"")</f>
        <v>7.5</v>
      </c>
      <c r="AV40">
        <f ca="1">IF(AND(((COLUMN()-10)&lt;=playercnt),((ROW()-41)&lt;=playercnt)),SUMPRODUCT(INDIRECT(ADDRESS(3,ROW()-31,1)):INDIRECT(ADDRESS(22,ROW()-31,1)),AV$3:AV$22),"")</f>
        <v>8.5</v>
      </c>
      <c r="AW40">
        <f ca="1">IF(AND(((COLUMN()-10)&lt;=playercnt),((ROW()-41)&lt;=playercnt)),SUMPRODUCT(INDIRECT(ADDRESS(3,ROW()-31,1)):INDIRECT(ADDRESS(22,ROW()-31,1)),AW$3:AW$22),"")</f>
        <v>7.5</v>
      </c>
      <c r="AX40">
        <f ca="1">IF(AND(((COLUMN()-10)&lt;=playercnt),((ROW()-41)&lt;=playercnt)),SUMPRODUCT(INDIRECT(ADDRESS(3,ROW()-31,1)):INDIRECT(ADDRESS(22,ROW()-31,1)),AX$3:AX$22),"")</f>
        <v>8.5</v>
      </c>
      <c r="AY40">
        <f ca="1">IF(AND(((COLUMN()-10)&lt;=playercnt),((ROW()-41)&lt;=playercnt)),SUMPRODUCT(INDIRECT(ADDRESS(3,ROW()-31,1)):INDIRECT(ADDRESS(22,ROW()-31,1)),AY$3:AY$22),"")</f>
        <v>6.5</v>
      </c>
      <c r="AZ40">
        <f ca="1">IF(AND(((COLUMN()-10)&lt;=playercnt),((ROW()-41)&lt;=playercnt)),SUMPRODUCT(INDIRECT(ADDRESS(3,ROW()-31,1)):INDIRECT(ADDRESS(22,ROW()-31,1)),AZ$3:AZ$22),"")</f>
        <v>8.5</v>
      </c>
      <c r="BA40">
        <f ca="1">IF(AND(((COLUMN()-10)&lt;=playercnt),((ROW()-41)&lt;=playercnt)),SUMPRODUCT(INDIRECT(ADDRESS(3,ROW()-31,1)):INDIRECT(ADDRESS(22,ROW()-31,1)),BA$3:BA$22),"")</f>
        <v>6.5</v>
      </c>
      <c r="BB40">
        <f ca="1">IF(AND(((COLUMN()-10)&lt;=playercnt),((ROW()-41)&lt;=playercnt)),SUMPRODUCT(INDIRECT(ADDRESS(3,ROW()-31,1)):INDIRECT(ADDRESS(22,ROW()-31,1)),BB$3:BB$22),"")</f>
        <v>7.5</v>
      </c>
      <c r="BC40">
        <f ca="1">IF(AND(((COLUMN()-10)&lt;=playercnt),((ROW()-41)&lt;=playercnt)),SUMPRODUCT(INDIRECT(ADDRESS(3,ROW()-31,1)):INDIRECT(ADDRESS(22,ROW()-31,1)),BC$3:BC$22),"")</f>
        <v>5.5</v>
      </c>
      <c r="BD40">
        <f ca="1">IF(AND(((COLUMN()-10)&lt;=playercnt),((ROW()-41)&lt;=playercnt)),SUMPRODUCT(INDIRECT(ADDRESS(3,ROW()-31,1)):INDIRECT(ADDRESS(22,ROW()-31,1)),BD$3:BD$22),"")</f>
        <v>2.5</v>
      </c>
      <c r="BE40">
        <f ca="1">IF(AND(((COLUMN()-10)&lt;=playercnt),((ROW()-41)&lt;=playercnt)),SUMPRODUCT(INDIRECT(ADDRESS(3,ROW()-31,1)):INDIRECT(ADDRESS(22,ROW()-31,1)),BE$3:BE$22),"")</f>
        <v>7.5</v>
      </c>
      <c r="BF40">
        <f ca="1">IF(AND(((COLUMN()-10)&lt;=playercnt),((ROW()-41)&lt;=playercnt)),SUMPRODUCT(INDIRECT(ADDRESS(3,ROW()-31,1)):INDIRECT(ADDRESS(22,ROW()-31,1)),BF$3:BF$22),"")</f>
        <v>6.5</v>
      </c>
      <c r="BG40">
        <f ca="1">IF(AND(((COLUMN()-10)&lt;=playercnt),((ROW()-41)&lt;=playercnt)),SUMPRODUCT(INDIRECT(ADDRESS(3,ROW()-31,1)):INDIRECT(ADDRESS(22,ROW()-31,1)),BG$3:BG$22),"")</f>
        <v>7.5</v>
      </c>
      <c r="BH40">
        <f ca="1">IF(AND(((COLUMN()-10)&lt;=playercnt),((ROW()-41)&lt;=playercnt)),SUMPRODUCT(INDIRECT(ADDRESS(3,ROW()-31,1)):INDIRECT(ADDRESS(22,ROW()-31,1)),BH$3:BH$22),"")</f>
        <v>6.5</v>
      </c>
      <c r="BI40">
        <f ca="1">IF(AND(((COLUMN()-10)&lt;=playercnt),((ROW()-41)&lt;=playercnt)),SUMPRODUCT(INDIRECT(ADDRESS(3,ROW()-31,1)):INDIRECT(ADDRESS(22,ROW()-31,1)),BI$3:BI$22),"")</f>
        <v>8.5</v>
      </c>
      <c r="BJ40">
        <f ca="1">IF(AND(((COLUMN()-10)&lt;=playercnt),((ROW()-41)&lt;=playercnt)),SUMPRODUCT(INDIRECT(ADDRESS(3,ROW()-31,1)):INDIRECT(ADDRESS(22,ROW()-31,1)),BJ$3:BJ$22),"")</f>
        <v>7.5</v>
      </c>
      <c r="BK40">
        <f ca="1">IF(AND(((COLUMN()-10)&lt;=playercnt),((ROW()-41)&lt;=playercnt)),SUMPRODUCT(INDIRECT(ADDRESS(3,ROW()-31,1)):INDIRECT(ADDRESS(22,ROW()-31,1)),BK$3:BK$22),"")</f>
        <v>5.5</v>
      </c>
      <c r="BL40">
        <f ca="1">IF(AND(((COLUMN()-10)&lt;=playercnt),((ROW()-41)&lt;=playercnt)),SUMPRODUCT(INDIRECT(ADDRESS(3,ROW()-31,1)):INDIRECT(ADDRESS(22,ROW()-31,1)),BL$3:BL$22),"")</f>
        <v>6.5</v>
      </c>
      <c r="BM40">
        <f ca="1">IF(AND(((COLUMN()-10)&lt;=playercnt),((ROW()-41)&lt;=playercnt)),SUMPRODUCT(INDIRECT(ADDRESS(3,ROW()-31,1)):INDIRECT(ADDRESS(22,ROW()-31,1)),BM$3:BM$22),"")</f>
        <v>8.5</v>
      </c>
      <c r="BN40">
        <f ca="1">IF(AND(((COLUMN()-10)&lt;=playercnt),((ROW()-41)&lt;=playercnt)),SUMPRODUCT(INDIRECT(ADDRESS(3,ROW()-31,1)):INDIRECT(ADDRESS(22,ROW()-31,1)),BN$3:BN$22),"")</f>
        <v>5.5</v>
      </c>
    </row>
    <row r="41" spans="1:66" x14ac:dyDescent="0.2">
      <c r="B41" s="27" t="str">
        <f t="shared" ca="1" si="23"/>
        <v/>
      </c>
      <c r="C41" t="str">
        <f t="shared" ca="1" si="22"/>
        <v>Sagarin</v>
      </c>
      <c r="G41">
        <f ca="1">IF(AND(((COLUMN()-10)&lt;=playercnt),((ROW()-41)&lt;=playercnt)),SUMPRODUCT(INDIRECT(ADDRESS(3,ROW()-31,1)):INDIRECT(ADDRESS(22,ROW()-31,1)),G$3:G$22),"")</f>
        <v>0</v>
      </c>
      <c r="H41">
        <f ca="1">IF(AND(((COLUMN()-10)&lt;=playercnt),((ROW()-41)&lt;=playercnt)),SUMPRODUCT(INDIRECT(ADDRESS(3,ROW()-31,1)):INDIRECT(ADDRESS(22,ROW()-31,1)),H$3:H$22),"")</f>
        <v>0</v>
      </c>
      <c r="I41">
        <f ca="1">IF(AND(((COLUMN()-10)&lt;=playercnt),((ROW()-41)&lt;=playercnt)),SUMPRODUCT(INDIRECT(ADDRESS(3,ROW()-31,1)):INDIRECT(ADDRESS(22,ROW()-31,1)),I$3:I$22),"")</f>
        <v>0</v>
      </c>
      <c r="J41">
        <f ca="1">IF(AND(((COLUMN()-10)&lt;=playercnt),((ROW()-41)&lt;=playercnt)),SUMPRODUCT(INDIRECT(ADDRESS(3,ROW()-31,1)):INDIRECT(ADDRESS(22,ROW()-31,1)),J$3:J$22),"")</f>
        <v>0</v>
      </c>
      <c r="K41">
        <f ca="1">IF(AND(((COLUMN()-10)&lt;=playercnt),((ROW()-41)&lt;=playercnt)),SUMPRODUCT(INDIRECT(ADDRESS(3,ROW()-31,1)):INDIRECT(ADDRESS(22,ROW()-31,1)),K$3:K$22),"")</f>
        <v>0</v>
      </c>
      <c r="L41">
        <f ca="1">IF(AND(((COLUMN()-10)&lt;=playercnt),((ROW()-41)&lt;=playercnt)),SUMPRODUCT(INDIRECT(ADDRESS(3,ROW()-31,1)):INDIRECT(ADDRESS(22,ROW()-31,1)),L$3:L$22),"")</f>
        <v>0</v>
      </c>
      <c r="M41">
        <f ca="1">IF(AND(((COLUMN()-10)&lt;=playercnt),((ROW()-41)&lt;=playercnt)),SUMPRODUCT(INDIRECT(ADDRESS(3,ROW()-31,1)):INDIRECT(ADDRESS(22,ROW()-31,1)),M$3:M$22),"")</f>
        <v>0</v>
      </c>
      <c r="N41">
        <f ca="1">IF(AND(((COLUMN()-10)&lt;=playercnt),((ROW()-41)&lt;=playercnt)),SUMPRODUCT(INDIRECT(ADDRESS(3,ROW()-31,1)):INDIRECT(ADDRESS(22,ROW()-31,1)),N$3:N$22),"")</f>
        <v>0</v>
      </c>
      <c r="O41">
        <f ca="1">IF(AND(((COLUMN()-10)&lt;=playercnt),((ROW()-41)&lt;=playercnt)),SUMPRODUCT(INDIRECT(ADDRESS(3,ROW()-31,1)):INDIRECT(ADDRESS(22,ROW()-31,1)),O$3:O$22),"")</f>
        <v>0</v>
      </c>
      <c r="P41">
        <f ca="1">IF(AND(((COLUMN()-10)&lt;=playercnt),((ROW()-41)&lt;=playercnt)),SUMPRODUCT(INDIRECT(ADDRESS(3,ROW()-31,1)):INDIRECT(ADDRESS(22,ROW()-31,1)),P$3:P$22),"")</f>
        <v>0</v>
      </c>
      <c r="Q41">
        <f ca="1">IF(AND(((COLUMN()-10)&lt;=playercnt),((ROW()-41)&lt;=playercnt)),SUMPRODUCT(INDIRECT(ADDRESS(3,ROW()-31,1)):INDIRECT(ADDRESS(22,ROW()-31,1)),Q$3:Q$22),"")</f>
        <v>0</v>
      </c>
      <c r="R41">
        <f ca="1">IF(AND(((COLUMN()-10)&lt;=playercnt),((ROW()-41)&lt;=playercnt)),SUMPRODUCT(INDIRECT(ADDRESS(3,ROW()-31,1)):INDIRECT(ADDRESS(22,ROW()-31,1)),R$3:R$22),"")</f>
        <v>0</v>
      </c>
      <c r="S41">
        <f ca="1">IF(AND(((COLUMN()-10)&lt;=playercnt),((ROW()-41)&lt;=playercnt)),SUMPRODUCT(INDIRECT(ADDRESS(3,ROW()-31,1)):INDIRECT(ADDRESS(22,ROW()-31,1)),S$3:S$22),"")</f>
        <v>0</v>
      </c>
      <c r="T41">
        <f ca="1">IF(AND(((COLUMN()-10)&lt;=playercnt),((ROW()-41)&lt;=playercnt)),SUMPRODUCT(INDIRECT(ADDRESS(3,ROW()-31,1)):INDIRECT(ADDRESS(22,ROW()-31,1)),T$3:T$22),"")</f>
        <v>0</v>
      </c>
      <c r="U41">
        <f ca="1">IF(AND(((COLUMN()-10)&lt;=playercnt),((ROW()-41)&lt;=playercnt)),SUMPRODUCT(INDIRECT(ADDRESS(3,ROW()-31,1)):INDIRECT(ADDRESS(22,ROW()-31,1)),U$3:U$22),"")</f>
        <v>0</v>
      </c>
      <c r="V41">
        <f ca="1">IF(AND(((COLUMN()-10)&lt;=playercnt),((ROW()-41)&lt;=playercnt)),SUMPRODUCT(INDIRECT(ADDRESS(3,ROW()-31,1)):INDIRECT(ADDRESS(22,ROW()-31,1)),V$3:V$22),"")</f>
        <v>0</v>
      </c>
      <c r="W41">
        <f ca="1">IF(AND(((COLUMN()-10)&lt;=playercnt),((ROW()-41)&lt;=playercnt)),SUMPRODUCT(INDIRECT(ADDRESS(3,ROW()-31,1)):INDIRECT(ADDRESS(22,ROW()-31,1)),W$3:W$22),"")</f>
        <v>0</v>
      </c>
      <c r="X41">
        <f ca="1">IF(AND(((COLUMN()-10)&lt;=playercnt),((ROW()-41)&lt;=playercnt)),SUMPRODUCT(INDIRECT(ADDRESS(3,ROW()-31,1)):INDIRECT(ADDRESS(22,ROW()-31,1)),X$3:X$22),"")</f>
        <v>0</v>
      </c>
      <c r="Y41">
        <f ca="1">IF(AND(((COLUMN()-10)&lt;=playercnt),((ROW()-41)&lt;=playercnt)),SUMPRODUCT(INDIRECT(ADDRESS(3,ROW()-31,1)):INDIRECT(ADDRESS(22,ROW()-31,1)),Y$3:Y$22),"")</f>
        <v>0</v>
      </c>
      <c r="Z41">
        <f ca="1">IF(AND(((COLUMN()-10)&lt;=playercnt),((ROW()-41)&lt;=playercnt)),SUMPRODUCT(INDIRECT(ADDRESS(3,ROW()-31,1)):INDIRECT(ADDRESS(22,ROW()-31,1)),Z$3:Z$22),"")</f>
        <v>0</v>
      </c>
      <c r="AA41">
        <f ca="1">IF(AND(((COLUMN()-10)&lt;=playercnt),((ROW()-41)&lt;=playercnt)),SUMPRODUCT(INDIRECT(ADDRESS(3,ROW()-31,1)):INDIRECT(ADDRESS(22,ROW()-31,1)),AA$3:AA$22),"")</f>
        <v>0</v>
      </c>
      <c r="AB41">
        <f ca="1">IF(AND(((COLUMN()-10)&lt;=playercnt),((ROW()-41)&lt;=playercnt)),SUMPRODUCT(INDIRECT(ADDRESS(3,ROW()-31,1)):INDIRECT(ADDRESS(22,ROW()-31,1)),AB$3:AB$22),"")</f>
        <v>0</v>
      </c>
      <c r="AC41">
        <f ca="1">IF(AND(((COLUMN()-10)&lt;=playercnt),((ROW()-41)&lt;=playercnt)),SUMPRODUCT(INDIRECT(ADDRESS(3,ROW()-31,1)):INDIRECT(ADDRESS(22,ROW()-31,1)),AC$3:AC$22),"")</f>
        <v>0</v>
      </c>
      <c r="AD41">
        <f ca="1">IF(AND(((COLUMN()-10)&lt;=playercnt),((ROW()-41)&lt;=playercnt)),SUMPRODUCT(INDIRECT(ADDRESS(3,ROW()-31,1)):INDIRECT(ADDRESS(22,ROW()-31,1)),AD$3:AD$22),"")</f>
        <v>0</v>
      </c>
      <c r="AE41">
        <f ca="1">IF(AND(((COLUMN()-10)&lt;=playercnt),((ROW()-41)&lt;=playercnt)),SUMPRODUCT(INDIRECT(ADDRESS(3,ROW()-31,1)):INDIRECT(ADDRESS(22,ROW()-31,1)),AE$3:AE$22),"")</f>
        <v>0</v>
      </c>
      <c r="AF41">
        <f ca="1">IF(AND(((COLUMN()-10)&lt;=playercnt),((ROW()-41)&lt;=playercnt)),SUMPRODUCT(INDIRECT(ADDRESS(3,ROW()-31,1)):INDIRECT(ADDRESS(22,ROW()-31,1)),AF$3:AF$22),"")</f>
        <v>0</v>
      </c>
      <c r="AG41">
        <f ca="1">IF(AND(((COLUMN()-10)&lt;=playercnt),((ROW()-41)&lt;=playercnt)),SUMPRODUCT(INDIRECT(ADDRESS(3,ROW()-31,1)):INDIRECT(ADDRESS(22,ROW()-31,1)),AG$3:AG$22),"")</f>
        <v>0</v>
      </c>
      <c r="AH41">
        <f ca="1">IF(AND(((COLUMN()-10)&lt;=playercnt),((ROW()-41)&lt;=playercnt)),SUMPRODUCT(INDIRECT(ADDRESS(3,ROW()-31,1)):INDIRECT(ADDRESS(22,ROW()-31,1)),AH$3:AH$22),"")</f>
        <v>0</v>
      </c>
      <c r="AI41">
        <f ca="1">IF(AND(((COLUMN()-10)&lt;=playercnt),((ROW()-41)&lt;=playercnt)),SUMPRODUCT(INDIRECT(ADDRESS(3,ROW()-31,1)):INDIRECT(ADDRESS(22,ROW()-31,1)),AI$3:AI$22),"")</f>
        <v>0</v>
      </c>
      <c r="AJ41">
        <f ca="1">IF(AND(((COLUMN()-10)&lt;=playercnt),((ROW()-41)&lt;=playercnt)),SUMPRODUCT(INDIRECT(ADDRESS(3,ROW()-31,1)):INDIRECT(ADDRESS(22,ROW()-31,1)),AJ$3:AJ$22),"")</f>
        <v>0</v>
      </c>
      <c r="AK41">
        <f ca="1">IF(AND(((COLUMN()-10)&lt;=playercnt),((ROW()-41)&lt;=playercnt)),SUMPRODUCT(INDIRECT(ADDRESS(3,ROW()-31,1)):INDIRECT(ADDRESS(22,ROW()-31,1)),AK$3:AK$22),"")</f>
        <v>0</v>
      </c>
      <c r="AL41">
        <f ca="1">IF(AND(((COLUMN()-10)&lt;=playercnt),((ROW()-41)&lt;=playercnt)),SUMPRODUCT(INDIRECT(ADDRESS(3,ROW()-31,1)):INDIRECT(ADDRESS(22,ROW()-31,1)),AL$3:AL$22),"")</f>
        <v>0</v>
      </c>
      <c r="AM41">
        <f ca="1">IF(AND(((COLUMN()-10)&lt;=playercnt),((ROW()-41)&lt;=playercnt)),SUMPRODUCT(INDIRECT(ADDRESS(3,ROW()-31,1)):INDIRECT(ADDRESS(22,ROW()-31,1)),AM$3:AM$22),"")</f>
        <v>0</v>
      </c>
      <c r="AN41">
        <f ca="1">IF(AND(((COLUMN()-10)&lt;=playercnt),((ROW()-41)&lt;=playercnt)),SUMPRODUCT(INDIRECT(ADDRESS(3,ROW()-31,1)):INDIRECT(ADDRESS(22,ROW()-31,1)),AN$3:AN$22),"")</f>
        <v>0</v>
      </c>
      <c r="AO41">
        <f ca="1">IF(AND(((COLUMN()-10)&lt;=playercnt),((ROW()-41)&lt;=playercnt)),SUMPRODUCT(INDIRECT(ADDRESS(3,ROW()-31,1)):INDIRECT(ADDRESS(22,ROW()-31,1)),AO$3:AO$22),"")</f>
        <v>0</v>
      </c>
      <c r="AP41">
        <f ca="1">IF(AND(((COLUMN()-10)&lt;=playercnt),((ROW()-41)&lt;=playercnt)),SUMPRODUCT(INDIRECT(ADDRESS(3,ROW()-31,1)):INDIRECT(ADDRESS(22,ROW()-31,1)),AP$3:AP$22),"")</f>
        <v>0</v>
      </c>
      <c r="AQ41">
        <f ca="1">IF(AND(((COLUMN()-10)&lt;=playercnt),((ROW()-41)&lt;=playercnt)),SUMPRODUCT(INDIRECT(ADDRESS(3,ROW()-31,1)):INDIRECT(ADDRESS(22,ROW()-31,1)),AQ$3:AQ$22),"")</f>
        <v>0</v>
      </c>
      <c r="AR41">
        <f ca="1">IF(AND(((COLUMN()-10)&lt;=playercnt),((ROW()-41)&lt;=playercnt)),SUMPRODUCT(INDIRECT(ADDRESS(3,ROW()-31,1)):INDIRECT(ADDRESS(22,ROW()-31,1)),AR$3:AR$22),"")</f>
        <v>0</v>
      </c>
      <c r="AS41">
        <f ca="1">IF(AND(((COLUMN()-10)&lt;=playercnt),((ROW()-41)&lt;=playercnt)),SUMPRODUCT(INDIRECT(ADDRESS(3,ROW()-31,1)):INDIRECT(ADDRESS(22,ROW()-31,1)),AS$3:AS$22),"")</f>
        <v>0</v>
      </c>
      <c r="AT41">
        <f ca="1">IF(AND(((COLUMN()-10)&lt;=playercnt),((ROW()-41)&lt;=playercnt)),SUMPRODUCT(INDIRECT(ADDRESS(3,ROW()-31,1)):INDIRECT(ADDRESS(22,ROW()-31,1)),AT$3:AT$22),"")</f>
        <v>0</v>
      </c>
      <c r="AU41">
        <f ca="1">IF(AND(((COLUMN()-10)&lt;=playercnt),((ROW()-41)&lt;=playercnt)),SUMPRODUCT(INDIRECT(ADDRESS(3,ROW()-31,1)):INDIRECT(ADDRESS(22,ROW()-31,1)),AU$3:AU$22),"")</f>
        <v>0</v>
      </c>
      <c r="AV41">
        <f ca="1">IF(AND(((COLUMN()-10)&lt;=playercnt),((ROW()-41)&lt;=playercnt)),SUMPRODUCT(INDIRECT(ADDRESS(3,ROW()-31,1)):INDIRECT(ADDRESS(22,ROW()-31,1)),AV$3:AV$22),"")</f>
        <v>0</v>
      </c>
      <c r="AW41">
        <f ca="1">IF(AND(((COLUMN()-10)&lt;=playercnt),((ROW()-41)&lt;=playercnt)),SUMPRODUCT(INDIRECT(ADDRESS(3,ROW()-31,1)):INDIRECT(ADDRESS(22,ROW()-31,1)),AW$3:AW$22),"")</f>
        <v>0</v>
      </c>
      <c r="AX41">
        <f ca="1">IF(AND(((COLUMN()-10)&lt;=playercnt),((ROW()-41)&lt;=playercnt)),SUMPRODUCT(INDIRECT(ADDRESS(3,ROW()-31,1)):INDIRECT(ADDRESS(22,ROW()-31,1)),AX$3:AX$22),"")</f>
        <v>0</v>
      </c>
      <c r="AY41">
        <f ca="1">IF(AND(((COLUMN()-10)&lt;=playercnt),((ROW()-41)&lt;=playercnt)),SUMPRODUCT(INDIRECT(ADDRESS(3,ROW()-31,1)):INDIRECT(ADDRESS(22,ROW()-31,1)),AY$3:AY$22),"")</f>
        <v>0</v>
      </c>
      <c r="AZ41">
        <f ca="1">IF(AND(((COLUMN()-10)&lt;=playercnt),((ROW()-41)&lt;=playercnt)),SUMPRODUCT(INDIRECT(ADDRESS(3,ROW()-31,1)):INDIRECT(ADDRESS(22,ROW()-31,1)),AZ$3:AZ$22),"")</f>
        <v>0</v>
      </c>
      <c r="BA41">
        <f ca="1">IF(AND(((COLUMN()-10)&lt;=playercnt),((ROW()-41)&lt;=playercnt)),SUMPRODUCT(INDIRECT(ADDRESS(3,ROW()-31,1)):INDIRECT(ADDRESS(22,ROW()-31,1)),BA$3:BA$22),"")</f>
        <v>0</v>
      </c>
      <c r="BB41">
        <f ca="1">IF(AND(((COLUMN()-10)&lt;=playercnt),((ROW()-41)&lt;=playercnt)),SUMPRODUCT(INDIRECT(ADDRESS(3,ROW()-31,1)):INDIRECT(ADDRESS(22,ROW()-31,1)),BB$3:BB$22),"")</f>
        <v>0</v>
      </c>
      <c r="BC41">
        <f ca="1">IF(AND(((COLUMN()-10)&lt;=playercnt),((ROW()-41)&lt;=playercnt)),SUMPRODUCT(INDIRECT(ADDRESS(3,ROW()-31,1)):INDIRECT(ADDRESS(22,ROW()-31,1)),BC$3:BC$22),"")</f>
        <v>0</v>
      </c>
      <c r="BD41">
        <f ca="1">IF(AND(((COLUMN()-10)&lt;=playercnt),((ROW()-41)&lt;=playercnt)),SUMPRODUCT(INDIRECT(ADDRESS(3,ROW()-31,1)):INDIRECT(ADDRESS(22,ROW()-31,1)),BD$3:BD$22),"")</f>
        <v>0</v>
      </c>
      <c r="BE41">
        <f ca="1">IF(AND(((COLUMN()-10)&lt;=playercnt),((ROW()-41)&lt;=playercnt)),SUMPRODUCT(INDIRECT(ADDRESS(3,ROW()-31,1)):INDIRECT(ADDRESS(22,ROW()-31,1)),BE$3:BE$22),"")</f>
        <v>0</v>
      </c>
      <c r="BF41">
        <f ca="1">IF(AND(((COLUMN()-10)&lt;=playercnt),((ROW()-41)&lt;=playercnt)),SUMPRODUCT(INDIRECT(ADDRESS(3,ROW()-31,1)):INDIRECT(ADDRESS(22,ROW()-31,1)),BF$3:BF$22),"")</f>
        <v>0</v>
      </c>
      <c r="BG41">
        <f ca="1">IF(AND(((COLUMN()-10)&lt;=playercnt),((ROW()-41)&lt;=playercnt)),SUMPRODUCT(INDIRECT(ADDRESS(3,ROW()-31,1)):INDIRECT(ADDRESS(22,ROW()-31,1)),BG$3:BG$22),"")</f>
        <v>0</v>
      </c>
      <c r="BH41">
        <f ca="1">IF(AND(((COLUMN()-10)&lt;=playercnt),((ROW()-41)&lt;=playercnt)),SUMPRODUCT(INDIRECT(ADDRESS(3,ROW()-31,1)):INDIRECT(ADDRESS(22,ROW()-31,1)),BH$3:BH$22),"")</f>
        <v>0</v>
      </c>
      <c r="BI41">
        <f ca="1">IF(AND(((COLUMN()-10)&lt;=playercnt),((ROW()-41)&lt;=playercnt)),SUMPRODUCT(INDIRECT(ADDRESS(3,ROW()-31,1)):INDIRECT(ADDRESS(22,ROW()-31,1)),BI$3:BI$22),"")</f>
        <v>0</v>
      </c>
      <c r="BJ41">
        <f ca="1">IF(AND(((COLUMN()-10)&lt;=playercnt),((ROW()-41)&lt;=playercnt)),SUMPRODUCT(INDIRECT(ADDRESS(3,ROW()-31,1)):INDIRECT(ADDRESS(22,ROW()-31,1)),BJ$3:BJ$22),"")</f>
        <v>0</v>
      </c>
      <c r="BK41">
        <f ca="1">IF(AND(((COLUMN()-10)&lt;=playercnt),((ROW()-41)&lt;=playercnt)),SUMPRODUCT(INDIRECT(ADDRESS(3,ROW()-31,1)):INDIRECT(ADDRESS(22,ROW()-31,1)),BK$3:BK$22),"")</f>
        <v>0</v>
      </c>
      <c r="BL41">
        <f ca="1">IF(AND(((COLUMN()-10)&lt;=playercnt),((ROW()-41)&lt;=playercnt)),SUMPRODUCT(INDIRECT(ADDRESS(3,ROW()-31,1)):INDIRECT(ADDRESS(22,ROW()-31,1)),BL$3:BL$22),"")</f>
        <v>0</v>
      </c>
      <c r="BM41">
        <f ca="1">IF(AND(((COLUMN()-10)&lt;=playercnt),((ROW()-41)&lt;=playercnt)),SUMPRODUCT(INDIRECT(ADDRESS(3,ROW()-31,1)):INDIRECT(ADDRESS(22,ROW()-31,1)),BM$3:BM$22),"")</f>
        <v>0</v>
      </c>
      <c r="BN41">
        <f ca="1">IF(AND(((COLUMN()-10)&lt;=playercnt),((ROW()-41)&lt;=playercnt)),SUMPRODUCT(INDIRECT(ADDRESS(3,ROW()-31,1)):INDIRECT(ADDRESS(22,ROW()-31,1)),BN$3:BN$22),"")</f>
        <v>0</v>
      </c>
    </row>
    <row r="42" spans="1:66" x14ac:dyDescent="0.2">
      <c r="A42" s="22">
        <f ca="1">MAX(INDIRECT("RC2:R["&amp;playercnt-1&amp;"]C2",FALSE))</f>
        <v>6.5471698113207548</v>
      </c>
      <c r="B42" s="27">
        <f t="shared" ca="1" si="23"/>
        <v>5.867924528301887</v>
      </c>
      <c r="C42" t="str">
        <f t="shared" ca="1" si="22"/>
        <v>Aaron, Chip</v>
      </c>
      <c r="G42">
        <f ca="1">IF(AND(((COLUMN()-10)&lt;=playercnt),((ROW()-41)&lt;=playercnt)),SUMPRODUCT(INDIRECT(ADDRESS(3,ROW()-31,1)):INDIRECT(ADDRESS(22,ROW()-31,1)),G$3:G$22),"")</f>
        <v>3</v>
      </c>
      <c r="H42">
        <f ca="1">IF(AND(((COLUMN()-10)&lt;=playercnt),((ROW()-41)&lt;=playercnt)),SUMPRODUCT(INDIRECT(ADDRESS(3,ROW()-31,1)):INDIRECT(ADDRESS(22,ROW()-31,1)),H$3:H$22),"")</f>
        <v>6</v>
      </c>
      <c r="I42">
        <f ca="1">IF(AND(((COLUMN()-10)&lt;=playercnt),((ROW()-41)&lt;=playercnt)),SUMPRODUCT(INDIRECT(ADDRESS(3,ROW()-31,1)):INDIRECT(ADDRESS(22,ROW()-31,1)),I$3:I$22),"")</f>
        <v>7.5</v>
      </c>
      <c r="J42">
        <f ca="1">IF(AND(((COLUMN()-10)&lt;=playercnt),((ROW()-41)&lt;=playercnt)),SUMPRODUCT(INDIRECT(ADDRESS(3,ROW()-31,1)):INDIRECT(ADDRESS(22,ROW()-31,1)),J$3:J$22),"")</f>
        <v>0</v>
      </c>
      <c r="K42">
        <f ca="1">IF(AND(((COLUMN()-10)&lt;=playercnt),((ROW()-41)&lt;=playercnt)),SUMPRODUCT(INDIRECT(ADDRESS(3,ROW()-31,1)):INDIRECT(ADDRESS(22,ROW()-31,1)),K$3:K$22),"")</f>
        <v>10</v>
      </c>
      <c r="L42">
        <f ca="1">IF(AND(((COLUMN()-10)&lt;=playercnt),((ROW()-41)&lt;=playercnt)),SUMPRODUCT(INDIRECT(ADDRESS(3,ROW()-31,1)):INDIRECT(ADDRESS(22,ROW()-31,1)),L$3:L$22),"")</f>
        <v>7</v>
      </c>
      <c r="M42">
        <f ca="1">IF(AND(((COLUMN()-10)&lt;=playercnt),((ROW()-41)&lt;=playercnt)),SUMPRODUCT(INDIRECT(ADDRESS(3,ROW()-31,1)):INDIRECT(ADDRESS(22,ROW()-31,1)),M$3:M$22),"")</f>
        <v>6</v>
      </c>
      <c r="N42">
        <f ca="1">IF(AND(((COLUMN()-10)&lt;=playercnt),((ROW()-41)&lt;=playercnt)),SUMPRODUCT(INDIRECT(ADDRESS(3,ROW()-31,1)):INDIRECT(ADDRESS(22,ROW()-31,1)),N$3:N$22),"")</f>
        <v>7</v>
      </c>
      <c r="O42">
        <f ca="1">IF(AND(((COLUMN()-10)&lt;=playercnt),((ROW()-41)&lt;=playercnt)),SUMPRODUCT(INDIRECT(ADDRESS(3,ROW()-31,1)):INDIRECT(ADDRESS(22,ROW()-31,1)),O$3:O$22),"")</f>
        <v>3</v>
      </c>
      <c r="P42">
        <f ca="1">IF(AND(((COLUMN()-10)&lt;=playercnt),((ROW()-41)&lt;=playercnt)),SUMPRODUCT(INDIRECT(ADDRESS(3,ROW()-31,1)):INDIRECT(ADDRESS(22,ROW()-31,1)),P$3:P$22),"")</f>
        <v>6</v>
      </c>
      <c r="Q42">
        <f ca="1">IF(AND(((COLUMN()-10)&lt;=playercnt),((ROW()-41)&lt;=playercnt)),SUMPRODUCT(INDIRECT(ADDRESS(3,ROW()-31,1)):INDIRECT(ADDRESS(22,ROW()-31,1)),Q$3:Q$22),"")</f>
        <v>5</v>
      </c>
      <c r="R42">
        <f ca="1">IF(AND(((COLUMN()-10)&lt;=playercnt),((ROW()-41)&lt;=playercnt)),SUMPRODUCT(INDIRECT(ADDRESS(3,ROW()-31,1)):INDIRECT(ADDRESS(22,ROW()-31,1)),R$3:R$22),"")</f>
        <v>5</v>
      </c>
      <c r="S42">
        <f ca="1">IF(AND(((COLUMN()-10)&lt;=playercnt),((ROW()-41)&lt;=playercnt)),SUMPRODUCT(INDIRECT(ADDRESS(3,ROW()-31,1)):INDIRECT(ADDRESS(22,ROW()-31,1)),S$3:S$22),"")</f>
        <v>5</v>
      </c>
      <c r="T42">
        <f ca="1">IF(AND(((COLUMN()-10)&lt;=playercnt),((ROW()-41)&lt;=playercnt)),SUMPRODUCT(INDIRECT(ADDRESS(3,ROW()-31,1)):INDIRECT(ADDRESS(22,ROW()-31,1)),T$3:T$22),"")</f>
        <v>4</v>
      </c>
      <c r="U42">
        <f ca="1">IF(AND(((COLUMN()-10)&lt;=playercnt),((ROW()-41)&lt;=playercnt)),SUMPRODUCT(INDIRECT(ADDRESS(3,ROW()-31,1)):INDIRECT(ADDRESS(22,ROW()-31,1)),U$3:U$22),"")</f>
        <v>7</v>
      </c>
      <c r="V42">
        <f ca="1">IF(AND(((COLUMN()-10)&lt;=playercnt),((ROW()-41)&lt;=playercnt)),SUMPRODUCT(INDIRECT(ADDRESS(3,ROW()-31,1)):INDIRECT(ADDRESS(22,ROW()-31,1)),V$3:V$22),"")</f>
        <v>5</v>
      </c>
      <c r="W42">
        <f ca="1">IF(AND(((COLUMN()-10)&lt;=playercnt),((ROW()-41)&lt;=playercnt)),SUMPRODUCT(INDIRECT(ADDRESS(3,ROW()-31,1)):INDIRECT(ADDRESS(22,ROW()-31,1)),W$3:W$22),"")</f>
        <v>5</v>
      </c>
      <c r="X42">
        <f ca="1">IF(AND(((COLUMN()-10)&lt;=playercnt),((ROW()-41)&lt;=playercnt)),SUMPRODUCT(INDIRECT(ADDRESS(3,ROW()-31,1)):INDIRECT(ADDRESS(22,ROW()-31,1)),X$3:X$22),"")</f>
        <v>6</v>
      </c>
      <c r="Y42">
        <f ca="1">IF(AND(((COLUMN()-10)&lt;=playercnt),((ROW()-41)&lt;=playercnt)),SUMPRODUCT(INDIRECT(ADDRESS(3,ROW()-31,1)):INDIRECT(ADDRESS(22,ROW()-31,1)),Y$3:Y$22),"")</f>
        <v>5</v>
      </c>
      <c r="Z42">
        <f ca="1">IF(AND(((COLUMN()-10)&lt;=playercnt),((ROW()-41)&lt;=playercnt)),SUMPRODUCT(INDIRECT(ADDRESS(3,ROW()-31,1)):INDIRECT(ADDRESS(22,ROW()-31,1)),Z$3:Z$22),"")</f>
        <v>6</v>
      </c>
      <c r="AA42">
        <f ca="1">IF(AND(((COLUMN()-10)&lt;=playercnt),((ROW()-41)&lt;=playercnt)),SUMPRODUCT(INDIRECT(ADDRESS(3,ROW()-31,1)):INDIRECT(ADDRESS(22,ROW()-31,1)),AA$3:AA$22),"")</f>
        <v>5</v>
      </c>
      <c r="AB42">
        <f ca="1">IF(AND(((COLUMN()-10)&lt;=playercnt),((ROW()-41)&lt;=playercnt)),SUMPRODUCT(INDIRECT(ADDRESS(3,ROW()-31,1)):INDIRECT(ADDRESS(22,ROW()-31,1)),AB$3:AB$22),"")</f>
        <v>6</v>
      </c>
      <c r="AC42">
        <f ca="1">IF(AND(((COLUMN()-10)&lt;=playercnt),((ROW()-41)&lt;=playercnt)),SUMPRODUCT(INDIRECT(ADDRESS(3,ROW()-31,1)):INDIRECT(ADDRESS(22,ROW()-31,1)),AC$3:AC$22),"")</f>
        <v>5</v>
      </c>
      <c r="AD42">
        <f ca="1">IF(AND(((COLUMN()-10)&lt;=playercnt),((ROW()-41)&lt;=playercnt)),SUMPRODUCT(INDIRECT(ADDRESS(3,ROW()-31,1)):INDIRECT(ADDRESS(22,ROW()-31,1)),AD$3:AD$22),"")</f>
        <v>5</v>
      </c>
      <c r="AE42">
        <f ca="1">IF(AND(((COLUMN()-10)&lt;=playercnt),((ROW()-41)&lt;=playercnt)),SUMPRODUCT(INDIRECT(ADDRESS(3,ROW()-31,1)):INDIRECT(ADDRESS(22,ROW()-31,1)),AE$3:AE$22),"")</f>
        <v>5</v>
      </c>
      <c r="AF42">
        <f ca="1">IF(AND(((COLUMN()-10)&lt;=playercnt),((ROW()-41)&lt;=playercnt)),SUMPRODUCT(INDIRECT(ADDRESS(3,ROW()-31,1)):INDIRECT(ADDRESS(22,ROW()-31,1)),AF$3:AF$22),"")</f>
        <v>6</v>
      </c>
      <c r="AG42">
        <f ca="1">IF(AND(((COLUMN()-10)&lt;=playercnt),((ROW()-41)&lt;=playercnt)),SUMPRODUCT(INDIRECT(ADDRESS(3,ROW()-31,1)):INDIRECT(ADDRESS(22,ROW()-31,1)),AG$3:AG$22),"")</f>
        <v>8</v>
      </c>
      <c r="AH42">
        <f ca="1">IF(AND(((COLUMN()-10)&lt;=playercnt),((ROW()-41)&lt;=playercnt)),SUMPRODUCT(INDIRECT(ADDRESS(3,ROW()-31,1)):INDIRECT(ADDRESS(22,ROW()-31,1)),AH$3:AH$22),"")</f>
        <v>9</v>
      </c>
      <c r="AI42">
        <f ca="1">IF(AND(((COLUMN()-10)&lt;=playercnt),((ROW()-41)&lt;=playercnt)),SUMPRODUCT(INDIRECT(ADDRESS(3,ROW()-31,1)):INDIRECT(ADDRESS(22,ROW()-31,1)),AI$3:AI$22),"")</f>
        <v>5</v>
      </c>
      <c r="AJ42">
        <f ca="1">IF(AND(((COLUMN()-10)&lt;=playercnt),((ROW()-41)&lt;=playercnt)),SUMPRODUCT(INDIRECT(ADDRESS(3,ROW()-31,1)):INDIRECT(ADDRESS(22,ROW()-31,1)),AJ$3:AJ$22),"")</f>
        <v>7</v>
      </c>
      <c r="AK42">
        <f ca="1">IF(AND(((COLUMN()-10)&lt;=playercnt),((ROW()-41)&lt;=playercnt)),SUMPRODUCT(INDIRECT(ADDRESS(3,ROW()-31,1)):INDIRECT(ADDRESS(22,ROW()-31,1)),AK$3:AK$22),"")</f>
        <v>0</v>
      </c>
      <c r="AL42">
        <f ca="1">IF(AND(((COLUMN()-10)&lt;=playercnt),((ROW()-41)&lt;=playercnt)),SUMPRODUCT(INDIRECT(ADDRESS(3,ROW()-31,1)):INDIRECT(ADDRESS(22,ROW()-31,1)),AL$3:AL$22),"")</f>
        <v>6</v>
      </c>
      <c r="AM42">
        <f ca="1">IF(AND(((COLUMN()-10)&lt;=playercnt),((ROW()-41)&lt;=playercnt)),SUMPRODUCT(INDIRECT(ADDRESS(3,ROW()-31,1)):INDIRECT(ADDRESS(22,ROW()-31,1)),AM$3:AM$22),"")</f>
        <v>7</v>
      </c>
      <c r="AN42">
        <f ca="1">IF(AND(((COLUMN()-10)&lt;=playercnt),((ROW()-41)&lt;=playercnt)),SUMPRODUCT(INDIRECT(ADDRESS(3,ROW()-31,1)):INDIRECT(ADDRESS(22,ROW()-31,1)),AN$3:AN$22),"")</f>
        <v>7</v>
      </c>
      <c r="AO42">
        <f ca="1">IF(AND(((COLUMN()-10)&lt;=playercnt),((ROW()-41)&lt;=playercnt)),SUMPRODUCT(INDIRECT(ADDRESS(3,ROW()-31,1)):INDIRECT(ADDRESS(22,ROW()-31,1)),AO$3:AO$22),"")</f>
        <v>1</v>
      </c>
      <c r="AP42">
        <f ca="1">IF(AND(((COLUMN()-10)&lt;=playercnt),((ROW()-41)&lt;=playercnt)),SUMPRODUCT(INDIRECT(ADDRESS(3,ROW()-31,1)):INDIRECT(ADDRESS(22,ROW()-31,1)),AP$3:AP$22),"")</f>
        <v>0</v>
      </c>
      <c r="AQ42">
        <f ca="1">IF(AND(((COLUMN()-10)&lt;=playercnt),((ROW()-41)&lt;=playercnt)),SUMPRODUCT(INDIRECT(ADDRESS(3,ROW()-31,1)):INDIRECT(ADDRESS(22,ROW()-31,1)),AQ$3:AQ$22),"")</f>
        <v>7</v>
      </c>
      <c r="AR42">
        <f ca="1">IF(AND(((COLUMN()-10)&lt;=playercnt),((ROW()-41)&lt;=playercnt)),SUMPRODUCT(INDIRECT(ADDRESS(3,ROW()-31,1)):INDIRECT(ADDRESS(22,ROW()-31,1)),AR$3:AR$22),"")</f>
        <v>6</v>
      </c>
      <c r="AS42">
        <f ca="1">IF(AND(((COLUMN()-10)&lt;=playercnt),((ROW()-41)&lt;=playercnt)),SUMPRODUCT(INDIRECT(ADDRESS(3,ROW()-31,1)):INDIRECT(ADDRESS(22,ROW()-31,1)),AS$3:AS$22),"")</f>
        <v>5</v>
      </c>
      <c r="AT42">
        <f ca="1">IF(AND(((COLUMN()-10)&lt;=playercnt),((ROW()-41)&lt;=playercnt)),SUMPRODUCT(INDIRECT(ADDRESS(3,ROW()-31,1)):INDIRECT(ADDRESS(22,ROW()-31,1)),AT$3:AT$22),"")</f>
        <v>9</v>
      </c>
      <c r="AU42">
        <f ca="1">IF(AND(((COLUMN()-10)&lt;=playercnt),((ROW()-41)&lt;=playercnt)),SUMPRODUCT(INDIRECT(ADDRESS(3,ROW()-31,1)):INDIRECT(ADDRESS(22,ROW()-31,1)),AU$3:AU$22),"")</f>
        <v>7</v>
      </c>
      <c r="AV42">
        <f ca="1">IF(AND(((COLUMN()-10)&lt;=playercnt),((ROW()-41)&lt;=playercnt)),SUMPRODUCT(INDIRECT(ADDRESS(3,ROW()-31,1)):INDIRECT(ADDRESS(22,ROW()-31,1)),AV$3:AV$22),"")</f>
        <v>7</v>
      </c>
      <c r="AW42">
        <f ca="1">IF(AND(((COLUMN()-10)&lt;=playercnt),((ROW()-41)&lt;=playercnt)),SUMPRODUCT(INDIRECT(ADDRESS(3,ROW()-31,1)):INDIRECT(ADDRESS(22,ROW()-31,1)),AW$3:AW$22),"")</f>
        <v>5</v>
      </c>
      <c r="AX42">
        <f ca="1">IF(AND(((COLUMN()-10)&lt;=playercnt),((ROW()-41)&lt;=playercnt)),SUMPRODUCT(INDIRECT(ADDRESS(3,ROW()-31,1)):INDIRECT(ADDRESS(22,ROW()-31,1)),AX$3:AX$22),"")</f>
        <v>8</v>
      </c>
      <c r="AY42">
        <f ca="1">IF(AND(((COLUMN()-10)&lt;=playercnt),((ROW()-41)&lt;=playercnt)),SUMPRODUCT(INDIRECT(ADDRESS(3,ROW()-31,1)):INDIRECT(ADDRESS(22,ROW()-31,1)),AY$3:AY$22),"")</f>
        <v>7</v>
      </c>
      <c r="AZ42">
        <f ca="1">IF(AND(((COLUMN()-10)&lt;=playercnt),((ROW()-41)&lt;=playercnt)),SUMPRODUCT(INDIRECT(ADDRESS(3,ROW()-31,1)):INDIRECT(ADDRESS(22,ROW()-31,1)),AZ$3:AZ$22),"")</f>
        <v>6</v>
      </c>
      <c r="BA42">
        <f ca="1">IF(AND(((COLUMN()-10)&lt;=playercnt),((ROW()-41)&lt;=playercnt)),SUMPRODUCT(INDIRECT(ADDRESS(3,ROW()-31,1)):INDIRECT(ADDRESS(22,ROW()-31,1)),BA$3:BA$22),"")</f>
        <v>4</v>
      </c>
      <c r="BB42">
        <f ca="1">IF(AND(((COLUMN()-10)&lt;=playercnt),((ROW()-41)&lt;=playercnt)),SUMPRODUCT(INDIRECT(ADDRESS(3,ROW()-31,1)):INDIRECT(ADDRESS(22,ROW()-31,1)),BB$3:BB$22),"")</f>
        <v>6</v>
      </c>
      <c r="BC42">
        <f ca="1">IF(AND(((COLUMN()-10)&lt;=playercnt),((ROW()-41)&lt;=playercnt)),SUMPRODUCT(INDIRECT(ADDRESS(3,ROW()-31,1)):INDIRECT(ADDRESS(22,ROW()-31,1)),BC$3:BC$22),"")</f>
        <v>6</v>
      </c>
      <c r="BD42">
        <f ca="1">IF(AND(((COLUMN()-10)&lt;=playercnt),((ROW()-41)&lt;=playercnt)),SUMPRODUCT(INDIRECT(ADDRESS(3,ROW()-31,1)):INDIRECT(ADDRESS(22,ROW()-31,1)),BD$3:BD$22),"")</f>
        <v>2</v>
      </c>
      <c r="BE42">
        <f ca="1">IF(AND(((COLUMN()-10)&lt;=playercnt),((ROW()-41)&lt;=playercnt)),SUMPRODUCT(INDIRECT(ADDRESS(3,ROW()-31,1)):INDIRECT(ADDRESS(22,ROW()-31,1)),BE$3:BE$22),"")</f>
        <v>5</v>
      </c>
      <c r="BF42">
        <f ca="1">IF(AND(((COLUMN()-10)&lt;=playercnt),((ROW()-41)&lt;=playercnt)),SUMPRODUCT(INDIRECT(ADDRESS(3,ROW()-31,1)):INDIRECT(ADDRESS(22,ROW()-31,1)),BF$3:BF$22),"")</f>
        <v>5</v>
      </c>
      <c r="BG42">
        <f ca="1">IF(AND(((COLUMN()-10)&lt;=playercnt),((ROW()-41)&lt;=playercnt)),SUMPRODUCT(INDIRECT(ADDRESS(3,ROW()-31,1)):INDIRECT(ADDRESS(22,ROW()-31,1)),BG$3:BG$22),"")</f>
        <v>5</v>
      </c>
      <c r="BH42">
        <f ca="1">IF(AND(((COLUMN()-10)&lt;=playercnt),((ROW()-41)&lt;=playercnt)),SUMPRODUCT(INDIRECT(ADDRESS(3,ROW()-31,1)):INDIRECT(ADDRESS(22,ROW()-31,1)),BH$3:BH$22),"")</f>
        <v>7</v>
      </c>
      <c r="BI42">
        <f ca="1">IF(AND(((COLUMN()-10)&lt;=playercnt),((ROW()-41)&lt;=playercnt)),SUMPRODUCT(INDIRECT(ADDRESS(3,ROW()-31,1)):INDIRECT(ADDRESS(22,ROW()-31,1)),BI$3:BI$22),"")</f>
        <v>7</v>
      </c>
      <c r="BJ42">
        <f ca="1">IF(AND(((COLUMN()-10)&lt;=playercnt),((ROW()-41)&lt;=playercnt)),SUMPRODUCT(INDIRECT(ADDRESS(3,ROW()-31,1)):INDIRECT(ADDRESS(22,ROW()-31,1)),BJ$3:BJ$22),"")</f>
        <v>5</v>
      </c>
      <c r="BK42">
        <f ca="1">IF(AND(((COLUMN()-10)&lt;=playercnt),((ROW()-41)&lt;=playercnt)),SUMPRODUCT(INDIRECT(ADDRESS(3,ROW()-31,1)):INDIRECT(ADDRESS(22,ROW()-31,1)),BK$3:BK$22),"")</f>
        <v>7</v>
      </c>
      <c r="BL42">
        <f ca="1">IF(AND(((COLUMN()-10)&lt;=playercnt),((ROW()-41)&lt;=playercnt)),SUMPRODUCT(INDIRECT(ADDRESS(3,ROW()-31,1)):INDIRECT(ADDRESS(22,ROW()-31,1)),BL$3:BL$22),"")</f>
        <v>6</v>
      </c>
      <c r="BM42">
        <f ca="1">IF(AND(((COLUMN()-10)&lt;=playercnt),((ROW()-41)&lt;=playercnt)),SUMPRODUCT(INDIRECT(ADDRESS(3,ROW()-31,1)):INDIRECT(ADDRESS(22,ROW()-31,1)),BM$3:BM$22),"")</f>
        <v>7</v>
      </c>
      <c r="BN42">
        <f ca="1">IF(AND(((COLUMN()-10)&lt;=playercnt),((ROW()-41)&lt;=playercnt)),SUMPRODUCT(INDIRECT(ADDRESS(3,ROW()-31,1)):INDIRECT(ADDRESS(22,ROW()-31,1)),BN$3:BN$22),"")</f>
        <v>8</v>
      </c>
    </row>
    <row r="43" spans="1:66" x14ac:dyDescent="0.2">
      <c r="A43" s="22">
        <f ca="1">MIN(INDIRECT("R[-1]C2:R["&amp;playercnt-2&amp;"]C2",FALSE))</f>
        <v>4.5094339622641506</v>
      </c>
      <c r="B43" s="27">
        <f t="shared" ca="1" si="23"/>
        <v>6.5471698113207548</v>
      </c>
      <c r="C43" t="str">
        <f t="shared" ca="1" si="22"/>
        <v>Barker, Christopher A</v>
      </c>
      <c r="G43">
        <f ca="1">IF(AND(((COLUMN()-10)&lt;=playercnt),((ROW()-41)&lt;=playercnt)),SUMPRODUCT(INDIRECT(ADDRESS(3,ROW()-31,1)):INDIRECT(ADDRESS(22,ROW()-31,1)),G$3:G$22),"")</f>
        <v>4</v>
      </c>
      <c r="H43">
        <f ca="1">IF(AND(((COLUMN()-10)&lt;=playercnt),((ROW()-41)&lt;=playercnt)),SUMPRODUCT(INDIRECT(ADDRESS(3,ROW()-31,1)):INDIRECT(ADDRESS(22,ROW()-31,1)),H$3:H$22),"")</f>
        <v>9</v>
      </c>
      <c r="I43">
        <f ca="1">IF(AND(((COLUMN()-10)&lt;=playercnt),((ROW()-41)&lt;=playercnt)),SUMPRODUCT(INDIRECT(ADDRESS(3,ROW()-31,1)):INDIRECT(ADDRESS(22,ROW()-31,1)),I$3:I$22),"")</f>
        <v>8.5</v>
      </c>
      <c r="J43">
        <f ca="1">IF(AND(((COLUMN()-10)&lt;=playercnt),((ROW()-41)&lt;=playercnt)),SUMPRODUCT(INDIRECT(ADDRESS(3,ROW()-31,1)):INDIRECT(ADDRESS(22,ROW()-31,1)),J$3:J$22),"")</f>
        <v>0</v>
      </c>
      <c r="K43">
        <f ca="1">IF(AND(((COLUMN()-10)&lt;=playercnt),((ROW()-41)&lt;=playercnt)),SUMPRODUCT(INDIRECT(ADDRESS(3,ROW()-31,1)):INDIRECT(ADDRESS(22,ROW()-31,1)),K$3:K$22),"")</f>
        <v>7</v>
      </c>
      <c r="L43">
        <f ca="1">IF(AND(((COLUMN()-10)&lt;=playercnt),((ROW()-41)&lt;=playercnt)),SUMPRODUCT(INDIRECT(ADDRESS(3,ROW()-31,1)):INDIRECT(ADDRESS(22,ROW()-31,1)),L$3:L$22),"")</f>
        <v>10</v>
      </c>
      <c r="M43">
        <f ca="1">IF(AND(((COLUMN()-10)&lt;=playercnt),((ROW()-41)&lt;=playercnt)),SUMPRODUCT(INDIRECT(ADDRESS(3,ROW()-31,1)):INDIRECT(ADDRESS(22,ROW()-31,1)),M$3:M$22),"")</f>
        <v>5</v>
      </c>
      <c r="N43">
        <f ca="1">IF(AND(((COLUMN()-10)&lt;=playercnt),((ROW()-41)&lt;=playercnt)),SUMPRODUCT(INDIRECT(ADDRESS(3,ROW()-31,1)):INDIRECT(ADDRESS(22,ROW()-31,1)),N$3:N$22),"")</f>
        <v>8</v>
      </c>
      <c r="O43">
        <f ca="1">IF(AND(((COLUMN()-10)&lt;=playercnt),((ROW()-41)&lt;=playercnt)),SUMPRODUCT(INDIRECT(ADDRESS(3,ROW()-31,1)):INDIRECT(ADDRESS(22,ROW()-31,1)),O$3:O$22),"")</f>
        <v>6</v>
      </c>
      <c r="P43">
        <f ca="1">IF(AND(((COLUMN()-10)&lt;=playercnt),((ROW()-41)&lt;=playercnt)),SUMPRODUCT(INDIRECT(ADDRESS(3,ROW()-31,1)):INDIRECT(ADDRESS(22,ROW()-31,1)),P$3:P$22),"")</f>
        <v>5</v>
      </c>
      <c r="Q43">
        <f ca="1">IF(AND(((COLUMN()-10)&lt;=playercnt),((ROW()-41)&lt;=playercnt)),SUMPRODUCT(INDIRECT(ADDRESS(3,ROW()-31,1)):INDIRECT(ADDRESS(22,ROW()-31,1)),Q$3:Q$22),"")</f>
        <v>6</v>
      </c>
      <c r="R43">
        <f ca="1">IF(AND(((COLUMN()-10)&lt;=playercnt),((ROW()-41)&lt;=playercnt)),SUMPRODUCT(INDIRECT(ADDRESS(3,ROW()-31,1)):INDIRECT(ADDRESS(22,ROW()-31,1)),R$3:R$22),"")</f>
        <v>6</v>
      </c>
      <c r="S43">
        <f ca="1">IF(AND(((COLUMN()-10)&lt;=playercnt),((ROW()-41)&lt;=playercnt)),SUMPRODUCT(INDIRECT(ADDRESS(3,ROW()-31,1)):INDIRECT(ADDRESS(22,ROW()-31,1)),S$3:S$22),"")</f>
        <v>8</v>
      </c>
      <c r="T43">
        <f ca="1">IF(AND(((COLUMN()-10)&lt;=playercnt),((ROW()-41)&lt;=playercnt)),SUMPRODUCT(INDIRECT(ADDRESS(3,ROW()-31,1)):INDIRECT(ADDRESS(22,ROW()-31,1)),T$3:T$22),"")</f>
        <v>5</v>
      </c>
      <c r="U43">
        <f ca="1">IF(AND(((COLUMN()-10)&lt;=playercnt),((ROW()-41)&lt;=playercnt)),SUMPRODUCT(INDIRECT(ADDRESS(3,ROW()-31,1)):INDIRECT(ADDRESS(22,ROW()-31,1)),U$3:U$22),"")</f>
        <v>10</v>
      </c>
      <c r="V43">
        <f ca="1">IF(AND(((COLUMN()-10)&lt;=playercnt),((ROW()-41)&lt;=playercnt)),SUMPRODUCT(INDIRECT(ADDRESS(3,ROW()-31,1)):INDIRECT(ADDRESS(22,ROW()-31,1)),V$3:V$22),"")</f>
        <v>4</v>
      </c>
      <c r="W43">
        <f ca="1">IF(AND(((COLUMN()-10)&lt;=playercnt),((ROW()-41)&lt;=playercnt)),SUMPRODUCT(INDIRECT(ADDRESS(3,ROW()-31,1)):INDIRECT(ADDRESS(22,ROW()-31,1)),W$3:W$22),"")</f>
        <v>6</v>
      </c>
      <c r="X43">
        <f ca="1">IF(AND(((COLUMN()-10)&lt;=playercnt),((ROW()-41)&lt;=playercnt)),SUMPRODUCT(INDIRECT(ADDRESS(3,ROW()-31,1)):INDIRECT(ADDRESS(22,ROW()-31,1)),X$3:X$22),"")</f>
        <v>5</v>
      </c>
      <c r="Y43">
        <f ca="1">IF(AND(((COLUMN()-10)&lt;=playercnt),((ROW()-41)&lt;=playercnt)),SUMPRODUCT(INDIRECT(ADDRESS(3,ROW()-31,1)):INDIRECT(ADDRESS(22,ROW()-31,1)),Y$3:Y$22),"")</f>
        <v>8</v>
      </c>
      <c r="Z43">
        <f ca="1">IF(AND(((COLUMN()-10)&lt;=playercnt),((ROW()-41)&lt;=playercnt)),SUMPRODUCT(INDIRECT(ADDRESS(3,ROW()-31,1)):INDIRECT(ADDRESS(22,ROW()-31,1)),Z$3:Z$22),"")</f>
        <v>5</v>
      </c>
      <c r="AA43">
        <f ca="1">IF(AND(((COLUMN()-10)&lt;=playercnt),((ROW()-41)&lt;=playercnt)),SUMPRODUCT(INDIRECT(ADDRESS(3,ROW()-31,1)):INDIRECT(ADDRESS(22,ROW()-31,1)),AA$3:AA$22),"")</f>
        <v>4</v>
      </c>
      <c r="AB43">
        <f ca="1">IF(AND(((COLUMN()-10)&lt;=playercnt),((ROW()-41)&lt;=playercnt)),SUMPRODUCT(INDIRECT(ADDRESS(3,ROW()-31,1)):INDIRECT(ADDRESS(22,ROW()-31,1)),AB$3:AB$22),"")</f>
        <v>5</v>
      </c>
      <c r="AC43">
        <f ca="1">IF(AND(((COLUMN()-10)&lt;=playercnt),((ROW()-41)&lt;=playercnt)),SUMPRODUCT(INDIRECT(ADDRESS(3,ROW()-31,1)):INDIRECT(ADDRESS(22,ROW()-31,1)),AC$3:AC$22),"")</f>
        <v>8</v>
      </c>
      <c r="AD43">
        <f ca="1">IF(AND(((COLUMN()-10)&lt;=playercnt),((ROW()-41)&lt;=playercnt)),SUMPRODUCT(INDIRECT(ADDRESS(3,ROW()-31,1)):INDIRECT(ADDRESS(22,ROW()-31,1)),AD$3:AD$22),"")</f>
        <v>6</v>
      </c>
      <c r="AE43">
        <f ca="1">IF(AND(((COLUMN()-10)&lt;=playercnt),((ROW()-41)&lt;=playercnt)),SUMPRODUCT(INDIRECT(ADDRESS(3,ROW()-31,1)):INDIRECT(ADDRESS(22,ROW()-31,1)),AE$3:AE$22),"")</f>
        <v>8</v>
      </c>
      <c r="AF43">
        <f ca="1">IF(AND(((COLUMN()-10)&lt;=playercnt),((ROW()-41)&lt;=playercnt)),SUMPRODUCT(INDIRECT(ADDRESS(3,ROW()-31,1)):INDIRECT(ADDRESS(22,ROW()-31,1)),AF$3:AF$22),"")</f>
        <v>5</v>
      </c>
      <c r="AG43">
        <f ca="1">IF(AND(((COLUMN()-10)&lt;=playercnt),((ROW()-41)&lt;=playercnt)),SUMPRODUCT(INDIRECT(ADDRESS(3,ROW()-31,1)):INDIRECT(ADDRESS(22,ROW()-31,1)),AG$3:AG$22),"")</f>
        <v>7</v>
      </c>
      <c r="AH43">
        <f ca="1">IF(AND(((COLUMN()-10)&lt;=playercnt),((ROW()-41)&lt;=playercnt)),SUMPRODUCT(INDIRECT(ADDRESS(3,ROW()-31,1)):INDIRECT(ADDRESS(22,ROW()-31,1)),AH$3:AH$22),"")</f>
        <v>8</v>
      </c>
      <c r="AI43">
        <f ca="1">IF(AND(((COLUMN()-10)&lt;=playercnt),((ROW()-41)&lt;=playercnt)),SUMPRODUCT(INDIRECT(ADDRESS(3,ROW()-31,1)):INDIRECT(ADDRESS(22,ROW()-31,1)),AI$3:AI$22),"")</f>
        <v>4</v>
      </c>
      <c r="AJ43">
        <f ca="1">IF(AND(((COLUMN()-10)&lt;=playercnt),((ROW()-41)&lt;=playercnt)),SUMPRODUCT(INDIRECT(ADDRESS(3,ROW()-31,1)):INDIRECT(ADDRESS(22,ROW()-31,1)),AJ$3:AJ$22),"")</f>
        <v>6</v>
      </c>
      <c r="AK43">
        <f ca="1">IF(AND(((COLUMN()-10)&lt;=playercnt),((ROW()-41)&lt;=playercnt)),SUMPRODUCT(INDIRECT(ADDRESS(3,ROW()-31,1)):INDIRECT(ADDRESS(22,ROW()-31,1)),AK$3:AK$22),"")</f>
        <v>0</v>
      </c>
      <c r="AL43">
        <f ca="1">IF(AND(((COLUMN()-10)&lt;=playercnt),((ROW()-41)&lt;=playercnt)),SUMPRODUCT(INDIRECT(ADDRESS(3,ROW()-31,1)):INDIRECT(ADDRESS(22,ROW()-31,1)),AL$3:AL$22),"")</f>
        <v>7</v>
      </c>
      <c r="AM43">
        <f ca="1">IF(AND(((COLUMN()-10)&lt;=playercnt),((ROW()-41)&lt;=playercnt)),SUMPRODUCT(INDIRECT(ADDRESS(3,ROW()-31,1)):INDIRECT(ADDRESS(22,ROW()-31,1)),AM$3:AM$22),"")</f>
        <v>8</v>
      </c>
      <c r="AN43">
        <f ca="1">IF(AND(((COLUMN()-10)&lt;=playercnt),((ROW()-41)&lt;=playercnt)),SUMPRODUCT(INDIRECT(ADDRESS(3,ROW()-31,1)):INDIRECT(ADDRESS(22,ROW()-31,1)),AN$3:AN$22),"")</f>
        <v>10</v>
      </c>
      <c r="AO43">
        <f ca="1">IF(AND(((COLUMN()-10)&lt;=playercnt),((ROW()-41)&lt;=playercnt)),SUMPRODUCT(INDIRECT(ADDRESS(3,ROW()-31,1)):INDIRECT(ADDRESS(22,ROW()-31,1)),AO$3:AO$22),"")</f>
        <v>4</v>
      </c>
      <c r="AP43">
        <f ca="1">IF(AND(((COLUMN()-10)&lt;=playercnt),((ROW()-41)&lt;=playercnt)),SUMPRODUCT(INDIRECT(ADDRESS(3,ROW()-31,1)):INDIRECT(ADDRESS(22,ROW()-31,1)),AP$3:AP$22),"")</f>
        <v>0</v>
      </c>
      <c r="AQ43">
        <f ca="1">IF(AND(((COLUMN()-10)&lt;=playercnt),((ROW()-41)&lt;=playercnt)),SUMPRODUCT(INDIRECT(ADDRESS(3,ROW()-31,1)):INDIRECT(ADDRESS(22,ROW()-31,1)),AQ$3:AQ$22),"")</f>
        <v>6</v>
      </c>
      <c r="AR43">
        <f ca="1">IF(AND(((COLUMN()-10)&lt;=playercnt),((ROW()-41)&lt;=playercnt)),SUMPRODUCT(INDIRECT(ADDRESS(3,ROW()-31,1)):INDIRECT(ADDRESS(22,ROW()-31,1)),AR$3:AR$22),"")</f>
        <v>5</v>
      </c>
      <c r="AS43">
        <f ca="1">IF(AND(((COLUMN()-10)&lt;=playercnt),((ROW()-41)&lt;=playercnt)),SUMPRODUCT(INDIRECT(ADDRESS(3,ROW()-31,1)):INDIRECT(ADDRESS(22,ROW()-31,1)),AS$3:AS$22),"")</f>
        <v>8</v>
      </c>
      <c r="AT43">
        <f ca="1">IF(AND(((COLUMN()-10)&lt;=playercnt),((ROW()-41)&lt;=playercnt)),SUMPRODUCT(INDIRECT(ADDRESS(3,ROW()-31,1)):INDIRECT(ADDRESS(22,ROW()-31,1)),AT$3:AT$22),"")</f>
        <v>6</v>
      </c>
      <c r="AU43">
        <f ca="1">IF(AND(((COLUMN()-10)&lt;=playercnt),((ROW()-41)&lt;=playercnt)),SUMPRODUCT(INDIRECT(ADDRESS(3,ROW()-31,1)):INDIRECT(ADDRESS(22,ROW()-31,1)),AU$3:AU$22),"")</f>
        <v>6</v>
      </c>
      <c r="AV43">
        <f ca="1">IF(AND(((COLUMN()-10)&lt;=playercnt),((ROW()-41)&lt;=playercnt)),SUMPRODUCT(INDIRECT(ADDRESS(3,ROW()-31,1)):INDIRECT(ADDRESS(22,ROW()-31,1)),AV$3:AV$22),"")</f>
        <v>10</v>
      </c>
      <c r="AW43">
        <f ca="1">IF(AND(((COLUMN()-10)&lt;=playercnt),((ROW()-41)&lt;=playercnt)),SUMPRODUCT(INDIRECT(ADDRESS(3,ROW()-31,1)):INDIRECT(ADDRESS(22,ROW()-31,1)),AW$3:AW$22),"")</f>
        <v>8</v>
      </c>
      <c r="AX43">
        <f ca="1">IF(AND(((COLUMN()-10)&lt;=playercnt),((ROW()-41)&lt;=playercnt)),SUMPRODUCT(INDIRECT(ADDRESS(3,ROW()-31,1)):INDIRECT(ADDRESS(22,ROW()-31,1)),AX$3:AX$22),"")</f>
        <v>7</v>
      </c>
      <c r="AY43">
        <f ca="1">IF(AND(((COLUMN()-10)&lt;=playercnt),((ROW()-41)&lt;=playercnt)),SUMPRODUCT(INDIRECT(ADDRESS(3,ROW()-31,1)):INDIRECT(ADDRESS(22,ROW()-31,1)),AY$3:AY$22),"")</f>
        <v>6</v>
      </c>
      <c r="AZ43">
        <f ca="1">IF(AND(((COLUMN()-10)&lt;=playercnt),((ROW()-41)&lt;=playercnt)),SUMPRODUCT(INDIRECT(ADDRESS(3,ROW()-31,1)):INDIRECT(ADDRESS(22,ROW()-31,1)),AZ$3:AZ$22),"")</f>
        <v>7</v>
      </c>
      <c r="BA43">
        <f ca="1">IF(AND(((COLUMN()-10)&lt;=playercnt),((ROW()-41)&lt;=playercnt)),SUMPRODUCT(INDIRECT(ADDRESS(3,ROW()-31,1)):INDIRECT(ADDRESS(22,ROW()-31,1)),BA$3:BA$22),"")</f>
        <v>7</v>
      </c>
      <c r="BB43">
        <f ca="1">IF(AND(((COLUMN()-10)&lt;=playercnt),((ROW()-41)&lt;=playercnt)),SUMPRODUCT(INDIRECT(ADDRESS(3,ROW()-31,1)):INDIRECT(ADDRESS(22,ROW()-31,1)),BB$3:BB$22),"")</f>
        <v>9</v>
      </c>
      <c r="BC43">
        <f ca="1">IF(AND(((COLUMN()-10)&lt;=playercnt),((ROW()-41)&lt;=playercnt)),SUMPRODUCT(INDIRECT(ADDRESS(3,ROW()-31,1)):INDIRECT(ADDRESS(22,ROW()-31,1)),BC$3:BC$22),"")</f>
        <v>7</v>
      </c>
      <c r="BD43">
        <f ca="1">IF(AND(((COLUMN()-10)&lt;=playercnt),((ROW()-41)&lt;=playercnt)),SUMPRODUCT(INDIRECT(ADDRESS(3,ROW()-31,1)):INDIRECT(ADDRESS(22,ROW()-31,1)),BD$3:BD$22),"")</f>
        <v>3</v>
      </c>
      <c r="BE43">
        <f ca="1">IF(AND(((COLUMN()-10)&lt;=playercnt),((ROW()-41)&lt;=playercnt)),SUMPRODUCT(INDIRECT(ADDRESS(3,ROW()-31,1)):INDIRECT(ADDRESS(22,ROW()-31,1)),BE$3:BE$22),"")</f>
        <v>6</v>
      </c>
      <c r="BF43">
        <f ca="1">IF(AND(((COLUMN()-10)&lt;=playercnt),((ROW()-41)&lt;=playercnt)),SUMPRODUCT(INDIRECT(ADDRESS(3,ROW()-31,1)):INDIRECT(ADDRESS(22,ROW()-31,1)),BF$3:BF$22),"")</f>
        <v>6</v>
      </c>
      <c r="BG43">
        <f ca="1">IF(AND(((COLUMN()-10)&lt;=playercnt),((ROW()-41)&lt;=playercnt)),SUMPRODUCT(INDIRECT(ADDRESS(3,ROW()-31,1)):INDIRECT(ADDRESS(22,ROW()-31,1)),BG$3:BG$22),"")</f>
        <v>6</v>
      </c>
      <c r="BH43">
        <f ca="1">IF(AND(((COLUMN()-10)&lt;=playercnt),((ROW()-41)&lt;=playercnt)),SUMPRODUCT(INDIRECT(ADDRESS(3,ROW()-31,1)):INDIRECT(ADDRESS(22,ROW()-31,1)),BH$3:BH$22),"")</f>
        <v>6</v>
      </c>
      <c r="BI43">
        <f ca="1">IF(AND(((COLUMN()-10)&lt;=playercnt),((ROW()-41)&lt;=playercnt)),SUMPRODUCT(INDIRECT(ADDRESS(3,ROW()-31,1)):INDIRECT(ADDRESS(22,ROW()-31,1)),BI$3:BI$22),"")</f>
        <v>10</v>
      </c>
      <c r="BJ43">
        <f ca="1">IF(AND(((COLUMN()-10)&lt;=playercnt),((ROW()-41)&lt;=playercnt)),SUMPRODUCT(INDIRECT(ADDRESS(3,ROW()-31,1)):INDIRECT(ADDRESS(22,ROW()-31,1)),BJ$3:BJ$22),"")</f>
        <v>6</v>
      </c>
      <c r="BK43">
        <f ca="1">IF(AND(((COLUMN()-10)&lt;=playercnt),((ROW()-41)&lt;=playercnt)),SUMPRODUCT(INDIRECT(ADDRESS(3,ROW()-31,1)):INDIRECT(ADDRESS(22,ROW()-31,1)),BK$3:BK$22),"")</f>
        <v>6</v>
      </c>
      <c r="BL43">
        <f ca="1">IF(AND(((COLUMN()-10)&lt;=playercnt),((ROW()-41)&lt;=playercnt)),SUMPRODUCT(INDIRECT(ADDRESS(3,ROW()-31,1)):INDIRECT(ADDRESS(22,ROW()-31,1)),BL$3:BL$22),"")</f>
        <v>7</v>
      </c>
      <c r="BM43">
        <f ca="1">IF(AND(((COLUMN()-10)&lt;=playercnt),((ROW()-41)&lt;=playercnt)),SUMPRODUCT(INDIRECT(ADDRESS(3,ROW()-31,1)):INDIRECT(ADDRESS(22,ROW()-31,1)),BM$3:BM$22),"")</f>
        <v>8</v>
      </c>
      <c r="BN43">
        <f ca="1">IF(AND(((COLUMN()-10)&lt;=playercnt),((ROW()-41)&lt;=playercnt)),SUMPRODUCT(INDIRECT(ADDRESS(3,ROW()-31,1)):INDIRECT(ADDRESS(22,ROW()-31,1)),BN$3:BN$22),"")</f>
        <v>7</v>
      </c>
    </row>
    <row r="44" spans="1:66" s="3" customFormat="1" x14ac:dyDescent="0.2">
      <c r="A44" s="3">
        <f ca="1">(A42-A43)*0.1</f>
        <v>0.20377358490566044</v>
      </c>
      <c r="B44" s="109">
        <f t="shared" ca="1" si="23"/>
        <v>5.9811320754716979</v>
      </c>
      <c r="C44" s="3" t="str">
        <f t="shared" ca="1" si="22"/>
        <v>Beasley, Tate</v>
      </c>
      <c r="G44" s="3">
        <f ca="1">IF(AND(((COLUMN()-10)&lt;=playercnt),((ROW()-41)&lt;=playercnt)),SUMPRODUCT(INDIRECT(ADDRESS(3,ROW()-31,1)):INDIRECT(ADDRESS(22,ROW()-31,1)),G$3:G$22),"")</f>
        <v>1</v>
      </c>
      <c r="H44" s="3">
        <f ca="1">IF(AND(((COLUMN()-10)&lt;=playercnt),((ROW()-41)&lt;=playercnt)),SUMPRODUCT(INDIRECT(ADDRESS(3,ROW()-31,1)):INDIRECT(ADDRESS(22,ROW()-31,1)),H$3:H$22),"")</f>
        <v>4</v>
      </c>
      <c r="I44" s="3">
        <f ca="1">IF(AND(((COLUMN()-10)&lt;=playercnt),((ROW()-41)&lt;=playercnt)),SUMPRODUCT(INDIRECT(ADDRESS(3,ROW()-31,1)):INDIRECT(ADDRESS(22,ROW()-31,1)),I$3:I$22),"")</f>
        <v>6.5</v>
      </c>
      <c r="J44" s="3">
        <f ca="1">IF(AND(((COLUMN()-10)&lt;=playercnt),((ROW()-41)&lt;=playercnt)),SUMPRODUCT(INDIRECT(ADDRESS(3,ROW()-31,1)):INDIRECT(ADDRESS(22,ROW()-31,1)),J$3:J$22),"")</f>
        <v>0</v>
      </c>
      <c r="K44" s="3">
        <f ca="1">IF(AND(((COLUMN()-10)&lt;=playercnt),((ROW()-41)&lt;=playercnt)),SUMPRODUCT(INDIRECT(ADDRESS(3,ROW()-31,1)):INDIRECT(ADDRESS(22,ROW()-31,1)),K$3:K$22),"")</f>
        <v>6</v>
      </c>
      <c r="L44" s="3">
        <f ca="1">IF(AND(((COLUMN()-10)&lt;=playercnt),((ROW()-41)&lt;=playercnt)),SUMPRODUCT(INDIRECT(ADDRESS(3,ROW()-31,1)):INDIRECT(ADDRESS(22,ROW()-31,1)),L$3:L$22),"")</f>
        <v>5</v>
      </c>
      <c r="M44" s="3">
        <f ca="1">IF(AND(((COLUMN()-10)&lt;=playercnt),((ROW()-41)&lt;=playercnt)),SUMPRODUCT(INDIRECT(ADDRESS(3,ROW()-31,1)):INDIRECT(ADDRESS(22,ROW()-31,1)),M$3:M$22),"")</f>
        <v>10</v>
      </c>
      <c r="N44" s="3">
        <f ca="1">IF(AND(((COLUMN()-10)&lt;=playercnt),((ROW()-41)&lt;=playercnt)),SUMPRODUCT(INDIRECT(ADDRESS(3,ROW()-31,1)):INDIRECT(ADDRESS(22,ROW()-31,1)),N$3:N$22),"")</f>
        <v>3</v>
      </c>
      <c r="O44" s="3">
        <f ca="1">IF(AND(((COLUMN()-10)&lt;=playercnt),((ROW()-41)&lt;=playercnt)),SUMPRODUCT(INDIRECT(ADDRESS(3,ROW()-31,1)):INDIRECT(ADDRESS(22,ROW()-31,1)),O$3:O$22),"")</f>
        <v>5</v>
      </c>
      <c r="P44" s="3">
        <f ca="1">IF(AND(((COLUMN()-10)&lt;=playercnt),((ROW()-41)&lt;=playercnt)),SUMPRODUCT(INDIRECT(ADDRESS(3,ROW()-31,1)):INDIRECT(ADDRESS(22,ROW()-31,1)),P$3:P$22),"")</f>
        <v>4</v>
      </c>
      <c r="Q44" s="3">
        <f ca="1">IF(AND(((COLUMN()-10)&lt;=playercnt),((ROW()-41)&lt;=playercnt)),SUMPRODUCT(INDIRECT(ADDRESS(3,ROW()-31,1)):INDIRECT(ADDRESS(22,ROW()-31,1)),Q$3:Q$22),"")</f>
        <v>7</v>
      </c>
      <c r="R44" s="3">
        <f ca="1">IF(AND(((COLUMN()-10)&lt;=playercnt),((ROW()-41)&lt;=playercnt)),SUMPRODUCT(INDIRECT(ADDRESS(3,ROW()-31,1)):INDIRECT(ADDRESS(22,ROW()-31,1)),R$3:R$22),"")</f>
        <v>3</v>
      </c>
      <c r="S44" s="3">
        <f ca="1">IF(AND(((COLUMN()-10)&lt;=playercnt),((ROW()-41)&lt;=playercnt)),SUMPRODUCT(INDIRECT(ADDRESS(3,ROW()-31,1)):INDIRECT(ADDRESS(22,ROW()-31,1)),S$3:S$22),"")</f>
        <v>7</v>
      </c>
      <c r="T44" s="3">
        <f ca="1">IF(AND(((COLUMN()-10)&lt;=playercnt),((ROW()-41)&lt;=playercnt)),SUMPRODUCT(INDIRECT(ADDRESS(3,ROW()-31,1)):INDIRECT(ADDRESS(22,ROW()-31,1)),T$3:T$22),"")</f>
        <v>6</v>
      </c>
      <c r="U44" s="3">
        <f ca="1">IF(AND(((COLUMN()-10)&lt;=playercnt),((ROW()-41)&lt;=playercnt)),SUMPRODUCT(INDIRECT(ADDRESS(3,ROW()-31,1)):INDIRECT(ADDRESS(22,ROW()-31,1)),U$3:U$22),"")</f>
        <v>5</v>
      </c>
      <c r="V44" s="3">
        <f ca="1">IF(AND(((COLUMN()-10)&lt;=playercnt),((ROW()-41)&lt;=playercnt)),SUMPRODUCT(INDIRECT(ADDRESS(3,ROW()-31,1)):INDIRECT(ADDRESS(22,ROW()-31,1)),V$3:V$22),"")</f>
        <v>7</v>
      </c>
      <c r="W44" s="3">
        <f ca="1">IF(AND(((COLUMN()-10)&lt;=playercnt),((ROW()-41)&lt;=playercnt)),SUMPRODUCT(INDIRECT(ADDRESS(3,ROW()-31,1)):INDIRECT(ADDRESS(22,ROW()-31,1)),W$3:W$22),"")</f>
        <v>7</v>
      </c>
      <c r="X44" s="3">
        <f ca="1">IF(AND(((COLUMN()-10)&lt;=playercnt),((ROW()-41)&lt;=playercnt)),SUMPRODUCT(INDIRECT(ADDRESS(3,ROW()-31,1)):INDIRECT(ADDRESS(22,ROW()-31,1)),X$3:X$22),"")</f>
        <v>8</v>
      </c>
      <c r="Y44" s="3">
        <f ca="1">IF(AND(((COLUMN()-10)&lt;=playercnt),((ROW()-41)&lt;=playercnt)),SUMPRODUCT(INDIRECT(ADDRESS(3,ROW()-31,1)):INDIRECT(ADDRESS(22,ROW()-31,1)),Y$3:Y$22),"")</f>
        <v>3</v>
      </c>
      <c r="Z44" s="3">
        <f ca="1">IF(AND(((COLUMN()-10)&lt;=playercnt),((ROW()-41)&lt;=playercnt)),SUMPRODUCT(INDIRECT(ADDRESS(3,ROW()-31,1)):INDIRECT(ADDRESS(22,ROW()-31,1)),Z$3:Z$22),"")</f>
        <v>8</v>
      </c>
      <c r="AA44" s="3">
        <f ca="1">IF(AND(((COLUMN()-10)&lt;=playercnt),((ROW()-41)&lt;=playercnt)),SUMPRODUCT(INDIRECT(ADDRESS(3,ROW()-31,1)):INDIRECT(ADDRESS(22,ROW()-31,1)),AA$3:AA$22),"")</f>
        <v>9</v>
      </c>
      <c r="AB44" s="3">
        <f ca="1">IF(AND(((COLUMN()-10)&lt;=playercnt),((ROW()-41)&lt;=playercnt)),SUMPRODUCT(INDIRECT(ADDRESS(3,ROW()-31,1)):INDIRECT(ADDRESS(22,ROW()-31,1)),AB$3:AB$22),"")</f>
        <v>4</v>
      </c>
      <c r="AC44" s="3">
        <f ca="1">IF(AND(((COLUMN()-10)&lt;=playercnt),((ROW()-41)&lt;=playercnt)),SUMPRODUCT(INDIRECT(ADDRESS(3,ROW()-31,1)):INDIRECT(ADDRESS(22,ROW()-31,1)),AC$3:AC$22),"")</f>
        <v>5</v>
      </c>
      <c r="AD44" s="3">
        <f ca="1">IF(AND(((COLUMN()-10)&lt;=playercnt),((ROW()-41)&lt;=playercnt)),SUMPRODUCT(INDIRECT(ADDRESS(3,ROW()-31,1)):INDIRECT(ADDRESS(22,ROW()-31,1)),AD$3:AD$22),"")</f>
        <v>5</v>
      </c>
      <c r="AE44" s="3">
        <f ca="1">IF(AND(((COLUMN()-10)&lt;=playercnt),((ROW()-41)&lt;=playercnt)),SUMPRODUCT(INDIRECT(ADDRESS(3,ROW()-31,1)):INDIRECT(ADDRESS(22,ROW()-31,1)),AE$3:AE$22),"")</f>
        <v>7</v>
      </c>
      <c r="AF44" s="3">
        <f ca="1">IF(AND(((COLUMN()-10)&lt;=playercnt),((ROW()-41)&lt;=playercnt)),SUMPRODUCT(INDIRECT(ADDRESS(3,ROW()-31,1)):INDIRECT(ADDRESS(22,ROW()-31,1)),AF$3:AF$22),"")</f>
        <v>10</v>
      </c>
      <c r="AG44" s="3">
        <f ca="1">IF(AND(((COLUMN()-10)&lt;=playercnt),((ROW()-41)&lt;=playercnt)),SUMPRODUCT(INDIRECT(ADDRESS(3,ROW()-31,1)):INDIRECT(ADDRESS(22,ROW()-31,1)),AG$3:AG$22),"")</f>
        <v>8</v>
      </c>
      <c r="AH44" s="3">
        <f ca="1">IF(AND(((COLUMN()-10)&lt;=playercnt),((ROW()-41)&lt;=playercnt)),SUMPRODUCT(INDIRECT(ADDRESS(3,ROW()-31,1)):INDIRECT(ADDRESS(22,ROW()-31,1)),AH$3:AH$22),"")</f>
        <v>5</v>
      </c>
      <c r="AI44" s="3">
        <f ca="1">IF(AND(((COLUMN()-10)&lt;=playercnt),((ROW()-41)&lt;=playercnt)),SUMPRODUCT(INDIRECT(ADDRESS(3,ROW()-31,1)):INDIRECT(ADDRESS(22,ROW()-31,1)),AI$3:AI$22),"")</f>
        <v>7</v>
      </c>
      <c r="AJ44" s="3">
        <f ca="1">IF(AND(((COLUMN()-10)&lt;=playercnt),((ROW()-41)&lt;=playercnt)),SUMPRODUCT(INDIRECT(ADDRESS(3,ROW()-31,1)):INDIRECT(ADDRESS(22,ROW()-31,1)),AJ$3:AJ$22),"")</f>
        <v>7</v>
      </c>
      <c r="AK44" s="3">
        <f ca="1">IF(AND(((COLUMN()-10)&lt;=playercnt),((ROW()-41)&lt;=playercnt)),SUMPRODUCT(INDIRECT(ADDRESS(3,ROW()-31,1)):INDIRECT(ADDRESS(22,ROW()-31,1)),AK$3:AK$22),"")</f>
        <v>0</v>
      </c>
      <c r="AL44" s="3">
        <f ca="1">IF(AND(((COLUMN()-10)&lt;=playercnt),((ROW()-41)&lt;=playercnt)),SUMPRODUCT(INDIRECT(ADDRESS(3,ROW()-31,1)):INDIRECT(ADDRESS(22,ROW()-31,1)),AL$3:AL$22),"")</f>
        <v>4</v>
      </c>
      <c r="AM44" s="3">
        <f ca="1">IF(AND(((COLUMN()-10)&lt;=playercnt),((ROW()-41)&lt;=playercnt)),SUMPRODUCT(INDIRECT(ADDRESS(3,ROW()-31,1)):INDIRECT(ADDRESS(22,ROW()-31,1)),AM$3:AM$22),"")</f>
        <v>5</v>
      </c>
      <c r="AN44" s="3">
        <f ca="1">IF(AND(((COLUMN()-10)&lt;=playercnt),((ROW()-41)&lt;=playercnt)),SUMPRODUCT(INDIRECT(ADDRESS(3,ROW()-31,1)):INDIRECT(ADDRESS(22,ROW()-31,1)),AN$3:AN$22),"")</f>
        <v>5</v>
      </c>
      <c r="AO44" s="3">
        <f ca="1">IF(AND(((COLUMN()-10)&lt;=playercnt),((ROW()-41)&lt;=playercnt)),SUMPRODUCT(INDIRECT(ADDRESS(3,ROW()-31,1)):INDIRECT(ADDRESS(22,ROW()-31,1)),AO$3:AO$22),"")</f>
        <v>5</v>
      </c>
      <c r="AP44" s="3">
        <f ca="1">IF(AND(((COLUMN()-10)&lt;=playercnt),((ROW()-41)&lt;=playercnt)),SUMPRODUCT(INDIRECT(ADDRESS(3,ROW()-31,1)):INDIRECT(ADDRESS(22,ROW()-31,1)),AP$3:AP$22),"")</f>
        <v>0</v>
      </c>
      <c r="AQ44" s="3">
        <f ca="1">IF(AND(((COLUMN()-10)&lt;=playercnt),((ROW()-41)&lt;=playercnt)),SUMPRODUCT(INDIRECT(ADDRESS(3,ROW()-31,1)):INDIRECT(ADDRESS(22,ROW()-31,1)),AQ$3:AQ$22),"")</f>
        <v>7</v>
      </c>
      <c r="AR44" s="3">
        <f ca="1">IF(AND(((COLUMN()-10)&lt;=playercnt),((ROW()-41)&lt;=playercnt)),SUMPRODUCT(INDIRECT(ADDRESS(3,ROW()-31,1)):INDIRECT(ADDRESS(22,ROW()-31,1)),AR$3:AR$22),"")</f>
        <v>4</v>
      </c>
      <c r="AS44" s="3">
        <f ca="1">IF(AND(((COLUMN()-10)&lt;=playercnt),((ROW()-41)&lt;=playercnt)),SUMPRODUCT(INDIRECT(ADDRESS(3,ROW()-31,1)):INDIRECT(ADDRESS(22,ROW()-31,1)),AS$3:AS$22),"")</f>
        <v>7</v>
      </c>
      <c r="AT44" s="3">
        <f ca="1">IF(AND(((COLUMN()-10)&lt;=playercnt),((ROW()-41)&lt;=playercnt)),SUMPRODUCT(INDIRECT(ADDRESS(3,ROW()-31,1)):INDIRECT(ADDRESS(22,ROW()-31,1)),AT$3:AT$22),"")</f>
        <v>5</v>
      </c>
      <c r="AU44" s="3">
        <f ca="1">IF(AND(((COLUMN()-10)&lt;=playercnt),((ROW()-41)&lt;=playercnt)),SUMPRODUCT(INDIRECT(ADDRESS(3,ROW()-31,1)):INDIRECT(ADDRESS(22,ROW()-31,1)),AU$3:AU$22),"")</f>
        <v>7</v>
      </c>
      <c r="AV44" s="3">
        <f ca="1">IF(AND(((COLUMN()-10)&lt;=playercnt),((ROW()-41)&lt;=playercnt)),SUMPRODUCT(INDIRECT(ADDRESS(3,ROW()-31,1)):INDIRECT(ADDRESS(22,ROW()-31,1)),AV$3:AV$22),"")</f>
        <v>5</v>
      </c>
      <c r="AW44" s="3">
        <f ca="1">IF(AND(((COLUMN()-10)&lt;=playercnt),((ROW()-41)&lt;=playercnt)),SUMPRODUCT(INDIRECT(ADDRESS(3,ROW()-31,1)):INDIRECT(ADDRESS(22,ROW()-31,1)),AW$3:AW$22),"")</f>
        <v>7</v>
      </c>
      <c r="AX44" s="3">
        <f ca="1">IF(AND(((COLUMN()-10)&lt;=playercnt),((ROW()-41)&lt;=playercnt)),SUMPRODUCT(INDIRECT(ADDRESS(3,ROW()-31,1)):INDIRECT(ADDRESS(22,ROW()-31,1)),AX$3:AX$22),"")</f>
        <v>6</v>
      </c>
      <c r="AY44" s="3">
        <f ca="1">IF(AND(((COLUMN()-10)&lt;=playercnt),((ROW()-41)&lt;=playercnt)),SUMPRODUCT(INDIRECT(ADDRESS(3,ROW()-31,1)):INDIRECT(ADDRESS(22,ROW()-31,1)),AY$3:AY$22),"")</f>
        <v>3</v>
      </c>
      <c r="AZ44" s="3">
        <f ca="1">IF(AND(((COLUMN()-10)&lt;=playercnt),((ROW()-41)&lt;=playercnt)),SUMPRODUCT(INDIRECT(ADDRESS(3,ROW()-31,1)):INDIRECT(ADDRESS(22,ROW()-31,1)),AZ$3:AZ$22),"")</f>
        <v>8</v>
      </c>
      <c r="BA44" s="3">
        <f ca="1">IF(AND(((COLUMN()-10)&lt;=playercnt),((ROW()-41)&lt;=playercnt)),SUMPRODUCT(INDIRECT(ADDRESS(3,ROW()-31,1)):INDIRECT(ADDRESS(22,ROW()-31,1)),BA$3:BA$22),"")</f>
        <v>6</v>
      </c>
      <c r="BB44" s="3">
        <f ca="1">IF(AND(((COLUMN()-10)&lt;=playercnt),((ROW()-41)&lt;=playercnt)),SUMPRODUCT(INDIRECT(ADDRESS(3,ROW()-31,1)):INDIRECT(ADDRESS(22,ROW()-31,1)),BB$3:BB$22),"")</f>
        <v>4</v>
      </c>
      <c r="BC44" s="3">
        <f ca="1">IF(AND(((COLUMN()-10)&lt;=playercnt),((ROW()-41)&lt;=playercnt)),SUMPRODUCT(INDIRECT(ADDRESS(3,ROW()-31,1)):INDIRECT(ADDRESS(22,ROW()-31,1)),BC$3:BC$22),"")</f>
        <v>6</v>
      </c>
      <c r="BD44" s="3">
        <f ca="1">IF(AND(((COLUMN()-10)&lt;=playercnt),((ROW()-41)&lt;=playercnt)),SUMPRODUCT(INDIRECT(ADDRESS(3,ROW()-31,1)):INDIRECT(ADDRESS(22,ROW()-31,1)),BD$3:BD$22),"")</f>
        <v>6</v>
      </c>
      <c r="BE44" s="3">
        <f ca="1">IF(AND(((COLUMN()-10)&lt;=playercnt),((ROW()-41)&lt;=playercnt)),SUMPRODUCT(INDIRECT(ADDRESS(3,ROW()-31,1)):INDIRECT(ADDRESS(22,ROW()-31,1)),BE$3:BE$22),"")</f>
        <v>7</v>
      </c>
      <c r="BF44" s="3">
        <f ca="1">IF(AND(((COLUMN()-10)&lt;=playercnt),((ROW()-41)&lt;=playercnt)),SUMPRODUCT(INDIRECT(ADDRESS(3,ROW()-31,1)):INDIRECT(ADDRESS(22,ROW()-31,1)),BF$3:BF$22),"")</f>
        <v>5</v>
      </c>
      <c r="BG44" s="3">
        <f ca="1">IF(AND(((COLUMN()-10)&lt;=playercnt),((ROW()-41)&lt;=playercnt)),SUMPRODUCT(INDIRECT(ADDRESS(3,ROW()-31,1)):INDIRECT(ADDRESS(22,ROW()-31,1)),BG$3:BG$22),"")</f>
        <v>7</v>
      </c>
      <c r="BH44" s="3">
        <f ca="1">IF(AND(((COLUMN()-10)&lt;=playercnt),((ROW()-41)&lt;=playercnt)),SUMPRODUCT(INDIRECT(ADDRESS(3,ROW()-31,1)):INDIRECT(ADDRESS(22,ROW()-31,1)),BH$3:BH$22),"")</f>
        <v>7</v>
      </c>
      <c r="BI44" s="3">
        <f ca="1">IF(AND(((COLUMN()-10)&lt;=playercnt),((ROW()-41)&lt;=playercnt)),SUMPRODUCT(INDIRECT(ADDRESS(3,ROW()-31,1)):INDIRECT(ADDRESS(22,ROW()-31,1)),BI$3:BI$22),"")</f>
        <v>5</v>
      </c>
      <c r="BJ44" s="3">
        <f ca="1">IF(AND(((COLUMN()-10)&lt;=playercnt),((ROW()-41)&lt;=playercnt)),SUMPRODUCT(INDIRECT(ADDRESS(3,ROW()-31,1)):INDIRECT(ADDRESS(22,ROW()-31,1)),BJ$3:BJ$22),"")</f>
        <v>9</v>
      </c>
      <c r="BK44" s="3">
        <f ca="1">IF(AND(((COLUMN()-10)&lt;=playercnt),((ROW()-41)&lt;=playercnt)),SUMPRODUCT(INDIRECT(ADDRESS(3,ROW()-31,1)):INDIRECT(ADDRESS(22,ROW()-31,1)),BK$3:BK$22),"")</f>
        <v>7</v>
      </c>
      <c r="BL44" s="3">
        <f ca="1">IF(AND(((COLUMN()-10)&lt;=playercnt),((ROW()-41)&lt;=playercnt)),SUMPRODUCT(INDIRECT(ADDRESS(3,ROW()-31,1)):INDIRECT(ADDRESS(22,ROW()-31,1)),BL$3:BL$22),"")</f>
        <v>6</v>
      </c>
      <c r="BM44" s="3">
        <f ca="1">IF(AND(((COLUMN()-10)&lt;=playercnt),((ROW()-41)&lt;=playercnt)),SUMPRODUCT(INDIRECT(ADDRESS(3,ROW()-31,1)):INDIRECT(ADDRESS(22,ROW()-31,1)),BM$3:BM$22),"")</f>
        <v>7</v>
      </c>
      <c r="BN44" s="3">
        <f ca="1">IF(AND(((COLUMN()-10)&lt;=playercnt),((ROW()-41)&lt;=playercnt)),SUMPRODUCT(INDIRECT(ADDRESS(3,ROW()-31,1)):INDIRECT(ADDRESS(22,ROW()-31,1)),BN$3:BN$22),"")</f>
        <v>6</v>
      </c>
    </row>
    <row r="45" spans="1:66" x14ac:dyDescent="0.2">
      <c r="B45" s="27">
        <f t="shared" ca="1" si="23"/>
        <v>5.867924528301887</v>
      </c>
      <c r="C45" t="str">
        <f t="shared" ca="1" si="22"/>
        <v>Beckwith, Greg</v>
      </c>
      <c r="G45">
        <f ca="1">IF(AND(((COLUMN()-10)&lt;=playercnt),((ROW()-41)&lt;=playercnt)),SUMPRODUCT(INDIRECT(ADDRESS(3,ROW()-31,1)):INDIRECT(ADDRESS(22,ROW()-31,1)),G$3:G$22),"")</f>
        <v>6</v>
      </c>
      <c r="H45">
        <f ca="1">IF(AND(((COLUMN()-10)&lt;=playercnt),((ROW()-41)&lt;=playercnt)),SUMPRODUCT(INDIRECT(ADDRESS(3,ROW()-31,1)):INDIRECT(ADDRESS(22,ROW()-31,1)),H$3:H$22),"")</f>
        <v>9</v>
      </c>
      <c r="I45">
        <f ca="1">IF(AND(((COLUMN()-10)&lt;=playercnt),((ROW()-41)&lt;=playercnt)),SUMPRODUCT(INDIRECT(ADDRESS(3,ROW()-31,1)):INDIRECT(ADDRESS(22,ROW()-31,1)),I$3:I$22),"")</f>
        <v>6.5</v>
      </c>
      <c r="J45">
        <f ca="1">IF(AND(((COLUMN()-10)&lt;=playercnt),((ROW()-41)&lt;=playercnt)),SUMPRODUCT(INDIRECT(ADDRESS(3,ROW()-31,1)):INDIRECT(ADDRESS(22,ROW()-31,1)),J$3:J$22),"")</f>
        <v>0</v>
      </c>
      <c r="K45">
        <f ca="1">IF(AND(((COLUMN()-10)&lt;=playercnt),((ROW()-41)&lt;=playercnt)),SUMPRODUCT(INDIRECT(ADDRESS(3,ROW()-31,1)):INDIRECT(ADDRESS(22,ROW()-31,1)),K$3:K$22),"")</f>
        <v>7</v>
      </c>
      <c r="L45">
        <f ca="1">IF(AND(((COLUMN()-10)&lt;=playercnt),((ROW()-41)&lt;=playercnt)),SUMPRODUCT(INDIRECT(ADDRESS(3,ROW()-31,1)):INDIRECT(ADDRESS(22,ROW()-31,1)),L$3:L$22),"")</f>
        <v>8</v>
      </c>
      <c r="M45">
        <f ca="1">IF(AND(((COLUMN()-10)&lt;=playercnt),((ROW()-41)&lt;=playercnt)),SUMPRODUCT(INDIRECT(ADDRESS(3,ROW()-31,1)):INDIRECT(ADDRESS(22,ROW()-31,1)),M$3:M$22),"")</f>
        <v>3</v>
      </c>
      <c r="N45">
        <f ca="1">IF(AND(((COLUMN()-10)&lt;=playercnt),((ROW()-41)&lt;=playercnt)),SUMPRODUCT(INDIRECT(ADDRESS(3,ROW()-31,1)):INDIRECT(ADDRESS(22,ROW()-31,1)),N$3:N$22),"")</f>
        <v>10</v>
      </c>
      <c r="O45">
        <f ca="1">IF(AND(((COLUMN()-10)&lt;=playercnt),((ROW()-41)&lt;=playercnt)),SUMPRODUCT(INDIRECT(ADDRESS(3,ROW()-31,1)):INDIRECT(ADDRESS(22,ROW()-31,1)),O$3:O$22),"")</f>
        <v>6</v>
      </c>
      <c r="P45">
        <f ca="1">IF(AND(((COLUMN()-10)&lt;=playercnt),((ROW()-41)&lt;=playercnt)),SUMPRODUCT(INDIRECT(ADDRESS(3,ROW()-31,1)):INDIRECT(ADDRESS(22,ROW()-31,1)),P$3:P$22),"")</f>
        <v>7</v>
      </c>
      <c r="Q45">
        <f ca="1">IF(AND(((COLUMN()-10)&lt;=playercnt),((ROW()-41)&lt;=playercnt)),SUMPRODUCT(INDIRECT(ADDRESS(3,ROW()-31,1)):INDIRECT(ADDRESS(22,ROW()-31,1)),Q$3:Q$22),"")</f>
        <v>6</v>
      </c>
      <c r="R45">
        <f ca="1">IF(AND(((COLUMN()-10)&lt;=playercnt),((ROW()-41)&lt;=playercnt)),SUMPRODUCT(INDIRECT(ADDRESS(3,ROW()-31,1)):INDIRECT(ADDRESS(22,ROW()-31,1)),R$3:R$22),"")</f>
        <v>6</v>
      </c>
      <c r="S45">
        <f ca="1">IF(AND(((COLUMN()-10)&lt;=playercnt),((ROW()-41)&lt;=playercnt)),SUMPRODUCT(INDIRECT(ADDRESS(3,ROW()-31,1)):INDIRECT(ADDRESS(22,ROW()-31,1)),S$3:S$22),"")</f>
        <v>6</v>
      </c>
      <c r="T45">
        <f ca="1">IF(AND(((COLUMN()-10)&lt;=playercnt),((ROW()-41)&lt;=playercnt)),SUMPRODUCT(INDIRECT(ADDRESS(3,ROW()-31,1)):INDIRECT(ADDRESS(22,ROW()-31,1)),T$3:T$22),"")</f>
        <v>5</v>
      </c>
      <c r="U45">
        <f ca="1">IF(AND(((COLUMN()-10)&lt;=playercnt),((ROW()-41)&lt;=playercnt)),SUMPRODUCT(INDIRECT(ADDRESS(3,ROW()-31,1)):INDIRECT(ADDRESS(22,ROW()-31,1)),U$3:U$22),"")</f>
        <v>8</v>
      </c>
      <c r="V45">
        <f ca="1">IF(AND(((COLUMN()-10)&lt;=playercnt),((ROW()-41)&lt;=playercnt)),SUMPRODUCT(INDIRECT(ADDRESS(3,ROW()-31,1)):INDIRECT(ADDRESS(22,ROW()-31,1)),V$3:V$22),"")</f>
        <v>4</v>
      </c>
      <c r="W45">
        <f ca="1">IF(AND(((COLUMN()-10)&lt;=playercnt),((ROW()-41)&lt;=playercnt)),SUMPRODUCT(INDIRECT(ADDRESS(3,ROW()-31,1)):INDIRECT(ADDRESS(22,ROW()-31,1)),W$3:W$22),"")</f>
        <v>4</v>
      </c>
      <c r="X45">
        <f ca="1">IF(AND(((COLUMN()-10)&lt;=playercnt),((ROW()-41)&lt;=playercnt)),SUMPRODUCT(INDIRECT(ADDRESS(3,ROW()-31,1)):INDIRECT(ADDRESS(22,ROW()-31,1)),X$3:X$22),"")</f>
        <v>3</v>
      </c>
      <c r="Y45">
        <f ca="1">IF(AND(((COLUMN()-10)&lt;=playercnt),((ROW()-41)&lt;=playercnt)),SUMPRODUCT(INDIRECT(ADDRESS(3,ROW()-31,1)):INDIRECT(ADDRESS(22,ROW()-31,1)),Y$3:Y$22),"")</f>
        <v>8</v>
      </c>
      <c r="Z45">
        <f ca="1">IF(AND(((COLUMN()-10)&lt;=playercnt),((ROW()-41)&lt;=playercnt)),SUMPRODUCT(INDIRECT(ADDRESS(3,ROW()-31,1)):INDIRECT(ADDRESS(22,ROW()-31,1)),Z$3:Z$22),"")</f>
        <v>5</v>
      </c>
      <c r="AA45">
        <f ca="1">IF(AND(((COLUMN()-10)&lt;=playercnt),((ROW()-41)&lt;=playercnt)),SUMPRODUCT(INDIRECT(ADDRESS(3,ROW()-31,1)):INDIRECT(ADDRESS(22,ROW()-31,1)),AA$3:AA$22),"")</f>
        <v>2</v>
      </c>
      <c r="AB45">
        <f ca="1">IF(AND(((COLUMN()-10)&lt;=playercnt),((ROW()-41)&lt;=playercnt)),SUMPRODUCT(INDIRECT(ADDRESS(3,ROW()-31,1)):INDIRECT(ADDRESS(22,ROW()-31,1)),AB$3:AB$22),"")</f>
        <v>5</v>
      </c>
      <c r="AC45">
        <f ca="1">IF(AND(((COLUMN()-10)&lt;=playercnt),((ROW()-41)&lt;=playercnt)),SUMPRODUCT(INDIRECT(ADDRESS(3,ROW()-31,1)):INDIRECT(ADDRESS(22,ROW()-31,1)),AC$3:AC$22),"")</f>
        <v>6</v>
      </c>
      <c r="AD45">
        <f ca="1">IF(AND(((COLUMN()-10)&lt;=playercnt),((ROW()-41)&lt;=playercnt)),SUMPRODUCT(INDIRECT(ADDRESS(3,ROW()-31,1)):INDIRECT(ADDRESS(22,ROW()-31,1)),AD$3:AD$22),"")</f>
        <v>6</v>
      </c>
      <c r="AE45">
        <f ca="1">IF(AND(((COLUMN()-10)&lt;=playercnt),((ROW()-41)&lt;=playercnt)),SUMPRODUCT(INDIRECT(ADDRESS(3,ROW()-31,1)):INDIRECT(ADDRESS(22,ROW()-31,1)),AE$3:AE$22),"")</f>
        <v>6</v>
      </c>
      <c r="AF45">
        <f ca="1">IF(AND(((COLUMN()-10)&lt;=playercnt),((ROW()-41)&lt;=playercnt)),SUMPRODUCT(INDIRECT(ADDRESS(3,ROW()-31,1)):INDIRECT(ADDRESS(22,ROW()-31,1)),AF$3:AF$22),"")</f>
        <v>3</v>
      </c>
      <c r="AG45">
        <f ca="1">IF(AND(((COLUMN()-10)&lt;=playercnt),((ROW()-41)&lt;=playercnt)),SUMPRODUCT(INDIRECT(ADDRESS(3,ROW()-31,1)):INDIRECT(ADDRESS(22,ROW()-31,1)),AG$3:AG$22),"")</f>
        <v>5</v>
      </c>
      <c r="AH45">
        <f ca="1">IF(AND(((COLUMN()-10)&lt;=playercnt),((ROW()-41)&lt;=playercnt)),SUMPRODUCT(INDIRECT(ADDRESS(3,ROW()-31,1)):INDIRECT(ADDRESS(22,ROW()-31,1)),AH$3:AH$22),"")</f>
        <v>8</v>
      </c>
      <c r="AI45">
        <f ca="1">IF(AND(((COLUMN()-10)&lt;=playercnt),((ROW()-41)&lt;=playercnt)),SUMPRODUCT(INDIRECT(ADDRESS(3,ROW()-31,1)):INDIRECT(ADDRESS(22,ROW()-31,1)),AI$3:AI$22),"")</f>
        <v>4</v>
      </c>
      <c r="AJ45">
        <f ca="1">IF(AND(((COLUMN()-10)&lt;=playercnt),((ROW()-41)&lt;=playercnt)),SUMPRODUCT(INDIRECT(ADDRESS(3,ROW()-31,1)):INDIRECT(ADDRESS(22,ROW()-31,1)),AJ$3:AJ$22),"")</f>
        <v>6</v>
      </c>
      <c r="AK45">
        <f ca="1">IF(AND(((COLUMN()-10)&lt;=playercnt),((ROW()-41)&lt;=playercnt)),SUMPRODUCT(INDIRECT(ADDRESS(3,ROW()-31,1)):INDIRECT(ADDRESS(22,ROW()-31,1)),AK$3:AK$22),"")</f>
        <v>0</v>
      </c>
      <c r="AL45">
        <f ca="1">IF(AND(((COLUMN()-10)&lt;=playercnt),((ROW()-41)&lt;=playercnt)),SUMPRODUCT(INDIRECT(ADDRESS(3,ROW()-31,1)):INDIRECT(ADDRESS(22,ROW()-31,1)),AL$3:AL$22),"")</f>
        <v>7</v>
      </c>
      <c r="AM45">
        <f ca="1">IF(AND(((COLUMN()-10)&lt;=playercnt),((ROW()-41)&lt;=playercnt)),SUMPRODUCT(INDIRECT(ADDRESS(3,ROW()-31,1)):INDIRECT(ADDRESS(22,ROW()-31,1)),AM$3:AM$22),"")</f>
        <v>6</v>
      </c>
      <c r="AN45">
        <f ca="1">IF(AND(((COLUMN()-10)&lt;=playercnt),((ROW()-41)&lt;=playercnt)),SUMPRODUCT(INDIRECT(ADDRESS(3,ROW()-31,1)):INDIRECT(ADDRESS(22,ROW()-31,1)),AN$3:AN$22),"")</f>
        <v>8</v>
      </c>
      <c r="AO45">
        <f ca="1">IF(AND(((COLUMN()-10)&lt;=playercnt),((ROW()-41)&lt;=playercnt)),SUMPRODUCT(INDIRECT(ADDRESS(3,ROW()-31,1)):INDIRECT(ADDRESS(22,ROW()-31,1)),AO$3:AO$22),"")</f>
        <v>4</v>
      </c>
      <c r="AP45">
        <f ca="1">IF(AND(((COLUMN()-10)&lt;=playercnt),((ROW()-41)&lt;=playercnt)),SUMPRODUCT(INDIRECT(ADDRESS(3,ROW()-31,1)):INDIRECT(ADDRESS(22,ROW()-31,1)),AP$3:AP$22),"")</f>
        <v>0</v>
      </c>
      <c r="AQ45">
        <f ca="1">IF(AND(((COLUMN()-10)&lt;=playercnt),((ROW()-41)&lt;=playercnt)),SUMPRODUCT(INDIRECT(ADDRESS(3,ROW()-31,1)):INDIRECT(ADDRESS(22,ROW()-31,1)),AQ$3:AQ$22),"")</f>
        <v>6</v>
      </c>
      <c r="AR45">
        <f ca="1">IF(AND(((COLUMN()-10)&lt;=playercnt),((ROW()-41)&lt;=playercnt)),SUMPRODUCT(INDIRECT(ADDRESS(3,ROW()-31,1)):INDIRECT(ADDRESS(22,ROW()-31,1)),AR$3:AR$22),"")</f>
        <v>5</v>
      </c>
      <c r="AS45">
        <f ca="1">IF(AND(((COLUMN()-10)&lt;=playercnt),((ROW()-41)&lt;=playercnt)),SUMPRODUCT(INDIRECT(ADDRESS(3,ROW()-31,1)):INDIRECT(ADDRESS(22,ROW()-31,1)),AS$3:AS$22),"")</f>
        <v>6</v>
      </c>
      <c r="AT45">
        <f ca="1">IF(AND(((COLUMN()-10)&lt;=playercnt),((ROW()-41)&lt;=playercnt)),SUMPRODUCT(INDIRECT(ADDRESS(3,ROW()-31,1)):INDIRECT(ADDRESS(22,ROW()-31,1)),AT$3:AT$22),"")</f>
        <v>8</v>
      </c>
      <c r="AU45">
        <f ca="1">IF(AND(((COLUMN()-10)&lt;=playercnt),((ROW()-41)&lt;=playercnt)),SUMPRODUCT(INDIRECT(ADDRESS(3,ROW()-31,1)):INDIRECT(ADDRESS(22,ROW()-31,1)),AU$3:AU$22),"")</f>
        <v>6</v>
      </c>
      <c r="AV45">
        <f ca="1">IF(AND(((COLUMN()-10)&lt;=playercnt),((ROW()-41)&lt;=playercnt)),SUMPRODUCT(INDIRECT(ADDRESS(3,ROW()-31,1)):INDIRECT(ADDRESS(22,ROW()-31,1)),AV$3:AV$22),"")</f>
        <v>8</v>
      </c>
      <c r="AW45">
        <f ca="1">IF(AND(((COLUMN()-10)&lt;=playercnt),((ROW()-41)&lt;=playercnt)),SUMPRODUCT(INDIRECT(ADDRESS(3,ROW()-31,1)):INDIRECT(ADDRESS(22,ROW()-31,1)),AW$3:AW$22),"")</f>
        <v>6</v>
      </c>
      <c r="AX45">
        <f ca="1">IF(AND(((COLUMN()-10)&lt;=playercnt),((ROW()-41)&lt;=playercnt)),SUMPRODUCT(INDIRECT(ADDRESS(3,ROW()-31,1)):INDIRECT(ADDRESS(22,ROW()-31,1)),AX$3:AX$22),"")</f>
        <v>7</v>
      </c>
      <c r="AY45">
        <f ca="1">IF(AND(((COLUMN()-10)&lt;=playercnt),((ROW()-41)&lt;=playercnt)),SUMPRODUCT(INDIRECT(ADDRESS(3,ROW()-31,1)):INDIRECT(ADDRESS(22,ROW()-31,1)),AY$3:AY$22),"")</f>
        <v>8</v>
      </c>
      <c r="AZ45">
        <f ca="1">IF(AND(((COLUMN()-10)&lt;=playercnt),((ROW()-41)&lt;=playercnt)),SUMPRODUCT(INDIRECT(ADDRESS(3,ROW()-31,1)):INDIRECT(ADDRESS(22,ROW()-31,1)),AZ$3:AZ$22),"")</f>
        <v>5</v>
      </c>
      <c r="BA45">
        <f ca="1">IF(AND(((COLUMN()-10)&lt;=playercnt),((ROW()-41)&lt;=playercnt)),SUMPRODUCT(INDIRECT(ADDRESS(3,ROW()-31,1)):INDIRECT(ADDRESS(22,ROW()-31,1)),BA$3:BA$22),"")</f>
        <v>7</v>
      </c>
      <c r="BB45">
        <f ca="1">IF(AND(((COLUMN()-10)&lt;=playercnt),((ROW()-41)&lt;=playercnt)),SUMPRODUCT(INDIRECT(ADDRESS(3,ROW()-31,1)):INDIRECT(ADDRESS(22,ROW()-31,1)),BB$3:BB$22),"")</f>
        <v>9</v>
      </c>
      <c r="BC45">
        <f ca="1">IF(AND(((COLUMN()-10)&lt;=playercnt),((ROW()-41)&lt;=playercnt)),SUMPRODUCT(INDIRECT(ADDRESS(3,ROW()-31,1)):INDIRECT(ADDRESS(22,ROW()-31,1)),BC$3:BC$22),"")</f>
        <v>7</v>
      </c>
      <c r="BD45">
        <f ca="1">IF(AND(((COLUMN()-10)&lt;=playercnt),((ROW()-41)&lt;=playercnt)),SUMPRODUCT(INDIRECT(ADDRESS(3,ROW()-31,1)):INDIRECT(ADDRESS(22,ROW()-31,1)),BD$3:BD$22),"")</f>
        <v>3</v>
      </c>
      <c r="BE45">
        <f ca="1">IF(AND(((COLUMN()-10)&lt;=playercnt),((ROW()-41)&lt;=playercnt)),SUMPRODUCT(INDIRECT(ADDRESS(3,ROW()-31,1)):INDIRECT(ADDRESS(22,ROW()-31,1)),BE$3:BE$22),"")</f>
        <v>6</v>
      </c>
      <c r="BF45">
        <f ca="1">IF(AND(((COLUMN()-10)&lt;=playercnt),((ROW()-41)&lt;=playercnt)),SUMPRODUCT(INDIRECT(ADDRESS(3,ROW()-31,1)):INDIRECT(ADDRESS(22,ROW()-31,1)),BF$3:BF$22),"")</f>
        <v>6</v>
      </c>
      <c r="BG45">
        <f ca="1">IF(AND(((COLUMN()-10)&lt;=playercnt),((ROW()-41)&lt;=playercnt)),SUMPRODUCT(INDIRECT(ADDRESS(3,ROW()-31,1)):INDIRECT(ADDRESS(22,ROW()-31,1)),BG$3:BG$22),"")</f>
        <v>4</v>
      </c>
      <c r="BH45">
        <f ca="1">IF(AND(((COLUMN()-10)&lt;=playercnt),((ROW()-41)&lt;=playercnt)),SUMPRODUCT(INDIRECT(ADDRESS(3,ROW()-31,1)):INDIRECT(ADDRESS(22,ROW()-31,1)),BH$3:BH$22),"")</f>
        <v>4</v>
      </c>
      <c r="BI45">
        <f ca="1">IF(AND(((COLUMN()-10)&lt;=playercnt),((ROW()-41)&lt;=playercnt)),SUMPRODUCT(INDIRECT(ADDRESS(3,ROW()-31,1)):INDIRECT(ADDRESS(22,ROW()-31,1)),BI$3:BI$22),"")</f>
        <v>8</v>
      </c>
      <c r="BJ45">
        <f ca="1">IF(AND(((COLUMN()-10)&lt;=playercnt),((ROW()-41)&lt;=playercnt)),SUMPRODUCT(INDIRECT(ADDRESS(3,ROW()-31,1)):INDIRECT(ADDRESS(22,ROW()-31,1)),BJ$3:BJ$22),"")</f>
        <v>4</v>
      </c>
      <c r="BK45">
        <f ca="1">IF(AND(((COLUMN()-10)&lt;=playercnt),((ROW()-41)&lt;=playercnt)),SUMPRODUCT(INDIRECT(ADDRESS(3,ROW()-31,1)):INDIRECT(ADDRESS(22,ROW()-31,1)),BK$3:BK$22),"")</f>
        <v>6</v>
      </c>
      <c r="BL45">
        <f ca="1">IF(AND(((COLUMN()-10)&lt;=playercnt),((ROW()-41)&lt;=playercnt)),SUMPRODUCT(INDIRECT(ADDRESS(3,ROW()-31,1)):INDIRECT(ADDRESS(22,ROW()-31,1)),BL$3:BL$22),"")</f>
        <v>7</v>
      </c>
      <c r="BM45">
        <f ca="1">IF(AND(((COLUMN()-10)&lt;=playercnt),((ROW()-41)&lt;=playercnt)),SUMPRODUCT(INDIRECT(ADDRESS(3,ROW()-31,1)):INDIRECT(ADDRESS(22,ROW()-31,1)),BM$3:BM$22),"")</f>
        <v>6</v>
      </c>
      <c r="BN45">
        <f ca="1">IF(AND(((COLUMN()-10)&lt;=playercnt),((ROW()-41)&lt;=playercnt)),SUMPRODUCT(INDIRECT(ADDRESS(3,ROW()-31,1)):INDIRECT(ADDRESS(22,ROW()-31,1)),BN$3:BN$22),"")</f>
        <v>7</v>
      </c>
    </row>
    <row r="46" spans="1:66" x14ac:dyDescent="0.2">
      <c r="B46" s="27">
        <f t="shared" ca="1" si="23"/>
        <v>5.6792452830188678</v>
      </c>
      <c r="C46" t="str">
        <f t="shared" ca="1" si="22"/>
        <v>Boykin, Jerome W</v>
      </c>
      <c r="G46">
        <f ca="1">IF(AND(((COLUMN()-10)&lt;=playercnt),((ROW()-41)&lt;=playercnt)),SUMPRODUCT(INDIRECT(ADDRESS(3,ROW()-31,1)):INDIRECT(ADDRESS(22,ROW()-31,1)),G$3:G$22),"")</f>
        <v>6</v>
      </c>
      <c r="H46">
        <f ca="1">IF(AND(((COLUMN()-10)&lt;=playercnt),((ROW()-41)&lt;=playercnt)),SUMPRODUCT(INDIRECT(ADDRESS(3,ROW()-31,1)):INDIRECT(ADDRESS(22,ROW()-31,1)),H$3:H$22),"")</f>
        <v>7</v>
      </c>
      <c r="I46">
        <f ca="1">IF(AND(((COLUMN()-10)&lt;=playercnt),((ROW()-41)&lt;=playercnt)),SUMPRODUCT(INDIRECT(ADDRESS(3,ROW()-31,1)):INDIRECT(ADDRESS(22,ROW()-31,1)),I$3:I$22),"")</f>
        <v>5.5</v>
      </c>
      <c r="J46">
        <f ca="1">IF(AND(((COLUMN()-10)&lt;=playercnt),((ROW()-41)&lt;=playercnt)),SUMPRODUCT(INDIRECT(ADDRESS(3,ROW()-31,1)):INDIRECT(ADDRESS(22,ROW()-31,1)),J$3:J$22),"")</f>
        <v>0</v>
      </c>
      <c r="K46">
        <f ca="1">IF(AND(((COLUMN()-10)&lt;=playercnt),((ROW()-41)&lt;=playercnt)),SUMPRODUCT(INDIRECT(ADDRESS(3,ROW()-31,1)):INDIRECT(ADDRESS(22,ROW()-31,1)),K$3:K$22),"")</f>
        <v>3</v>
      </c>
      <c r="L46">
        <f ca="1">IF(AND(((COLUMN()-10)&lt;=playercnt),((ROW()-41)&lt;=playercnt)),SUMPRODUCT(INDIRECT(ADDRESS(3,ROW()-31,1)):INDIRECT(ADDRESS(22,ROW()-31,1)),L$3:L$22),"")</f>
        <v>6</v>
      </c>
      <c r="M46">
        <f ca="1">IF(AND(((COLUMN()-10)&lt;=playercnt),((ROW()-41)&lt;=playercnt)),SUMPRODUCT(INDIRECT(ADDRESS(3,ROW()-31,1)):INDIRECT(ADDRESS(22,ROW()-31,1)),M$3:M$22),"")</f>
        <v>5</v>
      </c>
      <c r="N46">
        <f ca="1">IF(AND(((COLUMN()-10)&lt;=playercnt),((ROW()-41)&lt;=playercnt)),SUMPRODUCT(INDIRECT(ADDRESS(3,ROW()-31,1)):INDIRECT(ADDRESS(22,ROW()-31,1)),N$3:N$22),"")</f>
        <v>6</v>
      </c>
      <c r="O46">
        <f ca="1">IF(AND(((COLUMN()-10)&lt;=playercnt),((ROW()-41)&lt;=playercnt)),SUMPRODUCT(INDIRECT(ADDRESS(3,ROW()-31,1)):INDIRECT(ADDRESS(22,ROW()-31,1)),O$3:O$22),"")</f>
        <v>10</v>
      </c>
      <c r="P46">
        <f ca="1">IF(AND(((COLUMN()-10)&lt;=playercnt),((ROW()-41)&lt;=playercnt)),SUMPRODUCT(INDIRECT(ADDRESS(3,ROW()-31,1)):INDIRECT(ADDRESS(22,ROW()-31,1)),P$3:P$22),"")</f>
        <v>5</v>
      </c>
      <c r="Q46">
        <f ca="1">IF(AND(((COLUMN()-10)&lt;=playercnt),((ROW()-41)&lt;=playercnt)),SUMPRODUCT(INDIRECT(ADDRESS(3,ROW()-31,1)):INDIRECT(ADDRESS(22,ROW()-31,1)),Q$3:Q$22),"")</f>
        <v>8</v>
      </c>
      <c r="R46">
        <f ca="1">IF(AND(((COLUMN()-10)&lt;=playercnt),((ROW()-41)&lt;=playercnt)),SUMPRODUCT(INDIRECT(ADDRESS(3,ROW()-31,1)):INDIRECT(ADDRESS(22,ROW()-31,1)),R$3:R$22),"")</f>
        <v>6</v>
      </c>
      <c r="S46">
        <f ca="1">IF(AND(((COLUMN()-10)&lt;=playercnt),((ROW()-41)&lt;=playercnt)),SUMPRODUCT(INDIRECT(ADDRESS(3,ROW()-31,1)):INDIRECT(ADDRESS(22,ROW()-31,1)),S$3:S$22),"")</f>
        <v>6</v>
      </c>
      <c r="T46">
        <f ca="1">IF(AND(((COLUMN()-10)&lt;=playercnt),((ROW()-41)&lt;=playercnt)),SUMPRODUCT(INDIRECT(ADDRESS(3,ROW()-31,1)):INDIRECT(ADDRESS(22,ROW()-31,1)),T$3:T$22),"")</f>
        <v>7</v>
      </c>
      <c r="U46">
        <f ca="1">IF(AND(((COLUMN()-10)&lt;=playercnt),((ROW()-41)&lt;=playercnt)),SUMPRODUCT(INDIRECT(ADDRESS(3,ROW()-31,1)):INDIRECT(ADDRESS(22,ROW()-31,1)),U$3:U$22),"")</f>
        <v>6</v>
      </c>
      <c r="V46">
        <f ca="1">IF(AND(((COLUMN()-10)&lt;=playercnt),((ROW()-41)&lt;=playercnt)),SUMPRODUCT(INDIRECT(ADDRESS(3,ROW()-31,1)):INDIRECT(ADDRESS(22,ROW()-31,1)),V$3:V$22),"")</f>
        <v>4</v>
      </c>
      <c r="W46">
        <f ca="1">IF(AND(((COLUMN()-10)&lt;=playercnt),((ROW()-41)&lt;=playercnt)),SUMPRODUCT(INDIRECT(ADDRESS(3,ROW()-31,1)):INDIRECT(ADDRESS(22,ROW()-31,1)),W$3:W$22),"")</f>
        <v>6</v>
      </c>
      <c r="X46">
        <f ca="1">IF(AND(((COLUMN()-10)&lt;=playercnt),((ROW()-41)&lt;=playercnt)),SUMPRODUCT(INDIRECT(ADDRESS(3,ROW()-31,1)):INDIRECT(ADDRESS(22,ROW()-31,1)),X$3:X$22),"")</f>
        <v>5</v>
      </c>
      <c r="Y46">
        <f ca="1">IF(AND(((COLUMN()-10)&lt;=playercnt),((ROW()-41)&lt;=playercnt)),SUMPRODUCT(INDIRECT(ADDRESS(3,ROW()-31,1)):INDIRECT(ADDRESS(22,ROW()-31,1)),Y$3:Y$22),"")</f>
        <v>8</v>
      </c>
      <c r="Z46">
        <f ca="1">IF(AND(((COLUMN()-10)&lt;=playercnt),((ROW()-41)&lt;=playercnt)),SUMPRODUCT(INDIRECT(ADDRESS(3,ROW()-31,1)):INDIRECT(ADDRESS(22,ROW()-31,1)),Z$3:Z$22),"")</f>
        <v>5</v>
      </c>
      <c r="AA46">
        <f ca="1">IF(AND(((COLUMN()-10)&lt;=playercnt),((ROW()-41)&lt;=playercnt)),SUMPRODUCT(INDIRECT(ADDRESS(3,ROW()-31,1)):INDIRECT(ADDRESS(22,ROW()-31,1)),AA$3:AA$22),"")</f>
        <v>6</v>
      </c>
      <c r="AB46">
        <f ca="1">IF(AND(((COLUMN()-10)&lt;=playercnt),((ROW()-41)&lt;=playercnt)),SUMPRODUCT(INDIRECT(ADDRESS(3,ROW()-31,1)):INDIRECT(ADDRESS(22,ROW()-31,1)),AB$3:AB$22),"")</f>
        <v>5</v>
      </c>
      <c r="AC46">
        <f ca="1">IF(AND(((COLUMN()-10)&lt;=playercnt),((ROW()-41)&lt;=playercnt)),SUMPRODUCT(INDIRECT(ADDRESS(3,ROW()-31,1)):INDIRECT(ADDRESS(22,ROW()-31,1)),AC$3:AC$22),"")</f>
        <v>6</v>
      </c>
      <c r="AD46">
        <f ca="1">IF(AND(((COLUMN()-10)&lt;=playercnt),((ROW()-41)&lt;=playercnt)),SUMPRODUCT(INDIRECT(ADDRESS(3,ROW()-31,1)):INDIRECT(ADDRESS(22,ROW()-31,1)),AD$3:AD$22),"")</f>
        <v>8</v>
      </c>
      <c r="AE46">
        <f ca="1">IF(AND(((COLUMN()-10)&lt;=playercnt),((ROW()-41)&lt;=playercnt)),SUMPRODUCT(INDIRECT(ADDRESS(3,ROW()-31,1)):INDIRECT(ADDRESS(22,ROW()-31,1)),AE$3:AE$22),"")</f>
        <v>6</v>
      </c>
      <c r="AF46">
        <f ca="1">IF(AND(((COLUMN()-10)&lt;=playercnt),((ROW()-41)&lt;=playercnt)),SUMPRODUCT(INDIRECT(ADDRESS(3,ROW()-31,1)):INDIRECT(ADDRESS(22,ROW()-31,1)),AF$3:AF$22),"")</f>
        <v>5</v>
      </c>
      <c r="AG46">
        <f ca="1">IF(AND(((COLUMN()-10)&lt;=playercnt),((ROW()-41)&lt;=playercnt)),SUMPRODUCT(INDIRECT(ADDRESS(3,ROW()-31,1)):INDIRECT(ADDRESS(22,ROW()-31,1)),AG$3:AG$22),"")</f>
        <v>3</v>
      </c>
      <c r="AH46">
        <f ca="1">IF(AND(((COLUMN()-10)&lt;=playercnt),((ROW()-41)&lt;=playercnt)),SUMPRODUCT(INDIRECT(ADDRESS(3,ROW()-31,1)):INDIRECT(ADDRESS(22,ROW()-31,1)),AH$3:AH$22),"")</f>
        <v>4</v>
      </c>
      <c r="AI46">
        <f ca="1">IF(AND(((COLUMN()-10)&lt;=playercnt),((ROW()-41)&lt;=playercnt)),SUMPRODUCT(INDIRECT(ADDRESS(3,ROW()-31,1)):INDIRECT(ADDRESS(22,ROW()-31,1)),AI$3:AI$22),"")</f>
        <v>8</v>
      </c>
      <c r="AJ46">
        <f ca="1">IF(AND(((COLUMN()-10)&lt;=playercnt),((ROW()-41)&lt;=playercnt)),SUMPRODUCT(INDIRECT(ADDRESS(3,ROW()-31,1)):INDIRECT(ADDRESS(22,ROW()-31,1)),AJ$3:AJ$22),"")</f>
        <v>4</v>
      </c>
      <c r="AK46">
        <f ca="1">IF(AND(((COLUMN()-10)&lt;=playercnt),((ROW()-41)&lt;=playercnt)),SUMPRODUCT(INDIRECT(ADDRESS(3,ROW()-31,1)):INDIRECT(ADDRESS(22,ROW()-31,1)),AK$3:AK$22),"")</f>
        <v>0</v>
      </c>
      <c r="AL46">
        <f ca="1">IF(AND(((COLUMN()-10)&lt;=playercnt),((ROW()-41)&lt;=playercnt)),SUMPRODUCT(INDIRECT(ADDRESS(3,ROW()-31,1)):INDIRECT(ADDRESS(22,ROW()-31,1)),AL$3:AL$22),"")</f>
        <v>7</v>
      </c>
      <c r="AM46">
        <f ca="1">IF(AND(((COLUMN()-10)&lt;=playercnt),((ROW()-41)&lt;=playercnt)),SUMPRODUCT(INDIRECT(ADDRESS(3,ROW()-31,1)):INDIRECT(ADDRESS(22,ROW()-31,1)),AM$3:AM$22),"")</f>
        <v>4</v>
      </c>
      <c r="AN46">
        <f ca="1">IF(AND(((COLUMN()-10)&lt;=playercnt),((ROW()-41)&lt;=playercnt)),SUMPRODUCT(INDIRECT(ADDRESS(3,ROW()-31,1)):INDIRECT(ADDRESS(22,ROW()-31,1)),AN$3:AN$22),"")</f>
        <v>6</v>
      </c>
      <c r="AO46">
        <f ca="1">IF(AND(((COLUMN()-10)&lt;=playercnt),((ROW()-41)&lt;=playercnt)),SUMPRODUCT(INDIRECT(ADDRESS(3,ROW()-31,1)):INDIRECT(ADDRESS(22,ROW()-31,1)),AO$3:AO$22),"")</f>
        <v>8</v>
      </c>
      <c r="AP46">
        <f ca="1">IF(AND(((COLUMN()-10)&lt;=playercnt),((ROW()-41)&lt;=playercnt)),SUMPRODUCT(INDIRECT(ADDRESS(3,ROW()-31,1)):INDIRECT(ADDRESS(22,ROW()-31,1)),AP$3:AP$22),"")</f>
        <v>0</v>
      </c>
      <c r="AQ46">
        <f ca="1">IF(AND(((COLUMN()-10)&lt;=playercnt),((ROW()-41)&lt;=playercnt)),SUMPRODUCT(INDIRECT(ADDRESS(3,ROW()-31,1)):INDIRECT(ADDRESS(22,ROW()-31,1)),AQ$3:AQ$22),"")</f>
        <v>4</v>
      </c>
      <c r="AR46">
        <f ca="1">IF(AND(((COLUMN()-10)&lt;=playercnt),((ROW()-41)&lt;=playercnt)),SUMPRODUCT(INDIRECT(ADDRESS(3,ROW()-31,1)):INDIRECT(ADDRESS(22,ROW()-31,1)),AR$3:AR$22),"")</f>
        <v>5</v>
      </c>
      <c r="AS46">
        <f ca="1">IF(AND(((COLUMN()-10)&lt;=playercnt),((ROW()-41)&lt;=playercnt)),SUMPRODUCT(INDIRECT(ADDRESS(3,ROW()-31,1)):INDIRECT(ADDRESS(22,ROW()-31,1)),AS$3:AS$22),"")</f>
        <v>8</v>
      </c>
      <c r="AT46">
        <f ca="1">IF(AND(((COLUMN()-10)&lt;=playercnt),((ROW()-41)&lt;=playercnt)),SUMPRODUCT(INDIRECT(ADDRESS(3,ROW()-31,1)):INDIRECT(ADDRESS(22,ROW()-31,1)),AT$3:AT$22),"")</f>
        <v>4</v>
      </c>
      <c r="AU46">
        <f ca="1">IF(AND(((COLUMN()-10)&lt;=playercnt),((ROW()-41)&lt;=playercnt)),SUMPRODUCT(INDIRECT(ADDRESS(3,ROW()-31,1)):INDIRECT(ADDRESS(22,ROW()-31,1)),AU$3:AU$22),"")</f>
        <v>6</v>
      </c>
      <c r="AV46">
        <f ca="1">IF(AND(((COLUMN()-10)&lt;=playercnt),((ROW()-41)&lt;=playercnt)),SUMPRODUCT(INDIRECT(ADDRESS(3,ROW()-31,1)):INDIRECT(ADDRESS(22,ROW()-31,1)),AV$3:AV$22),"")</f>
        <v>6</v>
      </c>
      <c r="AW46">
        <f ca="1">IF(AND(((COLUMN()-10)&lt;=playercnt),((ROW()-41)&lt;=playercnt)),SUMPRODUCT(INDIRECT(ADDRESS(3,ROW()-31,1)):INDIRECT(ADDRESS(22,ROW()-31,1)),AW$3:AW$22),"")</f>
        <v>8</v>
      </c>
      <c r="AX46">
        <f ca="1">IF(AND(((COLUMN()-10)&lt;=playercnt),((ROW()-41)&lt;=playercnt)),SUMPRODUCT(INDIRECT(ADDRESS(3,ROW()-31,1)):INDIRECT(ADDRESS(22,ROW()-31,1)),AX$3:AX$22),"")</f>
        <v>5</v>
      </c>
      <c r="AY46">
        <f ca="1">IF(AND(((COLUMN()-10)&lt;=playercnt),((ROW()-41)&lt;=playercnt)),SUMPRODUCT(INDIRECT(ADDRESS(3,ROW()-31,1)):INDIRECT(ADDRESS(22,ROW()-31,1)),AY$3:AY$22),"")</f>
        <v>6</v>
      </c>
      <c r="AZ46">
        <f ca="1">IF(AND(((COLUMN()-10)&lt;=playercnt),((ROW()-41)&lt;=playercnt)),SUMPRODUCT(INDIRECT(ADDRESS(3,ROW()-31,1)):INDIRECT(ADDRESS(22,ROW()-31,1)),AZ$3:AZ$22),"")</f>
        <v>5</v>
      </c>
      <c r="BA46">
        <f ca="1">IF(AND(((COLUMN()-10)&lt;=playercnt),((ROW()-41)&lt;=playercnt)),SUMPRODUCT(INDIRECT(ADDRESS(3,ROW()-31,1)):INDIRECT(ADDRESS(22,ROW()-31,1)),BA$3:BA$22),"")</f>
        <v>7</v>
      </c>
      <c r="BB46">
        <f ca="1">IF(AND(((COLUMN()-10)&lt;=playercnt),((ROW()-41)&lt;=playercnt)),SUMPRODUCT(INDIRECT(ADDRESS(3,ROW()-31,1)):INDIRECT(ADDRESS(22,ROW()-31,1)),BB$3:BB$22),"")</f>
        <v>7</v>
      </c>
      <c r="BC46">
        <f ca="1">IF(AND(((COLUMN()-10)&lt;=playercnt),((ROW()-41)&lt;=playercnt)),SUMPRODUCT(INDIRECT(ADDRESS(3,ROW()-31,1)):INDIRECT(ADDRESS(22,ROW()-31,1)),BC$3:BC$22),"")</f>
        <v>5</v>
      </c>
      <c r="BD46">
        <f ca="1">IF(AND(((COLUMN()-10)&lt;=playercnt),((ROW()-41)&lt;=playercnt)),SUMPRODUCT(INDIRECT(ADDRESS(3,ROW()-31,1)):INDIRECT(ADDRESS(22,ROW()-31,1)),BD$3:BD$22),"")</f>
        <v>7</v>
      </c>
      <c r="BE46">
        <f ca="1">IF(AND(((COLUMN()-10)&lt;=playercnt),((ROW()-41)&lt;=playercnt)),SUMPRODUCT(INDIRECT(ADDRESS(3,ROW()-31,1)):INDIRECT(ADDRESS(22,ROW()-31,1)),BE$3:BE$22),"")</f>
        <v>8</v>
      </c>
      <c r="BF46">
        <f ca="1">IF(AND(((COLUMN()-10)&lt;=playercnt),((ROW()-41)&lt;=playercnt)),SUMPRODUCT(INDIRECT(ADDRESS(3,ROW()-31,1)):INDIRECT(ADDRESS(22,ROW()-31,1)),BF$3:BF$22),"")</f>
        <v>4</v>
      </c>
      <c r="BG46">
        <f ca="1">IF(AND(((COLUMN()-10)&lt;=playercnt),((ROW()-41)&lt;=playercnt)),SUMPRODUCT(INDIRECT(ADDRESS(3,ROW()-31,1)):INDIRECT(ADDRESS(22,ROW()-31,1)),BG$3:BG$22),"")</f>
        <v>6</v>
      </c>
      <c r="BH46">
        <f ca="1">IF(AND(((COLUMN()-10)&lt;=playercnt),((ROW()-41)&lt;=playercnt)),SUMPRODUCT(INDIRECT(ADDRESS(3,ROW()-31,1)):INDIRECT(ADDRESS(22,ROW()-31,1)),BH$3:BH$22),"")</f>
        <v>4</v>
      </c>
      <c r="BI46">
        <f ca="1">IF(AND(((COLUMN()-10)&lt;=playercnt),((ROW()-41)&lt;=playercnt)),SUMPRODUCT(INDIRECT(ADDRESS(3,ROW()-31,1)):INDIRECT(ADDRESS(22,ROW()-31,1)),BI$3:BI$22),"")</f>
        <v>6</v>
      </c>
      <c r="BJ46">
        <f ca="1">IF(AND(((COLUMN()-10)&lt;=playercnt),((ROW()-41)&lt;=playercnt)),SUMPRODUCT(INDIRECT(ADDRESS(3,ROW()-31,1)):INDIRECT(ADDRESS(22,ROW()-31,1)),BJ$3:BJ$22),"")</f>
        <v>6</v>
      </c>
      <c r="BK46">
        <f ca="1">IF(AND(((COLUMN()-10)&lt;=playercnt),((ROW()-41)&lt;=playercnt)),SUMPRODUCT(INDIRECT(ADDRESS(3,ROW()-31,1)):INDIRECT(ADDRESS(22,ROW()-31,1)),BK$3:BK$22),"")</f>
        <v>4</v>
      </c>
      <c r="BL46">
        <f ca="1">IF(AND(((COLUMN()-10)&lt;=playercnt),((ROW()-41)&lt;=playercnt)),SUMPRODUCT(INDIRECT(ADDRESS(3,ROW()-31,1)):INDIRECT(ADDRESS(22,ROW()-31,1)),BL$3:BL$22),"")</f>
        <v>7</v>
      </c>
      <c r="BM46">
        <f ca="1">IF(AND(((COLUMN()-10)&lt;=playercnt),((ROW()-41)&lt;=playercnt)),SUMPRODUCT(INDIRECT(ADDRESS(3,ROW()-31,1)):INDIRECT(ADDRESS(22,ROW()-31,1)),BM$3:BM$22),"")</f>
        <v>4</v>
      </c>
      <c r="BN46">
        <f ca="1">IF(AND(((COLUMN()-10)&lt;=playercnt),((ROW()-41)&lt;=playercnt)),SUMPRODUCT(INDIRECT(ADDRESS(3,ROW()-31,1)):INDIRECT(ADDRESS(22,ROW()-31,1)),BN$3:BN$22),"")</f>
        <v>3</v>
      </c>
    </row>
    <row r="47" spans="1:66" x14ac:dyDescent="0.2">
      <c r="B47" s="27">
        <f t="shared" ca="1" si="23"/>
        <v>5.3018867924528301</v>
      </c>
      <c r="C47" t="str">
        <f t="shared" ca="1" si="22"/>
        <v>Carroll, Adam</v>
      </c>
      <c r="G47">
        <f ca="1">IF(AND(((COLUMN()-10)&lt;=playercnt),((ROW()-41)&lt;=playercnt)),SUMPRODUCT(INDIRECT(ADDRESS(3,ROW()-31,1)):INDIRECT(ADDRESS(22,ROW()-31,1)),G$3:G$22),"")</f>
        <v>5</v>
      </c>
      <c r="H47">
        <f ca="1">IF(AND(((COLUMN()-10)&lt;=playercnt),((ROW()-41)&lt;=playercnt)),SUMPRODUCT(INDIRECT(ADDRESS(3,ROW()-31,1)):INDIRECT(ADDRESS(22,ROW()-31,1)),H$3:H$22),"")</f>
        <v>6</v>
      </c>
      <c r="I47">
        <f ca="1">IF(AND(((COLUMN()-10)&lt;=playercnt),((ROW()-41)&lt;=playercnt)),SUMPRODUCT(INDIRECT(ADDRESS(3,ROW()-31,1)):INDIRECT(ADDRESS(22,ROW()-31,1)),I$3:I$22),"")</f>
        <v>6.5</v>
      </c>
      <c r="J47">
        <f ca="1">IF(AND(((COLUMN()-10)&lt;=playercnt),((ROW()-41)&lt;=playercnt)),SUMPRODUCT(INDIRECT(ADDRESS(3,ROW()-31,1)):INDIRECT(ADDRESS(22,ROW()-31,1)),J$3:J$22),"")</f>
        <v>0</v>
      </c>
      <c r="K47">
        <f ca="1">IF(AND(((COLUMN()-10)&lt;=playercnt),((ROW()-41)&lt;=playercnt)),SUMPRODUCT(INDIRECT(ADDRESS(3,ROW()-31,1)):INDIRECT(ADDRESS(22,ROW()-31,1)),K$3:K$22),"")</f>
        <v>6</v>
      </c>
      <c r="L47">
        <f ca="1">IF(AND(((COLUMN()-10)&lt;=playercnt),((ROW()-41)&lt;=playercnt)),SUMPRODUCT(INDIRECT(ADDRESS(3,ROW()-31,1)):INDIRECT(ADDRESS(22,ROW()-31,1)),L$3:L$22),"")</f>
        <v>5</v>
      </c>
      <c r="M47">
        <f ca="1">IF(AND(((COLUMN()-10)&lt;=playercnt),((ROW()-41)&lt;=playercnt)),SUMPRODUCT(INDIRECT(ADDRESS(3,ROW()-31,1)):INDIRECT(ADDRESS(22,ROW()-31,1)),M$3:M$22),"")</f>
        <v>4</v>
      </c>
      <c r="N47">
        <f ca="1">IF(AND(((COLUMN()-10)&lt;=playercnt),((ROW()-41)&lt;=playercnt)),SUMPRODUCT(INDIRECT(ADDRESS(3,ROW()-31,1)):INDIRECT(ADDRESS(22,ROW()-31,1)),N$3:N$22),"")</f>
        <v>7</v>
      </c>
      <c r="O47">
        <f ca="1">IF(AND(((COLUMN()-10)&lt;=playercnt),((ROW()-41)&lt;=playercnt)),SUMPRODUCT(INDIRECT(ADDRESS(3,ROW()-31,1)):INDIRECT(ADDRESS(22,ROW()-31,1)),O$3:O$22),"")</f>
        <v>5</v>
      </c>
      <c r="P47">
        <f ca="1">IF(AND(((COLUMN()-10)&lt;=playercnt),((ROW()-41)&lt;=playercnt)),SUMPRODUCT(INDIRECT(ADDRESS(3,ROW()-31,1)):INDIRECT(ADDRESS(22,ROW()-31,1)),P$3:P$22),"")</f>
        <v>10</v>
      </c>
      <c r="Q47">
        <f ca="1">IF(AND(((COLUMN()-10)&lt;=playercnt),((ROW()-41)&lt;=playercnt)),SUMPRODUCT(INDIRECT(ADDRESS(3,ROW()-31,1)):INDIRECT(ADDRESS(22,ROW()-31,1)),Q$3:Q$22),"")</f>
        <v>7</v>
      </c>
      <c r="R47">
        <f ca="1">IF(AND(((COLUMN()-10)&lt;=playercnt),((ROW()-41)&lt;=playercnt)),SUMPRODUCT(INDIRECT(ADDRESS(3,ROW()-31,1)):INDIRECT(ADDRESS(22,ROW()-31,1)),R$3:R$22),"")</f>
        <v>5</v>
      </c>
      <c r="S47">
        <f ca="1">IF(AND(((COLUMN()-10)&lt;=playercnt),((ROW()-41)&lt;=playercnt)),SUMPRODUCT(INDIRECT(ADDRESS(3,ROW()-31,1)):INDIRECT(ADDRESS(22,ROW()-31,1)),S$3:S$22),"")</f>
        <v>5</v>
      </c>
      <c r="T47">
        <f ca="1">IF(AND(((COLUMN()-10)&lt;=playercnt),((ROW()-41)&lt;=playercnt)),SUMPRODUCT(INDIRECT(ADDRESS(3,ROW()-31,1)):INDIRECT(ADDRESS(22,ROW()-31,1)),T$3:T$22),"")</f>
        <v>6</v>
      </c>
      <c r="U47">
        <f ca="1">IF(AND(((COLUMN()-10)&lt;=playercnt),((ROW()-41)&lt;=playercnt)),SUMPRODUCT(INDIRECT(ADDRESS(3,ROW()-31,1)):INDIRECT(ADDRESS(22,ROW()-31,1)),U$3:U$22),"")</f>
        <v>5</v>
      </c>
      <c r="V47">
        <f ca="1">IF(AND(((COLUMN()-10)&lt;=playercnt),((ROW()-41)&lt;=playercnt)),SUMPRODUCT(INDIRECT(ADDRESS(3,ROW()-31,1)):INDIRECT(ADDRESS(22,ROW()-31,1)),V$3:V$22),"")</f>
        <v>7</v>
      </c>
      <c r="W47">
        <f ca="1">IF(AND(((COLUMN()-10)&lt;=playercnt),((ROW()-41)&lt;=playercnt)),SUMPRODUCT(INDIRECT(ADDRESS(3,ROW()-31,1)):INDIRECT(ADDRESS(22,ROW()-31,1)),W$3:W$22),"")</f>
        <v>5</v>
      </c>
      <c r="X47">
        <f ca="1">IF(AND(((COLUMN()-10)&lt;=playercnt),((ROW()-41)&lt;=playercnt)),SUMPRODUCT(INDIRECT(ADDRESS(3,ROW()-31,1)):INDIRECT(ADDRESS(22,ROW()-31,1)),X$3:X$22),"")</f>
        <v>6</v>
      </c>
      <c r="Y47">
        <f ca="1">IF(AND(((COLUMN()-10)&lt;=playercnt),((ROW()-41)&lt;=playercnt)),SUMPRODUCT(INDIRECT(ADDRESS(3,ROW()-31,1)):INDIRECT(ADDRESS(22,ROW()-31,1)),Y$3:Y$22),"")</f>
        <v>5</v>
      </c>
      <c r="Z47">
        <f ca="1">IF(AND(((COLUMN()-10)&lt;=playercnt),((ROW()-41)&lt;=playercnt)),SUMPRODUCT(INDIRECT(ADDRESS(3,ROW()-31,1)):INDIRECT(ADDRESS(22,ROW()-31,1)),Z$3:Z$22),"")</f>
        <v>6</v>
      </c>
      <c r="AA47">
        <f ca="1">IF(AND(((COLUMN()-10)&lt;=playercnt),((ROW()-41)&lt;=playercnt)),SUMPRODUCT(INDIRECT(ADDRESS(3,ROW()-31,1)):INDIRECT(ADDRESS(22,ROW()-31,1)),AA$3:AA$22),"")</f>
        <v>3</v>
      </c>
      <c r="AB47">
        <f ca="1">IF(AND(((COLUMN()-10)&lt;=playercnt),((ROW()-41)&lt;=playercnt)),SUMPRODUCT(INDIRECT(ADDRESS(3,ROW()-31,1)):INDIRECT(ADDRESS(22,ROW()-31,1)),AB$3:AB$22),"")</f>
        <v>6</v>
      </c>
      <c r="AC47">
        <f ca="1">IF(AND(((COLUMN()-10)&lt;=playercnt),((ROW()-41)&lt;=playercnt)),SUMPRODUCT(INDIRECT(ADDRESS(3,ROW()-31,1)):INDIRECT(ADDRESS(22,ROW()-31,1)),AC$3:AC$22),"")</f>
        <v>3</v>
      </c>
      <c r="AD47">
        <f ca="1">IF(AND(((COLUMN()-10)&lt;=playercnt),((ROW()-41)&lt;=playercnt)),SUMPRODUCT(INDIRECT(ADDRESS(3,ROW()-31,1)):INDIRECT(ADDRESS(22,ROW()-31,1)),AD$3:AD$22),"")</f>
        <v>3</v>
      </c>
      <c r="AE47">
        <f ca="1">IF(AND(((COLUMN()-10)&lt;=playercnt),((ROW()-41)&lt;=playercnt)),SUMPRODUCT(INDIRECT(ADDRESS(3,ROW()-31,1)):INDIRECT(ADDRESS(22,ROW()-31,1)),AE$3:AE$22),"")</f>
        <v>3</v>
      </c>
      <c r="AF47">
        <f ca="1">IF(AND(((COLUMN()-10)&lt;=playercnt),((ROW()-41)&lt;=playercnt)),SUMPRODUCT(INDIRECT(ADDRESS(3,ROW()-31,1)):INDIRECT(ADDRESS(22,ROW()-31,1)),AF$3:AF$22),"")</f>
        <v>4</v>
      </c>
      <c r="AG47">
        <f ca="1">IF(AND(((COLUMN()-10)&lt;=playercnt),((ROW()-41)&lt;=playercnt)),SUMPRODUCT(INDIRECT(ADDRESS(3,ROW()-31,1)):INDIRECT(ADDRESS(22,ROW()-31,1)),AG$3:AG$22),"")</f>
        <v>4</v>
      </c>
      <c r="AH47">
        <f ca="1">IF(AND(((COLUMN()-10)&lt;=playercnt),((ROW()-41)&lt;=playercnt)),SUMPRODUCT(INDIRECT(ADDRESS(3,ROW()-31,1)):INDIRECT(ADDRESS(22,ROW()-31,1)),AH$3:AH$22),"")</f>
        <v>7</v>
      </c>
      <c r="AI47">
        <f ca="1">IF(AND(((COLUMN()-10)&lt;=playercnt),((ROW()-41)&lt;=playercnt)),SUMPRODUCT(INDIRECT(ADDRESS(3,ROW()-31,1)):INDIRECT(ADDRESS(22,ROW()-31,1)),AI$3:AI$22),"")</f>
        <v>5</v>
      </c>
      <c r="AJ47">
        <f ca="1">IF(AND(((COLUMN()-10)&lt;=playercnt),((ROW()-41)&lt;=playercnt)),SUMPRODUCT(INDIRECT(ADDRESS(3,ROW()-31,1)):INDIRECT(ADDRESS(22,ROW()-31,1)),AJ$3:AJ$22),"")</f>
        <v>5</v>
      </c>
      <c r="AK47">
        <f ca="1">IF(AND(((COLUMN()-10)&lt;=playercnt),((ROW()-41)&lt;=playercnt)),SUMPRODUCT(INDIRECT(ADDRESS(3,ROW()-31,1)):INDIRECT(ADDRESS(22,ROW()-31,1)),AK$3:AK$22),"")</f>
        <v>0</v>
      </c>
      <c r="AL47">
        <f ca="1">IF(AND(((COLUMN()-10)&lt;=playercnt),((ROW()-41)&lt;=playercnt)),SUMPRODUCT(INDIRECT(ADDRESS(3,ROW()-31,1)):INDIRECT(ADDRESS(22,ROW()-31,1)),AL$3:AL$22),"")</f>
        <v>6</v>
      </c>
      <c r="AM47">
        <f ca="1">IF(AND(((COLUMN()-10)&lt;=playercnt),((ROW()-41)&lt;=playercnt)),SUMPRODUCT(INDIRECT(ADDRESS(3,ROW()-31,1)):INDIRECT(ADDRESS(22,ROW()-31,1)),AM$3:AM$22),"")</f>
        <v>7</v>
      </c>
      <c r="AN47">
        <f ca="1">IF(AND(((COLUMN()-10)&lt;=playercnt),((ROW()-41)&lt;=playercnt)),SUMPRODUCT(INDIRECT(ADDRESS(3,ROW()-31,1)):INDIRECT(ADDRESS(22,ROW()-31,1)),AN$3:AN$22),"")</f>
        <v>5</v>
      </c>
      <c r="AO47">
        <f ca="1">IF(AND(((COLUMN()-10)&lt;=playercnt),((ROW()-41)&lt;=playercnt)),SUMPRODUCT(INDIRECT(ADDRESS(3,ROW()-31,1)):INDIRECT(ADDRESS(22,ROW()-31,1)),AO$3:AO$22),"")</f>
        <v>3</v>
      </c>
      <c r="AP47">
        <f ca="1">IF(AND(((COLUMN()-10)&lt;=playercnt),((ROW()-41)&lt;=playercnt)),SUMPRODUCT(INDIRECT(ADDRESS(3,ROW()-31,1)):INDIRECT(ADDRESS(22,ROW()-31,1)),AP$3:AP$22),"")</f>
        <v>0</v>
      </c>
      <c r="AQ47">
        <f ca="1">IF(AND(((COLUMN()-10)&lt;=playercnt),((ROW()-41)&lt;=playercnt)),SUMPRODUCT(INDIRECT(ADDRESS(3,ROW()-31,1)):INDIRECT(ADDRESS(22,ROW()-31,1)),AQ$3:AQ$22),"")</f>
        <v>5</v>
      </c>
      <c r="AR47">
        <f ca="1">IF(AND(((COLUMN()-10)&lt;=playercnt),((ROW()-41)&lt;=playercnt)),SUMPRODUCT(INDIRECT(ADDRESS(3,ROW()-31,1)):INDIRECT(ADDRESS(22,ROW()-31,1)),AR$3:AR$22),"")</f>
        <v>6</v>
      </c>
      <c r="AS47">
        <f ca="1">IF(AND(((COLUMN()-10)&lt;=playercnt),((ROW()-41)&lt;=playercnt)),SUMPRODUCT(INDIRECT(ADDRESS(3,ROW()-31,1)):INDIRECT(ADDRESS(22,ROW()-31,1)),AS$3:AS$22),"")</f>
        <v>5</v>
      </c>
      <c r="AT47">
        <f ca="1">IF(AND(((COLUMN()-10)&lt;=playercnt),((ROW()-41)&lt;=playercnt)),SUMPRODUCT(INDIRECT(ADDRESS(3,ROW()-31,1)):INDIRECT(ADDRESS(22,ROW()-31,1)),AT$3:AT$22),"")</f>
        <v>7</v>
      </c>
      <c r="AU47">
        <f ca="1">IF(AND(((COLUMN()-10)&lt;=playercnt),((ROW()-41)&lt;=playercnt)),SUMPRODUCT(INDIRECT(ADDRESS(3,ROW()-31,1)):INDIRECT(ADDRESS(22,ROW()-31,1)),AU$3:AU$22),"")</f>
        <v>7</v>
      </c>
      <c r="AV47">
        <f ca="1">IF(AND(((COLUMN()-10)&lt;=playercnt),((ROW()-41)&lt;=playercnt)),SUMPRODUCT(INDIRECT(ADDRESS(3,ROW()-31,1)):INDIRECT(ADDRESS(22,ROW()-31,1)),AV$3:AV$22),"")</f>
        <v>5</v>
      </c>
      <c r="AW47">
        <f ca="1">IF(AND(((COLUMN()-10)&lt;=playercnt),((ROW()-41)&lt;=playercnt)),SUMPRODUCT(INDIRECT(ADDRESS(3,ROW()-31,1)):INDIRECT(ADDRESS(22,ROW()-31,1)),AW$3:AW$22),"")</f>
        <v>5</v>
      </c>
      <c r="AX47">
        <f ca="1">IF(AND(((COLUMN()-10)&lt;=playercnt),((ROW()-41)&lt;=playercnt)),SUMPRODUCT(INDIRECT(ADDRESS(3,ROW()-31,1)):INDIRECT(ADDRESS(22,ROW()-31,1)),AX$3:AX$22),"")</f>
        <v>8</v>
      </c>
      <c r="AY47">
        <f ca="1">IF(AND(((COLUMN()-10)&lt;=playercnt),((ROW()-41)&lt;=playercnt)),SUMPRODUCT(INDIRECT(ADDRESS(3,ROW()-31,1)):INDIRECT(ADDRESS(22,ROW()-31,1)),AY$3:AY$22),"")</f>
        <v>7</v>
      </c>
      <c r="AZ47">
        <f ca="1">IF(AND(((COLUMN()-10)&lt;=playercnt),((ROW()-41)&lt;=playercnt)),SUMPRODUCT(INDIRECT(ADDRESS(3,ROW()-31,1)):INDIRECT(ADDRESS(22,ROW()-31,1)),AZ$3:AZ$22),"")</f>
        <v>6</v>
      </c>
      <c r="BA47">
        <f ca="1">IF(AND(((COLUMN()-10)&lt;=playercnt),((ROW()-41)&lt;=playercnt)),SUMPRODUCT(INDIRECT(ADDRESS(3,ROW()-31,1)):INDIRECT(ADDRESS(22,ROW()-31,1)),BA$3:BA$22),"")</f>
        <v>6</v>
      </c>
      <c r="BB47">
        <f ca="1">IF(AND(((COLUMN()-10)&lt;=playercnt),((ROW()-41)&lt;=playercnt)),SUMPRODUCT(INDIRECT(ADDRESS(3,ROW()-31,1)):INDIRECT(ADDRESS(22,ROW()-31,1)),BB$3:BB$22),"")</f>
        <v>6</v>
      </c>
      <c r="BC47">
        <f ca="1">IF(AND(((COLUMN()-10)&lt;=playercnt),((ROW()-41)&lt;=playercnt)),SUMPRODUCT(INDIRECT(ADDRESS(3,ROW()-31,1)):INDIRECT(ADDRESS(22,ROW()-31,1)),BC$3:BC$22),"")</f>
        <v>4</v>
      </c>
      <c r="BD47">
        <f ca="1">IF(AND(((COLUMN()-10)&lt;=playercnt),((ROW()-41)&lt;=playercnt)),SUMPRODUCT(INDIRECT(ADDRESS(3,ROW()-31,1)):INDIRECT(ADDRESS(22,ROW()-31,1)),BD$3:BD$22),"")</f>
        <v>4</v>
      </c>
      <c r="BE47">
        <f ca="1">IF(AND(((COLUMN()-10)&lt;=playercnt),((ROW()-41)&lt;=playercnt)),SUMPRODUCT(INDIRECT(ADDRESS(3,ROW()-31,1)):INDIRECT(ADDRESS(22,ROW()-31,1)),BE$3:BE$22),"")</f>
        <v>7</v>
      </c>
      <c r="BF47">
        <f ca="1">IF(AND(((COLUMN()-10)&lt;=playercnt),((ROW()-41)&lt;=playercnt)),SUMPRODUCT(INDIRECT(ADDRESS(3,ROW()-31,1)):INDIRECT(ADDRESS(22,ROW()-31,1)),BF$3:BF$22),"")</f>
        <v>7</v>
      </c>
      <c r="BG47">
        <f ca="1">IF(AND(((COLUMN()-10)&lt;=playercnt),((ROW()-41)&lt;=playercnt)),SUMPRODUCT(INDIRECT(ADDRESS(3,ROW()-31,1)):INDIRECT(ADDRESS(22,ROW()-31,1)),BG$3:BG$22),"")</f>
        <v>5</v>
      </c>
      <c r="BH47">
        <f ca="1">IF(AND(((COLUMN()-10)&lt;=playercnt),((ROW()-41)&lt;=playercnt)),SUMPRODUCT(INDIRECT(ADDRESS(3,ROW()-31,1)):INDIRECT(ADDRESS(22,ROW()-31,1)),BH$3:BH$22),"")</f>
        <v>3</v>
      </c>
      <c r="BI47">
        <f ca="1">IF(AND(((COLUMN()-10)&lt;=playercnt),((ROW()-41)&lt;=playercnt)),SUMPRODUCT(INDIRECT(ADDRESS(3,ROW()-31,1)):INDIRECT(ADDRESS(22,ROW()-31,1)),BI$3:BI$22),"")</f>
        <v>5</v>
      </c>
      <c r="BJ47">
        <f ca="1">IF(AND(((COLUMN()-10)&lt;=playercnt),((ROW()-41)&lt;=playercnt)),SUMPRODUCT(INDIRECT(ADDRESS(3,ROW()-31,1)):INDIRECT(ADDRESS(22,ROW()-31,1)),BJ$3:BJ$22),"")</f>
        <v>5</v>
      </c>
      <c r="BK47">
        <f ca="1">IF(AND(((COLUMN()-10)&lt;=playercnt),((ROW()-41)&lt;=playercnt)),SUMPRODUCT(INDIRECT(ADDRESS(3,ROW()-31,1)):INDIRECT(ADDRESS(22,ROW()-31,1)),BK$3:BK$22),"")</f>
        <v>5</v>
      </c>
      <c r="BL47">
        <f ca="1">IF(AND(((COLUMN()-10)&lt;=playercnt),((ROW()-41)&lt;=playercnt)),SUMPRODUCT(INDIRECT(ADDRESS(3,ROW()-31,1)):INDIRECT(ADDRESS(22,ROW()-31,1)),BL$3:BL$22),"")</f>
        <v>6</v>
      </c>
      <c r="BM47">
        <f ca="1">IF(AND(((COLUMN()-10)&lt;=playercnt),((ROW()-41)&lt;=playercnt)),SUMPRODUCT(INDIRECT(ADDRESS(3,ROW()-31,1)):INDIRECT(ADDRESS(22,ROW()-31,1)),BM$3:BM$22),"")</f>
        <v>5</v>
      </c>
      <c r="BN47">
        <f ca="1">IF(AND(((COLUMN()-10)&lt;=playercnt),((ROW()-41)&lt;=playercnt)),SUMPRODUCT(INDIRECT(ADDRESS(3,ROW()-31,1)):INDIRECT(ADDRESS(22,ROW()-31,1)),BN$3:BN$22),"")</f>
        <v>4</v>
      </c>
    </row>
    <row r="48" spans="1:66" x14ac:dyDescent="0.2">
      <c r="B48" s="27">
        <f t="shared" ca="1" si="23"/>
        <v>6.283018867924528</v>
      </c>
      <c r="C48" t="str">
        <f t="shared" ca="1" si="22"/>
        <v>Daffron, Christopher</v>
      </c>
      <c r="G48">
        <f ca="1">IF(AND(((COLUMN()-10)&lt;=playercnt),((ROW()-41)&lt;=playercnt)),SUMPRODUCT(INDIRECT(ADDRESS(3,ROW()-31,1)):INDIRECT(ADDRESS(22,ROW()-31,1)),G$3:G$22),"")</f>
        <v>4</v>
      </c>
      <c r="H48">
        <f ca="1">IF(AND(((COLUMN()-10)&lt;=playercnt),((ROW()-41)&lt;=playercnt)),SUMPRODUCT(INDIRECT(ADDRESS(3,ROW()-31,1)):INDIRECT(ADDRESS(22,ROW()-31,1)),H$3:H$22),"")</f>
        <v>7</v>
      </c>
      <c r="I48">
        <f ca="1">IF(AND(((COLUMN()-10)&lt;=playercnt),((ROW()-41)&lt;=playercnt)),SUMPRODUCT(INDIRECT(ADDRESS(3,ROW()-31,1)):INDIRECT(ADDRESS(22,ROW()-31,1)),I$3:I$22),"")</f>
        <v>7.5</v>
      </c>
      <c r="J48">
        <f ca="1">IF(AND(((COLUMN()-10)&lt;=playercnt),((ROW()-41)&lt;=playercnt)),SUMPRODUCT(INDIRECT(ADDRESS(3,ROW()-31,1)):INDIRECT(ADDRESS(22,ROW()-31,1)),J$3:J$22),"")</f>
        <v>0</v>
      </c>
      <c r="K48">
        <f ca="1">IF(AND(((COLUMN()-10)&lt;=playercnt),((ROW()-41)&lt;=playercnt)),SUMPRODUCT(INDIRECT(ADDRESS(3,ROW()-31,1)):INDIRECT(ADDRESS(22,ROW()-31,1)),K$3:K$22),"")</f>
        <v>5</v>
      </c>
      <c r="L48">
        <f ca="1">IF(AND(((COLUMN()-10)&lt;=playercnt),((ROW()-41)&lt;=playercnt)),SUMPRODUCT(INDIRECT(ADDRESS(3,ROW()-31,1)):INDIRECT(ADDRESS(22,ROW()-31,1)),L$3:L$22),"")</f>
        <v>6</v>
      </c>
      <c r="M48">
        <f ca="1">IF(AND(((COLUMN()-10)&lt;=playercnt),((ROW()-41)&lt;=playercnt)),SUMPRODUCT(INDIRECT(ADDRESS(3,ROW()-31,1)):INDIRECT(ADDRESS(22,ROW()-31,1)),M$3:M$22),"")</f>
        <v>7</v>
      </c>
      <c r="N48">
        <f ca="1">IF(AND(((COLUMN()-10)&lt;=playercnt),((ROW()-41)&lt;=playercnt)),SUMPRODUCT(INDIRECT(ADDRESS(3,ROW()-31,1)):INDIRECT(ADDRESS(22,ROW()-31,1)),N$3:N$22),"")</f>
        <v>6</v>
      </c>
      <c r="O48">
        <f ca="1">IF(AND(((COLUMN()-10)&lt;=playercnt),((ROW()-41)&lt;=playercnt)),SUMPRODUCT(INDIRECT(ADDRESS(3,ROW()-31,1)):INDIRECT(ADDRESS(22,ROW()-31,1)),O$3:O$22),"")</f>
        <v>8</v>
      </c>
      <c r="P48">
        <f ca="1">IF(AND(((COLUMN()-10)&lt;=playercnt),((ROW()-41)&lt;=playercnt)),SUMPRODUCT(INDIRECT(ADDRESS(3,ROW()-31,1)):INDIRECT(ADDRESS(22,ROW()-31,1)),P$3:P$22),"")</f>
        <v>7</v>
      </c>
      <c r="Q48">
        <f ca="1">IF(AND(((COLUMN()-10)&lt;=playercnt),((ROW()-41)&lt;=playercnt)),SUMPRODUCT(INDIRECT(ADDRESS(3,ROW()-31,1)):INDIRECT(ADDRESS(22,ROW()-31,1)),Q$3:Q$22),"")</f>
        <v>10</v>
      </c>
      <c r="R48">
        <f ca="1">IF(AND(((COLUMN()-10)&lt;=playercnt),((ROW()-41)&lt;=playercnt)),SUMPRODUCT(INDIRECT(ADDRESS(3,ROW()-31,1)):INDIRECT(ADDRESS(22,ROW()-31,1)),R$3:R$22),"")</f>
        <v>4</v>
      </c>
      <c r="S48">
        <f ca="1">IF(AND(((COLUMN()-10)&lt;=playercnt),((ROW()-41)&lt;=playercnt)),SUMPRODUCT(INDIRECT(ADDRESS(3,ROW()-31,1)):INDIRECT(ADDRESS(22,ROW()-31,1)),S$3:S$22),"")</f>
        <v>6</v>
      </c>
      <c r="T48">
        <f ca="1">IF(AND(((COLUMN()-10)&lt;=playercnt),((ROW()-41)&lt;=playercnt)),SUMPRODUCT(INDIRECT(ADDRESS(3,ROW()-31,1)):INDIRECT(ADDRESS(22,ROW()-31,1)),T$3:T$22),"")</f>
        <v>9</v>
      </c>
      <c r="U48">
        <f ca="1">IF(AND(((COLUMN()-10)&lt;=playercnt),((ROW()-41)&lt;=playercnt)),SUMPRODUCT(INDIRECT(ADDRESS(3,ROW()-31,1)):INDIRECT(ADDRESS(22,ROW()-31,1)),U$3:U$22),"")</f>
        <v>6</v>
      </c>
      <c r="V48">
        <f ca="1">IF(AND(((COLUMN()-10)&lt;=playercnt),((ROW()-41)&lt;=playercnt)),SUMPRODUCT(INDIRECT(ADDRESS(3,ROW()-31,1)):INDIRECT(ADDRESS(22,ROW()-31,1)),V$3:V$22),"")</f>
        <v>6</v>
      </c>
      <c r="W48">
        <f ca="1">IF(AND(((COLUMN()-10)&lt;=playercnt),((ROW()-41)&lt;=playercnt)),SUMPRODUCT(INDIRECT(ADDRESS(3,ROW()-31,1)):INDIRECT(ADDRESS(22,ROW()-31,1)),W$3:W$22),"")</f>
        <v>6</v>
      </c>
      <c r="X48">
        <f ca="1">IF(AND(((COLUMN()-10)&lt;=playercnt),((ROW()-41)&lt;=playercnt)),SUMPRODUCT(INDIRECT(ADDRESS(3,ROW()-31,1)):INDIRECT(ADDRESS(22,ROW()-31,1)),X$3:X$22),"")</f>
        <v>7</v>
      </c>
      <c r="Y48">
        <f ca="1">IF(AND(((COLUMN()-10)&lt;=playercnt),((ROW()-41)&lt;=playercnt)),SUMPRODUCT(INDIRECT(ADDRESS(3,ROW()-31,1)):INDIRECT(ADDRESS(22,ROW()-31,1)),Y$3:Y$22),"")</f>
        <v>6</v>
      </c>
      <c r="Z48">
        <f ca="1">IF(AND(((COLUMN()-10)&lt;=playercnt),((ROW()-41)&lt;=playercnt)),SUMPRODUCT(INDIRECT(ADDRESS(3,ROW()-31,1)):INDIRECT(ADDRESS(22,ROW()-31,1)),Z$3:Z$22),"")</f>
        <v>7</v>
      </c>
      <c r="AA48">
        <f ca="1">IF(AND(((COLUMN()-10)&lt;=playercnt),((ROW()-41)&lt;=playercnt)),SUMPRODUCT(INDIRECT(ADDRESS(3,ROW()-31,1)):INDIRECT(ADDRESS(22,ROW()-31,1)),AA$3:AA$22),"")</f>
        <v>6</v>
      </c>
      <c r="AB48">
        <f ca="1">IF(AND(((COLUMN()-10)&lt;=playercnt),((ROW()-41)&lt;=playercnt)),SUMPRODUCT(INDIRECT(ADDRESS(3,ROW()-31,1)):INDIRECT(ADDRESS(22,ROW()-31,1)),AB$3:AB$22),"")</f>
        <v>5</v>
      </c>
      <c r="AC48">
        <f ca="1">IF(AND(((COLUMN()-10)&lt;=playercnt),((ROW()-41)&lt;=playercnt)),SUMPRODUCT(INDIRECT(ADDRESS(3,ROW()-31,1)):INDIRECT(ADDRESS(22,ROW()-31,1)),AC$3:AC$22),"")</f>
        <v>4</v>
      </c>
      <c r="AD48">
        <f ca="1">IF(AND(((COLUMN()-10)&lt;=playercnt),((ROW()-41)&lt;=playercnt)),SUMPRODUCT(INDIRECT(ADDRESS(3,ROW()-31,1)):INDIRECT(ADDRESS(22,ROW()-31,1)),AD$3:AD$22),"")</f>
        <v>6</v>
      </c>
      <c r="AE48">
        <f ca="1">IF(AND(((COLUMN()-10)&lt;=playercnt),((ROW()-41)&lt;=playercnt)),SUMPRODUCT(INDIRECT(ADDRESS(3,ROW()-31,1)):INDIRECT(ADDRESS(22,ROW()-31,1)),AE$3:AE$22),"")</f>
        <v>6</v>
      </c>
      <c r="AF48">
        <f ca="1">IF(AND(((COLUMN()-10)&lt;=playercnt),((ROW()-41)&lt;=playercnt)),SUMPRODUCT(INDIRECT(ADDRESS(3,ROW()-31,1)):INDIRECT(ADDRESS(22,ROW()-31,1)),AF$3:AF$22),"")</f>
        <v>7</v>
      </c>
      <c r="AG48">
        <f ca="1">IF(AND(((COLUMN()-10)&lt;=playercnt),((ROW()-41)&lt;=playercnt)),SUMPRODUCT(INDIRECT(ADDRESS(3,ROW()-31,1)):INDIRECT(ADDRESS(22,ROW()-31,1)),AG$3:AG$22),"")</f>
        <v>5</v>
      </c>
      <c r="AH48">
        <f ca="1">IF(AND(((COLUMN()-10)&lt;=playercnt),((ROW()-41)&lt;=playercnt)),SUMPRODUCT(INDIRECT(ADDRESS(3,ROW()-31,1)):INDIRECT(ADDRESS(22,ROW()-31,1)),AH$3:AH$22),"")</f>
        <v>6</v>
      </c>
      <c r="AI48">
        <f ca="1">IF(AND(((COLUMN()-10)&lt;=playercnt),((ROW()-41)&lt;=playercnt)),SUMPRODUCT(INDIRECT(ADDRESS(3,ROW()-31,1)):INDIRECT(ADDRESS(22,ROW()-31,1)),AI$3:AI$22),"")</f>
        <v>8</v>
      </c>
      <c r="AJ48">
        <f ca="1">IF(AND(((COLUMN()-10)&lt;=playercnt),((ROW()-41)&lt;=playercnt)),SUMPRODUCT(INDIRECT(ADDRESS(3,ROW()-31,1)):INDIRECT(ADDRESS(22,ROW()-31,1)),AJ$3:AJ$22),"")</f>
        <v>6</v>
      </c>
      <c r="AK48">
        <f ca="1">IF(AND(((COLUMN()-10)&lt;=playercnt),((ROW()-41)&lt;=playercnt)),SUMPRODUCT(INDIRECT(ADDRESS(3,ROW()-31,1)):INDIRECT(ADDRESS(22,ROW()-31,1)),AK$3:AK$22),"")</f>
        <v>0</v>
      </c>
      <c r="AL48">
        <f ca="1">IF(AND(((COLUMN()-10)&lt;=playercnt),((ROW()-41)&lt;=playercnt)),SUMPRODUCT(INDIRECT(ADDRESS(3,ROW()-31,1)):INDIRECT(ADDRESS(22,ROW()-31,1)),AL$3:AL$22),"")</f>
        <v>7</v>
      </c>
      <c r="AM48">
        <f ca="1">IF(AND(((COLUMN()-10)&lt;=playercnt),((ROW()-41)&lt;=playercnt)),SUMPRODUCT(INDIRECT(ADDRESS(3,ROW()-31,1)):INDIRECT(ADDRESS(22,ROW()-31,1)),AM$3:AM$22),"")</f>
        <v>6</v>
      </c>
      <c r="AN48">
        <f ca="1">IF(AND(((COLUMN()-10)&lt;=playercnt),((ROW()-41)&lt;=playercnt)),SUMPRODUCT(INDIRECT(ADDRESS(3,ROW()-31,1)):INDIRECT(ADDRESS(22,ROW()-31,1)),AN$3:AN$22),"")</f>
        <v>6</v>
      </c>
      <c r="AO48">
        <f ca="1">IF(AND(((COLUMN()-10)&lt;=playercnt),((ROW()-41)&lt;=playercnt)),SUMPRODUCT(INDIRECT(ADDRESS(3,ROW()-31,1)):INDIRECT(ADDRESS(22,ROW()-31,1)),AO$3:AO$22),"")</f>
        <v>6</v>
      </c>
      <c r="AP48">
        <f ca="1">IF(AND(((COLUMN()-10)&lt;=playercnt),((ROW()-41)&lt;=playercnt)),SUMPRODUCT(INDIRECT(ADDRESS(3,ROW()-31,1)):INDIRECT(ADDRESS(22,ROW()-31,1)),AP$3:AP$22),"")</f>
        <v>0</v>
      </c>
      <c r="AQ48">
        <f ca="1">IF(AND(((COLUMN()-10)&lt;=playercnt),((ROW()-41)&lt;=playercnt)),SUMPRODUCT(INDIRECT(ADDRESS(3,ROW()-31,1)):INDIRECT(ADDRESS(22,ROW()-31,1)),AQ$3:AQ$22),"")</f>
        <v>6</v>
      </c>
      <c r="AR48">
        <f ca="1">IF(AND(((COLUMN()-10)&lt;=playercnt),((ROW()-41)&lt;=playercnt)),SUMPRODUCT(INDIRECT(ADDRESS(3,ROW()-31,1)):INDIRECT(ADDRESS(22,ROW()-31,1)),AR$3:AR$22),"")</f>
        <v>5</v>
      </c>
      <c r="AS48">
        <f ca="1">IF(AND(((COLUMN()-10)&lt;=playercnt),((ROW()-41)&lt;=playercnt)),SUMPRODUCT(INDIRECT(ADDRESS(3,ROW()-31,1)):INDIRECT(ADDRESS(22,ROW()-31,1)),AS$3:AS$22),"")</f>
        <v>8</v>
      </c>
      <c r="AT48">
        <f ca="1">IF(AND(((COLUMN()-10)&lt;=playercnt),((ROW()-41)&lt;=playercnt)),SUMPRODUCT(INDIRECT(ADDRESS(3,ROW()-31,1)):INDIRECT(ADDRESS(22,ROW()-31,1)),AT$3:AT$22),"")</f>
        <v>6</v>
      </c>
      <c r="AU48">
        <f ca="1">IF(AND(((COLUMN()-10)&lt;=playercnt),((ROW()-41)&lt;=playercnt)),SUMPRODUCT(INDIRECT(ADDRESS(3,ROW()-31,1)):INDIRECT(ADDRESS(22,ROW()-31,1)),AU$3:AU$22),"")</f>
        <v>8</v>
      </c>
      <c r="AV48">
        <f ca="1">IF(AND(((COLUMN()-10)&lt;=playercnt),((ROW()-41)&lt;=playercnt)),SUMPRODUCT(INDIRECT(ADDRESS(3,ROW()-31,1)):INDIRECT(ADDRESS(22,ROW()-31,1)),AV$3:AV$22),"")</f>
        <v>6</v>
      </c>
      <c r="AW48">
        <f ca="1">IF(AND(((COLUMN()-10)&lt;=playercnt),((ROW()-41)&lt;=playercnt)),SUMPRODUCT(INDIRECT(ADDRESS(3,ROW()-31,1)):INDIRECT(ADDRESS(22,ROW()-31,1)),AW$3:AW$22),"")</f>
        <v>8</v>
      </c>
      <c r="AX48">
        <f ca="1">IF(AND(((COLUMN()-10)&lt;=playercnt),((ROW()-41)&lt;=playercnt)),SUMPRODUCT(INDIRECT(ADDRESS(3,ROW()-31,1)):INDIRECT(ADDRESS(22,ROW()-31,1)),AX$3:AX$22),"")</f>
        <v>7</v>
      </c>
      <c r="AY48">
        <f ca="1">IF(AND(((COLUMN()-10)&lt;=playercnt),((ROW()-41)&lt;=playercnt)),SUMPRODUCT(INDIRECT(ADDRESS(3,ROW()-31,1)):INDIRECT(ADDRESS(22,ROW()-31,1)),AY$3:AY$22),"")</f>
        <v>6</v>
      </c>
      <c r="AZ48">
        <f ca="1">IF(AND(((COLUMN()-10)&lt;=playercnt),((ROW()-41)&lt;=playercnt)),SUMPRODUCT(INDIRECT(ADDRESS(3,ROW()-31,1)):INDIRECT(ADDRESS(22,ROW()-31,1)),AZ$3:AZ$22),"")</f>
        <v>7</v>
      </c>
      <c r="BA48">
        <f ca="1">IF(AND(((COLUMN()-10)&lt;=playercnt),((ROW()-41)&lt;=playercnt)),SUMPRODUCT(INDIRECT(ADDRESS(3,ROW()-31,1)):INDIRECT(ADDRESS(22,ROW()-31,1)),BA$3:BA$22),"")</f>
        <v>7</v>
      </c>
      <c r="BB48">
        <f ca="1">IF(AND(((COLUMN()-10)&lt;=playercnt),((ROW()-41)&lt;=playercnt)),SUMPRODUCT(INDIRECT(ADDRESS(3,ROW()-31,1)):INDIRECT(ADDRESS(22,ROW()-31,1)),BB$3:BB$22),"")</f>
        <v>7</v>
      </c>
      <c r="BC48">
        <f ca="1">IF(AND(((COLUMN()-10)&lt;=playercnt),((ROW()-41)&lt;=playercnt)),SUMPRODUCT(INDIRECT(ADDRESS(3,ROW()-31,1)):INDIRECT(ADDRESS(22,ROW()-31,1)),BC$3:BC$22),"")</f>
        <v>5</v>
      </c>
      <c r="BD48">
        <f ca="1">IF(AND(((COLUMN()-10)&lt;=playercnt),((ROW()-41)&lt;=playercnt)),SUMPRODUCT(INDIRECT(ADDRESS(3,ROW()-31,1)):INDIRECT(ADDRESS(22,ROW()-31,1)),BD$3:BD$22),"")</f>
        <v>5</v>
      </c>
      <c r="BE48">
        <f ca="1">IF(AND(((COLUMN()-10)&lt;=playercnt),((ROW()-41)&lt;=playercnt)),SUMPRODUCT(INDIRECT(ADDRESS(3,ROW()-31,1)):INDIRECT(ADDRESS(22,ROW()-31,1)),BE$3:BE$22),"")</f>
        <v>10</v>
      </c>
      <c r="BF48">
        <f ca="1">IF(AND(((COLUMN()-10)&lt;=playercnt),((ROW()-41)&lt;=playercnt)),SUMPRODUCT(INDIRECT(ADDRESS(3,ROW()-31,1)):INDIRECT(ADDRESS(22,ROW()-31,1)),BF$3:BF$22),"")</f>
        <v>6</v>
      </c>
      <c r="BG48">
        <f ca="1">IF(AND(((COLUMN()-10)&lt;=playercnt),((ROW()-41)&lt;=playercnt)),SUMPRODUCT(INDIRECT(ADDRESS(3,ROW()-31,1)):INDIRECT(ADDRESS(22,ROW()-31,1)),BG$3:BG$22),"")</f>
        <v>8</v>
      </c>
      <c r="BH48">
        <f ca="1">IF(AND(((COLUMN()-10)&lt;=playercnt),((ROW()-41)&lt;=playercnt)),SUMPRODUCT(INDIRECT(ADDRESS(3,ROW()-31,1)):INDIRECT(ADDRESS(22,ROW()-31,1)),BH$3:BH$22),"")</f>
        <v>4</v>
      </c>
      <c r="BI48">
        <f ca="1">IF(AND(((COLUMN()-10)&lt;=playercnt),((ROW()-41)&lt;=playercnt)),SUMPRODUCT(INDIRECT(ADDRESS(3,ROW()-31,1)):INDIRECT(ADDRESS(22,ROW()-31,1)),BI$3:BI$22),"")</f>
        <v>6</v>
      </c>
      <c r="BJ48">
        <f ca="1">IF(AND(((COLUMN()-10)&lt;=playercnt),((ROW()-41)&lt;=playercnt)),SUMPRODUCT(INDIRECT(ADDRESS(3,ROW()-31,1)):INDIRECT(ADDRESS(22,ROW()-31,1)),BJ$3:BJ$22),"")</f>
        <v>8</v>
      </c>
      <c r="BK48">
        <f ca="1">IF(AND(((COLUMN()-10)&lt;=playercnt),((ROW()-41)&lt;=playercnt)),SUMPRODUCT(INDIRECT(ADDRESS(3,ROW()-31,1)):INDIRECT(ADDRESS(22,ROW()-31,1)),BK$3:BK$22),"")</f>
        <v>4</v>
      </c>
      <c r="BL48">
        <f ca="1">IF(AND(((COLUMN()-10)&lt;=playercnt),((ROW()-41)&lt;=playercnt)),SUMPRODUCT(INDIRECT(ADDRESS(3,ROW()-31,1)):INDIRECT(ADDRESS(22,ROW()-31,1)),BL$3:BL$22),"")</f>
        <v>7</v>
      </c>
      <c r="BM48">
        <f ca="1">IF(AND(((COLUMN()-10)&lt;=playercnt),((ROW()-41)&lt;=playercnt)),SUMPRODUCT(INDIRECT(ADDRESS(3,ROW()-31,1)):INDIRECT(ADDRESS(22,ROW()-31,1)),BM$3:BM$22),"")</f>
        <v>6</v>
      </c>
      <c r="BN48">
        <f ca="1">IF(AND(((COLUMN()-10)&lt;=playercnt),((ROW()-41)&lt;=playercnt)),SUMPRODUCT(INDIRECT(ADDRESS(3,ROW()-31,1)):INDIRECT(ADDRESS(22,ROW()-31,1)),BN$3:BN$22),"")</f>
        <v>3</v>
      </c>
    </row>
    <row r="49" spans="1:66" x14ac:dyDescent="0.2">
      <c r="B49" s="27">
        <f t="shared" ca="1" si="23"/>
        <v>4.5094339622641506</v>
      </c>
      <c r="C49" t="str">
        <f t="shared" ca="1" si="22"/>
        <v>Delehanty, Kyle T</v>
      </c>
      <c r="G49">
        <f ca="1">IF(AND(((COLUMN()-10)&lt;=playercnt),((ROW()-41)&lt;=playercnt)),SUMPRODUCT(INDIRECT(ADDRESS(3,ROW()-31,1)):INDIRECT(ADDRESS(22,ROW()-31,1)),G$3:G$22),"")</f>
        <v>8</v>
      </c>
      <c r="H49">
        <f ca="1">IF(AND(((COLUMN()-10)&lt;=playercnt),((ROW()-41)&lt;=playercnt)),SUMPRODUCT(INDIRECT(ADDRESS(3,ROW()-31,1)):INDIRECT(ADDRESS(22,ROW()-31,1)),H$3:H$22),"")</f>
        <v>5</v>
      </c>
      <c r="I49">
        <f ca="1">IF(AND(((COLUMN()-10)&lt;=playercnt),((ROW()-41)&lt;=playercnt)),SUMPRODUCT(INDIRECT(ADDRESS(3,ROW()-31,1)):INDIRECT(ADDRESS(22,ROW()-31,1)),I$3:I$22),"")</f>
        <v>4.5</v>
      </c>
      <c r="J49">
        <f ca="1">IF(AND(((COLUMN()-10)&lt;=playercnt),((ROW()-41)&lt;=playercnt)),SUMPRODUCT(INDIRECT(ADDRESS(3,ROW()-31,1)):INDIRECT(ADDRESS(22,ROW()-31,1)),J$3:J$22),"")</f>
        <v>0</v>
      </c>
      <c r="K49">
        <f ca="1">IF(AND(((COLUMN()-10)&lt;=playercnt),((ROW()-41)&lt;=playercnt)),SUMPRODUCT(INDIRECT(ADDRESS(3,ROW()-31,1)):INDIRECT(ADDRESS(22,ROW()-31,1)),K$3:K$22),"")</f>
        <v>5</v>
      </c>
      <c r="L49">
        <f ca="1">IF(AND(((COLUMN()-10)&lt;=playercnt),((ROW()-41)&lt;=playercnt)),SUMPRODUCT(INDIRECT(ADDRESS(3,ROW()-31,1)):INDIRECT(ADDRESS(22,ROW()-31,1)),L$3:L$22),"")</f>
        <v>6</v>
      </c>
      <c r="M49">
        <f ca="1">IF(AND(((COLUMN()-10)&lt;=playercnt),((ROW()-41)&lt;=playercnt)),SUMPRODUCT(INDIRECT(ADDRESS(3,ROW()-31,1)):INDIRECT(ADDRESS(22,ROW()-31,1)),M$3:M$22),"")</f>
        <v>3</v>
      </c>
      <c r="N49">
        <f ca="1">IF(AND(((COLUMN()-10)&lt;=playercnt),((ROW()-41)&lt;=playercnt)),SUMPRODUCT(INDIRECT(ADDRESS(3,ROW()-31,1)):INDIRECT(ADDRESS(22,ROW()-31,1)),N$3:N$22),"")</f>
        <v>6</v>
      </c>
      <c r="O49">
        <f ca="1">IF(AND(((COLUMN()-10)&lt;=playercnt),((ROW()-41)&lt;=playercnt)),SUMPRODUCT(INDIRECT(ADDRESS(3,ROW()-31,1)):INDIRECT(ADDRESS(22,ROW()-31,1)),O$3:O$22),"")</f>
        <v>6</v>
      </c>
      <c r="P49">
        <f ca="1">IF(AND(((COLUMN()-10)&lt;=playercnt),((ROW()-41)&lt;=playercnt)),SUMPRODUCT(INDIRECT(ADDRESS(3,ROW()-31,1)):INDIRECT(ADDRESS(22,ROW()-31,1)),P$3:P$22),"")</f>
        <v>5</v>
      </c>
      <c r="Q49">
        <f ca="1">IF(AND(((COLUMN()-10)&lt;=playercnt),((ROW()-41)&lt;=playercnt)),SUMPRODUCT(INDIRECT(ADDRESS(3,ROW()-31,1)):INDIRECT(ADDRESS(22,ROW()-31,1)),Q$3:Q$22),"")</f>
        <v>4</v>
      </c>
      <c r="R49">
        <f ca="1">IF(AND(((COLUMN()-10)&lt;=playercnt),((ROW()-41)&lt;=playercnt)),SUMPRODUCT(INDIRECT(ADDRESS(3,ROW()-31,1)):INDIRECT(ADDRESS(22,ROW()-31,1)),R$3:R$22),"")</f>
        <v>10</v>
      </c>
      <c r="S49">
        <f ca="1">IF(AND(((COLUMN()-10)&lt;=playercnt),((ROW()-41)&lt;=playercnt)),SUMPRODUCT(INDIRECT(ADDRESS(3,ROW()-31,1)):INDIRECT(ADDRESS(22,ROW()-31,1)),S$3:S$22),"")</f>
        <v>4</v>
      </c>
      <c r="T49">
        <f ca="1">IF(AND(((COLUMN()-10)&lt;=playercnt),((ROW()-41)&lt;=playercnt)),SUMPRODUCT(INDIRECT(ADDRESS(3,ROW()-31,1)):INDIRECT(ADDRESS(22,ROW()-31,1)),T$3:T$22),"")</f>
        <v>3</v>
      </c>
      <c r="U49">
        <f ca="1">IF(AND(((COLUMN()-10)&lt;=playercnt),((ROW()-41)&lt;=playercnt)),SUMPRODUCT(INDIRECT(ADDRESS(3,ROW()-31,1)):INDIRECT(ADDRESS(22,ROW()-31,1)),U$3:U$22),"")</f>
        <v>6</v>
      </c>
      <c r="V49">
        <f ca="1">IF(AND(((COLUMN()-10)&lt;=playercnt),((ROW()-41)&lt;=playercnt)),SUMPRODUCT(INDIRECT(ADDRESS(3,ROW()-31,1)):INDIRECT(ADDRESS(22,ROW()-31,1)),V$3:V$22),"")</f>
        <v>2</v>
      </c>
      <c r="W49">
        <f ca="1">IF(AND(((COLUMN()-10)&lt;=playercnt),((ROW()-41)&lt;=playercnt)),SUMPRODUCT(INDIRECT(ADDRESS(3,ROW()-31,1)):INDIRECT(ADDRESS(22,ROW()-31,1)),W$3:W$22),"")</f>
        <v>4</v>
      </c>
      <c r="X49">
        <f ca="1">IF(AND(((COLUMN()-10)&lt;=playercnt),((ROW()-41)&lt;=playercnt)),SUMPRODUCT(INDIRECT(ADDRESS(3,ROW()-31,1)):INDIRECT(ADDRESS(22,ROW()-31,1)),X$3:X$22),"")</f>
        <v>5</v>
      </c>
      <c r="Y49">
        <f ca="1">IF(AND(((COLUMN()-10)&lt;=playercnt),((ROW()-41)&lt;=playercnt)),SUMPRODUCT(INDIRECT(ADDRESS(3,ROW()-31,1)):INDIRECT(ADDRESS(22,ROW()-31,1)),Y$3:Y$22),"")</f>
        <v>6</v>
      </c>
      <c r="Z49">
        <f ca="1">IF(AND(((COLUMN()-10)&lt;=playercnt),((ROW()-41)&lt;=playercnt)),SUMPRODUCT(INDIRECT(ADDRESS(3,ROW()-31,1)):INDIRECT(ADDRESS(22,ROW()-31,1)),Z$3:Z$22),"")</f>
        <v>1</v>
      </c>
      <c r="AA49">
        <f ca="1">IF(AND(((COLUMN()-10)&lt;=playercnt),((ROW()-41)&lt;=playercnt)),SUMPRODUCT(INDIRECT(ADDRESS(3,ROW()-31,1)):INDIRECT(ADDRESS(22,ROW()-31,1)),AA$3:AA$22),"")</f>
        <v>4</v>
      </c>
      <c r="AB49">
        <f ca="1">IF(AND(((COLUMN()-10)&lt;=playercnt),((ROW()-41)&lt;=playercnt)),SUMPRODUCT(INDIRECT(ADDRESS(3,ROW()-31,1)):INDIRECT(ADDRESS(22,ROW()-31,1)),AB$3:AB$22),"")</f>
        <v>5</v>
      </c>
      <c r="AC49">
        <f ca="1">IF(AND(((COLUMN()-10)&lt;=playercnt),((ROW()-41)&lt;=playercnt)),SUMPRODUCT(INDIRECT(ADDRESS(3,ROW()-31,1)):INDIRECT(ADDRESS(22,ROW()-31,1)),AC$3:AC$22),"")</f>
        <v>6</v>
      </c>
      <c r="AD49">
        <f ca="1">IF(AND(((COLUMN()-10)&lt;=playercnt),((ROW()-41)&lt;=playercnt)),SUMPRODUCT(INDIRECT(ADDRESS(3,ROW()-31,1)):INDIRECT(ADDRESS(22,ROW()-31,1)),AD$3:AD$22),"")</f>
        <v>6</v>
      </c>
      <c r="AE49">
        <f ca="1">IF(AND(((COLUMN()-10)&lt;=playercnt),((ROW()-41)&lt;=playercnt)),SUMPRODUCT(INDIRECT(ADDRESS(3,ROW()-31,1)):INDIRECT(ADDRESS(22,ROW()-31,1)),AE$3:AE$22),"")</f>
        <v>6</v>
      </c>
      <c r="AF49">
        <f ca="1">IF(AND(((COLUMN()-10)&lt;=playercnt),((ROW()-41)&lt;=playercnt)),SUMPRODUCT(INDIRECT(ADDRESS(3,ROW()-31,1)):INDIRECT(ADDRESS(22,ROW()-31,1)),AF$3:AF$22),"")</f>
        <v>3</v>
      </c>
      <c r="AG49">
        <f ca="1">IF(AND(((COLUMN()-10)&lt;=playercnt),((ROW()-41)&lt;=playercnt)),SUMPRODUCT(INDIRECT(ADDRESS(3,ROW()-31,1)):INDIRECT(ADDRESS(22,ROW()-31,1)),AG$3:AG$22),"")</f>
        <v>3</v>
      </c>
      <c r="AH49">
        <f ca="1">IF(AND(((COLUMN()-10)&lt;=playercnt),((ROW()-41)&lt;=playercnt)),SUMPRODUCT(INDIRECT(ADDRESS(3,ROW()-31,1)):INDIRECT(ADDRESS(22,ROW()-31,1)),AH$3:AH$22),"")</f>
        <v>6</v>
      </c>
      <c r="AI49">
        <f ca="1">IF(AND(((COLUMN()-10)&lt;=playercnt),((ROW()-41)&lt;=playercnt)),SUMPRODUCT(INDIRECT(ADDRESS(3,ROW()-31,1)):INDIRECT(ADDRESS(22,ROW()-31,1)),AI$3:AI$22),"")</f>
        <v>4</v>
      </c>
      <c r="AJ49">
        <f ca="1">IF(AND(((COLUMN()-10)&lt;=playercnt),((ROW()-41)&lt;=playercnt)),SUMPRODUCT(INDIRECT(ADDRESS(3,ROW()-31,1)):INDIRECT(ADDRESS(22,ROW()-31,1)),AJ$3:AJ$22),"")</f>
        <v>2</v>
      </c>
      <c r="AK49">
        <f ca="1">IF(AND(((COLUMN()-10)&lt;=playercnt),((ROW()-41)&lt;=playercnt)),SUMPRODUCT(INDIRECT(ADDRESS(3,ROW()-31,1)):INDIRECT(ADDRESS(22,ROW()-31,1)),AK$3:AK$22),"")</f>
        <v>0</v>
      </c>
      <c r="AL49">
        <f ca="1">IF(AND(((COLUMN()-10)&lt;=playercnt),((ROW()-41)&lt;=playercnt)),SUMPRODUCT(INDIRECT(ADDRESS(3,ROW()-31,1)):INDIRECT(ADDRESS(22,ROW()-31,1)),AL$3:AL$22),"")</f>
        <v>5</v>
      </c>
      <c r="AM49">
        <f ca="1">IF(AND(((COLUMN()-10)&lt;=playercnt),((ROW()-41)&lt;=playercnt)),SUMPRODUCT(INDIRECT(ADDRESS(3,ROW()-31,1)):INDIRECT(ADDRESS(22,ROW()-31,1)),AM$3:AM$22),"")</f>
        <v>6</v>
      </c>
      <c r="AN49">
        <f ca="1">IF(AND(((COLUMN()-10)&lt;=playercnt),((ROW()-41)&lt;=playercnt)),SUMPRODUCT(INDIRECT(ADDRESS(3,ROW()-31,1)):INDIRECT(ADDRESS(22,ROW()-31,1)),AN$3:AN$22),"")</f>
        <v>6</v>
      </c>
      <c r="AO49">
        <f ca="1">IF(AND(((COLUMN()-10)&lt;=playercnt),((ROW()-41)&lt;=playercnt)),SUMPRODUCT(INDIRECT(ADDRESS(3,ROW()-31,1)):INDIRECT(ADDRESS(22,ROW()-31,1)),AO$3:AO$22),"")</f>
        <v>4</v>
      </c>
      <c r="AP49">
        <f ca="1">IF(AND(((COLUMN()-10)&lt;=playercnt),((ROW()-41)&lt;=playercnt)),SUMPRODUCT(INDIRECT(ADDRESS(3,ROW()-31,1)):INDIRECT(ADDRESS(22,ROW()-31,1)),AP$3:AP$22),"")</f>
        <v>0</v>
      </c>
      <c r="AQ49">
        <f ca="1">IF(AND(((COLUMN()-10)&lt;=playercnt),((ROW()-41)&lt;=playercnt)),SUMPRODUCT(INDIRECT(ADDRESS(3,ROW()-31,1)):INDIRECT(ADDRESS(22,ROW()-31,1)),AQ$3:AQ$22),"")</f>
        <v>2</v>
      </c>
      <c r="AR49">
        <f ca="1">IF(AND(((COLUMN()-10)&lt;=playercnt),((ROW()-41)&lt;=playercnt)),SUMPRODUCT(INDIRECT(ADDRESS(3,ROW()-31,1)):INDIRECT(ADDRESS(22,ROW()-31,1)),AR$3:AR$22),"")</f>
        <v>5</v>
      </c>
      <c r="AS49">
        <f ca="1">IF(AND(((COLUMN()-10)&lt;=playercnt),((ROW()-41)&lt;=playercnt)),SUMPRODUCT(INDIRECT(ADDRESS(3,ROW()-31,1)):INDIRECT(ADDRESS(22,ROW()-31,1)),AS$3:AS$22),"")</f>
        <v>6</v>
      </c>
      <c r="AT49">
        <f ca="1">IF(AND(((COLUMN()-10)&lt;=playercnt),((ROW()-41)&lt;=playercnt)),SUMPRODUCT(INDIRECT(ADDRESS(3,ROW()-31,1)):INDIRECT(ADDRESS(22,ROW()-31,1)),AT$3:AT$22),"")</f>
        <v>4</v>
      </c>
      <c r="AU49">
        <f ca="1">IF(AND(((COLUMN()-10)&lt;=playercnt),((ROW()-41)&lt;=playercnt)),SUMPRODUCT(INDIRECT(ADDRESS(3,ROW()-31,1)):INDIRECT(ADDRESS(22,ROW()-31,1)),AU$3:AU$22),"")</f>
        <v>2</v>
      </c>
      <c r="AV49">
        <f ca="1">IF(AND(((COLUMN()-10)&lt;=playercnt),((ROW()-41)&lt;=playercnt)),SUMPRODUCT(INDIRECT(ADDRESS(3,ROW()-31,1)):INDIRECT(ADDRESS(22,ROW()-31,1)),AV$3:AV$22),"")</f>
        <v>6</v>
      </c>
      <c r="AW49">
        <f ca="1">IF(AND(((COLUMN()-10)&lt;=playercnt),((ROW()-41)&lt;=playercnt)),SUMPRODUCT(INDIRECT(ADDRESS(3,ROW()-31,1)):INDIRECT(ADDRESS(22,ROW()-31,1)),AW$3:AW$22),"")</f>
        <v>6</v>
      </c>
      <c r="AX49">
        <f ca="1">IF(AND(((COLUMN()-10)&lt;=playercnt),((ROW()-41)&lt;=playercnt)),SUMPRODUCT(INDIRECT(ADDRESS(3,ROW()-31,1)):INDIRECT(ADDRESS(22,ROW()-31,1)),AX$3:AX$22),"")</f>
        <v>5</v>
      </c>
      <c r="AY49">
        <f ca="1">IF(AND(((COLUMN()-10)&lt;=playercnt),((ROW()-41)&lt;=playercnt)),SUMPRODUCT(INDIRECT(ADDRESS(3,ROW()-31,1)):INDIRECT(ADDRESS(22,ROW()-31,1)),AY$3:AY$22),"")</f>
        <v>6</v>
      </c>
      <c r="AZ49">
        <f ca="1">IF(AND(((COLUMN()-10)&lt;=playercnt),((ROW()-41)&lt;=playercnt)),SUMPRODUCT(INDIRECT(ADDRESS(3,ROW()-31,1)):INDIRECT(ADDRESS(22,ROW()-31,1)),AZ$3:AZ$22),"")</f>
        <v>3</v>
      </c>
      <c r="BA49">
        <f ca="1">IF(AND(((COLUMN()-10)&lt;=playercnt),((ROW()-41)&lt;=playercnt)),SUMPRODUCT(INDIRECT(ADDRESS(3,ROW()-31,1)):INDIRECT(ADDRESS(22,ROW()-31,1)),BA$3:BA$22),"")</f>
        <v>3</v>
      </c>
      <c r="BB49">
        <f ca="1">IF(AND(((COLUMN()-10)&lt;=playercnt),((ROW()-41)&lt;=playercnt)),SUMPRODUCT(INDIRECT(ADDRESS(3,ROW()-31,1)):INDIRECT(ADDRESS(22,ROW()-31,1)),BB$3:BB$22),"")</f>
        <v>5</v>
      </c>
      <c r="BC49">
        <f ca="1">IF(AND(((COLUMN()-10)&lt;=playercnt),((ROW()-41)&lt;=playercnt)),SUMPRODUCT(INDIRECT(ADDRESS(3,ROW()-31,1)):INDIRECT(ADDRESS(22,ROW()-31,1)),BC$3:BC$22),"")</f>
        <v>3</v>
      </c>
      <c r="BD49">
        <f ca="1">IF(AND(((COLUMN()-10)&lt;=playercnt),((ROW()-41)&lt;=playercnt)),SUMPRODUCT(INDIRECT(ADDRESS(3,ROW()-31,1)):INDIRECT(ADDRESS(22,ROW()-31,1)),BD$3:BD$22),"")</f>
        <v>5</v>
      </c>
      <c r="BE49">
        <f ca="1">IF(AND(((COLUMN()-10)&lt;=playercnt),((ROW()-41)&lt;=playercnt)),SUMPRODUCT(INDIRECT(ADDRESS(3,ROW()-31,1)):INDIRECT(ADDRESS(22,ROW()-31,1)),BE$3:BE$22),"")</f>
        <v>4</v>
      </c>
      <c r="BF49">
        <f ca="1">IF(AND(((COLUMN()-10)&lt;=playercnt),((ROW()-41)&lt;=playercnt)),SUMPRODUCT(INDIRECT(ADDRESS(3,ROW()-31,1)):INDIRECT(ADDRESS(22,ROW()-31,1)),BF$3:BF$22),"")</f>
        <v>4</v>
      </c>
      <c r="BG49">
        <f ca="1">IF(AND(((COLUMN()-10)&lt;=playercnt),((ROW()-41)&lt;=playercnt)),SUMPRODUCT(INDIRECT(ADDRESS(3,ROW()-31,1)):INDIRECT(ADDRESS(22,ROW()-31,1)),BG$3:BG$22),"")</f>
        <v>4</v>
      </c>
      <c r="BH49">
        <f ca="1">IF(AND(((COLUMN()-10)&lt;=playercnt),((ROW()-41)&lt;=playercnt)),SUMPRODUCT(INDIRECT(ADDRESS(3,ROW()-31,1)):INDIRECT(ADDRESS(22,ROW()-31,1)),BH$3:BH$22),"")</f>
        <v>4</v>
      </c>
      <c r="BI49">
        <f ca="1">IF(AND(((COLUMN()-10)&lt;=playercnt),((ROW()-41)&lt;=playercnt)),SUMPRODUCT(INDIRECT(ADDRESS(3,ROW()-31,1)):INDIRECT(ADDRESS(22,ROW()-31,1)),BI$3:BI$22),"")</f>
        <v>6</v>
      </c>
      <c r="BJ49">
        <f ca="1">IF(AND(((COLUMN()-10)&lt;=playercnt),((ROW()-41)&lt;=playercnt)),SUMPRODUCT(INDIRECT(ADDRESS(3,ROW()-31,1)):INDIRECT(ADDRESS(22,ROW()-31,1)),BJ$3:BJ$22),"")</f>
        <v>4</v>
      </c>
      <c r="BK49">
        <f ca="1">IF(AND(((COLUMN()-10)&lt;=playercnt),((ROW()-41)&lt;=playercnt)),SUMPRODUCT(INDIRECT(ADDRESS(3,ROW()-31,1)):INDIRECT(ADDRESS(22,ROW()-31,1)),BK$3:BK$22),"")</f>
        <v>4</v>
      </c>
      <c r="BL49">
        <f ca="1">IF(AND(((COLUMN()-10)&lt;=playercnt),((ROW()-41)&lt;=playercnt)),SUMPRODUCT(INDIRECT(ADDRESS(3,ROW()-31,1)):INDIRECT(ADDRESS(22,ROW()-31,1)),BL$3:BL$22),"")</f>
        <v>7</v>
      </c>
      <c r="BM49">
        <f ca="1">IF(AND(((COLUMN()-10)&lt;=playercnt),((ROW()-41)&lt;=playercnt)),SUMPRODUCT(INDIRECT(ADDRESS(3,ROW()-31,1)):INDIRECT(ADDRESS(22,ROW()-31,1)),BM$3:BM$22),"")</f>
        <v>4</v>
      </c>
      <c r="BN49">
        <f ca="1">IF(AND(((COLUMN()-10)&lt;=playercnt),((ROW()-41)&lt;=playercnt)),SUMPRODUCT(INDIRECT(ADDRESS(3,ROW()-31,1)):INDIRECT(ADDRESS(22,ROW()-31,1)),BN$3:BN$22),"")</f>
        <v>5</v>
      </c>
    </row>
    <row r="50" spans="1:66" x14ac:dyDescent="0.2">
      <c r="B50" s="27">
        <f t="shared" ca="1" si="23"/>
        <v>6.3962264150943398</v>
      </c>
      <c r="C50" t="str">
        <f t="shared" ca="1" si="22"/>
        <v>Desetto, Daniel</v>
      </c>
      <c r="G50">
        <f ca="1">IF(AND(((COLUMN()-10)&lt;=playercnt),((ROW()-41)&lt;=playercnt)),SUMPRODUCT(INDIRECT(ADDRESS(3,ROW()-31,1)):INDIRECT(ADDRESS(22,ROW()-31,1)),G$3:G$22),"")</f>
        <v>2</v>
      </c>
      <c r="H50">
        <f ca="1">IF(AND(((COLUMN()-10)&lt;=playercnt),((ROW()-41)&lt;=playercnt)),SUMPRODUCT(INDIRECT(ADDRESS(3,ROW()-31,1)):INDIRECT(ADDRESS(22,ROW()-31,1)),H$3:H$22),"")</f>
        <v>7</v>
      </c>
      <c r="I50">
        <f ca="1">IF(AND(((COLUMN()-10)&lt;=playercnt),((ROW()-41)&lt;=playercnt)),SUMPRODUCT(INDIRECT(ADDRESS(3,ROW()-31,1)):INDIRECT(ADDRESS(22,ROW()-31,1)),I$3:I$22),"")</f>
        <v>7.5</v>
      </c>
      <c r="J50">
        <f ca="1">IF(AND(((COLUMN()-10)&lt;=playercnt),((ROW()-41)&lt;=playercnt)),SUMPRODUCT(INDIRECT(ADDRESS(3,ROW()-31,1)):INDIRECT(ADDRESS(22,ROW()-31,1)),J$3:J$22),"")</f>
        <v>0</v>
      </c>
      <c r="K50">
        <f ca="1">IF(AND(((COLUMN()-10)&lt;=playercnt),((ROW()-41)&lt;=playercnt)),SUMPRODUCT(INDIRECT(ADDRESS(3,ROW()-31,1)):INDIRECT(ADDRESS(22,ROW()-31,1)),K$3:K$22),"")</f>
        <v>5</v>
      </c>
      <c r="L50">
        <f ca="1">IF(AND(((COLUMN()-10)&lt;=playercnt),((ROW()-41)&lt;=playercnt)),SUMPRODUCT(INDIRECT(ADDRESS(3,ROW()-31,1)):INDIRECT(ADDRESS(22,ROW()-31,1)),L$3:L$22),"")</f>
        <v>8</v>
      </c>
      <c r="M50">
        <f ca="1">IF(AND(((COLUMN()-10)&lt;=playercnt),((ROW()-41)&lt;=playercnt)),SUMPRODUCT(INDIRECT(ADDRESS(3,ROW()-31,1)):INDIRECT(ADDRESS(22,ROW()-31,1)),M$3:M$22),"")</f>
        <v>7</v>
      </c>
      <c r="N50">
        <f ca="1">IF(AND(((COLUMN()-10)&lt;=playercnt),((ROW()-41)&lt;=playercnt)),SUMPRODUCT(INDIRECT(ADDRESS(3,ROW()-31,1)):INDIRECT(ADDRESS(22,ROW()-31,1)),N$3:N$22),"")</f>
        <v>6</v>
      </c>
      <c r="O50">
        <f ca="1">IF(AND(((COLUMN()-10)&lt;=playercnt),((ROW()-41)&lt;=playercnt)),SUMPRODUCT(INDIRECT(ADDRESS(3,ROW()-31,1)):INDIRECT(ADDRESS(22,ROW()-31,1)),O$3:O$22),"")</f>
        <v>6</v>
      </c>
      <c r="P50">
        <f ca="1">IF(AND(((COLUMN()-10)&lt;=playercnt),((ROW()-41)&lt;=playercnt)),SUMPRODUCT(INDIRECT(ADDRESS(3,ROW()-31,1)):INDIRECT(ADDRESS(22,ROW()-31,1)),P$3:P$22),"")</f>
        <v>5</v>
      </c>
      <c r="Q50">
        <f ca="1">IF(AND(((COLUMN()-10)&lt;=playercnt),((ROW()-41)&lt;=playercnt)),SUMPRODUCT(INDIRECT(ADDRESS(3,ROW()-31,1)):INDIRECT(ADDRESS(22,ROW()-31,1)),Q$3:Q$22),"")</f>
        <v>6</v>
      </c>
      <c r="R50">
        <f ca="1">IF(AND(((COLUMN()-10)&lt;=playercnt),((ROW()-41)&lt;=playercnt)),SUMPRODUCT(INDIRECT(ADDRESS(3,ROW()-31,1)):INDIRECT(ADDRESS(22,ROW()-31,1)),R$3:R$22),"")</f>
        <v>4</v>
      </c>
      <c r="S50">
        <f ca="1">IF(AND(((COLUMN()-10)&lt;=playercnt),((ROW()-41)&lt;=playercnt)),SUMPRODUCT(INDIRECT(ADDRESS(3,ROW()-31,1)):INDIRECT(ADDRESS(22,ROW()-31,1)),S$3:S$22),"")</f>
        <v>10</v>
      </c>
      <c r="T50">
        <f ca="1">IF(AND(((COLUMN()-10)&lt;=playercnt),((ROW()-41)&lt;=playercnt)),SUMPRODUCT(INDIRECT(ADDRESS(3,ROW()-31,1)):INDIRECT(ADDRESS(22,ROW()-31,1)),T$3:T$22),"")</f>
        <v>5</v>
      </c>
      <c r="U50">
        <f ca="1">IF(AND(((COLUMN()-10)&lt;=playercnt),((ROW()-41)&lt;=playercnt)),SUMPRODUCT(INDIRECT(ADDRESS(3,ROW()-31,1)):INDIRECT(ADDRESS(22,ROW()-31,1)),U$3:U$22),"")</f>
        <v>8</v>
      </c>
      <c r="V50">
        <f ca="1">IF(AND(((COLUMN()-10)&lt;=playercnt),((ROW()-41)&lt;=playercnt)),SUMPRODUCT(INDIRECT(ADDRESS(3,ROW()-31,1)):INDIRECT(ADDRESS(22,ROW()-31,1)),V$3:V$22),"")</f>
        <v>6</v>
      </c>
      <c r="W50">
        <f ca="1">IF(AND(((COLUMN()-10)&lt;=playercnt),((ROW()-41)&lt;=playercnt)),SUMPRODUCT(INDIRECT(ADDRESS(3,ROW()-31,1)):INDIRECT(ADDRESS(22,ROW()-31,1)),W$3:W$22),"")</f>
        <v>8</v>
      </c>
      <c r="X50">
        <f ca="1">IF(AND(((COLUMN()-10)&lt;=playercnt),((ROW()-41)&lt;=playercnt)),SUMPRODUCT(INDIRECT(ADDRESS(3,ROW()-31,1)):INDIRECT(ADDRESS(22,ROW()-31,1)),X$3:X$22),"")</f>
        <v>5</v>
      </c>
      <c r="Y50">
        <f ca="1">IF(AND(((COLUMN()-10)&lt;=playercnt),((ROW()-41)&lt;=playercnt)),SUMPRODUCT(INDIRECT(ADDRESS(3,ROW()-31,1)):INDIRECT(ADDRESS(22,ROW()-31,1)),Y$3:Y$22),"")</f>
        <v>6</v>
      </c>
      <c r="Z50">
        <f ca="1">IF(AND(((COLUMN()-10)&lt;=playercnt),((ROW()-41)&lt;=playercnt)),SUMPRODUCT(INDIRECT(ADDRESS(3,ROW()-31,1)):INDIRECT(ADDRESS(22,ROW()-31,1)),Z$3:Z$22),"")</f>
        <v>7</v>
      </c>
      <c r="AA50">
        <f ca="1">IF(AND(((COLUMN()-10)&lt;=playercnt),((ROW()-41)&lt;=playercnt)),SUMPRODUCT(INDIRECT(ADDRESS(3,ROW()-31,1)):INDIRECT(ADDRESS(22,ROW()-31,1)),AA$3:AA$22),"")</f>
        <v>6</v>
      </c>
      <c r="AB50">
        <f ca="1">IF(AND(((COLUMN()-10)&lt;=playercnt),((ROW()-41)&lt;=playercnt)),SUMPRODUCT(INDIRECT(ADDRESS(3,ROW()-31,1)):INDIRECT(ADDRESS(22,ROW()-31,1)),AB$3:AB$22),"")</f>
        <v>3</v>
      </c>
      <c r="AC50">
        <f ca="1">IF(AND(((COLUMN()-10)&lt;=playercnt),((ROW()-41)&lt;=playercnt)),SUMPRODUCT(INDIRECT(ADDRESS(3,ROW()-31,1)):INDIRECT(ADDRESS(22,ROW()-31,1)),AC$3:AC$22),"")</f>
        <v>8</v>
      </c>
      <c r="AD50">
        <f ca="1">IF(AND(((COLUMN()-10)&lt;=playercnt),((ROW()-41)&lt;=playercnt)),SUMPRODUCT(INDIRECT(ADDRESS(3,ROW()-31,1)):INDIRECT(ADDRESS(22,ROW()-31,1)),AD$3:AD$22),"")</f>
        <v>4</v>
      </c>
      <c r="AE50">
        <f ca="1">IF(AND(((COLUMN()-10)&lt;=playercnt),((ROW()-41)&lt;=playercnt)),SUMPRODUCT(INDIRECT(ADDRESS(3,ROW()-31,1)):INDIRECT(ADDRESS(22,ROW()-31,1)),AE$3:AE$22),"")</f>
        <v>8</v>
      </c>
      <c r="AF50">
        <f ca="1">IF(AND(((COLUMN()-10)&lt;=playercnt),((ROW()-41)&lt;=playercnt)),SUMPRODUCT(INDIRECT(ADDRESS(3,ROW()-31,1)):INDIRECT(ADDRESS(22,ROW()-31,1)),AF$3:AF$22),"")</f>
        <v>7</v>
      </c>
      <c r="AG50">
        <f ca="1">IF(AND(((COLUMN()-10)&lt;=playercnt),((ROW()-41)&lt;=playercnt)),SUMPRODUCT(INDIRECT(ADDRESS(3,ROW()-31,1)):INDIRECT(ADDRESS(22,ROW()-31,1)),AG$3:AG$22),"")</f>
        <v>7</v>
      </c>
      <c r="AH50">
        <f ca="1">IF(AND(((COLUMN()-10)&lt;=playercnt),((ROW()-41)&lt;=playercnt)),SUMPRODUCT(INDIRECT(ADDRESS(3,ROW()-31,1)):INDIRECT(ADDRESS(22,ROW()-31,1)),AH$3:AH$22),"")</f>
        <v>6</v>
      </c>
      <c r="AI50">
        <f ca="1">IF(AND(((COLUMN()-10)&lt;=playercnt),((ROW()-41)&lt;=playercnt)),SUMPRODUCT(INDIRECT(ADDRESS(3,ROW()-31,1)):INDIRECT(ADDRESS(22,ROW()-31,1)),AI$3:AI$22),"")</f>
        <v>4</v>
      </c>
      <c r="AJ50">
        <f ca="1">IF(AND(((COLUMN()-10)&lt;=playercnt),((ROW()-41)&lt;=playercnt)),SUMPRODUCT(INDIRECT(ADDRESS(3,ROW()-31,1)):INDIRECT(ADDRESS(22,ROW()-31,1)),AJ$3:AJ$22),"")</f>
        <v>6</v>
      </c>
      <c r="AK50">
        <f ca="1">IF(AND(((COLUMN()-10)&lt;=playercnt),((ROW()-41)&lt;=playercnt)),SUMPRODUCT(INDIRECT(ADDRESS(3,ROW()-31,1)):INDIRECT(ADDRESS(22,ROW()-31,1)),AK$3:AK$22),"")</f>
        <v>0</v>
      </c>
      <c r="AL50">
        <f ca="1">IF(AND(((COLUMN()-10)&lt;=playercnt),((ROW()-41)&lt;=playercnt)),SUMPRODUCT(INDIRECT(ADDRESS(3,ROW()-31,1)):INDIRECT(ADDRESS(22,ROW()-31,1)),AL$3:AL$22),"")</f>
        <v>5</v>
      </c>
      <c r="AM50">
        <f ca="1">IF(AND(((COLUMN()-10)&lt;=playercnt),((ROW()-41)&lt;=playercnt)),SUMPRODUCT(INDIRECT(ADDRESS(3,ROW()-31,1)):INDIRECT(ADDRESS(22,ROW()-31,1)),AM$3:AM$22),"")</f>
        <v>6</v>
      </c>
      <c r="AN50">
        <f ca="1">IF(AND(((COLUMN()-10)&lt;=playercnt),((ROW()-41)&lt;=playercnt)),SUMPRODUCT(INDIRECT(ADDRESS(3,ROW()-31,1)):INDIRECT(ADDRESS(22,ROW()-31,1)),AN$3:AN$22),"")</f>
        <v>8</v>
      </c>
      <c r="AO50">
        <f ca="1">IF(AND(((COLUMN()-10)&lt;=playercnt),((ROW()-41)&lt;=playercnt)),SUMPRODUCT(INDIRECT(ADDRESS(3,ROW()-31,1)):INDIRECT(ADDRESS(22,ROW()-31,1)),AO$3:AO$22),"")</f>
        <v>6</v>
      </c>
      <c r="AP50">
        <f ca="1">IF(AND(((COLUMN()-10)&lt;=playercnt),((ROW()-41)&lt;=playercnt)),SUMPRODUCT(INDIRECT(ADDRESS(3,ROW()-31,1)):INDIRECT(ADDRESS(22,ROW()-31,1)),AP$3:AP$22),"")</f>
        <v>0</v>
      </c>
      <c r="AQ50">
        <f ca="1">IF(AND(((COLUMN()-10)&lt;=playercnt),((ROW()-41)&lt;=playercnt)),SUMPRODUCT(INDIRECT(ADDRESS(3,ROW()-31,1)):INDIRECT(ADDRESS(22,ROW()-31,1)),AQ$3:AQ$22),"")</f>
        <v>6</v>
      </c>
      <c r="AR50">
        <f ca="1">IF(AND(((COLUMN()-10)&lt;=playercnt),((ROW()-41)&lt;=playercnt)),SUMPRODUCT(INDIRECT(ADDRESS(3,ROW()-31,1)):INDIRECT(ADDRESS(22,ROW()-31,1)),AR$3:AR$22),"")</f>
        <v>5</v>
      </c>
      <c r="AS50">
        <f ca="1">IF(AND(((COLUMN()-10)&lt;=playercnt),((ROW()-41)&lt;=playercnt)),SUMPRODUCT(INDIRECT(ADDRESS(3,ROW()-31,1)):INDIRECT(ADDRESS(22,ROW()-31,1)),AS$3:AS$22),"")</f>
        <v>8</v>
      </c>
      <c r="AT50">
        <f ca="1">IF(AND(((COLUMN()-10)&lt;=playercnt),((ROW()-41)&lt;=playercnt)),SUMPRODUCT(INDIRECT(ADDRESS(3,ROW()-31,1)):INDIRECT(ADDRESS(22,ROW()-31,1)),AT$3:AT$22),"")</f>
        <v>4</v>
      </c>
      <c r="AU50">
        <f ca="1">IF(AND(((COLUMN()-10)&lt;=playercnt),((ROW()-41)&lt;=playercnt)),SUMPRODUCT(INDIRECT(ADDRESS(3,ROW()-31,1)):INDIRECT(ADDRESS(22,ROW()-31,1)),AU$3:AU$22),"")</f>
        <v>6</v>
      </c>
      <c r="AV50">
        <f ca="1">IF(AND(((COLUMN()-10)&lt;=playercnt),((ROW()-41)&lt;=playercnt)),SUMPRODUCT(INDIRECT(ADDRESS(3,ROW()-31,1)):INDIRECT(ADDRESS(22,ROW()-31,1)),AV$3:AV$22),"")</f>
        <v>8</v>
      </c>
      <c r="AW50">
        <f ca="1">IF(AND(((COLUMN()-10)&lt;=playercnt),((ROW()-41)&lt;=playercnt)),SUMPRODUCT(INDIRECT(ADDRESS(3,ROW()-31,1)):INDIRECT(ADDRESS(22,ROW()-31,1)),AW$3:AW$22),"")</f>
        <v>8</v>
      </c>
      <c r="AX50">
        <f ca="1">IF(AND(((COLUMN()-10)&lt;=playercnt),((ROW()-41)&lt;=playercnt)),SUMPRODUCT(INDIRECT(ADDRESS(3,ROW()-31,1)):INDIRECT(ADDRESS(22,ROW()-31,1)),AX$3:AX$22),"")</f>
        <v>7</v>
      </c>
      <c r="AY50">
        <f ca="1">IF(AND(((COLUMN()-10)&lt;=playercnt),((ROW()-41)&lt;=playercnt)),SUMPRODUCT(INDIRECT(ADDRESS(3,ROW()-31,1)):INDIRECT(ADDRESS(22,ROW()-31,1)),AY$3:AY$22),"")</f>
        <v>4</v>
      </c>
      <c r="AZ50">
        <f ca="1">IF(AND(((COLUMN()-10)&lt;=playercnt),((ROW()-41)&lt;=playercnt)),SUMPRODUCT(INDIRECT(ADDRESS(3,ROW()-31,1)):INDIRECT(ADDRESS(22,ROW()-31,1)),AZ$3:AZ$22),"")</f>
        <v>9</v>
      </c>
      <c r="BA50">
        <f ca="1">IF(AND(((COLUMN()-10)&lt;=playercnt),((ROW()-41)&lt;=playercnt)),SUMPRODUCT(INDIRECT(ADDRESS(3,ROW()-31,1)):INDIRECT(ADDRESS(22,ROW()-31,1)),BA$3:BA$22),"")</f>
        <v>9</v>
      </c>
      <c r="BB50">
        <f ca="1">IF(AND(((COLUMN()-10)&lt;=playercnt),((ROW()-41)&lt;=playercnt)),SUMPRODUCT(INDIRECT(ADDRESS(3,ROW()-31,1)):INDIRECT(ADDRESS(22,ROW()-31,1)),BB$3:BB$22),"")</f>
        <v>7</v>
      </c>
      <c r="BC50">
        <f ca="1">IF(AND(((COLUMN()-10)&lt;=playercnt),((ROW()-41)&lt;=playercnt)),SUMPRODUCT(INDIRECT(ADDRESS(3,ROW()-31,1)):INDIRECT(ADDRESS(22,ROW()-31,1)),BC$3:BC$22),"")</f>
        <v>7</v>
      </c>
      <c r="BD50">
        <f ca="1">IF(AND(((COLUMN()-10)&lt;=playercnt),((ROW()-41)&lt;=playercnt)),SUMPRODUCT(INDIRECT(ADDRESS(3,ROW()-31,1)):INDIRECT(ADDRESS(22,ROW()-31,1)),BD$3:BD$22),"")</f>
        <v>5</v>
      </c>
      <c r="BE50">
        <f ca="1">IF(AND(((COLUMN()-10)&lt;=playercnt),((ROW()-41)&lt;=playercnt)),SUMPRODUCT(INDIRECT(ADDRESS(3,ROW()-31,1)):INDIRECT(ADDRESS(22,ROW()-31,1)),BE$3:BE$22),"")</f>
        <v>6</v>
      </c>
      <c r="BF50">
        <f ca="1">IF(AND(((COLUMN()-10)&lt;=playercnt),((ROW()-41)&lt;=playercnt)),SUMPRODUCT(INDIRECT(ADDRESS(3,ROW()-31,1)):INDIRECT(ADDRESS(22,ROW()-31,1)),BF$3:BF$22),"")</f>
        <v>6</v>
      </c>
      <c r="BG50">
        <f ca="1">IF(AND(((COLUMN()-10)&lt;=playercnt),((ROW()-41)&lt;=playercnt)),SUMPRODUCT(INDIRECT(ADDRESS(3,ROW()-31,1)):INDIRECT(ADDRESS(22,ROW()-31,1)),BG$3:BG$22),"")</f>
        <v>6</v>
      </c>
      <c r="BH50">
        <f ca="1">IF(AND(((COLUMN()-10)&lt;=playercnt),((ROW()-41)&lt;=playercnt)),SUMPRODUCT(INDIRECT(ADDRESS(3,ROW()-31,1)):INDIRECT(ADDRESS(22,ROW()-31,1)),BH$3:BH$22),"")</f>
        <v>6</v>
      </c>
      <c r="BI50">
        <f ca="1">IF(AND(((COLUMN()-10)&lt;=playercnt),((ROW()-41)&lt;=playercnt)),SUMPRODUCT(INDIRECT(ADDRESS(3,ROW()-31,1)):INDIRECT(ADDRESS(22,ROW()-31,1)),BI$3:BI$22),"")</f>
        <v>8</v>
      </c>
      <c r="BJ50">
        <f ca="1">IF(AND(((COLUMN()-10)&lt;=playercnt),((ROW()-41)&lt;=playercnt)),SUMPRODUCT(INDIRECT(ADDRESS(3,ROW()-31,1)):INDIRECT(ADDRESS(22,ROW()-31,1)),BJ$3:BJ$22),"")</f>
        <v>8</v>
      </c>
      <c r="BK50">
        <f ca="1">IF(AND(((COLUMN()-10)&lt;=playercnt),((ROW()-41)&lt;=playercnt)),SUMPRODUCT(INDIRECT(ADDRESS(3,ROW()-31,1)):INDIRECT(ADDRESS(22,ROW()-31,1)),BK$3:BK$22),"")</f>
        <v>8</v>
      </c>
      <c r="BL50">
        <f ca="1">IF(AND(((COLUMN()-10)&lt;=playercnt),((ROW()-41)&lt;=playercnt)),SUMPRODUCT(INDIRECT(ADDRESS(3,ROW()-31,1)):INDIRECT(ADDRESS(22,ROW()-31,1)),BL$3:BL$22),"")</f>
        <v>7</v>
      </c>
      <c r="BM50">
        <f ca="1">IF(AND(((COLUMN()-10)&lt;=playercnt),((ROW()-41)&lt;=playercnt)),SUMPRODUCT(INDIRECT(ADDRESS(3,ROW()-31,1)):INDIRECT(ADDRESS(22,ROW()-31,1)),BM$3:BM$22),"")</f>
        <v>8</v>
      </c>
      <c r="BN50">
        <f ca="1">IF(AND(((COLUMN()-10)&lt;=playercnt),((ROW()-41)&lt;=playercnt)),SUMPRODUCT(INDIRECT(ADDRESS(3,ROW()-31,1)):INDIRECT(ADDRESS(22,ROW()-31,1)),BN$3:BN$22),"")</f>
        <v>7</v>
      </c>
    </row>
    <row r="51" spans="1:66" x14ac:dyDescent="0.2">
      <c r="B51" s="27">
        <f t="shared" ca="1" si="23"/>
        <v>5.4150943396226419</v>
      </c>
      <c r="C51" t="str">
        <f t="shared" ca="1" si="22"/>
        <v>Desetto, Thomas Remote</v>
      </c>
      <c r="G51">
        <f ca="1">IF(AND(((COLUMN()-10)&lt;=playercnt),((ROW()-41)&lt;=playercnt)),SUMPRODUCT(INDIRECT(ADDRESS(3,ROW()-31,1)):INDIRECT(ADDRESS(22,ROW()-31,1)),G$3:G$22),"")</f>
        <v>5</v>
      </c>
      <c r="H51">
        <f ca="1">IF(AND(((COLUMN()-10)&lt;=playercnt),((ROW()-41)&lt;=playercnt)),SUMPRODUCT(INDIRECT(ADDRESS(3,ROW()-31,1)):INDIRECT(ADDRESS(22,ROW()-31,1)),H$3:H$22),"")</f>
        <v>6</v>
      </c>
      <c r="I51">
        <f ca="1">IF(AND(((COLUMN()-10)&lt;=playercnt),((ROW()-41)&lt;=playercnt)),SUMPRODUCT(INDIRECT(ADDRESS(3,ROW()-31,1)):INDIRECT(ADDRESS(22,ROW()-31,1)),I$3:I$22),"")</f>
        <v>6.5</v>
      </c>
      <c r="J51">
        <f ca="1">IF(AND(((COLUMN()-10)&lt;=playercnt),((ROW()-41)&lt;=playercnt)),SUMPRODUCT(INDIRECT(ADDRESS(3,ROW()-31,1)):INDIRECT(ADDRESS(22,ROW()-31,1)),J$3:J$22),"")</f>
        <v>0</v>
      </c>
      <c r="K51">
        <f ca="1">IF(AND(((COLUMN()-10)&lt;=playercnt),((ROW()-41)&lt;=playercnt)),SUMPRODUCT(INDIRECT(ADDRESS(3,ROW()-31,1)):INDIRECT(ADDRESS(22,ROW()-31,1)),K$3:K$22),"")</f>
        <v>4</v>
      </c>
      <c r="L51">
        <f ca="1">IF(AND(((COLUMN()-10)&lt;=playercnt),((ROW()-41)&lt;=playercnt)),SUMPRODUCT(INDIRECT(ADDRESS(3,ROW()-31,1)):INDIRECT(ADDRESS(22,ROW()-31,1)),L$3:L$22),"")</f>
        <v>5</v>
      </c>
      <c r="M51">
        <f ca="1">IF(AND(((COLUMN()-10)&lt;=playercnt),((ROW()-41)&lt;=playercnt)),SUMPRODUCT(INDIRECT(ADDRESS(3,ROW()-31,1)):INDIRECT(ADDRESS(22,ROW()-31,1)),M$3:M$22),"")</f>
        <v>6</v>
      </c>
      <c r="N51">
        <f ca="1">IF(AND(((COLUMN()-10)&lt;=playercnt),((ROW()-41)&lt;=playercnt)),SUMPRODUCT(INDIRECT(ADDRESS(3,ROW()-31,1)):INDIRECT(ADDRESS(22,ROW()-31,1)),N$3:N$22),"")</f>
        <v>5</v>
      </c>
      <c r="O51">
        <f ca="1">IF(AND(((COLUMN()-10)&lt;=playercnt),((ROW()-41)&lt;=playercnt)),SUMPRODUCT(INDIRECT(ADDRESS(3,ROW()-31,1)):INDIRECT(ADDRESS(22,ROW()-31,1)),O$3:O$22),"")</f>
        <v>7</v>
      </c>
      <c r="P51">
        <f ca="1">IF(AND(((COLUMN()-10)&lt;=playercnt),((ROW()-41)&lt;=playercnt)),SUMPRODUCT(INDIRECT(ADDRESS(3,ROW()-31,1)):INDIRECT(ADDRESS(22,ROW()-31,1)),P$3:P$22),"")</f>
        <v>6</v>
      </c>
      <c r="Q51">
        <f ca="1">IF(AND(((COLUMN()-10)&lt;=playercnt),((ROW()-41)&lt;=playercnt)),SUMPRODUCT(INDIRECT(ADDRESS(3,ROW()-31,1)):INDIRECT(ADDRESS(22,ROW()-31,1)),Q$3:Q$22),"")</f>
        <v>9</v>
      </c>
      <c r="R51">
        <f ca="1">IF(AND(((COLUMN()-10)&lt;=playercnt),((ROW()-41)&lt;=playercnt)),SUMPRODUCT(INDIRECT(ADDRESS(3,ROW()-31,1)):INDIRECT(ADDRESS(22,ROW()-31,1)),R$3:R$22),"")</f>
        <v>3</v>
      </c>
      <c r="S51">
        <f ca="1">IF(AND(((COLUMN()-10)&lt;=playercnt),((ROW()-41)&lt;=playercnt)),SUMPRODUCT(INDIRECT(ADDRESS(3,ROW()-31,1)):INDIRECT(ADDRESS(22,ROW()-31,1)),S$3:S$22),"")</f>
        <v>5</v>
      </c>
      <c r="T51">
        <f ca="1">IF(AND(((COLUMN()-10)&lt;=playercnt),((ROW()-41)&lt;=playercnt)),SUMPRODUCT(INDIRECT(ADDRESS(3,ROW()-31,1)):INDIRECT(ADDRESS(22,ROW()-31,1)),T$3:T$22),"")</f>
        <v>10</v>
      </c>
      <c r="U51">
        <f ca="1">IF(AND(((COLUMN()-10)&lt;=playercnt),((ROW()-41)&lt;=playercnt)),SUMPRODUCT(INDIRECT(ADDRESS(3,ROW()-31,1)):INDIRECT(ADDRESS(22,ROW()-31,1)),U$3:U$22),"")</f>
        <v>5</v>
      </c>
      <c r="V51">
        <f ca="1">IF(AND(((COLUMN()-10)&lt;=playercnt),((ROW()-41)&lt;=playercnt)),SUMPRODUCT(INDIRECT(ADDRESS(3,ROW()-31,1)):INDIRECT(ADDRESS(22,ROW()-31,1)),V$3:V$22),"")</f>
        <v>5</v>
      </c>
      <c r="W51">
        <f ca="1">IF(AND(((COLUMN()-10)&lt;=playercnt),((ROW()-41)&lt;=playercnt)),SUMPRODUCT(INDIRECT(ADDRESS(3,ROW()-31,1)):INDIRECT(ADDRESS(22,ROW()-31,1)),W$3:W$22),"")</f>
        <v>5</v>
      </c>
      <c r="X51">
        <f ca="1">IF(AND(((COLUMN()-10)&lt;=playercnt),((ROW()-41)&lt;=playercnt)),SUMPRODUCT(INDIRECT(ADDRESS(3,ROW()-31,1)):INDIRECT(ADDRESS(22,ROW()-31,1)),X$3:X$22),"")</f>
        <v>6</v>
      </c>
      <c r="Y51">
        <f ca="1">IF(AND(((COLUMN()-10)&lt;=playercnt),((ROW()-41)&lt;=playercnt)),SUMPRODUCT(INDIRECT(ADDRESS(3,ROW()-31,1)):INDIRECT(ADDRESS(22,ROW()-31,1)),Y$3:Y$22),"")</f>
        <v>5</v>
      </c>
      <c r="Z51">
        <f ca="1">IF(AND(((COLUMN()-10)&lt;=playercnt),((ROW()-41)&lt;=playercnt)),SUMPRODUCT(INDIRECT(ADDRESS(3,ROW()-31,1)):INDIRECT(ADDRESS(22,ROW()-31,1)),Z$3:Z$22),"")</f>
        <v>6</v>
      </c>
      <c r="AA51">
        <f ca="1">IF(AND(((COLUMN()-10)&lt;=playercnt),((ROW()-41)&lt;=playercnt)),SUMPRODUCT(INDIRECT(ADDRESS(3,ROW()-31,1)):INDIRECT(ADDRESS(22,ROW()-31,1)),AA$3:AA$22),"")</f>
        <v>5</v>
      </c>
      <c r="AB51">
        <f ca="1">IF(AND(((COLUMN()-10)&lt;=playercnt),((ROW()-41)&lt;=playercnt)),SUMPRODUCT(INDIRECT(ADDRESS(3,ROW()-31,1)):INDIRECT(ADDRESS(22,ROW()-31,1)),AB$3:AB$22),"")</f>
        <v>4</v>
      </c>
      <c r="AC51">
        <f ca="1">IF(AND(((COLUMN()-10)&lt;=playercnt),((ROW()-41)&lt;=playercnt)),SUMPRODUCT(INDIRECT(ADDRESS(3,ROW()-31,1)):INDIRECT(ADDRESS(22,ROW()-31,1)),AC$3:AC$22),"")</f>
        <v>3</v>
      </c>
      <c r="AD51">
        <f ca="1">IF(AND(((COLUMN()-10)&lt;=playercnt),((ROW()-41)&lt;=playercnt)),SUMPRODUCT(INDIRECT(ADDRESS(3,ROW()-31,1)):INDIRECT(ADDRESS(22,ROW()-31,1)),AD$3:AD$22),"")</f>
        <v>5</v>
      </c>
      <c r="AE51">
        <f ca="1">IF(AND(((COLUMN()-10)&lt;=playercnt),((ROW()-41)&lt;=playercnt)),SUMPRODUCT(INDIRECT(ADDRESS(3,ROW()-31,1)):INDIRECT(ADDRESS(22,ROW()-31,1)),AE$3:AE$22),"")</f>
        <v>5</v>
      </c>
      <c r="AF51">
        <f ca="1">IF(AND(((COLUMN()-10)&lt;=playercnt),((ROW()-41)&lt;=playercnt)),SUMPRODUCT(INDIRECT(ADDRESS(3,ROW()-31,1)):INDIRECT(ADDRESS(22,ROW()-31,1)),AF$3:AF$22),"")</f>
        <v>6</v>
      </c>
      <c r="AG51">
        <f ca="1">IF(AND(((COLUMN()-10)&lt;=playercnt),((ROW()-41)&lt;=playercnt)),SUMPRODUCT(INDIRECT(ADDRESS(3,ROW()-31,1)):INDIRECT(ADDRESS(22,ROW()-31,1)),AG$3:AG$22),"")</f>
        <v>4</v>
      </c>
      <c r="AH51">
        <f ca="1">IF(AND(((COLUMN()-10)&lt;=playercnt),((ROW()-41)&lt;=playercnt)),SUMPRODUCT(INDIRECT(ADDRESS(3,ROW()-31,1)):INDIRECT(ADDRESS(22,ROW()-31,1)),AH$3:AH$22),"")</f>
        <v>5</v>
      </c>
      <c r="AI51">
        <f ca="1">IF(AND(((COLUMN()-10)&lt;=playercnt),((ROW()-41)&lt;=playercnt)),SUMPRODUCT(INDIRECT(ADDRESS(3,ROW()-31,1)):INDIRECT(ADDRESS(22,ROW()-31,1)),AI$3:AI$22),"")</f>
        <v>7</v>
      </c>
      <c r="AJ51">
        <f ca="1">IF(AND(((COLUMN()-10)&lt;=playercnt),((ROW()-41)&lt;=playercnt)),SUMPRODUCT(INDIRECT(ADDRESS(3,ROW()-31,1)):INDIRECT(ADDRESS(22,ROW()-31,1)),AJ$3:AJ$22),"")</f>
        <v>5</v>
      </c>
      <c r="AK51">
        <f ca="1">IF(AND(((COLUMN()-10)&lt;=playercnt),((ROW()-41)&lt;=playercnt)),SUMPRODUCT(INDIRECT(ADDRESS(3,ROW()-31,1)):INDIRECT(ADDRESS(22,ROW()-31,1)),AK$3:AK$22),"")</f>
        <v>0</v>
      </c>
      <c r="AL51">
        <f ca="1">IF(AND(((COLUMN()-10)&lt;=playercnt),((ROW()-41)&lt;=playercnt)),SUMPRODUCT(INDIRECT(ADDRESS(3,ROW()-31,1)):INDIRECT(ADDRESS(22,ROW()-31,1)),AL$3:AL$22),"")</f>
        <v>6</v>
      </c>
      <c r="AM51">
        <f ca="1">IF(AND(((COLUMN()-10)&lt;=playercnt),((ROW()-41)&lt;=playercnt)),SUMPRODUCT(INDIRECT(ADDRESS(3,ROW()-31,1)):INDIRECT(ADDRESS(22,ROW()-31,1)),AM$3:AM$22),"")</f>
        <v>5</v>
      </c>
      <c r="AN51">
        <f ca="1">IF(AND(((COLUMN()-10)&lt;=playercnt),((ROW()-41)&lt;=playercnt)),SUMPRODUCT(INDIRECT(ADDRESS(3,ROW()-31,1)):INDIRECT(ADDRESS(22,ROW()-31,1)),AN$3:AN$22),"")</f>
        <v>5</v>
      </c>
      <c r="AO51">
        <f ca="1">IF(AND(((COLUMN()-10)&lt;=playercnt),((ROW()-41)&lt;=playercnt)),SUMPRODUCT(INDIRECT(ADDRESS(3,ROW()-31,1)):INDIRECT(ADDRESS(22,ROW()-31,1)),AO$3:AO$22),"")</f>
        <v>7</v>
      </c>
      <c r="AP51">
        <f ca="1">IF(AND(((COLUMN()-10)&lt;=playercnt),((ROW()-41)&lt;=playercnt)),SUMPRODUCT(INDIRECT(ADDRESS(3,ROW()-31,1)):INDIRECT(ADDRESS(22,ROW()-31,1)),AP$3:AP$22),"")</f>
        <v>0</v>
      </c>
      <c r="AQ51">
        <f ca="1">IF(AND(((COLUMN()-10)&lt;=playercnt),((ROW()-41)&lt;=playercnt)),SUMPRODUCT(INDIRECT(ADDRESS(3,ROW()-31,1)):INDIRECT(ADDRESS(22,ROW()-31,1)),AQ$3:AQ$22),"")</f>
        <v>5</v>
      </c>
      <c r="AR51">
        <f ca="1">IF(AND(((COLUMN()-10)&lt;=playercnt),((ROW()-41)&lt;=playercnt)),SUMPRODUCT(INDIRECT(ADDRESS(3,ROW()-31,1)):INDIRECT(ADDRESS(22,ROW()-31,1)),AR$3:AR$22),"")</f>
        <v>6</v>
      </c>
      <c r="AS51">
        <f ca="1">IF(AND(((COLUMN()-10)&lt;=playercnt),((ROW()-41)&lt;=playercnt)),SUMPRODUCT(INDIRECT(ADDRESS(3,ROW()-31,1)):INDIRECT(ADDRESS(22,ROW()-31,1)),AS$3:AS$22),"")</f>
        <v>7</v>
      </c>
      <c r="AT51">
        <f ca="1">IF(AND(((COLUMN()-10)&lt;=playercnt),((ROW()-41)&lt;=playercnt)),SUMPRODUCT(INDIRECT(ADDRESS(3,ROW()-31,1)):INDIRECT(ADDRESS(22,ROW()-31,1)),AT$3:AT$22),"")</f>
        <v>5</v>
      </c>
      <c r="AU51">
        <f ca="1">IF(AND(((COLUMN()-10)&lt;=playercnt),((ROW()-41)&lt;=playercnt)),SUMPRODUCT(INDIRECT(ADDRESS(3,ROW()-31,1)):INDIRECT(ADDRESS(22,ROW()-31,1)),AU$3:AU$22),"")</f>
        <v>7</v>
      </c>
      <c r="AV51">
        <f ca="1">IF(AND(((COLUMN()-10)&lt;=playercnt),((ROW()-41)&lt;=playercnt)),SUMPRODUCT(INDIRECT(ADDRESS(3,ROW()-31,1)):INDIRECT(ADDRESS(22,ROW()-31,1)),AV$3:AV$22),"")</f>
        <v>5</v>
      </c>
      <c r="AW51">
        <f ca="1">IF(AND(((COLUMN()-10)&lt;=playercnt),((ROW()-41)&lt;=playercnt)),SUMPRODUCT(INDIRECT(ADDRESS(3,ROW()-31,1)):INDIRECT(ADDRESS(22,ROW()-31,1)),AW$3:AW$22),"")</f>
        <v>7</v>
      </c>
      <c r="AX51">
        <f ca="1">IF(AND(((COLUMN()-10)&lt;=playercnt),((ROW()-41)&lt;=playercnt)),SUMPRODUCT(INDIRECT(ADDRESS(3,ROW()-31,1)):INDIRECT(ADDRESS(22,ROW()-31,1)),AX$3:AX$22),"")</f>
        <v>6</v>
      </c>
      <c r="AY51">
        <f ca="1">IF(AND(((COLUMN()-10)&lt;=playercnt),((ROW()-41)&lt;=playercnt)),SUMPRODUCT(INDIRECT(ADDRESS(3,ROW()-31,1)):INDIRECT(ADDRESS(22,ROW()-31,1)),AY$3:AY$22),"")</f>
        <v>5</v>
      </c>
      <c r="AZ51">
        <f ca="1">IF(AND(((COLUMN()-10)&lt;=playercnt),((ROW()-41)&lt;=playercnt)),SUMPRODUCT(INDIRECT(ADDRESS(3,ROW()-31,1)):INDIRECT(ADDRESS(22,ROW()-31,1)),AZ$3:AZ$22),"")</f>
        <v>6</v>
      </c>
      <c r="BA51">
        <f ca="1">IF(AND(((COLUMN()-10)&lt;=playercnt),((ROW()-41)&lt;=playercnt)),SUMPRODUCT(INDIRECT(ADDRESS(3,ROW()-31,1)):INDIRECT(ADDRESS(22,ROW()-31,1)),BA$3:BA$22),"")</f>
        <v>6</v>
      </c>
      <c r="BB51">
        <f ca="1">IF(AND(((COLUMN()-10)&lt;=playercnt),((ROW()-41)&lt;=playercnt)),SUMPRODUCT(INDIRECT(ADDRESS(3,ROW()-31,1)):INDIRECT(ADDRESS(22,ROW()-31,1)),BB$3:BB$22),"")</f>
        <v>6</v>
      </c>
      <c r="BC51">
        <f ca="1">IF(AND(((COLUMN()-10)&lt;=playercnt),((ROW()-41)&lt;=playercnt)),SUMPRODUCT(INDIRECT(ADDRESS(3,ROW()-31,1)):INDIRECT(ADDRESS(22,ROW()-31,1)),BC$3:BC$22),"")</f>
        <v>4</v>
      </c>
      <c r="BD51">
        <f ca="1">IF(AND(((COLUMN()-10)&lt;=playercnt),((ROW()-41)&lt;=playercnt)),SUMPRODUCT(INDIRECT(ADDRESS(3,ROW()-31,1)):INDIRECT(ADDRESS(22,ROW()-31,1)),BD$3:BD$22),"")</f>
        <v>4</v>
      </c>
      <c r="BE51">
        <f ca="1">IF(AND(((COLUMN()-10)&lt;=playercnt),((ROW()-41)&lt;=playercnt)),SUMPRODUCT(INDIRECT(ADDRESS(3,ROW()-31,1)):INDIRECT(ADDRESS(22,ROW()-31,1)),BE$3:BE$22),"")</f>
        <v>9</v>
      </c>
      <c r="BF51">
        <f ca="1">IF(AND(((COLUMN()-10)&lt;=playercnt),((ROW()-41)&lt;=playercnt)),SUMPRODUCT(INDIRECT(ADDRESS(3,ROW()-31,1)):INDIRECT(ADDRESS(22,ROW()-31,1)),BF$3:BF$22),"")</f>
        <v>5</v>
      </c>
      <c r="BG51">
        <f ca="1">IF(AND(((COLUMN()-10)&lt;=playercnt),((ROW()-41)&lt;=playercnt)),SUMPRODUCT(INDIRECT(ADDRESS(3,ROW()-31,1)):INDIRECT(ADDRESS(22,ROW()-31,1)),BG$3:BG$22),"")</f>
        <v>9</v>
      </c>
      <c r="BH51">
        <f ca="1">IF(AND(((COLUMN()-10)&lt;=playercnt),((ROW()-41)&lt;=playercnt)),SUMPRODUCT(INDIRECT(ADDRESS(3,ROW()-31,1)):INDIRECT(ADDRESS(22,ROW()-31,1)),BH$3:BH$22),"")</f>
        <v>3</v>
      </c>
      <c r="BI51">
        <f ca="1">IF(AND(((COLUMN()-10)&lt;=playercnt),((ROW()-41)&lt;=playercnt)),SUMPRODUCT(INDIRECT(ADDRESS(3,ROW()-31,1)):INDIRECT(ADDRESS(22,ROW()-31,1)),BI$3:BI$22),"")</f>
        <v>5</v>
      </c>
      <c r="BJ51">
        <f ca="1">IF(AND(((COLUMN()-10)&lt;=playercnt),((ROW()-41)&lt;=playercnt)),SUMPRODUCT(INDIRECT(ADDRESS(3,ROW()-31,1)):INDIRECT(ADDRESS(22,ROW()-31,1)),BJ$3:BJ$22),"")</f>
        <v>7</v>
      </c>
      <c r="BK51">
        <f ca="1">IF(AND(((COLUMN()-10)&lt;=playercnt),((ROW()-41)&lt;=playercnt)),SUMPRODUCT(INDIRECT(ADDRESS(3,ROW()-31,1)):INDIRECT(ADDRESS(22,ROW()-31,1)),BK$3:BK$22),"")</f>
        <v>3</v>
      </c>
      <c r="BL51">
        <f ca="1">IF(AND(((COLUMN()-10)&lt;=playercnt),((ROW()-41)&lt;=playercnt)),SUMPRODUCT(INDIRECT(ADDRESS(3,ROW()-31,1)):INDIRECT(ADDRESS(22,ROW()-31,1)),BL$3:BL$22),"")</f>
        <v>6</v>
      </c>
      <c r="BM51">
        <f ca="1">IF(AND(((COLUMN()-10)&lt;=playercnt),((ROW()-41)&lt;=playercnt)),SUMPRODUCT(INDIRECT(ADDRESS(3,ROW()-31,1)):INDIRECT(ADDRESS(22,ROW()-31,1)),BM$3:BM$22),"")</f>
        <v>5</v>
      </c>
      <c r="BN51">
        <f ca="1">IF(AND(((COLUMN()-10)&lt;=playercnt),((ROW()-41)&lt;=playercnt)),SUMPRODUCT(INDIRECT(ADDRESS(3,ROW()-31,1)):INDIRECT(ADDRESS(22,ROW()-31,1)),BN$3:BN$22),"")</f>
        <v>2</v>
      </c>
    </row>
    <row r="52" spans="1:66" x14ac:dyDescent="0.2">
      <c r="B52" s="27">
        <f t="shared" ca="1" si="23"/>
        <v>6.5471698113207548</v>
      </c>
      <c r="C52" t="str">
        <f t="shared" ca="1" si="22"/>
        <v>Desing, Scott M</v>
      </c>
      <c r="G52">
        <f ca="1">IF(AND(((COLUMN()-10)&lt;=playercnt),((ROW()-41)&lt;=playercnt)),SUMPRODUCT(INDIRECT(ADDRESS(3,ROW()-31,1)):INDIRECT(ADDRESS(22,ROW()-31,1)),G$3:G$22),"")</f>
        <v>4</v>
      </c>
      <c r="H52">
        <f ca="1">IF(AND(((COLUMN()-10)&lt;=playercnt),((ROW()-41)&lt;=playercnt)),SUMPRODUCT(INDIRECT(ADDRESS(3,ROW()-31,1)):INDIRECT(ADDRESS(22,ROW()-31,1)),H$3:H$22),"")</f>
        <v>9</v>
      </c>
      <c r="I52">
        <f ca="1">IF(AND(((COLUMN()-10)&lt;=playercnt),((ROW()-41)&lt;=playercnt)),SUMPRODUCT(INDIRECT(ADDRESS(3,ROW()-31,1)):INDIRECT(ADDRESS(22,ROW()-31,1)),I$3:I$22),"")</f>
        <v>8.5</v>
      </c>
      <c r="J52">
        <f ca="1">IF(AND(((COLUMN()-10)&lt;=playercnt),((ROW()-41)&lt;=playercnt)),SUMPRODUCT(INDIRECT(ADDRESS(3,ROW()-31,1)):INDIRECT(ADDRESS(22,ROW()-31,1)),J$3:J$22),"")</f>
        <v>0</v>
      </c>
      <c r="K52">
        <f ca="1">IF(AND(((COLUMN()-10)&lt;=playercnt),((ROW()-41)&lt;=playercnt)),SUMPRODUCT(INDIRECT(ADDRESS(3,ROW()-31,1)):INDIRECT(ADDRESS(22,ROW()-31,1)),K$3:K$22),"")</f>
        <v>7</v>
      </c>
      <c r="L52">
        <f ca="1">IF(AND(((COLUMN()-10)&lt;=playercnt),((ROW()-41)&lt;=playercnt)),SUMPRODUCT(INDIRECT(ADDRESS(3,ROW()-31,1)):INDIRECT(ADDRESS(22,ROW()-31,1)),L$3:L$22),"")</f>
        <v>10</v>
      </c>
      <c r="M52">
        <f ca="1">IF(AND(((COLUMN()-10)&lt;=playercnt),((ROW()-41)&lt;=playercnt)),SUMPRODUCT(INDIRECT(ADDRESS(3,ROW()-31,1)):INDIRECT(ADDRESS(22,ROW()-31,1)),M$3:M$22),"")</f>
        <v>5</v>
      </c>
      <c r="N52">
        <f ca="1">IF(AND(((COLUMN()-10)&lt;=playercnt),((ROW()-41)&lt;=playercnt)),SUMPRODUCT(INDIRECT(ADDRESS(3,ROW()-31,1)):INDIRECT(ADDRESS(22,ROW()-31,1)),N$3:N$22),"")</f>
        <v>8</v>
      </c>
      <c r="O52">
        <f ca="1">IF(AND(((COLUMN()-10)&lt;=playercnt),((ROW()-41)&lt;=playercnt)),SUMPRODUCT(INDIRECT(ADDRESS(3,ROW()-31,1)):INDIRECT(ADDRESS(22,ROW()-31,1)),O$3:O$22),"")</f>
        <v>6</v>
      </c>
      <c r="P52">
        <f ca="1">IF(AND(((COLUMN()-10)&lt;=playercnt),((ROW()-41)&lt;=playercnt)),SUMPRODUCT(INDIRECT(ADDRESS(3,ROW()-31,1)):INDIRECT(ADDRESS(22,ROW()-31,1)),P$3:P$22),"")</f>
        <v>5</v>
      </c>
      <c r="Q52">
        <f ca="1">IF(AND(((COLUMN()-10)&lt;=playercnt),((ROW()-41)&lt;=playercnt)),SUMPRODUCT(INDIRECT(ADDRESS(3,ROW()-31,1)):INDIRECT(ADDRESS(22,ROW()-31,1)),Q$3:Q$22),"")</f>
        <v>6</v>
      </c>
      <c r="R52">
        <f ca="1">IF(AND(((COLUMN()-10)&lt;=playercnt),((ROW()-41)&lt;=playercnt)),SUMPRODUCT(INDIRECT(ADDRESS(3,ROW()-31,1)):INDIRECT(ADDRESS(22,ROW()-31,1)),R$3:R$22),"")</f>
        <v>6</v>
      </c>
      <c r="S52">
        <f ca="1">IF(AND(((COLUMN()-10)&lt;=playercnt),((ROW()-41)&lt;=playercnt)),SUMPRODUCT(INDIRECT(ADDRESS(3,ROW()-31,1)):INDIRECT(ADDRESS(22,ROW()-31,1)),S$3:S$22),"")</f>
        <v>8</v>
      </c>
      <c r="T52">
        <f ca="1">IF(AND(((COLUMN()-10)&lt;=playercnt),((ROW()-41)&lt;=playercnt)),SUMPRODUCT(INDIRECT(ADDRESS(3,ROW()-31,1)):INDIRECT(ADDRESS(22,ROW()-31,1)),T$3:T$22),"")</f>
        <v>5</v>
      </c>
      <c r="U52">
        <f ca="1">IF(AND(((COLUMN()-10)&lt;=playercnt),((ROW()-41)&lt;=playercnt)),SUMPRODUCT(INDIRECT(ADDRESS(3,ROW()-31,1)):INDIRECT(ADDRESS(22,ROW()-31,1)),U$3:U$22),"")</f>
        <v>10</v>
      </c>
      <c r="V52">
        <f ca="1">IF(AND(((COLUMN()-10)&lt;=playercnt),((ROW()-41)&lt;=playercnt)),SUMPRODUCT(INDIRECT(ADDRESS(3,ROW()-31,1)):INDIRECT(ADDRESS(22,ROW()-31,1)),V$3:V$22),"")</f>
        <v>4</v>
      </c>
      <c r="W52">
        <f ca="1">IF(AND(((COLUMN()-10)&lt;=playercnt),((ROW()-41)&lt;=playercnt)),SUMPRODUCT(INDIRECT(ADDRESS(3,ROW()-31,1)):INDIRECT(ADDRESS(22,ROW()-31,1)),W$3:W$22),"")</f>
        <v>6</v>
      </c>
      <c r="X52">
        <f ca="1">IF(AND(((COLUMN()-10)&lt;=playercnt),((ROW()-41)&lt;=playercnt)),SUMPRODUCT(INDIRECT(ADDRESS(3,ROW()-31,1)):INDIRECT(ADDRESS(22,ROW()-31,1)),X$3:X$22),"")</f>
        <v>5</v>
      </c>
      <c r="Y52">
        <f ca="1">IF(AND(((COLUMN()-10)&lt;=playercnt),((ROW()-41)&lt;=playercnt)),SUMPRODUCT(INDIRECT(ADDRESS(3,ROW()-31,1)):INDIRECT(ADDRESS(22,ROW()-31,1)),Y$3:Y$22),"")</f>
        <v>8</v>
      </c>
      <c r="Z52">
        <f ca="1">IF(AND(((COLUMN()-10)&lt;=playercnt),((ROW()-41)&lt;=playercnt)),SUMPRODUCT(INDIRECT(ADDRESS(3,ROW()-31,1)):INDIRECT(ADDRESS(22,ROW()-31,1)),Z$3:Z$22),"")</f>
        <v>5</v>
      </c>
      <c r="AA52">
        <f ca="1">IF(AND(((COLUMN()-10)&lt;=playercnt),((ROW()-41)&lt;=playercnt)),SUMPRODUCT(INDIRECT(ADDRESS(3,ROW()-31,1)):INDIRECT(ADDRESS(22,ROW()-31,1)),AA$3:AA$22),"")</f>
        <v>4</v>
      </c>
      <c r="AB52">
        <f ca="1">IF(AND(((COLUMN()-10)&lt;=playercnt),((ROW()-41)&lt;=playercnt)),SUMPRODUCT(INDIRECT(ADDRESS(3,ROW()-31,1)):INDIRECT(ADDRESS(22,ROW()-31,1)),AB$3:AB$22),"")</f>
        <v>5</v>
      </c>
      <c r="AC52">
        <f ca="1">IF(AND(((COLUMN()-10)&lt;=playercnt),((ROW()-41)&lt;=playercnt)),SUMPRODUCT(INDIRECT(ADDRESS(3,ROW()-31,1)):INDIRECT(ADDRESS(22,ROW()-31,1)),AC$3:AC$22),"")</f>
        <v>8</v>
      </c>
      <c r="AD52">
        <f ca="1">IF(AND(((COLUMN()-10)&lt;=playercnt),((ROW()-41)&lt;=playercnt)),SUMPRODUCT(INDIRECT(ADDRESS(3,ROW()-31,1)):INDIRECT(ADDRESS(22,ROW()-31,1)),AD$3:AD$22),"")</f>
        <v>6</v>
      </c>
      <c r="AE52">
        <f ca="1">IF(AND(((COLUMN()-10)&lt;=playercnt),((ROW()-41)&lt;=playercnt)),SUMPRODUCT(INDIRECT(ADDRESS(3,ROW()-31,1)):INDIRECT(ADDRESS(22,ROW()-31,1)),AE$3:AE$22),"")</f>
        <v>8</v>
      </c>
      <c r="AF52">
        <f ca="1">IF(AND(((COLUMN()-10)&lt;=playercnt),((ROW()-41)&lt;=playercnt)),SUMPRODUCT(INDIRECT(ADDRESS(3,ROW()-31,1)):INDIRECT(ADDRESS(22,ROW()-31,1)),AF$3:AF$22),"")</f>
        <v>5</v>
      </c>
      <c r="AG52">
        <f ca="1">IF(AND(((COLUMN()-10)&lt;=playercnt),((ROW()-41)&lt;=playercnt)),SUMPRODUCT(INDIRECT(ADDRESS(3,ROW()-31,1)):INDIRECT(ADDRESS(22,ROW()-31,1)),AG$3:AG$22),"")</f>
        <v>7</v>
      </c>
      <c r="AH52">
        <f ca="1">IF(AND(((COLUMN()-10)&lt;=playercnt),((ROW()-41)&lt;=playercnt)),SUMPRODUCT(INDIRECT(ADDRESS(3,ROW()-31,1)):INDIRECT(ADDRESS(22,ROW()-31,1)),AH$3:AH$22),"")</f>
        <v>8</v>
      </c>
      <c r="AI52">
        <f ca="1">IF(AND(((COLUMN()-10)&lt;=playercnt),((ROW()-41)&lt;=playercnt)),SUMPRODUCT(INDIRECT(ADDRESS(3,ROW()-31,1)):INDIRECT(ADDRESS(22,ROW()-31,1)),AI$3:AI$22),"")</f>
        <v>4</v>
      </c>
      <c r="AJ52">
        <f ca="1">IF(AND(((COLUMN()-10)&lt;=playercnt),((ROW()-41)&lt;=playercnt)),SUMPRODUCT(INDIRECT(ADDRESS(3,ROW()-31,1)):INDIRECT(ADDRESS(22,ROW()-31,1)),AJ$3:AJ$22),"")</f>
        <v>6</v>
      </c>
      <c r="AK52">
        <f ca="1">IF(AND(((COLUMN()-10)&lt;=playercnt),((ROW()-41)&lt;=playercnt)),SUMPRODUCT(INDIRECT(ADDRESS(3,ROW()-31,1)):INDIRECT(ADDRESS(22,ROW()-31,1)),AK$3:AK$22),"")</f>
        <v>0</v>
      </c>
      <c r="AL52">
        <f ca="1">IF(AND(((COLUMN()-10)&lt;=playercnt),((ROW()-41)&lt;=playercnt)),SUMPRODUCT(INDIRECT(ADDRESS(3,ROW()-31,1)):INDIRECT(ADDRESS(22,ROW()-31,1)),AL$3:AL$22),"")</f>
        <v>7</v>
      </c>
      <c r="AM52">
        <f ca="1">IF(AND(((COLUMN()-10)&lt;=playercnt),((ROW()-41)&lt;=playercnt)),SUMPRODUCT(INDIRECT(ADDRESS(3,ROW()-31,1)):INDIRECT(ADDRESS(22,ROW()-31,1)),AM$3:AM$22),"")</f>
        <v>8</v>
      </c>
      <c r="AN52">
        <f ca="1">IF(AND(((COLUMN()-10)&lt;=playercnt),((ROW()-41)&lt;=playercnt)),SUMPRODUCT(INDIRECT(ADDRESS(3,ROW()-31,1)):INDIRECT(ADDRESS(22,ROW()-31,1)),AN$3:AN$22),"")</f>
        <v>10</v>
      </c>
      <c r="AO52">
        <f ca="1">IF(AND(((COLUMN()-10)&lt;=playercnt),((ROW()-41)&lt;=playercnt)),SUMPRODUCT(INDIRECT(ADDRESS(3,ROW()-31,1)):INDIRECT(ADDRESS(22,ROW()-31,1)),AO$3:AO$22),"")</f>
        <v>4</v>
      </c>
      <c r="AP52">
        <f ca="1">IF(AND(((COLUMN()-10)&lt;=playercnt),((ROW()-41)&lt;=playercnt)),SUMPRODUCT(INDIRECT(ADDRESS(3,ROW()-31,1)):INDIRECT(ADDRESS(22,ROW()-31,1)),AP$3:AP$22),"")</f>
        <v>0</v>
      </c>
      <c r="AQ52">
        <f ca="1">IF(AND(((COLUMN()-10)&lt;=playercnt),((ROW()-41)&lt;=playercnt)),SUMPRODUCT(INDIRECT(ADDRESS(3,ROW()-31,1)):INDIRECT(ADDRESS(22,ROW()-31,1)),AQ$3:AQ$22),"")</f>
        <v>6</v>
      </c>
      <c r="AR52">
        <f ca="1">IF(AND(((COLUMN()-10)&lt;=playercnt),((ROW()-41)&lt;=playercnt)),SUMPRODUCT(INDIRECT(ADDRESS(3,ROW()-31,1)):INDIRECT(ADDRESS(22,ROW()-31,1)),AR$3:AR$22),"")</f>
        <v>5</v>
      </c>
      <c r="AS52">
        <f ca="1">IF(AND(((COLUMN()-10)&lt;=playercnt),((ROW()-41)&lt;=playercnt)),SUMPRODUCT(INDIRECT(ADDRESS(3,ROW()-31,1)):INDIRECT(ADDRESS(22,ROW()-31,1)),AS$3:AS$22),"")</f>
        <v>8</v>
      </c>
      <c r="AT52">
        <f ca="1">IF(AND(((COLUMN()-10)&lt;=playercnt),((ROW()-41)&lt;=playercnt)),SUMPRODUCT(INDIRECT(ADDRESS(3,ROW()-31,1)):INDIRECT(ADDRESS(22,ROW()-31,1)),AT$3:AT$22),"")</f>
        <v>6</v>
      </c>
      <c r="AU52">
        <f ca="1">IF(AND(((COLUMN()-10)&lt;=playercnt),((ROW()-41)&lt;=playercnt)),SUMPRODUCT(INDIRECT(ADDRESS(3,ROW()-31,1)):INDIRECT(ADDRESS(22,ROW()-31,1)),AU$3:AU$22),"")</f>
        <v>6</v>
      </c>
      <c r="AV52">
        <f ca="1">IF(AND(((COLUMN()-10)&lt;=playercnt),((ROW()-41)&lt;=playercnt)),SUMPRODUCT(INDIRECT(ADDRESS(3,ROW()-31,1)):INDIRECT(ADDRESS(22,ROW()-31,1)),AV$3:AV$22),"")</f>
        <v>10</v>
      </c>
      <c r="AW52">
        <f ca="1">IF(AND(((COLUMN()-10)&lt;=playercnt),((ROW()-41)&lt;=playercnt)),SUMPRODUCT(INDIRECT(ADDRESS(3,ROW()-31,1)):INDIRECT(ADDRESS(22,ROW()-31,1)),AW$3:AW$22),"")</f>
        <v>8</v>
      </c>
      <c r="AX52">
        <f ca="1">IF(AND(((COLUMN()-10)&lt;=playercnt),((ROW()-41)&lt;=playercnt)),SUMPRODUCT(INDIRECT(ADDRESS(3,ROW()-31,1)):INDIRECT(ADDRESS(22,ROW()-31,1)),AX$3:AX$22),"")</f>
        <v>7</v>
      </c>
      <c r="AY52">
        <f ca="1">IF(AND(((COLUMN()-10)&lt;=playercnt),((ROW()-41)&lt;=playercnt)),SUMPRODUCT(INDIRECT(ADDRESS(3,ROW()-31,1)):INDIRECT(ADDRESS(22,ROW()-31,1)),AY$3:AY$22),"")</f>
        <v>6</v>
      </c>
      <c r="AZ52">
        <f ca="1">IF(AND(((COLUMN()-10)&lt;=playercnt),((ROW()-41)&lt;=playercnt)),SUMPRODUCT(INDIRECT(ADDRESS(3,ROW()-31,1)):INDIRECT(ADDRESS(22,ROW()-31,1)),AZ$3:AZ$22),"")</f>
        <v>7</v>
      </c>
      <c r="BA52">
        <f ca="1">IF(AND(((COLUMN()-10)&lt;=playercnt),((ROW()-41)&lt;=playercnt)),SUMPRODUCT(INDIRECT(ADDRESS(3,ROW()-31,1)):INDIRECT(ADDRESS(22,ROW()-31,1)),BA$3:BA$22),"")</f>
        <v>7</v>
      </c>
      <c r="BB52">
        <f ca="1">IF(AND(((COLUMN()-10)&lt;=playercnt),((ROW()-41)&lt;=playercnt)),SUMPRODUCT(INDIRECT(ADDRESS(3,ROW()-31,1)):INDIRECT(ADDRESS(22,ROW()-31,1)),BB$3:BB$22),"")</f>
        <v>9</v>
      </c>
      <c r="BC52">
        <f ca="1">IF(AND(((COLUMN()-10)&lt;=playercnt),((ROW()-41)&lt;=playercnt)),SUMPRODUCT(INDIRECT(ADDRESS(3,ROW()-31,1)):INDIRECT(ADDRESS(22,ROW()-31,1)),BC$3:BC$22),"")</f>
        <v>7</v>
      </c>
      <c r="BD52">
        <f ca="1">IF(AND(((COLUMN()-10)&lt;=playercnt),((ROW()-41)&lt;=playercnt)),SUMPRODUCT(INDIRECT(ADDRESS(3,ROW()-31,1)):INDIRECT(ADDRESS(22,ROW()-31,1)),BD$3:BD$22),"")</f>
        <v>3</v>
      </c>
      <c r="BE52">
        <f ca="1">IF(AND(((COLUMN()-10)&lt;=playercnt),((ROW()-41)&lt;=playercnt)),SUMPRODUCT(INDIRECT(ADDRESS(3,ROW()-31,1)):INDIRECT(ADDRESS(22,ROW()-31,1)),BE$3:BE$22),"")</f>
        <v>6</v>
      </c>
      <c r="BF52">
        <f ca="1">IF(AND(((COLUMN()-10)&lt;=playercnt),((ROW()-41)&lt;=playercnt)),SUMPRODUCT(INDIRECT(ADDRESS(3,ROW()-31,1)):INDIRECT(ADDRESS(22,ROW()-31,1)),BF$3:BF$22),"")</f>
        <v>6</v>
      </c>
      <c r="BG52">
        <f ca="1">IF(AND(((COLUMN()-10)&lt;=playercnt),((ROW()-41)&lt;=playercnt)),SUMPRODUCT(INDIRECT(ADDRESS(3,ROW()-31,1)):INDIRECT(ADDRESS(22,ROW()-31,1)),BG$3:BG$22),"")</f>
        <v>6</v>
      </c>
      <c r="BH52">
        <f ca="1">IF(AND(((COLUMN()-10)&lt;=playercnt),((ROW()-41)&lt;=playercnt)),SUMPRODUCT(INDIRECT(ADDRESS(3,ROW()-31,1)):INDIRECT(ADDRESS(22,ROW()-31,1)),BH$3:BH$22),"")</f>
        <v>6</v>
      </c>
      <c r="BI52">
        <f ca="1">IF(AND(((COLUMN()-10)&lt;=playercnt),((ROW()-41)&lt;=playercnt)),SUMPRODUCT(INDIRECT(ADDRESS(3,ROW()-31,1)):INDIRECT(ADDRESS(22,ROW()-31,1)),BI$3:BI$22),"")</f>
        <v>10</v>
      </c>
      <c r="BJ52">
        <f ca="1">IF(AND(((COLUMN()-10)&lt;=playercnt),((ROW()-41)&lt;=playercnt)),SUMPRODUCT(INDIRECT(ADDRESS(3,ROW()-31,1)):INDIRECT(ADDRESS(22,ROW()-31,1)),BJ$3:BJ$22),"")</f>
        <v>6</v>
      </c>
      <c r="BK52">
        <f ca="1">IF(AND(((COLUMN()-10)&lt;=playercnt),((ROW()-41)&lt;=playercnt)),SUMPRODUCT(INDIRECT(ADDRESS(3,ROW()-31,1)):INDIRECT(ADDRESS(22,ROW()-31,1)),BK$3:BK$22),"")</f>
        <v>6</v>
      </c>
      <c r="BL52">
        <f ca="1">IF(AND(((COLUMN()-10)&lt;=playercnt),((ROW()-41)&lt;=playercnt)),SUMPRODUCT(INDIRECT(ADDRESS(3,ROW()-31,1)):INDIRECT(ADDRESS(22,ROW()-31,1)),BL$3:BL$22),"")</f>
        <v>7</v>
      </c>
      <c r="BM52">
        <f ca="1">IF(AND(((COLUMN()-10)&lt;=playercnt),((ROW()-41)&lt;=playercnt)),SUMPRODUCT(INDIRECT(ADDRESS(3,ROW()-31,1)):INDIRECT(ADDRESS(22,ROW()-31,1)),BM$3:BM$22),"")</f>
        <v>8</v>
      </c>
      <c r="BN52">
        <f ca="1">IF(AND(((COLUMN()-10)&lt;=playercnt),((ROW()-41)&lt;=playercnt)),SUMPRODUCT(INDIRECT(ADDRESS(3,ROW()-31,1)):INDIRECT(ADDRESS(22,ROW()-31,1)),BN$3:BN$22),"")</f>
        <v>7</v>
      </c>
    </row>
    <row r="53" spans="1:66" x14ac:dyDescent="0.2">
      <c r="B53" s="27">
        <f t="shared" ca="1" si="23"/>
        <v>5.4528301886792452</v>
      </c>
      <c r="C53" t="str">
        <f t="shared" ca="1" si="22"/>
        <v>Drebin, James</v>
      </c>
      <c r="G53">
        <f ca="1">IF(AND(((COLUMN()-10)&lt;=playercnt),((ROW()-41)&lt;=playercnt)),SUMPRODUCT(INDIRECT(ADDRESS(3,ROW()-31,1)):INDIRECT(ADDRESS(22,ROW()-31,1)),G$3:G$22),"")</f>
        <v>2</v>
      </c>
      <c r="H53">
        <f ca="1">IF(AND(((COLUMN()-10)&lt;=playercnt),((ROW()-41)&lt;=playercnt)),SUMPRODUCT(INDIRECT(ADDRESS(3,ROW()-31,1)):INDIRECT(ADDRESS(22,ROW()-31,1)),H$3:H$22),"")</f>
        <v>5</v>
      </c>
      <c r="I53">
        <f ca="1">IF(AND(((COLUMN()-10)&lt;=playercnt),((ROW()-41)&lt;=playercnt)),SUMPRODUCT(INDIRECT(ADDRESS(3,ROW()-31,1)):INDIRECT(ADDRESS(22,ROW()-31,1)),I$3:I$22),"")</f>
        <v>5.5</v>
      </c>
      <c r="J53">
        <f ca="1">IF(AND(((COLUMN()-10)&lt;=playercnt),((ROW()-41)&lt;=playercnt)),SUMPRODUCT(INDIRECT(ADDRESS(3,ROW()-31,1)):INDIRECT(ADDRESS(22,ROW()-31,1)),J$3:J$22),"")</f>
        <v>0</v>
      </c>
      <c r="K53">
        <f ca="1">IF(AND(((COLUMN()-10)&lt;=playercnt),((ROW()-41)&lt;=playercnt)),SUMPRODUCT(INDIRECT(ADDRESS(3,ROW()-31,1)):INDIRECT(ADDRESS(22,ROW()-31,1)),K$3:K$22),"")</f>
        <v>5</v>
      </c>
      <c r="L53">
        <f ca="1">IF(AND(((COLUMN()-10)&lt;=playercnt),((ROW()-41)&lt;=playercnt)),SUMPRODUCT(INDIRECT(ADDRESS(3,ROW()-31,1)):INDIRECT(ADDRESS(22,ROW()-31,1)),L$3:L$22),"")</f>
        <v>4</v>
      </c>
      <c r="M53">
        <f ca="1">IF(AND(((COLUMN()-10)&lt;=playercnt),((ROW()-41)&lt;=playercnt)),SUMPRODUCT(INDIRECT(ADDRESS(3,ROW()-31,1)):INDIRECT(ADDRESS(22,ROW()-31,1)),M$3:M$22),"")</f>
        <v>7</v>
      </c>
      <c r="N53">
        <f ca="1">IF(AND(((COLUMN()-10)&lt;=playercnt),((ROW()-41)&lt;=playercnt)),SUMPRODUCT(INDIRECT(ADDRESS(3,ROW()-31,1)):INDIRECT(ADDRESS(22,ROW()-31,1)),N$3:N$22),"")</f>
        <v>4</v>
      </c>
      <c r="O53">
        <f ca="1">IF(AND(((COLUMN()-10)&lt;=playercnt),((ROW()-41)&lt;=playercnt)),SUMPRODUCT(INDIRECT(ADDRESS(3,ROW()-31,1)):INDIRECT(ADDRESS(22,ROW()-31,1)),O$3:O$22),"")</f>
        <v>4</v>
      </c>
      <c r="P53">
        <f ca="1">IF(AND(((COLUMN()-10)&lt;=playercnt),((ROW()-41)&lt;=playercnt)),SUMPRODUCT(INDIRECT(ADDRESS(3,ROW()-31,1)):INDIRECT(ADDRESS(22,ROW()-31,1)),P$3:P$22),"")</f>
        <v>7</v>
      </c>
      <c r="Q53">
        <f ca="1">IF(AND(((COLUMN()-10)&lt;=playercnt),((ROW()-41)&lt;=playercnt)),SUMPRODUCT(INDIRECT(ADDRESS(3,ROW()-31,1)):INDIRECT(ADDRESS(22,ROW()-31,1)),Q$3:Q$22),"")</f>
        <v>6</v>
      </c>
      <c r="R53">
        <f ca="1">IF(AND(((COLUMN()-10)&lt;=playercnt),((ROW()-41)&lt;=playercnt)),SUMPRODUCT(INDIRECT(ADDRESS(3,ROW()-31,1)):INDIRECT(ADDRESS(22,ROW()-31,1)),R$3:R$22),"")</f>
        <v>2</v>
      </c>
      <c r="S53">
        <f ca="1">IF(AND(((COLUMN()-10)&lt;=playercnt),((ROW()-41)&lt;=playercnt)),SUMPRODUCT(INDIRECT(ADDRESS(3,ROW()-31,1)):INDIRECT(ADDRESS(22,ROW()-31,1)),S$3:S$22),"")</f>
        <v>6</v>
      </c>
      <c r="T53">
        <f ca="1">IF(AND(((COLUMN()-10)&lt;=playercnt),((ROW()-41)&lt;=playercnt)),SUMPRODUCT(INDIRECT(ADDRESS(3,ROW()-31,1)):INDIRECT(ADDRESS(22,ROW()-31,1)),T$3:T$22),"")</f>
        <v>5</v>
      </c>
      <c r="U53">
        <f ca="1">IF(AND(((COLUMN()-10)&lt;=playercnt),((ROW()-41)&lt;=playercnt)),SUMPRODUCT(INDIRECT(ADDRESS(3,ROW()-31,1)):INDIRECT(ADDRESS(22,ROW()-31,1)),U$3:U$22),"")</f>
        <v>4</v>
      </c>
      <c r="V53">
        <f ca="1">IF(AND(((COLUMN()-10)&lt;=playercnt),((ROW()-41)&lt;=playercnt)),SUMPRODUCT(INDIRECT(ADDRESS(3,ROW()-31,1)):INDIRECT(ADDRESS(22,ROW()-31,1)),V$3:V$22),"")</f>
        <v>10</v>
      </c>
      <c r="W53">
        <f ca="1">IF(AND(((COLUMN()-10)&lt;=playercnt),((ROW()-41)&lt;=playercnt)),SUMPRODUCT(INDIRECT(ADDRESS(3,ROW()-31,1)):INDIRECT(ADDRESS(22,ROW()-31,1)),W$3:W$22),"")</f>
        <v>6</v>
      </c>
      <c r="X53">
        <f ca="1">IF(AND(((COLUMN()-10)&lt;=playercnt),((ROW()-41)&lt;=playercnt)),SUMPRODUCT(INDIRECT(ADDRESS(3,ROW()-31,1)):INDIRECT(ADDRESS(22,ROW()-31,1)),X$3:X$22),"")</f>
        <v>7</v>
      </c>
      <c r="Y53">
        <f ca="1">IF(AND(((COLUMN()-10)&lt;=playercnt),((ROW()-41)&lt;=playercnt)),SUMPRODUCT(INDIRECT(ADDRESS(3,ROW()-31,1)):INDIRECT(ADDRESS(22,ROW()-31,1)),Y$3:Y$22),"")</f>
        <v>4</v>
      </c>
      <c r="Z53">
        <f ca="1">IF(AND(((COLUMN()-10)&lt;=playercnt),((ROW()-41)&lt;=playercnt)),SUMPRODUCT(INDIRECT(ADDRESS(3,ROW()-31,1)):INDIRECT(ADDRESS(22,ROW()-31,1)),Z$3:Z$22),"")</f>
        <v>9</v>
      </c>
      <c r="AA53">
        <f ca="1">IF(AND(((COLUMN()-10)&lt;=playercnt),((ROW()-41)&lt;=playercnt)),SUMPRODUCT(INDIRECT(ADDRESS(3,ROW()-31,1)):INDIRECT(ADDRESS(22,ROW()-31,1)),AA$3:AA$22),"")</f>
        <v>6</v>
      </c>
      <c r="AB53">
        <f ca="1">IF(AND(((COLUMN()-10)&lt;=playercnt),((ROW()-41)&lt;=playercnt)),SUMPRODUCT(INDIRECT(ADDRESS(3,ROW()-31,1)):INDIRECT(ADDRESS(22,ROW()-31,1)),AB$3:AB$22),"")</f>
        <v>7</v>
      </c>
      <c r="AC53">
        <f ca="1">IF(AND(((COLUMN()-10)&lt;=playercnt),((ROW()-41)&lt;=playercnt)),SUMPRODUCT(INDIRECT(ADDRESS(3,ROW()-31,1)):INDIRECT(ADDRESS(22,ROW()-31,1)),AC$3:AC$22),"")</f>
        <v>4</v>
      </c>
      <c r="AD53">
        <f ca="1">IF(AND(((COLUMN()-10)&lt;=playercnt),((ROW()-41)&lt;=playercnt)),SUMPRODUCT(INDIRECT(ADDRESS(3,ROW()-31,1)):INDIRECT(ADDRESS(22,ROW()-31,1)),AD$3:AD$22),"")</f>
        <v>4</v>
      </c>
      <c r="AE53">
        <f ca="1">IF(AND(((COLUMN()-10)&lt;=playercnt),((ROW()-41)&lt;=playercnt)),SUMPRODUCT(INDIRECT(ADDRESS(3,ROW()-31,1)):INDIRECT(ADDRESS(22,ROW()-31,1)),AE$3:AE$22),"")</f>
        <v>4</v>
      </c>
      <c r="AF53">
        <f ca="1">IF(AND(((COLUMN()-10)&lt;=playercnt),((ROW()-41)&lt;=playercnt)),SUMPRODUCT(INDIRECT(ADDRESS(3,ROW()-31,1)):INDIRECT(ADDRESS(22,ROW()-31,1)),AF$3:AF$22),"")</f>
        <v>7</v>
      </c>
      <c r="AG53">
        <f ca="1">IF(AND(((COLUMN()-10)&lt;=playercnt),((ROW()-41)&lt;=playercnt)),SUMPRODUCT(INDIRECT(ADDRESS(3,ROW()-31,1)):INDIRECT(ADDRESS(22,ROW()-31,1)),AG$3:AG$22),"")</f>
        <v>7</v>
      </c>
      <c r="AH53">
        <f ca="1">IF(AND(((COLUMN()-10)&lt;=playercnt),((ROW()-41)&lt;=playercnt)),SUMPRODUCT(INDIRECT(ADDRESS(3,ROW()-31,1)):INDIRECT(ADDRESS(22,ROW()-31,1)),AH$3:AH$22),"")</f>
        <v>4</v>
      </c>
      <c r="AI53">
        <f ca="1">IF(AND(((COLUMN()-10)&lt;=playercnt),((ROW()-41)&lt;=playercnt)),SUMPRODUCT(INDIRECT(ADDRESS(3,ROW()-31,1)):INDIRECT(ADDRESS(22,ROW()-31,1)),AI$3:AI$22),"")</f>
        <v>6</v>
      </c>
      <c r="AJ53">
        <f ca="1">IF(AND(((COLUMN()-10)&lt;=playercnt),((ROW()-41)&lt;=playercnt)),SUMPRODUCT(INDIRECT(ADDRESS(3,ROW()-31,1)):INDIRECT(ADDRESS(22,ROW()-31,1)),AJ$3:AJ$22),"")</f>
        <v>8</v>
      </c>
      <c r="AK53">
        <f ca="1">IF(AND(((COLUMN()-10)&lt;=playercnt),((ROW()-41)&lt;=playercnt)),SUMPRODUCT(INDIRECT(ADDRESS(3,ROW()-31,1)):INDIRECT(ADDRESS(22,ROW()-31,1)),AK$3:AK$22),"")</f>
        <v>0</v>
      </c>
      <c r="AL53">
        <f ca="1">IF(AND(((COLUMN()-10)&lt;=playercnt),((ROW()-41)&lt;=playercnt)),SUMPRODUCT(INDIRECT(ADDRESS(3,ROW()-31,1)):INDIRECT(ADDRESS(22,ROW()-31,1)),AL$3:AL$22),"")</f>
        <v>5</v>
      </c>
      <c r="AM53">
        <f ca="1">IF(AND(((COLUMN()-10)&lt;=playercnt),((ROW()-41)&lt;=playercnt)),SUMPRODUCT(INDIRECT(ADDRESS(3,ROW()-31,1)):INDIRECT(ADDRESS(22,ROW()-31,1)),AM$3:AM$22),"")</f>
        <v>6</v>
      </c>
      <c r="AN53">
        <f ca="1">IF(AND(((COLUMN()-10)&lt;=playercnt),((ROW()-41)&lt;=playercnt)),SUMPRODUCT(INDIRECT(ADDRESS(3,ROW()-31,1)):INDIRECT(ADDRESS(22,ROW()-31,1)),AN$3:AN$22),"")</f>
        <v>4</v>
      </c>
      <c r="AO53">
        <f ca="1">IF(AND(((COLUMN()-10)&lt;=playercnt),((ROW()-41)&lt;=playercnt)),SUMPRODUCT(INDIRECT(ADDRESS(3,ROW()-31,1)):INDIRECT(ADDRESS(22,ROW()-31,1)),AO$3:AO$22),"")</f>
        <v>4</v>
      </c>
      <c r="AP53">
        <f ca="1">IF(AND(((COLUMN()-10)&lt;=playercnt),((ROW()-41)&lt;=playercnt)),SUMPRODUCT(INDIRECT(ADDRESS(3,ROW()-31,1)):INDIRECT(ADDRESS(22,ROW()-31,1)),AP$3:AP$22),"")</f>
        <v>0</v>
      </c>
      <c r="AQ53">
        <f ca="1">IF(AND(((COLUMN()-10)&lt;=playercnt),((ROW()-41)&lt;=playercnt)),SUMPRODUCT(INDIRECT(ADDRESS(3,ROW()-31,1)):INDIRECT(ADDRESS(22,ROW()-31,1)),AQ$3:AQ$22),"")</f>
        <v>8</v>
      </c>
      <c r="AR53">
        <f ca="1">IF(AND(((COLUMN()-10)&lt;=playercnt),((ROW()-41)&lt;=playercnt)),SUMPRODUCT(INDIRECT(ADDRESS(3,ROW()-31,1)):INDIRECT(ADDRESS(22,ROW()-31,1)),AR$3:AR$22),"")</f>
        <v>3</v>
      </c>
      <c r="AS53">
        <f ca="1">IF(AND(((COLUMN()-10)&lt;=playercnt),((ROW()-41)&lt;=playercnt)),SUMPRODUCT(INDIRECT(ADDRESS(3,ROW()-31,1)):INDIRECT(ADDRESS(22,ROW()-31,1)),AS$3:AS$22),"")</f>
        <v>4</v>
      </c>
      <c r="AT53">
        <f ca="1">IF(AND(((COLUMN()-10)&lt;=playercnt),((ROW()-41)&lt;=playercnt)),SUMPRODUCT(INDIRECT(ADDRESS(3,ROW()-31,1)):INDIRECT(ADDRESS(22,ROW()-31,1)),AT$3:AT$22),"")</f>
        <v>6</v>
      </c>
      <c r="AU53">
        <f ca="1">IF(AND(((COLUMN()-10)&lt;=playercnt),((ROW()-41)&lt;=playercnt)),SUMPRODUCT(INDIRECT(ADDRESS(3,ROW()-31,1)):INDIRECT(ADDRESS(22,ROW()-31,1)),AU$3:AU$22),"")</f>
        <v>8</v>
      </c>
      <c r="AV53">
        <f ca="1">IF(AND(((COLUMN()-10)&lt;=playercnt),((ROW()-41)&lt;=playercnt)),SUMPRODUCT(INDIRECT(ADDRESS(3,ROW()-31,1)):INDIRECT(ADDRESS(22,ROW()-31,1)),AV$3:AV$22),"")</f>
        <v>4</v>
      </c>
      <c r="AW53">
        <f ca="1">IF(AND(((COLUMN()-10)&lt;=playercnt),((ROW()-41)&lt;=playercnt)),SUMPRODUCT(INDIRECT(ADDRESS(3,ROW()-31,1)):INDIRECT(ADDRESS(22,ROW()-31,1)),AW$3:AW$22),"")</f>
        <v>4</v>
      </c>
      <c r="AX53">
        <f ca="1">IF(AND(((COLUMN()-10)&lt;=playercnt),((ROW()-41)&lt;=playercnt)),SUMPRODUCT(INDIRECT(ADDRESS(3,ROW()-31,1)):INDIRECT(ADDRESS(22,ROW()-31,1)),AX$3:AX$22),"")</f>
        <v>5</v>
      </c>
      <c r="AY53">
        <f ca="1">IF(AND(((COLUMN()-10)&lt;=playercnt),((ROW()-41)&lt;=playercnt)),SUMPRODUCT(INDIRECT(ADDRESS(3,ROW()-31,1)):INDIRECT(ADDRESS(22,ROW()-31,1)),AY$3:AY$22),"")</f>
        <v>4</v>
      </c>
      <c r="AZ53">
        <f ca="1">IF(AND(((COLUMN()-10)&lt;=playercnt),((ROW()-41)&lt;=playercnt)),SUMPRODUCT(INDIRECT(ADDRESS(3,ROW()-31,1)):INDIRECT(ADDRESS(22,ROW()-31,1)),AZ$3:AZ$22),"")</f>
        <v>7</v>
      </c>
      <c r="BA53">
        <f ca="1">IF(AND(((COLUMN()-10)&lt;=playercnt),((ROW()-41)&lt;=playercnt)),SUMPRODUCT(INDIRECT(ADDRESS(3,ROW()-31,1)):INDIRECT(ADDRESS(22,ROW()-31,1)),BA$3:BA$22),"")</f>
        <v>7</v>
      </c>
      <c r="BB53">
        <f ca="1">IF(AND(((COLUMN()-10)&lt;=playercnt),((ROW()-41)&lt;=playercnt)),SUMPRODUCT(INDIRECT(ADDRESS(3,ROW()-31,1)):INDIRECT(ADDRESS(22,ROW()-31,1)),BB$3:BB$22),"")</f>
        <v>5</v>
      </c>
      <c r="BC53">
        <f ca="1">IF(AND(((COLUMN()-10)&lt;=playercnt),((ROW()-41)&lt;=playercnt)),SUMPRODUCT(INDIRECT(ADDRESS(3,ROW()-31,1)):INDIRECT(ADDRESS(22,ROW()-31,1)),BC$3:BC$22),"")</f>
        <v>7</v>
      </c>
      <c r="BD53">
        <f ca="1">IF(AND(((COLUMN()-10)&lt;=playercnt),((ROW()-41)&lt;=playercnt)),SUMPRODUCT(INDIRECT(ADDRESS(3,ROW()-31,1)):INDIRECT(ADDRESS(22,ROW()-31,1)),BD$3:BD$22),"")</f>
        <v>7</v>
      </c>
      <c r="BE53">
        <f ca="1">IF(AND(((COLUMN()-10)&lt;=playercnt),((ROW()-41)&lt;=playercnt)),SUMPRODUCT(INDIRECT(ADDRESS(3,ROW()-31,1)):INDIRECT(ADDRESS(22,ROW()-31,1)),BE$3:BE$22),"")</f>
        <v>6</v>
      </c>
      <c r="BF53">
        <f ca="1">IF(AND(((COLUMN()-10)&lt;=playercnt),((ROW()-41)&lt;=playercnt)),SUMPRODUCT(INDIRECT(ADDRESS(3,ROW()-31,1)):INDIRECT(ADDRESS(22,ROW()-31,1)),BF$3:BF$22),"")</f>
        <v>8</v>
      </c>
      <c r="BG53">
        <f ca="1">IF(AND(((COLUMN()-10)&lt;=playercnt),((ROW()-41)&lt;=playercnt)),SUMPRODUCT(INDIRECT(ADDRESS(3,ROW()-31,1)):INDIRECT(ADDRESS(22,ROW()-31,1)),BG$3:BG$22),"")</f>
        <v>4</v>
      </c>
      <c r="BH53">
        <f ca="1">IF(AND(((COLUMN()-10)&lt;=playercnt),((ROW()-41)&lt;=playercnt)),SUMPRODUCT(INDIRECT(ADDRESS(3,ROW()-31,1)):INDIRECT(ADDRESS(22,ROW()-31,1)),BH$3:BH$22),"")</f>
        <v>6</v>
      </c>
      <c r="BI53">
        <f ca="1">IF(AND(((COLUMN()-10)&lt;=playercnt),((ROW()-41)&lt;=playercnt)),SUMPRODUCT(INDIRECT(ADDRESS(3,ROW()-31,1)):INDIRECT(ADDRESS(22,ROW()-31,1)),BI$3:BI$22),"")</f>
        <v>4</v>
      </c>
      <c r="BJ53">
        <f ca="1">IF(AND(((COLUMN()-10)&lt;=playercnt),((ROW()-41)&lt;=playercnt)),SUMPRODUCT(INDIRECT(ADDRESS(3,ROW()-31,1)):INDIRECT(ADDRESS(22,ROW()-31,1)),BJ$3:BJ$22),"")</f>
        <v>6</v>
      </c>
      <c r="BK53">
        <f ca="1">IF(AND(((COLUMN()-10)&lt;=playercnt),((ROW()-41)&lt;=playercnt)),SUMPRODUCT(INDIRECT(ADDRESS(3,ROW()-31,1)):INDIRECT(ADDRESS(22,ROW()-31,1)),BK$3:BK$22),"")</f>
        <v>6</v>
      </c>
      <c r="BL53">
        <f ca="1">IF(AND(((COLUMN()-10)&lt;=playercnt),((ROW()-41)&lt;=playercnt)),SUMPRODUCT(INDIRECT(ADDRESS(3,ROW()-31,1)):INDIRECT(ADDRESS(22,ROW()-31,1)),BL$3:BL$22),"")</f>
        <v>3</v>
      </c>
      <c r="BM53">
        <f ca="1">IF(AND(((COLUMN()-10)&lt;=playercnt),((ROW()-41)&lt;=playercnt)),SUMPRODUCT(INDIRECT(ADDRESS(3,ROW()-31,1)):INDIRECT(ADDRESS(22,ROW()-31,1)),BM$3:BM$22),"")</f>
        <v>6</v>
      </c>
      <c r="BN53">
        <f ca="1">IF(AND(((COLUMN()-10)&lt;=playercnt),((ROW()-41)&lt;=playercnt)),SUMPRODUCT(INDIRECT(ADDRESS(3,ROW()-31,1)):INDIRECT(ADDRESS(22,ROW()-31,1)),BN$3:BN$22),"")</f>
        <v>5</v>
      </c>
    </row>
    <row r="54" spans="1:66" x14ac:dyDescent="0.2">
      <c r="A54" s="22"/>
      <c r="B54" s="27">
        <f t="shared" ca="1" si="23"/>
        <v>6.0943396226415096</v>
      </c>
      <c r="C54" t="str">
        <f ca="1">INDIRECT(ADDRESS(34,ROW()-31))</f>
        <v>Edwards, Christopher S</v>
      </c>
      <c r="G54">
        <f ca="1">IF(AND(((COLUMN()-10)&lt;=playercnt),((ROW()-41)&lt;=playercnt)),SUMPRODUCT(INDIRECT(ADDRESS(3,ROW()-31,1)):INDIRECT(ADDRESS(22,ROW()-31,1)),G$3:G$22),"")</f>
        <v>2</v>
      </c>
      <c r="H54">
        <f ca="1">IF(AND(((COLUMN()-10)&lt;=playercnt),((ROW()-41)&lt;=playercnt)),SUMPRODUCT(INDIRECT(ADDRESS(3,ROW()-31,1)):INDIRECT(ADDRESS(22,ROW()-31,1)),H$3:H$22),"")</f>
        <v>5</v>
      </c>
      <c r="I54">
        <f ca="1">IF(AND(((COLUMN()-10)&lt;=playercnt),((ROW()-41)&lt;=playercnt)),SUMPRODUCT(INDIRECT(ADDRESS(3,ROW()-31,1)):INDIRECT(ADDRESS(22,ROW()-31,1)),I$3:I$22),"")</f>
        <v>7.5</v>
      </c>
      <c r="J54">
        <f ca="1">IF(AND(((COLUMN()-10)&lt;=playercnt),((ROW()-41)&lt;=playercnt)),SUMPRODUCT(INDIRECT(ADDRESS(3,ROW()-31,1)):INDIRECT(ADDRESS(22,ROW()-31,1)),J$3:J$22),"")</f>
        <v>0</v>
      </c>
      <c r="K54">
        <f ca="1">IF(AND(((COLUMN()-10)&lt;=playercnt),((ROW()-41)&lt;=playercnt)),SUMPRODUCT(INDIRECT(ADDRESS(3,ROW()-31,1)):INDIRECT(ADDRESS(22,ROW()-31,1)),K$3:K$22),"")</f>
        <v>5</v>
      </c>
      <c r="L54">
        <f ca="1">IF(AND(((COLUMN()-10)&lt;=playercnt),((ROW()-41)&lt;=playercnt)),SUMPRODUCT(INDIRECT(ADDRESS(3,ROW()-31,1)):INDIRECT(ADDRESS(22,ROW()-31,1)),L$3:L$22),"")</f>
        <v>6</v>
      </c>
      <c r="M54">
        <f ca="1">IF(AND(((COLUMN()-10)&lt;=playercnt),((ROW()-41)&lt;=playercnt)),SUMPRODUCT(INDIRECT(ADDRESS(3,ROW()-31,1)):INDIRECT(ADDRESS(22,ROW()-31,1)),M$3:M$22),"")</f>
        <v>7</v>
      </c>
      <c r="N54">
        <f ca="1">IF(AND(((COLUMN()-10)&lt;=playercnt),((ROW()-41)&lt;=playercnt)),SUMPRODUCT(INDIRECT(ADDRESS(3,ROW()-31,1)):INDIRECT(ADDRESS(22,ROW()-31,1)),N$3:N$22),"")</f>
        <v>4</v>
      </c>
      <c r="O54">
        <f ca="1">IF(AND(((COLUMN()-10)&lt;=playercnt),((ROW()-41)&lt;=playercnt)),SUMPRODUCT(INDIRECT(ADDRESS(3,ROW()-31,1)):INDIRECT(ADDRESS(22,ROW()-31,1)),O$3:O$22),"")</f>
        <v>6</v>
      </c>
      <c r="P54">
        <f ca="1">IF(AND(((COLUMN()-10)&lt;=playercnt),((ROW()-41)&lt;=playercnt)),SUMPRODUCT(INDIRECT(ADDRESS(3,ROW()-31,1)):INDIRECT(ADDRESS(22,ROW()-31,1)),P$3:P$22),"")</f>
        <v>5</v>
      </c>
      <c r="Q54">
        <f ca="1">IF(AND(((COLUMN()-10)&lt;=playercnt),((ROW()-41)&lt;=playercnt)),SUMPRODUCT(INDIRECT(ADDRESS(3,ROW()-31,1)):INDIRECT(ADDRESS(22,ROW()-31,1)),Q$3:Q$22),"")</f>
        <v>6</v>
      </c>
      <c r="R54">
        <f ca="1">IF(AND(((COLUMN()-10)&lt;=playercnt),((ROW()-41)&lt;=playercnt)),SUMPRODUCT(INDIRECT(ADDRESS(3,ROW()-31,1)):INDIRECT(ADDRESS(22,ROW()-31,1)),R$3:R$22),"")</f>
        <v>4</v>
      </c>
      <c r="S54">
        <f ca="1">IF(AND(((COLUMN()-10)&lt;=playercnt),((ROW()-41)&lt;=playercnt)),SUMPRODUCT(INDIRECT(ADDRESS(3,ROW()-31,1)):INDIRECT(ADDRESS(22,ROW()-31,1)),S$3:S$22),"")</f>
        <v>8</v>
      </c>
      <c r="T54">
        <f ca="1">IF(AND(((COLUMN()-10)&lt;=playercnt),((ROW()-41)&lt;=playercnt)),SUMPRODUCT(INDIRECT(ADDRESS(3,ROW()-31,1)):INDIRECT(ADDRESS(22,ROW()-31,1)),T$3:T$22),"")</f>
        <v>5</v>
      </c>
      <c r="U54">
        <f ca="1">IF(AND(((COLUMN()-10)&lt;=playercnt),((ROW()-41)&lt;=playercnt)),SUMPRODUCT(INDIRECT(ADDRESS(3,ROW()-31,1)):INDIRECT(ADDRESS(22,ROW()-31,1)),U$3:U$22),"")</f>
        <v>6</v>
      </c>
      <c r="V54">
        <f ca="1">IF(AND(((COLUMN()-10)&lt;=playercnt),((ROW()-41)&lt;=playercnt)),SUMPRODUCT(INDIRECT(ADDRESS(3,ROW()-31,1)):INDIRECT(ADDRESS(22,ROW()-31,1)),V$3:V$22),"")</f>
        <v>6</v>
      </c>
      <c r="W54">
        <f ca="1">IF(AND(((COLUMN()-10)&lt;=playercnt),((ROW()-41)&lt;=playercnt)),SUMPRODUCT(INDIRECT(ADDRESS(3,ROW()-31,1)):INDIRECT(ADDRESS(22,ROW()-31,1)),W$3:W$22),"")</f>
        <v>10</v>
      </c>
      <c r="X54">
        <f ca="1">IF(AND(((COLUMN()-10)&lt;=playercnt),((ROW()-41)&lt;=playercnt)),SUMPRODUCT(INDIRECT(ADDRESS(3,ROW()-31,1)):INDIRECT(ADDRESS(22,ROW()-31,1)),X$3:X$22),"")</f>
        <v>5</v>
      </c>
      <c r="Y54">
        <f ca="1">IF(AND(((COLUMN()-10)&lt;=playercnt),((ROW()-41)&lt;=playercnt)),SUMPRODUCT(INDIRECT(ADDRESS(3,ROW()-31,1)):INDIRECT(ADDRESS(22,ROW()-31,1)),Y$3:Y$22),"")</f>
        <v>6</v>
      </c>
      <c r="Z54">
        <f ca="1">IF(AND(((COLUMN()-10)&lt;=playercnt),((ROW()-41)&lt;=playercnt)),SUMPRODUCT(INDIRECT(ADDRESS(3,ROW()-31,1)):INDIRECT(ADDRESS(22,ROW()-31,1)),Z$3:Z$22),"")</f>
        <v>7</v>
      </c>
      <c r="AA54">
        <f ca="1">IF(AND(((COLUMN()-10)&lt;=playercnt),((ROW()-41)&lt;=playercnt)),SUMPRODUCT(INDIRECT(ADDRESS(3,ROW()-31,1)):INDIRECT(ADDRESS(22,ROW()-31,1)),AA$3:AA$22),"")</f>
        <v>8</v>
      </c>
      <c r="AB54">
        <f ca="1">IF(AND(((COLUMN()-10)&lt;=playercnt),((ROW()-41)&lt;=playercnt)),SUMPRODUCT(INDIRECT(ADDRESS(3,ROW()-31,1)):INDIRECT(ADDRESS(22,ROW()-31,1)),AB$3:AB$22),"")</f>
        <v>5</v>
      </c>
      <c r="AC54">
        <f ca="1">IF(AND(((COLUMN()-10)&lt;=playercnt),((ROW()-41)&lt;=playercnt)),SUMPRODUCT(INDIRECT(ADDRESS(3,ROW()-31,1)):INDIRECT(ADDRESS(22,ROW()-31,1)),AC$3:AC$22),"")</f>
        <v>8</v>
      </c>
      <c r="AD54">
        <f ca="1">IF(AND(((COLUMN()-10)&lt;=playercnt),((ROW()-41)&lt;=playercnt)),SUMPRODUCT(INDIRECT(ADDRESS(3,ROW()-31,1)):INDIRECT(ADDRESS(22,ROW()-31,1)),AD$3:AD$22),"")</f>
        <v>4</v>
      </c>
      <c r="AE54">
        <f ca="1">IF(AND(((COLUMN()-10)&lt;=playercnt),((ROW()-41)&lt;=playercnt)),SUMPRODUCT(INDIRECT(ADDRESS(3,ROW()-31,1)):INDIRECT(ADDRESS(22,ROW()-31,1)),AE$3:AE$22),"")</f>
        <v>6</v>
      </c>
      <c r="AF54">
        <f ca="1">IF(AND(((COLUMN()-10)&lt;=playercnt),((ROW()-41)&lt;=playercnt)),SUMPRODUCT(INDIRECT(ADDRESS(3,ROW()-31,1)):INDIRECT(ADDRESS(22,ROW()-31,1)),AF$3:AF$22),"")</f>
        <v>7</v>
      </c>
      <c r="AG54">
        <f ca="1">IF(AND(((COLUMN()-10)&lt;=playercnt),((ROW()-41)&lt;=playercnt)),SUMPRODUCT(INDIRECT(ADDRESS(3,ROW()-31,1)):INDIRECT(ADDRESS(22,ROW()-31,1)),AG$3:AG$22),"")</f>
        <v>7</v>
      </c>
      <c r="AH54">
        <f ca="1">IF(AND(((COLUMN()-10)&lt;=playercnt),((ROW()-41)&lt;=playercnt)),SUMPRODUCT(INDIRECT(ADDRESS(3,ROW()-31,1)):INDIRECT(ADDRESS(22,ROW()-31,1)),AH$3:AH$22),"")</f>
        <v>6</v>
      </c>
      <c r="AI54">
        <f ca="1">IF(AND(((COLUMN()-10)&lt;=playercnt),((ROW()-41)&lt;=playercnt)),SUMPRODUCT(INDIRECT(ADDRESS(3,ROW()-31,1)):INDIRECT(ADDRESS(22,ROW()-31,1)),AI$3:AI$22),"")</f>
        <v>6</v>
      </c>
      <c r="AJ54">
        <f ca="1">IF(AND(((COLUMN()-10)&lt;=playercnt),((ROW()-41)&lt;=playercnt)),SUMPRODUCT(INDIRECT(ADDRESS(3,ROW()-31,1)):INDIRECT(ADDRESS(22,ROW()-31,1)),AJ$3:AJ$22),"")</f>
        <v>6</v>
      </c>
      <c r="AK54">
        <f ca="1">IF(AND(((COLUMN()-10)&lt;=playercnt),((ROW()-41)&lt;=playercnt)),SUMPRODUCT(INDIRECT(ADDRESS(3,ROW()-31,1)):INDIRECT(ADDRESS(22,ROW()-31,1)),AK$3:AK$22),"")</f>
        <v>0</v>
      </c>
      <c r="AL54">
        <f ca="1">IF(AND(((COLUMN()-10)&lt;=playercnt),((ROW()-41)&lt;=playercnt)),SUMPRODUCT(INDIRECT(ADDRESS(3,ROW()-31,1)):INDIRECT(ADDRESS(22,ROW()-31,1)),AL$3:AL$22),"")</f>
        <v>7</v>
      </c>
      <c r="AM54">
        <f ca="1">IF(AND(((COLUMN()-10)&lt;=playercnt),((ROW()-41)&lt;=playercnt)),SUMPRODUCT(INDIRECT(ADDRESS(3,ROW()-31,1)):INDIRECT(ADDRESS(22,ROW()-31,1)),AM$3:AM$22),"")</f>
        <v>6</v>
      </c>
      <c r="AN54">
        <f ca="1">IF(AND(((COLUMN()-10)&lt;=playercnt),((ROW()-41)&lt;=playercnt)),SUMPRODUCT(INDIRECT(ADDRESS(3,ROW()-31,1)):INDIRECT(ADDRESS(22,ROW()-31,1)),AN$3:AN$22),"")</f>
        <v>6</v>
      </c>
      <c r="AO54">
        <f ca="1">IF(AND(((COLUMN()-10)&lt;=playercnt),((ROW()-41)&lt;=playercnt)),SUMPRODUCT(INDIRECT(ADDRESS(3,ROW()-31,1)):INDIRECT(ADDRESS(22,ROW()-31,1)),AO$3:AO$22),"")</f>
        <v>6</v>
      </c>
      <c r="AP54">
        <f ca="1">IF(AND(((COLUMN()-10)&lt;=playercnt),((ROW()-41)&lt;=playercnt)),SUMPRODUCT(INDIRECT(ADDRESS(3,ROW()-31,1)):INDIRECT(ADDRESS(22,ROW()-31,1)),AP$3:AP$22),"")</f>
        <v>0</v>
      </c>
      <c r="AQ54">
        <f ca="1">IF(AND(((COLUMN()-10)&lt;=playercnt),((ROW()-41)&lt;=playercnt)),SUMPRODUCT(INDIRECT(ADDRESS(3,ROW()-31,1)):INDIRECT(ADDRESS(22,ROW()-31,1)),AQ$3:AQ$22),"")</f>
        <v>6</v>
      </c>
      <c r="AR54">
        <f ca="1">IF(AND(((COLUMN()-10)&lt;=playercnt),((ROW()-41)&lt;=playercnt)),SUMPRODUCT(INDIRECT(ADDRESS(3,ROW()-31,1)):INDIRECT(ADDRESS(22,ROW()-31,1)),AR$3:AR$22),"")</f>
        <v>7</v>
      </c>
      <c r="AS54">
        <f ca="1">IF(AND(((COLUMN()-10)&lt;=playercnt),((ROW()-41)&lt;=playercnt)),SUMPRODUCT(INDIRECT(ADDRESS(3,ROW()-31,1)):INDIRECT(ADDRESS(22,ROW()-31,1)),AS$3:AS$22),"")</f>
        <v>6</v>
      </c>
      <c r="AT54">
        <f ca="1">IF(AND(((COLUMN()-10)&lt;=playercnt),((ROW()-41)&lt;=playercnt)),SUMPRODUCT(INDIRECT(ADDRESS(3,ROW()-31,1)):INDIRECT(ADDRESS(22,ROW()-31,1)),AT$3:AT$22),"")</f>
        <v>4</v>
      </c>
      <c r="AU54">
        <f ca="1">IF(AND(((COLUMN()-10)&lt;=playercnt),((ROW()-41)&lt;=playercnt)),SUMPRODUCT(INDIRECT(ADDRESS(3,ROW()-31,1)):INDIRECT(ADDRESS(22,ROW()-31,1)),AU$3:AU$22),"")</f>
        <v>6</v>
      </c>
      <c r="AV54">
        <f ca="1">IF(AND(((COLUMN()-10)&lt;=playercnt),((ROW()-41)&lt;=playercnt)),SUMPRODUCT(INDIRECT(ADDRESS(3,ROW()-31,1)):INDIRECT(ADDRESS(22,ROW()-31,1)),AV$3:AV$22),"")</f>
        <v>6</v>
      </c>
      <c r="AW54">
        <f ca="1">IF(AND(((COLUMN()-10)&lt;=playercnt),((ROW()-41)&lt;=playercnt)),SUMPRODUCT(INDIRECT(ADDRESS(3,ROW()-31,1)):INDIRECT(ADDRESS(22,ROW()-31,1)),AW$3:AW$22),"")</f>
        <v>6</v>
      </c>
      <c r="AX54">
        <f ca="1">IF(AND(((COLUMN()-10)&lt;=playercnt),((ROW()-41)&lt;=playercnt)),SUMPRODUCT(INDIRECT(ADDRESS(3,ROW()-31,1)):INDIRECT(ADDRESS(22,ROW()-31,1)),AX$3:AX$22),"")</f>
        <v>7</v>
      </c>
      <c r="AY54">
        <f ca="1">IF(AND(((COLUMN()-10)&lt;=playercnt),((ROW()-41)&lt;=playercnt)),SUMPRODUCT(INDIRECT(ADDRESS(3,ROW()-31,1)):INDIRECT(ADDRESS(22,ROW()-31,1)),AY$3:AY$22),"")</f>
        <v>6</v>
      </c>
      <c r="AZ54">
        <f ca="1">IF(AND(((COLUMN()-10)&lt;=playercnt),((ROW()-41)&lt;=playercnt)),SUMPRODUCT(INDIRECT(ADDRESS(3,ROW()-31,1)):INDIRECT(ADDRESS(22,ROW()-31,1)),AZ$3:AZ$22),"")</f>
        <v>9</v>
      </c>
      <c r="BA54">
        <f ca="1">IF(AND(((COLUMN()-10)&lt;=playercnt),((ROW()-41)&lt;=playercnt)),SUMPRODUCT(INDIRECT(ADDRESS(3,ROW()-31,1)):INDIRECT(ADDRESS(22,ROW()-31,1)),BA$3:BA$22),"")</f>
        <v>7</v>
      </c>
      <c r="BB54">
        <f ca="1">IF(AND(((COLUMN()-10)&lt;=playercnt),((ROW()-41)&lt;=playercnt)),SUMPRODUCT(INDIRECT(ADDRESS(3,ROW()-31,1)):INDIRECT(ADDRESS(22,ROW()-31,1)),BB$3:BB$22),"")</f>
        <v>5</v>
      </c>
      <c r="BC54">
        <f ca="1">IF(AND(((COLUMN()-10)&lt;=playercnt),((ROW()-41)&lt;=playercnt)),SUMPRODUCT(INDIRECT(ADDRESS(3,ROW()-31,1)):INDIRECT(ADDRESS(22,ROW()-31,1)),BC$3:BC$22),"")</f>
        <v>5</v>
      </c>
      <c r="BD54">
        <f ca="1">IF(AND(((COLUMN()-10)&lt;=playercnt),((ROW()-41)&lt;=playercnt)),SUMPRODUCT(INDIRECT(ADDRESS(3,ROW()-31,1)):INDIRECT(ADDRESS(22,ROW()-31,1)),BD$3:BD$22),"")</f>
        <v>5</v>
      </c>
      <c r="BE54">
        <f ca="1">IF(AND(((COLUMN()-10)&lt;=playercnt),((ROW()-41)&lt;=playercnt)),SUMPRODUCT(INDIRECT(ADDRESS(3,ROW()-31,1)):INDIRECT(ADDRESS(22,ROW()-31,1)),BE$3:BE$22),"")</f>
        <v>6</v>
      </c>
      <c r="BF54">
        <f ca="1">IF(AND(((COLUMN()-10)&lt;=playercnt),((ROW()-41)&lt;=playercnt)),SUMPRODUCT(INDIRECT(ADDRESS(3,ROW()-31,1)):INDIRECT(ADDRESS(22,ROW()-31,1)),BF$3:BF$22),"")</f>
        <v>6</v>
      </c>
      <c r="BG54">
        <f ca="1">IF(AND(((COLUMN()-10)&lt;=playercnt),((ROW()-41)&lt;=playercnt)),SUMPRODUCT(INDIRECT(ADDRESS(3,ROW()-31,1)):INDIRECT(ADDRESS(22,ROW()-31,1)),BG$3:BG$22),"")</f>
        <v>6</v>
      </c>
      <c r="BH54">
        <f ca="1">IF(AND(((COLUMN()-10)&lt;=playercnt),((ROW()-41)&lt;=playercnt)),SUMPRODUCT(INDIRECT(ADDRESS(3,ROW()-31,1)):INDIRECT(ADDRESS(22,ROW()-31,1)),BH$3:BH$22),"")</f>
        <v>8</v>
      </c>
      <c r="BI54">
        <f ca="1">IF(AND(((COLUMN()-10)&lt;=playercnt),((ROW()-41)&lt;=playercnt)),SUMPRODUCT(INDIRECT(ADDRESS(3,ROW()-31,1)):INDIRECT(ADDRESS(22,ROW()-31,1)),BI$3:BI$22),"")</f>
        <v>6</v>
      </c>
      <c r="BJ54">
        <f ca="1">IF(AND(((COLUMN()-10)&lt;=playercnt),((ROW()-41)&lt;=playercnt)),SUMPRODUCT(INDIRECT(ADDRESS(3,ROW()-31,1)):INDIRECT(ADDRESS(22,ROW()-31,1)),BJ$3:BJ$22),"")</f>
        <v>8</v>
      </c>
      <c r="BK54">
        <f ca="1">IF(AND(((COLUMN()-10)&lt;=playercnt),((ROW()-41)&lt;=playercnt)),SUMPRODUCT(INDIRECT(ADDRESS(3,ROW()-31,1)):INDIRECT(ADDRESS(22,ROW()-31,1)),BK$3:BK$22),"")</f>
        <v>6</v>
      </c>
      <c r="BL54">
        <f ca="1">IF(AND(((COLUMN()-10)&lt;=playercnt),((ROW()-41)&lt;=playercnt)),SUMPRODUCT(INDIRECT(ADDRESS(3,ROW()-31,1)):INDIRECT(ADDRESS(22,ROW()-31,1)),BL$3:BL$22),"")</f>
        <v>5</v>
      </c>
      <c r="BM54">
        <f ca="1">IF(AND(((COLUMN()-10)&lt;=playercnt),((ROW()-41)&lt;=playercnt)),SUMPRODUCT(INDIRECT(ADDRESS(3,ROW()-31,1)):INDIRECT(ADDRESS(22,ROW()-31,1)),BM$3:BM$22),"")</f>
        <v>8</v>
      </c>
      <c r="BN54">
        <f ca="1">IF(AND(((COLUMN()-10)&lt;=playercnt),((ROW()-41)&lt;=playercnt)),SUMPRODUCT(INDIRECT(ADDRESS(3,ROW()-31,1)):INDIRECT(ADDRESS(22,ROW()-31,1)),BN$3:BN$22),"")</f>
        <v>5</v>
      </c>
    </row>
    <row r="55" spans="1:66" x14ac:dyDescent="0.2">
      <c r="B55" s="27">
        <f t="shared" ca="1" si="23"/>
        <v>5.4150943396226419</v>
      </c>
      <c r="C55" t="str">
        <f t="shared" ref="C55:C97" ca="1" si="24">INDIRECT(ADDRESS(34,ROW()-31))</f>
        <v>Emptage, Nick</v>
      </c>
      <c r="G55">
        <f ca="1">IF(AND(((COLUMN()-10)&lt;=playercnt),((ROW()-41)&lt;=playercnt)),SUMPRODUCT(INDIRECT(ADDRESS(3,ROW()-31,1)):INDIRECT(ADDRESS(22,ROW()-31,1)),G$3:G$22),"")</f>
        <v>3</v>
      </c>
      <c r="H55">
        <f ca="1">IF(AND(((COLUMN()-10)&lt;=playercnt),((ROW()-41)&lt;=playercnt)),SUMPRODUCT(INDIRECT(ADDRESS(3,ROW()-31,1)):INDIRECT(ADDRESS(22,ROW()-31,1)),H$3:H$22),"")</f>
        <v>4</v>
      </c>
      <c r="I55">
        <f ca="1">IF(AND(((COLUMN()-10)&lt;=playercnt),((ROW()-41)&lt;=playercnt)),SUMPRODUCT(INDIRECT(ADDRESS(3,ROW()-31,1)):INDIRECT(ADDRESS(22,ROW()-31,1)),I$3:I$22),"")</f>
        <v>6.5</v>
      </c>
      <c r="J55">
        <f ca="1">IF(AND(((COLUMN()-10)&lt;=playercnt),((ROW()-41)&lt;=playercnt)),SUMPRODUCT(INDIRECT(ADDRESS(3,ROW()-31,1)):INDIRECT(ADDRESS(22,ROW()-31,1)),J$3:J$22),"")</f>
        <v>0</v>
      </c>
      <c r="K55">
        <f ca="1">IF(AND(((COLUMN()-10)&lt;=playercnt),((ROW()-41)&lt;=playercnt)),SUMPRODUCT(INDIRECT(ADDRESS(3,ROW()-31,1)):INDIRECT(ADDRESS(22,ROW()-31,1)),K$3:K$22),"")</f>
        <v>6</v>
      </c>
      <c r="L55">
        <f ca="1">IF(AND(((COLUMN()-10)&lt;=playercnt),((ROW()-41)&lt;=playercnt)),SUMPRODUCT(INDIRECT(ADDRESS(3,ROW()-31,1)):INDIRECT(ADDRESS(22,ROW()-31,1)),L$3:L$22),"")</f>
        <v>5</v>
      </c>
      <c r="M55">
        <f ca="1">IF(AND(((COLUMN()-10)&lt;=playercnt),((ROW()-41)&lt;=playercnt)),SUMPRODUCT(INDIRECT(ADDRESS(3,ROW()-31,1)):INDIRECT(ADDRESS(22,ROW()-31,1)),M$3:M$22),"")</f>
        <v>8</v>
      </c>
      <c r="N55">
        <f ca="1">IF(AND(((COLUMN()-10)&lt;=playercnt),((ROW()-41)&lt;=playercnt)),SUMPRODUCT(INDIRECT(ADDRESS(3,ROW()-31,1)):INDIRECT(ADDRESS(22,ROW()-31,1)),N$3:N$22),"")</f>
        <v>3</v>
      </c>
      <c r="O55">
        <f ca="1">IF(AND(((COLUMN()-10)&lt;=playercnt),((ROW()-41)&lt;=playercnt)),SUMPRODUCT(INDIRECT(ADDRESS(3,ROW()-31,1)):INDIRECT(ADDRESS(22,ROW()-31,1)),O$3:O$22),"")</f>
        <v>5</v>
      </c>
      <c r="P55">
        <f ca="1">IF(AND(((COLUMN()-10)&lt;=playercnt),((ROW()-41)&lt;=playercnt)),SUMPRODUCT(INDIRECT(ADDRESS(3,ROW()-31,1)):INDIRECT(ADDRESS(22,ROW()-31,1)),P$3:P$22),"")</f>
        <v>6</v>
      </c>
      <c r="Q55">
        <f ca="1">IF(AND(((COLUMN()-10)&lt;=playercnt),((ROW()-41)&lt;=playercnt)),SUMPRODUCT(INDIRECT(ADDRESS(3,ROW()-31,1)):INDIRECT(ADDRESS(22,ROW()-31,1)),Q$3:Q$22),"")</f>
        <v>7</v>
      </c>
      <c r="R55">
        <f ca="1">IF(AND(((COLUMN()-10)&lt;=playercnt),((ROW()-41)&lt;=playercnt)),SUMPRODUCT(INDIRECT(ADDRESS(3,ROW()-31,1)):INDIRECT(ADDRESS(22,ROW()-31,1)),R$3:R$22),"")</f>
        <v>5</v>
      </c>
      <c r="S55">
        <f ca="1">IF(AND(((COLUMN()-10)&lt;=playercnt),((ROW()-41)&lt;=playercnt)),SUMPRODUCT(INDIRECT(ADDRESS(3,ROW()-31,1)):INDIRECT(ADDRESS(22,ROW()-31,1)),S$3:S$22),"")</f>
        <v>5</v>
      </c>
      <c r="T55">
        <f ca="1">IF(AND(((COLUMN()-10)&lt;=playercnt),((ROW()-41)&lt;=playercnt)),SUMPRODUCT(INDIRECT(ADDRESS(3,ROW()-31,1)):INDIRECT(ADDRESS(22,ROW()-31,1)),T$3:T$22),"")</f>
        <v>6</v>
      </c>
      <c r="U55">
        <f ca="1">IF(AND(((COLUMN()-10)&lt;=playercnt),((ROW()-41)&lt;=playercnt)),SUMPRODUCT(INDIRECT(ADDRESS(3,ROW()-31,1)):INDIRECT(ADDRESS(22,ROW()-31,1)),U$3:U$22),"")</f>
        <v>5</v>
      </c>
      <c r="V55">
        <f ca="1">IF(AND(((COLUMN()-10)&lt;=playercnt),((ROW()-41)&lt;=playercnt)),SUMPRODUCT(INDIRECT(ADDRESS(3,ROW()-31,1)):INDIRECT(ADDRESS(22,ROW()-31,1)),V$3:V$22),"")</f>
        <v>7</v>
      </c>
      <c r="W55">
        <f ca="1">IF(AND(((COLUMN()-10)&lt;=playercnt),((ROW()-41)&lt;=playercnt)),SUMPRODUCT(INDIRECT(ADDRESS(3,ROW()-31,1)):INDIRECT(ADDRESS(22,ROW()-31,1)),W$3:W$22),"")</f>
        <v>5</v>
      </c>
      <c r="X55">
        <f ca="1">IF(AND(((COLUMN()-10)&lt;=playercnt),((ROW()-41)&lt;=playercnt)),SUMPRODUCT(INDIRECT(ADDRESS(3,ROW()-31,1)):INDIRECT(ADDRESS(22,ROW()-31,1)),X$3:X$22),"")</f>
        <v>10</v>
      </c>
      <c r="Y55">
        <f ca="1">IF(AND(((COLUMN()-10)&lt;=playercnt),((ROW()-41)&lt;=playercnt)),SUMPRODUCT(INDIRECT(ADDRESS(3,ROW()-31,1)):INDIRECT(ADDRESS(22,ROW()-31,1)),Y$3:Y$22),"")</f>
        <v>3</v>
      </c>
      <c r="Z55">
        <f ca="1">IF(AND(((COLUMN()-10)&lt;=playercnt),((ROW()-41)&lt;=playercnt)),SUMPRODUCT(INDIRECT(ADDRESS(3,ROW()-31,1)):INDIRECT(ADDRESS(22,ROW()-31,1)),Z$3:Z$22),"")</f>
        <v>6</v>
      </c>
      <c r="AA55">
        <f ca="1">IF(AND(((COLUMN()-10)&lt;=playercnt),((ROW()-41)&lt;=playercnt)),SUMPRODUCT(INDIRECT(ADDRESS(3,ROW()-31,1)):INDIRECT(ADDRESS(22,ROW()-31,1)),AA$3:AA$22),"")</f>
        <v>7</v>
      </c>
      <c r="AB55">
        <f ca="1">IF(AND(((COLUMN()-10)&lt;=playercnt),((ROW()-41)&lt;=playercnt)),SUMPRODUCT(INDIRECT(ADDRESS(3,ROW()-31,1)):INDIRECT(ADDRESS(22,ROW()-31,1)),AB$3:AB$22),"")</f>
        <v>6</v>
      </c>
      <c r="AC55">
        <f ca="1">IF(AND(((COLUMN()-10)&lt;=playercnt),((ROW()-41)&lt;=playercnt)),SUMPRODUCT(INDIRECT(ADDRESS(3,ROW()-31,1)):INDIRECT(ADDRESS(22,ROW()-31,1)),AC$3:AC$22),"")</f>
        <v>3</v>
      </c>
      <c r="AD55">
        <f ca="1">IF(AND(((COLUMN()-10)&lt;=playercnt),((ROW()-41)&lt;=playercnt)),SUMPRODUCT(INDIRECT(ADDRESS(3,ROW()-31,1)):INDIRECT(ADDRESS(22,ROW()-31,1)),AD$3:AD$22),"")</f>
        <v>5</v>
      </c>
      <c r="AE55">
        <f ca="1">IF(AND(((COLUMN()-10)&lt;=playercnt),((ROW()-41)&lt;=playercnt)),SUMPRODUCT(INDIRECT(ADDRESS(3,ROW()-31,1)):INDIRECT(ADDRESS(22,ROW()-31,1)),AE$3:AE$22),"")</f>
        <v>5</v>
      </c>
      <c r="AF55">
        <f ca="1">IF(AND(((COLUMN()-10)&lt;=playercnt),((ROW()-41)&lt;=playercnt)),SUMPRODUCT(INDIRECT(ADDRESS(3,ROW()-31,1)):INDIRECT(ADDRESS(22,ROW()-31,1)),AF$3:AF$22),"")</f>
        <v>8</v>
      </c>
      <c r="AG55">
        <f ca="1">IF(AND(((COLUMN()-10)&lt;=playercnt),((ROW()-41)&lt;=playercnt)),SUMPRODUCT(INDIRECT(ADDRESS(3,ROW()-31,1)):INDIRECT(ADDRESS(22,ROW()-31,1)),AG$3:AG$22),"")</f>
        <v>6</v>
      </c>
      <c r="AH55">
        <f ca="1">IF(AND(((COLUMN()-10)&lt;=playercnt),((ROW()-41)&lt;=playercnt)),SUMPRODUCT(INDIRECT(ADDRESS(3,ROW()-31,1)):INDIRECT(ADDRESS(22,ROW()-31,1)),AH$3:AH$22),"")</f>
        <v>5</v>
      </c>
      <c r="AI55">
        <f ca="1">IF(AND(((COLUMN()-10)&lt;=playercnt),((ROW()-41)&lt;=playercnt)),SUMPRODUCT(INDIRECT(ADDRESS(3,ROW()-31,1)):INDIRECT(ADDRESS(22,ROW()-31,1)),AI$3:AI$22),"")</f>
        <v>7</v>
      </c>
      <c r="AJ55">
        <f ca="1">IF(AND(((COLUMN()-10)&lt;=playercnt),((ROW()-41)&lt;=playercnt)),SUMPRODUCT(INDIRECT(ADDRESS(3,ROW()-31,1)):INDIRECT(ADDRESS(22,ROW()-31,1)),AJ$3:AJ$22),"")</f>
        <v>5</v>
      </c>
      <c r="AK55">
        <f ca="1">IF(AND(((COLUMN()-10)&lt;=playercnt),((ROW()-41)&lt;=playercnt)),SUMPRODUCT(INDIRECT(ADDRESS(3,ROW()-31,1)):INDIRECT(ADDRESS(22,ROW()-31,1)),AK$3:AK$22),"")</f>
        <v>0</v>
      </c>
      <c r="AL55">
        <f ca="1">IF(AND(((COLUMN()-10)&lt;=playercnt),((ROW()-41)&lt;=playercnt)),SUMPRODUCT(INDIRECT(ADDRESS(3,ROW()-31,1)):INDIRECT(ADDRESS(22,ROW()-31,1)),AL$3:AL$22),"")</f>
        <v>4</v>
      </c>
      <c r="AM55">
        <f ca="1">IF(AND(((COLUMN()-10)&lt;=playercnt),((ROW()-41)&lt;=playercnt)),SUMPRODUCT(INDIRECT(ADDRESS(3,ROW()-31,1)):INDIRECT(ADDRESS(22,ROW()-31,1)),AM$3:AM$22),"")</f>
        <v>7</v>
      </c>
      <c r="AN55">
        <f ca="1">IF(AND(((COLUMN()-10)&lt;=playercnt),((ROW()-41)&lt;=playercnt)),SUMPRODUCT(INDIRECT(ADDRESS(3,ROW()-31,1)):INDIRECT(ADDRESS(22,ROW()-31,1)),AN$3:AN$22),"")</f>
        <v>5</v>
      </c>
      <c r="AO55">
        <f ca="1">IF(AND(((COLUMN()-10)&lt;=playercnt),((ROW()-41)&lt;=playercnt)),SUMPRODUCT(INDIRECT(ADDRESS(3,ROW()-31,1)):INDIRECT(ADDRESS(22,ROW()-31,1)),AO$3:AO$22),"")</f>
        <v>3</v>
      </c>
      <c r="AP55">
        <f ca="1">IF(AND(((COLUMN()-10)&lt;=playercnt),((ROW()-41)&lt;=playercnt)),SUMPRODUCT(INDIRECT(ADDRESS(3,ROW()-31,1)):INDIRECT(ADDRESS(22,ROW()-31,1)),AP$3:AP$22),"")</f>
        <v>0</v>
      </c>
      <c r="AQ55">
        <f ca="1">IF(AND(((COLUMN()-10)&lt;=playercnt),((ROW()-41)&lt;=playercnt)),SUMPRODUCT(INDIRECT(ADDRESS(3,ROW()-31,1)):INDIRECT(ADDRESS(22,ROW()-31,1)),AQ$3:AQ$22),"")</f>
        <v>5</v>
      </c>
      <c r="AR55">
        <f ca="1">IF(AND(((COLUMN()-10)&lt;=playercnt),((ROW()-41)&lt;=playercnt)),SUMPRODUCT(INDIRECT(ADDRESS(3,ROW()-31,1)):INDIRECT(ADDRESS(22,ROW()-31,1)),AR$3:AR$22),"")</f>
        <v>4</v>
      </c>
      <c r="AS55">
        <f ca="1">IF(AND(((COLUMN()-10)&lt;=playercnt),((ROW()-41)&lt;=playercnt)),SUMPRODUCT(INDIRECT(ADDRESS(3,ROW()-31,1)):INDIRECT(ADDRESS(22,ROW()-31,1)),AS$3:AS$22),"")</f>
        <v>7</v>
      </c>
      <c r="AT55">
        <f ca="1">IF(AND(((COLUMN()-10)&lt;=playercnt),((ROW()-41)&lt;=playercnt)),SUMPRODUCT(INDIRECT(ADDRESS(3,ROW()-31,1)):INDIRECT(ADDRESS(22,ROW()-31,1)),AT$3:AT$22),"")</f>
        <v>5</v>
      </c>
      <c r="AU55">
        <f ca="1">IF(AND(((COLUMN()-10)&lt;=playercnt),((ROW()-41)&lt;=playercnt)),SUMPRODUCT(INDIRECT(ADDRESS(3,ROW()-31,1)):INDIRECT(ADDRESS(22,ROW()-31,1)),AU$3:AU$22),"")</f>
        <v>7</v>
      </c>
      <c r="AV55">
        <f ca="1">IF(AND(((COLUMN()-10)&lt;=playercnt),((ROW()-41)&lt;=playercnt)),SUMPRODUCT(INDIRECT(ADDRESS(3,ROW()-31,1)):INDIRECT(ADDRESS(22,ROW()-31,1)),AV$3:AV$22),"")</f>
        <v>5</v>
      </c>
      <c r="AW55">
        <f ca="1">IF(AND(((COLUMN()-10)&lt;=playercnt),((ROW()-41)&lt;=playercnt)),SUMPRODUCT(INDIRECT(ADDRESS(3,ROW()-31,1)):INDIRECT(ADDRESS(22,ROW()-31,1)),AW$3:AW$22),"")</f>
        <v>7</v>
      </c>
      <c r="AX55">
        <f ca="1">IF(AND(((COLUMN()-10)&lt;=playercnt),((ROW()-41)&lt;=playercnt)),SUMPRODUCT(INDIRECT(ADDRESS(3,ROW()-31,1)):INDIRECT(ADDRESS(22,ROW()-31,1)),AX$3:AX$22),"")</f>
        <v>6</v>
      </c>
      <c r="AY55">
        <f ca="1">IF(AND(((COLUMN()-10)&lt;=playercnt),((ROW()-41)&lt;=playercnt)),SUMPRODUCT(INDIRECT(ADDRESS(3,ROW()-31,1)):INDIRECT(ADDRESS(22,ROW()-31,1)),AY$3:AY$22),"")</f>
        <v>3</v>
      </c>
      <c r="AZ55">
        <f ca="1">IF(AND(((COLUMN()-10)&lt;=playercnt),((ROW()-41)&lt;=playercnt)),SUMPRODUCT(INDIRECT(ADDRESS(3,ROW()-31,1)):INDIRECT(ADDRESS(22,ROW()-31,1)),AZ$3:AZ$22),"")</f>
        <v>6</v>
      </c>
      <c r="BA55">
        <f ca="1">IF(AND(((COLUMN()-10)&lt;=playercnt),((ROW()-41)&lt;=playercnt)),SUMPRODUCT(INDIRECT(ADDRESS(3,ROW()-31,1)):INDIRECT(ADDRESS(22,ROW()-31,1)),BA$3:BA$22),"")</f>
        <v>4</v>
      </c>
      <c r="BB55">
        <f ca="1">IF(AND(((COLUMN()-10)&lt;=playercnt),((ROW()-41)&lt;=playercnt)),SUMPRODUCT(INDIRECT(ADDRESS(3,ROW()-31,1)):INDIRECT(ADDRESS(22,ROW()-31,1)),BB$3:BB$22),"")</f>
        <v>4</v>
      </c>
      <c r="BC55">
        <f ca="1">IF(AND(((COLUMN()-10)&lt;=playercnt),((ROW()-41)&lt;=playercnt)),SUMPRODUCT(INDIRECT(ADDRESS(3,ROW()-31,1)):INDIRECT(ADDRESS(22,ROW()-31,1)),BC$3:BC$22),"")</f>
        <v>4</v>
      </c>
      <c r="BD55">
        <f ca="1">IF(AND(((COLUMN()-10)&lt;=playercnt),((ROW()-41)&lt;=playercnt)),SUMPRODUCT(INDIRECT(ADDRESS(3,ROW()-31,1)):INDIRECT(ADDRESS(22,ROW()-31,1)),BD$3:BD$22),"")</f>
        <v>6</v>
      </c>
      <c r="BE55">
        <f ca="1">IF(AND(((COLUMN()-10)&lt;=playercnt),((ROW()-41)&lt;=playercnt)),SUMPRODUCT(INDIRECT(ADDRESS(3,ROW()-31,1)):INDIRECT(ADDRESS(22,ROW()-31,1)),BE$3:BE$22),"")</f>
        <v>7</v>
      </c>
      <c r="BF55">
        <f ca="1">IF(AND(((COLUMN()-10)&lt;=playercnt),((ROW()-41)&lt;=playercnt)),SUMPRODUCT(INDIRECT(ADDRESS(3,ROW()-31,1)):INDIRECT(ADDRESS(22,ROW()-31,1)),BF$3:BF$22),"")</f>
        <v>5</v>
      </c>
      <c r="BG55">
        <f ca="1">IF(AND(((COLUMN()-10)&lt;=playercnt),((ROW()-41)&lt;=playercnt)),SUMPRODUCT(INDIRECT(ADDRESS(3,ROW()-31,1)):INDIRECT(ADDRESS(22,ROW()-31,1)),BG$3:BG$22),"")</f>
        <v>7</v>
      </c>
      <c r="BH55">
        <f ca="1">IF(AND(((COLUMN()-10)&lt;=playercnt),((ROW()-41)&lt;=playercnt)),SUMPRODUCT(INDIRECT(ADDRESS(3,ROW()-31,1)):INDIRECT(ADDRESS(22,ROW()-31,1)),BH$3:BH$22),"")</f>
        <v>5</v>
      </c>
      <c r="BI55">
        <f ca="1">IF(AND(((COLUMN()-10)&lt;=playercnt),((ROW()-41)&lt;=playercnt)),SUMPRODUCT(INDIRECT(ADDRESS(3,ROW()-31,1)):INDIRECT(ADDRESS(22,ROW()-31,1)),BI$3:BI$22),"")</f>
        <v>5</v>
      </c>
      <c r="BJ55">
        <f ca="1">IF(AND(((COLUMN()-10)&lt;=playercnt),((ROW()-41)&lt;=playercnt)),SUMPRODUCT(INDIRECT(ADDRESS(3,ROW()-31,1)):INDIRECT(ADDRESS(22,ROW()-31,1)),BJ$3:BJ$22),"")</f>
        <v>7</v>
      </c>
      <c r="BK55">
        <f ca="1">IF(AND(((COLUMN()-10)&lt;=playercnt),((ROW()-41)&lt;=playercnt)),SUMPRODUCT(INDIRECT(ADDRESS(3,ROW()-31,1)):INDIRECT(ADDRESS(22,ROW()-31,1)),BK$3:BK$22),"")</f>
        <v>5</v>
      </c>
      <c r="BL55">
        <f ca="1">IF(AND(((COLUMN()-10)&lt;=playercnt),((ROW()-41)&lt;=playercnt)),SUMPRODUCT(INDIRECT(ADDRESS(3,ROW()-31,1)):INDIRECT(ADDRESS(22,ROW()-31,1)),BL$3:BL$22),"")</f>
        <v>6</v>
      </c>
      <c r="BM55">
        <f ca="1">IF(AND(((COLUMN()-10)&lt;=playercnt),((ROW()-41)&lt;=playercnt)),SUMPRODUCT(INDIRECT(ADDRESS(3,ROW()-31,1)):INDIRECT(ADDRESS(22,ROW()-31,1)),BM$3:BM$22),"")</f>
        <v>5</v>
      </c>
      <c r="BN55">
        <f ca="1">IF(AND(((COLUMN()-10)&lt;=playercnt),((ROW()-41)&lt;=playercnt)),SUMPRODUCT(INDIRECT(ADDRESS(3,ROW()-31,1)):INDIRECT(ADDRESS(22,ROW()-31,1)),BN$3:BN$22),"")</f>
        <v>4</v>
      </c>
    </row>
    <row r="56" spans="1:66" x14ac:dyDescent="0.2">
      <c r="B56" s="27">
        <f t="shared" ca="1" si="23"/>
        <v>5.9811320754716979</v>
      </c>
      <c r="C56" t="str">
        <f t="shared" ca="1" si="24"/>
        <v>Ferguson, Scott Remote</v>
      </c>
      <c r="G56">
        <f ca="1">IF(AND(((COLUMN()-10)&lt;=playercnt),((ROW()-41)&lt;=playercnt)),SUMPRODUCT(INDIRECT(ADDRESS(3,ROW()-31,1)):INDIRECT(ADDRESS(22,ROW()-31,1)),G$3:G$22),"")</f>
        <v>6</v>
      </c>
      <c r="H56">
        <f ca="1">IF(AND(((COLUMN()-10)&lt;=playercnt),((ROW()-41)&lt;=playercnt)),SUMPRODUCT(INDIRECT(ADDRESS(3,ROW()-31,1)):INDIRECT(ADDRESS(22,ROW()-31,1)),H$3:H$22),"")</f>
        <v>9</v>
      </c>
      <c r="I56">
        <f ca="1">IF(AND(((COLUMN()-10)&lt;=playercnt),((ROW()-41)&lt;=playercnt)),SUMPRODUCT(INDIRECT(ADDRESS(3,ROW()-31,1)):INDIRECT(ADDRESS(22,ROW()-31,1)),I$3:I$22),"")</f>
        <v>6.5</v>
      </c>
      <c r="J56">
        <f ca="1">IF(AND(((COLUMN()-10)&lt;=playercnt),((ROW()-41)&lt;=playercnt)),SUMPRODUCT(INDIRECT(ADDRESS(3,ROW()-31,1)):INDIRECT(ADDRESS(22,ROW()-31,1)),J$3:J$22),"")</f>
        <v>0</v>
      </c>
      <c r="K56">
        <f ca="1">IF(AND(((COLUMN()-10)&lt;=playercnt),((ROW()-41)&lt;=playercnt)),SUMPRODUCT(INDIRECT(ADDRESS(3,ROW()-31,1)):INDIRECT(ADDRESS(22,ROW()-31,1)),K$3:K$22),"")</f>
        <v>5</v>
      </c>
      <c r="L56">
        <f ca="1">IF(AND(((COLUMN()-10)&lt;=playercnt),((ROW()-41)&lt;=playercnt)),SUMPRODUCT(INDIRECT(ADDRESS(3,ROW()-31,1)):INDIRECT(ADDRESS(22,ROW()-31,1)),L$3:L$22),"")</f>
        <v>8</v>
      </c>
      <c r="M56">
        <f ca="1">IF(AND(((COLUMN()-10)&lt;=playercnt),((ROW()-41)&lt;=playercnt)),SUMPRODUCT(INDIRECT(ADDRESS(3,ROW()-31,1)):INDIRECT(ADDRESS(22,ROW()-31,1)),M$3:M$22),"")</f>
        <v>3</v>
      </c>
      <c r="N56">
        <f ca="1">IF(AND(((COLUMN()-10)&lt;=playercnt),((ROW()-41)&lt;=playercnt)),SUMPRODUCT(INDIRECT(ADDRESS(3,ROW()-31,1)):INDIRECT(ADDRESS(22,ROW()-31,1)),N$3:N$22),"")</f>
        <v>8</v>
      </c>
      <c r="O56">
        <f ca="1">IF(AND(((COLUMN()-10)&lt;=playercnt),((ROW()-41)&lt;=playercnt)),SUMPRODUCT(INDIRECT(ADDRESS(3,ROW()-31,1)):INDIRECT(ADDRESS(22,ROW()-31,1)),O$3:O$22),"")</f>
        <v>8</v>
      </c>
      <c r="P56">
        <f ca="1">IF(AND(((COLUMN()-10)&lt;=playercnt),((ROW()-41)&lt;=playercnt)),SUMPRODUCT(INDIRECT(ADDRESS(3,ROW()-31,1)):INDIRECT(ADDRESS(22,ROW()-31,1)),P$3:P$22),"")</f>
        <v>5</v>
      </c>
      <c r="Q56">
        <f ca="1">IF(AND(((COLUMN()-10)&lt;=playercnt),((ROW()-41)&lt;=playercnt)),SUMPRODUCT(INDIRECT(ADDRESS(3,ROW()-31,1)):INDIRECT(ADDRESS(22,ROW()-31,1)),Q$3:Q$22),"")</f>
        <v>6</v>
      </c>
      <c r="R56">
        <f ca="1">IF(AND(((COLUMN()-10)&lt;=playercnt),((ROW()-41)&lt;=playercnt)),SUMPRODUCT(INDIRECT(ADDRESS(3,ROW()-31,1)):INDIRECT(ADDRESS(22,ROW()-31,1)),R$3:R$22),"")</f>
        <v>6</v>
      </c>
      <c r="S56">
        <f ca="1">IF(AND(((COLUMN()-10)&lt;=playercnt),((ROW()-41)&lt;=playercnt)),SUMPRODUCT(INDIRECT(ADDRESS(3,ROW()-31,1)):INDIRECT(ADDRESS(22,ROW()-31,1)),S$3:S$22),"")</f>
        <v>6</v>
      </c>
      <c r="T56">
        <f ca="1">IF(AND(((COLUMN()-10)&lt;=playercnt),((ROW()-41)&lt;=playercnt)),SUMPRODUCT(INDIRECT(ADDRESS(3,ROW()-31,1)):INDIRECT(ADDRESS(22,ROW()-31,1)),T$3:T$22),"")</f>
        <v>5</v>
      </c>
      <c r="U56">
        <f ca="1">IF(AND(((COLUMN()-10)&lt;=playercnt),((ROW()-41)&lt;=playercnt)),SUMPRODUCT(INDIRECT(ADDRESS(3,ROW()-31,1)):INDIRECT(ADDRESS(22,ROW()-31,1)),U$3:U$22),"")</f>
        <v>8</v>
      </c>
      <c r="V56">
        <f ca="1">IF(AND(((COLUMN()-10)&lt;=playercnt),((ROW()-41)&lt;=playercnt)),SUMPRODUCT(INDIRECT(ADDRESS(3,ROW()-31,1)):INDIRECT(ADDRESS(22,ROW()-31,1)),V$3:V$22),"")</f>
        <v>4</v>
      </c>
      <c r="W56">
        <f ca="1">IF(AND(((COLUMN()-10)&lt;=playercnt),((ROW()-41)&lt;=playercnt)),SUMPRODUCT(INDIRECT(ADDRESS(3,ROW()-31,1)):INDIRECT(ADDRESS(22,ROW()-31,1)),W$3:W$22),"")</f>
        <v>6</v>
      </c>
      <c r="X56">
        <f ca="1">IF(AND(((COLUMN()-10)&lt;=playercnt),((ROW()-41)&lt;=playercnt)),SUMPRODUCT(INDIRECT(ADDRESS(3,ROW()-31,1)):INDIRECT(ADDRESS(22,ROW()-31,1)),X$3:X$22),"")</f>
        <v>3</v>
      </c>
      <c r="Y56">
        <f ca="1">IF(AND(((COLUMN()-10)&lt;=playercnt),((ROW()-41)&lt;=playercnt)),SUMPRODUCT(INDIRECT(ADDRESS(3,ROW()-31,1)):INDIRECT(ADDRESS(22,ROW()-31,1)),Y$3:Y$22),"")</f>
        <v>10</v>
      </c>
      <c r="Z56">
        <f ca="1">IF(AND(((COLUMN()-10)&lt;=playercnt),((ROW()-41)&lt;=playercnt)),SUMPRODUCT(INDIRECT(ADDRESS(3,ROW()-31,1)):INDIRECT(ADDRESS(22,ROW()-31,1)),Z$3:Z$22),"")</f>
        <v>5</v>
      </c>
      <c r="AA56">
        <f ca="1">IF(AND(((COLUMN()-10)&lt;=playercnt),((ROW()-41)&lt;=playercnt)),SUMPRODUCT(INDIRECT(ADDRESS(3,ROW()-31,1)):INDIRECT(ADDRESS(22,ROW()-31,1)),AA$3:AA$22),"")</f>
        <v>4</v>
      </c>
      <c r="AB56">
        <f ca="1">IF(AND(((COLUMN()-10)&lt;=playercnt),((ROW()-41)&lt;=playercnt)),SUMPRODUCT(INDIRECT(ADDRESS(3,ROW()-31,1)):INDIRECT(ADDRESS(22,ROW()-31,1)),AB$3:AB$22),"")</f>
        <v>7</v>
      </c>
      <c r="AC56">
        <f ca="1">IF(AND(((COLUMN()-10)&lt;=playercnt),((ROW()-41)&lt;=playercnt)),SUMPRODUCT(INDIRECT(ADDRESS(3,ROW()-31,1)):INDIRECT(ADDRESS(22,ROW()-31,1)),AC$3:AC$22),"")</f>
        <v>8</v>
      </c>
      <c r="AD56">
        <f ca="1">IF(AND(((COLUMN()-10)&lt;=playercnt),((ROW()-41)&lt;=playercnt)),SUMPRODUCT(INDIRECT(ADDRESS(3,ROW()-31,1)):INDIRECT(ADDRESS(22,ROW()-31,1)),AD$3:AD$22),"")</f>
        <v>8</v>
      </c>
      <c r="AE56">
        <f ca="1">IF(AND(((COLUMN()-10)&lt;=playercnt),((ROW()-41)&lt;=playercnt)),SUMPRODUCT(INDIRECT(ADDRESS(3,ROW()-31,1)):INDIRECT(ADDRESS(22,ROW()-31,1)),AE$3:AE$22),"")</f>
        <v>6</v>
      </c>
      <c r="AF56">
        <f ca="1">IF(AND(((COLUMN()-10)&lt;=playercnt),((ROW()-41)&lt;=playercnt)),SUMPRODUCT(INDIRECT(ADDRESS(3,ROW()-31,1)):INDIRECT(ADDRESS(22,ROW()-31,1)),AF$3:AF$22),"")</f>
        <v>3</v>
      </c>
      <c r="AG56">
        <f ca="1">IF(AND(((COLUMN()-10)&lt;=playercnt),((ROW()-41)&lt;=playercnt)),SUMPRODUCT(INDIRECT(ADDRESS(3,ROW()-31,1)):INDIRECT(ADDRESS(22,ROW()-31,1)),AG$3:AG$22),"")</f>
        <v>5</v>
      </c>
      <c r="AH56">
        <f ca="1">IF(AND(((COLUMN()-10)&lt;=playercnt),((ROW()-41)&lt;=playercnt)),SUMPRODUCT(INDIRECT(ADDRESS(3,ROW()-31,1)):INDIRECT(ADDRESS(22,ROW()-31,1)),AH$3:AH$22),"")</f>
        <v>6</v>
      </c>
      <c r="AI56">
        <f ca="1">IF(AND(((COLUMN()-10)&lt;=playercnt),((ROW()-41)&lt;=playercnt)),SUMPRODUCT(INDIRECT(ADDRESS(3,ROW()-31,1)):INDIRECT(ADDRESS(22,ROW()-31,1)),AI$3:AI$22),"")</f>
        <v>6</v>
      </c>
      <c r="AJ56">
        <f ca="1">IF(AND(((COLUMN()-10)&lt;=playercnt),((ROW()-41)&lt;=playercnt)),SUMPRODUCT(INDIRECT(ADDRESS(3,ROW()-31,1)):INDIRECT(ADDRESS(22,ROW()-31,1)),AJ$3:AJ$22),"")</f>
        <v>6</v>
      </c>
      <c r="AK56">
        <f ca="1">IF(AND(((COLUMN()-10)&lt;=playercnt),((ROW()-41)&lt;=playercnt)),SUMPRODUCT(INDIRECT(ADDRESS(3,ROW()-31,1)):INDIRECT(ADDRESS(22,ROW()-31,1)),AK$3:AK$22),"")</f>
        <v>0</v>
      </c>
      <c r="AL56">
        <f ca="1">IF(AND(((COLUMN()-10)&lt;=playercnt),((ROW()-41)&lt;=playercnt)),SUMPRODUCT(INDIRECT(ADDRESS(3,ROW()-31,1)):INDIRECT(ADDRESS(22,ROW()-31,1)),AL$3:AL$22),"")</f>
        <v>9</v>
      </c>
      <c r="AM56">
        <f ca="1">IF(AND(((COLUMN()-10)&lt;=playercnt),((ROW()-41)&lt;=playercnt)),SUMPRODUCT(INDIRECT(ADDRESS(3,ROW()-31,1)):INDIRECT(ADDRESS(22,ROW()-31,1)),AM$3:AM$22),"")</f>
        <v>6</v>
      </c>
      <c r="AN56">
        <f ca="1">IF(AND(((COLUMN()-10)&lt;=playercnt),((ROW()-41)&lt;=playercnt)),SUMPRODUCT(INDIRECT(ADDRESS(3,ROW()-31,1)):INDIRECT(ADDRESS(22,ROW()-31,1)),AN$3:AN$22),"")</f>
        <v>8</v>
      </c>
      <c r="AO56">
        <f ca="1">IF(AND(((COLUMN()-10)&lt;=playercnt),((ROW()-41)&lt;=playercnt)),SUMPRODUCT(INDIRECT(ADDRESS(3,ROW()-31,1)):INDIRECT(ADDRESS(22,ROW()-31,1)),AO$3:AO$22),"")</f>
        <v>6</v>
      </c>
      <c r="AP56">
        <f ca="1">IF(AND(((COLUMN()-10)&lt;=playercnt),((ROW()-41)&lt;=playercnt)),SUMPRODUCT(INDIRECT(ADDRESS(3,ROW()-31,1)):INDIRECT(ADDRESS(22,ROW()-31,1)),AP$3:AP$22),"")</f>
        <v>0</v>
      </c>
      <c r="AQ56">
        <f ca="1">IF(AND(((COLUMN()-10)&lt;=playercnt),((ROW()-41)&lt;=playercnt)),SUMPRODUCT(INDIRECT(ADDRESS(3,ROW()-31,1)):INDIRECT(ADDRESS(22,ROW()-31,1)),AQ$3:AQ$22),"")</f>
        <v>6</v>
      </c>
      <c r="AR56">
        <f ca="1">IF(AND(((COLUMN()-10)&lt;=playercnt),((ROW()-41)&lt;=playercnt)),SUMPRODUCT(INDIRECT(ADDRESS(3,ROW()-31,1)):INDIRECT(ADDRESS(22,ROW()-31,1)),AR$3:AR$22),"")</f>
        <v>5</v>
      </c>
      <c r="AS56">
        <f ca="1">IF(AND(((COLUMN()-10)&lt;=playercnt),((ROW()-41)&lt;=playercnt)),SUMPRODUCT(INDIRECT(ADDRESS(3,ROW()-31,1)):INDIRECT(ADDRESS(22,ROW()-31,1)),AS$3:AS$22),"")</f>
        <v>6</v>
      </c>
      <c r="AT56">
        <f ca="1">IF(AND(((COLUMN()-10)&lt;=playercnt),((ROW()-41)&lt;=playercnt)),SUMPRODUCT(INDIRECT(ADDRESS(3,ROW()-31,1)):INDIRECT(ADDRESS(22,ROW()-31,1)),AT$3:AT$22),"")</f>
        <v>6</v>
      </c>
      <c r="AU56">
        <f ca="1">IF(AND(((COLUMN()-10)&lt;=playercnt),((ROW()-41)&lt;=playercnt)),SUMPRODUCT(INDIRECT(ADDRESS(3,ROW()-31,1)):INDIRECT(ADDRESS(22,ROW()-31,1)),AU$3:AU$22),"")</f>
        <v>6</v>
      </c>
      <c r="AV56">
        <f ca="1">IF(AND(((COLUMN()-10)&lt;=playercnt),((ROW()-41)&lt;=playercnt)),SUMPRODUCT(INDIRECT(ADDRESS(3,ROW()-31,1)):INDIRECT(ADDRESS(22,ROW()-31,1)),AV$3:AV$22),"")</f>
        <v>8</v>
      </c>
      <c r="AW56">
        <f ca="1">IF(AND(((COLUMN()-10)&lt;=playercnt),((ROW()-41)&lt;=playercnt)),SUMPRODUCT(INDIRECT(ADDRESS(3,ROW()-31,1)):INDIRECT(ADDRESS(22,ROW()-31,1)),AW$3:AW$22),"")</f>
        <v>6</v>
      </c>
      <c r="AX56">
        <f ca="1">IF(AND(((COLUMN()-10)&lt;=playercnt),((ROW()-41)&lt;=playercnt)),SUMPRODUCT(INDIRECT(ADDRESS(3,ROW()-31,1)):INDIRECT(ADDRESS(22,ROW()-31,1)),AX$3:AX$22),"")</f>
        <v>5</v>
      </c>
      <c r="AY56">
        <f ca="1">IF(AND(((COLUMN()-10)&lt;=playercnt),((ROW()-41)&lt;=playercnt)),SUMPRODUCT(INDIRECT(ADDRESS(3,ROW()-31,1)):INDIRECT(ADDRESS(22,ROW()-31,1)),AY$3:AY$22),"")</f>
        <v>8</v>
      </c>
      <c r="AZ56">
        <f ca="1">IF(AND(((COLUMN()-10)&lt;=playercnt),((ROW()-41)&lt;=playercnt)),SUMPRODUCT(INDIRECT(ADDRESS(3,ROW()-31,1)):INDIRECT(ADDRESS(22,ROW()-31,1)),AZ$3:AZ$22),"")</f>
        <v>5</v>
      </c>
      <c r="BA56">
        <f ca="1">IF(AND(((COLUMN()-10)&lt;=playercnt),((ROW()-41)&lt;=playercnt)),SUMPRODUCT(INDIRECT(ADDRESS(3,ROW()-31,1)):INDIRECT(ADDRESS(22,ROW()-31,1)),BA$3:BA$22),"")</f>
        <v>7</v>
      </c>
      <c r="BB56">
        <f ca="1">IF(AND(((COLUMN()-10)&lt;=playercnt),((ROW()-41)&lt;=playercnt)),SUMPRODUCT(INDIRECT(ADDRESS(3,ROW()-31,1)):INDIRECT(ADDRESS(22,ROW()-31,1)),BB$3:BB$22),"")</f>
        <v>9</v>
      </c>
      <c r="BC56">
        <f ca="1">IF(AND(((COLUMN()-10)&lt;=playercnt),((ROW()-41)&lt;=playercnt)),SUMPRODUCT(INDIRECT(ADDRESS(3,ROW()-31,1)):INDIRECT(ADDRESS(22,ROW()-31,1)),BC$3:BC$22),"")</f>
        <v>7</v>
      </c>
      <c r="BD56">
        <f ca="1">IF(AND(((COLUMN()-10)&lt;=playercnt),((ROW()-41)&lt;=playercnt)),SUMPRODUCT(INDIRECT(ADDRESS(3,ROW()-31,1)):INDIRECT(ADDRESS(22,ROW()-31,1)),BD$3:BD$22),"")</f>
        <v>5</v>
      </c>
      <c r="BE56">
        <f ca="1">IF(AND(((COLUMN()-10)&lt;=playercnt),((ROW()-41)&lt;=playercnt)),SUMPRODUCT(INDIRECT(ADDRESS(3,ROW()-31,1)):INDIRECT(ADDRESS(22,ROW()-31,1)),BE$3:BE$22),"")</f>
        <v>6</v>
      </c>
      <c r="BF56">
        <f ca="1">IF(AND(((COLUMN()-10)&lt;=playercnt),((ROW()-41)&lt;=playercnt)),SUMPRODUCT(INDIRECT(ADDRESS(3,ROW()-31,1)):INDIRECT(ADDRESS(22,ROW()-31,1)),BF$3:BF$22),"")</f>
        <v>6</v>
      </c>
      <c r="BG56">
        <f ca="1">IF(AND(((COLUMN()-10)&lt;=playercnt),((ROW()-41)&lt;=playercnt)),SUMPRODUCT(INDIRECT(ADDRESS(3,ROW()-31,1)):INDIRECT(ADDRESS(22,ROW()-31,1)),BG$3:BG$22),"")</f>
        <v>4</v>
      </c>
      <c r="BH56">
        <f ca="1">IF(AND(((COLUMN()-10)&lt;=playercnt),((ROW()-41)&lt;=playercnt)),SUMPRODUCT(INDIRECT(ADDRESS(3,ROW()-31,1)):INDIRECT(ADDRESS(22,ROW()-31,1)),BH$3:BH$22),"")</f>
        <v>6</v>
      </c>
      <c r="BI56">
        <f ca="1">IF(AND(((COLUMN()-10)&lt;=playercnt),((ROW()-41)&lt;=playercnt)),SUMPRODUCT(INDIRECT(ADDRESS(3,ROW()-31,1)):INDIRECT(ADDRESS(22,ROW()-31,1)),BI$3:BI$22),"")</f>
        <v>8</v>
      </c>
      <c r="BJ56">
        <f ca="1">IF(AND(((COLUMN()-10)&lt;=playercnt),((ROW()-41)&lt;=playercnt)),SUMPRODUCT(INDIRECT(ADDRESS(3,ROW()-31,1)):INDIRECT(ADDRESS(22,ROW()-31,1)),BJ$3:BJ$22),"")</f>
        <v>4</v>
      </c>
      <c r="BK56">
        <f ca="1">IF(AND(((COLUMN()-10)&lt;=playercnt),((ROW()-41)&lt;=playercnt)),SUMPRODUCT(INDIRECT(ADDRESS(3,ROW()-31,1)):INDIRECT(ADDRESS(22,ROW()-31,1)),BK$3:BK$22),"")</f>
        <v>4</v>
      </c>
      <c r="BL56">
        <f ca="1">IF(AND(((COLUMN()-10)&lt;=playercnt),((ROW()-41)&lt;=playercnt)),SUMPRODUCT(INDIRECT(ADDRESS(3,ROW()-31,1)):INDIRECT(ADDRESS(22,ROW()-31,1)),BL$3:BL$22),"")</f>
        <v>5</v>
      </c>
      <c r="BM56">
        <f ca="1">IF(AND(((COLUMN()-10)&lt;=playercnt),((ROW()-41)&lt;=playercnt)),SUMPRODUCT(INDIRECT(ADDRESS(3,ROW()-31,1)):INDIRECT(ADDRESS(22,ROW()-31,1)),BM$3:BM$22),"")</f>
        <v>6</v>
      </c>
      <c r="BN56">
        <f ca="1">IF(AND(((COLUMN()-10)&lt;=playercnt),((ROW()-41)&lt;=playercnt)),SUMPRODUCT(INDIRECT(ADDRESS(3,ROW()-31,1)):INDIRECT(ADDRESS(22,ROW()-31,1)),BN$3:BN$22),"")</f>
        <v>5</v>
      </c>
    </row>
    <row r="57" spans="1:66" x14ac:dyDescent="0.2">
      <c r="B57" s="27">
        <f t="shared" ca="1" si="23"/>
        <v>6.1698113207547172</v>
      </c>
      <c r="C57" t="str">
        <f t="shared" ca="1" si="24"/>
        <v>Fonville, Chris</v>
      </c>
      <c r="G57">
        <f ca="1">IF(AND(((COLUMN()-10)&lt;=playercnt),((ROW()-41)&lt;=playercnt)),SUMPRODUCT(INDIRECT(ADDRESS(3,ROW()-31,1)):INDIRECT(ADDRESS(22,ROW()-31,1)),G$3:G$22),"")</f>
        <v>1</v>
      </c>
      <c r="H57">
        <f ca="1">IF(AND(((COLUMN()-10)&lt;=playercnt),((ROW()-41)&lt;=playercnt)),SUMPRODUCT(INDIRECT(ADDRESS(3,ROW()-31,1)):INDIRECT(ADDRESS(22,ROW()-31,1)),H$3:H$22),"")</f>
        <v>6</v>
      </c>
      <c r="I57">
        <f ca="1">IF(AND(((COLUMN()-10)&lt;=playercnt),((ROW()-41)&lt;=playercnt)),SUMPRODUCT(INDIRECT(ADDRESS(3,ROW()-31,1)):INDIRECT(ADDRESS(22,ROW()-31,1)),I$3:I$22),"")</f>
        <v>6.5</v>
      </c>
      <c r="J57">
        <f ca="1">IF(AND(((COLUMN()-10)&lt;=playercnt),((ROW()-41)&lt;=playercnt)),SUMPRODUCT(INDIRECT(ADDRESS(3,ROW()-31,1)):INDIRECT(ADDRESS(22,ROW()-31,1)),J$3:J$22),"")</f>
        <v>0</v>
      </c>
      <c r="K57">
        <f ca="1">IF(AND(((COLUMN()-10)&lt;=playercnt),((ROW()-41)&lt;=playercnt)),SUMPRODUCT(INDIRECT(ADDRESS(3,ROW()-31,1)):INDIRECT(ADDRESS(22,ROW()-31,1)),K$3:K$22),"")</f>
        <v>6</v>
      </c>
      <c r="L57">
        <f ca="1">IF(AND(((COLUMN()-10)&lt;=playercnt),((ROW()-41)&lt;=playercnt)),SUMPRODUCT(INDIRECT(ADDRESS(3,ROW()-31,1)):INDIRECT(ADDRESS(22,ROW()-31,1)),L$3:L$22),"")</f>
        <v>5</v>
      </c>
      <c r="M57">
        <f ca="1">IF(AND(((COLUMN()-10)&lt;=playercnt),((ROW()-41)&lt;=playercnt)),SUMPRODUCT(INDIRECT(ADDRESS(3,ROW()-31,1)):INDIRECT(ADDRESS(22,ROW()-31,1)),M$3:M$22),"")</f>
        <v>8</v>
      </c>
      <c r="N57">
        <f ca="1">IF(AND(((COLUMN()-10)&lt;=playercnt),((ROW()-41)&lt;=playercnt)),SUMPRODUCT(INDIRECT(ADDRESS(3,ROW()-31,1)):INDIRECT(ADDRESS(22,ROW()-31,1)),N$3:N$22),"")</f>
        <v>5</v>
      </c>
      <c r="O57">
        <f ca="1">IF(AND(((COLUMN()-10)&lt;=playercnt),((ROW()-41)&lt;=playercnt)),SUMPRODUCT(INDIRECT(ADDRESS(3,ROW()-31,1)):INDIRECT(ADDRESS(22,ROW()-31,1)),O$3:O$22),"")</f>
        <v>5</v>
      </c>
      <c r="P57">
        <f ca="1">IF(AND(((COLUMN()-10)&lt;=playercnt),((ROW()-41)&lt;=playercnt)),SUMPRODUCT(INDIRECT(ADDRESS(3,ROW()-31,1)):INDIRECT(ADDRESS(22,ROW()-31,1)),P$3:P$22),"")</f>
        <v>6</v>
      </c>
      <c r="Q57">
        <f ca="1">IF(AND(((COLUMN()-10)&lt;=playercnt),((ROW()-41)&lt;=playercnt)),SUMPRODUCT(INDIRECT(ADDRESS(3,ROW()-31,1)):INDIRECT(ADDRESS(22,ROW()-31,1)),Q$3:Q$22),"")</f>
        <v>7</v>
      </c>
      <c r="R57">
        <f ca="1">IF(AND(((COLUMN()-10)&lt;=playercnt),((ROW()-41)&lt;=playercnt)),SUMPRODUCT(INDIRECT(ADDRESS(3,ROW()-31,1)):INDIRECT(ADDRESS(22,ROW()-31,1)),R$3:R$22),"")</f>
        <v>1</v>
      </c>
      <c r="S57">
        <f ca="1">IF(AND(((COLUMN()-10)&lt;=playercnt),((ROW()-41)&lt;=playercnt)),SUMPRODUCT(INDIRECT(ADDRESS(3,ROW()-31,1)):INDIRECT(ADDRESS(22,ROW()-31,1)),S$3:S$22),"")</f>
        <v>7</v>
      </c>
      <c r="T57">
        <f ca="1">IF(AND(((COLUMN()-10)&lt;=playercnt),((ROW()-41)&lt;=playercnt)),SUMPRODUCT(INDIRECT(ADDRESS(3,ROW()-31,1)):INDIRECT(ADDRESS(22,ROW()-31,1)),T$3:T$22),"")</f>
        <v>6</v>
      </c>
      <c r="U57">
        <f ca="1">IF(AND(((COLUMN()-10)&lt;=playercnt),((ROW()-41)&lt;=playercnt)),SUMPRODUCT(INDIRECT(ADDRESS(3,ROW()-31,1)):INDIRECT(ADDRESS(22,ROW()-31,1)),U$3:U$22),"")</f>
        <v>5</v>
      </c>
      <c r="V57">
        <f ca="1">IF(AND(((COLUMN()-10)&lt;=playercnt),((ROW()-41)&lt;=playercnt)),SUMPRODUCT(INDIRECT(ADDRESS(3,ROW()-31,1)):INDIRECT(ADDRESS(22,ROW()-31,1)),V$3:V$22),"")</f>
        <v>9</v>
      </c>
      <c r="W57">
        <f ca="1">IF(AND(((COLUMN()-10)&lt;=playercnt),((ROW()-41)&lt;=playercnt)),SUMPRODUCT(INDIRECT(ADDRESS(3,ROW()-31,1)):INDIRECT(ADDRESS(22,ROW()-31,1)),W$3:W$22),"")</f>
        <v>7</v>
      </c>
      <c r="X57">
        <f ca="1">IF(AND(((COLUMN()-10)&lt;=playercnt),((ROW()-41)&lt;=playercnt)),SUMPRODUCT(INDIRECT(ADDRESS(3,ROW()-31,1)):INDIRECT(ADDRESS(22,ROW()-31,1)),X$3:X$22),"")</f>
        <v>6</v>
      </c>
      <c r="Y57">
        <f ca="1">IF(AND(((COLUMN()-10)&lt;=playercnt),((ROW()-41)&lt;=playercnt)),SUMPRODUCT(INDIRECT(ADDRESS(3,ROW()-31,1)):INDIRECT(ADDRESS(22,ROW()-31,1)),Y$3:Y$22),"")</f>
        <v>5</v>
      </c>
      <c r="Z57">
        <f ca="1">IF(AND(((COLUMN()-10)&lt;=playercnt),((ROW()-41)&lt;=playercnt)),SUMPRODUCT(INDIRECT(ADDRESS(3,ROW()-31,1)):INDIRECT(ADDRESS(22,ROW()-31,1)),Z$3:Z$22),"")</f>
        <v>10</v>
      </c>
      <c r="AA57">
        <f ca="1">IF(AND(((COLUMN()-10)&lt;=playercnt),((ROW()-41)&lt;=playercnt)),SUMPRODUCT(INDIRECT(ADDRESS(3,ROW()-31,1)):INDIRECT(ADDRESS(22,ROW()-31,1)),AA$3:AA$22),"")</f>
        <v>7</v>
      </c>
      <c r="AB57">
        <f ca="1">IF(AND(((COLUMN()-10)&lt;=playercnt),((ROW()-41)&lt;=playercnt)),SUMPRODUCT(INDIRECT(ADDRESS(3,ROW()-31,1)):INDIRECT(ADDRESS(22,ROW()-31,1)),AB$3:AB$22),"")</f>
        <v>6</v>
      </c>
      <c r="AC57">
        <f ca="1">IF(AND(((COLUMN()-10)&lt;=playercnt),((ROW()-41)&lt;=playercnt)),SUMPRODUCT(INDIRECT(ADDRESS(3,ROW()-31,1)):INDIRECT(ADDRESS(22,ROW()-31,1)),AC$3:AC$22),"")</f>
        <v>5</v>
      </c>
      <c r="AD57">
        <f ca="1">IF(AND(((COLUMN()-10)&lt;=playercnt),((ROW()-41)&lt;=playercnt)),SUMPRODUCT(INDIRECT(ADDRESS(3,ROW()-31,1)):INDIRECT(ADDRESS(22,ROW()-31,1)),AD$3:AD$22),"")</f>
        <v>5</v>
      </c>
      <c r="AE57">
        <f ca="1">IF(AND(((COLUMN()-10)&lt;=playercnt),((ROW()-41)&lt;=playercnt)),SUMPRODUCT(INDIRECT(ADDRESS(3,ROW()-31,1)):INDIRECT(ADDRESS(22,ROW()-31,1)),AE$3:AE$22),"")</f>
        <v>5</v>
      </c>
      <c r="AF57">
        <f ca="1">IF(AND(((COLUMN()-10)&lt;=playercnt),((ROW()-41)&lt;=playercnt)),SUMPRODUCT(INDIRECT(ADDRESS(3,ROW()-31,1)):INDIRECT(ADDRESS(22,ROW()-31,1)),AF$3:AF$22),"")</f>
        <v>8</v>
      </c>
      <c r="AG57">
        <f ca="1">IF(AND(((COLUMN()-10)&lt;=playercnt),((ROW()-41)&lt;=playercnt)),SUMPRODUCT(INDIRECT(ADDRESS(3,ROW()-31,1)):INDIRECT(ADDRESS(22,ROW()-31,1)),AG$3:AG$22),"")</f>
        <v>8</v>
      </c>
      <c r="AH57">
        <f ca="1">IF(AND(((COLUMN()-10)&lt;=playercnt),((ROW()-41)&lt;=playercnt)),SUMPRODUCT(INDIRECT(ADDRESS(3,ROW()-31,1)):INDIRECT(ADDRESS(22,ROW()-31,1)),AH$3:AH$22),"")</f>
        <v>5</v>
      </c>
      <c r="AI57">
        <f ca="1">IF(AND(((COLUMN()-10)&lt;=playercnt),((ROW()-41)&lt;=playercnt)),SUMPRODUCT(INDIRECT(ADDRESS(3,ROW()-31,1)):INDIRECT(ADDRESS(22,ROW()-31,1)),AI$3:AI$22),"")</f>
        <v>7</v>
      </c>
      <c r="AJ57">
        <f ca="1">IF(AND(((COLUMN()-10)&lt;=playercnt),((ROW()-41)&lt;=playercnt)),SUMPRODUCT(INDIRECT(ADDRESS(3,ROW()-31,1)):INDIRECT(ADDRESS(22,ROW()-31,1)),AJ$3:AJ$22),"")</f>
        <v>9</v>
      </c>
      <c r="AK57">
        <f ca="1">IF(AND(((COLUMN()-10)&lt;=playercnt),((ROW()-41)&lt;=playercnt)),SUMPRODUCT(INDIRECT(ADDRESS(3,ROW()-31,1)):INDIRECT(ADDRESS(22,ROW()-31,1)),AK$3:AK$22),"")</f>
        <v>0</v>
      </c>
      <c r="AL57">
        <f ca="1">IF(AND(((COLUMN()-10)&lt;=playercnt),((ROW()-41)&lt;=playercnt)),SUMPRODUCT(INDIRECT(ADDRESS(3,ROW()-31,1)):INDIRECT(ADDRESS(22,ROW()-31,1)),AL$3:AL$22),"")</f>
        <v>6</v>
      </c>
      <c r="AM57">
        <f ca="1">IF(AND(((COLUMN()-10)&lt;=playercnt),((ROW()-41)&lt;=playercnt)),SUMPRODUCT(INDIRECT(ADDRESS(3,ROW()-31,1)):INDIRECT(ADDRESS(22,ROW()-31,1)),AM$3:AM$22),"")</f>
        <v>5</v>
      </c>
      <c r="AN57">
        <f ca="1">IF(AND(((COLUMN()-10)&lt;=playercnt),((ROW()-41)&lt;=playercnt)),SUMPRODUCT(INDIRECT(ADDRESS(3,ROW()-31,1)):INDIRECT(ADDRESS(22,ROW()-31,1)),AN$3:AN$22),"")</f>
        <v>5</v>
      </c>
      <c r="AO57">
        <f ca="1">IF(AND(((COLUMN()-10)&lt;=playercnt),((ROW()-41)&lt;=playercnt)),SUMPRODUCT(INDIRECT(ADDRESS(3,ROW()-31,1)):INDIRECT(ADDRESS(22,ROW()-31,1)),AO$3:AO$22),"")</f>
        <v>5</v>
      </c>
      <c r="AP57">
        <f ca="1">IF(AND(((COLUMN()-10)&lt;=playercnt),((ROW()-41)&lt;=playercnt)),SUMPRODUCT(INDIRECT(ADDRESS(3,ROW()-31,1)):INDIRECT(ADDRESS(22,ROW()-31,1)),AP$3:AP$22),"")</f>
        <v>0</v>
      </c>
      <c r="AQ57">
        <f ca="1">IF(AND(((COLUMN()-10)&lt;=playercnt),((ROW()-41)&lt;=playercnt)),SUMPRODUCT(INDIRECT(ADDRESS(3,ROW()-31,1)):INDIRECT(ADDRESS(22,ROW()-31,1)),AQ$3:AQ$22),"")</f>
        <v>9</v>
      </c>
      <c r="AR57">
        <f ca="1">IF(AND(((COLUMN()-10)&lt;=playercnt),((ROW()-41)&lt;=playercnt)),SUMPRODUCT(INDIRECT(ADDRESS(3,ROW()-31,1)):INDIRECT(ADDRESS(22,ROW()-31,1)),AR$3:AR$22),"")</f>
        <v>4</v>
      </c>
      <c r="AS57">
        <f ca="1">IF(AND(((COLUMN()-10)&lt;=playercnt),((ROW()-41)&lt;=playercnt)),SUMPRODUCT(INDIRECT(ADDRESS(3,ROW()-31,1)):INDIRECT(ADDRESS(22,ROW()-31,1)),AS$3:AS$22),"")</f>
        <v>5</v>
      </c>
      <c r="AT57">
        <f ca="1">IF(AND(((COLUMN()-10)&lt;=playercnt),((ROW()-41)&lt;=playercnt)),SUMPRODUCT(INDIRECT(ADDRESS(3,ROW()-31,1)):INDIRECT(ADDRESS(22,ROW()-31,1)),AT$3:AT$22),"")</f>
        <v>7</v>
      </c>
      <c r="AU57">
        <f ca="1">IF(AND(((COLUMN()-10)&lt;=playercnt),((ROW()-41)&lt;=playercnt)),SUMPRODUCT(INDIRECT(ADDRESS(3,ROW()-31,1)):INDIRECT(ADDRESS(22,ROW()-31,1)),AU$3:AU$22),"")</f>
        <v>9</v>
      </c>
      <c r="AV57">
        <f ca="1">IF(AND(((COLUMN()-10)&lt;=playercnt),((ROW()-41)&lt;=playercnt)),SUMPRODUCT(INDIRECT(ADDRESS(3,ROW()-31,1)):INDIRECT(ADDRESS(22,ROW()-31,1)),AV$3:AV$22),"")</f>
        <v>5</v>
      </c>
      <c r="AW57">
        <f ca="1">IF(AND(((COLUMN()-10)&lt;=playercnt),((ROW()-41)&lt;=playercnt)),SUMPRODUCT(INDIRECT(ADDRESS(3,ROW()-31,1)):INDIRECT(ADDRESS(22,ROW()-31,1)),AW$3:AW$22),"")</f>
        <v>5</v>
      </c>
      <c r="AX57">
        <f ca="1">IF(AND(((COLUMN()-10)&lt;=playercnt),((ROW()-41)&lt;=playercnt)),SUMPRODUCT(INDIRECT(ADDRESS(3,ROW()-31,1)):INDIRECT(ADDRESS(22,ROW()-31,1)),AX$3:AX$22),"")</f>
        <v>6</v>
      </c>
      <c r="AY57">
        <f ca="1">IF(AND(((COLUMN()-10)&lt;=playercnt),((ROW()-41)&lt;=playercnt)),SUMPRODUCT(INDIRECT(ADDRESS(3,ROW()-31,1)):INDIRECT(ADDRESS(22,ROW()-31,1)),AY$3:AY$22),"")</f>
        <v>5</v>
      </c>
      <c r="AZ57">
        <f ca="1">IF(AND(((COLUMN()-10)&lt;=playercnt),((ROW()-41)&lt;=playercnt)),SUMPRODUCT(INDIRECT(ADDRESS(3,ROW()-31,1)):INDIRECT(ADDRESS(22,ROW()-31,1)),AZ$3:AZ$22),"")</f>
        <v>8</v>
      </c>
      <c r="BA57">
        <f ca="1">IF(AND(((COLUMN()-10)&lt;=playercnt),((ROW()-41)&lt;=playercnt)),SUMPRODUCT(INDIRECT(ADDRESS(3,ROW()-31,1)):INDIRECT(ADDRESS(22,ROW()-31,1)),BA$3:BA$22),"")</f>
        <v>8</v>
      </c>
      <c r="BB57">
        <f ca="1">IF(AND(((COLUMN()-10)&lt;=playercnt),((ROW()-41)&lt;=playercnt)),SUMPRODUCT(INDIRECT(ADDRESS(3,ROW()-31,1)):INDIRECT(ADDRESS(22,ROW()-31,1)),BB$3:BB$22),"")</f>
        <v>6</v>
      </c>
      <c r="BC57">
        <f ca="1">IF(AND(((COLUMN()-10)&lt;=playercnt),((ROW()-41)&lt;=playercnt)),SUMPRODUCT(INDIRECT(ADDRESS(3,ROW()-31,1)):INDIRECT(ADDRESS(22,ROW()-31,1)),BC$3:BC$22),"")</f>
        <v>8</v>
      </c>
      <c r="BD57">
        <f ca="1">IF(AND(((COLUMN()-10)&lt;=playercnt),((ROW()-41)&lt;=playercnt)),SUMPRODUCT(INDIRECT(ADDRESS(3,ROW()-31,1)):INDIRECT(ADDRESS(22,ROW()-31,1)),BD$3:BD$22),"")</f>
        <v>6</v>
      </c>
      <c r="BE57">
        <f ca="1">IF(AND(((COLUMN()-10)&lt;=playercnt),((ROW()-41)&lt;=playercnt)),SUMPRODUCT(INDIRECT(ADDRESS(3,ROW()-31,1)):INDIRECT(ADDRESS(22,ROW()-31,1)),BE$3:BE$22),"")</f>
        <v>7</v>
      </c>
      <c r="BF57">
        <f ca="1">IF(AND(((COLUMN()-10)&lt;=playercnt),((ROW()-41)&lt;=playercnt)),SUMPRODUCT(INDIRECT(ADDRESS(3,ROW()-31,1)):INDIRECT(ADDRESS(22,ROW()-31,1)),BF$3:BF$22),"")</f>
        <v>7</v>
      </c>
      <c r="BG57">
        <f ca="1">IF(AND(((COLUMN()-10)&lt;=playercnt),((ROW()-41)&lt;=playercnt)),SUMPRODUCT(INDIRECT(ADDRESS(3,ROW()-31,1)):INDIRECT(ADDRESS(22,ROW()-31,1)),BG$3:BG$22),"")</f>
        <v>5</v>
      </c>
      <c r="BH57">
        <f ca="1">IF(AND(((COLUMN()-10)&lt;=playercnt),((ROW()-41)&lt;=playercnt)),SUMPRODUCT(INDIRECT(ADDRESS(3,ROW()-31,1)):INDIRECT(ADDRESS(22,ROW()-31,1)),BH$3:BH$22),"")</f>
        <v>7</v>
      </c>
      <c r="BI57">
        <f ca="1">IF(AND(((COLUMN()-10)&lt;=playercnt),((ROW()-41)&lt;=playercnt)),SUMPRODUCT(INDIRECT(ADDRESS(3,ROW()-31,1)):INDIRECT(ADDRESS(22,ROW()-31,1)),BI$3:BI$22),"")</f>
        <v>5</v>
      </c>
      <c r="BJ57">
        <f ca="1">IF(AND(((COLUMN()-10)&lt;=playercnt),((ROW()-41)&lt;=playercnt)),SUMPRODUCT(INDIRECT(ADDRESS(3,ROW()-31,1)):INDIRECT(ADDRESS(22,ROW()-31,1)),BJ$3:BJ$22),"")</f>
        <v>7</v>
      </c>
      <c r="BK57">
        <f ca="1">IF(AND(((COLUMN()-10)&lt;=playercnt),((ROW()-41)&lt;=playercnt)),SUMPRODUCT(INDIRECT(ADDRESS(3,ROW()-31,1)):INDIRECT(ADDRESS(22,ROW()-31,1)),BK$3:BK$22),"")</f>
        <v>7</v>
      </c>
      <c r="BL57">
        <f ca="1">IF(AND(((COLUMN()-10)&lt;=playercnt),((ROW()-41)&lt;=playercnt)),SUMPRODUCT(INDIRECT(ADDRESS(3,ROW()-31,1)):INDIRECT(ADDRESS(22,ROW()-31,1)),BL$3:BL$22),"")</f>
        <v>4</v>
      </c>
      <c r="BM57">
        <f ca="1">IF(AND(((COLUMN()-10)&lt;=playercnt),((ROW()-41)&lt;=playercnt)),SUMPRODUCT(INDIRECT(ADDRESS(3,ROW()-31,1)):INDIRECT(ADDRESS(22,ROW()-31,1)),BM$3:BM$22),"")</f>
        <v>7</v>
      </c>
      <c r="BN57">
        <f ca="1">IF(AND(((COLUMN()-10)&lt;=playercnt),((ROW()-41)&lt;=playercnt)),SUMPRODUCT(INDIRECT(ADDRESS(3,ROW()-31,1)):INDIRECT(ADDRESS(22,ROW()-31,1)),BN$3:BN$22),"")</f>
        <v>6</v>
      </c>
    </row>
    <row r="58" spans="1:66" x14ac:dyDescent="0.2">
      <c r="B58" s="27">
        <f t="shared" ca="1" si="23"/>
        <v>5.5283018867924527</v>
      </c>
      <c r="C58" t="str">
        <f t="shared" ca="1" si="24"/>
        <v>Gilmer, Justin T</v>
      </c>
      <c r="G58">
        <f ca="1">IF(AND(((COLUMN()-10)&lt;=playercnt),((ROW()-41)&lt;=playercnt)),SUMPRODUCT(INDIRECT(ADDRESS(3,ROW()-31,1)):INDIRECT(ADDRESS(22,ROW()-31,1)),G$3:G$22),"")</f>
        <v>2</v>
      </c>
      <c r="H58">
        <f ca="1">IF(AND(((COLUMN()-10)&lt;=playercnt),((ROW()-41)&lt;=playercnt)),SUMPRODUCT(INDIRECT(ADDRESS(3,ROW()-31,1)):INDIRECT(ADDRESS(22,ROW()-31,1)),H$3:H$22),"")</f>
        <v>3</v>
      </c>
      <c r="I58">
        <f ca="1">IF(AND(((COLUMN()-10)&lt;=playercnt),((ROW()-41)&lt;=playercnt)),SUMPRODUCT(INDIRECT(ADDRESS(3,ROW()-31,1)):INDIRECT(ADDRESS(22,ROW()-31,1)),I$3:I$22),"")</f>
        <v>5.5</v>
      </c>
      <c r="J58">
        <f ca="1">IF(AND(((COLUMN()-10)&lt;=playercnt),((ROW()-41)&lt;=playercnt)),SUMPRODUCT(INDIRECT(ADDRESS(3,ROW()-31,1)):INDIRECT(ADDRESS(22,ROW()-31,1)),J$3:J$22),"")</f>
        <v>0</v>
      </c>
      <c r="K58">
        <f ca="1">IF(AND(((COLUMN()-10)&lt;=playercnt),((ROW()-41)&lt;=playercnt)),SUMPRODUCT(INDIRECT(ADDRESS(3,ROW()-31,1)):INDIRECT(ADDRESS(22,ROW()-31,1)),K$3:K$22),"")</f>
        <v>5</v>
      </c>
      <c r="L58">
        <f ca="1">IF(AND(((COLUMN()-10)&lt;=playercnt),((ROW()-41)&lt;=playercnt)),SUMPRODUCT(INDIRECT(ADDRESS(3,ROW()-31,1)):INDIRECT(ADDRESS(22,ROW()-31,1)),L$3:L$22),"")</f>
        <v>4</v>
      </c>
      <c r="M58">
        <f ca="1">IF(AND(((COLUMN()-10)&lt;=playercnt),((ROW()-41)&lt;=playercnt)),SUMPRODUCT(INDIRECT(ADDRESS(3,ROW()-31,1)):INDIRECT(ADDRESS(22,ROW()-31,1)),M$3:M$22),"")</f>
        <v>9</v>
      </c>
      <c r="N58">
        <f ca="1">IF(AND(((COLUMN()-10)&lt;=playercnt),((ROW()-41)&lt;=playercnt)),SUMPRODUCT(INDIRECT(ADDRESS(3,ROW()-31,1)):INDIRECT(ADDRESS(22,ROW()-31,1)),N$3:N$22),"")</f>
        <v>2</v>
      </c>
      <c r="O58">
        <f ca="1">IF(AND(((COLUMN()-10)&lt;=playercnt),((ROW()-41)&lt;=playercnt)),SUMPRODUCT(INDIRECT(ADDRESS(3,ROW()-31,1)):INDIRECT(ADDRESS(22,ROW()-31,1)),O$3:O$22),"")</f>
        <v>6</v>
      </c>
      <c r="P58">
        <f ca="1">IF(AND(((COLUMN()-10)&lt;=playercnt),((ROW()-41)&lt;=playercnt)),SUMPRODUCT(INDIRECT(ADDRESS(3,ROW()-31,1)):INDIRECT(ADDRESS(22,ROW()-31,1)),P$3:P$22),"")</f>
        <v>3</v>
      </c>
      <c r="Q58">
        <f ca="1">IF(AND(((COLUMN()-10)&lt;=playercnt),((ROW()-41)&lt;=playercnt)),SUMPRODUCT(INDIRECT(ADDRESS(3,ROW()-31,1)):INDIRECT(ADDRESS(22,ROW()-31,1)),Q$3:Q$22),"")</f>
        <v>6</v>
      </c>
      <c r="R58">
        <f ca="1">IF(AND(((COLUMN()-10)&lt;=playercnt),((ROW()-41)&lt;=playercnt)),SUMPRODUCT(INDIRECT(ADDRESS(3,ROW()-31,1)):INDIRECT(ADDRESS(22,ROW()-31,1)),R$3:R$22),"")</f>
        <v>4</v>
      </c>
      <c r="S58">
        <f ca="1">IF(AND(((COLUMN()-10)&lt;=playercnt),((ROW()-41)&lt;=playercnt)),SUMPRODUCT(INDIRECT(ADDRESS(3,ROW()-31,1)):INDIRECT(ADDRESS(22,ROW()-31,1)),S$3:S$22),"")</f>
        <v>6</v>
      </c>
      <c r="T58">
        <f ca="1">IF(AND(((COLUMN()-10)&lt;=playercnt),((ROW()-41)&lt;=playercnt)),SUMPRODUCT(INDIRECT(ADDRESS(3,ROW()-31,1)):INDIRECT(ADDRESS(22,ROW()-31,1)),T$3:T$22),"")</f>
        <v>5</v>
      </c>
      <c r="U58">
        <f ca="1">IF(AND(((COLUMN()-10)&lt;=playercnt),((ROW()-41)&lt;=playercnt)),SUMPRODUCT(INDIRECT(ADDRESS(3,ROW()-31,1)):INDIRECT(ADDRESS(22,ROW()-31,1)),U$3:U$22),"")</f>
        <v>4</v>
      </c>
      <c r="V58">
        <f ca="1">IF(AND(((COLUMN()-10)&lt;=playercnt),((ROW()-41)&lt;=playercnt)),SUMPRODUCT(INDIRECT(ADDRESS(3,ROW()-31,1)):INDIRECT(ADDRESS(22,ROW()-31,1)),V$3:V$22),"")</f>
        <v>6</v>
      </c>
      <c r="W58">
        <f ca="1">IF(AND(((COLUMN()-10)&lt;=playercnt),((ROW()-41)&lt;=playercnt)),SUMPRODUCT(INDIRECT(ADDRESS(3,ROW()-31,1)):INDIRECT(ADDRESS(22,ROW()-31,1)),W$3:W$22),"")</f>
        <v>8</v>
      </c>
      <c r="X58">
        <f ca="1">IF(AND(((COLUMN()-10)&lt;=playercnt),((ROW()-41)&lt;=playercnt)),SUMPRODUCT(INDIRECT(ADDRESS(3,ROW()-31,1)):INDIRECT(ADDRESS(22,ROW()-31,1)),X$3:X$22),"")</f>
        <v>7</v>
      </c>
      <c r="Y58">
        <f ca="1">IF(AND(((COLUMN()-10)&lt;=playercnt),((ROW()-41)&lt;=playercnt)),SUMPRODUCT(INDIRECT(ADDRESS(3,ROW()-31,1)):INDIRECT(ADDRESS(22,ROW()-31,1)),Y$3:Y$22),"")</f>
        <v>4</v>
      </c>
      <c r="Z58">
        <f ca="1">IF(AND(((COLUMN()-10)&lt;=playercnt),((ROW()-41)&lt;=playercnt)),SUMPRODUCT(INDIRECT(ADDRESS(3,ROW()-31,1)):INDIRECT(ADDRESS(22,ROW()-31,1)),Z$3:Z$22),"")</f>
        <v>7</v>
      </c>
      <c r="AA58">
        <f ca="1">IF(AND(((COLUMN()-10)&lt;=playercnt),((ROW()-41)&lt;=playercnt)),SUMPRODUCT(INDIRECT(ADDRESS(3,ROW()-31,1)):INDIRECT(ADDRESS(22,ROW()-31,1)),AA$3:AA$22),"")</f>
        <v>10</v>
      </c>
      <c r="AB58">
        <f ca="1">IF(AND(((COLUMN()-10)&lt;=playercnt),((ROW()-41)&lt;=playercnt)),SUMPRODUCT(INDIRECT(ADDRESS(3,ROW()-31,1)):INDIRECT(ADDRESS(22,ROW()-31,1)),AB$3:AB$22),"")</f>
        <v>5</v>
      </c>
      <c r="AC58">
        <f ca="1">IF(AND(((COLUMN()-10)&lt;=playercnt),((ROW()-41)&lt;=playercnt)),SUMPRODUCT(INDIRECT(ADDRESS(3,ROW()-31,1)):INDIRECT(ADDRESS(22,ROW()-31,1)),AC$3:AC$22),"")</f>
        <v>6</v>
      </c>
      <c r="AD58">
        <f ca="1">IF(AND(((COLUMN()-10)&lt;=playercnt),((ROW()-41)&lt;=playercnt)),SUMPRODUCT(INDIRECT(ADDRESS(3,ROW()-31,1)):INDIRECT(ADDRESS(22,ROW()-31,1)),AD$3:AD$22),"")</f>
        <v>6</v>
      </c>
      <c r="AE58">
        <f ca="1">IF(AND(((COLUMN()-10)&lt;=playercnt),((ROW()-41)&lt;=playercnt)),SUMPRODUCT(INDIRECT(ADDRESS(3,ROW()-31,1)):INDIRECT(ADDRESS(22,ROW()-31,1)),AE$3:AE$22),"")</f>
        <v>6</v>
      </c>
      <c r="AF58">
        <f ca="1">IF(AND(((COLUMN()-10)&lt;=playercnt),((ROW()-41)&lt;=playercnt)),SUMPRODUCT(INDIRECT(ADDRESS(3,ROW()-31,1)):INDIRECT(ADDRESS(22,ROW()-31,1)),AF$3:AF$22),"")</f>
        <v>9</v>
      </c>
      <c r="AG58">
        <f ca="1">IF(AND(((COLUMN()-10)&lt;=playercnt),((ROW()-41)&lt;=playercnt)),SUMPRODUCT(INDIRECT(ADDRESS(3,ROW()-31,1)):INDIRECT(ADDRESS(22,ROW()-31,1)),AG$3:AG$22),"")</f>
        <v>7</v>
      </c>
      <c r="AH58">
        <f ca="1">IF(AND(((COLUMN()-10)&lt;=playercnt),((ROW()-41)&lt;=playercnt)),SUMPRODUCT(INDIRECT(ADDRESS(3,ROW()-31,1)):INDIRECT(ADDRESS(22,ROW()-31,1)),AH$3:AH$22),"")</f>
        <v>4</v>
      </c>
      <c r="AI58">
        <f ca="1">IF(AND(((COLUMN()-10)&lt;=playercnt),((ROW()-41)&lt;=playercnt)),SUMPRODUCT(INDIRECT(ADDRESS(3,ROW()-31,1)):INDIRECT(ADDRESS(22,ROW()-31,1)),AI$3:AI$22),"")</f>
        <v>8</v>
      </c>
      <c r="AJ58">
        <f ca="1">IF(AND(((COLUMN()-10)&lt;=playercnt),((ROW()-41)&lt;=playercnt)),SUMPRODUCT(INDIRECT(ADDRESS(3,ROW()-31,1)):INDIRECT(ADDRESS(22,ROW()-31,1)),AJ$3:AJ$22),"")</f>
        <v>6</v>
      </c>
      <c r="AK58">
        <f ca="1">IF(AND(((COLUMN()-10)&lt;=playercnt),((ROW()-41)&lt;=playercnt)),SUMPRODUCT(INDIRECT(ADDRESS(3,ROW()-31,1)):INDIRECT(ADDRESS(22,ROW()-31,1)),AK$3:AK$22),"")</f>
        <v>0</v>
      </c>
      <c r="AL58">
        <f ca="1">IF(AND(((COLUMN()-10)&lt;=playercnt),((ROW()-41)&lt;=playercnt)),SUMPRODUCT(INDIRECT(ADDRESS(3,ROW()-31,1)):INDIRECT(ADDRESS(22,ROW()-31,1)),AL$3:AL$22),"")</f>
        <v>5</v>
      </c>
      <c r="AM58">
        <f ca="1">IF(AND(((COLUMN()-10)&lt;=playercnt),((ROW()-41)&lt;=playercnt)),SUMPRODUCT(INDIRECT(ADDRESS(3,ROW()-31,1)):INDIRECT(ADDRESS(22,ROW()-31,1)),AM$3:AM$22),"")</f>
        <v>4</v>
      </c>
      <c r="AN58">
        <f ca="1">IF(AND(((COLUMN()-10)&lt;=playercnt),((ROW()-41)&lt;=playercnt)),SUMPRODUCT(INDIRECT(ADDRESS(3,ROW()-31,1)):INDIRECT(ADDRESS(22,ROW()-31,1)),AN$3:AN$22),"")</f>
        <v>4</v>
      </c>
      <c r="AO58">
        <f ca="1">IF(AND(((COLUMN()-10)&lt;=playercnt),((ROW()-41)&lt;=playercnt)),SUMPRODUCT(INDIRECT(ADDRESS(3,ROW()-31,1)):INDIRECT(ADDRESS(22,ROW()-31,1)),AO$3:AO$22),"")</f>
        <v>6</v>
      </c>
      <c r="AP58">
        <f ca="1">IF(AND(((COLUMN()-10)&lt;=playercnt),((ROW()-41)&lt;=playercnt)),SUMPRODUCT(INDIRECT(ADDRESS(3,ROW()-31,1)):INDIRECT(ADDRESS(22,ROW()-31,1)),AP$3:AP$22),"")</f>
        <v>0</v>
      </c>
      <c r="AQ58">
        <f ca="1">IF(AND(((COLUMN()-10)&lt;=playercnt),((ROW()-41)&lt;=playercnt)),SUMPRODUCT(INDIRECT(ADDRESS(3,ROW()-31,1)):INDIRECT(ADDRESS(22,ROW()-31,1)),AQ$3:AQ$22),"")</f>
        <v>6</v>
      </c>
      <c r="AR58">
        <f ca="1">IF(AND(((COLUMN()-10)&lt;=playercnt),((ROW()-41)&lt;=playercnt)),SUMPRODUCT(INDIRECT(ADDRESS(3,ROW()-31,1)):INDIRECT(ADDRESS(22,ROW()-31,1)),AR$3:AR$22),"")</f>
        <v>5</v>
      </c>
      <c r="AS58">
        <f ca="1">IF(AND(((COLUMN()-10)&lt;=playercnt),((ROW()-41)&lt;=playercnt)),SUMPRODUCT(INDIRECT(ADDRESS(3,ROW()-31,1)):INDIRECT(ADDRESS(22,ROW()-31,1)),AS$3:AS$22),"")</f>
        <v>6</v>
      </c>
      <c r="AT58">
        <f ca="1">IF(AND(((COLUMN()-10)&lt;=playercnt),((ROW()-41)&lt;=playercnt)),SUMPRODUCT(INDIRECT(ADDRESS(3,ROW()-31,1)):INDIRECT(ADDRESS(22,ROW()-31,1)),AT$3:AT$22),"")</f>
        <v>4</v>
      </c>
      <c r="AU58">
        <f ca="1">IF(AND(((COLUMN()-10)&lt;=playercnt),((ROW()-41)&lt;=playercnt)),SUMPRODUCT(INDIRECT(ADDRESS(3,ROW()-31,1)):INDIRECT(ADDRESS(22,ROW()-31,1)),AU$3:AU$22),"")</f>
        <v>6</v>
      </c>
      <c r="AV58">
        <f ca="1">IF(AND(((COLUMN()-10)&lt;=playercnt),((ROW()-41)&lt;=playercnt)),SUMPRODUCT(INDIRECT(ADDRESS(3,ROW()-31,1)):INDIRECT(ADDRESS(22,ROW()-31,1)),AV$3:AV$22),"")</f>
        <v>4</v>
      </c>
      <c r="AW58">
        <f ca="1">IF(AND(((COLUMN()-10)&lt;=playercnt),((ROW()-41)&lt;=playercnt)),SUMPRODUCT(INDIRECT(ADDRESS(3,ROW()-31,1)):INDIRECT(ADDRESS(22,ROW()-31,1)),AW$3:AW$22),"")</f>
        <v>6</v>
      </c>
      <c r="AX58">
        <f ca="1">IF(AND(((COLUMN()-10)&lt;=playercnt),((ROW()-41)&lt;=playercnt)),SUMPRODUCT(INDIRECT(ADDRESS(3,ROW()-31,1)):INDIRECT(ADDRESS(22,ROW()-31,1)),AX$3:AX$22),"")</f>
        <v>5</v>
      </c>
      <c r="AY58">
        <f ca="1">IF(AND(((COLUMN()-10)&lt;=playercnt),((ROW()-41)&lt;=playercnt)),SUMPRODUCT(INDIRECT(ADDRESS(3,ROW()-31,1)):INDIRECT(ADDRESS(22,ROW()-31,1)),AY$3:AY$22),"")</f>
        <v>4</v>
      </c>
      <c r="AZ58">
        <f ca="1">IF(AND(((COLUMN()-10)&lt;=playercnt),((ROW()-41)&lt;=playercnt)),SUMPRODUCT(INDIRECT(ADDRESS(3,ROW()-31,1)):INDIRECT(ADDRESS(22,ROW()-31,1)),AZ$3:AZ$22),"")</f>
        <v>7</v>
      </c>
      <c r="BA58">
        <f ca="1">IF(AND(((COLUMN()-10)&lt;=playercnt),((ROW()-41)&lt;=playercnt)),SUMPRODUCT(INDIRECT(ADDRESS(3,ROW()-31,1)):INDIRECT(ADDRESS(22,ROW()-31,1)),BA$3:BA$22),"")</f>
        <v>5</v>
      </c>
      <c r="BB58">
        <f ca="1">IF(AND(((COLUMN()-10)&lt;=playercnt),((ROW()-41)&lt;=playercnt)),SUMPRODUCT(INDIRECT(ADDRESS(3,ROW()-31,1)):INDIRECT(ADDRESS(22,ROW()-31,1)),BB$3:BB$22),"")</f>
        <v>3</v>
      </c>
      <c r="BC58">
        <f ca="1">IF(AND(((COLUMN()-10)&lt;=playercnt),((ROW()-41)&lt;=playercnt)),SUMPRODUCT(INDIRECT(ADDRESS(3,ROW()-31,1)):INDIRECT(ADDRESS(22,ROW()-31,1)),BC$3:BC$22),"")</f>
        <v>5</v>
      </c>
      <c r="BD58">
        <f ca="1">IF(AND(((COLUMN()-10)&lt;=playercnt),((ROW()-41)&lt;=playercnt)),SUMPRODUCT(INDIRECT(ADDRESS(3,ROW()-31,1)):INDIRECT(ADDRESS(22,ROW()-31,1)),BD$3:BD$22),"")</f>
        <v>7</v>
      </c>
      <c r="BE58">
        <f ca="1">IF(AND(((COLUMN()-10)&lt;=playercnt),((ROW()-41)&lt;=playercnt)),SUMPRODUCT(INDIRECT(ADDRESS(3,ROW()-31,1)):INDIRECT(ADDRESS(22,ROW()-31,1)),BE$3:BE$22),"")</f>
        <v>6</v>
      </c>
      <c r="BF58">
        <f ca="1">IF(AND(((COLUMN()-10)&lt;=playercnt),((ROW()-41)&lt;=playercnt)),SUMPRODUCT(INDIRECT(ADDRESS(3,ROW()-31,1)):INDIRECT(ADDRESS(22,ROW()-31,1)),BF$3:BF$22),"")</f>
        <v>4</v>
      </c>
      <c r="BG58">
        <f ca="1">IF(AND(((COLUMN()-10)&lt;=playercnt),((ROW()-41)&lt;=playercnt)),SUMPRODUCT(INDIRECT(ADDRESS(3,ROW()-31,1)):INDIRECT(ADDRESS(22,ROW()-31,1)),BG$3:BG$22),"")</f>
        <v>6</v>
      </c>
      <c r="BH58">
        <f ca="1">IF(AND(((COLUMN()-10)&lt;=playercnt),((ROW()-41)&lt;=playercnt)),SUMPRODUCT(INDIRECT(ADDRESS(3,ROW()-31,1)):INDIRECT(ADDRESS(22,ROW()-31,1)),BH$3:BH$22),"")</f>
        <v>8</v>
      </c>
      <c r="BI58">
        <f ca="1">IF(AND(((COLUMN()-10)&lt;=playercnt),((ROW()-41)&lt;=playercnt)),SUMPRODUCT(INDIRECT(ADDRESS(3,ROW()-31,1)):INDIRECT(ADDRESS(22,ROW()-31,1)),BI$3:BI$22),"")</f>
        <v>4</v>
      </c>
      <c r="BJ58">
        <f ca="1">IF(AND(((COLUMN()-10)&lt;=playercnt),((ROW()-41)&lt;=playercnt)),SUMPRODUCT(INDIRECT(ADDRESS(3,ROW()-31,1)):INDIRECT(ADDRESS(22,ROW()-31,1)),BJ$3:BJ$22),"")</f>
        <v>8</v>
      </c>
      <c r="BK58">
        <f ca="1">IF(AND(((COLUMN()-10)&lt;=playercnt),((ROW()-41)&lt;=playercnt)),SUMPRODUCT(INDIRECT(ADDRESS(3,ROW()-31,1)):INDIRECT(ADDRESS(22,ROW()-31,1)),BK$3:BK$22),"")</f>
        <v>6</v>
      </c>
      <c r="BL58">
        <f ca="1">IF(AND(((COLUMN()-10)&lt;=playercnt),((ROW()-41)&lt;=playercnt)),SUMPRODUCT(INDIRECT(ADDRESS(3,ROW()-31,1)):INDIRECT(ADDRESS(22,ROW()-31,1)),BL$3:BL$22),"")</f>
        <v>5</v>
      </c>
      <c r="BM58">
        <f ca="1">IF(AND(((COLUMN()-10)&lt;=playercnt),((ROW()-41)&lt;=playercnt)),SUMPRODUCT(INDIRECT(ADDRESS(3,ROW()-31,1)):INDIRECT(ADDRESS(22,ROW()-31,1)),BM$3:BM$22),"")</f>
        <v>6</v>
      </c>
      <c r="BN58">
        <f ca="1">IF(AND(((COLUMN()-10)&lt;=playercnt),((ROW()-41)&lt;=playercnt)),SUMPRODUCT(INDIRECT(ADDRESS(3,ROW()-31,1)):INDIRECT(ADDRESS(22,ROW()-31,1)),BN$3:BN$22),"")</f>
        <v>5</v>
      </c>
    </row>
    <row r="59" spans="1:66" x14ac:dyDescent="0.2">
      <c r="B59" s="27">
        <f t="shared" ca="1" si="23"/>
        <v>5.1509433962264151</v>
      </c>
      <c r="C59" t="str">
        <f t="shared" ca="1" si="24"/>
        <v>Hendrick, Matt R</v>
      </c>
      <c r="G59">
        <f ca="1">IF(AND(((COLUMN()-10)&lt;=playercnt),((ROW()-41)&lt;=playercnt)),SUMPRODUCT(INDIRECT(ADDRESS(3,ROW()-31,1)):INDIRECT(ADDRESS(22,ROW()-31,1)),G$3:G$22),"")</f>
        <v>5</v>
      </c>
      <c r="H59">
        <f ca="1">IF(AND(((COLUMN()-10)&lt;=playercnt),((ROW()-41)&lt;=playercnt)),SUMPRODUCT(INDIRECT(ADDRESS(3,ROW()-31,1)):INDIRECT(ADDRESS(22,ROW()-31,1)),H$3:H$22),"")</f>
        <v>6</v>
      </c>
      <c r="I59">
        <f ca="1">IF(AND(((COLUMN()-10)&lt;=playercnt),((ROW()-41)&lt;=playercnt)),SUMPRODUCT(INDIRECT(ADDRESS(3,ROW()-31,1)):INDIRECT(ADDRESS(22,ROW()-31,1)),I$3:I$22),"")</f>
        <v>5.5</v>
      </c>
      <c r="J59">
        <f ca="1">IF(AND(((COLUMN()-10)&lt;=playercnt),((ROW()-41)&lt;=playercnt)),SUMPRODUCT(INDIRECT(ADDRESS(3,ROW()-31,1)):INDIRECT(ADDRESS(22,ROW()-31,1)),J$3:J$22),"")</f>
        <v>0</v>
      </c>
      <c r="K59">
        <f ca="1">IF(AND(((COLUMN()-10)&lt;=playercnt),((ROW()-41)&lt;=playercnt)),SUMPRODUCT(INDIRECT(ADDRESS(3,ROW()-31,1)):INDIRECT(ADDRESS(22,ROW()-31,1)),K$3:K$22),"")</f>
        <v>6</v>
      </c>
      <c r="L59">
        <f ca="1">IF(AND(((COLUMN()-10)&lt;=playercnt),((ROW()-41)&lt;=playercnt)),SUMPRODUCT(INDIRECT(ADDRESS(3,ROW()-31,1)):INDIRECT(ADDRESS(22,ROW()-31,1)),L$3:L$22),"")</f>
        <v>5</v>
      </c>
      <c r="M59">
        <f ca="1">IF(AND(((COLUMN()-10)&lt;=playercnt),((ROW()-41)&lt;=playercnt)),SUMPRODUCT(INDIRECT(ADDRESS(3,ROW()-31,1)):INDIRECT(ADDRESS(22,ROW()-31,1)),M$3:M$22),"")</f>
        <v>4</v>
      </c>
      <c r="N59">
        <f ca="1">IF(AND(((COLUMN()-10)&lt;=playercnt),((ROW()-41)&lt;=playercnt)),SUMPRODUCT(INDIRECT(ADDRESS(3,ROW()-31,1)):INDIRECT(ADDRESS(22,ROW()-31,1)),N$3:N$22),"")</f>
        <v>5</v>
      </c>
      <c r="O59">
        <f ca="1">IF(AND(((COLUMN()-10)&lt;=playercnt),((ROW()-41)&lt;=playercnt)),SUMPRODUCT(INDIRECT(ADDRESS(3,ROW()-31,1)):INDIRECT(ADDRESS(22,ROW()-31,1)),O$3:O$22),"")</f>
        <v>5</v>
      </c>
      <c r="P59">
        <f ca="1">IF(AND(((COLUMN()-10)&lt;=playercnt),((ROW()-41)&lt;=playercnt)),SUMPRODUCT(INDIRECT(ADDRESS(3,ROW()-31,1)):INDIRECT(ADDRESS(22,ROW()-31,1)),P$3:P$22),"")</f>
        <v>6</v>
      </c>
      <c r="Q59">
        <f ca="1">IF(AND(((COLUMN()-10)&lt;=playercnt),((ROW()-41)&lt;=playercnt)),SUMPRODUCT(INDIRECT(ADDRESS(3,ROW()-31,1)):INDIRECT(ADDRESS(22,ROW()-31,1)),Q$3:Q$22),"")</f>
        <v>5</v>
      </c>
      <c r="R59">
        <f ca="1">IF(AND(((COLUMN()-10)&lt;=playercnt),((ROW()-41)&lt;=playercnt)),SUMPRODUCT(INDIRECT(ADDRESS(3,ROW()-31,1)):INDIRECT(ADDRESS(22,ROW()-31,1)),R$3:R$22),"")</f>
        <v>5</v>
      </c>
      <c r="S59">
        <f ca="1">IF(AND(((COLUMN()-10)&lt;=playercnt),((ROW()-41)&lt;=playercnt)),SUMPRODUCT(INDIRECT(ADDRESS(3,ROW()-31,1)):INDIRECT(ADDRESS(22,ROW()-31,1)),S$3:S$22),"")</f>
        <v>3</v>
      </c>
      <c r="T59">
        <f ca="1">IF(AND(((COLUMN()-10)&lt;=playercnt),((ROW()-41)&lt;=playercnt)),SUMPRODUCT(INDIRECT(ADDRESS(3,ROW()-31,1)):INDIRECT(ADDRESS(22,ROW()-31,1)),T$3:T$22),"")</f>
        <v>4</v>
      </c>
      <c r="U59">
        <f ca="1">IF(AND(((COLUMN()-10)&lt;=playercnt),((ROW()-41)&lt;=playercnt)),SUMPRODUCT(INDIRECT(ADDRESS(3,ROW()-31,1)):INDIRECT(ADDRESS(22,ROW()-31,1)),U$3:U$22),"")</f>
        <v>5</v>
      </c>
      <c r="V59">
        <f ca="1">IF(AND(((COLUMN()-10)&lt;=playercnt),((ROW()-41)&lt;=playercnt)),SUMPRODUCT(INDIRECT(ADDRESS(3,ROW()-31,1)):INDIRECT(ADDRESS(22,ROW()-31,1)),V$3:V$22),"")</f>
        <v>7</v>
      </c>
      <c r="W59">
        <f ca="1">IF(AND(((COLUMN()-10)&lt;=playercnt),((ROW()-41)&lt;=playercnt)),SUMPRODUCT(INDIRECT(ADDRESS(3,ROW()-31,1)):INDIRECT(ADDRESS(22,ROW()-31,1)),W$3:W$22),"")</f>
        <v>5</v>
      </c>
      <c r="X59">
        <f ca="1">IF(AND(((COLUMN()-10)&lt;=playercnt),((ROW()-41)&lt;=playercnt)),SUMPRODUCT(INDIRECT(ADDRESS(3,ROW()-31,1)):INDIRECT(ADDRESS(22,ROW()-31,1)),X$3:X$22),"")</f>
        <v>6</v>
      </c>
      <c r="Y59">
        <f ca="1">IF(AND(((COLUMN()-10)&lt;=playercnt),((ROW()-41)&lt;=playercnt)),SUMPRODUCT(INDIRECT(ADDRESS(3,ROW()-31,1)):INDIRECT(ADDRESS(22,ROW()-31,1)),Y$3:Y$22),"")</f>
        <v>7</v>
      </c>
      <c r="Z59">
        <f ca="1">IF(AND(((COLUMN()-10)&lt;=playercnt),((ROW()-41)&lt;=playercnt)),SUMPRODUCT(INDIRECT(ADDRESS(3,ROW()-31,1)):INDIRECT(ADDRESS(22,ROW()-31,1)),Z$3:Z$22),"")</f>
        <v>6</v>
      </c>
      <c r="AA59">
        <f ca="1">IF(AND(((COLUMN()-10)&lt;=playercnt),((ROW()-41)&lt;=playercnt)),SUMPRODUCT(INDIRECT(ADDRESS(3,ROW()-31,1)):INDIRECT(ADDRESS(22,ROW()-31,1)),AA$3:AA$22),"")</f>
        <v>5</v>
      </c>
      <c r="AB59">
        <f ca="1">IF(AND(((COLUMN()-10)&lt;=playercnt),((ROW()-41)&lt;=playercnt)),SUMPRODUCT(INDIRECT(ADDRESS(3,ROW()-31,1)):INDIRECT(ADDRESS(22,ROW()-31,1)),AB$3:AB$22),"")</f>
        <v>10</v>
      </c>
      <c r="AC59">
        <f ca="1">IF(AND(((COLUMN()-10)&lt;=playercnt),((ROW()-41)&lt;=playercnt)),SUMPRODUCT(INDIRECT(ADDRESS(3,ROW()-31,1)):INDIRECT(ADDRESS(22,ROW()-31,1)),AC$3:AC$22),"")</f>
        <v>5</v>
      </c>
      <c r="AD59">
        <f ca="1">IF(AND(((COLUMN()-10)&lt;=playercnt),((ROW()-41)&lt;=playercnt)),SUMPRODUCT(INDIRECT(ADDRESS(3,ROW()-31,1)):INDIRECT(ADDRESS(22,ROW()-31,1)),AD$3:AD$22),"")</f>
        <v>7</v>
      </c>
      <c r="AE59">
        <f ca="1">IF(AND(((COLUMN()-10)&lt;=playercnt),((ROW()-41)&lt;=playercnt)),SUMPRODUCT(INDIRECT(ADDRESS(3,ROW()-31,1)):INDIRECT(ADDRESS(22,ROW()-31,1)),AE$3:AE$22),"")</f>
        <v>3</v>
      </c>
      <c r="AF59">
        <f ca="1">IF(AND(((COLUMN()-10)&lt;=playercnt),((ROW()-41)&lt;=playercnt)),SUMPRODUCT(INDIRECT(ADDRESS(3,ROW()-31,1)):INDIRECT(ADDRESS(22,ROW()-31,1)),AF$3:AF$22),"")</f>
        <v>4</v>
      </c>
      <c r="AG59">
        <f ca="1">IF(AND(((COLUMN()-10)&lt;=playercnt),((ROW()-41)&lt;=playercnt)),SUMPRODUCT(INDIRECT(ADDRESS(3,ROW()-31,1)):INDIRECT(ADDRESS(22,ROW()-31,1)),AG$3:AG$22),"")</f>
        <v>6</v>
      </c>
      <c r="AH59">
        <f ca="1">IF(AND(((COLUMN()-10)&lt;=playercnt),((ROW()-41)&lt;=playercnt)),SUMPRODUCT(INDIRECT(ADDRESS(3,ROW()-31,1)):INDIRECT(ADDRESS(22,ROW()-31,1)),AH$3:AH$22),"")</f>
        <v>5</v>
      </c>
      <c r="AI59">
        <f ca="1">IF(AND(((COLUMN()-10)&lt;=playercnt),((ROW()-41)&lt;=playercnt)),SUMPRODUCT(INDIRECT(ADDRESS(3,ROW()-31,1)):INDIRECT(ADDRESS(22,ROW()-31,1)),AI$3:AI$22),"")</f>
        <v>7</v>
      </c>
      <c r="AJ59">
        <f ca="1">IF(AND(((COLUMN()-10)&lt;=playercnt),((ROW()-41)&lt;=playercnt)),SUMPRODUCT(INDIRECT(ADDRESS(3,ROW()-31,1)):INDIRECT(ADDRESS(22,ROW()-31,1)),AJ$3:AJ$22),"")</f>
        <v>7</v>
      </c>
      <c r="AK59">
        <f ca="1">IF(AND(((COLUMN()-10)&lt;=playercnt),((ROW()-41)&lt;=playercnt)),SUMPRODUCT(INDIRECT(ADDRESS(3,ROW()-31,1)):INDIRECT(ADDRESS(22,ROW()-31,1)),AK$3:AK$22),"")</f>
        <v>0</v>
      </c>
      <c r="AL59">
        <f ca="1">IF(AND(((COLUMN()-10)&lt;=playercnt),((ROW()-41)&lt;=playercnt)),SUMPRODUCT(INDIRECT(ADDRESS(3,ROW()-31,1)):INDIRECT(ADDRESS(22,ROW()-31,1)),AL$3:AL$22),"")</f>
        <v>8</v>
      </c>
      <c r="AM59">
        <f ca="1">IF(AND(((COLUMN()-10)&lt;=playercnt),((ROW()-41)&lt;=playercnt)),SUMPRODUCT(INDIRECT(ADDRESS(3,ROW()-31,1)):INDIRECT(ADDRESS(22,ROW()-31,1)),AM$3:AM$22),"")</f>
        <v>7</v>
      </c>
      <c r="AN59">
        <f ca="1">IF(AND(((COLUMN()-10)&lt;=playercnt),((ROW()-41)&lt;=playercnt)),SUMPRODUCT(INDIRECT(ADDRESS(3,ROW()-31,1)):INDIRECT(ADDRESS(22,ROW()-31,1)),AN$3:AN$22),"")</f>
        <v>5</v>
      </c>
      <c r="AO59">
        <f ca="1">IF(AND(((COLUMN()-10)&lt;=playercnt),((ROW()-41)&lt;=playercnt)),SUMPRODUCT(INDIRECT(ADDRESS(3,ROW()-31,1)):INDIRECT(ADDRESS(22,ROW()-31,1)),AO$3:AO$22),"")</f>
        <v>3</v>
      </c>
      <c r="AP59">
        <f ca="1">IF(AND(((COLUMN()-10)&lt;=playercnt),((ROW()-41)&lt;=playercnt)),SUMPRODUCT(INDIRECT(ADDRESS(3,ROW()-31,1)):INDIRECT(ADDRESS(22,ROW()-31,1)),AP$3:AP$22),"")</f>
        <v>0</v>
      </c>
      <c r="AQ59">
        <f ca="1">IF(AND(((COLUMN()-10)&lt;=playercnt),((ROW()-41)&lt;=playercnt)),SUMPRODUCT(INDIRECT(ADDRESS(3,ROW()-31,1)):INDIRECT(ADDRESS(22,ROW()-31,1)),AQ$3:AQ$22),"")</f>
        <v>7</v>
      </c>
      <c r="AR59">
        <f ca="1">IF(AND(((COLUMN()-10)&lt;=playercnt),((ROW()-41)&lt;=playercnt)),SUMPRODUCT(INDIRECT(ADDRESS(3,ROW()-31,1)):INDIRECT(ADDRESS(22,ROW()-31,1)),AR$3:AR$22),"")</f>
        <v>4</v>
      </c>
      <c r="AS59">
        <f ca="1">IF(AND(((COLUMN()-10)&lt;=playercnt),((ROW()-41)&lt;=playercnt)),SUMPRODUCT(INDIRECT(ADDRESS(3,ROW()-31,1)):INDIRECT(ADDRESS(22,ROW()-31,1)),AS$3:AS$22),"")</f>
        <v>3</v>
      </c>
      <c r="AT59">
        <f ca="1">IF(AND(((COLUMN()-10)&lt;=playercnt),((ROW()-41)&lt;=playercnt)),SUMPRODUCT(INDIRECT(ADDRESS(3,ROW()-31,1)):INDIRECT(ADDRESS(22,ROW()-31,1)),AT$3:AT$22),"")</f>
        <v>7</v>
      </c>
      <c r="AU59">
        <f ca="1">IF(AND(((COLUMN()-10)&lt;=playercnt),((ROW()-41)&lt;=playercnt)),SUMPRODUCT(INDIRECT(ADDRESS(3,ROW()-31,1)):INDIRECT(ADDRESS(22,ROW()-31,1)),AU$3:AU$22),"")</f>
        <v>7</v>
      </c>
      <c r="AV59">
        <f ca="1">IF(AND(((COLUMN()-10)&lt;=playercnt),((ROW()-41)&lt;=playercnt)),SUMPRODUCT(INDIRECT(ADDRESS(3,ROW()-31,1)):INDIRECT(ADDRESS(22,ROW()-31,1)),AV$3:AV$22),"")</f>
        <v>5</v>
      </c>
      <c r="AW59">
        <f ca="1">IF(AND(((COLUMN()-10)&lt;=playercnt),((ROW()-41)&lt;=playercnt)),SUMPRODUCT(INDIRECT(ADDRESS(3,ROW()-31,1)):INDIRECT(ADDRESS(22,ROW()-31,1)),AW$3:AW$22),"")</f>
        <v>3</v>
      </c>
      <c r="AX59">
        <f ca="1">IF(AND(((COLUMN()-10)&lt;=playercnt),((ROW()-41)&lt;=playercnt)),SUMPRODUCT(INDIRECT(ADDRESS(3,ROW()-31,1)):INDIRECT(ADDRESS(22,ROW()-31,1)),AX$3:AX$22),"")</f>
        <v>4</v>
      </c>
      <c r="AY59">
        <f ca="1">IF(AND(((COLUMN()-10)&lt;=playercnt),((ROW()-41)&lt;=playercnt)),SUMPRODUCT(INDIRECT(ADDRESS(3,ROW()-31,1)):INDIRECT(ADDRESS(22,ROW()-31,1)),AY$3:AY$22),"")</f>
        <v>7</v>
      </c>
      <c r="AZ59">
        <f ca="1">IF(AND(((COLUMN()-10)&lt;=playercnt),((ROW()-41)&lt;=playercnt)),SUMPRODUCT(INDIRECT(ADDRESS(3,ROW()-31,1)):INDIRECT(ADDRESS(22,ROW()-31,1)),AZ$3:AZ$22),"")</f>
        <v>4</v>
      </c>
      <c r="BA59">
        <f ca="1">IF(AND(((COLUMN()-10)&lt;=playercnt),((ROW()-41)&lt;=playercnt)),SUMPRODUCT(INDIRECT(ADDRESS(3,ROW()-31,1)):INDIRECT(ADDRESS(22,ROW()-31,1)),BA$3:BA$22),"")</f>
        <v>4</v>
      </c>
      <c r="BB59">
        <f ca="1">IF(AND(((COLUMN()-10)&lt;=playercnt),((ROW()-41)&lt;=playercnt)),SUMPRODUCT(INDIRECT(ADDRESS(3,ROW()-31,1)):INDIRECT(ADDRESS(22,ROW()-31,1)),BB$3:BB$22),"")</f>
        <v>6</v>
      </c>
      <c r="BC59">
        <f ca="1">IF(AND(((COLUMN()-10)&lt;=playercnt),((ROW()-41)&lt;=playercnt)),SUMPRODUCT(INDIRECT(ADDRESS(3,ROW()-31,1)):INDIRECT(ADDRESS(22,ROW()-31,1)),BC$3:BC$22),"")</f>
        <v>6</v>
      </c>
      <c r="BD59">
        <f ca="1">IF(AND(((COLUMN()-10)&lt;=playercnt),((ROW()-41)&lt;=playercnt)),SUMPRODUCT(INDIRECT(ADDRESS(3,ROW()-31,1)):INDIRECT(ADDRESS(22,ROW()-31,1)),BD$3:BD$22),"")</f>
        <v>6</v>
      </c>
      <c r="BE59">
        <f ca="1">IF(AND(((COLUMN()-10)&lt;=playercnt),((ROW()-41)&lt;=playercnt)),SUMPRODUCT(INDIRECT(ADDRESS(3,ROW()-31,1)):INDIRECT(ADDRESS(22,ROW()-31,1)),BE$3:BE$22),"")</f>
        <v>5</v>
      </c>
      <c r="BF59">
        <f ca="1">IF(AND(((COLUMN()-10)&lt;=playercnt),((ROW()-41)&lt;=playercnt)),SUMPRODUCT(INDIRECT(ADDRESS(3,ROW()-31,1)):INDIRECT(ADDRESS(22,ROW()-31,1)),BF$3:BF$22),"")</f>
        <v>7</v>
      </c>
      <c r="BG59">
        <f ca="1">IF(AND(((COLUMN()-10)&lt;=playercnt),((ROW()-41)&lt;=playercnt)),SUMPRODUCT(INDIRECT(ADDRESS(3,ROW()-31,1)):INDIRECT(ADDRESS(22,ROW()-31,1)),BG$3:BG$22),"")</f>
        <v>3</v>
      </c>
      <c r="BH59">
        <f ca="1">IF(AND(((COLUMN()-10)&lt;=playercnt),((ROW()-41)&lt;=playercnt)),SUMPRODUCT(INDIRECT(ADDRESS(3,ROW()-31,1)):INDIRECT(ADDRESS(22,ROW()-31,1)),BH$3:BH$22),"")</f>
        <v>7</v>
      </c>
      <c r="BI59">
        <f ca="1">IF(AND(((COLUMN()-10)&lt;=playercnt),((ROW()-41)&lt;=playercnt)),SUMPRODUCT(INDIRECT(ADDRESS(3,ROW()-31,1)):INDIRECT(ADDRESS(22,ROW()-31,1)),BI$3:BI$22),"")</f>
        <v>5</v>
      </c>
      <c r="BJ59">
        <f ca="1">IF(AND(((COLUMN()-10)&lt;=playercnt),((ROW()-41)&lt;=playercnt)),SUMPRODUCT(INDIRECT(ADDRESS(3,ROW()-31,1)):INDIRECT(ADDRESS(22,ROW()-31,1)),BJ$3:BJ$22),"")</f>
        <v>3</v>
      </c>
      <c r="BK59">
        <f ca="1">IF(AND(((COLUMN()-10)&lt;=playercnt),((ROW()-41)&lt;=playercnt)),SUMPRODUCT(INDIRECT(ADDRESS(3,ROW()-31,1)):INDIRECT(ADDRESS(22,ROW()-31,1)),BK$3:BK$22),"")</f>
        <v>3</v>
      </c>
      <c r="BL59">
        <f ca="1">IF(AND(((COLUMN()-10)&lt;=playercnt),((ROW()-41)&lt;=playercnt)),SUMPRODUCT(INDIRECT(ADDRESS(3,ROW()-31,1)):INDIRECT(ADDRESS(22,ROW()-31,1)),BL$3:BL$22),"")</f>
        <v>2</v>
      </c>
      <c r="BM59">
        <f ca="1">IF(AND(((COLUMN()-10)&lt;=playercnt),((ROW()-41)&lt;=playercnt)),SUMPRODUCT(INDIRECT(ADDRESS(3,ROW()-31,1)):INDIRECT(ADDRESS(22,ROW()-31,1)),BM$3:BM$22),"")</f>
        <v>5</v>
      </c>
      <c r="BN59">
        <f ca="1">IF(AND(((COLUMN()-10)&lt;=playercnt),((ROW()-41)&lt;=playercnt)),SUMPRODUCT(INDIRECT(ADDRESS(3,ROW()-31,1)):INDIRECT(ADDRESS(22,ROW()-31,1)),BN$3:BN$22),"")</f>
        <v>4</v>
      </c>
    </row>
    <row r="60" spans="1:66" x14ac:dyDescent="0.2">
      <c r="B60" s="27">
        <f t="shared" ca="1" si="23"/>
        <v>5.9433962264150946</v>
      </c>
      <c r="C60" t="str">
        <f t="shared" ca="1" si="24"/>
        <v>Holden, Brent Remote</v>
      </c>
      <c r="G60">
        <f ca="1">IF(AND(((COLUMN()-10)&lt;=playercnt),((ROW()-41)&lt;=playercnt)),SUMPRODUCT(INDIRECT(ADDRESS(3,ROW()-31,1)):INDIRECT(ADDRESS(22,ROW()-31,1)),G$3:G$22),"")</f>
        <v>4</v>
      </c>
      <c r="H60">
        <f ca="1">IF(AND(((COLUMN()-10)&lt;=playercnt),((ROW()-41)&lt;=playercnt)),SUMPRODUCT(INDIRECT(ADDRESS(3,ROW()-31,1)):INDIRECT(ADDRESS(22,ROW()-31,1)),H$3:H$22),"")</f>
        <v>7</v>
      </c>
      <c r="I60">
        <f ca="1">IF(AND(((COLUMN()-10)&lt;=playercnt),((ROW()-41)&lt;=playercnt)),SUMPRODUCT(INDIRECT(ADDRESS(3,ROW()-31,1)):INDIRECT(ADDRESS(22,ROW()-31,1)),I$3:I$22),"")</f>
        <v>6.5</v>
      </c>
      <c r="J60">
        <f ca="1">IF(AND(((COLUMN()-10)&lt;=playercnt),((ROW()-41)&lt;=playercnt)),SUMPRODUCT(INDIRECT(ADDRESS(3,ROW()-31,1)):INDIRECT(ADDRESS(22,ROW()-31,1)),J$3:J$22),"")</f>
        <v>0</v>
      </c>
      <c r="K60">
        <f ca="1">IF(AND(((COLUMN()-10)&lt;=playercnt),((ROW()-41)&lt;=playercnt)),SUMPRODUCT(INDIRECT(ADDRESS(3,ROW()-31,1)):INDIRECT(ADDRESS(22,ROW()-31,1)),K$3:K$22),"")</f>
        <v>5</v>
      </c>
      <c r="L60">
        <f ca="1">IF(AND(((COLUMN()-10)&lt;=playercnt),((ROW()-41)&lt;=playercnt)),SUMPRODUCT(INDIRECT(ADDRESS(3,ROW()-31,1)):INDIRECT(ADDRESS(22,ROW()-31,1)),L$3:L$22),"")</f>
        <v>8</v>
      </c>
      <c r="M60">
        <f ca="1">IF(AND(((COLUMN()-10)&lt;=playercnt),((ROW()-41)&lt;=playercnt)),SUMPRODUCT(INDIRECT(ADDRESS(3,ROW()-31,1)):INDIRECT(ADDRESS(22,ROW()-31,1)),M$3:M$22),"")</f>
        <v>5</v>
      </c>
      <c r="N60">
        <f ca="1">IF(AND(((COLUMN()-10)&lt;=playercnt),((ROW()-41)&lt;=playercnt)),SUMPRODUCT(INDIRECT(ADDRESS(3,ROW()-31,1)):INDIRECT(ADDRESS(22,ROW()-31,1)),N$3:N$22),"")</f>
        <v>6</v>
      </c>
      <c r="O60">
        <f ca="1">IF(AND(((COLUMN()-10)&lt;=playercnt),((ROW()-41)&lt;=playercnt)),SUMPRODUCT(INDIRECT(ADDRESS(3,ROW()-31,1)):INDIRECT(ADDRESS(22,ROW()-31,1)),O$3:O$22),"")</f>
        <v>6</v>
      </c>
      <c r="P60">
        <f ca="1">IF(AND(((COLUMN()-10)&lt;=playercnt),((ROW()-41)&lt;=playercnt)),SUMPRODUCT(INDIRECT(ADDRESS(3,ROW()-31,1)):INDIRECT(ADDRESS(22,ROW()-31,1)),P$3:P$22),"")</f>
        <v>3</v>
      </c>
      <c r="Q60">
        <f ca="1">IF(AND(((COLUMN()-10)&lt;=playercnt),((ROW()-41)&lt;=playercnt)),SUMPRODUCT(INDIRECT(ADDRESS(3,ROW()-31,1)):INDIRECT(ADDRESS(22,ROW()-31,1)),Q$3:Q$22),"")</f>
        <v>4</v>
      </c>
      <c r="R60">
        <f ca="1">IF(AND(((COLUMN()-10)&lt;=playercnt),((ROW()-41)&lt;=playercnt)),SUMPRODUCT(INDIRECT(ADDRESS(3,ROW()-31,1)):INDIRECT(ADDRESS(22,ROW()-31,1)),R$3:R$22),"")</f>
        <v>6</v>
      </c>
      <c r="S60">
        <f ca="1">IF(AND(((COLUMN()-10)&lt;=playercnt),((ROW()-41)&lt;=playercnt)),SUMPRODUCT(INDIRECT(ADDRESS(3,ROW()-31,1)):INDIRECT(ADDRESS(22,ROW()-31,1)),S$3:S$22),"")</f>
        <v>8</v>
      </c>
      <c r="T60">
        <f ca="1">IF(AND(((COLUMN()-10)&lt;=playercnt),((ROW()-41)&lt;=playercnt)),SUMPRODUCT(INDIRECT(ADDRESS(3,ROW()-31,1)):INDIRECT(ADDRESS(22,ROW()-31,1)),T$3:T$22),"")</f>
        <v>3</v>
      </c>
      <c r="U60">
        <f ca="1">IF(AND(((COLUMN()-10)&lt;=playercnt),((ROW()-41)&lt;=playercnt)),SUMPRODUCT(INDIRECT(ADDRESS(3,ROW()-31,1)):INDIRECT(ADDRESS(22,ROW()-31,1)),U$3:U$22),"")</f>
        <v>8</v>
      </c>
      <c r="V60">
        <f ca="1">IF(AND(((COLUMN()-10)&lt;=playercnt),((ROW()-41)&lt;=playercnt)),SUMPRODUCT(INDIRECT(ADDRESS(3,ROW()-31,1)):INDIRECT(ADDRESS(22,ROW()-31,1)),V$3:V$22),"")</f>
        <v>4</v>
      </c>
      <c r="W60">
        <f ca="1">IF(AND(((COLUMN()-10)&lt;=playercnt),((ROW()-41)&lt;=playercnt)),SUMPRODUCT(INDIRECT(ADDRESS(3,ROW()-31,1)):INDIRECT(ADDRESS(22,ROW()-31,1)),W$3:W$22),"")</f>
        <v>8</v>
      </c>
      <c r="X60">
        <f ca="1">IF(AND(((COLUMN()-10)&lt;=playercnt),((ROW()-41)&lt;=playercnt)),SUMPRODUCT(INDIRECT(ADDRESS(3,ROW()-31,1)):INDIRECT(ADDRESS(22,ROW()-31,1)),X$3:X$22),"")</f>
        <v>3</v>
      </c>
      <c r="Y60">
        <f ca="1">IF(AND(((COLUMN()-10)&lt;=playercnt),((ROW()-41)&lt;=playercnt)),SUMPRODUCT(INDIRECT(ADDRESS(3,ROW()-31,1)):INDIRECT(ADDRESS(22,ROW()-31,1)),Y$3:Y$22),"")</f>
        <v>8</v>
      </c>
      <c r="Z60">
        <f ca="1">IF(AND(((COLUMN()-10)&lt;=playercnt),((ROW()-41)&lt;=playercnt)),SUMPRODUCT(INDIRECT(ADDRESS(3,ROW()-31,1)):INDIRECT(ADDRESS(22,ROW()-31,1)),Z$3:Z$22),"")</f>
        <v>5</v>
      </c>
      <c r="AA60">
        <f ca="1">IF(AND(((COLUMN()-10)&lt;=playercnt),((ROW()-41)&lt;=playercnt)),SUMPRODUCT(INDIRECT(ADDRESS(3,ROW()-31,1)):INDIRECT(ADDRESS(22,ROW()-31,1)),AA$3:AA$22),"")</f>
        <v>6</v>
      </c>
      <c r="AB60">
        <f ca="1">IF(AND(((COLUMN()-10)&lt;=playercnt),((ROW()-41)&lt;=playercnt)),SUMPRODUCT(INDIRECT(ADDRESS(3,ROW()-31,1)):INDIRECT(ADDRESS(22,ROW()-31,1)),AB$3:AB$22),"")</f>
        <v>5</v>
      </c>
      <c r="AC60">
        <f ca="1">IF(AND(((COLUMN()-10)&lt;=playercnt),((ROW()-41)&lt;=playercnt)),SUMPRODUCT(INDIRECT(ADDRESS(3,ROW()-31,1)):INDIRECT(ADDRESS(22,ROW()-31,1)),AC$3:AC$22),"")</f>
        <v>10</v>
      </c>
      <c r="AD60">
        <f ca="1">IF(AND(((COLUMN()-10)&lt;=playercnt),((ROW()-41)&lt;=playercnt)),SUMPRODUCT(INDIRECT(ADDRESS(3,ROW()-31,1)):INDIRECT(ADDRESS(22,ROW()-31,1)),AD$3:AD$22),"")</f>
        <v>6</v>
      </c>
      <c r="AE60">
        <f ca="1">IF(AND(((COLUMN()-10)&lt;=playercnt),((ROW()-41)&lt;=playercnt)),SUMPRODUCT(INDIRECT(ADDRESS(3,ROW()-31,1)):INDIRECT(ADDRESS(22,ROW()-31,1)),AE$3:AE$22),"")</f>
        <v>8</v>
      </c>
      <c r="AF60">
        <f ca="1">IF(AND(((COLUMN()-10)&lt;=playercnt),((ROW()-41)&lt;=playercnt)),SUMPRODUCT(INDIRECT(ADDRESS(3,ROW()-31,1)):INDIRECT(ADDRESS(22,ROW()-31,1)),AF$3:AF$22),"")</f>
        <v>5</v>
      </c>
      <c r="AG60">
        <f ca="1">IF(AND(((COLUMN()-10)&lt;=playercnt),((ROW()-41)&lt;=playercnt)),SUMPRODUCT(INDIRECT(ADDRESS(3,ROW()-31,1)):INDIRECT(ADDRESS(22,ROW()-31,1)),AG$3:AG$22),"")</f>
        <v>7</v>
      </c>
      <c r="AH60">
        <f ca="1">IF(AND(((COLUMN()-10)&lt;=playercnt),((ROW()-41)&lt;=playercnt)),SUMPRODUCT(INDIRECT(ADDRESS(3,ROW()-31,1)):INDIRECT(ADDRESS(22,ROW()-31,1)),AH$3:AH$22),"")</f>
        <v>6</v>
      </c>
      <c r="AI60">
        <f ca="1">IF(AND(((COLUMN()-10)&lt;=playercnt),((ROW()-41)&lt;=playercnt)),SUMPRODUCT(INDIRECT(ADDRESS(3,ROW()-31,1)):INDIRECT(ADDRESS(22,ROW()-31,1)),AI$3:AI$22),"")</f>
        <v>4</v>
      </c>
      <c r="AJ60">
        <f ca="1">IF(AND(((COLUMN()-10)&lt;=playercnt),((ROW()-41)&lt;=playercnt)),SUMPRODUCT(INDIRECT(ADDRESS(3,ROW()-31,1)):INDIRECT(ADDRESS(22,ROW()-31,1)),AJ$3:AJ$22),"")</f>
        <v>6</v>
      </c>
      <c r="AK60">
        <f ca="1">IF(AND(((COLUMN()-10)&lt;=playercnt),((ROW()-41)&lt;=playercnt)),SUMPRODUCT(INDIRECT(ADDRESS(3,ROW()-31,1)):INDIRECT(ADDRESS(22,ROW()-31,1)),AK$3:AK$22),"")</f>
        <v>0</v>
      </c>
      <c r="AL60">
        <f ca="1">IF(AND(((COLUMN()-10)&lt;=playercnt),((ROW()-41)&lt;=playercnt)),SUMPRODUCT(INDIRECT(ADDRESS(3,ROW()-31,1)):INDIRECT(ADDRESS(22,ROW()-31,1)),AL$3:AL$22),"")</f>
        <v>7</v>
      </c>
      <c r="AM60">
        <f ca="1">IF(AND(((COLUMN()-10)&lt;=playercnt),((ROW()-41)&lt;=playercnt)),SUMPRODUCT(INDIRECT(ADDRESS(3,ROW()-31,1)):INDIRECT(ADDRESS(22,ROW()-31,1)),AM$3:AM$22),"")</f>
        <v>6</v>
      </c>
      <c r="AN60">
        <f ca="1">IF(AND(((COLUMN()-10)&lt;=playercnt),((ROW()-41)&lt;=playercnt)),SUMPRODUCT(INDIRECT(ADDRESS(3,ROW()-31,1)):INDIRECT(ADDRESS(22,ROW()-31,1)),AN$3:AN$22),"")</f>
        <v>8</v>
      </c>
      <c r="AO60">
        <f ca="1">IF(AND(((COLUMN()-10)&lt;=playercnt),((ROW()-41)&lt;=playercnt)),SUMPRODUCT(INDIRECT(ADDRESS(3,ROW()-31,1)):INDIRECT(ADDRESS(22,ROW()-31,1)),AO$3:AO$22),"")</f>
        <v>6</v>
      </c>
      <c r="AP60">
        <f ca="1">IF(AND(((COLUMN()-10)&lt;=playercnt),((ROW()-41)&lt;=playercnt)),SUMPRODUCT(INDIRECT(ADDRESS(3,ROW()-31,1)):INDIRECT(ADDRESS(22,ROW()-31,1)),AP$3:AP$22),"")</f>
        <v>0</v>
      </c>
      <c r="AQ60">
        <f ca="1">IF(AND(((COLUMN()-10)&lt;=playercnt),((ROW()-41)&lt;=playercnt)),SUMPRODUCT(INDIRECT(ADDRESS(3,ROW()-31,1)):INDIRECT(ADDRESS(22,ROW()-31,1)),AQ$3:AQ$22),"")</f>
        <v>6</v>
      </c>
      <c r="AR60">
        <f ca="1">IF(AND(((COLUMN()-10)&lt;=playercnt),((ROW()-41)&lt;=playercnt)),SUMPRODUCT(INDIRECT(ADDRESS(3,ROW()-31,1)):INDIRECT(ADDRESS(22,ROW()-31,1)),AR$3:AR$22),"")</f>
        <v>5</v>
      </c>
      <c r="AS60">
        <f ca="1">IF(AND(((COLUMN()-10)&lt;=playercnt),((ROW()-41)&lt;=playercnt)),SUMPRODUCT(INDIRECT(ADDRESS(3,ROW()-31,1)):INDIRECT(ADDRESS(22,ROW()-31,1)),AS$3:AS$22),"")</f>
        <v>6</v>
      </c>
      <c r="AT60">
        <f ca="1">IF(AND(((COLUMN()-10)&lt;=playercnt),((ROW()-41)&lt;=playercnt)),SUMPRODUCT(INDIRECT(ADDRESS(3,ROW()-31,1)):INDIRECT(ADDRESS(22,ROW()-31,1)),AT$3:AT$22),"")</f>
        <v>4</v>
      </c>
      <c r="AU60">
        <f ca="1">IF(AND(((COLUMN()-10)&lt;=playercnt),((ROW()-41)&lt;=playercnt)),SUMPRODUCT(INDIRECT(ADDRESS(3,ROW()-31,1)):INDIRECT(ADDRESS(22,ROW()-31,1)),AU$3:AU$22),"")</f>
        <v>4</v>
      </c>
      <c r="AV60">
        <f ca="1">IF(AND(((COLUMN()-10)&lt;=playercnt),((ROW()-41)&lt;=playercnt)),SUMPRODUCT(INDIRECT(ADDRESS(3,ROW()-31,1)):INDIRECT(ADDRESS(22,ROW()-31,1)),AV$3:AV$22),"")</f>
        <v>8</v>
      </c>
      <c r="AW60">
        <f ca="1">IF(AND(((COLUMN()-10)&lt;=playercnt),((ROW()-41)&lt;=playercnt)),SUMPRODUCT(INDIRECT(ADDRESS(3,ROW()-31,1)):INDIRECT(ADDRESS(22,ROW()-31,1)),AW$3:AW$22),"")</f>
        <v>6</v>
      </c>
      <c r="AX60">
        <f ca="1">IF(AND(((COLUMN()-10)&lt;=playercnt),((ROW()-41)&lt;=playercnt)),SUMPRODUCT(INDIRECT(ADDRESS(3,ROW()-31,1)):INDIRECT(ADDRESS(22,ROW()-31,1)),AX$3:AX$22),"")</f>
        <v>5</v>
      </c>
      <c r="AY60">
        <f ca="1">IF(AND(((COLUMN()-10)&lt;=playercnt),((ROW()-41)&lt;=playercnt)),SUMPRODUCT(INDIRECT(ADDRESS(3,ROW()-31,1)):INDIRECT(ADDRESS(22,ROW()-31,1)),AY$3:AY$22),"")</f>
        <v>6</v>
      </c>
      <c r="AZ60">
        <f ca="1">IF(AND(((COLUMN()-10)&lt;=playercnt),((ROW()-41)&lt;=playercnt)),SUMPRODUCT(INDIRECT(ADDRESS(3,ROW()-31,1)):INDIRECT(ADDRESS(22,ROW()-31,1)),AZ$3:AZ$22),"")</f>
        <v>7</v>
      </c>
      <c r="BA60">
        <f ca="1">IF(AND(((COLUMN()-10)&lt;=playercnt),((ROW()-41)&lt;=playercnt)),SUMPRODUCT(INDIRECT(ADDRESS(3,ROW()-31,1)):INDIRECT(ADDRESS(22,ROW()-31,1)),BA$3:BA$22),"")</f>
        <v>7</v>
      </c>
      <c r="BB60">
        <f ca="1">IF(AND(((COLUMN()-10)&lt;=playercnt),((ROW()-41)&lt;=playercnt)),SUMPRODUCT(INDIRECT(ADDRESS(3,ROW()-31,1)):INDIRECT(ADDRESS(22,ROW()-31,1)),BB$3:BB$22),"")</f>
        <v>7</v>
      </c>
      <c r="BC60">
        <f ca="1">IF(AND(((COLUMN()-10)&lt;=playercnt),((ROW()-41)&lt;=playercnt)),SUMPRODUCT(INDIRECT(ADDRESS(3,ROW()-31,1)):INDIRECT(ADDRESS(22,ROW()-31,1)),BC$3:BC$22),"")</f>
        <v>7</v>
      </c>
      <c r="BD60">
        <f ca="1">IF(AND(((COLUMN()-10)&lt;=playercnt),((ROW()-41)&lt;=playercnt)),SUMPRODUCT(INDIRECT(ADDRESS(3,ROW()-31,1)):INDIRECT(ADDRESS(22,ROW()-31,1)),BD$3:BD$22),"")</f>
        <v>5</v>
      </c>
      <c r="BE60">
        <f ca="1">IF(AND(((COLUMN()-10)&lt;=playercnt),((ROW()-41)&lt;=playercnt)),SUMPRODUCT(INDIRECT(ADDRESS(3,ROW()-31,1)):INDIRECT(ADDRESS(22,ROW()-31,1)),BE$3:BE$22),"")</f>
        <v>4</v>
      </c>
      <c r="BF60">
        <f ca="1">IF(AND(((COLUMN()-10)&lt;=playercnt),((ROW()-41)&lt;=playercnt)),SUMPRODUCT(INDIRECT(ADDRESS(3,ROW()-31,1)):INDIRECT(ADDRESS(22,ROW()-31,1)),BF$3:BF$22),"")</f>
        <v>6</v>
      </c>
      <c r="BG60">
        <f ca="1">IF(AND(((COLUMN()-10)&lt;=playercnt),((ROW()-41)&lt;=playercnt)),SUMPRODUCT(INDIRECT(ADDRESS(3,ROW()-31,1)):INDIRECT(ADDRESS(22,ROW()-31,1)),BG$3:BG$22),"")</f>
        <v>4</v>
      </c>
      <c r="BH60">
        <f ca="1">IF(AND(((COLUMN()-10)&lt;=playercnt),((ROW()-41)&lt;=playercnt)),SUMPRODUCT(INDIRECT(ADDRESS(3,ROW()-31,1)):INDIRECT(ADDRESS(22,ROW()-31,1)),BH$3:BH$22),"")</f>
        <v>8</v>
      </c>
      <c r="BI60">
        <f ca="1">IF(AND(((COLUMN()-10)&lt;=playercnt),((ROW()-41)&lt;=playercnt)),SUMPRODUCT(INDIRECT(ADDRESS(3,ROW()-31,1)):INDIRECT(ADDRESS(22,ROW()-31,1)),BI$3:BI$22),"")</f>
        <v>8</v>
      </c>
      <c r="BJ60">
        <f ca="1">IF(AND(((COLUMN()-10)&lt;=playercnt),((ROW()-41)&lt;=playercnt)),SUMPRODUCT(INDIRECT(ADDRESS(3,ROW()-31,1)):INDIRECT(ADDRESS(22,ROW()-31,1)),BJ$3:BJ$22),"")</f>
        <v>6</v>
      </c>
      <c r="BK60">
        <f ca="1">IF(AND(((COLUMN()-10)&lt;=playercnt),((ROW()-41)&lt;=playercnt)),SUMPRODUCT(INDIRECT(ADDRESS(3,ROW()-31,1)):INDIRECT(ADDRESS(22,ROW()-31,1)),BK$3:BK$22),"")</f>
        <v>6</v>
      </c>
      <c r="BL60">
        <f ca="1">IF(AND(((COLUMN()-10)&lt;=playercnt),((ROW()-41)&lt;=playercnt)),SUMPRODUCT(INDIRECT(ADDRESS(3,ROW()-31,1)):INDIRECT(ADDRESS(22,ROW()-31,1)),BL$3:BL$22),"")</f>
        <v>5</v>
      </c>
      <c r="BM60">
        <f ca="1">IF(AND(((COLUMN()-10)&lt;=playercnt),((ROW()-41)&lt;=playercnt)),SUMPRODUCT(INDIRECT(ADDRESS(3,ROW()-31,1)):INDIRECT(ADDRESS(22,ROW()-31,1)),BM$3:BM$22),"")</f>
        <v>8</v>
      </c>
      <c r="BN60">
        <f ca="1">IF(AND(((COLUMN()-10)&lt;=playercnt),((ROW()-41)&lt;=playercnt)),SUMPRODUCT(INDIRECT(ADDRESS(3,ROW()-31,1)):INDIRECT(ADDRESS(22,ROW()-31,1)),BN$3:BN$22),"")</f>
        <v>7</v>
      </c>
    </row>
    <row r="61" spans="1:66" x14ac:dyDescent="0.2">
      <c r="B61" s="27">
        <f t="shared" ca="1" si="23"/>
        <v>5.4150943396226419</v>
      </c>
      <c r="C61" t="str">
        <f t="shared" ca="1" si="24"/>
        <v>Holley, Jeremy Remote</v>
      </c>
      <c r="G61">
        <f ca="1">IF(AND(((COLUMN()-10)&lt;=playercnt),((ROW()-41)&lt;=playercnt)),SUMPRODUCT(INDIRECT(ADDRESS(3,ROW()-31,1)):INDIRECT(ADDRESS(22,ROW()-31,1)),G$3:G$22),"")</f>
        <v>6</v>
      </c>
      <c r="H61">
        <f ca="1">IF(AND(((COLUMN()-10)&lt;=playercnt),((ROW()-41)&lt;=playercnt)),SUMPRODUCT(INDIRECT(ADDRESS(3,ROW()-31,1)):INDIRECT(ADDRESS(22,ROW()-31,1)),H$3:H$22),"")</f>
        <v>7</v>
      </c>
      <c r="I61">
        <f ca="1">IF(AND(((COLUMN()-10)&lt;=playercnt),((ROW()-41)&lt;=playercnt)),SUMPRODUCT(INDIRECT(ADDRESS(3,ROW()-31,1)):INDIRECT(ADDRESS(22,ROW()-31,1)),I$3:I$22),"")</f>
        <v>4.5</v>
      </c>
      <c r="J61">
        <f ca="1">IF(AND(((COLUMN()-10)&lt;=playercnt),((ROW()-41)&lt;=playercnt)),SUMPRODUCT(INDIRECT(ADDRESS(3,ROW()-31,1)):INDIRECT(ADDRESS(22,ROW()-31,1)),J$3:J$22),"")</f>
        <v>0</v>
      </c>
      <c r="K61">
        <f ca="1">IF(AND(((COLUMN()-10)&lt;=playercnt),((ROW()-41)&lt;=playercnt)),SUMPRODUCT(INDIRECT(ADDRESS(3,ROW()-31,1)):INDIRECT(ADDRESS(22,ROW()-31,1)),K$3:K$22),"")</f>
        <v>5</v>
      </c>
      <c r="L61">
        <f ca="1">IF(AND(((COLUMN()-10)&lt;=playercnt),((ROW()-41)&lt;=playercnt)),SUMPRODUCT(INDIRECT(ADDRESS(3,ROW()-31,1)):INDIRECT(ADDRESS(22,ROW()-31,1)),L$3:L$22),"")</f>
        <v>6</v>
      </c>
      <c r="M61">
        <f ca="1">IF(AND(((COLUMN()-10)&lt;=playercnt),((ROW()-41)&lt;=playercnt)),SUMPRODUCT(INDIRECT(ADDRESS(3,ROW()-31,1)):INDIRECT(ADDRESS(22,ROW()-31,1)),M$3:M$22),"")</f>
        <v>5</v>
      </c>
      <c r="N61">
        <f ca="1">IF(AND(((COLUMN()-10)&lt;=playercnt),((ROW()-41)&lt;=playercnt)),SUMPRODUCT(INDIRECT(ADDRESS(3,ROW()-31,1)):INDIRECT(ADDRESS(22,ROW()-31,1)),N$3:N$22),"")</f>
        <v>6</v>
      </c>
      <c r="O61">
        <f ca="1">IF(AND(((COLUMN()-10)&lt;=playercnt),((ROW()-41)&lt;=playercnt)),SUMPRODUCT(INDIRECT(ADDRESS(3,ROW()-31,1)):INDIRECT(ADDRESS(22,ROW()-31,1)),O$3:O$22),"")</f>
        <v>8</v>
      </c>
      <c r="P61">
        <f ca="1">IF(AND(((COLUMN()-10)&lt;=playercnt),((ROW()-41)&lt;=playercnt)),SUMPRODUCT(INDIRECT(ADDRESS(3,ROW()-31,1)):INDIRECT(ADDRESS(22,ROW()-31,1)),P$3:P$22),"")</f>
        <v>3</v>
      </c>
      <c r="Q61">
        <f ca="1">IF(AND(((COLUMN()-10)&lt;=playercnt),((ROW()-41)&lt;=playercnt)),SUMPRODUCT(INDIRECT(ADDRESS(3,ROW()-31,1)):INDIRECT(ADDRESS(22,ROW()-31,1)),Q$3:Q$22),"")</f>
        <v>6</v>
      </c>
      <c r="R61">
        <f ca="1">IF(AND(((COLUMN()-10)&lt;=playercnt),((ROW()-41)&lt;=playercnt)),SUMPRODUCT(INDIRECT(ADDRESS(3,ROW()-31,1)):INDIRECT(ADDRESS(22,ROW()-31,1)),R$3:R$22),"")</f>
        <v>6</v>
      </c>
      <c r="S61">
        <f ca="1">IF(AND(((COLUMN()-10)&lt;=playercnt),((ROW()-41)&lt;=playercnt)),SUMPRODUCT(INDIRECT(ADDRESS(3,ROW()-31,1)):INDIRECT(ADDRESS(22,ROW()-31,1)),S$3:S$22),"")</f>
        <v>4</v>
      </c>
      <c r="T61">
        <f ca="1">IF(AND(((COLUMN()-10)&lt;=playercnt),((ROW()-41)&lt;=playercnt)),SUMPRODUCT(INDIRECT(ADDRESS(3,ROW()-31,1)):INDIRECT(ADDRESS(22,ROW()-31,1)),T$3:T$22),"")</f>
        <v>5</v>
      </c>
      <c r="U61">
        <f ca="1">IF(AND(((COLUMN()-10)&lt;=playercnt),((ROW()-41)&lt;=playercnt)),SUMPRODUCT(INDIRECT(ADDRESS(3,ROW()-31,1)):INDIRECT(ADDRESS(22,ROW()-31,1)),U$3:U$22),"")</f>
        <v>6</v>
      </c>
      <c r="V61">
        <f ca="1">IF(AND(((COLUMN()-10)&lt;=playercnt),((ROW()-41)&lt;=playercnt)),SUMPRODUCT(INDIRECT(ADDRESS(3,ROW()-31,1)):INDIRECT(ADDRESS(22,ROW()-31,1)),V$3:V$22),"")</f>
        <v>4</v>
      </c>
      <c r="W61">
        <f ca="1">IF(AND(((COLUMN()-10)&lt;=playercnt),((ROW()-41)&lt;=playercnt)),SUMPRODUCT(INDIRECT(ADDRESS(3,ROW()-31,1)):INDIRECT(ADDRESS(22,ROW()-31,1)),W$3:W$22),"")</f>
        <v>4</v>
      </c>
      <c r="X61">
        <f ca="1">IF(AND(((COLUMN()-10)&lt;=playercnt),((ROW()-41)&lt;=playercnt)),SUMPRODUCT(INDIRECT(ADDRESS(3,ROW()-31,1)):INDIRECT(ADDRESS(22,ROW()-31,1)),X$3:X$22),"")</f>
        <v>5</v>
      </c>
      <c r="Y61">
        <f ca="1">IF(AND(((COLUMN()-10)&lt;=playercnt),((ROW()-41)&lt;=playercnt)),SUMPRODUCT(INDIRECT(ADDRESS(3,ROW()-31,1)):INDIRECT(ADDRESS(22,ROW()-31,1)),Y$3:Y$22),"")</f>
        <v>8</v>
      </c>
      <c r="Z61">
        <f ca="1">IF(AND(((COLUMN()-10)&lt;=playercnt),((ROW()-41)&lt;=playercnt)),SUMPRODUCT(INDIRECT(ADDRESS(3,ROW()-31,1)):INDIRECT(ADDRESS(22,ROW()-31,1)),Z$3:Z$22),"")</f>
        <v>5</v>
      </c>
      <c r="AA61">
        <f ca="1">IF(AND(((COLUMN()-10)&lt;=playercnt),((ROW()-41)&lt;=playercnt)),SUMPRODUCT(INDIRECT(ADDRESS(3,ROW()-31,1)):INDIRECT(ADDRESS(22,ROW()-31,1)),AA$3:AA$22),"")</f>
        <v>6</v>
      </c>
      <c r="AB61">
        <f ca="1">IF(AND(((COLUMN()-10)&lt;=playercnt),((ROW()-41)&lt;=playercnt)),SUMPRODUCT(INDIRECT(ADDRESS(3,ROW()-31,1)):INDIRECT(ADDRESS(22,ROW()-31,1)),AB$3:AB$22),"")</f>
        <v>7</v>
      </c>
      <c r="AC61">
        <f ca="1">IF(AND(((COLUMN()-10)&lt;=playercnt),((ROW()-41)&lt;=playercnt)),SUMPRODUCT(INDIRECT(ADDRESS(3,ROW()-31,1)):INDIRECT(ADDRESS(22,ROW()-31,1)),AC$3:AC$22),"")</f>
        <v>6</v>
      </c>
      <c r="AD61">
        <f ca="1">IF(AND(((COLUMN()-10)&lt;=playercnt),((ROW()-41)&lt;=playercnt)),SUMPRODUCT(INDIRECT(ADDRESS(3,ROW()-31,1)):INDIRECT(ADDRESS(22,ROW()-31,1)),AD$3:AD$22),"")</f>
        <v>10</v>
      </c>
      <c r="AE61">
        <f ca="1">IF(AND(((COLUMN()-10)&lt;=playercnt),((ROW()-41)&lt;=playercnt)),SUMPRODUCT(INDIRECT(ADDRESS(3,ROW()-31,1)):INDIRECT(ADDRESS(22,ROW()-31,1)),AE$3:AE$22),"")</f>
        <v>6</v>
      </c>
      <c r="AF61">
        <f ca="1">IF(AND(((COLUMN()-10)&lt;=playercnt),((ROW()-41)&lt;=playercnt)),SUMPRODUCT(INDIRECT(ADDRESS(3,ROW()-31,1)):INDIRECT(ADDRESS(22,ROW()-31,1)),AF$3:AF$22),"")</f>
        <v>5</v>
      </c>
      <c r="AG61">
        <f ca="1">IF(AND(((COLUMN()-10)&lt;=playercnt),((ROW()-41)&lt;=playercnt)),SUMPRODUCT(INDIRECT(ADDRESS(3,ROW()-31,1)):INDIRECT(ADDRESS(22,ROW()-31,1)),AG$3:AG$22),"")</f>
        <v>5</v>
      </c>
      <c r="AH61">
        <f ca="1">IF(AND(((COLUMN()-10)&lt;=playercnt),((ROW()-41)&lt;=playercnt)),SUMPRODUCT(INDIRECT(ADDRESS(3,ROW()-31,1)):INDIRECT(ADDRESS(22,ROW()-31,1)),AH$3:AH$22),"")</f>
        <v>4</v>
      </c>
      <c r="AI61">
        <f ca="1">IF(AND(((COLUMN()-10)&lt;=playercnt),((ROW()-41)&lt;=playercnt)),SUMPRODUCT(INDIRECT(ADDRESS(3,ROW()-31,1)):INDIRECT(ADDRESS(22,ROW()-31,1)),AI$3:AI$22),"")</f>
        <v>8</v>
      </c>
      <c r="AJ61">
        <f ca="1">IF(AND(((COLUMN()-10)&lt;=playercnt),((ROW()-41)&lt;=playercnt)),SUMPRODUCT(INDIRECT(ADDRESS(3,ROW()-31,1)):INDIRECT(ADDRESS(22,ROW()-31,1)),AJ$3:AJ$22),"")</f>
        <v>6</v>
      </c>
      <c r="AK61">
        <f ca="1">IF(AND(((COLUMN()-10)&lt;=playercnt),((ROW()-41)&lt;=playercnt)),SUMPRODUCT(INDIRECT(ADDRESS(3,ROW()-31,1)):INDIRECT(ADDRESS(22,ROW()-31,1)),AK$3:AK$22),"")</f>
        <v>0</v>
      </c>
      <c r="AL61">
        <f ca="1">IF(AND(((COLUMN()-10)&lt;=playercnt),((ROW()-41)&lt;=playercnt)),SUMPRODUCT(INDIRECT(ADDRESS(3,ROW()-31,1)):INDIRECT(ADDRESS(22,ROW()-31,1)),AL$3:AL$22),"")</f>
        <v>7</v>
      </c>
      <c r="AM61">
        <f ca="1">IF(AND(((COLUMN()-10)&lt;=playercnt),((ROW()-41)&lt;=playercnt)),SUMPRODUCT(INDIRECT(ADDRESS(3,ROW()-31,1)):INDIRECT(ADDRESS(22,ROW()-31,1)),AM$3:AM$22),"")</f>
        <v>4</v>
      </c>
      <c r="AN61">
        <f ca="1">IF(AND(((COLUMN()-10)&lt;=playercnt),((ROW()-41)&lt;=playercnt)),SUMPRODUCT(INDIRECT(ADDRESS(3,ROW()-31,1)):INDIRECT(ADDRESS(22,ROW()-31,1)),AN$3:AN$22),"")</f>
        <v>6</v>
      </c>
      <c r="AO61">
        <f ca="1">IF(AND(((COLUMN()-10)&lt;=playercnt),((ROW()-41)&lt;=playercnt)),SUMPRODUCT(INDIRECT(ADDRESS(3,ROW()-31,1)):INDIRECT(ADDRESS(22,ROW()-31,1)),AO$3:AO$22),"")</f>
        <v>6</v>
      </c>
      <c r="AP61">
        <f ca="1">IF(AND(((COLUMN()-10)&lt;=playercnt),((ROW()-41)&lt;=playercnt)),SUMPRODUCT(INDIRECT(ADDRESS(3,ROW()-31,1)):INDIRECT(ADDRESS(22,ROW()-31,1)),AP$3:AP$22),"")</f>
        <v>0</v>
      </c>
      <c r="AQ61">
        <f ca="1">IF(AND(((COLUMN()-10)&lt;=playercnt),((ROW()-41)&lt;=playercnt)),SUMPRODUCT(INDIRECT(ADDRESS(3,ROW()-31,1)):INDIRECT(ADDRESS(22,ROW()-31,1)),AQ$3:AQ$22),"")</f>
        <v>6</v>
      </c>
      <c r="AR61">
        <f ca="1">IF(AND(((COLUMN()-10)&lt;=playercnt),((ROW()-41)&lt;=playercnt)),SUMPRODUCT(INDIRECT(ADDRESS(3,ROW()-31,1)):INDIRECT(ADDRESS(22,ROW()-31,1)),AR$3:AR$22),"")</f>
        <v>3</v>
      </c>
      <c r="AS61">
        <f ca="1">IF(AND(((COLUMN()-10)&lt;=playercnt),((ROW()-41)&lt;=playercnt)),SUMPRODUCT(INDIRECT(ADDRESS(3,ROW()-31,1)):INDIRECT(ADDRESS(22,ROW()-31,1)),AS$3:AS$22),"")</f>
        <v>6</v>
      </c>
      <c r="AT61">
        <f ca="1">IF(AND(((COLUMN()-10)&lt;=playercnt),((ROW()-41)&lt;=playercnt)),SUMPRODUCT(INDIRECT(ADDRESS(3,ROW()-31,1)):INDIRECT(ADDRESS(22,ROW()-31,1)),AT$3:AT$22),"")</f>
        <v>6</v>
      </c>
      <c r="AU61">
        <f ca="1">IF(AND(((COLUMN()-10)&lt;=playercnt),((ROW()-41)&lt;=playercnt)),SUMPRODUCT(INDIRECT(ADDRESS(3,ROW()-31,1)):INDIRECT(ADDRESS(22,ROW()-31,1)),AU$3:AU$22),"")</f>
        <v>6</v>
      </c>
      <c r="AV61">
        <f ca="1">IF(AND(((COLUMN()-10)&lt;=playercnt),((ROW()-41)&lt;=playercnt)),SUMPRODUCT(INDIRECT(ADDRESS(3,ROW()-31,1)):INDIRECT(ADDRESS(22,ROW()-31,1)),AV$3:AV$22),"")</f>
        <v>6</v>
      </c>
      <c r="AW61">
        <f ca="1">IF(AND(((COLUMN()-10)&lt;=playercnt),((ROW()-41)&lt;=playercnt)),SUMPRODUCT(INDIRECT(ADDRESS(3,ROW()-31,1)):INDIRECT(ADDRESS(22,ROW()-31,1)),AW$3:AW$22),"")</f>
        <v>6</v>
      </c>
      <c r="AX61">
        <f ca="1">IF(AND(((COLUMN()-10)&lt;=playercnt),((ROW()-41)&lt;=playercnt)),SUMPRODUCT(INDIRECT(ADDRESS(3,ROW()-31,1)):INDIRECT(ADDRESS(22,ROW()-31,1)),AX$3:AX$22),"")</f>
        <v>3</v>
      </c>
      <c r="AY61">
        <f ca="1">IF(AND(((COLUMN()-10)&lt;=playercnt),((ROW()-41)&lt;=playercnt)),SUMPRODUCT(INDIRECT(ADDRESS(3,ROW()-31,1)):INDIRECT(ADDRESS(22,ROW()-31,1)),AY$3:AY$22),"")</f>
        <v>6</v>
      </c>
      <c r="AZ61">
        <f ca="1">IF(AND(((COLUMN()-10)&lt;=playercnt),((ROW()-41)&lt;=playercnt)),SUMPRODUCT(INDIRECT(ADDRESS(3,ROW()-31,1)):INDIRECT(ADDRESS(22,ROW()-31,1)),AZ$3:AZ$22),"")</f>
        <v>3</v>
      </c>
      <c r="BA61">
        <f ca="1">IF(AND(((COLUMN()-10)&lt;=playercnt),((ROW()-41)&lt;=playercnt)),SUMPRODUCT(INDIRECT(ADDRESS(3,ROW()-31,1)):INDIRECT(ADDRESS(22,ROW()-31,1)),BA$3:BA$22),"")</f>
        <v>5</v>
      </c>
      <c r="BB61">
        <f ca="1">IF(AND(((COLUMN()-10)&lt;=playercnt),((ROW()-41)&lt;=playercnt)),SUMPRODUCT(INDIRECT(ADDRESS(3,ROW()-31,1)):INDIRECT(ADDRESS(22,ROW()-31,1)),BB$3:BB$22),"")</f>
        <v>7</v>
      </c>
      <c r="BC61">
        <f ca="1">IF(AND(((COLUMN()-10)&lt;=playercnt),((ROW()-41)&lt;=playercnt)),SUMPRODUCT(INDIRECT(ADDRESS(3,ROW()-31,1)):INDIRECT(ADDRESS(22,ROW()-31,1)),BC$3:BC$22),"")</f>
        <v>7</v>
      </c>
      <c r="BD61">
        <f ca="1">IF(AND(((COLUMN()-10)&lt;=playercnt),((ROW()-41)&lt;=playercnt)),SUMPRODUCT(INDIRECT(ADDRESS(3,ROW()-31,1)):INDIRECT(ADDRESS(22,ROW()-31,1)),BD$3:BD$22),"")</f>
        <v>7</v>
      </c>
      <c r="BE61">
        <f ca="1">IF(AND(((COLUMN()-10)&lt;=playercnt),((ROW()-41)&lt;=playercnt)),SUMPRODUCT(INDIRECT(ADDRESS(3,ROW()-31,1)):INDIRECT(ADDRESS(22,ROW()-31,1)),BE$3:BE$22),"")</f>
        <v>6</v>
      </c>
      <c r="BF61">
        <f ca="1">IF(AND(((COLUMN()-10)&lt;=playercnt),((ROW()-41)&lt;=playercnt)),SUMPRODUCT(INDIRECT(ADDRESS(3,ROW()-31,1)):INDIRECT(ADDRESS(22,ROW()-31,1)),BF$3:BF$22),"")</f>
        <v>4</v>
      </c>
      <c r="BG61">
        <f ca="1">IF(AND(((COLUMN()-10)&lt;=playercnt),((ROW()-41)&lt;=playercnt)),SUMPRODUCT(INDIRECT(ADDRESS(3,ROW()-31,1)):INDIRECT(ADDRESS(22,ROW()-31,1)),BG$3:BG$22),"")</f>
        <v>4</v>
      </c>
      <c r="BH61">
        <f ca="1">IF(AND(((COLUMN()-10)&lt;=playercnt),((ROW()-41)&lt;=playercnt)),SUMPRODUCT(INDIRECT(ADDRESS(3,ROW()-31,1)):INDIRECT(ADDRESS(22,ROW()-31,1)),BH$3:BH$22),"")</f>
        <v>6</v>
      </c>
      <c r="BI61">
        <f ca="1">IF(AND(((COLUMN()-10)&lt;=playercnt),((ROW()-41)&lt;=playercnt)),SUMPRODUCT(INDIRECT(ADDRESS(3,ROW()-31,1)):INDIRECT(ADDRESS(22,ROW()-31,1)),BI$3:BI$22),"")</f>
        <v>6</v>
      </c>
      <c r="BJ61">
        <f ca="1">IF(AND(((COLUMN()-10)&lt;=playercnt),((ROW()-41)&lt;=playercnt)),SUMPRODUCT(INDIRECT(ADDRESS(3,ROW()-31,1)):INDIRECT(ADDRESS(22,ROW()-31,1)),BJ$3:BJ$22),"")</f>
        <v>4</v>
      </c>
      <c r="BK61">
        <f ca="1">IF(AND(((COLUMN()-10)&lt;=playercnt),((ROW()-41)&lt;=playercnt)),SUMPRODUCT(INDIRECT(ADDRESS(3,ROW()-31,1)):INDIRECT(ADDRESS(22,ROW()-31,1)),BK$3:BK$22),"")</f>
        <v>4</v>
      </c>
      <c r="BL61">
        <f ca="1">IF(AND(((COLUMN()-10)&lt;=playercnt),((ROW()-41)&lt;=playercnt)),SUMPRODUCT(INDIRECT(ADDRESS(3,ROW()-31,1)):INDIRECT(ADDRESS(22,ROW()-31,1)),BL$3:BL$22),"")</f>
        <v>5</v>
      </c>
      <c r="BM61">
        <f ca="1">IF(AND(((COLUMN()-10)&lt;=playercnt),((ROW()-41)&lt;=playercnt)),SUMPRODUCT(INDIRECT(ADDRESS(3,ROW()-31,1)):INDIRECT(ADDRESS(22,ROW()-31,1)),BM$3:BM$22),"")</f>
        <v>4</v>
      </c>
      <c r="BN61">
        <f ca="1">IF(AND(((COLUMN()-10)&lt;=playercnt),((ROW()-41)&lt;=playercnt)),SUMPRODUCT(INDIRECT(ADDRESS(3,ROW()-31,1)):INDIRECT(ADDRESS(22,ROW()-31,1)),BN$3:BN$22),"")</f>
        <v>5</v>
      </c>
    </row>
    <row r="62" spans="1:66" x14ac:dyDescent="0.2">
      <c r="B62" s="27">
        <f t="shared" ca="1" si="23"/>
        <v>6.0943396226415096</v>
      </c>
      <c r="C62" t="str">
        <f t="shared" ca="1" si="24"/>
        <v>Inabinet, Gregory</v>
      </c>
      <c r="G62">
        <f ca="1">IF(AND(((COLUMN()-10)&lt;=playercnt),((ROW()-41)&lt;=playercnt)),SUMPRODUCT(INDIRECT(ADDRESS(3,ROW()-31,1)):INDIRECT(ADDRESS(22,ROW()-31,1)),G$3:G$22),"")</f>
        <v>4</v>
      </c>
      <c r="H62">
        <f ca="1">IF(AND(((COLUMN()-10)&lt;=playercnt),((ROW()-41)&lt;=playercnt)),SUMPRODUCT(INDIRECT(ADDRESS(3,ROW()-31,1)):INDIRECT(ADDRESS(22,ROW()-31,1)),H$3:H$22),"")</f>
        <v>7</v>
      </c>
      <c r="I62">
        <f ca="1">IF(AND(((COLUMN()-10)&lt;=playercnt),((ROW()-41)&lt;=playercnt)),SUMPRODUCT(INDIRECT(ADDRESS(3,ROW()-31,1)):INDIRECT(ADDRESS(22,ROW()-31,1)),I$3:I$22),"")</f>
        <v>6.5</v>
      </c>
      <c r="J62">
        <f ca="1">IF(AND(((COLUMN()-10)&lt;=playercnt),((ROW()-41)&lt;=playercnt)),SUMPRODUCT(INDIRECT(ADDRESS(3,ROW()-31,1)):INDIRECT(ADDRESS(22,ROW()-31,1)),J$3:J$22),"")</f>
        <v>0</v>
      </c>
      <c r="K62">
        <f ca="1">IF(AND(((COLUMN()-10)&lt;=playercnt),((ROW()-41)&lt;=playercnt)),SUMPRODUCT(INDIRECT(ADDRESS(3,ROW()-31,1)):INDIRECT(ADDRESS(22,ROW()-31,1)),K$3:K$22),"")</f>
        <v>5</v>
      </c>
      <c r="L62">
        <f ca="1">IF(AND(((COLUMN()-10)&lt;=playercnt),((ROW()-41)&lt;=playercnt)),SUMPRODUCT(INDIRECT(ADDRESS(3,ROW()-31,1)):INDIRECT(ADDRESS(22,ROW()-31,1)),L$3:L$22),"")</f>
        <v>8</v>
      </c>
      <c r="M62">
        <f ca="1">IF(AND(((COLUMN()-10)&lt;=playercnt),((ROW()-41)&lt;=playercnt)),SUMPRODUCT(INDIRECT(ADDRESS(3,ROW()-31,1)):INDIRECT(ADDRESS(22,ROW()-31,1)),M$3:M$22),"")</f>
        <v>7</v>
      </c>
      <c r="N62">
        <f ca="1">IF(AND(((COLUMN()-10)&lt;=playercnt),((ROW()-41)&lt;=playercnt)),SUMPRODUCT(INDIRECT(ADDRESS(3,ROW()-31,1)):INDIRECT(ADDRESS(22,ROW()-31,1)),N$3:N$22),"")</f>
        <v>6</v>
      </c>
      <c r="O62">
        <f ca="1">IF(AND(((COLUMN()-10)&lt;=playercnt),((ROW()-41)&lt;=playercnt)),SUMPRODUCT(INDIRECT(ADDRESS(3,ROW()-31,1)):INDIRECT(ADDRESS(22,ROW()-31,1)),O$3:O$22),"")</f>
        <v>6</v>
      </c>
      <c r="P62">
        <f ca="1">IF(AND(((COLUMN()-10)&lt;=playercnt),((ROW()-41)&lt;=playercnt)),SUMPRODUCT(INDIRECT(ADDRESS(3,ROW()-31,1)):INDIRECT(ADDRESS(22,ROW()-31,1)),P$3:P$22),"")</f>
        <v>3</v>
      </c>
      <c r="Q62">
        <f ca="1">IF(AND(((COLUMN()-10)&lt;=playercnt),((ROW()-41)&lt;=playercnt)),SUMPRODUCT(INDIRECT(ADDRESS(3,ROW()-31,1)):INDIRECT(ADDRESS(22,ROW()-31,1)),Q$3:Q$22),"")</f>
        <v>6</v>
      </c>
      <c r="R62">
        <f ca="1">IF(AND(((COLUMN()-10)&lt;=playercnt),((ROW()-41)&lt;=playercnt)),SUMPRODUCT(INDIRECT(ADDRESS(3,ROW()-31,1)):INDIRECT(ADDRESS(22,ROW()-31,1)),R$3:R$22),"")</f>
        <v>6</v>
      </c>
      <c r="S62">
        <f ca="1">IF(AND(((COLUMN()-10)&lt;=playercnt),((ROW()-41)&lt;=playercnt)),SUMPRODUCT(INDIRECT(ADDRESS(3,ROW()-31,1)):INDIRECT(ADDRESS(22,ROW()-31,1)),S$3:S$22),"")</f>
        <v>8</v>
      </c>
      <c r="T62">
        <f ca="1">IF(AND(((COLUMN()-10)&lt;=playercnt),((ROW()-41)&lt;=playercnt)),SUMPRODUCT(INDIRECT(ADDRESS(3,ROW()-31,1)):INDIRECT(ADDRESS(22,ROW()-31,1)),T$3:T$22),"")</f>
        <v>5</v>
      </c>
      <c r="U62">
        <f ca="1">IF(AND(((COLUMN()-10)&lt;=playercnt),((ROW()-41)&lt;=playercnt)),SUMPRODUCT(INDIRECT(ADDRESS(3,ROW()-31,1)):INDIRECT(ADDRESS(22,ROW()-31,1)),U$3:U$22),"")</f>
        <v>8</v>
      </c>
      <c r="V62">
        <f ca="1">IF(AND(((COLUMN()-10)&lt;=playercnt),((ROW()-41)&lt;=playercnt)),SUMPRODUCT(INDIRECT(ADDRESS(3,ROW()-31,1)):INDIRECT(ADDRESS(22,ROW()-31,1)),V$3:V$22),"")</f>
        <v>4</v>
      </c>
      <c r="W62">
        <f ca="1">IF(AND(((COLUMN()-10)&lt;=playercnt),((ROW()-41)&lt;=playercnt)),SUMPRODUCT(INDIRECT(ADDRESS(3,ROW()-31,1)):INDIRECT(ADDRESS(22,ROW()-31,1)),W$3:W$22),"")</f>
        <v>6</v>
      </c>
      <c r="X62">
        <f ca="1">IF(AND(((COLUMN()-10)&lt;=playercnt),((ROW()-41)&lt;=playercnt)),SUMPRODUCT(INDIRECT(ADDRESS(3,ROW()-31,1)):INDIRECT(ADDRESS(22,ROW()-31,1)),X$3:X$22),"")</f>
        <v>5</v>
      </c>
      <c r="Y62">
        <f ca="1">IF(AND(((COLUMN()-10)&lt;=playercnt),((ROW()-41)&lt;=playercnt)),SUMPRODUCT(INDIRECT(ADDRESS(3,ROW()-31,1)):INDIRECT(ADDRESS(22,ROW()-31,1)),Y$3:Y$22),"")</f>
        <v>6</v>
      </c>
      <c r="Z62">
        <f ca="1">IF(AND(((COLUMN()-10)&lt;=playercnt),((ROW()-41)&lt;=playercnt)),SUMPRODUCT(INDIRECT(ADDRESS(3,ROW()-31,1)):INDIRECT(ADDRESS(22,ROW()-31,1)),Z$3:Z$22),"")</f>
        <v>5</v>
      </c>
      <c r="AA62">
        <f ca="1">IF(AND(((COLUMN()-10)&lt;=playercnt),((ROW()-41)&lt;=playercnt)),SUMPRODUCT(INDIRECT(ADDRESS(3,ROW()-31,1)):INDIRECT(ADDRESS(22,ROW()-31,1)),AA$3:AA$22),"")</f>
        <v>6</v>
      </c>
      <c r="AB62">
        <f ca="1">IF(AND(((COLUMN()-10)&lt;=playercnt),((ROW()-41)&lt;=playercnt)),SUMPRODUCT(INDIRECT(ADDRESS(3,ROW()-31,1)):INDIRECT(ADDRESS(22,ROW()-31,1)),AB$3:AB$22),"")</f>
        <v>3</v>
      </c>
      <c r="AC62">
        <f ca="1">IF(AND(((COLUMN()-10)&lt;=playercnt),((ROW()-41)&lt;=playercnt)),SUMPRODUCT(INDIRECT(ADDRESS(3,ROW()-31,1)):INDIRECT(ADDRESS(22,ROW()-31,1)),AC$3:AC$22),"")</f>
        <v>8</v>
      </c>
      <c r="AD62">
        <f ca="1">IF(AND(((COLUMN()-10)&lt;=playercnt),((ROW()-41)&lt;=playercnt)),SUMPRODUCT(INDIRECT(ADDRESS(3,ROW()-31,1)):INDIRECT(ADDRESS(22,ROW()-31,1)),AD$3:AD$22),"")</f>
        <v>6</v>
      </c>
      <c r="AE62">
        <f ca="1">IF(AND(((COLUMN()-10)&lt;=playercnt),((ROW()-41)&lt;=playercnt)),SUMPRODUCT(INDIRECT(ADDRESS(3,ROW()-31,1)):INDIRECT(ADDRESS(22,ROW()-31,1)),AE$3:AE$22),"")</f>
        <v>10</v>
      </c>
      <c r="AF62">
        <f ca="1">IF(AND(((COLUMN()-10)&lt;=playercnt),((ROW()-41)&lt;=playercnt)),SUMPRODUCT(INDIRECT(ADDRESS(3,ROW()-31,1)):INDIRECT(ADDRESS(22,ROW()-31,1)),AF$3:AF$22),"")</f>
        <v>7</v>
      </c>
      <c r="AG62">
        <f ca="1">IF(AND(((COLUMN()-10)&lt;=playercnt),((ROW()-41)&lt;=playercnt)),SUMPRODUCT(INDIRECT(ADDRESS(3,ROW()-31,1)):INDIRECT(ADDRESS(22,ROW()-31,1)),AG$3:AG$22),"")</f>
        <v>7</v>
      </c>
      <c r="AH62">
        <f ca="1">IF(AND(((COLUMN()-10)&lt;=playercnt),((ROW()-41)&lt;=playercnt)),SUMPRODUCT(INDIRECT(ADDRESS(3,ROW()-31,1)):INDIRECT(ADDRESS(22,ROW()-31,1)),AH$3:AH$22),"")</f>
        <v>6</v>
      </c>
      <c r="AI62">
        <f ca="1">IF(AND(((COLUMN()-10)&lt;=playercnt),((ROW()-41)&lt;=playercnt)),SUMPRODUCT(INDIRECT(ADDRESS(3,ROW()-31,1)):INDIRECT(ADDRESS(22,ROW()-31,1)),AI$3:AI$22),"")</f>
        <v>4</v>
      </c>
      <c r="AJ62">
        <f ca="1">IF(AND(((COLUMN()-10)&lt;=playercnt),((ROW()-41)&lt;=playercnt)),SUMPRODUCT(INDIRECT(ADDRESS(3,ROW()-31,1)):INDIRECT(ADDRESS(22,ROW()-31,1)),AJ$3:AJ$22),"")</f>
        <v>6</v>
      </c>
      <c r="AK62">
        <f ca="1">IF(AND(((COLUMN()-10)&lt;=playercnt),((ROW()-41)&lt;=playercnt)),SUMPRODUCT(INDIRECT(ADDRESS(3,ROW()-31,1)):INDIRECT(ADDRESS(22,ROW()-31,1)),AK$3:AK$22),"")</f>
        <v>0</v>
      </c>
      <c r="AL62">
        <f ca="1">IF(AND(((COLUMN()-10)&lt;=playercnt),((ROW()-41)&lt;=playercnt)),SUMPRODUCT(INDIRECT(ADDRESS(3,ROW()-31,1)):INDIRECT(ADDRESS(22,ROW()-31,1)),AL$3:AL$22),"")</f>
        <v>5</v>
      </c>
      <c r="AM62">
        <f ca="1">IF(AND(((COLUMN()-10)&lt;=playercnt),((ROW()-41)&lt;=playercnt)),SUMPRODUCT(INDIRECT(ADDRESS(3,ROW()-31,1)):INDIRECT(ADDRESS(22,ROW()-31,1)),AM$3:AM$22),"")</f>
        <v>6</v>
      </c>
      <c r="AN62">
        <f ca="1">IF(AND(((COLUMN()-10)&lt;=playercnt),((ROW()-41)&lt;=playercnt)),SUMPRODUCT(INDIRECT(ADDRESS(3,ROW()-31,1)):INDIRECT(ADDRESS(22,ROW()-31,1)),AN$3:AN$22),"")</f>
        <v>8</v>
      </c>
      <c r="AO62">
        <f ca="1">IF(AND(((COLUMN()-10)&lt;=playercnt),((ROW()-41)&lt;=playercnt)),SUMPRODUCT(INDIRECT(ADDRESS(3,ROW()-31,1)):INDIRECT(ADDRESS(22,ROW()-31,1)),AO$3:AO$22),"")</f>
        <v>6</v>
      </c>
      <c r="AP62">
        <f ca="1">IF(AND(((COLUMN()-10)&lt;=playercnt),((ROW()-41)&lt;=playercnt)),SUMPRODUCT(INDIRECT(ADDRESS(3,ROW()-31,1)):INDIRECT(ADDRESS(22,ROW()-31,1)),AP$3:AP$22),"")</f>
        <v>0</v>
      </c>
      <c r="AQ62">
        <f ca="1">IF(AND(((COLUMN()-10)&lt;=playercnt),((ROW()-41)&lt;=playercnt)),SUMPRODUCT(INDIRECT(ADDRESS(3,ROW()-31,1)):INDIRECT(ADDRESS(22,ROW()-31,1)),AQ$3:AQ$22),"")</f>
        <v>6</v>
      </c>
      <c r="AR62">
        <f ca="1">IF(AND(((COLUMN()-10)&lt;=playercnt),((ROW()-41)&lt;=playercnt)),SUMPRODUCT(INDIRECT(ADDRESS(3,ROW()-31,1)):INDIRECT(ADDRESS(22,ROW()-31,1)),AR$3:AR$22),"")</f>
        <v>3</v>
      </c>
      <c r="AS62">
        <f ca="1">IF(AND(((COLUMN()-10)&lt;=playercnt),((ROW()-41)&lt;=playercnt)),SUMPRODUCT(INDIRECT(ADDRESS(3,ROW()-31,1)):INDIRECT(ADDRESS(22,ROW()-31,1)),AS$3:AS$22),"")</f>
        <v>8</v>
      </c>
      <c r="AT62">
        <f ca="1">IF(AND(((COLUMN()-10)&lt;=playercnt),((ROW()-41)&lt;=playercnt)),SUMPRODUCT(INDIRECT(ADDRESS(3,ROW()-31,1)):INDIRECT(ADDRESS(22,ROW()-31,1)),AT$3:AT$22),"")</f>
        <v>4</v>
      </c>
      <c r="AU62">
        <f ca="1">IF(AND(((COLUMN()-10)&lt;=playercnt),((ROW()-41)&lt;=playercnt)),SUMPRODUCT(INDIRECT(ADDRESS(3,ROW()-31,1)):INDIRECT(ADDRESS(22,ROW()-31,1)),AU$3:AU$22),"")</f>
        <v>4</v>
      </c>
      <c r="AV62">
        <f ca="1">IF(AND(((COLUMN()-10)&lt;=playercnt),((ROW()-41)&lt;=playercnt)),SUMPRODUCT(INDIRECT(ADDRESS(3,ROW()-31,1)):INDIRECT(ADDRESS(22,ROW()-31,1)),AV$3:AV$22),"")</f>
        <v>8</v>
      </c>
      <c r="AW62">
        <f ca="1">IF(AND(((COLUMN()-10)&lt;=playercnt),((ROW()-41)&lt;=playercnt)),SUMPRODUCT(INDIRECT(ADDRESS(3,ROW()-31,1)):INDIRECT(ADDRESS(22,ROW()-31,1)),AW$3:AW$22),"")</f>
        <v>8</v>
      </c>
      <c r="AX62">
        <f ca="1">IF(AND(((COLUMN()-10)&lt;=playercnt),((ROW()-41)&lt;=playercnt)),SUMPRODUCT(INDIRECT(ADDRESS(3,ROW()-31,1)):INDIRECT(ADDRESS(22,ROW()-31,1)),AX$3:AX$22),"")</f>
        <v>5</v>
      </c>
      <c r="AY62">
        <f ca="1">IF(AND(((COLUMN()-10)&lt;=playercnt),((ROW()-41)&lt;=playercnt)),SUMPRODUCT(INDIRECT(ADDRESS(3,ROW()-31,1)):INDIRECT(ADDRESS(22,ROW()-31,1)),AY$3:AY$22),"")</f>
        <v>4</v>
      </c>
      <c r="AZ62">
        <f ca="1">IF(AND(((COLUMN()-10)&lt;=playercnt),((ROW()-41)&lt;=playercnt)),SUMPRODUCT(INDIRECT(ADDRESS(3,ROW()-31,1)):INDIRECT(ADDRESS(22,ROW()-31,1)),AZ$3:AZ$22),"")</f>
        <v>7</v>
      </c>
      <c r="BA62">
        <f ca="1">IF(AND(((COLUMN()-10)&lt;=playercnt),((ROW()-41)&lt;=playercnt)),SUMPRODUCT(INDIRECT(ADDRESS(3,ROW()-31,1)):INDIRECT(ADDRESS(22,ROW()-31,1)),BA$3:BA$22),"")</f>
        <v>7</v>
      </c>
      <c r="BB62">
        <f ca="1">IF(AND(((COLUMN()-10)&lt;=playercnt),((ROW()-41)&lt;=playercnt)),SUMPRODUCT(INDIRECT(ADDRESS(3,ROW()-31,1)):INDIRECT(ADDRESS(22,ROW()-31,1)),BB$3:BB$22),"")</f>
        <v>7</v>
      </c>
      <c r="BC62">
        <f ca="1">IF(AND(((COLUMN()-10)&lt;=playercnt),((ROW()-41)&lt;=playercnt)),SUMPRODUCT(INDIRECT(ADDRESS(3,ROW()-31,1)):INDIRECT(ADDRESS(22,ROW()-31,1)),BC$3:BC$22),"")</f>
        <v>7</v>
      </c>
      <c r="BD62">
        <f ca="1">IF(AND(((COLUMN()-10)&lt;=playercnt),((ROW()-41)&lt;=playercnt)),SUMPRODUCT(INDIRECT(ADDRESS(3,ROW()-31,1)):INDIRECT(ADDRESS(22,ROW()-31,1)),BD$3:BD$22),"")</f>
        <v>5</v>
      </c>
      <c r="BE62">
        <f ca="1">IF(AND(((COLUMN()-10)&lt;=playercnt),((ROW()-41)&lt;=playercnt)),SUMPRODUCT(INDIRECT(ADDRESS(3,ROW()-31,1)):INDIRECT(ADDRESS(22,ROW()-31,1)),BE$3:BE$22),"")</f>
        <v>6</v>
      </c>
      <c r="BF62">
        <f ca="1">IF(AND(((COLUMN()-10)&lt;=playercnt),((ROW()-41)&lt;=playercnt)),SUMPRODUCT(INDIRECT(ADDRESS(3,ROW()-31,1)):INDIRECT(ADDRESS(22,ROW()-31,1)),BF$3:BF$22),"")</f>
        <v>6</v>
      </c>
      <c r="BG62">
        <f ca="1">IF(AND(((COLUMN()-10)&lt;=playercnt),((ROW()-41)&lt;=playercnt)),SUMPRODUCT(INDIRECT(ADDRESS(3,ROW()-31,1)):INDIRECT(ADDRESS(22,ROW()-31,1)),BG$3:BG$22),"")</f>
        <v>6</v>
      </c>
      <c r="BH62">
        <f ca="1">IF(AND(((COLUMN()-10)&lt;=playercnt),((ROW()-41)&lt;=playercnt)),SUMPRODUCT(INDIRECT(ADDRESS(3,ROW()-31,1)):INDIRECT(ADDRESS(22,ROW()-31,1)),BH$3:BH$22),"")</f>
        <v>6</v>
      </c>
      <c r="BI62">
        <f ca="1">IF(AND(((COLUMN()-10)&lt;=playercnt),((ROW()-41)&lt;=playercnt)),SUMPRODUCT(INDIRECT(ADDRESS(3,ROW()-31,1)):INDIRECT(ADDRESS(22,ROW()-31,1)),BI$3:BI$22),"")</f>
        <v>8</v>
      </c>
      <c r="BJ62">
        <f ca="1">IF(AND(((COLUMN()-10)&lt;=playercnt),((ROW()-41)&lt;=playercnt)),SUMPRODUCT(INDIRECT(ADDRESS(3,ROW()-31,1)):INDIRECT(ADDRESS(22,ROW()-31,1)),BJ$3:BJ$22),"")</f>
        <v>8</v>
      </c>
      <c r="BK62">
        <f ca="1">IF(AND(((COLUMN()-10)&lt;=playercnt),((ROW()-41)&lt;=playercnt)),SUMPRODUCT(INDIRECT(ADDRESS(3,ROW()-31,1)):INDIRECT(ADDRESS(22,ROW()-31,1)),BK$3:BK$22),"")</f>
        <v>6</v>
      </c>
      <c r="BL62">
        <f ca="1">IF(AND(((COLUMN()-10)&lt;=playercnt),((ROW()-41)&lt;=playercnt)),SUMPRODUCT(INDIRECT(ADDRESS(3,ROW()-31,1)):INDIRECT(ADDRESS(22,ROW()-31,1)),BL$3:BL$22),"")</f>
        <v>7</v>
      </c>
      <c r="BM62">
        <f ca="1">IF(AND(((COLUMN()-10)&lt;=playercnt),((ROW()-41)&lt;=playercnt)),SUMPRODUCT(INDIRECT(ADDRESS(3,ROW()-31,1)):INDIRECT(ADDRESS(22,ROW()-31,1)),BM$3:BM$22),"")</f>
        <v>8</v>
      </c>
      <c r="BN62">
        <f ca="1">IF(AND(((COLUMN()-10)&lt;=playercnt),((ROW()-41)&lt;=playercnt)),SUMPRODUCT(INDIRECT(ADDRESS(3,ROW()-31,1)):INDIRECT(ADDRESS(22,ROW()-31,1)),BN$3:BN$22),"")</f>
        <v>7</v>
      </c>
    </row>
    <row r="63" spans="1:66" x14ac:dyDescent="0.2">
      <c r="B63" s="27">
        <f t="shared" ca="1" si="23"/>
        <v>5.9811320754716979</v>
      </c>
      <c r="C63" t="str">
        <f t="shared" ca="1" si="24"/>
        <v>James, Larry Remote</v>
      </c>
      <c r="G63">
        <f ca="1">IF(AND(((COLUMN()-10)&lt;=playercnt),((ROW()-41)&lt;=playercnt)),SUMPRODUCT(INDIRECT(ADDRESS(3,ROW()-31,1)):INDIRECT(ADDRESS(22,ROW()-31,1)),G$3:G$22),"")</f>
        <v>1</v>
      </c>
      <c r="H63">
        <f ca="1">IF(AND(((COLUMN()-10)&lt;=playercnt),((ROW()-41)&lt;=playercnt)),SUMPRODUCT(INDIRECT(ADDRESS(3,ROW()-31,1)):INDIRECT(ADDRESS(22,ROW()-31,1)),H$3:H$22),"")</f>
        <v>4</v>
      </c>
      <c r="I63">
        <f ca="1">IF(AND(((COLUMN()-10)&lt;=playercnt),((ROW()-41)&lt;=playercnt)),SUMPRODUCT(INDIRECT(ADDRESS(3,ROW()-31,1)):INDIRECT(ADDRESS(22,ROW()-31,1)),I$3:I$22),"")</f>
        <v>6.5</v>
      </c>
      <c r="J63">
        <f ca="1">IF(AND(((COLUMN()-10)&lt;=playercnt),((ROW()-41)&lt;=playercnt)),SUMPRODUCT(INDIRECT(ADDRESS(3,ROW()-31,1)):INDIRECT(ADDRESS(22,ROW()-31,1)),J$3:J$22),"")</f>
        <v>0</v>
      </c>
      <c r="K63">
        <f ca="1">IF(AND(((COLUMN()-10)&lt;=playercnt),((ROW()-41)&lt;=playercnt)),SUMPRODUCT(INDIRECT(ADDRESS(3,ROW()-31,1)):INDIRECT(ADDRESS(22,ROW()-31,1)),K$3:K$22),"")</f>
        <v>6</v>
      </c>
      <c r="L63">
        <f ca="1">IF(AND(((COLUMN()-10)&lt;=playercnt),((ROW()-41)&lt;=playercnt)),SUMPRODUCT(INDIRECT(ADDRESS(3,ROW()-31,1)):INDIRECT(ADDRESS(22,ROW()-31,1)),L$3:L$22),"")</f>
        <v>5</v>
      </c>
      <c r="M63">
        <f ca="1">IF(AND(((COLUMN()-10)&lt;=playercnt),((ROW()-41)&lt;=playercnt)),SUMPRODUCT(INDIRECT(ADDRESS(3,ROW()-31,1)):INDIRECT(ADDRESS(22,ROW()-31,1)),M$3:M$22),"")</f>
        <v>10</v>
      </c>
      <c r="N63">
        <f ca="1">IF(AND(((COLUMN()-10)&lt;=playercnt),((ROW()-41)&lt;=playercnt)),SUMPRODUCT(INDIRECT(ADDRESS(3,ROW()-31,1)):INDIRECT(ADDRESS(22,ROW()-31,1)),N$3:N$22),"")</f>
        <v>3</v>
      </c>
      <c r="O63">
        <f ca="1">IF(AND(((COLUMN()-10)&lt;=playercnt),((ROW()-41)&lt;=playercnt)),SUMPRODUCT(INDIRECT(ADDRESS(3,ROW()-31,1)):INDIRECT(ADDRESS(22,ROW()-31,1)),O$3:O$22),"")</f>
        <v>5</v>
      </c>
      <c r="P63">
        <f ca="1">IF(AND(((COLUMN()-10)&lt;=playercnt),((ROW()-41)&lt;=playercnt)),SUMPRODUCT(INDIRECT(ADDRESS(3,ROW()-31,1)):INDIRECT(ADDRESS(22,ROW()-31,1)),P$3:P$22),"")</f>
        <v>4</v>
      </c>
      <c r="Q63">
        <f ca="1">IF(AND(((COLUMN()-10)&lt;=playercnt),((ROW()-41)&lt;=playercnt)),SUMPRODUCT(INDIRECT(ADDRESS(3,ROW()-31,1)):INDIRECT(ADDRESS(22,ROW()-31,1)),Q$3:Q$22),"")</f>
        <v>7</v>
      </c>
      <c r="R63">
        <f ca="1">IF(AND(((COLUMN()-10)&lt;=playercnt),((ROW()-41)&lt;=playercnt)),SUMPRODUCT(INDIRECT(ADDRESS(3,ROW()-31,1)):INDIRECT(ADDRESS(22,ROW()-31,1)),R$3:R$22),"")</f>
        <v>3</v>
      </c>
      <c r="S63">
        <f ca="1">IF(AND(((COLUMN()-10)&lt;=playercnt),((ROW()-41)&lt;=playercnt)),SUMPRODUCT(INDIRECT(ADDRESS(3,ROW()-31,1)):INDIRECT(ADDRESS(22,ROW()-31,1)),S$3:S$22),"")</f>
        <v>7</v>
      </c>
      <c r="T63">
        <f ca="1">IF(AND(((COLUMN()-10)&lt;=playercnt),((ROW()-41)&lt;=playercnt)),SUMPRODUCT(INDIRECT(ADDRESS(3,ROW()-31,1)):INDIRECT(ADDRESS(22,ROW()-31,1)),T$3:T$22),"")</f>
        <v>6</v>
      </c>
      <c r="U63">
        <f ca="1">IF(AND(((COLUMN()-10)&lt;=playercnt),((ROW()-41)&lt;=playercnt)),SUMPRODUCT(INDIRECT(ADDRESS(3,ROW()-31,1)):INDIRECT(ADDRESS(22,ROW()-31,1)),U$3:U$22),"")</f>
        <v>5</v>
      </c>
      <c r="V63">
        <f ca="1">IF(AND(((COLUMN()-10)&lt;=playercnt),((ROW()-41)&lt;=playercnt)),SUMPRODUCT(INDIRECT(ADDRESS(3,ROW()-31,1)):INDIRECT(ADDRESS(22,ROW()-31,1)),V$3:V$22),"")</f>
        <v>7</v>
      </c>
      <c r="W63">
        <f ca="1">IF(AND(((COLUMN()-10)&lt;=playercnt),((ROW()-41)&lt;=playercnt)),SUMPRODUCT(INDIRECT(ADDRESS(3,ROW()-31,1)):INDIRECT(ADDRESS(22,ROW()-31,1)),W$3:W$22),"")</f>
        <v>7</v>
      </c>
      <c r="X63">
        <f ca="1">IF(AND(((COLUMN()-10)&lt;=playercnt),((ROW()-41)&lt;=playercnt)),SUMPRODUCT(INDIRECT(ADDRESS(3,ROW()-31,1)):INDIRECT(ADDRESS(22,ROW()-31,1)),X$3:X$22),"")</f>
        <v>8</v>
      </c>
      <c r="Y63">
        <f ca="1">IF(AND(((COLUMN()-10)&lt;=playercnt),((ROW()-41)&lt;=playercnt)),SUMPRODUCT(INDIRECT(ADDRESS(3,ROW()-31,1)):INDIRECT(ADDRESS(22,ROW()-31,1)),Y$3:Y$22),"")</f>
        <v>3</v>
      </c>
      <c r="Z63">
        <f ca="1">IF(AND(((COLUMN()-10)&lt;=playercnt),((ROW()-41)&lt;=playercnt)),SUMPRODUCT(INDIRECT(ADDRESS(3,ROW()-31,1)):INDIRECT(ADDRESS(22,ROW()-31,1)),Z$3:Z$22),"")</f>
        <v>8</v>
      </c>
      <c r="AA63">
        <f ca="1">IF(AND(((COLUMN()-10)&lt;=playercnt),((ROW()-41)&lt;=playercnt)),SUMPRODUCT(INDIRECT(ADDRESS(3,ROW()-31,1)):INDIRECT(ADDRESS(22,ROW()-31,1)),AA$3:AA$22),"")</f>
        <v>9</v>
      </c>
      <c r="AB63">
        <f ca="1">IF(AND(((COLUMN()-10)&lt;=playercnt),((ROW()-41)&lt;=playercnt)),SUMPRODUCT(INDIRECT(ADDRESS(3,ROW()-31,1)):INDIRECT(ADDRESS(22,ROW()-31,1)),AB$3:AB$22),"")</f>
        <v>4</v>
      </c>
      <c r="AC63">
        <f ca="1">IF(AND(((COLUMN()-10)&lt;=playercnt),((ROW()-41)&lt;=playercnt)),SUMPRODUCT(INDIRECT(ADDRESS(3,ROW()-31,1)):INDIRECT(ADDRESS(22,ROW()-31,1)),AC$3:AC$22),"")</f>
        <v>5</v>
      </c>
      <c r="AD63">
        <f ca="1">IF(AND(((COLUMN()-10)&lt;=playercnt),((ROW()-41)&lt;=playercnt)),SUMPRODUCT(INDIRECT(ADDRESS(3,ROW()-31,1)):INDIRECT(ADDRESS(22,ROW()-31,1)),AD$3:AD$22),"")</f>
        <v>5</v>
      </c>
      <c r="AE63">
        <f ca="1">IF(AND(((COLUMN()-10)&lt;=playercnt),((ROW()-41)&lt;=playercnt)),SUMPRODUCT(INDIRECT(ADDRESS(3,ROW()-31,1)):INDIRECT(ADDRESS(22,ROW()-31,1)),AE$3:AE$22),"")</f>
        <v>7</v>
      </c>
      <c r="AF63">
        <f ca="1">IF(AND(((COLUMN()-10)&lt;=playercnt),((ROW()-41)&lt;=playercnt)),SUMPRODUCT(INDIRECT(ADDRESS(3,ROW()-31,1)):INDIRECT(ADDRESS(22,ROW()-31,1)),AF$3:AF$22),"")</f>
        <v>10</v>
      </c>
      <c r="AG63">
        <f ca="1">IF(AND(((COLUMN()-10)&lt;=playercnt),((ROW()-41)&lt;=playercnt)),SUMPRODUCT(INDIRECT(ADDRESS(3,ROW()-31,1)):INDIRECT(ADDRESS(22,ROW()-31,1)),AG$3:AG$22),"")</f>
        <v>8</v>
      </c>
      <c r="AH63">
        <f ca="1">IF(AND(((COLUMN()-10)&lt;=playercnt),((ROW()-41)&lt;=playercnt)),SUMPRODUCT(INDIRECT(ADDRESS(3,ROW()-31,1)):INDIRECT(ADDRESS(22,ROW()-31,1)),AH$3:AH$22),"")</f>
        <v>5</v>
      </c>
      <c r="AI63">
        <f ca="1">IF(AND(((COLUMN()-10)&lt;=playercnt),((ROW()-41)&lt;=playercnt)),SUMPRODUCT(INDIRECT(ADDRESS(3,ROW()-31,1)):INDIRECT(ADDRESS(22,ROW()-31,1)),AI$3:AI$22),"")</f>
        <v>7</v>
      </c>
      <c r="AJ63">
        <f ca="1">IF(AND(((COLUMN()-10)&lt;=playercnt),((ROW()-41)&lt;=playercnt)),SUMPRODUCT(INDIRECT(ADDRESS(3,ROW()-31,1)):INDIRECT(ADDRESS(22,ROW()-31,1)),AJ$3:AJ$22),"")</f>
        <v>7</v>
      </c>
      <c r="AK63">
        <f ca="1">IF(AND(((COLUMN()-10)&lt;=playercnt),((ROW()-41)&lt;=playercnt)),SUMPRODUCT(INDIRECT(ADDRESS(3,ROW()-31,1)):INDIRECT(ADDRESS(22,ROW()-31,1)),AK$3:AK$22),"")</f>
        <v>0</v>
      </c>
      <c r="AL63">
        <f ca="1">IF(AND(((COLUMN()-10)&lt;=playercnt),((ROW()-41)&lt;=playercnt)),SUMPRODUCT(INDIRECT(ADDRESS(3,ROW()-31,1)):INDIRECT(ADDRESS(22,ROW()-31,1)),AL$3:AL$22),"")</f>
        <v>4</v>
      </c>
      <c r="AM63">
        <f ca="1">IF(AND(((COLUMN()-10)&lt;=playercnt),((ROW()-41)&lt;=playercnt)),SUMPRODUCT(INDIRECT(ADDRESS(3,ROW()-31,1)):INDIRECT(ADDRESS(22,ROW()-31,1)),AM$3:AM$22),"")</f>
        <v>5</v>
      </c>
      <c r="AN63">
        <f ca="1">IF(AND(((COLUMN()-10)&lt;=playercnt),((ROW()-41)&lt;=playercnt)),SUMPRODUCT(INDIRECT(ADDRESS(3,ROW()-31,1)):INDIRECT(ADDRESS(22,ROW()-31,1)),AN$3:AN$22),"")</f>
        <v>5</v>
      </c>
      <c r="AO63">
        <f ca="1">IF(AND(((COLUMN()-10)&lt;=playercnt),((ROW()-41)&lt;=playercnt)),SUMPRODUCT(INDIRECT(ADDRESS(3,ROW()-31,1)):INDIRECT(ADDRESS(22,ROW()-31,1)),AO$3:AO$22),"")</f>
        <v>5</v>
      </c>
      <c r="AP63">
        <f ca="1">IF(AND(((COLUMN()-10)&lt;=playercnt),((ROW()-41)&lt;=playercnt)),SUMPRODUCT(INDIRECT(ADDRESS(3,ROW()-31,1)):INDIRECT(ADDRESS(22,ROW()-31,1)),AP$3:AP$22),"")</f>
        <v>0</v>
      </c>
      <c r="AQ63">
        <f ca="1">IF(AND(((COLUMN()-10)&lt;=playercnt),((ROW()-41)&lt;=playercnt)),SUMPRODUCT(INDIRECT(ADDRESS(3,ROW()-31,1)):INDIRECT(ADDRESS(22,ROW()-31,1)),AQ$3:AQ$22),"")</f>
        <v>7</v>
      </c>
      <c r="AR63">
        <f ca="1">IF(AND(((COLUMN()-10)&lt;=playercnt),((ROW()-41)&lt;=playercnt)),SUMPRODUCT(INDIRECT(ADDRESS(3,ROW()-31,1)):INDIRECT(ADDRESS(22,ROW()-31,1)),AR$3:AR$22),"")</f>
        <v>4</v>
      </c>
      <c r="AS63">
        <f ca="1">IF(AND(((COLUMN()-10)&lt;=playercnt),((ROW()-41)&lt;=playercnt)),SUMPRODUCT(INDIRECT(ADDRESS(3,ROW()-31,1)):INDIRECT(ADDRESS(22,ROW()-31,1)),AS$3:AS$22),"")</f>
        <v>7</v>
      </c>
      <c r="AT63">
        <f ca="1">IF(AND(((COLUMN()-10)&lt;=playercnt),((ROW()-41)&lt;=playercnt)),SUMPRODUCT(INDIRECT(ADDRESS(3,ROW()-31,1)):INDIRECT(ADDRESS(22,ROW()-31,1)),AT$3:AT$22),"")</f>
        <v>5</v>
      </c>
      <c r="AU63">
        <f ca="1">IF(AND(((COLUMN()-10)&lt;=playercnt),((ROW()-41)&lt;=playercnt)),SUMPRODUCT(INDIRECT(ADDRESS(3,ROW()-31,1)):INDIRECT(ADDRESS(22,ROW()-31,1)),AU$3:AU$22),"")</f>
        <v>7</v>
      </c>
      <c r="AV63">
        <f ca="1">IF(AND(((COLUMN()-10)&lt;=playercnt),((ROW()-41)&lt;=playercnt)),SUMPRODUCT(INDIRECT(ADDRESS(3,ROW()-31,1)):INDIRECT(ADDRESS(22,ROW()-31,1)),AV$3:AV$22),"")</f>
        <v>5</v>
      </c>
      <c r="AW63">
        <f ca="1">IF(AND(((COLUMN()-10)&lt;=playercnt),((ROW()-41)&lt;=playercnt)),SUMPRODUCT(INDIRECT(ADDRESS(3,ROW()-31,1)):INDIRECT(ADDRESS(22,ROW()-31,1)),AW$3:AW$22),"")</f>
        <v>7</v>
      </c>
      <c r="AX63">
        <f ca="1">IF(AND(((COLUMN()-10)&lt;=playercnt),((ROW()-41)&lt;=playercnt)),SUMPRODUCT(INDIRECT(ADDRESS(3,ROW()-31,1)):INDIRECT(ADDRESS(22,ROW()-31,1)),AX$3:AX$22),"")</f>
        <v>6</v>
      </c>
      <c r="AY63">
        <f ca="1">IF(AND(((COLUMN()-10)&lt;=playercnt),((ROW()-41)&lt;=playercnt)),SUMPRODUCT(INDIRECT(ADDRESS(3,ROW()-31,1)):INDIRECT(ADDRESS(22,ROW()-31,1)),AY$3:AY$22),"")</f>
        <v>3</v>
      </c>
      <c r="AZ63">
        <f ca="1">IF(AND(((COLUMN()-10)&lt;=playercnt),((ROW()-41)&lt;=playercnt)),SUMPRODUCT(INDIRECT(ADDRESS(3,ROW()-31,1)):INDIRECT(ADDRESS(22,ROW()-31,1)),AZ$3:AZ$22),"")</f>
        <v>8</v>
      </c>
      <c r="BA63">
        <f ca="1">IF(AND(((COLUMN()-10)&lt;=playercnt),((ROW()-41)&lt;=playercnt)),SUMPRODUCT(INDIRECT(ADDRESS(3,ROW()-31,1)):INDIRECT(ADDRESS(22,ROW()-31,1)),BA$3:BA$22),"")</f>
        <v>6</v>
      </c>
      <c r="BB63">
        <f ca="1">IF(AND(((COLUMN()-10)&lt;=playercnt),((ROW()-41)&lt;=playercnt)),SUMPRODUCT(INDIRECT(ADDRESS(3,ROW()-31,1)):INDIRECT(ADDRESS(22,ROW()-31,1)),BB$3:BB$22),"")</f>
        <v>4</v>
      </c>
      <c r="BC63">
        <f ca="1">IF(AND(((COLUMN()-10)&lt;=playercnt),((ROW()-41)&lt;=playercnt)),SUMPRODUCT(INDIRECT(ADDRESS(3,ROW()-31,1)):INDIRECT(ADDRESS(22,ROW()-31,1)),BC$3:BC$22),"")</f>
        <v>6</v>
      </c>
      <c r="BD63">
        <f ca="1">IF(AND(((COLUMN()-10)&lt;=playercnt),((ROW()-41)&lt;=playercnt)),SUMPRODUCT(INDIRECT(ADDRESS(3,ROW()-31,1)):INDIRECT(ADDRESS(22,ROW()-31,1)),BD$3:BD$22),"")</f>
        <v>6</v>
      </c>
      <c r="BE63">
        <f ca="1">IF(AND(((COLUMN()-10)&lt;=playercnt),((ROW()-41)&lt;=playercnt)),SUMPRODUCT(INDIRECT(ADDRESS(3,ROW()-31,1)):INDIRECT(ADDRESS(22,ROW()-31,1)),BE$3:BE$22),"")</f>
        <v>7</v>
      </c>
      <c r="BF63">
        <f ca="1">IF(AND(((COLUMN()-10)&lt;=playercnt),((ROW()-41)&lt;=playercnt)),SUMPRODUCT(INDIRECT(ADDRESS(3,ROW()-31,1)):INDIRECT(ADDRESS(22,ROW()-31,1)),BF$3:BF$22),"")</f>
        <v>5</v>
      </c>
      <c r="BG63">
        <f ca="1">IF(AND(((COLUMN()-10)&lt;=playercnt),((ROW()-41)&lt;=playercnt)),SUMPRODUCT(INDIRECT(ADDRESS(3,ROW()-31,1)):INDIRECT(ADDRESS(22,ROW()-31,1)),BG$3:BG$22),"")</f>
        <v>7</v>
      </c>
      <c r="BH63">
        <f ca="1">IF(AND(((COLUMN()-10)&lt;=playercnt),((ROW()-41)&lt;=playercnt)),SUMPRODUCT(INDIRECT(ADDRESS(3,ROW()-31,1)):INDIRECT(ADDRESS(22,ROW()-31,1)),BH$3:BH$22),"")</f>
        <v>7</v>
      </c>
      <c r="BI63">
        <f ca="1">IF(AND(((COLUMN()-10)&lt;=playercnt),((ROW()-41)&lt;=playercnt)),SUMPRODUCT(INDIRECT(ADDRESS(3,ROW()-31,1)):INDIRECT(ADDRESS(22,ROW()-31,1)),BI$3:BI$22),"")</f>
        <v>5</v>
      </c>
      <c r="BJ63">
        <f ca="1">IF(AND(((COLUMN()-10)&lt;=playercnt),((ROW()-41)&lt;=playercnt)),SUMPRODUCT(INDIRECT(ADDRESS(3,ROW()-31,1)):INDIRECT(ADDRESS(22,ROW()-31,1)),BJ$3:BJ$22),"")</f>
        <v>9</v>
      </c>
      <c r="BK63">
        <f ca="1">IF(AND(((COLUMN()-10)&lt;=playercnt),((ROW()-41)&lt;=playercnt)),SUMPRODUCT(INDIRECT(ADDRESS(3,ROW()-31,1)):INDIRECT(ADDRESS(22,ROW()-31,1)),BK$3:BK$22),"")</f>
        <v>7</v>
      </c>
      <c r="BL63">
        <f ca="1">IF(AND(((COLUMN()-10)&lt;=playercnt),((ROW()-41)&lt;=playercnt)),SUMPRODUCT(INDIRECT(ADDRESS(3,ROW()-31,1)):INDIRECT(ADDRESS(22,ROW()-31,1)),BL$3:BL$22),"")</f>
        <v>6</v>
      </c>
      <c r="BM63">
        <f ca="1">IF(AND(((COLUMN()-10)&lt;=playercnt),((ROW()-41)&lt;=playercnt)),SUMPRODUCT(INDIRECT(ADDRESS(3,ROW()-31,1)):INDIRECT(ADDRESS(22,ROW()-31,1)),BM$3:BM$22),"")</f>
        <v>7</v>
      </c>
      <c r="BN63">
        <f ca="1">IF(AND(((COLUMN()-10)&lt;=playercnt),((ROW()-41)&lt;=playercnt)),SUMPRODUCT(INDIRECT(ADDRESS(3,ROW()-31,1)):INDIRECT(ADDRESS(22,ROW()-31,1)),BN$3:BN$22),"")</f>
        <v>6</v>
      </c>
    </row>
    <row r="64" spans="1:66" x14ac:dyDescent="0.2">
      <c r="B64" s="27">
        <f t="shared" ca="1" si="23"/>
        <v>6.283018867924528</v>
      </c>
      <c r="C64" t="str">
        <f t="shared" ca="1" si="24"/>
        <v>Johnson, Creed D</v>
      </c>
      <c r="G64">
        <f ca="1">IF(AND(((COLUMN()-10)&lt;=playercnt),((ROW()-41)&lt;=playercnt)),SUMPRODUCT(INDIRECT(ADDRESS(3,ROW()-31,1)):INDIRECT(ADDRESS(22,ROW()-31,1)),G$3:G$22),"")</f>
        <v>1</v>
      </c>
      <c r="H64">
        <f ca="1">IF(AND(((COLUMN()-10)&lt;=playercnt),((ROW()-41)&lt;=playercnt)),SUMPRODUCT(INDIRECT(ADDRESS(3,ROW()-31,1)):INDIRECT(ADDRESS(22,ROW()-31,1)),H$3:H$22),"")</f>
        <v>6</v>
      </c>
      <c r="I64">
        <f ca="1">IF(AND(((COLUMN()-10)&lt;=playercnt),((ROW()-41)&lt;=playercnt)),SUMPRODUCT(INDIRECT(ADDRESS(3,ROW()-31,1)):INDIRECT(ADDRESS(22,ROW()-31,1)),I$3:I$22),"")</f>
        <v>7.5</v>
      </c>
      <c r="J64">
        <f ca="1">IF(AND(((COLUMN()-10)&lt;=playercnt),((ROW()-41)&lt;=playercnt)),SUMPRODUCT(INDIRECT(ADDRESS(3,ROW()-31,1)):INDIRECT(ADDRESS(22,ROW()-31,1)),J$3:J$22),"")</f>
        <v>0</v>
      </c>
      <c r="K64">
        <f ca="1">IF(AND(((COLUMN()-10)&lt;=playercnt),((ROW()-41)&lt;=playercnt)),SUMPRODUCT(INDIRECT(ADDRESS(3,ROW()-31,1)):INDIRECT(ADDRESS(22,ROW()-31,1)),K$3:K$22),"")</f>
        <v>8</v>
      </c>
      <c r="L64">
        <f ca="1">IF(AND(((COLUMN()-10)&lt;=playercnt),((ROW()-41)&lt;=playercnt)),SUMPRODUCT(INDIRECT(ADDRESS(3,ROW()-31,1)):INDIRECT(ADDRESS(22,ROW()-31,1)),L$3:L$22),"")</f>
        <v>7</v>
      </c>
      <c r="M64">
        <f ca="1">IF(AND(((COLUMN()-10)&lt;=playercnt),((ROW()-41)&lt;=playercnt)),SUMPRODUCT(INDIRECT(ADDRESS(3,ROW()-31,1)):INDIRECT(ADDRESS(22,ROW()-31,1)),M$3:M$22),"")</f>
        <v>8</v>
      </c>
      <c r="N64">
        <f ca="1">IF(AND(((COLUMN()-10)&lt;=playercnt),((ROW()-41)&lt;=playercnt)),SUMPRODUCT(INDIRECT(ADDRESS(3,ROW()-31,1)):INDIRECT(ADDRESS(22,ROW()-31,1)),N$3:N$22),"")</f>
        <v>5</v>
      </c>
      <c r="O64">
        <f ca="1">IF(AND(((COLUMN()-10)&lt;=playercnt),((ROW()-41)&lt;=playercnt)),SUMPRODUCT(INDIRECT(ADDRESS(3,ROW()-31,1)):INDIRECT(ADDRESS(22,ROW()-31,1)),O$3:O$22),"")</f>
        <v>3</v>
      </c>
      <c r="P64">
        <f ca="1">IF(AND(((COLUMN()-10)&lt;=playercnt),((ROW()-41)&lt;=playercnt)),SUMPRODUCT(INDIRECT(ADDRESS(3,ROW()-31,1)):INDIRECT(ADDRESS(22,ROW()-31,1)),P$3:P$22),"")</f>
        <v>4</v>
      </c>
      <c r="Q64">
        <f ca="1">IF(AND(((COLUMN()-10)&lt;=playercnt),((ROW()-41)&lt;=playercnt)),SUMPRODUCT(INDIRECT(ADDRESS(3,ROW()-31,1)):INDIRECT(ADDRESS(22,ROW()-31,1)),Q$3:Q$22),"")</f>
        <v>5</v>
      </c>
      <c r="R64">
        <f ca="1">IF(AND(((COLUMN()-10)&lt;=playercnt),((ROW()-41)&lt;=playercnt)),SUMPRODUCT(INDIRECT(ADDRESS(3,ROW()-31,1)):INDIRECT(ADDRESS(22,ROW()-31,1)),R$3:R$22),"")</f>
        <v>3</v>
      </c>
      <c r="S64">
        <f ca="1">IF(AND(((COLUMN()-10)&lt;=playercnt),((ROW()-41)&lt;=playercnt)),SUMPRODUCT(INDIRECT(ADDRESS(3,ROW()-31,1)):INDIRECT(ADDRESS(22,ROW()-31,1)),S$3:S$22),"")</f>
        <v>7</v>
      </c>
      <c r="T64">
        <f ca="1">IF(AND(((COLUMN()-10)&lt;=playercnt),((ROW()-41)&lt;=playercnt)),SUMPRODUCT(INDIRECT(ADDRESS(3,ROW()-31,1)):INDIRECT(ADDRESS(22,ROW()-31,1)),T$3:T$22),"")</f>
        <v>4</v>
      </c>
      <c r="U64">
        <f ca="1">IF(AND(((COLUMN()-10)&lt;=playercnt),((ROW()-41)&lt;=playercnt)),SUMPRODUCT(INDIRECT(ADDRESS(3,ROW()-31,1)):INDIRECT(ADDRESS(22,ROW()-31,1)),U$3:U$22),"")</f>
        <v>7</v>
      </c>
      <c r="V64">
        <f ca="1">IF(AND(((COLUMN()-10)&lt;=playercnt),((ROW()-41)&lt;=playercnt)),SUMPRODUCT(INDIRECT(ADDRESS(3,ROW()-31,1)):INDIRECT(ADDRESS(22,ROW()-31,1)),V$3:V$22),"")</f>
        <v>7</v>
      </c>
      <c r="W64">
        <f ca="1">IF(AND(((COLUMN()-10)&lt;=playercnt),((ROW()-41)&lt;=playercnt)),SUMPRODUCT(INDIRECT(ADDRESS(3,ROW()-31,1)):INDIRECT(ADDRESS(22,ROW()-31,1)),W$3:W$22),"")</f>
        <v>7</v>
      </c>
      <c r="X64">
        <f ca="1">IF(AND(((COLUMN()-10)&lt;=playercnt),((ROW()-41)&lt;=playercnt)),SUMPRODUCT(INDIRECT(ADDRESS(3,ROW()-31,1)):INDIRECT(ADDRESS(22,ROW()-31,1)),X$3:X$22),"")</f>
        <v>6</v>
      </c>
      <c r="Y64">
        <f ca="1">IF(AND(((COLUMN()-10)&lt;=playercnt),((ROW()-41)&lt;=playercnt)),SUMPRODUCT(INDIRECT(ADDRESS(3,ROW()-31,1)):INDIRECT(ADDRESS(22,ROW()-31,1)),Y$3:Y$22),"")</f>
        <v>5</v>
      </c>
      <c r="Z64">
        <f ca="1">IF(AND(((COLUMN()-10)&lt;=playercnt),((ROW()-41)&lt;=playercnt)),SUMPRODUCT(INDIRECT(ADDRESS(3,ROW()-31,1)):INDIRECT(ADDRESS(22,ROW()-31,1)),Z$3:Z$22),"")</f>
        <v>8</v>
      </c>
      <c r="AA64">
        <f ca="1">IF(AND(((COLUMN()-10)&lt;=playercnt),((ROW()-41)&lt;=playercnt)),SUMPRODUCT(INDIRECT(ADDRESS(3,ROW()-31,1)):INDIRECT(ADDRESS(22,ROW()-31,1)),AA$3:AA$22),"")</f>
        <v>7</v>
      </c>
      <c r="AB64">
        <f ca="1">IF(AND(((COLUMN()-10)&lt;=playercnt),((ROW()-41)&lt;=playercnt)),SUMPRODUCT(INDIRECT(ADDRESS(3,ROW()-31,1)):INDIRECT(ADDRESS(22,ROW()-31,1)),AB$3:AB$22),"")</f>
        <v>6</v>
      </c>
      <c r="AC64">
        <f ca="1">IF(AND(((COLUMN()-10)&lt;=playercnt),((ROW()-41)&lt;=playercnt)),SUMPRODUCT(INDIRECT(ADDRESS(3,ROW()-31,1)):INDIRECT(ADDRESS(22,ROW()-31,1)),AC$3:AC$22),"")</f>
        <v>7</v>
      </c>
      <c r="AD64">
        <f ca="1">IF(AND(((COLUMN()-10)&lt;=playercnt),((ROW()-41)&lt;=playercnt)),SUMPRODUCT(INDIRECT(ADDRESS(3,ROW()-31,1)):INDIRECT(ADDRESS(22,ROW()-31,1)),AD$3:AD$22),"")</f>
        <v>5</v>
      </c>
      <c r="AE64">
        <f ca="1">IF(AND(((COLUMN()-10)&lt;=playercnt),((ROW()-41)&lt;=playercnt)),SUMPRODUCT(INDIRECT(ADDRESS(3,ROW()-31,1)):INDIRECT(ADDRESS(22,ROW()-31,1)),AE$3:AE$22),"")</f>
        <v>7</v>
      </c>
      <c r="AF64">
        <f ca="1">IF(AND(((COLUMN()-10)&lt;=playercnt),((ROW()-41)&lt;=playercnt)),SUMPRODUCT(INDIRECT(ADDRESS(3,ROW()-31,1)):INDIRECT(ADDRESS(22,ROW()-31,1)),AF$3:AF$22),"")</f>
        <v>8</v>
      </c>
      <c r="AG64">
        <f ca="1">IF(AND(((COLUMN()-10)&lt;=playercnt),((ROW()-41)&lt;=playercnt)),SUMPRODUCT(INDIRECT(ADDRESS(3,ROW()-31,1)):INDIRECT(ADDRESS(22,ROW()-31,1)),AG$3:AG$22),"")</f>
        <v>10</v>
      </c>
      <c r="AH64">
        <f ca="1">IF(AND(((COLUMN()-10)&lt;=playercnt),((ROW()-41)&lt;=playercnt)),SUMPRODUCT(INDIRECT(ADDRESS(3,ROW()-31,1)):INDIRECT(ADDRESS(22,ROW()-31,1)),AH$3:AH$22),"")</f>
        <v>7</v>
      </c>
      <c r="AI64">
        <f ca="1">IF(AND(((COLUMN()-10)&lt;=playercnt),((ROW()-41)&lt;=playercnt)),SUMPRODUCT(INDIRECT(ADDRESS(3,ROW()-31,1)):INDIRECT(ADDRESS(22,ROW()-31,1)),AI$3:AI$22),"")</f>
        <v>5</v>
      </c>
      <c r="AJ64">
        <f ca="1">IF(AND(((COLUMN()-10)&lt;=playercnt),((ROW()-41)&lt;=playercnt)),SUMPRODUCT(INDIRECT(ADDRESS(3,ROW()-31,1)):INDIRECT(ADDRESS(22,ROW()-31,1)),AJ$3:AJ$22),"")</f>
        <v>9</v>
      </c>
      <c r="AK64">
        <f ca="1">IF(AND(((COLUMN()-10)&lt;=playercnt),((ROW()-41)&lt;=playercnt)),SUMPRODUCT(INDIRECT(ADDRESS(3,ROW()-31,1)):INDIRECT(ADDRESS(22,ROW()-31,1)),AK$3:AK$22),"")</f>
        <v>0</v>
      </c>
      <c r="AL64">
        <f ca="1">IF(AND(((COLUMN()-10)&lt;=playercnt),((ROW()-41)&lt;=playercnt)),SUMPRODUCT(INDIRECT(ADDRESS(3,ROW()-31,1)):INDIRECT(ADDRESS(22,ROW()-31,1)),AL$3:AL$22),"")</f>
        <v>6</v>
      </c>
      <c r="AM64">
        <f ca="1">IF(AND(((COLUMN()-10)&lt;=playercnt),((ROW()-41)&lt;=playercnt)),SUMPRODUCT(INDIRECT(ADDRESS(3,ROW()-31,1)):INDIRECT(ADDRESS(22,ROW()-31,1)),AM$3:AM$22),"")</f>
        <v>7</v>
      </c>
      <c r="AN64">
        <f ca="1">IF(AND(((COLUMN()-10)&lt;=playercnt),((ROW()-41)&lt;=playercnt)),SUMPRODUCT(INDIRECT(ADDRESS(3,ROW()-31,1)):INDIRECT(ADDRESS(22,ROW()-31,1)),AN$3:AN$22),"")</f>
        <v>7</v>
      </c>
      <c r="AO64">
        <f ca="1">IF(AND(((COLUMN()-10)&lt;=playercnt),((ROW()-41)&lt;=playercnt)),SUMPRODUCT(INDIRECT(ADDRESS(3,ROW()-31,1)):INDIRECT(ADDRESS(22,ROW()-31,1)),AO$3:AO$22),"")</f>
        <v>3</v>
      </c>
      <c r="AP64">
        <f ca="1">IF(AND(((COLUMN()-10)&lt;=playercnt),((ROW()-41)&lt;=playercnt)),SUMPRODUCT(INDIRECT(ADDRESS(3,ROW()-31,1)):INDIRECT(ADDRESS(22,ROW()-31,1)),AP$3:AP$22),"")</f>
        <v>0</v>
      </c>
      <c r="AQ64">
        <f ca="1">IF(AND(((COLUMN()-10)&lt;=playercnt),((ROW()-41)&lt;=playercnt)),SUMPRODUCT(INDIRECT(ADDRESS(3,ROW()-31,1)):INDIRECT(ADDRESS(22,ROW()-31,1)),AQ$3:AQ$22),"")</f>
        <v>9</v>
      </c>
      <c r="AR64">
        <f ca="1">IF(AND(((COLUMN()-10)&lt;=playercnt),((ROW()-41)&lt;=playercnt)),SUMPRODUCT(INDIRECT(ADDRESS(3,ROW()-31,1)):INDIRECT(ADDRESS(22,ROW()-31,1)),AR$3:AR$22),"")</f>
        <v>4</v>
      </c>
      <c r="AS64">
        <f ca="1">IF(AND(((COLUMN()-10)&lt;=playercnt),((ROW()-41)&lt;=playercnt)),SUMPRODUCT(INDIRECT(ADDRESS(3,ROW()-31,1)):INDIRECT(ADDRESS(22,ROW()-31,1)),AS$3:AS$22),"")</f>
        <v>5</v>
      </c>
      <c r="AT64">
        <f ca="1">IF(AND(((COLUMN()-10)&lt;=playercnt),((ROW()-41)&lt;=playercnt)),SUMPRODUCT(INDIRECT(ADDRESS(3,ROW()-31,1)):INDIRECT(ADDRESS(22,ROW()-31,1)),AT$3:AT$22),"")</f>
        <v>7</v>
      </c>
      <c r="AU64">
        <f ca="1">IF(AND(((COLUMN()-10)&lt;=playercnt),((ROW()-41)&lt;=playercnt)),SUMPRODUCT(INDIRECT(ADDRESS(3,ROW()-31,1)):INDIRECT(ADDRESS(22,ROW()-31,1)),AU$3:AU$22),"")</f>
        <v>7</v>
      </c>
      <c r="AV64">
        <f ca="1">IF(AND(((COLUMN()-10)&lt;=playercnt),((ROW()-41)&lt;=playercnt)),SUMPRODUCT(INDIRECT(ADDRESS(3,ROW()-31,1)):INDIRECT(ADDRESS(22,ROW()-31,1)),AV$3:AV$22),"")</f>
        <v>7</v>
      </c>
      <c r="AW64">
        <f ca="1">IF(AND(((COLUMN()-10)&lt;=playercnt),((ROW()-41)&lt;=playercnt)),SUMPRODUCT(INDIRECT(ADDRESS(3,ROW()-31,1)):INDIRECT(ADDRESS(22,ROW()-31,1)),AW$3:AW$22),"")</f>
        <v>5</v>
      </c>
      <c r="AX64">
        <f ca="1">IF(AND(((COLUMN()-10)&lt;=playercnt),((ROW()-41)&lt;=playercnt)),SUMPRODUCT(INDIRECT(ADDRESS(3,ROW()-31,1)):INDIRECT(ADDRESS(22,ROW()-31,1)),AX$3:AX$22),"")</f>
        <v>6</v>
      </c>
      <c r="AY64">
        <f ca="1">IF(AND(((COLUMN()-10)&lt;=playercnt),((ROW()-41)&lt;=playercnt)),SUMPRODUCT(INDIRECT(ADDRESS(3,ROW()-31,1)):INDIRECT(ADDRESS(22,ROW()-31,1)),AY$3:AY$22),"")</f>
        <v>5</v>
      </c>
      <c r="AZ64">
        <f ca="1">IF(AND(((COLUMN()-10)&lt;=playercnt),((ROW()-41)&lt;=playercnt)),SUMPRODUCT(INDIRECT(ADDRESS(3,ROW()-31,1)):INDIRECT(ADDRESS(22,ROW()-31,1)),AZ$3:AZ$22),"")</f>
        <v>8</v>
      </c>
      <c r="BA64">
        <f ca="1">IF(AND(((COLUMN()-10)&lt;=playercnt),((ROW()-41)&lt;=playercnt)),SUMPRODUCT(INDIRECT(ADDRESS(3,ROW()-31,1)):INDIRECT(ADDRESS(22,ROW()-31,1)),BA$3:BA$22),"")</f>
        <v>6</v>
      </c>
      <c r="BB64">
        <f ca="1">IF(AND(((COLUMN()-10)&lt;=playercnt),((ROW()-41)&lt;=playercnt)),SUMPRODUCT(INDIRECT(ADDRESS(3,ROW()-31,1)):INDIRECT(ADDRESS(22,ROW()-31,1)),BB$3:BB$22),"")</f>
        <v>6</v>
      </c>
      <c r="BC64">
        <f ca="1">IF(AND(((COLUMN()-10)&lt;=playercnt),((ROW()-41)&lt;=playercnt)),SUMPRODUCT(INDIRECT(ADDRESS(3,ROW()-31,1)):INDIRECT(ADDRESS(22,ROW()-31,1)),BC$3:BC$22),"")</f>
        <v>8</v>
      </c>
      <c r="BD64">
        <f ca="1">IF(AND(((COLUMN()-10)&lt;=playercnt),((ROW()-41)&lt;=playercnt)),SUMPRODUCT(INDIRECT(ADDRESS(3,ROW()-31,1)):INDIRECT(ADDRESS(22,ROW()-31,1)),BD$3:BD$22),"")</f>
        <v>4</v>
      </c>
      <c r="BE64">
        <f ca="1">IF(AND(((COLUMN()-10)&lt;=playercnt),((ROW()-41)&lt;=playercnt)),SUMPRODUCT(INDIRECT(ADDRESS(3,ROW()-31,1)):INDIRECT(ADDRESS(22,ROW()-31,1)),BE$3:BE$22),"")</f>
        <v>5</v>
      </c>
      <c r="BF64">
        <f ca="1">IF(AND(((COLUMN()-10)&lt;=playercnt),((ROW()-41)&lt;=playercnt)),SUMPRODUCT(INDIRECT(ADDRESS(3,ROW()-31,1)):INDIRECT(ADDRESS(22,ROW()-31,1)),BF$3:BF$22),"")</f>
        <v>7</v>
      </c>
      <c r="BG64">
        <f ca="1">IF(AND(((COLUMN()-10)&lt;=playercnt),((ROW()-41)&lt;=playercnt)),SUMPRODUCT(INDIRECT(ADDRESS(3,ROW()-31,1)):INDIRECT(ADDRESS(22,ROW()-31,1)),BG$3:BG$22),"")</f>
        <v>5</v>
      </c>
      <c r="BH64">
        <f ca="1">IF(AND(((COLUMN()-10)&lt;=playercnt),((ROW()-41)&lt;=playercnt)),SUMPRODUCT(INDIRECT(ADDRESS(3,ROW()-31,1)):INDIRECT(ADDRESS(22,ROW()-31,1)),BH$3:BH$22),"")</f>
        <v>9</v>
      </c>
      <c r="BI64">
        <f ca="1">IF(AND(((COLUMN()-10)&lt;=playercnt),((ROW()-41)&lt;=playercnt)),SUMPRODUCT(INDIRECT(ADDRESS(3,ROW()-31,1)):INDIRECT(ADDRESS(22,ROW()-31,1)),BI$3:BI$22),"")</f>
        <v>7</v>
      </c>
      <c r="BJ64">
        <f ca="1">IF(AND(((COLUMN()-10)&lt;=playercnt),((ROW()-41)&lt;=playercnt)),SUMPRODUCT(INDIRECT(ADDRESS(3,ROW()-31,1)):INDIRECT(ADDRESS(22,ROW()-31,1)),BJ$3:BJ$22),"")</f>
        <v>7</v>
      </c>
      <c r="BK64">
        <f ca="1">IF(AND(((COLUMN()-10)&lt;=playercnt),((ROW()-41)&lt;=playercnt)),SUMPRODUCT(INDIRECT(ADDRESS(3,ROW()-31,1)):INDIRECT(ADDRESS(22,ROW()-31,1)),BK$3:BK$22),"")</f>
        <v>7</v>
      </c>
      <c r="BL64">
        <f ca="1">IF(AND(((COLUMN()-10)&lt;=playercnt),((ROW()-41)&lt;=playercnt)),SUMPRODUCT(INDIRECT(ADDRESS(3,ROW()-31,1)):INDIRECT(ADDRESS(22,ROW()-31,1)),BL$3:BL$22),"")</f>
        <v>4</v>
      </c>
      <c r="BM64">
        <f ca="1">IF(AND(((COLUMN()-10)&lt;=playercnt),((ROW()-41)&lt;=playercnt)),SUMPRODUCT(INDIRECT(ADDRESS(3,ROW()-31,1)):INDIRECT(ADDRESS(22,ROW()-31,1)),BM$3:BM$22),"")</f>
        <v>9</v>
      </c>
      <c r="BN64">
        <f ca="1">IF(AND(((COLUMN()-10)&lt;=playercnt),((ROW()-41)&lt;=playercnt)),SUMPRODUCT(INDIRECT(ADDRESS(3,ROW()-31,1)):INDIRECT(ADDRESS(22,ROW()-31,1)),BN$3:BN$22),"")</f>
        <v>8</v>
      </c>
    </row>
    <row r="65" spans="2:66" x14ac:dyDescent="0.2">
      <c r="B65" s="27">
        <f t="shared" ca="1" si="23"/>
        <v>6.132075471698113</v>
      </c>
      <c r="C65" t="str">
        <f t="shared" ca="1" si="24"/>
        <v>Locklear, Dave Remote</v>
      </c>
      <c r="G65">
        <f ca="1">IF(AND(((COLUMN()-10)&lt;=playercnt),((ROW()-41)&lt;=playercnt)),SUMPRODUCT(INDIRECT(ADDRESS(3,ROW()-31,1)):INDIRECT(ADDRESS(22,ROW()-31,1)),G$3:G$22),"")</f>
        <v>4</v>
      </c>
      <c r="H65">
        <f ca="1">IF(AND(((COLUMN()-10)&lt;=playercnt),((ROW()-41)&lt;=playercnt)),SUMPRODUCT(INDIRECT(ADDRESS(3,ROW()-31,1)):INDIRECT(ADDRESS(22,ROW()-31,1)),H$3:H$22),"")</f>
        <v>7</v>
      </c>
      <c r="I65">
        <f ca="1">IF(AND(((COLUMN()-10)&lt;=playercnt),((ROW()-41)&lt;=playercnt)),SUMPRODUCT(INDIRECT(ADDRESS(3,ROW()-31,1)):INDIRECT(ADDRESS(22,ROW()-31,1)),I$3:I$22),"")</f>
        <v>8.5</v>
      </c>
      <c r="J65">
        <f ca="1">IF(AND(((COLUMN()-10)&lt;=playercnt),((ROW()-41)&lt;=playercnt)),SUMPRODUCT(INDIRECT(ADDRESS(3,ROW()-31,1)):INDIRECT(ADDRESS(22,ROW()-31,1)),J$3:J$22),"")</f>
        <v>0</v>
      </c>
      <c r="K65">
        <f ca="1">IF(AND(((COLUMN()-10)&lt;=playercnt),((ROW()-41)&lt;=playercnt)),SUMPRODUCT(INDIRECT(ADDRESS(3,ROW()-31,1)):INDIRECT(ADDRESS(22,ROW()-31,1)),K$3:K$22),"")</f>
        <v>9</v>
      </c>
      <c r="L65">
        <f ca="1">IF(AND(((COLUMN()-10)&lt;=playercnt),((ROW()-41)&lt;=playercnt)),SUMPRODUCT(INDIRECT(ADDRESS(3,ROW()-31,1)):INDIRECT(ADDRESS(22,ROW()-31,1)),L$3:L$22),"")</f>
        <v>8</v>
      </c>
      <c r="M65">
        <f ca="1">IF(AND(((COLUMN()-10)&lt;=playercnt),((ROW()-41)&lt;=playercnt)),SUMPRODUCT(INDIRECT(ADDRESS(3,ROW()-31,1)):INDIRECT(ADDRESS(22,ROW()-31,1)),M$3:M$22),"")</f>
        <v>5</v>
      </c>
      <c r="N65">
        <f ca="1">IF(AND(((COLUMN()-10)&lt;=playercnt),((ROW()-41)&lt;=playercnt)),SUMPRODUCT(INDIRECT(ADDRESS(3,ROW()-31,1)):INDIRECT(ADDRESS(22,ROW()-31,1)),N$3:N$22),"")</f>
        <v>8</v>
      </c>
      <c r="O65">
        <f ca="1">IF(AND(((COLUMN()-10)&lt;=playercnt),((ROW()-41)&lt;=playercnt)),SUMPRODUCT(INDIRECT(ADDRESS(3,ROW()-31,1)):INDIRECT(ADDRESS(22,ROW()-31,1)),O$3:O$22),"")</f>
        <v>4</v>
      </c>
      <c r="P65">
        <f ca="1">IF(AND(((COLUMN()-10)&lt;=playercnt),((ROW()-41)&lt;=playercnt)),SUMPRODUCT(INDIRECT(ADDRESS(3,ROW()-31,1)):INDIRECT(ADDRESS(22,ROW()-31,1)),P$3:P$22),"")</f>
        <v>7</v>
      </c>
      <c r="Q65">
        <f ca="1">IF(AND(((COLUMN()-10)&lt;=playercnt),((ROW()-41)&lt;=playercnt)),SUMPRODUCT(INDIRECT(ADDRESS(3,ROW()-31,1)):INDIRECT(ADDRESS(22,ROW()-31,1)),Q$3:Q$22),"")</f>
        <v>6</v>
      </c>
      <c r="R65">
        <f ca="1">IF(AND(((COLUMN()-10)&lt;=playercnt),((ROW()-41)&lt;=playercnt)),SUMPRODUCT(INDIRECT(ADDRESS(3,ROW()-31,1)):INDIRECT(ADDRESS(22,ROW()-31,1)),R$3:R$22),"")</f>
        <v>6</v>
      </c>
      <c r="S65">
        <f ca="1">IF(AND(((COLUMN()-10)&lt;=playercnt),((ROW()-41)&lt;=playercnt)),SUMPRODUCT(INDIRECT(ADDRESS(3,ROW()-31,1)):INDIRECT(ADDRESS(22,ROW()-31,1)),S$3:S$22),"")</f>
        <v>6</v>
      </c>
      <c r="T65">
        <f ca="1">IF(AND(((COLUMN()-10)&lt;=playercnt),((ROW()-41)&lt;=playercnt)),SUMPRODUCT(INDIRECT(ADDRESS(3,ROW()-31,1)):INDIRECT(ADDRESS(22,ROW()-31,1)),T$3:T$22),"")</f>
        <v>5</v>
      </c>
      <c r="U65">
        <f ca="1">IF(AND(((COLUMN()-10)&lt;=playercnt),((ROW()-41)&lt;=playercnt)),SUMPRODUCT(INDIRECT(ADDRESS(3,ROW()-31,1)):INDIRECT(ADDRESS(22,ROW()-31,1)),U$3:U$22),"")</f>
        <v>8</v>
      </c>
      <c r="V65">
        <f ca="1">IF(AND(((COLUMN()-10)&lt;=playercnt),((ROW()-41)&lt;=playercnt)),SUMPRODUCT(INDIRECT(ADDRESS(3,ROW()-31,1)):INDIRECT(ADDRESS(22,ROW()-31,1)),V$3:V$22),"")</f>
        <v>4</v>
      </c>
      <c r="W65">
        <f ca="1">IF(AND(((COLUMN()-10)&lt;=playercnt),((ROW()-41)&lt;=playercnt)),SUMPRODUCT(INDIRECT(ADDRESS(3,ROW()-31,1)):INDIRECT(ADDRESS(22,ROW()-31,1)),W$3:W$22),"")</f>
        <v>6</v>
      </c>
      <c r="X65">
        <f ca="1">IF(AND(((COLUMN()-10)&lt;=playercnt),((ROW()-41)&lt;=playercnt)),SUMPRODUCT(INDIRECT(ADDRESS(3,ROW()-31,1)):INDIRECT(ADDRESS(22,ROW()-31,1)),X$3:X$22),"")</f>
        <v>5</v>
      </c>
      <c r="Y65">
        <f ca="1">IF(AND(((COLUMN()-10)&lt;=playercnt),((ROW()-41)&lt;=playercnt)),SUMPRODUCT(INDIRECT(ADDRESS(3,ROW()-31,1)):INDIRECT(ADDRESS(22,ROW()-31,1)),Y$3:Y$22),"")</f>
        <v>6</v>
      </c>
      <c r="Z65">
        <f ca="1">IF(AND(((COLUMN()-10)&lt;=playercnt),((ROW()-41)&lt;=playercnt)),SUMPRODUCT(INDIRECT(ADDRESS(3,ROW()-31,1)):INDIRECT(ADDRESS(22,ROW()-31,1)),Z$3:Z$22),"")</f>
        <v>5</v>
      </c>
      <c r="AA65">
        <f ca="1">IF(AND(((COLUMN()-10)&lt;=playercnt),((ROW()-41)&lt;=playercnt)),SUMPRODUCT(INDIRECT(ADDRESS(3,ROW()-31,1)):INDIRECT(ADDRESS(22,ROW()-31,1)),AA$3:AA$22),"")</f>
        <v>4</v>
      </c>
      <c r="AB65">
        <f ca="1">IF(AND(((COLUMN()-10)&lt;=playercnt),((ROW()-41)&lt;=playercnt)),SUMPRODUCT(INDIRECT(ADDRESS(3,ROW()-31,1)):INDIRECT(ADDRESS(22,ROW()-31,1)),AB$3:AB$22),"")</f>
        <v>5</v>
      </c>
      <c r="AC65">
        <f ca="1">IF(AND(((COLUMN()-10)&lt;=playercnt),((ROW()-41)&lt;=playercnt)),SUMPRODUCT(INDIRECT(ADDRESS(3,ROW()-31,1)):INDIRECT(ADDRESS(22,ROW()-31,1)),AC$3:AC$22),"")</f>
        <v>6</v>
      </c>
      <c r="AD65">
        <f ca="1">IF(AND(((COLUMN()-10)&lt;=playercnt),((ROW()-41)&lt;=playercnt)),SUMPRODUCT(INDIRECT(ADDRESS(3,ROW()-31,1)):INDIRECT(ADDRESS(22,ROW()-31,1)),AD$3:AD$22),"")</f>
        <v>4</v>
      </c>
      <c r="AE65">
        <f ca="1">IF(AND(((COLUMN()-10)&lt;=playercnt),((ROW()-41)&lt;=playercnt)),SUMPRODUCT(INDIRECT(ADDRESS(3,ROW()-31,1)):INDIRECT(ADDRESS(22,ROW()-31,1)),AE$3:AE$22),"")</f>
        <v>6</v>
      </c>
      <c r="AF65">
        <f ca="1">IF(AND(((COLUMN()-10)&lt;=playercnt),((ROW()-41)&lt;=playercnt)),SUMPRODUCT(INDIRECT(ADDRESS(3,ROW()-31,1)):INDIRECT(ADDRESS(22,ROW()-31,1)),AF$3:AF$22),"")</f>
        <v>5</v>
      </c>
      <c r="AG65">
        <f ca="1">IF(AND(((COLUMN()-10)&lt;=playercnt),((ROW()-41)&lt;=playercnt)),SUMPRODUCT(INDIRECT(ADDRESS(3,ROW()-31,1)):INDIRECT(ADDRESS(22,ROW()-31,1)),AG$3:AG$22),"")</f>
        <v>7</v>
      </c>
      <c r="AH65">
        <f ca="1">IF(AND(((COLUMN()-10)&lt;=playercnt),((ROW()-41)&lt;=playercnt)),SUMPRODUCT(INDIRECT(ADDRESS(3,ROW()-31,1)):INDIRECT(ADDRESS(22,ROW()-31,1)),AH$3:AH$22),"")</f>
        <v>10</v>
      </c>
      <c r="AI65">
        <f ca="1">IF(AND(((COLUMN()-10)&lt;=playercnt),((ROW()-41)&lt;=playercnt)),SUMPRODUCT(INDIRECT(ADDRESS(3,ROW()-31,1)):INDIRECT(ADDRESS(22,ROW()-31,1)),AI$3:AI$22),"")</f>
        <v>4</v>
      </c>
      <c r="AJ65">
        <f ca="1">IF(AND(((COLUMN()-10)&lt;=playercnt),((ROW()-41)&lt;=playercnt)),SUMPRODUCT(INDIRECT(ADDRESS(3,ROW()-31,1)):INDIRECT(ADDRESS(22,ROW()-31,1)),AJ$3:AJ$22),"")</f>
        <v>6</v>
      </c>
      <c r="AK65">
        <f ca="1">IF(AND(((COLUMN()-10)&lt;=playercnt),((ROW()-41)&lt;=playercnt)),SUMPRODUCT(INDIRECT(ADDRESS(3,ROW()-31,1)):INDIRECT(ADDRESS(22,ROW()-31,1)),AK$3:AK$22),"")</f>
        <v>0</v>
      </c>
      <c r="AL65">
        <f ca="1">IF(AND(((COLUMN()-10)&lt;=playercnt),((ROW()-41)&lt;=playercnt)),SUMPRODUCT(INDIRECT(ADDRESS(3,ROW()-31,1)):INDIRECT(ADDRESS(22,ROW()-31,1)),AL$3:AL$22),"")</f>
        <v>7</v>
      </c>
      <c r="AM65">
        <f ca="1">IF(AND(((COLUMN()-10)&lt;=playercnt),((ROW()-41)&lt;=playercnt)),SUMPRODUCT(INDIRECT(ADDRESS(3,ROW()-31,1)):INDIRECT(ADDRESS(22,ROW()-31,1)),AM$3:AM$22),"")</f>
        <v>8</v>
      </c>
      <c r="AN65">
        <f ca="1">IF(AND(((COLUMN()-10)&lt;=playercnt),((ROW()-41)&lt;=playercnt)),SUMPRODUCT(INDIRECT(ADDRESS(3,ROW()-31,1)):INDIRECT(ADDRESS(22,ROW()-31,1)),AN$3:AN$22),"")</f>
        <v>8</v>
      </c>
      <c r="AO65">
        <f ca="1">IF(AND(((COLUMN()-10)&lt;=playercnt),((ROW()-41)&lt;=playercnt)),SUMPRODUCT(INDIRECT(ADDRESS(3,ROW()-31,1)):INDIRECT(ADDRESS(22,ROW()-31,1)),AO$3:AO$22),"")</f>
        <v>2</v>
      </c>
      <c r="AP65">
        <f ca="1">IF(AND(((COLUMN()-10)&lt;=playercnt),((ROW()-41)&lt;=playercnt)),SUMPRODUCT(INDIRECT(ADDRESS(3,ROW()-31,1)):INDIRECT(ADDRESS(22,ROW()-31,1)),AP$3:AP$22),"")</f>
        <v>0</v>
      </c>
      <c r="AQ65">
        <f ca="1">IF(AND(((COLUMN()-10)&lt;=playercnt),((ROW()-41)&lt;=playercnt)),SUMPRODUCT(INDIRECT(ADDRESS(3,ROW()-31,1)):INDIRECT(ADDRESS(22,ROW()-31,1)),AQ$3:AQ$22),"")</f>
        <v>6</v>
      </c>
      <c r="AR65">
        <f ca="1">IF(AND(((COLUMN()-10)&lt;=playercnt),((ROW()-41)&lt;=playercnt)),SUMPRODUCT(INDIRECT(ADDRESS(3,ROW()-31,1)):INDIRECT(ADDRESS(22,ROW()-31,1)),AR$3:AR$22),"")</f>
        <v>7</v>
      </c>
      <c r="AS65">
        <f ca="1">IF(AND(((COLUMN()-10)&lt;=playercnt),((ROW()-41)&lt;=playercnt)),SUMPRODUCT(INDIRECT(ADDRESS(3,ROW()-31,1)):INDIRECT(ADDRESS(22,ROW()-31,1)),AS$3:AS$22),"")</f>
        <v>6</v>
      </c>
      <c r="AT65">
        <f ca="1">IF(AND(((COLUMN()-10)&lt;=playercnt),((ROW()-41)&lt;=playercnt)),SUMPRODUCT(INDIRECT(ADDRESS(3,ROW()-31,1)):INDIRECT(ADDRESS(22,ROW()-31,1)),AT$3:AT$22),"")</f>
        <v>8</v>
      </c>
      <c r="AU65">
        <f ca="1">IF(AND(((COLUMN()-10)&lt;=playercnt),((ROW()-41)&lt;=playercnt)),SUMPRODUCT(INDIRECT(ADDRESS(3,ROW()-31,1)):INDIRECT(ADDRESS(22,ROW()-31,1)),AU$3:AU$22),"")</f>
        <v>6</v>
      </c>
      <c r="AV65">
        <f ca="1">IF(AND(((COLUMN()-10)&lt;=playercnt),((ROW()-41)&lt;=playercnt)),SUMPRODUCT(INDIRECT(ADDRESS(3,ROW()-31,1)):INDIRECT(ADDRESS(22,ROW()-31,1)),AV$3:AV$22),"")</f>
        <v>8</v>
      </c>
      <c r="AW65">
        <f ca="1">IF(AND(((COLUMN()-10)&lt;=playercnt),((ROW()-41)&lt;=playercnt)),SUMPRODUCT(INDIRECT(ADDRESS(3,ROW()-31,1)):INDIRECT(ADDRESS(22,ROW()-31,1)),AW$3:AW$22),"")</f>
        <v>6</v>
      </c>
      <c r="AX65">
        <f ca="1">IF(AND(((COLUMN()-10)&lt;=playercnt),((ROW()-41)&lt;=playercnt)),SUMPRODUCT(INDIRECT(ADDRESS(3,ROW()-31,1)):INDIRECT(ADDRESS(22,ROW()-31,1)),AX$3:AX$22),"")</f>
        <v>9</v>
      </c>
      <c r="AY65">
        <f ca="1">IF(AND(((COLUMN()-10)&lt;=playercnt),((ROW()-41)&lt;=playercnt)),SUMPRODUCT(INDIRECT(ADDRESS(3,ROW()-31,1)):INDIRECT(ADDRESS(22,ROW()-31,1)),AY$3:AY$22),"")</f>
        <v>8</v>
      </c>
      <c r="AZ65">
        <f ca="1">IF(AND(((COLUMN()-10)&lt;=playercnt),((ROW()-41)&lt;=playercnt)),SUMPRODUCT(INDIRECT(ADDRESS(3,ROW()-31,1)):INDIRECT(ADDRESS(22,ROW()-31,1)),AZ$3:AZ$22),"")</f>
        <v>7</v>
      </c>
      <c r="BA65">
        <f ca="1">IF(AND(((COLUMN()-10)&lt;=playercnt),((ROW()-41)&lt;=playercnt)),SUMPRODUCT(INDIRECT(ADDRESS(3,ROW()-31,1)):INDIRECT(ADDRESS(22,ROW()-31,1)),BA$3:BA$22),"")</f>
        <v>5</v>
      </c>
      <c r="BB65">
        <f ca="1">IF(AND(((COLUMN()-10)&lt;=playercnt),((ROW()-41)&lt;=playercnt)),SUMPRODUCT(INDIRECT(ADDRESS(3,ROW()-31,1)):INDIRECT(ADDRESS(22,ROW()-31,1)),BB$3:BB$22),"")</f>
        <v>7</v>
      </c>
      <c r="BC65">
        <f ca="1">IF(AND(((COLUMN()-10)&lt;=playercnt),((ROW()-41)&lt;=playercnt)),SUMPRODUCT(INDIRECT(ADDRESS(3,ROW()-31,1)):INDIRECT(ADDRESS(22,ROW()-31,1)),BC$3:BC$22),"")</f>
        <v>5</v>
      </c>
      <c r="BD65">
        <f ca="1">IF(AND(((COLUMN()-10)&lt;=playercnt),((ROW()-41)&lt;=playercnt)),SUMPRODUCT(INDIRECT(ADDRESS(3,ROW()-31,1)):INDIRECT(ADDRESS(22,ROW()-31,1)),BD$3:BD$22),"")</f>
        <v>1</v>
      </c>
      <c r="BE65">
        <f ca="1">IF(AND(((COLUMN()-10)&lt;=playercnt),((ROW()-41)&lt;=playercnt)),SUMPRODUCT(INDIRECT(ADDRESS(3,ROW()-31,1)):INDIRECT(ADDRESS(22,ROW()-31,1)),BE$3:BE$22),"")</f>
        <v>6</v>
      </c>
      <c r="BF65">
        <f ca="1">IF(AND(((COLUMN()-10)&lt;=playercnt),((ROW()-41)&lt;=playercnt)),SUMPRODUCT(INDIRECT(ADDRESS(3,ROW()-31,1)):INDIRECT(ADDRESS(22,ROW()-31,1)),BF$3:BF$22),"")</f>
        <v>6</v>
      </c>
      <c r="BG65">
        <f ca="1">IF(AND(((COLUMN()-10)&lt;=playercnt),((ROW()-41)&lt;=playercnt)),SUMPRODUCT(INDIRECT(ADDRESS(3,ROW()-31,1)):INDIRECT(ADDRESS(22,ROW()-31,1)),BG$3:BG$22),"")</f>
        <v>6</v>
      </c>
      <c r="BH65">
        <f ca="1">IF(AND(((COLUMN()-10)&lt;=playercnt),((ROW()-41)&lt;=playercnt)),SUMPRODUCT(INDIRECT(ADDRESS(3,ROW()-31,1)):INDIRECT(ADDRESS(22,ROW()-31,1)),BH$3:BH$22),"")</f>
        <v>6</v>
      </c>
      <c r="BI65">
        <f ca="1">IF(AND(((COLUMN()-10)&lt;=playercnt),((ROW()-41)&lt;=playercnt)),SUMPRODUCT(INDIRECT(ADDRESS(3,ROW()-31,1)):INDIRECT(ADDRESS(22,ROW()-31,1)),BI$3:BI$22),"")</f>
        <v>8</v>
      </c>
      <c r="BJ65">
        <f ca="1">IF(AND(((COLUMN()-10)&lt;=playercnt),((ROW()-41)&lt;=playercnt)),SUMPRODUCT(INDIRECT(ADDRESS(3,ROW()-31,1)):INDIRECT(ADDRESS(22,ROW()-31,1)),BJ$3:BJ$22),"")</f>
        <v>6</v>
      </c>
      <c r="BK65">
        <f ca="1">IF(AND(((COLUMN()-10)&lt;=playercnt),((ROW()-41)&lt;=playercnt)),SUMPRODUCT(INDIRECT(ADDRESS(3,ROW()-31,1)):INDIRECT(ADDRESS(22,ROW()-31,1)),BK$3:BK$22),"")</f>
        <v>6</v>
      </c>
      <c r="BL65">
        <f ca="1">IF(AND(((COLUMN()-10)&lt;=playercnt),((ROW()-41)&lt;=playercnt)),SUMPRODUCT(INDIRECT(ADDRESS(3,ROW()-31,1)):INDIRECT(ADDRESS(22,ROW()-31,1)),BL$3:BL$22),"")</f>
        <v>7</v>
      </c>
      <c r="BM65">
        <f ca="1">IF(AND(((COLUMN()-10)&lt;=playercnt),((ROW()-41)&lt;=playercnt)),SUMPRODUCT(INDIRECT(ADDRESS(3,ROW()-31,1)):INDIRECT(ADDRESS(22,ROW()-31,1)),BM$3:BM$22),"")</f>
        <v>8</v>
      </c>
      <c r="BN65">
        <f ca="1">IF(AND(((COLUMN()-10)&lt;=playercnt),((ROW()-41)&lt;=playercnt)),SUMPRODUCT(INDIRECT(ADDRESS(3,ROW()-31,1)):INDIRECT(ADDRESS(22,ROW()-31,1)),BN$3:BN$22),"")</f>
        <v>7</v>
      </c>
    </row>
    <row r="66" spans="2:66" x14ac:dyDescent="0.2">
      <c r="B66" s="27">
        <f t="shared" ca="1" si="23"/>
        <v>5.5660377358490569</v>
      </c>
      <c r="C66" t="str">
        <f t="shared" ca="1" si="24"/>
        <v>Marsh, Alexander Remote</v>
      </c>
      <c r="G66">
        <f ca="1">IF(AND(((COLUMN()-10)&lt;=playercnt),((ROW()-41)&lt;=playercnt)),SUMPRODUCT(INDIRECT(ADDRESS(3,ROW()-31,1)):INDIRECT(ADDRESS(22,ROW()-31,1)),G$3:G$22),"")</f>
        <v>4</v>
      </c>
      <c r="H66">
        <f ca="1">IF(AND(((COLUMN()-10)&lt;=playercnt),((ROW()-41)&lt;=playercnt)),SUMPRODUCT(INDIRECT(ADDRESS(3,ROW()-31,1)):INDIRECT(ADDRESS(22,ROW()-31,1)),H$3:H$22),"")</f>
        <v>5</v>
      </c>
      <c r="I66">
        <f ca="1">IF(AND(((COLUMN()-10)&lt;=playercnt),((ROW()-41)&lt;=playercnt)),SUMPRODUCT(INDIRECT(ADDRESS(3,ROW()-31,1)):INDIRECT(ADDRESS(22,ROW()-31,1)),I$3:I$22),"")</f>
        <v>5.5</v>
      </c>
      <c r="J66">
        <f ca="1">IF(AND(((COLUMN()-10)&lt;=playercnt),((ROW()-41)&lt;=playercnt)),SUMPRODUCT(INDIRECT(ADDRESS(3,ROW()-31,1)):INDIRECT(ADDRESS(22,ROW()-31,1)),J$3:J$22),"")</f>
        <v>0</v>
      </c>
      <c r="K66">
        <f ca="1">IF(AND(((COLUMN()-10)&lt;=playercnt),((ROW()-41)&lt;=playercnt)),SUMPRODUCT(INDIRECT(ADDRESS(3,ROW()-31,1)):INDIRECT(ADDRESS(22,ROW()-31,1)),K$3:K$22),"")</f>
        <v>5</v>
      </c>
      <c r="L66">
        <f ca="1">IF(AND(((COLUMN()-10)&lt;=playercnt),((ROW()-41)&lt;=playercnt)),SUMPRODUCT(INDIRECT(ADDRESS(3,ROW()-31,1)):INDIRECT(ADDRESS(22,ROW()-31,1)),L$3:L$22),"")</f>
        <v>4</v>
      </c>
      <c r="M66">
        <f ca="1">IF(AND(((COLUMN()-10)&lt;=playercnt),((ROW()-41)&lt;=playercnt)),SUMPRODUCT(INDIRECT(ADDRESS(3,ROW()-31,1)):INDIRECT(ADDRESS(22,ROW()-31,1)),M$3:M$22),"")</f>
        <v>7</v>
      </c>
      <c r="N66">
        <f ca="1">IF(AND(((COLUMN()-10)&lt;=playercnt),((ROW()-41)&lt;=playercnt)),SUMPRODUCT(INDIRECT(ADDRESS(3,ROW()-31,1)):INDIRECT(ADDRESS(22,ROW()-31,1)),N$3:N$22),"")</f>
        <v>4</v>
      </c>
      <c r="O66">
        <f ca="1">IF(AND(((COLUMN()-10)&lt;=playercnt),((ROW()-41)&lt;=playercnt)),SUMPRODUCT(INDIRECT(ADDRESS(3,ROW()-31,1)):INDIRECT(ADDRESS(22,ROW()-31,1)),O$3:O$22),"")</f>
        <v>8</v>
      </c>
      <c r="P66">
        <f ca="1">IF(AND(((COLUMN()-10)&lt;=playercnt),((ROW()-41)&lt;=playercnt)),SUMPRODUCT(INDIRECT(ADDRESS(3,ROW()-31,1)):INDIRECT(ADDRESS(22,ROW()-31,1)),P$3:P$22),"")</f>
        <v>5</v>
      </c>
      <c r="Q66">
        <f ca="1">IF(AND(((COLUMN()-10)&lt;=playercnt),((ROW()-41)&lt;=playercnt)),SUMPRODUCT(INDIRECT(ADDRESS(3,ROW()-31,1)):INDIRECT(ADDRESS(22,ROW()-31,1)),Q$3:Q$22),"")</f>
        <v>8</v>
      </c>
      <c r="R66">
        <f ca="1">IF(AND(((COLUMN()-10)&lt;=playercnt),((ROW()-41)&lt;=playercnt)),SUMPRODUCT(INDIRECT(ADDRESS(3,ROW()-31,1)):INDIRECT(ADDRESS(22,ROW()-31,1)),R$3:R$22),"")</f>
        <v>4</v>
      </c>
      <c r="S66">
        <f ca="1">IF(AND(((COLUMN()-10)&lt;=playercnt),((ROW()-41)&lt;=playercnt)),SUMPRODUCT(INDIRECT(ADDRESS(3,ROW()-31,1)):INDIRECT(ADDRESS(22,ROW()-31,1)),S$3:S$22),"")</f>
        <v>4</v>
      </c>
      <c r="T66">
        <f ca="1">IF(AND(((COLUMN()-10)&lt;=playercnt),((ROW()-41)&lt;=playercnt)),SUMPRODUCT(INDIRECT(ADDRESS(3,ROW()-31,1)):INDIRECT(ADDRESS(22,ROW()-31,1)),T$3:T$22),"")</f>
        <v>7</v>
      </c>
      <c r="U66">
        <f ca="1">IF(AND(((COLUMN()-10)&lt;=playercnt),((ROW()-41)&lt;=playercnt)),SUMPRODUCT(INDIRECT(ADDRESS(3,ROW()-31,1)):INDIRECT(ADDRESS(22,ROW()-31,1)),U$3:U$22),"")</f>
        <v>4</v>
      </c>
      <c r="V66">
        <f ca="1">IF(AND(((COLUMN()-10)&lt;=playercnt),((ROW()-41)&lt;=playercnt)),SUMPRODUCT(INDIRECT(ADDRESS(3,ROW()-31,1)):INDIRECT(ADDRESS(22,ROW()-31,1)),V$3:V$22),"")</f>
        <v>6</v>
      </c>
      <c r="W66">
        <f ca="1">IF(AND(((COLUMN()-10)&lt;=playercnt),((ROW()-41)&lt;=playercnt)),SUMPRODUCT(INDIRECT(ADDRESS(3,ROW()-31,1)):INDIRECT(ADDRESS(22,ROW()-31,1)),W$3:W$22),"")</f>
        <v>6</v>
      </c>
      <c r="X66">
        <f ca="1">IF(AND(((COLUMN()-10)&lt;=playercnt),((ROW()-41)&lt;=playercnt)),SUMPRODUCT(INDIRECT(ADDRESS(3,ROW()-31,1)):INDIRECT(ADDRESS(22,ROW()-31,1)),X$3:X$22),"")</f>
        <v>7</v>
      </c>
      <c r="Y66">
        <f ca="1">IF(AND(((COLUMN()-10)&lt;=playercnt),((ROW()-41)&lt;=playercnt)),SUMPRODUCT(INDIRECT(ADDRESS(3,ROW()-31,1)):INDIRECT(ADDRESS(22,ROW()-31,1)),Y$3:Y$22),"")</f>
        <v>6</v>
      </c>
      <c r="Z66">
        <f ca="1">IF(AND(((COLUMN()-10)&lt;=playercnt),((ROW()-41)&lt;=playercnt)),SUMPRODUCT(INDIRECT(ADDRESS(3,ROW()-31,1)):INDIRECT(ADDRESS(22,ROW()-31,1)),Z$3:Z$22),"")</f>
        <v>7</v>
      </c>
      <c r="AA66">
        <f ca="1">IF(AND(((COLUMN()-10)&lt;=playercnt),((ROW()-41)&lt;=playercnt)),SUMPRODUCT(INDIRECT(ADDRESS(3,ROW()-31,1)):INDIRECT(ADDRESS(22,ROW()-31,1)),AA$3:AA$22),"")</f>
        <v>8</v>
      </c>
      <c r="AB66">
        <f ca="1">IF(AND(((COLUMN()-10)&lt;=playercnt),((ROW()-41)&lt;=playercnt)),SUMPRODUCT(INDIRECT(ADDRESS(3,ROW()-31,1)):INDIRECT(ADDRESS(22,ROW()-31,1)),AB$3:AB$22),"")</f>
        <v>7</v>
      </c>
      <c r="AC66">
        <f ca="1">IF(AND(((COLUMN()-10)&lt;=playercnt),((ROW()-41)&lt;=playercnt)),SUMPRODUCT(INDIRECT(ADDRESS(3,ROW()-31,1)):INDIRECT(ADDRESS(22,ROW()-31,1)),AC$3:AC$22),"")</f>
        <v>4</v>
      </c>
      <c r="AD66">
        <f ca="1">IF(AND(((COLUMN()-10)&lt;=playercnt),((ROW()-41)&lt;=playercnt)),SUMPRODUCT(INDIRECT(ADDRESS(3,ROW()-31,1)):INDIRECT(ADDRESS(22,ROW()-31,1)),AD$3:AD$22),"")</f>
        <v>8</v>
      </c>
      <c r="AE66">
        <f ca="1">IF(AND(((COLUMN()-10)&lt;=playercnt),((ROW()-41)&lt;=playercnt)),SUMPRODUCT(INDIRECT(ADDRESS(3,ROW()-31,1)):INDIRECT(ADDRESS(22,ROW()-31,1)),AE$3:AE$22),"")</f>
        <v>4</v>
      </c>
      <c r="AF66">
        <f ca="1">IF(AND(((COLUMN()-10)&lt;=playercnt),((ROW()-41)&lt;=playercnt)),SUMPRODUCT(INDIRECT(ADDRESS(3,ROW()-31,1)):INDIRECT(ADDRESS(22,ROW()-31,1)),AF$3:AF$22),"")</f>
        <v>7</v>
      </c>
      <c r="AG66">
        <f ca="1">IF(AND(((COLUMN()-10)&lt;=playercnt),((ROW()-41)&lt;=playercnt)),SUMPRODUCT(INDIRECT(ADDRESS(3,ROW()-31,1)):INDIRECT(ADDRESS(22,ROW()-31,1)),AG$3:AG$22),"")</f>
        <v>5</v>
      </c>
      <c r="AH66">
        <f ca="1">IF(AND(((COLUMN()-10)&lt;=playercnt),((ROW()-41)&lt;=playercnt)),SUMPRODUCT(INDIRECT(ADDRESS(3,ROW()-31,1)):INDIRECT(ADDRESS(22,ROW()-31,1)),AH$3:AH$22),"")</f>
        <v>4</v>
      </c>
      <c r="AI66">
        <f ca="1">IF(AND(((COLUMN()-10)&lt;=playercnt),((ROW()-41)&lt;=playercnt)),SUMPRODUCT(INDIRECT(ADDRESS(3,ROW()-31,1)):INDIRECT(ADDRESS(22,ROW()-31,1)),AI$3:AI$22),"")</f>
        <v>10</v>
      </c>
      <c r="AJ66">
        <f ca="1">IF(AND(((COLUMN()-10)&lt;=playercnt),((ROW()-41)&lt;=playercnt)),SUMPRODUCT(INDIRECT(ADDRESS(3,ROW()-31,1)):INDIRECT(ADDRESS(22,ROW()-31,1)),AJ$3:AJ$22),"")</f>
        <v>6</v>
      </c>
      <c r="AK66">
        <f ca="1">IF(AND(((COLUMN()-10)&lt;=playercnt),((ROW()-41)&lt;=playercnt)),SUMPRODUCT(INDIRECT(ADDRESS(3,ROW()-31,1)):INDIRECT(ADDRESS(22,ROW()-31,1)),AK$3:AK$22),"")</f>
        <v>0</v>
      </c>
      <c r="AL66">
        <f ca="1">IF(AND(((COLUMN()-10)&lt;=playercnt),((ROW()-41)&lt;=playercnt)),SUMPRODUCT(INDIRECT(ADDRESS(3,ROW()-31,1)):INDIRECT(ADDRESS(22,ROW()-31,1)),AL$3:AL$22),"")</f>
        <v>7</v>
      </c>
      <c r="AM66">
        <f ca="1">IF(AND(((COLUMN()-10)&lt;=playercnt),((ROW()-41)&lt;=playercnt)),SUMPRODUCT(INDIRECT(ADDRESS(3,ROW()-31,1)):INDIRECT(ADDRESS(22,ROW()-31,1)),AM$3:AM$22),"")</f>
        <v>4</v>
      </c>
      <c r="AN66">
        <f ca="1">IF(AND(((COLUMN()-10)&lt;=playercnt),((ROW()-41)&lt;=playercnt)),SUMPRODUCT(INDIRECT(ADDRESS(3,ROW()-31,1)):INDIRECT(ADDRESS(22,ROW()-31,1)),AN$3:AN$22),"")</f>
        <v>4</v>
      </c>
      <c r="AO66">
        <f ca="1">IF(AND(((COLUMN()-10)&lt;=playercnt),((ROW()-41)&lt;=playercnt)),SUMPRODUCT(INDIRECT(ADDRESS(3,ROW()-31,1)):INDIRECT(ADDRESS(22,ROW()-31,1)),AO$3:AO$22),"")</f>
        <v>6</v>
      </c>
      <c r="AP66">
        <f ca="1">IF(AND(((COLUMN()-10)&lt;=playercnt),((ROW()-41)&lt;=playercnt)),SUMPRODUCT(INDIRECT(ADDRESS(3,ROW()-31,1)):INDIRECT(ADDRESS(22,ROW()-31,1)),AP$3:AP$22),"")</f>
        <v>0</v>
      </c>
      <c r="AQ66">
        <f ca="1">IF(AND(((COLUMN()-10)&lt;=playercnt),((ROW()-41)&lt;=playercnt)),SUMPRODUCT(INDIRECT(ADDRESS(3,ROW()-31,1)):INDIRECT(ADDRESS(22,ROW()-31,1)),AQ$3:AQ$22),"")</f>
        <v>6</v>
      </c>
      <c r="AR66">
        <f ca="1">IF(AND(((COLUMN()-10)&lt;=playercnt),((ROW()-41)&lt;=playercnt)),SUMPRODUCT(INDIRECT(ADDRESS(3,ROW()-31,1)):INDIRECT(ADDRESS(22,ROW()-31,1)),AR$3:AR$22),"")</f>
        <v>5</v>
      </c>
      <c r="AS66">
        <f ca="1">IF(AND(((COLUMN()-10)&lt;=playercnt),((ROW()-41)&lt;=playercnt)),SUMPRODUCT(INDIRECT(ADDRESS(3,ROW()-31,1)):INDIRECT(ADDRESS(22,ROW()-31,1)),AS$3:AS$22),"")</f>
        <v>6</v>
      </c>
      <c r="AT66">
        <f ca="1">IF(AND(((COLUMN()-10)&lt;=playercnt),((ROW()-41)&lt;=playercnt)),SUMPRODUCT(INDIRECT(ADDRESS(3,ROW()-31,1)):INDIRECT(ADDRESS(22,ROW()-31,1)),AT$3:AT$22),"")</f>
        <v>6</v>
      </c>
      <c r="AU66">
        <f ca="1">IF(AND(((COLUMN()-10)&lt;=playercnt),((ROW()-41)&lt;=playercnt)),SUMPRODUCT(INDIRECT(ADDRESS(3,ROW()-31,1)):INDIRECT(ADDRESS(22,ROW()-31,1)),AU$3:AU$22),"")</f>
        <v>8</v>
      </c>
      <c r="AV66">
        <f ca="1">IF(AND(((COLUMN()-10)&lt;=playercnt),((ROW()-41)&lt;=playercnt)),SUMPRODUCT(INDIRECT(ADDRESS(3,ROW()-31,1)):INDIRECT(ADDRESS(22,ROW()-31,1)),AV$3:AV$22),"")</f>
        <v>4</v>
      </c>
      <c r="AW66">
        <f ca="1">IF(AND(((COLUMN()-10)&lt;=playercnt),((ROW()-41)&lt;=playercnt)),SUMPRODUCT(INDIRECT(ADDRESS(3,ROW()-31,1)):INDIRECT(ADDRESS(22,ROW()-31,1)),AW$3:AW$22),"")</f>
        <v>6</v>
      </c>
      <c r="AX66">
        <f ca="1">IF(AND(((COLUMN()-10)&lt;=playercnt),((ROW()-41)&lt;=playercnt)),SUMPRODUCT(INDIRECT(ADDRESS(3,ROW()-31,1)):INDIRECT(ADDRESS(22,ROW()-31,1)),AX$3:AX$22),"")</f>
        <v>5</v>
      </c>
      <c r="AY66">
        <f ca="1">IF(AND(((COLUMN()-10)&lt;=playercnt),((ROW()-41)&lt;=playercnt)),SUMPRODUCT(INDIRECT(ADDRESS(3,ROW()-31,1)):INDIRECT(ADDRESS(22,ROW()-31,1)),AY$3:AY$22),"")</f>
        <v>6</v>
      </c>
      <c r="AZ66">
        <f ca="1">IF(AND(((COLUMN()-10)&lt;=playercnt),((ROW()-41)&lt;=playercnt)),SUMPRODUCT(INDIRECT(ADDRESS(3,ROW()-31,1)):INDIRECT(ADDRESS(22,ROW()-31,1)),AZ$3:AZ$22),"")</f>
        <v>5</v>
      </c>
      <c r="BA66">
        <f ca="1">IF(AND(((COLUMN()-10)&lt;=playercnt),((ROW()-41)&lt;=playercnt)),SUMPRODUCT(INDIRECT(ADDRESS(3,ROW()-31,1)):INDIRECT(ADDRESS(22,ROW()-31,1)),BA$3:BA$22),"")</f>
        <v>5</v>
      </c>
      <c r="BB66">
        <f ca="1">IF(AND(((COLUMN()-10)&lt;=playercnt),((ROW()-41)&lt;=playercnt)),SUMPRODUCT(INDIRECT(ADDRESS(3,ROW()-31,1)):INDIRECT(ADDRESS(22,ROW()-31,1)),BB$3:BB$22),"")</f>
        <v>5</v>
      </c>
      <c r="BC66">
        <f ca="1">IF(AND(((COLUMN()-10)&lt;=playercnt),((ROW()-41)&lt;=playercnt)),SUMPRODUCT(INDIRECT(ADDRESS(3,ROW()-31,1)):INDIRECT(ADDRESS(22,ROW()-31,1)),BC$3:BC$22),"")</f>
        <v>5</v>
      </c>
      <c r="BD66">
        <f ca="1">IF(AND(((COLUMN()-10)&lt;=playercnt),((ROW()-41)&lt;=playercnt)),SUMPRODUCT(INDIRECT(ADDRESS(3,ROW()-31,1)):INDIRECT(ADDRESS(22,ROW()-31,1)),BD$3:BD$22),"")</f>
        <v>7</v>
      </c>
      <c r="BE66">
        <f ca="1">IF(AND(((COLUMN()-10)&lt;=playercnt),((ROW()-41)&lt;=playercnt)),SUMPRODUCT(INDIRECT(ADDRESS(3,ROW()-31,1)):INDIRECT(ADDRESS(22,ROW()-31,1)),BE$3:BE$22),"")</f>
        <v>8</v>
      </c>
      <c r="BF66">
        <f ca="1">IF(AND(((COLUMN()-10)&lt;=playercnt),((ROW()-41)&lt;=playercnt)),SUMPRODUCT(INDIRECT(ADDRESS(3,ROW()-31,1)):INDIRECT(ADDRESS(22,ROW()-31,1)),BF$3:BF$22),"")</f>
        <v>4</v>
      </c>
      <c r="BG66">
        <f ca="1">IF(AND(((COLUMN()-10)&lt;=playercnt),((ROW()-41)&lt;=playercnt)),SUMPRODUCT(INDIRECT(ADDRESS(3,ROW()-31,1)):INDIRECT(ADDRESS(22,ROW()-31,1)),BG$3:BG$22),"")</f>
        <v>6</v>
      </c>
      <c r="BH66">
        <f ca="1">IF(AND(((COLUMN()-10)&lt;=playercnt),((ROW()-41)&lt;=playercnt)),SUMPRODUCT(INDIRECT(ADDRESS(3,ROW()-31,1)):INDIRECT(ADDRESS(22,ROW()-31,1)),BH$3:BH$22),"")</f>
        <v>6</v>
      </c>
      <c r="BI66">
        <f ca="1">IF(AND(((COLUMN()-10)&lt;=playercnt),((ROW()-41)&lt;=playercnt)),SUMPRODUCT(INDIRECT(ADDRESS(3,ROW()-31,1)):INDIRECT(ADDRESS(22,ROW()-31,1)),BI$3:BI$22),"")</f>
        <v>4</v>
      </c>
      <c r="BJ66">
        <f ca="1">IF(AND(((COLUMN()-10)&lt;=playercnt),((ROW()-41)&lt;=playercnt)),SUMPRODUCT(INDIRECT(ADDRESS(3,ROW()-31,1)):INDIRECT(ADDRESS(22,ROW()-31,1)),BJ$3:BJ$22),"")</f>
        <v>6</v>
      </c>
      <c r="BK66">
        <f ca="1">IF(AND(((COLUMN()-10)&lt;=playercnt),((ROW()-41)&lt;=playercnt)),SUMPRODUCT(INDIRECT(ADDRESS(3,ROW()-31,1)):INDIRECT(ADDRESS(22,ROW()-31,1)),BK$3:BK$22),"")</f>
        <v>4</v>
      </c>
      <c r="BL66">
        <f ca="1">IF(AND(((COLUMN()-10)&lt;=playercnt),((ROW()-41)&lt;=playercnt)),SUMPRODUCT(INDIRECT(ADDRESS(3,ROW()-31,1)):INDIRECT(ADDRESS(22,ROW()-31,1)),BL$3:BL$22),"")</f>
        <v>5</v>
      </c>
      <c r="BM66">
        <f ca="1">IF(AND(((COLUMN()-10)&lt;=playercnt),((ROW()-41)&lt;=playercnt)),SUMPRODUCT(INDIRECT(ADDRESS(3,ROW()-31,1)):INDIRECT(ADDRESS(22,ROW()-31,1)),BM$3:BM$22),"")</f>
        <v>4</v>
      </c>
      <c r="BN66">
        <f ca="1">IF(AND(((COLUMN()-10)&lt;=playercnt),((ROW()-41)&lt;=playercnt)),SUMPRODUCT(INDIRECT(ADDRESS(3,ROW()-31,1)):INDIRECT(ADDRESS(22,ROW()-31,1)),BN$3:BN$22),"")</f>
        <v>3</v>
      </c>
    </row>
    <row r="67" spans="2:66" x14ac:dyDescent="0.2">
      <c r="B67" s="27">
        <f t="shared" ca="1" si="23"/>
        <v>6.1698113207547172</v>
      </c>
      <c r="C67" t="str">
        <f t="shared" ca="1" si="24"/>
        <v>Martin, Douglas C</v>
      </c>
      <c r="G67">
        <f ca="1">IF(AND(((COLUMN()-10)&lt;=playercnt),((ROW()-41)&lt;=playercnt)),SUMPRODUCT(INDIRECT(ADDRESS(3,ROW()-31,1)):INDIRECT(ADDRESS(22,ROW()-31,1)),G$3:G$22),"")</f>
        <v>2</v>
      </c>
      <c r="H67">
        <f ca="1">IF(AND(((COLUMN()-10)&lt;=playercnt),((ROW()-41)&lt;=playercnt)),SUMPRODUCT(INDIRECT(ADDRESS(3,ROW()-31,1)):INDIRECT(ADDRESS(22,ROW()-31,1)),H$3:H$22),"")</f>
        <v>7</v>
      </c>
      <c r="I67">
        <f ca="1">IF(AND(((COLUMN()-10)&lt;=playercnt),((ROW()-41)&lt;=playercnt)),SUMPRODUCT(INDIRECT(ADDRESS(3,ROW()-31,1)):INDIRECT(ADDRESS(22,ROW()-31,1)),I$3:I$22),"")</f>
        <v>6.5</v>
      </c>
      <c r="J67">
        <f ca="1">IF(AND(((COLUMN()-10)&lt;=playercnt),((ROW()-41)&lt;=playercnt)),SUMPRODUCT(INDIRECT(ADDRESS(3,ROW()-31,1)):INDIRECT(ADDRESS(22,ROW()-31,1)),J$3:J$22),"")</f>
        <v>0</v>
      </c>
      <c r="K67">
        <f ca="1">IF(AND(((COLUMN()-10)&lt;=playercnt),((ROW()-41)&lt;=playercnt)),SUMPRODUCT(INDIRECT(ADDRESS(3,ROW()-31,1)):INDIRECT(ADDRESS(22,ROW()-31,1)),K$3:K$22),"")</f>
        <v>7</v>
      </c>
      <c r="L67">
        <f ca="1">IF(AND(((COLUMN()-10)&lt;=playercnt),((ROW()-41)&lt;=playercnt)),SUMPRODUCT(INDIRECT(ADDRESS(3,ROW()-31,1)):INDIRECT(ADDRESS(22,ROW()-31,1)),L$3:L$22),"")</f>
        <v>6</v>
      </c>
      <c r="M67">
        <f ca="1">IF(AND(((COLUMN()-10)&lt;=playercnt),((ROW()-41)&lt;=playercnt)),SUMPRODUCT(INDIRECT(ADDRESS(3,ROW()-31,1)):INDIRECT(ADDRESS(22,ROW()-31,1)),M$3:M$22),"")</f>
        <v>7</v>
      </c>
      <c r="N67">
        <f ca="1">IF(AND(((COLUMN()-10)&lt;=playercnt),((ROW()-41)&lt;=playercnt)),SUMPRODUCT(INDIRECT(ADDRESS(3,ROW()-31,1)):INDIRECT(ADDRESS(22,ROW()-31,1)),N$3:N$22),"")</f>
        <v>6</v>
      </c>
      <c r="O67">
        <f ca="1">IF(AND(((COLUMN()-10)&lt;=playercnt),((ROW()-41)&lt;=playercnt)),SUMPRODUCT(INDIRECT(ADDRESS(3,ROW()-31,1)):INDIRECT(ADDRESS(22,ROW()-31,1)),O$3:O$22),"")</f>
        <v>4</v>
      </c>
      <c r="P67">
        <f ca="1">IF(AND(((COLUMN()-10)&lt;=playercnt),((ROW()-41)&lt;=playercnt)),SUMPRODUCT(INDIRECT(ADDRESS(3,ROW()-31,1)):INDIRECT(ADDRESS(22,ROW()-31,1)),P$3:P$22),"")</f>
        <v>5</v>
      </c>
      <c r="Q67">
        <f ca="1">IF(AND(((COLUMN()-10)&lt;=playercnt),((ROW()-41)&lt;=playercnt)),SUMPRODUCT(INDIRECT(ADDRESS(3,ROW()-31,1)):INDIRECT(ADDRESS(22,ROW()-31,1)),Q$3:Q$22),"")</f>
        <v>6</v>
      </c>
      <c r="R67">
        <f ca="1">IF(AND(((COLUMN()-10)&lt;=playercnt),((ROW()-41)&lt;=playercnt)),SUMPRODUCT(INDIRECT(ADDRESS(3,ROW()-31,1)):INDIRECT(ADDRESS(22,ROW()-31,1)),R$3:R$22),"")</f>
        <v>2</v>
      </c>
      <c r="S67">
        <f ca="1">IF(AND(((COLUMN()-10)&lt;=playercnt),((ROW()-41)&lt;=playercnt)),SUMPRODUCT(INDIRECT(ADDRESS(3,ROW()-31,1)):INDIRECT(ADDRESS(22,ROW()-31,1)),S$3:S$22),"")</f>
        <v>6</v>
      </c>
      <c r="T67">
        <f ca="1">IF(AND(((COLUMN()-10)&lt;=playercnt),((ROW()-41)&lt;=playercnt)),SUMPRODUCT(INDIRECT(ADDRESS(3,ROW()-31,1)):INDIRECT(ADDRESS(22,ROW()-31,1)),T$3:T$22),"")</f>
        <v>5</v>
      </c>
      <c r="U67">
        <f ca="1">IF(AND(((COLUMN()-10)&lt;=playercnt),((ROW()-41)&lt;=playercnt)),SUMPRODUCT(INDIRECT(ADDRESS(3,ROW()-31,1)):INDIRECT(ADDRESS(22,ROW()-31,1)),U$3:U$22),"")</f>
        <v>6</v>
      </c>
      <c r="V67">
        <f ca="1">IF(AND(((COLUMN()-10)&lt;=playercnt),((ROW()-41)&lt;=playercnt)),SUMPRODUCT(INDIRECT(ADDRESS(3,ROW()-31,1)):INDIRECT(ADDRESS(22,ROW()-31,1)),V$3:V$22),"")</f>
        <v>8</v>
      </c>
      <c r="W67">
        <f ca="1">IF(AND(((COLUMN()-10)&lt;=playercnt),((ROW()-41)&lt;=playercnt)),SUMPRODUCT(INDIRECT(ADDRESS(3,ROW()-31,1)):INDIRECT(ADDRESS(22,ROW()-31,1)),W$3:W$22),"")</f>
        <v>6</v>
      </c>
      <c r="X67">
        <f ca="1">IF(AND(((COLUMN()-10)&lt;=playercnt),((ROW()-41)&lt;=playercnt)),SUMPRODUCT(INDIRECT(ADDRESS(3,ROW()-31,1)):INDIRECT(ADDRESS(22,ROW()-31,1)),X$3:X$22),"")</f>
        <v>5</v>
      </c>
      <c r="Y67">
        <f ca="1">IF(AND(((COLUMN()-10)&lt;=playercnt),((ROW()-41)&lt;=playercnt)),SUMPRODUCT(INDIRECT(ADDRESS(3,ROW()-31,1)):INDIRECT(ADDRESS(22,ROW()-31,1)),Y$3:Y$22),"")</f>
        <v>6</v>
      </c>
      <c r="Z67">
        <f ca="1">IF(AND(((COLUMN()-10)&lt;=playercnt),((ROW()-41)&lt;=playercnt)),SUMPRODUCT(INDIRECT(ADDRESS(3,ROW()-31,1)):INDIRECT(ADDRESS(22,ROW()-31,1)),Z$3:Z$22),"")</f>
        <v>9</v>
      </c>
      <c r="AA67">
        <f ca="1">IF(AND(((COLUMN()-10)&lt;=playercnt),((ROW()-41)&lt;=playercnt)),SUMPRODUCT(INDIRECT(ADDRESS(3,ROW()-31,1)):INDIRECT(ADDRESS(22,ROW()-31,1)),AA$3:AA$22),"")</f>
        <v>6</v>
      </c>
      <c r="AB67">
        <f ca="1">IF(AND(((COLUMN()-10)&lt;=playercnt),((ROW()-41)&lt;=playercnt)),SUMPRODUCT(INDIRECT(ADDRESS(3,ROW()-31,1)):INDIRECT(ADDRESS(22,ROW()-31,1)),AB$3:AB$22),"")</f>
        <v>7</v>
      </c>
      <c r="AC67">
        <f ca="1">IF(AND(((COLUMN()-10)&lt;=playercnt),((ROW()-41)&lt;=playercnt)),SUMPRODUCT(INDIRECT(ADDRESS(3,ROW()-31,1)):INDIRECT(ADDRESS(22,ROW()-31,1)),AC$3:AC$22),"")</f>
        <v>6</v>
      </c>
      <c r="AD67">
        <f ca="1">IF(AND(((COLUMN()-10)&lt;=playercnt),((ROW()-41)&lt;=playercnt)),SUMPRODUCT(INDIRECT(ADDRESS(3,ROW()-31,1)):INDIRECT(ADDRESS(22,ROW()-31,1)),AD$3:AD$22),"")</f>
        <v>6</v>
      </c>
      <c r="AE67">
        <f ca="1">IF(AND(((COLUMN()-10)&lt;=playercnt),((ROW()-41)&lt;=playercnt)),SUMPRODUCT(INDIRECT(ADDRESS(3,ROW()-31,1)):INDIRECT(ADDRESS(22,ROW()-31,1)),AE$3:AE$22),"")</f>
        <v>6</v>
      </c>
      <c r="AF67">
        <f ca="1">IF(AND(((COLUMN()-10)&lt;=playercnt),((ROW()-41)&lt;=playercnt)),SUMPRODUCT(INDIRECT(ADDRESS(3,ROW()-31,1)):INDIRECT(ADDRESS(22,ROW()-31,1)),AF$3:AF$22),"")</f>
        <v>7</v>
      </c>
      <c r="AG67">
        <f ca="1">IF(AND(((COLUMN()-10)&lt;=playercnt),((ROW()-41)&lt;=playercnt)),SUMPRODUCT(INDIRECT(ADDRESS(3,ROW()-31,1)):INDIRECT(ADDRESS(22,ROW()-31,1)),AG$3:AG$22),"")</f>
        <v>9</v>
      </c>
      <c r="AH67">
        <f ca="1">IF(AND(((COLUMN()-10)&lt;=playercnt),((ROW()-41)&lt;=playercnt)),SUMPRODUCT(INDIRECT(ADDRESS(3,ROW()-31,1)):INDIRECT(ADDRESS(22,ROW()-31,1)),AH$3:AH$22),"")</f>
        <v>6</v>
      </c>
      <c r="AI67">
        <f ca="1">IF(AND(((COLUMN()-10)&lt;=playercnt),((ROW()-41)&lt;=playercnt)),SUMPRODUCT(INDIRECT(ADDRESS(3,ROW()-31,1)):INDIRECT(ADDRESS(22,ROW()-31,1)),AI$3:AI$22),"")</f>
        <v>6</v>
      </c>
      <c r="AJ67">
        <f ca="1">IF(AND(((COLUMN()-10)&lt;=playercnt),((ROW()-41)&lt;=playercnt)),SUMPRODUCT(INDIRECT(ADDRESS(3,ROW()-31,1)):INDIRECT(ADDRESS(22,ROW()-31,1)),AJ$3:AJ$22),"")</f>
        <v>10</v>
      </c>
      <c r="AK67">
        <f ca="1">IF(AND(((COLUMN()-10)&lt;=playercnt),((ROW()-41)&lt;=playercnt)),SUMPRODUCT(INDIRECT(ADDRESS(3,ROW()-31,1)):INDIRECT(ADDRESS(22,ROW()-31,1)),AK$3:AK$22),"")</f>
        <v>0</v>
      </c>
      <c r="AL67">
        <f ca="1">IF(AND(((COLUMN()-10)&lt;=playercnt),((ROW()-41)&lt;=playercnt)),SUMPRODUCT(INDIRECT(ADDRESS(3,ROW()-31,1)):INDIRECT(ADDRESS(22,ROW()-31,1)),AL$3:AL$22),"")</f>
        <v>7</v>
      </c>
      <c r="AM67">
        <f ca="1">IF(AND(((COLUMN()-10)&lt;=playercnt),((ROW()-41)&lt;=playercnt)),SUMPRODUCT(INDIRECT(ADDRESS(3,ROW()-31,1)):INDIRECT(ADDRESS(22,ROW()-31,1)),AM$3:AM$22),"")</f>
        <v>6</v>
      </c>
      <c r="AN67">
        <f ca="1">IF(AND(((COLUMN()-10)&lt;=playercnt),((ROW()-41)&lt;=playercnt)),SUMPRODUCT(INDIRECT(ADDRESS(3,ROW()-31,1)):INDIRECT(ADDRESS(22,ROW()-31,1)),AN$3:AN$22),"")</f>
        <v>6</v>
      </c>
      <c r="AO67">
        <f ca="1">IF(AND(((COLUMN()-10)&lt;=playercnt),((ROW()-41)&lt;=playercnt)),SUMPRODUCT(INDIRECT(ADDRESS(3,ROW()-31,1)):INDIRECT(ADDRESS(22,ROW()-31,1)),AO$3:AO$22),"")</f>
        <v>4</v>
      </c>
      <c r="AP67">
        <f ca="1">IF(AND(((COLUMN()-10)&lt;=playercnt),((ROW()-41)&lt;=playercnt)),SUMPRODUCT(INDIRECT(ADDRESS(3,ROW()-31,1)):INDIRECT(ADDRESS(22,ROW()-31,1)),AP$3:AP$22),"")</f>
        <v>0</v>
      </c>
      <c r="AQ67">
        <f ca="1">IF(AND(((COLUMN()-10)&lt;=playercnt),((ROW()-41)&lt;=playercnt)),SUMPRODUCT(INDIRECT(ADDRESS(3,ROW()-31,1)):INDIRECT(ADDRESS(22,ROW()-31,1)),AQ$3:AQ$22),"")</f>
        <v>10</v>
      </c>
      <c r="AR67">
        <f ca="1">IF(AND(((COLUMN()-10)&lt;=playercnt),((ROW()-41)&lt;=playercnt)),SUMPRODUCT(INDIRECT(ADDRESS(3,ROW()-31,1)):INDIRECT(ADDRESS(22,ROW()-31,1)),AR$3:AR$22),"")</f>
        <v>3</v>
      </c>
      <c r="AS67">
        <f ca="1">IF(AND(((COLUMN()-10)&lt;=playercnt),((ROW()-41)&lt;=playercnt)),SUMPRODUCT(INDIRECT(ADDRESS(3,ROW()-31,1)):INDIRECT(ADDRESS(22,ROW()-31,1)),AS$3:AS$22),"")</f>
        <v>4</v>
      </c>
      <c r="AT67">
        <f ca="1">IF(AND(((COLUMN()-10)&lt;=playercnt),((ROW()-41)&lt;=playercnt)),SUMPRODUCT(INDIRECT(ADDRESS(3,ROW()-31,1)):INDIRECT(ADDRESS(22,ROW()-31,1)),AT$3:AT$22),"")</f>
        <v>8</v>
      </c>
      <c r="AU67">
        <f ca="1">IF(AND(((COLUMN()-10)&lt;=playercnt),((ROW()-41)&lt;=playercnt)),SUMPRODUCT(INDIRECT(ADDRESS(3,ROW()-31,1)):INDIRECT(ADDRESS(22,ROW()-31,1)),AU$3:AU$22),"")</f>
        <v>8</v>
      </c>
      <c r="AV67">
        <f ca="1">IF(AND(((COLUMN()-10)&lt;=playercnt),((ROW()-41)&lt;=playercnt)),SUMPRODUCT(INDIRECT(ADDRESS(3,ROW()-31,1)):INDIRECT(ADDRESS(22,ROW()-31,1)),AV$3:AV$22),"")</f>
        <v>6</v>
      </c>
      <c r="AW67">
        <f ca="1">IF(AND(((COLUMN()-10)&lt;=playercnt),((ROW()-41)&lt;=playercnt)),SUMPRODUCT(INDIRECT(ADDRESS(3,ROW()-31,1)):INDIRECT(ADDRESS(22,ROW()-31,1)),AW$3:AW$22),"")</f>
        <v>4</v>
      </c>
      <c r="AX67">
        <f ca="1">IF(AND(((COLUMN()-10)&lt;=playercnt),((ROW()-41)&lt;=playercnt)),SUMPRODUCT(INDIRECT(ADDRESS(3,ROW()-31,1)):INDIRECT(ADDRESS(22,ROW()-31,1)),AX$3:AX$22),"")</f>
        <v>5</v>
      </c>
      <c r="AY67">
        <f ca="1">IF(AND(((COLUMN()-10)&lt;=playercnt),((ROW()-41)&lt;=playercnt)),SUMPRODUCT(INDIRECT(ADDRESS(3,ROW()-31,1)):INDIRECT(ADDRESS(22,ROW()-31,1)),AY$3:AY$22),"")</f>
        <v>6</v>
      </c>
      <c r="AZ67">
        <f ca="1">IF(AND(((COLUMN()-10)&lt;=playercnt),((ROW()-41)&lt;=playercnt)),SUMPRODUCT(INDIRECT(ADDRESS(3,ROW()-31,1)):INDIRECT(ADDRESS(22,ROW()-31,1)),AZ$3:AZ$22),"")</f>
        <v>7</v>
      </c>
      <c r="BA67">
        <f ca="1">IF(AND(((COLUMN()-10)&lt;=playercnt),((ROW()-41)&lt;=playercnt)),SUMPRODUCT(INDIRECT(ADDRESS(3,ROW()-31,1)):INDIRECT(ADDRESS(22,ROW()-31,1)),BA$3:BA$22),"")</f>
        <v>7</v>
      </c>
      <c r="BB67">
        <f ca="1">IF(AND(((COLUMN()-10)&lt;=playercnt),((ROW()-41)&lt;=playercnt)),SUMPRODUCT(INDIRECT(ADDRESS(3,ROW()-31,1)):INDIRECT(ADDRESS(22,ROW()-31,1)),BB$3:BB$22),"")</f>
        <v>7</v>
      </c>
      <c r="BC67">
        <f ca="1">IF(AND(((COLUMN()-10)&lt;=playercnt),((ROW()-41)&lt;=playercnt)),SUMPRODUCT(INDIRECT(ADDRESS(3,ROW()-31,1)):INDIRECT(ADDRESS(22,ROW()-31,1)),BC$3:BC$22),"")</f>
        <v>9</v>
      </c>
      <c r="BD67">
        <f ca="1">IF(AND(((COLUMN()-10)&lt;=playercnt),((ROW()-41)&lt;=playercnt)),SUMPRODUCT(INDIRECT(ADDRESS(3,ROW()-31,1)):INDIRECT(ADDRESS(22,ROW()-31,1)),BD$3:BD$22),"")</f>
        <v>5</v>
      </c>
      <c r="BE67">
        <f ca="1">IF(AND(((COLUMN()-10)&lt;=playercnt),((ROW()-41)&lt;=playercnt)),SUMPRODUCT(INDIRECT(ADDRESS(3,ROW()-31,1)):INDIRECT(ADDRESS(22,ROW()-31,1)),BE$3:BE$22),"")</f>
        <v>6</v>
      </c>
      <c r="BF67">
        <f ca="1">IF(AND(((COLUMN()-10)&lt;=playercnt),((ROW()-41)&lt;=playercnt)),SUMPRODUCT(INDIRECT(ADDRESS(3,ROW()-31,1)):INDIRECT(ADDRESS(22,ROW()-31,1)),BF$3:BF$22),"")</f>
        <v>8</v>
      </c>
      <c r="BG67">
        <f ca="1">IF(AND(((COLUMN()-10)&lt;=playercnt),((ROW()-41)&lt;=playercnt)),SUMPRODUCT(INDIRECT(ADDRESS(3,ROW()-31,1)):INDIRECT(ADDRESS(22,ROW()-31,1)),BG$3:BG$22),"")</f>
        <v>4</v>
      </c>
      <c r="BH67">
        <f ca="1">IF(AND(((COLUMN()-10)&lt;=playercnt),((ROW()-41)&lt;=playercnt)),SUMPRODUCT(INDIRECT(ADDRESS(3,ROW()-31,1)):INDIRECT(ADDRESS(22,ROW()-31,1)),BH$3:BH$22),"")</f>
        <v>8</v>
      </c>
      <c r="BI67">
        <f ca="1">IF(AND(((COLUMN()-10)&lt;=playercnt),((ROW()-41)&lt;=playercnt)),SUMPRODUCT(INDIRECT(ADDRESS(3,ROW()-31,1)):INDIRECT(ADDRESS(22,ROW()-31,1)),BI$3:BI$22),"")</f>
        <v>6</v>
      </c>
      <c r="BJ67">
        <f ca="1">IF(AND(((COLUMN()-10)&lt;=playercnt),((ROW()-41)&lt;=playercnt)),SUMPRODUCT(INDIRECT(ADDRESS(3,ROW()-31,1)):INDIRECT(ADDRESS(22,ROW()-31,1)),BJ$3:BJ$22),"")</f>
        <v>6</v>
      </c>
      <c r="BK67">
        <f ca="1">IF(AND(((COLUMN()-10)&lt;=playercnt),((ROW()-41)&lt;=playercnt)),SUMPRODUCT(INDIRECT(ADDRESS(3,ROW()-31,1)):INDIRECT(ADDRESS(22,ROW()-31,1)),BK$3:BK$22),"")</f>
        <v>6</v>
      </c>
      <c r="BL67">
        <f ca="1">IF(AND(((COLUMN()-10)&lt;=playercnt),((ROW()-41)&lt;=playercnt)),SUMPRODUCT(INDIRECT(ADDRESS(3,ROW()-31,1)):INDIRECT(ADDRESS(22,ROW()-31,1)),BL$3:BL$22),"")</f>
        <v>3</v>
      </c>
      <c r="BM67">
        <f ca="1">IF(AND(((COLUMN()-10)&lt;=playercnt),((ROW()-41)&lt;=playercnt)),SUMPRODUCT(INDIRECT(ADDRESS(3,ROW()-31,1)):INDIRECT(ADDRESS(22,ROW()-31,1)),BM$3:BM$22),"")</f>
        <v>8</v>
      </c>
      <c r="BN67">
        <f ca="1">IF(AND(((COLUMN()-10)&lt;=playercnt),((ROW()-41)&lt;=playercnt)),SUMPRODUCT(INDIRECT(ADDRESS(3,ROW()-31,1)):INDIRECT(ADDRESS(22,ROW()-31,1)),BN$3:BN$22),"")</f>
        <v>7</v>
      </c>
    </row>
    <row r="68" spans="2:66" x14ac:dyDescent="0.2">
      <c r="B68" s="27" t="str">
        <f t="shared" ca="1" si="23"/>
        <v/>
      </c>
      <c r="C68" t="str">
        <f t="shared" ca="1" si="24"/>
        <v>Mccoy, William M</v>
      </c>
      <c r="G68">
        <f ca="1">IF(AND(((COLUMN()-10)&lt;=playercnt),((ROW()-41)&lt;=playercnt)),SUMPRODUCT(INDIRECT(ADDRESS(3,ROW()-31,1)):INDIRECT(ADDRESS(22,ROW()-31,1)),G$3:G$22),"")</f>
        <v>0</v>
      </c>
      <c r="H68">
        <f ca="1">IF(AND(((COLUMN()-10)&lt;=playercnt),((ROW()-41)&lt;=playercnt)),SUMPRODUCT(INDIRECT(ADDRESS(3,ROW()-31,1)):INDIRECT(ADDRESS(22,ROW()-31,1)),H$3:H$22),"")</f>
        <v>0</v>
      </c>
      <c r="I68">
        <f ca="1">IF(AND(((COLUMN()-10)&lt;=playercnt),((ROW()-41)&lt;=playercnt)),SUMPRODUCT(INDIRECT(ADDRESS(3,ROW()-31,1)):INDIRECT(ADDRESS(22,ROW()-31,1)),I$3:I$22),"")</f>
        <v>0</v>
      </c>
      <c r="J68">
        <f ca="1">IF(AND(((COLUMN()-10)&lt;=playercnt),((ROW()-41)&lt;=playercnt)),SUMPRODUCT(INDIRECT(ADDRESS(3,ROW()-31,1)):INDIRECT(ADDRESS(22,ROW()-31,1)),J$3:J$22),"")</f>
        <v>0</v>
      </c>
      <c r="K68">
        <f ca="1">IF(AND(((COLUMN()-10)&lt;=playercnt),((ROW()-41)&lt;=playercnt)),SUMPRODUCT(INDIRECT(ADDRESS(3,ROW()-31,1)):INDIRECT(ADDRESS(22,ROW()-31,1)),K$3:K$22),"")</f>
        <v>0</v>
      </c>
      <c r="L68">
        <f ca="1">IF(AND(((COLUMN()-10)&lt;=playercnt),((ROW()-41)&lt;=playercnt)),SUMPRODUCT(INDIRECT(ADDRESS(3,ROW()-31,1)):INDIRECT(ADDRESS(22,ROW()-31,1)),L$3:L$22),"")</f>
        <v>0</v>
      </c>
      <c r="M68">
        <f ca="1">IF(AND(((COLUMN()-10)&lt;=playercnt),((ROW()-41)&lt;=playercnt)),SUMPRODUCT(INDIRECT(ADDRESS(3,ROW()-31,1)):INDIRECT(ADDRESS(22,ROW()-31,1)),M$3:M$22),"")</f>
        <v>0</v>
      </c>
      <c r="N68">
        <f ca="1">IF(AND(((COLUMN()-10)&lt;=playercnt),((ROW()-41)&lt;=playercnt)),SUMPRODUCT(INDIRECT(ADDRESS(3,ROW()-31,1)):INDIRECT(ADDRESS(22,ROW()-31,1)),N$3:N$22),"")</f>
        <v>0</v>
      </c>
      <c r="O68">
        <f ca="1">IF(AND(((COLUMN()-10)&lt;=playercnt),((ROW()-41)&lt;=playercnt)),SUMPRODUCT(INDIRECT(ADDRESS(3,ROW()-31,1)):INDIRECT(ADDRESS(22,ROW()-31,1)),O$3:O$22),"")</f>
        <v>0</v>
      </c>
      <c r="P68">
        <f ca="1">IF(AND(((COLUMN()-10)&lt;=playercnt),((ROW()-41)&lt;=playercnt)),SUMPRODUCT(INDIRECT(ADDRESS(3,ROW()-31,1)):INDIRECT(ADDRESS(22,ROW()-31,1)),P$3:P$22),"")</f>
        <v>0</v>
      </c>
      <c r="Q68">
        <f ca="1">IF(AND(((COLUMN()-10)&lt;=playercnt),((ROW()-41)&lt;=playercnt)),SUMPRODUCT(INDIRECT(ADDRESS(3,ROW()-31,1)):INDIRECT(ADDRESS(22,ROW()-31,1)),Q$3:Q$22),"")</f>
        <v>0</v>
      </c>
      <c r="R68">
        <f ca="1">IF(AND(((COLUMN()-10)&lt;=playercnt),((ROW()-41)&lt;=playercnt)),SUMPRODUCT(INDIRECT(ADDRESS(3,ROW()-31,1)):INDIRECT(ADDRESS(22,ROW()-31,1)),R$3:R$22),"")</f>
        <v>0</v>
      </c>
      <c r="S68">
        <f ca="1">IF(AND(((COLUMN()-10)&lt;=playercnt),((ROW()-41)&lt;=playercnt)),SUMPRODUCT(INDIRECT(ADDRESS(3,ROW()-31,1)):INDIRECT(ADDRESS(22,ROW()-31,1)),S$3:S$22),"")</f>
        <v>0</v>
      </c>
      <c r="T68">
        <f ca="1">IF(AND(((COLUMN()-10)&lt;=playercnt),((ROW()-41)&lt;=playercnt)),SUMPRODUCT(INDIRECT(ADDRESS(3,ROW()-31,1)):INDIRECT(ADDRESS(22,ROW()-31,1)),T$3:T$22),"")</f>
        <v>0</v>
      </c>
      <c r="U68">
        <f ca="1">IF(AND(((COLUMN()-10)&lt;=playercnt),((ROW()-41)&lt;=playercnt)),SUMPRODUCT(INDIRECT(ADDRESS(3,ROW()-31,1)):INDIRECT(ADDRESS(22,ROW()-31,1)),U$3:U$22),"")</f>
        <v>0</v>
      </c>
      <c r="V68">
        <f ca="1">IF(AND(((COLUMN()-10)&lt;=playercnt),((ROW()-41)&lt;=playercnt)),SUMPRODUCT(INDIRECT(ADDRESS(3,ROW()-31,1)):INDIRECT(ADDRESS(22,ROW()-31,1)),V$3:V$22),"")</f>
        <v>0</v>
      </c>
      <c r="W68">
        <f ca="1">IF(AND(((COLUMN()-10)&lt;=playercnt),((ROW()-41)&lt;=playercnt)),SUMPRODUCT(INDIRECT(ADDRESS(3,ROW()-31,1)):INDIRECT(ADDRESS(22,ROW()-31,1)),W$3:W$22),"")</f>
        <v>0</v>
      </c>
      <c r="X68">
        <f ca="1">IF(AND(((COLUMN()-10)&lt;=playercnt),((ROW()-41)&lt;=playercnt)),SUMPRODUCT(INDIRECT(ADDRESS(3,ROW()-31,1)):INDIRECT(ADDRESS(22,ROW()-31,1)),X$3:X$22),"")</f>
        <v>0</v>
      </c>
      <c r="Y68">
        <f ca="1">IF(AND(((COLUMN()-10)&lt;=playercnt),((ROW()-41)&lt;=playercnt)),SUMPRODUCT(INDIRECT(ADDRESS(3,ROW()-31,1)):INDIRECT(ADDRESS(22,ROW()-31,1)),Y$3:Y$22),"")</f>
        <v>0</v>
      </c>
      <c r="Z68">
        <f ca="1">IF(AND(((COLUMN()-10)&lt;=playercnt),((ROW()-41)&lt;=playercnt)),SUMPRODUCT(INDIRECT(ADDRESS(3,ROW()-31,1)):INDIRECT(ADDRESS(22,ROW()-31,1)),Z$3:Z$22),"")</f>
        <v>0</v>
      </c>
      <c r="AA68">
        <f ca="1">IF(AND(((COLUMN()-10)&lt;=playercnt),((ROW()-41)&lt;=playercnt)),SUMPRODUCT(INDIRECT(ADDRESS(3,ROW()-31,1)):INDIRECT(ADDRESS(22,ROW()-31,1)),AA$3:AA$22),"")</f>
        <v>0</v>
      </c>
      <c r="AB68">
        <f ca="1">IF(AND(((COLUMN()-10)&lt;=playercnt),((ROW()-41)&lt;=playercnt)),SUMPRODUCT(INDIRECT(ADDRESS(3,ROW()-31,1)):INDIRECT(ADDRESS(22,ROW()-31,1)),AB$3:AB$22),"")</f>
        <v>0</v>
      </c>
      <c r="AC68">
        <f ca="1">IF(AND(((COLUMN()-10)&lt;=playercnt),((ROW()-41)&lt;=playercnt)),SUMPRODUCT(INDIRECT(ADDRESS(3,ROW()-31,1)):INDIRECT(ADDRESS(22,ROW()-31,1)),AC$3:AC$22),"")</f>
        <v>0</v>
      </c>
      <c r="AD68">
        <f ca="1">IF(AND(((COLUMN()-10)&lt;=playercnt),((ROW()-41)&lt;=playercnt)),SUMPRODUCT(INDIRECT(ADDRESS(3,ROW()-31,1)):INDIRECT(ADDRESS(22,ROW()-31,1)),AD$3:AD$22),"")</f>
        <v>0</v>
      </c>
      <c r="AE68">
        <f ca="1">IF(AND(((COLUMN()-10)&lt;=playercnt),((ROW()-41)&lt;=playercnt)),SUMPRODUCT(INDIRECT(ADDRESS(3,ROW()-31,1)):INDIRECT(ADDRESS(22,ROW()-31,1)),AE$3:AE$22),"")</f>
        <v>0</v>
      </c>
      <c r="AF68">
        <f ca="1">IF(AND(((COLUMN()-10)&lt;=playercnt),((ROW()-41)&lt;=playercnt)),SUMPRODUCT(INDIRECT(ADDRESS(3,ROW()-31,1)):INDIRECT(ADDRESS(22,ROW()-31,1)),AF$3:AF$22),"")</f>
        <v>0</v>
      </c>
      <c r="AG68">
        <f ca="1">IF(AND(((COLUMN()-10)&lt;=playercnt),((ROW()-41)&lt;=playercnt)),SUMPRODUCT(INDIRECT(ADDRESS(3,ROW()-31,1)):INDIRECT(ADDRESS(22,ROW()-31,1)),AG$3:AG$22),"")</f>
        <v>0</v>
      </c>
      <c r="AH68">
        <f ca="1">IF(AND(((COLUMN()-10)&lt;=playercnt),((ROW()-41)&lt;=playercnt)),SUMPRODUCT(INDIRECT(ADDRESS(3,ROW()-31,1)):INDIRECT(ADDRESS(22,ROW()-31,1)),AH$3:AH$22),"")</f>
        <v>0</v>
      </c>
      <c r="AI68">
        <f ca="1">IF(AND(((COLUMN()-10)&lt;=playercnt),((ROW()-41)&lt;=playercnt)),SUMPRODUCT(INDIRECT(ADDRESS(3,ROW()-31,1)):INDIRECT(ADDRESS(22,ROW()-31,1)),AI$3:AI$22),"")</f>
        <v>0</v>
      </c>
      <c r="AJ68">
        <f ca="1">IF(AND(((COLUMN()-10)&lt;=playercnt),((ROW()-41)&lt;=playercnt)),SUMPRODUCT(INDIRECT(ADDRESS(3,ROW()-31,1)):INDIRECT(ADDRESS(22,ROW()-31,1)),AJ$3:AJ$22),"")</f>
        <v>0</v>
      </c>
      <c r="AK68">
        <f ca="1">IF(AND(((COLUMN()-10)&lt;=playercnt),((ROW()-41)&lt;=playercnt)),SUMPRODUCT(INDIRECT(ADDRESS(3,ROW()-31,1)):INDIRECT(ADDRESS(22,ROW()-31,1)),AK$3:AK$22),"")</f>
        <v>0</v>
      </c>
      <c r="AL68">
        <f ca="1">IF(AND(((COLUMN()-10)&lt;=playercnt),((ROW()-41)&lt;=playercnt)),SUMPRODUCT(INDIRECT(ADDRESS(3,ROW()-31,1)):INDIRECT(ADDRESS(22,ROW()-31,1)),AL$3:AL$22),"")</f>
        <v>0</v>
      </c>
      <c r="AM68">
        <f ca="1">IF(AND(((COLUMN()-10)&lt;=playercnt),((ROW()-41)&lt;=playercnt)),SUMPRODUCT(INDIRECT(ADDRESS(3,ROW()-31,1)):INDIRECT(ADDRESS(22,ROW()-31,1)),AM$3:AM$22),"")</f>
        <v>0</v>
      </c>
      <c r="AN68">
        <f ca="1">IF(AND(((COLUMN()-10)&lt;=playercnt),((ROW()-41)&lt;=playercnt)),SUMPRODUCT(INDIRECT(ADDRESS(3,ROW()-31,1)):INDIRECT(ADDRESS(22,ROW()-31,1)),AN$3:AN$22),"")</f>
        <v>0</v>
      </c>
      <c r="AO68">
        <f ca="1">IF(AND(((COLUMN()-10)&lt;=playercnt),((ROW()-41)&lt;=playercnt)),SUMPRODUCT(INDIRECT(ADDRESS(3,ROW()-31,1)):INDIRECT(ADDRESS(22,ROW()-31,1)),AO$3:AO$22),"")</f>
        <v>0</v>
      </c>
      <c r="AP68">
        <f ca="1">IF(AND(((COLUMN()-10)&lt;=playercnt),((ROW()-41)&lt;=playercnt)),SUMPRODUCT(INDIRECT(ADDRESS(3,ROW()-31,1)):INDIRECT(ADDRESS(22,ROW()-31,1)),AP$3:AP$22),"")</f>
        <v>0</v>
      </c>
      <c r="AQ68">
        <f ca="1">IF(AND(((COLUMN()-10)&lt;=playercnt),((ROW()-41)&lt;=playercnt)),SUMPRODUCT(INDIRECT(ADDRESS(3,ROW()-31,1)):INDIRECT(ADDRESS(22,ROW()-31,1)),AQ$3:AQ$22),"")</f>
        <v>0</v>
      </c>
      <c r="AR68">
        <f ca="1">IF(AND(((COLUMN()-10)&lt;=playercnt),((ROW()-41)&lt;=playercnt)),SUMPRODUCT(INDIRECT(ADDRESS(3,ROW()-31,1)):INDIRECT(ADDRESS(22,ROW()-31,1)),AR$3:AR$22),"")</f>
        <v>0</v>
      </c>
      <c r="AS68">
        <f ca="1">IF(AND(((COLUMN()-10)&lt;=playercnt),((ROW()-41)&lt;=playercnt)),SUMPRODUCT(INDIRECT(ADDRESS(3,ROW()-31,1)):INDIRECT(ADDRESS(22,ROW()-31,1)),AS$3:AS$22),"")</f>
        <v>0</v>
      </c>
      <c r="AT68">
        <f ca="1">IF(AND(((COLUMN()-10)&lt;=playercnt),((ROW()-41)&lt;=playercnt)),SUMPRODUCT(INDIRECT(ADDRESS(3,ROW()-31,1)):INDIRECT(ADDRESS(22,ROW()-31,1)),AT$3:AT$22),"")</f>
        <v>0</v>
      </c>
      <c r="AU68">
        <f ca="1">IF(AND(((COLUMN()-10)&lt;=playercnt),((ROW()-41)&lt;=playercnt)),SUMPRODUCT(INDIRECT(ADDRESS(3,ROW()-31,1)):INDIRECT(ADDRESS(22,ROW()-31,1)),AU$3:AU$22),"")</f>
        <v>0</v>
      </c>
      <c r="AV68">
        <f ca="1">IF(AND(((COLUMN()-10)&lt;=playercnt),((ROW()-41)&lt;=playercnt)),SUMPRODUCT(INDIRECT(ADDRESS(3,ROW()-31,1)):INDIRECT(ADDRESS(22,ROW()-31,1)),AV$3:AV$22),"")</f>
        <v>0</v>
      </c>
      <c r="AW68">
        <f ca="1">IF(AND(((COLUMN()-10)&lt;=playercnt),((ROW()-41)&lt;=playercnt)),SUMPRODUCT(INDIRECT(ADDRESS(3,ROW()-31,1)):INDIRECT(ADDRESS(22,ROW()-31,1)),AW$3:AW$22),"")</f>
        <v>0</v>
      </c>
      <c r="AX68">
        <f ca="1">IF(AND(((COLUMN()-10)&lt;=playercnt),((ROW()-41)&lt;=playercnt)),SUMPRODUCT(INDIRECT(ADDRESS(3,ROW()-31,1)):INDIRECT(ADDRESS(22,ROW()-31,1)),AX$3:AX$22),"")</f>
        <v>0</v>
      </c>
      <c r="AY68">
        <f ca="1">IF(AND(((COLUMN()-10)&lt;=playercnt),((ROW()-41)&lt;=playercnt)),SUMPRODUCT(INDIRECT(ADDRESS(3,ROW()-31,1)):INDIRECT(ADDRESS(22,ROW()-31,1)),AY$3:AY$22),"")</f>
        <v>0</v>
      </c>
      <c r="AZ68">
        <f ca="1">IF(AND(((COLUMN()-10)&lt;=playercnt),((ROW()-41)&lt;=playercnt)),SUMPRODUCT(INDIRECT(ADDRESS(3,ROW()-31,1)):INDIRECT(ADDRESS(22,ROW()-31,1)),AZ$3:AZ$22),"")</f>
        <v>0</v>
      </c>
      <c r="BA68">
        <f ca="1">IF(AND(((COLUMN()-10)&lt;=playercnt),((ROW()-41)&lt;=playercnt)),SUMPRODUCT(INDIRECT(ADDRESS(3,ROW()-31,1)):INDIRECT(ADDRESS(22,ROW()-31,1)),BA$3:BA$22),"")</f>
        <v>0</v>
      </c>
      <c r="BB68">
        <f ca="1">IF(AND(((COLUMN()-10)&lt;=playercnt),((ROW()-41)&lt;=playercnt)),SUMPRODUCT(INDIRECT(ADDRESS(3,ROW()-31,1)):INDIRECT(ADDRESS(22,ROW()-31,1)),BB$3:BB$22),"")</f>
        <v>0</v>
      </c>
      <c r="BC68">
        <f ca="1">IF(AND(((COLUMN()-10)&lt;=playercnt),((ROW()-41)&lt;=playercnt)),SUMPRODUCT(INDIRECT(ADDRESS(3,ROW()-31,1)):INDIRECT(ADDRESS(22,ROW()-31,1)),BC$3:BC$22),"")</f>
        <v>0</v>
      </c>
      <c r="BD68">
        <f ca="1">IF(AND(((COLUMN()-10)&lt;=playercnt),((ROW()-41)&lt;=playercnt)),SUMPRODUCT(INDIRECT(ADDRESS(3,ROW()-31,1)):INDIRECT(ADDRESS(22,ROW()-31,1)),BD$3:BD$22),"")</f>
        <v>0</v>
      </c>
      <c r="BE68">
        <f ca="1">IF(AND(((COLUMN()-10)&lt;=playercnt),((ROW()-41)&lt;=playercnt)),SUMPRODUCT(INDIRECT(ADDRESS(3,ROW()-31,1)):INDIRECT(ADDRESS(22,ROW()-31,1)),BE$3:BE$22),"")</f>
        <v>0</v>
      </c>
      <c r="BF68">
        <f ca="1">IF(AND(((COLUMN()-10)&lt;=playercnt),((ROW()-41)&lt;=playercnt)),SUMPRODUCT(INDIRECT(ADDRESS(3,ROW()-31,1)):INDIRECT(ADDRESS(22,ROW()-31,1)),BF$3:BF$22),"")</f>
        <v>0</v>
      </c>
      <c r="BG68">
        <f ca="1">IF(AND(((COLUMN()-10)&lt;=playercnt),((ROW()-41)&lt;=playercnt)),SUMPRODUCT(INDIRECT(ADDRESS(3,ROW()-31,1)):INDIRECT(ADDRESS(22,ROW()-31,1)),BG$3:BG$22),"")</f>
        <v>0</v>
      </c>
      <c r="BH68">
        <f ca="1">IF(AND(((COLUMN()-10)&lt;=playercnt),((ROW()-41)&lt;=playercnt)),SUMPRODUCT(INDIRECT(ADDRESS(3,ROW()-31,1)):INDIRECT(ADDRESS(22,ROW()-31,1)),BH$3:BH$22),"")</f>
        <v>0</v>
      </c>
      <c r="BI68">
        <f ca="1">IF(AND(((COLUMN()-10)&lt;=playercnt),((ROW()-41)&lt;=playercnt)),SUMPRODUCT(INDIRECT(ADDRESS(3,ROW()-31,1)):INDIRECT(ADDRESS(22,ROW()-31,1)),BI$3:BI$22),"")</f>
        <v>0</v>
      </c>
      <c r="BJ68">
        <f ca="1">IF(AND(((COLUMN()-10)&lt;=playercnt),((ROW()-41)&lt;=playercnt)),SUMPRODUCT(INDIRECT(ADDRESS(3,ROW()-31,1)):INDIRECT(ADDRESS(22,ROW()-31,1)),BJ$3:BJ$22),"")</f>
        <v>0</v>
      </c>
      <c r="BK68">
        <f ca="1">IF(AND(((COLUMN()-10)&lt;=playercnt),((ROW()-41)&lt;=playercnt)),SUMPRODUCT(INDIRECT(ADDRESS(3,ROW()-31,1)):INDIRECT(ADDRESS(22,ROW()-31,1)),BK$3:BK$22),"")</f>
        <v>0</v>
      </c>
      <c r="BL68">
        <f ca="1">IF(AND(((COLUMN()-10)&lt;=playercnt),((ROW()-41)&lt;=playercnt)),SUMPRODUCT(INDIRECT(ADDRESS(3,ROW()-31,1)):INDIRECT(ADDRESS(22,ROW()-31,1)),BL$3:BL$22),"")</f>
        <v>0</v>
      </c>
      <c r="BM68">
        <f ca="1">IF(AND(((COLUMN()-10)&lt;=playercnt),((ROW()-41)&lt;=playercnt)),SUMPRODUCT(INDIRECT(ADDRESS(3,ROW()-31,1)):INDIRECT(ADDRESS(22,ROW()-31,1)),BM$3:BM$22),"")</f>
        <v>0</v>
      </c>
      <c r="BN68">
        <f ca="1">IF(AND(((COLUMN()-10)&lt;=playercnt),((ROW()-41)&lt;=playercnt)),SUMPRODUCT(INDIRECT(ADDRESS(3,ROW()-31,1)):INDIRECT(ADDRESS(22,ROW()-31,1)),BN$3:BN$22),"")</f>
        <v>0</v>
      </c>
    </row>
    <row r="69" spans="2:66" x14ac:dyDescent="0.2">
      <c r="B69" s="27">
        <f t="shared" ca="1" si="23"/>
        <v>6.132075471698113</v>
      </c>
      <c r="C69" t="str">
        <f t="shared" ca="1" si="24"/>
        <v>Montanez, Johanna</v>
      </c>
      <c r="G69">
        <f ca="1">IF(AND(((COLUMN()-10)&lt;=playercnt),((ROW()-41)&lt;=playercnt)),SUMPRODUCT(INDIRECT(ADDRESS(3,ROW()-31,1)):INDIRECT(ADDRESS(22,ROW()-31,1)),G$3:G$22),"")</f>
        <v>5</v>
      </c>
      <c r="H69">
        <f ca="1">IF(AND(((COLUMN()-10)&lt;=playercnt),((ROW()-41)&lt;=playercnt)),SUMPRODUCT(INDIRECT(ADDRESS(3,ROW()-31,1)):INDIRECT(ADDRESS(22,ROW()-31,1)),H$3:H$22),"")</f>
        <v>8</v>
      </c>
      <c r="I69">
        <f ca="1">IF(AND(((COLUMN()-10)&lt;=playercnt),((ROW()-41)&lt;=playercnt)),SUMPRODUCT(INDIRECT(ADDRESS(3,ROW()-31,1)):INDIRECT(ADDRESS(22,ROW()-31,1)),I$3:I$22),"")</f>
        <v>7.5</v>
      </c>
      <c r="J69">
        <f ca="1">IF(AND(((COLUMN()-10)&lt;=playercnt),((ROW()-41)&lt;=playercnt)),SUMPRODUCT(INDIRECT(ADDRESS(3,ROW()-31,1)):INDIRECT(ADDRESS(22,ROW()-31,1)),J$3:J$22),"")</f>
        <v>0</v>
      </c>
      <c r="K69">
        <f ca="1">IF(AND(((COLUMN()-10)&lt;=playercnt),((ROW()-41)&lt;=playercnt)),SUMPRODUCT(INDIRECT(ADDRESS(3,ROW()-31,1)):INDIRECT(ADDRESS(22,ROW()-31,1)),K$3:K$22),"")</f>
        <v>6</v>
      </c>
      <c r="L69">
        <f ca="1">IF(AND(((COLUMN()-10)&lt;=playercnt),((ROW()-41)&lt;=playercnt)),SUMPRODUCT(INDIRECT(ADDRESS(3,ROW()-31,1)):INDIRECT(ADDRESS(22,ROW()-31,1)),L$3:L$22),"")</f>
        <v>7</v>
      </c>
      <c r="M69">
        <f ca="1">IF(AND(((COLUMN()-10)&lt;=playercnt),((ROW()-41)&lt;=playercnt)),SUMPRODUCT(INDIRECT(ADDRESS(3,ROW()-31,1)):INDIRECT(ADDRESS(22,ROW()-31,1)),M$3:M$22),"")</f>
        <v>4</v>
      </c>
      <c r="N69">
        <f ca="1">IF(AND(((COLUMN()-10)&lt;=playercnt),((ROW()-41)&lt;=playercnt)),SUMPRODUCT(INDIRECT(ADDRESS(3,ROW()-31,1)):INDIRECT(ADDRESS(22,ROW()-31,1)),N$3:N$22),"")</f>
        <v>7</v>
      </c>
      <c r="O69">
        <f ca="1">IF(AND(((COLUMN()-10)&lt;=playercnt),((ROW()-41)&lt;=playercnt)),SUMPRODUCT(INDIRECT(ADDRESS(3,ROW()-31,1)):INDIRECT(ADDRESS(22,ROW()-31,1)),O$3:O$22),"")</f>
        <v>7</v>
      </c>
      <c r="P69">
        <f ca="1">IF(AND(((COLUMN()-10)&lt;=playercnt),((ROW()-41)&lt;=playercnt)),SUMPRODUCT(INDIRECT(ADDRESS(3,ROW()-31,1)):INDIRECT(ADDRESS(22,ROW()-31,1)),P$3:P$22),"")</f>
        <v>6</v>
      </c>
      <c r="Q69">
        <f ca="1">IF(AND(((COLUMN()-10)&lt;=playercnt),((ROW()-41)&lt;=playercnt)),SUMPRODUCT(INDIRECT(ADDRESS(3,ROW()-31,1)):INDIRECT(ADDRESS(22,ROW()-31,1)),Q$3:Q$22),"")</f>
        <v>7</v>
      </c>
      <c r="R69">
        <f ca="1">IF(AND(((COLUMN()-10)&lt;=playercnt),((ROW()-41)&lt;=playercnt)),SUMPRODUCT(INDIRECT(ADDRESS(3,ROW()-31,1)):INDIRECT(ADDRESS(22,ROW()-31,1)),R$3:R$22),"")</f>
        <v>5</v>
      </c>
      <c r="S69">
        <f ca="1">IF(AND(((COLUMN()-10)&lt;=playercnt),((ROW()-41)&lt;=playercnt)),SUMPRODUCT(INDIRECT(ADDRESS(3,ROW()-31,1)):INDIRECT(ADDRESS(22,ROW()-31,1)),S$3:S$22),"")</f>
        <v>5</v>
      </c>
      <c r="T69">
        <f ca="1">IF(AND(((COLUMN()-10)&lt;=playercnt),((ROW()-41)&lt;=playercnt)),SUMPRODUCT(INDIRECT(ADDRESS(3,ROW()-31,1)):INDIRECT(ADDRESS(22,ROW()-31,1)),T$3:T$22),"")</f>
        <v>6</v>
      </c>
      <c r="U69">
        <f ca="1">IF(AND(((COLUMN()-10)&lt;=playercnt),((ROW()-41)&lt;=playercnt)),SUMPRODUCT(INDIRECT(ADDRESS(3,ROW()-31,1)):INDIRECT(ADDRESS(22,ROW()-31,1)),U$3:U$22),"")</f>
        <v>7</v>
      </c>
      <c r="V69">
        <f ca="1">IF(AND(((COLUMN()-10)&lt;=playercnt),((ROW()-41)&lt;=playercnt)),SUMPRODUCT(INDIRECT(ADDRESS(3,ROW()-31,1)):INDIRECT(ADDRESS(22,ROW()-31,1)),V$3:V$22),"")</f>
        <v>5</v>
      </c>
      <c r="W69">
        <f ca="1">IF(AND(((COLUMN()-10)&lt;=playercnt),((ROW()-41)&lt;=playercnt)),SUMPRODUCT(INDIRECT(ADDRESS(3,ROW()-31,1)):INDIRECT(ADDRESS(22,ROW()-31,1)),W$3:W$22),"")</f>
        <v>7</v>
      </c>
      <c r="X69">
        <f ca="1">IF(AND(((COLUMN()-10)&lt;=playercnt),((ROW()-41)&lt;=playercnt)),SUMPRODUCT(INDIRECT(ADDRESS(3,ROW()-31,1)):INDIRECT(ADDRESS(22,ROW()-31,1)),X$3:X$22),"")</f>
        <v>4</v>
      </c>
      <c r="Y69">
        <f ca="1">IF(AND(((COLUMN()-10)&lt;=playercnt),((ROW()-41)&lt;=playercnt)),SUMPRODUCT(INDIRECT(ADDRESS(3,ROW()-31,1)):INDIRECT(ADDRESS(22,ROW()-31,1)),Y$3:Y$22),"")</f>
        <v>9</v>
      </c>
      <c r="Z69">
        <f ca="1">IF(AND(((COLUMN()-10)&lt;=playercnt),((ROW()-41)&lt;=playercnt)),SUMPRODUCT(INDIRECT(ADDRESS(3,ROW()-31,1)):INDIRECT(ADDRESS(22,ROW()-31,1)),Z$3:Z$22),"")</f>
        <v>6</v>
      </c>
      <c r="AA69">
        <f ca="1">IF(AND(((COLUMN()-10)&lt;=playercnt),((ROW()-41)&lt;=playercnt)),SUMPRODUCT(INDIRECT(ADDRESS(3,ROW()-31,1)):INDIRECT(ADDRESS(22,ROW()-31,1)),AA$3:AA$22),"")</f>
        <v>5</v>
      </c>
      <c r="AB69">
        <f ca="1">IF(AND(((COLUMN()-10)&lt;=playercnt),((ROW()-41)&lt;=playercnt)),SUMPRODUCT(INDIRECT(ADDRESS(3,ROW()-31,1)):INDIRECT(ADDRESS(22,ROW()-31,1)),AB$3:AB$22),"")</f>
        <v>8</v>
      </c>
      <c r="AC69">
        <f ca="1">IF(AND(((COLUMN()-10)&lt;=playercnt),((ROW()-41)&lt;=playercnt)),SUMPRODUCT(INDIRECT(ADDRESS(3,ROW()-31,1)):INDIRECT(ADDRESS(22,ROW()-31,1)),AC$3:AC$22),"")</f>
        <v>7</v>
      </c>
      <c r="AD69">
        <f ca="1">IF(AND(((COLUMN()-10)&lt;=playercnt),((ROW()-41)&lt;=playercnt)),SUMPRODUCT(INDIRECT(ADDRESS(3,ROW()-31,1)):INDIRECT(ADDRESS(22,ROW()-31,1)),AD$3:AD$22),"")</f>
        <v>7</v>
      </c>
      <c r="AE69">
        <f ca="1">IF(AND(((COLUMN()-10)&lt;=playercnt),((ROW()-41)&lt;=playercnt)),SUMPRODUCT(INDIRECT(ADDRESS(3,ROW()-31,1)):INDIRECT(ADDRESS(22,ROW()-31,1)),AE$3:AE$22),"")</f>
        <v>5</v>
      </c>
      <c r="AF69">
        <f ca="1">IF(AND(((COLUMN()-10)&lt;=playercnt),((ROW()-41)&lt;=playercnt)),SUMPRODUCT(INDIRECT(ADDRESS(3,ROW()-31,1)):INDIRECT(ADDRESS(22,ROW()-31,1)),AF$3:AF$22),"")</f>
        <v>4</v>
      </c>
      <c r="AG69">
        <f ca="1">IF(AND(((COLUMN()-10)&lt;=playercnt),((ROW()-41)&lt;=playercnt)),SUMPRODUCT(INDIRECT(ADDRESS(3,ROW()-31,1)):INDIRECT(ADDRESS(22,ROW()-31,1)),AG$3:AG$22),"")</f>
        <v>6</v>
      </c>
      <c r="AH69">
        <f ca="1">IF(AND(((COLUMN()-10)&lt;=playercnt),((ROW()-41)&lt;=playercnt)),SUMPRODUCT(INDIRECT(ADDRESS(3,ROW()-31,1)):INDIRECT(ADDRESS(22,ROW()-31,1)),AH$3:AH$22),"")</f>
        <v>7</v>
      </c>
      <c r="AI69">
        <f ca="1">IF(AND(((COLUMN()-10)&lt;=playercnt),((ROW()-41)&lt;=playercnt)),SUMPRODUCT(INDIRECT(ADDRESS(3,ROW()-31,1)):INDIRECT(ADDRESS(22,ROW()-31,1)),AI$3:AI$22),"")</f>
        <v>7</v>
      </c>
      <c r="AJ69">
        <f ca="1">IF(AND(((COLUMN()-10)&lt;=playercnt),((ROW()-41)&lt;=playercnt)),SUMPRODUCT(INDIRECT(ADDRESS(3,ROW()-31,1)):INDIRECT(ADDRESS(22,ROW()-31,1)),AJ$3:AJ$22),"")</f>
        <v>7</v>
      </c>
      <c r="AK69">
        <f ca="1">IF(AND(((COLUMN()-10)&lt;=playercnt),((ROW()-41)&lt;=playercnt)),SUMPRODUCT(INDIRECT(ADDRESS(3,ROW()-31,1)):INDIRECT(ADDRESS(22,ROW()-31,1)),AK$3:AK$22),"")</f>
        <v>0</v>
      </c>
      <c r="AL69">
        <f ca="1">IF(AND(((COLUMN()-10)&lt;=playercnt),((ROW()-41)&lt;=playercnt)),SUMPRODUCT(INDIRECT(ADDRESS(3,ROW()-31,1)):INDIRECT(ADDRESS(22,ROW()-31,1)),AL$3:AL$22),"")</f>
        <v>10</v>
      </c>
      <c r="AM69">
        <f ca="1">IF(AND(((COLUMN()-10)&lt;=playercnt),((ROW()-41)&lt;=playercnt)),SUMPRODUCT(INDIRECT(ADDRESS(3,ROW()-31,1)):INDIRECT(ADDRESS(22,ROW()-31,1)),AM$3:AM$22),"")</f>
        <v>7</v>
      </c>
      <c r="AN69">
        <f ca="1">IF(AND(((COLUMN()-10)&lt;=playercnt),((ROW()-41)&lt;=playercnt)),SUMPRODUCT(INDIRECT(ADDRESS(3,ROW()-31,1)):INDIRECT(ADDRESS(22,ROW()-31,1)),AN$3:AN$22),"")</f>
        <v>7</v>
      </c>
      <c r="AO69">
        <f ca="1">IF(AND(((COLUMN()-10)&lt;=playercnt),((ROW()-41)&lt;=playercnt)),SUMPRODUCT(INDIRECT(ADDRESS(3,ROW()-31,1)):INDIRECT(ADDRESS(22,ROW()-31,1)),AO$3:AO$22),"")</f>
        <v>5</v>
      </c>
      <c r="AP69">
        <f ca="1">IF(AND(((COLUMN()-10)&lt;=playercnt),((ROW()-41)&lt;=playercnt)),SUMPRODUCT(INDIRECT(ADDRESS(3,ROW()-31,1)):INDIRECT(ADDRESS(22,ROW()-31,1)),AP$3:AP$22),"")</f>
        <v>0</v>
      </c>
      <c r="AQ69">
        <f ca="1">IF(AND(((COLUMN()-10)&lt;=playercnt),((ROW()-41)&lt;=playercnt)),SUMPRODUCT(INDIRECT(ADDRESS(3,ROW()-31,1)):INDIRECT(ADDRESS(22,ROW()-31,1)),AQ$3:AQ$22),"")</f>
        <v>7</v>
      </c>
      <c r="AR69">
        <f ca="1">IF(AND(((COLUMN()-10)&lt;=playercnt),((ROW()-41)&lt;=playercnt)),SUMPRODUCT(INDIRECT(ADDRESS(3,ROW()-31,1)):INDIRECT(ADDRESS(22,ROW()-31,1)),AR$3:AR$22),"")</f>
        <v>6</v>
      </c>
      <c r="AS69">
        <f ca="1">IF(AND(((COLUMN()-10)&lt;=playercnt),((ROW()-41)&lt;=playercnt)),SUMPRODUCT(INDIRECT(ADDRESS(3,ROW()-31,1)):INDIRECT(ADDRESS(22,ROW()-31,1)),AS$3:AS$22),"")</f>
        <v>5</v>
      </c>
      <c r="AT69">
        <f ca="1">IF(AND(((COLUMN()-10)&lt;=playercnt),((ROW()-41)&lt;=playercnt)),SUMPRODUCT(INDIRECT(ADDRESS(3,ROW()-31,1)):INDIRECT(ADDRESS(22,ROW()-31,1)),AT$3:AT$22),"")</f>
        <v>7</v>
      </c>
      <c r="AU69">
        <f ca="1">IF(AND(((COLUMN()-10)&lt;=playercnt),((ROW()-41)&lt;=playercnt)),SUMPRODUCT(INDIRECT(ADDRESS(3,ROW()-31,1)):INDIRECT(ADDRESS(22,ROW()-31,1)),AU$3:AU$22),"")</f>
        <v>7</v>
      </c>
      <c r="AV69">
        <f ca="1">IF(AND(((COLUMN()-10)&lt;=playercnt),((ROW()-41)&lt;=playercnt)),SUMPRODUCT(INDIRECT(ADDRESS(3,ROW()-31,1)):INDIRECT(ADDRESS(22,ROW()-31,1)),AV$3:AV$22),"")</f>
        <v>7</v>
      </c>
      <c r="AW69">
        <f ca="1">IF(AND(((COLUMN()-10)&lt;=playercnt),((ROW()-41)&lt;=playercnt)),SUMPRODUCT(INDIRECT(ADDRESS(3,ROW()-31,1)):INDIRECT(ADDRESS(22,ROW()-31,1)),AW$3:AW$22),"")</f>
        <v>5</v>
      </c>
      <c r="AX69">
        <f ca="1">IF(AND(((COLUMN()-10)&lt;=playercnt),((ROW()-41)&lt;=playercnt)),SUMPRODUCT(INDIRECT(ADDRESS(3,ROW()-31,1)):INDIRECT(ADDRESS(22,ROW()-31,1)),AX$3:AX$22),"")</f>
        <v>6</v>
      </c>
      <c r="AY69">
        <f ca="1">IF(AND(((COLUMN()-10)&lt;=playercnt),((ROW()-41)&lt;=playercnt)),SUMPRODUCT(INDIRECT(ADDRESS(3,ROW()-31,1)):INDIRECT(ADDRESS(22,ROW()-31,1)),AY$3:AY$22),"")</f>
        <v>9</v>
      </c>
      <c r="AZ69">
        <f ca="1">IF(AND(((COLUMN()-10)&lt;=playercnt),((ROW()-41)&lt;=playercnt)),SUMPRODUCT(INDIRECT(ADDRESS(3,ROW()-31,1)):INDIRECT(ADDRESS(22,ROW()-31,1)),AZ$3:AZ$22),"")</f>
        <v>6</v>
      </c>
      <c r="BA69">
        <f ca="1">IF(AND(((COLUMN()-10)&lt;=playercnt),((ROW()-41)&lt;=playercnt)),SUMPRODUCT(INDIRECT(ADDRESS(3,ROW()-31,1)):INDIRECT(ADDRESS(22,ROW()-31,1)),BA$3:BA$22),"")</f>
        <v>6</v>
      </c>
      <c r="BB69">
        <f ca="1">IF(AND(((COLUMN()-10)&lt;=playercnt),((ROW()-41)&lt;=playercnt)),SUMPRODUCT(INDIRECT(ADDRESS(3,ROW()-31,1)):INDIRECT(ADDRESS(22,ROW()-31,1)),BB$3:BB$22),"")</f>
        <v>8</v>
      </c>
      <c r="BC69">
        <f ca="1">IF(AND(((COLUMN()-10)&lt;=playercnt),((ROW()-41)&lt;=playercnt)),SUMPRODUCT(INDIRECT(ADDRESS(3,ROW()-31,1)):INDIRECT(ADDRESS(22,ROW()-31,1)),BC$3:BC$22),"")</f>
        <v>6</v>
      </c>
      <c r="BD69">
        <f ca="1">IF(AND(((COLUMN()-10)&lt;=playercnt),((ROW()-41)&lt;=playercnt)),SUMPRODUCT(INDIRECT(ADDRESS(3,ROW()-31,1)):INDIRECT(ADDRESS(22,ROW()-31,1)),BD$3:BD$22),"")</f>
        <v>4</v>
      </c>
      <c r="BE69">
        <f ca="1">IF(AND(((COLUMN()-10)&lt;=playercnt),((ROW()-41)&lt;=playercnt)),SUMPRODUCT(INDIRECT(ADDRESS(3,ROW()-31,1)):INDIRECT(ADDRESS(22,ROW()-31,1)),BE$3:BE$22),"")</f>
        <v>7</v>
      </c>
      <c r="BF69">
        <f ca="1">IF(AND(((COLUMN()-10)&lt;=playercnt),((ROW()-41)&lt;=playercnt)),SUMPRODUCT(INDIRECT(ADDRESS(3,ROW()-31,1)):INDIRECT(ADDRESS(22,ROW()-31,1)),BF$3:BF$22),"")</f>
        <v>7</v>
      </c>
      <c r="BG69">
        <f ca="1">IF(AND(((COLUMN()-10)&lt;=playercnt),((ROW()-41)&lt;=playercnt)),SUMPRODUCT(INDIRECT(ADDRESS(3,ROW()-31,1)):INDIRECT(ADDRESS(22,ROW()-31,1)),BG$3:BG$22),"")</f>
        <v>5</v>
      </c>
      <c r="BH69">
        <f ca="1">IF(AND(((COLUMN()-10)&lt;=playercnt),((ROW()-41)&lt;=playercnt)),SUMPRODUCT(INDIRECT(ADDRESS(3,ROW()-31,1)):INDIRECT(ADDRESS(22,ROW()-31,1)),BH$3:BH$22),"")</f>
        <v>7</v>
      </c>
      <c r="BI69">
        <f ca="1">IF(AND(((COLUMN()-10)&lt;=playercnt),((ROW()-41)&lt;=playercnt)),SUMPRODUCT(INDIRECT(ADDRESS(3,ROW()-31,1)):INDIRECT(ADDRESS(22,ROW()-31,1)),BI$3:BI$22),"")</f>
        <v>7</v>
      </c>
      <c r="BJ69">
        <f ca="1">IF(AND(((COLUMN()-10)&lt;=playercnt),((ROW()-41)&lt;=playercnt)),SUMPRODUCT(INDIRECT(ADDRESS(3,ROW()-31,1)):INDIRECT(ADDRESS(22,ROW()-31,1)),BJ$3:BJ$22),"")</f>
        <v>5</v>
      </c>
      <c r="BK69">
        <f ca="1">IF(AND(((COLUMN()-10)&lt;=playercnt),((ROW()-41)&lt;=playercnt)),SUMPRODUCT(INDIRECT(ADDRESS(3,ROW()-31,1)):INDIRECT(ADDRESS(22,ROW()-31,1)),BK$3:BK$22),"")</f>
        <v>3</v>
      </c>
      <c r="BL69">
        <f ca="1">IF(AND(((COLUMN()-10)&lt;=playercnt),((ROW()-41)&lt;=playercnt)),SUMPRODUCT(INDIRECT(ADDRESS(3,ROW()-31,1)):INDIRECT(ADDRESS(22,ROW()-31,1)),BL$3:BL$22),"")</f>
        <v>4</v>
      </c>
      <c r="BM69">
        <f ca="1">IF(AND(((COLUMN()-10)&lt;=playercnt),((ROW()-41)&lt;=playercnt)),SUMPRODUCT(INDIRECT(ADDRESS(3,ROW()-31,1)):INDIRECT(ADDRESS(22,ROW()-31,1)),BM$3:BM$22),"")</f>
        <v>7</v>
      </c>
      <c r="BN69">
        <f ca="1">IF(AND(((COLUMN()-10)&lt;=playercnt),((ROW()-41)&lt;=playercnt)),SUMPRODUCT(INDIRECT(ADDRESS(3,ROW()-31,1)):INDIRECT(ADDRESS(22,ROW()-31,1)),BN$3:BN$22),"")</f>
        <v>4</v>
      </c>
    </row>
    <row r="70" spans="2:66" x14ac:dyDescent="0.2">
      <c r="B70" s="27">
        <f t="shared" ca="1" si="23"/>
        <v>5.9811320754716979</v>
      </c>
      <c r="C70" t="str">
        <f t="shared" ca="1" si="24"/>
        <v>Moore, Kevin B</v>
      </c>
      <c r="G70">
        <f ca="1">IF(AND(((COLUMN()-10)&lt;=playercnt),((ROW()-41)&lt;=playercnt)),SUMPRODUCT(INDIRECT(ADDRESS(3,ROW()-31,1)):INDIRECT(ADDRESS(22,ROW()-31,1)),G$3:G$22),"")</f>
        <v>4</v>
      </c>
      <c r="H70">
        <f ca="1">IF(AND(((COLUMN()-10)&lt;=playercnt),((ROW()-41)&lt;=playercnt)),SUMPRODUCT(INDIRECT(ADDRESS(3,ROW()-31,1)):INDIRECT(ADDRESS(22,ROW()-31,1)),H$3:H$22),"")</f>
        <v>7</v>
      </c>
      <c r="I70">
        <f ca="1">IF(AND(((COLUMN()-10)&lt;=playercnt),((ROW()-41)&lt;=playercnt)),SUMPRODUCT(INDIRECT(ADDRESS(3,ROW()-31,1)):INDIRECT(ADDRESS(22,ROW()-31,1)),I$3:I$22),"")</f>
        <v>8.5</v>
      </c>
      <c r="J70">
        <f ca="1">IF(AND(((COLUMN()-10)&lt;=playercnt),((ROW()-41)&lt;=playercnt)),SUMPRODUCT(INDIRECT(ADDRESS(3,ROW()-31,1)):INDIRECT(ADDRESS(22,ROW()-31,1)),J$3:J$22),"")</f>
        <v>0</v>
      </c>
      <c r="K70">
        <f ca="1">IF(AND(((COLUMN()-10)&lt;=playercnt),((ROW()-41)&lt;=playercnt)),SUMPRODUCT(INDIRECT(ADDRESS(3,ROW()-31,1)):INDIRECT(ADDRESS(22,ROW()-31,1)),K$3:K$22),"")</f>
        <v>7</v>
      </c>
      <c r="L70">
        <f ca="1">IF(AND(((COLUMN()-10)&lt;=playercnt),((ROW()-41)&lt;=playercnt)),SUMPRODUCT(INDIRECT(ADDRESS(3,ROW()-31,1)):INDIRECT(ADDRESS(22,ROW()-31,1)),L$3:L$22),"")</f>
        <v>8</v>
      </c>
      <c r="M70">
        <f ca="1">IF(AND(((COLUMN()-10)&lt;=playercnt),((ROW()-41)&lt;=playercnt)),SUMPRODUCT(INDIRECT(ADDRESS(3,ROW()-31,1)):INDIRECT(ADDRESS(22,ROW()-31,1)),M$3:M$22),"")</f>
        <v>5</v>
      </c>
      <c r="N70">
        <f ca="1">IF(AND(((COLUMN()-10)&lt;=playercnt),((ROW()-41)&lt;=playercnt)),SUMPRODUCT(INDIRECT(ADDRESS(3,ROW()-31,1)):INDIRECT(ADDRESS(22,ROW()-31,1)),N$3:N$22),"")</f>
        <v>6</v>
      </c>
      <c r="O70">
        <f ca="1">IF(AND(((COLUMN()-10)&lt;=playercnt),((ROW()-41)&lt;=playercnt)),SUMPRODUCT(INDIRECT(ADDRESS(3,ROW()-31,1)):INDIRECT(ADDRESS(22,ROW()-31,1)),O$3:O$22),"")</f>
        <v>4</v>
      </c>
      <c r="P70">
        <f ca="1">IF(AND(((COLUMN()-10)&lt;=playercnt),((ROW()-41)&lt;=playercnt)),SUMPRODUCT(INDIRECT(ADDRESS(3,ROW()-31,1)):INDIRECT(ADDRESS(22,ROW()-31,1)),P$3:P$22),"")</f>
        <v>7</v>
      </c>
      <c r="Q70">
        <f ca="1">IF(AND(((COLUMN()-10)&lt;=playercnt),((ROW()-41)&lt;=playercnt)),SUMPRODUCT(INDIRECT(ADDRESS(3,ROW()-31,1)):INDIRECT(ADDRESS(22,ROW()-31,1)),Q$3:Q$22),"")</f>
        <v>6</v>
      </c>
      <c r="R70">
        <f ca="1">IF(AND(((COLUMN()-10)&lt;=playercnt),((ROW()-41)&lt;=playercnt)),SUMPRODUCT(INDIRECT(ADDRESS(3,ROW()-31,1)):INDIRECT(ADDRESS(22,ROW()-31,1)),R$3:R$22),"")</f>
        <v>6</v>
      </c>
      <c r="S70">
        <f ca="1">IF(AND(((COLUMN()-10)&lt;=playercnt),((ROW()-41)&lt;=playercnt)),SUMPRODUCT(INDIRECT(ADDRESS(3,ROW()-31,1)):INDIRECT(ADDRESS(22,ROW()-31,1)),S$3:S$22),"")</f>
        <v>6</v>
      </c>
      <c r="T70">
        <f ca="1">IF(AND(((COLUMN()-10)&lt;=playercnt),((ROW()-41)&lt;=playercnt)),SUMPRODUCT(INDIRECT(ADDRESS(3,ROW()-31,1)):INDIRECT(ADDRESS(22,ROW()-31,1)),T$3:T$22),"")</f>
        <v>5</v>
      </c>
      <c r="U70">
        <f ca="1">IF(AND(((COLUMN()-10)&lt;=playercnt),((ROW()-41)&lt;=playercnt)),SUMPRODUCT(INDIRECT(ADDRESS(3,ROW()-31,1)):INDIRECT(ADDRESS(22,ROW()-31,1)),U$3:U$22),"")</f>
        <v>8</v>
      </c>
      <c r="V70">
        <f ca="1">IF(AND(((COLUMN()-10)&lt;=playercnt),((ROW()-41)&lt;=playercnt)),SUMPRODUCT(INDIRECT(ADDRESS(3,ROW()-31,1)):INDIRECT(ADDRESS(22,ROW()-31,1)),V$3:V$22),"")</f>
        <v>6</v>
      </c>
      <c r="W70">
        <f ca="1">IF(AND(((COLUMN()-10)&lt;=playercnt),((ROW()-41)&lt;=playercnt)),SUMPRODUCT(INDIRECT(ADDRESS(3,ROW()-31,1)):INDIRECT(ADDRESS(22,ROW()-31,1)),W$3:W$22),"")</f>
        <v>6</v>
      </c>
      <c r="X70">
        <f ca="1">IF(AND(((COLUMN()-10)&lt;=playercnt),((ROW()-41)&lt;=playercnt)),SUMPRODUCT(INDIRECT(ADDRESS(3,ROW()-31,1)):INDIRECT(ADDRESS(22,ROW()-31,1)),X$3:X$22),"")</f>
        <v>7</v>
      </c>
      <c r="Y70">
        <f ca="1">IF(AND(((COLUMN()-10)&lt;=playercnt),((ROW()-41)&lt;=playercnt)),SUMPRODUCT(INDIRECT(ADDRESS(3,ROW()-31,1)):INDIRECT(ADDRESS(22,ROW()-31,1)),Y$3:Y$22),"")</f>
        <v>6</v>
      </c>
      <c r="Z70">
        <f ca="1">IF(AND(((COLUMN()-10)&lt;=playercnt),((ROW()-41)&lt;=playercnt)),SUMPRODUCT(INDIRECT(ADDRESS(3,ROW()-31,1)):INDIRECT(ADDRESS(22,ROW()-31,1)),Z$3:Z$22),"")</f>
        <v>5</v>
      </c>
      <c r="AA70">
        <f ca="1">IF(AND(((COLUMN()-10)&lt;=playercnt),((ROW()-41)&lt;=playercnt)),SUMPRODUCT(INDIRECT(ADDRESS(3,ROW()-31,1)):INDIRECT(ADDRESS(22,ROW()-31,1)),AA$3:AA$22),"")</f>
        <v>4</v>
      </c>
      <c r="AB70">
        <f ca="1">IF(AND(((COLUMN()-10)&lt;=playercnt),((ROW()-41)&lt;=playercnt)),SUMPRODUCT(INDIRECT(ADDRESS(3,ROW()-31,1)):INDIRECT(ADDRESS(22,ROW()-31,1)),AB$3:AB$22),"")</f>
        <v>7</v>
      </c>
      <c r="AC70">
        <f ca="1">IF(AND(((COLUMN()-10)&lt;=playercnt),((ROW()-41)&lt;=playercnt)),SUMPRODUCT(INDIRECT(ADDRESS(3,ROW()-31,1)):INDIRECT(ADDRESS(22,ROW()-31,1)),AC$3:AC$22),"")</f>
        <v>6</v>
      </c>
      <c r="AD70">
        <f ca="1">IF(AND(((COLUMN()-10)&lt;=playercnt),((ROW()-41)&lt;=playercnt)),SUMPRODUCT(INDIRECT(ADDRESS(3,ROW()-31,1)):INDIRECT(ADDRESS(22,ROW()-31,1)),AD$3:AD$22),"")</f>
        <v>4</v>
      </c>
      <c r="AE70">
        <f ca="1">IF(AND(((COLUMN()-10)&lt;=playercnt),((ROW()-41)&lt;=playercnt)),SUMPRODUCT(INDIRECT(ADDRESS(3,ROW()-31,1)):INDIRECT(ADDRESS(22,ROW()-31,1)),AE$3:AE$22),"")</f>
        <v>6</v>
      </c>
      <c r="AF70">
        <f ca="1">IF(AND(((COLUMN()-10)&lt;=playercnt),((ROW()-41)&lt;=playercnt)),SUMPRODUCT(INDIRECT(ADDRESS(3,ROW()-31,1)):INDIRECT(ADDRESS(22,ROW()-31,1)),AF$3:AF$22),"")</f>
        <v>5</v>
      </c>
      <c r="AG70">
        <f ca="1">IF(AND(((COLUMN()-10)&lt;=playercnt),((ROW()-41)&lt;=playercnt)),SUMPRODUCT(INDIRECT(ADDRESS(3,ROW()-31,1)):INDIRECT(ADDRESS(22,ROW()-31,1)),AG$3:AG$22),"")</f>
        <v>7</v>
      </c>
      <c r="AH70">
        <f ca="1">IF(AND(((COLUMN()-10)&lt;=playercnt),((ROW()-41)&lt;=playercnt)),SUMPRODUCT(INDIRECT(ADDRESS(3,ROW()-31,1)):INDIRECT(ADDRESS(22,ROW()-31,1)),AH$3:AH$22),"")</f>
        <v>8</v>
      </c>
      <c r="AI70">
        <f ca="1">IF(AND(((COLUMN()-10)&lt;=playercnt),((ROW()-41)&lt;=playercnt)),SUMPRODUCT(INDIRECT(ADDRESS(3,ROW()-31,1)):INDIRECT(ADDRESS(22,ROW()-31,1)),AI$3:AI$22),"")</f>
        <v>4</v>
      </c>
      <c r="AJ70">
        <f ca="1">IF(AND(((COLUMN()-10)&lt;=playercnt),((ROW()-41)&lt;=playercnt)),SUMPRODUCT(INDIRECT(ADDRESS(3,ROW()-31,1)):INDIRECT(ADDRESS(22,ROW()-31,1)),AJ$3:AJ$22),"")</f>
        <v>6</v>
      </c>
      <c r="AK70">
        <f ca="1">IF(AND(((COLUMN()-10)&lt;=playercnt),((ROW()-41)&lt;=playercnt)),SUMPRODUCT(INDIRECT(ADDRESS(3,ROW()-31,1)):INDIRECT(ADDRESS(22,ROW()-31,1)),AK$3:AK$22),"")</f>
        <v>0</v>
      </c>
      <c r="AL70">
        <f ca="1">IF(AND(((COLUMN()-10)&lt;=playercnt),((ROW()-41)&lt;=playercnt)),SUMPRODUCT(INDIRECT(ADDRESS(3,ROW()-31,1)):INDIRECT(ADDRESS(22,ROW()-31,1)),AL$3:AL$22),"")</f>
        <v>7</v>
      </c>
      <c r="AM70">
        <f ca="1">IF(AND(((COLUMN()-10)&lt;=playercnt),((ROW()-41)&lt;=playercnt)),SUMPRODUCT(INDIRECT(ADDRESS(3,ROW()-31,1)):INDIRECT(ADDRESS(22,ROW()-31,1)),AM$3:AM$22),"")</f>
        <v>10</v>
      </c>
      <c r="AN70">
        <f ca="1">IF(AND(((COLUMN()-10)&lt;=playercnt),((ROW()-41)&lt;=playercnt)),SUMPRODUCT(INDIRECT(ADDRESS(3,ROW()-31,1)):INDIRECT(ADDRESS(22,ROW()-31,1)),AN$3:AN$22),"")</f>
        <v>8</v>
      </c>
      <c r="AO70">
        <f ca="1">IF(AND(((COLUMN()-10)&lt;=playercnt),((ROW()-41)&lt;=playercnt)),SUMPRODUCT(INDIRECT(ADDRESS(3,ROW()-31,1)):INDIRECT(ADDRESS(22,ROW()-31,1)),AO$3:AO$22),"")</f>
        <v>2</v>
      </c>
      <c r="AP70">
        <f ca="1">IF(AND(((COLUMN()-10)&lt;=playercnt),((ROW()-41)&lt;=playercnt)),SUMPRODUCT(INDIRECT(ADDRESS(3,ROW()-31,1)):INDIRECT(ADDRESS(22,ROW()-31,1)),AP$3:AP$22),"")</f>
        <v>0</v>
      </c>
      <c r="AQ70">
        <f ca="1">IF(AND(((COLUMN()-10)&lt;=playercnt),((ROW()-41)&lt;=playercnt)),SUMPRODUCT(INDIRECT(ADDRESS(3,ROW()-31,1)):INDIRECT(ADDRESS(22,ROW()-31,1)),AQ$3:AQ$22),"")</f>
        <v>6</v>
      </c>
      <c r="AR70">
        <f ca="1">IF(AND(((COLUMN()-10)&lt;=playercnt),((ROW()-41)&lt;=playercnt)),SUMPRODUCT(INDIRECT(ADDRESS(3,ROW()-31,1)):INDIRECT(ADDRESS(22,ROW()-31,1)),AR$3:AR$22),"")</f>
        <v>5</v>
      </c>
      <c r="AS70">
        <f ca="1">IF(AND(((COLUMN()-10)&lt;=playercnt),((ROW()-41)&lt;=playercnt)),SUMPRODUCT(INDIRECT(ADDRESS(3,ROW()-31,1)):INDIRECT(ADDRESS(22,ROW()-31,1)),AS$3:AS$22),"")</f>
        <v>6</v>
      </c>
      <c r="AT70">
        <f ca="1">IF(AND(((COLUMN()-10)&lt;=playercnt),((ROW()-41)&lt;=playercnt)),SUMPRODUCT(INDIRECT(ADDRESS(3,ROW()-31,1)):INDIRECT(ADDRESS(22,ROW()-31,1)),AT$3:AT$22),"")</f>
        <v>6</v>
      </c>
      <c r="AU70">
        <f ca="1">IF(AND(((COLUMN()-10)&lt;=playercnt),((ROW()-41)&lt;=playercnt)),SUMPRODUCT(INDIRECT(ADDRESS(3,ROW()-31,1)):INDIRECT(ADDRESS(22,ROW()-31,1)),AU$3:AU$22),"")</f>
        <v>6</v>
      </c>
      <c r="AV70">
        <f ca="1">IF(AND(((COLUMN()-10)&lt;=playercnt),((ROW()-41)&lt;=playercnt)),SUMPRODUCT(INDIRECT(ADDRESS(3,ROW()-31,1)):INDIRECT(ADDRESS(22,ROW()-31,1)),AV$3:AV$22),"")</f>
        <v>8</v>
      </c>
      <c r="AW70">
        <f ca="1">IF(AND(((COLUMN()-10)&lt;=playercnt),((ROW()-41)&lt;=playercnt)),SUMPRODUCT(INDIRECT(ADDRESS(3,ROW()-31,1)):INDIRECT(ADDRESS(22,ROW()-31,1)),AW$3:AW$22),"")</f>
        <v>6</v>
      </c>
      <c r="AX70">
        <f ca="1">IF(AND(((COLUMN()-10)&lt;=playercnt),((ROW()-41)&lt;=playercnt)),SUMPRODUCT(INDIRECT(ADDRESS(3,ROW()-31,1)):INDIRECT(ADDRESS(22,ROW()-31,1)),AX$3:AX$22),"")</f>
        <v>7</v>
      </c>
      <c r="AY70">
        <f ca="1">IF(AND(((COLUMN()-10)&lt;=playercnt),((ROW()-41)&lt;=playercnt)),SUMPRODUCT(INDIRECT(ADDRESS(3,ROW()-31,1)):INDIRECT(ADDRESS(22,ROW()-31,1)),AY$3:AY$22),"")</f>
        <v>6</v>
      </c>
      <c r="AZ70">
        <f ca="1">IF(AND(((COLUMN()-10)&lt;=playercnt),((ROW()-41)&lt;=playercnt)),SUMPRODUCT(INDIRECT(ADDRESS(3,ROW()-31,1)):INDIRECT(ADDRESS(22,ROW()-31,1)),AZ$3:AZ$22),"")</f>
        <v>7</v>
      </c>
      <c r="BA70">
        <f ca="1">IF(AND(((COLUMN()-10)&lt;=playercnt),((ROW()-41)&lt;=playercnt)),SUMPRODUCT(INDIRECT(ADDRESS(3,ROW()-31,1)):INDIRECT(ADDRESS(22,ROW()-31,1)),BA$3:BA$22),"")</f>
        <v>5</v>
      </c>
      <c r="BB70">
        <f ca="1">IF(AND(((COLUMN()-10)&lt;=playercnt),((ROW()-41)&lt;=playercnt)),SUMPRODUCT(INDIRECT(ADDRESS(3,ROW()-31,1)):INDIRECT(ADDRESS(22,ROW()-31,1)),BB$3:BB$22),"")</f>
        <v>7</v>
      </c>
      <c r="BC70">
        <f ca="1">IF(AND(((COLUMN()-10)&lt;=playercnt),((ROW()-41)&lt;=playercnt)),SUMPRODUCT(INDIRECT(ADDRESS(3,ROW()-31,1)):INDIRECT(ADDRESS(22,ROW()-31,1)),BC$3:BC$22),"")</f>
        <v>5</v>
      </c>
      <c r="BD70">
        <f ca="1">IF(AND(((COLUMN()-10)&lt;=playercnt),((ROW()-41)&lt;=playercnt)),SUMPRODUCT(INDIRECT(ADDRESS(3,ROW()-31,1)):INDIRECT(ADDRESS(22,ROW()-31,1)),BD$3:BD$22),"")</f>
        <v>3</v>
      </c>
      <c r="BE70">
        <f ca="1">IF(AND(((COLUMN()-10)&lt;=playercnt),((ROW()-41)&lt;=playercnt)),SUMPRODUCT(INDIRECT(ADDRESS(3,ROW()-31,1)):INDIRECT(ADDRESS(22,ROW()-31,1)),BE$3:BE$22),"")</f>
        <v>6</v>
      </c>
      <c r="BF70">
        <f ca="1">IF(AND(((COLUMN()-10)&lt;=playercnt),((ROW()-41)&lt;=playercnt)),SUMPRODUCT(INDIRECT(ADDRESS(3,ROW()-31,1)):INDIRECT(ADDRESS(22,ROW()-31,1)),BF$3:BF$22),"")</f>
        <v>8</v>
      </c>
      <c r="BG70">
        <f ca="1">IF(AND(((COLUMN()-10)&lt;=playercnt),((ROW()-41)&lt;=playercnt)),SUMPRODUCT(INDIRECT(ADDRESS(3,ROW()-31,1)):INDIRECT(ADDRESS(22,ROW()-31,1)),BG$3:BG$22),"")</f>
        <v>6</v>
      </c>
      <c r="BH70">
        <f ca="1">IF(AND(((COLUMN()-10)&lt;=playercnt),((ROW()-41)&lt;=playercnt)),SUMPRODUCT(INDIRECT(ADDRESS(3,ROW()-31,1)):INDIRECT(ADDRESS(22,ROW()-31,1)),BH$3:BH$22),"")</f>
        <v>6</v>
      </c>
      <c r="BI70">
        <f ca="1">IF(AND(((COLUMN()-10)&lt;=playercnt),((ROW()-41)&lt;=playercnt)),SUMPRODUCT(INDIRECT(ADDRESS(3,ROW()-31,1)):INDIRECT(ADDRESS(22,ROW()-31,1)),BI$3:BI$22),"")</f>
        <v>8</v>
      </c>
      <c r="BJ70">
        <f ca="1">IF(AND(((COLUMN()-10)&lt;=playercnt),((ROW()-41)&lt;=playercnt)),SUMPRODUCT(INDIRECT(ADDRESS(3,ROW()-31,1)):INDIRECT(ADDRESS(22,ROW()-31,1)),BJ$3:BJ$22),"")</f>
        <v>6</v>
      </c>
      <c r="BK70">
        <f ca="1">IF(AND(((COLUMN()-10)&lt;=playercnt),((ROW()-41)&lt;=playercnt)),SUMPRODUCT(INDIRECT(ADDRESS(3,ROW()-31,1)):INDIRECT(ADDRESS(22,ROW()-31,1)),BK$3:BK$22),"")</f>
        <v>4</v>
      </c>
      <c r="BL70">
        <f ca="1">IF(AND(((COLUMN()-10)&lt;=playercnt),((ROW()-41)&lt;=playercnt)),SUMPRODUCT(INDIRECT(ADDRESS(3,ROW()-31,1)):INDIRECT(ADDRESS(22,ROW()-31,1)),BL$3:BL$22),"")</f>
        <v>5</v>
      </c>
      <c r="BM70">
        <f ca="1">IF(AND(((COLUMN()-10)&lt;=playercnt),((ROW()-41)&lt;=playercnt)),SUMPRODUCT(INDIRECT(ADDRESS(3,ROW()-31,1)):INDIRECT(ADDRESS(22,ROW()-31,1)),BM$3:BM$22),"")</f>
        <v>8</v>
      </c>
      <c r="BN70">
        <f ca="1">IF(AND(((COLUMN()-10)&lt;=playercnt),((ROW()-41)&lt;=playercnt)),SUMPRODUCT(INDIRECT(ADDRESS(3,ROW()-31,1)):INDIRECT(ADDRESS(22,ROW()-31,1)),BN$3:BN$22),"")</f>
        <v>5</v>
      </c>
    </row>
    <row r="71" spans="2:66" x14ac:dyDescent="0.2">
      <c r="B71" s="27">
        <f t="shared" ca="1" si="23"/>
        <v>6.5471698113207548</v>
      </c>
      <c r="C71" t="str">
        <f t="shared" ca="1" si="24"/>
        <v>Murdaugh, Stephen K</v>
      </c>
      <c r="G71">
        <f ca="1">IF(AND(((COLUMN()-10)&lt;=playercnt),((ROW()-41)&lt;=playercnt)),SUMPRODUCT(INDIRECT(ADDRESS(3,ROW()-31,1)):INDIRECT(ADDRESS(22,ROW()-31,1)),G$3:G$22),"")</f>
        <v>4</v>
      </c>
      <c r="H71">
        <f ca="1">IF(AND(((COLUMN()-10)&lt;=playercnt),((ROW()-41)&lt;=playercnt)),SUMPRODUCT(INDIRECT(ADDRESS(3,ROW()-31,1)):INDIRECT(ADDRESS(22,ROW()-31,1)),H$3:H$22),"")</f>
        <v>9</v>
      </c>
      <c r="I71">
        <f ca="1">IF(AND(((COLUMN()-10)&lt;=playercnt),((ROW()-41)&lt;=playercnt)),SUMPRODUCT(INDIRECT(ADDRESS(3,ROW()-31,1)):INDIRECT(ADDRESS(22,ROW()-31,1)),I$3:I$22),"")</f>
        <v>8.5</v>
      </c>
      <c r="J71">
        <f ca="1">IF(AND(((COLUMN()-10)&lt;=playercnt),((ROW()-41)&lt;=playercnt)),SUMPRODUCT(INDIRECT(ADDRESS(3,ROW()-31,1)):INDIRECT(ADDRESS(22,ROW()-31,1)),J$3:J$22),"")</f>
        <v>0</v>
      </c>
      <c r="K71">
        <f ca="1">IF(AND(((COLUMN()-10)&lt;=playercnt),((ROW()-41)&lt;=playercnt)),SUMPRODUCT(INDIRECT(ADDRESS(3,ROW()-31,1)):INDIRECT(ADDRESS(22,ROW()-31,1)),K$3:K$22),"")</f>
        <v>7</v>
      </c>
      <c r="L71">
        <f ca="1">IF(AND(((COLUMN()-10)&lt;=playercnt),((ROW()-41)&lt;=playercnt)),SUMPRODUCT(INDIRECT(ADDRESS(3,ROW()-31,1)):INDIRECT(ADDRESS(22,ROW()-31,1)),L$3:L$22),"")</f>
        <v>10</v>
      </c>
      <c r="M71">
        <f ca="1">IF(AND(((COLUMN()-10)&lt;=playercnt),((ROW()-41)&lt;=playercnt)),SUMPRODUCT(INDIRECT(ADDRESS(3,ROW()-31,1)):INDIRECT(ADDRESS(22,ROW()-31,1)),M$3:M$22),"")</f>
        <v>5</v>
      </c>
      <c r="N71">
        <f ca="1">IF(AND(((COLUMN()-10)&lt;=playercnt),((ROW()-41)&lt;=playercnt)),SUMPRODUCT(INDIRECT(ADDRESS(3,ROW()-31,1)):INDIRECT(ADDRESS(22,ROW()-31,1)),N$3:N$22),"")</f>
        <v>8</v>
      </c>
      <c r="O71">
        <f ca="1">IF(AND(((COLUMN()-10)&lt;=playercnt),((ROW()-41)&lt;=playercnt)),SUMPRODUCT(INDIRECT(ADDRESS(3,ROW()-31,1)):INDIRECT(ADDRESS(22,ROW()-31,1)),O$3:O$22),"")</f>
        <v>6</v>
      </c>
      <c r="P71">
        <f ca="1">IF(AND(((COLUMN()-10)&lt;=playercnt),((ROW()-41)&lt;=playercnt)),SUMPRODUCT(INDIRECT(ADDRESS(3,ROW()-31,1)):INDIRECT(ADDRESS(22,ROW()-31,1)),P$3:P$22),"")</f>
        <v>5</v>
      </c>
      <c r="Q71">
        <f ca="1">IF(AND(((COLUMN()-10)&lt;=playercnt),((ROW()-41)&lt;=playercnt)),SUMPRODUCT(INDIRECT(ADDRESS(3,ROW()-31,1)):INDIRECT(ADDRESS(22,ROW()-31,1)),Q$3:Q$22),"")</f>
        <v>6</v>
      </c>
      <c r="R71">
        <f ca="1">IF(AND(((COLUMN()-10)&lt;=playercnt),((ROW()-41)&lt;=playercnt)),SUMPRODUCT(INDIRECT(ADDRESS(3,ROW()-31,1)):INDIRECT(ADDRESS(22,ROW()-31,1)),R$3:R$22),"")</f>
        <v>6</v>
      </c>
      <c r="S71">
        <f ca="1">IF(AND(((COLUMN()-10)&lt;=playercnt),((ROW()-41)&lt;=playercnt)),SUMPRODUCT(INDIRECT(ADDRESS(3,ROW()-31,1)):INDIRECT(ADDRESS(22,ROW()-31,1)),S$3:S$22),"")</f>
        <v>8</v>
      </c>
      <c r="T71">
        <f ca="1">IF(AND(((COLUMN()-10)&lt;=playercnt),((ROW()-41)&lt;=playercnt)),SUMPRODUCT(INDIRECT(ADDRESS(3,ROW()-31,1)):INDIRECT(ADDRESS(22,ROW()-31,1)),T$3:T$22),"")</f>
        <v>5</v>
      </c>
      <c r="U71">
        <f ca="1">IF(AND(((COLUMN()-10)&lt;=playercnt),((ROW()-41)&lt;=playercnt)),SUMPRODUCT(INDIRECT(ADDRESS(3,ROW()-31,1)):INDIRECT(ADDRESS(22,ROW()-31,1)),U$3:U$22),"")</f>
        <v>10</v>
      </c>
      <c r="V71">
        <f ca="1">IF(AND(((COLUMN()-10)&lt;=playercnt),((ROW()-41)&lt;=playercnt)),SUMPRODUCT(INDIRECT(ADDRESS(3,ROW()-31,1)):INDIRECT(ADDRESS(22,ROW()-31,1)),V$3:V$22),"")</f>
        <v>4</v>
      </c>
      <c r="W71">
        <f ca="1">IF(AND(((COLUMN()-10)&lt;=playercnt),((ROW()-41)&lt;=playercnt)),SUMPRODUCT(INDIRECT(ADDRESS(3,ROW()-31,1)):INDIRECT(ADDRESS(22,ROW()-31,1)),W$3:W$22),"")</f>
        <v>6</v>
      </c>
      <c r="X71">
        <f ca="1">IF(AND(((COLUMN()-10)&lt;=playercnt),((ROW()-41)&lt;=playercnt)),SUMPRODUCT(INDIRECT(ADDRESS(3,ROW()-31,1)):INDIRECT(ADDRESS(22,ROW()-31,1)),X$3:X$22),"")</f>
        <v>5</v>
      </c>
      <c r="Y71">
        <f ca="1">IF(AND(((COLUMN()-10)&lt;=playercnt),((ROW()-41)&lt;=playercnt)),SUMPRODUCT(INDIRECT(ADDRESS(3,ROW()-31,1)):INDIRECT(ADDRESS(22,ROW()-31,1)),Y$3:Y$22),"")</f>
        <v>8</v>
      </c>
      <c r="Z71">
        <f ca="1">IF(AND(((COLUMN()-10)&lt;=playercnt),((ROW()-41)&lt;=playercnt)),SUMPRODUCT(INDIRECT(ADDRESS(3,ROW()-31,1)):INDIRECT(ADDRESS(22,ROW()-31,1)),Z$3:Z$22),"")</f>
        <v>5</v>
      </c>
      <c r="AA71">
        <f ca="1">IF(AND(((COLUMN()-10)&lt;=playercnt),((ROW()-41)&lt;=playercnt)),SUMPRODUCT(INDIRECT(ADDRESS(3,ROW()-31,1)):INDIRECT(ADDRESS(22,ROW()-31,1)),AA$3:AA$22),"")</f>
        <v>4</v>
      </c>
      <c r="AB71">
        <f ca="1">IF(AND(((COLUMN()-10)&lt;=playercnt),((ROW()-41)&lt;=playercnt)),SUMPRODUCT(INDIRECT(ADDRESS(3,ROW()-31,1)):INDIRECT(ADDRESS(22,ROW()-31,1)),AB$3:AB$22),"")</f>
        <v>5</v>
      </c>
      <c r="AC71">
        <f ca="1">IF(AND(((COLUMN()-10)&lt;=playercnt),((ROW()-41)&lt;=playercnt)),SUMPRODUCT(INDIRECT(ADDRESS(3,ROW()-31,1)):INDIRECT(ADDRESS(22,ROW()-31,1)),AC$3:AC$22),"")</f>
        <v>8</v>
      </c>
      <c r="AD71">
        <f ca="1">IF(AND(((COLUMN()-10)&lt;=playercnt),((ROW()-41)&lt;=playercnt)),SUMPRODUCT(INDIRECT(ADDRESS(3,ROW()-31,1)):INDIRECT(ADDRESS(22,ROW()-31,1)),AD$3:AD$22),"")</f>
        <v>6</v>
      </c>
      <c r="AE71">
        <f ca="1">IF(AND(((COLUMN()-10)&lt;=playercnt),((ROW()-41)&lt;=playercnt)),SUMPRODUCT(INDIRECT(ADDRESS(3,ROW()-31,1)):INDIRECT(ADDRESS(22,ROW()-31,1)),AE$3:AE$22),"")</f>
        <v>8</v>
      </c>
      <c r="AF71">
        <f ca="1">IF(AND(((COLUMN()-10)&lt;=playercnt),((ROW()-41)&lt;=playercnt)),SUMPRODUCT(INDIRECT(ADDRESS(3,ROW()-31,1)):INDIRECT(ADDRESS(22,ROW()-31,1)),AF$3:AF$22),"")</f>
        <v>5</v>
      </c>
      <c r="AG71">
        <f ca="1">IF(AND(((COLUMN()-10)&lt;=playercnt),((ROW()-41)&lt;=playercnt)),SUMPRODUCT(INDIRECT(ADDRESS(3,ROW()-31,1)):INDIRECT(ADDRESS(22,ROW()-31,1)),AG$3:AG$22),"")</f>
        <v>7</v>
      </c>
      <c r="AH71">
        <f ca="1">IF(AND(((COLUMN()-10)&lt;=playercnt),((ROW()-41)&lt;=playercnt)),SUMPRODUCT(INDIRECT(ADDRESS(3,ROW()-31,1)):INDIRECT(ADDRESS(22,ROW()-31,1)),AH$3:AH$22),"")</f>
        <v>8</v>
      </c>
      <c r="AI71">
        <f ca="1">IF(AND(((COLUMN()-10)&lt;=playercnt),((ROW()-41)&lt;=playercnt)),SUMPRODUCT(INDIRECT(ADDRESS(3,ROW()-31,1)):INDIRECT(ADDRESS(22,ROW()-31,1)),AI$3:AI$22),"")</f>
        <v>4</v>
      </c>
      <c r="AJ71">
        <f ca="1">IF(AND(((COLUMN()-10)&lt;=playercnt),((ROW()-41)&lt;=playercnt)),SUMPRODUCT(INDIRECT(ADDRESS(3,ROW()-31,1)):INDIRECT(ADDRESS(22,ROW()-31,1)),AJ$3:AJ$22),"")</f>
        <v>6</v>
      </c>
      <c r="AK71">
        <f ca="1">IF(AND(((COLUMN()-10)&lt;=playercnt),((ROW()-41)&lt;=playercnt)),SUMPRODUCT(INDIRECT(ADDRESS(3,ROW()-31,1)):INDIRECT(ADDRESS(22,ROW()-31,1)),AK$3:AK$22),"")</f>
        <v>0</v>
      </c>
      <c r="AL71">
        <f ca="1">IF(AND(((COLUMN()-10)&lt;=playercnt),((ROW()-41)&lt;=playercnt)),SUMPRODUCT(INDIRECT(ADDRESS(3,ROW()-31,1)):INDIRECT(ADDRESS(22,ROW()-31,1)),AL$3:AL$22),"")</f>
        <v>7</v>
      </c>
      <c r="AM71">
        <f ca="1">IF(AND(((COLUMN()-10)&lt;=playercnt),((ROW()-41)&lt;=playercnt)),SUMPRODUCT(INDIRECT(ADDRESS(3,ROW()-31,1)):INDIRECT(ADDRESS(22,ROW()-31,1)),AM$3:AM$22),"")</f>
        <v>8</v>
      </c>
      <c r="AN71">
        <f ca="1">IF(AND(((COLUMN()-10)&lt;=playercnt),((ROW()-41)&lt;=playercnt)),SUMPRODUCT(INDIRECT(ADDRESS(3,ROW()-31,1)):INDIRECT(ADDRESS(22,ROW()-31,1)),AN$3:AN$22),"")</f>
        <v>10</v>
      </c>
      <c r="AO71">
        <f ca="1">IF(AND(((COLUMN()-10)&lt;=playercnt),((ROW()-41)&lt;=playercnt)),SUMPRODUCT(INDIRECT(ADDRESS(3,ROW()-31,1)):INDIRECT(ADDRESS(22,ROW()-31,1)),AO$3:AO$22),"")</f>
        <v>4</v>
      </c>
      <c r="AP71">
        <f ca="1">IF(AND(((COLUMN()-10)&lt;=playercnt),((ROW()-41)&lt;=playercnt)),SUMPRODUCT(INDIRECT(ADDRESS(3,ROW()-31,1)):INDIRECT(ADDRESS(22,ROW()-31,1)),AP$3:AP$22),"")</f>
        <v>0</v>
      </c>
      <c r="AQ71">
        <f ca="1">IF(AND(((COLUMN()-10)&lt;=playercnt),((ROW()-41)&lt;=playercnt)),SUMPRODUCT(INDIRECT(ADDRESS(3,ROW()-31,1)):INDIRECT(ADDRESS(22,ROW()-31,1)),AQ$3:AQ$22),"")</f>
        <v>6</v>
      </c>
      <c r="AR71">
        <f ca="1">IF(AND(((COLUMN()-10)&lt;=playercnt),((ROW()-41)&lt;=playercnt)),SUMPRODUCT(INDIRECT(ADDRESS(3,ROW()-31,1)):INDIRECT(ADDRESS(22,ROW()-31,1)),AR$3:AR$22),"")</f>
        <v>5</v>
      </c>
      <c r="AS71">
        <f ca="1">IF(AND(((COLUMN()-10)&lt;=playercnt),((ROW()-41)&lt;=playercnt)),SUMPRODUCT(INDIRECT(ADDRESS(3,ROW()-31,1)):INDIRECT(ADDRESS(22,ROW()-31,1)),AS$3:AS$22),"")</f>
        <v>8</v>
      </c>
      <c r="AT71">
        <f ca="1">IF(AND(((COLUMN()-10)&lt;=playercnt),((ROW()-41)&lt;=playercnt)),SUMPRODUCT(INDIRECT(ADDRESS(3,ROW()-31,1)):INDIRECT(ADDRESS(22,ROW()-31,1)),AT$3:AT$22),"")</f>
        <v>6</v>
      </c>
      <c r="AU71">
        <f ca="1">IF(AND(((COLUMN()-10)&lt;=playercnt),((ROW()-41)&lt;=playercnt)),SUMPRODUCT(INDIRECT(ADDRESS(3,ROW()-31,1)):INDIRECT(ADDRESS(22,ROW()-31,1)),AU$3:AU$22),"")</f>
        <v>6</v>
      </c>
      <c r="AV71">
        <f ca="1">IF(AND(((COLUMN()-10)&lt;=playercnt),((ROW()-41)&lt;=playercnt)),SUMPRODUCT(INDIRECT(ADDRESS(3,ROW()-31,1)):INDIRECT(ADDRESS(22,ROW()-31,1)),AV$3:AV$22),"")</f>
        <v>10</v>
      </c>
      <c r="AW71">
        <f ca="1">IF(AND(((COLUMN()-10)&lt;=playercnt),((ROW()-41)&lt;=playercnt)),SUMPRODUCT(INDIRECT(ADDRESS(3,ROW()-31,1)):INDIRECT(ADDRESS(22,ROW()-31,1)),AW$3:AW$22),"")</f>
        <v>8</v>
      </c>
      <c r="AX71">
        <f ca="1">IF(AND(((COLUMN()-10)&lt;=playercnt),((ROW()-41)&lt;=playercnt)),SUMPRODUCT(INDIRECT(ADDRESS(3,ROW()-31,1)):INDIRECT(ADDRESS(22,ROW()-31,1)),AX$3:AX$22),"")</f>
        <v>7</v>
      </c>
      <c r="AY71">
        <f ca="1">IF(AND(((COLUMN()-10)&lt;=playercnt),((ROW()-41)&lt;=playercnt)),SUMPRODUCT(INDIRECT(ADDRESS(3,ROW()-31,1)):INDIRECT(ADDRESS(22,ROW()-31,1)),AY$3:AY$22),"")</f>
        <v>6</v>
      </c>
      <c r="AZ71">
        <f ca="1">IF(AND(((COLUMN()-10)&lt;=playercnt),((ROW()-41)&lt;=playercnt)),SUMPRODUCT(INDIRECT(ADDRESS(3,ROW()-31,1)):INDIRECT(ADDRESS(22,ROW()-31,1)),AZ$3:AZ$22),"")</f>
        <v>7</v>
      </c>
      <c r="BA71">
        <f ca="1">IF(AND(((COLUMN()-10)&lt;=playercnt),((ROW()-41)&lt;=playercnt)),SUMPRODUCT(INDIRECT(ADDRESS(3,ROW()-31,1)):INDIRECT(ADDRESS(22,ROW()-31,1)),BA$3:BA$22),"")</f>
        <v>7</v>
      </c>
      <c r="BB71">
        <f ca="1">IF(AND(((COLUMN()-10)&lt;=playercnt),((ROW()-41)&lt;=playercnt)),SUMPRODUCT(INDIRECT(ADDRESS(3,ROW()-31,1)):INDIRECT(ADDRESS(22,ROW()-31,1)),BB$3:BB$22),"")</f>
        <v>9</v>
      </c>
      <c r="BC71">
        <f ca="1">IF(AND(((COLUMN()-10)&lt;=playercnt),((ROW()-41)&lt;=playercnt)),SUMPRODUCT(INDIRECT(ADDRESS(3,ROW()-31,1)):INDIRECT(ADDRESS(22,ROW()-31,1)),BC$3:BC$22),"")</f>
        <v>7</v>
      </c>
      <c r="BD71">
        <f ca="1">IF(AND(((COLUMN()-10)&lt;=playercnt),((ROW()-41)&lt;=playercnt)),SUMPRODUCT(INDIRECT(ADDRESS(3,ROW()-31,1)):INDIRECT(ADDRESS(22,ROW()-31,1)),BD$3:BD$22),"")</f>
        <v>3</v>
      </c>
      <c r="BE71">
        <f ca="1">IF(AND(((COLUMN()-10)&lt;=playercnt),((ROW()-41)&lt;=playercnt)),SUMPRODUCT(INDIRECT(ADDRESS(3,ROW()-31,1)):INDIRECT(ADDRESS(22,ROW()-31,1)),BE$3:BE$22),"")</f>
        <v>6</v>
      </c>
      <c r="BF71">
        <f ca="1">IF(AND(((COLUMN()-10)&lt;=playercnt),((ROW()-41)&lt;=playercnt)),SUMPRODUCT(INDIRECT(ADDRESS(3,ROW()-31,1)):INDIRECT(ADDRESS(22,ROW()-31,1)),BF$3:BF$22),"")</f>
        <v>6</v>
      </c>
      <c r="BG71">
        <f ca="1">IF(AND(((COLUMN()-10)&lt;=playercnt),((ROW()-41)&lt;=playercnt)),SUMPRODUCT(INDIRECT(ADDRESS(3,ROW()-31,1)):INDIRECT(ADDRESS(22,ROW()-31,1)),BG$3:BG$22),"")</f>
        <v>6</v>
      </c>
      <c r="BH71">
        <f ca="1">IF(AND(((COLUMN()-10)&lt;=playercnt),((ROW()-41)&lt;=playercnt)),SUMPRODUCT(INDIRECT(ADDRESS(3,ROW()-31,1)):INDIRECT(ADDRESS(22,ROW()-31,1)),BH$3:BH$22),"")</f>
        <v>6</v>
      </c>
      <c r="BI71">
        <f ca="1">IF(AND(((COLUMN()-10)&lt;=playercnt),((ROW()-41)&lt;=playercnt)),SUMPRODUCT(INDIRECT(ADDRESS(3,ROW()-31,1)):INDIRECT(ADDRESS(22,ROW()-31,1)),BI$3:BI$22),"")</f>
        <v>10</v>
      </c>
      <c r="BJ71">
        <f ca="1">IF(AND(((COLUMN()-10)&lt;=playercnt),((ROW()-41)&lt;=playercnt)),SUMPRODUCT(INDIRECT(ADDRESS(3,ROW()-31,1)):INDIRECT(ADDRESS(22,ROW()-31,1)),BJ$3:BJ$22),"")</f>
        <v>6</v>
      </c>
      <c r="BK71">
        <f ca="1">IF(AND(((COLUMN()-10)&lt;=playercnt),((ROW()-41)&lt;=playercnt)),SUMPRODUCT(INDIRECT(ADDRESS(3,ROW()-31,1)):INDIRECT(ADDRESS(22,ROW()-31,1)),BK$3:BK$22),"")</f>
        <v>6</v>
      </c>
      <c r="BL71">
        <f ca="1">IF(AND(((COLUMN()-10)&lt;=playercnt),((ROW()-41)&lt;=playercnt)),SUMPRODUCT(INDIRECT(ADDRESS(3,ROW()-31,1)):INDIRECT(ADDRESS(22,ROW()-31,1)),BL$3:BL$22),"")</f>
        <v>7</v>
      </c>
      <c r="BM71">
        <f ca="1">IF(AND(((COLUMN()-10)&lt;=playercnt),((ROW()-41)&lt;=playercnt)),SUMPRODUCT(INDIRECT(ADDRESS(3,ROW()-31,1)):INDIRECT(ADDRESS(22,ROW()-31,1)),BM$3:BM$22),"")</f>
        <v>8</v>
      </c>
      <c r="BN71">
        <f ca="1">IF(AND(((COLUMN()-10)&lt;=playercnt),((ROW()-41)&lt;=playercnt)),SUMPRODUCT(INDIRECT(ADDRESS(3,ROW()-31,1)):INDIRECT(ADDRESS(22,ROW()-31,1)),BN$3:BN$22),"")</f>
        <v>7</v>
      </c>
    </row>
    <row r="72" spans="2:66" x14ac:dyDescent="0.2">
      <c r="B72" s="27">
        <f t="shared" ca="1" si="23"/>
        <v>4.6603773584905657</v>
      </c>
      <c r="C72" t="str">
        <f t="shared" ca="1" si="24"/>
        <v>Murphy, William A</v>
      </c>
      <c r="G72">
        <f ca="1">IF(AND(((COLUMN()-10)&lt;=playercnt),((ROW()-41)&lt;=playercnt)),SUMPRODUCT(INDIRECT(ADDRESS(3,ROW()-31,1)):INDIRECT(ADDRESS(22,ROW()-31,1)),G$3:G$22),"")</f>
        <v>6</v>
      </c>
      <c r="H72">
        <f ca="1">IF(AND(((COLUMN()-10)&lt;=playercnt),((ROW()-41)&lt;=playercnt)),SUMPRODUCT(INDIRECT(ADDRESS(3,ROW()-31,1)):INDIRECT(ADDRESS(22,ROW()-31,1)),H$3:H$22),"")</f>
        <v>5</v>
      </c>
      <c r="I72">
        <f ca="1">IF(AND(((COLUMN()-10)&lt;=playercnt),((ROW()-41)&lt;=playercnt)),SUMPRODUCT(INDIRECT(ADDRESS(3,ROW()-31,1)):INDIRECT(ADDRESS(22,ROW()-31,1)),I$3:I$22),"")</f>
        <v>3.5</v>
      </c>
      <c r="J72">
        <f ca="1">IF(AND(((COLUMN()-10)&lt;=playercnt),((ROW()-41)&lt;=playercnt)),SUMPRODUCT(INDIRECT(ADDRESS(3,ROW()-31,1)):INDIRECT(ADDRESS(22,ROW()-31,1)),J$3:J$22),"")</f>
        <v>0</v>
      </c>
      <c r="K72">
        <f ca="1">IF(AND(((COLUMN()-10)&lt;=playercnt),((ROW()-41)&lt;=playercnt)),SUMPRODUCT(INDIRECT(ADDRESS(3,ROW()-31,1)):INDIRECT(ADDRESS(22,ROW()-31,1)),K$3:K$22),"")</f>
        <v>1</v>
      </c>
      <c r="L72">
        <f ca="1">IF(AND(((COLUMN()-10)&lt;=playercnt),((ROW()-41)&lt;=playercnt)),SUMPRODUCT(INDIRECT(ADDRESS(3,ROW()-31,1)):INDIRECT(ADDRESS(22,ROW()-31,1)),L$3:L$22),"")</f>
        <v>4</v>
      </c>
      <c r="M72">
        <f ca="1">IF(AND(((COLUMN()-10)&lt;=playercnt),((ROW()-41)&lt;=playercnt)),SUMPRODUCT(INDIRECT(ADDRESS(3,ROW()-31,1)):INDIRECT(ADDRESS(22,ROW()-31,1)),M$3:M$22),"")</f>
        <v>5</v>
      </c>
      <c r="N72">
        <f ca="1">IF(AND(((COLUMN()-10)&lt;=playercnt),((ROW()-41)&lt;=playercnt)),SUMPRODUCT(INDIRECT(ADDRESS(3,ROW()-31,1)):INDIRECT(ADDRESS(22,ROW()-31,1)),N$3:N$22),"")</f>
        <v>4</v>
      </c>
      <c r="O72">
        <f ca="1">IF(AND(((COLUMN()-10)&lt;=playercnt),((ROW()-41)&lt;=playercnt)),SUMPRODUCT(INDIRECT(ADDRESS(3,ROW()-31,1)):INDIRECT(ADDRESS(22,ROW()-31,1)),O$3:O$22),"")</f>
        <v>8</v>
      </c>
      <c r="P72">
        <f ca="1">IF(AND(((COLUMN()-10)&lt;=playercnt),((ROW()-41)&lt;=playercnt)),SUMPRODUCT(INDIRECT(ADDRESS(3,ROW()-31,1)):INDIRECT(ADDRESS(22,ROW()-31,1)),P$3:P$22),"")</f>
        <v>3</v>
      </c>
      <c r="Q72">
        <f ca="1">IF(AND(((COLUMN()-10)&lt;=playercnt),((ROW()-41)&lt;=playercnt)),SUMPRODUCT(INDIRECT(ADDRESS(3,ROW()-31,1)):INDIRECT(ADDRESS(22,ROW()-31,1)),Q$3:Q$22),"")</f>
        <v>6</v>
      </c>
      <c r="R72">
        <f ca="1">IF(AND(((COLUMN()-10)&lt;=playercnt),((ROW()-41)&lt;=playercnt)),SUMPRODUCT(INDIRECT(ADDRESS(3,ROW()-31,1)):INDIRECT(ADDRESS(22,ROW()-31,1)),R$3:R$22),"")</f>
        <v>4</v>
      </c>
      <c r="S72">
        <f ca="1">IF(AND(((COLUMN()-10)&lt;=playercnt),((ROW()-41)&lt;=playercnt)),SUMPRODUCT(INDIRECT(ADDRESS(3,ROW()-31,1)):INDIRECT(ADDRESS(22,ROW()-31,1)),S$3:S$22),"")</f>
        <v>6</v>
      </c>
      <c r="T72">
        <f ca="1">IF(AND(((COLUMN()-10)&lt;=playercnt),((ROW()-41)&lt;=playercnt)),SUMPRODUCT(INDIRECT(ADDRESS(3,ROW()-31,1)):INDIRECT(ADDRESS(22,ROW()-31,1)),T$3:T$22),"")</f>
        <v>7</v>
      </c>
      <c r="U72">
        <f ca="1">IF(AND(((COLUMN()-10)&lt;=playercnt),((ROW()-41)&lt;=playercnt)),SUMPRODUCT(INDIRECT(ADDRESS(3,ROW()-31,1)):INDIRECT(ADDRESS(22,ROW()-31,1)),U$3:U$22),"")</f>
        <v>4</v>
      </c>
      <c r="V72">
        <f ca="1">IF(AND(((COLUMN()-10)&lt;=playercnt),((ROW()-41)&lt;=playercnt)),SUMPRODUCT(INDIRECT(ADDRESS(3,ROW()-31,1)):INDIRECT(ADDRESS(22,ROW()-31,1)),V$3:V$22),"")</f>
        <v>4</v>
      </c>
      <c r="W72">
        <f ca="1">IF(AND(((COLUMN()-10)&lt;=playercnt),((ROW()-41)&lt;=playercnt)),SUMPRODUCT(INDIRECT(ADDRESS(3,ROW()-31,1)):INDIRECT(ADDRESS(22,ROW()-31,1)),W$3:W$22),"")</f>
        <v>6</v>
      </c>
      <c r="X72">
        <f ca="1">IF(AND(((COLUMN()-10)&lt;=playercnt),((ROW()-41)&lt;=playercnt)),SUMPRODUCT(INDIRECT(ADDRESS(3,ROW()-31,1)):INDIRECT(ADDRESS(22,ROW()-31,1)),X$3:X$22),"")</f>
        <v>3</v>
      </c>
      <c r="Y72">
        <f ca="1">IF(AND(((COLUMN()-10)&lt;=playercnt),((ROW()-41)&lt;=playercnt)),SUMPRODUCT(INDIRECT(ADDRESS(3,ROW()-31,1)):INDIRECT(ADDRESS(22,ROW()-31,1)),Y$3:Y$22),"")</f>
        <v>6</v>
      </c>
      <c r="Z72">
        <f ca="1">IF(AND(((COLUMN()-10)&lt;=playercnt),((ROW()-41)&lt;=playercnt)),SUMPRODUCT(INDIRECT(ADDRESS(3,ROW()-31,1)):INDIRECT(ADDRESS(22,ROW()-31,1)),Z$3:Z$22),"")</f>
        <v>5</v>
      </c>
      <c r="AA72">
        <f ca="1">IF(AND(((COLUMN()-10)&lt;=playercnt),((ROW()-41)&lt;=playercnt)),SUMPRODUCT(INDIRECT(ADDRESS(3,ROW()-31,1)):INDIRECT(ADDRESS(22,ROW()-31,1)),AA$3:AA$22),"")</f>
        <v>6</v>
      </c>
      <c r="AB72">
        <f ca="1">IF(AND(((COLUMN()-10)&lt;=playercnt),((ROW()-41)&lt;=playercnt)),SUMPRODUCT(INDIRECT(ADDRESS(3,ROW()-31,1)):INDIRECT(ADDRESS(22,ROW()-31,1)),AB$3:AB$22),"")</f>
        <v>3</v>
      </c>
      <c r="AC72">
        <f ca="1">IF(AND(((COLUMN()-10)&lt;=playercnt),((ROW()-41)&lt;=playercnt)),SUMPRODUCT(INDIRECT(ADDRESS(3,ROW()-31,1)):INDIRECT(ADDRESS(22,ROW()-31,1)),AC$3:AC$22),"")</f>
        <v>6</v>
      </c>
      <c r="AD72">
        <f ca="1">IF(AND(((COLUMN()-10)&lt;=playercnt),((ROW()-41)&lt;=playercnt)),SUMPRODUCT(INDIRECT(ADDRESS(3,ROW()-31,1)):INDIRECT(ADDRESS(22,ROW()-31,1)),AD$3:AD$22),"")</f>
        <v>6</v>
      </c>
      <c r="AE72">
        <f ca="1">IF(AND(((COLUMN()-10)&lt;=playercnt),((ROW()-41)&lt;=playercnt)),SUMPRODUCT(INDIRECT(ADDRESS(3,ROW()-31,1)):INDIRECT(ADDRESS(22,ROW()-31,1)),AE$3:AE$22),"")</f>
        <v>6</v>
      </c>
      <c r="AF72">
        <f ca="1">IF(AND(((COLUMN()-10)&lt;=playercnt),((ROW()-41)&lt;=playercnt)),SUMPRODUCT(INDIRECT(ADDRESS(3,ROW()-31,1)):INDIRECT(ADDRESS(22,ROW()-31,1)),AF$3:AF$22),"")</f>
        <v>5</v>
      </c>
      <c r="AG72">
        <f ca="1">IF(AND(((COLUMN()-10)&lt;=playercnt),((ROW()-41)&lt;=playercnt)),SUMPRODUCT(INDIRECT(ADDRESS(3,ROW()-31,1)):INDIRECT(ADDRESS(22,ROW()-31,1)),AG$3:AG$22),"")</f>
        <v>3</v>
      </c>
      <c r="AH72">
        <f ca="1">IF(AND(((COLUMN()-10)&lt;=playercnt),((ROW()-41)&lt;=playercnt)),SUMPRODUCT(INDIRECT(ADDRESS(3,ROW()-31,1)):INDIRECT(ADDRESS(22,ROW()-31,1)),AH$3:AH$22),"")</f>
        <v>2</v>
      </c>
      <c r="AI72">
        <f ca="1">IF(AND(((COLUMN()-10)&lt;=playercnt),((ROW()-41)&lt;=playercnt)),SUMPRODUCT(INDIRECT(ADDRESS(3,ROW()-31,1)):INDIRECT(ADDRESS(22,ROW()-31,1)),AI$3:AI$22),"")</f>
        <v>6</v>
      </c>
      <c r="AJ72">
        <f ca="1">IF(AND(((COLUMN()-10)&lt;=playercnt),((ROW()-41)&lt;=playercnt)),SUMPRODUCT(INDIRECT(ADDRESS(3,ROW()-31,1)):INDIRECT(ADDRESS(22,ROW()-31,1)),AJ$3:AJ$22),"")</f>
        <v>4</v>
      </c>
      <c r="AK72">
        <f ca="1">IF(AND(((COLUMN()-10)&lt;=playercnt),((ROW()-41)&lt;=playercnt)),SUMPRODUCT(INDIRECT(ADDRESS(3,ROW()-31,1)):INDIRECT(ADDRESS(22,ROW()-31,1)),AK$3:AK$22),"")</f>
        <v>0</v>
      </c>
      <c r="AL72">
        <f ca="1">IF(AND(((COLUMN()-10)&lt;=playercnt),((ROW()-41)&lt;=playercnt)),SUMPRODUCT(INDIRECT(ADDRESS(3,ROW()-31,1)):INDIRECT(ADDRESS(22,ROW()-31,1)),AL$3:AL$22),"")</f>
        <v>5</v>
      </c>
      <c r="AM72">
        <f ca="1">IF(AND(((COLUMN()-10)&lt;=playercnt),((ROW()-41)&lt;=playercnt)),SUMPRODUCT(INDIRECT(ADDRESS(3,ROW()-31,1)):INDIRECT(ADDRESS(22,ROW()-31,1)),AM$3:AM$22),"")</f>
        <v>2</v>
      </c>
      <c r="AN72">
        <f ca="1">IF(AND(((COLUMN()-10)&lt;=playercnt),((ROW()-41)&lt;=playercnt)),SUMPRODUCT(INDIRECT(ADDRESS(3,ROW()-31,1)):INDIRECT(ADDRESS(22,ROW()-31,1)),AN$3:AN$22),"")</f>
        <v>4</v>
      </c>
      <c r="AO72">
        <f ca="1">IF(AND(((COLUMN()-10)&lt;=playercnt),((ROW()-41)&lt;=playercnt)),SUMPRODUCT(INDIRECT(ADDRESS(3,ROW()-31,1)):INDIRECT(ADDRESS(22,ROW()-31,1)),AO$3:AO$22),"")</f>
        <v>10</v>
      </c>
      <c r="AP72">
        <f ca="1">IF(AND(((COLUMN()-10)&lt;=playercnt),((ROW()-41)&lt;=playercnt)),SUMPRODUCT(INDIRECT(ADDRESS(3,ROW()-31,1)):INDIRECT(ADDRESS(22,ROW()-31,1)),AP$3:AP$22),"")</f>
        <v>0</v>
      </c>
      <c r="AQ72">
        <f ca="1">IF(AND(((COLUMN()-10)&lt;=playercnt),((ROW()-41)&lt;=playercnt)),SUMPRODUCT(INDIRECT(ADDRESS(3,ROW()-31,1)):INDIRECT(ADDRESS(22,ROW()-31,1)),AQ$3:AQ$22),"")</f>
        <v>4</v>
      </c>
      <c r="AR72">
        <f ca="1">IF(AND(((COLUMN()-10)&lt;=playercnt),((ROW()-41)&lt;=playercnt)),SUMPRODUCT(INDIRECT(ADDRESS(3,ROW()-31,1)):INDIRECT(ADDRESS(22,ROW()-31,1)),AR$3:AR$22),"")</f>
        <v>5</v>
      </c>
      <c r="AS72">
        <f ca="1">IF(AND(((COLUMN()-10)&lt;=playercnt),((ROW()-41)&lt;=playercnt)),SUMPRODUCT(INDIRECT(ADDRESS(3,ROW()-31,1)):INDIRECT(ADDRESS(22,ROW()-31,1)),AS$3:AS$22),"")</f>
        <v>6</v>
      </c>
      <c r="AT72">
        <f ca="1">IF(AND(((COLUMN()-10)&lt;=playercnt),((ROW()-41)&lt;=playercnt)),SUMPRODUCT(INDIRECT(ADDRESS(3,ROW()-31,1)):INDIRECT(ADDRESS(22,ROW()-31,1)),AT$3:AT$22),"")</f>
        <v>2</v>
      </c>
      <c r="AU72">
        <f ca="1">IF(AND(((COLUMN()-10)&lt;=playercnt),((ROW()-41)&lt;=playercnt)),SUMPRODUCT(INDIRECT(ADDRESS(3,ROW()-31,1)):INDIRECT(ADDRESS(22,ROW()-31,1)),AU$3:AU$22),"")</f>
        <v>4</v>
      </c>
      <c r="AV72">
        <f ca="1">IF(AND(((COLUMN()-10)&lt;=playercnt),((ROW()-41)&lt;=playercnt)),SUMPRODUCT(INDIRECT(ADDRESS(3,ROW()-31,1)):INDIRECT(ADDRESS(22,ROW()-31,1)),AV$3:AV$22),"")</f>
        <v>4</v>
      </c>
      <c r="AW72">
        <f ca="1">IF(AND(((COLUMN()-10)&lt;=playercnt),((ROW()-41)&lt;=playercnt)),SUMPRODUCT(INDIRECT(ADDRESS(3,ROW()-31,1)):INDIRECT(ADDRESS(22,ROW()-31,1)),AW$3:AW$22),"")</f>
        <v>6</v>
      </c>
      <c r="AX72">
        <f ca="1">IF(AND(((COLUMN()-10)&lt;=playercnt),((ROW()-41)&lt;=playercnt)),SUMPRODUCT(INDIRECT(ADDRESS(3,ROW()-31,1)):INDIRECT(ADDRESS(22,ROW()-31,1)),AX$3:AX$22),"")</f>
        <v>3</v>
      </c>
      <c r="AY72">
        <f ca="1">IF(AND(((COLUMN()-10)&lt;=playercnt),((ROW()-41)&lt;=playercnt)),SUMPRODUCT(INDIRECT(ADDRESS(3,ROW()-31,1)):INDIRECT(ADDRESS(22,ROW()-31,1)),AY$3:AY$22),"")</f>
        <v>4</v>
      </c>
      <c r="AZ72">
        <f ca="1">IF(AND(((COLUMN()-10)&lt;=playercnt),((ROW()-41)&lt;=playercnt)),SUMPRODUCT(INDIRECT(ADDRESS(3,ROW()-31,1)):INDIRECT(ADDRESS(22,ROW()-31,1)),AZ$3:AZ$22),"")</f>
        <v>5</v>
      </c>
      <c r="BA72">
        <f ca="1">IF(AND(((COLUMN()-10)&lt;=playercnt),((ROW()-41)&lt;=playercnt)),SUMPRODUCT(INDIRECT(ADDRESS(3,ROW()-31,1)):INDIRECT(ADDRESS(22,ROW()-31,1)),BA$3:BA$22),"")</f>
        <v>7</v>
      </c>
      <c r="BB72">
        <f ca="1">IF(AND(((COLUMN()-10)&lt;=playercnt),((ROW()-41)&lt;=playercnt)),SUMPRODUCT(INDIRECT(ADDRESS(3,ROW()-31,1)):INDIRECT(ADDRESS(22,ROW()-31,1)),BB$3:BB$22),"")</f>
        <v>5</v>
      </c>
      <c r="BC72">
        <f ca="1">IF(AND(((COLUMN()-10)&lt;=playercnt),((ROW()-41)&lt;=playercnt)),SUMPRODUCT(INDIRECT(ADDRESS(3,ROW()-31,1)):INDIRECT(ADDRESS(22,ROW()-31,1)),BC$3:BC$22),"")</f>
        <v>5</v>
      </c>
      <c r="BD72">
        <f ca="1">IF(AND(((COLUMN()-10)&lt;=playercnt),((ROW()-41)&lt;=playercnt)),SUMPRODUCT(INDIRECT(ADDRESS(3,ROW()-31,1)):INDIRECT(ADDRESS(22,ROW()-31,1)),BD$3:BD$22),"")</f>
        <v>7</v>
      </c>
      <c r="BE72">
        <f ca="1">IF(AND(((COLUMN()-10)&lt;=playercnt),((ROW()-41)&lt;=playercnt)),SUMPRODUCT(INDIRECT(ADDRESS(3,ROW()-31,1)):INDIRECT(ADDRESS(22,ROW()-31,1)),BE$3:BE$22),"")</f>
        <v>6</v>
      </c>
      <c r="BF72">
        <f ca="1">IF(AND(((COLUMN()-10)&lt;=playercnt),((ROW()-41)&lt;=playercnt)),SUMPRODUCT(INDIRECT(ADDRESS(3,ROW()-31,1)):INDIRECT(ADDRESS(22,ROW()-31,1)),BF$3:BF$22),"")</f>
        <v>4</v>
      </c>
      <c r="BG72">
        <f ca="1">IF(AND(((COLUMN()-10)&lt;=playercnt),((ROW()-41)&lt;=playercnt)),SUMPRODUCT(INDIRECT(ADDRESS(3,ROW()-31,1)):INDIRECT(ADDRESS(22,ROW()-31,1)),BG$3:BG$22),"")</f>
        <v>6</v>
      </c>
      <c r="BH72">
        <f ca="1">IF(AND(((COLUMN()-10)&lt;=playercnt),((ROW()-41)&lt;=playercnt)),SUMPRODUCT(INDIRECT(ADDRESS(3,ROW()-31,1)):INDIRECT(ADDRESS(22,ROW()-31,1)),BH$3:BH$22),"")</f>
        <v>4</v>
      </c>
      <c r="BI72">
        <f ca="1">IF(AND(((COLUMN()-10)&lt;=playercnt),((ROW()-41)&lt;=playercnt)),SUMPRODUCT(INDIRECT(ADDRESS(3,ROW()-31,1)):INDIRECT(ADDRESS(22,ROW()-31,1)),BI$3:BI$22),"")</f>
        <v>4</v>
      </c>
      <c r="BJ72">
        <f ca="1">IF(AND(((COLUMN()-10)&lt;=playercnt),((ROW()-41)&lt;=playercnt)),SUMPRODUCT(INDIRECT(ADDRESS(3,ROW()-31,1)):INDIRECT(ADDRESS(22,ROW()-31,1)),BJ$3:BJ$22),"")</f>
        <v>6</v>
      </c>
      <c r="BK72">
        <f ca="1">IF(AND(((COLUMN()-10)&lt;=playercnt),((ROW()-41)&lt;=playercnt)),SUMPRODUCT(INDIRECT(ADDRESS(3,ROW()-31,1)):INDIRECT(ADDRESS(22,ROW()-31,1)),BK$3:BK$22),"")</f>
        <v>4</v>
      </c>
      <c r="BL72">
        <f ca="1">IF(AND(((COLUMN()-10)&lt;=playercnt),((ROW()-41)&lt;=playercnt)),SUMPRODUCT(INDIRECT(ADDRESS(3,ROW()-31,1)):INDIRECT(ADDRESS(22,ROW()-31,1)),BL$3:BL$22),"")</f>
        <v>5</v>
      </c>
      <c r="BM72">
        <f ca="1">IF(AND(((COLUMN()-10)&lt;=playercnt),((ROW()-41)&lt;=playercnt)),SUMPRODUCT(INDIRECT(ADDRESS(3,ROW()-31,1)):INDIRECT(ADDRESS(22,ROW()-31,1)),BM$3:BM$22),"")</f>
        <v>4</v>
      </c>
      <c r="BN72">
        <f ca="1">IF(AND(((COLUMN()-10)&lt;=playercnt),((ROW()-41)&lt;=playercnt)),SUMPRODUCT(INDIRECT(ADDRESS(3,ROW()-31,1)):INDIRECT(ADDRESS(22,ROW()-31,1)),BN$3:BN$22),"")</f>
        <v>3</v>
      </c>
    </row>
    <row r="73" spans="2:66" x14ac:dyDescent="0.2">
      <c r="B73" s="27" t="str">
        <f t="shared" ca="1" si="23"/>
        <v/>
      </c>
      <c r="C73" t="str">
        <f t="shared" ca="1" si="24"/>
        <v>Nance, Rob Remote</v>
      </c>
      <c r="G73">
        <f ca="1">IF(AND(((COLUMN()-10)&lt;=playercnt),((ROW()-41)&lt;=playercnt)),SUMPRODUCT(INDIRECT(ADDRESS(3,ROW()-31,1)):INDIRECT(ADDRESS(22,ROW()-31,1)),G$3:G$22),"")</f>
        <v>0</v>
      </c>
      <c r="H73">
        <f ca="1">IF(AND(((COLUMN()-10)&lt;=playercnt),((ROW()-41)&lt;=playercnt)),SUMPRODUCT(INDIRECT(ADDRESS(3,ROW()-31,1)):INDIRECT(ADDRESS(22,ROW()-31,1)),H$3:H$22),"")</f>
        <v>0</v>
      </c>
      <c r="I73">
        <f ca="1">IF(AND(((COLUMN()-10)&lt;=playercnt),((ROW()-41)&lt;=playercnt)),SUMPRODUCT(INDIRECT(ADDRESS(3,ROW()-31,1)):INDIRECT(ADDRESS(22,ROW()-31,1)),I$3:I$22),"")</f>
        <v>0</v>
      </c>
      <c r="J73">
        <f ca="1">IF(AND(((COLUMN()-10)&lt;=playercnt),((ROW()-41)&lt;=playercnt)),SUMPRODUCT(INDIRECT(ADDRESS(3,ROW()-31,1)):INDIRECT(ADDRESS(22,ROW()-31,1)),J$3:J$22),"")</f>
        <v>0</v>
      </c>
      <c r="K73">
        <f ca="1">IF(AND(((COLUMN()-10)&lt;=playercnt),((ROW()-41)&lt;=playercnt)),SUMPRODUCT(INDIRECT(ADDRESS(3,ROW()-31,1)):INDIRECT(ADDRESS(22,ROW()-31,1)),K$3:K$22),"")</f>
        <v>0</v>
      </c>
      <c r="L73">
        <f ca="1">IF(AND(((COLUMN()-10)&lt;=playercnt),((ROW()-41)&lt;=playercnt)),SUMPRODUCT(INDIRECT(ADDRESS(3,ROW()-31,1)):INDIRECT(ADDRESS(22,ROW()-31,1)),L$3:L$22),"")</f>
        <v>0</v>
      </c>
      <c r="M73">
        <f ca="1">IF(AND(((COLUMN()-10)&lt;=playercnt),((ROW()-41)&lt;=playercnt)),SUMPRODUCT(INDIRECT(ADDRESS(3,ROW()-31,1)):INDIRECT(ADDRESS(22,ROW()-31,1)),M$3:M$22),"")</f>
        <v>0</v>
      </c>
      <c r="N73">
        <f ca="1">IF(AND(((COLUMN()-10)&lt;=playercnt),((ROW()-41)&lt;=playercnt)),SUMPRODUCT(INDIRECT(ADDRESS(3,ROW()-31,1)):INDIRECT(ADDRESS(22,ROW()-31,1)),N$3:N$22),"")</f>
        <v>0</v>
      </c>
      <c r="O73">
        <f ca="1">IF(AND(((COLUMN()-10)&lt;=playercnt),((ROW()-41)&lt;=playercnt)),SUMPRODUCT(INDIRECT(ADDRESS(3,ROW()-31,1)):INDIRECT(ADDRESS(22,ROW()-31,1)),O$3:O$22),"")</f>
        <v>0</v>
      </c>
      <c r="P73">
        <f ca="1">IF(AND(((COLUMN()-10)&lt;=playercnt),((ROW()-41)&lt;=playercnt)),SUMPRODUCT(INDIRECT(ADDRESS(3,ROW()-31,1)):INDIRECT(ADDRESS(22,ROW()-31,1)),P$3:P$22),"")</f>
        <v>0</v>
      </c>
      <c r="Q73">
        <f ca="1">IF(AND(((COLUMN()-10)&lt;=playercnt),((ROW()-41)&lt;=playercnt)),SUMPRODUCT(INDIRECT(ADDRESS(3,ROW()-31,1)):INDIRECT(ADDRESS(22,ROW()-31,1)),Q$3:Q$22),"")</f>
        <v>0</v>
      </c>
      <c r="R73">
        <f ca="1">IF(AND(((COLUMN()-10)&lt;=playercnt),((ROW()-41)&lt;=playercnt)),SUMPRODUCT(INDIRECT(ADDRESS(3,ROW()-31,1)):INDIRECT(ADDRESS(22,ROW()-31,1)),R$3:R$22),"")</f>
        <v>0</v>
      </c>
      <c r="S73">
        <f ca="1">IF(AND(((COLUMN()-10)&lt;=playercnt),((ROW()-41)&lt;=playercnt)),SUMPRODUCT(INDIRECT(ADDRESS(3,ROW()-31,1)):INDIRECT(ADDRESS(22,ROW()-31,1)),S$3:S$22),"")</f>
        <v>0</v>
      </c>
      <c r="T73">
        <f ca="1">IF(AND(((COLUMN()-10)&lt;=playercnt),((ROW()-41)&lt;=playercnt)),SUMPRODUCT(INDIRECT(ADDRESS(3,ROW()-31,1)):INDIRECT(ADDRESS(22,ROW()-31,1)),T$3:T$22),"")</f>
        <v>0</v>
      </c>
      <c r="U73">
        <f ca="1">IF(AND(((COLUMN()-10)&lt;=playercnt),((ROW()-41)&lt;=playercnt)),SUMPRODUCT(INDIRECT(ADDRESS(3,ROW()-31,1)):INDIRECT(ADDRESS(22,ROW()-31,1)),U$3:U$22),"")</f>
        <v>0</v>
      </c>
      <c r="V73">
        <f ca="1">IF(AND(((COLUMN()-10)&lt;=playercnt),((ROW()-41)&lt;=playercnt)),SUMPRODUCT(INDIRECT(ADDRESS(3,ROW()-31,1)):INDIRECT(ADDRESS(22,ROW()-31,1)),V$3:V$22),"")</f>
        <v>0</v>
      </c>
      <c r="W73">
        <f ca="1">IF(AND(((COLUMN()-10)&lt;=playercnt),((ROW()-41)&lt;=playercnt)),SUMPRODUCT(INDIRECT(ADDRESS(3,ROW()-31,1)):INDIRECT(ADDRESS(22,ROW()-31,1)),W$3:W$22),"")</f>
        <v>0</v>
      </c>
      <c r="X73">
        <f ca="1">IF(AND(((COLUMN()-10)&lt;=playercnt),((ROW()-41)&lt;=playercnt)),SUMPRODUCT(INDIRECT(ADDRESS(3,ROW()-31,1)):INDIRECT(ADDRESS(22,ROW()-31,1)),X$3:X$22),"")</f>
        <v>0</v>
      </c>
      <c r="Y73">
        <f ca="1">IF(AND(((COLUMN()-10)&lt;=playercnt),((ROW()-41)&lt;=playercnt)),SUMPRODUCT(INDIRECT(ADDRESS(3,ROW()-31,1)):INDIRECT(ADDRESS(22,ROW()-31,1)),Y$3:Y$22),"")</f>
        <v>0</v>
      </c>
      <c r="Z73">
        <f ca="1">IF(AND(((COLUMN()-10)&lt;=playercnt),((ROW()-41)&lt;=playercnt)),SUMPRODUCT(INDIRECT(ADDRESS(3,ROW()-31,1)):INDIRECT(ADDRESS(22,ROW()-31,1)),Z$3:Z$22),"")</f>
        <v>0</v>
      </c>
      <c r="AA73">
        <f ca="1">IF(AND(((COLUMN()-10)&lt;=playercnt),((ROW()-41)&lt;=playercnt)),SUMPRODUCT(INDIRECT(ADDRESS(3,ROW()-31,1)):INDIRECT(ADDRESS(22,ROW()-31,1)),AA$3:AA$22),"")</f>
        <v>0</v>
      </c>
      <c r="AB73">
        <f ca="1">IF(AND(((COLUMN()-10)&lt;=playercnt),((ROW()-41)&lt;=playercnt)),SUMPRODUCT(INDIRECT(ADDRESS(3,ROW()-31,1)):INDIRECT(ADDRESS(22,ROW()-31,1)),AB$3:AB$22),"")</f>
        <v>0</v>
      </c>
      <c r="AC73">
        <f ca="1">IF(AND(((COLUMN()-10)&lt;=playercnt),((ROW()-41)&lt;=playercnt)),SUMPRODUCT(INDIRECT(ADDRESS(3,ROW()-31,1)):INDIRECT(ADDRESS(22,ROW()-31,1)),AC$3:AC$22),"")</f>
        <v>0</v>
      </c>
      <c r="AD73">
        <f ca="1">IF(AND(((COLUMN()-10)&lt;=playercnt),((ROW()-41)&lt;=playercnt)),SUMPRODUCT(INDIRECT(ADDRESS(3,ROW()-31,1)):INDIRECT(ADDRESS(22,ROW()-31,1)),AD$3:AD$22),"")</f>
        <v>0</v>
      </c>
      <c r="AE73">
        <f ca="1">IF(AND(((COLUMN()-10)&lt;=playercnt),((ROW()-41)&lt;=playercnt)),SUMPRODUCT(INDIRECT(ADDRESS(3,ROW()-31,1)):INDIRECT(ADDRESS(22,ROW()-31,1)),AE$3:AE$22),"")</f>
        <v>0</v>
      </c>
      <c r="AF73">
        <f ca="1">IF(AND(((COLUMN()-10)&lt;=playercnt),((ROW()-41)&lt;=playercnt)),SUMPRODUCT(INDIRECT(ADDRESS(3,ROW()-31,1)):INDIRECT(ADDRESS(22,ROW()-31,1)),AF$3:AF$22),"")</f>
        <v>0</v>
      </c>
      <c r="AG73">
        <f ca="1">IF(AND(((COLUMN()-10)&lt;=playercnt),((ROW()-41)&lt;=playercnt)),SUMPRODUCT(INDIRECT(ADDRESS(3,ROW()-31,1)):INDIRECT(ADDRESS(22,ROW()-31,1)),AG$3:AG$22),"")</f>
        <v>0</v>
      </c>
      <c r="AH73">
        <f ca="1">IF(AND(((COLUMN()-10)&lt;=playercnt),((ROW()-41)&lt;=playercnt)),SUMPRODUCT(INDIRECT(ADDRESS(3,ROW()-31,1)):INDIRECT(ADDRESS(22,ROW()-31,1)),AH$3:AH$22),"")</f>
        <v>0</v>
      </c>
      <c r="AI73">
        <f ca="1">IF(AND(((COLUMN()-10)&lt;=playercnt),((ROW()-41)&lt;=playercnt)),SUMPRODUCT(INDIRECT(ADDRESS(3,ROW()-31,1)):INDIRECT(ADDRESS(22,ROW()-31,1)),AI$3:AI$22),"")</f>
        <v>0</v>
      </c>
      <c r="AJ73">
        <f ca="1">IF(AND(((COLUMN()-10)&lt;=playercnt),((ROW()-41)&lt;=playercnt)),SUMPRODUCT(INDIRECT(ADDRESS(3,ROW()-31,1)):INDIRECT(ADDRESS(22,ROW()-31,1)),AJ$3:AJ$22),"")</f>
        <v>0</v>
      </c>
      <c r="AK73">
        <f ca="1">IF(AND(((COLUMN()-10)&lt;=playercnt),((ROW()-41)&lt;=playercnt)),SUMPRODUCT(INDIRECT(ADDRESS(3,ROW()-31,1)):INDIRECT(ADDRESS(22,ROW()-31,1)),AK$3:AK$22),"")</f>
        <v>0</v>
      </c>
      <c r="AL73">
        <f ca="1">IF(AND(((COLUMN()-10)&lt;=playercnt),((ROW()-41)&lt;=playercnt)),SUMPRODUCT(INDIRECT(ADDRESS(3,ROW()-31,1)):INDIRECT(ADDRESS(22,ROW()-31,1)),AL$3:AL$22),"")</f>
        <v>0</v>
      </c>
      <c r="AM73">
        <f ca="1">IF(AND(((COLUMN()-10)&lt;=playercnt),((ROW()-41)&lt;=playercnt)),SUMPRODUCT(INDIRECT(ADDRESS(3,ROW()-31,1)):INDIRECT(ADDRESS(22,ROW()-31,1)),AM$3:AM$22),"")</f>
        <v>0</v>
      </c>
      <c r="AN73">
        <f ca="1">IF(AND(((COLUMN()-10)&lt;=playercnt),((ROW()-41)&lt;=playercnt)),SUMPRODUCT(INDIRECT(ADDRESS(3,ROW()-31,1)):INDIRECT(ADDRESS(22,ROW()-31,1)),AN$3:AN$22),"")</f>
        <v>0</v>
      </c>
      <c r="AO73">
        <f ca="1">IF(AND(((COLUMN()-10)&lt;=playercnt),((ROW()-41)&lt;=playercnt)),SUMPRODUCT(INDIRECT(ADDRESS(3,ROW()-31,1)):INDIRECT(ADDRESS(22,ROW()-31,1)),AO$3:AO$22),"")</f>
        <v>0</v>
      </c>
      <c r="AP73">
        <f ca="1">IF(AND(((COLUMN()-10)&lt;=playercnt),((ROW()-41)&lt;=playercnt)),SUMPRODUCT(INDIRECT(ADDRESS(3,ROW()-31,1)):INDIRECT(ADDRESS(22,ROW()-31,1)),AP$3:AP$22),"")</f>
        <v>0</v>
      </c>
      <c r="AQ73">
        <f ca="1">IF(AND(((COLUMN()-10)&lt;=playercnt),((ROW()-41)&lt;=playercnt)),SUMPRODUCT(INDIRECT(ADDRESS(3,ROW()-31,1)):INDIRECT(ADDRESS(22,ROW()-31,1)),AQ$3:AQ$22),"")</f>
        <v>0</v>
      </c>
      <c r="AR73">
        <f ca="1">IF(AND(((COLUMN()-10)&lt;=playercnt),((ROW()-41)&lt;=playercnt)),SUMPRODUCT(INDIRECT(ADDRESS(3,ROW()-31,1)):INDIRECT(ADDRESS(22,ROW()-31,1)),AR$3:AR$22),"")</f>
        <v>0</v>
      </c>
      <c r="AS73">
        <f ca="1">IF(AND(((COLUMN()-10)&lt;=playercnt),((ROW()-41)&lt;=playercnt)),SUMPRODUCT(INDIRECT(ADDRESS(3,ROW()-31,1)):INDIRECT(ADDRESS(22,ROW()-31,1)),AS$3:AS$22),"")</f>
        <v>0</v>
      </c>
      <c r="AT73">
        <f ca="1">IF(AND(((COLUMN()-10)&lt;=playercnt),((ROW()-41)&lt;=playercnt)),SUMPRODUCT(INDIRECT(ADDRESS(3,ROW()-31,1)):INDIRECT(ADDRESS(22,ROW()-31,1)),AT$3:AT$22),"")</f>
        <v>0</v>
      </c>
      <c r="AU73">
        <f ca="1">IF(AND(((COLUMN()-10)&lt;=playercnt),((ROW()-41)&lt;=playercnt)),SUMPRODUCT(INDIRECT(ADDRESS(3,ROW()-31,1)):INDIRECT(ADDRESS(22,ROW()-31,1)),AU$3:AU$22),"")</f>
        <v>0</v>
      </c>
      <c r="AV73">
        <f ca="1">IF(AND(((COLUMN()-10)&lt;=playercnt),((ROW()-41)&lt;=playercnt)),SUMPRODUCT(INDIRECT(ADDRESS(3,ROW()-31,1)):INDIRECT(ADDRESS(22,ROW()-31,1)),AV$3:AV$22),"")</f>
        <v>0</v>
      </c>
      <c r="AW73">
        <f ca="1">IF(AND(((COLUMN()-10)&lt;=playercnt),((ROW()-41)&lt;=playercnt)),SUMPRODUCT(INDIRECT(ADDRESS(3,ROW()-31,1)):INDIRECT(ADDRESS(22,ROW()-31,1)),AW$3:AW$22),"")</f>
        <v>0</v>
      </c>
      <c r="AX73">
        <f ca="1">IF(AND(((COLUMN()-10)&lt;=playercnt),((ROW()-41)&lt;=playercnt)),SUMPRODUCT(INDIRECT(ADDRESS(3,ROW()-31,1)):INDIRECT(ADDRESS(22,ROW()-31,1)),AX$3:AX$22),"")</f>
        <v>0</v>
      </c>
      <c r="AY73">
        <f ca="1">IF(AND(((COLUMN()-10)&lt;=playercnt),((ROW()-41)&lt;=playercnt)),SUMPRODUCT(INDIRECT(ADDRESS(3,ROW()-31,1)):INDIRECT(ADDRESS(22,ROW()-31,1)),AY$3:AY$22),"")</f>
        <v>0</v>
      </c>
      <c r="AZ73">
        <f ca="1">IF(AND(((COLUMN()-10)&lt;=playercnt),((ROW()-41)&lt;=playercnt)),SUMPRODUCT(INDIRECT(ADDRESS(3,ROW()-31,1)):INDIRECT(ADDRESS(22,ROW()-31,1)),AZ$3:AZ$22),"")</f>
        <v>0</v>
      </c>
      <c r="BA73">
        <f ca="1">IF(AND(((COLUMN()-10)&lt;=playercnt),((ROW()-41)&lt;=playercnt)),SUMPRODUCT(INDIRECT(ADDRESS(3,ROW()-31,1)):INDIRECT(ADDRESS(22,ROW()-31,1)),BA$3:BA$22),"")</f>
        <v>0</v>
      </c>
      <c r="BB73">
        <f ca="1">IF(AND(((COLUMN()-10)&lt;=playercnt),((ROW()-41)&lt;=playercnt)),SUMPRODUCT(INDIRECT(ADDRESS(3,ROW()-31,1)):INDIRECT(ADDRESS(22,ROW()-31,1)),BB$3:BB$22),"")</f>
        <v>0</v>
      </c>
      <c r="BC73">
        <f ca="1">IF(AND(((COLUMN()-10)&lt;=playercnt),((ROW()-41)&lt;=playercnt)),SUMPRODUCT(INDIRECT(ADDRESS(3,ROW()-31,1)):INDIRECT(ADDRESS(22,ROW()-31,1)),BC$3:BC$22),"")</f>
        <v>0</v>
      </c>
      <c r="BD73">
        <f ca="1">IF(AND(((COLUMN()-10)&lt;=playercnt),((ROW()-41)&lt;=playercnt)),SUMPRODUCT(INDIRECT(ADDRESS(3,ROW()-31,1)):INDIRECT(ADDRESS(22,ROW()-31,1)),BD$3:BD$22),"")</f>
        <v>0</v>
      </c>
      <c r="BE73">
        <f ca="1">IF(AND(((COLUMN()-10)&lt;=playercnt),((ROW()-41)&lt;=playercnt)),SUMPRODUCT(INDIRECT(ADDRESS(3,ROW()-31,1)):INDIRECT(ADDRESS(22,ROW()-31,1)),BE$3:BE$22),"")</f>
        <v>0</v>
      </c>
      <c r="BF73">
        <f ca="1">IF(AND(((COLUMN()-10)&lt;=playercnt),((ROW()-41)&lt;=playercnt)),SUMPRODUCT(INDIRECT(ADDRESS(3,ROW()-31,1)):INDIRECT(ADDRESS(22,ROW()-31,1)),BF$3:BF$22),"")</f>
        <v>0</v>
      </c>
      <c r="BG73">
        <f ca="1">IF(AND(((COLUMN()-10)&lt;=playercnt),((ROW()-41)&lt;=playercnt)),SUMPRODUCT(INDIRECT(ADDRESS(3,ROW()-31,1)):INDIRECT(ADDRESS(22,ROW()-31,1)),BG$3:BG$22),"")</f>
        <v>0</v>
      </c>
      <c r="BH73">
        <f ca="1">IF(AND(((COLUMN()-10)&lt;=playercnt),((ROW()-41)&lt;=playercnt)),SUMPRODUCT(INDIRECT(ADDRESS(3,ROW()-31,1)):INDIRECT(ADDRESS(22,ROW()-31,1)),BH$3:BH$22),"")</f>
        <v>0</v>
      </c>
      <c r="BI73">
        <f ca="1">IF(AND(((COLUMN()-10)&lt;=playercnt),((ROW()-41)&lt;=playercnt)),SUMPRODUCT(INDIRECT(ADDRESS(3,ROW()-31,1)):INDIRECT(ADDRESS(22,ROW()-31,1)),BI$3:BI$22),"")</f>
        <v>0</v>
      </c>
      <c r="BJ73">
        <f ca="1">IF(AND(((COLUMN()-10)&lt;=playercnt),((ROW()-41)&lt;=playercnt)),SUMPRODUCT(INDIRECT(ADDRESS(3,ROW()-31,1)):INDIRECT(ADDRESS(22,ROW()-31,1)),BJ$3:BJ$22),"")</f>
        <v>0</v>
      </c>
      <c r="BK73">
        <f ca="1">IF(AND(((COLUMN()-10)&lt;=playercnt),((ROW()-41)&lt;=playercnt)),SUMPRODUCT(INDIRECT(ADDRESS(3,ROW()-31,1)):INDIRECT(ADDRESS(22,ROW()-31,1)),BK$3:BK$22),"")</f>
        <v>0</v>
      </c>
      <c r="BL73">
        <f ca="1">IF(AND(((COLUMN()-10)&lt;=playercnt),((ROW()-41)&lt;=playercnt)),SUMPRODUCT(INDIRECT(ADDRESS(3,ROW()-31,1)):INDIRECT(ADDRESS(22,ROW()-31,1)),BL$3:BL$22),"")</f>
        <v>0</v>
      </c>
      <c r="BM73">
        <f ca="1">IF(AND(((COLUMN()-10)&lt;=playercnt),((ROW()-41)&lt;=playercnt)),SUMPRODUCT(INDIRECT(ADDRESS(3,ROW()-31,1)):INDIRECT(ADDRESS(22,ROW()-31,1)),BM$3:BM$22),"")</f>
        <v>0</v>
      </c>
      <c r="BN73">
        <f ca="1">IF(AND(((COLUMN()-10)&lt;=playercnt),((ROW()-41)&lt;=playercnt)),SUMPRODUCT(INDIRECT(ADDRESS(3,ROW()-31,1)):INDIRECT(ADDRESS(22,ROW()-31,1)),BN$3:BN$22),"")</f>
        <v>0</v>
      </c>
    </row>
    <row r="74" spans="2:66" x14ac:dyDescent="0.2">
      <c r="B74" s="27">
        <f t="shared" ca="1" si="23"/>
        <v>6.1698113207547172</v>
      </c>
      <c r="C74" t="str">
        <f t="shared" ca="1" si="24"/>
        <v>Neeley, Amber Remote</v>
      </c>
      <c r="G74">
        <f ca="1">IF(AND(((COLUMN()-10)&lt;=playercnt),((ROW()-41)&lt;=playercnt)),SUMPRODUCT(INDIRECT(ADDRESS(3,ROW()-31,1)):INDIRECT(ADDRESS(22,ROW()-31,1)),G$3:G$22),"")</f>
        <v>2</v>
      </c>
      <c r="H74">
        <f ca="1">IF(AND(((COLUMN()-10)&lt;=playercnt),((ROW()-41)&lt;=playercnt)),SUMPRODUCT(INDIRECT(ADDRESS(3,ROW()-31,1)):INDIRECT(ADDRESS(22,ROW()-31,1)),H$3:H$22),"")</f>
        <v>7</v>
      </c>
      <c r="I74">
        <f ca="1">IF(AND(((COLUMN()-10)&lt;=playercnt),((ROW()-41)&lt;=playercnt)),SUMPRODUCT(INDIRECT(ADDRESS(3,ROW()-31,1)):INDIRECT(ADDRESS(22,ROW()-31,1)),I$3:I$22),"")</f>
        <v>6.5</v>
      </c>
      <c r="J74">
        <f ca="1">IF(AND(((COLUMN()-10)&lt;=playercnt),((ROW()-41)&lt;=playercnt)),SUMPRODUCT(INDIRECT(ADDRESS(3,ROW()-31,1)):INDIRECT(ADDRESS(22,ROW()-31,1)),J$3:J$22),"")</f>
        <v>0</v>
      </c>
      <c r="K74">
        <f ca="1">IF(AND(((COLUMN()-10)&lt;=playercnt),((ROW()-41)&lt;=playercnt)),SUMPRODUCT(INDIRECT(ADDRESS(3,ROW()-31,1)):INDIRECT(ADDRESS(22,ROW()-31,1)),K$3:K$22),"")</f>
        <v>7</v>
      </c>
      <c r="L74">
        <f ca="1">IF(AND(((COLUMN()-10)&lt;=playercnt),((ROW()-41)&lt;=playercnt)),SUMPRODUCT(INDIRECT(ADDRESS(3,ROW()-31,1)):INDIRECT(ADDRESS(22,ROW()-31,1)),L$3:L$22),"")</f>
        <v>6</v>
      </c>
      <c r="M74">
        <f ca="1">IF(AND(((COLUMN()-10)&lt;=playercnt),((ROW()-41)&lt;=playercnt)),SUMPRODUCT(INDIRECT(ADDRESS(3,ROW()-31,1)):INDIRECT(ADDRESS(22,ROW()-31,1)),M$3:M$22),"")</f>
        <v>7</v>
      </c>
      <c r="N74">
        <f ca="1">IF(AND(((COLUMN()-10)&lt;=playercnt),((ROW()-41)&lt;=playercnt)),SUMPRODUCT(INDIRECT(ADDRESS(3,ROW()-31,1)):INDIRECT(ADDRESS(22,ROW()-31,1)),N$3:N$22),"")</f>
        <v>6</v>
      </c>
      <c r="O74">
        <f ca="1">IF(AND(((COLUMN()-10)&lt;=playercnt),((ROW()-41)&lt;=playercnt)),SUMPRODUCT(INDIRECT(ADDRESS(3,ROW()-31,1)):INDIRECT(ADDRESS(22,ROW()-31,1)),O$3:O$22),"")</f>
        <v>4</v>
      </c>
      <c r="P74">
        <f ca="1">IF(AND(((COLUMN()-10)&lt;=playercnt),((ROW()-41)&lt;=playercnt)),SUMPRODUCT(INDIRECT(ADDRESS(3,ROW()-31,1)):INDIRECT(ADDRESS(22,ROW()-31,1)),P$3:P$22),"")</f>
        <v>5</v>
      </c>
      <c r="Q74">
        <f ca="1">IF(AND(((COLUMN()-10)&lt;=playercnt),((ROW()-41)&lt;=playercnt)),SUMPRODUCT(INDIRECT(ADDRESS(3,ROW()-31,1)):INDIRECT(ADDRESS(22,ROW()-31,1)),Q$3:Q$22),"")</f>
        <v>6</v>
      </c>
      <c r="R74">
        <f ca="1">IF(AND(((COLUMN()-10)&lt;=playercnt),((ROW()-41)&lt;=playercnt)),SUMPRODUCT(INDIRECT(ADDRESS(3,ROW()-31,1)):INDIRECT(ADDRESS(22,ROW()-31,1)),R$3:R$22),"")</f>
        <v>2</v>
      </c>
      <c r="S74">
        <f ca="1">IF(AND(((COLUMN()-10)&lt;=playercnt),((ROW()-41)&lt;=playercnt)),SUMPRODUCT(INDIRECT(ADDRESS(3,ROW()-31,1)):INDIRECT(ADDRESS(22,ROW()-31,1)),S$3:S$22),"")</f>
        <v>6</v>
      </c>
      <c r="T74">
        <f ca="1">IF(AND(((COLUMN()-10)&lt;=playercnt),((ROW()-41)&lt;=playercnt)),SUMPRODUCT(INDIRECT(ADDRESS(3,ROW()-31,1)):INDIRECT(ADDRESS(22,ROW()-31,1)),T$3:T$22),"")</f>
        <v>5</v>
      </c>
      <c r="U74">
        <f ca="1">IF(AND(((COLUMN()-10)&lt;=playercnt),((ROW()-41)&lt;=playercnt)),SUMPRODUCT(INDIRECT(ADDRESS(3,ROW()-31,1)):INDIRECT(ADDRESS(22,ROW()-31,1)),U$3:U$22),"")</f>
        <v>6</v>
      </c>
      <c r="V74">
        <f ca="1">IF(AND(((COLUMN()-10)&lt;=playercnt),((ROW()-41)&lt;=playercnt)),SUMPRODUCT(INDIRECT(ADDRESS(3,ROW()-31,1)):INDIRECT(ADDRESS(22,ROW()-31,1)),V$3:V$22),"")</f>
        <v>8</v>
      </c>
      <c r="W74">
        <f ca="1">IF(AND(((COLUMN()-10)&lt;=playercnt),((ROW()-41)&lt;=playercnt)),SUMPRODUCT(INDIRECT(ADDRESS(3,ROW()-31,1)):INDIRECT(ADDRESS(22,ROW()-31,1)),W$3:W$22),"")</f>
        <v>6</v>
      </c>
      <c r="X74">
        <f ca="1">IF(AND(((COLUMN()-10)&lt;=playercnt),((ROW()-41)&lt;=playercnt)),SUMPRODUCT(INDIRECT(ADDRESS(3,ROW()-31,1)):INDIRECT(ADDRESS(22,ROW()-31,1)),X$3:X$22),"")</f>
        <v>5</v>
      </c>
      <c r="Y74">
        <f ca="1">IF(AND(((COLUMN()-10)&lt;=playercnt),((ROW()-41)&lt;=playercnt)),SUMPRODUCT(INDIRECT(ADDRESS(3,ROW()-31,1)):INDIRECT(ADDRESS(22,ROW()-31,1)),Y$3:Y$22),"")</f>
        <v>6</v>
      </c>
      <c r="Z74">
        <f ca="1">IF(AND(((COLUMN()-10)&lt;=playercnt),((ROW()-41)&lt;=playercnt)),SUMPRODUCT(INDIRECT(ADDRESS(3,ROW()-31,1)):INDIRECT(ADDRESS(22,ROW()-31,1)),Z$3:Z$22),"")</f>
        <v>9</v>
      </c>
      <c r="AA74">
        <f ca="1">IF(AND(((COLUMN()-10)&lt;=playercnt),((ROW()-41)&lt;=playercnt)),SUMPRODUCT(INDIRECT(ADDRESS(3,ROW()-31,1)):INDIRECT(ADDRESS(22,ROW()-31,1)),AA$3:AA$22),"")</f>
        <v>6</v>
      </c>
      <c r="AB74">
        <f ca="1">IF(AND(((COLUMN()-10)&lt;=playercnt),((ROW()-41)&lt;=playercnt)),SUMPRODUCT(INDIRECT(ADDRESS(3,ROW()-31,1)):INDIRECT(ADDRESS(22,ROW()-31,1)),AB$3:AB$22),"")</f>
        <v>7</v>
      </c>
      <c r="AC74">
        <f ca="1">IF(AND(((COLUMN()-10)&lt;=playercnt),((ROW()-41)&lt;=playercnt)),SUMPRODUCT(INDIRECT(ADDRESS(3,ROW()-31,1)):INDIRECT(ADDRESS(22,ROW()-31,1)),AC$3:AC$22),"")</f>
        <v>6</v>
      </c>
      <c r="AD74">
        <f ca="1">IF(AND(((COLUMN()-10)&lt;=playercnt),((ROW()-41)&lt;=playercnt)),SUMPRODUCT(INDIRECT(ADDRESS(3,ROW()-31,1)):INDIRECT(ADDRESS(22,ROW()-31,1)),AD$3:AD$22),"")</f>
        <v>6</v>
      </c>
      <c r="AE74">
        <f ca="1">IF(AND(((COLUMN()-10)&lt;=playercnt),((ROW()-41)&lt;=playercnt)),SUMPRODUCT(INDIRECT(ADDRESS(3,ROW()-31,1)):INDIRECT(ADDRESS(22,ROW()-31,1)),AE$3:AE$22),"")</f>
        <v>6</v>
      </c>
      <c r="AF74">
        <f ca="1">IF(AND(((COLUMN()-10)&lt;=playercnt),((ROW()-41)&lt;=playercnt)),SUMPRODUCT(INDIRECT(ADDRESS(3,ROW()-31,1)):INDIRECT(ADDRESS(22,ROW()-31,1)),AF$3:AF$22),"")</f>
        <v>7</v>
      </c>
      <c r="AG74">
        <f ca="1">IF(AND(((COLUMN()-10)&lt;=playercnt),((ROW()-41)&lt;=playercnt)),SUMPRODUCT(INDIRECT(ADDRESS(3,ROW()-31,1)):INDIRECT(ADDRESS(22,ROW()-31,1)),AG$3:AG$22),"")</f>
        <v>9</v>
      </c>
      <c r="AH74">
        <f ca="1">IF(AND(((COLUMN()-10)&lt;=playercnt),((ROW()-41)&lt;=playercnt)),SUMPRODUCT(INDIRECT(ADDRESS(3,ROW()-31,1)):INDIRECT(ADDRESS(22,ROW()-31,1)),AH$3:AH$22),"")</f>
        <v>6</v>
      </c>
      <c r="AI74">
        <f ca="1">IF(AND(((COLUMN()-10)&lt;=playercnt),((ROW()-41)&lt;=playercnt)),SUMPRODUCT(INDIRECT(ADDRESS(3,ROW()-31,1)):INDIRECT(ADDRESS(22,ROW()-31,1)),AI$3:AI$22),"")</f>
        <v>6</v>
      </c>
      <c r="AJ74">
        <f ca="1">IF(AND(((COLUMN()-10)&lt;=playercnt),((ROW()-41)&lt;=playercnt)),SUMPRODUCT(INDIRECT(ADDRESS(3,ROW()-31,1)):INDIRECT(ADDRESS(22,ROW()-31,1)),AJ$3:AJ$22),"")</f>
        <v>10</v>
      </c>
      <c r="AK74">
        <f ca="1">IF(AND(((COLUMN()-10)&lt;=playercnt),((ROW()-41)&lt;=playercnt)),SUMPRODUCT(INDIRECT(ADDRESS(3,ROW()-31,1)):INDIRECT(ADDRESS(22,ROW()-31,1)),AK$3:AK$22),"")</f>
        <v>0</v>
      </c>
      <c r="AL74">
        <f ca="1">IF(AND(((COLUMN()-10)&lt;=playercnt),((ROW()-41)&lt;=playercnt)),SUMPRODUCT(INDIRECT(ADDRESS(3,ROW()-31,1)):INDIRECT(ADDRESS(22,ROW()-31,1)),AL$3:AL$22),"")</f>
        <v>7</v>
      </c>
      <c r="AM74">
        <f ca="1">IF(AND(((COLUMN()-10)&lt;=playercnt),((ROW()-41)&lt;=playercnt)),SUMPRODUCT(INDIRECT(ADDRESS(3,ROW()-31,1)):INDIRECT(ADDRESS(22,ROW()-31,1)),AM$3:AM$22),"")</f>
        <v>6</v>
      </c>
      <c r="AN74">
        <f ca="1">IF(AND(((COLUMN()-10)&lt;=playercnt),((ROW()-41)&lt;=playercnt)),SUMPRODUCT(INDIRECT(ADDRESS(3,ROW()-31,1)):INDIRECT(ADDRESS(22,ROW()-31,1)),AN$3:AN$22),"")</f>
        <v>6</v>
      </c>
      <c r="AO74">
        <f ca="1">IF(AND(((COLUMN()-10)&lt;=playercnt),((ROW()-41)&lt;=playercnt)),SUMPRODUCT(INDIRECT(ADDRESS(3,ROW()-31,1)):INDIRECT(ADDRESS(22,ROW()-31,1)),AO$3:AO$22),"")</f>
        <v>4</v>
      </c>
      <c r="AP74">
        <f ca="1">IF(AND(((COLUMN()-10)&lt;=playercnt),((ROW()-41)&lt;=playercnt)),SUMPRODUCT(INDIRECT(ADDRESS(3,ROW()-31,1)):INDIRECT(ADDRESS(22,ROW()-31,1)),AP$3:AP$22),"")</f>
        <v>0</v>
      </c>
      <c r="AQ74">
        <f ca="1">IF(AND(((COLUMN()-10)&lt;=playercnt),((ROW()-41)&lt;=playercnt)),SUMPRODUCT(INDIRECT(ADDRESS(3,ROW()-31,1)):INDIRECT(ADDRESS(22,ROW()-31,1)),AQ$3:AQ$22),"")</f>
        <v>10</v>
      </c>
      <c r="AR74">
        <f ca="1">IF(AND(((COLUMN()-10)&lt;=playercnt),((ROW()-41)&lt;=playercnt)),SUMPRODUCT(INDIRECT(ADDRESS(3,ROW()-31,1)):INDIRECT(ADDRESS(22,ROW()-31,1)),AR$3:AR$22),"")</f>
        <v>3</v>
      </c>
      <c r="AS74">
        <f ca="1">IF(AND(((COLUMN()-10)&lt;=playercnt),((ROW()-41)&lt;=playercnt)),SUMPRODUCT(INDIRECT(ADDRESS(3,ROW()-31,1)):INDIRECT(ADDRESS(22,ROW()-31,1)),AS$3:AS$22),"")</f>
        <v>4</v>
      </c>
      <c r="AT74">
        <f ca="1">IF(AND(((COLUMN()-10)&lt;=playercnt),((ROW()-41)&lt;=playercnt)),SUMPRODUCT(INDIRECT(ADDRESS(3,ROW()-31,1)):INDIRECT(ADDRESS(22,ROW()-31,1)),AT$3:AT$22),"")</f>
        <v>8</v>
      </c>
      <c r="AU74">
        <f ca="1">IF(AND(((COLUMN()-10)&lt;=playercnt),((ROW()-41)&lt;=playercnt)),SUMPRODUCT(INDIRECT(ADDRESS(3,ROW()-31,1)):INDIRECT(ADDRESS(22,ROW()-31,1)),AU$3:AU$22),"")</f>
        <v>8</v>
      </c>
      <c r="AV74">
        <f ca="1">IF(AND(((COLUMN()-10)&lt;=playercnt),((ROW()-41)&lt;=playercnt)),SUMPRODUCT(INDIRECT(ADDRESS(3,ROW()-31,1)):INDIRECT(ADDRESS(22,ROW()-31,1)),AV$3:AV$22),"")</f>
        <v>6</v>
      </c>
      <c r="AW74">
        <f ca="1">IF(AND(((COLUMN()-10)&lt;=playercnt),((ROW()-41)&lt;=playercnt)),SUMPRODUCT(INDIRECT(ADDRESS(3,ROW()-31,1)):INDIRECT(ADDRESS(22,ROW()-31,1)),AW$3:AW$22),"")</f>
        <v>4</v>
      </c>
      <c r="AX74">
        <f ca="1">IF(AND(((COLUMN()-10)&lt;=playercnt),((ROW()-41)&lt;=playercnt)),SUMPRODUCT(INDIRECT(ADDRESS(3,ROW()-31,1)):INDIRECT(ADDRESS(22,ROW()-31,1)),AX$3:AX$22),"")</f>
        <v>5</v>
      </c>
      <c r="AY74">
        <f ca="1">IF(AND(((COLUMN()-10)&lt;=playercnt),((ROW()-41)&lt;=playercnt)),SUMPRODUCT(INDIRECT(ADDRESS(3,ROW()-31,1)):INDIRECT(ADDRESS(22,ROW()-31,1)),AY$3:AY$22),"")</f>
        <v>6</v>
      </c>
      <c r="AZ74">
        <f ca="1">IF(AND(((COLUMN()-10)&lt;=playercnt),((ROW()-41)&lt;=playercnt)),SUMPRODUCT(INDIRECT(ADDRESS(3,ROW()-31,1)):INDIRECT(ADDRESS(22,ROW()-31,1)),AZ$3:AZ$22),"")</f>
        <v>7</v>
      </c>
      <c r="BA74">
        <f ca="1">IF(AND(((COLUMN()-10)&lt;=playercnt),((ROW()-41)&lt;=playercnt)),SUMPRODUCT(INDIRECT(ADDRESS(3,ROW()-31,1)):INDIRECT(ADDRESS(22,ROW()-31,1)),BA$3:BA$22),"")</f>
        <v>7</v>
      </c>
      <c r="BB74">
        <f ca="1">IF(AND(((COLUMN()-10)&lt;=playercnt),((ROW()-41)&lt;=playercnt)),SUMPRODUCT(INDIRECT(ADDRESS(3,ROW()-31,1)):INDIRECT(ADDRESS(22,ROW()-31,1)),BB$3:BB$22),"")</f>
        <v>7</v>
      </c>
      <c r="BC74">
        <f ca="1">IF(AND(((COLUMN()-10)&lt;=playercnt),((ROW()-41)&lt;=playercnt)),SUMPRODUCT(INDIRECT(ADDRESS(3,ROW()-31,1)):INDIRECT(ADDRESS(22,ROW()-31,1)),BC$3:BC$22),"")</f>
        <v>9</v>
      </c>
      <c r="BD74">
        <f ca="1">IF(AND(((COLUMN()-10)&lt;=playercnt),((ROW()-41)&lt;=playercnt)),SUMPRODUCT(INDIRECT(ADDRESS(3,ROW()-31,1)):INDIRECT(ADDRESS(22,ROW()-31,1)),BD$3:BD$22),"")</f>
        <v>5</v>
      </c>
      <c r="BE74">
        <f ca="1">IF(AND(((COLUMN()-10)&lt;=playercnt),((ROW()-41)&lt;=playercnt)),SUMPRODUCT(INDIRECT(ADDRESS(3,ROW()-31,1)):INDIRECT(ADDRESS(22,ROW()-31,1)),BE$3:BE$22),"")</f>
        <v>6</v>
      </c>
      <c r="BF74">
        <f ca="1">IF(AND(((COLUMN()-10)&lt;=playercnt),((ROW()-41)&lt;=playercnt)),SUMPRODUCT(INDIRECT(ADDRESS(3,ROW()-31,1)):INDIRECT(ADDRESS(22,ROW()-31,1)),BF$3:BF$22),"")</f>
        <v>8</v>
      </c>
      <c r="BG74">
        <f ca="1">IF(AND(((COLUMN()-10)&lt;=playercnt),((ROW()-41)&lt;=playercnt)),SUMPRODUCT(INDIRECT(ADDRESS(3,ROW()-31,1)):INDIRECT(ADDRESS(22,ROW()-31,1)),BG$3:BG$22),"")</f>
        <v>4</v>
      </c>
      <c r="BH74">
        <f ca="1">IF(AND(((COLUMN()-10)&lt;=playercnt),((ROW()-41)&lt;=playercnt)),SUMPRODUCT(INDIRECT(ADDRESS(3,ROW()-31,1)):INDIRECT(ADDRESS(22,ROW()-31,1)),BH$3:BH$22),"")</f>
        <v>8</v>
      </c>
      <c r="BI74">
        <f ca="1">IF(AND(((COLUMN()-10)&lt;=playercnt),((ROW()-41)&lt;=playercnt)),SUMPRODUCT(INDIRECT(ADDRESS(3,ROW()-31,1)):INDIRECT(ADDRESS(22,ROW()-31,1)),BI$3:BI$22),"")</f>
        <v>6</v>
      </c>
      <c r="BJ74">
        <f ca="1">IF(AND(((COLUMN()-10)&lt;=playercnt),((ROW()-41)&lt;=playercnt)),SUMPRODUCT(INDIRECT(ADDRESS(3,ROW()-31,1)):INDIRECT(ADDRESS(22,ROW()-31,1)),BJ$3:BJ$22),"")</f>
        <v>6</v>
      </c>
      <c r="BK74">
        <f ca="1">IF(AND(((COLUMN()-10)&lt;=playercnt),((ROW()-41)&lt;=playercnt)),SUMPRODUCT(INDIRECT(ADDRESS(3,ROW()-31,1)):INDIRECT(ADDRESS(22,ROW()-31,1)),BK$3:BK$22),"")</f>
        <v>6</v>
      </c>
      <c r="BL74">
        <f ca="1">IF(AND(((COLUMN()-10)&lt;=playercnt),((ROW()-41)&lt;=playercnt)),SUMPRODUCT(INDIRECT(ADDRESS(3,ROW()-31,1)):INDIRECT(ADDRESS(22,ROW()-31,1)),BL$3:BL$22),"")</f>
        <v>3</v>
      </c>
      <c r="BM74">
        <f ca="1">IF(AND(((COLUMN()-10)&lt;=playercnt),((ROW()-41)&lt;=playercnt)),SUMPRODUCT(INDIRECT(ADDRESS(3,ROW()-31,1)):INDIRECT(ADDRESS(22,ROW()-31,1)),BM$3:BM$22),"")</f>
        <v>8</v>
      </c>
      <c r="BN74">
        <f ca="1">IF(AND(((COLUMN()-10)&lt;=playercnt),((ROW()-41)&lt;=playercnt)),SUMPRODUCT(INDIRECT(ADDRESS(3,ROW()-31,1)):INDIRECT(ADDRESS(22,ROW()-31,1)),BN$3:BN$22),"")</f>
        <v>7</v>
      </c>
    </row>
    <row r="75" spans="2:66" x14ac:dyDescent="0.2">
      <c r="B75" s="27">
        <f t="shared" ca="1" si="23"/>
        <v>4.8113207547169807</v>
      </c>
      <c r="C75" t="str">
        <f t="shared" ca="1" si="24"/>
        <v>Neeley, Michael Remote</v>
      </c>
      <c r="G75">
        <f ca="1">IF(AND(((COLUMN()-10)&lt;=playercnt),((ROW()-41)&lt;=playercnt)),SUMPRODUCT(INDIRECT(ADDRESS(3,ROW()-31,1)):INDIRECT(ADDRESS(22,ROW()-31,1)),G$3:G$22),"")</f>
        <v>5</v>
      </c>
      <c r="H75">
        <f ca="1">IF(AND(((COLUMN()-10)&lt;=playercnt),((ROW()-41)&lt;=playercnt)),SUMPRODUCT(INDIRECT(ADDRESS(3,ROW()-31,1)):INDIRECT(ADDRESS(22,ROW()-31,1)),H$3:H$22),"")</f>
        <v>4</v>
      </c>
      <c r="I75">
        <f ca="1">IF(AND(((COLUMN()-10)&lt;=playercnt),((ROW()-41)&lt;=playercnt)),SUMPRODUCT(INDIRECT(ADDRESS(3,ROW()-31,1)):INDIRECT(ADDRESS(22,ROW()-31,1)),I$3:I$22),"")</f>
        <v>6.5</v>
      </c>
      <c r="J75">
        <f ca="1">IF(AND(((COLUMN()-10)&lt;=playercnt),((ROW()-41)&lt;=playercnt)),SUMPRODUCT(INDIRECT(ADDRESS(3,ROW()-31,1)):INDIRECT(ADDRESS(22,ROW()-31,1)),J$3:J$22),"")</f>
        <v>0</v>
      </c>
      <c r="K75">
        <f ca="1">IF(AND(((COLUMN()-10)&lt;=playercnt),((ROW()-41)&lt;=playercnt)),SUMPRODUCT(INDIRECT(ADDRESS(3,ROW()-31,1)):INDIRECT(ADDRESS(22,ROW()-31,1)),K$3:K$22),"")</f>
        <v>6</v>
      </c>
      <c r="L75">
        <f ca="1">IF(AND(((COLUMN()-10)&lt;=playercnt),((ROW()-41)&lt;=playercnt)),SUMPRODUCT(INDIRECT(ADDRESS(3,ROW()-31,1)):INDIRECT(ADDRESS(22,ROW()-31,1)),L$3:L$22),"")</f>
        <v>5</v>
      </c>
      <c r="M75">
        <f ca="1">IF(AND(((COLUMN()-10)&lt;=playercnt),((ROW()-41)&lt;=playercnt)),SUMPRODUCT(INDIRECT(ADDRESS(3,ROW()-31,1)):INDIRECT(ADDRESS(22,ROW()-31,1)),M$3:M$22),"")</f>
        <v>4</v>
      </c>
      <c r="N75">
        <f ca="1">IF(AND(((COLUMN()-10)&lt;=playercnt),((ROW()-41)&lt;=playercnt)),SUMPRODUCT(INDIRECT(ADDRESS(3,ROW()-31,1)):INDIRECT(ADDRESS(22,ROW()-31,1)),N$3:N$22),"")</f>
        <v>5</v>
      </c>
      <c r="O75">
        <f ca="1">IF(AND(((COLUMN()-10)&lt;=playercnt),((ROW()-41)&lt;=playercnt)),SUMPRODUCT(INDIRECT(ADDRESS(3,ROW()-31,1)):INDIRECT(ADDRESS(22,ROW()-31,1)),O$3:O$22),"")</f>
        <v>5</v>
      </c>
      <c r="P75">
        <f ca="1">IF(AND(((COLUMN()-10)&lt;=playercnt),((ROW()-41)&lt;=playercnt)),SUMPRODUCT(INDIRECT(ADDRESS(3,ROW()-31,1)):INDIRECT(ADDRESS(22,ROW()-31,1)),P$3:P$22),"")</f>
        <v>6</v>
      </c>
      <c r="Q75">
        <f ca="1">IF(AND(((COLUMN()-10)&lt;=playercnt),((ROW()-41)&lt;=playercnt)),SUMPRODUCT(INDIRECT(ADDRESS(3,ROW()-31,1)):INDIRECT(ADDRESS(22,ROW()-31,1)),Q$3:Q$22),"")</f>
        <v>5</v>
      </c>
      <c r="R75">
        <f ca="1">IF(AND(((COLUMN()-10)&lt;=playercnt),((ROW()-41)&lt;=playercnt)),SUMPRODUCT(INDIRECT(ADDRESS(3,ROW()-31,1)):INDIRECT(ADDRESS(22,ROW()-31,1)),R$3:R$22),"")</f>
        <v>5</v>
      </c>
      <c r="S75">
        <f ca="1">IF(AND(((COLUMN()-10)&lt;=playercnt),((ROW()-41)&lt;=playercnt)),SUMPRODUCT(INDIRECT(ADDRESS(3,ROW()-31,1)):INDIRECT(ADDRESS(22,ROW()-31,1)),S$3:S$22),"")</f>
        <v>5</v>
      </c>
      <c r="T75">
        <f ca="1">IF(AND(((COLUMN()-10)&lt;=playercnt),((ROW()-41)&lt;=playercnt)),SUMPRODUCT(INDIRECT(ADDRESS(3,ROW()-31,1)):INDIRECT(ADDRESS(22,ROW()-31,1)),T$3:T$22),"")</f>
        <v>6</v>
      </c>
      <c r="U75">
        <f ca="1">IF(AND(((COLUMN()-10)&lt;=playercnt),((ROW()-41)&lt;=playercnt)),SUMPRODUCT(INDIRECT(ADDRESS(3,ROW()-31,1)):INDIRECT(ADDRESS(22,ROW()-31,1)),U$3:U$22),"")</f>
        <v>5</v>
      </c>
      <c r="V75">
        <f ca="1">IF(AND(((COLUMN()-10)&lt;=playercnt),((ROW()-41)&lt;=playercnt)),SUMPRODUCT(INDIRECT(ADDRESS(3,ROW()-31,1)):INDIRECT(ADDRESS(22,ROW()-31,1)),V$3:V$22),"")</f>
        <v>3</v>
      </c>
      <c r="W75">
        <f ca="1">IF(AND(((COLUMN()-10)&lt;=playercnt),((ROW()-41)&lt;=playercnt)),SUMPRODUCT(INDIRECT(ADDRESS(3,ROW()-31,1)):INDIRECT(ADDRESS(22,ROW()-31,1)),W$3:W$22),"")</f>
        <v>7</v>
      </c>
      <c r="X75">
        <f ca="1">IF(AND(((COLUMN()-10)&lt;=playercnt),((ROW()-41)&lt;=playercnt)),SUMPRODUCT(INDIRECT(ADDRESS(3,ROW()-31,1)):INDIRECT(ADDRESS(22,ROW()-31,1)),X$3:X$22),"")</f>
        <v>4</v>
      </c>
      <c r="Y75">
        <f ca="1">IF(AND(((COLUMN()-10)&lt;=playercnt),((ROW()-41)&lt;=playercnt)),SUMPRODUCT(INDIRECT(ADDRESS(3,ROW()-31,1)):INDIRECT(ADDRESS(22,ROW()-31,1)),Y$3:Y$22),"")</f>
        <v>5</v>
      </c>
      <c r="Z75">
        <f ca="1">IF(AND(((COLUMN()-10)&lt;=playercnt),((ROW()-41)&lt;=playercnt)),SUMPRODUCT(INDIRECT(ADDRESS(3,ROW()-31,1)):INDIRECT(ADDRESS(22,ROW()-31,1)),Z$3:Z$22),"")</f>
        <v>4</v>
      </c>
      <c r="AA75">
        <f ca="1">IF(AND(((COLUMN()-10)&lt;=playercnt),((ROW()-41)&lt;=playercnt)),SUMPRODUCT(INDIRECT(ADDRESS(3,ROW()-31,1)):INDIRECT(ADDRESS(22,ROW()-31,1)),AA$3:AA$22),"")</f>
        <v>5</v>
      </c>
      <c r="AB75">
        <f ca="1">IF(AND(((COLUMN()-10)&lt;=playercnt),((ROW()-41)&lt;=playercnt)),SUMPRODUCT(INDIRECT(ADDRESS(3,ROW()-31,1)):INDIRECT(ADDRESS(22,ROW()-31,1)),AB$3:AB$22),"")</f>
        <v>4</v>
      </c>
      <c r="AC75">
        <f ca="1">IF(AND(((COLUMN()-10)&lt;=playercnt),((ROW()-41)&lt;=playercnt)),SUMPRODUCT(INDIRECT(ADDRESS(3,ROW()-31,1)):INDIRECT(ADDRESS(22,ROW()-31,1)),AC$3:AC$22),"")</f>
        <v>5</v>
      </c>
      <c r="AD75">
        <f ca="1">IF(AND(((COLUMN()-10)&lt;=playercnt),((ROW()-41)&lt;=playercnt)),SUMPRODUCT(INDIRECT(ADDRESS(3,ROW()-31,1)):INDIRECT(ADDRESS(22,ROW()-31,1)),AD$3:AD$22),"")</f>
        <v>3</v>
      </c>
      <c r="AE75">
        <f ca="1">IF(AND(((COLUMN()-10)&lt;=playercnt),((ROW()-41)&lt;=playercnt)),SUMPRODUCT(INDIRECT(ADDRESS(3,ROW()-31,1)):INDIRECT(ADDRESS(22,ROW()-31,1)),AE$3:AE$22),"")</f>
        <v>3</v>
      </c>
      <c r="AF75">
        <f ca="1">IF(AND(((COLUMN()-10)&lt;=playercnt),((ROW()-41)&lt;=playercnt)),SUMPRODUCT(INDIRECT(ADDRESS(3,ROW()-31,1)):INDIRECT(ADDRESS(22,ROW()-31,1)),AF$3:AF$22),"")</f>
        <v>4</v>
      </c>
      <c r="AG75">
        <f ca="1">IF(AND(((COLUMN()-10)&lt;=playercnt),((ROW()-41)&lt;=playercnt)),SUMPRODUCT(INDIRECT(ADDRESS(3,ROW()-31,1)):INDIRECT(ADDRESS(22,ROW()-31,1)),AG$3:AG$22),"")</f>
        <v>4</v>
      </c>
      <c r="AH75">
        <f ca="1">IF(AND(((COLUMN()-10)&lt;=playercnt),((ROW()-41)&lt;=playercnt)),SUMPRODUCT(INDIRECT(ADDRESS(3,ROW()-31,1)):INDIRECT(ADDRESS(22,ROW()-31,1)),AH$3:AH$22),"")</f>
        <v>7</v>
      </c>
      <c r="AI75">
        <f ca="1">IF(AND(((COLUMN()-10)&lt;=playercnt),((ROW()-41)&lt;=playercnt)),SUMPRODUCT(INDIRECT(ADDRESS(3,ROW()-31,1)):INDIRECT(ADDRESS(22,ROW()-31,1)),AI$3:AI$22),"")</f>
        <v>5</v>
      </c>
      <c r="AJ75">
        <f ca="1">IF(AND(((COLUMN()-10)&lt;=playercnt),((ROW()-41)&lt;=playercnt)),SUMPRODUCT(INDIRECT(ADDRESS(3,ROW()-31,1)):INDIRECT(ADDRESS(22,ROW()-31,1)),AJ$3:AJ$22),"")</f>
        <v>3</v>
      </c>
      <c r="AK75">
        <f ca="1">IF(AND(((COLUMN()-10)&lt;=playercnt),((ROW()-41)&lt;=playercnt)),SUMPRODUCT(INDIRECT(ADDRESS(3,ROW()-31,1)):INDIRECT(ADDRESS(22,ROW()-31,1)),AK$3:AK$22),"")</f>
        <v>0</v>
      </c>
      <c r="AL75">
        <f ca="1">IF(AND(((COLUMN()-10)&lt;=playercnt),((ROW()-41)&lt;=playercnt)),SUMPRODUCT(INDIRECT(ADDRESS(3,ROW()-31,1)):INDIRECT(ADDRESS(22,ROW()-31,1)),AL$3:AL$22),"")</f>
        <v>6</v>
      </c>
      <c r="AM75">
        <f ca="1">IF(AND(((COLUMN()-10)&lt;=playercnt),((ROW()-41)&lt;=playercnt)),SUMPRODUCT(INDIRECT(ADDRESS(3,ROW()-31,1)):INDIRECT(ADDRESS(22,ROW()-31,1)),AM$3:AM$22),"")</f>
        <v>5</v>
      </c>
      <c r="AN75">
        <f ca="1">IF(AND(((COLUMN()-10)&lt;=playercnt),((ROW()-41)&lt;=playercnt)),SUMPRODUCT(INDIRECT(ADDRESS(3,ROW()-31,1)):INDIRECT(ADDRESS(22,ROW()-31,1)),AN$3:AN$22),"")</f>
        <v>5</v>
      </c>
      <c r="AO75">
        <f ca="1">IF(AND(((COLUMN()-10)&lt;=playercnt),((ROW()-41)&lt;=playercnt)),SUMPRODUCT(INDIRECT(ADDRESS(3,ROW()-31,1)):INDIRECT(ADDRESS(22,ROW()-31,1)),AO$3:AO$22),"")</f>
        <v>5</v>
      </c>
      <c r="AP75">
        <f ca="1">IF(AND(((COLUMN()-10)&lt;=playercnt),((ROW()-41)&lt;=playercnt)),SUMPRODUCT(INDIRECT(ADDRESS(3,ROW()-31,1)):INDIRECT(ADDRESS(22,ROW()-31,1)),AP$3:AP$22),"")</f>
        <v>0</v>
      </c>
      <c r="AQ75">
        <f ca="1">IF(AND(((COLUMN()-10)&lt;=playercnt),((ROW()-41)&lt;=playercnt)),SUMPRODUCT(INDIRECT(ADDRESS(3,ROW()-31,1)):INDIRECT(ADDRESS(22,ROW()-31,1)),AQ$3:AQ$22),"")</f>
        <v>3</v>
      </c>
      <c r="AR75">
        <f ca="1">IF(AND(((COLUMN()-10)&lt;=playercnt),((ROW()-41)&lt;=playercnt)),SUMPRODUCT(INDIRECT(ADDRESS(3,ROW()-31,1)):INDIRECT(ADDRESS(22,ROW()-31,1)),AR$3:AR$22),"")</f>
        <v>10</v>
      </c>
      <c r="AS75">
        <f ca="1">IF(AND(((COLUMN()-10)&lt;=playercnt),((ROW()-41)&lt;=playercnt)),SUMPRODUCT(INDIRECT(ADDRESS(3,ROW()-31,1)):INDIRECT(ADDRESS(22,ROW()-31,1)),AS$3:AS$22),"")</f>
        <v>5</v>
      </c>
      <c r="AT75">
        <f ca="1">IF(AND(((COLUMN()-10)&lt;=playercnt),((ROW()-41)&lt;=playercnt)),SUMPRODUCT(INDIRECT(ADDRESS(3,ROW()-31,1)):INDIRECT(ADDRESS(22,ROW()-31,1)),AT$3:AT$22),"")</f>
        <v>5</v>
      </c>
      <c r="AU75">
        <f ca="1">IF(AND(((COLUMN()-10)&lt;=playercnt),((ROW()-41)&lt;=playercnt)),SUMPRODUCT(INDIRECT(ADDRESS(3,ROW()-31,1)):INDIRECT(ADDRESS(22,ROW()-31,1)),AU$3:AU$22),"")</f>
        <v>5</v>
      </c>
      <c r="AV75">
        <f ca="1">IF(AND(((COLUMN()-10)&lt;=playercnt),((ROW()-41)&lt;=playercnt)),SUMPRODUCT(INDIRECT(ADDRESS(3,ROW()-31,1)):INDIRECT(ADDRESS(22,ROW()-31,1)),AV$3:AV$22),"")</f>
        <v>5</v>
      </c>
      <c r="AW75">
        <f ca="1">IF(AND(((COLUMN()-10)&lt;=playercnt),((ROW()-41)&lt;=playercnt)),SUMPRODUCT(INDIRECT(ADDRESS(3,ROW()-31,1)):INDIRECT(ADDRESS(22,ROW()-31,1)),AW$3:AW$22),"")</f>
        <v>5</v>
      </c>
      <c r="AX75">
        <f ca="1">IF(AND(((COLUMN()-10)&lt;=playercnt),((ROW()-41)&lt;=playercnt)),SUMPRODUCT(INDIRECT(ADDRESS(3,ROW()-31,1)):INDIRECT(ADDRESS(22,ROW()-31,1)),AX$3:AX$22),"")</f>
        <v>8</v>
      </c>
      <c r="AY75">
        <f ca="1">IF(AND(((COLUMN()-10)&lt;=playercnt),((ROW()-41)&lt;=playercnt)),SUMPRODUCT(INDIRECT(ADDRESS(3,ROW()-31,1)):INDIRECT(ADDRESS(22,ROW()-31,1)),AY$3:AY$22),"")</f>
        <v>7</v>
      </c>
      <c r="AZ75">
        <f ca="1">IF(AND(((COLUMN()-10)&lt;=playercnt),((ROW()-41)&lt;=playercnt)),SUMPRODUCT(INDIRECT(ADDRESS(3,ROW()-31,1)):INDIRECT(ADDRESS(22,ROW()-31,1)),AZ$3:AZ$22),"")</f>
        <v>6</v>
      </c>
      <c r="BA75">
        <f ca="1">IF(AND(((COLUMN()-10)&lt;=playercnt),((ROW()-41)&lt;=playercnt)),SUMPRODUCT(INDIRECT(ADDRESS(3,ROW()-31,1)):INDIRECT(ADDRESS(22,ROW()-31,1)),BA$3:BA$22),"")</f>
        <v>4</v>
      </c>
      <c r="BB75">
        <f ca="1">IF(AND(((COLUMN()-10)&lt;=playercnt),((ROW()-41)&lt;=playercnt)),SUMPRODUCT(INDIRECT(ADDRESS(3,ROW()-31,1)):INDIRECT(ADDRESS(22,ROW()-31,1)),BB$3:BB$22),"")</f>
        <v>4</v>
      </c>
      <c r="BC75">
        <f ca="1">IF(AND(((COLUMN()-10)&lt;=playercnt),((ROW()-41)&lt;=playercnt)),SUMPRODUCT(INDIRECT(ADDRESS(3,ROW()-31,1)):INDIRECT(ADDRESS(22,ROW()-31,1)),BC$3:BC$22),"")</f>
        <v>2</v>
      </c>
      <c r="BD75">
        <f ca="1">IF(AND(((COLUMN()-10)&lt;=playercnt),((ROW()-41)&lt;=playercnt)),SUMPRODUCT(INDIRECT(ADDRESS(3,ROW()-31,1)):INDIRECT(ADDRESS(22,ROW()-31,1)),BD$3:BD$22),"")</f>
        <v>2</v>
      </c>
      <c r="BE75">
        <f ca="1">IF(AND(((COLUMN()-10)&lt;=playercnt),((ROW()-41)&lt;=playercnt)),SUMPRODUCT(INDIRECT(ADDRESS(3,ROW()-31,1)):INDIRECT(ADDRESS(22,ROW()-31,1)),BE$3:BE$22),"")</f>
        <v>5</v>
      </c>
      <c r="BF75">
        <f ca="1">IF(AND(((COLUMN()-10)&lt;=playercnt),((ROW()-41)&lt;=playercnt)),SUMPRODUCT(INDIRECT(ADDRESS(3,ROW()-31,1)):INDIRECT(ADDRESS(22,ROW()-31,1)),BF$3:BF$22),"")</f>
        <v>3</v>
      </c>
      <c r="BG75">
        <f ca="1">IF(AND(((COLUMN()-10)&lt;=playercnt),((ROW()-41)&lt;=playercnt)),SUMPRODUCT(INDIRECT(ADDRESS(3,ROW()-31,1)):INDIRECT(ADDRESS(22,ROW()-31,1)),BG$3:BG$22),"")</f>
        <v>7</v>
      </c>
      <c r="BH75">
        <f ca="1">IF(AND(((COLUMN()-10)&lt;=playercnt),((ROW()-41)&lt;=playercnt)),SUMPRODUCT(INDIRECT(ADDRESS(3,ROW()-31,1)):INDIRECT(ADDRESS(22,ROW()-31,1)),BH$3:BH$22),"")</f>
        <v>5</v>
      </c>
      <c r="BI75">
        <f ca="1">IF(AND(((COLUMN()-10)&lt;=playercnt),((ROW()-41)&lt;=playercnt)),SUMPRODUCT(INDIRECT(ADDRESS(3,ROW()-31,1)):INDIRECT(ADDRESS(22,ROW()-31,1)),BI$3:BI$22),"")</f>
        <v>5</v>
      </c>
      <c r="BJ75">
        <f ca="1">IF(AND(((COLUMN()-10)&lt;=playercnt),((ROW()-41)&lt;=playercnt)),SUMPRODUCT(INDIRECT(ADDRESS(3,ROW()-31,1)):INDIRECT(ADDRESS(22,ROW()-31,1)),BJ$3:BJ$22),"")</f>
        <v>5</v>
      </c>
      <c r="BK75">
        <f ca="1">IF(AND(((COLUMN()-10)&lt;=playercnt),((ROW()-41)&lt;=playercnt)),SUMPRODUCT(INDIRECT(ADDRESS(3,ROW()-31,1)):INDIRECT(ADDRESS(22,ROW()-31,1)),BK$3:BK$22),"")</f>
        <v>5</v>
      </c>
      <c r="BL75">
        <f ca="1">IF(AND(((COLUMN()-10)&lt;=playercnt),((ROW()-41)&lt;=playercnt)),SUMPRODUCT(INDIRECT(ADDRESS(3,ROW()-31,1)):INDIRECT(ADDRESS(22,ROW()-31,1)),BL$3:BL$22),"")</f>
        <v>6</v>
      </c>
      <c r="BM75">
        <f ca="1">IF(AND(((COLUMN()-10)&lt;=playercnt),((ROW()-41)&lt;=playercnt)),SUMPRODUCT(INDIRECT(ADDRESS(3,ROW()-31,1)):INDIRECT(ADDRESS(22,ROW()-31,1)),BM$3:BM$22),"")</f>
        <v>5</v>
      </c>
      <c r="BN75">
        <f ca="1">IF(AND(((COLUMN()-10)&lt;=playercnt),((ROW()-41)&lt;=playercnt)),SUMPRODUCT(INDIRECT(ADDRESS(3,ROW()-31,1)):INDIRECT(ADDRESS(22,ROW()-31,1)),BN$3:BN$22),"")</f>
        <v>4</v>
      </c>
    </row>
    <row r="76" spans="2:66" x14ac:dyDescent="0.2">
      <c r="B76" s="27">
        <f t="shared" ca="1" si="23"/>
        <v>6.2452830188679247</v>
      </c>
      <c r="C76" t="str">
        <f t="shared" ca="1" si="24"/>
        <v>Neill, Charles H</v>
      </c>
      <c r="G76">
        <f ca="1">IF(AND(((COLUMN()-10)&lt;=playercnt),((ROW()-41)&lt;=playercnt)),SUMPRODUCT(INDIRECT(ADDRESS(3,ROW()-31,1)):INDIRECT(ADDRESS(22,ROW()-31,1)),G$3:G$22),"")</f>
        <v>4</v>
      </c>
      <c r="H76">
        <f ca="1">IF(AND(((COLUMN()-10)&lt;=playercnt),((ROW()-41)&lt;=playercnt)),SUMPRODUCT(INDIRECT(ADDRESS(3,ROW()-31,1)):INDIRECT(ADDRESS(22,ROW()-31,1)),H$3:H$22),"")</f>
        <v>7</v>
      </c>
      <c r="I76">
        <f ca="1">IF(AND(((COLUMN()-10)&lt;=playercnt),((ROW()-41)&lt;=playercnt)),SUMPRODUCT(INDIRECT(ADDRESS(3,ROW()-31,1)):INDIRECT(ADDRESS(22,ROW()-31,1)),I$3:I$22),"")</f>
        <v>7.5</v>
      </c>
      <c r="J76">
        <f ca="1">IF(AND(((COLUMN()-10)&lt;=playercnt),((ROW()-41)&lt;=playercnt)),SUMPRODUCT(INDIRECT(ADDRESS(3,ROW()-31,1)):INDIRECT(ADDRESS(22,ROW()-31,1)),J$3:J$22),"")</f>
        <v>0</v>
      </c>
      <c r="K76">
        <f ca="1">IF(AND(((COLUMN()-10)&lt;=playercnt),((ROW()-41)&lt;=playercnt)),SUMPRODUCT(INDIRECT(ADDRESS(3,ROW()-31,1)):INDIRECT(ADDRESS(22,ROW()-31,1)),K$3:K$22),"")</f>
        <v>5</v>
      </c>
      <c r="L76">
        <f ca="1">IF(AND(((COLUMN()-10)&lt;=playercnt),((ROW()-41)&lt;=playercnt)),SUMPRODUCT(INDIRECT(ADDRESS(3,ROW()-31,1)):INDIRECT(ADDRESS(22,ROW()-31,1)),L$3:L$22),"")</f>
        <v>8</v>
      </c>
      <c r="M76">
        <f ca="1">IF(AND(((COLUMN()-10)&lt;=playercnt),((ROW()-41)&lt;=playercnt)),SUMPRODUCT(INDIRECT(ADDRESS(3,ROW()-31,1)):INDIRECT(ADDRESS(22,ROW()-31,1)),M$3:M$22),"")</f>
        <v>7</v>
      </c>
      <c r="N76">
        <f ca="1">IF(AND(((COLUMN()-10)&lt;=playercnt),((ROW()-41)&lt;=playercnt)),SUMPRODUCT(INDIRECT(ADDRESS(3,ROW()-31,1)):INDIRECT(ADDRESS(22,ROW()-31,1)),N$3:N$22),"")</f>
        <v>6</v>
      </c>
      <c r="O76">
        <f ca="1">IF(AND(((COLUMN()-10)&lt;=playercnt),((ROW()-41)&lt;=playercnt)),SUMPRODUCT(INDIRECT(ADDRESS(3,ROW()-31,1)):INDIRECT(ADDRESS(22,ROW()-31,1)),O$3:O$22),"")</f>
        <v>8</v>
      </c>
      <c r="P76">
        <f ca="1">IF(AND(((COLUMN()-10)&lt;=playercnt),((ROW()-41)&lt;=playercnt)),SUMPRODUCT(INDIRECT(ADDRESS(3,ROW()-31,1)):INDIRECT(ADDRESS(22,ROW()-31,1)),P$3:P$22),"")</f>
        <v>5</v>
      </c>
      <c r="Q76">
        <f ca="1">IF(AND(((COLUMN()-10)&lt;=playercnt),((ROW()-41)&lt;=playercnt)),SUMPRODUCT(INDIRECT(ADDRESS(3,ROW()-31,1)):INDIRECT(ADDRESS(22,ROW()-31,1)),Q$3:Q$22),"")</f>
        <v>8</v>
      </c>
      <c r="R76">
        <f ca="1">IF(AND(((COLUMN()-10)&lt;=playercnt),((ROW()-41)&lt;=playercnt)),SUMPRODUCT(INDIRECT(ADDRESS(3,ROW()-31,1)):INDIRECT(ADDRESS(22,ROW()-31,1)),R$3:R$22),"")</f>
        <v>6</v>
      </c>
      <c r="S76">
        <f ca="1">IF(AND(((COLUMN()-10)&lt;=playercnt),((ROW()-41)&lt;=playercnt)),SUMPRODUCT(INDIRECT(ADDRESS(3,ROW()-31,1)):INDIRECT(ADDRESS(22,ROW()-31,1)),S$3:S$22),"")</f>
        <v>8</v>
      </c>
      <c r="T76">
        <f ca="1">IF(AND(((COLUMN()-10)&lt;=playercnt),((ROW()-41)&lt;=playercnt)),SUMPRODUCT(INDIRECT(ADDRESS(3,ROW()-31,1)):INDIRECT(ADDRESS(22,ROW()-31,1)),T$3:T$22),"")</f>
        <v>7</v>
      </c>
      <c r="U76">
        <f ca="1">IF(AND(((COLUMN()-10)&lt;=playercnt),((ROW()-41)&lt;=playercnt)),SUMPRODUCT(INDIRECT(ADDRESS(3,ROW()-31,1)):INDIRECT(ADDRESS(22,ROW()-31,1)),U$3:U$22),"")</f>
        <v>8</v>
      </c>
      <c r="V76">
        <f ca="1">IF(AND(((COLUMN()-10)&lt;=playercnt),((ROW()-41)&lt;=playercnt)),SUMPRODUCT(INDIRECT(ADDRESS(3,ROW()-31,1)):INDIRECT(ADDRESS(22,ROW()-31,1)),V$3:V$22),"")</f>
        <v>4</v>
      </c>
      <c r="W76">
        <f ca="1">IF(AND(((COLUMN()-10)&lt;=playercnt),((ROW()-41)&lt;=playercnt)),SUMPRODUCT(INDIRECT(ADDRESS(3,ROW()-31,1)):INDIRECT(ADDRESS(22,ROW()-31,1)),W$3:W$22),"")</f>
        <v>6</v>
      </c>
      <c r="X76">
        <f ca="1">IF(AND(((COLUMN()-10)&lt;=playercnt),((ROW()-41)&lt;=playercnt)),SUMPRODUCT(INDIRECT(ADDRESS(3,ROW()-31,1)):INDIRECT(ADDRESS(22,ROW()-31,1)),X$3:X$22),"")</f>
        <v>7</v>
      </c>
      <c r="Y76">
        <f ca="1">IF(AND(((COLUMN()-10)&lt;=playercnt),((ROW()-41)&lt;=playercnt)),SUMPRODUCT(INDIRECT(ADDRESS(3,ROW()-31,1)):INDIRECT(ADDRESS(22,ROW()-31,1)),Y$3:Y$22),"")</f>
        <v>6</v>
      </c>
      <c r="Z76">
        <f ca="1">IF(AND(((COLUMN()-10)&lt;=playercnt),((ROW()-41)&lt;=playercnt)),SUMPRODUCT(INDIRECT(ADDRESS(3,ROW()-31,1)):INDIRECT(ADDRESS(22,ROW()-31,1)),Z$3:Z$22),"")</f>
        <v>5</v>
      </c>
      <c r="AA76">
        <f ca="1">IF(AND(((COLUMN()-10)&lt;=playercnt),((ROW()-41)&lt;=playercnt)),SUMPRODUCT(INDIRECT(ADDRESS(3,ROW()-31,1)):INDIRECT(ADDRESS(22,ROW()-31,1)),AA$3:AA$22),"")</f>
        <v>6</v>
      </c>
      <c r="AB76">
        <f ca="1">IF(AND(((COLUMN()-10)&lt;=playercnt),((ROW()-41)&lt;=playercnt)),SUMPRODUCT(INDIRECT(ADDRESS(3,ROW()-31,1)):INDIRECT(ADDRESS(22,ROW()-31,1)),AB$3:AB$22),"")</f>
        <v>3</v>
      </c>
      <c r="AC76">
        <f ca="1">IF(AND(((COLUMN()-10)&lt;=playercnt),((ROW()-41)&lt;=playercnt)),SUMPRODUCT(INDIRECT(ADDRESS(3,ROW()-31,1)):INDIRECT(ADDRESS(22,ROW()-31,1)),AC$3:AC$22),"")</f>
        <v>6</v>
      </c>
      <c r="AD76">
        <f ca="1">IF(AND(((COLUMN()-10)&lt;=playercnt),((ROW()-41)&lt;=playercnt)),SUMPRODUCT(INDIRECT(ADDRESS(3,ROW()-31,1)):INDIRECT(ADDRESS(22,ROW()-31,1)),AD$3:AD$22),"")</f>
        <v>6</v>
      </c>
      <c r="AE76">
        <f ca="1">IF(AND(((COLUMN()-10)&lt;=playercnt),((ROW()-41)&lt;=playercnt)),SUMPRODUCT(INDIRECT(ADDRESS(3,ROW()-31,1)):INDIRECT(ADDRESS(22,ROW()-31,1)),AE$3:AE$22),"")</f>
        <v>8</v>
      </c>
      <c r="AF76">
        <f ca="1">IF(AND(((COLUMN()-10)&lt;=playercnt),((ROW()-41)&lt;=playercnt)),SUMPRODUCT(INDIRECT(ADDRESS(3,ROW()-31,1)):INDIRECT(ADDRESS(22,ROW()-31,1)),AF$3:AF$22),"")</f>
        <v>7</v>
      </c>
      <c r="AG76">
        <f ca="1">IF(AND(((COLUMN()-10)&lt;=playercnt),((ROW()-41)&lt;=playercnt)),SUMPRODUCT(INDIRECT(ADDRESS(3,ROW()-31,1)):INDIRECT(ADDRESS(22,ROW()-31,1)),AG$3:AG$22),"")</f>
        <v>5</v>
      </c>
      <c r="AH76">
        <f ca="1">IF(AND(((COLUMN()-10)&lt;=playercnt),((ROW()-41)&lt;=playercnt)),SUMPRODUCT(INDIRECT(ADDRESS(3,ROW()-31,1)):INDIRECT(ADDRESS(22,ROW()-31,1)),AH$3:AH$22),"")</f>
        <v>6</v>
      </c>
      <c r="AI76">
        <f ca="1">IF(AND(((COLUMN()-10)&lt;=playercnt),((ROW()-41)&lt;=playercnt)),SUMPRODUCT(INDIRECT(ADDRESS(3,ROW()-31,1)):INDIRECT(ADDRESS(22,ROW()-31,1)),AI$3:AI$22),"")</f>
        <v>6</v>
      </c>
      <c r="AJ76">
        <f ca="1">IF(AND(((COLUMN()-10)&lt;=playercnt),((ROW()-41)&lt;=playercnt)),SUMPRODUCT(INDIRECT(ADDRESS(3,ROW()-31,1)):INDIRECT(ADDRESS(22,ROW()-31,1)),AJ$3:AJ$22),"")</f>
        <v>4</v>
      </c>
      <c r="AK76">
        <f ca="1">IF(AND(((COLUMN()-10)&lt;=playercnt),((ROW()-41)&lt;=playercnt)),SUMPRODUCT(INDIRECT(ADDRESS(3,ROW()-31,1)):INDIRECT(ADDRESS(22,ROW()-31,1)),AK$3:AK$22),"")</f>
        <v>0</v>
      </c>
      <c r="AL76">
        <f ca="1">IF(AND(((COLUMN()-10)&lt;=playercnt),((ROW()-41)&lt;=playercnt)),SUMPRODUCT(INDIRECT(ADDRESS(3,ROW()-31,1)):INDIRECT(ADDRESS(22,ROW()-31,1)),AL$3:AL$22),"")</f>
        <v>5</v>
      </c>
      <c r="AM76">
        <f ca="1">IF(AND(((COLUMN()-10)&lt;=playercnt),((ROW()-41)&lt;=playercnt)),SUMPRODUCT(INDIRECT(ADDRESS(3,ROW()-31,1)):INDIRECT(ADDRESS(22,ROW()-31,1)),AM$3:AM$22),"")</f>
        <v>6</v>
      </c>
      <c r="AN76">
        <f ca="1">IF(AND(((COLUMN()-10)&lt;=playercnt),((ROW()-41)&lt;=playercnt)),SUMPRODUCT(INDIRECT(ADDRESS(3,ROW()-31,1)):INDIRECT(ADDRESS(22,ROW()-31,1)),AN$3:AN$22),"")</f>
        <v>8</v>
      </c>
      <c r="AO76">
        <f ca="1">IF(AND(((COLUMN()-10)&lt;=playercnt),((ROW()-41)&lt;=playercnt)),SUMPRODUCT(INDIRECT(ADDRESS(3,ROW()-31,1)):INDIRECT(ADDRESS(22,ROW()-31,1)),AO$3:AO$22),"")</f>
        <v>6</v>
      </c>
      <c r="AP76">
        <f ca="1">IF(AND(((COLUMN()-10)&lt;=playercnt),((ROW()-41)&lt;=playercnt)),SUMPRODUCT(INDIRECT(ADDRESS(3,ROW()-31,1)):INDIRECT(ADDRESS(22,ROW()-31,1)),AP$3:AP$22),"")</f>
        <v>0</v>
      </c>
      <c r="AQ76">
        <f ca="1">IF(AND(((COLUMN()-10)&lt;=playercnt),((ROW()-41)&lt;=playercnt)),SUMPRODUCT(INDIRECT(ADDRESS(3,ROW()-31,1)):INDIRECT(ADDRESS(22,ROW()-31,1)),AQ$3:AQ$22),"")</f>
        <v>4</v>
      </c>
      <c r="AR76">
        <f ca="1">IF(AND(((COLUMN()-10)&lt;=playercnt),((ROW()-41)&lt;=playercnt)),SUMPRODUCT(INDIRECT(ADDRESS(3,ROW()-31,1)):INDIRECT(ADDRESS(22,ROW()-31,1)),AR$3:AR$22),"")</f>
        <v>5</v>
      </c>
      <c r="AS76">
        <f ca="1">IF(AND(((COLUMN()-10)&lt;=playercnt),((ROW()-41)&lt;=playercnt)),SUMPRODUCT(INDIRECT(ADDRESS(3,ROW()-31,1)):INDIRECT(ADDRESS(22,ROW()-31,1)),AS$3:AS$22),"")</f>
        <v>10</v>
      </c>
      <c r="AT76">
        <f ca="1">IF(AND(((COLUMN()-10)&lt;=playercnt),((ROW()-41)&lt;=playercnt)),SUMPRODUCT(INDIRECT(ADDRESS(3,ROW()-31,1)):INDIRECT(ADDRESS(22,ROW()-31,1)),AT$3:AT$22),"")</f>
        <v>4</v>
      </c>
      <c r="AU76">
        <f ca="1">IF(AND(((COLUMN()-10)&lt;=playercnt),((ROW()-41)&lt;=playercnt)),SUMPRODUCT(INDIRECT(ADDRESS(3,ROW()-31,1)):INDIRECT(ADDRESS(22,ROW()-31,1)),AU$3:AU$22),"")</f>
        <v>6</v>
      </c>
      <c r="AV76">
        <f ca="1">IF(AND(((COLUMN()-10)&lt;=playercnt),((ROW()-41)&lt;=playercnt)),SUMPRODUCT(INDIRECT(ADDRESS(3,ROW()-31,1)):INDIRECT(ADDRESS(22,ROW()-31,1)),AV$3:AV$22),"")</f>
        <v>8</v>
      </c>
      <c r="AW76">
        <f ca="1">IF(AND(((COLUMN()-10)&lt;=playercnt),((ROW()-41)&lt;=playercnt)),SUMPRODUCT(INDIRECT(ADDRESS(3,ROW()-31,1)):INDIRECT(ADDRESS(22,ROW()-31,1)),AW$3:AW$22),"")</f>
        <v>10</v>
      </c>
      <c r="AX76">
        <f ca="1">IF(AND(((COLUMN()-10)&lt;=playercnt),((ROW()-41)&lt;=playercnt)),SUMPRODUCT(INDIRECT(ADDRESS(3,ROW()-31,1)):INDIRECT(ADDRESS(22,ROW()-31,1)),AX$3:AX$22),"")</f>
        <v>7</v>
      </c>
      <c r="AY76">
        <f ca="1">IF(AND(((COLUMN()-10)&lt;=playercnt),((ROW()-41)&lt;=playercnt)),SUMPRODUCT(INDIRECT(ADDRESS(3,ROW()-31,1)):INDIRECT(ADDRESS(22,ROW()-31,1)),AY$3:AY$22),"")</f>
        <v>4</v>
      </c>
      <c r="AZ76">
        <f ca="1">IF(AND(((COLUMN()-10)&lt;=playercnt),((ROW()-41)&lt;=playercnt)),SUMPRODUCT(INDIRECT(ADDRESS(3,ROW()-31,1)):INDIRECT(ADDRESS(22,ROW()-31,1)),AZ$3:AZ$22),"")</f>
        <v>7</v>
      </c>
      <c r="BA76">
        <f ca="1">IF(AND(((COLUMN()-10)&lt;=playercnt),((ROW()-41)&lt;=playercnt)),SUMPRODUCT(INDIRECT(ADDRESS(3,ROW()-31,1)):INDIRECT(ADDRESS(22,ROW()-31,1)),BA$3:BA$22),"")</f>
        <v>7</v>
      </c>
      <c r="BB76">
        <f ca="1">IF(AND(((COLUMN()-10)&lt;=playercnt),((ROW()-41)&lt;=playercnt)),SUMPRODUCT(INDIRECT(ADDRESS(3,ROW()-31,1)):INDIRECT(ADDRESS(22,ROW()-31,1)),BB$3:BB$22),"")</f>
        <v>7</v>
      </c>
      <c r="BC76">
        <f ca="1">IF(AND(((COLUMN()-10)&lt;=playercnt),((ROW()-41)&lt;=playercnt)),SUMPRODUCT(INDIRECT(ADDRESS(3,ROW()-31,1)):INDIRECT(ADDRESS(22,ROW()-31,1)),BC$3:BC$22),"")</f>
        <v>5</v>
      </c>
      <c r="BD76">
        <f ca="1">IF(AND(((COLUMN()-10)&lt;=playercnt),((ROW()-41)&lt;=playercnt)),SUMPRODUCT(INDIRECT(ADDRESS(3,ROW()-31,1)):INDIRECT(ADDRESS(22,ROW()-31,1)),BD$3:BD$22),"")</f>
        <v>5</v>
      </c>
      <c r="BE76">
        <f ca="1">IF(AND(((COLUMN()-10)&lt;=playercnt),((ROW()-41)&lt;=playercnt)),SUMPRODUCT(INDIRECT(ADDRESS(3,ROW()-31,1)):INDIRECT(ADDRESS(22,ROW()-31,1)),BE$3:BE$22),"")</f>
        <v>8</v>
      </c>
      <c r="BF76">
        <f ca="1">IF(AND(((COLUMN()-10)&lt;=playercnt),((ROW()-41)&lt;=playercnt)),SUMPRODUCT(INDIRECT(ADDRESS(3,ROW()-31,1)):INDIRECT(ADDRESS(22,ROW()-31,1)),BF$3:BF$22),"")</f>
        <v>4</v>
      </c>
      <c r="BG76">
        <f ca="1">IF(AND(((COLUMN()-10)&lt;=playercnt),((ROW()-41)&lt;=playercnt)),SUMPRODUCT(INDIRECT(ADDRESS(3,ROW()-31,1)):INDIRECT(ADDRESS(22,ROW()-31,1)),BG$3:BG$22),"")</f>
        <v>8</v>
      </c>
      <c r="BH76">
        <f ca="1">IF(AND(((COLUMN()-10)&lt;=playercnt),((ROW()-41)&lt;=playercnt)),SUMPRODUCT(INDIRECT(ADDRESS(3,ROW()-31,1)):INDIRECT(ADDRESS(22,ROW()-31,1)),BH$3:BH$22),"")</f>
        <v>4</v>
      </c>
      <c r="BI76">
        <f ca="1">IF(AND(((COLUMN()-10)&lt;=playercnt),((ROW()-41)&lt;=playercnt)),SUMPRODUCT(INDIRECT(ADDRESS(3,ROW()-31,1)):INDIRECT(ADDRESS(22,ROW()-31,1)),BI$3:BI$22),"")</f>
        <v>8</v>
      </c>
      <c r="BJ76">
        <f ca="1">IF(AND(((COLUMN()-10)&lt;=playercnt),((ROW()-41)&lt;=playercnt)),SUMPRODUCT(INDIRECT(ADDRESS(3,ROW()-31,1)):INDIRECT(ADDRESS(22,ROW()-31,1)),BJ$3:BJ$22),"")</f>
        <v>8</v>
      </c>
      <c r="BK76">
        <f ca="1">IF(AND(((COLUMN()-10)&lt;=playercnt),((ROW()-41)&lt;=playercnt)),SUMPRODUCT(INDIRECT(ADDRESS(3,ROW()-31,1)):INDIRECT(ADDRESS(22,ROW()-31,1)),BK$3:BK$22),"")</f>
        <v>6</v>
      </c>
      <c r="BL76">
        <f ca="1">IF(AND(((COLUMN()-10)&lt;=playercnt),((ROW()-41)&lt;=playercnt)),SUMPRODUCT(INDIRECT(ADDRESS(3,ROW()-31,1)):INDIRECT(ADDRESS(22,ROW()-31,1)),BL$3:BL$22),"")</f>
        <v>9</v>
      </c>
      <c r="BM76">
        <f ca="1">IF(AND(((COLUMN()-10)&lt;=playercnt),((ROW()-41)&lt;=playercnt)),SUMPRODUCT(INDIRECT(ADDRESS(3,ROW()-31,1)):INDIRECT(ADDRESS(22,ROW()-31,1)),BM$3:BM$22),"")</f>
        <v>6</v>
      </c>
      <c r="BN76">
        <f ca="1">IF(AND(((COLUMN()-10)&lt;=playercnt),((ROW()-41)&lt;=playercnt)),SUMPRODUCT(INDIRECT(ADDRESS(3,ROW()-31,1)):INDIRECT(ADDRESS(22,ROW()-31,1)),BN$3:BN$22),"")</f>
        <v>5</v>
      </c>
    </row>
    <row r="77" spans="2:66" x14ac:dyDescent="0.2">
      <c r="B77" s="27">
        <f t="shared" ca="1" si="23"/>
        <v>5.7547169811320753</v>
      </c>
      <c r="C77" t="str">
        <f t="shared" ca="1" si="24"/>
        <v>Nguyen, Thai Remote</v>
      </c>
      <c r="G77">
        <f ca="1">IF(AND(((COLUMN()-10)&lt;=playercnt),((ROW()-41)&lt;=playercnt)),SUMPRODUCT(INDIRECT(ADDRESS(3,ROW()-31,1)):INDIRECT(ADDRESS(22,ROW()-31,1)),G$3:G$22),"")</f>
        <v>4</v>
      </c>
      <c r="H77">
        <f ca="1">IF(AND(((COLUMN()-10)&lt;=playercnt),((ROW()-41)&lt;=playercnt)),SUMPRODUCT(INDIRECT(ADDRESS(3,ROW()-31,1)):INDIRECT(ADDRESS(22,ROW()-31,1)),H$3:H$22),"")</f>
        <v>7</v>
      </c>
      <c r="I77">
        <f ca="1">IF(AND(((COLUMN()-10)&lt;=playercnt),((ROW()-41)&lt;=playercnt)),SUMPRODUCT(INDIRECT(ADDRESS(3,ROW()-31,1)):INDIRECT(ADDRESS(22,ROW()-31,1)),I$3:I$22),"")</f>
        <v>6.5</v>
      </c>
      <c r="J77">
        <f ca="1">IF(AND(((COLUMN()-10)&lt;=playercnt),((ROW()-41)&lt;=playercnt)),SUMPRODUCT(INDIRECT(ADDRESS(3,ROW()-31,1)):INDIRECT(ADDRESS(22,ROW()-31,1)),J$3:J$22),"")</f>
        <v>0</v>
      </c>
      <c r="K77">
        <f ca="1">IF(AND(((COLUMN()-10)&lt;=playercnt),((ROW()-41)&lt;=playercnt)),SUMPRODUCT(INDIRECT(ADDRESS(3,ROW()-31,1)):INDIRECT(ADDRESS(22,ROW()-31,1)),K$3:K$22),"")</f>
        <v>9</v>
      </c>
      <c r="L77">
        <f ca="1">IF(AND(((COLUMN()-10)&lt;=playercnt),((ROW()-41)&lt;=playercnt)),SUMPRODUCT(INDIRECT(ADDRESS(3,ROW()-31,1)):INDIRECT(ADDRESS(22,ROW()-31,1)),L$3:L$22),"")</f>
        <v>6</v>
      </c>
      <c r="M77">
        <f ca="1">IF(AND(((COLUMN()-10)&lt;=playercnt),((ROW()-41)&lt;=playercnt)),SUMPRODUCT(INDIRECT(ADDRESS(3,ROW()-31,1)):INDIRECT(ADDRESS(22,ROW()-31,1)),M$3:M$22),"")</f>
        <v>5</v>
      </c>
      <c r="N77">
        <f ca="1">IF(AND(((COLUMN()-10)&lt;=playercnt),((ROW()-41)&lt;=playercnt)),SUMPRODUCT(INDIRECT(ADDRESS(3,ROW()-31,1)):INDIRECT(ADDRESS(22,ROW()-31,1)),N$3:N$22),"")</f>
        <v>8</v>
      </c>
      <c r="O77">
        <f ca="1">IF(AND(((COLUMN()-10)&lt;=playercnt),((ROW()-41)&lt;=playercnt)),SUMPRODUCT(INDIRECT(ADDRESS(3,ROW()-31,1)):INDIRECT(ADDRESS(22,ROW()-31,1)),O$3:O$22),"")</f>
        <v>4</v>
      </c>
      <c r="P77">
        <f ca="1">IF(AND(((COLUMN()-10)&lt;=playercnt),((ROW()-41)&lt;=playercnt)),SUMPRODUCT(INDIRECT(ADDRESS(3,ROW()-31,1)):INDIRECT(ADDRESS(22,ROW()-31,1)),P$3:P$22),"")</f>
        <v>7</v>
      </c>
      <c r="Q77">
        <f ca="1">IF(AND(((COLUMN()-10)&lt;=playercnt),((ROW()-41)&lt;=playercnt)),SUMPRODUCT(INDIRECT(ADDRESS(3,ROW()-31,1)):INDIRECT(ADDRESS(22,ROW()-31,1)),Q$3:Q$22),"")</f>
        <v>6</v>
      </c>
      <c r="R77">
        <f ca="1">IF(AND(((COLUMN()-10)&lt;=playercnt),((ROW()-41)&lt;=playercnt)),SUMPRODUCT(INDIRECT(ADDRESS(3,ROW()-31,1)):INDIRECT(ADDRESS(22,ROW()-31,1)),R$3:R$22),"")</f>
        <v>4</v>
      </c>
      <c r="S77">
        <f ca="1">IF(AND(((COLUMN()-10)&lt;=playercnt),((ROW()-41)&lt;=playercnt)),SUMPRODUCT(INDIRECT(ADDRESS(3,ROW()-31,1)):INDIRECT(ADDRESS(22,ROW()-31,1)),S$3:S$22),"")</f>
        <v>4</v>
      </c>
      <c r="T77">
        <f ca="1">IF(AND(((COLUMN()-10)&lt;=playercnt),((ROW()-41)&lt;=playercnt)),SUMPRODUCT(INDIRECT(ADDRESS(3,ROW()-31,1)):INDIRECT(ADDRESS(22,ROW()-31,1)),T$3:T$22),"")</f>
        <v>5</v>
      </c>
      <c r="U77">
        <f ca="1">IF(AND(((COLUMN()-10)&lt;=playercnt),((ROW()-41)&lt;=playercnt)),SUMPRODUCT(INDIRECT(ADDRESS(3,ROW()-31,1)):INDIRECT(ADDRESS(22,ROW()-31,1)),U$3:U$22),"")</f>
        <v>6</v>
      </c>
      <c r="V77">
        <f ca="1">IF(AND(((COLUMN()-10)&lt;=playercnt),((ROW()-41)&lt;=playercnt)),SUMPRODUCT(INDIRECT(ADDRESS(3,ROW()-31,1)):INDIRECT(ADDRESS(22,ROW()-31,1)),V$3:V$22),"")</f>
        <v>6</v>
      </c>
      <c r="W77">
        <f ca="1">IF(AND(((COLUMN()-10)&lt;=playercnt),((ROW()-41)&lt;=playercnt)),SUMPRODUCT(INDIRECT(ADDRESS(3,ROW()-31,1)):INDIRECT(ADDRESS(22,ROW()-31,1)),W$3:W$22),"")</f>
        <v>4</v>
      </c>
      <c r="X77">
        <f ca="1">IF(AND(((COLUMN()-10)&lt;=playercnt),((ROW()-41)&lt;=playercnt)),SUMPRODUCT(INDIRECT(ADDRESS(3,ROW()-31,1)):INDIRECT(ADDRESS(22,ROW()-31,1)),X$3:X$22),"")</f>
        <v>5</v>
      </c>
      <c r="Y77">
        <f ca="1">IF(AND(((COLUMN()-10)&lt;=playercnt),((ROW()-41)&lt;=playercnt)),SUMPRODUCT(INDIRECT(ADDRESS(3,ROW()-31,1)):INDIRECT(ADDRESS(22,ROW()-31,1)),Y$3:Y$22),"")</f>
        <v>6</v>
      </c>
      <c r="Z77">
        <f ca="1">IF(AND(((COLUMN()-10)&lt;=playercnt),((ROW()-41)&lt;=playercnt)),SUMPRODUCT(INDIRECT(ADDRESS(3,ROW()-31,1)):INDIRECT(ADDRESS(22,ROW()-31,1)),Z$3:Z$22),"")</f>
        <v>7</v>
      </c>
      <c r="AA77">
        <f ca="1">IF(AND(((COLUMN()-10)&lt;=playercnt),((ROW()-41)&lt;=playercnt)),SUMPRODUCT(INDIRECT(ADDRESS(3,ROW()-31,1)):INDIRECT(ADDRESS(22,ROW()-31,1)),AA$3:AA$22),"")</f>
        <v>4</v>
      </c>
      <c r="AB77">
        <f ca="1">IF(AND(((COLUMN()-10)&lt;=playercnt),((ROW()-41)&lt;=playercnt)),SUMPRODUCT(INDIRECT(ADDRESS(3,ROW()-31,1)):INDIRECT(ADDRESS(22,ROW()-31,1)),AB$3:AB$22),"")</f>
        <v>7</v>
      </c>
      <c r="AC77">
        <f ca="1">IF(AND(((COLUMN()-10)&lt;=playercnt),((ROW()-41)&lt;=playercnt)),SUMPRODUCT(INDIRECT(ADDRESS(3,ROW()-31,1)):INDIRECT(ADDRESS(22,ROW()-31,1)),AC$3:AC$22),"")</f>
        <v>4</v>
      </c>
      <c r="AD77">
        <f ca="1">IF(AND(((COLUMN()-10)&lt;=playercnt),((ROW()-41)&lt;=playercnt)),SUMPRODUCT(INDIRECT(ADDRESS(3,ROW()-31,1)):INDIRECT(ADDRESS(22,ROW()-31,1)),AD$3:AD$22),"")</f>
        <v>6</v>
      </c>
      <c r="AE77">
        <f ca="1">IF(AND(((COLUMN()-10)&lt;=playercnt),((ROW()-41)&lt;=playercnt)),SUMPRODUCT(INDIRECT(ADDRESS(3,ROW()-31,1)):INDIRECT(ADDRESS(22,ROW()-31,1)),AE$3:AE$22),"")</f>
        <v>4</v>
      </c>
      <c r="AF77">
        <f ca="1">IF(AND(((COLUMN()-10)&lt;=playercnt),((ROW()-41)&lt;=playercnt)),SUMPRODUCT(INDIRECT(ADDRESS(3,ROW()-31,1)):INDIRECT(ADDRESS(22,ROW()-31,1)),AF$3:AF$22),"")</f>
        <v>5</v>
      </c>
      <c r="AG77">
        <f ca="1">IF(AND(((COLUMN()-10)&lt;=playercnt),((ROW()-41)&lt;=playercnt)),SUMPRODUCT(INDIRECT(ADDRESS(3,ROW()-31,1)):INDIRECT(ADDRESS(22,ROW()-31,1)),AG$3:AG$22),"")</f>
        <v>7</v>
      </c>
      <c r="AH77">
        <f ca="1">IF(AND(((COLUMN()-10)&lt;=playercnt),((ROW()-41)&lt;=playercnt)),SUMPRODUCT(INDIRECT(ADDRESS(3,ROW()-31,1)):INDIRECT(ADDRESS(22,ROW()-31,1)),AH$3:AH$22),"")</f>
        <v>8</v>
      </c>
      <c r="AI77">
        <f ca="1">IF(AND(((COLUMN()-10)&lt;=playercnt),((ROW()-41)&lt;=playercnt)),SUMPRODUCT(INDIRECT(ADDRESS(3,ROW()-31,1)):INDIRECT(ADDRESS(22,ROW()-31,1)),AI$3:AI$22),"")</f>
        <v>6</v>
      </c>
      <c r="AJ77">
        <f ca="1">IF(AND(((COLUMN()-10)&lt;=playercnt),((ROW()-41)&lt;=playercnt)),SUMPRODUCT(INDIRECT(ADDRESS(3,ROW()-31,1)):INDIRECT(ADDRESS(22,ROW()-31,1)),AJ$3:AJ$22),"")</f>
        <v>8</v>
      </c>
      <c r="AK77">
        <f ca="1">IF(AND(((COLUMN()-10)&lt;=playercnt),((ROW()-41)&lt;=playercnt)),SUMPRODUCT(INDIRECT(ADDRESS(3,ROW()-31,1)):INDIRECT(ADDRESS(22,ROW()-31,1)),AK$3:AK$22),"")</f>
        <v>0</v>
      </c>
      <c r="AL77">
        <f ca="1">IF(AND(((COLUMN()-10)&lt;=playercnt),((ROW()-41)&lt;=playercnt)),SUMPRODUCT(INDIRECT(ADDRESS(3,ROW()-31,1)):INDIRECT(ADDRESS(22,ROW()-31,1)),AL$3:AL$22),"")</f>
        <v>7</v>
      </c>
      <c r="AM77">
        <f ca="1">IF(AND(((COLUMN()-10)&lt;=playercnt),((ROW()-41)&lt;=playercnt)),SUMPRODUCT(INDIRECT(ADDRESS(3,ROW()-31,1)):INDIRECT(ADDRESS(22,ROW()-31,1)),AM$3:AM$22),"")</f>
        <v>6</v>
      </c>
      <c r="AN77">
        <f ca="1">IF(AND(((COLUMN()-10)&lt;=playercnt),((ROW()-41)&lt;=playercnt)),SUMPRODUCT(INDIRECT(ADDRESS(3,ROW()-31,1)):INDIRECT(ADDRESS(22,ROW()-31,1)),AN$3:AN$22),"")</f>
        <v>6</v>
      </c>
      <c r="AO77">
        <f ca="1">IF(AND(((COLUMN()-10)&lt;=playercnt),((ROW()-41)&lt;=playercnt)),SUMPRODUCT(INDIRECT(ADDRESS(3,ROW()-31,1)):INDIRECT(ADDRESS(22,ROW()-31,1)),AO$3:AO$22),"")</f>
        <v>2</v>
      </c>
      <c r="AP77">
        <f ca="1">IF(AND(((COLUMN()-10)&lt;=playercnt),((ROW()-41)&lt;=playercnt)),SUMPRODUCT(INDIRECT(ADDRESS(3,ROW()-31,1)):INDIRECT(ADDRESS(22,ROW()-31,1)),AP$3:AP$22),"")</f>
        <v>0</v>
      </c>
      <c r="AQ77">
        <f ca="1">IF(AND(((COLUMN()-10)&lt;=playercnt),((ROW()-41)&lt;=playercnt)),SUMPRODUCT(INDIRECT(ADDRESS(3,ROW()-31,1)):INDIRECT(ADDRESS(22,ROW()-31,1)),AQ$3:AQ$22),"")</f>
        <v>8</v>
      </c>
      <c r="AR77">
        <f ca="1">IF(AND(((COLUMN()-10)&lt;=playercnt),((ROW()-41)&lt;=playercnt)),SUMPRODUCT(INDIRECT(ADDRESS(3,ROW()-31,1)):INDIRECT(ADDRESS(22,ROW()-31,1)),AR$3:AR$22),"")</f>
        <v>5</v>
      </c>
      <c r="AS77">
        <f ca="1">IF(AND(((COLUMN()-10)&lt;=playercnt),((ROW()-41)&lt;=playercnt)),SUMPRODUCT(INDIRECT(ADDRESS(3,ROW()-31,1)):INDIRECT(ADDRESS(22,ROW()-31,1)),AS$3:AS$22),"")</f>
        <v>4</v>
      </c>
      <c r="AT77">
        <f ca="1">IF(AND(((COLUMN()-10)&lt;=playercnt),((ROW()-41)&lt;=playercnt)),SUMPRODUCT(INDIRECT(ADDRESS(3,ROW()-31,1)):INDIRECT(ADDRESS(22,ROW()-31,1)),AT$3:AT$22),"")</f>
        <v>10</v>
      </c>
      <c r="AU77">
        <f ca="1">IF(AND(((COLUMN()-10)&lt;=playercnt),((ROW()-41)&lt;=playercnt)),SUMPRODUCT(INDIRECT(ADDRESS(3,ROW()-31,1)):INDIRECT(ADDRESS(22,ROW()-31,1)),AU$3:AU$22),"")</f>
        <v>8</v>
      </c>
      <c r="AV77">
        <f ca="1">IF(AND(((COLUMN()-10)&lt;=playercnt),((ROW()-41)&lt;=playercnt)),SUMPRODUCT(INDIRECT(ADDRESS(3,ROW()-31,1)):INDIRECT(ADDRESS(22,ROW()-31,1)),AV$3:AV$22),"")</f>
        <v>6</v>
      </c>
      <c r="AW77">
        <f ca="1">IF(AND(((COLUMN()-10)&lt;=playercnt),((ROW()-41)&lt;=playercnt)),SUMPRODUCT(INDIRECT(ADDRESS(3,ROW()-31,1)):INDIRECT(ADDRESS(22,ROW()-31,1)),AW$3:AW$22),"")</f>
        <v>4</v>
      </c>
      <c r="AX77">
        <f ca="1">IF(AND(((COLUMN()-10)&lt;=playercnt),((ROW()-41)&lt;=playercnt)),SUMPRODUCT(INDIRECT(ADDRESS(3,ROW()-31,1)):INDIRECT(ADDRESS(22,ROW()-31,1)),AX$3:AX$22),"")</f>
        <v>7</v>
      </c>
      <c r="AY77">
        <f ca="1">IF(AND(((COLUMN()-10)&lt;=playercnt),((ROW()-41)&lt;=playercnt)),SUMPRODUCT(INDIRECT(ADDRESS(3,ROW()-31,1)):INDIRECT(ADDRESS(22,ROW()-31,1)),AY$3:AY$22),"")</f>
        <v>8</v>
      </c>
      <c r="AZ77">
        <f ca="1">IF(AND(((COLUMN()-10)&lt;=playercnt),((ROW()-41)&lt;=playercnt)),SUMPRODUCT(INDIRECT(ADDRESS(3,ROW()-31,1)):INDIRECT(ADDRESS(22,ROW()-31,1)),AZ$3:AZ$22),"")</f>
        <v>5</v>
      </c>
      <c r="BA77">
        <f ca="1">IF(AND(((COLUMN()-10)&lt;=playercnt),((ROW()-41)&lt;=playercnt)),SUMPRODUCT(INDIRECT(ADDRESS(3,ROW()-31,1)):INDIRECT(ADDRESS(22,ROW()-31,1)),BA$3:BA$22),"")</f>
        <v>5</v>
      </c>
      <c r="BB77">
        <f ca="1">IF(AND(((COLUMN()-10)&lt;=playercnt),((ROW()-41)&lt;=playercnt)),SUMPRODUCT(INDIRECT(ADDRESS(3,ROW()-31,1)):INDIRECT(ADDRESS(22,ROW()-31,1)),BB$3:BB$22),"")</f>
        <v>7</v>
      </c>
      <c r="BC77">
        <f ca="1">IF(AND(((COLUMN()-10)&lt;=playercnt),((ROW()-41)&lt;=playercnt)),SUMPRODUCT(INDIRECT(ADDRESS(3,ROW()-31,1)):INDIRECT(ADDRESS(22,ROW()-31,1)),BC$3:BC$22),"")</f>
        <v>7</v>
      </c>
      <c r="BD77">
        <f ca="1">IF(AND(((COLUMN()-10)&lt;=playercnt),((ROW()-41)&lt;=playercnt)),SUMPRODUCT(INDIRECT(ADDRESS(3,ROW()-31,1)):INDIRECT(ADDRESS(22,ROW()-31,1)),BD$3:BD$22),"")</f>
        <v>3</v>
      </c>
      <c r="BE77">
        <f ca="1">IF(AND(((COLUMN()-10)&lt;=playercnt),((ROW()-41)&lt;=playercnt)),SUMPRODUCT(INDIRECT(ADDRESS(3,ROW()-31,1)):INDIRECT(ADDRESS(22,ROW()-31,1)),BE$3:BE$22),"")</f>
        <v>6</v>
      </c>
      <c r="BF77">
        <f ca="1">IF(AND(((COLUMN()-10)&lt;=playercnt),((ROW()-41)&lt;=playercnt)),SUMPRODUCT(INDIRECT(ADDRESS(3,ROW()-31,1)):INDIRECT(ADDRESS(22,ROW()-31,1)),BF$3:BF$22),"")</f>
        <v>6</v>
      </c>
      <c r="BG77">
        <f ca="1">IF(AND(((COLUMN()-10)&lt;=playercnt),((ROW()-41)&lt;=playercnt)),SUMPRODUCT(INDIRECT(ADDRESS(3,ROW()-31,1)):INDIRECT(ADDRESS(22,ROW()-31,1)),BG$3:BG$22),"")</f>
        <v>4</v>
      </c>
      <c r="BH77">
        <f ca="1">IF(AND(((COLUMN()-10)&lt;=playercnt),((ROW()-41)&lt;=playercnt)),SUMPRODUCT(INDIRECT(ADDRESS(3,ROW()-31,1)):INDIRECT(ADDRESS(22,ROW()-31,1)),BH$3:BH$22),"")</f>
        <v>6</v>
      </c>
      <c r="BI77">
        <f ca="1">IF(AND(((COLUMN()-10)&lt;=playercnt),((ROW()-41)&lt;=playercnt)),SUMPRODUCT(INDIRECT(ADDRESS(3,ROW()-31,1)):INDIRECT(ADDRESS(22,ROW()-31,1)),BI$3:BI$22),"")</f>
        <v>6</v>
      </c>
      <c r="BJ77">
        <f ca="1">IF(AND(((COLUMN()-10)&lt;=playercnt),((ROW()-41)&lt;=playercnt)),SUMPRODUCT(INDIRECT(ADDRESS(3,ROW()-31,1)):INDIRECT(ADDRESS(22,ROW()-31,1)),BJ$3:BJ$22),"")</f>
        <v>4</v>
      </c>
      <c r="BK77">
        <f ca="1">IF(AND(((COLUMN()-10)&lt;=playercnt),((ROW()-41)&lt;=playercnt)),SUMPRODUCT(INDIRECT(ADDRESS(3,ROW()-31,1)):INDIRECT(ADDRESS(22,ROW()-31,1)),BK$3:BK$22),"")</f>
        <v>6</v>
      </c>
      <c r="BL77">
        <f ca="1">IF(AND(((COLUMN()-10)&lt;=playercnt),((ROW()-41)&lt;=playercnt)),SUMPRODUCT(INDIRECT(ADDRESS(3,ROW()-31,1)):INDIRECT(ADDRESS(22,ROW()-31,1)),BL$3:BL$22),"")</f>
        <v>5</v>
      </c>
      <c r="BM77">
        <f ca="1">IF(AND(((COLUMN()-10)&lt;=playercnt),((ROW()-41)&lt;=playercnt)),SUMPRODUCT(INDIRECT(ADDRESS(3,ROW()-31,1)):INDIRECT(ADDRESS(22,ROW()-31,1)),BM$3:BM$22),"")</f>
        <v>6</v>
      </c>
      <c r="BN77">
        <f ca="1">IF(AND(((COLUMN()-10)&lt;=playercnt),((ROW()-41)&lt;=playercnt)),SUMPRODUCT(INDIRECT(ADDRESS(3,ROW()-31,1)):INDIRECT(ADDRESS(22,ROW()-31,1)),BN$3:BN$22),"")</f>
        <v>7</v>
      </c>
    </row>
    <row r="78" spans="2:66" x14ac:dyDescent="0.2">
      <c r="B78" s="27">
        <f t="shared" ca="1" si="23"/>
        <v>6.3207547169811322</v>
      </c>
      <c r="C78" t="str">
        <f t="shared" ca="1" si="24"/>
        <v>Paul, Wilmaison</v>
      </c>
      <c r="G78">
        <f ca="1">IF(AND(((COLUMN()-10)&lt;=playercnt),((ROW()-41)&lt;=playercnt)),SUMPRODUCT(INDIRECT(ADDRESS(3,ROW()-31,1)):INDIRECT(ADDRESS(22,ROW()-31,1)),G$3:G$22),"")</f>
        <v>2</v>
      </c>
      <c r="H78">
        <f ca="1">IF(AND(((COLUMN()-10)&lt;=playercnt),((ROW()-41)&lt;=playercnt)),SUMPRODUCT(INDIRECT(ADDRESS(3,ROW()-31,1)):INDIRECT(ADDRESS(22,ROW()-31,1)),H$3:H$22),"")</f>
        <v>7</v>
      </c>
      <c r="I78">
        <f ca="1">IF(AND(((COLUMN()-10)&lt;=playercnt),((ROW()-41)&lt;=playercnt)),SUMPRODUCT(INDIRECT(ADDRESS(3,ROW()-31,1)):INDIRECT(ADDRESS(22,ROW()-31,1)),I$3:I$22),"")</f>
        <v>7.5</v>
      </c>
      <c r="J78">
        <f ca="1">IF(AND(((COLUMN()-10)&lt;=playercnt),((ROW()-41)&lt;=playercnt)),SUMPRODUCT(INDIRECT(ADDRESS(3,ROW()-31,1)):INDIRECT(ADDRESS(22,ROW()-31,1)),J$3:J$22),"")</f>
        <v>0</v>
      </c>
      <c r="K78">
        <f ca="1">IF(AND(((COLUMN()-10)&lt;=playercnt),((ROW()-41)&lt;=playercnt)),SUMPRODUCT(INDIRECT(ADDRESS(3,ROW()-31,1)):INDIRECT(ADDRESS(22,ROW()-31,1)),K$3:K$22),"")</f>
        <v>7</v>
      </c>
      <c r="L78">
        <f ca="1">IF(AND(((COLUMN()-10)&lt;=playercnt),((ROW()-41)&lt;=playercnt)),SUMPRODUCT(INDIRECT(ADDRESS(3,ROW()-31,1)):INDIRECT(ADDRESS(22,ROW()-31,1)),L$3:L$22),"")</f>
        <v>6</v>
      </c>
      <c r="M78">
        <f ca="1">IF(AND(((COLUMN()-10)&lt;=playercnt),((ROW()-41)&lt;=playercnt)),SUMPRODUCT(INDIRECT(ADDRESS(3,ROW()-31,1)):INDIRECT(ADDRESS(22,ROW()-31,1)),M$3:M$22),"")</f>
        <v>7</v>
      </c>
      <c r="N78">
        <f ca="1">IF(AND(((COLUMN()-10)&lt;=playercnt),((ROW()-41)&lt;=playercnt)),SUMPRODUCT(INDIRECT(ADDRESS(3,ROW()-31,1)):INDIRECT(ADDRESS(22,ROW()-31,1)),N$3:N$22),"")</f>
        <v>6</v>
      </c>
      <c r="O78">
        <f ca="1">IF(AND(((COLUMN()-10)&lt;=playercnt),((ROW()-41)&lt;=playercnt)),SUMPRODUCT(INDIRECT(ADDRESS(3,ROW()-31,1)):INDIRECT(ADDRESS(22,ROW()-31,1)),O$3:O$22),"")</f>
        <v>6</v>
      </c>
      <c r="P78">
        <f ca="1">IF(AND(((COLUMN()-10)&lt;=playercnt),((ROW()-41)&lt;=playercnt)),SUMPRODUCT(INDIRECT(ADDRESS(3,ROW()-31,1)):INDIRECT(ADDRESS(22,ROW()-31,1)),P$3:P$22),"")</f>
        <v>7</v>
      </c>
      <c r="Q78">
        <f ca="1">IF(AND(((COLUMN()-10)&lt;=playercnt),((ROW()-41)&lt;=playercnt)),SUMPRODUCT(INDIRECT(ADDRESS(3,ROW()-31,1)):INDIRECT(ADDRESS(22,ROW()-31,1)),Q$3:Q$22),"")</f>
        <v>8</v>
      </c>
      <c r="R78">
        <f ca="1">IF(AND(((COLUMN()-10)&lt;=playercnt),((ROW()-41)&lt;=playercnt)),SUMPRODUCT(INDIRECT(ADDRESS(3,ROW()-31,1)):INDIRECT(ADDRESS(22,ROW()-31,1)),R$3:R$22),"")</f>
        <v>2</v>
      </c>
      <c r="S78">
        <f ca="1">IF(AND(((COLUMN()-10)&lt;=playercnt),((ROW()-41)&lt;=playercnt)),SUMPRODUCT(INDIRECT(ADDRESS(3,ROW()-31,1)):INDIRECT(ADDRESS(22,ROW()-31,1)),S$3:S$22),"")</f>
        <v>6</v>
      </c>
      <c r="T78">
        <f ca="1">IF(AND(((COLUMN()-10)&lt;=playercnt),((ROW()-41)&lt;=playercnt)),SUMPRODUCT(INDIRECT(ADDRESS(3,ROW()-31,1)):INDIRECT(ADDRESS(22,ROW()-31,1)),T$3:T$22),"")</f>
        <v>7</v>
      </c>
      <c r="U78">
        <f ca="1">IF(AND(((COLUMN()-10)&lt;=playercnt),((ROW()-41)&lt;=playercnt)),SUMPRODUCT(INDIRECT(ADDRESS(3,ROW()-31,1)):INDIRECT(ADDRESS(22,ROW()-31,1)),U$3:U$22),"")</f>
        <v>6</v>
      </c>
      <c r="V78">
        <f ca="1">IF(AND(((COLUMN()-10)&lt;=playercnt),((ROW()-41)&lt;=playercnt)),SUMPRODUCT(INDIRECT(ADDRESS(3,ROW()-31,1)):INDIRECT(ADDRESS(22,ROW()-31,1)),V$3:V$22),"")</f>
        <v>8</v>
      </c>
      <c r="W78">
        <f ca="1">IF(AND(((COLUMN()-10)&lt;=playercnt),((ROW()-41)&lt;=playercnt)),SUMPRODUCT(INDIRECT(ADDRESS(3,ROW()-31,1)):INDIRECT(ADDRESS(22,ROW()-31,1)),W$3:W$22),"")</f>
        <v>6</v>
      </c>
      <c r="X78">
        <f ca="1">IF(AND(((COLUMN()-10)&lt;=playercnt),((ROW()-41)&lt;=playercnt)),SUMPRODUCT(INDIRECT(ADDRESS(3,ROW()-31,1)):INDIRECT(ADDRESS(22,ROW()-31,1)),X$3:X$22),"")</f>
        <v>7</v>
      </c>
      <c r="Y78">
        <f ca="1">IF(AND(((COLUMN()-10)&lt;=playercnt),((ROW()-41)&lt;=playercnt)),SUMPRODUCT(INDIRECT(ADDRESS(3,ROW()-31,1)):INDIRECT(ADDRESS(22,ROW()-31,1)),Y$3:Y$22),"")</f>
        <v>6</v>
      </c>
      <c r="Z78">
        <f ca="1">IF(AND(((COLUMN()-10)&lt;=playercnt),((ROW()-41)&lt;=playercnt)),SUMPRODUCT(INDIRECT(ADDRESS(3,ROW()-31,1)):INDIRECT(ADDRESS(22,ROW()-31,1)),Z$3:Z$22),"")</f>
        <v>9</v>
      </c>
      <c r="AA78">
        <f ca="1">IF(AND(((COLUMN()-10)&lt;=playercnt),((ROW()-41)&lt;=playercnt)),SUMPRODUCT(INDIRECT(ADDRESS(3,ROW()-31,1)):INDIRECT(ADDRESS(22,ROW()-31,1)),AA$3:AA$22),"")</f>
        <v>6</v>
      </c>
      <c r="AB78">
        <f ca="1">IF(AND(((COLUMN()-10)&lt;=playercnt),((ROW()-41)&lt;=playercnt)),SUMPRODUCT(INDIRECT(ADDRESS(3,ROW()-31,1)):INDIRECT(ADDRESS(22,ROW()-31,1)),AB$3:AB$22),"")</f>
        <v>7</v>
      </c>
      <c r="AC78">
        <f ca="1">IF(AND(((COLUMN()-10)&lt;=playercnt),((ROW()-41)&lt;=playercnt)),SUMPRODUCT(INDIRECT(ADDRESS(3,ROW()-31,1)):INDIRECT(ADDRESS(22,ROW()-31,1)),AC$3:AC$22),"")</f>
        <v>4</v>
      </c>
      <c r="AD78">
        <f ca="1">IF(AND(((COLUMN()-10)&lt;=playercnt),((ROW()-41)&lt;=playercnt)),SUMPRODUCT(INDIRECT(ADDRESS(3,ROW()-31,1)):INDIRECT(ADDRESS(22,ROW()-31,1)),AD$3:AD$22),"")</f>
        <v>6</v>
      </c>
      <c r="AE78">
        <f ca="1">IF(AND(((COLUMN()-10)&lt;=playercnt),((ROW()-41)&lt;=playercnt)),SUMPRODUCT(INDIRECT(ADDRESS(3,ROW()-31,1)):INDIRECT(ADDRESS(22,ROW()-31,1)),AE$3:AE$22),"")</f>
        <v>4</v>
      </c>
      <c r="AF78">
        <f ca="1">IF(AND(((COLUMN()-10)&lt;=playercnt),((ROW()-41)&lt;=playercnt)),SUMPRODUCT(INDIRECT(ADDRESS(3,ROW()-31,1)):INDIRECT(ADDRESS(22,ROW()-31,1)),AF$3:AF$22),"")</f>
        <v>7</v>
      </c>
      <c r="AG78">
        <f ca="1">IF(AND(((COLUMN()-10)&lt;=playercnt),((ROW()-41)&lt;=playercnt)),SUMPRODUCT(INDIRECT(ADDRESS(3,ROW()-31,1)):INDIRECT(ADDRESS(22,ROW()-31,1)),AG$3:AG$22),"")</f>
        <v>7</v>
      </c>
      <c r="AH78">
        <f ca="1">IF(AND(((COLUMN()-10)&lt;=playercnt),((ROW()-41)&lt;=playercnt)),SUMPRODUCT(INDIRECT(ADDRESS(3,ROW()-31,1)):INDIRECT(ADDRESS(22,ROW()-31,1)),AH$3:AH$22),"")</f>
        <v>6</v>
      </c>
      <c r="AI78">
        <f ca="1">IF(AND(((COLUMN()-10)&lt;=playercnt),((ROW()-41)&lt;=playercnt)),SUMPRODUCT(INDIRECT(ADDRESS(3,ROW()-31,1)):INDIRECT(ADDRESS(22,ROW()-31,1)),AI$3:AI$22),"")</f>
        <v>8</v>
      </c>
      <c r="AJ78">
        <f ca="1">IF(AND(((COLUMN()-10)&lt;=playercnt),((ROW()-41)&lt;=playercnt)),SUMPRODUCT(INDIRECT(ADDRESS(3,ROW()-31,1)):INDIRECT(ADDRESS(22,ROW()-31,1)),AJ$3:AJ$22),"")</f>
        <v>8</v>
      </c>
      <c r="AK78">
        <f ca="1">IF(AND(((COLUMN()-10)&lt;=playercnt),((ROW()-41)&lt;=playercnt)),SUMPRODUCT(INDIRECT(ADDRESS(3,ROW()-31,1)):INDIRECT(ADDRESS(22,ROW()-31,1)),AK$3:AK$22),"")</f>
        <v>0</v>
      </c>
      <c r="AL78">
        <f ca="1">IF(AND(((COLUMN()-10)&lt;=playercnt),((ROW()-41)&lt;=playercnt)),SUMPRODUCT(INDIRECT(ADDRESS(3,ROW()-31,1)):INDIRECT(ADDRESS(22,ROW()-31,1)),AL$3:AL$22),"")</f>
        <v>7</v>
      </c>
      <c r="AM78">
        <f ca="1">IF(AND(((COLUMN()-10)&lt;=playercnt),((ROW()-41)&lt;=playercnt)),SUMPRODUCT(INDIRECT(ADDRESS(3,ROW()-31,1)):INDIRECT(ADDRESS(22,ROW()-31,1)),AM$3:AM$22),"")</f>
        <v>6</v>
      </c>
      <c r="AN78">
        <f ca="1">IF(AND(((COLUMN()-10)&lt;=playercnt),((ROW()-41)&lt;=playercnt)),SUMPRODUCT(INDIRECT(ADDRESS(3,ROW()-31,1)):INDIRECT(ADDRESS(22,ROW()-31,1)),AN$3:AN$22),"")</f>
        <v>6</v>
      </c>
      <c r="AO78">
        <f ca="1">IF(AND(((COLUMN()-10)&lt;=playercnt),((ROW()-41)&lt;=playercnt)),SUMPRODUCT(INDIRECT(ADDRESS(3,ROW()-31,1)):INDIRECT(ADDRESS(22,ROW()-31,1)),AO$3:AO$22),"")</f>
        <v>4</v>
      </c>
      <c r="AP78">
        <f ca="1">IF(AND(((COLUMN()-10)&lt;=playercnt),((ROW()-41)&lt;=playercnt)),SUMPRODUCT(INDIRECT(ADDRESS(3,ROW()-31,1)):INDIRECT(ADDRESS(22,ROW()-31,1)),AP$3:AP$22),"")</f>
        <v>0</v>
      </c>
      <c r="AQ78">
        <f ca="1">IF(AND(((COLUMN()-10)&lt;=playercnt),((ROW()-41)&lt;=playercnt)),SUMPRODUCT(INDIRECT(ADDRESS(3,ROW()-31,1)):INDIRECT(ADDRESS(22,ROW()-31,1)),AQ$3:AQ$22),"")</f>
        <v>8</v>
      </c>
      <c r="AR78">
        <f ca="1">IF(AND(((COLUMN()-10)&lt;=playercnt),((ROW()-41)&lt;=playercnt)),SUMPRODUCT(INDIRECT(ADDRESS(3,ROW()-31,1)):INDIRECT(ADDRESS(22,ROW()-31,1)),AR$3:AR$22),"")</f>
        <v>5</v>
      </c>
      <c r="AS78">
        <f ca="1">IF(AND(((COLUMN()-10)&lt;=playercnt),((ROW()-41)&lt;=playercnt)),SUMPRODUCT(INDIRECT(ADDRESS(3,ROW()-31,1)):INDIRECT(ADDRESS(22,ROW()-31,1)),AS$3:AS$22),"")</f>
        <v>6</v>
      </c>
      <c r="AT78">
        <f ca="1">IF(AND(((COLUMN()-10)&lt;=playercnt),((ROW()-41)&lt;=playercnt)),SUMPRODUCT(INDIRECT(ADDRESS(3,ROW()-31,1)):INDIRECT(ADDRESS(22,ROW()-31,1)),AT$3:AT$22),"")</f>
        <v>8</v>
      </c>
      <c r="AU78">
        <f ca="1">IF(AND(((COLUMN()-10)&lt;=playercnt),((ROW()-41)&lt;=playercnt)),SUMPRODUCT(INDIRECT(ADDRESS(3,ROW()-31,1)):INDIRECT(ADDRESS(22,ROW()-31,1)),AU$3:AU$22),"")</f>
        <v>10</v>
      </c>
      <c r="AV78">
        <f ca="1">IF(AND(((COLUMN()-10)&lt;=playercnt),((ROW()-41)&lt;=playercnt)),SUMPRODUCT(INDIRECT(ADDRESS(3,ROW()-31,1)):INDIRECT(ADDRESS(22,ROW()-31,1)),AV$3:AV$22),"")</f>
        <v>6</v>
      </c>
      <c r="AW78">
        <f ca="1">IF(AND(((COLUMN()-10)&lt;=playercnt),((ROW()-41)&lt;=playercnt)),SUMPRODUCT(INDIRECT(ADDRESS(3,ROW()-31,1)):INDIRECT(ADDRESS(22,ROW()-31,1)),AW$3:AW$22),"")</f>
        <v>6</v>
      </c>
      <c r="AX78">
        <f ca="1">IF(AND(((COLUMN()-10)&lt;=playercnt),((ROW()-41)&lt;=playercnt)),SUMPRODUCT(INDIRECT(ADDRESS(3,ROW()-31,1)):INDIRECT(ADDRESS(22,ROW()-31,1)),AX$3:AX$22),"")</f>
        <v>7</v>
      </c>
      <c r="AY78">
        <f ca="1">IF(AND(((COLUMN()-10)&lt;=playercnt),((ROW()-41)&lt;=playercnt)),SUMPRODUCT(INDIRECT(ADDRESS(3,ROW()-31,1)):INDIRECT(ADDRESS(22,ROW()-31,1)),AY$3:AY$22),"")</f>
        <v>6</v>
      </c>
      <c r="AZ78">
        <f ca="1">IF(AND(((COLUMN()-10)&lt;=playercnt),((ROW()-41)&lt;=playercnt)),SUMPRODUCT(INDIRECT(ADDRESS(3,ROW()-31,1)):INDIRECT(ADDRESS(22,ROW()-31,1)),AZ$3:AZ$22),"")</f>
        <v>7</v>
      </c>
      <c r="BA78">
        <f ca="1">IF(AND(((COLUMN()-10)&lt;=playercnt),((ROW()-41)&lt;=playercnt)),SUMPRODUCT(INDIRECT(ADDRESS(3,ROW()-31,1)):INDIRECT(ADDRESS(22,ROW()-31,1)),BA$3:BA$22),"")</f>
        <v>7</v>
      </c>
      <c r="BB78">
        <f ca="1">IF(AND(((COLUMN()-10)&lt;=playercnt),((ROW()-41)&lt;=playercnt)),SUMPRODUCT(INDIRECT(ADDRESS(3,ROW()-31,1)):INDIRECT(ADDRESS(22,ROW()-31,1)),BB$3:BB$22),"")</f>
        <v>7</v>
      </c>
      <c r="BC78">
        <f ca="1">IF(AND(((COLUMN()-10)&lt;=playercnt),((ROW()-41)&lt;=playercnt)),SUMPRODUCT(INDIRECT(ADDRESS(3,ROW()-31,1)):INDIRECT(ADDRESS(22,ROW()-31,1)),BC$3:BC$22),"")</f>
        <v>7</v>
      </c>
      <c r="BD78">
        <f ca="1">IF(AND(((COLUMN()-10)&lt;=playercnt),((ROW()-41)&lt;=playercnt)),SUMPRODUCT(INDIRECT(ADDRESS(3,ROW()-31,1)):INDIRECT(ADDRESS(22,ROW()-31,1)),BD$3:BD$22),"")</f>
        <v>5</v>
      </c>
      <c r="BE78">
        <f ca="1">IF(AND(((COLUMN()-10)&lt;=playercnt),((ROW()-41)&lt;=playercnt)),SUMPRODUCT(INDIRECT(ADDRESS(3,ROW()-31,1)):INDIRECT(ADDRESS(22,ROW()-31,1)),BE$3:BE$22),"")</f>
        <v>8</v>
      </c>
      <c r="BF78">
        <f ca="1">IF(AND(((COLUMN()-10)&lt;=playercnt),((ROW()-41)&lt;=playercnt)),SUMPRODUCT(INDIRECT(ADDRESS(3,ROW()-31,1)):INDIRECT(ADDRESS(22,ROW()-31,1)),BF$3:BF$22),"")</f>
        <v>6</v>
      </c>
      <c r="BG78">
        <f ca="1">IF(AND(((COLUMN()-10)&lt;=playercnt),((ROW()-41)&lt;=playercnt)),SUMPRODUCT(INDIRECT(ADDRESS(3,ROW()-31,1)):INDIRECT(ADDRESS(22,ROW()-31,1)),BG$3:BG$22),"")</f>
        <v>6</v>
      </c>
      <c r="BH78">
        <f ca="1">IF(AND(((COLUMN()-10)&lt;=playercnt),((ROW()-41)&lt;=playercnt)),SUMPRODUCT(INDIRECT(ADDRESS(3,ROW()-31,1)):INDIRECT(ADDRESS(22,ROW()-31,1)),BH$3:BH$22),"")</f>
        <v>6</v>
      </c>
      <c r="BI78">
        <f ca="1">IF(AND(((COLUMN()-10)&lt;=playercnt),((ROW()-41)&lt;=playercnt)),SUMPRODUCT(INDIRECT(ADDRESS(3,ROW()-31,1)):INDIRECT(ADDRESS(22,ROW()-31,1)),BI$3:BI$22),"")</f>
        <v>6</v>
      </c>
      <c r="BJ78">
        <f ca="1">IF(AND(((COLUMN()-10)&lt;=playercnt),((ROW()-41)&lt;=playercnt)),SUMPRODUCT(INDIRECT(ADDRESS(3,ROW()-31,1)):INDIRECT(ADDRESS(22,ROW()-31,1)),BJ$3:BJ$22),"")</f>
        <v>6</v>
      </c>
      <c r="BK78">
        <f ca="1">IF(AND(((COLUMN()-10)&lt;=playercnt),((ROW()-41)&lt;=playercnt)),SUMPRODUCT(INDIRECT(ADDRESS(3,ROW()-31,1)):INDIRECT(ADDRESS(22,ROW()-31,1)),BK$3:BK$22),"")</f>
        <v>6</v>
      </c>
      <c r="BL78">
        <f ca="1">IF(AND(((COLUMN()-10)&lt;=playercnt),((ROW()-41)&lt;=playercnt)),SUMPRODUCT(INDIRECT(ADDRESS(3,ROW()-31,1)):INDIRECT(ADDRESS(22,ROW()-31,1)),BL$3:BL$22),"")</f>
        <v>5</v>
      </c>
      <c r="BM78">
        <f ca="1">IF(AND(((COLUMN()-10)&lt;=playercnt),((ROW()-41)&lt;=playercnt)),SUMPRODUCT(INDIRECT(ADDRESS(3,ROW()-31,1)):INDIRECT(ADDRESS(22,ROW()-31,1)),BM$3:BM$22),"")</f>
        <v>6</v>
      </c>
      <c r="BN78">
        <f ca="1">IF(AND(((COLUMN()-10)&lt;=playercnt),((ROW()-41)&lt;=playercnt)),SUMPRODUCT(INDIRECT(ADDRESS(3,ROW()-31,1)):INDIRECT(ADDRESS(22,ROW()-31,1)),BN$3:BN$22),"")</f>
        <v>5</v>
      </c>
    </row>
    <row r="79" spans="2:66" x14ac:dyDescent="0.2">
      <c r="B79" s="27">
        <f t="shared" ca="1" si="23"/>
        <v>6.5471698113207548</v>
      </c>
      <c r="C79" t="str">
        <f t="shared" ca="1" si="24"/>
        <v>Penrose, Tim Remote</v>
      </c>
      <c r="G79">
        <f ca="1">IF(AND(((COLUMN()-10)&lt;=playercnt),((ROW()-41)&lt;=playercnt)),SUMPRODUCT(INDIRECT(ADDRESS(3,ROW()-31,1)):INDIRECT(ADDRESS(22,ROW()-31,1)),G$3:G$22),"")</f>
        <v>4</v>
      </c>
      <c r="H79">
        <f ca="1">IF(AND(((COLUMN()-10)&lt;=playercnt),((ROW()-41)&lt;=playercnt)),SUMPRODUCT(INDIRECT(ADDRESS(3,ROW()-31,1)):INDIRECT(ADDRESS(22,ROW()-31,1)),H$3:H$22),"")</f>
        <v>9</v>
      </c>
      <c r="I79">
        <f ca="1">IF(AND(((COLUMN()-10)&lt;=playercnt),((ROW()-41)&lt;=playercnt)),SUMPRODUCT(INDIRECT(ADDRESS(3,ROW()-31,1)):INDIRECT(ADDRESS(22,ROW()-31,1)),I$3:I$22),"")</f>
        <v>8.5</v>
      </c>
      <c r="J79">
        <f ca="1">IF(AND(((COLUMN()-10)&lt;=playercnt),((ROW()-41)&lt;=playercnt)),SUMPRODUCT(INDIRECT(ADDRESS(3,ROW()-31,1)):INDIRECT(ADDRESS(22,ROW()-31,1)),J$3:J$22),"")</f>
        <v>0</v>
      </c>
      <c r="K79">
        <f ca="1">IF(AND(((COLUMN()-10)&lt;=playercnt),((ROW()-41)&lt;=playercnt)),SUMPRODUCT(INDIRECT(ADDRESS(3,ROW()-31,1)):INDIRECT(ADDRESS(22,ROW()-31,1)),K$3:K$22),"")</f>
        <v>7</v>
      </c>
      <c r="L79">
        <f ca="1">IF(AND(((COLUMN()-10)&lt;=playercnt),((ROW()-41)&lt;=playercnt)),SUMPRODUCT(INDIRECT(ADDRESS(3,ROW()-31,1)):INDIRECT(ADDRESS(22,ROW()-31,1)),L$3:L$22),"")</f>
        <v>10</v>
      </c>
      <c r="M79">
        <f ca="1">IF(AND(((COLUMN()-10)&lt;=playercnt),((ROW()-41)&lt;=playercnt)),SUMPRODUCT(INDIRECT(ADDRESS(3,ROW()-31,1)):INDIRECT(ADDRESS(22,ROW()-31,1)),M$3:M$22),"")</f>
        <v>5</v>
      </c>
      <c r="N79">
        <f ca="1">IF(AND(((COLUMN()-10)&lt;=playercnt),((ROW()-41)&lt;=playercnt)),SUMPRODUCT(INDIRECT(ADDRESS(3,ROW()-31,1)):INDIRECT(ADDRESS(22,ROW()-31,1)),N$3:N$22),"")</f>
        <v>8</v>
      </c>
      <c r="O79">
        <f ca="1">IF(AND(((COLUMN()-10)&lt;=playercnt),((ROW()-41)&lt;=playercnt)),SUMPRODUCT(INDIRECT(ADDRESS(3,ROW()-31,1)):INDIRECT(ADDRESS(22,ROW()-31,1)),O$3:O$22),"")</f>
        <v>6</v>
      </c>
      <c r="P79">
        <f ca="1">IF(AND(((COLUMN()-10)&lt;=playercnt),((ROW()-41)&lt;=playercnt)),SUMPRODUCT(INDIRECT(ADDRESS(3,ROW()-31,1)):INDIRECT(ADDRESS(22,ROW()-31,1)),P$3:P$22),"")</f>
        <v>5</v>
      </c>
      <c r="Q79">
        <f ca="1">IF(AND(((COLUMN()-10)&lt;=playercnt),((ROW()-41)&lt;=playercnt)),SUMPRODUCT(INDIRECT(ADDRESS(3,ROW()-31,1)):INDIRECT(ADDRESS(22,ROW()-31,1)),Q$3:Q$22),"")</f>
        <v>6</v>
      </c>
      <c r="R79">
        <f ca="1">IF(AND(((COLUMN()-10)&lt;=playercnt),((ROW()-41)&lt;=playercnt)),SUMPRODUCT(INDIRECT(ADDRESS(3,ROW()-31,1)):INDIRECT(ADDRESS(22,ROW()-31,1)),R$3:R$22),"")</f>
        <v>6</v>
      </c>
      <c r="S79">
        <f ca="1">IF(AND(((COLUMN()-10)&lt;=playercnt),((ROW()-41)&lt;=playercnt)),SUMPRODUCT(INDIRECT(ADDRESS(3,ROW()-31,1)):INDIRECT(ADDRESS(22,ROW()-31,1)),S$3:S$22),"")</f>
        <v>8</v>
      </c>
      <c r="T79">
        <f ca="1">IF(AND(((COLUMN()-10)&lt;=playercnt),((ROW()-41)&lt;=playercnt)),SUMPRODUCT(INDIRECT(ADDRESS(3,ROW()-31,1)):INDIRECT(ADDRESS(22,ROW()-31,1)),T$3:T$22),"")</f>
        <v>5</v>
      </c>
      <c r="U79">
        <f ca="1">IF(AND(((COLUMN()-10)&lt;=playercnt),((ROW()-41)&lt;=playercnt)),SUMPRODUCT(INDIRECT(ADDRESS(3,ROW()-31,1)):INDIRECT(ADDRESS(22,ROW()-31,1)),U$3:U$22),"")</f>
        <v>10</v>
      </c>
      <c r="V79">
        <f ca="1">IF(AND(((COLUMN()-10)&lt;=playercnt),((ROW()-41)&lt;=playercnt)),SUMPRODUCT(INDIRECT(ADDRESS(3,ROW()-31,1)):INDIRECT(ADDRESS(22,ROW()-31,1)),V$3:V$22),"")</f>
        <v>4</v>
      </c>
      <c r="W79">
        <f ca="1">IF(AND(((COLUMN()-10)&lt;=playercnt),((ROW()-41)&lt;=playercnt)),SUMPRODUCT(INDIRECT(ADDRESS(3,ROW()-31,1)):INDIRECT(ADDRESS(22,ROW()-31,1)),W$3:W$22),"")</f>
        <v>6</v>
      </c>
      <c r="X79">
        <f ca="1">IF(AND(((COLUMN()-10)&lt;=playercnt),((ROW()-41)&lt;=playercnt)),SUMPRODUCT(INDIRECT(ADDRESS(3,ROW()-31,1)):INDIRECT(ADDRESS(22,ROW()-31,1)),X$3:X$22),"")</f>
        <v>5</v>
      </c>
      <c r="Y79">
        <f ca="1">IF(AND(((COLUMN()-10)&lt;=playercnt),((ROW()-41)&lt;=playercnt)),SUMPRODUCT(INDIRECT(ADDRESS(3,ROW()-31,1)):INDIRECT(ADDRESS(22,ROW()-31,1)),Y$3:Y$22),"")</f>
        <v>8</v>
      </c>
      <c r="Z79">
        <f ca="1">IF(AND(((COLUMN()-10)&lt;=playercnt),((ROW()-41)&lt;=playercnt)),SUMPRODUCT(INDIRECT(ADDRESS(3,ROW()-31,1)):INDIRECT(ADDRESS(22,ROW()-31,1)),Z$3:Z$22),"")</f>
        <v>5</v>
      </c>
      <c r="AA79">
        <f ca="1">IF(AND(((COLUMN()-10)&lt;=playercnt),((ROW()-41)&lt;=playercnt)),SUMPRODUCT(INDIRECT(ADDRESS(3,ROW()-31,1)):INDIRECT(ADDRESS(22,ROW()-31,1)),AA$3:AA$22),"")</f>
        <v>4</v>
      </c>
      <c r="AB79">
        <f ca="1">IF(AND(((COLUMN()-10)&lt;=playercnt),((ROW()-41)&lt;=playercnt)),SUMPRODUCT(INDIRECT(ADDRESS(3,ROW()-31,1)):INDIRECT(ADDRESS(22,ROW()-31,1)),AB$3:AB$22),"")</f>
        <v>5</v>
      </c>
      <c r="AC79">
        <f ca="1">IF(AND(((COLUMN()-10)&lt;=playercnt),((ROW()-41)&lt;=playercnt)),SUMPRODUCT(INDIRECT(ADDRESS(3,ROW()-31,1)):INDIRECT(ADDRESS(22,ROW()-31,1)),AC$3:AC$22),"")</f>
        <v>8</v>
      </c>
      <c r="AD79">
        <f ca="1">IF(AND(((COLUMN()-10)&lt;=playercnt),((ROW()-41)&lt;=playercnt)),SUMPRODUCT(INDIRECT(ADDRESS(3,ROW()-31,1)):INDIRECT(ADDRESS(22,ROW()-31,1)),AD$3:AD$22),"")</f>
        <v>6</v>
      </c>
      <c r="AE79">
        <f ca="1">IF(AND(((COLUMN()-10)&lt;=playercnt),((ROW()-41)&lt;=playercnt)),SUMPRODUCT(INDIRECT(ADDRESS(3,ROW()-31,1)):INDIRECT(ADDRESS(22,ROW()-31,1)),AE$3:AE$22),"")</f>
        <v>8</v>
      </c>
      <c r="AF79">
        <f ca="1">IF(AND(((COLUMN()-10)&lt;=playercnt),((ROW()-41)&lt;=playercnt)),SUMPRODUCT(INDIRECT(ADDRESS(3,ROW()-31,1)):INDIRECT(ADDRESS(22,ROW()-31,1)),AF$3:AF$22),"")</f>
        <v>5</v>
      </c>
      <c r="AG79">
        <f ca="1">IF(AND(((COLUMN()-10)&lt;=playercnt),((ROW()-41)&lt;=playercnt)),SUMPRODUCT(INDIRECT(ADDRESS(3,ROW()-31,1)):INDIRECT(ADDRESS(22,ROW()-31,1)),AG$3:AG$22),"")</f>
        <v>7</v>
      </c>
      <c r="AH79">
        <f ca="1">IF(AND(((COLUMN()-10)&lt;=playercnt),((ROW()-41)&lt;=playercnt)),SUMPRODUCT(INDIRECT(ADDRESS(3,ROW()-31,1)):INDIRECT(ADDRESS(22,ROW()-31,1)),AH$3:AH$22),"")</f>
        <v>8</v>
      </c>
      <c r="AI79">
        <f ca="1">IF(AND(((COLUMN()-10)&lt;=playercnt),((ROW()-41)&lt;=playercnt)),SUMPRODUCT(INDIRECT(ADDRESS(3,ROW()-31,1)):INDIRECT(ADDRESS(22,ROW()-31,1)),AI$3:AI$22),"")</f>
        <v>4</v>
      </c>
      <c r="AJ79">
        <f ca="1">IF(AND(((COLUMN()-10)&lt;=playercnt),((ROW()-41)&lt;=playercnt)),SUMPRODUCT(INDIRECT(ADDRESS(3,ROW()-31,1)):INDIRECT(ADDRESS(22,ROW()-31,1)),AJ$3:AJ$22),"")</f>
        <v>6</v>
      </c>
      <c r="AK79">
        <f ca="1">IF(AND(((COLUMN()-10)&lt;=playercnt),((ROW()-41)&lt;=playercnt)),SUMPRODUCT(INDIRECT(ADDRESS(3,ROW()-31,1)):INDIRECT(ADDRESS(22,ROW()-31,1)),AK$3:AK$22),"")</f>
        <v>0</v>
      </c>
      <c r="AL79">
        <f ca="1">IF(AND(((COLUMN()-10)&lt;=playercnt),((ROW()-41)&lt;=playercnt)),SUMPRODUCT(INDIRECT(ADDRESS(3,ROW()-31,1)):INDIRECT(ADDRESS(22,ROW()-31,1)),AL$3:AL$22),"")</f>
        <v>7</v>
      </c>
      <c r="AM79">
        <f ca="1">IF(AND(((COLUMN()-10)&lt;=playercnt),((ROW()-41)&lt;=playercnt)),SUMPRODUCT(INDIRECT(ADDRESS(3,ROW()-31,1)):INDIRECT(ADDRESS(22,ROW()-31,1)),AM$3:AM$22),"")</f>
        <v>8</v>
      </c>
      <c r="AN79">
        <f ca="1">IF(AND(((COLUMN()-10)&lt;=playercnt),((ROW()-41)&lt;=playercnt)),SUMPRODUCT(INDIRECT(ADDRESS(3,ROW()-31,1)):INDIRECT(ADDRESS(22,ROW()-31,1)),AN$3:AN$22),"")</f>
        <v>10</v>
      </c>
      <c r="AO79">
        <f ca="1">IF(AND(((COLUMN()-10)&lt;=playercnt),((ROW()-41)&lt;=playercnt)),SUMPRODUCT(INDIRECT(ADDRESS(3,ROW()-31,1)):INDIRECT(ADDRESS(22,ROW()-31,1)),AO$3:AO$22),"")</f>
        <v>4</v>
      </c>
      <c r="AP79">
        <f ca="1">IF(AND(((COLUMN()-10)&lt;=playercnt),((ROW()-41)&lt;=playercnt)),SUMPRODUCT(INDIRECT(ADDRESS(3,ROW()-31,1)):INDIRECT(ADDRESS(22,ROW()-31,1)),AP$3:AP$22),"")</f>
        <v>0</v>
      </c>
      <c r="AQ79">
        <f ca="1">IF(AND(((COLUMN()-10)&lt;=playercnt),((ROW()-41)&lt;=playercnt)),SUMPRODUCT(INDIRECT(ADDRESS(3,ROW()-31,1)):INDIRECT(ADDRESS(22,ROW()-31,1)),AQ$3:AQ$22),"")</f>
        <v>6</v>
      </c>
      <c r="AR79">
        <f ca="1">IF(AND(((COLUMN()-10)&lt;=playercnt),((ROW()-41)&lt;=playercnt)),SUMPRODUCT(INDIRECT(ADDRESS(3,ROW()-31,1)):INDIRECT(ADDRESS(22,ROW()-31,1)),AR$3:AR$22),"")</f>
        <v>5</v>
      </c>
      <c r="AS79">
        <f ca="1">IF(AND(((COLUMN()-10)&lt;=playercnt),((ROW()-41)&lt;=playercnt)),SUMPRODUCT(INDIRECT(ADDRESS(3,ROW()-31,1)):INDIRECT(ADDRESS(22,ROW()-31,1)),AS$3:AS$22),"")</f>
        <v>8</v>
      </c>
      <c r="AT79">
        <f ca="1">IF(AND(((COLUMN()-10)&lt;=playercnt),((ROW()-41)&lt;=playercnt)),SUMPRODUCT(INDIRECT(ADDRESS(3,ROW()-31,1)):INDIRECT(ADDRESS(22,ROW()-31,1)),AT$3:AT$22),"")</f>
        <v>6</v>
      </c>
      <c r="AU79">
        <f ca="1">IF(AND(((COLUMN()-10)&lt;=playercnt),((ROW()-41)&lt;=playercnt)),SUMPRODUCT(INDIRECT(ADDRESS(3,ROW()-31,1)):INDIRECT(ADDRESS(22,ROW()-31,1)),AU$3:AU$22),"")</f>
        <v>6</v>
      </c>
      <c r="AV79">
        <f ca="1">IF(AND(((COLUMN()-10)&lt;=playercnt),((ROW()-41)&lt;=playercnt)),SUMPRODUCT(INDIRECT(ADDRESS(3,ROW()-31,1)):INDIRECT(ADDRESS(22,ROW()-31,1)),AV$3:AV$22),"")</f>
        <v>10</v>
      </c>
      <c r="AW79">
        <f ca="1">IF(AND(((COLUMN()-10)&lt;=playercnt),((ROW()-41)&lt;=playercnt)),SUMPRODUCT(INDIRECT(ADDRESS(3,ROW()-31,1)):INDIRECT(ADDRESS(22,ROW()-31,1)),AW$3:AW$22),"")</f>
        <v>8</v>
      </c>
      <c r="AX79">
        <f ca="1">IF(AND(((COLUMN()-10)&lt;=playercnt),((ROW()-41)&lt;=playercnt)),SUMPRODUCT(INDIRECT(ADDRESS(3,ROW()-31,1)):INDIRECT(ADDRESS(22,ROW()-31,1)),AX$3:AX$22),"")</f>
        <v>7</v>
      </c>
      <c r="AY79">
        <f ca="1">IF(AND(((COLUMN()-10)&lt;=playercnt),((ROW()-41)&lt;=playercnt)),SUMPRODUCT(INDIRECT(ADDRESS(3,ROW()-31,1)):INDIRECT(ADDRESS(22,ROW()-31,1)),AY$3:AY$22),"")</f>
        <v>6</v>
      </c>
      <c r="AZ79">
        <f ca="1">IF(AND(((COLUMN()-10)&lt;=playercnt),((ROW()-41)&lt;=playercnt)),SUMPRODUCT(INDIRECT(ADDRESS(3,ROW()-31,1)):INDIRECT(ADDRESS(22,ROW()-31,1)),AZ$3:AZ$22),"")</f>
        <v>7</v>
      </c>
      <c r="BA79">
        <f ca="1">IF(AND(((COLUMN()-10)&lt;=playercnt),((ROW()-41)&lt;=playercnt)),SUMPRODUCT(INDIRECT(ADDRESS(3,ROW()-31,1)):INDIRECT(ADDRESS(22,ROW()-31,1)),BA$3:BA$22),"")</f>
        <v>7</v>
      </c>
      <c r="BB79">
        <f ca="1">IF(AND(((COLUMN()-10)&lt;=playercnt),((ROW()-41)&lt;=playercnt)),SUMPRODUCT(INDIRECT(ADDRESS(3,ROW()-31,1)):INDIRECT(ADDRESS(22,ROW()-31,1)),BB$3:BB$22),"")</f>
        <v>9</v>
      </c>
      <c r="BC79">
        <f ca="1">IF(AND(((COLUMN()-10)&lt;=playercnt),((ROW()-41)&lt;=playercnt)),SUMPRODUCT(INDIRECT(ADDRESS(3,ROW()-31,1)):INDIRECT(ADDRESS(22,ROW()-31,1)),BC$3:BC$22),"")</f>
        <v>7</v>
      </c>
      <c r="BD79">
        <f ca="1">IF(AND(((COLUMN()-10)&lt;=playercnt),((ROW()-41)&lt;=playercnt)),SUMPRODUCT(INDIRECT(ADDRESS(3,ROW()-31,1)):INDIRECT(ADDRESS(22,ROW()-31,1)),BD$3:BD$22),"")</f>
        <v>3</v>
      </c>
      <c r="BE79">
        <f ca="1">IF(AND(((COLUMN()-10)&lt;=playercnt),((ROW()-41)&lt;=playercnt)),SUMPRODUCT(INDIRECT(ADDRESS(3,ROW()-31,1)):INDIRECT(ADDRESS(22,ROW()-31,1)),BE$3:BE$22),"")</f>
        <v>6</v>
      </c>
      <c r="BF79">
        <f ca="1">IF(AND(((COLUMN()-10)&lt;=playercnt),((ROW()-41)&lt;=playercnt)),SUMPRODUCT(INDIRECT(ADDRESS(3,ROW()-31,1)):INDIRECT(ADDRESS(22,ROW()-31,1)),BF$3:BF$22),"")</f>
        <v>6</v>
      </c>
      <c r="BG79">
        <f ca="1">IF(AND(((COLUMN()-10)&lt;=playercnt),((ROW()-41)&lt;=playercnt)),SUMPRODUCT(INDIRECT(ADDRESS(3,ROW()-31,1)):INDIRECT(ADDRESS(22,ROW()-31,1)),BG$3:BG$22),"")</f>
        <v>6</v>
      </c>
      <c r="BH79">
        <f ca="1">IF(AND(((COLUMN()-10)&lt;=playercnt),((ROW()-41)&lt;=playercnt)),SUMPRODUCT(INDIRECT(ADDRESS(3,ROW()-31,1)):INDIRECT(ADDRESS(22,ROW()-31,1)),BH$3:BH$22),"")</f>
        <v>6</v>
      </c>
      <c r="BI79">
        <f ca="1">IF(AND(((COLUMN()-10)&lt;=playercnt),((ROW()-41)&lt;=playercnt)),SUMPRODUCT(INDIRECT(ADDRESS(3,ROW()-31,1)):INDIRECT(ADDRESS(22,ROW()-31,1)),BI$3:BI$22),"")</f>
        <v>10</v>
      </c>
      <c r="BJ79">
        <f ca="1">IF(AND(((COLUMN()-10)&lt;=playercnt),((ROW()-41)&lt;=playercnt)),SUMPRODUCT(INDIRECT(ADDRESS(3,ROW()-31,1)):INDIRECT(ADDRESS(22,ROW()-31,1)),BJ$3:BJ$22),"")</f>
        <v>6</v>
      </c>
      <c r="BK79">
        <f ca="1">IF(AND(((COLUMN()-10)&lt;=playercnt),((ROW()-41)&lt;=playercnt)),SUMPRODUCT(INDIRECT(ADDRESS(3,ROW()-31,1)):INDIRECT(ADDRESS(22,ROW()-31,1)),BK$3:BK$22),"")</f>
        <v>6</v>
      </c>
      <c r="BL79">
        <f ca="1">IF(AND(((COLUMN()-10)&lt;=playercnt),((ROW()-41)&lt;=playercnt)),SUMPRODUCT(INDIRECT(ADDRESS(3,ROW()-31,1)):INDIRECT(ADDRESS(22,ROW()-31,1)),BL$3:BL$22),"")</f>
        <v>7</v>
      </c>
      <c r="BM79">
        <f ca="1">IF(AND(((COLUMN()-10)&lt;=playercnt),((ROW()-41)&lt;=playercnt)),SUMPRODUCT(INDIRECT(ADDRESS(3,ROW()-31,1)):INDIRECT(ADDRESS(22,ROW()-31,1)),BM$3:BM$22),"")</f>
        <v>8</v>
      </c>
      <c r="BN79">
        <f ca="1">IF(AND(((COLUMN()-10)&lt;=playercnt),((ROW()-41)&lt;=playercnt)),SUMPRODUCT(INDIRECT(ADDRESS(3,ROW()-31,1)):INDIRECT(ADDRESS(22,ROW()-31,1)),BN$3:BN$22),"")</f>
        <v>7</v>
      </c>
    </row>
    <row r="80" spans="2:66" x14ac:dyDescent="0.2">
      <c r="B80" s="27">
        <f t="shared" ca="1" si="23"/>
        <v>6.2452830188679247</v>
      </c>
      <c r="C80" t="str">
        <f t="shared" ca="1" si="24"/>
        <v>Powell, LaMar</v>
      </c>
      <c r="G80">
        <f ca="1">IF(AND(((COLUMN()-10)&lt;=playercnt),((ROW()-41)&lt;=playercnt)),SUMPRODUCT(INDIRECT(ADDRESS(3,ROW()-31,1)):INDIRECT(ADDRESS(22,ROW()-31,1)),G$3:G$22),"")</f>
        <v>4</v>
      </c>
      <c r="H80">
        <f ca="1">IF(AND(((COLUMN()-10)&lt;=playercnt),((ROW()-41)&lt;=playercnt)),SUMPRODUCT(INDIRECT(ADDRESS(3,ROW()-31,1)):INDIRECT(ADDRESS(22,ROW()-31,1)),H$3:H$22),"")</f>
        <v>7</v>
      </c>
      <c r="I80">
        <f ca="1">IF(AND(((COLUMN()-10)&lt;=playercnt),((ROW()-41)&lt;=playercnt)),SUMPRODUCT(INDIRECT(ADDRESS(3,ROW()-31,1)):INDIRECT(ADDRESS(22,ROW()-31,1)),I$3:I$22),"")</f>
        <v>7.5</v>
      </c>
      <c r="J80">
        <f ca="1">IF(AND(((COLUMN()-10)&lt;=playercnt),((ROW()-41)&lt;=playercnt)),SUMPRODUCT(INDIRECT(ADDRESS(3,ROW()-31,1)):INDIRECT(ADDRESS(22,ROW()-31,1)),J$3:J$22),"")</f>
        <v>0</v>
      </c>
      <c r="K80">
        <f ca="1">IF(AND(((COLUMN()-10)&lt;=playercnt),((ROW()-41)&lt;=playercnt)),SUMPRODUCT(INDIRECT(ADDRESS(3,ROW()-31,1)):INDIRECT(ADDRESS(22,ROW()-31,1)),K$3:K$22),"")</f>
        <v>5</v>
      </c>
      <c r="L80">
        <f ca="1">IF(AND(((COLUMN()-10)&lt;=playercnt),((ROW()-41)&lt;=playercnt)),SUMPRODUCT(INDIRECT(ADDRESS(3,ROW()-31,1)):INDIRECT(ADDRESS(22,ROW()-31,1)),L$3:L$22),"")</f>
        <v>8</v>
      </c>
      <c r="M80">
        <f ca="1">IF(AND(((COLUMN()-10)&lt;=playercnt),((ROW()-41)&lt;=playercnt)),SUMPRODUCT(INDIRECT(ADDRESS(3,ROW()-31,1)):INDIRECT(ADDRESS(22,ROW()-31,1)),M$3:M$22),"")</f>
        <v>7</v>
      </c>
      <c r="N80">
        <f ca="1">IF(AND(((COLUMN()-10)&lt;=playercnt),((ROW()-41)&lt;=playercnt)),SUMPRODUCT(INDIRECT(ADDRESS(3,ROW()-31,1)):INDIRECT(ADDRESS(22,ROW()-31,1)),N$3:N$22),"")</f>
        <v>6</v>
      </c>
      <c r="O80">
        <f ca="1">IF(AND(((COLUMN()-10)&lt;=playercnt),((ROW()-41)&lt;=playercnt)),SUMPRODUCT(INDIRECT(ADDRESS(3,ROW()-31,1)):INDIRECT(ADDRESS(22,ROW()-31,1)),O$3:O$22),"")</f>
        <v>8</v>
      </c>
      <c r="P80">
        <f ca="1">IF(AND(((COLUMN()-10)&lt;=playercnt),((ROW()-41)&lt;=playercnt)),SUMPRODUCT(INDIRECT(ADDRESS(3,ROW()-31,1)):INDIRECT(ADDRESS(22,ROW()-31,1)),P$3:P$22),"")</f>
        <v>5</v>
      </c>
      <c r="Q80">
        <f ca="1">IF(AND(((COLUMN()-10)&lt;=playercnt),((ROW()-41)&lt;=playercnt)),SUMPRODUCT(INDIRECT(ADDRESS(3,ROW()-31,1)):INDIRECT(ADDRESS(22,ROW()-31,1)),Q$3:Q$22),"")</f>
        <v>8</v>
      </c>
      <c r="R80">
        <f ca="1">IF(AND(((COLUMN()-10)&lt;=playercnt),((ROW()-41)&lt;=playercnt)),SUMPRODUCT(INDIRECT(ADDRESS(3,ROW()-31,1)):INDIRECT(ADDRESS(22,ROW()-31,1)),R$3:R$22),"")</f>
        <v>6</v>
      </c>
      <c r="S80">
        <f ca="1">IF(AND(((COLUMN()-10)&lt;=playercnt),((ROW()-41)&lt;=playercnt)),SUMPRODUCT(INDIRECT(ADDRESS(3,ROW()-31,1)):INDIRECT(ADDRESS(22,ROW()-31,1)),S$3:S$22),"")</f>
        <v>8</v>
      </c>
      <c r="T80">
        <f ca="1">IF(AND(((COLUMN()-10)&lt;=playercnt),((ROW()-41)&lt;=playercnt)),SUMPRODUCT(INDIRECT(ADDRESS(3,ROW()-31,1)):INDIRECT(ADDRESS(22,ROW()-31,1)),T$3:T$22),"")</f>
        <v>7</v>
      </c>
      <c r="U80">
        <f ca="1">IF(AND(((COLUMN()-10)&lt;=playercnt),((ROW()-41)&lt;=playercnt)),SUMPRODUCT(INDIRECT(ADDRESS(3,ROW()-31,1)):INDIRECT(ADDRESS(22,ROW()-31,1)),U$3:U$22),"")</f>
        <v>8</v>
      </c>
      <c r="V80">
        <f ca="1">IF(AND(((COLUMN()-10)&lt;=playercnt),((ROW()-41)&lt;=playercnt)),SUMPRODUCT(INDIRECT(ADDRESS(3,ROW()-31,1)):INDIRECT(ADDRESS(22,ROW()-31,1)),V$3:V$22),"")</f>
        <v>4</v>
      </c>
      <c r="W80">
        <f ca="1">IF(AND(((COLUMN()-10)&lt;=playercnt),((ROW()-41)&lt;=playercnt)),SUMPRODUCT(INDIRECT(ADDRESS(3,ROW()-31,1)):INDIRECT(ADDRESS(22,ROW()-31,1)),W$3:W$22),"")</f>
        <v>6</v>
      </c>
      <c r="X80">
        <f ca="1">IF(AND(((COLUMN()-10)&lt;=playercnt),((ROW()-41)&lt;=playercnt)),SUMPRODUCT(INDIRECT(ADDRESS(3,ROW()-31,1)):INDIRECT(ADDRESS(22,ROW()-31,1)),X$3:X$22),"")</f>
        <v>7</v>
      </c>
      <c r="Y80">
        <f ca="1">IF(AND(((COLUMN()-10)&lt;=playercnt),((ROW()-41)&lt;=playercnt)),SUMPRODUCT(INDIRECT(ADDRESS(3,ROW()-31,1)):INDIRECT(ADDRESS(22,ROW()-31,1)),Y$3:Y$22),"")</f>
        <v>6</v>
      </c>
      <c r="Z80">
        <f ca="1">IF(AND(((COLUMN()-10)&lt;=playercnt),((ROW()-41)&lt;=playercnt)),SUMPRODUCT(INDIRECT(ADDRESS(3,ROW()-31,1)):INDIRECT(ADDRESS(22,ROW()-31,1)),Z$3:Z$22),"")</f>
        <v>5</v>
      </c>
      <c r="AA80">
        <f ca="1">IF(AND(((COLUMN()-10)&lt;=playercnt),((ROW()-41)&lt;=playercnt)),SUMPRODUCT(INDIRECT(ADDRESS(3,ROW()-31,1)):INDIRECT(ADDRESS(22,ROW()-31,1)),AA$3:AA$22),"")</f>
        <v>6</v>
      </c>
      <c r="AB80">
        <f ca="1">IF(AND(((COLUMN()-10)&lt;=playercnt),((ROW()-41)&lt;=playercnt)),SUMPRODUCT(INDIRECT(ADDRESS(3,ROW()-31,1)):INDIRECT(ADDRESS(22,ROW()-31,1)),AB$3:AB$22),"")</f>
        <v>3</v>
      </c>
      <c r="AC80">
        <f ca="1">IF(AND(((COLUMN()-10)&lt;=playercnt),((ROW()-41)&lt;=playercnt)),SUMPRODUCT(INDIRECT(ADDRESS(3,ROW()-31,1)):INDIRECT(ADDRESS(22,ROW()-31,1)),AC$3:AC$22),"")</f>
        <v>6</v>
      </c>
      <c r="AD80">
        <f ca="1">IF(AND(((COLUMN()-10)&lt;=playercnt),((ROW()-41)&lt;=playercnt)),SUMPRODUCT(INDIRECT(ADDRESS(3,ROW()-31,1)):INDIRECT(ADDRESS(22,ROW()-31,1)),AD$3:AD$22),"")</f>
        <v>6</v>
      </c>
      <c r="AE80">
        <f ca="1">IF(AND(((COLUMN()-10)&lt;=playercnt),((ROW()-41)&lt;=playercnt)),SUMPRODUCT(INDIRECT(ADDRESS(3,ROW()-31,1)):INDIRECT(ADDRESS(22,ROW()-31,1)),AE$3:AE$22),"")</f>
        <v>8</v>
      </c>
      <c r="AF80">
        <f ca="1">IF(AND(((COLUMN()-10)&lt;=playercnt),((ROW()-41)&lt;=playercnt)),SUMPRODUCT(INDIRECT(ADDRESS(3,ROW()-31,1)):INDIRECT(ADDRESS(22,ROW()-31,1)),AF$3:AF$22),"")</f>
        <v>7</v>
      </c>
      <c r="AG80">
        <f ca="1">IF(AND(((COLUMN()-10)&lt;=playercnt),((ROW()-41)&lt;=playercnt)),SUMPRODUCT(INDIRECT(ADDRESS(3,ROW()-31,1)):INDIRECT(ADDRESS(22,ROW()-31,1)),AG$3:AG$22),"")</f>
        <v>5</v>
      </c>
      <c r="AH80">
        <f ca="1">IF(AND(((COLUMN()-10)&lt;=playercnt),((ROW()-41)&lt;=playercnt)),SUMPRODUCT(INDIRECT(ADDRESS(3,ROW()-31,1)):INDIRECT(ADDRESS(22,ROW()-31,1)),AH$3:AH$22),"")</f>
        <v>6</v>
      </c>
      <c r="AI80">
        <f ca="1">IF(AND(((COLUMN()-10)&lt;=playercnt),((ROW()-41)&lt;=playercnt)),SUMPRODUCT(INDIRECT(ADDRESS(3,ROW()-31,1)):INDIRECT(ADDRESS(22,ROW()-31,1)),AI$3:AI$22),"")</f>
        <v>6</v>
      </c>
      <c r="AJ80">
        <f ca="1">IF(AND(((COLUMN()-10)&lt;=playercnt),((ROW()-41)&lt;=playercnt)),SUMPRODUCT(INDIRECT(ADDRESS(3,ROW()-31,1)):INDIRECT(ADDRESS(22,ROW()-31,1)),AJ$3:AJ$22),"")</f>
        <v>4</v>
      </c>
      <c r="AK80">
        <f ca="1">IF(AND(((COLUMN()-10)&lt;=playercnt),((ROW()-41)&lt;=playercnt)),SUMPRODUCT(INDIRECT(ADDRESS(3,ROW()-31,1)):INDIRECT(ADDRESS(22,ROW()-31,1)),AK$3:AK$22),"")</f>
        <v>0</v>
      </c>
      <c r="AL80">
        <f ca="1">IF(AND(((COLUMN()-10)&lt;=playercnt),((ROW()-41)&lt;=playercnt)),SUMPRODUCT(INDIRECT(ADDRESS(3,ROW()-31,1)):INDIRECT(ADDRESS(22,ROW()-31,1)),AL$3:AL$22),"")</f>
        <v>5</v>
      </c>
      <c r="AM80">
        <f ca="1">IF(AND(((COLUMN()-10)&lt;=playercnt),((ROW()-41)&lt;=playercnt)),SUMPRODUCT(INDIRECT(ADDRESS(3,ROW()-31,1)):INDIRECT(ADDRESS(22,ROW()-31,1)),AM$3:AM$22),"")</f>
        <v>6</v>
      </c>
      <c r="AN80">
        <f ca="1">IF(AND(((COLUMN()-10)&lt;=playercnt),((ROW()-41)&lt;=playercnt)),SUMPRODUCT(INDIRECT(ADDRESS(3,ROW()-31,1)):INDIRECT(ADDRESS(22,ROW()-31,1)),AN$3:AN$22),"")</f>
        <v>8</v>
      </c>
      <c r="AO80">
        <f ca="1">IF(AND(((COLUMN()-10)&lt;=playercnt),((ROW()-41)&lt;=playercnt)),SUMPRODUCT(INDIRECT(ADDRESS(3,ROW()-31,1)):INDIRECT(ADDRESS(22,ROW()-31,1)),AO$3:AO$22),"")</f>
        <v>6</v>
      </c>
      <c r="AP80">
        <f ca="1">IF(AND(((COLUMN()-10)&lt;=playercnt),((ROW()-41)&lt;=playercnt)),SUMPRODUCT(INDIRECT(ADDRESS(3,ROW()-31,1)):INDIRECT(ADDRESS(22,ROW()-31,1)),AP$3:AP$22),"")</f>
        <v>0</v>
      </c>
      <c r="AQ80">
        <f ca="1">IF(AND(((COLUMN()-10)&lt;=playercnt),((ROW()-41)&lt;=playercnt)),SUMPRODUCT(INDIRECT(ADDRESS(3,ROW()-31,1)):INDIRECT(ADDRESS(22,ROW()-31,1)),AQ$3:AQ$22),"")</f>
        <v>4</v>
      </c>
      <c r="AR80">
        <f ca="1">IF(AND(((COLUMN()-10)&lt;=playercnt),((ROW()-41)&lt;=playercnt)),SUMPRODUCT(INDIRECT(ADDRESS(3,ROW()-31,1)):INDIRECT(ADDRESS(22,ROW()-31,1)),AR$3:AR$22),"")</f>
        <v>5</v>
      </c>
      <c r="AS80">
        <f ca="1">IF(AND(((COLUMN()-10)&lt;=playercnt),((ROW()-41)&lt;=playercnt)),SUMPRODUCT(INDIRECT(ADDRESS(3,ROW()-31,1)):INDIRECT(ADDRESS(22,ROW()-31,1)),AS$3:AS$22),"")</f>
        <v>10</v>
      </c>
      <c r="AT80">
        <f ca="1">IF(AND(((COLUMN()-10)&lt;=playercnt),((ROW()-41)&lt;=playercnt)),SUMPRODUCT(INDIRECT(ADDRESS(3,ROW()-31,1)):INDIRECT(ADDRESS(22,ROW()-31,1)),AT$3:AT$22),"")</f>
        <v>4</v>
      </c>
      <c r="AU80">
        <f ca="1">IF(AND(((COLUMN()-10)&lt;=playercnt),((ROW()-41)&lt;=playercnt)),SUMPRODUCT(INDIRECT(ADDRESS(3,ROW()-31,1)):INDIRECT(ADDRESS(22,ROW()-31,1)),AU$3:AU$22),"")</f>
        <v>6</v>
      </c>
      <c r="AV80">
        <f ca="1">IF(AND(((COLUMN()-10)&lt;=playercnt),((ROW()-41)&lt;=playercnt)),SUMPRODUCT(INDIRECT(ADDRESS(3,ROW()-31,1)):INDIRECT(ADDRESS(22,ROW()-31,1)),AV$3:AV$22),"")</f>
        <v>8</v>
      </c>
      <c r="AW80">
        <f ca="1">IF(AND(((COLUMN()-10)&lt;=playercnt),((ROW()-41)&lt;=playercnt)),SUMPRODUCT(INDIRECT(ADDRESS(3,ROW()-31,1)):INDIRECT(ADDRESS(22,ROW()-31,1)),AW$3:AW$22),"")</f>
        <v>10</v>
      </c>
      <c r="AX80">
        <f ca="1">IF(AND(((COLUMN()-10)&lt;=playercnt),((ROW()-41)&lt;=playercnt)),SUMPRODUCT(INDIRECT(ADDRESS(3,ROW()-31,1)):INDIRECT(ADDRESS(22,ROW()-31,1)),AX$3:AX$22),"")</f>
        <v>7</v>
      </c>
      <c r="AY80">
        <f ca="1">IF(AND(((COLUMN()-10)&lt;=playercnt),((ROW()-41)&lt;=playercnt)),SUMPRODUCT(INDIRECT(ADDRESS(3,ROW()-31,1)):INDIRECT(ADDRESS(22,ROW()-31,1)),AY$3:AY$22),"")</f>
        <v>4</v>
      </c>
      <c r="AZ80">
        <f ca="1">IF(AND(((COLUMN()-10)&lt;=playercnt),((ROW()-41)&lt;=playercnt)),SUMPRODUCT(INDIRECT(ADDRESS(3,ROW()-31,1)):INDIRECT(ADDRESS(22,ROW()-31,1)),AZ$3:AZ$22),"")</f>
        <v>7</v>
      </c>
      <c r="BA80">
        <f ca="1">IF(AND(((COLUMN()-10)&lt;=playercnt),((ROW()-41)&lt;=playercnt)),SUMPRODUCT(INDIRECT(ADDRESS(3,ROW()-31,1)):INDIRECT(ADDRESS(22,ROW()-31,1)),BA$3:BA$22),"")</f>
        <v>7</v>
      </c>
      <c r="BB80">
        <f ca="1">IF(AND(((COLUMN()-10)&lt;=playercnt),((ROW()-41)&lt;=playercnt)),SUMPRODUCT(INDIRECT(ADDRESS(3,ROW()-31,1)):INDIRECT(ADDRESS(22,ROW()-31,1)),BB$3:BB$22),"")</f>
        <v>7</v>
      </c>
      <c r="BC80">
        <f ca="1">IF(AND(((COLUMN()-10)&lt;=playercnt),((ROW()-41)&lt;=playercnt)),SUMPRODUCT(INDIRECT(ADDRESS(3,ROW()-31,1)):INDIRECT(ADDRESS(22,ROW()-31,1)),BC$3:BC$22),"")</f>
        <v>5</v>
      </c>
      <c r="BD80">
        <f ca="1">IF(AND(((COLUMN()-10)&lt;=playercnt),((ROW()-41)&lt;=playercnt)),SUMPRODUCT(INDIRECT(ADDRESS(3,ROW()-31,1)):INDIRECT(ADDRESS(22,ROW()-31,1)),BD$3:BD$22),"")</f>
        <v>5</v>
      </c>
      <c r="BE80">
        <f ca="1">IF(AND(((COLUMN()-10)&lt;=playercnt),((ROW()-41)&lt;=playercnt)),SUMPRODUCT(INDIRECT(ADDRESS(3,ROW()-31,1)):INDIRECT(ADDRESS(22,ROW()-31,1)),BE$3:BE$22),"")</f>
        <v>8</v>
      </c>
      <c r="BF80">
        <f ca="1">IF(AND(((COLUMN()-10)&lt;=playercnt),((ROW()-41)&lt;=playercnt)),SUMPRODUCT(INDIRECT(ADDRESS(3,ROW()-31,1)):INDIRECT(ADDRESS(22,ROW()-31,1)),BF$3:BF$22),"")</f>
        <v>4</v>
      </c>
      <c r="BG80">
        <f ca="1">IF(AND(((COLUMN()-10)&lt;=playercnt),((ROW()-41)&lt;=playercnt)),SUMPRODUCT(INDIRECT(ADDRESS(3,ROW()-31,1)):INDIRECT(ADDRESS(22,ROW()-31,1)),BG$3:BG$22),"")</f>
        <v>8</v>
      </c>
      <c r="BH80">
        <f ca="1">IF(AND(((COLUMN()-10)&lt;=playercnt),((ROW()-41)&lt;=playercnt)),SUMPRODUCT(INDIRECT(ADDRESS(3,ROW()-31,1)):INDIRECT(ADDRESS(22,ROW()-31,1)),BH$3:BH$22),"")</f>
        <v>4</v>
      </c>
      <c r="BI80">
        <f ca="1">IF(AND(((COLUMN()-10)&lt;=playercnt),((ROW()-41)&lt;=playercnt)),SUMPRODUCT(INDIRECT(ADDRESS(3,ROW()-31,1)):INDIRECT(ADDRESS(22,ROW()-31,1)),BI$3:BI$22),"")</f>
        <v>8</v>
      </c>
      <c r="BJ80">
        <f ca="1">IF(AND(((COLUMN()-10)&lt;=playercnt),((ROW()-41)&lt;=playercnt)),SUMPRODUCT(INDIRECT(ADDRESS(3,ROW()-31,1)):INDIRECT(ADDRESS(22,ROW()-31,1)),BJ$3:BJ$22),"")</f>
        <v>8</v>
      </c>
      <c r="BK80">
        <f ca="1">IF(AND(((COLUMN()-10)&lt;=playercnt),((ROW()-41)&lt;=playercnt)),SUMPRODUCT(INDIRECT(ADDRESS(3,ROW()-31,1)):INDIRECT(ADDRESS(22,ROW()-31,1)),BK$3:BK$22),"")</f>
        <v>6</v>
      </c>
      <c r="BL80">
        <f ca="1">IF(AND(((COLUMN()-10)&lt;=playercnt),((ROW()-41)&lt;=playercnt)),SUMPRODUCT(INDIRECT(ADDRESS(3,ROW()-31,1)):INDIRECT(ADDRESS(22,ROW()-31,1)),BL$3:BL$22),"")</f>
        <v>9</v>
      </c>
      <c r="BM80">
        <f ca="1">IF(AND(((COLUMN()-10)&lt;=playercnt),((ROW()-41)&lt;=playercnt)),SUMPRODUCT(INDIRECT(ADDRESS(3,ROW()-31,1)):INDIRECT(ADDRESS(22,ROW()-31,1)),BM$3:BM$22),"")</f>
        <v>6</v>
      </c>
      <c r="BN80">
        <f ca="1">IF(AND(((COLUMN()-10)&lt;=playercnt),((ROW()-41)&lt;=playercnt)),SUMPRODUCT(INDIRECT(ADDRESS(3,ROW()-31,1)):INDIRECT(ADDRESS(22,ROW()-31,1)),BN$3:BN$22),"")</f>
        <v>5</v>
      </c>
    </row>
    <row r="81" spans="2:66" x14ac:dyDescent="0.2">
      <c r="B81" s="27">
        <f t="shared" ca="1" si="23"/>
        <v>6.132075471698113</v>
      </c>
      <c r="C81" t="str">
        <f t="shared" ca="1" si="24"/>
        <v>Reams, Byron L</v>
      </c>
      <c r="G81">
        <f ca="1">IF(AND(((COLUMN()-10)&lt;=playercnt),((ROW()-41)&lt;=playercnt)),SUMPRODUCT(INDIRECT(ADDRESS(3,ROW()-31,1)):INDIRECT(ADDRESS(22,ROW()-31,1)),G$3:G$22),"")</f>
        <v>3</v>
      </c>
      <c r="H81">
        <f ca="1">IF(AND(((COLUMN()-10)&lt;=playercnt),((ROW()-41)&lt;=playercnt)),SUMPRODUCT(INDIRECT(ADDRESS(3,ROW()-31,1)):INDIRECT(ADDRESS(22,ROW()-31,1)),H$3:H$22),"")</f>
        <v>6</v>
      </c>
      <c r="I81">
        <f ca="1">IF(AND(((COLUMN()-10)&lt;=playercnt),((ROW()-41)&lt;=playercnt)),SUMPRODUCT(INDIRECT(ADDRESS(3,ROW()-31,1)):INDIRECT(ADDRESS(22,ROW()-31,1)),I$3:I$22),"")</f>
        <v>8.5</v>
      </c>
      <c r="J81">
        <f ca="1">IF(AND(((COLUMN()-10)&lt;=playercnt),((ROW()-41)&lt;=playercnt)),SUMPRODUCT(INDIRECT(ADDRESS(3,ROW()-31,1)):INDIRECT(ADDRESS(22,ROW()-31,1)),J$3:J$22),"")</f>
        <v>0</v>
      </c>
      <c r="K81">
        <f ca="1">IF(AND(((COLUMN()-10)&lt;=playercnt),((ROW()-41)&lt;=playercnt)),SUMPRODUCT(INDIRECT(ADDRESS(3,ROW()-31,1)):INDIRECT(ADDRESS(22,ROW()-31,1)),K$3:K$22),"")</f>
        <v>8</v>
      </c>
      <c r="L81">
        <f ca="1">IF(AND(((COLUMN()-10)&lt;=playercnt),((ROW()-41)&lt;=playercnt)),SUMPRODUCT(INDIRECT(ADDRESS(3,ROW()-31,1)):INDIRECT(ADDRESS(22,ROW()-31,1)),L$3:L$22),"")</f>
        <v>7</v>
      </c>
      <c r="M81">
        <f ca="1">IF(AND(((COLUMN()-10)&lt;=playercnt),((ROW()-41)&lt;=playercnt)),SUMPRODUCT(INDIRECT(ADDRESS(3,ROW()-31,1)):INDIRECT(ADDRESS(22,ROW()-31,1)),M$3:M$22),"")</f>
        <v>6</v>
      </c>
      <c r="N81">
        <f ca="1">IF(AND(((COLUMN()-10)&lt;=playercnt),((ROW()-41)&lt;=playercnt)),SUMPRODUCT(INDIRECT(ADDRESS(3,ROW()-31,1)):INDIRECT(ADDRESS(22,ROW()-31,1)),N$3:N$22),"")</f>
        <v>7</v>
      </c>
      <c r="O81">
        <f ca="1">IF(AND(((COLUMN()-10)&lt;=playercnt),((ROW()-41)&lt;=playercnt)),SUMPRODUCT(INDIRECT(ADDRESS(3,ROW()-31,1)):INDIRECT(ADDRESS(22,ROW()-31,1)),O$3:O$22),"")</f>
        <v>5</v>
      </c>
      <c r="P81">
        <f ca="1">IF(AND(((COLUMN()-10)&lt;=playercnt),((ROW()-41)&lt;=playercnt)),SUMPRODUCT(INDIRECT(ADDRESS(3,ROW()-31,1)):INDIRECT(ADDRESS(22,ROW()-31,1)),P$3:P$22),"")</f>
        <v>8</v>
      </c>
      <c r="Q81">
        <f ca="1">IF(AND(((COLUMN()-10)&lt;=playercnt),((ROW()-41)&lt;=playercnt)),SUMPRODUCT(INDIRECT(ADDRESS(3,ROW()-31,1)):INDIRECT(ADDRESS(22,ROW()-31,1)),Q$3:Q$22),"")</f>
        <v>7</v>
      </c>
      <c r="R81">
        <f ca="1">IF(AND(((COLUMN()-10)&lt;=playercnt),((ROW()-41)&lt;=playercnt)),SUMPRODUCT(INDIRECT(ADDRESS(3,ROW()-31,1)):INDIRECT(ADDRESS(22,ROW()-31,1)),R$3:R$22),"")</f>
        <v>5</v>
      </c>
      <c r="S81">
        <f ca="1">IF(AND(((COLUMN()-10)&lt;=playercnt),((ROW()-41)&lt;=playercnt)),SUMPRODUCT(INDIRECT(ADDRESS(3,ROW()-31,1)):INDIRECT(ADDRESS(22,ROW()-31,1)),S$3:S$22),"")</f>
        <v>7</v>
      </c>
      <c r="T81">
        <f ca="1">IF(AND(((COLUMN()-10)&lt;=playercnt),((ROW()-41)&lt;=playercnt)),SUMPRODUCT(INDIRECT(ADDRESS(3,ROW()-31,1)):INDIRECT(ADDRESS(22,ROW()-31,1)),T$3:T$22),"")</f>
        <v>6</v>
      </c>
      <c r="U81">
        <f ca="1">IF(AND(((COLUMN()-10)&lt;=playercnt),((ROW()-41)&lt;=playercnt)),SUMPRODUCT(INDIRECT(ADDRESS(3,ROW()-31,1)):INDIRECT(ADDRESS(22,ROW()-31,1)),U$3:U$22),"")</f>
        <v>7</v>
      </c>
      <c r="V81">
        <f ca="1">IF(AND(((COLUMN()-10)&lt;=playercnt),((ROW()-41)&lt;=playercnt)),SUMPRODUCT(INDIRECT(ADDRESS(3,ROW()-31,1)):INDIRECT(ADDRESS(22,ROW()-31,1)),V$3:V$22),"")</f>
        <v>5</v>
      </c>
      <c r="W81">
        <f ca="1">IF(AND(((COLUMN()-10)&lt;=playercnt),((ROW()-41)&lt;=playercnt)),SUMPRODUCT(INDIRECT(ADDRESS(3,ROW()-31,1)):INDIRECT(ADDRESS(22,ROW()-31,1)),W$3:W$22),"")</f>
        <v>7</v>
      </c>
      <c r="X81">
        <f ca="1">IF(AND(((COLUMN()-10)&lt;=playercnt),((ROW()-41)&lt;=playercnt)),SUMPRODUCT(INDIRECT(ADDRESS(3,ROW()-31,1)):INDIRECT(ADDRESS(22,ROW()-31,1)),X$3:X$22),"")</f>
        <v>6</v>
      </c>
      <c r="Y81">
        <f ca="1">IF(AND(((COLUMN()-10)&lt;=playercnt),((ROW()-41)&lt;=playercnt)),SUMPRODUCT(INDIRECT(ADDRESS(3,ROW()-31,1)):INDIRECT(ADDRESS(22,ROW()-31,1)),Y$3:Y$22),"")</f>
        <v>5</v>
      </c>
      <c r="Z81">
        <f ca="1">IF(AND(((COLUMN()-10)&lt;=playercnt),((ROW()-41)&lt;=playercnt)),SUMPRODUCT(INDIRECT(ADDRESS(3,ROW()-31,1)):INDIRECT(ADDRESS(22,ROW()-31,1)),Z$3:Z$22),"")</f>
        <v>6</v>
      </c>
      <c r="AA81">
        <f ca="1">IF(AND(((COLUMN()-10)&lt;=playercnt),((ROW()-41)&lt;=playercnt)),SUMPRODUCT(INDIRECT(ADDRESS(3,ROW()-31,1)):INDIRECT(ADDRESS(22,ROW()-31,1)),AA$3:AA$22),"")</f>
        <v>5</v>
      </c>
      <c r="AB81">
        <f ca="1">IF(AND(((COLUMN()-10)&lt;=playercnt),((ROW()-41)&lt;=playercnt)),SUMPRODUCT(INDIRECT(ADDRESS(3,ROW()-31,1)):INDIRECT(ADDRESS(22,ROW()-31,1)),AB$3:AB$22),"")</f>
        <v>4</v>
      </c>
      <c r="AC81">
        <f ca="1">IF(AND(((COLUMN()-10)&lt;=playercnt),((ROW()-41)&lt;=playercnt)),SUMPRODUCT(INDIRECT(ADDRESS(3,ROW()-31,1)):INDIRECT(ADDRESS(22,ROW()-31,1)),AC$3:AC$22),"")</f>
        <v>5</v>
      </c>
      <c r="AD81">
        <f ca="1">IF(AND(((COLUMN()-10)&lt;=playercnt),((ROW()-41)&lt;=playercnt)),SUMPRODUCT(INDIRECT(ADDRESS(3,ROW()-31,1)):INDIRECT(ADDRESS(22,ROW()-31,1)),AD$3:AD$22),"")</f>
        <v>3</v>
      </c>
      <c r="AE81">
        <f ca="1">IF(AND(((COLUMN()-10)&lt;=playercnt),((ROW()-41)&lt;=playercnt)),SUMPRODUCT(INDIRECT(ADDRESS(3,ROW()-31,1)):INDIRECT(ADDRESS(22,ROW()-31,1)),AE$3:AE$22),"")</f>
        <v>5</v>
      </c>
      <c r="AF81">
        <f ca="1">IF(AND(((COLUMN()-10)&lt;=playercnt),((ROW()-41)&lt;=playercnt)),SUMPRODUCT(INDIRECT(ADDRESS(3,ROW()-31,1)):INDIRECT(ADDRESS(22,ROW()-31,1)),AF$3:AF$22),"")</f>
        <v>6</v>
      </c>
      <c r="AG81">
        <f ca="1">IF(AND(((COLUMN()-10)&lt;=playercnt),((ROW()-41)&lt;=playercnt)),SUMPRODUCT(INDIRECT(ADDRESS(3,ROW()-31,1)):INDIRECT(ADDRESS(22,ROW()-31,1)),AG$3:AG$22),"")</f>
        <v>6</v>
      </c>
      <c r="AH81">
        <f ca="1">IF(AND(((COLUMN()-10)&lt;=playercnt),((ROW()-41)&lt;=playercnt)),SUMPRODUCT(INDIRECT(ADDRESS(3,ROW()-31,1)):INDIRECT(ADDRESS(22,ROW()-31,1)),AH$3:AH$22),"")</f>
        <v>9</v>
      </c>
      <c r="AI81">
        <f ca="1">IF(AND(((COLUMN()-10)&lt;=playercnt),((ROW()-41)&lt;=playercnt)),SUMPRODUCT(INDIRECT(ADDRESS(3,ROW()-31,1)):INDIRECT(ADDRESS(22,ROW()-31,1)),AI$3:AI$22),"")</f>
        <v>5</v>
      </c>
      <c r="AJ81">
        <f ca="1">IF(AND(((COLUMN()-10)&lt;=playercnt),((ROW()-41)&lt;=playercnt)),SUMPRODUCT(INDIRECT(ADDRESS(3,ROW()-31,1)):INDIRECT(ADDRESS(22,ROW()-31,1)),AJ$3:AJ$22),"")</f>
        <v>5</v>
      </c>
      <c r="AK81">
        <f ca="1">IF(AND(((COLUMN()-10)&lt;=playercnt),((ROW()-41)&lt;=playercnt)),SUMPRODUCT(INDIRECT(ADDRESS(3,ROW()-31,1)):INDIRECT(ADDRESS(22,ROW()-31,1)),AK$3:AK$22),"")</f>
        <v>0</v>
      </c>
      <c r="AL81">
        <f ca="1">IF(AND(((COLUMN()-10)&lt;=playercnt),((ROW()-41)&lt;=playercnt)),SUMPRODUCT(INDIRECT(ADDRESS(3,ROW()-31,1)):INDIRECT(ADDRESS(22,ROW()-31,1)),AL$3:AL$22),"")</f>
        <v>6</v>
      </c>
      <c r="AM81">
        <f ca="1">IF(AND(((COLUMN()-10)&lt;=playercnt),((ROW()-41)&lt;=playercnt)),SUMPRODUCT(INDIRECT(ADDRESS(3,ROW()-31,1)):INDIRECT(ADDRESS(22,ROW()-31,1)),AM$3:AM$22),"")</f>
        <v>7</v>
      </c>
      <c r="AN81">
        <f ca="1">IF(AND(((COLUMN()-10)&lt;=playercnt),((ROW()-41)&lt;=playercnt)),SUMPRODUCT(INDIRECT(ADDRESS(3,ROW()-31,1)):INDIRECT(ADDRESS(22,ROW()-31,1)),AN$3:AN$22),"")</f>
        <v>7</v>
      </c>
      <c r="AO81">
        <f ca="1">IF(AND(((COLUMN()-10)&lt;=playercnt),((ROW()-41)&lt;=playercnt)),SUMPRODUCT(INDIRECT(ADDRESS(3,ROW()-31,1)):INDIRECT(ADDRESS(22,ROW()-31,1)),AO$3:AO$22),"")</f>
        <v>3</v>
      </c>
      <c r="AP81">
        <f ca="1">IF(AND(((COLUMN()-10)&lt;=playercnt),((ROW()-41)&lt;=playercnt)),SUMPRODUCT(INDIRECT(ADDRESS(3,ROW()-31,1)):INDIRECT(ADDRESS(22,ROW()-31,1)),AP$3:AP$22),"")</f>
        <v>0</v>
      </c>
      <c r="AQ81">
        <f ca="1">IF(AND(((COLUMN()-10)&lt;=playercnt),((ROW()-41)&lt;=playercnt)),SUMPRODUCT(INDIRECT(ADDRESS(3,ROW()-31,1)):INDIRECT(ADDRESS(22,ROW()-31,1)),AQ$3:AQ$22),"")</f>
        <v>5</v>
      </c>
      <c r="AR81">
        <f ca="1">IF(AND(((COLUMN()-10)&lt;=playercnt),((ROW()-41)&lt;=playercnt)),SUMPRODUCT(INDIRECT(ADDRESS(3,ROW()-31,1)):INDIRECT(ADDRESS(22,ROW()-31,1)),AR$3:AR$22),"")</f>
        <v>8</v>
      </c>
      <c r="AS81">
        <f ca="1">IF(AND(((COLUMN()-10)&lt;=playercnt),((ROW()-41)&lt;=playercnt)),SUMPRODUCT(INDIRECT(ADDRESS(3,ROW()-31,1)):INDIRECT(ADDRESS(22,ROW()-31,1)),AS$3:AS$22),"")</f>
        <v>7</v>
      </c>
      <c r="AT81">
        <f ca="1">IF(AND(((COLUMN()-10)&lt;=playercnt),((ROW()-41)&lt;=playercnt)),SUMPRODUCT(INDIRECT(ADDRESS(3,ROW()-31,1)):INDIRECT(ADDRESS(22,ROW()-31,1)),AT$3:AT$22),"")</f>
        <v>7</v>
      </c>
      <c r="AU81">
        <f ca="1">IF(AND(((COLUMN()-10)&lt;=playercnt),((ROW()-41)&lt;=playercnt)),SUMPRODUCT(INDIRECT(ADDRESS(3,ROW()-31,1)):INDIRECT(ADDRESS(22,ROW()-31,1)),AU$3:AU$22),"")</f>
        <v>7</v>
      </c>
      <c r="AV81">
        <f ca="1">IF(AND(((COLUMN()-10)&lt;=playercnt),((ROW()-41)&lt;=playercnt)),SUMPRODUCT(INDIRECT(ADDRESS(3,ROW()-31,1)):INDIRECT(ADDRESS(22,ROW()-31,1)),AV$3:AV$22),"")</f>
        <v>7</v>
      </c>
      <c r="AW81">
        <f ca="1">IF(AND(((COLUMN()-10)&lt;=playercnt),((ROW()-41)&lt;=playercnt)),SUMPRODUCT(INDIRECT(ADDRESS(3,ROW()-31,1)):INDIRECT(ADDRESS(22,ROW()-31,1)),AW$3:AW$22),"")</f>
        <v>7</v>
      </c>
      <c r="AX81">
        <f ca="1">IF(AND(((COLUMN()-10)&lt;=playercnt),((ROW()-41)&lt;=playercnt)),SUMPRODUCT(INDIRECT(ADDRESS(3,ROW()-31,1)):INDIRECT(ADDRESS(22,ROW()-31,1)),AX$3:AX$22),"")</f>
        <v>10</v>
      </c>
      <c r="AY81">
        <f ca="1">IF(AND(((COLUMN()-10)&lt;=playercnt),((ROW()-41)&lt;=playercnt)),SUMPRODUCT(INDIRECT(ADDRESS(3,ROW()-31,1)):INDIRECT(ADDRESS(22,ROW()-31,1)),AY$3:AY$22),"")</f>
        <v>7</v>
      </c>
      <c r="AZ81">
        <f ca="1">IF(AND(((COLUMN()-10)&lt;=playercnt),((ROW()-41)&lt;=playercnt)),SUMPRODUCT(INDIRECT(ADDRESS(3,ROW()-31,1)):INDIRECT(ADDRESS(22,ROW()-31,1)),AZ$3:AZ$22),"")</f>
        <v>8</v>
      </c>
      <c r="BA81">
        <f ca="1">IF(AND(((COLUMN()-10)&lt;=playercnt),((ROW()-41)&lt;=playercnt)),SUMPRODUCT(INDIRECT(ADDRESS(3,ROW()-31,1)):INDIRECT(ADDRESS(22,ROW()-31,1)),BA$3:BA$22),"")</f>
        <v>6</v>
      </c>
      <c r="BB81">
        <f ca="1">IF(AND(((COLUMN()-10)&lt;=playercnt),((ROW()-41)&lt;=playercnt)),SUMPRODUCT(INDIRECT(ADDRESS(3,ROW()-31,1)):INDIRECT(ADDRESS(22,ROW()-31,1)),BB$3:BB$22),"")</f>
        <v>6</v>
      </c>
      <c r="BC81">
        <f ca="1">IF(AND(((COLUMN()-10)&lt;=playercnt),((ROW()-41)&lt;=playercnt)),SUMPRODUCT(INDIRECT(ADDRESS(3,ROW()-31,1)):INDIRECT(ADDRESS(22,ROW()-31,1)),BC$3:BC$22),"")</f>
        <v>4</v>
      </c>
      <c r="BD81">
        <f ca="1">IF(AND(((COLUMN()-10)&lt;=playercnt),((ROW()-41)&lt;=playercnt)),SUMPRODUCT(INDIRECT(ADDRESS(3,ROW()-31,1)):INDIRECT(ADDRESS(22,ROW()-31,1)),BD$3:BD$22),"")</f>
        <v>2</v>
      </c>
      <c r="BE81">
        <f ca="1">IF(AND(((COLUMN()-10)&lt;=playercnt),((ROW()-41)&lt;=playercnt)),SUMPRODUCT(INDIRECT(ADDRESS(3,ROW()-31,1)):INDIRECT(ADDRESS(22,ROW()-31,1)),BE$3:BE$22),"")</f>
        <v>7</v>
      </c>
      <c r="BF81">
        <f ca="1">IF(AND(((COLUMN()-10)&lt;=playercnt),((ROW()-41)&lt;=playercnt)),SUMPRODUCT(INDIRECT(ADDRESS(3,ROW()-31,1)):INDIRECT(ADDRESS(22,ROW()-31,1)),BF$3:BF$22),"")</f>
        <v>5</v>
      </c>
      <c r="BG81">
        <f ca="1">IF(AND(((COLUMN()-10)&lt;=playercnt),((ROW()-41)&lt;=playercnt)),SUMPRODUCT(INDIRECT(ADDRESS(3,ROW()-31,1)):INDIRECT(ADDRESS(22,ROW()-31,1)),BG$3:BG$22),"")</f>
        <v>7</v>
      </c>
      <c r="BH81">
        <f ca="1">IF(AND(((COLUMN()-10)&lt;=playercnt),((ROW()-41)&lt;=playercnt)),SUMPRODUCT(INDIRECT(ADDRESS(3,ROW()-31,1)):INDIRECT(ADDRESS(22,ROW()-31,1)),BH$3:BH$22),"")</f>
        <v>5</v>
      </c>
      <c r="BI81">
        <f ca="1">IF(AND(((COLUMN()-10)&lt;=playercnt),((ROW()-41)&lt;=playercnt)),SUMPRODUCT(INDIRECT(ADDRESS(3,ROW()-31,1)):INDIRECT(ADDRESS(22,ROW()-31,1)),BI$3:BI$22),"")</f>
        <v>7</v>
      </c>
      <c r="BJ81">
        <f ca="1">IF(AND(((COLUMN()-10)&lt;=playercnt),((ROW()-41)&lt;=playercnt)),SUMPRODUCT(INDIRECT(ADDRESS(3,ROW()-31,1)):INDIRECT(ADDRESS(22,ROW()-31,1)),BJ$3:BJ$22),"")</f>
        <v>7</v>
      </c>
      <c r="BK81">
        <f ca="1">IF(AND(((COLUMN()-10)&lt;=playercnt),((ROW()-41)&lt;=playercnt)),SUMPRODUCT(INDIRECT(ADDRESS(3,ROW()-31,1)):INDIRECT(ADDRESS(22,ROW()-31,1)),BK$3:BK$22),"")</f>
        <v>7</v>
      </c>
      <c r="BL81">
        <f ca="1">IF(AND(((COLUMN()-10)&lt;=playercnt),((ROW()-41)&lt;=playercnt)),SUMPRODUCT(INDIRECT(ADDRESS(3,ROW()-31,1)):INDIRECT(ADDRESS(22,ROW()-31,1)),BL$3:BL$22),"")</f>
        <v>8</v>
      </c>
      <c r="BM81">
        <f ca="1">IF(AND(((COLUMN()-10)&lt;=playercnt),((ROW()-41)&lt;=playercnt)),SUMPRODUCT(INDIRECT(ADDRESS(3,ROW()-31,1)):INDIRECT(ADDRESS(22,ROW()-31,1)),BM$3:BM$22),"")</f>
        <v>7</v>
      </c>
      <c r="BN81">
        <f ca="1">IF(AND(((COLUMN()-10)&lt;=playercnt),((ROW()-41)&lt;=playercnt)),SUMPRODUCT(INDIRECT(ADDRESS(3,ROW()-31,1)):INDIRECT(ADDRESS(22,ROW()-31,1)),BN$3:BN$22),"")</f>
        <v>6</v>
      </c>
    </row>
    <row r="82" spans="2:66" x14ac:dyDescent="0.2">
      <c r="B82" s="27">
        <f t="shared" ca="1" si="23"/>
        <v>5.5660377358490569</v>
      </c>
      <c r="C82" t="str">
        <f t="shared" ca="1" si="24"/>
        <v>Robbins, Dale</v>
      </c>
      <c r="G82">
        <f ca="1">IF(AND(((COLUMN()-10)&lt;=playercnt),((ROW()-41)&lt;=playercnt)),SUMPRODUCT(INDIRECT(ADDRESS(3,ROW()-31,1)):INDIRECT(ADDRESS(22,ROW()-31,1)),G$3:G$22),"")</f>
        <v>6</v>
      </c>
      <c r="H82">
        <f ca="1">IF(AND(((COLUMN()-10)&lt;=playercnt),((ROW()-41)&lt;=playercnt)),SUMPRODUCT(INDIRECT(ADDRESS(3,ROW()-31,1)):INDIRECT(ADDRESS(22,ROW()-31,1)),H$3:H$22),"")</f>
        <v>7</v>
      </c>
      <c r="I82">
        <f ca="1">IF(AND(((COLUMN()-10)&lt;=playercnt),((ROW()-41)&lt;=playercnt)),SUMPRODUCT(INDIRECT(ADDRESS(3,ROW()-31,1)):INDIRECT(ADDRESS(22,ROW()-31,1)),I$3:I$22),"")</f>
        <v>6.5</v>
      </c>
      <c r="J82">
        <f ca="1">IF(AND(((COLUMN()-10)&lt;=playercnt),((ROW()-41)&lt;=playercnt)),SUMPRODUCT(INDIRECT(ADDRESS(3,ROW()-31,1)):INDIRECT(ADDRESS(22,ROW()-31,1)),J$3:J$22),"")</f>
        <v>0</v>
      </c>
      <c r="K82">
        <f ca="1">IF(AND(((COLUMN()-10)&lt;=playercnt),((ROW()-41)&lt;=playercnt)),SUMPRODUCT(INDIRECT(ADDRESS(3,ROW()-31,1)):INDIRECT(ADDRESS(22,ROW()-31,1)),K$3:K$22),"")</f>
        <v>7</v>
      </c>
      <c r="L82">
        <f ca="1">IF(AND(((COLUMN()-10)&lt;=playercnt),((ROW()-41)&lt;=playercnt)),SUMPRODUCT(INDIRECT(ADDRESS(3,ROW()-31,1)):INDIRECT(ADDRESS(22,ROW()-31,1)),L$3:L$22),"")</f>
        <v>6</v>
      </c>
      <c r="M82">
        <f ca="1">IF(AND(((COLUMN()-10)&lt;=playercnt),((ROW()-41)&lt;=playercnt)),SUMPRODUCT(INDIRECT(ADDRESS(3,ROW()-31,1)):INDIRECT(ADDRESS(22,ROW()-31,1)),M$3:M$22),"")</f>
        <v>3</v>
      </c>
      <c r="N82">
        <f ca="1">IF(AND(((COLUMN()-10)&lt;=playercnt),((ROW()-41)&lt;=playercnt)),SUMPRODUCT(INDIRECT(ADDRESS(3,ROW()-31,1)):INDIRECT(ADDRESS(22,ROW()-31,1)),N$3:N$22),"")</f>
        <v>8</v>
      </c>
      <c r="O82">
        <f ca="1">IF(AND(((COLUMN()-10)&lt;=playercnt),((ROW()-41)&lt;=playercnt)),SUMPRODUCT(INDIRECT(ADDRESS(3,ROW()-31,1)):INDIRECT(ADDRESS(22,ROW()-31,1)),O$3:O$22),"")</f>
        <v>6</v>
      </c>
      <c r="P82">
        <f ca="1">IF(AND(((COLUMN()-10)&lt;=playercnt),((ROW()-41)&lt;=playercnt)),SUMPRODUCT(INDIRECT(ADDRESS(3,ROW()-31,1)):INDIRECT(ADDRESS(22,ROW()-31,1)),P$3:P$22),"")</f>
        <v>7</v>
      </c>
      <c r="Q82">
        <f ca="1">IF(AND(((COLUMN()-10)&lt;=playercnt),((ROW()-41)&lt;=playercnt)),SUMPRODUCT(INDIRECT(ADDRESS(3,ROW()-31,1)):INDIRECT(ADDRESS(22,ROW()-31,1)),Q$3:Q$22),"")</f>
        <v>6</v>
      </c>
      <c r="R82">
        <f ca="1">IF(AND(((COLUMN()-10)&lt;=playercnt),((ROW()-41)&lt;=playercnt)),SUMPRODUCT(INDIRECT(ADDRESS(3,ROW()-31,1)):INDIRECT(ADDRESS(22,ROW()-31,1)),R$3:R$22),"")</f>
        <v>6</v>
      </c>
      <c r="S82">
        <f ca="1">IF(AND(((COLUMN()-10)&lt;=playercnt),((ROW()-41)&lt;=playercnt)),SUMPRODUCT(INDIRECT(ADDRESS(3,ROW()-31,1)):INDIRECT(ADDRESS(22,ROW()-31,1)),S$3:S$22),"")</f>
        <v>4</v>
      </c>
      <c r="T82">
        <f ca="1">IF(AND(((COLUMN()-10)&lt;=playercnt),((ROW()-41)&lt;=playercnt)),SUMPRODUCT(INDIRECT(ADDRESS(3,ROW()-31,1)):INDIRECT(ADDRESS(22,ROW()-31,1)),T$3:T$22),"")</f>
        <v>5</v>
      </c>
      <c r="U82">
        <f ca="1">IF(AND(((COLUMN()-10)&lt;=playercnt),((ROW()-41)&lt;=playercnt)),SUMPRODUCT(INDIRECT(ADDRESS(3,ROW()-31,1)):INDIRECT(ADDRESS(22,ROW()-31,1)),U$3:U$22),"")</f>
        <v>6</v>
      </c>
      <c r="V82">
        <f ca="1">IF(AND(((COLUMN()-10)&lt;=playercnt),((ROW()-41)&lt;=playercnt)),SUMPRODUCT(INDIRECT(ADDRESS(3,ROW()-31,1)):INDIRECT(ADDRESS(22,ROW()-31,1)),V$3:V$22),"")</f>
        <v>4</v>
      </c>
      <c r="W82">
        <f ca="1">IF(AND(((COLUMN()-10)&lt;=playercnt),((ROW()-41)&lt;=playercnt)),SUMPRODUCT(INDIRECT(ADDRESS(3,ROW()-31,1)):INDIRECT(ADDRESS(22,ROW()-31,1)),W$3:W$22),"")</f>
        <v>6</v>
      </c>
      <c r="X82">
        <f ca="1">IF(AND(((COLUMN()-10)&lt;=playercnt),((ROW()-41)&lt;=playercnt)),SUMPRODUCT(INDIRECT(ADDRESS(3,ROW()-31,1)):INDIRECT(ADDRESS(22,ROW()-31,1)),X$3:X$22),"")</f>
        <v>3</v>
      </c>
      <c r="Y82">
        <f ca="1">IF(AND(((COLUMN()-10)&lt;=playercnt),((ROW()-41)&lt;=playercnt)),SUMPRODUCT(INDIRECT(ADDRESS(3,ROW()-31,1)):INDIRECT(ADDRESS(22,ROW()-31,1)),Y$3:Y$22),"")</f>
        <v>8</v>
      </c>
      <c r="Z82">
        <f ca="1">IF(AND(((COLUMN()-10)&lt;=playercnt),((ROW()-41)&lt;=playercnt)),SUMPRODUCT(INDIRECT(ADDRESS(3,ROW()-31,1)):INDIRECT(ADDRESS(22,ROW()-31,1)),Z$3:Z$22),"")</f>
        <v>5</v>
      </c>
      <c r="AA82">
        <f ca="1">IF(AND(((COLUMN()-10)&lt;=playercnt),((ROW()-41)&lt;=playercnt)),SUMPRODUCT(INDIRECT(ADDRESS(3,ROW()-31,1)):INDIRECT(ADDRESS(22,ROW()-31,1)),AA$3:AA$22),"")</f>
        <v>4</v>
      </c>
      <c r="AB82">
        <f ca="1">IF(AND(((COLUMN()-10)&lt;=playercnt),((ROW()-41)&lt;=playercnt)),SUMPRODUCT(INDIRECT(ADDRESS(3,ROW()-31,1)):INDIRECT(ADDRESS(22,ROW()-31,1)),AB$3:AB$22),"")</f>
        <v>7</v>
      </c>
      <c r="AC82">
        <f ca="1">IF(AND(((COLUMN()-10)&lt;=playercnt),((ROW()-41)&lt;=playercnt)),SUMPRODUCT(INDIRECT(ADDRESS(3,ROW()-31,1)):INDIRECT(ADDRESS(22,ROW()-31,1)),AC$3:AC$22),"")</f>
        <v>6</v>
      </c>
      <c r="AD82">
        <f ca="1">IF(AND(((COLUMN()-10)&lt;=playercnt),((ROW()-41)&lt;=playercnt)),SUMPRODUCT(INDIRECT(ADDRESS(3,ROW()-31,1)):INDIRECT(ADDRESS(22,ROW()-31,1)),AD$3:AD$22),"")</f>
        <v>6</v>
      </c>
      <c r="AE82">
        <f ca="1">IF(AND(((COLUMN()-10)&lt;=playercnt),((ROW()-41)&lt;=playercnt)),SUMPRODUCT(INDIRECT(ADDRESS(3,ROW()-31,1)):INDIRECT(ADDRESS(22,ROW()-31,1)),AE$3:AE$22),"")</f>
        <v>4</v>
      </c>
      <c r="AF82">
        <f ca="1">IF(AND(((COLUMN()-10)&lt;=playercnt),((ROW()-41)&lt;=playercnt)),SUMPRODUCT(INDIRECT(ADDRESS(3,ROW()-31,1)):INDIRECT(ADDRESS(22,ROW()-31,1)),AF$3:AF$22),"")</f>
        <v>3</v>
      </c>
      <c r="AG82">
        <f ca="1">IF(AND(((COLUMN()-10)&lt;=playercnt),((ROW()-41)&lt;=playercnt)),SUMPRODUCT(INDIRECT(ADDRESS(3,ROW()-31,1)):INDIRECT(ADDRESS(22,ROW()-31,1)),AG$3:AG$22),"")</f>
        <v>5</v>
      </c>
      <c r="AH82">
        <f ca="1">IF(AND(((COLUMN()-10)&lt;=playercnt),((ROW()-41)&lt;=playercnt)),SUMPRODUCT(INDIRECT(ADDRESS(3,ROW()-31,1)):INDIRECT(ADDRESS(22,ROW()-31,1)),AH$3:AH$22),"")</f>
        <v>8</v>
      </c>
      <c r="AI82">
        <f ca="1">IF(AND(((COLUMN()-10)&lt;=playercnt),((ROW()-41)&lt;=playercnt)),SUMPRODUCT(INDIRECT(ADDRESS(3,ROW()-31,1)):INDIRECT(ADDRESS(22,ROW()-31,1)),AI$3:AI$22),"")</f>
        <v>6</v>
      </c>
      <c r="AJ82">
        <f ca="1">IF(AND(((COLUMN()-10)&lt;=playercnt),((ROW()-41)&lt;=playercnt)),SUMPRODUCT(INDIRECT(ADDRESS(3,ROW()-31,1)):INDIRECT(ADDRESS(22,ROW()-31,1)),AJ$3:AJ$22),"")</f>
        <v>6</v>
      </c>
      <c r="AK82">
        <f ca="1">IF(AND(((COLUMN()-10)&lt;=playercnt),((ROW()-41)&lt;=playercnt)),SUMPRODUCT(INDIRECT(ADDRESS(3,ROW()-31,1)):INDIRECT(ADDRESS(22,ROW()-31,1)),AK$3:AK$22),"")</f>
        <v>0</v>
      </c>
      <c r="AL82">
        <f ca="1">IF(AND(((COLUMN()-10)&lt;=playercnt),((ROW()-41)&lt;=playercnt)),SUMPRODUCT(INDIRECT(ADDRESS(3,ROW()-31,1)):INDIRECT(ADDRESS(22,ROW()-31,1)),AL$3:AL$22),"")</f>
        <v>9</v>
      </c>
      <c r="AM82">
        <f ca="1">IF(AND(((COLUMN()-10)&lt;=playercnt),((ROW()-41)&lt;=playercnt)),SUMPRODUCT(INDIRECT(ADDRESS(3,ROW()-31,1)):INDIRECT(ADDRESS(22,ROW()-31,1)),AM$3:AM$22),"")</f>
        <v>6</v>
      </c>
      <c r="AN82">
        <f ca="1">IF(AND(((COLUMN()-10)&lt;=playercnt),((ROW()-41)&lt;=playercnt)),SUMPRODUCT(INDIRECT(ADDRESS(3,ROW()-31,1)):INDIRECT(ADDRESS(22,ROW()-31,1)),AN$3:AN$22),"")</f>
        <v>6</v>
      </c>
      <c r="AO82">
        <f ca="1">IF(AND(((COLUMN()-10)&lt;=playercnt),((ROW()-41)&lt;=playercnt)),SUMPRODUCT(INDIRECT(ADDRESS(3,ROW()-31,1)):INDIRECT(ADDRESS(22,ROW()-31,1)),AO$3:AO$22),"")</f>
        <v>4</v>
      </c>
      <c r="AP82">
        <f ca="1">IF(AND(((COLUMN()-10)&lt;=playercnt),((ROW()-41)&lt;=playercnt)),SUMPRODUCT(INDIRECT(ADDRESS(3,ROW()-31,1)):INDIRECT(ADDRESS(22,ROW()-31,1)),AP$3:AP$22),"")</f>
        <v>0</v>
      </c>
      <c r="AQ82">
        <f ca="1">IF(AND(((COLUMN()-10)&lt;=playercnt),((ROW()-41)&lt;=playercnt)),SUMPRODUCT(INDIRECT(ADDRESS(3,ROW()-31,1)):INDIRECT(ADDRESS(22,ROW()-31,1)),AQ$3:AQ$22),"")</f>
        <v>6</v>
      </c>
      <c r="AR82">
        <f ca="1">IF(AND(((COLUMN()-10)&lt;=playercnt),((ROW()-41)&lt;=playercnt)),SUMPRODUCT(INDIRECT(ADDRESS(3,ROW()-31,1)):INDIRECT(ADDRESS(22,ROW()-31,1)),AR$3:AR$22),"")</f>
        <v>7</v>
      </c>
      <c r="AS82">
        <f ca="1">IF(AND(((COLUMN()-10)&lt;=playercnt),((ROW()-41)&lt;=playercnt)),SUMPRODUCT(INDIRECT(ADDRESS(3,ROW()-31,1)):INDIRECT(ADDRESS(22,ROW()-31,1)),AS$3:AS$22),"")</f>
        <v>4</v>
      </c>
      <c r="AT82">
        <f ca="1">IF(AND(((COLUMN()-10)&lt;=playercnt),((ROW()-41)&lt;=playercnt)),SUMPRODUCT(INDIRECT(ADDRESS(3,ROW()-31,1)):INDIRECT(ADDRESS(22,ROW()-31,1)),AT$3:AT$22),"")</f>
        <v>8</v>
      </c>
      <c r="AU82">
        <f ca="1">IF(AND(((COLUMN()-10)&lt;=playercnt),((ROW()-41)&lt;=playercnt)),SUMPRODUCT(INDIRECT(ADDRESS(3,ROW()-31,1)):INDIRECT(ADDRESS(22,ROW()-31,1)),AU$3:AU$22),"")</f>
        <v>6</v>
      </c>
      <c r="AV82">
        <f ca="1">IF(AND(((COLUMN()-10)&lt;=playercnt),((ROW()-41)&lt;=playercnt)),SUMPRODUCT(INDIRECT(ADDRESS(3,ROW()-31,1)):INDIRECT(ADDRESS(22,ROW()-31,1)),AV$3:AV$22),"")</f>
        <v>6</v>
      </c>
      <c r="AW82">
        <f ca="1">IF(AND(((COLUMN()-10)&lt;=playercnt),((ROW()-41)&lt;=playercnt)),SUMPRODUCT(INDIRECT(ADDRESS(3,ROW()-31,1)):INDIRECT(ADDRESS(22,ROW()-31,1)),AW$3:AW$22),"")</f>
        <v>4</v>
      </c>
      <c r="AX82">
        <f ca="1">IF(AND(((COLUMN()-10)&lt;=playercnt),((ROW()-41)&lt;=playercnt)),SUMPRODUCT(INDIRECT(ADDRESS(3,ROW()-31,1)):INDIRECT(ADDRESS(22,ROW()-31,1)),AX$3:AX$22),"")</f>
        <v>7</v>
      </c>
      <c r="AY82">
        <f ca="1">IF(AND(((COLUMN()-10)&lt;=playercnt),((ROW()-41)&lt;=playercnt)),SUMPRODUCT(INDIRECT(ADDRESS(3,ROW()-31,1)):INDIRECT(ADDRESS(22,ROW()-31,1)),AY$3:AY$22),"")</f>
        <v>10</v>
      </c>
      <c r="AZ82">
        <f ca="1">IF(AND(((COLUMN()-10)&lt;=playercnt),((ROW()-41)&lt;=playercnt)),SUMPRODUCT(INDIRECT(ADDRESS(3,ROW()-31,1)):INDIRECT(ADDRESS(22,ROW()-31,1)),AZ$3:AZ$22),"")</f>
        <v>5</v>
      </c>
      <c r="BA82">
        <f ca="1">IF(AND(((COLUMN()-10)&lt;=playercnt),((ROW()-41)&lt;=playercnt)),SUMPRODUCT(INDIRECT(ADDRESS(3,ROW()-31,1)):INDIRECT(ADDRESS(22,ROW()-31,1)),BA$3:BA$22),"")</f>
        <v>5</v>
      </c>
      <c r="BB82">
        <f ca="1">IF(AND(((COLUMN()-10)&lt;=playercnt),((ROW()-41)&lt;=playercnt)),SUMPRODUCT(INDIRECT(ADDRESS(3,ROW()-31,1)):INDIRECT(ADDRESS(22,ROW()-31,1)),BB$3:BB$22),"")</f>
        <v>7</v>
      </c>
      <c r="BC82">
        <f ca="1">IF(AND(((COLUMN()-10)&lt;=playercnt),((ROW()-41)&lt;=playercnt)),SUMPRODUCT(INDIRECT(ADDRESS(3,ROW()-31,1)):INDIRECT(ADDRESS(22,ROW()-31,1)),BC$3:BC$22),"")</f>
        <v>5</v>
      </c>
      <c r="BD82">
        <f ca="1">IF(AND(((COLUMN()-10)&lt;=playercnt),((ROW()-41)&lt;=playercnt)),SUMPRODUCT(INDIRECT(ADDRESS(3,ROW()-31,1)):INDIRECT(ADDRESS(22,ROW()-31,1)),BD$3:BD$22),"")</f>
        <v>3</v>
      </c>
      <c r="BE82">
        <f ca="1">IF(AND(((COLUMN()-10)&lt;=playercnt),((ROW()-41)&lt;=playercnt)),SUMPRODUCT(INDIRECT(ADDRESS(3,ROW()-31,1)):INDIRECT(ADDRESS(22,ROW()-31,1)),BE$3:BE$22),"")</f>
        <v>6</v>
      </c>
      <c r="BF82">
        <f ca="1">IF(AND(((COLUMN()-10)&lt;=playercnt),((ROW()-41)&lt;=playercnt)),SUMPRODUCT(INDIRECT(ADDRESS(3,ROW()-31,1)):INDIRECT(ADDRESS(22,ROW()-31,1)),BF$3:BF$22),"")</f>
        <v>6</v>
      </c>
      <c r="BG82">
        <f ca="1">IF(AND(((COLUMN()-10)&lt;=playercnt),((ROW()-41)&lt;=playercnt)),SUMPRODUCT(INDIRECT(ADDRESS(3,ROW()-31,1)):INDIRECT(ADDRESS(22,ROW()-31,1)),BG$3:BG$22),"")</f>
        <v>4</v>
      </c>
      <c r="BH82">
        <f ca="1">IF(AND(((COLUMN()-10)&lt;=playercnt),((ROW()-41)&lt;=playercnt)),SUMPRODUCT(INDIRECT(ADDRESS(3,ROW()-31,1)):INDIRECT(ADDRESS(22,ROW()-31,1)),BH$3:BH$22),"")</f>
        <v>6</v>
      </c>
      <c r="BI82">
        <f ca="1">IF(AND(((COLUMN()-10)&lt;=playercnt),((ROW()-41)&lt;=playercnt)),SUMPRODUCT(INDIRECT(ADDRESS(3,ROW()-31,1)):INDIRECT(ADDRESS(22,ROW()-31,1)),BI$3:BI$22),"")</f>
        <v>6</v>
      </c>
      <c r="BJ82">
        <f ca="1">IF(AND(((COLUMN()-10)&lt;=playercnt),((ROW()-41)&lt;=playercnt)),SUMPRODUCT(INDIRECT(ADDRESS(3,ROW()-31,1)):INDIRECT(ADDRESS(22,ROW()-31,1)),BJ$3:BJ$22),"")</f>
        <v>4</v>
      </c>
      <c r="BK82">
        <f ca="1">IF(AND(((COLUMN()-10)&lt;=playercnt),((ROW()-41)&lt;=playercnt)),SUMPRODUCT(INDIRECT(ADDRESS(3,ROW()-31,1)):INDIRECT(ADDRESS(22,ROW()-31,1)),BK$3:BK$22),"")</f>
        <v>4</v>
      </c>
      <c r="BL82">
        <f ca="1">IF(AND(((COLUMN()-10)&lt;=playercnt),((ROW()-41)&lt;=playercnt)),SUMPRODUCT(INDIRECT(ADDRESS(3,ROW()-31,1)):INDIRECT(ADDRESS(22,ROW()-31,1)),BL$3:BL$22),"")</f>
        <v>5</v>
      </c>
      <c r="BM82">
        <f ca="1">IF(AND(((COLUMN()-10)&lt;=playercnt),((ROW()-41)&lt;=playercnt)),SUMPRODUCT(INDIRECT(ADDRESS(3,ROW()-31,1)):INDIRECT(ADDRESS(22,ROW()-31,1)),BM$3:BM$22),"")</f>
        <v>6</v>
      </c>
      <c r="BN82">
        <f ca="1">IF(AND(((COLUMN()-10)&lt;=playercnt),((ROW()-41)&lt;=playercnt)),SUMPRODUCT(INDIRECT(ADDRESS(3,ROW()-31,1)):INDIRECT(ADDRESS(22,ROW()-31,1)),BN$3:BN$22),"")</f>
        <v>5</v>
      </c>
    </row>
    <row r="83" spans="2:66" x14ac:dyDescent="0.2">
      <c r="B83" s="27">
        <f t="shared" ca="1" si="23"/>
        <v>6.5471698113207548</v>
      </c>
      <c r="C83" t="str">
        <f t="shared" ca="1" si="24"/>
        <v>Robbins, Thomas D</v>
      </c>
      <c r="G83">
        <f ca="1">IF(AND(((COLUMN()-10)&lt;=playercnt),((ROW()-41)&lt;=playercnt)),SUMPRODUCT(INDIRECT(ADDRESS(3,ROW()-31,1)):INDIRECT(ADDRESS(22,ROW()-31,1)),G$3:G$22),"")</f>
        <v>1</v>
      </c>
      <c r="H83">
        <f ca="1">IF(AND(((COLUMN()-10)&lt;=playercnt),((ROW()-41)&lt;=playercnt)),SUMPRODUCT(INDIRECT(ADDRESS(3,ROW()-31,1)):INDIRECT(ADDRESS(22,ROW()-31,1)),H$3:H$22),"")</f>
        <v>6</v>
      </c>
      <c r="I83">
        <f ca="1">IF(AND(((COLUMN()-10)&lt;=playercnt),((ROW()-41)&lt;=playercnt)),SUMPRODUCT(INDIRECT(ADDRESS(3,ROW()-31,1)):INDIRECT(ADDRESS(22,ROW()-31,1)),I$3:I$22),"")</f>
        <v>8.5</v>
      </c>
      <c r="J83">
        <f ca="1">IF(AND(((COLUMN()-10)&lt;=playercnt),((ROW()-41)&lt;=playercnt)),SUMPRODUCT(INDIRECT(ADDRESS(3,ROW()-31,1)):INDIRECT(ADDRESS(22,ROW()-31,1)),J$3:J$22),"")</f>
        <v>0</v>
      </c>
      <c r="K83">
        <f ca="1">IF(AND(((COLUMN()-10)&lt;=playercnt),((ROW()-41)&lt;=playercnt)),SUMPRODUCT(INDIRECT(ADDRESS(3,ROW()-31,1)):INDIRECT(ADDRESS(22,ROW()-31,1)),K$3:K$22),"")</f>
        <v>6</v>
      </c>
      <c r="L83">
        <f ca="1">IF(AND(((COLUMN()-10)&lt;=playercnt),((ROW()-41)&lt;=playercnt)),SUMPRODUCT(INDIRECT(ADDRESS(3,ROW()-31,1)):INDIRECT(ADDRESS(22,ROW()-31,1)),L$3:L$22),"")</f>
        <v>7</v>
      </c>
      <c r="M83">
        <f ca="1">IF(AND(((COLUMN()-10)&lt;=playercnt),((ROW()-41)&lt;=playercnt)),SUMPRODUCT(INDIRECT(ADDRESS(3,ROW()-31,1)):INDIRECT(ADDRESS(22,ROW()-31,1)),M$3:M$22),"")</f>
        <v>8</v>
      </c>
      <c r="N83">
        <f ca="1">IF(AND(((COLUMN()-10)&lt;=playercnt),((ROW()-41)&lt;=playercnt)),SUMPRODUCT(INDIRECT(ADDRESS(3,ROW()-31,1)):INDIRECT(ADDRESS(22,ROW()-31,1)),N$3:N$22),"")</f>
        <v>5</v>
      </c>
      <c r="O83">
        <f ca="1">IF(AND(((COLUMN()-10)&lt;=playercnt),((ROW()-41)&lt;=playercnt)),SUMPRODUCT(INDIRECT(ADDRESS(3,ROW()-31,1)):INDIRECT(ADDRESS(22,ROW()-31,1)),O$3:O$22),"")</f>
        <v>5</v>
      </c>
      <c r="P83">
        <f ca="1">IF(AND(((COLUMN()-10)&lt;=playercnt),((ROW()-41)&lt;=playercnt)),SUMPRODUCT(INDIRECT(ADDRESS(3,ROW()-31,1)):INDIRECT(ADDRESS(22,ROW()-31,1)),P$3:P$22),"")</f>
        <v>6</v>
      </c>
      <c r="Q83">
        <f ca="1">IF(AND(((COLUMN()-10)&lt;=playercnt),((ROW()-41)&lt;=playercnt)),SUMPRODUCT(INDIRECT(ADDRESS(3,ROW()-31,1)):INDIRECT(ADDRESS(22,ROW()-31,1)),Q$3:Q$22),"")</f>
        <v>7</v>
      </c>
      <c r="R83">
        <f ca="1">IF(AND(((COLUMN()-10)&lt;=playercnt),((ROW()-41)&lt;=playercnt)),SUMPRODUCT(INDIRECT(ADDRESS(3,ROW()-31,1)):INDIRECT(ADDRESS(22,ROW()-31,1)),R$3:R$22),"")</f>
        <v>3</v>
      </c>
      <c r="S83">
        <f ca="1">IF(AND(((COLUMN()-10)&lt;=playercnt),((ROW()-41)&lt;=playercnt)),SUMPRODUCT(INDIRECT(ADDRESS(3,ROW()-31,1)):INDIRECT(ADDRESS(22,ROW()-31,1)),S$3:S$22),"")</f>
        <v>9</v>
      </c>
      <c r="T83">
        <f ca="1">IF(AND(((COLUMN()-10)&lt;=playercnt),((ROW()-41)&lt;=playercnt)),SUMPRODUCT(INDIRECT(ADDRESS(3,ROW()-31,1)):INDIRECT(ADDRESS(22,ROW()-31,1)),T$3:T$22),"")</f>
        <v>6</v>
      </c>
      <c r="U83">
        <f ca="1">IF(AND(((COLUMN()-10)&lt;=playercnt),((ROW()-41)&lt;=playercnt)),SUMPRODUCT(INDIRECT(ADDRESS(3,ROW()-31,1)):INDIRECT(ADDRESS(22,ROW()-31,1)),U$3:U$22),"")</f>
        <v>7</v>
      </c>
      <c r="V83">
        <f ca="1">IF(AND(((COLUMN()-10)&lt;=playercnt),((ROW()-41)&lt;=playercnt)),SUMPRODUCT(INDIRECT(ADDRESS(3,ROW()-31,1)):INDIRECT(ADDRESS(22,ROW()-31,1)),V$3:V$22),"")</f>
        <v>7</v>
      </c>
      <c r="W83">
        <f ca="1">IF(AND(((COLUMN()-10)&lt;=playercnt),((ROW()-41)&lt;=playercnt)),SUMPRODUCT(INDIRECT(ADDRESS(3,ROW()-31,1)):INDIRECT(ADDRESS(22,ROW()-31,1)),W$3:W$22),"")</f>
        <v>9</v>
      </c>
      <c r="X83">
        <f ca="1">IF(AND(((COLUMN()-10)&lt;=playercnt),((ROW()-41)&lt;=playercnt)),SUMPRODUCT(INDIRECT(ADDRESS(3,ROW()-31,1)):INDIRECT(ADDRESS(22,ROW()-31,1)),X$3:X$22),"")</f>
        <v>6</v>
      </c>
      <c r="Y83">
        <f ca="1">IF(AND(((COLUMN()-10)&lt;=playercnt),((ROW()-41)&lt;=playercnt)),SUMPRODUCT(INDIRECT(ADDRESS(3,ROW()-31,1)):INDIRECT(ADDRESS(22,ROW()-31,1)),Y$3:Y$22),"")</f>
        <v>5</v>
      </c>
      <c r="Z83">
        <f ca="1">IF(AND(((COLUMN()-10)&lt;=playercnt),((ROW()-41)&lt;=playercnt)),SUMPRODUCT(INDIRECT(ADDRESS(3,ROW()-31,1)):INDIRECT(ADDRESS(22,ROW()-31,1)),Z$3:Z$22),"")</f>
        <v>8</v>
      </c>
      <c r="AA83">
        <f ca="1">IF(AND(((COLUMN()-10)&lt;=playercnt),((ROW()-41)&lt;=playercnt)),SUMPRODUCT(INDIRECT(ADDRESS(3,ROW()-31,1)):INDIRECT(ADDRESS(22,ROW()-31,1)),AA$3:AA$22),"")</f>
        <v>7</v>
      </c>
      <c r="AB83">
        <f ca="1">IF(AND(((COLUMN()-10)&lt;=playercnt),((ROW()-41)&lt;=playercnt)),SUMPRODUCT(INDIRECT(ADDRESS(3,ROW()-31,1)):INDIRECT(ADDRESS(22,ROW()-31,1)),AB$3:AB$22),"")</f>
        <v>4</v>
      </c>
      <c r="AC83">
        <f ca="1">IF(AND(((COLUMN()-10)&lt;=playercnt),((ROW()-41)&lt;=playercnt)),SUMPRODUCT(INDIRECT(ADDRESS(3,ROW()-31,1)):INDIRECT(ADDRESS(22,ROW()-31,1)),AC$3:AC$22),"")</f>
        <v>7</v>
      </c>
      <c r="AD83">
        <f ca="1">IF(AND(((COLUMN()-10)&lt;=playercnt),((ROW()-41)&lt;=playercnt)),SUMPRODUCT(INDIRECT(ADDRESS(3,ROW()-31,1)):INDIRECT(ADDRESS(22,ROW()-31,1)),AD$3:AD$22),"")</f>
        <v>3</v>
      </c>
      <c r="AE83">
        <f ca="1">IF(AND(((COLUMN()-10)&lt;=playercnt),((ROW()-41)&lt;=playercnt)),SUMPRODUCT(INDIRECT(ADDRESS(3,ROW()-31,1)):INDIRECT(ADDRESS(22,ROW()-31,1)),AE$3:AE$22),"")</f>
        <v>7</v>
      </c>
      <c r="AF83">
        <f ca="1">IF(AND(((COLUMN()-10)&lt;=playercnt),((ROW()-41)&lt;=playercnt)),SUMPRODUCT(INDIRECT(ADDRESS(3,ROW()-31,1)):INDIRECT(ADDRESS(22,ROW()-31,1)),AF$3:AF$22),"")</f>
        <v>8</v>
      </c>
      <c r="AG83">
        <f ca="1">IF(AND(((COLUMN()-10)&lt;=playercnt),((ROW()-41)&lt;=playercnt)),SUMPRODUCT(INDIRECT(ADDRESS(3,ROW()-31,1)):INDIRECT(ADDRESS(22,ROW()-31,1)),AG$3:AG$22),"")</f>
        <v>8</v>
      </c>
      <c r="AH83">
        <f ca="1">IF(AND(((COLUMN()-10)&lt;=playercnt),((ROW()-41)&lt;=playercnt)),SUMPRODUCT(INDIRECT(ADDRESS(3,ROW()-31,1)):INDIRECT(ADDRESS(22,ROW()-31,1)),AH$3:AH$22),"")</f>
        <v>7</v>
      </c>
      <c r="AI83">
        <f ca="1">IF(AND(((COLUMN()-10)&lt;=playercnt),((ROW()-41)&lt;=playercnt)),SUMPRODUCT(INDIRECT(ADDRESS(3,ROW()-31,1)):INDIRECT(ADDRESS(22,ROW()-31,1)),AI$3:AI$22),"")</f>
        <v>5</v>
      </c>
      <c r="AJ83">
        <f ca="1">IF(AND(((COLUMN()-10)&lt;=playercnt),((ROW()-41)&lt;=playercnt)),SUMPRODUCT(INDIRECT(ADDRESS(3,ROW()-31,1)):INDIRECT(ADDRESS(22,ROW()-31,1)),AJ$3:AJ$22),"")</f>
        <v>7</v>
      </c>
      <c r="AK83">
        <f ca="1">IF(AND(((COLUMN()-10)&lt;=playercnt),((ROW()-41)&lt;=playercnt)),SUMPRODUCT(INDIRECT(ADDRESS(3,ROW()-31,1)):INDIRECT(ADDRESS(22,ROW()-31,1)),AK$3:AK$22),"")</f>
        <v>0</v>
      </c>
      <c r="AL83">
        <f ca="1">IF(AND(((COLUMN()-10)&lt;=playercnt),((ROW()-41)&lt;=playercnt)),SUMPRODUCT(INDIRECT(ADDRESS(3,ROW()-31,1)):INDIRECT(ADDRESS(22,ROW()-31,1)),AL$3:AL$22),"")</f>
        <v>6</v>
      </c>
      <c r="AM83">
        <f ca="1">IF(AND(((COLUMN()-10)&lt;=playercnt),((ROW()-41)&lt;=playercnt)),SUMPRODUCT(INDIRECT(ADDRESS(3,ROW()-31,1)):INDIRECT(ADDRESS(22,ROW()-31,1)),AM$3:AM$22),"")</f>
        <v>7</v>
      </c>
      <c r="AN83">
        <f ca="1">IF(AND(((COLUMN()-10)&lt;=playercnt),((ROW()-41)&lt;=playercnt)),SUMPRODUCT(INDIRECT(ADDRESS(3,ROW()-31,1)):INDIRECT(ADDRESS(22,ROW()-31,1)),AN$3:AN$22),"")</f>
        <v>7</v>
      </c>
      <c r="AO83">
        <f ca="1">IF(AND(((COLUMN()-10)&lt;=playercnt),((ROW()-41)&lt;=playercnt)),SUMPRODUCT(INDIRECT(ADDRESS(3,ROW()-31,1)):INDIRECT(ADDRESS(22,ROW()-31,1)),AO$3:AO$22),"")</f>
        <v>5</v>
      </c>
      <c r="AP83">
        <f ca="1">IF(AND(((COLUMN()-10)&lt;=playercnt),((ROW()-41)&lt;=playercnt)),SUMPRODUCT(INDIRECT(ADDRESS(3,ROW()-31,1)):INDIRECT(ADDRESS(22,ROW()-31,1)),AP$3:AP$22),"")</f>
        <v>0</v>
      </c>
      <c r="AQ83">
        <f ca="1">IF(AND(((COLUMN()-10)&lt;=playercnt),((ROW()-41)&lt;=playercnt)),SUMPRODUCT(INDIRECT(ADDRESS(3,ROW()-31,1)):INDIRECT(ADDRESS(22,ROW()-31,1)),AQ$3:AQ$22),"")</f>
        <v>7</v>
      </c>
      <c r="AR83">
        <f ca="1">IF(AND(((COLUMN()-10)&lt;=playercnt),((ROW()-41)&lt;=playercnt)),SUMPRODUCT(INDIRECT(ADDRESS(3,ROW()-31,1)):INDIRECT(ADDRESS(22,ROW()-31,1)),AR$3:AR$22),"")</f>
        <v>6</v>
      </c>
      <c r="AS83">
        <f ca="1">IF(AND(((COLUMN()-10)&lt;=playercnt),((ROW()-41)&lt;=playercnt)),SUMPRODUCT(INDIRECT(ADDRESS(3,ROW()-31,1)):INDIRECT(ADDRESS(22,ROW()-31,1)),AS$3:AS$22),"")</f>
        <v>7</v>
      </c>
      <c r="AT83">
        <f ca="1">IF(AND(((COLUMN()-10)&lt;=playercnt),((ROW()-41)&lt;=playercnt)),SUMPRODUCT(INDIRECT(ADDRESS(3,ROW()-31,1)):INDIRECT(ADDRESS(22,ROW()-31,1)),AT$3:AT$22),"")</f>
        <v>5</v>
      </c>
      <c r="AU83">
        <f ca="1">IF(AND(((COLUMN()-10)&lt;=playercnt),((ROW()-41)&lt;=playercnt)),SUMPRODUCT(INDIRECT(ADDRESS(3,ROW()-31,1)):INDIRECT(ADDRESS(22,ROW()-31,1)),AU$3:AU$22),"")</f>
        <v>7</v>
      </c>
      <c r="AV83">
        <f ca="1">IF(AND(((COLUMN()-10)&lt;=playercnt),((ROW()-41)&lt;=playercnt)),SUMPRODUCT(INDIRECT(ADDRESS(3,ROW()-31,1)):INDIRECT(ADDRESS(22,ROW()-31,1)),AV$3:AV$22),"")</f>
        <v>7</v>
      </c>
      <c r="AW83">
        <f ca="1">IF(AND(((COLUMN()-10)&lt;=playercnt),((ROW()-41)&lt;=playercnt)),SUMPRODUCT(INDIRECT(ADDRESS(3,ROW()-31,1)):INDIRECT(ADDRESS(22,ROW()-31,1)),AW$3:AW$22),"")</f>
        <v>7</v>
      </c>
      <c r="AX83">
        <f ca="1">IF(AND(((COLUMN()-10)&lt;=playercnt),((ROW()-41)&lt;=playercnt)),SUMPRODUCT(INDIRECT(ADDRESS(3,ROW()-31,1)):INDIRECT(ADDRESS(22,ROW()-31,1)),AX$3:AX$22),"")</f>
        <v>8</v>
      </c>
      <c r="AY83">
        <f ca="1">IF(AND(((COLUMN()-10)&lt;=playercnt),((ROW()-41)&lt;=playercnt)),SUMPRODUCT(INDIRECT(ADDRESS(3,ROW()-31,1)):INDIRECT(ADDRESS(22,ROW()-31,1)),AY$3:AY$22),"")</f>
        <v>5</v>
      </c>
      <c r="AZ83">
        <f ca="1">IF(AND(((COLUMN()-10)&lt;=playercnt),((ROW()-41)&lt;=playercnt)),SUMPRODUCT(INDIRECT(ADDRESS(3,ROW()-31,1)):INDIRECT(ADDRESS(22,ROW()-31,1)),AZ$3:AZ$22),"")</f>
        <v>10</v>
      </c>
      <c r="BA83">
        <f ca="1">IF(AND(((COLUMN()-10)&lt;=playercnt),((ROW()-41)&lt;=playercnt)),SUMPRODUCT(INDIRECT(ADDRESS(3,ROW()-31,1)):INDIRECT(ADDRESS(22,ROW()-31,1)),BA$3:BA$22),"")</f>
        <v>8</v>
      </c>
      <c r="BB83">
        <f ca="1">IF(AND(((COLUMN()-10)&lt;=playercnt),((ROW()-41)&lt;=playercnt)),SUMPRODUCT(INDIRECT(ADDRESS(3,ROW()-31,1)):INDIRECT(ADDRESS(22,ROW()-31,1)),BB$3:BB$22),"")</f>
        <v>6</v>
      </c>
      <c r="BC83">
        <f ca="1">IF(AND(((COLUMN()-10)&lt;=playercnt),((ROW()-41)&lt;=playercnt)),SUMPRODUCT(INDIRECT(ADDRESS(3,ROW()-31,1)):INDIRECT(ADDRESS(22,ROW()-31,1)),BC$3:BC$22),"")</f>
        <v>6</v>
      </c>
      <c r="BD83">
        <f ca="1">IF(AND(((COLUMN()-10)&lt;=playercnt),((ROW()-41)&lt;=playercnt)),SUMPRODUCT(INDIRECT(ADDRESS(3,ROW()-31,1)):INDIRECT(ADDRESS(22,ROW()-31,1)),BD$3:BD$22),"")</f>
        <v>4</v>
      </c>
      <c r="BE83">
        <f ca="1">IF(AND(((COLUMN()-10)&lt;=playercnt),((ROW()-41)&lt;=playercnt)),SUMPRODUCT(INDIRECT(ADDRESS(3,ROW()-31,1)):INDIRECT(ADDRESS(22,ROW()-31,1)),BE$3:BE$22),"")</f>
        <v>7</v>
      </c>
      <c r="BF83">
        <f ca="1">IF(AND(((COLUMN()-10)&lt;=playercnt),((ROW()-41)&lt;=playercnt)),SUMPRODUCT(INDIRECT(ADDRESS(3,ROW()-31,1)):INDIRECT(ADDRESS(22,ROW()-31,1)),BF$3:BF$22),"")</f>
        <v>7</v>
      </c>
      <c r="BG83">
        <f ca="1">IF(AND(((COLUMN()-10)&lt;=playercnt),((ROW()-41)&lt;=playercnt)),SUMPRODUCT(INDIRECT(ADDRESS(3,ROW()-31,1)):INDIRECT(ADDRESS(22,ROW()-31,1)),BG$3:BG$22),"")</f>
        <v>7</v>
      </c>
      <c r="BH83">
        <f ca="1">IF(AND(((COLUMN()-10)&lt;=playercnt),((ROW()-41)&lt;=playercnt)),SUMPRODUCT(INDIRECT(ADDRESS(3,ROW()-31,1)):INDIRECT(ADDRESS(22,ROW()-31,1)),BH$3:BH$22),"")</f>
        <v>7</v>
      </c>
      <c r="BI83">
        <f ca="1">IF(AND(((COLUMN()-10)&lt;=playercnt),((ROW()-41)&lt;=playercnt)),SUMPRODUCT(INDIRECT(ADDRESS(3,ROW()-31,1)):INDIRECT(ADDRESS(22,ROW()-31,1)),BI$3:BI$22),"")</f>
        <v>7</v>
      </c>
      <c r="BJ83">
        <f ca="1">IF(AND(((COLUMN()-10)&lt;=playercnt),((ROW()-41)&lt;=playercnt)),SUMPRODUCT(INDIRECT(ADDRESS(3,ROW()-31,1)):INDIRECT(ADDRESS(22,ROW()-31,1)),BJ$3:BJ$22),"")</f>
        <v>9</v>
      </c>
      <c r="BK83">
        <f ca="1">IF(AND(((COLUMN()-10)&lt;=playercnt),((ROW()-41)&lt;=playercnt)),SUMPRODUCT(INDIRECT(ADDRESS(3,ROW()-31,1)):INDIRECT(ADDRESS(22,ROW()-31,1)),BK$3:BK$22),"")</f>
        <v>7</v>
      </c>
      <c r="BL83">
        <f ca="1">IF(AND(((COLUMN()-10)&lt;=playercnt),((ROW()-41)&lt;=playercnt)),SUMPRODUCT(INDIRECT(ADDRESS(3,ROW()-31,1)):INDIRECT(ADDRESS(22,ROW()-31,1)),BL$3:BL$22),"")</f>
        <v>6</v>
      </c>
      <c r="BM83">
        <f ca="1">IF(AND(((COLUMN()-10)&lt;=playercnt),((ROW()-41)&lt;=playercnt)),SUMPRODUCT(INDIRECT(ADDRESS(3,ROW()-31,1)):INDIRECT(ADDRESS(22,ROW()-31,1)),BM$3:BM$22),"")</f>
        <v>9</v>
      </c>
      <c r="BN83">
        <f ca="1">IF(AND(((COLUMN()-10)&lt;=playercnt),((ROW()-41)&lt;=playercnt)),SUMPRODUCT(INDIRECT(ADDRESS(3,ROW()-31,1)):INDIRECT(ADDRESS(22,ROW()-31,1)),BN$3:BN$22),"")</f>
        <v>6</v>
      </c>
    </row>
    <row r="84" spans="2:66" x14ac:dyDescent="0.2">
      <c r="B84" s="27">
        <f t="shared" ca="1" si="23"/>
        <v>6.283018867924528</v>
      </c>
      <c r="C84" t="str">
        <f t="shared" ca="1" si="24"/>
        <v>Ruffin, Chris</v>
      </c>
      <c r="G84">
        <f ca="1">IF(AND(((COLUMN()-10)&lt;=playercnt),((ROW()-41)&lt;=playercnt)),SUMPRODUCT(INDIRECT(ADDRESS(3,ROW()-31,1)):INDIRECT(ADDRESS(22,ROW()-31,1)),G$3:G$22),"")</f>
        <v>3</v>
      </c>
      <c r="H84">
        <f ca="1">IF(AND(((COLUMN()-10)&lt;=playercnt),((ROW()-41)&lt;=playercnt)),SUMPRODUCT(INDIRECT(ADDRESS(3,ROW()-31,1)):INDIRECT(ADDRESS(22,ROW()-31,1)),H$3:H$22),"")</f>
        <v>8</v>
      </c>
      <c r="I84">
        <f ca="1">IF(AND(((COLUMN()-10)&lt;=playercnt),((ROW()-41)&lt;=playercnt)),SUMPRODUCT(INDIRECT(ADDRESS(3,ROW()-31,1)):INDIRECT(ADDRESS(22,ROW()-31,1)),I$3:I$22),"")</f>
        <v>6.5</v>
      </c>
      <c r="J84">
        <f ca="1">IF(AND(((COLUMN()-10)&lt;=playercnt),((ROW()-41)&lt;=playercnt)),SUMPRODUCT(INDIRECT(ADDRESS(3,ROW()-31,1)):INDIRECT(ADDRESS(22,ROW()-31,1)),J$3:J$22),"")</f>
        <v>0</v>
      </c>
      <c r="K84">
        <f ca="1">IF(AND(((COLUMN()-10)&lt;=playercnt),((ROW()-41)&lt;=playercnt)),SUMPRODUCT(INDIRECT(ADDRESS(3,ROW()-31,1)):INDIRECT(ADDRESS(22,ROW()-31,1)),K$3:K$22),"")</f>
        <v>4</v>
      </c>
      <c r="L84">
        <f ca="1">IF(AND(((COLUMN()-10)&lt;=playercnt),((ROW()-41)&lt;=playercnt)),SUMPRODUCT(INDIRECT(ADDRESS(3,ROW()-31,1)):INDIRECT(ADDRESS(22,ROW()-31,1)),L$3:L$22),"")</f>
        <v>7</v>
      </c>
      <c r="M84">
        <f ca="1">IF(AND(((COLUMN()-10)&lt;=playercnt),((ROW()-41)&lt;=playercnt)),SUMPRODUCT(INDIRECT(ADDRESS(3,ROW()-31,1)):INDIRECT(ADDRESS(22,ROW()-31,1)),M$3:M$22),"")</f>
        <v>6</v>
      </c>
      <c r="N84">
        <f ca="1">IF(AND(((COLUMN()-10)&lt;=playercnt),((ROW()-41)&lt;=playercnt)),SUMPRODUCT(INDIRECT(ADDRESS(3,ROW()-31,1)):INDIRECT(ADDRESS(22,ROW()-31,1)),N$3:N$22),"")</f>
        <v>7</v>
      </c>
      <c r="O84">
        <f ca="1">IF(AND(((COLUMN()-10)&lt;=playercnt),((ROW()-41)&lt;=playercnt)),SUMPRODUCT(INDIRECT(ADDRESS(3,ROW()-31,1)):INDIRECT(ADDRESS(22,ROW()-31,1)),O$3:O$22),"")</f>
        <v>7</v>
      </c>
      <c r="P84">
        <f ca="1">IF(AND(((COLUMN()-10)&lt;=playercnt),((ROW()-41)&lt;=playercnt)),SUMPRODUCT(INDIRECT(ADDRESS(3,ROW()-31,1)):INDIRECT(ADDRESS(22,ROW()-31,1)),P$3:P$22),"")</f>
        <v>6</v>
      </c>
      <c r="Q84">
        <f ca="1">IF(AND(((COLUMN()-10)&lt;=playercnt),((ROW()-41)&lt;=playercnt)),SUMPRODUCT(INDIRECT(ADDRESS(3,ROW()-31,1)):INDIRECT(ADDRESS(22,ROW()-31,1)),Q$3:Q$22),"")</f>
        <v>7</v>
      </c>
      <c r="R84">
        <f ca="1">IF(AND(((COLUMN()-10)&lt;=playercnt),((ROW()-41)&lt;=playercnt)),SUMPRODUCT(INDIRECT(ADDRESS(3,ROW()-31,1)):INDIRECT(ADDRESS(22,ROW()-31,1)),R$3:R$22),"")</f>
        <v>3</v>
      </c>
      <c r="S84">
        <f ca="1">IF(AND(((COLUMN()-10)&lt;=playercnt),((ROW()-41)&lt;=playercnt)),SUMPRODUCT(INDIRECT(ADDRESS(3,ROW()-31,1)):INDIRECT(ADDRESS(22,ROW()-31,1)),S$3:S$22),"")</f>
        <v>9</v>
      </c>
      <c r="T84">
        <f ca="1">IF(AND(((COLUMN()-10)&lt;=playercnt),((ROW()-41)&lt;=playercnt)),SUMPRODUCT(INDIRECT(ADDRESS(3,ROW()-31,1)):INDIRECT(ADDRESS(22,ROW()-31,1)),T$3:T$22),"")</f>
        <v>6</v>
      </c>
      <c r="U84">
        <f ca="1">IF(AND(((COLUMN()-10)&lt;=playercnt),((ROW()-41)&lt;=playercnt)),SUMPRODUCT(INDIRECT(ADDRESS(3,ROW()-31,1)):INDIRECT(ADDRESS(22,ROW()-31,1)),U$3:U$22),"")</f>
        <v>7</v>
      </c>
      <c r="V84">
        <f ca="1">IF(AND(((COLUMN()-10)&lt;=playercnt),((ROW()-41)&lt;=playercnt)),SUMPRODUCT(INDIRECT(ADDRESS(3,ROW()-31,1)):INDIRECT(ADDRESS(22,ROW()-31,1)),V$3:V$22),"")</f>
        <v>7</v>
      </c>
      <c r="W84">
        <f ca="1">IF(AND(((COLUMN()-10)&lt;=playercnt),((ROW()-41)&lt;=playercnt)),SUMPRODUCT(INDIRECT(ADDRESS(3,ROW()-31,1)):INDIRECT(ADDRESS(22,ROW()-31,1)),W$3:W$22),"")</f>
        <v>7</v>
      </c>
      <c r="X84">
        <f ca="1">IF(AND(((COLUMN()-10)&lt;=playercnt),((ROW()-41)&lt;=playercnt)),SUMPRODUCT(INDIRECT(ADDRESS(3,ROW()-31,1)):INDIRECT(ADDRESS(22,ROW()-31,1)),X$3:X$22),"")</f>
        <v>4</v>
      </c>
      <c r="Y84">
        <f ca="1">IF(AND(((COLUMN()-10)&lt;=playercnt),((ROW()-41)&lt;=playercnt)),SUMPRODUCT(INDIRECT(ADDRESS(3,ROW()-31,1)):INDIRECT(ADDRESS(22,ROW()-31,1)),Y$3:Y$22),"")</f>
        <v>7</v>
      </c>
      <c r="Z84">
        <f ca="1">IF(AND(((COLUMN()-10)&lt;=playercnt),((ROW()-41)&lt;=playercnt)),SUMPRODUCT(INDIRECT(ADDRESS(3,ROW()-31,1)):INDIRECT(ADDRESS(22,ROW()-31,1)),Z$3:Z$22),"")</f>
        <v>8</v>
      </c>
      <c r="AA84">
        <f ca="1">IF(AND(((COLUMN()-10)&lt;=playercnt),((ROW()-41)&lt;=playercnt)),SUMPRODUCT(INDIRECT(ADDRESS(3,ROW()-31,1)):INDIRECT(ADDRESS(22,ROW()-31,1)),AA$3:AA$22),"")</f>
        <v>5</v>
      </c>
      <c r="AB84">
        <f ca="1">IF(AND(((COLUMN()-10)&lt;=playercnt),((ROW()-41)&lt;=playercnt)),SUMPRODUCT(INDIRECT(ADDRESS(3,ROW()-31,1)):INDIRECT(ADDRESS(22,ROW()-31,1)),AB$3:AB$22),"")</f>
        <v>4</v>
      </c>
      <c r="AC84">
        <f ca="1">IF(AND(((COLUMN()-10)&lt;=playercnt),((ROW()-41)&lt;=playercnt)),SUMPRODUCT(INDIRECT(ADDRESS(3,ROW()-31,1)):INDIRECT(ADDRESS(22,ROW()-31,1)),AC$3:AC$22),"")</f>
        <v>7</v>
      </c>
      <c r="AD84">
        <f ca="1">IF(AND(((COLUMN()-10)&lt;=playercnt),((ROW()-41)&lt;=playercnt)),SUMPRODUCT(INDIRECT(ADDRESS(3,ROW()-31,1)):INDIRECT(ADDRESS(22,ROW()-31,1)),AD$3:AD$22),"")</f>
        <v>5</v>
      </c>
      <c r="AE84">
        <f ca="1">IF(AND(((COLUMN()-10)&lt;=playercnt),((ROW()-41)&lt;=playercnt)),SUMPRODUCT(INDIRECT(ADDRESS(3,ROW()-31,1)):INDIRECT(ADDRESS(22,ROW()-31,1)),AE$3:AE$22),"")</f>
        <v>7</v>
      </c>
      <c r="AF84">
        <f ca="1">IF(AND(((COLUMN()-10)&lt;=playercnt),((ROW()-41)&lt;=playercnt)),SUMPRODUCT(INDIRECT(ADDRESS(3,ROW()-31,1)):INDIRECT(ADDRESS(22,ROW()-31,1)),AF$3:AF$22),"")</f>
        <v>6</v>
      </c>
      <c r="AG84">
        <f ca="1">IF(AND(((COLUMN()-10)&lt;=playercnt),((ROW()-41)&lt;=playercnt)),SUMPRODUCT(INDIRECT(ADDRESS(3,ROW()-31,1)):INDIRECT(ADDRESS(22,ROW()-31,1)),AG$3:AG$22),"")</f>
        <v>6</v>
      </c>
      <c r="AH84">
        <f ca="1">IF(AND(((COLUMN()-10)&lt;=playercnt),((ROW()-41)&lt;=playercnt)),SUMPRODUCT(INDIRECT(ADDRESS(3,ROW()-31,1)):INDIRECT(ADDRESS(22,ROW()-31,1)),AH$3:AH$22),"")</f>
        <v>5</v>
      </c>
      <c r="AI84">
        <f ca="1">IF(AND(((COLUMN()-10)&lt;=playercnt),((ROW()-41)&lt;=playercnt)),SUMPRODUCT(INDIRECT(ADDRESS(3,ROW()-31,1)):INDIRECT(ADDRESS(22,ROW()-31,1)),AI$3:AI$22),"")</f>
        <v>5</v>
      </c>
      <c r="AJ84">
        <f ca="1">IF(AND(((COLUMN()-10)&lt;=playercnt),((ROW()-41)&lt;=playercnt)),SUMPRODUCT(INDIRECT(ADDRESS(3,ROW()-31,1)):INDIRECT(ADDRESS(22,ROW()-31,1)),AJ$3:AJ$22),"")</f>
        <v>7</v>
      </c>
      <c r="AK84">
        <f ca="1">IF(AND(((COLUMN()-10)&lt;=playercnt),((ROW()-41)&lt;=playercnt)),SUMPRODUCT(INDIRECT(ADDRESS(3,ROW()-31,1)):INDIRECT(ADDRESS(22,ROW()-31,1)),AK$3:AK$22),"")</f>
        <v>0</v>
      </c>
      <c r="AL84">
        <f ca="1">IF(AND(((COLUMN()-10)&lt;=playercnt),((ROW()-41)&lt;=playercnt)),SUMPRODUCT(INDIRECT(ADDRESS(3,ROW()-31,1)):INDIRECT(ADDRESS(22,ROW()-31,1)),AL$3:AL$22),"")</f>
        <v>6</v>
      </c>
      <c r="AM84">
        <f ca="1">IF(AND(((COLUMN()-10)&lt;=playercnt),((ROW()-41)&lt;=playercnt)),SUMPRODUCT(INDIRECT(ADDRESS(3,ROW()-31,1)):INDIRECT(ADDRESS(22,ROW()-31,1)),AM$3:AM$22),"")</f>
        <v>5</v>
      </c>
      <c r="AN84">
        <f ca="1">IF(AND(((COLUMN()-10)&lt;=playercnt),((ROW()-41)&lt;=playercnt)),SUMPRODUCT(INDIRECT(ADDRESS(3,ROW()-31,1)):INDIRECT(ADDRESS(22,ROW()-31,1)),AN$3:AN$22),"")</f>
        <v>7</v>
      </c>
      <c r="AO84">
        <f ca="1">IF(AND(((COLUMN()-10)&lt;=playercnt),((ROW()-41)&lt;=playercnt)),SUMPRODUCT(INDIRECT(ADDRESS(3,ROW()-31,1)):INDIRECT(ADDRESS(22,ROW()-31,1)),AO$3:AO$22),"")</f>
        <v>7</v>
      </c>
      <c r="AP84">
        <f ca="1">IF(AND(((COLUMN()-10)&lt;=playercnt),((ROW()-41)&lt;=playercnt)),SUMPRODUCT(INDIRECT(ADDRESS(3,ROW()-31,1)):INDIRECT(ADDRESS(22,ROW()-31,1)),AP$3:AP$22),"")</f>
        <v>0</v>
      </c>
      <c r="AQ84">
        <f ca="1">IF(AND(((COLUMN()-10)&lt;=playercnt),((ROW()-41)&lt;=playercnt)),SUMPRODUCT(INDIRECT(ADDRESS(3,ROW()-31,1)):INDIRECT(ADDRESS(22,ROW()-31,1)),AQ$3:AQ$22),"")</f>
        <v>7</v>
      </c>
      <c r="AR84">
        <f ca="1">IF(AND(((COLUMN()-10)&lt;=playercnt),((ROW()-41)&lt;=playercnt)),SUMPRODUCT(INDIRECT(ADDRESS(3,ROW()-31,1)):INDIRECT(ADDRESS(22,ROW()-31,1)),AR$3:AR$22),"")</f>
        <v>4</v>
      </c>
      <c r="AS84">
        <f ca="1">IF(AND(((COLUMN()-10)&lt;=playercnt),((ROW()-41)&lt;=playercnt)),SUMPRODUCT(INDIRECT(ADDRESS(3,ROW()-31,1)):INDIRECT(ADDRESS(22,ROW()-31,1)),AS$3:AS$22),"")</f>
        <v>7</v>
      </c>
      <c r="AT84">
        <f ca="1">IF(AND(((COLUMN()-10)&lt;=playercnt),((ROW()-41)&lt;=playercnt)),SUMPRODUCT(INDIRECT(ADDRESS(3,ROW()-31,1)):INDIRECT(ADDRESS(22,ROW()-31,1)),AT$3:AT$22),"")</f>
        <v>5</v>
      </c>
      <c r="AU84">
        <f ca="1">IF(AND(((COLUMN()-10)&lt;=playercnt),((ROW()-41)&lt;=playercnt)),SUMPRODUCT(INDIRECT(ADDRESS(3,ROW()-31,1)):INDIRECT(ADDRESS(22,ROW()-31,1)),AU$3:AU$22),"")</f>
        <v>7</v>
      </c>
      <c r="AV84">
        <f ca="1">IF(AND(((COLUMN()-10)&lt;=playercnt),((ROW()-41)&lt;=playercnt)),SUMPRODUCT(INDIRECT(ADDRESS(3,ROW()-31,1)):INDIRECT(ADDRESS(22,ROW()-31,1)),AV$3:AV$22),"")</f>
        <v>7</v>
      </c>
      <c r="AW84">
        <f ca="1">IF(AND(((COLUMN()-10)&lt;=playercnt),((ROW()-41)&lt;=playercnt)),SUMPRODUCT(INDIRECT(ADDRESS(3,ROW()-31,1)):INDIRECT(ADDRESS(22,ROW()-31,1)),AW$3:AW$22),"")</f>
        <v>7</v>
      </c>
      <c r="AX84">
        <f ca="1">IF(AND(((COLUMN()-10)&lt;=playercnt),((ROW()-41)&lt;=playercnt)),SUMPRODUCT(INDIRECT(ADDRESS(3,ROW()-31,1)):INDIRECT(ADDRESS(22,ROW()-31,1)),AX$3:AX$22),"")</f>
        <v>6</v>
      </c>
      <c r="AY84">
        <f ca="1">IF(AND(((COLUMN()-10)&lt;=playercnt),((ROW()-41)&lt;=playercnt)),SUMPRODUCT(INDIRECT(ADDRESS(3,ROW()-31,1)):INDIRECT(ADDRESS(22,ROW()-31,1)),AY$3:AY$22),"")</f>
        <v>5</v>
      </c>
      <c r="AZ84">
        <f ca="1">IF(AND(((COLUMN()-10)&lt;=playercnt),((ROW()-41)&lt;=playercnt)),SUMPRODUCT(INDIRECT(ADDRESS(3,ROW()-31,1)):INDIRECT(ADDRESS(22,ROW()-31,1)),AZ$3:AZ$22),"")</f>
        <v>8</v>
      </c>
      <c r="BA84">
        <f ca="1">IF(AND(((COLUMN()-10)&lt;=playercnt),((ROW()-41)&lt;=playercnt)),SUMPRODUCT(INDIRECT(ADDRESS(3,ROW()-31,1)):INDIRECT(ADDRESS(22,ROW()-31,1)),BA$3:BA$22),"")</f>
        <v>10</v>
      </c>
      <c r="BB84">
        <f ca="1">IF(AND(((COLUMN()-10)&lt;=playercnt),((ROW()-41)&lt;=playercnt)),SUMPRODUCT(INDIRECT(ADDRESS(3,ROW()-31,1)):INDIRECT(ADDRESS(22,ROW()-31,1)),BB$3:BB$22),"")</f>
        <v>8</v>
      </c>
      <c r="BC84">
        <f ca="1">IF(AND(((COLUMN()-10)&lt;=playercnt),((ROW()-41)&lt;=playercnt)),SUMPRODUCT(INDIRECT(ADDRESS(3,ROW()-31,1)):INDIRECT(ADDRESS(22,ROW()-31,1)),BC$3:BC$22),"")</f>
        <v>8</v>
      </c>
      <c r="BD84">
        <f ca="1">IF(AND(((COLUMN()-10)&lt;=playercnt),((ROW()-41)&lt;=playercnt)),SUMPRODUCT(INDIRECT(ADDRESS(3,ROW()-31,1)):INDIRECT(ADDRESS(22,ROW()-31,1)),BD$3:BD$22),"")</f>
        <v>6</v>
      </c>
      <c r="BE84">
        <f ca="1">IF(AND(((COLUMN()-10)&lt;=playercnt),((ROW()-41)&lt;=playercnt)),SUMPRODUCT(INDIRECT(ADDRESS(3,ROW()-31,1)):INDIRECT(ADDRESS(22,ROW()-31,1)),BE$3:BE$22),"")</f>
        <v>7</v>
      </c>
      <c r="BF84">
        <f ca="1">IF(AND(((COLUMN()-10)&lt;=playercnt),((ROW()-41)&lt;=playercnt)),SUMPRODUCT(INDIRECT(ADDRESS(3,ROW()-31,1)):INDIRECT(ADDRESS(22,ROW()-31,1)),BF$3:BF$22),"")</f>
        <v>7</v>
      </c>
      <c r="BG84">
        <f ca="1">IF(AND(((COLUMN()-10)&lt;=playercnt),((ROW()-41)&lt;=playercnt)),SUMPRODUCT(INDIRECT(ADDRESS(3,ROW()-31,1)):INDIRECT(ADDRESS(22,ROW()-31,1)),BG$3:BG$22),"")</f>
        <v>5</v>
      </c>
      <c r="BH84">
        <f ca="1">IF(AND(((COLUMN()-10)&lt;=playercnt),((ROW()-41)&lt;=playercnt)),SUMPRODUCT(INDIRECT(ADDRESS(3,ROW()-31,1)):INDIRECT(ADDRESS(22,ROW()-31,1)),BH$3:BH$22),"")</f>
        <v>5</v>
      </c>
      <c r="BI84">
        <f ca="1">IF(AND(((COLUMN()-10)&lt;=playercnt),((ROW()-41)&lt;=playercnt)),SUMPRODUCT(INDIRECT(ADDRESS(3,ROW()-31,1)):INDIRECT(ADDRESS(22,ROW()-31,1)),BI$3:BI$22),"")</f>
        <v>7</v>
      </c>
      <c r="BJ84">
        <f ca="1">IF(AND(((COLUMN()-10)&lt;=playercnt),((ROW()-41)&lt;=playercnt)),SUMPRODUCT(INDIRECT(ADDRESS(3,ROW()-31,1)):INDIRECT(ADDRESS(22,ROW()-31,1)),BJ$3:BJ$22),"")</f>
        <v>7</v>
      </c>
      <c r="BK84">
        <f ca="1">IF(AND(((COLUMN()-10)&lt;=playercnt),((ROW()-41)&lt;=playercnt)),SUMPRODUCT(INDIRECT(ADDRESS(3,ROW()-31,1)):INDIRECT(ADDRESS(22,ROW()-31,1)),BK$3:BK$22),"")</f>
        <v>7</v>
      </c>
      <c r="BL84">
        <f ca="1">IF(AND(((COLUMN()-10)&lt;=playercnt),((ROW()-41)&lt;=playercnt)),SUMPRODUCT(INDIRECT(ADDRESS(3,ROW()-31,1)):INDIRECT(ADDRESS(22,ROW()-31,1)),BL$3:BL$22),"")</f>
        <v>6</v>
      </c>
      <c r="BM84">
        <f ca="1">IF(AND(((COLUMN()-10)&lt;=playercnt),((ROW()-41)&lt;=playercnt)),SUMPRODUCT(INDIRECT(ADDRESS(3,ROW()-31,1)):INDIRECT(ADDRESS(22,ROW()-31,1)),BM$3:BM$22),"")</f>
        <v>7</v>
      </c>
      <c r="BN84">
        <f ca="1">IF(AND(((COLUMN()-10)&lt;=playercnt),((ROW()-41)&lt;=playercnt)),SUMPRODUCT(INDIRECT(ADDRESS(3,ROW()-31,1)):INDIRECT(ADDRESS(22,ROW()-31,1)),BN$3:BN$22),"")</f>
        <v>6</v>
      </c>
    </row>
    <row r="85" spans="2:66" x14ac:dyDescent="0.2">
      <c r="B85" s="27">
        <f t="shared" ca="1" si="23"/>
        <v>6.4339622641509431</v>
      </c>
      <c r="C85" t="str">
        <f t="shared" ca="1" si="24"/>
        <v>Sams, David</v>
      </c>
      <c r="G85">
        <f ca="1">IF(AND(((COLUMN()-10)&lt;=playercnt),((ROW()-41)&lt;=playercnt)),SUMPRODUCT(INDIRECT(ADDRESS(3,ROW()-31,1)):INDIRECT(ADDRESS(22,ROW()-31,1)),G$3:G$22),"")</f>
        <v>5</v>
      </c>
      <c r="H85">
        <f ca="1">IF(AND(((COLUMN()-10)&lt;=playercnt),((ROW()-41)&lt;=playercnt)),SUMPRODUCT(INDIRECT(ADDRESS(3,ROW()-31,1)):INDIRECT(ADDRESS(22,ROW()-31,1)),H$3:H$22),"")</f>
        <v>10</v>
      </c>
      <c r="I85">
        <f ca="1">IF(AND(((COLUMN()-10)&lt;=playercnt),((ROW()-41)&lt;=playercnt)),SUMPRODUCT(INDIRECT(ADDRESS(3,ROW()-31,1)):INDIRECT(ADDRESS(22,ROW()-31,1)),I$3:I$22),"")</f>
        <v>7.5</v>
      </c>
      <c r="J85">
        <f ca="1">IF(AND(((COLUMN()-10)&lt;=playercnt),((ROW()-41)&lt;=playercnt)),SUMPRODUCT(INDIRECT(ADDRESS(3,ROW()-31,1)):INDIRECT(ADDRESS(22,ROW()-31,1)),J$3:J$22),"")</f>
        <v>0</v>
      </c>
      <c r="K85">
        <f ca="1">IF(AND(((COLUMN()-10)&lt;=playercnt),((ROW()-41)&lt;=playercnt)),SUMPRODUCT(INDIRECT(ADDRESS(3,ROW()-31,1)):INDIRECT(ADDRESS(22,ROW()-31,1)),K$3:K$22),"")</f>
        <v>6</v>
      </c>
      <c r="L85">
        <f ca="1">IF(AND(((COLUMN()-10)&lt;=playercnt),((ROW()-41)&lt;=playercnt)),SUMPRODUCT(INDIRECT(ADDRESS(3,ROW()-31,1)):INDIRECT(ADDRESS(22,ROW()-31,1)),L$3:L$22),"")</f>
        <v>9</v>
      </c>
      <c r="M85">
        <f ca="1">IF(AND(((COLUMN()-10)&lt;=playercnt),((ROW()-41)&lt;=playercnt)),SUMPRODUCT(INDIRECT(ADDRESS(3,ROW()-31,1)):INDIRECT(ADDRESS(22,ROW()-31,1)),M$3:M$22),"")</f>
        <v>4</v>
      </c>
      <c r="N85">
        <f ca="1">IF(AND(((COLUMN()-10)&lt;=playercnt),((ROW()-41)&lt;=playercnt)),SUMPRODUCT(INDIRECT(ADDRESS(3,ROW()-31,1)):INDIRECT(ADDRESS(22,ROW()-31,1)),N$3:N$22),"")</f>
        <v>9</v>
      </c>
      <c r="O85">
        <f ca="1">IF(AND(((COLUMN()-10)&lt;=playercnt),((ROW()-41)&lt;=playercnt)),SUMPRODUCT(INDIRECT(ADDRESS(3,ROW()-31,1)):INDIRECT(ADDRESS(22,ROW()-31,1)),O$3:O$22),"")</f>
        <v>7</v>
      </c>
      <c r="P85">
        <f ca="1">IF(AND(((COLUMN()-10)&lt;=playercnt),((ROW()-41)&lt;=playercnt)),SUMPRODUCT(INDIRECT(ADDRESS(3,ROW()-31,1)):INDIRECT(ADDRESS(22,ROW()-31,1)),P$3:P$22),"")</f>
        <v>6</v>
      </c>
      <c r="Q85">
        <f ca="1">IF(AND(((COLUMN()-10)&lt;=playercnt),((ROW()-41)&lt;=playercnt)),SUMPRODUCT(INDIRECT(ADDRESS(3,ROW()-31,1)):INDIRECT(ADDRESS(22,ROW()-31,1)),Q$3:Q$22),"")</f>
        <v>7</v>
      </c>
      <c r="R85">
        <f ca="1">IF(AND(((COLUMN()-10)&lt;=playercnt),((ROW()-41)&lt;=playercnt)),SUMPRODUCT(INDIRECT(ADDRESS(3,ROW()-31,1)):INDIRECT(ADDRESS(22,ROW()-31,1)),R$3:R$22),"")</f>
        <v>5</v>
      </c>
      <c r="S85">
        <f ca="1">IF(AND(((COLUMN()-10)&lt;=playercnt),((ROW()-41)&lt;=playercnt)),SUMPRODUCT(INDIRECT(ADDRESS(3,ROW()-31,1)):INDIRECT(ADDRESS(22,ROW()-31,1)),S$3:S$22),"")</f>
        <v>7</v>
      </c>
      <c r="T85">
        <f ca="1">IF(AND(((COLUMN()-10)&lt;=playercnt),((ROW()-41)&lt;=playercnt)),SUMPRODUCT(INDIRECT(ADDRESS(3,ROW()-31,1)):INDIRECT(ADDRESS(22,ROW()-31,1)),T$3:T$22),"")</f>
        <v>6</v>
      </c>
      <c r="U85">
        <f ca="1">IF(AND(((COLUMN()-10)&lt;=playercnt),((ROW()-41)&lt;=playercnt)),SUMPRODUCT(INDIRECT(ADDRESS(3,ROW()-31,1)):INDIRECT(ADDRESS(22,ROW()-31,1)),U$3:U$22),"")</f>
        <v>9</v>
      </c>
      <c r="V85">
        <f ca="1">IF(AND(((COLUMN()-10)&lt;=playercnt),((ROW()-41)&lt;=playercnt)),SUMPRODUCT(INDIRECT(ADDRESS(3,ROW()-31,1)):INDIRECT(ADDRESS(22,ROW()-31,1)),V$3:V$22),"")</f>
        <v>5</v>
      </c>
      <c r="W85">
        <f ca="1">IF(AND(((COLUMN()-10)&lt;=playercnt),((ROW()-41)&lt;=playercnt)),SUMPRODUCT(INDIRECT(ADDRESS(3,ROW()-31,1)):INDIRECT(ADDRESS(22,ROW()-31,1)),W$3:W$22),"")</f>
        <v>5</v>
      </c>
      <c r="X85">
        <f ca="1">IF(AND(((COLUMN()-10)&lt;=playercnt),((ROW()-41)&lt;=playercnt)),SUMPRODUCT(INDIRECT(ADDRESS(3,ROW()-31,1)):INDIRECT(ADDRESS(22,ROW()-31,1)),X$3:X$22),"")</f>
        <v>4</v>
      </c>
      <c r="Y85">
        <f ca="1">IF(AND(((COLUMN()-10)&lt;=playercnt),((ROW()-41)&lt;=playercnt)),SUMPRODUCT(INDIRECT(ADDRESS(3,ROW()-31,1)):INDIRECT(ADDRESS(22,ROW()-31,1)),Y$3:Y$22),"")</f>
        <v>9</v>
      </c>
      <c r="Z85">
        <f ca="1">IF(AND(((COLUMN()-10)&lt;=playercnt),((ROW()-41)&lt;=playercnt)),SUMPRODUCT(INDIRECT(ADDRESS(3,ROW()-31,1)):INDIRECT(ADDRESS(22,ROW()-31,1)),Z$3:Z$22),"")</f>
        <v>6</v>
      </c>
      <c r="AA85">
        <f ca="1">IF(AND(((COLUMN()-10)&lt;=playercnt),((ROW()-41)&lt;=playercnt)),SUMPRODUCT(INDIRECT(ADDRESS(3,ROW()-31,1)):INDIRECT(ADDRESS(22,ROW()-31,1)),AA$3:AA$22),"")</f>
        <v>3</v>
      </c>
      <c r="AB85">
        <f ca="1">IF(AND(((COLUMN()-10)&lt;=playercnt),((ROW()-41)&lt;=playercnt)),SUMPRODUCT(INDIRECT(ADDRESS(3,ROW()-31,1)):INDIRECT(ADDRESS(22,ROW()-31,1)),AB$3:AB$22),"")</f>
        <v>6</v>
      </c>
      <c r="AC85">
        <f ca="1">IF(AND(((COLUMN()-10)&lt;=playercnt),((ROW()-41)&lt;=playercnt)),SUMPRODUCT(INDIRECT(ADDRESS(3,ROW()-31,1)):INDIRECT(ADDRESS(22,ROW()-31,1)),AC$3:AC$22),"")</f>
        <v>7</v>
      </c>
      <c r="AD85">
        <f ca="1">IF(AND(((COLUMN()-10)&lt;=playercnt),((ROW()-41)&lt;=playercnt)),SUMPRODUCT(INDIRECT(ADDRESS(3,ROW()-31,1)):INDIRECT(ADDRESS(22,ROW()-31,1)),AD$3:AD$22),"")</f>
        <v>7</v>
      </c>
      <c r="AE85">
        <f ca="1">IF(AND(((COLUMN()-10)&lt;=playercnt),((ROW()-41)&lt;=playercnt)),SUMPRODUCT(INDIRECT(ADDRESS(3,ROW()-31,1)):INDIRECT(ADDRESS(22,ROW()-31,1)),AE$3:AE$22),"")</f>
        <v>7</v>
      </c>
      <c r="AF85">
        <f ca="1">IF(AND(((COLUMN()-10)&lt;=playercnt),((ROW()-41)&lt;=playercnt)),SUMPRODUCT(INDIRECT(ADDRESS(3,ROW()-31,1)):INDIRECT(ADDRESS(22,ROW()-31,1)),AF$3:AF$22),"")</f>
        <v>4</v>
      </c>
      <c r="AG85">
        <f ca="1">IF(AND(((COLUMN()-10)&lt;=playercnt),((ROW()-41)&lt;=playercnt)),SUMPRODUCT(INDIRECT(ADDRESS(3,ROW()-31,1)):INDIRECT(ADDRESS(22,ROW()-31,1)),AG$3:AG$22),"")</f>
        <v>6</v>
      </c>
      <c r="AH85">
        <f ca="1">IF(AND(((COLUMN()-10)&lt;=playercnt),((ROW()-41)&lt;=playercnt)),SUMPRODUCT(INDIRECT(ADDRESS(3,ROW()-31,1)):INDIRECT(ADDRESS(22,ROW()-31,1)),AH$3:AH$22),"")</f>
        <v>7</v>
      </c>
      <c r="AI85">
        <f ca="1">IF(AND(((COLUMN()-10)&lt;=playercnt),((ROW()-41)&lt;=playercnt)),SUMPRODUCT(INDIRECT(ADDRESS(3,ROW()-31,1)):INDIRECT(ADDRESS(22,ROW()-31,1)),AI$3:AI$22),"")</f>
        <v>5</v>
      </c>
      <c r="AJ85">
        <f ca="1">IF(AND(((COLUMN()-10)&lt;=playercnt),((ROW()-41)&lt;=playercnt)),SUMPRODUCT(INDIRECT(ADDRESS(3,ROW()-31,1)):INDIRECT(ADDRESS(22,ROW()-31,1)),AJ$3:AJ$22),"")</f>
        <v>7</v>
      </c>
      <c r="AK85">
        <f ca="1">IF(AND(((COLUMN()-10)&lt;=playercnt),((ROW()-41)&lt;=playercnt)),SUMPRODUCT(INDIRECT(ADDRESS(3,ROW()-31,1)):INDIRECT(ADDRESS(22,ROW()-31,1)),AK$3:AK$22),"")</f>
        <v>0</v>
      </c>
      <c r="AL85">
        <f ca="1">IF(AND(((COLUMN()-10)&lt;=playercnt),((ROW()-41)&lt;=playercnt)),SUMPRODUCT(INDIRECT(ADDRESS(3,ROW()-31,1)):INDIRECT(ADDRESS(22,ROW()-31,1)),AL$3:AL$22),"")</f>
        <v>8</v>
      </c>
      <c r="AM85">
        <f ca="1">IF(AND(((COLUMN()-10)&lt;=playercnt),((ROW()-41)&lt;=playercnt)),SUMPRODUCT(INDIRECT(ADDRESS(3,ROW()-31,1)):INDIRECT(ADDRESS(22,ROW()-31,1)),AM$3:AM$22),"")</f>
        <v>7</v>
      </c>
      <c r="AN85">
        <f ca="1">IF(AND(((COLUMN()-10)&lt;=playercnt),((ROW()-41)&lt;=playercnt)),SUMPRODUCT(INDIRECT(ADDRESS(3,ROW()-31,1)):INDIRECT(ADDRESS(22,ROW()-31,1)),AN$3:AN$22),"")</f>
        <v>9</v>
      </c>
      <c r="AO85">
        <f ca="1">IF(AND(((COLUMN()-10)&lt;=playercnt),((ROW()-41)&lt;=playercnt)),SUMPRODUCT(INDIRECT(ADDRESS(3,ROW()-31,1)):INDIRECT(ADDRESS(22,ROW()-31,1)),AO$3:AO$22),"")</f>
        <v>5</v>
      </c>
      <c r="AP85">
        <f ca="1">IF(AND(((COLUMN()-10)&lt;=playercnt),((ROW()-41)&lt;=playercnt)),SUMPRODUCT(INDIRECT(ADDRESS(3,ROW()-31,1)):INDIRECT(ADDRESS(22,ROW()-31,1)),AP$3:AP$22),"")</f>
        <v>0</v>
      </c>
      <c r="AQ85">
        <f ca="1">IF(AND(((COLUMN()-10)&lt;=playercnt),((ROW()-41)&lt;=playercnt)),SUMPRODUCT(INDIRECT(ADDRESS(3,ROW()-31,1)):INDIRECT(ADDRESS(22,ROW()-31,1)),AQ$3:AQ$22),"")</f>
        <v>7</v>
      </c>
      <c r="AR85">
        <f ca="1">IF(AND(((COLUMN()-10)&lt;=playercnt),((ROW()-41)&lt;=playercnt)),SUMPRODUCT(INDIRECT(ADDRESS(3,ROW()-31,1)):INDIRECT(ADDRESS(22,ROW()-31,1)),AR$3:AR$22),"")</f>
        <v>4</v>
      </c>
      <c r="AS85">
        <f ca="1">IF(AND(((COLUMN()-10)&lt;=playercnt),((ROW()-41)&lt;=playercnt)),SUMPRODUCT(INDIRECT(ADDRESS(3,ROW()-31,1)):INDIRECT(ADDRESS(22,ROW()-31,1)),AS$3:AS$22),"")</f>
        <v>7</v>
      </c>
      <c r="AT85">
        <f ca="1">IF(AND(((COLUMN()-10)&lt;=playercnt),((ROW()-41)&lt;=playercnt)),SUMPRODUCT(INDIRECT(ADDRESS(3,ROW()-31,1)):INDIRECT(ADDRESS(22,ROW()-31,1)),AT$3:AT$22),"")</f>
        <v>7</v>
      </c>
      <c r="AU85">
        <f ca="1">IF(AND(((COLUMN()-10)&lt;=playercnt),((ROW()-41)&lt;=playercnt)),SUMPRODUCT(INDIRECT(ADDRESS(3,ROW()-31,1)):INDIRECT(ADDRESS(22,ROW()-31,1)),AU$3:AU$22),"")</f>
        <v>7</v>
      </c>
      <c r="AV85">
        <f ca="1">IF(AND(((COLUMN()-10)&lt;=playercnt),((ROW()-41)&lt;=playercnt)),SUMPRODUCT(INDIRECT(ADDRESS(3,ROW()-31,1)):INDIRECT(ADDRESS(22,ROW()-31,1)),AV$3:AV$22),"")</f>
        <v>9</v>
      </c>
      <c r="AW85">
        <f ca="1">IF(AND(((COLUMN()-10)&lt;=playercnt),((ROW()-41)&lt;=playercnt)),SUMPRODUCT(INDIRECT(ADDRESS(3,ROW()-31,1)):INDIRECT(ADDRESS(22,ROW()-31,1)),AW$3:AW$22),"")</f>
        <v>7</v>
      </c>
      <c r="AX85">
        <f ca="1">IF(AND(((COLUMN()-10)&lt;=playercnt),((ROW()-41)&lt;=playercnt)),SUMPRODUCT(INDIRECT(ADDRESS(3,ROW()-31,1)):INDIRECT(ADDRESS(22,ROW()-31,1)),AX$3:AX$22),"")</f>
        <v>6</v>
      </c>
      <c r="AY85">
        <f ca="1">IF(AND(((COLUMN()-10)&lt;=playercnt),((ROW()-41)&lt;=playercnt)),SUMPRODUCT(INDIRECT(ADDRESS(3,ROW()-31,1)):INDIRECT(ADDRESS(22,ROW()-31,1)),AY$3:AY$22),"")</f>
        <v>7</v>
      </c>
      <c r="AZ85">
        <f ca="1">IF(AND(((COLUMN()-10)&lt;=playercnt),((ROW()-41)&lt;=playercnt)),SUMPRODUCT(INDIRECT(ADDRESS(3,ROW()-31,1)):INDIRECT(ADDRESS(22,ROW()-31,1)),AZ$3:AZ$22),"")</f>
        <v>6</v>
      </c>
      <c r="BA85">
        <f ca="1">IF(AND(((COLUMN()-10)&lt;=playercnt),((ROW()-41)&lt;=playercnt)),SUMPRODUCT(INDIRECT(ADDRESS(3,ROW()-31,1)):INDIRECT(ADDRESS(22,ROW()-31,1)),BA$3:BA$22),"")</f>
        <v>8</v>
      </c>
      <c r="BB85">
        <f ca="1">IF(AND(((COLUMN()-10)&lt;=playercnt),((ROW()-41)&lt;=playercnt)),SUMPRODUCT(INDIRECT(ADDRESS(3,ROW()-31,1)):INDIRECT(ADDRESS(22,ROW()-31,1)),BB$3:BB$22),"")</f>
        <v>10</v>
      </c>
      <c r="BC85">
        <f ca="1">IF(AND(((COLUMN()-10)&lt;=playercnt),((ROW()-41)&lt;=playercnt)),SUMPRODUCT(INDIRECT(ADDRESS(3,ROW()-31,1)):INDIRECT(ADDRESS(22,ROW()-31,1)),BC$3:BC$22),"")</f>
        <v>8</v>
      </c>
      <c r="BD85">
        <f ca="1">IF(AND(((COLUMN()-10)&lt;=playercnt),((ROW()-41)&lt;=playercnt)),SUMPRODUCT(INDIRECT(ADDRESS(3,ROW()-31,1)):INDIRECT(ADDRESS(22,ROW()-31,1)),BD$3:BD$22),"")</f>
        <v>4</v>
      </c>
      <c r="BE85">
        <f ca="1">IF(AND(((COLUMN()-10)&lt;=playercnt),((ROW()-41)&lt;=playercnt)),SUMPRODUCT(INDIRECT(ADDRESS(3,ROW()-31,1)):INDIRECT(ADDRESS(22,ROW()-31,1)),BE$3:BE$22),"")</f>
        <v>7</v>
      </c>
      <c r="BF85">
        <f ca="1">IF(AND(((COLUMN()-10)&lt;=playercnt),((ROW()-41)&lt;=playercnt)),SUMPRODUCT(INDIRECT(ADDRESS(3,ROW()-31,1)):INDIRECT(ADDRESS(22,ROW()-31,1)),BF$3:BF$22),"")</f>
        <v>7</v>
      </c>
      <c r="BG85">
        <f ca="1">IF(AND(((COLUMN()-10)&lt;=playercnt),((ROW()-41)&lt;=playercnt)),SUMPRODUCT(INDIRECT(ADDRESS(3,ROW()-31,1)):INDIRECT(ADDRESS(22,ROW()-31,1)),BG$3:BG$22),"")</f>
        <v>5</v>
      </c>
      <c r="BH85">
        <f ca="1">IF(AND(((COLUMN()-10)&lt;=playercnt),((ROW()-41)&lt;=playercnt)),SUMPRODUCT(INDIRECT(ADDRESS(3,ROW()-31,1)):INDIRECT(ADDRESS(22,ROW()-31,1)),BH$3:BH$22),"")</f>
        <v>5</v>
      </c>
      <c r="BI85">
        <f ca="1">IF(AND(((COLUMN()-10)&lt;=playercnt),((ROW()-41)&lt;=playercnt)),SUMPRODUCT(INDIRECT(ADDRESS(3,ROW()-31,1)):INDIRECT(ADDRESS(22,ROW()-31,1)),BI$3:BI$22),"")</f>
        <v>9</v>
      </c>
      <c r="BJ85">
        <f ca="1">IF(AND(((COLUMN()-10)&lt;=playercnt),((ROW()-41)&lt;=playercnt)),SUMPRODUCT(INDIRECT(ADDRESS(3,ROW()-31,1)):INDIRECT(ADDRESS(22,ROW()-31,1)),BJ$3:BJ$22),"")</f>
        <v>5</v>
      </c>
      <c r="BK85">
        <f ca="1">IF(AND(((COLUMN()-10)&lt;=playercnt),((ROW()-41)&lt;=playercnt)),SUMPRODUCT(INDIRECT(ADDRESS(3,ROW()-31,1)):INDIRECT(ADDRESS(22,ROW()-31,1)),BK$3:BK$22),"")</f>
        <v>5</v>
      </c>
      <c r="BL85">
        <f ca="1">IF(AND(((COLUMN()-10)&lt;=playercnt),((ROW()-41)&lt;=playercnt)),SUMPRODUCT(INDIRECT(ADDRESS(3,ROW()-31,1)):INDIRECT(ADDRESS(22,ROW()-31,1)),BL$3:BL$22),"")</f>
        <v>6</v>
      </c>
      <c r="BM85">
        <f ca="1">IF(AND(((COLUMN()-10)&lt;=playercnt),((ROW()-41)&lt;=playercnt)),SUMPRODUCT(INDIRECT(ADDRESS(3,ROW()-31,1)):INDIRECT(ADDRESS(22,ROW()-31,1)),BM$3:BM$22),"")</f>
        <v>7</v>
      </c>
      <c r="BN85">
        <f ca="1">IF(AND(((COLUMN()-10)&lt;=playercnt),((ROW()-41)&lt;=playercnt)),SUMPRODUCT(INDIRECT(ADDRESS(3,ROW()-31,1)):INDIRECT(ADDRESS(22,ROW()-31,1)),BN$3:BN$22),"")</f>
        <v>6</v>
      </c>
    </row>
    <row r="86" spans="2:66" ht="13.5" customHeight="1" x14ac:dyDescent="0.2">
      <c r="B86" s="27">
        <f t="shared" ca="1" si="23"/>
        <v>6.0188679245283021</v>
      </c>
      <c r="C86" t="str">
        <f t="shared" ca="1" si="24"/>
        <v>Sapp, Carl G</v>
      </c>
      <c r="G86">
        <f ca="1">IF(AND(((COLUMN()-10)&lt;=playercnt),((ROW()-41)&lt;=playercnt)),SUMPRODUCT(INDIRECT(ADDRESS(3,ROW()-31,1)):INDIRECT(ADDRESS(22,ROW()-31,1)),G$3:G$22),"")</f>
        <v>3</v>
      </c>
      <c r="H86">
        <f ca="1">IF(AND(((COLUMN()-10)&lt;=playercnt),((ROW()-41)&lt;=playercnt)),SUMPRODUCT(INDIRECT(ADDRESS(3,ROW()-31,1)):INDIRECT(ADDRESS(22,ROW()-31,1)),H$3:H$22),"")</f>
        <v>8</v>
      </c>
      <c r="I86">
        <f ca="1">IF(AND(((COLUMN()-10)&lt;=playercnt),((ROW()-41)&lt;=playercnt)),SUMPRODUCT(INDIRECT(ADDRESS(3,ROW()-31,1)):INDIRECT(ADDRESS(22,ROW()-31,1)),I$3:I$22),"")</f>
        <v>5.5</v>
      </c>
      <c r="J86">
        <f ca="1">IF(AND(((COLUMN()-10)&lt;=playercnt),((ROW()-41)&lt;=playercnt)),SUMPRODUCT(INDIRECT(ADDRESS(3,ROW()-31,1)):INDIRECT(ADDRESS(22,ROW()-31,1)),J$3:J$22),"")</f>
        <v>0</v>
      </c>
      <c r="K86">
        <f ca="1">IF(AND(((COLUMN()-10)&lt;=playercnt),((ROW()-41)&lt;=playercnt)),SUMPRODUCT(INDIRECT(ADDRESS(3,ROW()-31,1)):INDIRECT(ADDRESS(22,ROW()-31,1)),K$3:K$22),"")</f>
        <v>6</v>
      </c>
      <c r="L86">
        <f ca="1">IF(AND(((COLUMN()-10)&lt;=playercnt),((ROW()-41)&lt;=playercnt)),SUMPRODUCT(INDIRECT(ADDRESS(3,ROW()-31,1)):INDIRECT(ADDRESS(22,ROW()-31,1)),L$3:L$22),"")</f>
        <v>7</v>
      </c>
      <c r="M86">
        <f ca="1">IF(AND(((COLUMN()-10)&lt;=playercnt),((ROW()-41)&lt;=playercnt)),SUMPRODUCT(INDIRECT(ADDRESS(3,ROW()-31,1)):INDIRECT(ADDRESS(22,ROW()-31,1)),M$3:M$22),"")</f>
        <v>6</v>
      </c>
      <c r="N86">
        <f ca="1">IF(AND(((COLUMN()-10)&lt;=playercnt),((ROW()-41)&lt;=playercnt)),SUMPRODUCT(INDIRECT(ADDRESS(3,ROW()-31,1)):INDIRECT(ADDRESS(22,ROW()-31,1)),N$3:N$22),"")</f>
        <v>7</v>
      </c>
      <c r="O86">
        <f ca="1">IF(AND(((COLUMN()-10)&lt;=playercnt),((ROW()-41)&lt;=playercnt)),SUMPRODUCT(INDIRECT(ADDRESS(3,ROW()-31,1)):INDIRECT(ADDRESS(22,ROW()-31,1)),O$3:O$22),"")</f>
        <v>5</v>
      </c>
      <c r="P86">
        <f ca="1">IF(AND(((COLUMN()-10)&lt;=playercnt),((ROW()-41)&lt;=playercnt)),SUMPRODUCT(INDIRECT(ADDRESS(3,ROW()-31,1)):INDIRECT(ADDRESS(22,ROW()-31,1)),P$3:P$22),"")</f>
        <v>4</v>
      </c>
      <c r="Q86">
        <f ca="1">IF(AND(((COLUMN()-10)&lt;=playercnt),((ROW()-41)&lt;=playercnt)),SUMPRODUCT(INDIRECT(ADDRESS(3,ROW()-31,1)):INDIRECT(ADDRESS(22,ROW()-31,1)),Q$3:Q$22),"")</f>
        <v>5</v>
      </c>
      <c r="R86">
        <f ca="1">IF(AND(((COLUMN()-10)&lt;=playercnt),((ROW()-41)&lt;=playercnt)),SUMPRODUCT(INDIRECT(ADDRESS(3,ROW()-31,1)):INDIRECT(ADDRESS(22,ROW()-31,1)),R$3:R$22),"")</f>
        <v>3</v>
      </c>
      <c r="S86">
        <f ca="1">IF(AND(((COLUMN()-10)&lt;=playercnt),((ROW()-41)&lt;=playercnt)),SUMPRODUCT(INDIRECT(ADDRESS(3,ROW()-31,1)):INDIRECT(ADDRESS(22,ROW()-31,1)),S$3:S$22),"")</f>
        <v>7</v>
      </c>
      <c r="T86">
        <f ca="1">IF(AND(((COLUMN()-10)&lt;=playercnt),((ROW()-41)&lt;=playercnt)),SUMPRODUCT(INDIRECT(ADDRESS(3,ROW()-31,1)):INDIRECT(ADDRESS(22,ROW()-31,1)),T$3:T$22),"")</f>
        <v>4</v>
      </c>
      <c r="U86">
        <f ca="1">IF(AND(((COLUMN()-10)&lt;=playercnt),((ROW()-41)&lt;=playercnt)),SUMPRODUCT(INDIRECT(ADDRESS(3,ROW()-31,1)):INDIRECT(ADDRESS(22,ROW()-31,1)),U$3:U$22),"")</f>
        <v>7</v>
      </c>
      <c r="V86">
        <f ca="1">IF(AND(((COLUMN()-10)&lt;=playercnt),((ROW()-41)&lt;=playercnt)),SUMPRODUCT(INDIRECT(ADDRESS(3,ROW()-31,1)):INDIRECT(ADDRESS(22,ROW()-31,1)),V$3:V$22),"")</f>
        <v>7</v>
      </c>
      <c r="W86">
        <f ca="1">IF(AND(((COLUMN()-10)&lt;=playercnt),((ROW()-41)&lt;=playercnt)),SUMPRODUCT(INDIRECT(ADDRESS(3,ROW()-31,1)):INDIRECT(ADDRESS(22,ROW()-31,1)),W$3:W$22),"")</f>
        <v>5</v>
      </c>
      <c r="X86">
        <f ca="1">IF(AND(((COLUMN()-10)&lt;=playercnt),((ROW()-41)&lt;=playercnt)),SUMPRODUCT(INDIRECT(ADDRESS(3,ROW()-31,1)):INDIRECT(ADDRESS(22,ROW()-31,1)),X$3:X$22),"")</f>
        <v>4</v>
      </c>
      <c r="Y86">
        <f ca="1">IF(AND(((COLUMN()-10)&lt;=playercnt),((ROW()-41)&lt;=playercnt)),SUMPRODUCT(INDIRECT(ADDRESS(3,ROW()-31,1)):INDIRECT(ADDRESS(22,ROW()-31,1)),Y$3:Y$22),"")</f>
        <v>7</v>
      </c>
      <c r="Z86">
        <f ca="1">IF(AND(((COLUMN()-10)&lt;=playercnt),((ROW()-41)&lt;=playercnt)),SUMPRODUCT(INDIRECT(ADDRESS(3,ROW()-31,1)):INDIRECT(ADDRESS(22,ROW()-31,1)),Z$3:Z$22),"")</f>
        <v>8</v>
      </c>
      <c r="AA86">
        <f ca="1">IF(AND(((COLUMN()-10)&lt;=playercnt),((ROW()-41)&lt;=playercnt)),SUMPRODUCT(INDIRECT(ADDRESS(3,ROW()-31,1)):INDIRECT(ADDRESS(22,ROW()-31,1)),AA$3:AA$22),"")</f>
        <v>5</v>
      </c>
      <c r="AB86">
        <f ca="1">IF(AND(((COLUMN()-10)&lt;=playercnt),((ROW()-41)&lt;=playercnt)),SUMPRODUCT(INDIRECT(ADDRESS(3,ROW()-31,1)):INDIRECT(ADDRESS(22,ROW()-31,1)),AB$3:AB$22),"")</f>
        <v>6</v>
      </c>
      <c r="AC86">
        <f ca="1">IF(AND(((COLUMN()-10)&lt;=playercnt),((ROW()-41)&lt;=playercnt)),SUMPRODUCT(INDIRECT(ADDRESS(3,ROW()-31,1)):INDIRECT(ADDRESS(22,ROW()-31,1)),AC$3:AC$22),"")</f>
        <v>7</v>
      </c>
      <c r="AD86">
        <f ca="1">IF(AND(((COLUMN()-10)&lt;=playercnt),((ROW()-41)&lt;=playercnt)),SUMPRODUCT(INDIRECT(ADDRESS(3,ROW()-31,1)):INDIRECT(ADDRESS(22,ROW()-31,1)),AD$3:AD$22),"")</f>
        <v>7</v>
      </c>
      <c r="AE86">
        <f ca="1">IF(AND(((COLUMN()-10)&lt;=playercnt),((ROW()-41)&lt;=playercnt)),SUMPRODUCT(INDIRECT(ADDRESS(3,ROW()-31,1)):INDIRECT(ADDRESS(22,ROW()-31,1)),AE$3:AE$22),"")</f>
        <v>7</v>
      </c>
      <c r="AF86">
        <f ca="1">IF(AND(((COLUMN()-10)&lt;=playercnt),((ROW()-41)&lt;=playercnt)),SUMPRODUCT(INDIRECT(ADDRESS(3,ROW()-31,1)):INDIRECT(ADDRESS(22,ROW()-31,1)),AF$3:AF$22),"")</f>
        <v>6</v>
      </c>
      <c r="AG86">
        <f ca="1">IF(AND(((COLUMN()-10)&lt;=playercnt),((ROW()-41)&lt;=playercnt)),SUMPRODUCT(INDIRECT(ADDRESS(3,ROW()-31,1)):INDIRECT(ADDRESS(22,ROW()-31,1)),AG$3:AG$22),"")</f>
        <v>8</v>
      </c>
      <c r="AH86">
        <f ca="1">IF(AND(((COLUMN()-10)&lt;=playercnt),((ROW()-41)&lt;=playercnt)),SUMPRODUCT(INDIRECT(ADDRESS(3,ROW()-31,1)):INDIRECT(ADDRESS(22,ROW()-31,1)),AH$3:AH$22),"")</f>
        <v>5</v>
      </c>
      <c r="AI86">
        <f ca="1">IF(AND(((COLUMN()-10)&lt;=playercnt),((ROW()-41)&lt;=playercnt)),SUMPRODUCT(INDIRECT(ADDRESS(3,ROW()-31,1)):INDIRECT(ADDRESS(22,ROW()-31,1)),AI$3:AI$22),"")</f>
        <v>5</v>
      </c>
      <c r="AJ86">
        <f ca="1">IF(AND(((COLUMN()-10)&lt;=playercnt),((ROW()-41)&lt;=playercnt)),SUMPRODUCT(INDIRECT(ADDRESS(3,ROW()-31,1)):INDIRECT(ADDRESS(22,ROW()-31,1)),AJ$3:AJ$22),"")</f>
        <v>9</v>
      </c>
      <c r="AK86">
        <f ca="1">IF(AND(((COLUMN()-10)&lt;=playercnt),((ROW()-41)&lt;=playercnt)),SUMPRODUCT(INDIRECT(ADDRESS(3,ROW()-31,1)):INDIRECT(ADDRESS(22,ROW()-31,1)),AK$3:AK$22),"")</f>
        <v>0</v>
      </c>
      <c r="AL86">
        <f ca="1">IF(AND(((COLUMN()-10)&lt;=playercnt),((ROW()-41)&lt;=playercnt)),SUMPRODUCT(INDIRECT(ADDRESS(3,ROW()-31,1)):INDIRECT(ADDRESS(22,ROW()-31,1)),AL$3:AL$22),"")</f>
        <v>6</v>
      </c>
      <c r="AM86">
        <f ca="1">IF(AND(((COLUMN()-10)&lt;=playercnt),((ROW()-41)&lt;=playercnt)),SUMPRODUCT(INDIRECT(ADDRESS(3,ROW()-31,1)):INDIRECT(ADDRESS(22,ROW()-31,1)),AM$3:AM$22),"")</f>
        <v>5</v>
      </c>
      <c r="AN86">
        <f ca="1">IF(AND(((COLUMN()-10)&lt;=playercnt),((ROW()-41)&lt;=playercnt)),SUMPRODUCT(INDIRECT(ADDRESS(3,ROW()-31,1)):INDIRECT(ADDRESS(22,ROW()-31,1)),AN$3:AN$22),"")</f>
        <v>7</v>
      </c>
      <c r="AO86">
        <f ca="1">IF(AND(((COLUMN()-10)&lt;=playercnt),((ROW()-41)&lt;=playercnt)),SUMPRODUCT(INDIRECT(ADDRESS(3,ROW()-31,1)):INDIRECT(ADDRESS(22,ROW()-31,1)),AO$3:AO$22),"")</f>
        <v>5</v>
      </c>
      <c r="AP86">
        <f ca="1">IF(AND(((COLUMN()-10)&lt;=playercnt),((ROW()-41)&lt;=playercnt)),SUMPRODUCT(INDIRECT(ADDRESS(3,ROW()-31,1)):INDIRECT(ADDRESS(22,ROW()-31,1)),AP$3:AP$22),"")</f>
        <v>0</v>
      </c>
      <c r="AQ86">
        <f ca="1">IF(AND(((COLUMN()-10)&lt;=playercnt),((ROW()-41)&lt;=playercnt)),SUMPRODUCT(INDIRECT(ADDRESS(3,ROW()-31,1)):INDIRECT(ADDRESS(22,ROW()-31,1)),AQ$3:AQ$22),"")</f>
        <v>9</v>
      </c>
      <c r="AR86">
        <f ca="1">IF(AND(((COLUMN()-10)&lt;=playercnt),((ROW()-41)&lt;=playercnt)),SUMPRODUCT(INDIRECT(ADDRESS(3,ROW()-31,1)):INDIRECT(ADDRESS(22,ROW()-31,1)),AR$3:AR$22),"")</f>
        <v>2</v>
      </c>
      <c r="AS86">
        <f ca="1">IF(AND(((COLUMN()-10)&lt;=playercnt),((ROW()-41)&lt;=playercnt)),SUMPRODUCT(INDIRECT(ADDRESS(3,ROW()-31,1)):INDIRECT(ADDRESS(22,ROW()-31,1)),AS$3:AS$22),"")</f>
        <v>5</v>
      </c>
      <c r="AT86">
        <f ca="1">IF(AND(((COLUMN()-10)&lt;=playercnt),((ROW()-41)&lt;=playercnt)),SUMPRODUCT(INDIRECT(ADDRESS(3,ROW()-31,1)):INDIRECT(ADDRESS(22,ROW()-31,1)),AT$3:AT$22),"")</f>
        <v>7</v>
      </c>
      <c r="AU86">
        <f ca="1">IF(AND(((COLUMN()-10)&lt;=playercnt),((ROW()-41)&lt;=playercnt)),SUMPRODUCT(INDIRECT(ADDRESS(3,ROW()-31,1)):INDIRECT(ADDRESS(22,ROW()-31,1)),AU$3:AU$22),"")</f>
        <v>7</v>
      </c>
      <c r="AV86">
        <f ca="1">IF(AND(((COLUMN()-10)&lt;=playercnt),((ROW()-41)&lt;=playercnt)),SUMPRODUCT(INDIRECT(ADDRESS(3,ROW()-31,1)):INDIRECT(ADDRESS(22,ROW()-31,1)),AV$3:AV$22),"")</f>
        <v>7</v>
      </c>
      <c r="AW86">
        <f ca="1">IF(AND(((COLUMN()-10)&lt;=playercnt),((ROW()-41)&lt;=playercnt)),SUMPRODUCT(INDIRECT(ADDRESS(3,ROW()-31,1)):INDIRECT(ADDRESS(22,ROW()-31,1)),AW$3:AW$22),"")</f>
        <v>5</v>
      </c>
      <c r="AX86">
        <f ca="1">IF(AND(((COLUMN()-10)&lt;=playercnt),((ROW()-41)&lt;=playercnt)),SUMPRODUCT(INDIRECT(ADDRESS(3,ROW()-31,1)):INDIRECT(ADDRESS(22,ROW()-31,1)),AX$3:AX$22),"")</f>
        <v>4</v>
      </c>
      <c r="AY86">
        <f ca="1">IF(AND(((COLUMN()-10)&lt;=playercnt),((ROW()-41)&lt;=playercnt)),SUMPRODUCT(INDIRECT(ADDRESS(3,ROW()-31,1)):INDIRECT(ADDRESS(22,ROW()-31,1)),AY$3:AY$22),"")</f>
        <v>5</v>
      </c>
      <c r="AZ86">
        <f ca="1">IF(AND(((COLUMN()-10)&lt;=playercnt),((ROW()-41)&lt;=playercnt)),SUMPRODUCT(INDIRECT(ADDRESS(3,ROW()-31,1)):INDIRECT(ADDRESS(22,ROW()-31,1)),AZ$3:AZ$22),"")</f>
        <v>6</v>
      </c>
      <c r="BA86">
        <f ca="1">IF(AND(((COLUMN()-10)&lt;=playercnt),((ROW()-41)&lt;=playercnt)),SUMPRODUCT(INDIRECT(ADDRESS(3,ROW()-31,1)):INDIRECT(ADDRESS(22,ROW()-31,1)),BA$3:BA$22),"")</f>
        <v>8</v>
      </c>
      <c r="BB86">
        <f ca="1">IF(AND(((COLUMN()-10)&lt;=playercnt),((ROW()-41)&lt;=playercnt)),SUMPRODUCT(INDIRECT(ADDRESS(3,ROW()-31,1)):INDIRECT(ADDRESS(22,ROW()-31,1)),BB$3:BB$22),"")</f>
        <v>8</v>
      </c>
      <c r="BC86">
        <f ca="1">IF(AND(((COLUMN()-10)&lt;=playercnt),((ROW()-41)&lt;=playercnt)),SUMPRODUCT(INDIRECT(ADDRESS(3,ROW()-31,1)):INDIRECT(ADDRESS(22,ROW()-31,1)),BC$3:BC$22),"")</f>
        <v>10</v>
      </c>
      <c r="BD86">
        <f ca="1">IF(AND(((COLUMN()-10)&lt;=playercnt),((ROW()-41)&lt;=playercnt)),SUMPRODUCT(INDIRECT(ADDRESS(3,ROW()-31,1)):INDIRECT(ADDRESS(22,ROW()-31,1)),BD$3:BD$22),"")</f>
        <v>6</v>
      </c>
      <c r="BE86">
        <f ca="1">IF(AND(((COLUMN()-10)&lt;=playercnt),((ROW()-41)&lt;=playercnt)),SUMPRODUCT(INDIRECT(ADDRESS(3,ROW()-31,1)):INDIRECT(ADDRESS(22,ROW()-31,1)),BE$3:BE$22),"")</f>
        <v>5</v>
      </c>
      <c r="BF86">
        <f ca="1">IF(AND(((COLUMN()-10)&lt;=playercnt),((ROW()-41)&lt;=playercnt)),SUMPRODUCT(INDIRECT(ADDRESS(3,ROW()-31,1)):INDIRECT(ADDRESS(22,ROW()-31,1)),BF$3:BF$22),"")</f>
        <v>7</v>
      </c>
      <c r="BG86">
        <f ca="1">IF(AND(((COLUMN()-10)&lt;=playercnt),((ROW()-41)&lt;=playercnt)),SUMPRODUCT(INDIRECT(ADDRESS(3,ROW()-31,1)):INDIRECT(ADDRESS(22,ROW()-31,1)),BG$3:BG$22),"")</f>
        <v>3</v>
      </c>
      <c r="BH86">
        <f ca="1">IF(AND(((COLUMN()-10)&lt;=playercnt),((ROW()-41)&lt;=playercnt)),SUMPRODUCT(INDIRECT(ADDRESS(3,ROW()-31,1)):INDIRECT(ADDRESS(22,ROW()-31,1)),BH$3:BH$22),"")</f>
        <v>7</v>
      </c>
      <c r="BI86">
        <f ca="1">IF(AND(((COLUMN()-10)&lt;=playercnt),((ROW()-41)&lt;=playercnt)),SUMPRODUCT(INDIRECT(ADDRESS(3,ROW()-31,1)):INDIRECT(ADDRESS(22,ROW()-31,1)),BI$3:BI$22),"")</f>
        <v>7</v>
      </c>
      <c r="BJ86">
        <f ca="1">IF(AND(((COLUMN()-10)&lt;=playercnt),((ROW()-41)&lt;=playercnt)),SUMPRODUCT(INDIRECT(ADDRESS(3,ROW()-31,1)):INDIRECT(ADDRESS(22,ROW()-31,1)),BJ$3:BJ$22),"")</f>
        <v>5</v>
      </c>
      <c r="BK86">
        <f ca="1">IF(AND(((COLUMN()-10)&lt;=playercnt),((ROW()-41)&lt;=playercnt)),SUMPRODUCT(INDIRECT(ADDRESS(3,ROW()-31,1)):INDIRECT(ADDRESS(22,ROW()-31,1)),BK$3:BK$22),"")</f>
        <v>7</v>
      </c>
      <c r="BL86">
        <f ca="1">IF(AND(((COLUMN()-10)&lt;=playercnt),((ROW()-41)&lt;=playercnt)),SUMPRODUCT(INDIRECT(ADDRESS(3,ROW()-31,1)):INDIRECT(ADDRESS(22,ROW()-31,1)),BL$3:BL$22),"")</f>
        <v>4</v>
      </c>
      <c r="BM86">
        <f ca="1">IF(AND(((COLUMN()-10)&lt;=playercnt),((ROW()-41)&lt;=playercnt)),SUMPRODUCT(INDIRECT(ADDRESS(3,ROW()-31,1)):INDIRECT(ADDRESS(22,ROW()-31,1)),BM$3:BM$22),"")</f>
        <v>7</v>
      </c>
      <c r="BN86">
        <f ca="1">IF(AND(((COLUMN()-10)&lt;=playercnt),((ROW()-41)&lt;=playercnt)),SUMPRODUCT(INDIRECT(ADDRESS(3,ROW()-31,1)):INDIRECT(ADDRESS(22,ROW()-31,1)),BN$3:BN$22),"")</f>
        <v>8</v>
      </c>
    </row>
    <row r="87" spans="2:66" x14ac:dyDescent="0.2">
      <c r="B87" s="27">
        <f t="shared" ca="1" si="23"/>
        <v>4.5471698113207548</v>
      </c>
      <c r="C87" t="str">
        <f t="shared" ca="1" si="24"/>
        <v>Staub, Kevin</v>
      </c>
      <c r="G87">
        <f ca="1">IF(AND(((COLUMN()-10)&lt;=playercnt),((ROW()-41)&lt;=playercnt)),SUMPRODUCT(INDIRECT(ADDRESS(3,ROW()-31,1)):INDIRECT(ADDRESS(22,ROW()-31,1)),G$3:G$22),"")</f>
        <v>5</v>
      </c>
      <c r="H87">
        <f ca="1">IF(AND(((COLUMN()-10)&lt;=playercnt),((ROW()-41)&lt;=playercnt)),SUMPRODUCT(INDIRECT(ADDRESS(3,ROW()-31,1)):INDIRECT(ADDRESS(22,ROW()-31,1)),H$3:H$22),"")</f>
        <v>4</v>
      </c>
      <c r="I87">
        <f ca="1">IF(AND(((COLUMN()-10)&lt;=playercnt),((ROW()-41)&lt;=playercnt)),SUMPRODUCT(INDIRECT(ADDRESS(3,ROW()-31,1)):INDIRECT(ADDRESS(22,ROW()-31,1)),I$3:I$22),"")</f>
        <v>2.5</v>
      </c>
      <c r="J87">
        <f ca="1">IF(AND(((COLUMN()-10)&lt;=playercnt),((ROW()-41)&lt;=playercnt)),SUMPRODUCT(INDIRECT(ADDRESS(3,ROW()-31,1)):INDIRECT(ADDRESS(22,ROW()-31,1)),J$3:J$22),"")</f>
        <v>0</v>
      </c>
      <c r="K87">
        <f ca="1">IF(AND(((COLUMN()-10)&lt;=playercnt),((ROW()-41)&lt;=playercnt)),SUMPRODUCT(INDIRECT(ADDRESS(3,ROW()-31,1)):INDIRECT(ADDRESS(22,ROW()-31,1)),K$3:K$22),"")</f>
        <v>2</v>
      </c>
      <c r="L87">
        <f ca="1">IF(AND(((COLUMN()-10)&lt;=playercnt),((ROW()-41)&lt;=playercnt)),SUMPRODUCT(INDIRECT(ADDRESS(3,ROW()-31,1)):INDIRECT(ADDRESS(22,ROW()-31,1)),L$3:L$22),"")</f>
        <v>3</v>
      </c>
      <c r="M87">
        <f ca="1">IF(AND(((COLUMN()-10)&lt;=playercnt),((ROW()-41)&lt;=playercnt)),SUMPRODUCT(INDIRECT(ADDRESS(3,ROW()-31,1)):INDIRECT(ADDRESS(22,ROW()-31,1)),M$3:M$22),"")</f>
        <v>6</v>
      </c>
      <c r="N87">
        <f ca="1">IF(AND(((COLUMN()-10)&lt;=playercnt),((ROW()-41)&lt;=playercnt)),SUMPRODUCT(INDIRECT(ADDRESS(3,ROW()-31,1)):INDIRECT(ADDRESS(22,ROW()-31,1)),N$3:N$22),"")</f>
        <v>3</v>
      </c>
      <c r="O87">
        <f ca="1">IF(AND(((COLUMN()-10)&lt;=playercnt),((ROW()-41)&lt;=playercnt)),SUMPRODUCT(INDIRECT(ADDRESS(3,ROW()-31,1)):INDIRECT(ADDRESS(22,ROW()-31,1)),O$3:O$22),"")</f>
        <v>7</v>
      </c>
      <c r="P87">
        <f ca="1">IF(AND(((COLUMN()-10)&lt;=playercnt),((ROW()-41)&lt;=playercnt)),SUMPRODUCT(INDIRECT(ADDRESS(3,ROW()-31,1)):INDIRECT(ADDRESS(22,ROW()-31,1)),P$3:P$22),"")</f>
        <v>4</v>
      </c>
      <c r="Q87">
        <f ca="1">IF(AND(((COLUMN()-10)&lt;=playercnt),((ROW()-41)&lt;=playercnt)),SUMPRODUCT(INDIRECT(ADDRESS(3,ROW()-31,1)):INDIRECT(ADDRESS(22,ROW()-31,1)),Q$3:Q$22),"")</f>
        <v>5</v>
      </c>
      <c r="R87">
        <f ca="1">IF(AND(((COLUMN()-10)&lt;=playercnt),((ROW()-41)&lt;=playercnt)),SUMPRODUCT(INDIRECT(ADDRESS(3,ROW()-31,1)):INDIRECT(ADDRESS(22,ROW()-31,1)),R$3:R$22),"")</f>
        <v>5</v>
      </c>
      <c r="S87">
        <f ca="1">IF(AND(((COLUMN()-10)&lt;=playercnt),((ROW()-41)&lt;=playercnt)),SUMPRODUCT(INDIRECT(ADDRESS(3,ROW()-31,1)):INDIRECT(ADDRESS(22,ROW()-31,1)),S$3:S$22),"")</f>
        <v>5</v>
      </c>
      <c r="T87">
        <f ca="1">IF(AND(((COLUMN()-10)&lt;=playercnt),((ROW()-41)&lt;=playercnt)),SUMPRODUCT(INDIRECT(ADDRESS(3,ROW()-31,1)):INDIRECT(ADDRESS(22,ROW()-31,1)),T$3:T$22),"")</f>
        <v>4</v>
      </c>
      <c r="U87">
        <f ca="1">IF(AND(((COLUMN()-10)&lt;=playercnt),((ROW()-41)&lt;=playercnt)),SUMPRODUCT(INDIRECT(ADDRESS(3,ROW()-31,1)):INDIRECT(ADDRESS(22,ROW()-31,1)),U$3:U$22),"")</f>
        <v>3</v>
      </c>
      <c r="V87">
        <f ca="1">IF(AND(((COLUMN()-10)&lt;=playercnt),((ROW()-41)&lt;=playercnt)),SUMPRODUCT(INDIRECT(ADDRESS(3,ROW()-31,1)):INDIRECT(ADDRESS(22,ROW()-31,1)),V$3:V$22),"")</f>
        <v>7</v>
      </c>
      <c r="W87">
        <f ca="1">IF(AND(((COLUMN()-10)&lt;=playercnt),((ROW()-41)&lt;=playercnt)),SUMPRODUCT(INDIRECT(ADDRESS(3,ROW()-31,1)):INDIRECT(ADDRESS(22,ROW()-31,1)),W$3:W$22),"")</f>
        <v>5</v>
      </c>
      <c r="X87">
        <f ca="1">IF(AND(((COLUMN()-10)&lt;=playercnt),((ROW()-41)&lt;=playercnt)),SUMPRODUCT(INDIRECT(ADDRESS(3,ROW()-31,1)):INDIRECT(ADDRESS(22,ROW()-31,1)),X$3:X$22),"")</f>
        <v>6</v>
      </c>
      <c r="Y87">
        <f ca="1">IF(AND(((COLUMN()-10)&lt;=playercnt),((ROW()-41)&lt;=playercnt)),SUMPRODUCT(INDIRECT(ADDRESS(3,ROW()-31,1)):INDIRECT(ADDRESS(22,ROW()-31,1)),Y$3:Y$22),"")</f>
        <v>5</v>
      </c>
      <c r="Z87">
        <f ca="1">IF(AND(((COLUMN()-10)&lt;=playercnt),((ROW()-41)&lt;=playercnt)),SUMPRODUCT(INDIRECT(ADDRESS(3,ROW()-31,1)):INDIRECT(ADDRESS(22,ROW()-31,1)),Z$3:Z$22),"")</f>
        <v>6</v>
      </c>
      <c r="AA87">
        <f ca="1">IF(AND(((COLUMN()-10)&lt;=playercnt),((ROW()-41)&lt;=playercnt)),SUMPRODUCT(INDIRECT(ADDRESS(3,ROW()-31,1)):INDIRECT(ADDRESS(22,ROW()-31,1)),AA$3:AA$22),"")</f>
        <v>7</v>
      </c>
      <c r="AB87">
        <f ca="1">IF(AND(((COLUMN()-10)&lt;=playercnt),((ROW()-41)&lt;=playercnt)),SUMPRODUCT(INDIRECT(ADDRESS(3,ROW()-31,1)):INDIRECT(ADDRESS(22,ROW()-31,1)),AB$3:AB$22),"")</f>
        <v>6</v>
      </c>
      <c r="AC87">
        <f ca="1">IF(AND(((COLUMN()-10)&lt;=playercnt),((ROW()-41)&lt;=playercnt)),SUMPRODUCT(INDIRECT(ADDRESS(3,ROW()-31,1)):INDIRECT(ADDRESS(22,ROW()-31,1)),AC$3:AC$22),"")</f>
        <v>5</v>
      </c>
      <c r="AD87">
        <f ca="1">IF(AND(((COLUMN()-10)&lt;=playercnt),((ROW()-41)&lt;=playercnt)),SUMPRODUCT(INDIRECT(ADDRESS(3,ROW()-31,1)):INDIRECT(ADDRESS(22,ROW()-31,1)),AD$3:AD$22),"")</f>
        <v>7</v>
      </c>
      <c r="AE87">
        <f ca="1">IF(AND(((COLUMN()-10)&lt;=playercnt),((ROW()-41)&lt;=playercnt)),SUMPRODUCT(INDIRECT(ADDRESS(3,ROW()-31,1)):INDIRECT(ADDRESS(22,ROW()-31,1)),AE$3:AE$22),"")</f>
        <v>5</v>
      </c>
      <c r="AF87">
        <f ca="1">IF(AND(((COLUMN()-10)&lt;=playercnt),((ROW()-41)&lt;=playercnt)),SUMPRODUCT(INDIRECT(ADDRESS(3,ROW()-31,1)):INDIRECT(ADDRESS(22,ROW()-31,1)),AF$3:AF$22),"")</f>
        <v>6</v>
      </c>
      <c r="AG87">
        <f ca="1">IF(AND(((COLUMN()-10)&lt;=playercnt),((ROW()-41)&lt;=playercnt)),SUMPRODUCT(INDIRECT(ADDRESS(3,ROW()-31,1)):INDIRECT(ADDRESS(22,ROW()-31,1)),AG$3:AG$22),"")</f>
        <v>4</v>
      </c>
      <c r="AH87">
        <f ca="1">IF(AND(((COLUMN()-10)&lt;=playercnt),((ROW()-41)&lt;=playercnt)),SUMPRODUCT(INDIRECT(ADDRESS(3,ROW()-31,1)):INDIRECT(ADDRESS(22,ROW()-31,1)),AH$3:AH$22),"")</f>
        <v>1</v>
      </c>
      <c r="AI87">
        <f ca="1">IF(AND(((COLUMN()-10)&lt;=playercnt),((ROW()-41)&lt;=playercnt)),SUMPRODUCT(INDIRECT(ADDRESS(3,ROW()-31,1)):INDIRECT(ADDRESS(22,ROW()-31,1)),AI$3:AI$22),"")</f>
        <v>7</v>
      </c>
      <c r="AJ87">
        <f ca="1">IF(AND(((COLUMN()-10)&lt;=playercnt),((ROW()-41)&lt;=playercnt)),SUMPRODUCT(INDIRECT(ADDRESS(3,ROW()-31,1)):INDIRECT(ADDRESS(22,ROW()-31,1)),AJ$3:AJ$22),"")</f>
        <v>5</v>
      </c>
      <c r="AK87">
        <f ca="1">IF(AND(((COLUMN()-10)&lt;=playercnt),((ROW()-41)&lt;=playercnt)),SUMPRODUCT(INDIRECT(ADDRESS(3,ROW()-31,1)):INDIRECT(ADDRESS(22,ROW()-31,1)),AK$3:AK$22),"")</f>
        <v>0</v>
      </c>
      <c r="AL87">
        <f ca="1">IF(AND(((COLUMN()-10)&lt;=playercnt),((ROW()-41)&lt;=playercnt)),SUMPRODUCT(INDIRECT(ADDRESS(3,ROW()-31,1)):INDIRECT(ADDRESS(22,ROW()-31,1)),AL$3:AL$22),"")</f>
        <v>4</v>
      </c>
      <c r="AM87">
        <f ca="1">IF(AND(((COLUMN()-10)&lt;=playercnt),((ROW()-41)&lt;=playercnt)),SUMPRODUCT(INDIRECT(ADDRESS(3,ROW()-31,1)):INDIRECT(ADDRESS(22,ROW()-31,1)),AM$3:AM$22),"")</f>
        <v>3</v>
      </c>
      <c r="AN87">
        <f ca="1">IF(AND(((COLUMN()-10)&lt;=playercnt),((ROW()-41)&lt;=playercnt)),SUMPRODUCT(INDIRECT(ADDRESS(3,ROW()-31,1)):INDIRECT(ADDRESS(22,ROW()-31,1)),AN$3:AN$22),"")</f>
        <v>3</v>
      </c>
      <c r="AO87">
        <f ca="1">IF(AND(((COLUMN()-10)&lt;=playercnt),((ROW()-41)&lt;=playercnt)),SUMPRODUCT(INDIRECT(ADDRESS(3,ROW()-31,1)):INDIRECT(ADDRESS(22,ROW()-31,1)),AO$3:AO$22),"")</f>
        <v>7</v>
      </c>
      <c r="AP87">
        <f ca="1">IF(AND(((COLUMN()-10)&lt;=playercnt),((ROW()-41)&lt;=playercnt)),SUMPRODUCT(INDIRECT(ADDRESS(3,ROW()-31,1)):INDIRECT(ADDRESS(22,ROW()-31,1)),AP$3:AP$22),"")</f>
        <v>0</v>
      </c>
      <c r="AQ87">
        <f ca="1">IF(AND(((COLUMN()-10)&lt;=playercnt),((ROW()-41)&lt;=playercnt)),SUMPRODUCT(INDIRECT(ADDRESS(3,ROW()-31,1)):INDIRECT(ADDRESS(22,ROW()-31,1)),AQ$3:AQ$22),"")</f>
        <v>5</v>
      </c>
      <c r="AR87">
        <f ca="1">IF(AND(((COLUMN()-10)&lt;=playercnt),((ROW()-41)&lt;=playercnt)),SUMPRODUCT(INDIRECT(ADDRESS(3,ROW()-31,1)):INDIRECT(ADDRESS(22,ROW()-31,1)),AR$3:AR$22),"")</f>
        <v>2</v>
      </c>
      <c r="AS87">
        <f ca="1">IF(AND(((COLUMN()-10)&lt;=playercnt),((ROW()-41)&lt;=playercnt)),SUMPRODUCT(INDIRECT(ADDRESS(3,ROW()-31,1)):INDIRECT(ADDRESS(22,ROW()-31,1)),AS$3:AS$22),"")</f>
        <v>5</v>
      </c>
      <c r="AT87">
        <f ca="1">IF(AND(((COLUMN()-10)&lt;=playercnt),((ROW()-41)&lt;=playercnt)),SUMPRODUCT(INDIRECT(ADDRESS(3,ROW()-31,1)):INDIRECT(ADDRESS(22,ROW()-31,1)),AT$3:AT$22),"")</f>
        <v>3</v>
      </c>
      <c r="AU87">
        <f ca="1">IF(AND(((COLUMN()-10)&lt;=playercnt),((ROW()-41)&lt;=playercnt)),SUMPRODUCT(INDIRECT(ADDRESS(3,ROW()-31,1)):INDIRECT(ADDRESS(22,ROW()-31,1)),AU$3:AU$22),"")</f>
        <v>5</v>
      </c>
      <c r="AV87">
        <f ca="1">IF(AND(((COLUMN()-10)&lt;=playercnt),((ROW()-41)&lt;=playercnt)),SUMPRODUCT(INDIRECT(ADDRESS(3,ROW()-31,1)):INDIRECT(ADDRESS(22,ROW()-31,1)),AV$3:AV$22),"")</f>
        <v>3</v>
      </c>
      <c r="AW87">
        <f ca="1">IF(AND(((COLUMN()-10)&lt;=playercnt),((ROW()-41)&lt;=playercnt)),SUMPRODUCT(INDIRECT(ADDRESS(3,ROW()-31,1)):INDIRECT(ADDRESS(22,ROW()-31,1)),AW$3:AW$22),"")</f>
        <v>5</v>
      </c>
      <c r="AX87">
        <f ca="1">IF(AND(((COLUMN()-10)&lt;=playercnt),((ROW()-41)&lt;=playercnt)),SUMPRODUCT(INDIRECT(ADDRESS(3,ROW()-31,1)):INDIRECT(ADDRESS(22,ROW()-31,1)),AX$3:AX$22),"")</f>
        <v>2</v>
      </c>
      <c r="AY87">
        <f ca="1">IF(AND(((COLUMN()-10)&lt;=playercnt),((ROW()-41)&lt;=playercnt)),SUMPRODUCT(INDIRECT(ADDRESS(3,ROW()-31,1)):INDIRECT(ADDRESS(22,ROW()-31,1)),AY$3:AY$22),"")</f>
        <v>3</v>
      </c>
      <c r="AZ87">
        <f ca="1">IF(AND(((COLUMN()-10)&lt;=playercnt),((ROW()-41)&lt;=playercnt)),SUMPRODUCT(INDIRECT(ADDRESS(3,ROW()-31,1)):INDIRECT(ADDRESS(22,ROW()-31,1)),AZ$3:AZ$22),"")</f>
        <v>4</v>
      </c>
      <c r="BA87">
        <f ca="1">IF(AND(((COLUMN()-10)&lt;=playercnt),((ROW()-41)&lt;=playercnt)),SUMPRODUCT(INDIRECT(ADDRESS(3,ROW()-31,1)):INDIRECT(ADDRESS(22,ROW()-31,1)),BA$3:BA$22),"")</f>
        <v>6</v>
      </c>
      <c r="BB87">
        <f ca="1">IF(AND(((COLUMN()-10)&lt;=playercnt),((ROW()-41)&lt;=playercnt)),SUMPRODUCT(INDIRECT(ADDRESS(3,ROW()-31,1)):INDIRECT(ADDRESS(22,ROW()-31,1)),BB$3:BB$22),"")</f>
        <v>4</v>
      </c>
      <c r="BC87">
        <f ca="1">IF(AND(((COLUMN()-10)&lt;=playercnt),((ROW()-41)&lt;=playercnt)),SUMPRODUCT(INDIRECT(ADDRESS(3,ROW()-31,1)):INDIRECT(ADDRESS(22,ROW()-31,1)),BC$3:BC$22),"")</f>
        <v>6</v>
      </c>
      <c r="BD87">
        <f ca="1">IF(AND(((COLUMN()-10)&lt;=playercnt),((ROW()-41)&lt;=playercnt)),SUMPRODUCT(INDIRECT(ADDRESS(3,ROW()-31,1)):INDIRECT(ADDRESS(22,ROW()-31,1)),BD$3:BD$22),"")</f>
        <v>10</v>
      </c>
      <c r="BE87">
        <f ca="1">IF(AND(((COLUMN()-10)&lt;=playercnt),((ROW()-41)&lt;=playercnt)),SUMPRODUCT(INDIRECT(ADDRESS(3,ROW()-31,1)):INDIRECT(ADDRESS(22,ROW()-31,1)),BE$3:BE$22),"")</f>
        <v>5</v>
      </c>
      <c r="BF87">
        <f ca="1">IF(AND(((COLUMN()-10)&lt;=playercnt),((ROW()-41)&lt;=playercnt)),SUMPRODUCT(INDIRECT(ADDRESS(3,ROW()-31,1)):INDIRECT(ADDRESS(22,ROW()-31,1)),BF$3:BF$22),"")</f>
        <v>5</v>
      </c>
      <c r="BG87">
        <f ca="1">IF(AND(((COLUMN()-10)&lt;=playercnt),((ROW()-41)&lt;=playercnt)),SUMPRODUCT(INDIRECT(ADDRESS(3,ROW()-31,1)):INDIRECT(ADDRESS(22,ROW()-31,1)),BG$3:BG$22),"")</f>
        <v>3</v>
      </c>
      <c r="BH87">
        <f ca="1">IF(AND(((COLUMN()-10)&lt;=playercnt),((ROW()-41)&lt;=playercnt)),SUMPRODUCT(INDIRECT(ADDRESS(3,ROW()-31,1)):INDIRECT(ADDRESS(22,ROW()-31,1)),BH$3:BH$22),"")</f>
        <v>5</v>
      </c>
      <c r="BI87">
        <f ca="1">IF(AND(((COLUMN()-10)&lt;=playercnt),((ROW()-41)&lt;=playercnt)),SUMPRODUCT(INDIRECT(ADDRESS(3,ROW()-31,1)):INDIRECT(ADDRESS(22,ROW()-31,1)),BI$3:BI$22),"")</f>
        <v>3</v>
      </c>
      <c r="BJ87">
        <f ca="1">IF(AND(((COLUMN()-10)&lt;=playercnt),((ROW()-41)&lt;=playercnt)),SUMPRODUCT(INDIRECT(ADDRESS(3,ROW()-31,1)):INDIRECT(ADDRESS(22,ROW()-31,1)),BJ$3:BJ$22),"")</f>
        <v>5</v>
      </c>
      <c r="BK87">
        <f ca="1">IF(AND(((COLUMN()-10)&lt;=playercnt),((ROW()-41)&lt;=playercnt)),SUMPRODUCT(INDIRECT(ADDRESS(3,ROW()-31,1)):INDIRECT(ADDRESS(22,ROW()-31,1)),BK$3:BK$22),"")</f>
        <v>5</v>
      </c>
      <c r="BL87">
        <f ca="1">IF(AND(((COLUMN()-10)&lt;=playercnt),((ROW()-41)&lt;=playercnt)),SUMPRODUCT(INDIRECT(ADDRESS(3,ROW()-31,1)):INDIRECT(ADDRESS(22,ROW()-31,1)),BL$3:BL$22),"")</f>
        <v>4</v>
      </c>
      <c r="BM87">
        <f ca="1">IF(AND(((COLUMN()-10)&lt;=playercnt),((ROW()-41)&lt;=playercnt)),SUMPRODUCT(INDIRECT(ADDRESS(3,ROW()-31,1)):INDIRECT(ADDRESS(22,ROW()-31,1)),BM$3:BM$22),"")</f>
        <v>3</v>
      </c>
      <c r="BN87">
        <f ca="1">IF(AND(((COLUMN()-10)&lt;=playercnt),((ROW()-41)&lt;=playercnt)),SUMPRODUCT(INDIRECT(ADDRESS(3,ROW()-31,1)):INDIRECT(ADDRESS(22,ROW()-31,1)),BN$3:BN$22),"")</f>
        <v>4</v>
      </c>
    </row>
    <row r="88" spans="2:66" x14ac:dyDescent="0.2">
      <c r="B88" s="27">
        <f t="shared" ca="1" si="23"/>
        <v>6.283018867924528</v>
      </c>
      <c r="C88" t="str">
        <f t="shared" ca="1" si="24"/>
        <v>Staub, Ryan</v>
      </c>
      <c r="G88">
        <f ca="1">IF(AND(((COLUMN()-10)&lt;=playercnt),((ROW()-41)&lt;=playercnt)),SUMPRODUCT(INDIRECT(ADDRESS(3,ROW()-31,1)):INDIRECT(ADDRESS(22,ROW()-31,1)),G$3:G$22),"")</f>
        <v>4</v>
      </c>
      <c r="H88">
        <f ca="1">IF(AND(((COLUMN()-10)&lt;=playercnt),((ROW()-41)&lt;=playercnt)),SUMPRODUCT(INDIRECT(ADDRESS(3,ROW()-31,1)):INDIRECT(ADDRESS(22,ROW()-31,1)),H$3:H$22),"")</f>
        <v>7</v>
      </c>
      <c r="I88">
        <f ca="1">IF(AND(((COLUMN()-10)&lt;=playercnt),((ROW()-41)&lt;=playercnt)),SUMPRODUCT(INDIRECT(ADDRESS(3,ROW()-31,1)):INDIRECT(ADDRESS(22,ROW()-31,1)),I$3:I$22),"")</f>
        <v>7.5</v>
      </c>
      <c r="J88">
        <f ca="1">IF(AND(((COLUMN()-10)&lt;=playercnt),((ROW()-41)&lt;=playercnt)),SUMPRODUCT(INDIRECT(ADDRESS(3,ROW()-31,1)):INDIRECT(ADDRESS(22,ROW()-31,1)),J$3:J$22),"")</f>
        <v>0</v>
      </c>
      <c r="K88">
        <f ca="1">IF(AND(((COLUMN()-10)&lt;=playercnt),((ROW()-41)&lt;=playercnt)),SUMPRODUCT(INDIRECT(ADDRESS(3,ROW()-31,1)):INDIRECT(ADDRESS(22,ROW()-31,1)),K$3:K$22),"")</f>
        <v>5</v>
      </c>
      <c r="L88">
        <f ca="1">IF(AND(((COLUMN()-10)&lt;=playercnt),((ROW()-41)&lt;=playercnt)),SUMPRODUCT(INDIRECT(ADDRESS(3,ROW()-31,1)):INDIRECT(ADDRESS(22,ROW()-31,1)),L$3:L$22),"")</f>
        <v>6</v>
      </c>
      <c r="M88">
        <f ca="1">IF(AND(((COLUMN()-10)&lt;=playercnt),((ROW()-41)&lt;=playercnt)),SUMPRODUCT(INDIRECT(ADDRESS(3,ROW()-31,1)):INDIRECT(ADDRESS(22,ROW()-31,1)),M$3:M$22),"")</f>
        <v>7</v>
      </c>
      <c r="N88">
        <f ca="1">IF(AND(((COLUMN()-10)&lt;=playercnt),((ROW()-41)&lt;=playercnt)),SUMPRODUCT(INDIRECT(ADDRESS(3,ROW()-31,1)):INDIRECT(ADDRESS(22,ROW()-31,1)),N$3:N$22),"")</f>
        <v>6</v>
      </c>
      <c r="O88">
        <f ca="1">IF(AND(((COLUMN()-10)&lt;=playercnt),((ROW()-41)&lt;=playercnt)),SUMPRODUCT(INDIRECT(ADDRESS(3,ROW()-31,1)):INDIRECT(ADDRESS(22,ROW()-31,1)),O$3:O$22),"")</f>
        <v>8</v>
      </c>
      <c r="P88">
        <f ca="1">IF(AND(((COLUMN()-10)&lt;=playercnt),((ROW()-41)&lt;=playercnt)),SUMPRODUCT(INDIRECT(ADDRESS(3,ROW()-31,1)):INDIRECT(ADDRESS(22,ROW()-31,1)),P$3:P$22),"")</f>
        <v>7</v>
      </c>
      <c r="Q88">
        <f ca="1">IF(AND(((COLUMN()-10)&lt;=playercnt),((ROW()-41)&lt;=playercnt)),SUMPRODUCT(INDIRECT(ADDRESS(3,ROW()-31,1)):INDIRECT(ADDRESS(22,ROW()-31,1)),Q$3:Q$22),"")</f>
        <v>10</v>
      </c>
      <c r="R88">
        <f ca="1">IF(AND(((COLUMN()-10)&lt;=playercnt),((ROW()-41)&lt;=playercnt)),SUMPRODUCT(INDIRECT(ADDRESS(3,ROW()-31,1)):INDIRECT(ADDRESS(22,ROW()-31,1)),R$3:R$22),"")</f>
        <v>4</v>
      </c>
      <c r="S88">
        <f ca="1">IF(AND(((COLUMN()-10)&lt;=playercnt),((ROW()-41)&lt;=playercnt)),SUMPRODUCT(INDIRECT(ADDRESS(3,ROW()-31,1)):INDIRECT(ADDRESS(22,ROW()-31,1)),S$3:S$22),"")</f>
        <v>6</v>
      </c>
      <c r="T88">
        <f ca="1">IF(AND(((COLUMN()-10)&lt;=playercnt),((ROW()-41)&lt;=playercnt)),SUMPRODUCT(INDIRECT(ADDRESS(3,ROW()-31,1)):INDIRECT(ADDRESS(22,ROW()-31,1)),T$3:T$22),"")</f>
        <v>9</v>
      </c>
      <c r="U88">
        <f ca="1">IF(AND(((COLUMN()-10)&lt;=playercnt),((ROW()-41)&lt;=playercnt)),SUMPRODUCT(INDIRECT(ADDRESS(3,ROW()-31,1)):INDIRECT(ADDRESS(22,ROW()-31,1)),U$3:U$22),"")</f>
        <v>6</v>
      </c>
      <c r="V88">
        <f ca="1">IF(AND(((COLUMN()-10)&lt;=playercnt),((ROW()-41)&lt;=playercnt)),SUMPRODUCT(INDIRECT(ADDRESS(3,ROW()-31,1)):INDIRECT(ADDRESS(22,ROW()-31,1)),V$3:V$22),"")</f>
        <v>6</v>
      </c>
      <c r="W88">
        <f ca="1">IF(AND(((COLUMN()-10)&lt;=playercnt),((ROW()-41)&lt;=playercnt)),SUMPRODUCT(INDIRECT(ADDRESS(3,ROW()-31,1)):INDIRECT(ADDRESS(22,ROW()-31,1)),W$3:W$22),"")</f>
        <v>6</v>
      </c>
      <c r="X88">
        <f ca="1">IF(AND(((COLUMN()-10)&lt;=playercnt),((ROW()-41)&lt;=playercnt)),SUMPRODUCT(INDIRECT(ADDRESS(3,ROW()-31,1)):INDIRECT(ADDRESS(22,ROW()-31,1)),X$3:X$22),"")</f>
        <v>7</v>
      </c>
      <c r="Y88">
        <f ca="1">IF(AND(((COLUMN()-10)&lt;=playercnt),((ROW()-41)&lt;=playercnt)),SUMPRODUCT(INDIRECT(ADDRESS(3,ROW()-31,1)):INDIRECT(ADDRESS(22,ROW()-31,1)),Y$3:Y$22),"")</f>
        <v>6</v>
      </c>
      <c r="Z88">
        <f ca="1">IF(AND(((COLUMN()-10)&lt;=playercnt),((ROW()-41)&lt;=playercnt)),SUMPRODUCT(INDIRECT(ADDRESS(3,ROW()-31,1)):INDIRECT(ADDRESS(22,ROW()-31,1)),Z$3:Z$22),"")</f>
        <v>7</v>
      </c>
      <c r="AA88">
        <f ca="1">IF(AND(((COLUMN()-10)&lt;=playercnt),((ROW()-41)&lt;=playercnt)),SUMPRODUCT(INDIRECT(ADDRESS(3,ROW()-31,1)):INDIRECT(ADDRESS(22,ROW()-31,1)),AA$3:AA$22),"")</f>
        <v>6</v>
      </c>
      <c r="AB88">
        <f ca="1">IF(AND(((COLUMN()-10)&lt;=playercnt),((ROW()-41)&lt;=playercnt)),SUMPRODUCT(INDIRECT(ADDRESS(3,ROW()-31,1)):INDIRECT(ADDRESS(22,ROW()-31,1)),AB$3:AB$22),"")</f>
        <v>5</v>
      </c>
      <c r="AC88">
        <f ca="1">IF(AND(((COLUMN()-10)&lt;=playercnt),((ROW()-41)&lt;=playercnt)),SUMPRODUCT(INDIRECT(ADDRESS(3,ROW()-31,1)):INDIRECT(ADDRESS(22,ROW()-31,1)),AC$3:AC$22),"")</f>
        <v>4</v>
      </c>
      <c r="AD88">
        <f ca="1">IF(AND(((COLUMN()-10)&lt;=playercnt),((ROW()-41)&lt;=playercnt)),SUMPRODUCT(INDIRECT(ADDRESS(3,ROW()-31,1)):INDIRECT(ADDRESS(22,ROW()-31,1)),AD$3:AD$22),"")</f>
        <v>6</v>
      </c>
      <c r="AE88">
        <f ca="1">IF(AND(((COLUMN()-10)&lt;=playercnt),((ROW()-41)&lt;=playercnt)),SUMPRODUCT(INDIRECT(ADDRESS(3,ROW()-31,1)):INDIRECT(ADDRESS(22,ROW()-31,1)),AE$3:AE$22),"")</f>
        <v>6</v>
      </c>
      <c r="AF88">
        <f ca="1">IF(AND(((COLUMN()-10)&lt;=playercnt),((ROW()-41)&lt;=playercnt)),SUMPRODUCT(INDIRECT(ADDRESS(3,ROW()-31,1)):INDIRECT(ADDRESS(22,ROW()-31,1)),AF$3:AF$22),"")</f>
        <v>7</v>
      </c>
      <c r="AG88">
        <f ca="1">IF(AND(((COLUMN()-10)&lt;=playercnt),((ROW()-41)&lt;=playercnt)),SUMPRODUCT(INDIRECT(ADDRESS(3,ROW()-31,1)):INDIRECT(ADDRESS(22,ROW()-31,1)),AG$3:AG$22),"")</f>
        <v>5</v>
      </c>
      <c r="AH88">
        <f ca="1">IF(AND(((COLUMN()-10)&lt;=playercnt),((ROW()-41)&lt;=playercnt)),SUMPRODUCT(INDIRECT(ADDRESS(3,ROW()-31,1)):INDIRECT(ADDRESS(22,ROW()-31,1)),AH$3:AH$22),"")</f>
        <v>6</v>
      </c>
      <c r="AI88">
        <f ca="1">IF(AND(((COLUMN()-10)&lt;=playercnt),((ROW()-41)&lt;=playercnt)),SUMPRODUCT(INDIRECT(ADDRESS(3,ROW()-31,1)):INDIRECT(ADDRESS(22,ROW()-31,1)),AI$3:AI$22),"")</f>
        <v>8</v>
      </c>
      <c r="AJ88">
        <f ca="1">IF(AND(((COLUMN()-10)&lt;=playercnt),((ROW()-41)&lt;=playercnt)),SUMPRODUCT(INDIRECT(ADDRESS(3,ROW()-31,1)):INDIRECT(ADDRESS(22,ROW()-31,1)),AJ$3:AJ$22),"")</f>
        <v>6</v>
      </c>
      <c r="AK88">
        <f ca="1">IF(AND(((COLUMN()-10)&lt;=playercnt),((ROW()-41)&lt;=playercnt)),SUMPRODUCT(INDIRECT(ADDRESS(3,ROW()-31,1)):INDIRECT(ADDRESS(22,ROW()-31,1)),AK$3:AK$22),"")</f>
        <v>0</v>
      </c>
      <c r="AL88">
        <f ca="1">IF(AND(((COLUMN()-10)&lt;=playercnt),((ROW()-41)&lt;=playercnt)),SUMPRODUCT(INDIRECT(ADDRESS(3,ROW()-31,1)):INDIRECT(ADDRESS(22,ROW()-31,1)),AL$3:AL$22),"")</f>
        <v>7</v>
      </c>
      <c r="AM88">
        <f ca="1">IF(AND(((COLUMN()-10)&lt;=playercnt),((ROW()-41)&lt;=playercnt)),SUMPRODUCT(INDIRECT(ADDRESS(3,ROW()-31,1)):INDIRECT(ADDRESS(22,ROW()-31,1)),AM$3:AM$22),"")</f>
        <v>6</v>
      </c>
      <c r="AN88">
        <f ca="1">IF(AND(((COLUMN()-10)&lt;=playercnt),((ROW()-41)&lt;=playercnt)),SUMPRODUCT(INDIRECT(ADDRESS(3,ROW()-31,1)):INDIRECT(ADDRESS(22,ROW()-31,1)),AN$3:AN$22),"")</f>
        <v>6</v>
      </c>
      <c r="AO88">
        <f ca="1">IF(AND(((COLUMN()-10)&lt;=playercnt),((ROW()-41)&lt;=playercnt)),SUMPRODUCT(INDIRECT(ADDRESS(3,ROW()-31,1)):INDIRECT(ADDRESS(22,ROW()-31,1)),AO$3:AO$22),"")</f>
        <v>6</v>
      </c>
      <c r="AP88">
        <f ca="1">IF(AND(((COLUMN()-10)&lt;=playercnt),((ROW()-41)&lt;=playercnt)),SUMPRODUCT(INDIRECT(ADDRESS(3,ROW()-31,1)):INDIRECT(ADDRESS(22,ROW()-31,1)),AP$3:AP$22),"")</f>
        <v>0</v>
      </c>
      <c r="AQ88">
        <f ca="1">IF(AND(((COLUMN()-10)&lt;=playercnt),((ROW()-41)&lt;=playercnt)),SUMPRODUCT(INDIRECT(ADDRESS(3,ROW()-31,1)):INDIRECT(ADDRESS(22,ROW()-31,1)),AQ$3:AQ$22),"")</f>
        <v>6</v>
      </c>
      <c r="AR88">
        <f ca="1">IF(AND(((COLUMN()-10)&lt;=playercnt),((ROW()-41)&lt;=playercnt)),SUMPRODUCT(INDIRECT(ADDRESS(3,ROW()-31,1)):INDIRECT(ADDRESS(22,ROW()-31,1)),AR$3:AR$22),"")</f>
        <v>5</v>
      </c>
      <c r="AS88">
        <f ca="1">IF(AND(((COLUMN()-10)&lt;=playercnt),((ROW()-41)&lt;=playercnt)),SUMPRODUCT(INDIRECT(ADDRESS(3,ROW()-31,1)):INDIRECT(ADDRESS(22,ROW()-31,1)),AS$3:AS$22),"")</f>
        <v>8</v>
      </c>
      <c r="AT88">
        <f ca="1">IF(AND(((COLUMN()-10)&lt;=playercnt),((ROW()-41)&lt;=playercnt)),SUMPRODUCT(INDIRECT(ADDRESS(3,ROW()-31,1)):INDIRECT(ADDRESS(22,ROW()-31,1)),AT$3:AT$22),"")</f>
        <v>6</v>
      </c>
      <c r="AU88">
        <f ca="1">IF(AND(((COLUMN()-10)&lt;=playercnt),((ROW()-41)&lt;=playercnt)),SUMPRODUCT(INDIRECT(ADDRESS(3,ROW()-31,1)):INDIRECT(ADDRESS(22,ROW()-31,1)),AU$3:AU$22),"")</f>
        <v>8</v>
      </c>
      <c r="AV88">
        <f ca="1">IF(AND(((COLUMN()-10)&lt;=playercnt),((ROW()-41)&lt;=playercnt)),SUMPRODUCT(INDIRECT(ADDRESS(3,ROW()-31,1)):INDIRECT(ADDRESS(22,ROW()-31,1)),AV$3:AV$22),"")</f>
        <v>6</v>
      </c>
      <c r="AW88">
        <f ca="1">IF(AND(((COLUMN()-10)&lt;=playercnt),((ROW()-41)&lt;=playercnt)),SUMPRODUCT(INDIRECT(ADDRESS(3,ROW()-31,1)):INDIRECT(ADDRESS(22,ROW()-31,1)),AW$3:AW$22),"")</f>
        <v>8</v>
      </c>
      <c r="AX88">
        <f ca="1">IF(AND(((COLUMN()-10)&lt;=playercnt),((ROW()-41)&lt;=playercnt)),SUMPRODUCT(INDIRECT(ADDRESS(3,ROW()-31,1)):INDIRECT(ADDRESS(22,ROW()-31,1)),AX$3:AX$22),"")</f>
        <v>7</v>
      </c>
      <c r="AY88">
        <f ca="1">IF(AND(((COLUMN()-10)&lt;=playercnt),((ROW()-41)&lt;=playercnt)),SUMPRODUCT(INDIRECT(ADDRESS(3,ROW()-31,1)):INDIRECT(ADDRESS(22,ROW()-31,1)),AY$3:AY$22),"")</f>
        <v>6</v>
      </c>
      <c r="AZ88">
        <f ca="1">IF(AND(((COLUMN()-10)&lt;=playercnt),((ROW()-41)&lt;=playercnt)),SUMPRODUCT(INDIRECT(ADDRESS(3,ROW()-31,1)):INDIRECT(ADDRESS(22,ROW()-31,1)),AZ$3:AZ$22),"")</f>
        <v>7</v>
      </c>
      <c r="BA88">
        <f ca="1">IF(AND(((COLUMN()-10)&lt;=playercnt),((ROW()-41)&lt;=playercnt)),SUMPRODUCT(INDIRECT(ADDRESS(3,ROW()-31,1)):INDIRECT(ADDRESS(22,ROW()-31,1)),BA$3:BA$22),"")</f>
        <v>7</v>
      </c>
      <c r="BB88">
        <f ca="1">IF(AND(((COLUMN()-10)&lt;=playercnt),((ROW()-41)&lt;=playercnt)),SUMPRODUCT(INDIRECT(ADDRESS(3,ROW()-31,1)):INDIRECT(ADDRESS(22,ROW()-31,1)),BB$3:BB$22),"")</f>
        <v>7</v>
      </c>
      <c r="BC88">
        <f ca="1">IF(AND(((COLUMN()-10)&lt;=playercnt),((ROW()-41)&lt;=playercnt)),SUMPRODUCT(INDIRECT(ADDRESS(3,ROW()-31,1)):INDIRECT(ADDRESS(22,ROW()-31,1)),BC$3:BC$22),"")</f>
        <v>5</v>
      </c>
      <c r="BD88">
        <f ca="1">IF(AND(((COLUMN()-10)&lt;=playercnt),((ROW()-41)&lt;=playercnt)),SUMPRODUCT(INDIRECT(ADDRESS(3,ROW()-31,1)):INDIRECT(ADDRESS(22,ROW()-31,1)),BD$3:BD$22),"")</f>
        <v>5</v>
      </c>
      <c r="BE88">
        <f ca="1">IF(AND(((COLUMN()-10)&lt;=playercnt),((ROW()-41)&lt;=playercnt)),SUMPRODUCT(INDIRECT(ADDRESS(3,ROW()-31,1)):INDIRECT(ADDRESS(22,ROW()-31,1)),BE$3:BE$22),"")</f>
        <v>10</v>
      </c>
      <c r="BF88">
        <f ca="1">IF(AND(((COLUMN()-10)&lt;=playercnt),((ROW()-41)&lt;=playercnt)),SUMPRODUCT(INDIRECT(ADDRESS(3,ROW()-31,1)):INDIRECT(ADDRESS(22,ROW()-31,1)),BF$3:BF$22),"")</f>
        <v>6</v>
      </c>
      <c r="BG88">
        <f ca="1">IF(AND(((COLUMN()-10)&lt;=playercnt),((ROW()-41)&lt;=playercnt)),SUMPRODUCT(INDIRECT(ADDRESS(3,ROW()-31,1)):INDIRECT(ADDRESS(22,ROW()-31,1)),BG$3:BG$22),"")</f>
        <v>8</v>
      </c>
      <c r="BH88">
        <f ca="1">IF(AND(((COLUMN()-10)&lt;=playercnt),((ROW()-41)&lt;=playercnt)),SUMPRODUCT(INDIRECT(ADDRESS(3,ROW()-31,1)):INDIRECT(ADDRESS(22,ROW()-31,1)),BH$3:BH$22),"")</f>
        <v>4</v>
      </c>
      <c r="BI88">
        <f ca="1">IF(AND(((COLUMN()-10)&lt;=playercnt),((ROW()-41)&lt;=playercnt)),SUMPRODUCT(INDIRECT(ADDRESS(3,ROW()-31,1)):INDIRECT(ADDRESS(22,ROW()-31,1)),BI$3:BI$22),"")</f>
        <v>6</v>
      </c>
      <c r="BJ88">
        <f ca="1">IF(AND(((COLUMN()-10)&lt;=playercnt),((ROW()-41)&lt;=playercnt)),SUMPRODUCT(INDIRECT(ADDRESS(3,ROW()-31,1)):INDIRECT(ADDRESS(22,ROW()-31,1)),BJ$3:BJ$22),"")</f>
        <v>8</v>
      </c>
      <c r="BK88">
        <f ca="1">IF(AND(((COLUMN()-10)&lt;=playercnt),((ROW()-41)&lt;=playercnt)),SUMPRODUCT(INDIRECT(ADDRESS(3,ROW()-31,1)):INDIRECT(ADDRESS(22,ROW()-31,1)),BK$3:BK$22),"")</f>
        <v>4</v>
      </c>
      <c r="BL88">
        <f ca="1">IF(AND(((COLUMN()-10)&lt;=playercnt),((ROW()-41)&lt;=playercnt)),SUMPRODUCT(INDIRECT(ADDRESS(3,ROW()-31,1)):INDIRECT(ADDRESS(22,ROW()-31,1)),BL$3:BL$22),"")</f>
        <v>7</v>
      </c>
      <c r="BM88">
        <f ca="1">IF(AND(((COLUMN()-10)&lt;=playercnt),((ROW()-41)&lt;=playercnt)),SUMPRODUCT(INDIRECT(ADDRESS(3,ROW()-31,1)):INDIRECT(ADDRESS(22,ROW()-31,1)),BM$3:BM$22),"")</f>
        <v>6</v>
      </c>
      <c r="BN88">
        <f ca="1">IF(AND(((COLUMN()-10)&lt;=playercnt),((ROW()-41)&lt;=playercnt)),SUMPRODUCT(INDIRECT(ADDRESS(3,ROW()-31,1)):INDIRECT(ADDRESS(22,ROW()-31,1)),BN$3:BN$22),"")</f>
        <v>3</v>
      </c>
    </row>
    <row r="89" spans="2:66" x14ac:dyDescent="0.2">
      <c r="B89" s="27">
        <f t="shared" ca="1" si="23"/>
        <v>5.716981132075472</v>
      </c>
      <c r="C89" t="str">
        <f t="shared" ca="1" si="24"/>
        <v>Steel, Van Remote</v>
      </c>
      <c r="G89">
        <f ca="1">IF(AND(((COLUMN()-10)&lt;=playercnt),((ROW()-41)&lt;=playercnt)),SUMPRODUCT(INDIRECT(ADDRESS(3,ROW()-31,1)):INDIRECT(ADDRESS(22,ROW()-31,1)),G$3:G$22),"")</f>
        <v>4</v>
      </c>
      <c r="H89">
        <f ca="1">IF(AND(((COLUMN()-10)&lt;=playercnt),((ROW()-41)&lt;=playercnt)),SUMPRODUCT(INDIRECT(ADDRESS(3,ROW()-31,1)):INDIRECT(ADDRESS(22,ROW()-31,1)),H$3:H$22),"")</f>
        <v>7</v>
      </c>
      <c r="I89">
        <f ca="1">IF(AND(((COLUMN()-10)&lt;=playercnt),((ROW()-41)&lt;=playercnt)),SUMPRODUCT(INDIRECT(ADDRESS(3,ROW()-31,1)):INDIRECT(ADDRESS(22,ROW()-31,1)),I$3:I$22),"")</f>
        <v>6.5</v>
      </c>
      <c r="J89">
        <f ca="1">IF(AND(((COLUMN()-10)&lt;=playercnt),((ROW()-41)&lt;=playercnt)),SUMPRODUCT(INDIRECT(ADDRESS(3,ROW()-31,1)):INDIRECT(ADDRESS(22,ROW()-31,1)),J$3:J$22),"")</f>
        <v>0</v>
      </c>
      <c r="K89">
        <f ca="1">IF(AND(((COLUMN()-10)&lt;=playercnt),((ROW()-41)&lt;=playercnt)),SUMPRODUCT(INDIRECT(ADDRESS(3,ROW()-31,1)):INDIRECT(ADDRESS(22,ROW()-31,1)),K$3:K$22),"")</f>
        <v>5</v>
      </c>
      <c r="L89">
        <f ca="1">IF(AND(((COLUMN()-10)&lt;=playercnt),((ROW()-41)&lt;=playercnt)),SUMPRODUCT(INDIRECT(ADDRESS(3,ROW()-31,1)):INDIRECT(ADDRESS(22,ROW()-31,1)),L$3:L$22),"")</f>
        <v>6</v>
      </c>
      <c r="M89">
        <f ca="1">IF(AND(((COLUMN()-10)&lt;=playercnt),((ROW()-41)&lt;=playercnt)),SUMPRODUCT(INDIRECT(ADDRESS(3,ROW()-31,1)):INDIRECT(ADDRESS(22,ROW()-31,1)),M$3:M$22),"")</f>
        <v>5</v>
      </c>
      <c r="N89">
        <f ca="1">IF(AND(((COLUMN()-10)&lt;=playercnt),((ROW()-41)&lt;=playercnt)),SUMPRODUCT(INDIRECT(ADDRESS(3,ROW()-31,1)):INDIRECT(ADDRESS(22,ROW()-31,1)),N$3:N$22),"")</f>
        <v>6</v>
      </c>
      <c r="O89">
        <f ca="1">IF(AND(((COLUMN()-10)&lt;=playercnt),((ROW()-41)&lt;=playercnt)),SUMPRODUCT(INDIRECT(ADDRESS(3,ROW()-31,1)):INDIRECT(ADDRESS(22,ROW()-31,1)),O$3:O$22),"")</f>
        <v>4</v>
      </c>
      <c r="P89">
        <f ca="1">IF(AND(((COLUMN()-10)&lt;=playercnt),((ROW()-41)&lt;=playercnt)),SUMPRODUCT(INDIRECT(ADDRESS(3,ROW()-31,1)):INDIRECT(ADDRESS(22,ROW()-31,1)),P$3:P$22),"")</f>
        <v>7</v>
      </c>
      <c r="Q89">
        <f ca="1">IF(AND(((COLUMN()-10)&lt;=playercnt),((ROW()-41)&lt;=playercnt)),SUMPRODUCT(INDIRECT(ADDRESS(3,ROW()-31,1)):INDIRECT(ADDRESS(22,ROW()-31,1)),Q$3:Q$22),"")</f>
        <v>6</v>
      </c>
      <c r="R89">
        <f ca="1">IF(AND(((COLUMN()-10)&lt;=playercnt),((ROW()-41)&lt;=playercnt)),SUMPRODUCT(INDIRECT(ADDRESS(3,ROW()-31,1)):INDIRECT(ADDRESS(22,ROW()-31,1)),R$3:R$22),"")</f>
        <v>4</v>
      </c>
      <c r="S89">
        <f ca="1">IF(AND(((COLUMN()-10)&lt;=playercnt),((ROW()-41)&lt;=playercnt)),SUMPRODUCT(INDIRECT(ADDRESS(3,ROW()-31,1)):INDIRECT(ADDRESS(22,ROW()-31,1)),S$3:S$22),"")</f>
        <v>6</v>
      </c>
      <c r="T89">
        <f ca="1">IF(AND(((COLUMN()-10)&lt;=playercnt),((ROW()-41)&lt;=playercnt)),SUMPRODUCT(INDIRECT(ADDRESS(3,ROW()-31,1)):INDIRECT(ADDRESS(22,ROW()-31,1)),T$3:T$22),"")</f>
        <v>5</v>
      </c>
      <c r="U89">
        <f ca="1">IF(AND(((COLUMN()-10)&lt;=playercnt),((ROW()-41)&lt;=playercnt)),SUMPRODUCT(INDIRECT(ADDRESS(3,ROW()-31,1)):INDIRECT(ADDRESS(22,ROW()-31,1)),U$3:U$22),"")</f>
        <v>6</v>
      </c>
      <c r="V89">
        <f ca="1">IF(AND(((COLUMN()-10)&lt;=playercnt),((ROW()-41)&lt;=playercnt)),SUMPRODUCT(INDIRECT(ADDRESS(3,ROW()-31,1)):INDIRECT(ADDRESS(22,ROW()-31,1)),V$3:V$22),"")</f>
        <v>8</v>
      </c>
      <c r="W89">
        <f ca="1">IF(AND(((COLUMN()-10)&lt;=playercnt),((ROW()-41)&lt;=playercnt)),SUMPRODUCT(INDIRECT(ADDRESS(3,ROW()-31,1)):INDIRECT(ADDRESS(22,ROW()-31,1)),W$3:W$22),"")</f>
        <v>6</v>
      </c>
      <c r="X89">
        <f ca="1">IF(AND(((COLUMN()-10)&lt;=playercnt),((ROW()-41)&lt;=playercnt)),SUMPRODUCT(INDIRECT(ADDRESS(3,ROW()-31,1)):INDIRECT(ADDRESS(22,ROW()-31,1)),X$3:X$22),"")</f>
        <v>5</v>
      </c>
      <c r="Y89">
        <f ca="1">IF(AND(((COLUMN()-10)&lt;=playercnt),((ROW()-41)&lt;=playercnt)),SUMPRODUCT(INDIRECT(ADDRESS(3,ROW()-31,1)):INDIRECT(ADDRESS(22,ROW()-31,1)),Y$3:Y$22),"")</f>
        <v>6</v>
      </c>
      <c r="Z89">
        <f ca="1">IF(AND(((COLUMN()-10)&lt;=playercnt),((ROW()-41)&lt;=playercnt)),SUMPRODUCT(INDIRECT(ADDRESS(3,ROW()-31,1)):INDIRECT(ADDRESS(22,ROW()-31,1)),Z$3:Z$22),"")</f>
        <v>7</v>
      </c>
      <c r="AA89">
        <f ca="1">IF(AND(((COLUMN()-10)&lt;=playercnt),((ROW()-41)&lt;=playercnt)),SUMPRODUCT(INDIRECT(ADDRESS(3,ROW()-31,1)):INDIRECT(ADDRESS(22,ROW()-31,1)),AA$3:AA$22),"")</f>
        <v>4</v>
      </c>
      <c r="AB89">
        <f ca="1">IF(AND(((COLUMN()-10)&lt;=playercnt),((ROW()-41)&lt;=playercnt)),SUMPRODUCT(INDIRECT(ADDRESS(3,ROW()-31,1)):INDIRECT(ADDRESS(22,ROW()-31,1)),AB$3:AB$22),"")</f>
        <v>7</v>
      </c>
      <c r="AC89">
        <f ca="1">IF(AND(((COLUMN()-10)&lt;=playercnt),((ROW()-41)&lt;=playercnt)),SUMPRODUCT(INDIRECT(ADDRESS(3,ROW()-31,1)):INDIRECT(ADDRESS(22,ROW()-31,1)),AC$3:AC$22),"")</f>
        <v>6</v>
      </c>
      <c r="AD89">
        <f ca="1">IF(AND(((COLUMN()-10)&lt;=playercnt),((ROW()-41)&lt;=playercnt)),SUMPRODUCT(INDIRECT(ADDRESS(3,ROW()-31,1)):INDIRECT(ADDRESS(22,ROW()-31,1)),AD$3:AD$22),"")</f>
        <v>4</v>
      </c>
      <c r="AE89">
        <f ca="1">IF(AND(((COLUMN()-10)&lt;=playercnt),((ROW()-41)&lt;=playercnt)),SUMPRODUCT(INDIRECT(ADDRESS(3,ROW()-31,1)):INDIRECT(ADDRESS(22,ROW()-31,1)),AE$3:AE$22),"")</f>
        <v>6</v>
      </c>
      <c r="AF89">
        <f ca="1">IF(AND(((COLUMN()-10)&lt;=playercnt),((ROW()-41)&lt;=playercnt)),SUMPRODUCT(INDIRECT(ADDRESS(3,ROW()-31,1)):INDIRECT(ADDRESS(22,ROW()-31,1)),AF$3:AF$22),"")</f>
        <v>5</v>
      </c>
      <c r="AG89">
        <f ca="1">IF(AND(((COLUMN()-10)&lt;=playercnt),((ROW()-41)&lt;=playercnt)),SUMPRODUCT(INDIRECT(ADDRESS(3,ROW()-31,1)):INDIRECT(ADDRESS(22,ROW()-31,1)),AG$3:AG$22),"")</f>
        <v>7</v>
      </c>
      <c r="AH89">
        <f ca="1">IF(AND(((COLUMN()-10)&lt;=playercnt),((ROW()-41)&lt;=playercnt)),SUMPRODUCT(INDIRECT(ADDRESS(3,ROW()-31,1)):INDIRECT(ADDRESS(22,ROW()-31,1)),AH$3:AH$22),"")</f>
        <v>6</v>
      </c>
      <c r="AI89">
        <f ca="1">IF(AND(((COLUMN()-10)&lt;=playercnt),((ROW()-41)&lt;=playercnt)),SUMPRODUCT(INDIRECT(ADDRESS(3,ROW()-31,1)):INDIRECT(ADDRESS(22,ROW()-31,1)),AI$3:AI$22),"")</f>
        <v>4</v>
      </c>
      <c r="AJ89">
        <f ca="1">IF(AND(((COLUMN()-10)&lt;=playercnt),((ROW()-41)&lt;=playercnt)),SUMPRODUCT(INDIRECT(ADDRESS(3,ROW()-31,1)):INDIRECT(ADDRESS(22,ROW()-31,1)),AJ$3:AJ$22),"")</f>
        <v>8</v>
      </c>
      <c r="AK89">
        <f ca="1">IF(AND(((COLUMN()-10)&lt;=playercnt),((ROW()-41)&lt;=playercnt)),SUMPRODUCT(INDIRECT(ADDRESS(3,ROW()-31,1)):INDIRECT(ADDRESS(22,ROW()-31,1)),AK$3:AK$22),"")</f>
        <v>0</v>
      </c>
      <c r="AL89">
        <f ca="1">IF(AND(((COLUMN()-10)&lt;=playercnt),((ROW()-41)&lt;=playercnt)),SUMPRODUCT(INDIRECT(ADDRESS(3,ROW()-31,1)):INDIRECT(ADDRESS(22,ROW()-31,1)),AL$3:AL$22),"")</f>
        <v>7</v>
      </c>
      <c r="AM89">
        <f ca="1">IF(AND(((COLUMN()-10)&lt;=playercnt),((ROW()-41)&lt;=playercnt)),SUMPRODUCT(INDIRECT(ADDRESS(3,ROW()-31,1)):INDIRECT(ADDRESS(22,ROW()-31,1)),AM$3:AM$22),"")</f>
        <v>8</v>
      </c>
      <c r="AN89">
        <f ca="1">IF(AND(((COLUMN()-10)&lt;=playercnt),((ROW()-41)&lt;=playercnt)),SUMPRODUCT(INDIRECT(ADDRESS(3,ROW()-31,1)):INDIRECT(ADDRESS(22,ROW()-31,1)),AN$3:AN$22),"")</f>
        <v>6</v>
      </c>
      <c r="AO89">
        <f ca="1">IF(AND(((COLUMN()-10)&lt;=playercnt),((ROW()-41)&lt;=playercnt)),SUMPRODUCT(INDIRECT(ADDRESS(3,ROW()-31,1)):INDIRECT(ADDRESS(22,ROW()-31,1)),AO$3:AO$22),"")</f>
        <v>4</v>
      </c>
      <c r="AP89">
        <f ca="1">IF(AND(((COLUMN()-10)&lt;=playercnt),((ROW()-41)&lt;=playercnt)),SUMPRODUCT(INDIRECT(ADDRESS(3,ROW()-31,1)):INDIRECT(ADDRESS(22,ROW()-31,1)),AP$3:AP$22),"")</f>
        <v>0</v>
      </c>
      <c r="AQ89">
        <f ca="1">IF(AND(((COLUMN()-10)&lt;=playercnt),((ROW()-41)&lt;=playercnt)),SUMPRODUCT(INDIRECT(ADDRESS(3,ROW()-31,1)):INDIRECT(ADDRESS(22,ROW()-31,1)),AQ$3:AQ$22),"")</f>
        <v>8</v>
      </c>
      <c r="AR89">
        <f ca="1">IF(AND(((COLUMN()-10)&lt;=playercnt),((ROW()-41)&lt;=playercnt)),SUMPRODUCT(INDIRECT(ADDRESS(3,ROW()-31,1)):INDIRECT(ADDRESS(22,ROW()-31,1)),AR$3:AR$22),"")</f>
        <v>3</v>
      </c>
      <c r="AS89">
        <f ca="1">IF(AND(((COLUMN()-10)&lt;=playercnt),((ROW()-41)&lt;=playercnt)),SUMPRODUCT(INDIRECT(ADDRESS(3,ROW()-31,1)):INDIRECT(ADDRESS(22,ROW()-31,1)),AS$3:AS$22),"")</f>
        <v>4</v>
      </c>
      <c r="AT89">
        <f ca="1">IF(AND(((COLUMN()-10)&lt;=playercnt),((ROW()-41)&lt;=playercnt)),SUMPRODUCT(INDIRECT(ADDRESS(3,ROW()-31,1)):INDIRECT(ADDRESS(22,ROW()-31,1)),AT$3:AT$22),"")</f>
        <v>6</v>
      </c>
      <c r="AU89">
        <f ca="1">IF(AND(((COLUMN()-10)&lt;=playercnt),((ROW()-41)&lt;=playercnt)),SUMPRODUCT(INDIRECT(ADDRESS(3,ROW()-31,1)):INDIRECT(ADDRESS(22,ROW()-31,1)),AU$3:AU$22),"")</f>
        <v>6</v>
      </c>
      <c r="AV89">
        <f ca="1">IF(AND(((COLUMN()-10)&lt;=playercnt),((ROW()-41)&lt;=playercnt)),SUMPRODUCT(INDIRECT(ADDRESS(3,ROW()-31,1)):INDIRECT(ADDRESS(22,ROW()-31,1)),AV$3:AV$22),"")</f>
        <v>6</v>
      </c>
      <c r="AW89">
        <f ca="1">IF(AND(((COLUMN()-10)&lt;=playercnt),((ROW()-41)&lt;=playercnt)),SUMPRODUCT(INDIRECT(ADDRESS(3,ROW()-31,1)):INDIRECT(ADDRESS(22,ROW()-31,1)),AW$3:AW$22),"")</f>
        <v>4</v>
      </c>
      <c r="AX89">
        <f ca="1">IF(AND(((COLUMN()-10)&lt;=playercnt),((ROW()-41)&lt;=playercnt)),SUMPRODUCT(INDIRECT(ADDRESS(3,ROW()-31,1)):INDIRECT(ADDRESS(22,ROW()-31,1)),AX$3:AX$22),"")</f>
        <v>5</v>
      </c>
      <c r="AY89">
        <f ca="1">IF(AND(((COLUMN()-10)&lt;=playercnt),((ROW()-41)&lt;=playercnt)),SUMPRODUCT(INDIRECT(ADDRESS(3,ROW()-31,1)):INDIRECT(ADDRESS(22,ROW()-31,1)),AY$3:AY$22),"")</f>
        <v>6</v>
      </c>
      <c r="AZ89">
        <f ca="1">IF(AND(((COLUMN()-10)&lt;=playercnt),((ROW()-41)&lt;=playercnt)),SUMPRODUCT(INDIRECT(ADDRESS(3,ROW()-31,1)):INDIRECT(ADDRESS(22,ROW()-31,1)),AZ$3:AZ$22),"")</f>
        <v>7</v>
      </c>
      <c r="BA89">
        <f ca="1">IF(AND(((COLUMN()-10)&lt;=playercnt),((ROW()-41)&lt;=playercnt)),SUMPRODUCT(INDIRECT(ADDRESS(3,ROW()-31,1)):INDIRECT(ADDRESS(22,ROW()-31,1)),BA$3:BA$22),"")</f>
        <v>7</v>
      </c>
      <c r="BB89">
        <f ca="1">IF(AND(((COLUMN()-10)&lt;=playercnt),((ROW()-41)&lt;=playercnt)),SUMPRODUCT(INDIRECT(ADDRESS(3,ROW()-31,1)):INDIRECT(ADDRESS(22,ROW()-31,1)),BB$3:BB$22),"")</f>
        <v>7</v>
      </c>
      <c r="BC89">
        <f ca="1">IF(AND(((COLUMN()-10)&lt;=playercnt),((ROW()-41)&lt;=playercnt)),SUMPRODUCT(INDIRECT(ADDRESS(3,ROW()-31,1)):INDIRECT(ADDRESS(22,ROW()-31,1)),BC$3:BC$22),"")</f>
        <v>7</v>
      </c>
      <c r="BD89">
        <f ca="1">IF(AND(((COLUMN()-10)&lt;=playercnt),((ROW()-41)&lt;=playercnt)),SUMPRODUCT(INDIRECT(ADDRESS(3,ROW()-31,1)):INDIRECT(ADDRESS(22,ROW()-31,1)),BD$3:BD$22),"")</f>
        <v>5</v>
      </c>
      <c r="BE89">
        <f ca="1">IF(AND(((COLUMN()-10)&lt;=playercnt),((ROW()-41)&lt;=playercnt)),SUMPRODUCT(INDIRECT(ADDRESS(3,ROW()-31,1)):INDIRECT(ADDRESS(22,ROW()-31,1)),BE$3:BE$22),"")</f>
        <v>6</v>
      </c>
      <c r="BF89">
        <f ca="1">IF(AND(((COLUMN()-10)&lt;=playercnt),((ROW()-41)&lt;=playercnt)),SUMPRODUCT(INDIRECT(ADDRESS(3,ROW()-31,1)):INDIRECT(ADDRESS(22,ROW()-31,1)),BF$3:BF$22),"")</f>
        <v>10</v>
      </c>
      <c r="BG89">
        <f ca="1">IF(AND(((COLUMN()-10)&lt;=playercnt),((ROW()-41)&lt;=playercnt)),SUMPRODUCT(INDIRECT(ADDRESS(3,ROW()-31,1)):INDIRECT(ADDRESS(22,ROW()-31,1)),BG$3:BG$22),"")</f>
        <v>4</v>
      </c>
      <c r="BH89">
        <f ca="1">IF(AND(((COLUMN()-10)&lt;=playercnt),((ROW()-41)&lt;=playercnt)),SUMPRODUCT(INDIRECT(ADDRESS(3,ROW()-31,1)):INDIRECT(ADDRESS(22,ROW()-31,1)),BH$3:BH$22),"")</f>
        <v>6</v>
      </c>
      <c r="BI89">
        <f ca="1">IF(AND(((COLUMN()-10)&lt;=playercnt),((ROW()-41)&lt;=playercnt)),SUMPRODUCT(INDIRECT(ADDRESS(3,ROW()-31,1)):INDIRECT(ADDRESS(22,ROW()-31,1)),BI$3:BI$22),"")</f>
        <v>6</v>
      </c>
      <c r="BJ89">
        <f ca="1">IF(AND(((COLUMN()-10)&lt;=playercnt),((ROW()-41)&lt;=playercnt)),SUMPRODUCT(INDIRECT(ADDRESS(3,ROW()-31,1)):INDIRECT(ADDRESS(22,ROW()-31,1)),BJ$3:BJ$22),"")</f>
        <v>6</v>
      </c>
      <c r="BK89">
        <f ca="1">IF(AND(((COLUMN()-10)&lt;=playercnt),((ROW()-41)&lt;=playercnt)),SUMPRODUCT(INDIRECT(ADDRESS(3,ROW()-31,1)):INDIRECT(ADDRESS(22,ROW()-31,1)),BK$3:BK$22),"")</f>
        <v>4</v>
      </c>
      <c r="BL89">
        <f ca="1">IF(AND(((COLUMN()-10)&lt;=playercnt),((ROW()-41)&lt;=playercnt)),SUMPRODUCT(INDIRECT(ADDRESS(3,ROW()-31,1)):INDIRECT(ADDRESS(22,ROW()-31,1)),BL$3:BL$22),"")</f>
        <v>3</v>
      </c>
      <c r="BM89">
        <f ca="1">IF(AND(((COLUMN()-10)&lt;=playercnt),((ROW()-41)&lt;=playercnt)),SUMPRODUCT(INDIRECT(ADDRESS(3,ROW()-31,1)):INDIRECT(ADDRESS(22,ROW()-31,1)),BM$3:BM$22),"")</f>
        <v>8</v>
      </c>
      <c r="BN89">
        <f ca="1">IF(AND(((COLUMN()-10)&lt;=playercnt),((ROW()-41)&lt;=playercnt)),SUMPRODUCT(INDIRECT(ADDRESS(3,ROW()-31,1)):INDIRECT(ADDRESS(22,ROW()-31,1)),BN$3:BN$22),"")</f>
        <v>5</v>
      </c>
    </row>
    <row r="90" spans="2:66" x14ac:dyDescent="0.2">
      <c r="B90" s="27">
        <f t="shared" ca="1" si="23"/>
        <v>5.5283018867924527</v>
      </c>
      <c r="C90" t="str">
        <f t="shared" ca="1" si="24"/>
        <v>Stonecypher, David</v>
      </c>
      <c r="G90">
        <f ca="1">IF(AND(((COLUMN()-10)&lt;=playercnt),((ROW()-41)&lt;=playercnt)),SUMPRODUCT(INDIRECT(ADDRESS(3,ROW()-31,1)):INDIRECT(ADDRESS(22,ROW()-31,1)),G$3:G$22),"")</f>
        <v>4</v>
      </c>
      <c r="H90">
        <f ca="1">IF(AND(((COLUMN()-10)&lt;=playercnt),((ROW()-41)&lt;=playercnt)),SUMPRODUCT(INDIRECT(ADDRESS(3,ROW()-31,1)):INDIRECT(ADDRESS(22,ROW()-31,1)),H$3:H$22),"")</f>
        <v>5</v>
      </c>
      <c r="I90">
        <f ca="1">IF(AND(((COLUMN()-10)&lt;=playercnt),((ROW()-41)&lt;=playercnt)),SUMPRODUCT(INDIRECT(ADDRESS(3,ROW()-31,1)):INDIRECT(ADDRESS(22,ROW()-31,1)),I$3:I$22),"")</f>
        <v>7.5</v>
      </c>
      <c r="J90">
        <f ca="1">IF(AND(((COLUMN()-10)&lt;=playercnt),((ROW()-41)&lt;=playercnt)),SUMPRODUCT(INDIRECT(ADDRESS(3,ROW()-31,1)):INDIRECT(ADDRESS(22,ROW()-31,1)),J$3:J$22),"")</f>
        <v>0</v>
      </c>
      <c r="K90">
        <f ca="1">IF(AND(((COLUMN()-10)&lt;=playercnt),((ROW()-41)&lt;=playercnt)),SUMPRODUCT(INDIRECT(ADDRESS(3,ROW()-31,1)):INDIRECT(ADDRESS(22,ROW()-31,1)),K$3:K$22),"")</f>
        <v>5</v>
      </c>
      <c r="L90">
        <f ca="1">IF(AND(((COLUMN()-10)&lt;=playercnt),((ROW()-41)&lt;=playercnt)),SUMPRODUCT(INDIRECT(ADDRESS(3,ROW()-31,1)):INDIRECT(ADDRESS(22,ROW()-31,1)),L$3:L$22),"")</f>
        <v>6</v>
      </c>
      <c r="M90">
        <f ca="1">IF(AND(((COLUMN()-10)&lt;=playercnt),((ROW()-41)&lt;=playercnt)),SUMPRODUCT(INDIRECT(ADDRESS(3,ROW()-31,1)):INDIRECT(ADDRESS(22,ROW()-31,1)),M$3:M$22),"")</f>
        <v>7</v>
      </c>
      <c r="N90">
        <f ca="1">IF(AND(((COLUMN()-10)&lt;=playercnt),((ROW()-41)&lt;=playercnt)),SUMPRODUCT(INDIRECT(ADDRESS(3,ROW()-31,1)):INDIRECT(ADDRESS(22,ROW()-31,1)),N$3:N$22),"")</f>
        <v>4</v>
      </c>
      <c r="O90">
        <f ca="1">IF(AND(((COLUMN()-10)&lt;=playercnt),((ROW()-41)&lt;=playercnt)),SUMPRODUCT(INDIRECT(ADDRESS(3,ROW()-31,1)):INDIRECT(ADDRESS(22,ROW()-31,1)),O$3:O$22),"")</f>
        <v>6</v>
      </c>
      <c r="P90">
        <f ca="1">IF(AND(((COLUMN()-10)&lt;=playercnt),((ROW()-41)&lt;=playercnt)),SUMPRODUCT(INDIRECT(ADDRESS(3,ROW()-31,1)):INDIRECT(ADDRESS(22,ROW()-31,1)),P$3:P$22),"")</f>
        <v>5</v>
      </c>
      <c r="Q90">
        <f ca="1">IF(AND(((COLUMN()-10)&lt;=playercnt),((ROW()-41)&lt;=playercnt)),SUMPRODUCT(INDIRECT(ADDRESS(3,ROW()-31,1)):INDIRECT(ADDRESS(22,ROW()-31,1)),Q$3:Q$22),"")</f>
        <v>8</v>
      </c>
      <c r="R90">
        <f ca="1">IF(AND(((COLUMN()-10)&lt;=playercnt),((ROW()-41)&lt;=playercnt)),SUMPRODUCT(INDIRECT(ADDRESS(3,ROW()-31,1)):INDIRECT(ADDRESS(22,ROW()-31,1)),R$3:R$22),"")</f>
        <v>4</v>
      </c>
      <c r="S90">
        <f ca="1">IF(AND(((COLUMN()-10)&lt;=playercnt),((ROW()-41)&lt;=playercnt)),SUMPRODUCT(INDIRECT(ADDRESS(3,ROW()-31,1)):INDIRECT(ADDRESS(22,ROW()-31,1)),S$3:S$22),"")</f>
        <v>6</v>
      </c>
      <c r="T90">
        <f ca="1">IF(AND(((COLUMN()-10)&lt;=playercnt),((ROW()-41)&lt;=playercnt)),SUMPRODUCT(INDIRECT(ADDRESS(3,ROW()-31,1)):INDIRECT(ADDRESS(22,ROW()-31,1)),T$3:T$22),"")</f>
        <v>9</v>
      </c>
      <c r="U90">
        <f ca="1">IF(AND(((COLUMN()-10)&lt;=playercnt),((ROW()-41)&lt;=playercnt)),SUMPRODUCT(INDIRECT(ADDRESS(3,ROW()-31,1)):INDIRECT(ADDRESS(22,ROW()-31,1)),U$3:U$22),"")</f>
        <v>6</v>
      </c>
      <c r="V90">
        <f ca="1">IF(AND(((COLUMN()-10)&lt;=playercnt),((ROW()-41)&lt;=playercnt)),SUMPRODUCT(INDIRECT(ADDRESS(3,ROW()-31,1)):INDIRECT(ADDRESS(22,ROW()-31,1)),V$3:V$22),"")</f>
        <v>4</v>
      </c>
      <c r="W90">
        <f ca="1">IF(AND(((COLUMN()-10)&lt;=playercnt),((ROW()-41)&lt;=playercnt)),SUMPRODUCT(INDIRECT(ADDRESS(3,ROW()-31,1)):INDIRECT(ADDRESS(22,ROW()-31,1)),W$3:W$22),"")</f>
        <v>6</v>
      </c>
      <c r="X90">
        <f ca="1">IF(AND(((COLUMN()-10)&lt;=playercnt),((ROW()-41)&lt;=playercnt)),SUMPRODUCT(INDIRECT(ADDRESS(3,ROW()-31,1)):INDIRECT(ADDRESS(22,ROW()-31,1)),X$3:X$22),"")</f>
        <v>7</v>
      </c>
      <c r="Y90">
        <f ca="1">IF(AND(((COLUMN()-10)&lt;=playercnt),((ROW()-41)&lt;=playercnt)),SUMPRODUCT(INDIRECT(ADDRESS(3,ROW()-31,1)):INDIRECT(ADDRESS(22,ROW()-31,1)),Y$3:Y$22),"")</f>
        <v>4</v>
      </c>
      <c r="Z90">
        <f ca="1">IF(AND(((COLUMN()-10)&lt;=playercnt),((ROW()-41)&lt;=playercnt)),SUMPRODUCT(INDIRECT(ADDRESS(3,ROW()-31,1)):INDIRECT(ADDRESS(22,ROW()-31,1)),Z$3:Z$22),"")</f>
        <v>5</v>
      </c>
      <c r="AA90">
        <f ca="1">IF(AND(((COLUMN()-10)&lt;=playercnt),((ROW()-41)&lt;=playercnt)),SUMPRODUCT(INDIRECT(ADDRESS(3,ROW()-31,1)):INDIRECT(ADDRESS(22,ROW()-31,1)),AA$3:AA$22),"")</f>
        <v>6</v>
      </c>
      <c r="AB90">
        <f ca="1">IF(AND(((COLUMN()-10)&lt;=playercnt),((ROW()-41)&lt;=playercnt)),SUMPRODUCT(INDIRECT(ADDRESS(3,ROW()-31,1)):INDIRECT(ADDRESS(22,ROW()-31,1)),AB$3:AB$22),"")</f>
        <v>3</v>
      </c>
      <c r="AC90">
        <f ca="1">IF(AND(((COLUMN()-10)&lt;=playercnt),((ROW()-41)&lt;=playercnt)),SUMPRODUCT(INDIRECT(ADDRESS(3,ROW()-31,1)):INDIRECT(ADDRESS(22,ROW()-31,1)),AC$3:AC$22),"")</f>
        <v>4</v>
      </c>
      <c r="AD90">
        <f ca="1">IF(AND(((COLUMN()-10)&lt;=playercnt),((ROW()-41)&lt;=playercnt)),SUMPRODUCT(INDIRECT(ADDRESS(3,ROW()-31,1)):INDIRECT(ADDRESS(22,ROW()-31,1)),AD$3:AD$22),"")</f>
        <v>4</v>
      </c>
      <c r="AE90">
        <f ca="1">IF(AND(((COLUMN()-10)&lt;=playercnt),((ROW()-41)&lt;=playercnt)),SUMPRODUCT(INDIRECT(ADDRESS(3,ROW()-31,1)):INDIRECT(ADDRESS(22,ROW()-31,1)),AE$3:AE$22),"")</f>
        <v>6</v>
      </c>
      <c r="AF90">
        <f ca="1">IF(AND(((COLUMN()-10)&lt;=playercnt),((ROW()-41)&lt;=playercnt)),SUMPRODUCT(INDIRECT(ADDRESS(3,ROW()-31,1)):INDIRECT(ADDRESS(22,ROW()-31,1)),AF$3:AF$22),"")</f>
        <v>7</v>
      </c>
      <c r="AG90">
        <f ca="1">IF(AND(((COLUMN()-10)&lt;=playercnt),((ROW()-41)&lt;=playercnt)),SUMPRODUCT(INDIRECT(ADDRESS(3,ROW()-31,1)):INDIRECT(ADDRESS(22,ROW()-31,1)),AG$3:AG$22),"")</f>
        <v>5</v>
      </c>
      <c r="AH90">
        <f ca="1">IF(AND(((COLUMN()-10)&lt;=playercnt),((ROW()-41)&lt;=playercnt)),SUMPRODUCT(INDIRECT(ADDRESS(3,ROW()-31,1)):INDIRECT(ADDRESS(22,ROW()-31,1)),AH$3:AH$22),"")</f>
        <v>6</v>
      </c>
      <c r="AI90">
        <f ca="1">IF(AND(((COLUMN()-10)&lt;=playercnt),((ROW()-41)&lt;=playercnt)),SUMPRODUCT(INDIRECT(ADDRESS(3,ROW()-31,1)):INDIRECT(ADDRESS(22,ROW()-31,1)),AI$3:AI$22),"")</f>
        <v>6</v>
      </c>
      <c r="AJ90">
        <f ca="1">IF(AND(((COLUMN()-10)&lt;=playercnt),((ROW()-41)&lt;=playercnt)),SUMPRODUCT(INDIRECT(ADDRESS(3,ROW()-31,1)):INDIRECT(ADDRESS(22,ROW()-31,1)),AJ$3:AJ$22),"")</f>
        <v>4</v>
      </c>
      <c r="AK90">
        <f ca="1">IF(AND(((COLUMN()-10)&lt;=playercnt),((ROW()-41)&lt;=playercnt)),SUMPRODUCT(INDIRECT(ADDRESS(3,ROW()-31,1)):INDIRECT(ADDRESS(22,ROW()-31,1)),AK$3:AK$22),"")</f>
        <v>0</v>
      </c>
      <c r="AL90">
        <f ca="1">IF(AND(((COLUMN()-10)&lt;=playercnt),((ROW()-41)&lt;=playercnt)),SUMPRODUCT(INDIRECT(ADDRESS(3,ROW()-31,1)):INDIRECT(ADDRESS(22,ROW()-31,1)),AL$3:AL$22),"")</f>
        <v>5</v>
      </c>
      <c r="AM90">
        <f ca="1">IF(AND(((COLUMN()-10)&lt;=playercnt),((ROW()-41)&lt;=playercnt)),SUMPRODUCT(INDIRECT(ADDRESS(3,ROW()-31,1)):INDIRECT(ADDRESS(22,ROW()-31,1)),AM$3:AM$22),"")</f>
        <v>6</v>
      </c>
      <c r="AN90">
        <f ca="1">IF(AND(((COLUMN()-10)&lt;=playercnt),((ROW()-41)&lt;=playercnt)),SUMPRODUCT(INDIRECT(ADDRESS(3,ROW()-31,1)):INDIRECT(ADDRESS(22,ROW()-31,1)),AN$3:AN$22),"")</f>
        <v>6</v>
      </c>
      <c r="AO90">
        <f ca="1">IF(AND(((COLUMN()-10)&lt;=playercnt),((ROW()-41)&lt;=playercnt)),SUMPRODUCT(INDIRECT(ADDRESS(3,ROW()-31,1)):INDIRECT(ADDRESS(22,ROW()-31,1)),AO$3:AO$22),"")</f>
        <v>6</v>
      </c>
      <c r="AP90">
        <f ca="1">IF(AND(((COLUMN()-10)&lt;=playercnt),((ROW()-41)&lt;=playercnt)),SUMPRODUCT(INDIRECT(ADDRESS(3,ROW()-31,1)):INDIRECT(ADDRESS(22,ROW()-31,1)),AP$3:AP$22),"")</f>
        <v>0</v>
      </c>
      <c r="AQ90">
        <f ca="1">IF(AND(((COLUMN()-10)&lt;=playercnt),((ROW()-41)&lt;=playercnt)),SUMPRODUCT(INDIRECT(ADDRESS(3,ROW()-31,1)):INDIRECT(ADDRESS(22,ROW()-31,1)),AQ$3:AQ$22),"")</f>
        <v>4</v>
      </c>
      <c r="AR90">
        <f ca="1">IF(AND(((COLUMN()-10)&lt;=playercnt),((ROW()-41)&lt;=playercnt)),SUMPRODUCT(INDIRECT(ADDRESS(3,ROW()-31,1)):INDIRECT(ADDRESS(22,ROW()-31,1)),AR$3:AR$22),"")</f>
        <v>7</v>
      </c>
      <c r="AS90">
        <f ca="1">IF(AND(((COLUMN()-10)&lt;=playercnt),((ROW()-41)&lt;=playercnt)),SUMPRODUCT(INDIRECT(ADDRESS(3,ROW()-31,1)):INDIRECT(ADDRESS(22,ROW()-31,1)),AS$3:AS$22),"")</f>
        <v>8</v>
      </c>
      <c r="AT90">
        <f ca="1">IF(AND(((COLUMN()-10)&lt;=playercnt),((ROW()-41)&lt;=playercnt)),SUMPRODUCT(INDIRECT(ADDRESS(3,ROW()-31,1)):INDIRECT(ADDRESS(22,ROW()-31,1)),AT$3:AT$22),"")</f>
        <v>4</v>
      </c>
      <c r="AU90">
        <f ca="1">IF(AND(((COLUMN()-10)&lt;=playercnt),((ROW()-41)&lt;=playercnt)),SUMPRODUCT(INDIRECT(ADDRESS(3,ROW()-31,1)):INDIRECT(ADDRESS(22,ROW()-31,1)),AU$3:AU$22),"")</f>
        <v>6</v>
      </c>
      <c r="AV90">
        <f ca="1">IF(AND(((COLUMN()-10)&lt;=playercnt),((ROW()-41)&lt;=playercnt)),SUMPRODUCT(INDIRECT(ADDRESS(3,ROW()-31,1)):INDIRECT(ADDRESS(22,ROW()-31,1)),AV$3:AV$22),"")</f>
        <v>6</v>
      </c>
      <c r="AW90">
        <f ca="1">IF(AND(((COLUMN()-10)&lt;=playercnt),((ROW()-41)&lt;=playercnt)),SUMPRODUCT(INDIRECT(ADDRESS(3,ROW()-31,1)):INDIRECT(ADDRESS(22,ROW()-31,1)),AW$3:AW$22),"")</f>
        <v>8</v>
      </c>
      <c r="AX90">
        <f ca="1">IF(AND(((COLUMN()-10)&lt;=playercnt),((ROW()-41)&lt;=playercnt)),SUMPRODUCT(INDIRECT(ADDRESS(3,ROW()-31,1)):INDIRECT(ADDRESS(22,ROW()-31,1)),AX$3:AX$22),"")</f>
        <v>7</v>
      </c>
      <c r="AY90">
        <f ca="1">IF(AND(((COLUMN()-10)&lt;=playercnt),((ROW()-41)&lt;=playercnt)),SUMPRODUCT(INDIRECT(ADDRESS(3,ROW()-31,1)):INDIRECT(ADDRESS(22,ROW()-31,1)),AY$3:AY$22),"")</f>
        <v>4</v>
      </c>
      <c r="AZ90">
        <f ca="1">IF(AND(((COLUMN()-10)&lt;=playercnt),((ROW()-41)&lt;=playercnt)),SUMPRODUCT(INDIRECT(ADDRESS(3,ROW()-31,1)):INDIRECT(ADDRESS(22,ROW()-31,1)),AZ$3:AZ$22),"")</f>
        <v>7</v>
      </c>
      <c r="BA90">
        <f ca="1">IF(AND(((COLUMN()-10)&lt;=playercnt),((ROW()-41)&lt;=playercnt)),SUMPRODUCT(INDIRECT(ADDRESS(3,ROW()-31,1)):INDIRECT(ADDRESS(22,ROW()-31,1)),BA$3:BA$22),"")</f>
        <v>5</v>
      </c>
      <c r="BB90">
        <f ca="1">IF(AND(((COLUMN()-10)&lt;=playercnt),((ROW()-41)&lt;=playercnt)),SUMPRODUCT(INDIRECT(ADDRESS(3,ROW()-31,1)):INDIRECT(ADDRESS(22,ROW()-31,1)),BB$3:BB$22),"")</f>
        <v>5</v>
      </c>
      <c r="BC90">
        <f ca="1">IF(AND(((COLUMN()-10)&lt;=playercnt),((ROW()-41)&lt;=playercnt)),SUMPRODUCT(INDIRECT(ADDRESS(3,ROW()-31,1)):INDIRECT(ADDRESS(22,ROW()-31,1)),BC$3:BC$22),"")</f>
        <v>3</v>
      </c>
      <c r="BD90">
        <f ca="1">IF(AND(((COLUMN()-10)&lt;=playercnt),((ROW()-41)&lt;=playercnt)),SUMPRODUCT(INDIRECT(ADDRESS(3,ROW()-31,1)):INDIRECT(ADDRESS(22,ROW()-31,1)),BD$3:BD$22),"")</f>
        <v>3</v>
      </c>
      <c r="BE90">
        <f ca="1">IF(AND(((COLUMN()-10)&lt;=playercnt),((ROW()-41)&lt;=playercnt)),SUMPRODUCT(INDIRECT(ADDRESS(3,ROW()-31,1)):INDIRECT(ADDRESS(22,ROW()-31,1)),BE$3:BE$22),"")</f>
        <v>8</v>
      </c>
      <c r="BF90">
        <f ca="1">IF(AND(((COLUMN()-10)&lt;=playercnt),((ROW()-41)&lt;=playercnt)),SUMPRODUCT(INDIRECT(ADDRESS(3,ROW()-31,1)):INDIRECT(ADDRESS(22,ROW()-31,1)),BF$3:BF$22),"")</f>
        <v>4</v>
      </c>
      <c r="BG90">
        <f ca="1">IF(AND(((COLUMN()-10)&lt;=playercnt),((ROW()-41)&lt;=playercnt)),SUMPRODUCT(INDIRECT(ADDRESS(3,ROW()-31,1)):INDIRECT(ADDRESS(22,ROW()-31,1)),BG$3:BG$22),"")</f>
        <v>10</v>
      </c>
      <c r="BH90">
        <f ca="1">IF(AND(((COLUMN()-10)&lt;=playercnt),((ROW()-41)&lt;=playercnt)),SUMPRODUCT(INDIRECT(ADDRESS(3,ROW()-31,1)):INDIRECT(ADDRESS(22,ROW()-31,1)),BH$3:BH$22),"")</f>
        <v>4</v>
      </c>
      <c r="BI90">
        <f ca="1">IF(AND(((COLUMN()-10)&lt;=playercnt),((ROW()-41)&lt;=playercnt)),SUMPRODUCT(INDIRECT(ADDRESS(3,ROW()-31,1)):INDIRECT(ADDRESS(22,ROW()-31,1)),BI$3:BI$22),"")</f>
        <v>6</v>
      </c>
      <c r="BJ90">
        <f ca="1">IF(AND(((COLUMN()-10)&lt;=playercnt),((ROW()-41)&lt;=playercnt)),SUMPRODUCT(INDIRECT(ADDRESS(3,ROW()-31,1)):INDIRECT(ADDRESS(22,ROW()-31,1)),BJ$3:BJ$22),"")</f>
        <v>8</v>
      </c>
      <c r="BK90">
        <f ca="1">IF(AND(((COLUMN()-10)&lt;=playercnt),((ROW()-41)&lt;=playercnt)),SUMPRODUCT(INDIRECT(ADDRESS(3,ROW()-31,1)):INDIRECT(ADDRESS(22,ROW()-31,1)),BK$3:BK$22),"")</f>
        <v>4</v>
      </c>
      <c r="BL90">
        <f ca="1">IF(AND(((COLUMN()-10)&lt;=playercnt),((ROW()-41)&lt;=playercnt)),SUMPRODUCT(INDIRECT(ADDRESS(3,ROW()-31,1)):INDIRECT(ADDRESS(22,ROW()-31,1)),BL$3:BL$22),"")</f>
        <v>7</v>
      </c>
      <c r="BM90">
        <f ca="1">IF(AND(((COLUMN()-10)&lt;=playercnt),((ROW()-41)&lt;=playercnt)),SUMPRODUCT(INDIRECT(ADDRESS(3,ROW()-31,1)):INDIRECT(ADDRESS(22,ROW()-31,1)),BM$3:BM$22),"")</f>
        <v>6</v>
      </c>
      <c r="BN90">
        <f ca="1">IF(AND(((COLUMN()-10)&lt;=playercnt),((ROW()-41)&lt;=playercnt)),SUMPRODUCT(INDIRECT(ADDRESS(3,ROW()-31,1)):INDIRECT(ADDRESS(22,ROW()-31,1)),BN$3:BN$22),"")</f>
        <v>3</v>
      </c>
    </row>
    <row r="91" spans="2:66" x14ac:dyDescent="0.2">
      <c r="B91" s="27">
        <f t="shared" ca="1" si="23"/>
        <v>5.8301886792452828</v>
      </c>
      <c r="C91" t="str">
        <f t="shared" ca="1" si="24"/>
        <v>Straw, Adam D</v>
      </c>
      <c r="G91">
        <f ca="1">IF(AND(((COLUMN()-10)&lt;=playercnt),((ROW()-41)&lt;=playercnt)),SUMPRODUCT(INDIRECT(ADDRESS(3,ROW()-31,1)):INDIRECT(ADDRESS(22,ROW()-31,1)),G$3:G$22),"")</f>
        <v>2</v>
      </c>
      <c r="H91">
        <f ca="1">IF(AND(((COLUMN()-10)&lt;=playercnt),((ROW()-41)&lt;=playercnt)),SUMPRODUCT(INDIRECT(ADDRESS(3,ROW()-31,1)):INDIRECT(ADDRESS(22,ROW()-31,1)),H$3:H$22),"")</f>
        <v>5</v>
      </c>
      <c r="I91">
        <f ca="1">IF(AND(((COLUMN()-10)&lt;=playercnt),((ROW()-41)&lt;=playercnt)),SUMPRODUCT(INDIRECT(ADDRESS(3,ROW()-31,1)):INDIRECT(ADDRESS(22,ROW()-31,1)),I$3:I$22),"")</f>
        <v>6.5</v>
      </c>
      <c r="J91">
        <f ca="1">IF(AND(((COLUMN()-10)&lt;=playercnt),((ROW()-41)&lt;=playercnt)),SUMPRODUCT(INDIRECT(ADDRESS(3,ROW()-31,1)):INDIRECT(ADDRESS(22,ROW()-31,1)),J$3:J$22),"")</f>
        <v>0</v>
      </c>
      <c r="K91">
        <f ca="1">IF(AND(((COLUMN()-10)&lt;=playercnt),((ROW()-41)&lt;=playercnt)),SUMPRODUCT(INDIRECT(ADDRESS(3,ROW()-31,1)):INDIRECT(ADDRESS(22,ROW()-31,1)),K$3:K$22),"")</f>
        <v>7</v>
      </c>
      <c r="L91">
        <f ca="1">IF(AND(((COLUMN()-10)&lt;=playercnt),((ROW()-41)&lt;=playercnt)),SUMPRODUCT(INDIRECT(ADDRESS(3,ROW()-31,1)):INDIRECT(ADDRESS(22,ROW()-31,1)),L$3:L$22),"")</f>
        <v>6</v>
      </c>
      <c r="M91">
        <f ca="1">IF(AND(((COLUMN()-10)&lt;=playercnt),((ROW()-41)&lt;=playercnt)),SUMPRODUCT(INDIRECT(ADDRESS(3,ROW()-31,1)):INDIRECT(ADDRESS(22,ROW()-31,1)),M$3:M$22),"")</f>
        <v>7</v>
      </c>
      <c r="N91">
        <f ca="1">IF(AND(((COLUMN()-10)&lt;=playercnt),((ROW()-41)&lt;=playercnt)),SUMPRODUCT(INDIRECT(ADDRESS(3,ROW()-31,1)):INDIRECT(ADDRESS(22,ROW()-31,1)),N$3:N$22),"")</f>
        <v>4</v>
      </c>
      <c r="O91">
        <f ca="1">IF(AND(((COLUMN()-10)&lt;=playercnt),((ROW()-41)&lt;=playercnt)),SUMPRODUCT(INDIRECT(ADDRESS(3,ROW()-31,1)):INDIRECT(ADDRESS(22,ROW()-31,1)),O$3:O$22),"")</f>
        <v>4</v>
      </c>
      <c r="P91">
        <f ca="1">IF(AND(((COLUMN()-10)&lt;=playercnt),((ROW()-41)&lt;=playercnt)),SUMPRODUCT(INDIRECT(ADDRESS(3,ROW()-31,1)):INDIRECT(ADDRESS(22,ROW()-31,1)),P$3:P$22),"")</f>
        <v>3</v>
      </c>
      <c r="Q91">
        <f ca="1">IF(AND(((COLUMN()-10)&lt;=playercnt),((ROW()-41)&lt;=playercnt)),SUMPRODUCT(INDIRECT(ADDRESS(3,ROW()-31,1)):INDIRECT(ADDRESS(22,ROW()-31,1)),Q$3:Q$22),"")</f>
        <v>4</v>
      </c>
      <c r="R91">
        <f ca="1">IF(AND(((COLUMN()-10)&lt;=playercnt),((ROW()-41)&lt;=playercnt)),SUMPRODUCT(INDIRECT(ADDRESS(3,ROW()-31,1)):INDIRECT(ADDRESS(22,ROW()-31,1)),R$3:R$22),"")</f>
        <v>4</v>
      </c>
      <c r="S91">
        <f ca="1">IF(AND(((COLUMN()-10)&lt;=playercnt),((ROW()-41)&lt;=playercnt)),SUMPRODUCT(INDIRECT(ADDRESS(3,ROW()-31,1)):INDIRECT(ADDRESS(22,ROW()-31,1)),S$3:S$22),"")</f>
        <v>6</v>
      </c>
      <c r="T91">
        <f ca="1">IF(AND(((COLUMN()-10)&lt;=playercnt),((ROW()-41)&lt;=playercnt)),SUMPRODUCT(INDIRECT(ADDRESS(3,ROW()-31,1)):INDIRECT(ADDRESS(22,ROW()-31,1)),T$3:T$22),"")</f>
        <v>3</v>
      </c>
      <c r="U91">
        <f ca="1">IF(AND(((COLUMN()-10)&lt;=playercnt),((ROW()-41)&lt;=playercnt)),SUMPRODUCT(INDIRECT(ADDRESS(3,ROW()-31,1)):INDIRECT(ADDRESS(22,ROW()-31,1)),U$3:U$22),"")</f>
        <v>6</v>
      </c>
      <c r="V91">
        <f ca="1">IF(AND(((COLUMN()-10)&lt;=playercnt),((ROW()-41)&lt;=playercnt)),SUMPRODUCT(INDIRECT(ADDRESS(3,ROW()-31,1)):INDIRECT(ADDRESS(22,ROW()-31,1)),V$3:V$22),"")</f>
        <v>6</v>
      </c>
      <c r="W91">
        <f ca="1">IF(AND(((COLUMN()-10)&lt;=playercnt),((ROW()-41)&lt;=playercnt)),SUMPRODUCT(INDIRECT(ADDRESS(3,ROW()-31,1)):INDIRECT(ADDRESS(22,ROW()-31,1)),W$3:W$22),"")</f>
        <v>8</v>
      </c>
      <c r="X91">
        <f ca="1">IF(AND(((COLUMN()-10)&lt;=playercnt),((ROW()-41)&lt;=playercnt)),SUMPRODUCT(INDIRECT(ADDRESS(3,ROW()-31,1)):INDIRECT(ADDRESS(22,ROW()-31,1)),X$3:X$22),"")</f>
        <v>5</v>
      </c>
      <c r="Y91">
        <f ca="1">IF(AND(((COLUMN()-10)&lt;=playercnt),((ROW()-41)&lt;=playercnt)),SUMPRODUCT(INDIRECT(ADDRESS(3,ROW()-31,1)):INDIRECT(ADDRESS(22,ROW()-31,1)),Y$3:Y$22),"")</f>
        <v>6</v>
      </c>
      <c r="Z91">
        <f ca="1">IF(AND(((COLUMN()-10)&lt;=playercnt),((ROW()-41)&lt;=playercnt)),SUMPRODUCT(INDIRECT(ADDRESS(3,ROW()-31,1)):INDIRECT(ADDRESS(22,ROW()-31,1)),Z$3:Z$22),"")</f>
        <v>7</v>
      </c>
      <c r="AA91">
        <f ca="1">IF(AND(((COLUMN()-10)&lt;=playercnt),((ROW()-41)&lt;=playercnt)),SUMPRODUCT(INDIRECT(ADDRESS(3,ROW()-31,1)):INDIRECT(ADDRESS(22,ROW()-31,1)),AA$3:AA$22),"")</f>
        <v>8</v>
      </c>
      <c r="AB91">
        <f ca="1">IF(AND(((COLUMN()-10)&lt;=playercnt),((ROW()-41)&lt;=playercnt)),SUMPRODUCT(INDIRECT(ADDRESS(3,ROW()-31,1)):INDIRECT(ADDRESS(22,ROW()-31,1)),AB$3:AB$22),"")</f>
        <v>7</v>
      </c>
      <c r="AC91">
        <f ca="1">IF(AND(((COLUMN()-10)&lt;=playercnt),((ROW()-41)&lt;=playercnt)),SUMPRODUCT(INDIRECT(ADDRESS(3,ROW()-31,1)):INDIRECT(ADDRESS(22,ROW()-31,1)),AC$3:AC$22),"")</f>
        <v>8</v>
      </c>
      <c r="AD91">
        <f ca="1">IF(AND(((COLUMN()-10)&lt;=playercnt),((ROW()-41)&lt;=playercnt)),SUMPRODUCT(INDIRECT(ADDRESS(3,ROW()-31,1)):INDIRECT(ADDRESS(22,ROW()-31,1)),AD$3:AD$22),"")</f>
        <v>6</v>
      </c>
      <c r="AE91">
        <f ca="1">IF(AND(((COLUMN()-10)&lt;=playercnt),((ROW()-41)&lt;=playercnt)),SUMPRODUCT(INDIRECT(ADDRESS(3,ROW()-31,1)):INDIRECT(ADDRESS(22,ROW()-31,1)),AE$3:AE$22),"")</f>
        <v>6</v>
      </c>
      <c r="AF91">
        <f ca="1">IF(AND(((COLUMN()-10)&lt;=playercnt),((ROW()-41)&lt;=playercnt)),SUMPRODUCT(INDIRECT(ADDRESS(3,ROW()-31,1)):INDIRECT(ADDRESS(22,ROW()-31,1)),AF$3:AF$22),"")</f>
        <v>7</v>
      </c>
      <c r="AG91">
        <f ca="1">IF(AND(((COLUMN()-10)&lt;=playercnt),((ROW()-41)&lt;=playercnt)),SUMPRODUCT(INDIRECT(ADDRESS(3,ROW()-31,1)):INDIRECT(ADDRESS(22,ROW()-31,1)),AG$3:AG$22),"")</f>
        <v>9</v>
      </c>
      <c r="AH91">
        <f ca="1">IF(AND(((COLUMN()-10)&lt;=playercnt),((ROW()-41)&lt;=playercnt)),SUMPRODUCT(INDIRECT(ADDRESS(3,ROW()-31,1)):INDIRECT(ADDRESS(22,ROW()-31,1)),AH$3:AH$22),"")</f>
        <v>6</v>
      </c>
      <c r="AI91">
        <f ca="1">IF(AND(((COLUMN()-10)&lt;=playercnt),((ROW()-41)&lt;=playercnt)),SUMPRODUCT(INDIRECT(ADDRESS(3,ROW()-31,1)):INDIRECT(ADDRESS(22,ROW()-31,1)),AI$3:AI$22),"")</f>
        <v>6</v>
      </c>
      <c r="AJ91">
        <f ca="1">IF(AND(((COLUMN()-10)&lt;=playercnt),((ROW()-41)&lt;=playercnt)),SUMPRODUCT(INDIRECT(ADDRESS(3,ROW()-31,1)):INDIRECT(ADDRESS(22,ROW()-31,1)),AJ$3:AJ$22),"")</f>
        <v>8</v>
      </c>
      <c r="AK91">
        <f ca="1">IF(AND(((COLUMN()-10)&lt;=playercnt),((ROW()-41)&lt;=playercnt)),SUMPRODUCT(INDIRECT(ADDRESS(3,ROW()-31,1)):INDIRECT(ADDRESS(22,ROW()-31,1)),AK$3:AK$22),"")</f>
        <v>0</v>
      </c>
      <c r="AL91">
        <f ca="1">IF(AND(((COLUMN()-10)&lt;=playercnt),((ROW()-41)&lt;=playercnt)),SUMPRODUCT(INDIRECT(ADDRESS(3,ROW()-31,1)):INDIRECT(ADDRESS(22,ROW()-31,1)),AL$3:AL$22),"")</f>
        <v>7</v>
      </c>
      <c r="AM91">
        <f ca="1">IF(AND(((COLUMN()-10)&lt;=playercnt),((ROW()-41)&lt;=playercnt)),SUMPRODUCT(INDIRECT(ADDRESS(3,ROW()-31,1)):INDIRECT(ADDRESS(22,ROW()-31,1)),AM$3:AM$22),"")</f>
        <v>6</v>
      </c>
      <c r="AN91">
        <f ca="1">IF(AND(((COLUMN()-10)&lt;=playercnt),((ROW()-41)&lt;=playercnt)),SUMPRODUCT(INDIRECT(ADDRESS(3,ROW()-31,1)):INDIRECT(ADDRESS(22,ROW()-31,1)),AN$3:AN$22),"")</f>
        <v>6</v>
      </c>
      <c r="AO91">
        <f ca="1">IF(AND(((COLUMN()-10)&lt;=playercnt),((ROW()-41)&lt;=playercnt)),SUMPRODUCT(INDIRECT(ADDRESS(3,ROW()-31,1)):INDIRECT(ADDRESS(22,ROW()-31,1)),AO$3:AO$22),"")</f>
        <v>4</v>
      </c>
      <c r="AP91">
        <f ca="1">IF(AND(((COLUMN()-10)&lt;=playercnt),((ROW()-41)&lt;=playercnt)),SUMPRODUCT(INDIRECT(ADDRESS(3,ROW()-31,1)):INDIRECT(ADDRESS(22,ROW()-31,1)),AP$3:AP$22),"")</f>
        <v>0</v>
      </c>
      <c r="AQ91">
        <f ca="1">IF(AND(((COLUMN()-10)&lt;=playercnt),((ROW()-41)&lt;=playercnt)),SUMPRODUCT(INDIRECT(ADDRESS(3,ROW()-31,1)):INDIRECT(ADDRESS(22,ROW()-31,1)),AQ$3:AQ$22),"")</f>
        <v>8</v>
      </c>
      <c r="AR91">
        <f ca="1">IF(AND(((COLUMN()-10)&lt;=playercnt),((ROW()-41)&lt;=playercnt)),SUMPRODUCT(INDIRECT(ADDRESS(3,ROW()-31,1)):INDIRECT(ADDRESS(22,ROW()-31,1)),AR$3:AR$22),"")</f>
        <v>5</v>
      </c>
      <c r="AS91">
        <f ca="1">IF(AND(((COLUMN()-10)&lt;=playercnt),((ROW()-41)&lt;=playercnt)),SUMPRODUCT(INDIRECT(ADDRESS(3,ROW()-31,1)):INDIRECT(ADDRESS(22,ROW()-31,1)),AS$3:AS$22),"")</f>
        <v>4</v>
      </c>
      <c r="AT91">
        <f ca="1">IF(AND(((COLUMN()-10)&lt;=playercnt),((ROW()-41)&lt;=playercnt)),SUMPRODUCT(INDIRECT(ADDRESS(3,ROW()-31,1)):INDIRECT(ADDRESS(22,ROW()-31,1)),AT$3:AT$22),"")</f>
        <v>6</v>
      </c>
      <c r="AU91">
        <f ca="1">IF(AND(((COLUMN()-10)&lt;=playercnt),((ROW()-41)&lt;=playercnt)),SUMPRODUCT(INDIRECT(ADDRESS(3,ROW()-31,1)):INDIRECT(ADDRESS(22,ROW()-31,1)),AU$3:AU$22),"")</f>
        <v>6</v>
      </c>
      <c r="AV91">
        <f ca="1">IF(AND(((COLUMN()-10)&lt;=playercnt),((ROW()-41)&lt;=playercnt)),SUMPRODUCT(INDIRECT(ADDRESS(3,ROW()-31,1)):INDIRECT(ADDRESS(22,ROW()-31,1)),AV$3:AV$22),"")</f>
        <v>6</v>
      </c>
      <c r="AW91">
        <f ca="1">IF(AND(((COLUMN()-10)&lt;=playercnt),((ROW()-41)&lt;=playercnt)),SUMPRODUCT(INDIRECT(ADDRESS(3,ROW()-31,1)):INDIRECT(ADDRESS(22,ROW()-31,1)),AW$3:AW$22),"")</f>
        <v>4</v>
      </c>
      <c r="AX91">
        <f ca="1">IF(AND(((COLUMN()-10)&lt;=playercnt),((ROW()-41)&lt;=playercnt)),SUMPRODUCT(INDIRECT(ADDRESS(3,ROW()-31,1)):INDIRECT(ADDRESS(22,ROW()-31,1)),AX$3:AX$22),"")</f>
        <v>5</v>
      </c>
      <c r="AY91">
        <f ca="1">IF(AND(((COLUMN()-10)&lt;=playercnt),((ROW()-41)&lt;=playercnt)),SUMPRODUCT(INDIRECT(ADDRESS(3,ROW()-31,1)):INDIRECT(ADDRESS(22,ROW()-31,1)),AY$3:AY$22),"")</f>
        <v>6</v>
      </c>
      <c r="AZ91">
        <f ca="1">IF(AND(((COLUMN()-10)&lt;=playercnt),((ROW()-41)&lt;=playercnt)),SUMPRODUCT(INDIRECT(ADDRESS(3,ROW()-31,1)):INDIRECT(ADDRESS(22,ROW()-31,1)),AZ$3:AZ$22),"")</f>
        <v>7</v>
      </c>
      <c r="BA91">
        <f ca="1">IF(AND(((COLUMN()-10)&lt;=playercnt),((ROW()-41)&lt;=playercnt)),SUMPRODUCT(INDIRECT(ADDRESS(3,ROW()-31,1)):INDIRECT(ADDRESS(22,ROW()-31,1)),BA$3:BA$22),"")</f>
        <v>5</v>
      </c>
      <c r="BB91">
        <f ca="1">IF(AND(((COLUMN()-10)&lt;=playercnt),((ROW()-41)&lt;=playercnt)),SUMPRODUCT(INDIRECT(ADDRESS(3,ROW()-31,1)):INDIRECT(ADDRESS(22,ROW()-31,1)),BB$3:BB$22),"")</f>
        <v>5</v>
      </c>
      <c r="BC91">
        <f ca="1">IF(AND(((COLUMN()-10)&lt;=playercnt),((ROW()-41)&lt;=playercnt)),SUMPRODUCT(INDIRECT(ADDRESS(3,ROW()-31,1)):INDIRECT(ADDRESS(22,ROW()-31,1)),BC$3:BC$22),"")</f>
        <v>7</v>
      </c>
      <c r="BD91">
        <f ca="1">IF(AND(((COLUMN()-10)&lt;=playercnt),((ROW()-41)&lt;=playercnt)),SUMPRODUCT(INDIRECT(ADDRESS(3,ROW()-31,1)):INDIRECT(ADDRESS(22,ROW()-31,1)),BD$3:BD$22),"")</f>
        <v>5</v>
      </c>
      <c r="BE91">
        <f ca="1">IF(AND(((COLUMN()-10)&lt;=playercnt),((ROW()-41)&lt;=playercnt)),SUMPRODUCT(INDIRECT(ADDRESS(3,ROW()-31,1)):INDIRECT(ADDRESS(22,ROW()-31,1)),BE$3:BE$22),"")</f>
        <v>4</v>
      </c>
      <c r="BF91">
        <f ca="1">IF(AND(((COLUMN()-10)&lt;=playercnt),((ROW()-41)&lt;=playercnt)),SUMPRODUCT(INDIRECT(ADDRESS(3,ROW()-31,1)):INDIRECT(ADDRESS(22,ROW()-31,1)),BF$3:BF$22),"")</f>
        <v>6</v>
      </c>
      <c r="BG91">
        <f ca="1">IF(AND(((COLUMN()-10)&lt;=playercnt),((ROW()-41)&lt;=playercnt)),SUMPRODUCT(INDIRECT(ADDRESS(3,ROW()-31,1)):INDIRECT(ADDRESS(22,ROW()-31,1)),BG$3:BG$22),"")</f>
        <v>4</v>
      </c>
      <c r="BH91">
        <f ca="1">IF(AND(((COLUMN()-10)&lt;=playercnt),((ROW()-41)&lt;=playercnt)),SUMPRODUCT(INDIRECT(ADDRESS(3,ROW()-31,1)):INDIRECT(ADDRESS(22,ROW()-31,1)),BH$3:BH$22),"")</f>
        <v>10</v>
      </c>
      <c r="BI91">
        <f ca="1">IF(AND(((COLUMN()-10)&lt;=playercnt),((ROW()-41)&lt;=playercnt)),SUMPRODUCT(INDIRECT(ADDRESS(3,ROW()-31,1)):INDIRECT(ADDRESS(22,ROW()-31,1)),BI$3:BI$22),"")</f>
        <v>6</v>
      </c>
      <c r="BJ91">
        <f ca="1">IF(AND(((COLUMN()-10)&lt;=playercnt),((ROW()-41)&lt;=playercnt)),SUMPRODUCT(INDIRECT(ADDRESS(3,ROW()-31,1)):INDIRECT(ADDRESS(22,ROW()-31,1)),BJ$3:BJ$22),"")</f>
        <v>6</v>
      </c>
      <c r="BK91">
        <f ca="1">IF(AND(((COLUMN()-10)&lt;=playercnt),((ROW()-41)&lt;=playercnt)),SUMPRODUCT(INDIRECT(ADDRESS(3,ROW()-31,1)):INDIRECT(ADDRESS(22,ROW()-31,1)),BK$3:BK$22),"")</f>
        <v>6</v>
      </c>
      <c r="BL91">
        <f ca="1">IF(AND(((COLUMN()-10)&lt;=playercnt),((ROW()-41)&lt;=playercnt)),SUMPRODUCT(INDIRECT(ADDRESS(3,ROW()-31,1)):INDIRECT(ADDRESS(22,ROW()-31,1)),BL$3:BL$22),"")</f>
        <v>3</v>
      </c>
      <c r="BM91">
        <f ca="1">IF(AND(((COLUMN()-10)&lt;=playercnt),((ROW()-41)&lt;=playercnt)),SUMPRODUCT(INDIRECT(ADDRESS(3,ROW()-31,1)):INDIRECT(ADDRESS(22,ROW()-31,1)),BM$3:BM$22),"")</f>
        <v>8</v>
      </c>
      <c r="BN91">
        <f ca="1">IF(AND(((COLUMN()-10)&lt;=playercnt),((ROW()-41)&lt;=playercnt)),SUMPRODUCT(INDIRECT(ADDRESS(3,ROW()-31,1)):INDIRECT(ADDRESS(22,ROW()-31,1)),BN$3:BN$22),"")</f>
        <v>7</v>
      </c>
    </row>
    <row r="92" spans="2:66" x14ac:dyDescent="0.2">
      <c r="B92" s="27">
        <f t="shared" ca="1" si="23"/>
        <v>6.5471698113207548</v>
      </c>
      <c r="C92" t="str">
        <f t="shared" ca="1" si="24"/>
        <v>Warren, Jason</v>
      </c>
      <c r="G92">
        <f ca="1">IF(AND(((COLUMN()-10)&lt;=playercnt),((ROW()-41)&lt;=playercnt)),SUMPRODUCT(INDIRECT(ADDRESS(3,ROW()-31,1)):INDIRECT(ADDRESS(22,ROW()-31,1)),G$3:G$22),"")</f>
        <v>4</v>
      </c>
      <c r="H92">
        <f ca="1">IF(AND(((COLUMN()-10)&lt;=playercnt),((ROW()-41)&lt;=playercnt)),SUMPRODUCT(INDIRECT(ADDRESS(3,ROW()-31,1)):INDIRECT(ADDRESS(22,ROW()-31,1)),H$3:H$22),"")</f>
        <v>9</v>
      </c>
      <c r="I92">
        <f ca="1">IF(AND(((COLUMN()-10)&lt;=playercnt),((ROW()-41)&lt;=playercnt)),SUMPRODUCT(INDIRECT(ADDRESS(3,ROW()-31,1)):INDIRECT(ADDRESS(22,ROW()-31,1)),I$3:I$22),"")</f>
        <v>8.5</v>
      </c>
      <c r="J92">
        <f ca="1">IF(AND(((COLUMN()-10)&lt;=playercnt),((ROW()-41)&lt;=playercnt)),SUMPRODUCT(INDIRECT(ADDRESS(3,ROW()-31,1)):INDIRECT(ADDRESS(22,ROW()-31,1)),J$3:J$22),"")</f>
        <v>0</v>
      </c>
      <c r="K92">
        <f ca="1">IF(AND(((COLUMN()-10)&lt;=playercnt),((ROW()-41)&lt;=playercnt)),SUMPRODUCT(INDIRECT(ADDRESS(3,ROW()-31,1)):INDIRECT(ADDRESS(22,ROW()-31,1)),K$3:K$22),"")</f>
        <v>7</v>
      </c>
      <c r="L92">
        <f ca="1">IF(AND(((COLUMN()-10)&lt;=playercnt),((ROW()-41)&lt;=playercnt)),SUMPRODUCT(INDIRECT(ADDRESS(3,ROW()-31,1)):INDIRECT(ADDRESS(22,ROW()-31,1)),L$3:L$22),"")</f>
        <v>10</v>
      </c>
      <c r="M92">
        <f ca="1">IF(AND(((COLUMN()-10)&lt;=playercnt),((ROW()-41)&lt;=playercnt)),SUMPRODUCT(INDIRECT(ADDRESS(3,ROW()-31,1)):INDIRECT(ADDRESS(22,ROW()-31,1)),M$3:M$22),"")</f>
        <v>5</v>
      </c>
      <c r="N92">
        <f ca="1">IF(AND(((COLUMN()-10)&lt;=playercnt),((ROW()-41)&lt;=playercnt)),SUMPRODUCT(INDIRECT(ADDRESS(3,ROW()-31,1)):INDIRECT(ADDRESS(22,ROW()-31,1)),N$3:N$22),"")</f>
        <v>8</v>
      </c>
      <c r="O92">
        <f ca="1">IF(AND(((COLUMN()-10)&lt;=playercnt),((ROW()-41)&lt;=playercnt)),SUMPRODUCT(INDIRECT(ADDRESS(3,ROW()-31,1)):INDIRECT(ADDRESS(22,ROW()-31,1)),O$3:O$22),"")</f>
        <v>6</v>
      </c>
      <c r="P92">
        <f ca="1">IF(AND(((COLUMN()-10)&lt;=playercnt),((ROW()-41)&lt;=playercnt)),SUMPRODUCT(INDIRECT(ADDRESS(3,ROW()-31,1)):INDIRECT(ADDRESS(22,ROW()-31,1)),P$3:P$22),"")</f>
        <v>5</v>
      </c>
      <c r="Q92">
        <f ca="1">IF(AND(((COLUMN()-10)&lt;=playercnt),((ROW()-41)&lt;=playercnt)),SUMPRODUCT(INDIRECT(ADDRESS(3,ROW()-31,1)):INDIRECT(ADDRESS(22,ROW()-31,1)),Q$3:Q$22),"")</f>
        <v>6</v>
      </c>
      <c r="R92">
        <f ca="1">IF(AND(((COLUMN()-10)&lt;=playercnt),((ROW()-41)&lt;=playercnt)),SUMPRODUCT(INDIRECT(ADDRESS(3,ROW()-31,1)):INDIRECT(ADDRESS(22,ROW()-31,1)),R$3:R$22),"")</f>
        <v>6</v>
      </c>
      <c r="S92">
        <f ca="1">IF(AND(((COLUMN()-10)&lt;=playercnt),((ROW()-41)&lt;=playercnt)),SUMPRODUCT(INDIRECT(ADDRESS(3,ROW()-31,1)):INDIRECT(ADDRESS(22,ROW()-31,1)),S$3:S$22),"")</f>
        <v>8</v>
      </c>
      <c r="T92">
        <f ca="1">IF(AND(((COLUMN()-10)&lt;=playercnt),((ROW()-41)&lt;=playercnt)),SUMPRODUCT(INDIRECT(ADDRESS(3,ROW()-31,1)):INDIRECT(ADDRESS(22,ROW()-31,1)),T$3:T$22),"")</f>
        <v>5</v>
      </c>
      <c r="U92">
        <f ca="1">IF(AND(((COLUMN()-10)&lt;=playercnt),((ROW()-41)&lt;=playercnt)),SUMPRODUCT(INDIRECT(ADDRESS(3,ROW()-31,1)):INDIRECT(ADDRESS(22,ROW()-31,1)),U$3:U$22),"")</f>
        <v>10</v>
      </c>
      <c r="V92">
        <f ca="1">IF(AND(((COLUMN()-10)&lt;=playercnt),((ROW()-41)&lt;=playercnt)),SUMPRODUCT(INDIRECT(ADDRESS(3,ROW()-31,1)):INDIRECT(ADDRESS(22,ROW()-31,1)),V$3:V$22),"")</f>
        <v>4</v>
      </c>
      <c r="W92">
        <f ca="1">IF(AND(((COLUMN()-10)&lt;=playercnt),((ROW()-41)&lt;=playercnt)),SUMPRODUCT(INDIRECT(ADDRESS(3,ROW()-31,1)):INDIRECT(ADDRESS(22,ROW()-31,1)),W$3:W$22),"")</f>
        <v>6</v>
      </c>
      <c r="X92">
        <f ca="1">IF(AND(((COLUMN()-10)&lt;=playercnt),((ROW()-41)&lt;=playercnt)),SUMPRODUCT(INDIRECT(ADDRESS(3,ROW()-31,1)):INDIRECT(ADDRESS(22,ROW()-31,1)),X$3:X$22),"")</f>
        <v>5</v>
      </c>
      <c r="Y92">
        <f ca="1">IF(AND(((COLUMN()-10)&lt;=playercnt),((ROW()-41)&lt;=playercnt)),SUMPRODUCT(INDIRECT(ADDRESS(3,ROW()-31,1)):INDIRECT(ADDRESS(22,ROW()-31,1)),Y$3:Y$22),"")</f>
        <v>8</v>
      </c>
      <c r="Z92">
        <f ca="1">IF(AND(((COLUMN()-10)&lt;=playercnt),((ROW()-41)&lt;=playercnt)),SUMPRODUCT(INDIRECT(ADDRESS(3,ROW()-31,1)):INDIRECT(ADDRESS(22,ROW()-31,1)),Z$3:Z$22),"")</f>
        <v>5</v>
      </c>
      <c r="AA92">
        <f ca="1">IF(AND(((COLUMN()-10)&lt;=playercnt),((ROW()-41)&lt;=playercnt)),SUMPRODUCT(INDIRECT(ADDRESS(3,ROW()-31,1)):INDIRECT(ADDRESS(22,ROW()-31,1)),AA$3:AA$22),"")</f>
        <v>4</v>
      </c>
      <c r="AB92">
        <f ca="1">IF(AND(((COLUMN()-10)&lt;=playercnt),((ROW()-41)&lt;=playercnt)),SUMPRODUCT(INDIRECT(ADDRESS(3,ROW()-31,1)):INDIRECT(ADDRESS(22,ROW()-31,1)),AB$3:AB$22),"")</f>
        <v>5</v>
      </c>
      <c r="AC92">
        <f ca="1">IF(AND(((COLUMN()-10)&lt;=playercnt),((ROW()-41)&lt;=playercnt)),SUMPRODUCT(INDIRECT(ADDRESS(3,ROW()-31,1)):INDIRECT(ADDRESS(22,ROW()-31,1)),AC$3:AC$22),"")</f>
        <v>8</v>
      </c>
      <c r="AD92">
        <f ca="1">IF(AND(((COLUMN()-10)&lt;=playercnt),((ROW()-41)&lt;=playercnt)),SUMPRODUCT(INDIRECT(ADDRESS(3,ROW()-31,1)):INDIRECT(ADDRESS(22,ROW()-31,1)),AD$3:AD$22),"")</f>
        <v>6</v>
      </c>
      <c r="AE92">
        <f ca="1">IF(AND(((COLUMN()-10)&lt;=playercnt),((ROW()-41)&lt;=playercnt)),SUMPRODUCT(INDIRECT(ADDRESS(3,ROW()-31,1)):INDIRECT(ADDRESS(22,ROW()-31,1)),AE$3:AE$22),"")</f>
        <v>8</v>
      </c>
      <c r="AF92">
        <f ca="1">IF(AND(((COLUMN()-10)&lt;=playercnt),((ROW()-41)&lt;=playercnt)),SUMPRODUCT(INDIRECT(ADDRESS(3,ROW()-31,1)):INDIRECT(ADDRESS(22,ROW()-31,1)),AF$3:AF$22),"")</f>
        <v>5</v>
      </c>
      <c r="AG92">
        <f ca="1">IF(AND(((COLUMN()-10)&lt;=playercnt),((ROW()-41)&lt;=playercnt)),SUMPRODUCT(INDIRECT(ADDRESS(3,ROW()-31,1)):INDIRECT(ADDRESS(22,ROW()-31,1)),AG$3:AG$22),"")</f>
        <v>7</v>
      </c>
      <c r="AH92">
        <f ca="1">IF(AND(((COLUMN()-10)&lt;=playercnt),((ROW()-41)&lt;=playercnt)),SUMPRODUCT(INDIRECT(ADDRESS(3,ROW()-31,1)):INDIRECT(ADDRESS(22,ROW()-31,1)),AH$3:AH$22),"")</f>
        <v>8</v>
      </c>
      <c r="AI92">
        <f ca="1">IF(AND(((COLUMN()-10)&lt;=playercnt),((ROW()-41)&lt;=playercnt)),SUMPRODUCT(INDIRECT(ADDRESS(3,ROW()-31,1)):INDIRECT(ADDRESS(22,ROW()-31,1)),AI$3:AI$22),"")</f>
        <v>4</v>
      </c>
      <c r="AJ92">
        <f ca="1">IF(AND(((COLUMN()-10)&lt;=playercnt),((ROW()-41)&lt;=playercnt)),SUMPRODUCT(INDIRECT(ADDRESS(3,ROW()-31,1)):INDIRECT(ADDRESS(22,ROW()-31,1)),AJ$3:AJ$22),"")</f>
        <v>6</v>
      </c>
      <c r="AK92">
        <f ca="1">IF(AND(((COLUMN()-10)&lt;=playercnt),((ROW()-41)&lt;=playercnt)),SUMPRODUCT(INDIRECT(ADDRESS(3,ROW()-31,1)):INDIRECT(ADDRESS(22,ROW()-31,1)),AK$3:AK$22),"")</f>
        <v>0</v>
      </c>
      <c r="AL92">
        <f ca="1">IF(AND(((COLUMN()-10)&lt;=playercnt),((ROW()-41)&lt;=playercnt)),SUMPRODUCT(INDIRECT(ADDRESS(3,ROW()-31,1)):INDIRECT(ADDRESS(22,ROW()-31,1)),AL$3:AL$22),"")</f>
        <v>7</v>
      </c>
      <c r="AM92">
        <f ca="1">IF(AND(((COLUMN()-10)&lt;=playercnt),((ROW()-41)&lt;=playercnt)),SUMPRODUCT(INDIRECT(ADDRESS(3,ROW()-31,1)):INDIRECT(ADDRESS(22,ROW()-31,1)),AM$3:AM$22),"")</f>
        <v>8</v>
      </c>
      <c r="AN92">
        <f ca="1">IF(AND(((COLUMN()-10)&lt;=playercnt),((ROW()-41)&lt;=playercnt)),SUMPRODUCT(INDIRECT(ADDRESS(3,ROW()-31,1)):INDIRECT(ADDRESS(22,ROW()-31,1)),AN$3:AN$22),"")</f>
        <v>10</v>
      </c>
      <c r="AO92">
        <f ca="1">IF(AND(((COLUMN()-10)&lt;=playercnt),((ROW()-41)&lt;=playercnt)),SUMPRODUCT(INDIRECT(ADDRESS(3,ROW()-31,1)):INDIRECT(ADDRESS(22,ROW()-31,1)),AO$3:AO$22),"")</f>
        <v>4</v>
      </c>
      <c r="AP92">
        <f ca="1">IF(AND(((COLUMN()-10)&lt;=playercnt),((ROW()-41)&lt;=playercnt)),SUMPRODUCT(INDIRECT(ADDRESS(3,ROW()-31,1)):INDIRECT(ADDRESS(22,ROW()-31,1)),AP$3:AP$22),"")</f>
        <v>0</v>
      </c>
      <c r="AQ92">
        <f ca="1">IF(AND(((COLUMN()-10)&lt;=playercnt),((ROW()-41)&lt;=playercnt)),SUMPRODUCT(INDIRECT(ADDRESS(3,ROW()-31,1)):INDIRECT(ADDRESS(22,ROW()-31,1)),AQ$3:AQ$22),"")</f>
        <v>6</v>
      </c>
      <c r="AR92">
        <f ca="1">IF(AND(((COLUMN()-10)&lt;=playercnt),((ROW()-41)&lt;=playercnt)),SUMPRODUCT(INDIRECT(ADDRESS(3,ROW()-31,1)):INDIRECT(ADDRESS(22,ROW()-31,1)),AR$3:AR$22),"")</f>
        <v>5</v>
      </c>
      <c r="AS92">
        <f ca="1">IF(AND(((COLUMN()-10)&lt;=playercnt),((ROW()-41)&lt;=playercnt)),SUMPRODUCT(INDIRECT(ADDRESS(3,ROW()-31,1)):INDIRECT(ADDRESS(22,ROW()-31,1)),AS$3:AS$22),"")</f>
        <v>8</v>
      </c>
      <c r="AT92">
        <f ca="1">IF(AND(((COLUMN()-10)&lt;=playercnt),((ROW()-41)&lt;=playercnt)),SUMPRODUCT(INDIRECT(ADDRESS(3,ROW()-31,1)):INDIRECT(ADDRESS(22,ROW()-31,1)),AT$3:AT$22),"")</f>
        <v>6</v>
      </c>
      <c r="AU92">
        <f ca="1">IF(AND(((COLUMN()-10)&lt;=playercnt),((ROW()-41)&lt;=playercnt)),SUMPRODUCT(INDIRECT(ADDRESS(3,ROW()-31,1)):INDIRECT(ADDRESS(22,ROW()-31,1)),AU$3:AU$22),"")</f>
        <v>6</v>
      </c>
      <c r="AV92">
        <f ca="1">IF(AND(((COLUMN()-10)&lt;=playercnt),((ROW()-41)&lt;=playercnt)),SUMPRODUCT(INDIRECT(ADDRESS(3,ROW()-31,1)):INDIRECT(ADDRESS(22,ROW()-31,1)),AV$3:AV$22),"")</f>
        <v>10</v>
      </c>
      <c r="AW92">
        <f ca="1">IF(AND(((COLUMN()-10)&lt;=playercnt),((ROW()-41)&lt;=playercnt)),SUMPRODUCT(INDIRECT(ADDRESS(3,ROW()-31,1)):INDIRECT(ADDRESS(22,ROW()-31,1)),AW$3:AW$22),"")</f>
        <v>8</v>
      </c>
      <c r="AX92">
        <f ca="1">IF(AND(((COLUMN()-10)&lt;=playercnt),((ROW()-41)&lt;=playercnt)),SUMPRODUCT(INDIRECT(ADDRESS(3,ROW()-31,1)):INDIRECT(ADDRESS(22,ROW()-31,1)),AX$3:AX$22),"")</f>
        <v>7</v>
      </c>
      <c r="AY92">
        <f ca="1">IF(AND(((COLUMN()-10)&lt;=playercnt),((ROW()-41)&lt;=playercnt)),SUMPRODUCT(INDIRECT(ADDRESS(3,ROW()-31,1)):INDIRECT(ADDRESS(22,ROW()-31,1)),AY$3:AY$22),"")</f>
        <v>6</v>
      </c>
      <c r="AZ92">
        <f ca="1">IF(AND(((COLUMN()-10)&lt;=playercnt),((ROW()-41)&lt;=playercnt)),SUMPRODUCT(INDIRECT(ADDRESS(3,ROW()-31,1)):INDIRECT(ADDRESS(22,ROW()-31,1)),AZ$3:AZ$22),"")</f>
        <v>7</v>
      </c>
      <c r="BA92">
        <f ca="1">IF(AND(((COLUMN()-10)&lt;=playercnt),((ROW()-41)&lt;=playercnt)),SUMPRODUCT(INDIRECT(ADDRESS(3,ROW()-31,1)):INDIRECT(ADDRESS(22,ROW()-31,1)),BA$3:BA$22),"")</f>
        <v>7</v>
      </c>
      <c r="BB92">
        <f ca="1">IF(AND(((COLUMN()-10)&lt;=playercnt),((ROW()-41)&lt;=playercnt)),SUMPRODUCT(INDIRECT(ADDRESS(3,ROW()-31,1)):INDIRECT(ADDRESS(22,ROW()-31,1)),BB$3:BB$22),"")</f>
        <v>9</v>
      </c>
      <c r="BC92">
        <f ca="1">IF(AND(((COLUMN()-10)&lt;=playercnt),((ROW()-41)&lt;=playercnt)),SUMPRODUCT(INDIRECT(ADDRESS(3,ROW()-31,1)):INDIRECT(ADDRESS(22,ROW()-31,1)),BC$3:BC$22),"")</f>
        <v>7</v>
      </c>
      <c r="BD92">
        <f ca="1">IF(AND(((COLUMN()-10)&lt;=playercnt),((ROW()-41)&lt;=playercnt)),SUMPRODUCT(INDIRECT(ADDRESS(3,ROW()-31,1)):INDIRECT(ADDRESS(22,ROW()-31,1)),BD$3:BD$22),"")</f>
        <v>3</v>
      </c>
      <c r="BE92">
        <f ca="1">IF(AND(((COLUMN()-10)&lt;=playercnt),((ROW()-41)&lt;=playercnt)),SUMPRODUCT(INDIRECT(ADDRESS(3,ROW()-31,1)):INDIRECT(ADDRESS(22,ROW()-31,1)),BE$3:BE$22),"")</f>
        <v>6</v>
      </c>
      <c r="BF92">
        <f ca="1">IF(AND(((COLUMN()-10)&lt;=playercnt),((ROW()-41)&lt;=playercnt)),SUMPRODUCT(INDIRECT(ADDRESS(3,ROW()-31,1)):INDIRECT(ADDRESS(22,ROW()-31,1)),BF$3:BF$22),"")</f>
        <v>6</v>
      </c>
      <c r="BG92">
        <f ca="1">IF(AND(((COLUMN()-10)&lt;=playercnt),((ROW()-41)&lt;=playercnt)),SUMPRODUCT(INDIRECT(ADDRESS(3,ROW()-31,1)):INDIRECT(ADDRESS(22,ROW()-31,1)),BG$3:BG$22),"")</f>
        <v>6</v>
      </c>
      <c r="BH92">
        <f ca="1">IF(AND(((COLUMN()-10)&lt;=playercnt),((ROW()-41)&lt;=playercnt)),SUMPRODUCT(INDIRECT(ADDRESS(3,ROW()-31,1)):INDIRECT(ADDRESS(22,ROW()-31,1)),BH$3:BH$22),"")</f>
        <v>6</v>
      </c>
      <c r="BI92">
        <f ca="1">IF(AND(((COLUMN()-10)&lt;=playercnt),((ROW()-41)&lt;=playercnt)),SUMPRODUCT(INDIRECT(ADDRESS(3,ROW()-31,1)):INDIRECT(ADDRESS(22,ROW()-31,1)),BI$3:BI$22),"")</f>
        <v>10</v>
      </c>
      <c r="BJ92">
        <f ca="1">IF(AND(((COLUMN()-10)&lt;=playercnt),((ROW()-41)&lt;=playercnt)),SUMPRODUCT(INDIRECT(ADDRESS(3,ROW()-31,1)):INDIRECT(ADDRESS(22,ROW()-31,1)),BJ$3:BJ$22),"")</f>
        <v>6</v>
      </c>
      <c r="BK92">
        <f ca="1">IF(AND(((COLUMN()-10)&lt;=playercnt),((ROW()-41)&lt;=playercnt)),SUMPRODUCT(INDIRECT(ADDRESS(3,ROW()-31,1)):INDIRECT(ADDRESS(22,ROW()-31,1)),BK$3:BK$22),"")</f>
        <v>6</v>
      </c>
      <c r="BL92">
        <f ca="1">IF(AND(((COLUMN()-10)&lt;=playercnt),((ROW()-41)&lt;=playercnt)),SUMPRODUCT(INDIRECT(ADDRESS(3,ROW()-31,1)):INDIRECT(ADDRESS(22,ROW()-31,1)),BL$3:BL$22),"")</f>
        <v>7</v>
      </c>
      <c r="BM92">
        <f ca="1">IF(AND(((COLUMN()-10)&lt;=playercnt),((ROW()-41)&lt;=playercnt)),SUMPRODUCT(INDIRECT(ADDRESS(3,ROW()-31,1)):INDIRECT(ADDRESS(22,ROW()-31,1)),BM$3:BM$22),"")</f>
        <v>8</v>
      </c>
      <c r="BN92">
        <f ca="1">IF(AND(((COLUMN()-10)&lt;=playercnt),((ROW()-41)&lt;=playercnt)),SUMPRODUCT(INDIRECT(ADDRESS(3,ROW()-31,1)):INDIRECT(ADDRESS(22,ROW()-31,1)),BN$3:BN$22),"")</f>
        <v>7</v>
      </c>
    </row>
    <row r="93" spans="2:66" x14ac:dyDescent="0.2">
      <c r="B93" s="27">
        <f t="shared" ca="1" si="23"/>
        <v>6.2452830188679247</v>
      </c>
      <c r="C93" t="str">
        <f t="shared" ca="1" si="24"/>
        <v>Warren, Todd Remote</v>
      </c>
      <c r="G93">
        <f ca="1">IF(AND(((COLUMN()-10)&lt;=playercnt),((ROW()-41)&lt;=playercnt)),SUMPRODUCT(INDIRECT(ADDRESS(3,ROW()-31,1)):INDIRECT(ADDRESS(22,ROW()-31,1)),G$3:G$22),"")</f>
        <v>2</v>
      </c>
      <c r="H93">
        <f ca="1">IF(AND(((COLUMN()-10)&lt;=playercnt),((ROW()-41)&lt;=playercnt)),SUMPRODUCT(INDIRECT(ADDRESS(3,ROW()-31,1)):INDIRECT(ADDRESS(22,ROW()-31,1)),H$3:H$22),"")</f>
        <v>5</v>
      </c>
      <c r="I93">
        <f ca="1">IF(AND(((COLUMN()-10)&lt;=playercnt),((ROW()-41)&lt;=playercnt)),SUMPRODUCT(INDIRECT(ADDRESS(3,ROW()-31,1)):INDIRECT(ADDRESS(22,ROW()-31,1)),I$3:I$22),"")</f>
        <v>7.5</v>
      </c>
      <c r="J93">
        <f ca="1">IF(AND(((COLUMN()-10)&lt;=playercnt),((ROW()-41)&lt;=playercnt)),SUMPRODUCT(INDIRECT(ADDRESS(3,ROW()-31,1)):INDIRECT(ADDRESS(22,ROW()-31,1)),J$3:J$22),"")</f>
        <v>0</v>
      </c>
      <c r="K93">
        <f ca="1">IF(AND(((COLUMN()-10)&lt;=playercnt),((ROW()-41)&lt;=playercnt)),SUMPRODUCT(INDIRECT(ADDRESS(3,ROW()-31,1)):INDIRECT(ADDRESS(22,ROW()-31,1)),K$3:K$22),"")</f>
        <v>5</v>
      </c>
      <c r="L93">
        <f ca="1">IF(AND(((COLUMN()-10)&lt;=playercnt),((ROW()-41)&lt;=playercnt)),SUMPRODUCT(INDIRECT(ADDRESS(3,ROW()-31,1)):INDIRECT(ADDRESS(22,ROW()-31,1)),L$3:L$22),"")</f>
        <v>6</v>
      </c>
      <c r="M93">
        <f ca="1">IF(AND(((COLUMN()-10)&lt;=playercnt),((ROW()-41)&lt;=playercnt)),SUMPRODUCT(INDIRECT(ADDRESS(3,ROW()-31,1)):INDIRECT(ADDRESS(22,ROW()-31,1)),M$3:M$22),"")</f>
        <v>9</v>
      </c>
      <c r="N93">
        <f ca="1">IF(AND(((COLUMN()-10)&lt;=playercnt),((ROW()-41)&lt;=playercnt)),SUMPRODUCT(INDIRECT(ADDRESS(3,ROW()-31,1)):INDIRECT(ADDRESS(22,ROW()-31,1)),N$3:N$22),"")</f>
        <v>4</v>
      </c>
      <c r="O93">
        <f ca="1">IF(AND(((COLUMN()-10)&lt;=playercnt),((ROW()-41)&lt;=playercnt)),SUMPRODUCT(INDIRECT(ADDRESS(3,ROW()-31,1)):INDIRECT(ADDRESS(22,ROW()-31,1)),O$3:O$22),"")</f>
        <v>6</v>
      </c>
      <c r="P93">
        <f ca="1">IF(AND(((COLUMN()-10)&lt;=playercnt),((ROW()-41)&lt;=playercnt)),SUMPRODUCT(INDIRECT(ADDRESS(3,ROW()-31,1)):INDIRECT(ADDRESS(22,ROW()-31,1)),P$3:P$22),"")</f>
        <v>5</v>
      </c>
      <c r="Q93">
        <f ca="1">IF(AND(((COLUMN()-10)&lt;=playercnt),((ROW()-41)&lt;=playercnt)),SUMPRODUCT(INDIRECT(ADDRESS(3,ROW()-31,1)):INDIRECT(ADDRESS(22,ROW()-31,1)),Q$3:Q$22),"")</f>
        <v>8</v>
      </c>
      <c r="R93">
        <f ca="1">IF(AND(((COLUMN()-10)&lt;=playercnt),((ROW()-41)&lt;=playercnt)),SUMPRODUCT(INDIRECT(ADDRESS(3,ROW()-31,1)):INDIRECT(ADDRESS(22,ROW()-31,1)),R$3:R$22),"")</f>
        <v>4</v>
      </c>
      <c r="S93">
        <f ca="1">IF(AND(((COLUMN()-10)&lt;=playercnt),((ROW()-41)&lt;=playercnt)),SUMPRODUCT(INDIRECT(ADDRESS(3,ROW()-31,1)):INDIRECT(ADDRESS(22,ROW()-31,1)),S$3:S$22),"")</f>
        <v>8</v>
      </c>
      <c r="T93">
        <f ca="1">IF(AND(((COLUMN()-10)&lt;=playercnt),((ROW()-41)&lt;=playercnt)),SUMPRODUCT(INDIRECT(ADDRESS(3,ROW()-31,1)):INDIRECT(ADDRESS(22,ROW()-31,1)),T$3:T$22),"")</f>
        <v>7</v>
      </c>
      <c r="U93">
        <f ca="1">IF(AND(((COLUMN()-10)&lt;=playercnt),((ROW()-41)&lt;=playercnt)),SUMPRODUCT(INDIRECT(ADDRESS(3,ROW()-31,1)):INDIRECT(ADDRESS(22,ROW()-31,1)),U$3:U$22),"")</f>
        <v>6</v>
      </c>
      <c r="V93">
        <f ca="1">IF(AND(((COLUMN()-10)&lt;=playercnt),((ROW()-41)&lt;=playercnt)),SUMPRODUCT(INDIRECT(ADDRESS(3,ROW()-31,1)):INDIRECT(ADDRESS(22,ROW()-31,1)),V$3:V$22),"")</f>
        <v>6</v>
      </c>
      <c r="W93">
        <f ca="1">IF(AND(((COLUMN()-10)&lt;=playercnt),((ROW()-41)&lt;=playercnt)),SUMPRODUCT(INDIRECT(ADDRESS(3,ROW()-31,1)):INDIRECT(ADDRESS(22,ROW()-31,1)),W$3:W$22),"")</f>
        <v>8</v>
      </c>
      <c r="X93">
        <f ca="1">IF(AND(((COLUMN()-10)&lt;=playercnt),((ROW()-41)&lt;=playercnt)),SUMPRODUCT(INDIRECT(ADDRESS(3,ROW()-31,1)):INDIRECT(ADDRESS(22,ROW()-31,1)),X$3:X$22),"")</f>
        <v>7</v>
      </c>
      <c r="Y93">
        <f ca="1">IF(AND(((COLUMN()-10)&lt;=playercnt),((ROW()-41)&lt;=playercnt)),SUMPRODUCT(INDIRECT(ADDRESS(3,ROW()-31,1)):INDIRECT(ADDRESS(22,ROW()-31,1)),Y$3:Y$22),"")</f>
        <v>4</v>
      </c>
      <c r="Z93">
        <f ca="1">IF(AND(((COLUMN()-10)&lt;=playercnt),((ROW()-41)&lt;=playercnt)),SUMPRODUCT(INDIRECT(ADDRESS(3,ROW()-31,1)):INDIRECT(ADDRESS(22,ROW()-31,1)),Z$3:Z$22),"")</f>
        <v>7</v>
      </c>
      <c r="AA93">
        <f ca="1">IF(AND(((COLUMN()-10)&lt;=playercnt),((ROW()-41)&lt;=playercnt)),SUMPRODUCT(INDIRECT(ADDRESS(3,ROW()-31,1)):INDIRECT(ADDRESS(22,ROW()-31,1)),AA$3:AA$22),"")</f>
        <v>8</v>
      </c>
      <c r="AB93">
        <f ca="1">IF(AND(((COLUMN()-10)&lt;=playercnt),((ROW()-41)&lt;=playercnt)),SUMPRODUCT(INDIRECT(ADDRESS(3,ROW()-31,1)):INDIRECT(ADDRESS(22,ROW()-31,1)),AB$3:AB$22),"")</f>
        <v>3</v>
      </c>
      <c r="AC93">
        <f ca="1">IF(AND(((COLUMN()-10)&lt;=playercnt),((ROW()-41)&lt;=playercnt)),SUMPRODUCT(INDIRECT(ADDRESS(3,ROW()-31,1)):INDIRECT(ADDRESS(22,ROW()-31,1)),AC$3:AC$22),"")</f>
        <v>6</v>
      </c>
      <c r="AD93">
        <f ca="1">IF(AND(((COLUMN()-10)&lt;=playercnt),((ROW()-41)&lt;=playercnt)),SUMPRODUCT(INDIRECT(ADDRESS(3,ROW()-31,1)):INDIRECT(ADDRESS(22,ROW()-31,1)),AD$3:AD$22),"")</f>
        <v>4</v>
      </c>
      <c r="AE93">
        <f ca="1">IF(AND(((COLUMN()-10)&lt;=playercnt),((ROW()-41)&lt;=playercnt)),SUMPRODUCT(INDIRECT(ADDRESS(3,ROW()-31,1)):INDIRECT(ADDRESS(22,ROW()-31,1)),AE$3:AE$22),"")</f>
        <v>8</v>
      </c>
      <c r="AF93">
        <f ca="1">IF(AND(((COLUMN()-10)&lt;=playercnt),((ROW()-41)&lt;=playercnt)),SUMPRODUCT(INDIRECT(ADDRESS(3,ROW()-31,1)):INDIRECT(ADDRESS(22,ROW()-31,1)),AF$3:AF$22),"")</f>
        <v>9</v>
      </c>
      <c r="AG93">
        <f ca="1">IF(AND(((COLUMN()-10)&lt;=playercnt),((ROW()-41)&lt;=playercnt)),SUMPRODUCT(INDIRECT(ADDRESS(3,ROW()-31,1)):INDIRECT(ADDRESS(22,ROW()-31,1)),AG$3:AG$22),"")</f>
        <v>7</v>
      </c>
      <c r="AH93">
        <f ca="1">IF(AND(((COLUMN()-10)&lt;=playercnt),((ROW()-41)&lt;=playercnt)),SUMPRODUCT(INDIRECT(ADDRESS(3,ROW()-31,1)):INDIRECT(ADDRESS(22,ROW()-31,1)),AH$3:AH$22),"")</f>
        <v>6</v>
      </c>
      <c r="AI93">
        <f ca="1">IF(AND(((COLUMN()-10)&lt;=playercnt),((ROW()-41)&lt;=playercnt)),SUMPRODUCT(INDIRECT(ADDRESS(3,ROW()-31,1)):INDIRECT(ADDRESS(22,ROW()-31,1)),AI$3:AI$22),"")</f>
        <v>6</v>
      </c>
      <c r="AJ93">
        <f ca="1">IF(AND(((COLUMN()-10)&lt;=playercnt),((ROW()-41)&lt;=playercnt)),SUMPRODUCT(INDIRECT(ADDRESS(3,ROW()-31,1)):INDIRECT(ADDRESS(22,ROW()-31,1)),AJ$3:AJ$22),"")</f>
        <v>6</v>
      </c>
      <c r="AK93">
        <f ca="1">IF(AND(((COLUMN()-10)&lt;=playercnt),((ROW()-41)&lt;=playercnt)),SUMPRODUCT(INDIRECT(ADDRESS(3,ROW()-31,1)):INDIRECT(ADDRESS(22,ROW()-31,1)),AK$3:AK$22),"")</f>
        <v>0</v>
      </c>
      <c r="AL93">
        <f ca="1">IF(AND(((COLUMN()-10)&lt;=playercnt),((ROW()-41)&lt;=playercnt)),SUMPRODUCT(INDIRECT(ADDRESS(3,ROW()-31,1)):INDIRECT(ADDRESS(22,ROW()-31,1)),AL$3:AL$22),"")</f>
        <v>5</v>
      </c>
      <c r="AM93">
        <f ca="1">IF(AND(((COLUMN()-10)&lt;=playercnt),((ROW()-41)&lt;=playercnt)),SUMPRODUCT(INDIRECT(ADDRESS(3,ROW()-31,1)):INDIRECT(ADDRESS(22,ROW()-31,1)),AM$3:AM$22),"")</f>
        <v>6</v>
      </c>
      <c r="AN93">
        <f ca="1">IF(AND(((COLUMN()-10)&lt;=playercnt),((ROW()-41)&lt;=playercnt)),SUMPRODUCT(INDIRECT(ADDRESS(3,ROW()-31,1)):INDIRECT(ADDRESS(22,ROW()-31,1)),AN$3:AN$22),"")</f>
        <v>6</v>
      </c>
      <c r="AO93">
        <f ca="1">IF(AND(((COLUMN()-10)&lt;=playercnt),((ROW()-41)&lt;=playercnt)),SUMPRODUCT(INDIRECT(ADDRESS(3,ROW()-31,1)):INDIRECT(ADDRESS(22,ROW()-31,1)),AO$3:AO$22),"")</f>
        <v>6</v>
      </c>
      <c r="AP93">
        <f ca="1">IF(AND(((COLUMN()-10)&lt;=playercnt),((ROW()-41)&lt;=playercnt)),SUMPRODUCT(INDIRECT(ADDRESS(3,ROW()-31,1)):INDIRECT(ADDRESS(22,ROW()-31,1)),AP$3:AP$22),"")</f>
        <v>0</v>
      </c>
      <c r="AQ93">
        <f ca="1">IF(AND(((COLUMN()-10)&lt;=playercnt),((ROW()-41)&lt;=playercnt)),SUMPRODUCT(INDIRECT(ADDRESS(3,ROW()-31,1)):INDIRECT(ADDRESS(22,ROW()-31,1)),AQ$3:AQ$22),"")</f>
        <v>6</v>
      </c>
      <c r="AR93">
        <f ca="1">IF(AND(((COLUMN()-10)&lt;=playercnt),((ROW()-41)&lt;=playercnt)),SUMPRODUCT(INDIRECT(ADDRESS(3,ROW()-31,1)):INDIRECT(ADDRESS(22,ROW()-31,1)),AR$3:AR$22),"")</f>
        <v>5</v>
      </c>
      <c r="AS93">
        <f ca="1">IF(AND(((COLUMN()-10)&lt;=playercnt),((ROW()-41)&lt;=playercnt)),SUMPRODUCT(INDIRECT(ADDRESS(3,ROW()-31,1)):INDIRECT(ADDRESS(22,ROW()-31,1)),AS$3:AS$22),"")</f>
        <v>8</v>
      </c>
      <c r="AT93">
        <f ca="1">IF(AND(((COLUMN()-10)&lt;=playercnt),((ROW()-41)&lt;=playercnt)),SUMPRODUCT(INDIRECT(ADDRESS(3,ROW()-31,1)):INDIRECT(ADDRESS(22,ROW()-31,1)),AT$3:AT$22),"")</f>
        <v>4</v>
      </c>
      <c r="AU93">
        <f ca="1">IF(AND(((COLUMN()-10)&lt;=playercnt),((ROW()-41)&lt;=playercnt)),SUMPRODUCT(INDIRECT(ADDRESS(3,ROW()-31,1)):INDIRECT(ADDRESS(22,ROW()-31,1)),AU$3:AU$22),"")</f>
        <v>6</v>
      </c>
      <c r="AV93">
        <f ca="1">IF(AND(((COLUMN()-10)&lt;=playercnt),((ROW()-41)&lt;=playercnt)),SUMPRODUCT(INDIRECT(ADDRESS(3,ROW()-31,1)):INDIRECT(ADDRESS(22,ROW()-31,1)),AV$3:AV$22),"")</f>
        <v>6</v>
      </c>
      <c r="AW93">
        <f ca="1">IF(AND(((COLUMN()-10)&lt;=playercnt),((ROW()-41)&lt;=playercnt)),SUMPRODUCT(INDIRECT(ADDRESS(3,ROW()-31,1)):INDIRECT(ADDRESS(22,ROW()-31,1)),AW$3:AW$22),"")</f>
        <v>8</v>
      </c>
      <c r="AX93">
        <f ca="1">IF(AND(((COLUMN()-10)&lt;=playercnt),((ROW()-41)&lt;=playercnt)),SUMPRODUCT(INDIRECT(ADDRESS(3,ROW()-31,1)):INDIRECT(ADDRESS(22,ROW()-31,1)),AX$3:AX$22),"")</f>
        <v>7</v>
      </c>
      <c r="AY93">
        <f ca="1">IF(AND(((COLUMN()-10)&lt;=playercnt),((ROW()-41)&lt;=playercnt)),SUMPRODUCT(INDIRECT(ADDRESS(3,ROW()-31,1)):INDIRECT(ADDRESS(22,ROW()-31,1)),AY$3:AY$22),"")</f>
        <v>4</v>
      </c>
      <c r="AZ93">
        <f ca="1">IF(AND(((COLUMN()-10)&lt;=playercnt),((ROW()-41)&lt;=playercnt)),SUMPRODUCT(INDIRECT(ADDRESS(3,ROW()-31,1)):INDIRECT(ADDRESS(22,ROW()-31,1)),AZ$3:AZ$22),"")</f>
        <v>9</v>
      </c>
      <c r="BA93">
        <f ca="1">IF(AND(((COLUMN()-10)&lt;=playercnt),((ROW()-41)&lt;=playercnt)),SUMPRODUCT(INDIRECT(ADDRESS(3,ROW()-31,1)):INDIRECT(ADDRESS(22,ROW()-31,1)),BA$3:BA$22),"")</f>
        <v>7</v>
      </c>
      <c r="BB93">
        <f ca="1">IF(AND(((COLUMN()-10)&lt;=playercnt),((ROW()-41)&lt;=playercnt)),SUMPRODUCT(INDIRECT(ADDRESS(3,ROW()-31,1)):INDIRECT(ADDRESS(22,ROW()-31,1)),BB$3:BB$22),"")</f>
        <v>5</v>
      </c>
      <c r="BC93">
        <f ca="1">IF(AND(((COLUMN()-10)&lt;=playercnt),((ROW()-41)&lt;=playercnt)),SUMPRODUCT(INDIRECT(ADDRESS(3,ROW()-31,1)):INDIRECT(ADDRESS(22,ROW()-31,1)),BC$3:BC$22),"")</f>
        <v>5</v>
      </c>
      <c r="BD93">
        <f ca="1">IF(AND(((COLUMN()-10)&lt;=playercnt),((ROW()-41)&lt;=playercnt)),SUMPRODUCT(INDIRECT(ADDRESS(3,ROW()-31,1)):INDIRECT(ADDRESS(22,ROW()-31,1)),BD$3:BD$22),"")</f>
        <v>5</v>
      </c>
      <c r="BE93">
        <f ca="1">IF(AND(((COLUMN()-10)&lt;=playercnt),((ROW()-41)&lt;=playercnt)),SUMPRODUCT(INDIRECT(ADDRESS(3,ROW()-31,1)):INDIRECT(ADDRESS(22,ROW()-31,1)),BE$3:BE$22),"")</f>
        <v>8</v>
      </c>
      <c r="BF93">
        <f ca="1">IF(AND(((COLUMN()-10)&lt;=playercnt),((ROW()-41)&lt;=playercnt)),SUMPRODUCT(INDIRECT(ADDRESS(3,ROW()-31,1)):INDIRECT(ADDRESS(22,ROW()-31,1)),BF$3:BF$22),"")</f>
        <v>6</v>
      </c>
      <c r="BG93">
        <f ca="1">IF(AND(((COLUMN()-10)&lt;=playercnt),((ROW()-41)&lt;=playercnt)),SUMPRODUCT(INDIRECT(ADDRESS(3,ROW()-31,1)):INDIRECT(ADDRESS(22,ROW()-31,1)),BG$3:BG$22),"")</f>
        <v>8</v>
      </c>
      <c r="BH93">
        <f ca="1">IF(AND(((COLUMN()-10)&lt;=playercnt),((ROW()-41)&lt;=playercnt)),SUMPRODUCT(INDIRECT(ADDRESS(3,ROW()-31,1)):INDIRECT(ADDRESS(22,ROW()-31,1)),BH$3:BH$22),"")</f>
        <v>6</v>
      </c>
      <c r="BI93">
        <f ca="1">IF(AND(((COLUMN()-10)&lt;=playercnt),((ROW()-41)&lt;=playercnt)),SUMPRODUCT(INDIRECT(ADDRESS(3,ROW()-31,1)):INDIRECT(ADDRESS(22,ROW()-31,1)),BI$3:BI$22),"")</f>
        <v>6</v>
      </c>
      <c r="BJ93">
        <f ca="1">IF(AND(((COLUMN()-10)&lt;=playercnt),((ROW()-41)&lt;=playercnt)),SUMPRODUCT(INDIRECT(ADDRESS(3,ROW()-31,1)):INDIRECT(ADDRESS(22,ROW()-31,1)),BJ$3:BJ$22),"")</f>
        <v>10</v>
      </c>
      <c r="BK93">
        <f ca="1">IF(AND(((COLUMN()-10)&lt;=playercnt),((ROW()-41)&lt;=playercnt)),SUMPRODUCT(INDIRECT(ADDRESS(3,ROW()-31,1)):INDIRECT(ADDRESS(22,ROW()-31,1)),BK$3:BK$22),"")</f>
        <v>6</v>
      </c>
      <c r="BL93">
        <f ca="1">IF(AND(((COLUMN()-10)&lt;=playercnt),((ROW()-41)&lt;=playercnt)),SUMPRODUCT(INDIRECT(ADDRESS(3,ROW()-31,1)):INDIRECT(ADDRESS(22,ROW()-31,1)),BL$3:BL$22),"")</f>
        <v>7</v>
      </c>
      <c r="BM93">
        <f ca="1">IF(AND(((COLUMN()-10)&lt;=playercnt),((ROW()-41)&lt;=playercnt)),SUMPRODUCT(INDIRECT(ADDRESS(3,ROW()-31,1)):INDIRECT(ADDRESS(22,ROW()-31,1)),BM$3:BM$22),"")</f>
        <v>8</v>
      </c>
      <c r="BN93">
        <f ca="1">IF(AND(((COLUMN()-10)&lt;=playercnt),((ROW()-41)&lt;=playercnt)),SUMPRODUCT(INDIRECT(ADDRESS(3,ROW()-31,1)):INDIRECT(ADDRESS(22,ROW()-31,1)),BN$3:BN$22),"")</f>
        <v>5</v>
      </c>
    </row>
    <row r="94" spans="2:66" x14ac:dyDescent="0.2">
      <c r="B94" s="27">
        <f t="shared" ca="1" si="23"/>
        <v>5.5660377358490569</v>
      </c>
      <c r="C94" t="str">
        <f t="shared" ca="1" si="24"/>
        <v>Wells, Seth Remote</v>
      </c>
      <c r="G94">
        <f ca="1">IF(AND(((COLUMN()-10)&lt;=playercnt),((ROW()-41)&lt;=playercnt)),SUMPRODUCT(INDIRECT(ADDRESS(3,ROW()-31,1)):INDIRECT(ADDRESS(22,ROW()-31,1)),G$3:G$22),"")</f>
        <v>2</v>
      </c>
      <c r="H94">
        <f ca="1">IF(AND(((COLUMN()-10)&lt;=playercnt),((ROW()-41)&lt;=playercnt)),SUMPRODUCT(INDIRECT(ADDRESS(3,ROW()-31,1)):INDIRECT(ADDRESS(22,ROW()-31,1)),H$3:H$22),"")</f>
        <v>5</v>
      </c>
      <c r="I94">
        <f ca="1">IF(AND(((COLUMN()-10)&lt;=playercnt),((ROW()-41)&lt;=playercnt)),SUMPRODUCT(INDIRECT(ADDRESS(3,ROW()-31,1)):INDIRECT(ADDRESS(22,ROW()-31,1)),I$3:I$22),"")</f>
        <v>5.5</v>
      </c>
      <c r="J94">
        <f ca="1">IF(AND(((COLUMN()-10)&lt;=playercnt),((ROW()-41)&lt;=playercnt)),SUMPRODUCT(INDIRECT(ADDRESS(3,ROW()-31,1)):INDIRECT(ADDRESS(22,ROW()-31,1)),J$3:J$22),"")</f>
        <v>0</v>
      </c>
      <c r="K94">
        <f ca="1">IF(AND(((COLUMN()-10)&lt;=playercnt),((ROW()-41)&lt;=playercnt)),SUMPRODUCT(INDIRECT(ADDRESS(3,ROW()-31,1)):INDIRECT(ADDRESS(22,ROW()-31,1)),K$3:K$22),"")</f>
        <v>7</v>
      </c>
      <c r="L94">
        <f ca="1">IF(AND(((COLUMN()-10)&lt;=playercnt),((ROW()-41)&lt;=playercnt)),SUMPRODUCT(INDIRECT(ADDRESS(3,ROW()-31,1)):INDIRECT(ADDRESS(22,ROW()-31,1)),L$3:L$22),"")</f>
        <v>6</v>
      </c>
      <c r="M94">
        <f ca="1">IF(AND(((COLUMN()-10)&lt;=playercnt),((ROW()-41)&lt;=playercnt)),SUMPRODUCT(INDIRECT(ADDRESS(3,ROW()-31,1)):INDIRECT(ADDRESS(22,ROW()-31,1)),M$3:M$22),"")</f>
        <v>7</v>
      </c>
      <c r="N94">
        <f ca="1">IF(AND(((COLUMN()-10)&lt;=playercnt),((ROW()-41)&lt;=playercnt)),SUMPRODUCT(INDIRECT(ADDRESS(3,ROW()-31,1)):INDIRECT(ADDRESS(22,ROW()-31,1)),N$3:N$22),"")</f>
        <v>6</v>
      </c>
      <c r="O94">
        <f ca="1">IF(AND(((COLUMN()-10)&lt;=playercnt),((ROW()-41)&lt;=playercnt)),SUMPRODUCT(INDIRECT(ADDRESS(3,ROW()-31,1)):INDIRECT(ADDRESS(22,ROW()-31,1)),O$3:O$22),"")</f>
        <v>4</v>
      </c>
      <c r="P94">
        <f ca="1">IF(AND(((COLUMN()-10)&lt;=playercnt),((ROW()-41)&lt;=playercnt)),SUMPRODUCT(INDIRECT(ADDRESS(3,ROW()-31,1)):INDIRECT(ADDRESS(22,ROW()-31,1)),P$3:P$22),"")</f>
        <v>5</v>
      </c>
      <c r="Q94">
        <f ca="1">IF(AND(((COLUMN()-10)&lt;=playercnt),((ROW()-41)&lt;=playercnt)),SUMPRODUCT(INDIRECT(ADDRESS(3,ROW()-31,1)):INDIRECT(ADDRESS(22,ROW()-31,1)),Q$3:Q$22),"")</f>
        <v>4</v>
      </c>
      <c r="R94">
        <f ca="1">IF(AND(((COLUMN()-10)&lt;=playercnt),((ROW()-41)&lt;=playercnt)),SUMPRODUCT(INDIRECT(ADDRESS(3,ROW()-31,1)):INDIRECT(ADDRESS(22,ROW()-31,1)),R$3:R$22),"")</f>
        <v>4</v>
      </c>
      <c r="S94">
        <f ca="1">IF(AND(((COLUMN()-10)&lt;=playercnt),((ROW()-41)&lt;=playercnt)),SUMPRODUCT(INDIRECT(ADDRESS(3,ROW()-31,1)):INDIRECT(ADDRESS(22,ROW()-31,1)),S$3:S$22),"")</f>
        <v>8</v>
      </c>
      <c r="T94">
        <f ca="1">IF(AND(((COLUMN()-10)&lt;=playercnt),((ROW()-41)&lt;=playercnt)),SUMPRODUCT(INDIRECT(ADDRESS(3,ROW()-31,1)):INDIRECT(ADDRESS(22,ROW()-31,1)),T$3:T$22),"")</f>
        <v>3</v>
      </c>
      <c r="U94">
        <f ca="1">IF(AND(((COLUMN()-10)&lt;=playercnt),((ROW()-41)&lt;=playercnt)),SUMPRODUCT(INDIRECT(ADDRESS(3,ROW()-31,1)):INDIRECT(ADDRESS(22,ROW()-31,1)),U$3:U$22),"")</f>
        <v>6</v>
      </c>
      <c r="V94">
        <f ca="1">IF(AND(((COLUMN()-10)&lt;=playercnt),((ROW()-41)&lt;=playercnt)),SUMPRODUCT(INDIRECT(ADDRESS(3,ROW()-31,1)):INDIRECT(ADDRESS(22,ROW()-31,1)),V$3:V$22),"")</f>
        <v>6</v>
      </c>
      <c r="W94">
        <f ca="1">IF(AND(((COLUMN()-10)&lt;=playercnt),((ROW()-41)&lt;=playercnt)),SUMPRODUCT(INDIRECT(ADDRESS(3,ROW()-31,1)):INDIRECT(ADDRESS(22,ROW()-31,1)),W$3:W$22),"")</f>
        <v>6</v>
      </c>
      <c r="X94">
        <f ca="1">IF(AND(((COLUMN()-10)&lt;=playercnt),((ROW()-41)&lt;=playercnt)),SUMPRODUCT(INDIRECT(ADDRESS(3,ROW()-31,1)):INDIRECT(ADDRESS(22,ROW()-31,1)),X$3:X$22),"")</f>
        <v>5</v>
      </c>
      <c r="Y94">
        <f ca="1">IF(AND(((COLUMN()-10)&lt;=playercnt),((ROW()-41)&lt;=playercnt)),SUMPRODUCT(INDIRECT(ADDRESS(3,ROW()-31,1)):INDIRECT(ADDRESS(22,ROW()-31,1)),Y$3:Y$22),"")</f>
        <v>4</v>
      </c>
      <c r="Z94">
        <f ca="1">IF(AND(((COLUMN()-10)&lt;=playercnt),((ROW()-41)&lt;=playercnt)),SUMPRODUCT(INDIRECT(ADDRESS(3,ROW()-31,1)):INDIRECT(ADDRESS(22,ROW()-31,1)),Z$3:Z$22),"")</f>
        <v>7</v>
      </c>
      <c r="AA94">
        <f ca="1">IF(AND(((COLUMN()-10)&lt;=playercnt),((ROW()-41)&lt;=playercnt)),SUMPRODUCT(INDIRECT(ADDRESS(3,ROW()-31,1)):INDIRECT(ADDRESS(22,ROW()-31,1)),AA$3:AA$22),"")</f>
        <v>6</v>
      </c>
      <c r="AB94">
        <f ca="1">IF(AND(((COLUMN()-10)&lt;=playercnt),((ROW()-41)&lt;=playercnt)),SUMPRODUCT(INDIRECT(ADDRESS(3,ROW()-31,1)):INDIRECT(ADDRESS(22,ROW()-31,1)),AB$3:AB$22),"")</f>
        <v>3</v>
      </c>
      <c r="AC94">
        <f ca="1">IF(AND(((COLUMN()-10)&lt;=playercnt),((ROW()-41)&lt;=playercnt)),SUMPRODUCT(INDIRECT(ADDRESS(3,ROW()-31,1)):INDIRECT(ADDRESS(22,ROW()-31,1)),AC$3:AC$22),"")</f>
        <v>6</v>
      </c>
      <c r="AD94">
        <f ca="1">IF(AND(((COLUMN()-10)&lt;=playercnt),((ROW()-41)&lt;=playercnt)),SUMPRODUCT(INDIRECT(ADDRESS(3,ROW()-31,1)):INDIRECT(ADDRESS(22,ROW()-31,1)),AD$3:AD$22),"")</f>
        <v>4</v>
      </c>
      <c r="AE94">
        <f ca="1">IF(AND(((COLUMN()-10)&lt;=playercnt),((ROW()-41)&lt;=playercnt)),SUMPRODUCT(INDIRECT(ADDRESS(3,ROW()-31,1)):INDIRECT(ADDRESS(22,ROW()-31,1)),AE$3:AE$22),"")</f>
        <v>6</v>
      </c>
      <c r="AF94">
        <f ca="1">IF(AND(((COLUMN()-10)&lt;=playercnt),((ROW()-41)&lt;=playercnt)),SUMPRODUCT(INDIRECT(ADDRESS(3,ROW()-31,1)):INDIRECT(ADDRESS(22,ROW()-31,1)),AF$3:AF$22),"")</f>
        <v>7</v>
      </c>
      <c r="AG94">
        <f ca="1">IF(AND(((COLUMN()-10)&lt;=playercnt),((ROW()-41)&lt;=playercnt)),SUMPRODUCT(INDIRECT(ADDRESS(3,ROW()-31,1)):INDIRECT(ADDRESS(22,ROW()-31,1)),AG$3:AG$22),"")</f>
        <v>7</v>
      </c>
      <c r="AH94">
        <f ca="1">IF(AND(((COLUMN()-10)&lt;=playercnt),((ROW()-41)&lt;=playercnt)),SUMPRODUCT(INDIRECT(ADDRESS(3,ROW()-31,1)):INDIRECT(ADDRESS(22,ROW()-31,1)),AH$3:AH$22),"")</f>
        <v>6</v>
      </c>
      <c r="AI94">
        <f ca="1">IF(AND(((COLUMN()-10)&lt;=playercnt),((ROW()-41)&lt;=playercnt)),SUMPRODUCT(INDIRECT(ADDRESS(3,ROW()-31,1)):INDIRECT(ADDRESS(22,ROW()-31,1)),AI$3:AI$22),"")</f>
        <v>4</v>
      </c>
      <c r="AJ94">
        <f ca="1">IF(AND(((COLUMN()-10)&lt;=playercnt),((ROW()-41)&lt;=playercnt)),SUMPRODUCT(INDIRECT(ADDRESS(3,ROW()-31,1)):INDIRECT(ADDRESS(22,ROW()-31,1)),AJ$3:AJ$22),"")</f>
        <v>6</v>
      </c>
      <c r="AK94">
        <f ca="1">IF(AND(((COLUMN()-10)&lt;=playercnt),((ROW()-41)&lt;=playercnt)),SUMPRODUCT(INDIRECT(ADDRESS(3,ROW()-31,1)):INDIRECT(ADDRESS(22,ROW()-31,1)),AK$3:AK$22),"")</f>
        <v>0</v>
      </c>
      <c r="AL94">
        <f ca="1">IF(AND(((COLUMN()-10)&lt;=playercnt),((ROW()-41)&lt;=playercnt)),SUMPRODUCT(INDIRECT(ADDRESS(3,ROW()-31,1)):INDIRECT(ADDRESS(22,ROW()-31,1)),AL$3:AL$22),"")</f>
        <v>3</v>
      </c>
      <c r="AM94">
        <f ca="1">IF(AND(((COLUMN()-10)&lt;=playercnt),((ROW()-41)&lt;=playercnt)),SUMPRODUCT(INDIRECT(ADDRESS(3,ROW()-31,1)):INDIRECT(ADDRESS(22,ROW()-31,1)),AM$3:AM$22),"")</f>
        <v>4</v>
      </c>
      <c r="AN94">
        <f ca="1">IF(AND(((COLUMN()-10)&lt;=playercnt),((ROW()-41)&lt;=playercnt)),SUMPRODUCT(INDIRECT(ADDRESS(3,ROW()-31,1)):INDIRECT(ADDRESS(22,ROW()-31,1)),AN$3:AN$22),"")</f>
        <v>6</v>
      </c>
      <c r="AO94">
        <f ca="1">IF(AND(((COLUMN()-10)&lt;=playercnt),((ROW()-41)&lt;=playercnt)),SUMPRODUCT(INDIRECT(ADDRESS(3,ROW()-31,1)):INDIRECT(ADDRESS(22,ROW()-31,1)),AO$3:AO$22),"")</f>
        <v>4</v>
      </c>
      <c r="AP94">
        <f ca="1">IF(AND(((COLUMN()-10)&lt;=playercnt),((ROW()-41)&lt;=playercnt)),SUMPRODUCT(INDIRECT(ADDRESS(3,ROW()-31,1)):INDIRECT(ADDRESS(22,ROW()-31,1)),AP$3:AP$22),"")</f>
        <v>0</v>
      </c>
      <c r="AQ94">
        <f ca="1">IF(AND(((COLUMN()-10)&lt;=playercnt),((ROW()-41)&lt;=playercnt)),SUMPRODUCT(INDIRECT(ADDRESS(3,ROW()-31,1)):INDIRECT(ADDRESS(22,ROW()-31,1)),AQ$3:AQ$22),"")</f>
        <v>6</v>
      </c>
      <c r="AR94">
        <f ca="1">IF(AND(((COLUMN()-10)&lt;=playercnt),((ROW()-41)&lt;=playercnt)),SUMPRODUCT(INDIRECT(ADDRESS(3,ROW()-31,1)):INDIRECT(ADDRESS(22,ROW()-31,1)),AR$3:AR$22),"")</f>
        <v>5</v>
      </c>
      <c r="AS94">
        <f ca="1">IF(AND(((COLUMN()-10)&lt;=playercnt),((ROW()-41)&lt;=playercnt)),SUMPRODUCT(INDIRECT(ADDRESS(3,ROW()-31,1)):INDIRECT(ADDRESS(22,ROW()-31,1)),AS$3:AS$22),"")</f>
        <v>6</v>
      </c>
      <c r="AT94">
        <f ca="1">IF(AND(((COLUMN()-10)&lt;=playercnt),((ROW()-41)&lt;=playercnt)),SUMPRODUCT(INDIRECT(ADDRESS(3,ROW()-31,1)):INDIRECT(ADDRESS(22,ROW()-31,1)),AT$3:AT$22),"")</f>
        <v>6</v>
      </c>
      <c r="AU94">
        <f ca="1">IF(AND(((COLUMN()-10)&lt;=playercnt),((ROW()-41)&lt;=playercnt)),SUMPRODUCT(INDIRECT(ADDRESS(3,ROW()-31,1)):INDIRECT(ADDRESS(22,ROW()-31,1)),AU$3:AU$22),"")</f>
        <v>6</v>
      </c>
      <c r="AV94">
        <f ca="1">IF(AND(((COLUMN()-10)&lt;=playercnt),((ROW()-41)&lt;=playercnt)),SUMPRODUCT(INDIRECT(ADDRESS(3,ROW()-31,1)):INDIRECT(ADDRESS(22,ROW()-31,1)),AV$3:AV$22),"")</f>
        <v>6</v>
      </c>
      <c r="AW94">
        <f ca="1">IF(AND(((COLUMN()-10)&lt;=playercnt),((ROW()-41)&lt;=playercnt)),SUMPRODUCT(INDIRECT(ADDRESS(3,ROW()-31,1)):INDIRECT(ADDRESS(22,ROW()-31,1)),AW$3:AW$22),"")</f>
        <v>6</v>
      </c>
      <c r="AX94">
        <f ca="1">IF(AND(((COLUMN()-10)&lt;=playercnt),((ROW()-41)&lt;=playercnt)),SUMPRODUCT(INDIRECT(ADDRESS(3,ROW()-31,1)):INDIRECT(ADDRESS(22,ROW()-31,1)),AX$3:AX$22),"")</f>
        <v>7</v>
      </c>
      <c r="AY94">
        <f ca="1">IF(AND(((COLUMN()-10)&lt;=playercnt),((ROW()-41)&lt;=playercnt)),SUMPRODUCT(INDIRECT(ADDRESS(3,ROW()-31,1)):INDIRECT(ADDRESS(22,ROW()-31,1)),AY$3:AY$22),"")</f>
        <v>4</v>
      </c>
      <c r="AZ94">
        <f ca="1">IF(AND(((COLUMN()-10)&lt;=playercnt),((ROW()-41)&lt;=playercnt)),SUMPRODUCT(INDIRECT(ADDRESS(3,ROW()-31,1)):INDIRECT(ADDRESS(22,ROW()-31,1)),AZ$3:AZ$22),"")</f>
        <v>7</v>
      </c>
      <c r="BA94">
        <f ca="1">IF(AND(((COLUMN()-10)&lt;=playercnt),((ROW()-41)&lt;=playercnt)),SUMPRODUCT(INDIRECT(ADDRESS(3,ROW()-31,1)):INDIRECT(ADDRESS(22,ROW()-31,1)),BA$3:BA$22),"")</f>
        <v>7</v>
      </c>
      <c r="BB94">
        <f ca="1">IF(AND(((COLUMN()-10)&lt;=playercnt),((ROW()-41)&lt;=playercnt)),SUMPRODUCT(INDIRECT(ADDRESS(3,ROW()-31,1)):INDIRECT(ADDRESS(22,ROW()-31,1)),BB$3:BB$22),"")</f>
        <v>5</v>
      </c>
      <c r="BC94">
        <f ca="1">IF(AND(((COLUMN()-10)&lt;=playercnt),((ROW()-41)&lt;=playercnt)),SUMPRODUCT(INDIRECT(ADDRESS(3,ROW()-31,1)):INDIRECT(ADDRESS(22,ROW()-31,1)),BC$3:BC$22),"")</f>
        <v>7</v>
      </c>
      <c r="BD94">
        <f ca="1">IF(AND(((COLUMN()-10)&lt;=playercnt),((ROW()-41)&lt;=playercnt)),SUMPRODUCT(INDIRECT(ADDRESS(3,ROW()-31,1)):INDIRECT(ADDRESS(22,ROW()-31,1)),BD$3:BD$22),"")</f>
        <v>5</v>
      </c>
      <c r="BE94">
        <f ca="1">IF(AND(((COLUMN()-10)&lt;=playercnt),((ROW()-41)&lt;=playercnt)),SUMPRODUCT(INDIRECT(ADDRESS(3,ROW()-31,1)):INDIRECT(ADDRESS(22,ROW()-31,1)),BE$3:BE$22),"")</f>
        <v>4</v>
      </c>
      <c r="BF94">
        <f ca="1">IF(AND(((COLUMN()-10)&lt;=playercnt),((ROW()-41)&lt;=playercnt)),SUMPRODUCT(INDIRECT(ADDRESS(3,ROW()-31,1)):INDIRECT(ADDRESS(22,ROW()-31,1)),BF$3:BF$22),"")</f>
        <v>4</v>
      </c>
      <c r="BG94">
        <f ca="1">IF(AND(((COLUMN()-10)&lt;=playercnt),((ROW()-41)&lt;=playercnt)),SUMPRODUCT(INDIRECT(ADDRESS(3,ROW()-31,1)):INDIRECT(ADDRESS(22,ROW()-31,1)),BG$3:BG$22),"")</f>
        <v>4</v>
      </c>
      <c r="BH94">
        <f ca="1">IF(AND(((COLUMN()-10)&lt;=playercnt),((ROW()-41)&lt;=playercnt)),SUMPRODUCT(INDIRECT(ADDRESS(3,ROW()-31,1)):INDIRECT(ADDRESS(22,ROW()-31,1)),BH$3:BH$22),"")</f>
        <v>6</v>
      </c>
      <c r="BI94">
        <f ca="1">IF(AND(((COLUMN()-10)&lt;=playercnt),((ROW()-41)&lt;=playercnt)),SUMPRODUCT(INDIRECT(ADDRESS(3,ROW()-31,1)):INDIRECT(ADDRESS(22,ROW()-31,1)),BI$3:BI$22),"")</f>
        <v>6</v>
      </c>
      <c r="BJ94">
        <f ca="1">IF(AND(((COLUMN()-10)&lt;=playercnt),((ROW()-41)&lt;=playercnt)),SUMPRODUCT(INDIRECT(ADDRESS(3,ROW()-31,1)):INDIRECT(ADDRESS(22,ROW()-31,1)),BJ$3:BJ$22),"")</f>
        <v>6</v>
      </c>
      <c r="BK94">
        <f ca="1">IF(AND(((COLUMN()-10)&lt;=playercnt),((ROW()-41)&lt;=playercnt)),SUMPRODUCT(INDIRECT(ADDRESS(3,ROW()-31,1)):INDIRECT(ADDRESS(22,ROW()-31,1)),BK$3:BK$22),"")</f>
        <v>10</v>
      </c>
      <c r="BL94">
        <f ca="1">IF(AND(((COLUMN()-10)&lt;=playercnt),((ROW()-41)&lt;=playercnt)),SUMPRODUCT(INDIRECT(ADDRESS(3,ROW()-31,1)):INDIRECT(ADDRESS(22,ROW()-31,1)),BL$3:BL$22),"")</f>
        <v>7</v>
      </c>
      <c r="BM94">
        <f ca="1">IF(AND(((COLUMN()-10)&lt;=playercnt),((ROW()-41)&lt;=playercnt)),SUMPRODUCT(INDIRECT(ADDRESS(3,ROW()-31,1)):INDIRECT(ADDRESS(22,ROW()-31,1)),BM$3:BM$22),"")</f>
        <v>6</v>
      </c>
      <c r="BN94">
        <f ca="1">IF(AND(((COLUMN()-10)&lt;=playercnt),((ROW()-41)&lt;=playercnt)),SUMPRODUCT(INDIRECT(ADDRESS(3,ROW()-31,1)):INDIRECT(ADDRESS(22,ROW()-31,1)),BN$3:BN$22),"")</f>
        <v>9</v>
      </c>
    </row>
    <row r="95" spans="2:66" x14ac:dyDescent="0.2">
      <c r="B95" s="27">
        <f t="shared" ca="1" si="23"/>
        <v>5.6792452830188678</v>
      </c>
      <c r="C95" t="str">
        <f t="shared" ca="1" si="24"/>
        <v>White, Jarred</v>
      </c>
      <c r="G95">
        <f ca="1">IF(AND(((COLUMN()-10)&lt;=playercnt),((ROW()-41)&lt;=playercnt)),SUMPRODUCT(INDIRECT(ADDRESS(3,ROW()-31,1)):INDIRECT(ADDRESS(22,ROW()-31,1)),G$3:G$22),"")</f>
        <v>5</v>
      </c>
      <c r="H95">
        <f ca="1">IF(AND(((COLUMN()-10)&lt;=playercnt),((ROW()-41)&lt;=playercnt)),SUMPRODUCT(INDIRECT(ADDRESS(3,ROW()-31,1)):INDIRECT(ADDRESS(22,ROW()-31,1)),H$3:H$22),"")</f>
        <v>6</v>
      </c>
      <c r="I95">
        <f ca="1">IF(AND(((COLUMN()-10)&lt;=playercnt),((ROW()-41)&lt;=playercnt)),SUMPRODUCT(INDIRECT(ADDRESS(3,ROW()-31,1)):INDIRECT(ADDRESS(22,ROW()-31,1)),I$3:I$22),"")</f>
        <v>6.5</v>
      </c>
      <c r="J95">
        <f ca="1">IF(AND(((COLUMN()-10)&lt;=playercnt),((ROW()-41)&lt;=playercnt)),SUMPRODUCT(INDIRECT(ADDRESS(3,ROW()-31,1)):INDIRECT(ADDRESS(22,ROW()-31,1)),J$3:J$22),"")</f>
        <v>0</v>
      </c>
      <c r="K95">
        <f ca="1">IF(AND(((COLUMN()-10)&lt;=playercnt),((ROW()-41)&lt;=playercnt)),SUMPRODUCT(INDIRECT(ADDRESS(3,ROW()-31,1)):INDIRECT(ADDRESS(22,ROW()-31,1)),K$3:K$22),"")</f>
        <v>6</v>
      </c>
      <c r="L95">
        <f ca="1">IF(AND(((COLUMN()-10)&lt;=playercnt),((ROW()-41)&lt;=playercnt)),SUMPRODUCT(INDIRECT(ADDRESS(3,ROW()-31,1)):INDIRECT(ADDRESS(22,ROW()-31,1)),L$3:L$22),"")</f>
        <v>7</v>
      </c>
      <c r="M95">
        <f ca="1">IF(AND(((COLUMN()-10)&lt;=playercnt),((ROW()-41)&lt;=playercnt)),SUMPRODUCT(INDIRECT(ADDRESS(3,ROW()-31,1)):INDIRECT(ADDRESS(22,ROW()-31,1)),M$3:M$22),"")</f>
        <v>6</v>
      </c>
      <c r="N95">
        <f ca="1">IF(AND(((COLUMN()-10)&lt;=playercnt),((ROW()-41)&lt;=playercnt)),SUMPRODUCT(INDIRECT(ADDRESS(3,ROW()-31,1)):INDIRECT(ADDRESS(22,ROW()-31,1)),N$3:N$22),"")</f>
        <v>7</v>
      </c>
      <c r="O95">
        <f ca="1">IF(AND(((COLUMN()-10)&lt;=playercnt),((ROW()-41)&lt;=playercnt)),SUMPRODUCT(INDIRECT(ADDRESS(3,ROW()-31,1)):INDIRECT(ADDRESS(22,ROW()-31,1)),O$3:O$22),"")</f>
        <v>7</v>
      </c>
      <c r="P95">
        <f ca="1">IF(AND(((COLUMN()-10)&lt;=playercnt),((ROW()-41)&lt;=playercnt)),SUMPRODUCT(INDIRECT(ADDRESS(3,ROW()-31,1)):INDIRECT(ADDRESS(22,ROW()-31,1)),P$3:P$22),"")</f>
        <v>6</v>
      </c>
      <c r="Q95">
        <f ca="1">IF(AND(((COLUMN()-10)&lt;=playercnt),((ROW()-41)&lt;=playercnt)),SUMPRODUCT(INDIRECT(ADDRESS(3,ROW()-31,1)):INDIRECT(ADDRESS(22,ROW()-31,1)),Q$3:Q$22),"")</f>
        <v>7</v>
      </c>
      <c r="R95">
        <f ca="1">IF(AND(((COLUMN()-10)&lt;=playercnt),((ROW()-41)&lt;=playercnt)),SUMPRODUCT(INDIRECT(ADDRESS(3,ROW()-31,1)):INDIRECT(ADDRESS(22,ROW()-31,1)),R$3:R$22),"")</f>
        <v>7</v>
      </c>
      <c r="S95">
        <f ca="1">IF(AND(((COLUMN()-10)&lt;=playercnt),((ROW()-41)&lt;=playercnt)),SUMPRODUCT(INDIRECT(ADDRESS(3,ROW()-31,1)):INDIRECT(ADDRESS(22,ROW()-31,1)),S$3:S$22),"")</f>
        <v>7</v>
      </c>
      <c r="T95">
        <f ca="1">IF(AND(((COLUMN()-10)&lt;=playercnt),((ROW()-41)&lt;=playercnt)),SUMPRODUCT(INDIRECT(ADDRESS(3,ROW()-31,1)):INDIRECT(ADDRESS(22,ROW()-31,1)),T$3:T$22),"")</f>
        <v>6</v>
      </c>
      <c r="U95">
        <f ca="1">IF(AND(((COLUMN()-10)&lt;=playercnt),((ROW()-41)&lt;=playercnt)),SUMPRODUCT(INDIRECT(ADDRESS(3,ROW()-31,1)):INDIRECT(ADDRESS(22,ROW()-31,1)),U$3:U$22),"")</f>
        <v>7</v>
      </c>
      <c r="V95">
        <f ca="1">IF(AND(((COLUMN()-10)&lt;=playercnt),((ROW()-41)&lt;=playercnt)),SUMPRODUCT(INDIRECT(ADDRESS(3,ROW()-31,1)):INDIRECT(ADDRESS(22,ROW()-31,1)),V$3:V$22),"")</f>
        <v>3</v>
      </c>
      <c r="W95">
        <f ca="1">IF(AND(((COLUMN()-10)&lt;=playercnt),((ROW()-41)&lt;=playercnt)),SUMPRODUCT(INDIRECT(ADDRESS(3,ROW()-31,1)):INDIRECT(ADDRESS(22,ROW()-31,1)),W$3:W$22),"")</f>
        <v>5</v>
      </c>
      <c r="X95">
        <f ca="1">IF(AND(((COLUMN()-10)&lt;=playercnt),((ROW()-41)&lt;=playercnt)),SUMPRODUCT(INDIRECT(ADDRESS(3,ROW()-31,1)):INDIRECT(ADDRESS(22,ROW()-31,1)),X$3:X$22),"")</f>
        <v>6</v>
      </c>
      <c r="Y95">
        <f ca="1">IF(AND(((COLUMN()-10)&lt;=playercnt),((ROW()-41)&lt;=playercnt)),SUMPRODUCT(INDIRECT(ADDRESS(3,ROW()-31,1)):INDIRECT(ADDRESS(22,ROW()-31,1)),Y$3:Y$22),"")</f>
        <v>5</v>
      </c>
      <c r="Z95">
        <f ca="1">IF(AND(((COLUMN()-10)&lt;=playercnt),((ROW()-41)&lt;=playercnt)),SUMPRODUCT(INDIRECT(ADDRESS(3,ROW()-31,1)):INDIRECT(ADDRESS(22,ROW()-31,1)),Z$3:Z$22),"")</f>
        <v>4</v>
      </c>
      <c r="AA95">
        <f ca="1">IF(AND(((COLUMN()-10)&lt;=playercnt),((ROW()-41)&lt;=playercnt)),SUMPRODUCT(INDIRECT(ADDRESS(3,ROW()-31,1)):INDIRECT(ADDRESS(22,ROW()-31,1)),AA$3:AA$22),"")</f>
        <v>5</v>
      </c>
      <c r="AB95">
        <f ca="1">IF(AND(((COLUMN()-10)&lt;=playercnt),((ROW()-41)&lt;=playercnt)),SUMPRODUCT(INDIRECT(ADDRESS(3,ROW()-31,1)):INDIRECT(ADDRESS(22,ROW()-31,1)),AB$3:AB$22),"")</f>
        <v>2</v>
      </c>
      <c r="AC95">
        <f ca="1">IF(AND(((COLUMN()-10)&lt;=playercnt),((ROW()-41)&lt;=playercnt)),SUMPRODUCT(INDIRECT(ADDRESS(3,ROW()-31,1)):INDIRECT(ADDRESS(22,ROW()-31,1)),AC$3:AC$22),"")</f>
        <v>5</v>
      </c>
      <c r="AD95">
        <f ca="1">IF(AND(((COLUMN()-10)&lt;=playercnt),((ROW()-41)&lt;=playercnt)),SUMPRODUCT(INDIRECT(ADDRESS(3,ROW()-31,1)):INDIRECT(ADDRESS(22,ROW()-31,1)),AD$3:AD$22),"")</f>
        <v>5</v>
      </c>
      <c r="AE95">
        <f ca="1">IF(AND(((COLUMN()-10)&lt;=playercnt),((ROW()-41)&lt;=playercnt)),SUMPRODUCT(INDIRECT(ADDRESS(3,ROW()-31,1)):INDIRECT(ADDRESS(22,ROW()-31,1)),AE$3:AE$22),"")</f>
        <v>7</v>
      </c>
      <c r="AF95">
        <f ca="1">IF(AND(((COLUMN()-10)&lt;=playercnt),((ROW()-41)&lt;=playercnt)),SUMPRODUCT(INDIRECT(ADDRESS(3,ROW()-31,1)):INDIRECT(ADDRESS(22,ROW()-31,1)),AF$3:AF$22),"")</f>
        <v>6</v>
      </c>
      <c r="AG95">
        <f ca="1">IF(AND(((COLUMN()-10)&lt;=playercnt),((ROW()-41)&lt;=playercnt)),SUMPRODUCT(INDIRECT(ADDRESS(3,ROW()-31,1)):INDIRECT(ADDRESS(22,ROW()-31,1)),AG$3:AG$22),"")</f>
        <v>4</v>
      </c>
      <c r="AH95">
        <f ca="1">IF(AND(((COLUMN()-10)&lt;=playercnt),((ROW()-41)&lt;=playercnt)),SUMPRODUCT(INDIRECT(ADDRESS(3,ROW()-31,1)):INDIRECT(ADDRESS(22,ROW()-31,1)),AH$3:AH$22),"")</f>
        <v>7</v>
      </c>
      <c r="AI95">
        <f ca="1">IF(AND(((COLUMN()-10)&lt;=playercnt),((ROW()-41)&lt;=playercnt)),SUMPRODUCT(INDIRECT(ADDRESS(3,ROW()-31,1)):INDIRECT(ADDRESS(22,ROW()-31,1)),AI$3:AI$22),"")</f>
        <v>5</v>
      </c>
      <c r="AJ95">
        <f ca="1">IF(AND(((COLUMN()-10)&lt;=playercnt),((ROW()-41)&lt;=playercnt)),SUMPRODUCT(INDIRECT(ADDRESS(3,ROW()-31,1)):INDIRECT(ADDRESS(22,ROW()-31,1)),AJ$3:AJ$22),"")</f>
        <v>3</v>
      </c>
      <c r="AK95">
        <f ca="1">IF(AND(((COLUMN()-10)&lt;=playercnt),((ROW()-41)&lt;=playercnt)),SUMPRODUCT(INDIRECT(ADDRESS(3,ROW()-31,1)):INDIRECT(ADDRESS(22,ROW()-31,1)),AK$3:AK$22),"")</f>
        <v>0</v>
      </c>
      <c r="AL95">
        <f ca="1">IF(AND(((COLUMN()-10)&lt;=playercnt),((ROW()-41)&lt;=playercnt)),SUMPRODUCT(INDIRECT(ADDRESS(3,ROW()-31,1)):INDIRECT(ADDRESS(22,ROW()-31,1)),AL$3:AL$22),"")</f>
        <v>4</v>
      </c>
      <c r="AM95">
        <f ca="1">IF(AND(((COLUMN()-10)&lt;=playercnt),((ROW()-41)&lt;=playercnt)),SUMPRODUCT(INDIRECT(ADDRESS(3,ROW()-31,1)):INDIRECT(ADDRESS(22,ROW()-31,1)),AM$3:AM$22),"")</f>
        <v>5</v>
      </c>
      <c r="AN95">
        <f ca="1">IF(AND(((COLUMN()-10)&lt;=playercnt),((ROW()-41)&lt;=playercnt)),SUMPRODUCT(INDIRECT(ADDRESS(3,ROW()-31,1)):INDIRECT(ADDRESS(22,ROW()-31,1)),AN$3:AN$22),"")</f>
        <v>7</v>
      </c>
      <c r="AO95">
        <f ca="1">IF(AND(((COLUMN()-10)&lt;=playercnt),((ROW()-41)&lt;=playercnt)),SUMPRODUCT(INDIRECT(ADDRESS(3,ROW()-31,1)):INDIRECT(ADDRESS(22,ROW()-31,1)),AO$3:AO$22),"")</f>
        <v>5</v>
      </c>
      <c r="AP95">
        <f ca="1">IF(AND(((COLUMN()-10)&lt;=playercnt),((ROW()-41)&lt;=playercnt)),SUMPRODUCT(INDIRECT(ADDRESS(3,ROW()-31,1)):INDIRECT(ADDRESS(22,ROW()-31,1)),AP$3:AP$22),"")</f>
        <v>0</v>
      </c>
      <c r="AQ95">
        <f ca="1">IF(AND(((COLUMN()-10)&lt;=playercnt),((ROW()-41)&lt;=playercnt)),SUMPRODUCT(INDIRECT(ADDRESS(3,ROW()-31,1)):INDIRECT(ADDRESS(22,ROW()-31,1)),AQ$3:AQ$22),"")</f>
        <v>3</v>
      </c>
      <c r="AR95">
        <f ca="1">IF(AND(((COLUMN()-10)&lt;=playercnt),((ROW()-41)&lt;=playercnt)),SUMPRODUCT(INDIRECT(ADDRESS(3,ROW()-31,1)):INDIRECT(ADDRESS(22,ROW()-31,1)),AR$3:AR$22),"")</f>
        <v>6</v>
      </c>
      <c r="AS95">
        <f ca="1">IF(AND(((COLUMN()-10)&lt;=playercnt),((ROW()-41)&lt;=playercnt)),SUMPRODUCT(INDIRECT(ADDRESS(3,ROW()-31,1)):INDIRECT(ADDRESS(22,ROW()-31,1)),AS$3:AS$22),"")</f>
        <v>9</v>
      </c>
      <c r="AT95">
        <f ca="1">IF(AND(((COLUMN()-10)&lt;=playercnt),((ROW()-41)&lt;=playercnt)),SUMPRODUCT(INDIRECT(ADDRESS(3,ROW()-31,1)):INDIRECT(ADDRESS(22,ROW()-31,1)),AT$3:AT$22),"")</f>
        <v>5</v>
      </c>
      <c r="AU95">
        <f ca="1">IF(AND(((COLUMN()-10)&lt;=playercnt),((ROW()-41)&lt;=playercnt)),SUMPRODUCT(INDIRECT(ADDRESS(3,ROW()-31,1)):INDIRECT(ADDRESS(22,ROW()-31,1)),AU$3:AU$22),"")</f>
        <v>5</v>
      </c>
      <c r="AV95">
        <f ca="1">IF(AND(((COLUMN()-10)&lt;=playercnt),((ROW()-41)&lt;=playercnt)),SUMPRODUCT(INDIRECT(ADDRESS(3,ROW()-31,1)):INDIRECT(ADDRESS(22,ROW()-31,1)),AV$3:AV$22),"")</f>
        <v>7</v>
      </c>
      <c r="AW95">
        <f ca="1">IF(AND(((COLUMN()-10)&lt;=playercnt),((ROW()-41)&lt;=playercnt)),SUMPRODUCT(INDIRECT(ADDRESS(3,ROW()-31,1)):INDIRECT(ADDRESS(22,ROW()-31,1)),AW$3:AW$22),"")</f>
        <v>9</v>
      </c>
      <c r="AX95">
        <f ca="1">IF(AND(((COLUMN()-10)&lt;=playercnt),((ROW()-41)&lt;=playercnt)),SUMPRODUCT(INDIRECT(ADDRESS(3,ROW()-31,1)):INDIRECT(ADDRESS(22,ROW()-31,1)),AX$3:AX$22),"")</f>
        <v>8</v>
      </c>
      <c r="AY95">
        <f ca="1">IF(AND(((COLUMN()-10)&lt;=playercnt),((ROW()-41)&lt;=playercnt)),SUMPRODUCT(INDIRECT(ADDRESS(3,ROW()-31,1)):INDIRECT(ADDRESS(22,ROW()-31,1)),AY$3:AY$22),"")</f>
        <v>5</v>
      </c>
      <c r="AZ95">
        <f ca="1">IF(AND(((COLUMN()-10)&lt;=playercnt),((ROW()-41)&lt;=playercnt)),SUMPRODUCT(INDIRECT(ADDRESS(3,ROW()-31,1)):INDIRECT(ADDRESS(22,ROW()-31,1)),AZ$3:AZ$22),"")</f>
        <v>6</v>
      </c>
      <c r="BA95">
        <f ca="1">IF(AND(((COLUMN()-10)&lt;=playercnt),((ROW()-41)&lt;=playercnt)),SUMPRODUCT(INDIRECT(ADDRESS(3,ROW()-31,1)):INDIRECT(ADDRESS(22,ROW()-31,1)),BA$3:BA$22),"")</f>
        <v>6</v>
      </c>
      <c r="BB95">
        <f ca="1">IF(AND(((COLUMN()-10)&lt;=playercnt),((ROW()-41)&lt;=playercnt)),SUMPRODUCT(INDIRECT(ADDRESS(3,ROW()-31,1)):INDIRECT(ADDRESS(22,ROW()-31,1)),BB$3:BB$22),"")</f>
        <v>6</v>
      </c>
      <c r="BC95">
        <f ca="1">IF(AND(((COLUMN()-10)&lt;=playercnt),((ROW()-41)&lt;=playercnt)),SUMPRODUCT(INDIRECT(ADDRESS(3,ROW()-31,1)):INDIRECT(ADDRESS(22,ROW()-31,1)),BC$3:BC$22),"")</f>
        <v>4</v>
      </c>
      <c r="BD95">
        <f ca="1">IF(AND(((COLUMN()-10)&lt;=playercnt),((ROW()-41)&lt;=playercnt)),SUMPRODUCT(INDIRECT(ADDRESS(3,ROW()-31,1)):INDIRECT(ADDRESS(22,ROW()-31,1)),BD$3:BD$22),"")</f>
        <v>4</v>
      </c>
      <c r="BE95">
        <f ca="1">IF(AND(((COLUMN()-10)&lt;=playercnt),((ROW()-41)&lt;=playercnt)),SUMPRODUCT(INDIRECT(ADDRESS(3,ROW()-31,1)):INDIRECT(ADDRESS(22,ROW()-31,1)),BE$3:BE$22),"")</f>
        <v>7</v>
      </c>
      <c r="BF95">
        <f ca="1">IF(AND(((COLUMN()-10)&lt;=playercnt),((ROW()-41)&lt;=playercnt)),SUMPRODUCT(INDIRECT(ADDRESS(3,ROW()-31,1)):INDIRECT(ADDRESS(22,ROW()-31,1)),BF$3:BF$22),"")</f>
        <v>3</v>
      </c>
      <c r="BG95">
        <f ca="1">IF(AND(((COLUMN()-10)&lt;=playercnt),((ROW()-41)&lt;=playercnt)),SUMPRODUCT(INDIRECT(ADDRESS(3,ROW()-31,1)):INDIRECT(ADDRESS(22,ROW()-31,1)),BG$3:BG$22),"")</f>
        <v>7</v>
      </c>
      <c r="BH95">
        <f ca="1">IF(AND(((COLUMN()-10)&lt;=playercnt),((ROW()-41)&lt;=playercnt)),SUMPRODUCT(INDIRECT(ADDRESS(3,ROW()-31,1)):INDIRECT(ADDRESS(22,ROW()-31,1)),BH$3:BH$22),"")</f>
        <v>3</v>
      </c>
      <c r="BI95">
        <f ca="1">IF(AND(((COLUMN()-10)&lt;=playercnt),((ROW()-41)&lt;=playercnt)),SUMPRODUCT(INDIRECT(ADDRESS(3,ROW()-31,1)):INDIRECT(ADDRESS(22,ROW()-31,1)),BI$3:BI$22),"")</f>
        <v>7</v>
      </c>
      <c r="BJ95">
        <f ca="1">IF(AND(((COLUMN()-10)&lt;=playercnt),((ROW()-41)&lt;=playercnt)),SUMPRODUCT(INDIRECT(ADDRESS(3,ROW()-31,1)):INDIRECT(ADDRESS(22,ROW()-31,1)),BJ$3:BJ$22),"")</f>
        <v>7</v>
      </c>
      <c r="BK95">
        <f ca="1">IF(AND(((COLUMN()-10)&lt;=playercnt),((ROW()-41)&lt;=playercnt)),SUMPRODUCT(INDIRECT(ADDRESS(3,ROW()-31,1)):INDIRECT(ADDRESS(22,ROW()-31,1)),BK$3:BK$22),"")</f>
        <v>7</v>
      </c>
      <c r="BL95">
        <f ca="1">IF(AND(((COLUMN()-10)&lt;=playercnt),((ROW()-41)&lt;=playercnt)),SUMPRODUCT(INDIRECT(ADDRESS(3,ROW()-31,1)):INDIRECT(ADDRESS(22,ROW()-31,1)),BL$3:BL$22),"")</f>
        <v>10</v>
      </c>
      <c r="BM95">
        <f ca="1">IF(AND(((COLUMN()-10)&lt;=playercnt),((ROW()-41)&lt;=playercnt)),SUMPRODUCT(INDIRECT(ADDRESS(3,ROW()-31,1)):INDIRECT(ADDRESS(22,ROW()-31,1)),BM$3:BM$22),"")</f>
        <v>5</v>
      </c>
      <c r="BN95">
        <f ca="1">IF(AND(((COLUMN()-10)&lt;=playercnt),((ROW()-41)&lt;=playercnt)),SUMPRODUCT(INDIRECT(ADDRESS(3,ROW()-31,1)):INDIRECT(ADDRESS(22,ROW()-31,1)),BN$3:BN$22),"")</f>
        <v>6</v>
      </c>
    </row>
    <row r="96" spans="2:66" x14ac:dyDescent="0.2">
      <c r="B96" s="27">
        <f t="shared" ca="1" si="23"/>
        <v>6.5471698113207548</v>
      </c>
      <c r="C96" t="str">
        <f t="shared" ca="1" si="24"/>
        <v>Winburn, Steve A</v>
      </c>
      <c r="G96">
        <f ca="1">IF(AND(((COLUMN()-10)&lt;=playercnt),((ROW()-41)&lt;=playercnt)),SUMPRODUCT(INDIRECT(ADDRESS(3,ROW()-31,1)):INDIRECT(ADDRESS(22,ROW()-31,1)),G$3:G$22),"")</f>
        <v>2</v>
      </c>
      <c r="H96">
        <f ca="1">IF(AND(((COLUMN()-10)&lt;=playercnt),((ROW()-41)&lt;=playercnt)),SUMPRODUCT(INDIRECT(ADDRESS(3,ROW()-31,1)):INDIRECT(ADDRESS(22,ROW()-31,1)),H$3:H$22),"")</f>
        <v>7</v>
      </c>
      <c r="I96">
        <f ca="1">IF(AND(((COLUMN()-10)&lt;=playercnt),((ROW()-41)&lt;=playercnt)),SUMPRODUCT(INDIRECT(ADDRESS(3,ROW()-31,1)):INDIRECT(ADDRESS(22,ROW()-31,1)),I$3:I$22),"")</f>
        <v>8.5</v>
      </c>
      <c r="J96">
        <f ca="1">IF(AND(((COLUMN()-10)&lt;=playercnt),((ROW()-41)&lt;=playercnt)),SUMPRODUCT(INDIRECT(ADDRESS(3,ROW()-31,1)):INDIRECT(ADDRESS(22,ROW()-31,1)),J$3:J$22),"")</f>
        <v>0</v>
      </c>
      <c r="K96">
        <f ca="1">IF(AND(((COLUMN()-10)&lt;=playercnt),((ROW()-41)&lt;=playercnt)),SUMPRODUCT(INDIRECT(ADDRESS(3,ROW()-31,1)):INDIRECT(ADDRESS(22,ROW()-31,1)),K$3:K$22),"")</f>
        <v>7</v>
      </c>
      <c r="L96">
        <f ca="1">IF(AND(((COLUMN()-10)&lt;=playercnt),((ROW()-41)&lt;=playercnt)),SUMPRODUCT(INDIRECT(ADDRESS(3,ROW()-31,1)):INDIRECT(ADDRESS(22,ROW()-31,1)),L$3:L$22),"")</f>
        <v>8</v>
      </c>
      <c r="M96">
        <f ca="1">IF(AND(((COLUMN()-10)&lt;=playercnt),((ROW()-41)&lt;=playercnt)),SUMPRODUCT(INDIRECT(ADDRESS(3,ROW()-31,1)):INDIRECT(ADDRESS(22,ROW()-31,1)),M$3:M$22),"")</f>
        <v>7</v>
      </c>
      <c r="N96">
        <f ca="1">IF(AND(((COLUMN()-10)&lt;=playercnt),((ROW()-41)&lt;=playercnt)),SUMPRODUCT(INDIRECT(ADDRESS(3,ROW()-31,1)):INDIRECT(ADDRESS(22,ROW()-31,1)),N$3:N$22),"")</f>
        <v>6</v>
      </c>
      <c r="O96">
        <f ca="1">IF(AND(((COLUMN()-10)&lt;=playercnt),((ROW()-41)&lt;=playercnt)),SUMPRODUCT(INDIRECT(ADDRESS(3,ROW()-31,1)):INDIRECT(ADDRESS(22,ROW()-31,1)),O$3:O$22),"")</f>
        <v>4</v>
      </c>
      <c r="P96">
        <f ca="1">IF(AND(((COLUMN()-10)&lt;=playercnt),((ROW()-41)&lt;=playercnt)),SUMPRODUCT(INDIRECT(ADDRESS(3,ROW()-31,1)):INDIRECT(ADDRESS(22,ROW()-31,1)),P$3:P$22),"")</f>
        <v>5</v>
      </c>
      <c r="Q96">
        <f ca="1">IF(AND(((COLUMN()-10)&lt;=playercnt),((ROW()-41)&lt;=playercnt)),SUMPRODUCT(INDIRECT(ADDRESS(3,ROW()-31,1)):INDIRECT(ADDRESS(22,ROW()-31,1)),Q$3:Q$22),"")</f>
        <v>6</v>
      </c>
      <c r="R96">
        <f ca="1">IF(AND(((COLUMN()-10)&lt;=playercnt),((ROW()-41)&lt;=playercnt)),SUMPRODUCT(INDIRECT(ADDRESS(3,ROW()-31,1)):INDIRECT(ADDRESS(22,ROW()-31,1)),R$3:R$22),"")</f>
        <v>4</v>
      </c>
      <c r="S96">
        <f ca="1">IF(AND(((COLUMN()-10)&lt;=playercnt),((ROW()-41)&lt;=playercnt)),SUMPRODUCT(INDIRECT(ADDRESS(3,ROW()-31,1)):INDIRECT(ADDRESS(22,ROW()-31,1)),S$3:S$22),"")</f>
        <v>8</v>
      </c>
      <c r="T96">
        <f ca="1">IF(AND(((COLUMN()-10)&lt;=playercnt),((ROW()-41)&lt;=playercnt)),SUMPRODUCT(INDIRECT(ADDRESS(3,ROW()-31,1)):INDIRECT(ADDRESS(22,ROW()-31,1)),T$3:T$22),"")</f>
        <v>5</v>
      </c>
      <c r="U96">
        <f ca="1">IF(AND(((COLUMN()-10)&lt;=playercnt),((ROW()-41)&lt;=playercnt)),SUMPRODUCT(INDIRECT(ADDRESS(3,ROW()-31,1)):INDIRECT(ADDRESS(22,ROW()-31,1)),U$3:U$22),"")</f>
        <v>8</v>
      </c>
      <c r="V96">
        <f ca="1">IF(AND(((COLUMN()-10)&lt;=playercnt),((ROW()-41)&lt;=playercnt)),SUMPRODUCT(INDIRECT(ADDRESS(3,ROW()-31,1)):INDIRECT(ADDRESS(22,ROW()-31,1)),V$3:V$22),"")</f>
        <v>6</v>
      </c>
      <c r="W96">
        <f ca="1">IF(AND(((COLUMN()-10)&lt;=playercnt),((ROW()-41)&lt;=playercnt)),SUMPRODUCT(INDIRECT(ADDRESS(3,ROW()-31,1)):INDIRECT(ADDRESS(22,ROW()-31,1)),W$3:W$22),"")</f>
        <v>8</v>
      </c>
      <c r="X96">
        <f ca="1">IF(AND(((COLUMN()-10)&lt;=playercnt),((ROW()-41)&lt;=playercnt)),SUMPRODUCT(INDIRECT(ADDRESS(3,ROW()-31,1)):INDIRECT(ADDRESS(22,ROW()-31,1)),X$3:X$22),"")</f>
        <v>5</v>
      </c>
      <c r="Y96">
        <f ca="1">IF(AND(((COLUMN()-10)&lt;=playercnt),((ROW()-41)&lt;=playercnt)),SUMPRODUCT(INDIRECT(ADDRESS(3,ROW()-31,1)):INDIRECT(ADDRESS(22,ROW()-31,1)),Y$3:Y$22),"")</f>
        <v>6</v>
      </c>
      <c r="Z96">
        <f ca="1">IF(AND(((COLUMN()-10)&lt;=playercnt),((ROW()-41)&lt;=playercnt)),SUMPRODUCT(INDIRECT(ADDRESS(3,ROW()-31,1)):INDIRECT(ADDRESS(22,ROW()-31,1)),Z$3:Z$22),"")</f>
        <v>7</v>
      </c>
      <c r="AA96">
        <f ca="1">IF(AND(((COLUMN()-10)&lt;=playercnt),((ROW()-41)&lt;=playercnt)),SUMPRODUCT(INDIRECT(ADDRESS(3,ROW()-31,1)):INDIRECT(ADDRESS(22,ROW()-31,1)),AA$3:AA$22),"")</f>
        <v>6</v>
      </c>
      <c r="AB96">
        <f ca="1">IF(AND(((COLUMN()-10)&lt;=playercnt),((ROW()-41)&lt;=playercnt)),SUMPRODUCT(INDIRECT(ADDRESS(3,ROW()-31,1)):INDIRECT(ADDRESS(22,ROW()-31,1)),AB$3:AB$22),"")</f>
        <v>5</v>
      </c>
      <c r="AC96">
        <f ca="1">IF(AND(((COLUMN()-10)&lt;=playercnt),((ROW()-41)&lt;=playercnt)),SUMPRODUCT(INDIRECT(ADDRESS(3,ROW()-31,1)):INDIRECT(ADDRESS(22,ROW()-31,1)),AC$3:AC$22),"")</f>
        <v>8</v>
      </c>
      <c r="AD96">
        <f ca="1">IF(AND(((COLUMN()-10)&lt;=playercnt),((ROW()-41)&lt;=playercnt)),SUMPRODUCT(INDIRECT(ADDRESS(3,ROW()-31,1)):INDIRECT(ADDRESS(22,ROW()-31,1)),AD$3:AD$22),"")</f>
        <v>4</v>
      </c>
      <c r="AE96">
        <f ca="1">IF(AND(((COLUMN()-10)&lt;=playercnt),((ROW()-41)&lt;=playercnt)),SUMPRODUCT(INDIRECT(ADDRESS(3,ROW()-31,1)):INDIRECT(ADDRESS(22,ROW()-31,1)),AE$3:AE$22),"")</f>
        <v>8</v>
      </c>
      <c r="AF96">
        <f ca="1">IF(AND(((COLUMN()-10)&lt;=playercnt),((ROW()-41)&lt;=playercnt)),SUMPRODUCT(INDIRECT(ADDRESS(3,ROW()-31,1)):INDIRECT(ADDRESS(22,ROW()-31,1)),AF$3:AF$22),"")</f>
        <v>7</v>
      </c>
      <c r="AG96">
        <f ca="1">IF(AND(((COLUMN()-10)&lt;=playercnt),((ROW()-41)&lt;=playercnt)),SUMPRODUCT(INDIRECT(ADDRESS(3,ROW()-31,1)):INDIRECT(ADDRESS(22,ROW()-31,1)),AG$3:AG$22),"")</f>
        <v>9</v>
      </c>
      <c r="AH96">
        <f ca="1">IF(AND(((COLUMN()-10)&lt;=playercnt),((ROW()-41)&lt;=playercnt)),SUMPRODUCT(INDIRECT(ADDRESS(3,ROW()-31,1)):INDIRECT(ADDRESS(22,ROW()-31,1)),AH$3:AH$22),"")</f>
        <v>8</v>
      </c>
      <c r="AI96">
        <f ca="1">IF(AND(((COLUMN()-10)&lt;=playercnt),((ROW()-41)&lt;=playercnt)),SUMPRODUCT(INDIRECT(ADDRESS(3,ROW()-31,1)):INDIRECT(ADDRESS(22,ROW()-31,1)),AI$3:AI$22),"")</f>
        <v>4</v>
      </c>
      <c r="AJ96">
        <f ca="1">IF(AND(((COLUMN()-10)&lt;=playercnt),((ROW()-41)&lt;=playercnt)),SUMPRODUCT(INDIRECT(ADDRESS(3,ROW()-31,1)):INDIRECT(ADDRESS(22,ROW()-31,1)),AJ$3:AJ$22),"")</f>
        <v>8</v>
      </c>
      <c r="AK96">
        <f ca="1">IF(AND(((COLUMN()-10)&lt;=playercnt),((ROW()-41)&lt;=playercnt)),SUMPRODUCT(INDIRECT(ADDRESS(3,ROW()-31,1)):INDIRECT(ADDRESS(22,ROW()-31,1)),AK$3:AK$22),"")</f>
        <v>0</v>
      </c>
      <c r="AL96">
        <f ca="1">IF(AND(((COLUMN()-10)&lt;=playercnt),((ROW()-41)&lt;=playercnt)),SUMPRODUCT(INDIRECT(ADDRESS(3,ROW()-31,1)):INDIRECT(ADDRESS(22,ROW()-31,1)),AL$3:AL$22),"")</f>
        <v>7</v>
      </c>
      <c r="AM96">
        <f ca="1">IF(AND(((COLUMN()-10)&lt;=playercnt),((ROW()-41)&lt;=playercnt)),SUMPRODUCT(INDIRECT(ADDRESS(3,ROW()-31,1)):INDIRECT(ADDRESS(22,ROW()-31,1)),AM$3:AM$22),"")</f>
        <v>8</v>
      </c>
      <c r="AN96">
        <f ca="1">IF(AND(((COLUMN()-10)&lt;=playercnt),((ROW()-41)&lt;=playercnt)),SUMPRODUCT(INDIRECT(ADDRESS(3,ROW()-31,1)):INDIRECT(ADDRESS(22,ROW()-31,1)),AN$3:AN$22),"")</f>
        <v>8</v>
      </c>
      <c r="AO96">
        <f ca="1">IF(AND(((COLUMN()-10)&lt;=playercnt),((ROW()-41)&lt;=playercnt)),SUMPRODUCT(INDIRECT(ADDRESS(3,ROW()-31,1)):INDIRECT(ADDRESS(22,ROW()-31,1)),AO$3:AO$22),"")</f>
        <v>4</v>
      </c>
      <c r="AP96">
        <f ca="1">IF(AND(((COLUMN()-10)&lt;=playercnt),((ROW()-41)&lt;=playercnt)),SUMPRODUCT(INDIRECT(ADDRESS(3,ROW()-31,1)):INDIRECT(ADDRESS(22,ROW()-31,1)),AP$3:AP$22),"")</f>
        <v>0</v>
      </c>
      <c r="AQ96">
        <f ca="1">IF(AND(((COLUMN()-10)&lt;=playercnt),((ROW()-41)&lt;=playercnt)),SUMPRODUCT(INDIRECT(ADDRESS(3,ROW()-31,1)):INDIRECT(ADDRESS(22,ROW()-31,1)),AQ$3:AQ$22),"")</f>
        <v>8</v>
      </c>
      <c r="AR96">
        <f ca="1">IF(AND(((COLUMN()-10)&lt;=playercnt),((ROW()-41)&lt;=playercnt)),SUMPRODUCT(INDIRECT(ADDRESS(3,ROW()-31,1)):INDIRECT(ADDRESS(22,ROW()-31,1)),AR$3:AR$22),"")</f>
        <v>5</v>
      </c>
      <c r="AS96">
        <f ca="1">IF(AND(((COLUMN()-10)&lt;=playercnt),((ROW()-41)&lt;=playercnt)),SUMPRODUCT(INDIRECT(ADDRESS(3,ROW()-31,1)):INDIRECT(ADDRESS(22,ROW()-31,1)),AS$3:AS$22),"")</f>
        <v>6</v>
      </c>
      <c r="AT96">
        <f ca="1">IF(AND(((COLUMN()-10)&lt;=playercnt),((ROW()-41)&lt;=playercnt)),SUMPRODUCT(INDIRECT(ADDRESS(3,ROW()-31,1)):INDIRECT(ADDRESS(22,ROW()-31,1)),AT$3:AT$22),"")</f>
        <v>6</v>
      </c>
      <c r="AU96">
        <f ca="1">IF(AND(((COLUMN()-10)&lt;=playercnt),((ROW()-41)&lt;=playercnt)),SUMPRODUCT(INDIRECT(ADDRESS(3,ROW()-31,1)):INDIRECT(ADDRESS(22,ROW()-31,1)),AU$3:AU$22),"")</f>
        <v>6</v>
      </c>
      <c r="AV96">
        <f ca="1">IF(AND(((COLUMN()-10)&lt;=playercnt),((ROW()-41)&lt;=playercnt)),SUMPRODUCT(INDIRECT(ADDRESS(3,ROW()-31,1)):INDIRECT(ADDRESS(22,ROW()-31,1)),AV$3:AV$22),"")</f>
        <v>8</v>
      </c>
      <c r="AW96">
        <f ca="1">IF(AND(((COLUMN()-10)&lt;=playercnt),((ROW()-41)&lt;=playercnt)),SUMPRODUCT(INDIRECT(ADDRESS(3,ROW()-31,1)):INDIRECT(ADDRESS(22,ROW()-31,1)),AW$3:AW$22),"")</f>
        <v>6</v>
      </c>
      <c r="AX96">
        <f ca="1">IF(AND(((COLUMN()-10)&lt;=playercnt),((ROW()-41)&lt;=playercnt)),SUMPRODUCT(INDIRECT(ADDRESS(3,ROW()-31,1)):INDIRECT(ADDRESS(22,ROW()-31,1)),AX$3:AX$22),"")</f>
        <v>7</v>
      </c>
      <c r="AY96">
        <f ca="1">IF(AND(((COLUMN()-10)&lt;=playercnt),((ROW()-41)&lt;=playercnt)),SUMPRODUCT(INDIRECT(ADDRESS(3,ROW()-31,1)):INDIRECT(ADDRESS(22,ROW()-31,1)),AY$3:AY$22),"")</f>
        <v>6</v>
      </c>
      <c r="AZ96">
        <f ca="1">IF(AND(((COLUMN()-10)&lt;=playercnt),((ROW()-41)&lt;=playercnt)),SUMPRODUCT(INDIRECT(ADDRESS(3,ROW()-31,1)):INDIRECT(ADDRESS(22,ROW()-31,1)),AZ$3:AZ$22),"")</f>
        <v>9</v>
      </c>
      <c r="BA96">
        <f ca="1">IF(AND(((COLUMN()-10)&lt;=playercnt),((ROW()-41)&lt;=playercnt)),SUMPRODUCT(INDIRECT(ADDRESS(3,ROW()-31,1)):INDIRECT(ADDRESS(22,ROW()-31,1)),BA$3:BA$22),"")</f>
        <v>7</v>
      </c>
      <c r="BB96">
        <f ca="1">IF(AND(((COLUMN()-10)&lt;=playercnt),((ROW()-41)&lt;=playercnt)),SUMPRODUCT(INDIRECT(ADDRESS(3,ROW()-31,1)):INDIRECT(ADDRESS(22,ROW()-31,1)),BB$3:BB$22),"")</f>
        <v>7</v>
      </c>
      <c r="BC96">
        <f ca="1">IF(AND(((COLUMN()-10)&lt;=playercnt),((ROW()-41)&lt;=playercnt)),SUMPRODUCT(INDIRECT(ADDRESS(3,ROW()-31,1)):INDIRECT(ADDRESS(22,ROW()-31,1)),BC$3:BC$22),"")</f>
        <v>7</v>
      </c>
      <c r="BD96">
        <f ca="1">IF(AND(((COLUMN()-10)&lt;=playercnt),((ROW()-41)&lt;=playercnt)),SUMPRODUCT(INDIRECT(ADDRESS(3,ROW()-31,1)):INDIRECT(ADDRESS(22,ROW()-31,1)),BD$3:BD$22),"")</f>
        <v>3</v>
      </c>
      <c r="BE96">
        <f ca="1">IF(AND(((COLUMN()-10)&lt;=playercnt),((ROW()-41)&lt;=playercnt)),SUMPRODUCT(INDIRECT(ADDRESS(3,ROW()-31,1)):INDIRECT(ADDRESS(22,ROW()-31,1)),BE$3:BE$22),"")</f>
        <v>6</v>
      </c>
      <c r="BF96">
        <f ca="1">IF(AND(((COLUMN()-10)&lt;=playercnt),((ROW()-41)&lt;=playercnt)),SUMPRODUCT(INDIRECT(ADDRESS(3,ROW()-31,1)):INDIRECT(ADDRESS(22,ROW()-31,1)),BF$3:BF$22),"")</f>
        <v>8</v>
      </c>
      <c r="BG96">
        <f ca="1">IF(AND(((COLUMN()-10)&lt;=playercnt),((ROW()-41)&lt;=playercnt)),SUMPRODUCT(INDIRECT(ADDRESS(3,ROW()-31,1)):INDIRECT(ADDRESS(22,ROW()-31,1)),BG$3:BG$22),"")</f>
        <v>6</v>
      </c>
      <c r="BH96">
        <f ca="1">IF(AND(((COLUMN()-10)&lt;=playercnt),((ROW()-41)&lt;=playercnt)),SUMPRODUCT(INDIRECT(ADDRESS(3,ROW()-31,1)):INDIRECT(ADDRESS(22,ROW()-31,1)),BH$3:BH$22),"")</f>
        <v>8</v>
      </c>
      <c r="BI96">
        <f ca="1">IF(AND(((COLUMN()-10)&lt;=playercnt),((ROW()-41)&lt;=playercnt)),SUMPRODUCT(INDIRECT(ADDRESS(3,ROW()-31,1)):INDIRECT(ADDRESS(22,ROW()-31,1)),BI$3:BI$22),"")</f>
        <v>8</v>
      </c>
      <c r="BJ96">
        <f ca="1">IF(AND(((COLUMN()-10)&lt;=playercnt),((ROW()-41)&lt;=playercnt)),SUMPRODUCT(INDIRECT(ADDRESS(3,ROW()-31,1)):INDIRECT(ADDRESS(22,ROW()-31,1)),BJ$3:BJ$22),"")</f>
        <v>8</v>
      </c>
      <c r="BK96">
        <f ca="1">IF(AND(((COLUMN()-10)&lt;=playercnt),((ROW()-41)&lt;=playercnt)),SUMPRODUCT(INDIRECT(ADDRESS(3,ROW()-31,1)):INDIRECT(ADDRESS(22,ROW()-31,1)),BK$3:BK$22),"")</f>
        <v>6</v>
      </c>
      <c r="BL96">
        <f ca="1">IF(AND(((COLUMN()-10)&lt;=playercnt),((ROW()-41)&lt;=playercnt)),SUMPRODUCT(INDIRECT(ADDRESS(3,ROW()-31,1)):INDIRECT(ADDRESS(22,ROW()-31,1)),BL$3:BL$22),"")</f>
        <v>5</v>
      </c>
      <c r="BM96">
        <f ca="1">IF(AND(((COLUMN()-10)&lt;=playercnt),((ROW()-41)&lt;=playercnt)),SUMPRODUCT(INDIRECT(ADDRESS(3,ROW()-31,1)):INDIRECT(ADDRESS(22,ROW()-31,1)),BM$3:BM$22),"")</f>
        <v>10</v>
      </c>
      <c r="BN96">
        <f ca="1">IF(AND(((COLUMN()-10)&lt;=playercnt),((ROW()-41)&lt;=playercnt)),SUMPRODUCT(INDIRECT(ADDRESS(3,ROW()-31,1)):INDIRECT(ADDRESS(22,ROW()-31,1)),BN$3:BN$22),"")</f>
        <v>7</v>
      </c>
    </row>
    <row r="97" spans="2:66" x14ac:dyDescent="0.2">
      <c r="B97" s="27">
        <f t="shared" ca="1" si="23"/>
        <v>5.5660377358490569</v>
      </c>
      <c r="C97" t="str">
        <f t="shared" ca="1" si="24"/>
        <v>Young, Kenneth</v>
      </c>
      <c r="G97">
        <f ca="1">IF(AND(((COLUMN()-10)&lt;=playercnt),((ROW()-41)&lt;=playercnt)),SUMPRODUCT(INDIRECT(ADDRESS(3,ROW()-31,1)):INDIRECT(ADDRESS(22,ROW()-31,1)),G$3:G$22),"")</f>
        <v>3</v>
      </c>
      <c r="H97">
        <f ca="1">IF(AND(((COLUMN()-10)&lt;=playercnt),((ROW()-41)&lt;=playercnt)),SUMPRODUCT(INDIRECT(ADDRESS(3,ROW()-31,1)):INDIRECT(ADDRESS(22,ROW()-31,1)),H$3:H$22),"")</f>
        <v>6</v>
      </c>
      <c r="I97">
        <f ca="1">IF(AND(((COLUMN()-10)&lt;=playercnt),((ROW()-41)&lt;=playercnt)),SUMPRODUCT(INDIRECT(ADDRESS(3,ROW()-31,1)):INDIRECT(ADDRESS(22,ROW()-31,1)),I$3:I$22),"")</f>
        <v>5.5</v>
      </c>
      <c r="J97">
        <f ca="1">IF(AND(((COLUMN()-10)&lt;=playercnt),((ROW()-41)&lt;=playercnt)),SUMPRODUCT(INDIRECT(ADDRESS(3,ROW()-31,1)):INDIRECT(ADDRESS(22,ROW()-31,1)),J$3:J$22),"")</f>
        <v>0</v>
      </c>
      <c r="K97">
        <f ca="1">IF(AND(((COLUMN()-10)&lt;=playercnt),((ROW()-41)&lt;=playercnt)),SUMPRODUCT(INDIRECT(ADDRESS(3,ROW()-31,1)):INDIRECT(ADDRESS(22,ROW()-31,1)),K$3:K$22),"")</f>
        <v>8</v>
      </c>
      <c r="L97">
        <f ca="1">IF(AND(((COLUMN()-10)&lt;=playercnt),((ROW()-41)&lt;=playercnt)),SUMPRODUCT(INDIRECT(ADDRESS(3,ROW()-31,1)):INDIRECT(ADDRESS(22,ROW()-31,1)),L$3:L$22),"")</f>
        <v>7</v>
      </c>
      <c r="M97">
        <f ca="1">IF(AND(((COLUMN()-10)&lt;=playercnt),((ROW()-41)&lt;=playercnt)),SUMPRODUCT(INDIRECT(ADDRESS(3,ROW()-31,1)):INDIRECT(ADDRESS(22,ROW()-31,1)),M$3:M$22),"")</f>
        <v>6</v>
      </c>
      <c r="N97">
        <f ca="1">IF(AND(((COLUMN()-10)&lt;=playercnt),((ROW()-41)&lt;=playercnt)),SUMPRODUCT(INDIRECT(ADDRESS(3,ROW()-31,1)):INDIRECT(ADDRESS(22,ROW()-31,1)),N$3:N$22),"")</f>
        <v>7</v>
      </c>
      <c r="O97">
        <f ca="1">IF(AND(((COLUMN()-10)&lt;=playercnt),((ROW()-41)&lt;=playercnt)),SUMPRODUCT(INDIRECT(ADDRESS(3,ROW()-31,1)):INDIRECT(ADDRESS(22,ROW()-31,1)),O$3:O$22),"")</f>
        <v>3</v>
      </c>
      <c r="P97">
        <f ca="1">IF(AND(((COLUMN()-10)&lt;=playercnt),((ROW()-41)&lt;=playercnt)),SUMPRODUCT(INDIRECT(ADDRESS(3,ROW()-31,1)):INDIRECT(ADDRESS(22,ROW()-31,1)),P$3:P$22),"")</f>
        <v>4</v>
      </c>
      <c r="Q97">
        <f ca="1">IF(AND(((COLUMN()-10)&lt;=playercnt),((ROW()-41)&lt;=playercnt)),SUMPRODUCT(INDIRECT(ADDRESS(3,ROW()-31,1)):INDIRECT(ADDRESS(22,ROW()-31,1)),Q$3:Q$22),"")</f>
        <v>3</v>
      </c>
      <c r="R97">
        <f ca="1">IF(AND(((COLUMN()-10)&lt;=playercnt),((ROW()-41)&lt;=playercnt)),SUMPRODUCT(INDIRECT(ADDRESS(3,ROW()-31,1)):INDIRECT(ADDRESS(22,ROW()-31,1)),R$3:R$22),"")</f>
        <v>5</v>
      </c>
      <c r="S97">
        <f ca="1">IF(AND(((COLUMN()-10)&lt;=playercnt),((ROW()-41)&lt;=playercnt)),SUMPRODUCT(INDIRECT(ADDRESS(3,ROW()-31,1)):INDIRECT(ADDRESS(22,ROW()-31,1)),S$3:S$22),"")</f>
        <v>7</v>
      </c>
      <c r="T97">
        <f ca="1">IF(AND(((COLUMN()-10)&lt;=playercnt),((ROW()-41)&lt;=playercnt)),SUMPRODUCT(INDIRECT(ADDRESS(3,ROW()-31,1)):INDIRECT(ADDRESS(22,ROW()-31,1)),T$3:T$22),"")</f>
        <v>2</v>
      </c>
      <c r="U97">
        <f ca="1">IF(AND(((COLUMN()-10)&lt;=playercnt),((ROW()-41)&lt;=playercnt)),SUMPRODUCT(INDIRECT(ADDRESS(3,ROW()-31,1)):INDIRECT(ADDRESS(22,ROW()-31,1)),U$3:U$22),"")</f>
        <v>7</v>
      </c>
      <c r="V97">
        <f ca="1">IF(AND(((COLUMN()-10)&lt;=playercnt),((ROW()-41)&lt;=playercnt)),SUMPRODUCT(INDIRECT(ADDRESS(3,ROW()-31,1)):INDIRECT(ADDRESS(22,ROW()-31,1)),V$3:V$22),"")</f>
        <v>5</v>
      </c>
      <c r="W97">
        <f ca="1">IF(AND(((COLUMN()-10)&lt;=playercnt),((ROW()-41)&lt;=playercnt)),SUMPRODUCT(INDIRECT(ADDRESS(3,ROW()-31,1)):INDIRECT(ADDRESS(22,ROW()-31,1)),W$3:W$22),"")</f>
        <v>5</v>
      </c>
      <c r="X97">
        <f ca="1">IF(AND(((COLUMN()-10)&lt;=playercnt),((ROW()-41)&lt;=playercnt)),SUMPRODUCT(INDIRECT(ADDRESS(3,ROW()-31,1)):INDIRECT(ADDRESS(22,ROW()-31,1)),X$3:X$22),"")</f>
        <v>4</v>
      </c>
      <c r="Y97">
        <f ca="1">IF(AND(((COLUMN()-10)&lt;=playercnt),((ROW()-41)&lt;=playercnt)),SUMPRODUCT(INDIRECT(ADDRESS(3,ROW()-31,1)):INDIRECT(ADDRESS(22,ROW()-31,1)),Y$3:Y$22),"")</f>
        <v>5</v>
      </c>
      <c r="Z97">
        <f ca="1">IF(AND(((COLUMN()-10)&lt;=playercnt),((ROW()-41)&lt;=playercnt)),SUMPRODUCT(INDIRECT(ADDRESS(3,ROW()-31,1)):INDIRECT(ADDRESS(22,ROW()-31,1)),Z$3:Z$22),"")</f>
        <v>6</v>
      </c>
      <c r="AA97">
        <f ca="1">IF(AND(((COLUMN()-10)&lt;=playercnt),((ROW()-41)&lt;=playercnt)),SUMPRODUCT(INDIRECT(ADDRESS(3,ROW()-31,1)):INDIRECT(ADDRESS(22,ROW()-31,1)),AA$3:AA$22),"")</f>
        <v>5</v>
      </c>
      <c r="AB97">
        <f ca="1">IF(AND(((COLUMN()-10)&lt;=playercnt),((ROW()-41)&lt;=playercnt)),SUMPRODUCT(INDIRECT(ADDRESS(3,ROW()-31,1)):INDIRECT(ADDRESS(22,ROW()-31,1)),AB$3:AB$22),"")</f>
        <v>4</v>
      </c>
      <c r="AC97">
        <f ca="1">IF(AND(((COLUMN()-10)&lt;=playercnt),((ROW()-41)&lt;=playercnt)),SUMPRODUCT(INDIRECT(ADDRESS(3,ROW()-31,1)):INDIRECT(ADDRESS(22,ROW()-31,1)),AC$3:AC$22),"")</f>
        <v>7</v>
      </c>
      <c r="AD97">
        <f ca="1">IF(AND(((COLUMN()-10)&lt;=playercnt),((ROW()-41)&lt;=playercnt)),SUMPRODUCT(INDIRECT(ADDRESS(3,ROW()-31,1)):INDIRECT(ADDRESS(22,ROW()-31,1)),AD$3:AD$22),"")</f>
        <v>5</v>
      </c>
      <c r="AE97">
        <f ca="1">IF(AND(((COLUMN()-10)&lt;=playercnt),((ROW()-41)&lt;=playercnt)),SUMPRODUCT(INDIRECT(ADDRESS(3,ROW()-31,1)):INDIRECT(ADDRESS(22,ROW()-31,1)),AE$3:AE$22),"")</f>
        <v>7</v>
      </c>
      <c r="AF97">
        <f ca="1">IF(AND(((COLUMN()-10)&lt;=playercnt),((ROW()-41)&lt;=playercnt)),SUMPRODUCT(INDIRECT(ADDRESS(3,ROW()-31,1)):INDIRECT(ADDRESS(22,ROW()-31,1)),AF$3:AF$22),"")</f>
        <v>6</v>
      </c>
      <c r="AG97">
        <f ca="1">IF(AND(((COLUMN()-10)&lt;=playercnt),((ROW()-41)&lt;=playercnt)),SUMPRODUCT(INDIRECT(ADDRESS(3,ROW()-31,1)):INDIRECT(ADDRESS(22,ROW()-31,1)),AG$3:AG$22),"")</f>
        <v>8</v>
      </c>
      <c r="AH97">
        <f ca="1">IF(AND(((COLUMN()-10)&lt;=playercnt),((ROW()-41)&lt;=playercnt)),SUMPRODUCT(INDIRECT(ADDRESS(3,ROW()-31,1)):INDIRECT(ADDRESS(22,ROW()-31,1)),AH$3:AH$22),"")</f>
        <v>7</v>
      </c>
      <c r="AI97">
        <f ca="1">IF(AND(((COLUMN()-10)&lt;=playercnt),((ROW()-41)&lt;=playercnt)),SUMPRODUCT(INDIRECT(ADDRESS(3,ROW()-31,1)):INDIRECT(ADDRESS(22,ROW()-31,1)),AI$3:AI$22),"")</f>
        <v>3</v>
      </c>
      <c r="AJ97">
        <f ca="1">IF(AND(((COLUMN()-10)&lt;=playercnt),((ROW()-41)&lt;=playercnt)),SUMPRODUCT(INDIRECT(ADDRESS(3,ROW()-31,1)):INDIRECT(ADDRESS(22,ROW()-31,1)),AJ$3:AJ$22),"")</f>
        <v>7</v>
      </c>
      <c r="AK97">
        <f ca="1">IF(AND(((COLUMN()-10)&lt;=playercnt),((ROW()-41)&lt;=playercnt)),SUMPRODUCT(INDIRECT(ADDRESS(3,ROW()-31,1)):INDIRECT(ADDRESS(22,ROW()-31,1)),AK$3:AK$22),"")</f>
        <v>0</v>
      </c>
      <c r="AL97">
        <f ca="1">IF(AND(((COLUMN()-10)&lt;=playercnt),((ROW()-41)&lt;=playercnt)),SUMPRODUCT(INDIRECT(ADDRESS(3,ROW()-31,1)):INDIRECT(ADDRESS(22,ROW()-31,1)),AL$3:AL$22),"")</f>
        <v>4</v>
      </c>
      <c r="AM97">
        <f ca="1">IF(AND(((COLUMN()-10)&lt;=playercnt),((ROW()-41)&lt;=playercnt)),SUMPRODUCT(INDIRECT(ADDRESS(3,ROW()-31,1)):INDIRECT(ADDRESS(22,ROW()-31,1)),AM$3:AM$22),"")</f>
        <v>5</v>
      </c>
      <c r="AN97">
        <f ca="1">IF(AND(((COLUMN()-10)&lt;=playercnt),((ROW()-41)&lt;=playercnt)),SUMPRODUCT(INDIRECT(ADDRESS(3,ROW()-31,1)):INDIRECT(ADDRESS(22,ROW()-31,1)),AN$3:AN$22),"")</f>
        <v>7</v>
      </c>
      <c r="AO97">
        <f ca="1">IF(AND(((COLUMN()-10)&lt;=playercnt),((ROW()-41)&lt;=playercnt)),SUMPRODUCT(INDIRECT(ADDRESS(3,ROW()-31,1)):INDIRECT(ADDRESS(22,ROW()-31,1)),AO$3:AO$22),"")</f>
        <v>3</v>
      </c>
      <c r="AP97">
        <f ca="1">IF(AND(((COLUMN()-10)&lt;=playercnt),((ROW()-41)&lt;=playercnt)),SUMPRODUCT(INDIRECT(ADDRESS(3,ROW()-31,1)):INDIRECT(ADDRESS(22,ROW()-31,1)),AP$3:AP$22),"")</f>
        <v>0</v>
      </c>
      <c r="AQ97">
        <f ca="1">IF(AND(((COLUMN()-10)&lt;=playercnt),((ROW()-41)&lt;=playercnt)),SUMPRODUCT(INDIRECT(ADDRESS(3,ROW()-31,1)):INDIRECT(ADDRESS(22,ROW()-31,1)),AQ$3:AQ$22),"")</f>
        <v>7</v>
      </c>
      <c r="AR97">
        <f ca="1">IF(AND(((COLUMN()-10)&lt;=playercnt),((ROW()-41)&lt;=playercnt)),SUMPRODUCT(INDIRECT(ADDRESS(3,ROW()-31,1)):INDIRECT(ADDRESS(22,ROW()-31,1)),AR$3:AR$22),"")</f>
        <v>4</v>
      </c>
      <c r="AS97">
        <f ca="1">IF(AND(((COLUMN()-10)&lt;=playercnt),((ROW()-41)&lt;=playercnt)),SUMPRODUCT(INDIRECT(ADDRESS(3,ROW()-31,1)):INDIRECT(ADDRESS(22,ROW()-31,1)),AS$3:AS$22),"")</f>
        <v>5</v>
      </c>
      <c r="AT97">
        <f ca="1">IF(AND(((COLUMN()-10)&lt;=playercnt),((ROW()-41)&lt;=playercnt)),SUMPRODUCT(INDIRECT(ADDRESS(3,ROW()-31,1)):INDIRECT(ADDRESS(22,ROW()-31,1)),AT$3:AT$22),"")</f>
        <v>7</v>
      </c>
      <c r="AU97">
        <f ca="1">IF(AND(((COLUMN()-10)&lt;=playercnt),((ROW()-41)&lt;=playercnt)),SUMPRODUCT(INDIRECT(ADDRESS(3,ROW()-31,1)):INDIRECT(ADDRESS(22,ROW()-31,1)),AU$3:AU$22),"")</f>
        <v>5</v>
      </c>
      <c r="AV97">
        <f ca="1">IF(AND(((COLUMN()-10)&lt;=playercnt),((ROW()-41)&lt;=playercnt)),SUMPRODUCT(INDIRECT(ADDRESS(3,ROW()-31,1)):INDIRECT(ADDRESS(22,ROW()-31,1)),AV$3:AV$22),"")</f>
        <v>7</v>
      </c>
      <c r="AW97">
        <f ca="1">IF(AND(((COLUMN()-10)&lt;=playercnt),((ROW()-41)&lt;=playercnt)),SUMPRODUCT(INDIRECT(ADDRESS(3,ROW()-31,1)):INDIRECT(ADDRESS(22,ROW()-31,1)),AW$3:AW$22),"")</f>
        <v>5</v>
      </c>
      <c r="AX97">
        <f ca="1">IF(AND(((COLUMN()-10)&lt;=playercnt),((ROW()-41)&lt;=playercnt)),SUMPRODUCT(INDIRECT(ADDRESS(3,ROW()-31,1)):INDIRECT(ADDRESS(22,ROW()-31,1)),AX$3:AX$22),"")</f>
        <v>6</v>
      </c>
      <c r="AY97">
        <f ca="1">IF(AND(((COLUMN()-10)&lt;=playercnt),((ROW()-41)&lt;=playercnt)),SUMPRODUCT(INDIRECT(ADDRESS(3,ROW()-31,1)):INDIRECT(ADDRESS(22,ROW()-31,1)),AY$3:AY$22),"")</f>
        <v>5</v>
      </c>
      <c r="AZ97">
        <f ca="1">IF(AND(((COLUMN()-10)&lt;=playercnt),((ROW()-41)&lt;=playercnt)),SUMPRODUCT(INDIRECT(ADDRESS(3,ROW()-31,1)):INDIRECT(ADDRESS(22,ROW()-31,1)),AZ$3:AZ$22),"")</f>
        <v>6</v>
      </c>
      <c r="BA97">
        <f ca="1">IF(AND(((COLUMN()-10)&lt;=playercnt),((ROW()-41)&lt;=playercnt)),SUMPRODUCT(INDIRECT(ADDRESS(3,ROW()-31,1)):INDIRECT(ADDRESS(22,ROW()-31,1)),BA$3:BA$22),"")</f>
        <v>6</v>
      </c>
      <c r="BB97">
        <f ca="1">IF(AND(((COLUMN()-10)&lt;=playercnt),((ROW()-41)&lt;=playercnt)),SUMPRODUCT(INDIRECT(ADDRESS(3,ROW()-31,1)):INDIRECT(ADDRESS(22,ROW()-31,1)),BB$3:BB$22),"")</f>
        <v>6</v>
      </c>
      <c r="BC97">
        <f ca="1">IF(AND(((COLUMN()-10)&lt;=playercnt),((ROW()-41)&lt;=playercnt)),SUMPRODUCT(INDIRECT(ADDRESS(3,ROW()-31,1)):INDIRECT(ADDRESS(22,ROW()-31,1)),BC$3:BC$22),"")</f>
        <v>8</v>
      </c>
      <c r="BD97">
        <f ca="1">IF(AND(((COLUMN()-10)&lt;=playercnt),((ROW()-41)&lt;=playercnt)),SUMPRODUCT(INDIRECT(ADDRESS(3,ROW()-31,1)):INDIRECT(ADDRESS(22,ROW()-31,1)),BD$3:BD$22),"")</f>
        <v>4</v>
      </c>
      <c r="BE97">
        <f ca="1">IF(AND(((COLUMN()-10)&lt;=playercnt),((ROW()-41)&lt;=playercnt)),SUMPRODUCT(INDIRECT(ADDRESS(3,ROW()-31,1)):INDIRECT(ADDRESS(22,ROW()-31,1)),BE$3:BE$22),"")</f>
        <v>3</v>
      </c>
      <c r="BF97">
        <f ca="1">IF(AND(((COLUMN()-10)&lt;=playercnt),((ROW()-41)&lt;=playercnt)),SUMPRODUCT(INDIRECT(ADDRESS(3,ROW()-31,1)):INDIRECT(ADDRESS(22,ROW()-31,1)),BF$3:BF$22),"")</f>
        <v>5</v>
      </c>
      <c r="BG97">
        <f ca="1">IF(AND(((COLUMN()-10)&lt;=playercnt),((ROW()-41)&lt;=playercnt)),SUMPRODUCT(INDIRECT(ADDRESS(3,ROW()-31,1)):INDIRECT(ADDRESS(22,ROW()-31,1)),BG$3:BG$22),"")</f>
        <v>3</v>
      </c>
      <c r="BH97">
        <f ca="1">IF(AND(((COLUMN()-10)&lt;=playercnt),((ROW()-41)&lt;=playercnt)),SUMPRODUCT(INDIRECT(ADDRESS(3,ROW()-31,1)):INDIRECT(ADDRESS(22,ROW()-31,1)),BH$3:BH$22),"")</f>
        <v>7</v>
      </c>
      <c r="BI97">
        <f ca="1">IF(AND(((COLUMN()-10)&lt;=playercnt),((ROW()-41)&lt;=playercnt)),SUMPRODUCT(INDIRECT(ADDRESS(3,ROW()-31,1)):INDIRECT(ADDRESS(22,ROW()-31,1)),BI$3:BI$22),"")</f>
        <v>7</v>
      </c>
      <c r="BJ97">
        <f ca="1">IF(AND(((COLUMN()-10)&lt;=playercnt),((ROW()-41)&lt;=playercnt)),SUMPRODUCT(INDIRECT(ADDRESS(3,ROW()-31,1)):INDIRECT(ADDRESS(22,ROW()-31,1)),BJ$3:BJ$22),"")</f>
        <v>5</v>
      </c>
      <c r="BK97">
        <f ca="1">IF(AND(((COLUMN()-10)&lt;=playercnt),((ROW()-41)&lt;=playercnt)),SUMPRODUCT(INDIRECT(ADDRESS(3,ROW()-31,1)):INDIRECT(ADDRESS(22,ROW()-31,1)),BK$3:BK$22),"")</f>
        <v>9</v>
      </c>
      <c r="BL97">
        <f ca="1">IF(AND(((COLUMN()-10)&lt;=playercnt),((ROW()-41)&lt;=playercnt)),SUMPRODUCT(INDIRECT(ADDRESS(3,ROW()-31,1)):INDIRECT(ADDRESS(22,ROW()-31,1)),BL$3:BL$22),"")</f>
        <v>6</v>
      </c>
      <c r="BM97">
        <f ca="1">IF(AND(((COLUMN()-10)&lt;=playercnt),((ROW()-41)&lt;=playercnt)),SUMPRODUCT(INDIRECT(ADDRESS(3,ROW()-31,1)):INDIRECT(ADDRESS(22,ROW()-31,1)),BM$3:BM$22),"")</f>
        <v>7</v>
      </c>
      <c r="BN97">
        <f ca="1">IF(AND(((COLUMN()-10)&lt;=playercnt),((ROW()-41)&lt;=playercnt)),SUMPRODUCT(INDIRECT(ADDRESS(3,ROW()-31,1)):INDIRECT(ADDRESS(22,ROW()-31,1)),BN$3:BN$22),"")</f>
        <v>10</v>
      </c>
    </row>
    <row r="110" spans="2:66" x14ac:dyDescent="0.2">
      <c r="B110" s="26" t="str">
        <f t="shared" ref="B110" ca="1" si="25">IF(INDIRECT(ADDRESS(ROW(),COLUMN()+(ROW()-33)))=10,(SUM(INDIRECT("RC11:RC"&amp;11+playercnt-1,FALSE))-10)/(picks_entered-1),"")</f>
        <v/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</row>
  </sheetData>
  <phoneticPr fontId="6" type="noConversion"/>
  <conditionalFormatting sqref="G38:BN97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97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A4" sqref="A4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130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">
      <c r="A4">
        <f>weekcnt*10</f>
        <v>90</v>
      </c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150</v>
      </c>
      <c r="C3" s="65"/>
      <c r="D3" s="64">
        <v>13</v>
      </c>
      <c r="E3" s="64">
        <f>IF(ISBLANK($D3),"0",IF(($D4-$D3)&lt;($C4-$C3),1,0))</f>
        <v>1</v>
      </c>
      <c r="F3" s="64">
        <f ca="1">COUNTA(INDIRECT("RC11:RC"&amp;11+playercnt-1,FALSE))</f>
        <v>36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/>
      <c r="N3" s="69" t="s">
        <v>314</v>
      </c>
      <c r="O3" s="69" t="s">
        <v>314</v>
      </c>
      <c r="P3" s="69"/>
      <c r="Q3" s="69"/>
      <c r="R3" s="69"/>
      <c r="S3" s="69" t="s">
        <v>314</v>
      </c>
      <c r="T3" s="69"/>
      <c r="U3" s="69" t="s">
        <v>314</v>
      </c>
      <c r="V3" s="69"/>
      <c r="W3" s="69"/>
      <c r="X3" s="69"/>
      <c r="Y3" s="69"/>
      <c r="Z3" s="69" t="s">
        <v>314</v>
      </c>
      <c r="AA3" s="69"/>
      <c r="AB3" s="69"/>
      <c r="AC3" s="69" t="s">
        <v>314</v>
      </c>
      <c r="AD3" s="69"/>
      <c r="AE3" s="69" t="s">
        <v>314</v>
      </c>
      <c r="AF3" s="69"/>
      <c r="AG3" s="69"/>
      <c r="AH3" s="69" t="s">
        <v>314</v>
      </c>
      <c r="AI3" s="69"/>
      <c r="AJ3" s="69" t="s">
        <v>314</v>
      </c>
      <c r="AK3" s="69" t="s">
        <v>314</v>
      </c>
      <c r="AL3" s="69" t="s">
        <v>314</v>
      </c>
      <c r="AM3" s="69" t="s">
        <v>314</v>
      </c>
      <c r="AN3" s="69" t="s">
        <v>314</v>
      </c>
      <c r="AO3" s="69" t="s">
        <v>314</v>
      </c>
      <c r="AP3" s="69"/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/>
      <c r="BH3" s="69"/>
      <c r="BI3" s="69" t="s">
        <v>314</v>
      </c>
      <c r="BJ3" s="69"/>
      <c r="BK3" s="69" t="s">
        <v>314</v>
      </c>
      <c r="BL3" s="69" t="s">
        <v>314</v>
      </c>
      <c r="BM3" s="69" t="s">
        <v>314</v>
      </c>
      <c r="BN3" s="69" t="s">
        <v>314</v>
      </c>
    </row>
    <row r="4" spans="1:66" x14ac:dyDescent="0.2">
      <c r="A4" s="61" t="s">
        <v>3</v>
      </c>
      <c r="B4" s="68" t="s">
        <v>160</v>
      </c>
      <c r="C4" s="66">
        <v>3.5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314</v>
      </c>
      <c r="N4" s="70"/>
      <c r="O4" s="70"/>
      <c r="P4" s="70" t="s">
        <v>314</v>
      </c>
      <c r="Q4" s="70" t="s">
        <v>314</v>
      </c>
      <c r="R4" s="70"/>
      <c r="S4" s="70"/>
      <c r="T4" s="70" t="s">
        <v>314</v>
      </c>
      <c r="U4" s="97"/>
      <c r="V4" s="70" t="s">
        <v>314</v>
      </c>
      <c r="W4" s="70" t="s">
        <v>314</v>
      </c>
      <c r="X4" s="70" t="s">
        <v>314</v>
      </c>
      <c r="Y4" s="70" t="s">
        <v>314</v>
      </c>
      <c r="Z4" s="70"/>
      <c r="AA4" s="70" t="s">
        <v>314</v>
      </c>
      <c r="AB4" s="70" t="s">
        <v>314</v>
      </c>
      <c r="AC4" s="70"/>
      <c r="AD4" s="70" t="s">
        <v>314</v>
      </c>
      <c r="AE4" s="70"/>
      <c r="AF4" s="70" t="s">
        <v>314</v>
      </c>
      <c r="AG4" s="70" t="s">
        <v>314</v>
      </c>
      <c r="AH4" s="70"/>
      <c r="AI4" s="70" t="s">
        <v>314</v>
      </c>
      <c r="AJ4" s="70"/>
      <c r="AK4" s="70"/>
      <c r="AL4" s="70"/>
      <c r="AM4" s="70"/>
      <c r="AN4" s="70"/>
      <c r="AO4" s="70"/>
      <c r="AP4" s="70" t="s">
        <v>314</v>
      </c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314</v>
      </c>
      <c r="BH4" s="70" t="s">
        <v>314</v>
      </c>
      <c r="BI4" s="70"/>
      <c r="BJ4" s="70" t="s">
        <v>314</v>
      </c>
      <c r="BK4" s="70"/>
      <c r="BL4" s="70"/>
      <c r="BM4" s="70"/>
      <c r="BN4" s="70"/>
    </row>
    <row r="5" spans="1:66" x14ac:dyDescent="0.2">
      <c r="A5" s="59">
        <v>2</v>
      </c>
      <c r="B5" s="67" t="s">
        <v>139</v>
      </c>
      <c r="C5" s="65">
        <v>3.5</v>
      </c>
      <c r="D5" s="64">
        <v>17</v>
      </c>
      <c r="E5" s="64">
        <f>IF(ISBLANK($D5),"0",IF(($D6-$D5)&lt;($C6-$C5),1,0))</f>
        <v>0</v>
      </c>
      <c r="F5" s="64">
        <f t="shared" ca="1" si="1"/>
        <v>42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 t="s">
        <v>314</v>
      </c>
      <c r="O5" s="69" t="s">
        <v>314</v>
      </c>
      <c r="P5" s="69" t="s">
        <v>314</v>
      </c>
      <c r="Q5" s="69"/>
      <c r="R5" s="69"/>
      <c r="S5" s="69" t="s">
        <v>314</v>
      </c>
      <c r="T5" s="69" t="s">
        <v>314</v>
      </c>
      <c r="U5" s="96" t="s">
        <v>314</v>
      </c>
      <c r="V5" s="69"/>
      <c r="W5" s="69" t="s">
        <v>314</v>
      </c>
      <c r="X5" s="69" t="s">
        <v>314</v>
      </c>
      <c r="Y5" s="69" t="s">
        <v>314</v>
      </c>
      <c r="Z5" s="69" t="s">
        <v>314</v>
      </c>
      <c r="AA5" s="69" t="s">
        <v>314</v>
      </c>
      <c r="AB5" s="69"/>
      <c r="AC5" s="69" t="s">
        <v>314</v>
      </c>
      <c r="AD5" s="69" t="s">
        <v>314</v>
      </c>
      <c r="AE5" s="69" t="s">
        <v>314</v>
      </c>
      <c r="AF5" s="69" t="s">
        <v>314</v>
      </c>
      <c r="AG5" s="69" t="s">
        <v>314</v>
      </c>
      <c r="AH5" s="69"/>
      <c r="AI5" s="69" t="s">
        <v>314</v>
      </c>
      <c r="AJ5" s="69" t="s">
        <v>314</v>
      </c>
      <c r="AK5" s="69"/>
      <c r="AL5" s="69" t="s">
        <v>314</v>
      </c>
      <c r="AM5" s="69" t="s">
        <v>314</v>
      </c>
      <c r="AN5" s="69" t="s">
        <v>314</v>
      </c>
      <c r="AO5" s="69"/>
      <c r="AP5" s="69"/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/>
      <c r="BA5" s="69"/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144</v>
      </c>
      <c r="C6" s="66"/>
      <c r="D6" s="64">
        <v>14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 t="s">
        <v>314</v>
      </c>
      <c r="R6" s="70"/>
      <c r="S6" s="70"/>
      <c r="T6" s="70"/>
      <c r="U6" s="70"/>
      <c r="V6" s="70" t="s">
        <v>314</v>
      </c>
      <c r="W6" s="70"/>
      <c r="X6" s="70"/>
      <c r="Y6" s="70"/>
      <c r="Z6" s="70"/>
      <c r="AA6" s="70"/>
      <c r="AB6" s="70" t="s">
        <v>314</v>
      </c>
      <c r="AC6" s="70"/>
      <c r="AD6" s="70"/>
      <c r="AE6" s="70"/>
      <c r="AF6" s="70"/>
      <c r="AG6" s="70"/>
      <c r="AH6" s="70" t="s">
        <v>314</v>
      </c>
      <c r="AI6" s="70"/>
      <c r="AJ6" s="70"/>
      <c r="AK6" s="70" t="s">
        <v>314</v>
      </c>
      <c r="AL6" s="70"/>
      <c r="AM6" s="70"/>
      <c r="AN6" s="70"/>
      <c r="AO6" s="70" t="s">
        <v>314</v>
      </c>
      <c r="AP6" s="70" t="s">
        <v>314</v>
      </c>
      <c r="AQ6" s="70"/>
      <c r="AR6" s="70"/>
      <c r="AS6" s="70" t="s">
        <v>314</v>
      </c>
      <c r="AT6" s="70"/>
      <c r="AU6" s="70"/>
      <c r="AV6" s="70"/>
      <c r="AW6" s="70"/>
      <c r="AX6" s="70"/>
      <c r="AY6" s="70"/>
      <c r="AZ6" s="70" t="s">
        <v>314</v>
      </c>
      <c r="BA6" s="70" t="s">
        <v>314</v>
      </c>
      <c r="BB6" s="70"/>
      <c r="BC6" s="70"/>
      <c r="BD6" s="70"/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 x14ac:dyDescent="0.2">
      <c r="A7" s="59">
        <v>3</v>
      </c>
      <c r="B7" s="67" t="s">
        <v>158</v>
      </c>
      <c r="C7" s="65">
        <v>10.5</v>
      </c>
      <c r="D7" s="64">
        <v>23</v>
      </c>
      <c r="E7" s="64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/>
      <c r="N7" s="69"/>
      <c r="O7" s="69" t="s">
        <v>314</v>
      </c>
      <c r="P7" s="69"/>
      <c r="Q7" s="69" t="s">
        <v>314</v>
      </c>
      <c r="R7" s="96"/>
      <c r="S7" s="96" t="s">
        <v>314</v>
      </c>
      <c r="T7" s="96"/>
      <c r="U7" s="96" t="s">
        <v>314</v>
      </c>
      <c r="V7" s="69"/>
      <c r="W7" s="69"/>
      <c r="X7" s="69" t="s">
        <v>314</v>
      </c>
      <c r="Y7" s="69" t="s">
        <v>314</v>
      </c>
      <c r="Z7" s="69"/>
      <c r="AA7" s="69" t="s">
        <v>314</v>
      </c>
      <c r="AB7" s="69" t="s">
        <v>314</v>
      </c>
      <c r="AC7" s="69" t="s">
        <v>314</v>
      </c>
      <c r="AD7" s="69"/>
      <c r="AE7" s="69"/>
      <c r="AF7" s="69" t="s">
        <v>314</v>
      </c>
      <c r="AG7" s="69"/>
      <c r="AH7" s="69" t="s">
        <v>314</v>
      </c>
      <c r="AI7" s="69" t="s">
        <v>314</v>
      </c>
      <c r="AJ7" s="69"/>
      <c r="AK7" s="69"/>
      <c r="AL7" s="69" t="s">
        <v>314</v>
      </c>
      <c r="AM7" s="69" t="s">
        <v>314</v>
      </c>
      <c r="AN7" s="69" t="s">
        <v>314</v>
      </c>
      <c r="AO7" s="69"/>
      <c r="AP7" s="69" t="s">
        <v>314</v>
      </c>
      <c r="AQ7" s="69" t="s">
        <v>314</v>
      </c>
      <c r="AR7" s="96" t="s">
        <v>314</v>
      </c>
      <c r="AS7" s="69"/>
      <c r="AT7" s="69"/>
      <c r="AU7" s="69"/>
      <c r="AV7" s="69" t="s">
        <v>314</v>
      </c>
      <c r="AW7" s="69" t="s">
        <v>314</v>
      </c>
      <c r="AX7" s="69"/>
      <c r="AY7" s="69"/>
      <c r="AZ7" s="69" t="s">
        <v>314</v>
      </c>
      <c r="BA7" s="69"/>
      <c r="BB7" s="69" t="s">
        <v>314</v>
      </c>
      <c r="BC7" s="69" t="s">
        <v>314</v>
      </c>
      <c r="BD7" s="69"/>
      <c r="BE7" s="96" t="s">
        <v>314</v>
      </c>
      <c r="BF7" s="69" t="s">
        <v>314</v>
      </c>
      <c r="BG7" s="69" t="s">
        <v>314</v>
      </c>
      <c r="BH7" s="69" t="s">
        <v>314</v>
      </c>
      <c r="BI7" s="69"/>
      <c r="BJ7" s="69" t="s">
        <v>314</v>
      </c>
      <c r="BK7" s="69"/>
      <c r="BL7" s="69" t="s">
        <v>314</v>
      </c>
      <c r="BM7" s="69"/>
      <c r="BN7" s="69" t="s">
        <v>314</v>
      </c>
    </row>
    <row r="8" spans="1:66" x14ac:dyDescent="0.2">
      <c r="A8" s="61" t="s">
        <v>3</v>
      </c>
      <c r="B8" s="68" t="s">
        <v>210</v>
      </c>
      <c r="C8" s="66"/>
      <c r="D8" s="64">
        <v>33</v>
      </c>
      <c r="E8" s="64">
        <f>IF(ISBLANK($D8),"0",IF(($D8-$D7)&gt;($C8-$C7),1,0))</f>
        <v>1</v>
      </c>
      <c r="F8" s="64">
        <f t="shared" ca="1" si="1"/>
        <v>24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/>
      <c r="M8" s="70" t="s">
        <v>314</v>
      </c>
      <c r="N8" s="70" t="s">
        <v>314</v>
      </c>
      <c r="O8" s="70"/>
      <c r="P8" s="70" t="s">
        <v>314</v>
      </c>
      <c r="Q8" s="70"/>
      <c r="R8" s="97"/>
      <c r="S8" s="97"/>
      <c r="T8" s="97" t="s">
        <v>314</v>
      </c>
      <c r="U8" s="97"/>
      <c r="V8" s="70" t="s">
        <v>314</v>
      </c>
      <c r="W8" s="70" t="s">
        <v>314</v>
      </c>
      <c r="X8" s="70"/>
      <c r="Y8" s="70"/>
      <c r="Z8" s="70" t="s">
        <v>314</v>
      </c>
      <c r="AA8" s="70"/>
      <c r="AB8" s="70"/>
      <c r="AC8" s="70"/>
      <c r="AD8" s="70" t="s">
        <v>314</v>
      </c>
      <c r="AE8" s="70" t="s">
        <v>314</v>
      </c>
      <c r="AF8" s="70"/>
      <c r="AG8" s="70" t="s">
        <v>314</v>
      </c>
      <c r="AH8" s="70"/>
      <c r="AI8" s="70"/>
      <c r="AJ8" s="70" t="s">
        <v>314</v>
      </c>
      <c r="AK8" s="70" t="s">
        <v>314</v>
      </c>
      <c r="AL8" s="70"/>
      <c r="AM8" s="70"/>
      <c r="AN8" s="70"/>
      <c r="AO8" s="70" t="s">
        <v>314</v>
      </c>
      <c r="AP8" s="70"/>
      <c r="AQ8" s="70"/>
      <c r="AR8" s="70"/>
      <c r="AS8" s="70" t="s">
        <v>314</v>
      </c>
      <c r="AT8" s="70" t="s">
        <v>314</v>
      </c>
      <c r="AU8" s="70" t="s">
        <v>314</v>
      </c>
      <c r="AV8" s="70"/>
      <c r="AW8" s="70"/>
      <c r="AX8" s="70" t="s">
        <v>314</v>
      </c>
      <c r="AY8" s="70" t="s">
        <v>314</v>
      </c>
      <c r="AZ8" s="70"/>
      <c r="BA8" s="70" t="s">
        <v>314</v>
      </c>
      <c r="BB8" s="70"/>
      <c r="BC8" s="70"/>
      <c r="BD8" s="70" t="s">
        <v>314</v>
      </c>
      <c r="BE8" s="70"/>
      <c r="BF8" s="70"/>
      <c r="BG8" s="70"/>
      <c r="BH8" s="70"/>
      <c r="BI8" s="70" t="s">
        <v>314</v>
      </c>
      <c r="BJ8" s="70"/>
      <c r="BK8" s="70" t="s">
        <v>314</v>
      </c>
      <c r="BL8" s="70"/>
      <c r="BM8" s="70" t="s">
        <v>314</v>
      </c>
      <c r="BN8" s="70"/>
    </row>
    <row r="9" spans="1:66" x14ac:dyDescent="0.2">
      <c r="A9" s="59">
        <v>4</v>
      </c>
      <c r="B9" s="108" t="s">
        <v>137</v>
      </c>
      <c r="C9" s="65">
        <v>8.5</v>
      </c>
      <c r="D9" s="81">
        <v>14</v>
      </c>
      <c r="E9" s="64">
        <f>IF(ISBLANK($D9),"0",IF(($D10-$D9)&lt;($C10-$C9),1,0))</f>
        <v>0</v>
      </c>
      <c r="F9" s="64">
        <f t="shared" ca="1" si="1"/>
        <v>39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/>
      <c r="S9" s="96" t="s">
        <v>314</v>
      </c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 t="s">
        <v>314</v>
      </c>
      <c r="AC9" s="69"/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 t="s">
        <v>314</v>
      </c>
      <c r="AK9" s="69" t="s">
        <v>314</v>
      </c>
      <c r="AL9" s="69" t="s">
        <v>314</v>
      </c>
      <c r="AM9" s="69" t="s">
        <v>314</v>
      </c>
      <c r="AN9" s="69" t="s">
        <v>314</v>
      </c>
      <c r="AO9" s="69"/>
      <c r="AP9" s="69" t="s">
        <v>314</v>
      </c>
      <c r="AQ9" s="69" t="s">
        <v>314</v>
      </c>
      <c r="AR9" s="96" t="s">
        <v>314</v>
      </c>
      <c r="AS9" s="69"/>
      <c r="AT9" s="69" t="s">
        <v>314</v>
      </c>
      <c r="AU9" s="69" t="s">
        <v>314</v>
      </c>
      <c r="AV9" s="69" t="s">
        <v>314</v>
      </c>
      <c r="AW9" s="69" t="s">
        <v>314</v>
      </c>
      <c r="AX9" s="69"/>
      <c r="AY9" s="69"/>
      <c r="AZ9" s="69" t="s">
        <v>314</v>
      </c>
      <c r="BA9" s="69" t="s">
        <v>314</v>
      </c>
      <c r="BB9" s="69" t="s">
        <v>314</v>
      </c>
      <c r="BC9" s="69" t="s">
        <v>314</v>
      </c>
      <c r="BD9" s="69"/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/>
      <c r="BL9" s="69" t="s">
        <v>314</v>
      </c>
      <c r="BM9" s="69"/>
      <c r="BN9" s="69"/>
    </row>
    <row r="10" spans="1:66" x14ac:dyDescent="0.2">
      <c r="A10" s="61" t="s">
        <v>3</v>
      </c>
      <c r="B10" s="68" t="s">
        <v>205</v>
      </c>
      <c r="C10" s="66"/>
      <c r="D10" s="64">
        <v>16</v>
      </c>
      <c r="E10" s="64">
        <f>IF(ISBLANK($D10),"0",IF(($D10-$D9)&gt;($C10-$C9),1,0))</f>
        <v>1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 t="s">
        <v>314</v>
      </c>
      <c r="AD10" s="70" t="s">
        <v>314</v>
      </c>
      <c r="AE10" s="70"/>
      <c r="AF10" s="70"/>
      <c r="AG10" s="70" t="s">
        <v>314</v>
      </c>
      <c r="AH10" s="70" t="s">
        <v>314</v>
      </c>
      <c r="AI10" s="70"/>
      <c r="AJ10" s="70"/>
      <c r="AK10" s="70"/>
      <c r="AL10" s="70"/>
      <c r="AM10" s="70"/>
      <c r="AN10" s="70"/>
      <c r="AO10" s="70" t="s">
        <v>314</v>
      </c>
      <c r="AP10" s="70"/>
      <c r="AQ10" s="70"/>
      <c r="AR10" s="70"/>
      <c r="AS10" s="70" t="s">
        <v>314</v>
      </c>
      <c r="AT10" s="70"/>
      <c r="AU10" s="70"/>
      <c r="AV10" s="70"/>
      <c r="AW10" s="70"/>
      <c r="AX10" s="70" t="s">
        <v>314</v>
      </c>
      <c r="AY10" s="70" t="s">
        <v>314</v>
      </c>
      <c r="AZ10" s="70"/>
      <c r="BA10" s="70"/>
      <c r="BB10" s="70"/>
      <c r="BC10" s="70"/>
      <c r="BD10" s="70" t="s">
        <v>314</v>
      </c>
      <c r="BE10" s="70"/>
      <c r="BF10" s="70"/>
      <c r="BG10" s="70" t="s">
        <v>314</v>
      </c>
      <c r="BH10" s="70"/>
      <c r="BI10" s="70" t="s">
        <v>314</v>
      </c>
      <c r="BJ10" s="70"/>
      <c r="BK10" s="70" t="s">
        <v>314</v>
      </c>
      <c r="BL10" s="70"/>
      <c r="BM10" s="70" t="s">
        <v>314</v>
      </c>
      <c r="BN10" s="70" t="s">
        <v>314</v>
      </c>
    </row>
    <row r="11" spans="1:66" x14ac:dyDescent="0.2">
      <c r="A11" s="59">
        <v>5</v>
      </c>
      <c r="B11" s="67" t="s">
        <v>243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 t="s">
        <v>314</v>
      </c>
      <c r="R11" s="96"/>
      <c r="S11" s="96"/>
      <c r="T11" s="96" t="s">
        <v>314</v>
      </c>
      <c r="U11" s="69" t="s">
        <v>314</v>
      </c>
      <c r="V11" s="69"/>
      <c r="W11" s="69"/>
      <c r="X11" s="69" t="s">
        <v>314</v>
      </c>
      <c r="Y11" s="69"/>
      <c r="Z11" s="69"/>
      <c r="AA11" s="69"/>
      <c r="AB11" s="69" t="s">
        <v>314</v>
      </c>
      <c r="AC11" s="69"/>
      <c r="AD11" s="69"/>
      <c r="AE11" s="69"/>
      <c r="AF11" s="69"/>
      <c r="AG11" s="69" t="s">
        <v>314</v>
      </c>
      <c r="AH11" s="69" t="s">
        <v>314</v>
      </c>
      <c r="AI11" s="69"/>
      <c r="AJ11" s="69" t="s">
        <v>314</v>
      </c>
      <c r="AK11" s="69"/>
      <c r="AL11" s="69"/>
      <c r="AM11" s="69" t="s">
        <v>314</v>
      </c>
      <c r="AN11" s="69" t="s">
        <v>314</v>
      </c>
      <c r="AO11" s="69" t="s">
        <v>314</v>
      </c>
      <c r="AP11" s="69"/>
      <c r="AQ11" s="69"/>
      <c r="AR11" s="69" t="s">
        <v>314</v>
      </c>
      <c r="AS11" s="69"/>
      <c r="AT11" s="69" t="s">
        <v>314</v>
      </c>
      <c r="AU11" s="69" t="s">
        <v>314</v>
      </c>
      <c r="AV11" s="69" t="s">
        <v>314</v>
      </c>
      <c r="AW11" s="69" t="s">
        <v>314</v>
      </c>
      <c r="AX11" s="69" t="s">
        <v>314</v>
      </c>
      <c r="AY11" s="69"/>
      <c r="AZ11" s="69"/>
      <c r="BA11" s="69"/>
      <c r="BB11" s="69" t="s">
        <v>314</v>
      </c>
      <c r="BC11" s="69"/>
      <c r="BD11" s="69"/>
      <c r="BE11" s="96" t="s">
        <v>314</v>
      </c>
      <c r="BF11" s="69"/>
      <c r="BG11" s="69"/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188</v>
      </c>
      <c r="C12" s="66">
        <v>2.5</v>
      </c>
      <c r="D12" s="64">
        <v>31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/>
      <c r="M12" s="70"/>
      <c r="N12" s="70" t="s">
        <v>314</v>
      </c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/>
      <c r="V12" s="70" t="s">
        <v>314</v>
      </c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/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/>
      <c r="AI12" s="70" t="s">
        <v>314</v>
      </c>
      <c r="AJ12" s="70"/>
      <c r="AK12" s="70" t="s">
        <v>314</v>
      </c>
      <c r="AL12" s="70" t="s">
        <v>314</v>
      </c>
      <c r="AM12" s="70"/>
      <c r="AN12" s="70"/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/>
      <c r="AV12" s="70"/>
      <c r="AW12" s="70"/>
      <c r="AX12" s="70"/>
      <c r="AY12" s="70" t="s">
        <v>314</v>
      </c>
      <c r="AZ12" s="70" t="s">
        <v>314</v>
      </c>
      <c r="BA12" s="70" t="s">
        <v>314</v>
      </c>
      <c r="BB12" s="70"/>
      <c r="BC12" s="70" t="s">
        <v>314</v>
      </c>
      <c r="BD12" s="70" t="s">
        <v>314</v>
      </c>
      <c r="BE12" s="70"/>
      <c r="BF12" s="70" t="s">
        <v>314</v>
      </c>
      <c r="BG12" s="70" t="s">
        <v>314</v>
      </c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148</v>
      </c>
      <c r="C13" s="65">
        <v>2.5</v>
      </c>
      <c r="D13" s="64">
        <v>33</v>
      </c>
      <c r="E13" s="64">
        <f>IF(ISBLANK($D13),"0",IF(($D14-$D13)&lt;($C14-$C13),1,0))</f>
        <v>1</v>
      </c>
      <c r="F13" s="64">
        <f t="shared" ca="1" si="1"/>
        <v>39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 t="s">
        <v>314</v>
      </c>
      <c r="N13" s="69" t="s">
        <v>314</v>
      </c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/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 t="s">
        <v>314</v>
      </c>
      <c r="AC13" s="69"/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/>
      <c r="AM13" s="69"/>
      <c r="AN13" s="69" t="s">
        <v>314</v>
      </c>
      <c r="AO13" s="69"/>
      <c r="AP13" s="69" t="s">
        <v>314</v>
      </c>
      <c r="AQ13" s="69" t="s">
        <v>314</v>
      </c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 t="s">
        <v>314</v>
      </c>
      <c r="AY13" s="69" t="s">
        <v>314</v>
      </c>
      <c r="AZ13" s="69" t="s">
        <v>314</v>
      </c>
      <c r="BA13" s="69" t="s">
        <v>314</v>
      </c>
      <c r="BB13" s="69" t="s">
        <v>314</v>
      </c>
      <c r="BC13" s="69" t="s">
        <v>314</v>
      </c>
      <c r="BD13" s="69"/>
      <c r="BE13" s="96" t="s">
        <v>314</v>
      </c>
      <c r="BF13" s="69" t="s">
        <v>314</v>
      </c>
      <c r="BG13" s="69" t="s">
        <v>314</v>
      </c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164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314</v>
      </c>
      <c r="T14" s="97"/>
      <c r="U14" s="97" t="s">
        <v>314</v>
      </c>
      <c r="V14" s="70" t="s">
        <v>314</v>
      </c>
      <c r="W14" s="70"/>
      <c r="X14" s="70"/>
      <c r="Y14" s="70" t="s">
        <v>314</v>
      </c>
      <c r="Z14" s="70"/>
      <c r="AA14" s="70"/>
      <c r="AB14" s="70"/>
      <c r="AC14" s="70" t="s">
        <v>314</v>
      </c>
      <c r="AD14" s="70"/>
      <c r="AE14" s="70"/>
      <c r="AF14" s="70" t="s">
        <v>314</v>
      </c>
      <c r="AG14" s="70"/>
      <c r="AH14" s="70"/>
      <c r="AI14" s="70"/>
      <c r="AJ14" s="70"/>
      <c r="AK14" s="70"/>
      <c r="AL14" s="70" t="s">
        <v>314</v>
      </c>
      <c r="AM14" s="70" t="s">
        <v>314</v>
      </c>
      <c r="AN14" s="70"/>
      <c r="AO14" s="70" t="s">
        <v>314</v>
      </c>
      <c r="AP14" s="70"/>
      <c r="AQ14" s="70"/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/>
      <c r="AY14" s="70"/>
      <c r="AZ14" s="70"/>
      <c r="BA14" s="70"/>
      <c r="BB14" s="70"/>
      <c r="BC14" s="70"/>
      <c r="BD14" s="70" t="s">
        <v>314</v>
      </c>
      <c r="BE14" s="70"/>
      <c r="BF14" s="70"/>
      <c r="BG14" s="70"/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 x14ac:dyDescent="0.2">
      <c r="A15" s="59">
        <v>7</v>
      </c>
      <c r="B15" s="67" t="s">
        <v>241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 t="s">
        <v>314</v>
      </c>
      <c r="R15" s="96"/>
      <c r="S15" s="96"/>
      <c r="T15" s="96"/>
      <c r="U15" s="96"/>
      <c r="V15" s="69"/>
      <c r="W15" s="69"/>
      <c r="X15" s="69" t="s">
        <v>314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 t="s">
        <v>314</v>
      </c>
      <c r="AI15" s="69" t="s">
        <v>314</v>
      </c>
      <c r="AJ15" s="69"/>
      <c r="AK15" s="69"/>
      <c r="AL15" s="69"/>
      <c r="AM15" s="69" t="s">
        <v>314</v>
      </c>
      <c r="AN15" s="69"/>
      <c r="AO15" s="69" t="s">
        <v>314</v>
      </c>
      <c r="AP15" s="69"/>
      <c r="AQ15" s="69"/>
      <c r="AR15" s="69"/>
      <c r="AS15" s="69"/>
      <c r="AT15" s="69"/>
      <c r="AU15" s="69"/>
      <c r="AV15" s="69" t="s">
        <v>314</v>
      </c>
      <c r="AW15" s="69"/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/>
      <c r="BN15" s="69"/>
    </row>
    <row r="16" spans="1:66" x14ac:dyDescent="0.2">
      <c r="A16" s="61" t="s">
        <v>3</v>
      </c>
      <c r="B16" s="68" t="s">
        <v>159</v>
      </c>
      <c r="C16" s="66">
        <v>10.5</v>
      </c>
      <c r="D16" s="64">
        <v>52</v>
      </c>
      <c r="E16" s="64">
        <f>IF(ISBLANK($D16),"0",IF(($D16-$D15)&gt;($C16-$C15),1,0))</f>
        <v>1</v>
      </c>
      <c r="F16" s="64">
        <f t="shared" ca="1" si="1"/>
        <v>43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/>
      <c r="M16" s="70" t="s">
        <v>314</v>
      </c>
      <c r="N16" s="70" t="s">
        <v>314</v>
      </c>
      <c r="O16" s="70" t="s">
        <v>314</v>
      </c>
      <c r="P16" s="70" t="s">
        <v>314</v>
      </c>
      <c r="Q16" s="70"/>
      <c r="R16" s="70"/>
      <c r="S16" s="70" t="s">
        <v>314</v>
      </c>
      <c r="T16" s="70" t="s">
        <v>314</v>
      </c>
      <c r="U16" s="70" t="s">
        <v>314</v>
      </c>
      <c r="V16" s="70" t="s">
        <v>314</v>
      </c>
      <c r="W16" s="70" t="s">
        <v>314</v>
      </c>
      <c r="X16" s="70"/>
      <c r="Y16" s="70" t="s">
        <v>314</v>
      </c>
      <c r="Z16" s="70" t="s">
        <v>314</v>
      </c>
      <c r="AA16" s="70" t="s">
        <v>314</v>
      </c>
      <c r="AB16" s="70" t="s">
        <v>314</v>
      </c>
      <c r="AC16" s="70" t="s">
        <v>314</v>
      </c>
      <c r="AD16" s="70" t="s">
        <v>314</v>
      </c>
      <c r="AE16" s="70" t="s">
        <v>314</v>
      </c>
      <c r="AF16" s="70" t="s">
        <v>314</v>
      </c>
      <c r="AG16" s="70" t="s">
        <v>314</v>
      </c>
      <c r="AH16" s="70"/>
      <c r="AI16" s="70"/>
      <c r="AJ16" s="70" t="s">
        <v>314</v>
      </c>
      <c r="AK16" s="70" t="s">
        <v>314</v>
      </c>
      <c r="AL16" s="70" t="s">
        <v>314</v>
      </c>
      <c r="AM16" s="70"/>
      <c r="AN16" s="70" t="s">
        <v>314</v>
      </c>
      <c r="AO16" s="70"/>
      <c r="AP16" s="70" t="s">
        <v>314</v>
      </c>
      <c r="AQ16" s="70" t="s">
        <v>314</v>
      </c>
      <c r="AR16" s="97" t="s">
        <v>314</v>
      </c>
      <c r="AS16" s="70" t="s">
        <v>314</v>
      </c>
      <c r="AT16" s="70" t="s">
        <v>314</v>
      </c>
      <c r="AU16" s="70" t="s">
        <v>314</v>
      </c>
      <c r="AV16" s="70"/>
      <c r="AW16" s="70" t="s">
        <v>314</v>
      </c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 t="s">
        <v>314</v>
      </c>
      <c r="BN16" s="70" t="s">
        <v>314</v>
      </c>
    </row>
    <row r="17" spans="1:66" x14ac:dyDescent="0.2">
      <c r="A17" s="59">
        <v>8</v>
      </c>
      <c r="B17" s="67" t="s">
        <v>156</v>
      </c>
      <c r="C17" s="65">
        <v>7.5</v>
      </c>
      <c r="D17" s="64">
        <v>19</v>
      </c>
      <c r="E17" s="64">
        <f>IF(ISBLANK($D17),"0",IF(($D18-$D17)&lt;($C18-$C17),1,0))</f>
        <v>0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/>
      <c r="S17" s="69" t="s">
        <v>314</v>
      </c>
      <c r="T17" s="69" t="s">
        <v>314</v>
      </c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/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/>
      <c r="AW17" s="69" t="s">
        <v>314</v>
      </c>
      <c r="AX17" s="69"/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/>
    </row>
    <row r="18" spans="1:66" x14ac:dyDescent="0.2">
      <c r="A18" s="61" t="s">
        <v>3</v>
      </c>
      <c r="B18" s="68" t="s">
        <v>152</v>
      </c>
      <c r="C18" s="66"/>
      <c r="D18" s="64">
        <v>13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314</v>
      </c>
      <c r="Z18" s="70"/>
      <c r="AA18" s="70"/>
      <c r="AB18" s="70"/>
      <c r="AC18" s="70" t="s">
        <v>314</v>
      </c>
      <c r="AD18" s="70"/>
      <c r="AE18" s="70" t="s">
        <v>314</v>
      </c>
      <c r="AF18" s="70"/>
      <c r="AG18" s="70"/>
      <c r="AH18" s="70"/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/>
      <c r="AV18" s="70" t="s">
        <v>314</v>
      </c>
      <c r="AW18" s="70"/>
      <c r="AX18" s="70" t="s">
        <v>314</v>
      </c>
      <c r="AY18" s="70"/>
      <c r="AZ18" s="70" t="s">
        <v>314</v>
      </c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 t="s">
        <v>314</v>
      </c>
    </row>
    <row r="19" spans="1:66" x14ac:dyDescent="0.2">
      <c r="A19" s="59">
        <v>9</v>
      </c>
      <c r="B19" s="67" t="s">
        <v>140</v>
      </c>
      <c r="C19" s="65">
        <v>4.5</v>
      </c>
      <c r="D19" s="64">
        <v>47</v>
      </c>
      <c r="E19" s="64">
        <f>IF(ISBLANK($D19),"0",IF(($D20-$D19)&lt;($C20-$C19),1,0))</f>
        <v>0</v>
      </c>
      <c r="F19" s="64">
        <f t="shared" ca="1" si="1"/>
        <v>28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/>
      <c r="S19" s="69" t="s">
        <v>314</v>
      </c>
      <c r="T19" s="69" t="s">
        <v>314</v>
      </c>
      <c r="U19" s="96" t="s">
        <v>314</v>
      </c>
      <c r="V19" s="69"/>
      <c r="W19" s="69" t="s">
        <v>314</v>
      </c>
      <c r="X19" s="69"/>
      <c r="Y19" s="69" t="s">
        <v>314</v>
      </c>
      <c r="Z19" s="69"/>
      <c r="AA19" s="69"/>
      <c r="AB19" s="69"/>
      <c r="AC19" s="69"/>
      <c r="AD19" s="69" t="s">
        <v>314</v>
      </c>
      <c r="AE19" s="69" t="s">
        <v>314</v>
      </c>
      <c r="AF19" s="69"/>
      <c r="AG19" s="69" t="s">
        <v>314</v>
      </c>
      <c r="AH19" s="69"/>
      <c r="AI19" s="69"/>
      <c r="AJ19" s="69" t="s">
        <v>314</v>
      </c>
      <c r="AK19" s="69" t="s">
        <v>314</v>
      </c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/>
      <c r="AS19" s="69" t="s">
        <v>314</v>
      </c>
      <c r="AT19" s="69" t="s">
        <v>314</v>
      </c>
      <c r="AU19" s="69" t="s">
        <v>314</v>
      </c>
      <c r="AV19" s="69"/>
      <c r="AW19" s="69"/>
      <c r="AX19" s="69"/>
      <c r="AY19" s="69" t="s">
        <v>314</v>
      </c>
      <c r="AZ19" s="69"/>
      <c r="BA19" s="69"/>
      <c r="BB19" s="69"/>
      <c r="BC19" s="69" t="s">
        <v>314</v>
      </c>
      <c r="BD19" s="69" t="s">
        <v>314</v>
      </c>
      <c r="BE19" s="69" t="s">
        <v>314</v>
      </c>
      <c r="BF19" s="69" t="s">
        <v>314</v>
      </c>
      <c r="BG19" s="69"/>
      <c r="BH19" s="69"/>
      <c r="BI19" s="69"/>
      <c r="BJ19" s="69" t="s">
        <v>314</v>
      </c>
      <c r="BK19" s="69"/>
      <c r="BL19" s="69" t="s">
        <v>314</v>
      </c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187</v>
      </c>
      <c r="C20" s="66"/>
      <c r="D20" s="64">
        <v>50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/>
      <c r="M20" s="70"/>
      <c r="N20" s="70" t="s">
        <v>314</v>
      </c>
      <c r="O20" s="70"/>
      <c r="P20" s="70"/>
      <c r="Q20" s="70" t="s">
        <v>314</v>
      </c>
      <c r="R20" s="70"/>
      <c r="S20" s="70"/>
      <c r="T20" s="70"/>
      <c r="U20" s="70"/>
      <c r="V20" s="70" t="s">
        <v>314</v>
      </c>
      <c r="W20" s="70"/>
      <c r="X20" s="70" t="s">
        <v>314</v>
      </c>
      <c r="Y20" s="70"/>
      <c r="Z20" s="70" t="s">
        <v>314</v>
      </c>
      <c r="AA20" s="70" t="s">
        <v>314</v>
      </c>
      <c r="AB20" s="70" t="s">
        <v>314</v>
      </c>
      <c r="AC20" s="70" t="s">
        <v>314</v>
      </c>
      <c r="AD20" s="70"/>
      <c r="AE20" s="70"/>
      <c r="AF20" s="70" t="s">
        <v>314</v>
      </c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 t="s">
        <v>314</v>
      </c>
      <c r="AQ20" s="70"/>
      <c r="AR20" s="97" t="s">
        <v>314</v>
      </c>
      <c r="AS20" s="70"/>
      <c r="AT20" s="70"/>
      <c r="AU20" s="70"/>
      <c r="AV20" s="70" t="s">
        <v>314</v>
      </c>
      <c r="AW20" s="70" t="s">
        <v>314</v>
      </c>
      <c r="AX20" s="70" t="s">
        <v>314</v>
      </c>
      <c r="AY20" s="70"/>
      <c r="AZ20" s="70" t="s">
        <v>314</v>
      </c>
      <c r="BA20" s="70" t="s">
        <v>314</v>
      </c>
      <c r="BB20" s="70" t="s">
        <v>314</v>
      </c>
      <c r="BC20" s="70"/>
      <c r="BD20" s="70"/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 t="s">
        <v>314</v>
      </c>
      <c r="BL20" s="70"/>
      <c r="BM20" s="70"/>
      <c r="BN20" s="70"/>
    </row>
    <row r="21" spans="1:66" x14ac:dyDescent="0.2">
      <c r="A21" s="59">
        <v>10</v>
      </c>
      <c r="B21" s="67" t="s">
        <v>248</v>
      </c>
      <c r="C21" s="65"/>
      <c r="D21" s="64">
        <v>34</v>
      </c>
      <c r="E21" s="64">
        <f>IF(ISBLANK($D21),"0",IF(($D22-$D21)&lt;($C22-$C21),1,0))</f>
        <v>0</v>
      </c>
      <c r="F21" s="64">
        <f t="shared" ca="1" si="1"/>
        <v>16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314</v>
      </c>
      <c r="L21" s="69"/>
      <c r="M21" s="69"/>
      <c r="N21" s="69"/>
      <c r="O21" s="69"/>
      <c r="P21" s="69"/>
      <c r="Q21" s="69"/>
      <c r="R21" s="69"/>
      <c r="S21" s="69" t="s">
        <v>314</v>
      </c>
      <c r="T21" s="69"/>
      <c r="U21" s="96"/>
      <c r="V21" s="69"/>
      <c r="W21" s="69"/>
      <c r="X21" s="69"/>
      <c r="Y21" s="69"/>
      <c r="Z21" s="69"/>
      <c r="AA21" s="69"/>
      <c r="AB21" s="69" t="s">
        <v>314</v>
      </c>
      <c r="AC21" s="69" t="s">
        <v>314</v>
      </c>
      <c r="AD21" s="69"/>
      <c r="AE21" s="69" t="s">
        <v>314</v>
      </c>
      <c r="AF21" s="69"/>
      <c r="AG21" s="69"/>
      <c r="AH21" s="69"/>
      <c r="AI21" s="69" t="s">
        <v>314</v>
      </c>
      <c r="AJ21" s="69"/>
      <c r="AK21" s="69"/>
      <c r="AL21" s="69"/>
      <c r="AM21" s="69"/>
      <c r="AN21" s="69" t="s">
        <v>314</v>
      </c>
      <c r="AO21" s="69"/>
      <c r="AP21" s="69"/>
      <c r="AQ21" s="69"/>
      <c r="AR21" s="96" t="s">
        <v>314</v>
      </c>
      <c r="AS21" s="69"/>
      <c r="AT21" s="69" t="s">
        <v>314</v>
      </c>
      <c r="AU21" s="69"/>
      <c r="AV21" s="69"/>
      <c r="AW21" s="69" t="s">
        <v>314</v>
      </c>
      <c r="AX21" s="69"/>
      <c r="AY21" s="69" t="s">
        <v>314</v>
      </c>
      <c r="AZ21" s="69"/>
      <c r="BA21" s="69" t="s">
        <v>314</v>
      </c>
      <c r="BB21" s="69"/>
      <c r="BC21" s="69" t="s">
        <v>314</v>
      </c>
      <c r="BD21" s="69"/>
      <c r="BE21" s="96" t="s">
        <v>314</v>
      </c>
      <c r="BF21" s="69"/>
      <c r="BG21" s="69" t="s">
        <v>314</v>
      </c>
      <c r="BH21" s="69"/>
      <c r="BI21" s="69"/>
      <c r="BJ21" s="69"/>
      <c r="BK21" s="69" t="s">
        <v>314</v>
      </c>
      <c r="BL21" s="69"/>
      <c r="BM21" s="69"/>
      <c r="BN21" s="69"/>
    </row>
    <row r="22" spans="1:66" x14ac:dyDescent="0.2">
      <c r="A22" s="61" t="s">
        <v>3</v>
      </c>
      <c r="B22" s="68" t="s">
        <v>155</v>
      </c>
      <c r="C22" s="66">
        <v>3.5</v>
      </c>
      <c r="D22" s="64">
        <v>45</v>
      </c>
      <c r="E22" s="64">
        <f>IF(ISBLANK($D22),"0",IF(($D22-$D21)&gt;($C22-$C21),1,0))</f>
        <v>1</v>
      </c>
      <c r="F22" s="64">
        <f t="shared" ca="1" si="1"/>
        <v>38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/>
      <c r="M22" s="70" t="s">
        <v>314</v>
      </c>
      <c r="N22" s="70" t="s">
        <v>314</v>
      </c>
      <c r="O22" s="70" t="s">
        <v>314</v>
      </c>
      <c r="P22" s="70" t="s">
        <v>314</v>
      </c>
      <c r="Q22" s="70" t="s">
        <v>314</v>
      </c>
      <c r="R22" s="70"/>
      <c r="S22" s="70"/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 t="s">
        <v>314</v>
      </c>
      <c r="Z22" s="70" t="s">
        <v>314</v>
      </c>
      <c r="AA22" s="70" t="s">
        <v>314</v>
      </c>
      <c r="AB22" s="70"/>
      <c r="AC22" s="70"/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 t="s">
        <v>314</v>
      </c>
      <c r="AQ22" s="70" t="s">
        <v>314</v>
      </c>
      <c r="AR22" s="70"/>
      <c r="AS22" s="70" t="s">
        <v>314</v>
      </c>
      <c r="AT22" s="70"/>
      <c r="AU22" s="70" t="s">
        <v>314</v>
      </c>
      <c r="AV22" s="70" t="s">
        <v>314</v>
      </c>
      <c r="AW22" s="70"/>
      <c r="AX22" s="70" t="s">
        <v>314</v>
      </c>
      <c r="AY22" s="70"/>
      <c r="AZ22" s="70" t="s">
        <v>314</v>
      </c>
      <c r="BA22" s="70"/>
      <c r="BB22" s="70" t="s">
        <v>314</v>
      </c>
      <c r="BC22" s="70"/>
      <c r="BD22" s="70" t="s">
        <v>314</v>
      </c>
      <c r="BE22" s="70"/>
      <c r="BF22" s="70" t="s">
        <v>314</v>
      </c>
      <c r="BG22" s="70"/>
      <c r="BH22" s="70" t="s">
        <v>314</v>
      </c>
      <c r="BI22" s="70" t="s">
        <v>314</v>
      </c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 x14ac:dyDescent="0.2">
      <c r="A23" s="59"/>
      <c r="B23" s="67" t="str">
        <f>B21&amp; " - score"</f>
        <v>Mississippi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/>
      <c r="M23" s="78">
        <v>21</v>
      </c>
      <c r="N23" s="80">
        <v>20</v>
      </c>
      <c r="O23" s="78">
        <v>17</v>
      </c>
      <c r="P23" s="78">
        <v>21</v>
      </c>
      <c r="Q23" s="78">
        <v>28</v>
      </c>
      <c r="R23" s="78"/>
      <c r="S23" s="78">
        <v>35</v>
      </c>
      <c r="T23" s="78">
        <v>17</v>
      </c>
      <c r="U23" s="78">
        <v>21</v>
      </c>
      <c r="V23" s="78">
        <v>14</v>
      </c>
      <c r="W23" s="78">
        <v>17</v>
      </c>
      <c r="X23" s="78">
        <v>10</v>
      </c>
      <c r="Y23" s="78">
        <v>21</v>
      </c>
      <c r="Z23" s="78">
        <v>17</v>
      </c>
      <c r="AA23" s="78">
        <v>17</v>
      </c>
      <c r="AB23" s="78">
        <v>45</v>
      </c>
      <c r="AC23" s="78">
        <v>33</v>
      </c>
      <c r="AD23" s="78">
        <v>41</v>
      </c>
      <c r="AE23" s="78">
        <v>44</v>
      </c>
      <c r="AF23" s="78">
        <v>27</v>
      </c>
      <c r="AG23" s="78">
        <v>24</v>
      </c>
      <c r="AH23" s="78">
        <v>24</v>
      </c>
      <c r="AI23" s="78">
        <v>30</v>
      </c>
      <c r="AJ23" s="78">
        <v>17</v>
      </c>
      <c r="AK23" s="78">
        <v>23</v>
      </c>
      <c r="AL23" s="78">
        <v>28</v>
      </c>
      <c r="AM23" s="78">
        <v>24</v>
      </c>
      <c r="AN23" s="78">
        <v>31</v>
      </c>
      <c r="AO23" s="78">
        <v>17</v>
      </c>
      <c r="AP23" s="78">
        <v>13</v>
      </c>
      <c r="AQ23" s="78">
        <v>16</v>
      </c>
      <c r="AR23" s="78">
        <v>27</v>
      </c>
      <c r="AS23" s="78">
        <v>24</v>
      </c>
      <c r="AT23" s="78">
        <v>30</v>
      </c>
      <c r="AU23" s="78">
        <v>7</v>
      </c>
      <c r="AV23" s="78">
        <v>21</v>
      </c>
      <c r="AW23" s="78">
        <v>24</v>
      </c>
      <c r="AX23" s="78">
        <v>23</v>
      </c>
      <c r="AY23" s="78">
        <v>31</v>
      </c>
      <c r="AZ23" s="78">
        <v>24</v>
      </c>
      <c r="BA23" s="78">
        <v>21</v>
      </c>
      <c r="BB23" s="78">
        <v>17</v>
      </c>
      <c r="BC23" s="78">
        <v>14</v>
      </c>
      <c r="BD23" s="78">
        <v>27</v>
      </c>
      <c r="BE23" s="78">
        <v>38</v>
      </c>
      <c r="BF23" s="78">
        <v>41</v>
      </c>
      <c r="BG23" s="78">
        <v>28</v>
      </c>
      <c r="BH23" s="78">
        <v>23</v>
      </c>
      <c r="BI23" s="78">
        <v>21</v>
      </c>
      <c r="BJ23" s="78">
        <v>31</v>
      </c>
      <c r="BK23" s="78">
        <v>28</v>
      </c>
      <c r="BL23" s="78">
        <v>38</v>
      </c>
      <c r="BM23" s="78">
        <v>20</v>
      </c>
      <c r="BN23" s="78">
        <v>14</v>
      </c>
    </row>
    <row r="24" spans="1:66" x14ac:dyDescent="0.2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30</v>
      </c>
      <c r="G24" s="61"/>
      <c r="H24" s="62"/>
      <c r="I24" s="63"/>
      <c r="J24" s="79"/>
      <c r="K24" s="79">
        <v>21</v>
      </c>
      <c r="L24" s="79"/>
      <c r="M24" s="79">
        <v>35</v>
      </c>
      <c r="N24" s="79">
        <v>38</v>
      </c>
      <c r="O24" s="79">
        <v>31</v>
      </c>
      <c r="P24" s="79">
        <v>35</v>
      </c>
      <c r="Q24" s="79">
        <v>35</v>
      </c>
      <c r="R24" s="79"/>
      <c r="S24" s="79">
        <v>32</v>
      </c>
      <c r="T24" s="79">
        <v>38</v>
      </c>
      <c r="U24" s="79">
        <v>35</v>
      </c>
      <c r="V24" s="79">
        <v>21</v>
      </c>
      <c r="W24" s="79">
        <v>23</v>
      </c>
      <c r="X24" s="79">
        <v>35</v>
      </c>
      <c r="Y24" s="79">
        <v>35</v>
      </c>
      <c r="Z24" s="79">
        <v>24</v>
      </c>
      <c r="AA24" s="79">
        <v>28</v>
      </c>
      <c r="AB24" s="79">
        <v>42</v>
      </c>
      <c r="AC24" s="79">
        <v>21</v>
      </c>
      <c r="AD24" s="79">
        <v>45</v>
      </c>
      <c r="AE24" s="79">
        <v>35</v>
      </c>
      <c r="AF24" s="79">
        <v>31</v>
      </c>
      <c r="AG24" s="79">
        <v>31</v>
      </c>
      <c r="AH24" s="79">
        <v>33</v>
      </c>
      <c r="AI24" s="79">
        <v>23</v>
      </c>
      <c r="AJ24" s="79">
        <v>27</v>
      </c>
      <c r="AK24" s="79">
        <v>30</v>
      </c>
      <c r="AL24" s="79">
        <v>35</v>
      </c>
      <c r="AM24" s="79">
        <v>28</v>
      </c>
      <c r="AN24" s="79">
        <v>28</v>
      </c>
      <c r="AO24" s="79">
        <v>34</v>
      </c>
      <c r="AP24" s="79">
        <v>21</v>
      </c>
      <c r="AQ24" s="79">
        <v>24</v>
      </c>
      <c r="AR24" s="79">
        <v>30</v>
      </c>
      <c r="AS24" s="79">
        <v>38</v>
      </c>
      <c r="AT24" s="79">
        <v>31</v>
      </c>
      <c r="AU24" s="79">
        <v>14</v>
      </c>
      <c r="AV24" s="79">
        <v>31</v>
      </c>
      <c r="AW24" s="79">
        <v>21</v>
      </c>
      <c r="AX24" s="79">
        <v>41</v>
      </c>
      <c r="AY24" s="79">
        <v>20</v>
      </c>
      <c r="AZ24" s="79">
        <v>30</v>
      </c>
      <c r="BA24" s="79">
        <v>14</v>
      </c>
      <c r="BB24" s="79">
        <v>35</v>
      </c>
      <c r="BC24" s="79">
        <v>10</v>
      </c>
      <c r="BD24" s="79">
        <v>35</v>
      </c>
      <c r="BE24" s="79">
        <v>31</v>
      </c>
      <c r="BF24" s="79">
        <v>48</v>
      </c>
      <c r="BG24" s="79">
        <v>18</v>
      </c>
      <c r="BH24" s="79">
        <v>34</v>
      </c>
      <c r="BI24" s="79">
        <v>28</v>
      </c>
      <c r="BJ24" s="79">
        <v>38</v>
      </c>
      <c r="BK24" s="79">
        <v>31</v>
      </c>
      <c r="BL24" s="79">
        <v>45</v>
      </c>
      <c r="BM24" s="79">
        <v>27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0</v>
      </c>
      <c r="S25" s="36">
        <f t="shared" si="3"/>
        <v>3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5</v>
      </c>
      <c r="X25" s="36">
        <f t="shared" si="3"/>
        <v>3</v>
      </c>
      <c r="Y25" s="36">
        <f t="shared" si="3"/>
        <v>4</v>
      </c>
      <c r="Z25" s="36">
        <f t="shared" si="3"/>
        <v>7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6</v>
      </c>
      <c r="AE25" s="36">
        <f t="shared" si="3"/>
        <v>6</v>
      </c>
      <c r="AF25" s="36">
        <f t="shared" si="3"/>
        <v>4</v>
      </c>
      <c r="AG25" s="36">
        <f t="shared" si="3"/>
        <v>5</v>
      </c>
      <c r="AH25" s="36">
        <f t="shared" si="3"/>
        <v>6</v>
      </c>
      <c r="AI25" s="36">
        <f t="shared" si="3"/>
        <v>4</v>
      </c>
      <c r="AJ25" s="36">
        <f t="shared" si="3"/>
        <v>5</v>
      </c>
      <c r="AK25" s="36">
        <f t="shared" si="3"/>
        <v>7</v>
      </c>
      <c r="AL25" s="36">
        <f t="shared" si="3"/>
        <v>5</v>
      </c>
      <c r="AM25" s="36">
        <f t="shared" si="3"/>
        <v>2</v>
      </c>
      <c r="AN25" s="36">
        <f t="shared" si="3"/>
        <v>4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9</v>
      </c>
      <c r="AT25" s="36">
        <f t="shared" si="3"/>
        <v>4</v>
      </c>
      <c r="AU25" s="36">
        <f t="shared" si="3"/>
        <v>4</v>
      </c>
      <c r="AV25" s="36">
        <f t="shared" si="3"/>
        <v>5</v>
      </c>
      <c r="AW25" s="36">
        <f t="shared" si="3"/>
        <v>4</v>
      </c>
      <c r="AX25" s="36">
        <f t="shared" si="3"/>
        <v>8</v>
      </c>
      <c r="AY25" s="36">
        <f t="shared" si="3"/>
        <v>6</v>
      </c>
      <c r="AZ25" s="36">
        <f t="shared" si="3"/>
        <v>8</v>
      </c>
      <c r="BA25" s="36">
        <f t="shared" si="3"/>
        <v>8</v>
      </c>
      <c r="BB25" s="36">
        <f t="shared" si="3"/>
        <v>5</v>
      </c>
      <c r="BC25" s="36">
        <f t="shared" si="3"/>
        <v>4</v>
      </c>
      <c r="BD25" s="36">
        <f t="shared" si="3"/>
        <v>6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4</v>
      </c>
      <c r="BG25" s="36">
        <f t="shared" si="4"/>
        <v>6</v>
      </c>
      <c r="BH25" s="36">
        <f t="shared" si="4"/>
        <v>6</v>
      </c>
      <c r="BI25" s="36">
        <f t="shared" si="4"/>
        <v>9</v>
      </c>
      <c r="BJ25" s="36">
        <f t="shared" si="4"/>
        <v>3</v>
      </c>
      <c r="BK25" s="36">
        <f t="shared" si="4"/>
        <v>6</v>
      </c>
      <c r="BL25" s="36">
        <f t="shared" si="4"/>
        <v>3</v>
      </c>
      <c r="BM25" s="36">
        <f t="shared" ref="BM25:BN25" si="5"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7</v>
      </c>
      <c r="BN25" s="36">
        <f t="shared" si="5"/>
        <v>7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AP26" si="6">ABS((K23-K24)-($D21-$D22))</f>
        <v>14</v>
      </c>
      <c r="L26" s="71">
        <f t="shared" si="6"/>
        <v>11</v>
      </c>
      <c r="M26" s="71">
        <f t="shared" si="6"/>
        <v>3</v>
      </c>
      <c r="N26" s="71">
        <f t="shared" si="6"/>
        <v>7</v>
      </c>
      <c r="O26" s="71">
        <f t="shared" si="6"/>
        <v>3</v>
      </c>
      <c r="P26" s="71">
        <f t="shared" si="6"/>
        <v>3</v>
      </c>
      <c r="Q26" s="71">
        <f t="shared" si="6"/>
        <v>4</v>
      </c>
      <c r="R26" s="71">
        <f t="shared" si="6"/>
        <v>11</v>
      </c>
      <c r="S26" s="71">
        <f t="shared" si="6"/>
        <v>14</v>
      </c>
      <c r="T26" s="71">
        <f t="shared" si="6"/>
        <v>10</v>
      </c>
      <c r="U26" s="71">
        <f t="shared" si="6"/>
        <v>3</v>
      </c>
      <c r="V26" s="71">
        <f t="shared" si="6"/>
        <v>4</v>
      </c>
      <c r="W26" s="71">
        <f t="shared" si="6"/>
        <v>5</v>
      </c>
      <c r="X26" s="71">
        <f t="shared" si="6"/>
        <v>14</v>
      </c>
      <c r="Y26" s="71">
        <f t="shared" si="6"/>
        <v>3</v>
      </c>
      <c r="Z26" s="71">
        <f t="shared" si="6"/>
        <v>4</v>
      </c>
      <c r="AA26" s="71">
        <f t="shared" si="6"/>
        <v>0</v>
      </c>
      <c r="AB26" s="71">
        <f t="shared" si="6"/>
        <v>14</v>
      </c>
      <c r="AC26" s="71">
        <f t="shared" si="6"/>
        <v>23</v>
      </c>
      <c r="AD26" s="71">
        <f t="shared" si="6"/>
        <v>7</v>
      </c>
      <c r="AE26" s="71">
        <f t="shared" si="6"/>
        <v>20</v>
      </c>
      <c r="AF26" s="71">
        <f t="shared" si="6"/>
        <v>7</v>
      </c>
      <c r="AG26" s="71">
        <f t="shared" si="6"/>
        <v>4</v>
      </c>
      <c r="AH26" s="71">
        <f t="shared" si="6"/>
        <v>2</v>
      </c>
      <c r="AI26" s="71">
        <f t="shared" si="6"/>
        <v>18</v>
      </c>
      <c r="AJ26" s="71">
        <f t="shared" si="6"/>
        <v>1</v>
      </c>
      <c r="AK26" s="71">
        <f t="shared" si="6"/>
        <v>4</v>
      </c>
      <c r="AL26" s="71">
        <f t="shared" si="6"/>
        <v>4</v>
      </c>
      <c r="AM26" s="71">
        <f t="shared" si="6"/>
        <v>7</v>
      </c>
      <c r="AN26" s="71">
        <f t="shared" si="6"/>
        <v>14</v>
      </c>
      <c r="AO26" s="71">
        <f t="shared" si="6"/>
        <v>6</v>
      </c>
      <c r="AP26" s="71">
        <f t="shared" si="6"/>
        <v>3</v>
      </c>
      <c r="AQ26" s="71">
        <f t="shared" ref="AQ26:BN26" si="7">ABS((AQ23-AQ24)-($D21-$D22))</f>
        <v>3</v>
      </c>
      <c r="AR26" s="71">
        <f t="shared" si="7"/>
        <v>8</v>
      </c>
      <c r="AS26" s="71">
        <f t="shared" si="7"/>
        <v>3</v>
      </c>
      <c r="AT26" s="71">
        <f t="shared" si="7"/>
        <v>10</v>
      </c>
      <c r="AU26" s="71">
        <f t="shared" si="7"/>
        <v>4</v>
      </c>
      <c r="AV26" s="71">
        <f t="shared" si="7"/>
        <v>1</v>
      </c>
      <c r="AW26" s="71">
        <f t="shared" si="7"/>
        <v>14</v>
      </c>
      <c r="AX26" s="71">
        <f t="shared" si="7"/>
        <v>7</v>
      </c>
      <c r="AY26" s="71">
        <f t="shared" si="7"/>
        <v>22</v>
      </c>
      <c r="AZ26" s="71">
        <f t="shared" si="7"/>
        <v>5</v>
      </c>
      <c r="BA26" s="71">
        <f t="shared" si="7"/>
        <v>18</v>
      </c>
      <c r="BB26" s="71">
        <f t="shared" si="7"/>
        <v>7</v>
      </c>
      <c r="BC26" s="71">
        <f t="shared" si="7"/>
        <v>15</v>
      </c>
      <c r="BD26" s="71">
        <f t="shared" si="7"/>
        <v>3</v>
      </c>
      <c r="BE26" s="71">
        <f t="shared" si="7"/>
        <v>18</v>
      </c>
      <c r="BF26" s="71">
        <f t="shared" si="7"/>
        <v>4</v>
      </c>
      <c r="BG26" s="71">
        <f t="shared" si="7"/>
        <v>21</v>
      </c>
      <c r="BH26" s="71">
        <f t="shared" si="7"/>
        <v>0</v>
      </c>
      <c r="BI26" s="71">
        <f t="shared" si="7"/>
        <v>4</v>
      </c>
      <c r="BJ26" s="71">
        <f t="shared" si="7"/>
        <v>4</v>
      </c>
      <c r="BK26" s="71">
        <f t="shared" si="7"/>
        <v>8</v>
      </c>
      <c r="BL26" s="71">
        <f t="shared" si="7"/>
        <v>4</v>
      </c>
      <c r="BM26" s="71">
        <f t="shared" si="7"/>
        <v>4</v>
      </c>
      <c r="BN26" s="71">
        <f t="shared" si="7"/>
        <v>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AP27" si="8">ABS(($D21+$D22)-(K23+K24))</f>
        <v>34</v>
      </c>
      <c r="L27" s="71">
        <f t="shared" si="8"/>
        <v>79</v>
      </c>
      <c r="M27" s="71">
        <f t="shared" si="8"/>
        <v>23</v>
      </c>
      <c r="N27" s="71">
        <f t="shared" si="8"/>
        <v>21</v>
      </c>
      <c r="O27" s="71">
        <f t="shared" si="8"/>
        <v>31</v>
      </c>
      <c r="P27" s="71">
        <f t="shared" si="8"/>
        <v>23</v>
      </c>
      <c r="Q27" s="71">
        <f t="shared" si="8"/>
        <v>16</v>
      </c>
      <c r="R27" s="71">
        <f t="shared" si="8"/>
        <v>79</v>
      </c>
      <c r="S27" s="71">
        <f t="shared" si="8"/>
        <v>12</v>
      </c>
      <c r="T27" s="71">
        <f t="shared" si="8"/>
        <v>24</v>
      </c>
      <c r="U27" s="71">
        <f t="shared" si="8"/>
        <v>23</v>
      </c>
      <c r="V27" s="71">
        <f t="shared" si="8"/>
        <v>44</v>
      </c>
      <c r="W27" s="71">
        <f t="shared" si="8"/>
        <v>39</v>
      </c>
      <c r="X27" s="71">
        <f t="shared" si="8"/>
        <v>34</v>
      </c>
      <c r="Y27" s="71">
        <f t="shared" si="8"/>
        <v>23</v>
      </c>
      <c r="Z27" s="71">
        <f t="shared" si="8"/>
        <v>38</v>
      </c>
      <c r="AA27" s="71">
        <f t="shared" si="8"/>
        <v>34</v>
      </c>
      <c r="AB27" s="71">
        <f t="shared" si="8"/>
        <v>8</v>
      </c>
      <c r="AC27" s="71">
        <f t="shared" si="8"/>
        <v>25</v>
      </c>
      <c r="AD27" s="71">
        <f t="shared" si="8"/>
        <v>7</v>
      </c>
      <c r="AE27" s="71">
        <f t="shared" si="8"/>
        <v>0</v>
      </c>
      <c r="AF27" s="71">
        <f t="shared" si="8"/>
        <v>21</v>
      </c>
      <c r="AG27" s="71">
        <f t="shared" si="8"/>
        <v>24</v>
      </c>
      <c r="AH27" s="71">
        <f t="shared" si="8"/>
        <v>22</v>
      </c>
      <c r="AI27" s="71">
        <f t="shared" si="8"/>
        <v>26</v>
      </c>
      <c r="AJ27" s="71">
        <f t="shared" si="8"/>
        <v>35</v>
      </c>
      <c r="AK27" s="71">
        <f t="shared" si="8"/>
        <v>26</v>
      </c>
      <c r="AL27" s="71">
        <f t="shared" si="8"/>
        <v>16</v>
      </c>
      <c r="AM27" s="71">
        <f t="shared" si="8"/>
        <v>27</v>
      </c>
      <c r="AN27" s="71">
        <f t="shared" si="8"/>
        <v>20</v>
      </c>
      <c r="AO27" s="71">
        <f t="shared" si="8"/>
        <v>28</v>
      </c>
      <c r="AP27" s="71">
        <f t="shared" si="8"/>
        <v>45</v>
      </c>
      <c r="AQ27" s="71">
        <f t="shared" ref="AQ27:BN27" si="9">ABS(($D21+$D22)-(AQ23+AQ24))</f>
        <v>39</v>
      </c>
      <c r="AR27" s="71">
        <f t="shared" si="9"/>
        <v>22</v>
      </c>
      <c r="AS27" s="71">
        <f t="shared" si="9"/>
        <v>17</v>
      </c>
      <c r="AT27" s="71">
        <f t="shared" si="9"/>
        <v>18</v>
      </c>
      <c r="AU27" s="71">
        <f t="shared" si="9"/>
        <v>58</v>
      </c>
      <c r="AV27" s="71">
        <f t="shared" si="9"/>
        <v>27</v>
      </c>
      <c r="AW27" s="71">
        <f t="shared" si="9"/>
        <v>34</v>
      </c>
      <c r="AX27" s="71">
        <f t="shared" si="9"/>
        <v>15</v>
      </c>
      <c r="AY27" s="71">
        <f t="shared" si="9"/>
        <v>28</v>
      </c>
      <c r="AZ27" s="71">
        <f t="shared" si="9"/>
        <v>25</v>
      </c>
      <c r="BA27" s="71">
        <f t="shared" si="9"/>
        <v>44</v>
      </c>
      <c r="BB27" s="71">
        <f t="shared" si="9"/>
        <v>27</v>
      </c>
      <c r="BC27" s="71">
        <f t="shared" si="9"/>
        <v>55</v>
      </c>
      <c r="BD27" s="71">
        <f t="shared" si="9"/>
        <v>17</v>
      </c>
      <c r="BE27" s="71">
        <f t="shared" si="9"/>
        <v>10</v>
      </c>
      <c r="BF27" s="71">
        <f t="shared" si="9"/>
        <v>10</v>
      </c>
      <c r="BG27" s="71">
        <f t="shared" si="9"/>
        <v>33</v>
      </c>
      <c r="BH27" s="71">
        <f t="shared" si="9"/>
        <v>22</v>
      </c>
      <c r="BI27" s="71">
        <f t="shared" si="9"/>
        <v>30</v>
      </c>
      <c r="BJ27" s="71">
        <f t="shared" si="9"/>
        <v>10</v>
      </c>
      <c r="BK27" s="71">
        <f t="shared" si="9"/>
        <v>20</v>
      </c>
      <c r="BL27" s="71">
        <f t="shared" si="9"/>
        <v>4</v>
      </c>
      <c r="BM27" s="71">
        <f t="shared" si="9"/>
        <v>32</v>
      </c>
      <c r="BN27" s="71">
        <f t="shared" si="9"/>
        <v>37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AP28" ca="1" si="10">IF(COUNTA($D$3:$D$22)&lt;2,"",IF(K36=MAX(INDIRECT("R36C11:R36C"&amp;11+playercnt-1,FALSE)),1,""))</f>
        <v/>
      </c>
      <c r="L28" s="72" t="str">
        <f t="shared" ca="1" si="10"/>
        <v/>
      </c>
      <c r="M28" s="72" t="str">
        <f t="shared" ca="1" si="10"/>
        <v/>
      </c>
      <c r="N28" s="72" t="str">
        <f t="shared" ca="1" si="10"/>
        <v/>
      </c>
      <c r="O28" s="72" t="str">
        <f t="shared" ca="1" si="10"/>
        <v/>
      </c>
      <c r="P28" s="72" t="str">
        <f t="shared" ca="1" si="10"/>
        <v/>
      </c>
      <c r="Q28" s="72" t="str">
        <f t="shared" ca="1" si="10"/>
        <v/>
      </c>
      <c r="R28" s="72" t="str">
        <f t="shared" ca="1" si="10"/>
        <v/>
      </c>
      <c r="S28" s="72" t="str">
        <f t="shared" ca="1" si="10"/>
        <v/>
      </c>
      <c r="T28" s="72" t="str">
        <f t="shared" ca="1" si="10"/>
        <v/>
      </c>
      <c r="U28" s="72" t="str">
        <f t="shared" ca="1" si="10"/>
        <v/>
      </c>
      <c r="V28" s="72" t="str">
        <f t="shared" ca="1" si="10"/>
        <v/>
      </c>
      <c r="W28" s="72" t="str">
        <f t="shared" ca="1" si="10"/>
        <v/>
      </c>
      <c r="X28" s="72" t="str">
        <f t="shared" ca="1" si="10"/>
        <v/>
      </c>
      <c r="Y28" s="72" t="str">
        <f t="shared" ca="1" si="10"/>
        <v/>
      </c>
      <c r="Z28" s="72" t="str">
        <f t="shared" ca="1" si="10"/>
        <v/>
      </c>
      <c r="AA28" s="72" t="str">
        <f t="shared" ca="1" si="10"/>
        <v/>
      </c>
      <c r="AB28" s="72" t="str">
        <f t="shared" ca="1" si="10"/>
        <v/>
      </c>
      <c r="AC28" s="72" t="str">
        <f t="shared" ca="1" si="10"/>
        <v/>
      </c>
      <c r="AD28" s="72" t="str">
        <f t="shared" ca="1" si="10"/>
        <v/>
      </c>
      <c r="AE28" s="72" t="str">
        <f t="shared" ca="1" si="10"/>
        <v/>
      </c>
      <c r="AF28" s="72" t="str">
        <f t="shared" ca="1" si="10"/>
        <v/>
      </c>
      <c r="AG28" s="72" t="str">
        <f t="shared" ca="1" si="10"/>
        <v/>
      </c>
      <c r="AH28" s="72" t="str">
        <f t="shared" ca="1" si="10"/>
        <v/>
      </c>
      <c r="AI28" s="72" t="str">
        <f t="shared" ca="1" si="10"/>
        <v/>
      </c>
      <c r="AJ28" s="72" t="str">
        <f t="shared" ca="1" si="10"/>
        <v/>
      </c>
      <c r="AK28" s="72" t="str">
        <f t="shared" ca="1" si="10"/>
        <v/>
      </c>
      <c r="AL28" s="72" t="str">
        <f t="shared" ca="1" si="10"/>
        <v/>
      </c>
      <c r="AM28" s="72" t="str">
        <f t="shared" ca="1" si="10"/>
        <v/>
      </c>
      <c r="AN28" s="72" t="str">
        <f t="shared" ca="1" si="10"/>
        <v/>
      </c>
      <c r="AO28" s="72" t="str">
        <f t="shared" ca="1" si="10"/>
        <v/>
      </c>
      <c r="AP28" s="72" t="str">
        <f t="shared" ca="1" si="10"/>
        <v/>
      </c>
      <c r="AQ28" s="72" t="str">
        <f t="shared" ref="AQ28:BN28" ca="1" si="11">IF(COUNTA($D$3:$D$22)&lt;2,"",IF(AQ36=MAX(INDIRECT("R36C11:R36C"&amp;11+playercnt-1,FALSE)),1,""))</f>
        <v/>
      </c>
      <c r="AR28" s="72" t="str">
        <f t="shared" ca="1" si="11"/>
        <v/>
      </c>
      <c r="AS28" s="72">
        <f t="shared" ca="1" si="11"/>
        <v>1</v>
      </c>
      <c r="AT28" s="72" t="str">
        <f t="shared" ca="1" si="11"/>
        <v/>
      </c>
      <c r="AU28" s="72" t="str">
        <f t="shared" ca="1" si="11"/>
        <v/>
      </c>
      <c r="AV28" s="72" t="str">
        <f t="shared" ca="1" si="11"/>
        <v/>
      </c>
      <c r="AW28" s="72" t="str">
        <f t="shared" ca="1" si="11"/>
        <v/>
      </c>
      <c r="AX28" s="72" t="str">
        <f t="shared" ca="1" si="11"/>
        <v/>
      </c>
      <c r="AY28" s="72" t="str">
        <f t="shared" ca="1" si="11"/>
        <v/>
      </c>
      <c r="AZ28" s="72" t="str">
        <f t="shared" ca="1" si="11"/>
        <v/>
      </c>
      <c r="BA28" s="72" t="str">
        <f t="shared" ca="1" si="11"/>
        <v/>
      </c>
      <c r="BB28" s="72" t="str">
        <f t="shared" ca="1" si="11"/>
        <v/>
      </c>
      <c r="BC28" s="72" t="str">
        <f t="shared" ca="1" si="11"/>
        <v/>
      </c>
      <c r="BD28" s="72" t="str">
        <f t="shared" ca="1" si="11"/>
        <v/>
      </c>
      <c r="BE28" s="72" t="str">
        <f t="shared" ca="1" si="11"/>
        <v/>
      </c>
      <c r="BF28" s="72" t="str">
        <f t="shared" ca="1" si="11"/>
        <v/>
      </c>
      <c r="BG28" s="72" t="str">
        <f t="shared" ca="1" si="11"/>
        <v/>
      </c>
      <c r="BH28" s="72" t="str">
        <f t="shared" ca="1" si="11"/>
        <v/>
      </c>
      <c r="BI28" s="72" t="str">
        <f t="shared" ca="1" si="11"/>
        <v/>
      </c>
      <c r="BJ28" s="72" t="str">
        <f t="shared" ca="1" si="11"/>
        <v/>
      </c>
      <c r="BK28" s="72" t="str">
        <f t="shared" ca="1" si="11"/>
        <v/>
      </c>
      <c r="BL28" s="72" t="str">
        <f t="shared" ca="1" si="11"/>
        <v/>
      </c>
      <c r="BM28" s="72" t="str">
        <f t="shared" ca="1" si="11"/>
        <v/>
      </c>
      <c r="BN28" s="72" t="str">
        <f t="shared" ca="1" si="11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12">COUNTA(L$3,L$5,L$7,L$9,L$11,L$13,L$15,L$17,L$19,L$21)</f>
        <v>0</v>
      </c>
      <c r="M29" s="71">
        <f t="shared" si="12"/>
        <v>6</v>
      </c>
      <c r="N29" s="71">
        <f t="shared" si="12"/>
        <v>5</v>
      </c>
      <c r="O29" s="71">
        <f t="shared" si="12"/>
        <v>7</v>
      </c>
      <c r="P29" s="71">
        <f t="shared" si="12"/>
        <v>5</v>
      </c>
      <c r="Q29" s="71">
        <f t="shared" si="12"/>
        <v>6</v>
      </c>
      <c r="R29" s="71">
        <f t="shared" si="12"/>
        <v>0</v>
      </c>
      <c r="S29" s="71">
        <f t="shared" si="12"/>
        <v>7</v>
      </c>
      <c r="T29" s="71">
        <f t="shared" si="12"/>
        <v>6</v>
      </c>
      <c r="U29" s="71">
        <f t="shared" si="12"/>
        <v>6</v>
      </c>
      <c r="V29" s="71">
        <f t="shared" si="12"/>
        <v>2</v>
      </c>
      <c r="W29" s="71">
        <f t="shared" si="12"/>
        <v>5</v>
      </c>
      <c r="X29" s="71">
        <f t="shared" si="12"/>
        <v>7</v>
      </c>
      <c r="Y29" s="71">
        <f t="shared" si="12"/>
        <v>4</v>
      </c>
      <c r="Z29" s="71">
        <f t="shared" si="12"/>
        <v>5</v>
      </c>
      <c r="AA29" s="71">
        <f t="shared" si="12"/>
        <v>5</v>
      </c>
      <c r="AB29" s="71">
        <f t="shared" si="12"/>
        <v>6</v>
      </c>
      <c r="AC29" s="71">
        <f t="shared" si="12"/>
        <v>4</v>
      </c>
      <c r="AD29" s="71">
        <f t="shared" si="12"/>
        <v>4</v>
      </c>
      <c r="AE29" s="71">
        <f t="shared" si="12"/>
        <v>6</v>
      </c>
      <c r="AF29" s="71">
        <f t="shared" si="12"/>
        <v>4</v>
      </c>
      <c r="AG29" s="71">
        <f t="shared" si="12"/>
        <v>5</v>
      </c>
      <c r="AH29" s="71">
        <f t="shared" si="12"/>
        <v>6</v>
      </c>
      <c r="AI29" s="71">
        <f t="shared" si="12"/>
        <v>6</v>
      </c>
      <c r="AJ29" s="71">
        <f t="shared" si="12"/>
        <v>7</v>
      </c>
      <c r="AK29" s="71">
        <f t="shared" si="12"/>
        <v>5</v>
      </c>
      <c r="AL29" s="71">
        <f t="shared" si="12"/>
        <v>5</v>
      </c>
      <c r="AM29" s="71">
        <f t="shared" si="12"/>
        <v>8</v>
      </c>
      <c r="AN29" s="71">
        <f t="shared" si="12"/>
        <v>8</v>
      </c>
      <c r="AO29" s="71">
        <f t="shared" si="12"/>
        <v>5</v>
      </c>
      <c r="AP29" s="71">
        <f t="shared" si="12"/>
        <v>4</v>
      </c>
      <c r="AQ29" s="71">
        <f t="shared" si="12"/>
        <v>7</v>
      </c>
      <c r="AR29" s="71">
        <f t="shared" si="12"/>
        <v>7</v>
      </c>
      <c r="AS29" s="71">
        <f t="shared" si="12"/>
        <v>3</v>
      </c>
      <c r="AT29" s="71">
        <f t="shared" si="12"/>
        <v>6</v>
      </c>
      <c r="AU29" s="71">
        <f t="shared" si="12"/>
        <v>6</v>
      </c>
      <c r="AV29" s="71">
        <f t="shared" si="12"/>
        <v>7</v>
      </c>
      <c r="AW29" s="71">
        <f t="shared" si="12"/>
        <v>8</v>
      </c>
      <c r="AX29" s="71">
        <f t="shared" si="12"/>
        <v>4</v>
      </c>
      <c r="AY29" s="71">
        <f t="shared" si="12"/>
        <v>6</v>
      </c>
      <c r="AZ29" s="71">
        <f t="shared" si="12"/>
        <v>4</v>
      </c>
      <c r="BA29" s="71">
        <f t="shared" si="12"/>
        <v>4</v>
      </c>
      <c r="BB29" s="71">
        <f t="shared" si="12"/>
        <v>7</v>
      </c>
      <c r="BC29" s="71">
        <f t="shared" si="12"/>
        <v>8</v>
      </c>
      <c r="BD29" s="71">
        <f t="shared" si="12"/>
        <v>4</v>
      </c>
      <c r="BE29" s="71">
        <f t="shared" si="12"/>
        <v>9</v>
      </c>
      <c r="BF29" s="71">
        <f t="shared" si="12"/>
        <v>8</v>
      </c>
      <c r="BG29" s="71">
        <f t="shared" si="12"/>
        <v>4</v>
      </c>
      <c r="BH29" s="71">
        <f t="shared" si="12"/>
        <v>2</v>
      </c>
      <c r="BI29" s="71">
        <f t="shared" si="12"/>
        <v>3</v>
      </c>
      <c r="BJ29" s="71">
        <f t="shared" si="12"/>
        <v>7</v>
      </c>
      <c r="BK29" s="71">
        <f t="shared" si="12"/>
        <v>4</v>
      </c>
      <c r="BL29" s="71">
        <f t="shared" si="12"/>
        <v>9</v>
      </c>
      <c r="BM29" s="71">
        <f t="shared" si="12"/>
        <v>5</v>
      </c>
      <c r="BN29" s="71">
        <f t="shared" si="12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13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13"/>
        <v>2</v>
      </c>
      <c r="N30" s="73">
        <f t="shared" si="13"/>
        <v>3</v>
      </c>
      <c r="O30" s="73">
        <f t="shared" si="13"/>
        <v>1</v>
      </c>
      <c r="P30" s="73">
        <f t="shared" si="13"/>
        <v>1</v>
      </c>
      <c r="Q30" s="73">
        <f t="shared" si="13"/>
        <v>4</v>
      </c>
      <c r="R30" s="73">
        <f t="shared" si="13"/>
        <v>10</v>
      </c>
      <c r="S30" s="73">
        <f t="shared" si="13"/>
        <v>3</v>
      </c>
      <c r="T30" s="73">
        <f t="shared" si="13"/>
        <v>2</v>
      </c>
      <c r="U30" s="73">
        <f t="shared" si="13"/>
        <v>4</v>
      </c>
      <c r="V30" s="73">
        <f t="shared" si="13"/>
        <v>4</v>
      </c>
      <c r="W30" s="73">
        <f t="shared" si="13"/>
        <v>1</v>
      </c>
      <c r="X30" s="73">
        <f t="shared" si="13"/>
        <v>3</v>
      </c>
      <c r="Y30" s="73">
        <f t="shared" si="13"/>
        <v>2</v>
      </c>
      <c r="Z30" s="73">
        <f t="shared" si="13"/>
        <v>3</v>
      </c>
      <c r="AA30" s="73">
        <f t="shared" si="13"/>
        <v>1</v>
      </c>
      <c r="AB30" s="73">
        <f t="shared" si="13"/>
        <v>4</v>
      </c>
      <c r="AC30" s="73">
        <f t="shared" si="13"/>
        <v>6</v>
      </c>
      <c r="AD30" s="73">
        <f t="shared" si="13"/>
        <v>2</v>
      </c>
      <c r="AE30" s="73">
        <f t="shared" si="13"/>
        <v>4</v>
      </c>
      <c r="AF30" s="73">
        <f t="shared" si="13"/>
        <v>2</v>
      </c>
      <c r="AG30" s="73">
        <f t="shared" si="13"/>
        <v>3</v>
      </c>
      <c r="AH30" s="73">
        <f t="shared" si="13"/>
        <v>6</v>
      </c>
      <c r="AI30" s="73">
        <f t="shared" si="13"/>
        <v>4</v>
      </c>
      <c r="AJ30" s="73">
        <f t="shared" si="13"/>
        <v>3</v>
      </c>
      <c r="AK30" s="73">
        <f t="shared" si="13"/>
        <v>3</v>
      </c>
      <c r="AL30" s="73">
        <f t="shared" si="13"/>
        <v>3</v>
      </c>
      <c r="AM30" s="73">
        <f t="shared" si="13"/>
        <v>4</v>
      </c>
      <c r="AN30" s="73">
        <f t="shared" si="13"/>
        <v>4</v>
      </c>
      <c r="AO30" s="73">
        <f t="shared" si="13"/>
        <v>7</v>
      </c>
      <c r="AP30" s="73">
        <f t="shared" si="13"/>
        <v>2</v>
      </c>
      <c r="AQ30" s="73">
        <f t="shared" si="13"/>
        <v>1</v>
      </c>
      <c r="AR30" s="73">
        <f t="shared" si="13"/>
        <v>5</v>
      </c>
      <c r="AS30" s="73">
        <f t="shared" si="13"/>
        <v>5</v>
      </c>
      <c r="AT30" s="73">
        <f t="shared" si="13"/>
        <v>6</v>
      </c>
      <c r="AU30" s="73">
        <f t="shared" si="13"/>
        <v>4</v>
      </c>
      <c r="AV30" s="73">
        <f t="shared" si="13"/>
        <v>5</v>
      </c>
      <c r="AW30" s="73">
        <f t="shared" si="13"/>
        <v>4</v>
      </c>
      <c r="AX30" s="73">
        <f t="shared" si="13"/>
        <v>6</v>
      </c>
      <c r="AY30" s="73">
        <f t="shared" si="13"/>
        <v>4</v>
      </c>
      <c r="AZ30" s="73">
        <f t="shared" si="13"/>
        <v>4</v>
      </c>
      <c r="BA30" s="73">
        <f t="shared" si="13"/>
        <v>6</v>
      </c>
      <c r="BB30" s="73">
        <f t="shared" si="13"/>
        <v>3</v>
      </c>
      <c r="BC30" s="73">
        <f t="shared" si="13"/>
        <v>2</v>
      </c>
      <c r="BD30" s="73">
        <f t="shared" si="13"/>
        <v>4</v>
      </c>
      <c r="BE30" s="73">
        <f t="shared" si="13"/>
        <v>3</v>
      </c>
      <c r="BF30" s="73">
        <f t="shared" si="13"/>
        <v>2</v>
      </c>
      <c r="BG30" s="73">
        <f t="shared" si="13"/>
        <v>4</v>
      </c>
      <c r="BH30" s="73">
        <f t="shared" si="13"/>
        <v>4</v>
      </c>
      <c r="BI30" s="73">
        <f t="shared" si="13"/>
        <v>5</v>
      </c>
      <c r="BJ30" s="73">
        <f t="shared" si="13"/>
        <v>1</v>
      </c>
      <c r="BK30" s="73">
        <f t="shared" si="13"/>
        <v>10</v>
      </c>
      <c r="BL30" s="73">
        <f t="shared" si="13"/>
        <v>3</v>
      </c>
      <c r="BM30" s="73">
        <f t="shared" si="13"/>
        <v>3</v>
      </c>
      <c r="BN30" s="73">
        <f t="shared" si="13"/>
        <v>3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14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14"/>
        <v>3</v>
      </c>
      <c r="N31" s="71">
        <f t="shared" ca="1" si="14"/>
        <v>2</v>
      </c>
      <c r="O31" s="71">
        <f t="shared" ca="1" si="14"/>
        <v>0</v>
      </c>
      <c r="P31" s="71">
        <f t="shared" ca="1" si="14"/>
        <v>2</v>
      </c>
      <c r="Q31" s="71">
        <f t="shared" ca="1" si="14"/>
        <v>5</v>
      </c>
      <c r="R31" s="71">
        <f t="shared" ca="1" si="14"/>
        <v>10</v>
      </c>
      <c r="S31" s="71">
        <f t="shared" ca="1" si="14"/>
        <v>2</v>
      </c>
      <c r="T31" s="71">
        <f t="shared" ca="1" si="14"/>
        <v>3</v>
      </c>
      <c r="U31" s="71">
        <f t="shared" ca="1" si="14"/>
        <v>3</v>
      </c>
      <c r="V31" s="71">
        <f t="shared" ca="1" si="14"/>
        <v>5</v>
      </c>
      <c r="W31" s="71">
        <f t="shared" ca="1" si="14"/>
        <v>2</v>
      </c>
      <c r="X31" s="71">
        <f t="shared" ca="1" si="14"/>
        <v>4</v>
      </c>
      <c r="Y31" s="71">
        <f t="shared" ca="1" si="14"/>
        <v>3</v>
      </c>
      <c r="Z31" s="71">
        <f t="shared" ca="1" si="14"/>
        <v>2</v>
      </c>
      <c r="AA31" s="71">
        <f t="shared" ca="1" si="14"/>
        <v>2</v>
      </c>
      <c r="AB31" s="71">
        <f t="shared" ca="1" si="14"/>
        <v>5</v>
      </c>
      <c r="AC31" s="71">
        <f t="shared" ca="1" si="14"/>
        <v>5</v>
      </c>
      <c r="AD31" s="71">
        <f t="shared" ca="1" si="14"/>
        <v>3</v>
      </c>
      <c r="AE31" s="71">
        <f t="shared" ca="1" si="14"/>
        <v>3</v>
      </c>
      <c r="AF31" s="71">
        <f t="shared" ca="1" si="14"/>
        <v>3</v>
      </c>
      <c r="AG31" s="71">
        <f t="shared" ca="1" si="14"/>
        <v>4</v>
      </c>
      <c r="AH31" s="71">
        <f t="shared" ca="1" si="14"/>
        <v>5</v>
      </c>
      <c r="AI31" s="71">
        <f t="shared" ca="1" si="14"/>
        <v>5</v>
      </c>
      <c r="AJ31" s="71">
        <f t="shared" ca="1" si="14"/>
        <v>2</v>
      </c>
      <c r="AK31" s="71">
        <f t="shared" ca="1" si="14"/>
        <v>2</v>
      </c>
      <c r="AL31" s="71">
        <f t="shared" ca="1" si="14"/>
        <v>2</v>
      </c>
      <c r="AM31" s="71">
        <f t="shared" ca="1" si="14"/>
        <v>3</v>
      </c>
      <c r="AN31" s="71">
        <f t="shared" ca="1" si="14"/>
        <v>3</v>
      </c>
      <c r="AO31" s="71">
        <f t="shared" ca="1" si="14"/>
        <v>6</v>
      </c>
      <c r="AP31" s="71">
        <f t="shared" ca="1" si="14"/>
        <v>3</v>
      </c>
      <c r="AQ31" s="71">
        <f t="shared" ca="1" si="14"/>
        <v>0</v>
      </c>
      <c r="AR31" s="71">
        <f t="shared" ca="1" si="14"/>
        <v>4</v>
      </c>
      <c r="AS31" s="71">
        <f t="shared" ca="1" si="14"/>
        <v>4</v>
      </c>
      <c r="AT31" s="71">
        <f t="shared" ca="1" si="14"/>
        <v>5</v>
      </c>
      <c r="AU31" s="71">
        <f t="shared" ca="1" si="14"/>
        <v>3</v>
      </c>
      <c r="AV31" s="71">
        <f t="shared" ca="1" si="14"/>
        <v>4</v>
      </c>
      <c r="AW31" s="71">
        <f t="shared" ca="1" si="14"/>
        <v>3</v>
      </c>
      <c r="AX31" s="71">
        <f t="shared" ca="1" si="14"/>
        <v>5</v>
      </c>
      <c r="AY31" s="71">
        <f t="shared" ca="1" si="14"/>
        <v>3</v>
      </c>
      <c r="AZ31" s="71">
        <f t="shared" ca="1" si="14"/>
        <v>3</v>
      </c>
      <c r="BA31" s="71">
        <f t="shared" ca="1" si="14"/>
        <v>5</v>
      </c>
      <c r="BB31" s="71">
        <f t="shared" ca="1" si="14"/>
        <v>2</v>
      </c>
      <c r="BC31" s="71">
        <f t="shared" ca="1" si="14"/>
        <v>1</v>
      </c>
      <c r="BD31" s="71">
        <f t="shared" ca="1" si="14"/>
        <v>3</v>
      </c>
      <c r="BE31" s="71">
        <f t="shared" ca="1" si="14"/>
        <v>2</v>
      </c>
      <c r="BF31" s="71">
        <f t="shared" ca="1" si="14"/>
        <v>1</v>
      </c>
      <c r="BG31" s="71">
        <f t="shared" ca="1" si="14"/>
        <v>5</v>
      </c>
      <c r="BH31" s="71">
        <f t="shared" ca="1" si="14"/>
        <v>5</v>
      </c>
      <c r="BI31" s="71">
        <f t="shared" ca="1" si="14"/>
        <v>4</v>
      </c>
      <c r="BJ31" s="71">
        <f t="shared" ca="1" si="14"/>
        <v>2</v>
      </c>
      <c r="BK31" s="71">
        <f t="shared" ca="1" si="14"/>
        <v>9</v>
      </c>
      <c r="BL31" s="71">
        <f t="shared" ca="1" si="14"/>
        <v>2</v>
      </c>
      <c r="BM31" s="71">
        <f t="shared" ca="1" si="14"/>
        <v>2</v>
      </c>
      <c r="BN31" s="71">
        <f t="shared" ca="1" si="14"/>
        <v>2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5">COUNTA(K3:K22)</f>
        <v>10</v>
      </c>
      <c r="L35" s="35">
        <f t="shared" si="15"/>
        <v>0</v>
      </c>
      <c r="M35" s="35">
        <f t="shared" si="15"/>
        <v>10</v>
      </c>
      <c r="N35" s="35">
        <f t="shared" si="15"/>
        <v>10</v>
      </c>
      <c r="O35" s="35">
        <f t="shared" si="15"/>
        <v>10</v>
      </c>
      <c r="P35" s="35">
        <f t="shared" si="15"/>
        <v>10</v>
      </c>
      <c r="Q35" s="35">
        <f t="shared" si="15"/>
        <v>10</v>
      </c>
      <c r="R35" s="35">
        <f t="shared" ref="R35:AB35" si="16">COUNTA(R3:R22)</f>
        <v>0</v>
      </c>
      <c r="S35" s="35">
        <f t="shared" si="16"/>
        <v>10</v>
      </c>
      <c r="T35" s="35">
        <f t="shared" si="16"/>
        <v>10</v>
      </c>
      <c r="U35" s="35">
        <f t="shared" si="16"/>
        <v>10</v>
      </c>
      <c r="V35" s="35">
        <f t="shared" si="16"/>
        <v>10</v>
      </c>
      <c r="W35" s="35">
        <f t="shared" si="16"/>
        <v>10</v>
      </c>
      <c r="X35" s="35">
        <f t="shared" si="16"/>
        <v>10</v>
      </c>
      <c r="Y35" s="35">
        <f t="shared" si="16"/>
        <v>10</v>
      </c>
      <c r="Z35" s="35">
        <f t="shared" si="16"/>
        <v>10</v>
      </c>
      <c r="AA35" s="35">
        <f t="shared" si="16"/>
        <v>10</v>
      </c>
      <c r="AB35" s="35">
        <f t="shared" si="16"/>
        <v>10</v>
      </c>
      <c r="AC35" s="35">
        <f t="shared" si="15"/>
        <v>10</v>
      </c>
      <c r="AD35" s="35">
        <f t="shared" si="15"/>
        <v>10</v>
      </c>
      <c r="AE35" s="35">
        <f t="shared" si="15"/>
        <v>10</v>
      </c>
      <c r="AF35" s="35">
        <f t="shared" si="15"/>
        <v>10</v>
      </c>
      <c r="AG35" s="35">
        <f t="shared" si="15"/>
        <v>10</v>
      </c>
      <c r="AH35" s="35">
        <f t="shared" si="15"/>
        <v>10</v>
      </c>
      <c r="AI35" s="35">
        <f t="shared" si="15"/>
        <v>10</v>
      </c>
      <c r="AJ35" s="35">
        <f t="shared" si="15"/>
        <v>10</v>
      </c>
      <c r="AK35" s="35">
        <f t="shared" si="15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17">COUNTA(AP3:AP22)</f>
        <v>10</v>
      </c>
      <c r="AQ35" s="35">
        <f t="shared" si="17"/>
        <v>10</v>
      </c>
      <c r="AR35" s="35">
        <f t="shared" si="17"/>
        <v>10</v>
      </c>
      <c r="AS35" s="35">
        <f t="shared" si="17"/>
        <v>10</v>
      </c>
      <c r="AT35" s="35">
        <f t="shared" si="17"/>
        <v>10</v>
      </c>
      <c r="AU35" s="35">
        <f t="shared" si="17"/>
        <v>10</v>
      </c>
      <c r="AV35" s="35">
        <f t="shared" ref="AV35:BA35" si="18">COUNTA(AV3:AV22)</f>
        <v>10</v>
      </c>
      <c r="AW35" s="35">
        <f t="shared" si="18"/>
        <v>10</v>
      </c>
      <c r="AX35" s="35">
        <f t="shared" si="18"/>
        <v>10</v>
      </c>
      <c r="AY35" s="35">
        <f t="shared" si="18"/>
        <v>10</v>
      </c>
      <c r="AZ35" s="35">
        <f t="shared" si="18"/>
        <v>10</v>
      </c>
      <c r="BA35" s="35">
        <f t="shared" si="18"/>
        <v>10</v>
      </c>
      <c r="BB35" s="35">
        <f t="shared" ref="BB35:BG35" si="19">COUNTA(BB3:BB22)</f>
        <v>10</v>
      </c>
      <c r="BC35" s="35">
        <f t="shared" si="19"/>
        <v>10</v>
      </c>
      <c r="BD35" s="35">
        <f t="shared" si="19"/>
        <v>10</v>
      </c>
      <c r="BE35" s="35">
        <f t="shared" si="19"/>
        <v>10</v>
      </c>
      <c r="BF35" s="35">
        <f t="shared" si="19"/>
        <v>10</v>
      </c>
      <c r="BG35" s="35">
        <f t="shared" si="19"/>
        <v>10</v>
      </c>
      <c r="BH35" s="35">
        <f t="shared" ref="BH35:BL35" si="20">COUNTA(BH3:BH22)</f>
        <v>10</v>
      </c>
      <c r="BI35" s="35">
        <f t="shared" si="20"/>
        <v>10</v>
      </c>
      <c r="BJ35" s="35">
        <f t="shared" si="20"/>
        <v>10</v>
      </c>
      <c r="BK35" s="35">
        <f t="shared" si="20"/>
        <v>10</v>
      </c>
      <c r="BL35" s="35">
        <f t="shared" si="20"/>
        <v>10</v>
      </c>
      <c r="BM35" s="35">
        <f t="shared" ref="BM35:BN35" si="21">COUNTA(BM3:BM22)</f>
        <v>10</v>
      </c>
      <c r="BN35" s="35">
        <f t="shared" si="2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AP36" si="22">COUNTA(K23:K24)*((10000000*K25)+(1000000*(COUNTA(K21)*$E21+COUNTA(K22)*$E22))-(COUNTA($D$21:$D$22)*1000*K26)-(COUNTA($D$21:$D$22)*K27))</f>
        <v>119943864</v>
      </c>
      <c r="L36" s="32">
        <f t="shared" si="22"/>
        <v>0</v>
      </c>
      <c r="M36" s="32">
        <f t="shared" si="22"/>
        <v>81987908</v>
      </c>
      <c r="N36" s="32">
        <f t="shared" si="22"/>
        <v>141971916</v>
      </c>
      <c r="O36" s="32">
        <f t="shared" si="22"/>
        <v>101987876</v>
      </c>
      <c r="P36" s="32">
        <f t="shared" si="22"/>
        <v>101987908</v>
      </c>
      <c r="Q36" s="32">
        <f t="shared" si="22"/>
        <v>81983936</v>
      </c>
      <c r="R36" s="32">
        <f t="shared" si="22"/>
        <v>0</v>
      </c>
      <c r="S36" s="32">
        <f t="shared" si="22"/>
        <v>59943952</v>
      </c>
      <c r="T36" s="32">
        <f t="shared" si="22"/>
        <v>81959904</v>
      </c>
      <c r="U36" s="32">
        <f t="shared" si="22"/>
        <v>81987908</v>
      </c>
      <c r="V36" s="32">
        <f t="shared" si="22"/>
        <v>121983824</v>
      </c>
      <c r="W36" s="32">
        <f t="shared" si="22"/>
        <v>101979844</v>
      </c>
      <c r="X36" s="32">
        <f t="shared" si="22"/>
        <v>61943864</v>
      </c>
      <c r="Y36" s="32">
        <f t="shared" si="22"/>
        <v>81987908</v>
      </c>
      <c r="Z36" s="32">
        <f t="shared" si="22"/>
        <v>141983848</v>
      </c>
      <c r="AA36" s="32">
        <f t="shared" si="22"/>
        <v>101999864</v>
      </c>
      <c r="AB36" s="32">
        <f t="shared" si="22"/>
        <v>79943968</v>
      </c>
      <c r="AC36" s="32">
        <f t="shared" si="22"/>
        <v>119907900</v>
      </c>
      <c r="AD36" s="32">
        <f t="shared" si="22"/>
        <v>121971972</v>
      </c>
      <c r="AE36" s="32">
        <f t="shared" si="22"/>
        <v>119920000</v>
      </c>
      <c r="AF36" s="32">
        <f t="shared" si="22"/>
        <v>81971916</v>
      </c>
      <c r="AG36" s="32">
        <f t="shared" si="22"/>
        <v>101983904</v>
      </c>
      <c r="AH36" s="32">
        <f t="shared" si="22"/>
        <v>121991912</v>
      </c>
      <c r="AI36" s="32">
        <f t="shared" si="22"/>
        <v>79927896</v>
      </c>
      <c r="AJ36" s="32">
        <f t="shared" si="22"/>
        <v>101995860</v>
      </c>
      <c r="AK36" s="32">
        <f t="shared" si="22"/>
        <v>141983896</v>
      </c>
      <c r="AL36" s="32">
        <f t="shared" si="22"/>
        <v>101983936</v>
      </c>
      <c r="AM36" s="32">
        <f t="shared" si="22"/>
        <v>41971892</v>
      </c>
      <c r="AN36" s="32">
        <f t="shared" si="22"/>
        <v>79943920</v>
      </c>
      <c r="AO36" s="32">
        <f t="shared" si="22"/>
        <v>101975888</v>
      </c>
      <c r="AP36" s="32">
        <f t="shared" si="22"/>
        <v>121987820</v>
      </c>
      <c r="AQ36" s="32">
        <f t="shared" ref="AQ36:BN36" si="23">COUNTA(AQ23:AQ24)*((10000000*AQ25)+(1000000*(COUNTA(AQ21)*$E21+COUNTA(AQ22)*$E22))-(COUNTA($D$21:$D$22)*1000*AQ26)-(COUNTA($D$21:$D$22)*AQ27))</f>
        <v>101987844</v>
      </c>
      <c r="AR36" s="32">
        <f t="shared" si="23"/>
        <v>59967912</v>
      </c>
      <c r="AS36" s="32">
        <f t="shared" si="23"/>
        <v>181987932</v>
      </c>
      <c r="AT36" s="32">
        <f t="shared" si="23"/>
        <v>79959928</v>
      </c>
      <c r="AU36" s="32">
        <f t="shared" si="23"/>
        <v>81983768</v>
      </c>
      <c r="AV36" s="32">
        <f t="shared" si="23"/>
        <v>101995892</v>
      </c>
      <c r="AW36" s="32">
        <f t="shared" si="23"/>
        <v>79943864</v>
      </c>
      <c r="AX36" s="32">
        <f t="shared" si="23"/>
        <v>161971940</v>
      </c>
      <c r="AY36" s="32">
        <f t="shared" si="23"/>
        <v>119911888</v>
      </c>
      <c r="AZ36" s="32">
        <f t="shared" si="23"/>
        <v>161979900</v>
      </c>
      <c r="BA36" s="32">
        <f t="shared" si="23"/>
        <v>159927824</v>
      </c>
      <c r="BB36" s="32">
        <f t="shared" si="23"/>
        <v>101971892</v>
      </c>
      <c r="BC36" s="32">
        <f t="shared" si="23"/>
        <v>79939780</v>
      </c>
      <c r="BD36" s="32">
        <f t="shared" si="23"/>
        <v>121987932</v>
      </c>
      <c r="BE36" s="32">
        <f t="shared" si="23"/>
        <v>59927960</v>
      </c>
      <c r="BF36" s="32">
        <f t="shared" si="23"/>
        <v>81983960</v>
      </c>
      <c r="BG36" s="32">
        <f t="shared" si="23"/>
        <v>119915868</v>
      </c>
      <c r="BH36" s="32">
        <f t="shared" si="23"/>
        <v>121999912</v>
      </c>
      <c r="BI36" s="32">
        <f t="shared" si="23"/>
        <v>181983880</v>
      </c>
      <c r="BJ36" s="32">
        <f t="shared" si="23"/>
        <v>61983960</v>
      </c>
      <c r="BK36" s="32">
        <f t="shared" si="23"/>
        <v>119967920</v>
      </c>
      <c r="BL36" s="32">
        <f t="shared" si="23"/>
        <v>61983984</v>
      </c>
      <c r="BM36" s="32">
        <f t="shared" si="23"/>
        <v>141983872</v>
      </c>
      <c r="BN36" s="32">
        <f t="shared" si="23"/>
        <v>141987852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ca="1" si="24">IF(L35&lt;&gt;10, L$2,"")</f>
        <v>Barker, Christopher A</v>
      </c>
      <c r="M39" s="3" t="str">
        <f t="shared" si="24"/>
        <v/>
      </c>
      <c r="N39" s="3" t="str">
        <f t="shared" si="24"/>
        <v/>
      </c>
      <c r="O39" s="3" t="str">
        <f t="shared" si="24"/>
        <v/>
      </c>
      <c r="P39" s="3" t="str">
        <f t="shared" si="24"/>
        <v/>
      </c>
      <c r="Q39" s="3" t="str">
        <f t="shared" si="24"/>
        <v/>
      </c>
      <c r="R39" s="3" t="str">
        <f t="shared" ca="1" si="24"/>
        <v>Delehanty, Kyle T</v>
      </c>
      <c r="S39" s="3" t="str">
        <f t="shared" si="24"/>
        <v/>
      </c>
      <c r="T39" s="3" t="str">
        <f t="shared" si="24"/>
        <v/>
      </c>
      <c r="U39" s="3" t="str">
        <f t="shared" si="24"/>
        <v/>
      </c>
      <c r="V39" s="3" t="str">
        <f t="shared" si="24"/>
        <v/>
      </c>
      <c r="W39" s="3" t="str">
        <f t="shared" si="24"/>
        <v/>
      </c>
      <c r="X39" s="3" t="str">
        <f t="shared" si="24"/>
        <v/>
      </c>
      <c r="Y39" s="3" t="str">
        <f t="shared" si="24"/>
        <v/>
      </c>
      <c r="Z39" s="3" t="str">
        <f t="shared" si="24"/>
        <v/>
      </c>
      <c r="AA39" s="3" t="str">
        <f t="shared" si="24"/>
        <v/>
      </c>
      <c r="AB39" s="3" t="str">
        <f t="shared" si="24"/>
        <v/>
      </c>
      <c r="AC39" s="3" t="str">
        <f t="shared" si="24"/>
        <v/>
      </c>
      <c r="AD39" s="3" t="str">
        <f t="shared" si="24"/>
        <v/>
      </c>
      <c r="AE39" s="3" t="str">
        <f t="shared" si="24"/>
        <v/>
      </c>
      <c r="AF39" s="3" t="str">
        <f t="shared" si="24"/>
        <v/>
      </c>
      <c r="AG39" s="3" t="str">
        <f t="shared" si="24"/>
        <v/>
      </c>
      <c r="AH39" s="3" t="str">
        <f t="shared" si="24"/>
        <v/>
      </c>
      <c r="AI39" s="3" t="str">
        <f t="shared" si="24"/>
        <v/>
      </c>
      <c r="AJ39" s="3" t="str">
        <f t="shared" si="24"/>
        <v/>
      </c>
      <c r="AK39" s="3" t="str">
        <f t="shared" si="24"/>
        <v/>
      </c>
      <c r="AL39" s="3" t="str">
        <f t="shared" si="24"/>
        <v/>
      </c>
      <c r="AM39" s="3" t="str">
        <f t="shared" si="24"/>
        <v/>
      </c>
      <c r="AN39" s="3" t="str">
        <f t="shared" si="24"/>
        <v/>
      </c>
      <c r="AO39" s="3" t="str">
        <f t="shared" si="24"/>
        <v/>
      </c>
      <c r="AP39" s="3" t="str">
        <f t="shared" si="24"/>
        <v/>
      </c>
      <c r="AQ39" s="3" t="str">
        <f t="shared" si="24"/>
        <v/>
      </c>
      <c r="AR39" s="3" t="str">
        <f t="shared" si="24"/>
        <v/>
      </c>
      <c r="AS39" s="3" t="str">
        <f t="shared" si="24"/>
        <v/>
      </c>
      <c r="AT39" s="3" t="str">
        <f t="shared" si="24"/>
        <v/>
      </c>
      <c r="AU39" s="3" t="str">
        <f t="shared" si="24"/>
        <v/>
      </c>
      <c r="AV39" s="3" t="str">
        <f t="shared" ref="AV39:BA39" si="25">IF(AV35&lt;&gt;10, AV$2,"")</f>
        <v/>
      </c>
      <c r="AW39" s="3" t="str">
        <f t="shared" si="25"/>
        <v/>
      </c>
      <c r="AX39" s="3" t="str">
        <f t="shared" si="25"/>
        <v/>
      </c>
      <c r="AY39" s="3" t="str">
        <f t="shared" si="25"/>
        <v/>
      </c>
      <c r="AZ39" s="3" t="str">
        <f t="shared" si="25"/>
        <v/>
      </c>
      <c r="BA39" s="3" t="str">
        <f t="shared" si="25"/>
        <v/>
      </c>
      <c r="BB39" s="3" t="str">
        <f t="shared" ref="BB39:BG39" si="26">IF(BB35&lt;&gt;10, BB$2,"")</f>
        <v/>
      </c>
      <c r="BC39" s="3" t="str">
        <f t="shared" si="26"/>
        <v/>
      </c>
      <c r="BD39" s="3" t="str">
        <f t="shared" si="26"/>
        <v/>
      </c>
      <c r="BE39" s="3" t="str">
        <f t="shared" si="26"/>
        <v/>
      </c>
      <c r="BF39" s="3" t="str">
        <f t="shared" si="26"/>
        <v/>
      </c>
      <c r="BG39" s="3" t="str">
        <f t="shared" si="26"/>
        <v/>
      </c>
      <c r="BH39" s="3" t="str">
        <f t="shared" ref="BH39:BL39" si="27">IF(BH35&lt;&gt;10, BH$2,"")</f>
        <v/>
      </c>
      <c r="BI39" s="3" t="str">
        <f t="shared" si="27"/>
        <v/>
      </c>
      <c r="BJ39" s="3" t="str">
        <f t="shared" si="27"/>
        <v/>
      </c>
      <c r="BK39" s="3" t="str">
        <f t="shared" si="27"/>
        <v/>
      </c>
      <c r="BL39" s="3" t="str">
        <f t="shared" si="27"/>
        <v/>
      </c>
      <c r="BM39" s="3" t="str">
        <f t="shared" ref="BM39:BN39" si="28">IF(BM35&lt;&gt;10, BM$2,"")</f>
        <v/>
      </c>
      <c r="BN39" s="3" t="str">
        <f t="shared" si="28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29">IF(L$1 &lt; 1,L$2,"")</f>
        <v>Barker, Christopher A</v>
      </c>
      <c r="M40" s="3" t="str">
        <f t="shared" ca="1" si="29"/>
        <v>Beasley, Tate</v>
      </c>
      <c r="N40" s="3" t="str">
        <f t="shared" ca="1" si="29"/>
        <v>Beckwith, Greg</v>
      </c>
      <c r="O40" s="3" t="str">
        <f t="shared" ca="1" si="29"/>
        <v>Boykin, Jerome W</v>
      </c>
      <c r="P40" s="3" t="str">
        <f t="shared" ca="1" si="29"/>
        <v>Carroll, Adam</v>
      </c>
      <c r="Q40" s="3" t="str">
        <f t="shared" ca="1" si="29"/>
        <v>Daffron, Christopher</v>
      </c>
      <c r="R40" s="3" t="str">
        <f t="shared" ca="1" si="29"/>
        <v>Delehanty, Kyle T</v>
      </c>
      <c r="S40" s="3" t="str">
        <f t="shared" ca="1" si="29"/>
        <v>Desetto, Daniel</v>
      </c>
      <c r="T40" s="3" t="str">
        <f t="shared" ca="1" si="29"/>
        <v>Desetto, Thomas Remote</v>
      </c>
      <c r="U40" s="3" t="str">
        <f t="shared" ca="1" si="29"/>
        <v>Desing, Scott M</v>
      </c>
      <c r="V40" s="3" t="str">
        <f t="shared" ca="1" si="29"/>
        <v>Drebin, James</v>
      </c>
      <c r="W40" s="3" t="str">
        <f t="shared" ca="1" si="29"/>
        <v>Edwards, Christopher S</v>
      </c>
      <c r="X40" s="3" t="str">
        <f t="shared" ca="1" si="29"/>
        <v>Emptage, Nick</v>
      </c>
      <c r="Y40" s="3" t="str">
        <f t="shared" ca="1" si="29"/>
        <v>Ferguson, Scott Remote</v>
      </c>
      <c r="Z40" s="3" t="str">
        <f t="shared" ca="1" si="29"/>
        <v>Fonville, Chris</v>
      </c>
      <c r="AA40" s="3" t="str">
        <f t="shared" ca="1" si="29"/>
        <v>Gilmer, Justin T</v>
      </c>
      <c r="AB40" s="3" t="str">
        <f t="shared" ca="1" si="29"/>
        <v>Hendrick, Matt R</v>
      </c>
      <c r="AC40" s="3" t="str">
        <f t="shared" ca="1" si="29"/>
        <v>Holden, Brent Remote</v>
      </c>
      <c r="AD40" s="3" t="str">
        <f t="shared" ca="1" si="29"/>
        <v>Holley, Jeremy Remote</v>
      </c>
      <c r="AE40" s="3" t="str">
        <f t="shared" ca="1" si="29"/>
        <v>Inabinet, Gregory</v>
      </c>
      <c r="AF40" s="3" t="str">
        <f t="shared" ca="1" si="29"/>
        <v>James, Larry Remote</v>
      </c>
      <c r="AG40" s="3" t="str">
        <f t="shared" ca="1" si="29"/>
        <v>Johnson, Creed D</v>
      </c>
      <c r="AH40" s="3" t="str">
        <f t="shared" ca="1" si="29"/>
        <v>Locklear, Dave Remote</v>
      </c>
      <c r="AI40" s="3" t="str">
        <f t="shared" ca="1" si="29"/>
        <v>Marsh, Alexander Remote</v>
      </c>
      <c r="AJ40" s="3" t="str">
        <f t="shared" ca="1" si="29"/>
        <v>Martin, Douglas C</v>
      </c>
      <c r="AK40" s="3" t="str">
        <f t="shared" ca="1" si="29"/>
        <v>Mccoy, William M</v>
      </c>
      <c r="AL40" s="3" t="str">
        <f t="shared" ca="1" si="29"/>
        <v>Montanez, Johanna</v>
      </c>
      <c r="AM40" s="3" t="str">
        <f t="shared" ca="1" si="29"/>
        <v>Moore, Kevin B</v>
      </c>
      <c r="AN40" s="3" t="str">
        <f t="shared" ca="1" si="29"/>
        <v>Murdaugh, Stephen K</v>
      </c>
      <c r="AO40" s="3" t="str">
        <f t="shared" ca="1" si="29"/>
        <v>Murphy, William A</v>
      </c>
      <c r="AP40" s="3" t="str">
        <f t="shared" ca="1" si="29"/>
        <v>Nance, Rob Remote</v>
      </c>
      <c r="AQ40" s="3" t="str">
        <f t="shared" ca="1" si="29"/>
        <v>Neeley, Amber Remote</v>
      </c>
      <c r="AR40" s="3" t="str">
        <f t="shared" ca="1" si="29"/>
        <v>Neeley, Michael Remote</v>
      </c>
      <c r="AS40" s="3" t="str">
        <f t="shared" ca="1" si="29"/>
        <v>Neill, Charles H</v>
      </c>
      <c r="AT40" s="3" t="str">
        <f t="shared" ca="1" si="29"/>
        <v>Nguyen, Thai Remote</v>
      </c>
      <c r="AU40" s="3" t="str">
        <f t="shared" ca="1" si="29"/>
        <v>Paul, Wilmaison</v>
      </c>
      <c r="AV40" s="3" t="str">
        <f t="shared" ca="1" si="29"/>
        <v>Penrose, Tim Remote</v>
      </c>
      <c r="AW40" s="3" t="str">
        <f t="shared" ca="1" si="29"/>
        <v>Powell, LaMar</v>
      </c>
      <c r="AX40" s="3" t="str">
        <f t="shared" ca="1" si="29"/>
        <v>Reams, Byron L</v>
      </c>
      <c r="AY40" s="3" t="str">
        <f t="shared" ca="1" si="29"/>
        <v>Robbins, Dale</v>
      </c>
      <c r="AZ40" s="3" t="str">
        <f t="shared" ca="1" si="29"/>
        <v>Robbins, Thomas D</v>
      </c>
      <c r="BA40" s="3" t="str">
        <f t="shared" ca="1" si="29"/>
        <v>Ruffin, Chris</v>
      </c>
      <c r="BB40" s="3" t="str">
        <f t="shared" ca="1" si="29"/>
        <v>Sams, David</v>
      </c>
      <c r="BC40" s="3" t="str">
        <f t="shared" ca="1" si="29"/>
        <v>Sapp, Carl G</v>
      </c>
      <c r="BD40" s="3" t="str">
        <f t="shared" ca="1" si="29"/>
        <v>Staub, Kevin</v>
      </c>
      <c r="BE40" s="3" t="str">
        <f t="shared" ca="1" si="29"/>
        <v>Staub, Ryan</v>
      </c>
      <c r="BF40" s="3" t="str">
        <f t="shared" ca="1" si="29"/>
        <v>Steel, Van Remote</v>
      </c>
      <c r="BG40" s="3" t="str">
        <f t="shared" ca="1" si="29"/>
        <v>Stonecypher, David</v>
      </c>
      <c r="BH40" s="3" t="str">
        <f t="shared" ca="1" si="29"/>
        <v>Straw, Adam D</v>
      </c>
      <c r="BI40" s="3" t="str">
        <f t="shared" ca="1" si="29"/>
        <v>Warren, Jason</v>
      </c>
      <c r="BJ40" s="3" t="str">
        <f t="shared" ca="1" si="29"/>
        <v>Warren, Todd Remote</v>
      </c>
      <c r="BK40" s="3" t="str">
        <f t="shared" ca="1" si="29"/>
        <v>Wells, Seth Remote</v>
      </c>
      <c r="BL40" s="3" t="str">
        <f t="shared" ca="1" si="29"/>
        <v>White, Jarred</v>
      </c>
      <c r="BM40" s="3" t="str">
        <f t="shared" ca="1" si="29"/>
        <v>Winburn, Steve A</v>
      </c>
      <c r="BN40" s="3" t="str">
        <f t="shared" ca="1" si="29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Barker, Christopher A;Delehanty, Kyle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N23">
    <cfRule type="cellIs" dxfId="225" priority="7" stopIfTrue="1" operator="equal">
      <formula>0</formula>
    </cfRule>
  </conditionalFormatting>
  <conditionalFormatting sqref="BF24:BN24">
    <cfRule type="cellIs" dxfId="224" priority="6" stopIfTrue="1" operator="equal">
      <formula>0</formula>
    </cfRule>
  </conditionalFormatting>
  <conditionalFormatting sqref="BF28:BN28">
    <cfRule type="cellIs" dxfId="22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192</v>
      </c>
      <c r="C3" s="65">
        <v>14.5</v>
      </c>
      <c r="D3" s="64">
        <v>62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/>
      <c r="Q3" s="69" t="s">
        <v>314</v>
      </c>
      <c r="R3" s="69" t="s">
        <v>314</v>
      </c>
      <c r="S3" s="69"/>
      <c r="T3" s="69"/>
      <c r="U3" s="69"/>
      <c r="V3" s="69"/>
      <c r="W3" s="69" t="s">
        <v>314</v>
      </c>
      <c r="X3" s="69" t="s">
        <v>314</v>
      </c>
      <c r="Y3" s="69" t="s">
        <v>314</v>
      </c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 t="s">
        <v>314</v>
      </c>
      <c r="AF3" s="69" t="s">
        <v>314</v>
      </c>
      <c r="AG3" s="69"/>
      <c r="AH3" s="69" t="s">
        <v>314</v>
      </c>
      <c r="AI3" s="69" t="s">
        <v>314</v>
      </c>
      <c r="AJ3" s="69" t="s">
        <v>314</v>
      </c>
      <c r="AK3" s="69"/>
      <c r="AL3" s="69"/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/>
      <c r="AX3" s="69"/>
      <c r="AY3" s="69" t="s">
        <v>314</v>
      </c>
      <c r="AZ3" s="69"/>
      <c r="BA3" s="69"/>
      <c r="BB3" s="69" t="s">
        <v>314</v>
      </c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/>
      <c r="BJ3" s="69" t="s">
        <v>314</v>
      </c>
      <c r="BK3" s="69"/>
      <c r="BL3" s="69" t="s">
        <v>314</v>
      </c>
      <c r="BM3" s="69" t="s">
        <v>314</v>
      </c>
      <c r="BN3" s="69"/>
    </row>
    <row r="4" spans="1:66" x14ac:dyDescent="0.2">
      <c r="A4" s="61" t="s">
        <v>3</v>
      </c>
      <c r="B4" s="68" t="s">
        <v>146</v>
      </c>
      <c r="C4" s="66"/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22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 t="s">
        <v>314</v>
      </c>
      <c r="Q4" s="70"/>
      <c r="R4" s="70"/>
      <c r="S4" s="70" t="s">
        <v>314</v>
      </c>
      <c r="T4" s="70" t="s">
        <v>314</v>
      </c>
      <c r="U4" s="97" t="s">
        <v>314</v>
      </c>
      <c r="V4" s="70" t="s">
        <v>314</v>
      </c>
      <c r="W4" s="70"/>
      <c r="X4" s="70"/>
      <c r="Y4" s="70"/>
      <c r="Z4" s="70" t="s">
        <v>314</v>
      </c>
      <c r="AA4" s="70"/>
      <c r="AB4" s="70"/>
      <c r="AC4" s="70"/>
      <c r="AD4" s="70"/>
      <c r="AE4" s="70"/>
      <c r="AF4" s="70"/>
      <c r="AG4" s="70" t="s">
        <v>314</v>
      </c>
      <c r="AH4" s="70"/>
      <c r="AI4" s="70"/>
      <c r="AJ4" s="70"/>
      <c r="AK4" s="70" t="s">
        <v>314</v>
      </c>
      <c r="AL4" s="70" t="s">
        <v>314</v>
      </c>
      <c r="AM4" s="70"/>
      <c r="AN4" s="70" t="s">
        <v>314</v>
      </c>
      <c r="AO4" s="70" t="s">
        <v>314</v>
      </c>
      <c r="AP4" s="70"/>
      <c r="AQ4" s="70"/>
      <c r="AR4" s="70"/>
      <c r="AS4" s="70" t="s">
        <v>314</v>
      </c>
      <c r="AT4" s="70" t="s">
        <v>314</v>
      </c>
      <c r="AU4" s="70"/>
      <c r="AV4" s="70"/>
      <c r="AW4" s="70" t="s">
        <v>314</v>
      </c>
      <c r="AX4" s="70" t="s">
        <v>314</v>
      </c>
      <c r="AY4" s="70"/>
      <c r="AZ4" s="70" t="s">
        <v>314</v>
      </c>
      <c r="BA4" s="70" t="s">
        <v>314</v>
      </c>
      <c r="BB4" s="70"/>
      <c r="BC4" s="70"/>
      <c r="BD4" s="70"/>
      <c r="BE4" s="70"/>
      <c r="BF4" s="70" t="s">
        <v>314</v>
      </c>
      <c r="BG4" s="70" t="s">
        <v>314</v>
      </c>
      <c r="BH4" s="70"/>
      <c r="BI4" s="70" t="s">
        <v>314</v>
      </c>
      <c r="BJ4" s="70"/>
      <c r="BK4" s="70" t="s">
        <v>314</v>
      </c>
      <c r="BL4" s="70"/>
      <c r="BM4" s="70"/>
      <c r="BN4" s="70" t="s">
        <v>314</v>
      </c>
    </row>
    <row r="5" spans="1:66" x14ac:dyDescent="0.2">
      <c r="A5" s="59">
        <v>2</v>
      </c>
      <c r="B5" s="67" t="s">
        <v>203</v>
      </c>
      <c r="C5" s="65"/>
      <c r="D5" s="64">
        <v>39</v>
      </c>
      <c r="E5" s="64">
        <f>IF(ISBLANK($D5),"0",IF(($D6-$D5)&lt;($C6-$C5),1,0))</f>
        <v>1</v>
      </c>
      <c r="F5" s="64">
        <f t="shared" ca="1" si="1"/>
        <v>29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/>
      <c r="Q5" s="69" t="s">
        <v>314</v>
      </c>
      <c r="R5" s="69" t="s">
        <v>314</v>
      </c>
      <c r="S5" s="69"/>
      <c r="T5" s="69"/>
      <c r="U5" s="96"/>
      <c r="V5" s="69"/>
      <c r="W5" s="69"/>
      <c r="X5" s="69" t="s">
        <v>314</v>
      </c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/>
      <c r="AF5" s="69" t="s">
        <v>314</v>
      </c>
      <c r="AG5" s="69" t="s">
        <v>314</v>
      </c>
      <c r="AH5" s="69" t="s">
        <v>314</v>
      </c>
      <c r="AI5" s="69"/>
      <c r="AJ5" s="69"/>
      <c r="AK5" s="69"/>
      <c r="AL5" s="69"/>
      <c r="AM5" s="69" t="s">
        <v>314</v>
      </c>
      <c r="AN5" s="69"/>
      <c r="AO5" s="69"/>
      <c r="AP5" s="69"/>
      <c r="AQ5" s="69" t="s">
        <v>314</v>
      </c>
      <c r="AR5" s="96"/>
      <c r="AS5" s="69" t="s">
        <v>314</v>
      </c>
      <c r="AT5" s="69" t="s">
        <v>314</v>
      </c>
      <c r="AU5" s="69" t="s">
        <v>314</v>
      </c>
      <c r="AV5" s="69" t="s">
        <v>314</v>
      </c>
      <c r="AW5" s="69"/>
      <c r="AX5" s="69"/>
      <c r="AY5" s="69" t="s">
        <v>314</v>
      </c>
      <c r="AZ5" s="69" t="s">
        <v>314</v>
      </c>
      <c r="BA5" s="69" t="s">
        <v>314</v>
      </c>
      <c r="BB5" s="69"/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 t="s">
        <v>314</v>
      </c>
      <c r="BL5" s="69" t="s">
        <v>314</v>
      </c>
      <c r="BM5" s="69"/>
      <c r="BN5" s="69" t="s">
        <v>314</v>
      </c>
    </row>
    <row r="6" spans="1:66" x14ac:dyDescent="0.2">
      <c r="A6" s="61" t="s">
        <v>3</v>
      </c>
      <c r="B6" s="68" t="s">
        <v>193</v>
      </c>
      <c r="C6" s="66">
        <v>6.5</v>
      </c>
      <c r="D6" s="64">
        <v>42</v>
      </c>
      <c r="E6" s="64">
        <f>IF(ISBLANK($D6),"0",IF(($D6-$D5)&gt;($C6-$C5),1,0))</f>
        <v>0</v>
      </c>
      <c r="F6" s="64">
        <f t="shared" ca="1" si="1"/>
        <v>26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 t="s">
        <v>314</v>
      </c>
      <c r="Q6" s="70"/>
      <c r="R6" s="70"/>
      <c r="S6" s="70" t="s">
        <v>314</v>
      </c>
      <c r="T6" s="70" t="s">
        <v>314</v>
      </c>
      <c r="U6" s="70" t="s">
        <v>314</v>
      </c>
      <c r="V6" s="70" t="s">
        <v>314</v>
      </c>
      <c r="W6" s="70" t="s">
        <v>314</v>
      </c>
      <c r="X6" s="70"/>
      <c r="Y6" s="70"/>
      <c r="Z6" s="70"/>
      <c r="AA6" s="70" t="s">
        <v>314</v>
      </c>
      <c r="AB6" s="70"/>
      <c r="AC6" s="70"/>
      <c r="AD6" s="70" t="s">
        <v>314</v>
      </c>
      <c r="AE6" s="70" t="s">
        <v>314</v>
      </c>
      <c r="AF6" s="70"/>
      <c r="AG6" s="70"/>
      <c r="AH6" s="70"/>
      <c r="AI6" s="70" t="s">
        <v>314</v>
      </c>
      <c r="AJ6" s="70" t="s">
        <v>314</v>
      </c>
      <c r="AK6" s="70" t="s">
        <v>314</v>
      </c>
      <c r="AL6" s="70" t="s">
        <v>314</v>
      </c>
      <c r="AM6" s="70"/>
      <c r="AN6" s="70" t="s">
        <v>314</v>
      </c>
      <c r="AO6" s="70" t="s">
        <v>314</v>
      </c>
      <c r="AP6" s="70"/>
      <c r="AQ6" s="70"/>
      <c r="AR6" s="70" t="s">
        <v>314</v>
      </c>
      <c r="AS6" s="70"/>
      <c r="AT6" s="70"/>
      <c r="AU6" s="70"/>
      <c r="AV6" s="70"/>
      <c r="AW6" s="70" t="s">
        <v>314</v>
      </c>
      <c r="AX6" s="70" t="s">
        <v>314</v>
      </c>
      <c r="AY6" s="70"/>
      <c r="AZ6" s="70"/>
      <c r="BA6" s="70"/>
      <c r="BB6" s="70" t="s">
        <v>314</v>
      </c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/>
      <c r="BL6" s="70"/>
      <c r="BM6" s="70" t="s">
        <v>314</v>
      </c>
      <c r="BN6" s="70"/>
    </row>
    <row r="7" spans="1:66" x14ac:dyDescent="0.2">
      <c r="A7" s="59">
        <v>3</v>
      </c>
      <c r="B7" s="67" t="s">
        <v>247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22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/>
      <c r="M7" s="69" t="s">
        <v>314</v>
      </c>
      <c r="N7" s="69"/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/>
      <c r="AE7" s="69" t="s">
        <v>314</v>
      </c>
      <c r="AF7" s="69" t="s">
        <v>314</v>
      </c>
      <c r="AG7" s="69"/>
      <c r="AH7" s="69"/>
      <c r="AI7" s="69"/>
      <c r="AJ7" s="69" t="s">
        <v>314</v>
      </c>
      <c r="AK7" s="69"/>
      <c r="AL7" s="69"/>
      <c r="AM7" s="69"/>
      <c r="AN7" s="69" t="s">
        <v>314</v>
      </c>
      <c r="AO7" s="69"/>
      <c r="AP7" s="69"/>
      <c r="AQ7" s="69"/>
      <c r="AR7" s="96" t="s">
        <v>314</v>
      </c>
      <c r="AS7" s="69"/>
      <c r="AT7" s="69" t="s">
        <v>314</v>
      </c>
      <c r="AU7" s="69" t="s">
        <v>314</v>
      </c>
      <c r="AV7" s="69"/>
      <c r="AW7" s="69"/>
      <c r="AX7" s="69"/>
      <c r="AY7" s="69"/>
      <c r="AZ7" s="69" t="s">
        <v>314</v>
      </c>
      <c r="BA7" s="69" t="s">
        <v>314</v>
      </c>
      <c r="BB7" s="69"/>
      <c r="BC7" s="69"/>
      <c r="BD7" s="69" t="s">
        <v>314</v>
      </c>
      <c r="BE7" s="96"/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/>
      <c r="BN7" s="69"/>
    </row>
    <row r="8" spans="1:66" x14ac:dyDescent="0.2">
      <c r="A8" s="61" t="s">
        <v>3</v>
      </c>
      <c r="B8" s="68" t="s">
        <v>234</v>
      </c>
      <c r="C8" s="66">
        <v>7.5</v>
      </c>
      <c r="D8" s="64">
        <v>38</v>
      </c>
      <c r="E8" s="64">
        <f>IF(ISBLANK($D8),"0",IF(($D8-$D7)&gt;($C8-$C7),1,0))</f>
        <v>0</v>
      </c>
      <c r="F8" s="64">
        <f t="shared" ca="1" si="1"/>
        <v>33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314</v>
      </c>
      <c r="M8" s="70"/>
      <c r="N8" s="70" t="s">
        <v>314</v>
      </c>
      <c r="O8" s="70" t="s">
        <v>314</v>
      </c>
      <c r="P8" s="70"/>
      <c r="Q8" s="70" t="s">
        <v>314</v>
      </c>
      <c r="R8" s="97"/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 t="s">
        <v>314</v>
      </c>
      <c r="AC8" s="70"/>
      <c r="AD8" s="70" t="s">
        <v>314</v>
      </c>
      <c r="AE8" s="70"/>
      <c r="AF8" s="70"/>
      <c r="AG8" s="70" t="s">
        <v>314</v>
      </c>
      <c r="AH8" s="70" t="s">
        <v>314</v>
      </c>
      <c r="AI8" s="70" t="s">
        <v>314</v>
      </c>
      <c r="AJ8" s="70"/>
      <c r="AK8" s="70" t="s">
        <v>314</v>
      </c>
      <c r="AL8" s="70" t="s">
        <v>314</v>
      </c>
      <c r="AM8" s="70" t="s">
        <v>314</v>
      </c>
      <c r="AN8" s="70"/>
      <c r="AO8" s="70" t="s">
        <v>314</v>
      </c>
      <c r="AP8" s="70"/>
      <c r="AQ8" s="70" t="s">
        <v>314</v>
      </c>
      <c r="AR8" s="70"/>
      <c r="AS8" s="70" t="s">
        <v>314</v>
      </c>
      <c r="AT8" s="70"/>
      <c r="AU8" s="70"/>
      <c r="AV8" s="70" t="s">
        <v>314</v>
      </c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 t="s">
        <v>314</v>
      </c>
      <c r="BD8" s="70"/>
      <c r="BE8" s="70" t="s">
        <v>314</v>
      </c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 t="s">
        <v>314</v>
      </c>
      <c r="BN8" s="70" t="s">
        <v>314</v>
      </c>
    </row>
    <row r="9" spans="1:66" x14ac:dyDescent="0.2">
      <c r="A9" s="59">
        <v>4</v>
      </c>
      <c r="B9" s="108" t="s">
        <v>150</v>
      </c>
      <c r="C9" s="65"/>
      <c r="D9" s="81">
        <v>14</v>
      </c>
      <c r="E9" s="64">
        <f>IF(ISBLANK($D9),"0",IF(($D10-$D9)&lt;($C10-$C9),1,0))</f>
        <v>0</v>
      </c>
      <c r="F9" s="64">
        <f t="shared" ca="1" si="1"/>
        <v>29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/>
      <c r="N9" s="69" t="s">
        <v>314</v>
      </c>
      <c r="O9" s="69" t="s">
        <v>314</v>
      </c>
      <c r="P9" s="69"/>
      <c r="Q9" s="69" t="s">
        <v>314</v>
      </c>
      <c r="R9" s="96" t="s">
        <v>314</v>
      </c>
      <c r="S9" s="96"/>
      <c r="T9" s="96" t="s">
        <v>314</v>
      </c>
      <c r="U9" s="96" t="s">
        <v>314</v>
      </c>
      <c r="V9" s="69" t="s">
        <v>314</v>
      </c>
      <c r="W9" s="69" t="s">
        <v>314</v>
      </c>
      <c r="X9" s="69"/>
      <c r="Y9" s="69" t="s">
        <v>314</v>
      </c>
      <c r="Z9" s="69"/>
      <c r="AA9" s="69"/>
      <c r="AB9" s="69"/>
      <c r="AC9" s="69" t="s">
        <v>314</v>
      </c>
      <c r="AD9" s="69"/>
      <c r="AE9" s="69" t="s">
        <v>314</v>
      </c>
      <c r="AF9" s="69"/>
      <c r="AG9" s="69"/>
      <c r="AH9" s="69"/>
      <c r="AI9" s="69" t="s">
        <v>314</v>
      </c>
      <c r="AJ9" s="69"/>
      <c r="AK9" s="69"/>
      <c r="AL9" s="69"/>
      <c r="AM9" s="69" t="s">
        <v>314</v>
      </c>
      <c r="AN9" s="69" t="s">
        <v>314</v>
      </c>
      <c r="AO9" s="69" t="s">
        <v>314</v>
      </c>
      <c r="AP9" s="69"/>
      <c r="AQ9" s="69"/>
      <c r="AR9" s="96"/>
      <c r="AS9" s="69" t="s">
        <v>314</v>
      </c>
      <c r="AT9" s="69" t="s">
        <v>314</v>
      </c>
      <c r="AU9" s="69" t="s">
        <v>314</v>
      </c>
      <c r="AV9" s="69"/>
      <c r="AW9" s="69"/>
      <c r="AX9" s="69" t="s">
        <v>314</v>
      </c>
      <c r="AY9" s="69" t="s">
        <v>314</v>
      </c>
      <c r="AZ9" s="69"/>
      <c r="BA9" s="69"/>
      <c r="BB9" s="69"/>
      <c r="BC9" s="69" t="s">
        <v>314</v>
      </c>
      <c r="BD9" s="69" t="s">
        <v>314</v>
      </c>
      <c r="BE9" s="96" t="s">
        <v>314</v>
      </c>
      <c r="BF9" s="69"/>
      <c r="BG9" s="69"/>
      <c r="BH9" s="69" t="s">
        <v>314</v>
      </c>
      <c r="BI9" s="69"/>
      <c r="BJ9" s="69"/>
      <c r="BK9" s="69" t="s">
        <v>314</v>
      </c>
      <c r="BL9" s="69" t="s">
        <v>314</v>
      </c>
      <c r="BM9" s="69" t="s">
        <v>314</v>
      </c>
      <c r="BN9" s="69"/>
    </row>
    <row r="10" spans="1:66" x14ac:dyDescent="0.2">
      <c r="A10" s="61" t="s">
        <v>3</v>
      </c>
      <c r="B10" s="68" t="s">
        <v>138</v>
      </c>
      <c r="C10" s="66">
        <v>6.5</v>
      </c>
      <c r="D10" s="64">
        <v>27</v>
      </c>
      <c r="E10" s="64">
        <f>IF(ISBLANK($D10),"0",IF(($D10-$D9)&gt;($C10-$C9),1,0))</f>
        <v>1</v>
      </c>
      <c r="F10" s="64">
        <f t="shared" ca="1" si="1"/>
        <v>26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 t="s">
        <v>314</v>
      </c>
      <c r="N10" s="70"/>
      <c r="O10" s="70"/>
      <c r="P10" s="70" t="s">
        <v>314</v>
      </c>
      <c r="Q10" s="70"/>
      <c r="R10" s="97"/>
      <c r="S10" s="97" t="s">
        <v>314</v>
      </c>
      <c r="T10" s="97"/>
      <c r="U10" s="70"/>
      <c r="V10" s="70"/>
      <c r="W10" s="70"/>
      <c r="X10" s="70" t="s">
        <v>314</v>
      </c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/>
      <c r="AF10" s="70" t="s">
        <v>314</v>
      </c>
      <c r="AG10" s="70" t="s">
        <v>314</v>
      </c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 t="s">
        <v>314</v>
      </c>
      <c r="AX10" s="70"/>
      <c r="AY10" s="70"/>
      <c r="AZ10" s="70" t="s">
        <v>314</v>
      </c>
      <c r="BA10" s="70" t="s">
        <v>314</v>
      </c>
      <c r="BB10" s="70" t="s">
        <v>314</v>
      </c>
      <c r="BC10" s="70"/>
      <c r="BD10" s="70"/>
      <c r="BE10" s="70"/>
      <c r="BF10" s="70" t="s">
        <v>314</v>
      </c>
      <c r="BG10" s="70" t="s">
        <v>314</v>
      </c>
      <c r="BH10" s="70"/>
      <c r="BI10" s="70" t="s">
        <v>314</v>
      </c>
      <c r="BJ10" s="70" t="s">
        <v>314</v>
      </c>
      <c r="BK10" s="70"/>
      <c r="BL10" s="70"/>
      <c r="BM10" s="70"/>
      <c r="BN10" s="70" t="s">
        <v>314</v>
      </c>
    </row>
    <row r="11" spans="1:66" x14ac:dyDescent="0.2">
      <c r="A11" s="59">
        <v>5</v>
      </c>
      <c r="B11" s="67" t="s">
        <v>169</v>
      </c>
      <c r="C11" s="65">
        <v>4.5</v>
      </c>
      <c r="D11" s="64">
        <v>30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/>
      <c r="S11" s="96" t="s">
        <v>314</v>
      </c>
      <c r="T11" s="96" t="s">
        <v>314</v>
      </c>
      <c r="U11" s="69" t="s">
        <v>314</v>
      </c>
      <c r="V11" s="69"/>
      <c r="W11" s="69" t="s">
        <v>314</v>
      </c>
      <c r="X11" s="69" t="s">
        <v>314</v>
      </c>
      <c r="Y11" s="69" t="s">
        <v>314</v>
      </c>
      <c r="Z11" s="69" t="s">
        <v>314</v>
      </c>
      <c r="AA11" s="69"/>
      <c r="AB11" s="69" t="s">
        <v>314</v>
      </c>
      <c r="AC11" s="69" t="s">
        <v>314</v>
      </c>
      <c r="AD11" s="69"/>
      <c r="AE11" s="69"/>
      <c r="AF11" s="69" t="s">
        <v>314</v>
      </c>
      <c r="AG11" s="69" t="s">
        <v>314</v>
      </c>
      <c r="AH11" s="69"/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/>
      <c r="AO11" s="69" t="s">
        <v>314</v>
      </c>
      <c r="AP11" s="69"/>
      <c r="AQ11" s="69" t="s">
        <v>314</v>
      </c>
      <c r="AR11" s="69" t="s">
        <v>314</v>
      </c>
      <c r="AS11" s="69"/>
      <c r="AT11" s="69"/>
      <c r="AU11" s="69"/>
      <c r="AV11" s="69"/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 t="s">
        <v>314</v>
      </c>
      <c r="BE11" s="96" t="s">
        <v>314</v>
      </c>
      <c r="BF11" s="69" t="s">
        <v>314</v>
      </c>
      <c r="BG11" s="69" t="s">
        <v>314</v>
      </c>
      <c r="BH11" s="69" t="s">
        <v>314</v>
      </c>
      <c r="BI11" s="69" t="s">
        <v>314</v>
      </c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">
      <c r="A12" s="61" t="s">
        <v>3</v>
      </c>
      <c r="B12" s="68" t="s">
        <v>165</v>
      </c>
      <c r="C12" s="66"/>
      <c r="D12" s="64">
        <v>33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314</v>
      </c>
      <c r="S12" s="97"/>
      <c r="T12" s="97"/>
      <c r="U12" s="97"/>
      <c r="V12" s="70" t="s">
        <v>314</v>
      </c>
      <c r="W12" s="70"/>
      <c r="X12" s="70"/>
      <c r="Y12" s="70"/>
      <c r="Z12" s="70"/>
      <c r="AA12" s="70" t="s">
        <v>314</v>
      </c>
      <c r="AB12" s="70"/>
      <c r="AC12" s="70"/>
      <c r="AD12" s="70" t="s">
        <v>314</v>
      </c>
      <c r="AE12" s="70" t="s">
        <v>314</v>
      </c>
      <c r="AF12" s="70"/>
      <c r="AG12" s="70"/>
      <c r="AH12" s="70" t="s">
        <v>314</v>
      </c>
      <c r="AI12" s="70"/>
      <c r="AJ12" s="70"/>
      <c r="AK12" s="70"/>
      <c r="AL12" s="70"/>
      <c r="AM12" s="70"/>
      <c r="AN12" s="70" t="s">
        <v>314</v>
      </c>
      <c r="AO12" s="70"/>
      <c r="AP12" s="70"/>
      <c r="AQ12" s="70"/>
      <c r="AR12" s="97"/>
      <c r="AS12" s="70" t="s">
        <v>314</v>
      </c>
      <c r="AT12" s="70" t="s">
        <v>314</v>
      </c>
      <c r="AU12" s="70" t="s">
        <v>314</v>
      </c>
      <c r="AV12" s="70" t="s">
        <v>314</v>
      </c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/>
      <c r="BE12" s="70"/>
      <c r="BF12" s="70"/>
      <c r="BG12" s="70"/>
      <c r="BH12" s="70"/>
      <c r="BI12" s="70"/>
      <c r="BJ12" s="70"/>
      <c r="BK12" s="70" t="s">
        <v>314</v>
      </c>
      <c r="BL12" s="70"/>
      <c r="BM12" s="70"/>
      <c r="BN12" s="70"/>
    </row>
    <row r="13" spans="1:66" x14ac:dyDescent="0.2">
      <c r="A13" s="59">
        <v>6</v>
      </c>
      <c r="B13" s="67" t="s">
        <v>164</v>
      </c>
      <c r="C13" s="65">
        <v>10.5</v>
      </c>
      <c r="D13" s="64">
        <v>48</v>
      </c>
      <c r="E13" s="64">
        <f>IF(ISBLANK($D13),"0",IF(($D14-$D13)&lt;($C14-$C13),1,0))</f>
        <v>1</v>
      </c>
      <c r="F13" s="64">
        <f t="shared" ca="1" si="1"/>
        <v>38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314</v>
      </c>
      <c r="M13" s="69" t="s">
        <v>314</v>
      </c>
      <c r="N13" s="69" t="s">
        <v>314</v>
      </c>
      <c r="O13" s="69" t="s">
        <v>314</v>
      </c>
      <c r="P13" s="69" t="s">
        <v>314</v>
      </c>
      <c r="Q13" s="69"/>
      <c r="R13" s="96" t="s">
        <v>314</v>
      </c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/>
      <c r="Z13" s="69" t="s">
        <v>314</v>
      </c>
      <c r="AA13" s="69" t="s">
        <v>314</v>
      </c>
      <c r="AB13" s="69" t="s">
        <v>314</v>
      </c>
      <c r="AC13" s="69" t="s">
        <v>314</v>
      </c>
      <c r="AD13" s="69" t="s">
        <v>314</v>
      </c>
      <c r="AE13" s="69" t="s">
        <v>314</v>
      </c>
      <c r="AF13" s="69"/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/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/>
      <c r="AZ13" s="69"/>
      <c r="BA13" s="69" t="s">
        <v>314</v>
      </c>
      <c r="BB13" s="69"/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 t="s">
        <v>314</v>
      </c>
      <c r="BJ13" s="69" t="s">
        <v>314</v>
      </c>
      <c r="BK13" s="69"/>
      <c r="BL13" s="69" t="s">
        <v>314</v>
      </c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196</v>
      </c>
      <c r="C14" s="66"/>
      <c r="D14" s="64">
        <v>23</v>
      </c>
      <c r="E14" s="64">
        <f>IF(ISBLANK($D14),"0",IF(($D14-$D13)&gt;($C14-$C13),1,0))</f>
        <v>0</v>
      </c>
      <c r="F14" s="64">
        <f t="shared" ca="1" si="1"/>
        <v>17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/>
      <c r="M14" s="70"/>
      <c r="N14" s="70"/>
      <c r="O14" s="70"/>
      <c r="P14" s="70"/>
      <c r="Q14" s="70" t="s">
        <v>314</v>
      </c>
      <c r="R14" s="97"/>
      <c r="S14" s="97"/>
      <c r="T14" s="97"/>
      <c r="U14" s="97"/>
      <c r="V14" s="70"/>
      <c r="W14" s="70"/>
      <c r="X14" s="70" t="s">
        <v>314</v>
      </c>
      <c r="Y14" s="70" t="s">
        <v>314</v>
      </c>
      <c r="Z14" s="70"/>
      <c r="AA14" s="70"/>
      <c r="AB14" s="70"/>
      <c r="AC14" s="70"/>
      <c r="AD14" s="70"/>
      <c r="AE14" s="70"/>
      <c r="AF14" s="70" t="s">
        <v>314</v>
      </c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/>
      <c r="AO14" s="70"/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 t="s">
        <v>314</v>
      </c>
      <c r="AX14" s="70"/>
      <c r="AY14" s="70" t="s">
        <v>314</v>
      </c>
      <c r="AZ14" s="70" t="s">
        <v>314</v>
      </c>
      <c r="BA14" s="70"/>
      <c r="BB14" s="70" t="s">
        <v>314</v>
      </c>
      <c r="BC14" s="70"/>
      <c r="BD14" s="70"/>
      <c r="BE14" s="70"/>
      <c r="BF14" s="70"/>
      <c r="BG14" s="70" t="s">
        <v>314</v>
      </c>
      <c r="BH14" s="70" t="s">
        <v>314</v>
      </c>
      <c r="BI14" s="70"/>
      <c r="BJ14" s="70"/>
      <c r="BK14" s="70" t="s">
        <v>314</v>
      </c>
      <c r="BL14" s="70"/>
      <c r="BM14" s="70"/>
      <c r="BN14" s="70"/>
    </row>
    <row r="15" spans="1:66" x14ac:dyDescent="0.2">
      <c r="A15" s="59">
        <v>7</v>
      </c>
      <c r="B15" s="67" t="s">
        <v>182</v>
      </c>
      <c r="C15" s="65"/>
      <c r="D15" s="64">
        <v>3</v>
      </c>
      <c r="E15" s="64">
        <f>IF(ISBLANK($D15),"0",IF(($D16-$D15)&lt;($C16-$C15),1,0))</f>
        <v>0</v>
      </c>
      <c r="F15" s="64">
        <f t="shared" ca="1" si="1"/>
        <v>29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/>
      <c r="N15" s="69"/>
      <c r="O15" s="69" t="s">
        <v>314</v>
      </c>
      <c r="P15" s="69" t="s">
        <v>314</v>
      </c>
      <c r="Q15" s="69"/>
      <c r="R15" s="96" t="s">
        <v>314</v>
      </c>
      <c r="S15" s="96" t="s">
        <v>314</v>
      </c>
      <c r="T15" s="96" t="s">
        <v>314</v>
      </c>
      <c r="U15" s="96"/>
      <c r="V15" s="69"/>
      <c r="W15" s="69"/>
      <c r="X15" s="69" t="s">
        <v>314</v>
      </c>
      <c r="Y15" s="69" t="s">
        <v>314</v>
      </c>
      <c r="Z15" s="69" t="s">
        <v>314</v>
      </c>
      <c r="AA15" s="69"/>
      <c r="AB15" s="69"/>
      <c r="AC15" s="69" t="s">
        <v>314</v>
      </c>
      <c r="AD15" s="69" t="s">
        <v>314</v>
      </c>
      <c r="AE15" s="69" t="s">
        <v>314</v>
      </c>
      <c r="AF15" s="69"/>
      <c r="AG15" s="69" t="s">
        <v>314</v>
      </c>
      <c r="AH15" s="69"/>
      <c r="AI15" s="69" t="s">
        <v>314</v>
      </c>
      <c r="AJ15" s="69"/>
      <c r="AK15" s="69"/>
      <c r="AL15" s="69" t="s">
        <v>314</v>
      </c>
      <c r="AM15" s="69" t="s">
        <v>314</v>
      </c>
      <c r="AN15" s="69"/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 t="s">
        <v>314</v>
      </c>
      <c r="AW15" s="69" t="s">
        <v>314</v>
      </c>
      <c r="AX15" s="69" t="s">
        <v>314</v>
      </c>
      <c r="AY15" s="69"/>
      <c r="AZ15" s="69" t="s">
        <v>314</v>
      </c>
      <c r="BA15" s="69"/>
      <c r="BB15" s="69"/>
      <c r="BC15" s="69" t="s">
        <v>314</v>
      </c>
      <c r="BD15" s="69"/>
      <c r="BE15" s="96"/>
      <c r="BF15" s="69"/>
      <c r="BG15" s="69" t="s">
        <v>314</v>
      </c>
      <c r="BH15" s="69"/>
      <c r="BI15" s="69" t="s">
        <v>314</v>
      </c>
      <c r="BJ15" s="69" t="s">
        <v>314</v>
      </c>
      <c r="BK15" s="69" t="s">
        <v>314</v>
      </c>
      <c r="BL15" s="69" t="s">
        <v>314</v>
      </c>
      <c r="BM15" s="69"/>
      <c r="BN15" s="69" t="s">
        <v>314</v>
      </c>
    </row>
    <row r="16" spans="1:66" x14ac:dyDescent="0.2">
      <c r="A16" s="61" t="s">
        <v>3</v>
      </c>
      <c r="B16" s="68" t="s">
        <v>198</v>
      </c>
      <c r="C16" s="66">
        <v>15.5</v>
      </c>
      <c r="D16" s="64">
        <v>42</v>
      </c>
      <c r="E16" s="64">
        <f>IF(ISBLANK($D16),"0",IF(($D16-$D15)&gt;($C16-$C15),1,0))</f>
        <v>1</v>
      </c>
      <c r="F16" s="64">
        <f t="shared" ca="1" si="1"/>
        <v>26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 t="s">
        <v>314</v>
      </c>
      <c r="N16" s="70" t="s">
        <v>314</v>
      </c>
      <c r="O16" s="70"/>
      <c r="P16" s="70"/>
      <c r="Q16" s="70" t="s">
        <v>314</v>
      </c>
      <c r="R16" s="70"/>
      <c r="S16" s="70"/>
      <c r="T16" s="70"/>
      <c r="U16" s="70" t="s">
        <v>314</v>
      </c>
      <c r="V16" s="70" t="s">
        <v>314</v>
      </c>
      <c r="W16" s="70" t="s">
        <v>314</v>
      </c>
      <c r="X16" s="70"/>
      <c r="Y16" s="70"/>
      <c r="Z16" s="70"/>
      <c r="AA16" s="70" t="s">
        <v>314</v>
      </c>
      <c r="AB16" s="70" t="s">
        <v>314</v>
      </c>
      <c r="AC16" s="70"/>
      <c r="AD16" s="70"/>
      <c r="AE16" s="70"/>
      <c r="AF16" s="70" t="s">
        <v>314</v>
      </c>
      <c r="AG16" s="70"/>
      <c r="AH16" s="70" t="s">
        <v>314</v>
      </c>
      <c r="AI16" s="70"/>
      <c r="AJ16" s="70" t="s">
        <v>314</v>
      </c>
      <c r="AK16" s="70" t="s">
        <v>314</v>
      </c>
      <c r="AL16" s="70"/>
      <c r="AM16" s="70"/>
      <c r="AN16" s="70" t="s">
        <v>314</v>
      </c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/>
      <c r="AW16" s="70"/>
      <c r="AX16" s="70"/>
      <c r="AY16" s="70" t="s">
        <v>314</v>
      </c>
      <c r="AZ16" s="70"/>
      <c r="BA16" s="70" t="s">
        <v>314</v>
      </c>
      <c r="BB16" s="70" t="s">
        <v>314</v>
      </c>
      <c r="BC16" s="70"/>
      <c r="BD16" s="70" t="s">
        <v>314</v>
      </c>
      <c r="BE16" s="70" t="s">
        <v>314</v>
      </c>
      <c r="BF16" s="70" t="s">
        <v>314</v>
      </c>
      <c r="BG16" s="70"/>
      <c r="BH16" s="70" t="s">
        <v>314</v>
      </c>
      <c r="BI16" s="70"/>
      <c r="BJ16" s="70"/>
      <c r="BK16" s="70"/>
      <c r="BL16" s="70"/>
      <c r="BM16" s="70" t="s">
        <v>314</v>
      </c>
      <c r="BN16" s="70"/>
    </row>
    <row r="17" spans="1:66" x14ac:dyDescent="0.2">
      <c r="A17" s="59">
        <v>8</v>
      </c>
      <c r="B17" s="67" t="s">
        <v>273</v>
      </c>
      <c r="C17" s="65"/>
      <c r="D17" s="64">
        <v>19</v>
      </c>
      <c r="E17" s="64">
        <f>IF(ISBLANK($D17),"0",IF(($D18-$D17)&lt;($C18-$C17),1,0))</f>
        <v>1</v>
      </c>
      <c r="F17" s="64">
        <f t="shared" ca="1" si="1"/>
        <v>31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 t="s">
        <v>314</v>
      </c>
      <c r="N17" s="69"/>
      <c r="O17" s="69"/>
      <c r="P17" s="69"/>
      <c r="Q17" s="69"/>
      <c r="R17" s="69"/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 t="s">
        <v>314</v>
      </c>
      <c r="AC17" s="69" t="s">
        <v>314</v>
      </c>
      <c r="AD17" s="69"/>
      <c r="AE17" s="69"/>
      <c r="AF17" s="69" t="s">
        <v>314</v>
      </c>
      <c r="AG17" s="69"/>
      <c r="AH17" s="69"/>
      <c r="AI17" s="69"/>
      <c r="AJ17" s="69" t="s">
        <v>314</v>
      </c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/>
      <c r="AT17" s="69"/>
      <c r="AU17" s="69"/>
      <c r="AV17" s="69"/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236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24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 t="s">
        <v>314</v>
      </c>
      <c r="T18" s="70" t="s">
        <v>314</v>
      </c>
      <c r="U18" s="97"/>
      <c r="V18" s="70"/>
      <c r="W18" s="70"/>
      <c r="X18" s="70"/>
      <c r="Y18" s="70" t="s">
        <v>314</v>
      </c>
      <c r="Z18" s="70"/>
      <c r="AA18" s="70"/>
      <c r="AB18" s="70"/>
      <c r="AC18" s="70"/>
      <c r="AD18" s="70" t="s">
        <v>314</v>
      </c>
      <c r="AE18" s="70" t="s">
        <v>314</v>
      </c>
      <c r="AF18" s="70"/>
      <c r="AG18" s="70" t="s">
        <v>314</v>
      </c>
      <c r="AH18" s="70" t="s">
        <v>314</v>
      </c>
      <c r="AI18" s="70" t="s">
        <v>314</v>
      </c>
      <c r="AJ18" s="70"/>
      <c r="AK18" s="70"/>
      <c r="AL18" s="70"/>
      <c r="AM18" s="70"/>
      <c r="AN18" s="70"/>
      <c r="AO18" s="70"/>
      <c r="AP18" s="70"/>
      <c r="AQ18" s="70"/>
      <c r="AR18" s="70"/>
      <c r="AS18" s="70" t="s">
        <v>314</v>
      </c>
      <c r="AT18" s="70" t="s">
        <v>314</v>
      </c>
      <c r="AU18" s="70" t="s">
        <v>314</v>
      </c>
      <c r="AV18" s="70" t="s">
        <v>314</v>
      </c>
      <c r="AW18" s="70"/>
      <c r="AX18" s="70"/>
      <c r="AY18" s="70"/>
      <c r="AZ18" s="70"/>
      <c r="BA18" s="70"/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246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29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314</v>
      </c>
      <c r="L19" s="69"/>
      <c r="M19" s="69" t="s">
        <v>314</v>
      </c>
      <c r="N19" s="69" t="s">
        <v>314</v>
      </c>
      <c r="O19" s="69"/>
      <c r="P19" s="69"/>
      <c r="Q19" s="69" t="s">
        <v>314</v>
      </c>
      <c r="R19" s="69" t="s">
        <v>314</v>
      </c>
      <c r="S19" s="69" t="s">
        <v>314</v>
      </c>
      <c r="T19" s="69" t="s">
        <v>314</v>
      </c>
      <c r="U19" s="96" t="s">
        <v>314</v>
      </c>
      <c r="V19" s="69"/>
      <c r="W19" s="69"/>
      <c r="X19" s="69"/>
      <c r="Y19" s="69"/>
      <c r="Z19" s="69" t="s">
        <v>314</v>
      </c>
      <c r="AA19" s="69"/>
      <c r="AB19" s="69" t="s">
        <v>314</v>
      </c>
      <c r="AC19" s="69" t="s">
        <v>314</v>
      </c>
      <c r="AD19" s="69"/>
      <c r="AE19" s="69" t="s">
        <v>314</v>
      </c>
      <c r="AF19" s="69" t="s">
        <v>314</v>
      </c>
      <c r="AG19" s="69" t="s">
        <v>314</v>
      </c>
      <c r="AH19" s="69" t="s">
        <v>314</v>
      </c>
      <c r="AI19" s="69"/>
      <c r="AJ19" s="69"/>
      <c r="AK19" s="69" t="s">
        <v>314</v>
      </c>
      <c r="AL19" s="69"/>
      <c r="AM19" s="69" t="s">
        <v>314</v>
      </c>
      <c r="AN19" s="69"/>
      <c r="AO19" s="69"/>
      <c r="AP19" s="69"/>
      <c r="AQ19" s="69"/>
      <c r="AR19" s="69" t="s">
        <v>314</v>
      </c>
      <c r="AS19" s="69" t="s">
        <v>314</v>
      </c>
      <c r="AT19" s="69" t="s">
        <v>314</v>
      </c>
      <c r="AU19" s="69"/>
      <c r="AV19" s="69"/>
      <c r="AW19" s="69"/>
      <c r="AX19" s="69"/>
      <c r="AY19" s="69" t="s">
        <v>314</v>
      </c>
      <c r="AZ19" s="69" t="s">
        <v>314</v>
      </c>
      <c r="BA19" s="69" t="s">
        <v>314</v>
      </c>
      <c r="BB19" s="69"/>
      <c r="BC19" s="69"/>
      <c r="BD19" s="69"/>
      <c r="BE19" s="69"/>
      <c r="BF19" s="69" t="s">
        <v>314</v>
      </c>
      <c r="BG19" s="69" t="s">
        <v>314</v>
      </c>
      <c r="BH19" s="69" t="s">
        <v>314</v>
      </c>
      <c r="BI19" s="69"/>
      <c r="BJ19" s="69"/>
      <c r="BK19" s="69" t="s">
        <v>314</v>
      </c>
      <c r="BL19" s="69"/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245</v>
      </c>
      <c r="C20" s="66">
        <v>16.5</v>
      </c>
      <c r="D20" s="64">
        <v>45</v>
      </c>
      <c r="E20" s="64">
        <f>IF(ISBLANK($D20),"0",IF(($D20-$D19)&gt;($C20-$C19),1,0))</f>
        <v>1</v>
      </c>
      <c r="F20" s="64">
        <f t="shared" ca="1" si="1"/>
        <v>26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314</v>
      </c>
      <c r="M20" s="70"/>
      <c r="N20" s="70"/>
      <c r="O20" s="70" t="s">
        <v>314</v>
      </c>
      <c r="P20" s="70" t="s">
        <v>314</v>
      </c>
      <c r="Q20" s="70"/>
      <c r="R20" s="70"/>
      <c r="S20" s="70"/>
      <c r="T20" s="70"/>
      <c r="U20" s="70"/>
      <c r="V20" s="70" t="s">
        <v>314</v>
      </c>
      <c r="W20" s="70" t="s">
        <v>314</v>
      </c>
      <c r="X20" s="70" t="s">
        <v>314</v>
      </c>
      <c r="Y20" s="70" t="s">
        <v>314</v>
      </c>
      <c r="Z20" s="70"/>
      <c r="AA20" s="70" t="s">
        <v>314</v>
      </c>
      <c r="AB20" s="70"/>
      <c r="AC20" s="70"/>
      <c r="AD20" s="70" t="s">
        <v>314</v>
      </c>
      <c r="AE20" s="70"/>
      <c r="AF20" s="70"/>
      <c r="AG20" s="70"/>
      <c r="AH20" s="70"/>
      <c r="AI20" s="70" t="s">
        <v>314</v>
      </c>
      <c r="AJ20" s="70" t="s">
        <v>314</v>
      </c>
      <c r="AK20" s="70"/>
      <c r="AL20" s="70" t="s">
        <v>314</v>
      </c>
      <c r="AM20" s="70"/>
      <c r="AN20" s="70" t="s">
        <v>314</v>
      </c>
      <c r="AO20" s="70" t="s">
        <v>314</v>
      </c>
      <c r="AP20" s="70"/>
      <c r="AQ20" s="70" t="s">
        <v>314</v>
      </c>
      <c r="AR20" s="97"/>
      <c r="AS20" s="70"/>
      <c r="AT20" s="70"/>
      <c r="AU20" s="70" t="s">
        <v>314</v>
      </c>
      <c r="AV20" s="70" t="s">
        <v>314</v>
      </c>
      <c r="AW20" s="70" t="s">
        <v>314</v>
      </c>
      <c r="AX20" s="70" t="s">
        <v>314</v>
      </c>
      <c r="AY20" s="70"/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/>
      <c r="BH20" s="70"/>
      <c r="BI20" s="70" t="s">
        <v>314</v>
      </c>
      <c r="BJ20" s="70" t="s">
        <v>314</v>
      </c>
      <c r="BK20" s="70"/>
      <c r="BL20" s="70" t="s">
        <v>314</v>
      </c>
      <c r="BM20" s="70"/>
      <c r="BN20" s="70"/>
    </row>
    <row r="21" spans="1:66" x14ac:dyDescent="0.2">
      <c r="A21" s="59">
        <v>10</v>
      </c>
      <c r="B21" s="67" t="s">
        <v>153</v>
      </c>
      <c r="C21" s="65">
        <v>11.5</v>
      </c>
      <c r="D21" s="64">
        <v>45</v>
      </c>
      <c r="E21" s="64">
        <f>IF(ISBLANK($D21),"0",IF(($D22-$D21)&lt;($C22-$C21),1,0))</f>
        <v>1</v>
      </c>
      <c r="F21" s="64">
        <f t="shared" ca="1" si="1"/>
        <v>17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/>
      <c r="Q21" s="69" t="s">
        <v>314</v>
      </c>
      <c r="R21" s="69"/>
      <c r="S21" s="69" t="s">
        <v>314</v>
      </c>
      <c r="T21" s="69"/>
      <c r="U21" s="96"/>
      <c r="V21" s="69" t="s">
        <v>314</v>
      </c>
      <c r="W21" s="69"/>
      <c r="X21" s="69"/>
      <c r="Y21" s="69" t="s">
        <v>314</v>
      </c>
      <c r="Z21" s="69"/>
      <c r="AA21" s="69"/>
      <c r="AB21" s="69"/>
      <c r="AC21" s="69"/>
      <c r="AD21" s="69" t="s">
        <v>314</v>
      </c>
      <c r="AE21" s="69"/>
      <c r="AF21" s="69"/>
      <c r="AG21" s="69"/>
      <c r="AH21" s="69" t="s">
        <v>314</v>
      </c>
      <c r="AI21" s="69"/>
      <c r="AJ21" s="69"/>
      <c r="AK21" s="69"/>
      <c r="AL21" s="69"/>
      <c r="AM21" s="69"/>
      <c r="AN21" s="69" t="s">
        <v>314</v>
      </c>
      <c r="AO21" s="69"/>
      <c r="AP21" s="69"/>
      <c r="AQ21" s="69" t="s">
        <v>314</v>
      </c>
      <c r="AR21" s="96" t="s">
        <v>314</v>
      </c>
      <c r="AS21" s="69"/>
      <c r="AT21" s="69"/>
      <c r="AU21" s="69"/>
      <c r="AV21" s="69"/>
      <c r="AW21" s="69"/>
      <c r="AX21" s="69"/>
      <c r="AY21" s="69" t="s">
        <v>314</v>
      </c>
      <c r="AZ21" s="69"/>
      <c r="BA21" s="69" t="s">
        <v>314</v>
      </c>
      <c r="BB21" s="69"/>
      <c r="BC21" s="69"/>
      <c r="BD21" s="69"/>
      <c r="BE21" s="96"/>
      <c r="BF21" s="69"/>
      <c r="BG21" s="69" t="s">
        <v>314</v>
      </c>
      <c r="BH21" s="69" t="s">
        <v>314</v>
      </c>
      <c r="BI21" s="69" t="s">
        <v>314</v>
      </c>
      <c r="BJ21" s="69"/>
      <c r="BK21" s="69"/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167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 t="s">
        <v>314</v>
      </c>
      <c r="Q22" s="70"/>
      <c r="R22" s="70" t="s">
        <v>314</v>
      </c>
      <c r="S22" s="70"/>
      <c r="T22" s="70" t="s">
        <v>314</v>
      </c>
      <c r="U22" s="70" t="s">
        <v>314</v>
      </c>
      <c r="V22" s="70"/>
      <c r="W22" s="70" t="s">
        <v>314</v>
      </c>
      <c r="X22" s="70" t="s">
        <v>314</v>
      </c>
      <c r="Y22" s="70"/>
      <c r="Z22" s="70" t="s">
        <v>314</v>
      </c>
      <c r="AA22" s="70" t="s">
        <v>314</v>
      </c>
      <c r="AB22" s="70" t="s">
        <v>314</v>
      </c>
      <c r="AC22" s="70" t="s">
        <v>314</v>
      </c>
      <c r="AD22" s="70"/>
      <c r="AE22" s="70" t="s">
        <v>314</v>
      </c>
      <c r="AF22" s="70" t="s">
        <v>314</v>
      </c>
      <c r="AG22" s="70" t="s">
        <v>314</v>
      </c>
      <c r="AH22" s="70"/>
      <c r="AI22" s="70" t="s">
        <v>314</v>
      </c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 t="s">
        <v>314</v>
      </c>
      <c r="AP22" s="70"/>
      <c r="AQ22" s="70"/>
      <c r="AR22" s="70"/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/>
      <c r="AZ22" s="70" t="s">
        <v>314</v>
      </c>
      <c r="BA22" s="70"/>
      <c r="BB22" s="70" t="s">
        <v>314</v>
      </c>
      <c r="BC22" s="70" t="s">
        <v>314</v>
      </c>
      <c r="BD22" s="70" t="s">
        <v>314</v>
      </c>
      <c r="BE22" s="70" t="s">
        <v>314</v>
      </c>
      <c r="BF22" s="70" t="s">
        <v>314</v>
      </c>
      <c r="BG22" s="70"/>
      <c r="BH22" s="70"/>
      <c r="BI22" s="70"/>
      <c r="BJ22" s="70" t="s">
        <v>314</v>
      </c>
      <c r="BK22" s="70" t="s">
        <v>314</v>
      </c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28</v>
      </c>
      <c r="L23" s="78">
        <v>34</v>
      </c>
      <c r="M23" s="78">
        <v>35</v>
      </c>
      <c r="N23" s="80">
        <v>42</v>
      </c>
      <c r="O23" s="78">
        <v>21</v>
      </c>
      <c r="P23" s="78">
        <v>31</v>
      </c>
      <c r="Q23" s="78">
        <v>35</v>
      </c>
      <c r="R23" s="78">
        <v>33</v>
      </c>
      <c r="S23" s="78">
        <v>27</v>
      </c>
      <c r="T23" s="78">
        <v>16</v>
      </c>
      <c r="U23" s="78">
        <v>28</v>
      </c>
      <c r="V23" s="78">
        <v>32</v>
      </c>
      <c r="W23" s="78">
        <v>20</v>
      </c>
      <c r="X23" s="78">
        <v>17</v>
      </c>
      <c r="Y23" s="78">
        <v>35</v>
      </c>
      <c r="Z23" s="78">
        <v>24</v>
      </c>
      <c r="AA23" s="78">
        <v>21</v>
      </c>
      <c r="AB23" s="78">
        <v>17</v>
      </c>
      <c r="AC23" s="78">
        <v>24</v>
      </c>
      <c r="AD23" s="78">
        <v>33</v>
      </c>
      <c r="AE23" s="78">
        <v>36</v>
      </c>
      <c r="AF23" s="78">
        <v>31</v>
      </c>
      <c r="AG23" s="78">
        <v>31</v>
      </c>
      <c r="AH23" s="78">
        <v>29</v>
      </c>
      <c r="AI23" s="78">
        <v>27</v>
      </c>
      <c r="AJ23" s="78">
        <v>27</v>
      </c>
      <c r="AK23" s="78">
        <v>33</v>
      </c>
      <c r="AL23" s="78">
        <v>24</v>
      </c>
      <c r="AM23" s="78">
        <v>21</v>
      </c>
      <c r="AN23" s="78">
        <v>28</v>
      </c>
      <c r="AO23" s="78">
        <v>31</v>
      </c>
      <c r="AP23" s="78"/>
      <c r="AQ23" s="78">
        <v>34</v>
      </c>
      <c r="AR23" s="78">
        <v>35</v>
      </c>
      <c r="AS23" s="78">
        <v>21</v>
      </c>
      <c r="AT23" s="78">
        <v>30</v>
      </c>
      <c r="AU23" s="78">
        <v>28</v>
      </c>
      <c r="AV23" s="78">
        <v>27</v>
      </c>
      <c r="AW23" s="78">
        <v>31</v>
      </c>
      <c r="AX23" s="78">
        <v>26</v>
      </c>
      <c r="AY23" s="78">
        <v>28</v>
      </c>
      <c r="AZ23" s="78">
        <v>23</v>
      </c>
      <c r="BA23" s="78">
        <v>34</v>
      </c>
      <c r="BB23" s="78">
        <v>14</v>
      </c>
      <c r="BC23" s="78">
        <v>14</v>
      </c>
      <c r="BD23" s="78">
        <v>28</v>
      </c>
      <c r="BE23" s="78">
        <v>31</v>
      </c>
      <c r="BF23" s="78">
        <v>40</v>
      </c>
      <c r="BG23" s="78">
        <v>22</v>
      </c>
      <c r="BH23" s="78">
        <v>12</v>
      </c>
      <c r="BI23" s="78">
        <v>24</v>
      </c>
      <c r="BJ23" s="78">
        <v>28</v>
      </c>
      <c r="BK23" s="78">
        <v>28</v>
      </c>
      <c r="BL23" s="78">
        <v>31</v>
      </c>
      <c r="BM23" s="78">
        <v>27</v>
      </c>
      <c r="BN23" s="78">
        <v>28</v>
      </c>
    </row>
    <row r="24" spans="1:66" x14ac:dyDescent="0.2">
      <c r="A24" s="61"/>
      <c r="B24" s="68" t="str">
        <f>B22&amp; " - score"</f>
        <v>Virginia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19</v>
      </c>
      <c r="G24" s="61"/>
      <c r="H24" s="62"/>
      <c r="I24" s="63"/>
      <c r="J24" s="79"/>
      <c r="K24" s="79">
        <v>21</v>
      </c>
      <c r="L24" s="79">
        <v>27</v>
      </c>
      <c r="M24" s="79">
        <v>28</v>
      </c>
      <c r="N24" s="79">
        <v>10</v>
      </c>
      <c r="O24" s="79">
        <v>20</v>
      </c>
      <c r="P24" s="79">
        <v>28</v>
      </c>
      <c r="Q24" s="79">
        <v>20</v>
      </c>
      <c r="R24" s="79">
        <v>27</v>
      </c>
      <c r="S24" s="79">
        <v>13</v>
      </c>
      <c r="T24" s="79">
        <v>6</v>
      </c>
      <c r="U24" s="79">
        <v>35</v>
      </c>
      <c r="V24" s="79">
        <v>14</v>
      </c>
      <c r="W24" s="79">
        <v>17</v>
      </c>
      <c r="X24" s="79">
        <v>20</v>
      </c>
      <c r="Y24" s="79">
        <v>10</v>
      </c>
      <c r="Z24" s="79">
        <v>21</v>
      </c>
      <c r="AA24" s="79">
        <v>20</v>
      </c>
      <c r="AB24" s="79">
        <v>12</v>
      </c>
      <c r="AC24" s="79">
        <v>21</v>
      </c>
      <c r="AD24" s="79">
        <v>20</v>
      </c>
      <c r="AE24" s="79">
        <v>27</v>
      </c>
      <c r="AF24" s="79">
        <v>24</v>
      </c>
      <c r="AG24" s="79">
        <v>27</v>
      </c>
      <c r="AH24" s="79">
        <v>17</v>
      </c>
      <c r="AI24" s="79">
        <v>16</v>
      </c>
      <c r="AJ24" s="79">
        <v>21</v>
      </c>
      <c r="AK24" s="79">
        <v>24</v>
      </c>
      <c r="AL24" s="79">
        <v>21</v>
      </c>
      <c r="AM24" s="79">
        <v>19</v>
      </c>
      <c r="AN24" s="79">
        <v>12</v>
      </c>
      <c r="AO24" s="79">
        <v>20</v>
      </c>
      <c r="AP24" s="79"/>
      <c r="AQ24" s="79">
        <v>16</v>
      </c>
      <c r="AR24" s="79">
        <v>23</v>
      </c>
      <c r="AS24" s="79">
        <v>24</v>
      </c>
      <c r="AT24" s="79">
        <v>24</v>
      </c>
      <c r="AU24" s="79">
        <v>21</v>
      </c>
      <c r="AV24" s="79">
        <v>17</v>
      </c>
      <c r="AW24" s="79">
        <v>21</v>
      </c>
      <c r="AX24" s="79">
        <v>24</v>
      </c>
      <c r="AY24" s="79">
        <v>13</v>
      </c>
      <c r="AZ24" s="79">
        <v>17</v>
      </c>
      <c r="BA24" s="79">
        <v>14</v>
      </c>
      <c r="BB24" s="79">
        <v>3</v>
      </c>
      <c r="BC24" s="79">
        <v>21</v>
      </c>
      <c r="BD24" s="79">
        <v>17</v>
      </c>
      <c r="BE24" s="79">
        <v>28</v>
      </c>
      <c r="BF24" s="79">
        <v>41</v>
      </c>
      <c r="BG24" s="79">
        <v>10</v>
      </c>
      <c r="BH24" s="79">
        <v>0</v>
      </c>
      <c r="BI24" s="79">
        <v>10</v>
      </c>
      <c r="BJ24" s="79">
        <v>21</v>
      </c>
      <c r="BK24" s="79">
        <v>24</v>
      </c>
      <c r="BL24" s="79">
        <v>17</v>
      </c>
      <c r="BM24" s="79">
        <v>21</v>
      </c>
      <c r="BN24" s="79">
        <v>14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4</v>
      </c>
      <c r="R25" s="36">
        <f t="shared" si="3"/>
        <v>5</v>
      </c>
      <c r="S25" s="36">
        <f t="shared" si="3"/>
        <v>4</v>
      </c>
      <c r="T25" s="36">
        <f t="shared" si="3"/>
        <v>2</v>
      </c>
      <c r="U25" s="36">
        <f t="shared" si="3"/>
        <v>3</v>
      </c>
      <c r="V25" s="36">
        <f t="shared" si="3"/>
        <v>6</v>
      </c>
      <c r="W25" s="36">
        <f t="shared" si="3"/>
        <v>5</v>
      </c>
      <c r="X25" s="36">
        <f t="shared" si="3"/>
        <v>5</v>
      </c>
      <c r="Y25" s="36">
        <f t="shared" si="3"/>
        <v>4</v>
      </c>
      <c r="Z25" s="36">
        <f t="shared" si="3"/>
        <v>5</v>
      </c>
      <c r="AA25" s="36">
        <f t="shared" si="3"/>
        <v>8</v>
      </c>
      <c r="AB25" s="36">
        <f t="shared" si="3"/>
        <v>6</v>
      </c>
      <c r="AC25" s="36">
        <f t="shared" si="3"/>
        <v>5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3</v>
      </c>
      <c r="AH25" s="36">
        <f t="shared" si="3"/>
        <v>7</v>
      </c>
      <c r="AI25" s="36">
        <f t="shared" si="3"/>
        <v>2</v>
      </c>
      <c r="AJ25" s="36">
        <f t="shared" si="3"/>
        <v>7</v>
      </c>
      <c r="AK25" s="36">
        <f t="shared" si="3"/>
        <v>3</v>
      </c>
      <c r="AL25" s="36">
        <f t="shared" si="3"/>
        <v>3</v>
      </c>
      <c r="AM25" s="36">
        <f t="shared" si="3"/>
        <v>4</v>
      </c>
      <c r="AN25" s="36">
        <f t="shared" si="3"/>
        <v>7</v>
      </c>
      <c r="AO25" s="36">
        <f t="shared" si="3"/>
        <v>4</v>
      </c>
      <c r="AP25" s="36">
        <f t="shared" si="3"/>
        <v>0</v>
      </c>
      <c r="AQ25" s="36">
        <f t="shared" si="3"/>
        <v>8</v>
      </c>
      <c r="AR25" s="36">
        <f t="shared" si="3"/>
        <v>6</v>
      </c>
      <c r="AS25" s="36">
        <f t="shared" si="3"/>
        <v>2</v>
      </c>
      <c r="AT25" s="36">
        <f t="shared" si="3"/>
        <v>4</v>
      </c>
      <c r="AU25" s="36">
        <f t="shared" si="3"/>
        <v>7</v>
      </c>
      <c r="AV25" s="36">
        <f t="shared" si="3"/>
        <v>6</v>
      </c>
      <c r="AW25" s="36">
        <f t="shared" si="3"/>
        <v>3</v>
      </c>
      <c r="AX25" s="36">
        <f t="shared" si="3"/>
        <v>3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4</v>
      </c>
      <c r="BC25" s="36">
        <f t="shared" si="3"/>
        <v>4</v>
      </c>
      <c r="BD25" s="36">
        <f t="shared" si="3"/>
        <v>6</v>
      </c>
      <c r="BE25" s="36">
        <f t="shared" si="3"/>
        <v>6</v>
      </c>
      <c r="BF25" s="36">
        <f t="shared" si="3"/>
        <v>4</v>
      </c>
      <c r="BG25" s="36">
        <f t="shared" si="3"/>
        <v>2</v>
      </c>
      <c r="BH25" s="36">
        <f t="shared" si="3"/>
        <v>5</v>
      </c>
      <c r="BI25" s="36">
        <f t="shared" si="3"/>
        <v>6</v>
      </c>
      <c r="BJ25" s="36">
        <f t="shared" si="3"/>
        <v>7</v>
      </c>
      <c r="BK25" s="36">
        <f t="shared" si="3"/>
        <v>4</v>
      </c>
      <c r="BL25" s="36">
        <f t="shared" si="3"/>
        <v>6</v>
      </c>
      <c r="BM25" s="36">
        <f t="shared" si="3"/>
        <v>4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14</v>
      </c>
      <c r="L26" s="71">
        <f t="shared" si="4"/>
        <v>14</v>
      </c>
      <c r="M26" s="71">
        <f t="shared" si="4"/>
        <v>14</v>
      </c>
      <c r="N26" s="71">
        <f t="shared" si="4"/>
        <v>11</v>
      </c>
      <c r="O26" s="71">
        <f t="shared" si="4"/>
        <v>20</v>
      </c>
      <c r="P26" s="71">
        <f t="shared" si="4"/>
        <v>18</v>
      </c>
      <c r="Q26" s="71">
        <f t="shared" si="4"/>
        <v>6</v>
      </c>
      <c r="R26" s="71">
        <f t="shared" si="4"/>
        <v>15</v>
      </c>
      <c r="S26" s="71">
        <f t="shared" si="4"/>
        <v>7</v>
      </c>
      <c r="T26" s="71">
        <f t="shared" si="4"/>
        <v>11</v>
      </c>
      <c r="U26" s="71">
        <f t="shared" si="4"/>
        <v>28</v>
      </c>
      <c r="V26" s="71">
        <f t="shared" si="4"/>
        <v>3</v>
      </c>
      <c r="W26" s="71">
        <f t="shared" si="4"/>
        <v>18</v>
      </c>
      <c r="X26" s="71">
        <f t="shared" si="4"/>
        <v>24</v>
      </c>
      <c r="Y26" s="71">
        <f t="shared" si="4"/>
        <v>4</v>
      </c>
      <c r="Z26" s="71">
        <f t="shared" si="4"/>
        <v>18</v>
      </c>
      <c r="AA26" s="71">
        <f t="shared" si="4"/>
        <v>20</v>
      </c>
      <c r="AB26" s="71">
        <f t="shared" si="4"/>
        <v>16</v>
      </c>
      <c r="AC26" s="71">
        <f t="shared" si="4"/>
        <v>18</v>
      </c>
      <c r="AD26" s="71">
        <f t="shared" si="4"/>
        <v>8</v>
      </c>
      <c r="AE26" s="71">
        <f t="shared" si="4"/>
        <v>12</v>
      </c>
      <c r="AF26" s="71">
        <f t="shared" si="4"/>
        <v>14</v>
      </c>
      <c r="AG26" s="71">
        <f t="shared" si="4"/>
        <v>17</v>
      </c>
      <c r="AH26" s="71">
        <f t="shared" si="4"/>
        <v>9</v>
      </c>
      <c r="AI26" s="71">
        <f t="shared" si="4"/>
        <v>10</v>
      </c>
      <c r="AJ26" s="71">
        <f t="shared" si="4"/>
        <v>15</v>
      </c>
      <c r="AK26" s="71">
        <f t="shared" si="4"/>
        <v>12</v>
      </c>
      <c r="AL26" s="71">
        <f t="shared" si="4"/>
        <v>18</v>
      </c>
      <c r="AM26" s="71">
        <f t="shared" si="4"/>
        <v>19</v>
      </c>
      <c r="AN26" s="71">
        <f t="shared" si="4"/>
        <v>5</v>
      </c>
      <c r="AO26" s="71">
        <f t="shared" si="4"/>
        <v>10</v>
      </c>
      <c r="AP26" s="71">
        <f t="shared" si="4"/>
        <v>21</v>
      </c>
      <c r="AQ26" s="71">
        <f t="shared" si="4"/>
        <v>3</v>
      </c>
      <c r="AR26" s="71">
        <f t="shared" si="4"/>
        <v>9</v>
      </c>
      <c r="AS26" s="71">
        <f t="shared" si="4"/>
        <v>24</v>
      </c>
      <c r="AT26" s="71">
        <f t="shared" si="4"/>
        <v>15</v>
      </c>
      <c r="AU26" s="71">
        <f t="shared" si="4"/>
        <v>14</v>
      </c>
      <c r="AV26" s="71">
        <f t="shared" si="4"/>
        <v>11</v>
      </c>
      <c r="AW26" s="71">
        <f t="shared" si="4"/>
        <v>11</v>
      </c>
      <c r="AX26" s="71">
        <f t="shared" si="4"/>
        <v>19</v>
      </c>
      <c r="AY26" s="71">
        <f t="shared" si="4"/>
        <v>6</v>
      </c>
      <c r="AZ26" s="71">
        <f t="shared" si="4"/>
        <v>15</v>
      </c>
      <c r="BA26" s="71">
        <f t="shared" si="4"/>
        <v>1</v>
      </c>
      <c r="BB26" s="71">
        <f t="shared" si="4"/>
        <v>10</v>
      </c>
      <c r="BC26" s="71">
        <f t="shared" si="4"/>
        <v>28</v>
      </c>
      <c r="BD26" s="71">
        <f t="shared" si="4"/>
        <v>10</v>
      </c>
      <c r="BE26" s="71">
        <f t="shared" si="4"/>
        <v>18</v>
      </c>
      <c r="BF26" s="71">
        <f t="shared" si="4"/>
        <v>22</v>
      </c>
      <c r="BG26" s="71">
        <f t="shared" si="4"/>
        <v>9</v>
      </c>
      <c r="BH26" s="71">
        <f t="shared" si="4"/>
        <v>9</v>
      </c>
      <c r="BI26" s="71">
        <f t="shared" si="4"/>
        <v>7</v>
      </c>
      <c r="BJ26" s="71">
        <f t="shared" si="4"/>
        <v>14</v>
      </c>
      <c r="BK26" s="71">
        <f t="shared" si="4"/>
        <v>17</v>
      </c>
      <c r="BL26" s="71">
        <f t="shared" si="4"/>
        <v>7</v>
      </c>
      <c r="BM26" s="71">
        <f t="shared" si="4"/>
        <v>15</v>
      </c>
      <c r="BN26" s="71">
        <f t="shared" si="4"/>
        <v>7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20</v>
      </c>
      <c r="L27" s="71">
        <f t="shared" si="5"/>
        <v>8</v>
      </c>
      <c r="M27" s="71">
        <f t="shared" si="5"/>
        <v>6</v>
      </c>
      <c r="N27" s="71">
        <f t="shared" si="5"/>
        <v>17</v>
      </c>
      <c r="O27" s="71">
        <f t="shared" si="5"/>
        <v>28</v>
      </c>
      <c r="P27" s="71">
        <f t="shared" si="5"/>
        <v>10</v>
      </c>
      <c r="Q27" s="71">
        <f t="shared" si="5"/>
        <v>14</v>
      </c>
      <c r="R27" s="71">
        <f t="shared" si="5"/>
        <v>9</v>
      </c>
      <c r="S27" s="71">
        <f t="shared" si="5"/>
        <v>29</v>
      </c>
      <c r="T27" s="71">
        <f t="shared" si="5"/>
        <v>47</v>
      </c>
      <c r="U27" s="71">
        <f t="shared" si="5"/>
        <v>6</v>
      </c>
      <c r="V27" s="71">
        <f t="shared" si="5"/>
        <v>23</v>
      </c>
      <c r="W27" s="71">
        <f t="shared" si="5"/>
        <v>32</v>
      </c>
      <c r="X27" s="71">
        <f t="shared" si="5"/>
        <v>32</v>
      </c>
      <c r="Y27" s="71">
        <f t="shared" si="5"/>
        <v>24</v>
      </c>
      <c r="Z27" s="71">
        <f t="shared" si="5"/>
        <v>24</v>
      </c>
      <c r="AA27" s="71">
        <f t="shared" si="5"/>
        <v>28</v>
      </c>
      <c r="AB27" s="71">
        <f t="shared" si="5"/>
        <v>40</v>
      </c>
      <c r="AC27" s="71">
        <f t="shared" si="5"/>
        <v>24</v>
      </c>
      <c r="AD27" s="71">
        <f t="shared" si="5"/>
        <v>16</v>
      </c>
      <c r="AE27" s="71">
        <f t="shared" si="5"/>
        <v>6</v>
      </c>
      <c r="AF27" s="71">
        <f t="shared" si="5"/>
        <v>14</v>
      </c>
      <c r="AG27" s="71">
        <f t="shared" si="5"/>
        <v>11</v>
      </c>
      <c r="AH27" s="71">
        <f t="shared" si="5"/>
        <v>23</v>
      </c>
      <c r="AI27" s="71">
        <f t="shared" si="5"/>
        <v>26</v>
      </c>
      <c r="AJ27" s="71">
        <f t="shared" si="5"/>
        <v>21</v>
      </c>
      <c r="AK27" s="71">
        <f t="shared" si="5"/>
        <v>12</v>
      </c>
      <c r="AL27" s="71">
        <f t="shared" si="5"/>
        <v>24</v>
      </c>
      <c r="AM27" s="71">
        <f t="shared" si="5"/>
        <v>29</v>
      </c>
      <c r="AN27" s="71">
        <f t="shared" si="5"/>
        <v>29</v>
      </c>
      <c r="AO27" s="71">
        <f t="shared" si="5"/>
        <v>18</v>
      </c>
      <c r="AP27" s="71">
        <f t="shared" si="5"/>
        <v>69</v>
      </c>
      <c r="AQ27" s="71">
        <f t="shared" si="5"/>
        <v>19</v>
      </c>
      <c r="AR27" s="71">
        <f t="shared" si="5"/>
        <v>11</v>
      </c>
      <c r="AS27" s="71">
        <f t="shared" si="5"/>
        <v>24</v>
      </c>
      <c r="AT27" s="71">
        <f t="shared" si="5"/>
        <v>15</v>
      </c>
      <c r="AU27" s="71">
        <f t="shared" si="5"/>
        <v>20</v>
      </c>
      <c r="AV27" s="71">
        <f t="shared" si="5"/>
        <v>25</v>
      </c>
      <c r="AW27" s="71">
        <f t="shared" si="5"/>
        <v>17</v>
      </c>
      <c r="AX27" s="71">
        <f t="shared" si="5"/>
        <v>19</v>
      </c>
      <c r="AY27" s="71">
        <f t="shared" si="5"/>
        <v>28</v>
      </c>
      <c r="AZ27" s="71">
        <f t="shared" si="5"/>
        <v>29</v>
      </c>
      <c r="BA27" s="71">
        <f t="shared" si="5"/>
        <v>21</v>
      </c>
      <c r="BB27" s="71">
        <f t="shared" si="5"/>
        <v>52</v>
      </c>
      <c r="BC27" s="71">
        <f t="shared" si="5"/>
        <v>34</v>
      </c>
      <c r="BD27" s="71">
        <f t="shared" si="5"/>
        <v>24</v>
      </c>
      <c r="BE27" s="71">
        <f t="shared" si="5"/>
        <v>10</v>
      </c>
      <c r="BF27" s="71">
        <f t="shared" si="5"/>
        <v>12</v>
      </c>
      <c r="BG27" s="71">
        <f t="shared" si="5"/>
        <v>37</v>
      </c>
      <c r="BH27" s="71">
        <f t="shared" si="5"/>
        <v>57</v>
      </c>
      <c r="BI27" s="71">
        <f t="shared" si="5"/>
        <v>35</v>
      </c>
      <c r="BJ27" s="71">
        <f t="shared" si="5"/>
        <v>20</v>
      </c>
      <c r="BK27" s="71">
        <f t="shared" si="5"/>
        <v>17</v>
      </c>
      <c r="BL27" s="71">
        <f t="shared" si="5"/>
        <v>21</v>
      </c>
      <c r="BM27" s="71">
        <f t="shared" si="5"/>
        <v>21</v>
      </c>
      <c r="BN27" s="71">
        <f t="shared" si="5"/>
        <v>27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>
        <f t="shared" ca="1" si="6"/>
        <v>1</v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6</v>
      </c>
      <c r="O29" s="71">
        <f t="shared" si="7"/>
        <v>5</v>
      </c>
      <c r="P29" s="71">
        <f t="shared" si="7"/>
        <v>4</v>
      </c>
      <c r="Q29" s="71">
        <f t="shared" si="7"/>
        <v>6</v>
      </c>
      <c r="R29" s="71">
        <f t="shared" si="7"/>
        <v>7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4</v>
      </c>
      <c r="W29" s="71">
        <f t="shared" si="7"/>
        <v>5</v>
      </c>
      <c r="X29" s="71">
        <f t="shared" si="7"/>
        <v>5</v>
      </c>
      <c r="Y29" s="71">
        <f t="shared" si="7"/>
        <v>6</v>
      </c>
      <c r="Z29" s="71">
        <f t="shared" si="7"/>
        <v>7</v>
      </c>
      <c r="AA29" s="71">
        <f t="shared" si="7"/>
        <v>4</v>
      </c>
      <c r="AB29" s="71">
        <f t="shared" si="7"/>
        <v>6</v>
      </c>
      <c r="AC29" s="71">
        <f t="shared" si="7"/>
        <v>9</v>
      </c>
      <c r="AD29" s="71">
        <f t="shared" si="7"/>
        <v>4</v>
      </c>
      <c r="AE29" s="71">
        <f t="shared" si="7"/>
        <v>6</v>
      </c>
      <c r="AF29" s="71">
        <f t="shared" si="7"/>
        <v>6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3</v>
      </c>
      <c r="AL29" s="71">
        <f t="shared" si="7"/>
        <v>3</v>
      </c>
      <c r="AM29" s="71">
        <f t="shared" si="7"/>
        <v>8</v>
      </c>
      <c r="AN29" s="71">
        <f t="shared" si="7"/>
        <v>5</v>
      </c>
      <c r="AO29" s="71">
        <f t="shared" si="7"/>
        <v>4</v>
      </c>
      <c r="AP29" s="71">
        <f t="shared" si="7"/>
        <v>0</v>
      </c>
      <c r="AQ29" s="71">
        <f t="shared" si="7"/>
        <v>6</v>
      </c>
      <c r="AR29" s="71">
        <f t="shared" si="7"/>
        <v>6</v>
      </c>
      <c r="AS29" s="71">
        <f t="shared" si="7"/>
        <v>4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3</v>
      </c>
      <c r="AX29" s="71">
        <f t="shared" si="7"/>
        <v>5</v>
      </c>
      <c r="AY29" s="71">
        <f t="shared" si="7"/>
        <v>7</v>
      </c>
      <c r="AZ29" s="71">
        <f t="shared" si="7"/>
        <v>5</v>
      </c>
      <c r="BA29" s="71">
        <f t="shared" si="7"/>
        <v>7</v>
      </c>
      <c r="BB29" s="71">
        <f t="shared" si="7"/>
        <v>2</v>
      </c>
      <c r="BC29" s="71">
        <f t="shared" si="7"/>
        <v>4</v>
      </c>
      <c r="BD29" s="71">
        <f t="shared" si="7"/>
        <v>6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7</v>
      </c>
      <c r="BI29" s="71">
        <f t="shared" si="7"/>
        <v>6</v>
      </c>
      <c r="BJ29" s="71">
        <f t="shared" si="7"/>
        <v>7</v>
      </c>
      <c r="BK29" s="71">
        <f t="shared" si="7"/>
        <v>6</v>
      </c>
      <c r="BL29" s="71">
        <f t="shared" si="7"/>
        <v>8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4</v>
      </c>
      <c r="R30" s="73">
        <f t="shared" si="8"/>
        <v>7</v>
      </c>
      <c r="S30" s="73">
        <f t="shared" si="8"/>
        <v>4</v>
      </c>
      <c r="T30" s="73">
        <f t="shared" si="8"/>
        <v>6</v>
      </c>
      <c r="U30" s="73">
        <f t="shared" si="8"/>
        <v>5</v>
      </c>
      <c r="V30" s="73">
        <f t="shared" si="8"/>
        <v>4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7</v>
      </c>
      <c r="AA30" s="73">
        <f t="shared" si="8"/>
        <v>4</v>
      </c>
      <c r="AB30" s="73">
        <f t="shared" si="8"/>
        <v>4</v>
      </c>
      <c r="AC30" s="73">
        <f t="shared" si="8"/>
        <v>7</v>
      </c>
      <c r="AD30" s="73">
        <f t="shared" si="8"/>
        <v>2</v>
      </c>
      <c r="AE30" s="73">
        <f t="shared" si="8"/>
        <v>6</v>
      </c>
      <c r="AF30" s="73">
        <f t="shared" si="8"/>
        <v>6</v>
      </c>
      <c r="AG30" s="73">
        <f t="shared" si="8"/>
        <v>5</v>
      </c>
      <c r="AH30" s="73">
        <f t="shared" si="8"/>
        <v>3</v>
      </c>
      <c r="AI30" s="73">
        <f t="shared" si="8"/>
        <v>4</v>
      </c>
      <c r="AJ30" s="73">
        <f t="shared" si="8"/>
        <v>3</v>
      </c>
      <c r="AK30" s="73">
        <f t="shared" si="8"/>
        <v>5</v>
      </c>
      <c r="AL30" s="73">
        <f t="shared" si="8"/>
        <v>5</v>
      </c>
      <c r="AM30" s="73">
        <f t="shared" si="8"/>
        <v>6</v>
      </c>
      <c r="AN30" s="73">
        <f t="shared" si="8"/>
        <v>5</v>
      </c>
      <c r="AO30" s="73">
        <f t="shared" si="8"/>
        <v>4</v>
      </c>
      <c r="AP30" s="73">
        <f t="shared" si="8"/>
        <v>10</v>
      </c>
      <c r="AQ30" s="73">
        <f t="shared" si="8"/>
        <v>2</v>
      </c>
      <c r="AR30" s="73">
        <f t="shared" si="8"/>
        <v>4</v>
      </c>
      <c r="AS30" s="73">
        <f t="shared" si="8"/>
        <v>8</v>
      </c>
      <c r="AT30" s="73">
        <f t="shared" si="8"/>
        <v>8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5</v>
      </c>
      <c r="AY30" s="73">
        <f t="shared" si="8"/>
        <v>5</v>
      </c>
      <c r="AZ30" s="73">
        <f t="shared" si="8"/>
        <v>9</v>
      </c>
      <c r="BA30" s="73">
        <f t="shared" si="8"/>
        <v>5</v>
      </c>
      <c r="BB30" s="73">
        <f t="shared" si="8"/>
        <v>2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4</v>
      </c>
      <c r="BG30" s="73">
        <f t="shared" si="8"/>
        <v>4</v>
      </c>
      <c r="BH30" s="73">
        <f t="shared" si="8"/>
        <v>5</v>
      </c>
      <c r="BI30" s="73">
        <f t="shared" si="8"/>
        <v>4</v>
      </c>
      <c r="BJ30" s="73">
        <f t="shared" si="8"/>
        <v>5</v>
      </c>
      <c r="BK30" s="73">
        <f t="shared" si="8"/>
        <v>10</v>
      </c>
      <c r="BL30" s="73">
        <f t="shared" si="8"/>
        <v>4</v>
      </c>
      <c r="BM30" s="73">
        <f t="shared" si="8"/>
        <v>4</v>
      </c>
      <c r="BN30" s="73">
        <f t="shared" si="8"/>
        <v>5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4</v>
      </c>
      <c r="O31" s="71">
        <f t="shared" ca="1" si="9"/>
        <v>3</v>
      </c>
      <c r="P31" s="71">
        <f t="shared" ca="1" si="9"/>
        <v>6</v>
      </c>
      <c r="Q31" s="71">
        <f t="shared" ca="1" si="9"/>
        <v>4</v>
      </c>
      <c r="R31" s="71">
        <f t="shared" ca="1" si="9"/>
        <v>3</v>
      </c>
      <c r="S31" s="71">
        <f t="shared" ca="1" si="9"/>
        <v>6</v>
      </c>
      <c r="T31" s="71">
        <f t="shared" ca="1" si="9"/>
        <v>4</v>
      </c>
      <c r="U31" s="71">
        <f t="shared" ca="1" si="9"/>
        <v>3</v>
      </c>
      <c r="V31" s="71">
        <f t="shared" ca="1" si="9"/>
        <v>6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6</v>
      </c>
      <c r="AB31" s="71">
        <f t="shared" ca="1" si="9"/>
        <v>2</v>
      </c>
      <c r="AC31" s="71">
        <f t="shared" ca="1" si="9"/>
        <v>1</v>
      </c>
      <c r="AD31" s="71">
        <f t="shared" ca="1" si="9"/>
        <v>6</v>
      </c>
      <c r="AE31" s="71">
        <f t="shared" ca="1" si="9"/>
        <v>4</v>
      </c>
      <c r="AF31" s="71">
        <f t="shared" ca="1" si="9"/>
        <v>4</v>
      </c>
      <c r="AG31" s="71">
        <f t="shared" ca="1" si="9"/>
        <v>3</v>
      </c>
      <c r="AH31" s="71">
        <f t="shared" ca="1" si="9"/>
        <v>5</v>
      </c>
      <c r="AI31" s="71">
        <f t="shared" ca="1" si="9"/>
        <v>4</v>
      </c>
      <c r="AJ31" s="71">
        <f t="shared" ca="1" si="9"/>
        <v>5</v>
      </c>
      <c r="AK31" s="71">
        <f t="shared" ca="1" si="9"/>
        <v>5</v>
      </c>
      <c r="AL31" s="71">
        <f t="shared" ca="1" si="9"/>
        <v>5</v>
      </c>
      <c r="AM31" s="71">
        <f t="shared" ca="1" si="9"/>
        <v>0</v>
      </c>
      <c r="AN31" s="71">
        <f t="shared" ca="1" si="9"/>
        <v>7</v>
      </c>
      <c r="AO31" s="71">
        <f t="shared" ca="1" si="9"/>
        <v>4</v>
      </c>
      <c r="AP31" s="71">
        <f t="shared" ca="1" si="9"/>
        <v>10</v>
      </c>
      <c r="AQ31" s="71">
        <f t="shared" ca="1" si="9"/>
        <v>4</v>
      </c>
      <c r="AR31" s="71">
        <f t="shared" ca="1" si="9"/>
        <v>6</v>
      </c>
      <c r="AS31" s="71">
        <f t="shared" ca="1" si="9"/>
        <v>4</v>
      </c>
      <c r="AT31" s="71">
        <f t="shared" ca="1" si="9"/>
        <v>4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3</v>
      </c>
      <c r="AY31" s="71">
        <f t="shared" ca="1" si="9"/>
        <v>3</v>
      </c>
      <c r="AZ31" s="71">
        <f t="shared" ca="1" si="9"/>
        <v>5</v>
      </c>
      <c r="BA31" s="71">
        <f t="shared" ca="1" si="9"/>
        <v>5</v>
      </c>
      <c r="BB31" s="71">
        <f t="shared" ca="1" si="9"/>
        <v>6</v>
      </c>
      <c r="BC31" s="71">
        <f t="shared" ca="1" si="9"/>
        <v>4</v>
      </c>
      <c r="BD31" s="71">
        <f t="shared" ca="1" si="9"/>
        <v>4</v>
      </c>
      <c r="BE31" s="71">
        <f t="shared" ca="1" si="9"/>
        <v>2</v>
      </c>
      <c r="BF31" s="71">
        <f t="shared" ca="1" si="9"/>
        <v>4</v>
      </c>
      <c r="BG31" s="71">
        <f t="shared" ca="1" si="9"/>
        <v>6</v>
      </c>
      <c r="BH31" s="71">
        <f t="shared" ca="1" si="9"/>
        <v>3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2</v>
      </c>
      <c r="BM31" s="71">
        <f t="shared" ca="1" si="9"/>
        <v>2</v>
      </c>
      <c r="BN31" s="71">
        <f t="shared" ca="1" si="9"/>
        <v>3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59943920</v>
      </c>
      <c r="L36" s="32">
        <f t="shared" si="12"/>
        <v>79943968</v>
      </c>
      <c r="M36" s="32">
        <f t="shared" si="12"/>
        <v>139943976</v>
      </c>
      <c r="N36" s="32">
        <f t="shared" si="12"/>
        <v>81955932</v>
      </c>
      <c r="O36" s="32">
        <f t="shared" si="12"/>
        <v>59919888</v>
      </c>
      <c r="P36" s="32">
        <f t="shared" si="12"/>
        <v>79927960</v>
      </c>
      <c r="Q36" s="32">
        <f t="shared" si="12"/>
        <v>81975944</v>
      </c>
      <c r="R36" s="32">
        <f t="shared" si="12"/>
        <v>99939964</v>
      </c>
      <c r="S36" s="32">
        <f t="shared" si="12"/>
        <v>81971884</v>
      </c>
      <c r="T36" s="32">
        <f t="shared" si="12"/>
        <v>39955812</v>
      </c>
      <c r="U36" s="32">
        <f t="shared" si="12"/>
        <v>59887976</v>
      </c>
      <c r="V36" s="32">
        <f t="shared" si="12"/>
        <v>121987908</v>
      </c>
      <c r="W36" s="32">
        <f t="shared" si="12"/>
        <v>99927872</v>
      </c>
      <c r="X36" s="32">
        <f t="shared" si="12"/>
        <v>99903872</v>
      </c>
      <c r="Y36" s="32">
        <f t="shared" si="12"/>
        <v>81983904</v>
      </c>
      <c r="Z36" s="32">
        <f t="shared" si="12"/>
        <v>99927904</v>
      </c>
      <c r="AA36" s="32">
        <f t="shared" si="12"/>
        <v>159919888</v>
      </c>
      <c r="AB36" s="32">
        <f t="shared" si="12"/>
        <v>119935840</v>
      </c>
      <c r="AC36" s="32">
        <f t="shared" si="12"/>
        <v>99927904</v>
      </c>
      <c r="AD36" s="32">
        <f t="shared" si="12"/>
        <v>121967936</v>
      </c>
      <c r="AE36" s="32">
        <f t="shared" si="12"/>
        <v>79951976</v>
      </c>
      <c r="AF36" s="32">
        <f t="shared" si="12"/>
        <v>119943944</v>
      </c>
      <c r="AG36" s="32">
        <f t="shared" si="12"/>
        <v>59931956</v>
      </c>
      <c r="AH36" s="32">
        <f t="shared" si="12"/>
        <v>141963908</v>
      </c>
      <c r="AI36" s="32">
        <f t="shared" si="12"/>
        <v>39959896</v>
      </c>
      <c r="AJ36" s="32">
        <f t="shared" si="12"/>
        <v>139939916</v>
      </c>
      <c r="AK36" s="32">
        <f t="shared" si="12"/>
        <v>59951952</v>
      </c>
      <c r="AL36" s="32">
        <f t="shared" si="12"/>
        <v>59927904</v>
      </c>
      <c r="AM36" s="32">
        <f t="shared" si="12"/>
        <v>79923884</v>
      </c>
      <c r="AN36" s="32">
        <f t="shared" si="12"/>
        <v>141979884</v>
      </c>
      <c r="AO36" s="32">
        <f t="shared" si="12"/>
        <v>79959928</v>
      </c>
      <c r="AP36" s="32">
        <f t="shared" si="12"/>
        <v>0</v>
      </c>
      <c r="AQ36" s="32">
        <f t="shared" si="12"/>
        <v>161987924</v>
      </c>
      <c r="AR36" s="32">
        <f t="shared" si="12"/>
        <v>121963956</v>
      </c>
      <c r="AS36" s="32">
        <f t="shared" si="12"/>
        <v>39903904</v>
      </c>
      <c r="AT36" s="32">
        <f t="shared" si="12"/>
        <v>79939940</v>
      </c>
      <c r="AU36" s="32">
        <f t="shared" si="12"/>
        <v>139943920</v>
      </c>
      <c r="AV36" s="32">
        <f t="shared" si="12"/>
        <v>119955900</v>
      </c>
      <c r="AW36" s="32">
        <f t="shared" si="12"/>
        <v>59955932</v>
      </c>
      <c r="AX36" s="32">
        <f t="shared" si="12"/>
        <v>59923924</v>
      </c>
      <c r="AY36" s="32">
        <f t="shared" si="12"/>
        <v>101975888</v>
      </c>
      <c r="AZ36" s="32">
        <f t="shared" si="12"/>
        <v>99939884</v>
      </c>
      <c r="BA36" s="32">
        <f t="shared" si="12"/>
        <v>141995916</v>
      </c>
      <c r="BB36" s="32">
        <f t="shared" si="12"/>
        <v>79959792</v>
      </c>
      <c r="BC36" s="32">
        <f t="shared" si="12"/>
        <v>79887864</v>
      </c>
      <c r="BD36" s="32">
        <f t="shared" si="12"/>
        <v>119959904</v>
      </c>
      <c r="BE36" s="32">
        <f t="shared" si="12"/>
        <v>119927960</v>
      </c>
      <c r="BF36" s="32">
        <f t="shared" si="12"/>
        <v>79911952</v>
      </c>
      <c r="BG36" s="32">
        <f t="shared" si="12"/>
        <v>41963852</v>
      </c>
      <c r="BH36" s="32">
        <f t="shared" si="12"/>
        <v>101963772</v>
      </c>
      <c r="BI36" s="32">
        <f t="shared" si="12"/>
        <v>121971860</v>
      </c>
      <c r="BJ36" s="32">
        <f t="shared" si="12"/>
        <v>139943920</v>
      </c>
      <c r="BK36" s="32">
        <f t="shared" si="12"/>
        <v>79931932</v>
      </c>
      <c r="BL36" s="32">
        <f t="shared" si="12"/>
        <v>121971916</v>
      </c>
      <c r="BM36" s="32">
        <f t="shared" si="12"/>
        <v>79939916</v>
      </c>
      <c r="BN36" s="32">
        <f t="shared" si="12"/>
        <v>101971892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9" stopIfTrue="1" operator="equal">
      <formula>0</formula>
    </cfRule>
  </conditionalFormatting>
  <conditionalFormatting sqref="D26:J28 K28:BE28">
    <cfRule type="cellIs" dxfId="216" priority="10" stopIfTrue="1" operator="equal">
      <formula>1</formula>
    </cfRule>
  </conditionalFormatting>
  <conditionalFormatting sqref="H3:I3 F23 H5:I5 H7:I7 H9:I9 H11:I11 H13:I13 H15:I15 H17:I17 H19:I19 H21:I21">
    <cfRule type="cellIs" dxfId="215" priority="11" stopIfTrue="1" operator="equal">
      <formula>0</formula>
    </cfRule>
  </conditionalFormatting>
  <conditionalFormatting sqref="H4:I4 F24 H6:I6 H8:I8 H10:I10 H12:I12 H14:I14 H16:I16 H18:I18 H20:I20 H22:I22">
    <cfRule type="cellIs" dxfId="214" priority="12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5" stopIfTrue="1">
      <formula>AND(COUNTA(J4)=1,$E4=1,SUM($E3:$E4)=1)</formula>
    </cfRule>
    <cfRule type="expression" dxfId="21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17" stopIfTrue="1">
      <formula>AND(COUNTA(J3)=1,$E3=1,SUM($E3:$E4)=1)</formula>
    </cfRule>
    <cfRule type="expression" dxfId="208" priority="18" stopIfTrue="1">
      <formula>AND(COUNTA(J3)=1,$E3=0,SUM($E3:$E4)=1)</formula>
    </cfRule>
  </conditionalFormatting>
  <conditionalFormatting sqref="BF23:BN23">
    <cfRule type="cellIs" dxfId="207" priority="7" stopIfTrue="1" operator="equal">
      <formula>0</formula>
    </cfRule>
  </conditionalFormatting>
  <conditionalFormatting sqref="BF24:BN24">
    <cfRule type="cellIs" dxfId="206" priority="6" stopIfTrue="1" operator="equal">
      <formula>0</formula>
    </cfRule>
  </conditionalFormatting>
  <conditionalFormatting sqref="BF28:BN28">
    <cfRule type="cellIs" dxfId="20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64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210</v>
      </c>
      <c r="C3" s="65">
        <v>7.5</v>
      </c>
      <c r="D3" s="64">
        <v>40</v>
      </c>
      <c r="E3" s="64">
        <f>IF(ISBLANK($D3),"0",IF(($D4-$D3)&lt;($C4-$C3),1,0))</f>
        <v>1</v>
      </c>
      <c r="F3" s="64">
        <f ca="1">COUNTA(INDIRECT("RC11:RC"&amp;11+playercnt-1,FALSE))</f>
        <v>33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/>
      <c r="R3" s="69" t="s">
        <v>314</v>
      </c>
      <c r="S3" s="69" t="s">
        <v>314</v>
      </c>
      <c r="T3" s="69"/>
      <c r="U3" s="69"/>
      <c r="V3" s="69" t="s">
        <v>314</v>
      </c>
      <c r="W3" s="69" t="s">
        <v>314</v>
      </c>
      <c r="X3" s="69" t="s">
        <v>314</v>
      </c>
      <c r="Y3" s="69" t="s">
        <v>314</v>
      </c>
      <c r="Z3" s="69" t="s">
        <v>314</v>
      </c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 t="s">
        <v>314</v>
      </c>
      <c r="AG3" s="69"/>
      <c r="AH3" s="69" t="s">
        <v>314</v>
      </c>
      <c r="AI3" s="69"/>
      <c r="AJ3" s="69"/>
      <c r="AK3" s="69"/>
      <c r="AL3" s="69" t="s">
        <v>314</v>
      </c>
      <c r="AM3" s="69" t="s">
        <v>314</v>
      </c>
      <c r="AN3" s="69"/>
      <c r="AO3" s="69"/>
      <c r="AP3" s="69"/>
      <c r="AQ3" s="69" t="s">
        <v>314</v>
      </c>
      <c r="AR3" s="96" t="s">
        <v>314</v>
      </c>
      <c r="AS3" s="69" t="s">
        <v>314</v>
      </c>
      <c r="AT3" s="69"/>
      <c r="AU3" s="69" t="s">
        <v>314</v>
      </c>
      <c r="AV3" s="69" t="s">
        <v>314</v>
      </c>
      <c r="AW3" s="69"/>
      <c r="AX3" s="69" t="s">
        <v>314</v>
      </c>
      <c r="AY3" s="69" t="s">
        <v>314</v>
      </c>
      <c r="AZ3" s="69"/>
      <c r="BA3" s="69" t="s">
        <v>314</v>
      </c>
      <c r="BB3" s="69" t="s">
        <v>314</v>
      </c>
      <c r="BC3" s="69"/>
      <c r="BD3" s="69"/>
      <c r="BE3" s="96" t="s">
        <v>314</v>
      </c>
      <c r="BF3" s="69" t="s">
        <v>314</v>
      </c>
      <c r="BG3" s="69"/>
      <c r="BH3" s="69" t="s">
        <v>314</v>
      </c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 x14ac:dyDescent="0.2">
      <c r="A4" s="61" t="s">
        <v>3</v>
      </c>
      <c r="B4" s="68" t="s">
        <v>190</v>
      </c>
      <c r="C4" s="66"/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/>
      <c r="P4" s="70" t="s">
        <v>314</v>
      </c>
      <c r="Q4" s="70"/>
      <c r="R4" s="70"/>
      <c r="S4" s="70"/>
      <c r="T4" s="70" t="s">
        <v>314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 t="s">
        <v>314</v>
      </c>
      <c r="AF4" s="70"/>
      <c r="AG4" s="70"/>
      <c r="AH4" s="70"/>
      <c r="AI4" s="70" t="s">
        <v>314</v>
      </c>
      <c r="AJ4" s="70"/>
      <c r="AK4" s="70"/>
      <c r="AL4" s="70"/>
      <c r="AM4" s="70"/>
      <c r="AN4" s="70" t="s">
        <v>314</v>
      </c>
      <c r="AO4" s="70" t="s">
        <v>314</v>
      </c>
      <c r="AP4" s="70"/>
      <c r="AQ4" s="70"/>
      <c r="AR4" s="70"/>
      <c r="AS4" s="70"/>
      <c r="AT4" s="70" t="s">
        <v>314</v>
      </c>
      <c r="AU4" s="70"/>
      <c r="AV4" s="70"/>
      <c r="AW4" s="70" t="s">
        <v>314</v>
      </c>
      <c r="AX4" s="70"/>
      <c r="AY4" s="70"/>
      <c r="AZ4" s="70" t="s">
        <v>314</v>
      </c>
      <c r="BA4" s="70"/>
      <c r="BB4" s="70"/>
      <c r="BC4" s="70" t="s">
        <v>314</v>
      </c>
      <c r="BD4" s="70" t="s">
        <v>314</v>
      </c>
      <c r="BE4" s="70"/>
      <c r="BF4" s="70"/>
      <c r="BG4" s="70"/>
      <c r="BH4" s="70"/>
      <c r="BI4" s="70"/>
      <c r="BJ4" s="70"/>
      <c r="BK4" s="70" t="s">
        <v>314</v>
      </c>
      <c r="BL4" s="70" t="s">
        <v>314</v>
      </c>
      <c r="BM4" s="70"/>
      <c r="BN4" s="70"/>
    </row>
    <row r="5" spans="1:66" x14ac:dyDescent="0.2">
      <c r="A5" s="59">
        <v>2</v>
      </c>
      <c r="B5" s="67" t="s">
        <v>159</v>
      </c>
      <c r="C5" s="65">
        <v>9.5</v>
      </c>
      <c r="D5" s="64">
        <v>48</v>
      </c>
      <c r="E5" s="64">
        <f>IF(ISBLANK($D5),"0",IF(($D6-$D5)&lt;($C6-$C5),1,0))</f>
        <v>0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 t="s">
        <v>314</v>
      </c>
      <c r="N5" s="69"/>
      <c r="O5" s="69"/>
      <c r="P5" s="69" t="s">
        <v>314</v>
      </c>
      <c r="Q5" s="69"/>
      <c r="R5" s="69"/>
      <c r="S5" s="69" t="s">
        <v>314</v>
      </c>
      <c r="T5" s="69"/>
      <c r="U5" s="96"/>
      <c r="V5" s="69"/>
      <c r="W5" s="69" t="s">
        <v>314</v>
      </c>
      <c r="X5" s="69"/>
      <c r="Y5" s="69" t="s">
        <v>314</v>
      </c>
      <c r="Z5" s="69"/>
      <c r="AA5" s="69" t="s">
        <v>314</v>
      </c>
      <c r="AB5" s="69" t="s">
        <v>314</v>
      </c>
      <c r="AC5" s="69"/>
      <c r="AD5" s="69" t="s">
        <v>314</v>
      </c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/>
      <c r="AK5" s="69"/>
      <c r="AL5" s="69" t="s">
        <v>314</v>
      </c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/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 t="s">
        <v>314</v>
      </c>
      <c r="AZ5" s="69" t="s">
        <v>314</v>
      </c>
      <c r="BA5" s="69" t="s">
        <v>314</v>
      </c>
      <c r="BB5" s="69" t="s">
        <v>314</v>
      </c>
      <c r="BC5" s="69" t="s">
        <v>314</v>
      </c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 t="s">
        <v>314</v>
      </c>
      <c r="BJ5" s="69"/>
      <c r="BK5" s="69" t="s">
        <v>314</v>
      </c>
      <c r="BL5" s="69" t="s">
        <v>314</v>
      </c>
      <c r="BM5" s="69" t="s">
        <v>314</v>
      </c>
      <c r="BN5" s="69"/>
    </row>
    <row r="6" spans="1:66" x14ac:dyDescent="0.2">
      <c r="A6" s="61" t="s">
        <v>3</v>
      </c>
      <c r="B6" s="68" t="s">
        <v>248</v>
      </c>
      <c r="C6" s="66"/>
      <c r="D6" s="64">
        <v>43</v>
      </c>
      <c r="E6" s="64">
        <f>IF(ISBLANK($D6),"0",IF(($D6-$D5)&gt;($C6-$C5),1,0))</f>
        <v>1</v>
      </c>
      <c r="F6" s="64">
        <f t="shared" ca="1" si="1"/>
        <v>12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/>
      <c r="T6" s="70" t="s">
        <v>314</v>
      </c>
      <c r="U6" s="70"/>
      <c r="V6" s="70" t="s">
        <v>314</v>
      </c>
      <c r="W6" s="70"/>
      <c r="X6" s="70" t="s">
        <v>314</v>
      </c>
      <c r="Y6" s="70"/>
      <c r="Z6" s="70" t="s">
        <v>314</v>
      </c>
      <c r="AA6" s="70"/>
      <c r="AB6" s="70"/>
      <c r="AC6" s="70" t="s">
        <v>314</v>
      </c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 t="s">
        <v>314</v>
      </c>
      <c r="AS6" s="70" t="s">
        <v>314</v>
      </c>
      <c r="AT6" s="70"/>
      <c r="AU6" s="70"/>
      <c r="AV6" s="70"/>
      <c r="AW6" s="70"/>
      <c r="AX6" s="70" t="s">
        <v>314</v>
      </c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 t="s">
        <v>314</v>
      </c>
      <c r="BK6" s="70"/>
      <c r="BL6" s="70"/>
      <c r="BM6" s="70"/>
      <c r="BN6" s="70"/>
    </row>
    <row r="7" spans="1:66" x14ac:dyDescent="0.2">
      <c r="A7" s="59">
        <v>3</v>
      </c>
      <c r="B7" s="67" t="s">
        <v>161</v>
      </c>
      <c r="C7" s="65"/>
      <c r="D7" s="64">
        <v>32</v>
      </c>
      <c r="E7" s="64">
        <f>IF(ISBLANK($D7),"0",IF(($D8-$D7)&lt;($C8-$C7),1,0))</f>
        <v>0</v>
      </c>
      <c r="F7" s="64">
        <f t="shared" ca="1" si="1"/>
        <v>32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 t="s">
        <v>314</v>
      </c>
      <c r="M7" s="69" t="s">
        <v>314</v>
      </c>
      <c r="N7" s="69" t="s">
        <v>314</v>
      </c>
      <c r="O7" s="69"/>
      <c r="P7" s="69" t="s">
        <v>314</v>
      </c>
      <c r="Q7" s="69"/>
      <c r="R7" s="96" t="s">
        <v>314</v>
      </c>
      <c r="S7" s="96" t="s">
        <v>314</v>
      </c>
      <c r="T7" s="96" t="s">
        <v>314</v>
      </c>
      <c r="U7" s="96"/>
      <c r="V7" s="69" t="s">
        <v>314</v>
      </c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/>
      <c r="AE7" s="69" t="s">
        <v>314</v>
      </c>
      <c r="AF7" s="69" t="s">
        <v>314</v>
      </c>
      <c r="AG7" s="69"/>
      <c r="AH7" s="69" t="s">
        <v>314</v>
      </c>
      <c r="AI7" s="69"/>
      <c r="AJ7" s="69"/>
      <c r="AK7" s="69"/>
      <c r="AL7" s="69" t="s">
        <v>314</v>
      </c>
      <c r="AM7" s="69"/>
      <c r="AN7" s="69"/>
      <c r="AO7" s="69"/>
      <c r="AP7" s="69"/>
      <c r="AQ7" s="69" t="s">
        <v>314</v>
      </c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 t="s">
        <v>314</v>
      </c>
      <c r="BC7" s="69"/>
      <c r="BD7" s="69"/>
      <c r="BE7" s="96"/>
      <c r="BF7" s="69" t="s">
        <v>314</v>
      </c>
      <c r="BG7" s="69"/>
      <c r="BH7" s="69"/>
      <c r="BI7" s="69" t="s">
        <v>314</v>
      </c>
      <c r="BJ7" s="69" t="s">
        <v>314</v>
      </c>
      <c r="BK7" s="69" t="s">
        <v>314</v>
      </c>
      <c r="BL7" s="69" t="s">
        <v>314</v>
      </c>
      <c r="BM7" s="69"/>
      <c r="BN7" s="69"/>
    </row>
    <row r="8" spans="1:66" x14ac:dyDescent="0.2">
      <c r="A8" s="61" t="s">
        <v>3</v>
      </c>
      <c r="B8" s="68" t="s">
        <v>185</v>
      </c>
      <c r="C8" s="66">
        <v>2.5</v>
      </c>
      <c r="D8" s="64">
        <v>35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314</v>
      </c>
      <c r="AB8" s="70"/>
      <c r="AC8" s="70"/>
      <c r="AD8" s="70" t="s">
        <v>314</v>
      </c>
      <c r="AE8" s="70"/>
      <c r="AF8" s="70"/>
      <c r="AG8" s="70"/>
      <c r="AH8" s="70"/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 t="s">
        <v>314</v>
      </c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 t="s">
        <v>314</v>
      </c>
      <c r="BB8" s="70"/>
      <c r="BC8" s="70" t="s">
        <v>314</v>
      </c>
      <c r="BD8" s="70" t="s">
        <v>314</v>
      </c>
      <c r="BE8" s="70" t="s">
        <v>314</v>
      </c>
      <c r="BF8" s="70"/>
      <c r="BG8" s="70"/>
      <c r="BH8" s="70" t="s">
        <v>314</v>
      </c>
      <c r="BI8" s="70"/>
      <c r="BJ8" s="70"/>
      <c r="BK8" s="70"/>
      <c r="BL8" s="70"/>
      <c r="BM8" s="70" t="s">
        <v>314</v>
      </c>
      <c r="BN8" s="70"/>
    </row>
    <row r="9" spans="1:66" x14ac:dyDescent="0.2">
      <c r="A9" s="59">
        <v>4</v>
      </c>
      <c r="B9" s="108" t="s">
        <v>202</v>
      </c>
      <c r="C9" s="65">
        <v>2.5</v>
      </c>
      <c r="D9" s="81">
        <v>45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 t="s">
        <v>314</v>
      </c>
      <c r="M9" s="69" t="s">
        <v>314</v>
      </c>
      <c r="N9" s="69" t="s">
        <v>314</v>
      </c>
      <c r="O9" s="69"/>
      <c r="P9" s="69" t="s">
        <v>314</v>
      </c>
      <c r="Q9" s="69"/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 t="s">
        <v>314</v>
      </c>
      <c r="AB9" s="69" t="s">
        <v>314</v>
      </c>
      <c r="AC9" s="69" t="s">
        <v>314</v>
      </c>
      <c r="AD9" s="69"/>
      <c r="AE9" s="69" t="s">
        <v>314</v>
      </c>
      <c r="AF9" s="69" t="s">
        <v>314</v>
      </c>
      <c r="AG9" s="69"/>
      <c r="AH9" s="69"/>
      <c r="AI9" s="69" t="s">
        <v>314</v>
      </c>
      <c r="AJ9" s="69"/>
      <c r="AK9" s="69"/>
      <c r="AL9" s="69" t="s">
        <v>314</v>
      </c>
      <c r="AM9" s="69" t="s">
        <v>314</v>
      </c>
      <c r="AN9" s="69"/>
      <c r="AO9" s="69"/>
      <c r="AP9" s="69"/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 t="s">
        <v>314</v>
      </c>
      <c r="AY9" s="69" t="s">
        <v>314</v>
      </c>
      <c r="AZ9" s="69"/>
      <c r="BA9" s="69"/>
      <c r="BB9" s="69" t="s">
        <v>314</v>
      </c>
      <c r="BC9" s="69" t="s">
        <v>314</v>
      </c>
      <c r="BD9" s="69" t="s">
        <v>314</v>
      </c>
      <c r="BE9" s="96" t="s">
        <v>314</v>
      </c>
      <c r="BF9" s="69"/>
      <c r="BG9" s="69"/>
      <c r="BH9" s="69"/>
      <c r="BI9" s="69" t="s">
        <v>314</v>
      </c>
      <c r="BJ9" s="69"/>
      <c r="BK9" s="69"/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158</v>
      </c>
      <c r="C10" s="66"/>
      <c r="D10" s="64">
        <v>24</v>
      </c>
      <c r="E10" s="64">
        <f>IF(ISBLANK($D10),"0",IF(($D10-$D9)&gt;($C10-$C9),1,0))</f>
        <v>0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/>
      <c r="S10" s="97" t="s">
        <v>314</v>
      </c>
      <c r="T10" s="97"/>
      <c r="U10" s="70"/>
      <c r="V10" s="70"/>
      <c r="W10" s="70"/>
      <c r="X10" s="70"/>
      <c r="Y10" s="70"/>
      <c r="Z10" s="70" t="s">
        <v>314</v>
      </c>
      <c r="AA10" s="70"/>
      <c r="AB10" s="70"/>
      <c r="AC10" s="70"/>
      <c r="AD10" s="70" t="s">
        <v>314</v>
      </c>
      <c r="AE10" s="70"/>
      <c r="AF10" s="70"/>
      <c r="AG10" s="70"/>
      <c r="AH10" s="70" t="s">
        <v>314</v>
      </c>
      <c r="AI10" s="70"/>
      <c r="AJ10" s="70"/>
      <c r="AK10" s="70"/>
      <c r="AL10" s="70"/>
      <c r="AM10" s="70"/>
      <c r="AN10" s="70" t="s">
        <v>314</v>
      </c>
      <c r="AO10" s="70" t="s">
        <v>314</v>
      </c>
      <c r="AP10" s="70"/>
      <c r="AQ10" s="70"/>
      <c r="AR10" s="70"/>
      <c r="AS10" s="70"/>
      <c r="AT10" s="70"/>
      <c r="AU10" s="70" t="s">
        <v>314</v>
      </c>
      <c r="AV10" s="70"/>
      <c r="AW10" s="70"/>
      <c r="AX10" s="70"/>
      <c r="AY10" s="70"/>
      <c r="AZ10" s="70" t="s">
        <v>314</v>
      </c>
      <c r="BA10" s="70" t="s">
        <v>314</v>
      </c>
      <c r="BB10" s="70"/>
      <c r="BC10" s="70"/>
      <c r="BD10" s="70"/>
      <c r="BE10" s="70"/>
      <c r="BF10" s="70" t="s">
        <v>314</v>
      </c>
      <c r="BG10" s="70"/>
      <c r="BH10" s="70" t="s">
        <v>314</v>
      </c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 x14ac:dyDescent="0.2">
      <c r="A11" s="59">
        <v>5</v>
      </c>
      <c r="B11" s="67" t="s">
        <v>241</v>
      </c>
      <c r="C11" s="65"/>
      <c r="D11" s="64">
        <v>10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 t="s">
        <v>314</v>
      </c>
      <c r="W11" s="69"/>
      <c r="X11" s="69" t="s">
        <v>314</v>
      </c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 t="s">
        <v>314</v>
      </c>
      <c r="AO11" s="69"/>
      <c r="AP11" s="69"/>
      <c r="AQ11" s="69"/>
      <c r="AR11" s="69"/>
      <c r="AS11" s="69" t="s">
        <v>314</v>
      </c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 t="s">
        <v>314</v>
      </c>
      <c r="BG11" s="69"/>
      <c r="BH11" s="69"/>
      <c r="BI11" s="69" t="s">
        <v>314</v>
      </c>
      <c r="BJ11" s="69"/>
      <c r="BK11" s="69" t="s">
        <v>314</v>
      </c>
      <c r="BL11" s="69"/>
      <c r="BM11" s="69"/>
      <c r="BN11" s="69"/>
    </row>
    <row r="12" spans="1:66" x14ac:dyDescent="0.2">
      <c r="A12" s="61" t="s">
        <v>3</v>
      </c>
      <c r="B12" s="68" t="s">
        <v>242</v>
      </c>
      <c r="C12" s="66">
        <v>6.5</v>
      </c>
      <c r="D12" s="64">
        <v>27</v>
      </c>
      <c r="E12" s="64">
        <f>IF(ISBLANK($D12),"0",IF(($D12-$D11)&gt;($C12-$C11),1,0))</f>
        <v>1</v>
      </c>
      <c r="F12" s="64">
        <f t="shared" ca="1" si="1"/>
        <v>40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 t="s">
        <v>314</v>
      </c>
      <c r="N12" s="70" t="s">
        <v>314</v>
      </c>
      <c r="O12" s="70"/>
      <c r="P12" s="70" t="s">
        <v>314</v>
      </c>
      <c r="Q12" s="70"/>
      <c r="R12" s="97" t="s">
        <v>314</v>
      </c>
      <c r="S12" s="97" t="s">
        <v>314</v>
      </c>
      <c r="T12" s="97" t="s">
        <v>314</v>
      </c>
      <c r="U12" s="97"/>
      <c r="V12" s="70"/>
      <c r="W12" s="70" t="s">
        <v>314</v>
      </c>
      <c r="X12" s="70"/>
      <c r="Y12" s="70" t="s">
        <v>314</v>
      </c>
      <c r="Z12" s="70" t="s">
        <v>314</v>
      </c>
      <c r="AA12" s="70" t="s">
        <v>314</v>
      </c>
      <c r="AB12" s="70" t="s">
        <v>314</v>
      </c>
      <c r="AC12" s="70" t="s">
        <v>314</v>
      </c>
      <c r="AD12" s="70" t="s">
        <v>314</v>
      </c>
      <c r="AE12" s="70" t="s">
        <v>314</v>
      </c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 t="s">
        <v>314</v>
      </c>
      <c r="AM12" s="70" t="s">
        <v>314</v>
      </c>
      <c r="AN12" s="70"/>
      <c r="AO12" s="70" t="s">
        <v>314</v>
      </c>
      <c r="AP12" s="70"/>
      <c r="AQ12" s="70" t="s">
        <v>314</v>
      </c>
      <c r="AR12" s="97" t="s">
        <v>314</v>
      </c>
      <c r="AS12" s="70"/>
      <c r="AT12" s="70" t="s">
        <v>314</v>
      </c>
      <c r="AU12" s="70" t="s">
        <v>314</v>
      </c>
      <c r="AV12" s="70" t="s">
        <v>314</v>
      </c>
      <c r="AW12" s="70" t="s">
        <v>314</v>
      </c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 t="s">
        <v>314</v>
      </c>
      <c r="BE12" s="70" t="s">
        <v>314</v>
      </c>
      <c r="BF12" s="70"/>
      <c r="BG12" s="70"/>
      <c r="BH12" s="70" t="s">
        <v>314</v>
      </c>
      <c r="BI12" s="70"/>
      <c r="BJ12" s="70" t="s">
        <v>314</v>
      </c>
      <c r="BK12" s="70"/>
      <c r="BL12" s="70" t="s">
        <v>314</v>
      </c>
      <c r="BM12" s="70" t="s">
        <v>314</v>
      </c>
      <c r="BN12" s="70"/>
    </row>
    <row r="13" spans="1:66" x14ac:dyDescent="0.2">
      <c r="A13" s="59">
        <v>6</v>
      </c>
      <c r="B13" s="67" t="s">
        <v>199</v>
      </c>
      <c r="C13" s="65"/>
      <c r="D13" s="64">
        <v>36</v>
      </c>
      <c r="E13" s="64">
        <f>IF(ISBLANK($D13),"0",IF(($D14-$D13)&lt;($C14-$C13),1,0))</f>
        <v>1</v>
      </c>
      <c r="F13" s="64">
        <f t="shared" ca="1" si="1"/>
        <v>28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/>
      <c r="N13" s="69" t="s">
        <v>314</v>
      </c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 t="s">
        <v>314</v>
      </c>
      <c r="Z13" s="69" t="s">
        <v>314</v>
      </c>
      <c r="AA13" s="69" t="s">
        <v>314</v>
      </c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/>
      <c r="AK13" s="69"/>
      <c r="AL13" s="69"/>
      <c r="AM13" s="69"/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 t="s">
        <v>314</v>
      </c>
      <c r="AV13" s="69" t="s">
        <v>314</v>
      </c>
      <c r="AW13" s="69"/>
      <c r="AX13" s="69"/>
      <c r="AY13" s="69"/>
      <c r="AZ13" s="69" t="s">
        <v>314</v>
      </c>
      <c r="BA13" s="69" t="s">
        <v>314</v>
      </c>
      <c r="BB13" s="69" t="s">
        <v>314</v>
      </c>
      <c r="BC13" s="69" t="s">
        <v>314</v>
      </c>
      <c r="BD13" s="69" t="s">
        <v>314</v>
      </c>
      <c r="BE13" s="96" t="s">
        <v>314</v>
      </c>
      <c r="BF13" s="69" t="s">
        <v>314</v>
      </c>
      <c r="BG13" s="69"/>
      <c r="BH13" s="69"/>
      <c r="BI13" s="69"/>
      <c r="BJ13" s="69" t="s">
        <v>314</v>
      </c>
      <c r="BK13" s="69" t="s">
        <v>314</v>
      </c>
      <c r="BL13" s="69"/>
      <c r="BM13" s="69"/>
      <c r="BN13" s="69"/>
    </row>
    <row r="14" spans="1:66" x14ac:dyDescent="0.2">
      <c r="A14" s="61" t="s">
        <v>3</v>
      </c>
      <c r="B14" s="68" t="s">
        <v>140</v>
      </c>
      <c r="C14" s="66">
        <v>7.5</v>
      </c>
      <c r="D14" s="64">
        <v>28</v>
      </c>
      <c r="E14" s="64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314</v>
      </c>
      <c r="N14" s="70"/>
      <c r="O14" s="70"/>
      <c r="P14" s="70" t="s">
        <v>314</v>
      </c>
      <c r="Q14" s="70"/>
      <c r="R14" s="97" t="s">
        <v>314</v>
      </c>
      <c r="S14" s="97" t="s">
        <v>314</v>
      </c>
      <c r="T14" s="97" t="s">
        <v>314</v>
      </c>
      <c r="U14" s="97"/>
      <c r="V14" s="70" t="s">
        <v>314</v>
      </c>
      <c r="W14" s="70" t="s">
        <v>314</v>
      </c>
      <c r="X14" s="70" t="s">
        <v>314</v>
      </c>
      <c r="Y14" s="70"/>
      <c r="Z14" s="70"/>
      <c r="AA14" s="70"/>
      <c r="AB14" s="70"/>
      <c r="AC14" s="70"/>
      <c r="AD14" s="70" t="s">
        <v>314</v>
      </c>
      <c r="AE14" s="70"/>
      <c r="AF14" s="70"/>
      <c r="AG14" s="70"/>
      <c r="AH14" s="70"/>
      <c r="AI14" s="70" t="s">
        <v>314</v>
      </c>
      <c r="AJ14" s="70"/>
      <c r="AK14" s="70"/>
      <c r="AL14" s="70" t="s">
        <v>314</v>
      </c>
      <c r="AM14" s="70" t="s">
        <v>314</v>
      </c>
      <c r="AN14" s="70"/>
      <c r="AO14" s="70"/>
      <c r="AP14" s="70"/>
      <c r="AQ14" s="70"/>
      <c r="AR14" s="70"/>
      <c r="AS14" s="70"/>
      <c r="AT14" s="70"/>
      <c r="AU14" s="70"/>
      <c r="AV14" s="70"/>
      <c r="AW14" s="70" t="s">
        <v>314</v>
      </c>
      <c r="AX14" s="70" t="s">
        <v>314</v>
      </c>
      <c r="AY14" s="70" t="s">
        <v>314</v>
      </c>
      <c r="AZ14" s="70"/>
      <c r="BA14" s="70"/>
      <c r="BB14" s="70"/>
      <c r="BC14" s="70"/>
      <c r="BD14" s="70"/>
      <c r="BE14" s="70"/>
      <c r="BF14" s="70"/>
      <c r="BG14" s="70"/>
      <c r="BH14" s="70" t="s">
        <v>314</v>
      </c>
      <c r="BI14" s="70" t="s">
        <v>314</v>
      </c>
      <c r="BJ14" s="70"/>
      <c r="BK14" s="70"/>
      <c r="BL14" s="70" t="s">
        <v>314</v>
      </c>
      <c r="BM14" s="70" t="s">
        <v>314</v>
      </c>
      <c r="BN14" s="70"/>
    </row>
    <row r="15" spans="1:66" x14ac:dyDescent="0.2">
      <c r="A15" s="59">
        <v>7</v>
      </c>
      <c r="B15" s="67" t="s">
        <v>188</v>
      </c>
      <c r="C15" s="65"/>
      <c r="D15" s="64">
        <v>29</v>
      </c>
      <c r="E15" s="64">
        <f>IF(ISBLANK($D15),"0",IF(($D16-$D15)&lt;($C16-$C15),1,0))</f>
        <v>1</v>
      </c>
      <c r="F15" s="64">
        <f t="shared" ca="1" si="1"/>
        <v>26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/>
      <c r="P15" s="69"/>
      <c r="Q15" s="69"/>
      <c r="R15" s="96"/>
      <c r="S15" s="96"/>
      <c r="T15" s="96"/>
      <c r="U15" s="96"/>
      <c r="V15" s="69" t="s">
        <v>314</v>
      </c>
      <c r="W15" s="69"/>
      <c r="X15" s="69"/>
      <c r="Y15" s="69"/>
      <c r="Z15" s="69"/>
      <c r="AA15" s="69" t="s">
        <v>314</v>
      </c>
      <c r="AB15" s="69" t="s">
        <v>314</v>
      </c>
      <c r="AC15" s="69" t="s">
        <v>314</v>
      </c>
      <c r="AD15" s="69" t="s">
        <v>314</v>
      </c>
      <c r="AE15" s="69"/>
      <c r="AF15" s="69" t="s">
        <v>314</v>
      </c>
      <c r="AG15" s="69"/>
      <c r="AH15" s="69"/>
      <c r="AI15" s="69"/>
      <c r="AJ15" s="69"/>
      <c r="AK15" s="69"/>
      <c r="AL15" s="69"/>
      <c r="AM15" s="69" t="s">
        <v>314</v>
      </c>
      <c r="AN15" s="69" t="s">
        <v>314</v>
      </c>
      <c r="AO15" s="69"/>
      <c r="AP15" s="69"/>
      <c r="AQ15" s="69"/>
      <c r="AR15" s="69"/>
      <c r="AS15" s="69" t="s">
        <v>314</v>
      </c>
      <c r="AT15" s="69" t="s">
        <v>314</v>
      </c>
      <c r="AU15" s="69"/>
      <c r="AV15" s="69"/>
      <c r="AW15" s="69"/>
      <c r="AX15" s="69" t="s">
        <v>314</v>
      </c>
      <c r="AY15" s="69" t="s">
        <v>314</v>
      </c>
      <c r="AZ15" s="69" t="s">
        <v>314</v>
      </c>
      <c r="BA15" s="69" t="s">
        <v>314</v>
      </c>
      <c r="BB15" s="69" t="s">
        <v>314</v>
      </c>
      <c r="BC15" s="69" t="s">
        <v>314</v>
      </c>
      <c r="BD15" s="69" t="s">
        <v>314</v>
      </c>
      <c r="BE15" s="96" t="s">
        <v>314</v>
      </c>
      <c r="BF15" s="69" t="s">
        <v>314</v>
      </c>
      <c r="BG15" s="69"/>
      <c r="BH15" s="69" t="s">
        <v>314</v>
      </c>
      <c r="BI15" s="69" t="s">
        <v>314</v>
      </c>
      <c r="BJ15" s="69" t="s">
        <v>314</v>
      </c>
      <c r="BK15" s="69" t="s">
        <v>314</v>
      </c>
      <c r="BL15" s="69"/>
      <c r="BM15" s="69"/>
      <c r="BN15" s="69"/>
    </row>
    <row r="16" spans="1:66" x14ac:dyDescent="0.2">
      <c r="A16" s="61" t="s">
        <v>3</v>
      </c>
      <c r="B16" s="68" t="s">
        <v>152</v>
      </c>
      <c r="C16" s="66">
        <v>3.5</v>
      </c>
      <c r="D16" s="64">
        <v>16</v>
      </c>
      <c r="E16" s="64">
        <f>IF(ISBLANK($D16),"0",IF(($D16-$D15)&gt;($C16-$C15),1,0))</f>
        <v>0</v>
      </c>
      <c r="F16" s="64">
        <f t="shared" ca="1" si="1"/>
        <v>21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 t="s">
        <v>314</v>
      </c>
      <c r="Q16" s="70"/>
      <c r="R16" s="70" t="s">
        <v>314</v>
      </c>
      <c r="S16" s="70" t="s">
        <v>314</v>
      </c>
      <c r="T16" s="70" t="s">
        <v>314</v>
      </c>
      <c r="U16" s="70"/>
      <c r="V16" s="70"/>
      <c r="W16" s="70" t="s">
        <v>314</v>
      </c>
      <c r="X16" s="70" t="s">
        <v>314</v>
      </c>
      <c r="Y16" s="70" t="s">
        <v>314</v>
      </c>
      <c r="Z16" s="70" t="s">
        <v>314</v>
      </c>
      <c r="AA16" s="70"/>
      <c r="AB16" s="70"/>
      <c r="AC16" s="70"/>
      <c r="AD16" s="70"/>
      <c r="AE16" s="70" t="s">
        <v>314</v>
      </c>
      <c r="AF16" s="70"/>
      <c r="AG16" s="70"/>
      <c r="AH16" s="70" t="s">
        <v>314</v>
      </c>
      <c r="AI16" s="70" t="s">
        <v>314</v>
      </c>
      <c r="AJ16" s="70"/>
      <c r="AK16" s="70"/>
      <c r="AL16" s="70" t="s">
        <v>314</v>
      </c>
      <c r="AM16" s="70"/>
      <c r="AN16" s="70"/>
      <c r="AO16" s="70" t="s">
        <v>314</v>
      </c>
      <c r="AP16" s="70"/>
      <c r="AQ16" s="70" t="s">
        <v>314</v>
      </c>
      <c r="AR16" s="97" t="s">
        <v>314</v>
      </c>
      <c r="AS16" s="70"/>
      <c r="AT16" s="70"/>
      <c r="AU16" s="70" t="s">
        <v>314</v>
      </c>
      <c r="AV16" s="70" t="s">
        <v>314</v>
      </c>
      <c r="AW16" s="70" t="s">
        <v>314</v>
      </c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138</v>
      </c>
      <c r="C17" s="65"/>
      <c r="D17" s="64">
        <v>20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 t="s">
        <v>314</v>
      </c>
      <c r="N17" s="69" t="s">
        <v>314</v>
      </c>
      <c r="O17" s="69"/>
      <c r="P17" s="69" t="s">
        <v>314</v>
      </c>
      <c r="Q17" s="69"/>
      <c r="R17" s="69"/>
      <c r="S17" s="69" t="s">
        <v>314</v>
      </c>
      <c r="T17" s="69" t="s">
        <v>314</v>
      </c>
      <c r="U17" s="69"/>
      <c r="V17" s="69"/>
      <c r="W17" s="69" t="s">
        <v>314</v>
      </c>
      <c r="X17" s="69" t="s">
        <v>314</v>
      </c>
      <c r="Y17" s="69"/>
      <c r="Z17" s="69" t="s">
        <v>314</v>
      </c>
      <c r="AA17" s="69" t="s">
        <v>314</v>
      </c>
      <c r="AB17" s="69"/>
      <c r="AC17" s="69"/>
      <c r="AD17" s="69"/>
      <c r="AE17" s="69" t="s">
        <v>314</v>
      </c>
      <c r="AF17" s="69" t="s">
        <v>314</v>
      </c>
      <c r="AG17" s="69"/>
      <c r="AH17" s="69" t="s">
        <v>314</v>
      </c>
      <c r="AI17" s="69" t="s">
        <v>314</v>
      </c>
      <c r="AJ17" s="69"/>
      <c r="AK17" s="69"/>
      <c r="AL17" s="69"/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 t="s">
        <v>314</v>
      </c>
      <c r="AS17" s="69" t="s">
        <v>314</v>
      </c>
      <c r="AT17" s="69" t="s">
        <v>314</v>
      </c>
      <c r="AU17" s="69"/>
      <c r="AV17" s="69" t="s">
        <v>314</v>
      </c>
      <c r="AW17" s="69" t="s">
        <v>314</v>
      </c>
      <c r="AX17" s="69" t="s">
        <v>314</v>
      </c>
      <c r="AY17" s="69" t="s">
        <v>314</v>
      </c>
      <c r="AZ17" s="69" t="s">
        <v>314</v>
      </c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/>
      <c r="BG17" s="69"/>
      <c r="BH17" s="69" t="s">
        <v>314</v>
      </c>
      <c r="BI17" s="69" t="s">
        <v>314</v>
      </c>
      <c r="BJ17" s="69" t="s">
        <v>314</v>
      </c>
      <c r="BK17" s="69" t="s">
        <v>314</v>
      </c>
      <c r="BL17" s="69"/>
      <c r="BM17" s="69" t="s">
        <v>314</v>
      </c>
      <c r="BN17" s="69"/>
    </row>
    <row r="18" spans="1:66" x14ac:dyDescent="0.2">
      <c r="A18" s="61" t="s">
        <v>3</v>
      </c>
      <c r="B18" s="68" t="s">
        <v>137</v>
      </c>
      <c r="C18" s="66">
        <v>15.5</v>
      </c>
      <c r="D18" s="64">
        <v>23</v>
      </c>
      <c r="E18" s="64">
        <f>IF(ISBLANK($D18),"0",IF(($D18-$D17)&gt;($C18-$C17),1,0))</f>
        <v>0</v>
      </c>
      <c r="F18" s="64">
        <f t="shared" ca="1" si="1"/>
        <v>11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 t="s">
        <v>314</v>
      </c>
      <c r="S18" s="70"/>
      <c r="T18" s="70"/>
      <c r="U18" s="97"/>
      <c r="V18" s="70" t="s">
        <v>314</v>
      </c>
      <c r="W18" s="70"/>
      <c r="X18" s="70"/>
      <c r="Y18" s="70" t="s">
        <v>314</v>
      </c>
      <c r="Z18" s="70"/>
      <c r="AA18" s="70"/>
      <c r="AB18" s="70" t="s">
        <v>314</v>
      </c>
      <c r="AC18" s="70" t="s">
        <v>314</v>
      </c>
      <c r="AD18" s="70" t="s">
        <v>314</v>
      </c>
      <c r="AE18" s="70"/>
      <c r="AF18" s="70"/>
      <c r="AG18" s="70"/>
      <c r="AH18" s="70"/>
      <c r="AI18" s="70"/>
      <c r="AJ18" s="70"/>
      <c r="AK18" s="70"/>
      <c r="AL18" s="70" t="s">
        <v>314</v>
      </c>
      <c r="AM18" s="70"/>
      <c r="AN18" s="70"/>
      <c r="AO18" s="70"/>
      <c r="AP18" s="70"/>
      <c r="AQ18" s="70"/>
      <c r="AR18" s="70"/>
      <c r="AS18" s="70"/>
      <c r="AT18" s="70"/>
      <c r="AU18" s="70" t="s">
        <v>314</v>
      </c>
      <c r="AV18" s="70"/>
      <c r="AW18" s="70"/>
      <c r="AX18" s="70"/>
      <c r="AY18" s="70"/>
      <c r="AZ18" s="70"/>
      <c r="BA18" s="70"/>
      <c r="BB18" s="70"/>
      <c r="BC18" s="70" t="s">
        <v>314</v>
      </c>
      <c r="BD18" s="70"/>
      <c r="BE18" s="97"/>
      <c r="BF18" s="70" t="s">
        <v>314</v>
      </c>
      <c r="BG18" s="70"/>
      <c r="BH18" s="70"/>
      <c r="BI18" s="70"/>
      <c r="BJ18" s="70"/>
      <c r="BK18" s="70"/>
      <c r="BL18" s="70" t="s">
        <v>314</v>
      </c>
      <c r="BM18" s="70"/>
      <c r="BN18" s="70"/>
    </row>
    <row r="19" spans="1:66" x14ac:dyDescent="0.2">
      <c r="A19" s="59">
        <v>9</v>
      </c>
      <c r="B19" s="67" t="s">
        <v>165</v>
      </c>
      <c r="C19" s="65"/>
      <c r="D19" s="64">
        <v>15</v>
      </c>
      <c r="E19" s="64">
        <f>IF(ISBLANK($D19),"0",IF(($D20-$D19)&lt;($C20-$C19),1,0))</f>
        <v>0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314</v>
      </c>
      <c r="N19" s="69"/>
      <c r="O19" s="69"/>
      <c r="P19" s="69" t="s">
        <v>314</v>
      </c>
      <c r="Q19" s="69"/>
      <c r="R19" s="69"/>
      <c r="S19" s="69" t="s">
        <v>314</v>
      </c>
      <c r="T19" s="69"/>
      <c r="U19" s="96"/>
      <c r="V19" s="69"/>
      <c r="W19" s="69" t="s">
        <v>314</v>
      </c>
      <c r="X19" s="69"/>
      <c r="Y19" s="69"/>
      <c r="Z19" s="69"/>
      <c r="AA19" s="69" t="s">
        <v>314</v>
      </c>
      <c r="AB19" s="69" t="s">
        <v>314</v>
      </c>
      <c r="AC19" s="69" t="s">
        <v>314</v>
      </c>
      <c r="AD19" s="69" t="s">
        <v>314</v>
      </c>
      <c r="AE19" s="69"/>
      <c r="AF19" s="69" t="s">
        <v>314</v>
      </c>
      <c r="AG19" s="69"/>
      <c r="AH19" s="69"/>
      <c r="AI19" s="69"/>
      <c r="AJ19" s="69"/>
      <c r="AK19" s="69"/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/>
      <c r="AV19" s="69"/>
      <c r="AW19" s="69"/>
      <c r="AX19" s="69" t="s">
        <v>314</v>
      </c>
      <c r="AY19" s="69" t="s">
        <v>314</v>
      </c>
      <c r="AZ19" s="69" t="s">
        <v>314</v>
      </c>
      <c r="BA19" s="69"/>
      <c r="BB19" s="69"/>
      <c r="BC19" s="69" t="s">
        <v>314</v>
      </c>
      <c r="BD19" s="69"/>
      <c r="BE19" s="69" t="s">
        <v>314</v>
      </c>
      <c r="BF19" s="69" t="s">
        <v>314</v>
      </c>
      <c r="BG19" s="69"/>
      <c r="BH19" s="69" t="s">
        <v>314</v>
      </c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150</v>
      </c>
      <c r="C20" s="66">
        <v>4.5</v>
      </c>
      <c r="D20" s="64">
        <v>20</v>
      </c>
      <c r="E20" s="64">
        <f>IF(ISBLANK($D20),"0",IF(($D20-$D19)&gt;($C20-$C19),1,0))</f>
        <v>1</v>
      </c>
      <c r="F20" s="64">
        <f t="shared" ca="1" si="1"/>
        <v>22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/>
      <c r="V20" s="70" t="s">
        <v>314</v>
      </c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 t="s">
        <v>314</v>
      </c>
      <c r="AF20" s="70"/>
      <c r="AG20" s="70"/>
      <c r="AH20" s="70" t="s">
        <v>314</v>
      </c>
      <c r="AI20" s="70" t="s">
        <v>314</v>
      </c>
      <c r="AJ20" s="70"/>
      <c r="AK20" s="70"/>
      <c r="AL20" s="70" t="s">
        <v>314</v>
      </c>
      <c r="AM20" s="70"/>
      <c r="AN20" s="70" t="s">
        <v>314</v>
      </c>
      <c r="AO20" s="70"/>
      <c r="AP20" s="70"/>
      <c r="AQ20" s="70"/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/>
      <c r="AY20" s="70"/>
      <c r="AZ20" s="70"/>
      <c r="BA20" s="70" t="s">
        <v>314</v>
      </c>
      <c r="BB20" s="70" t="s">
        <v>314</v>
      </c>
      <c r="BC20" s="70"/>
      <c r="BD20" s="70" t="s">
        <v>314</v>
      </c>
      <c r="BE20" s="97"/>
      <c r="BF20" s="70"/>
      <c r="BG20" s="70"/>
      <c r="BH20" s="70"/>
      <c r="BI20" s="70" t="s">
        <v>314</v>
      </c>
      <c r="BJ20" s="70"/>
      <c r="BK20" s="70"/>
      <c r="BL20" s="70"/>
      <c r="BM20" s="70"/>
      <c r="BN20" s="70"/>
    </row>
    <row r="21" spans="1:66" x14ac:dyDescent="0.2">
      <c r="A21" s="59">
        <v>10</v>
      </c>
      <c r="B21" s="67" t="s">
        <v>155</v>
      </c>
      <c r="C21" s="65">
        <v>3.5</v>
      </c>
      <c r="D21" s="64">
        <v>20</v>
      </c>
      <c r="E21" s="64">
        <f>IF(ISBLANK($D21),"0",IF(($D22-$D21)&lt;($C22-$C21),1,0))</f>
        <v>0</v>
      </c>
      <c r="F21" s="64">
        <f t="shared" ca="1" si="1"/>
        <v>34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314</v>
      </c>
      <c r="M21" s="69" t="s">
        <v>314</v>
      </c>
      <c r="N21" s="69" t="s">
        <v>314</v>
      </c>
      <c r="O21" s="69"/>
      <c r="P21" s="69" t="s">
        <v>314</v>
      </c>
      <c r="Q21" s="69"/>
      <c r="R21" s="69"/>
      <c r="S21" s="69"/>
      <c r="T21" s="69" t="s">
        <v>314</v>
      </c>
      <c r="U21" s="96"/>
      <c r="V21" s="69" t="s">
        <v>314</v>
      </c>
      <c r="W21" s="69"/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/>
      <c r="AD21" s="69" t="s">
        <v>314</v>
      </c>
      <c r="AE21" s="69" t="s">
        <v>314</v>
      </c>
      <c r="AF21" s="69" t="s">
        <v>314</v>
      </c>
      <c r="AG21" s="69"/>
      <c r="AH21" s="69" t="s">
        <v>314</v>
      </c>
      <c r="AI21" s="69"/>
      <c r="AJ21" s="69"/>
      <c r="AK21" s="69"/>
      <c r="AL21" s="69" t="s">
        <v>314</v>
      </c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 t="s">
        <v>314</v>
      </c>
      <c r="AU21" s="69"/>
      <c r="AV21" s="69" t="s">
        <v>314</v>
      </c>
      <c r="AW21" s="69" t="s">
        <v>314</v>
      </c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 t="s">
        <v>314</v>
      </c>
      <c r="BF21" s="69" t="s">
        <v>314</v>
      </c>
      <c r="BG21" s="69"/>
      <c r="BH21" s="69"/>
      <c r="BI21" s="69" t="s">
        <v>314</v>
      </c>
      <c r="BJ21" s="69" t="s">
        <v>314</v>
      </c>
      <c r="BK21" s="69"/>
      <c r="BL21" s="69" t="s">
        <v>314</v>
      </c>
      <c r="BM21" s="69" t="s">
        <v>314</v>
      </c>
      <c r="BN21" s="69"/>
    </row>
    <row r="22" spans="1:66" x14ac:dyDescent="0.2">
      <c r="A22" s="61" t="s">
        <v>3</v>
      </c>
      <c r="B22" s="68" t="s">
        <v>192</v>
      </c>
      <c r="C22" s="66"/>
      <c r="D22" s="64">
        <v>63</v>
      </c>
      <c r="E22" s="64">
        <f>IF(ISBLANK($D22),"0",IF(($D22-$D21)&gt;($C22-$C21),1,0))</f>
        <v>1</v>
      </c>
      <c r="F22" s="64">
        <f t="shared" ca="1" si="1"/>
        <v>13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/>
      <c r="N22" s="70"/>
      <c r="O22" s="70"/>
      <c r="P22" s="70"/>
      <c r="Q22" s="70"/>
      <c r="R22" s="70" t="s">
        <v>314</v>
      </c>
      <c r="S22" s="70" t="s">
        <v>314</v>
      </c>
      <c r="T22" s="70"/>
      <c r="U22" s="70"/>
      <c r="V22" s="70"/>
      <c r="W22" s="70" t="s">
        <v>314</v>
      </c>
      <c r="X22" s="70"/>
      <c r="Y22" s="70"/>
      <c r="Z22" s="70"/>
      <c r="AA22" s="70"/>
      <c r="AB22" s="70" t="s">
        <v>314</v>
      </c>
      <c r="AC22" s="70" t="s">
        <v>314</v>
      </c>
      <c r="AD22" s="70"/>
      <c r="AE22" s="70"/>
      <c r="AF22" s="70"/>
      <c r="AG22" s="70"/>
      <c r="AH22" s="70"/>
      <c r="AI22" s="70" t="s">
        <v>314</v>
      </c>
      <c r="AJ22" s="70"/>
      <c r="AK22" s="70"/>
      <c r="AL22" s="70"/>
      <c r="AM22" s="70"/>
      <c r="AN22" s="70"/>
      <c r="AO22" s="70" t="s">
        <v>314</v>
      </c>
      <c r="AP22" s="70"/>
      <c r="AQ22" s="70" t="s">
        <v>314</v>
      </c>
      <c r="AR22" s="70"/>
      <c r="AS22" s="70"/>
      <c r="AT22" s="70"/>
      <c r="AU22" s="70" t="s">
        <v>314</v>
      </c>
      <c r="AV22" s="70"/>
      <c r="AW22" s="70"/>
      <c r="AX22" s="70"/>
      <c r="AY22" s="70"/>
      <c r="AZ22" s="70" t="s">
        <v>314</v>
      </c>
      <c r="BA22" s="70"/>
      <c r="BB22" s="70"/>
      <c r="BC22" s="70"/>
      <c r="BD22" s="70"/>
      <c r="BE22" s="70"/>
      <c r="BF22" s="70"/>
      <c r="BG22" s="70"/>
      <c r="BH22" s="70" t="s">
        <v>314</v>
      </c>
      <c r="BI22" s="70"/>
      <c r="BJ22" s="70"/>
      <c r="BK22" s="70" t="s">
        <v>314</v>
      </c>
      <c r="BL22" s="70"/>
      <c r="BM22" s="70"/>
      <c r="BN22" s="70"/>
    </row>
    <row r="23" spans="1:66" x14ac:dyDescent="0.2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24</v>
      </c>
      <c r="L23" s="78">
        <v>27</v>
      </c>
      <c r="M23" s="78">
        <v>35</v>
      </c>
      <c r="N23" s="80">
        <v>38</v>
      </c>
      <c r="O23" s="78"/>
      <c r="P23" s="78">
        <v>35</v>
      </c>
      <c r="Q23" s="78"/>
      <c r="R23" s="78">
        <v>17</v>
      </c>
      <c r="S23" s="78">
        <v>34</v>
      </c>
      <c r="T23" s="78">
        <v>49</v>
      </c>
      <c r="U23" s="78"/>
      <c r="V23" s="78">
        <v>37</v>
      </c>
      <c r="W23" s="78">
        <v>27</v>
      </c>
      <c r="X23" s="78">
        <v>24</v>
      </c>
      <c r="Y23" s="78">
        <v>35</v>
      </c>
      <c r="Z23" s="78">
        <v>35</v>
      </c>
      <c r="AA23" s="78">
        <v>28</v>
      </c>
      <c r="AB23" s="78">
        <v>21</v>
      </c>
      <c r="AC23" s="78">
        <v>28</v>
      </c>
      <c r="AD23" s="78">
        <v>35</v>
      </c>
      <c r="AE23" s="78">
        <v>40</v>
      </c>
      <c r="AF23" s="78">
        <v>35</v>
      </c>
      <c r="AG23" s="78"/>
      <c r="AH23" s="78">
        <v>37</v>
      </c>
      <c r="AI23" s="78">
        <v>20</v>
      </c>
      <c r="AJ23" s="78"/>
      <c r="AK23" s="78"/>
      <c r="AL23" s="78">
        <v>21</v>
      </c>
      <c r="AM23" s="78">
        <v>35</v>
      </c>
      <c r="AN23" s="78">
        <v>35</v>
      </c>
      <c r="AO23" s="78">
        <v>24</v>
      </c>
      <c r="AP23" s="78"/>
      <c r="AQ23" s="78">
        <v>37</v>
      </c>
      <c r="AR23" s="78">
        <v>25</v>
      </c>
      <c r="AS23" s="78">
        <v>35</v>
      </c>
      <c r="AT23" s="78">
        <v>37</v>
      </c>
      <c r="AU23" s="78">
        <v>35</v>
      </c>
      <c r="AV23" s="78">
        <v>38</v>
      </c>
      <c r="AW23" s="78">
        <v>24</v>
      </c>
      <c r="AX23" s="78">
        <v>45</v>
      </c>
      <c r="AY23" s="78">
        <v>35</v>
      </c>
      <c r="AZ23" s="78">
        <v>34</v>
      </c>
      <c r="BA23" s="78">
        <v>35</v>
      </c>
      <c r="BB23" s="78">
        <v>28</v>
      </c>
      <c r="BC23" s="78">
        <v>21</v>
      </c>
      <c r="BD23" s="78">
        <v>34</v>
      </c>
      <c r="BE23" s="78">
        <v>42</v>
      </c>
      <c r="BF23" s="78">
        <v>59</v>
      </c>
      <c r="BG23" s="78"/>
      <c r="BH23" s="78">
        <v>35</v>
      </c>
      <c r="BI23" s="78">
        <v>34</v>
      </c>
      <c r="BJ23" s="78">
        <v>38</v>
      </c>
      <c r="BK23" s="78">
        <v>28</v>
      </c>
      <c r="BL23" s="78">
        <v>45</v>
      </c>
      <c r="BM23" s="78">
        <v>31</v>
      </c>
      <c r="BN23" s="78"/>
    </row>
    <row r="24" spans="1:66" x14ac:dyDescent="0.2">
      <c r="A24" s="61"/>
      <c r="B24" s="68" t="str">
        <f>B22&amp; " - score"</f>
        <v>Louisville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39</v>
      </c>
      <c r="G24" s="61"/>
      <c r="H24" s="62"/>
      <c r="I24" s="63"/>
      <c r="J24" s="79"/>
      <c r="K24" s="79">
        <v>27</v>
      </c>
      <c r="L24" s="79">
        <v>20</v>
      </c>
      <c r="M24" s="79">
        <v>24</v>
      </c>
      <c r="N24" s="79">
        <v>10</v>
      </c>
      <c r="O24" s="79"/>
      <c r="P24" s="79">
        <v>30</v>
      </c>
      <c r="Q24" s="79"/>
      <c r="R24" s="79">
        <v>31</v>
      </c>
      <c r="S24" s="79">
        <v>35</v>
      </c>
      <c r="T24" s="79">
        <v>31</v>
      </c>
      <c r="U24" s="79"/>
      <c r="V24" s="79">
        <v>24</v>
      </c>
      <c r="W24" s="79">
        <v>38</v>
      </c>
      <c r="X24" s="79">
        <v>20</v>
      </c>
      <c r="Y24" s="79">
        <v>28</v>
      </c>
      <c r="Z24" s="79">
        <v>31</v>
      </c>
      <c r="AA24" s="79">
        <v>17</v>
      </c>
      <c r="AB24" s="79">
        <v>614</v>
      </c>
      <c r="AC24" s="79">
        <v>35</v>
      </c>
      <c r="AD24" s="79">
        <v>22</v>
      </c>
      <c r="AE24" s="79">
        <v>29</v>
      </c>
      <c r="AF24" s="79">
        <v>31</v>
      </c>
      <c r="AG24" s="79"/>
      <c r="AH24" s="79">
        <v>24</v>
      </c>
      <c r="AI24" s="79">
        <v>27</v>
      </c>
      <c r="AJ24" s="79"/>
      <c r="AK24" s="79"/>
      <c r="AL24" s="79">
        <v>12</v>
      </c>
      <c r="AM24" s="79">
        <v>28</v>
      </c>
      <c r="AN24" s="79">
        <v>21</v>
      </c>
      <c r="AO24" s="79">
        <v>21</v>
      </c>
      <c r="AP24" s="79"/>
      <c r="AQ24" s="79">
        <v>34</v>
      </c>
      <c r="AR24" s="79">
        <v>20</v>
      </c>
      <c r="AS24" s="79">
        <v>28</v>
      </c>
      <c r="AT24" s="79">
        <v>30</v>
      </c>
      <c r="AU24" s="79">
        <v>32</v>
      </c>
      <c r="AV24" s="79">
        <v>31</v>
      </c>
      <c r="AW24" s="79">
        <v>18</v>
      </c>
      <c r="AX24" s="79">
        <v>31</v>
      </c>
      <c r="AY24" s="79">
        <v>27</v>
      </c>
      <c r="AZ24" s="79">
        <v>33</v>
      </c>
      <c r="BA24" s="79">
        <v>14</v>
      </c>
      <c r="BB24" s="79">
        <v>3</v>
      </c>
      <c r="BC24" s="79">
        <v>12</v>
      </c>
      <c r="BD24" s="79">
        <v>28</v>
      </c>
      <c r="BE24" s="79">
        <v>38</v>
      </c>
      <c r="BF24" s="79">
        <v>50</v>
      </c>
      <c r="BG24" s="79"/>
      <c r="BH24" s="79">
        <v>33</v>
      </c>
      <c r="BI24" s="79">
        <v>26</v>
      </c>
      <c r="BJ24" s="79">
        <v>34</v>
      </c>
      <c r="BK24" s="79">
        <v>31</v>
      </c>
      <c r="BL24" s="79">
        <v>41</v>
      </c>
      <c r="BM24" s="79">
        <v>27</v>
      </c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8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8</v>
      </c>
      <c r="O25" s="36">
        <f t="shared" si="3"/>
        <v>0</v>
      </c>
      <c r="P25" s="36">
        <f t="shared" si="3"/>
        <v>3</v>
      </c>
      <c r="Q25" s="36">
        <f t="shared" si="3"/>
        <v>0</v>
      </c>
      <c r="R25" s="36">
        <f t="shared" si="3"/>
        <v>6</v>
      </c>
      <c r="S25" s="36">
        <f t="shared" si="3"/>
        <v>4</v>
      </c>
      <c r="T25" s="36">
        <f t="shared" si="3"/>
        <v>5</v>
      </c>
      <c r="U25" s="36">
        <f t="shared" si="3"/>
        <v>0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5</v>
      </c>
      <c r="Z25" s="36">
        <f t="shared" si="3"/>
        <v>6</v>
      </c>
      <c r="AA25" s="36">
        <f t="shared" si="3"/>
        <v>7</v>
      </c>
      <c r="AB25" s="36">
        <f t="shared" si="3"/>
        <v>6</v>
      </c>
      <c r="AC25" s="36">
        <f t="shared" si="3"/>
        <v>7</v>
      </c>
      <c r="AD25" s="36">
        <f t="shared" si="3"/>
        <v>4</v>
      </c>
      <c r="AE25" s="36">
        <f t="shared" si="3"/>
        <v>5</v>
      </c>
      <c r="AF25" s="36">
        <f t="shared" si="3"/>
        <v>6</v>
      </c>
      <c r="AG25" s="36">
        <f t="shared" si="3"/>
        <v>0</v>
      </c>
      <c r="AH25" s="36">
        <f t="shared" si="3"/>
        <v>5</v>
      </c>
      <c r="AI25" s="36">
        <f t="shared" si="3"/>
        <v>6</v>
      </c>
      <c r="AJ25" s="36">
        <f t="shared" si="3"/>
        <v>0</v>
      </c>
      <c r="AK25" s="36">
        <f t="shared" si="3"/>
        <v>0</v>
      </c>
      <c r="AL25" s="36">
        <f t="shared" si="3"/>
        <v>4</v>
      </c>
      <c r="AM25" s="36">
        <f t="shared" si="3"/>
        <v>6</v>
      </c>
      <c r="AN25" s="36">
        <f t="shared" si="3"/>
        <v>5</v>
      </c>
      <c r="AO25" s="36">
        <f t="shared" si="3"/>
        <v>5</v>
      </c>
      <c r="AP25" s="36">
        <f t="shared" si="3"/>
        <v>0</v>
      </c>
      <c r="AQ25" s="36">
        <f t="shared" si="3"/>
        <v>6</v>
      </c>
      <c r="AR25" s="36">
        <f t="shared" si="3"/>
        <v>7</v>
      </c>
      <c r="AS25" s="36">
        <f t="shared" si="3"/>
        <v>7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5</v>
      </c>
      <c r="BA25" s="36">
        <f t="shared" si="3"/>
        <v>7</v>
      </c>
      <c r="BB25" s="36">
        <f t="shared" si="3"/>
        <v>7</v>
      </c>
      <c r="BC25" s="36">
        <f t="shared" si="3"/>
        <v>5</v>
      </c>
      <c r="BD25" s="36">
        <f t="shared" si="3"/>
        <v>7</v>
      </c>
      <c r="BE25" s="36">
        <f t="shared" si="3"/>
        <v>7</v>
      </c>
      <c r="BF25" s="36">
        <f t="shared" si="3"/>
        <v>3</v>
      </c>
      <c r="BG25" s="36">
        <f t="shared" si="3"/>
        <v>0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 t="shared" si="3"/>
        <v>5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40</v>
      </c>
      <c r="L26" s="71">
        <f t="shared" si="4"/>
        <v>50</v>
      </c>
      <c r="M26" s="71">
        <f t="shared" si="4"/>
        <v>54</v>
      </c>
      <c r="N26" s="71">
        <f t="shared" si="4"/>
        <v>71</v>
      </c>
      <c r="O26" s="71">
        <f t="shared" si="4"/>
        <v>43</v>
      </c>
      <c r="P26" s="71">
        <f t="shared" si="4"/>
        <v>48</v>
      </c>
      <c r="Q26" s="71">
        <f t="shared" si="4"/>
        <v>43</v>
      </c>
      <c r="R26" s="71">
        <f t="shared" si="4"/>
        <v>29</v>
      </c>
      <c r="S26" s="71">
        <f t="shared" si="4"/>
        <v>42</v>
      </c>
      <c r="T26" s="71">
        <f t="shared" si="4"/>
        <v>61</v>
      </c>
      <c r="U26" s="71">
        <f t="shared" si="4"/>
        <v>43</v>
      </c>
      <c r="V26" s="71">
        <f t="shared" si="4"/>
        <v>56</v>
      </c>
      <c r="W26" s="71">
        <f t="shared" si="4"/>
        <v>32</v>
      </c>
      <c r="X26" s="71">
        <f t="shared" si="4"/>
        <v>47</v>
      </c>
      <c r="Y26" s="71">
        <f t="shared" si="4"/>
        <v>50</v>
      </c>
      <c r="Z26" s="71">
        <f t="shared" si="4"/>
        <v>47</v>
      </c>
      <c r="AA26" s="71">
        <f t="shared" si="4"/>
        <v>54</v>
      </c>
      <c r="AB26" s="71">
        <f t="shared" si="4"/>
        <v>550</v>
      </c>
      <c r="AC26" s="71">
        <f t="shared" si="4"/>
        <v>36</v>
      </c>
      <c r="AD26" s="71">
        <f t="shared" si="4"/>
        <v>56</v>
      </c>
      <c r="AE26" s="71">
        <f t="shared" si="4"/>
        <v>54</v>
      </c>
      <c r="AF26" s="71">
        <f t="shared" si="4"/>
        <v>47</v>
      </c>
      <c r="AG26" s="71">
        <f t="shared" si="4"/>
        <v>43</v>
      </c>
      <c r="AH26" s="71">
        <f t="shared" si="4"/>
        <v>56</v>
      </c>
      <c r="AI26" s="71">
        <f t="shared" si="4"/>
        <v>36</v>
      </c>
      <c r="AJ26" s="71">
        <f t="shared" si="4"/>
        <v>43</v>
      </c>
      <c r="AK26" s="71">
        <f t="shared" si="4"/>
        <v>43</v>
      </c>
      <c r="AL26" s="71">
        <f t="shared" si="4"/>
        <v>52</v>
      </c>
      <c r="AM26" s="71">
        <f t="shared" si="4"/>
        <v>50</v>
      </c>
      <c r="AN26" s="71">
        <f t="shared" si="4"/>
        <v>57</v>
      </c>
      <c r="AO26" s="71">
        <f t="shared" si="4"/>
        <v>46</v>
      </c>
      <c r="AP26" s="71">
        <f t="shared" si="4"/>
        <v>43</v>
      </c>
      <c r="AQ26" s="71">
        <f t="shared" si="4"/>
        <v>46</v>
      </c>
      <c r="AR26" s="71">
        <f t="shared" si="4"/>
        <v>48</v>
      </c>
      <c r="AS26" s="71">
        <f t="shared" si="4"/>
        <v>50</v>
      </c>
      <c r="AT26" s="71">
        <f t="shared" si="4"/>
        <v>50</v>
      </c>
      <c r="AU26" s="71">
        <f t="shared" si="4"/>
        <v>46</v>
      </c>
      <c r="AV26" s="71">
        <f t="shared" si="4"/>
        <v>50</v>
      </c>
      <c r="AW26" s="71">
        <f t="shared" si="4"/>
        <v>49</v>
      </c>
      <c r="AX26" s="71">
        <f t="shared" si="4"/>
        <v>57</v>
      </c>
      <c r="AY26" s="71">
        <f t="shared" si="4"/>
        <v>51</v>
      </c>
      <c r="AZ26" s="71">
        <f t="shared" si="4"/>
        <v>44</v>
      </c>
      <c r="BA26" s="71">
        <f t="shared" si="4"/>
        <v>64</v>
      </c>
      <c r="BB26" s="71">
        <f t="shared" si="4"/>
        <v>68</v>
      </c>
      <c r="BC26" s="71">
        <f t="shared" si="4"/>
        <v>52</v>
      </c>
      <c r="BD26" s="71">
        <f t="shared" si="4"/>
        <v>49</v>
      </c>
      <c r="BE26" s="71">
        <f t="shared" si="4"/>
        <v>47</v>
      </c>
      <c r="BF26" s="71">
        <f t="shared" si="4"/>
        <v>52</v>
      </c>
      <c r="BG26" s="71">
        <f t="shared" si="4"/>
        <v>43</v>
      </c>
      <c r="BH26" s="71">
        <f t="shared" si="4"/>
        <v>45</v>
      </c>
      <c r="BI26" s="71">
        <f t="shared" si="4"/>
        <v>51</v>
      </c>
      <c r="BJ26" s="71">
        <f t="shared" si="4"/>
        <v>47</v>
      </c>
      <c r="BK26" s="71">
        <f t="shared" si="4"/>
        <v>40</v>
      </c>
      <c r="BL26" s="71">
        <f t="shared" si="4"/>
        <v>47</v>
      </c>
      <c r="BM26" s="71">
        <f t="shared" si="4"/>
        <v>47</v>
      </c>
      <c r="BN26" s="71">
        <f t="shared" si="4"/>
        <v>43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32</v>
      </c>
      <c r="L27" s="71">
        <f t="shared" si="5"/>
        <v>36</v>
      </c>
      <c r="M27" s="71">
        <f t="shared" si="5"/>
        <v>24</v>
      </c>
      <c r="N27" s="71">
        <f t="shared" si="5"/>
        <v>35</v>
      </c>
      <c r="O27" s="71">
        <f t="shared" si="5"/>
        <v>83</v>
      </c>
      <c r="P27" s="71">
        <f t="shared" si="5"/>
        <v>18</v>
      </c>
      <c r="Q27" s="71">
        <f t="shared" si="5"/>
        <v>83</v>
      </c>
      <c r="R27" s="71">
        <f t="shared" si="5"/>
        <v>35</v>
      </c>
      <c r="S27" s="71">
        <f t="shared" si="5"/>
        <v>14</v>
      </c>
      <c r="T27" s="71">
        <f t="shared" si="5"/>
        <v>3</v>
      </c>
      <c r="U27" s="71">
        <f t="shared" si="5"/>
        <v>83</v>
      </c>
      <c r="V27" s="71">
        <f t="shared" si="5"/>
        <v>22</v>
      </c>
      <c r="W27" s="71">
        <f t="shared" si="5"/>
        <v>18</v>
      </c>
      <c r="X27" s="71">
        <f t="shared" si="5"/>
        <v>39</v>
      </c>
      <c r="Y27" s="71">
        <f t="shared" si="5"/>
        <v>20</v>
      </c>
      <c r="Z27" s="71">
        <f t="shared" si="5"/>
        <v>17</v>
      </c>
      <c r="AA27" s="71">
        <f t="shared" si="5"/>
        <v>38</v>
      </c>
      <c r="AB27" s="71">
        <f t="shared" si="5"/>
        <v>552</v>
      </c>
      <c r="AC27" s="71">
        <f t="shared" si="5"/>
        <v>20</v>
      </c>
      <c r="AD27" s="71">
        <f t="shared" si="5"/>
        <v>26</v>
      </c>
      <c r="AE27" s="71">
        <f t="shared" si="5"/>
        <v>14</v>
      </c>
      <c r="AF27" s="71">
        <f t="shared" si="5"/>
        <v>17</v>
      </c>
      <c r="AG27" s="71">
        <f t="shared" si="5"/>
        <v>83</v>
      </c>
      <c r="AH27" s="71">
        <f t="shared" si="5"/>
        <v>22</v>
      </c>
      <c r="AI27" s="71">
        <f t="shared" si="5"/>
        <v>36</v>
      </c>
      <c r="AJ27" s="71">
        <f t="shared" si="5"/>
        <v>83</v>
      </c>
      <c r="AK27" s="71">
        <f t="shared" si="5"/>
        <v>83</v>
      </c>
      <c r="AL27" s="71">
        <f t="shared" si="5"/>
        <v>50</v>
      </c>
      <c r="AM27" s="71">
        <f t="shared" si="5"/>
        <v>20</v>
      </c>
      <c r="AN27" s="71">
        <f t="shared" si="5"/>
        <v>27</v>
      </c>
      <c r="AO27" s="71">
        <f t="shared" si="5"/>
        <v>38</v>
      </c>
      <c r="AP27" s="71">
        <f t="shared" si="5"/>
        <v>83</v>
      </c>
      <c r="AQ27" s="71">
        <f t="shared" si="5"/>
        <v>12</v>
      </c>
      <c r="AR27" s="71">
        <f t="shared" si="5"/>
        <v>38</v>
      </c>
      <c r="AS27" s="71">
        <f t="shared" si="5"/>
        <v>20</v>
      </c>
      <c r="AT27" s="71">
        <f t="shared" si="5"/>
        <v>16</v>
      </c>
      <c r="AU27" s="71">
        <f t="shared" si="5"/>
        <v>16</v>
      </c>
      <c r="AV27" s="71">
        <f t="shared" si="5"/>
        <v>14</v>
      </c>
      <c r="AW27" s="71">
        <f t="shared" si="5"/>
        <v>41</v>
      </c>
      <c r="AX27" s="71">
        <f t="shared" si="5"/>
        <v>7</v>
      </c>
      <c r="AY27" s="71">
        <f t="shared" si="5"/>
        <v>21</v>
      </c>
      <c r="AZ27" s="71">
        <f t="shared" si="5"/>
        <v>16</v>
      </c>
      <c r="BA27" s="71">
        <f t="shared" si="5"/>
        <v>34</v>
      </c>
      <c r="BB27" s="71">
        <f t="shared" si="5"/>
        <v>52</v>
      </c>
      <c r="BC27" s="71">
        <f t="shared" si="5"/>
        <v>50</v>
      </c>
      <c r="BD27" s="71">
        <f t="shared" si="5"/>
        <v>21</v>
      </c>
      <c r="BE27" s="71">
        <f t="shared" si="5"/>
        <v>3</v>
      </c>
      <c r="BF27" s="71">
        <f t="shared" si="5"/>
        <v>26</v>
      </c>
      <c r="BG27" s="71">
        <f t="shared" si="5"/>
        <v>83</v>
      </c>
      <c r="BH27" s="71">
        <f t="shared" si="5"/>
        <v>15</v>
      </c>
      <c r="BI27" s="71">
        <f t="shared" si="5"/>
        <v>23</v>
      </c>
      <c r="BJ27" s="71">
        <f t="shared" si="5"/>
        <v>11</v>
      </c>
      <c r="BK27" s="71">
        <f t="shared" si="5"/>
        <v>24</v>
      </c>
      <c r="BL27" s="71">
        <f t="shared" si="5"/>
        <v>3</v>
      </c>
      <c r="BM27" s="71">
        <f t="shared" si="5"/>
        <v>25</v>
      </c>
      <c r="BN27" s="71">
        <f t="shared" si="5"/>
        <v>83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>
        <f t="shared" ref="K28:BN28" ca="1" si="6">IF(COUNTA($D$3:$D$22)&lt;2,"",IF(K36=MAX(INDIRECT("R36C11:R36C"&amp;11+playercnt-1,FALSE)),1,""))</f>
        <v>1</v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0.46071428571428569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7</v>
      </c>
      <c r="N29" s="71">
        <f t="shared" si="7"/>
        <v>7</v>
      </c>
      <c r="O29" s="71">
        <f t="shared" si="7"/>
        <v>0</v>
      </c>
      <c r="P29" s="71">
        <f t="shared" si="7"/>
        <v>6</v>
      </c>
      <c r="Q29" s="71">
        <f t="shared" si="7"/>
        <v>0</v>
      </c>
      <c r="R29" s="71">
        <f t="shared" si="7"/>
        <v>3</v>
      </c>
      <c r="S29" s="71">
        <f t="shared" si="7"/>
        <v>5</v>
      </c>
      <c r="T29" s="71">
        <f t="shared" si="7"/>
        <v>4</v>
      </c>
      <c r="U29" s="71">
        <f t="shared" si="7"/>
        <v>0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6</v>
      </c>
      <c r="Z29" s="71">
        <f t="shared" si="7"/>
        <v>5</v>
      </c>
      <c r="AA29" s="71">
        <f t="shared" si="7"/>
        <v>8</v>
      </c>
      <c r="AB29" s="71">
        <f t="shared" si="7"/>
        <v>7</v>
      </c>
      <c r="AC29" s="71">
        <f t="shared" si="7"/>
        <v>6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0</v>
      </c>
      <c r="AH29" s="71">
        <f t="shared" si="7"/>
        <v>6</v>
      </c>
      <c r="AI29" s="71">
        <f t="shared" si="7"/>
        <v>3</v>
      </c>
      <c r="AJ29" s="71">
        <f t="shared" si="7"/>
        <v>0</v>
      </c>
      <c r="AK29" s="71">
        <f t="shared" si="7"/>
        <v>0</v>
      </c>
      <c r="AL29" s="71">
        <f t="shared" si="7"/>
        <v>5</v>
      </c>
      <c r="AM29" s="71">
        <f t="shared" si="7"/>
        <v>7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7</v>
      </c>
      <c r="AR29" s="71">
        <f t="shared" si="7"/>
        <v>6</v>
      </c>
      <c r="AS29" s="71">
        <f t="shared" si="7"/>
        <v>8</v>
      </c>
      <c r="AT29" s="71">
        <f t="shared" si="7"/>
        <v>7</v>
      </c>
      <c r="AU29" s="71">
        <f t="shared" si="7"/>
        <v>3</v>
      </c>
      <c r="AV29" s="71">
        <f t="shared" si="7"/>
        <v>7</v>
      </c>
      <c r="AW29" s="71">
        <f t="shared" si="7"/>
        <v>5</v>
      </c>
      <c r="AX29" s="71">
        <f t="shared" si="7"/>
        <v>7</v>
      </c>
      <c r="AY29" s="71">
        <f t="shared" si="7"/>
        <v>8</v>
      </c>
      <c r="AZ29" s="71">
        <f t="shared" si="7"/>
        <v>6</v>
      </c>
      <c r="BA29" s="71">
        <f t="shared" si="7"/>
        <v>6</v>
      </c>
      <c r="BB29" s="71">
        <f t="shared" si="7"/>
        <v>8</v>
      </c>
      <c r="BC29" s="71">
        <f t="shared" si="7"/>
        <v>6</v>
      </c>
      <c r="BD29" s="71">
        <f t="shared" si="7"/>
        <v>6</v>
      </c>
      <c r="BE29" s="71">
        <f t="shared" si="7"/>
        <v>8</v>
      </c>
      <c r="BF29" s="71">
        <f t="shared" si="7"/>
        <v>8</v>
      </c>
      <c r="BG29" s="71">
        <f t="shared" si="7"/>
        <v>0</v>
      </c>
      <c r="BH29" s="71">
        <f t="shared" si="7"/>
        <v>5</v>
      </c>
      <c r="BI29" s="71">
        <f t="shared" si="7"/>
        <v>8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6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-22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3</v>
      </c>
      <c r="N30" s="73">
        <f t="shared" si="8"/>
        <v>5</v>
      </c>
      <c r="O30" s="73">
        <f t="shared" si="8"/>
        <v>10</v>
      </c>
      <c r="P30" s="73">
        <f t="shared" si="8"/>
        <v>4</v>
      </c>
      <c r="Q30" s="73">
        <f t="shared" si="8"/>
        <v>10</v>
      </c>
      <c r="R30" s="73">
        <f t="shared" si="8"/>
        <v>3</v>
      </c>
      <c r="S30" s="73">
        <f t="shared" si="8"/>
        <v>5</v>
      </c>
      <c r="T30" s="73">
        <f t="shared" si="8"/>
        <v>4</v>
      </c>
      <c r="U30" s="73">
        <f t="shared" si="8"/>
        <v>10</v>
      </c>
      <c r="V30" s="73">
        <f t="shared" si="8"/>
        <v>4</v>
      </c>
      <c r="W30" s="73">
        <f t="shared" si="8"/>
        <v>4</v>
      </c>
      <c r="X30" s="73">
        <f t="shared" si="8"/>
        <v>4</v>
      </c>
      <c r="Y30" s="73">
        <f t="shared" si="8"/>
        <v>2</v>
      </c>
      <c r="Z30" s="73">
        <f t="shared" si="8"/>
        <v>5</v>
      </c>
      <c r="AA30" s="73">
        <f t="shared" si="8"/>
        <v>4</v>
      </c>
      <c r="AB30" s="73">
        <f t="shared" si="8"/>
        <v>5</v>
      </c>
      <c r="AC30" s="73">
        <f t="shared" si="8"/>
        <v>6</v>
      </c>
      <c r="AD30" s="73">
        <f t="shared" si="8"/>
        <v>3</v>
      </c>
      <c r="AE30" s="73">
        <f t="shared" si="8"/>
        <v>4</v>
      </c>
      <c r="AF30" s="73">
        <f t="shared" si="8"/>
        <v>5</v>
      </c>
      <c r="AG30" s="73">
        <f t="shared" si="8"/>
        <v>10</v>
      </c>
      <c r="AH30" s="73">
        <f t="shared" si="8"/>
        <v>4</v>
      </c>
      <c r="AI30" s="73">
        <f t="shared" si="8"/>
        <v>3</v>
      </c>
      <c r="AJ30" s="73">
        <f t="shared" si="8"/>
        <v>10</v>
      </c>
      <c r="AK30" s="73">
        <f t="shared" si="8"/>
        <v>10</v>
      </c>
      <c r="AL30" s="73">
        <f t="shared" si="8"/>
        <v>1</v>
      </c>
      <c r="AM30" s="73">
        <f t="shared" si="8"/>
        <v>3</v>
      </c>
      <c r="AN30" s="73">
        <f t="shared" si="8"/>
        <v>6</v>
      </c>
      <c r="AO30" s="73">
        <f t="shared" si="8"/>
        <v>6</v>
      </c>
      <c r="AP30" s="73">
        <f t="shared" si="8"/>
        <v>10</v>
      </c>
      <c r="AQ30" s="73">
        <f t="shared" si="8"/>
        <v>5</v>
      </c>
      <c r="AR30" s="73">
        <f t="shared" si="8"/>
        <v>4</v>
      </c>
      <c r="AS30" s="73">
        <f t="shared" si="8"/>
        <v>6</v>
      </c>
      <c r="AT30" s="73">
        <f t="shared" si="8"/>
        <v>5</v>
      </c>
      <c r="AU30" s="73">
        <f t="shared" si="8"/>
        <v>3</v>
      </c>
      <c r="AV30" s="73">
        <f t="shared" si="8"/>
        <v>3</v>
      </c>
      <c r="AW30" s="73">
        <f t="shared" si="8"/>
        <v>3</v>
      </c>
      <c r="AX30" s="73">
        <f t="shared" si="8"/>
        <v>5</v>
      </c>
      <c r="AY30" s="73">
        <f t="shared" si="8"/>
        <v>4</v>
      </c>
      <c r="AZ30" s="73">
        <f t="shared" si="8"/>
        <v>8</v>
      </c>
      <c r="BA30" s="73">
        <f t="shared" si="8"/>
        <v>4</v>
      </c>
      <c r="BB30" s="73">
        <f t="shared" si="8"/>
        <v>4</v>
      </c>
      <c r="BC30" s="73">
        <f t="shared" si="8"/>
        <v>4</v>
      </c>
      <c r="BD30" s="73">
        <f t="shared" si="8"/>
        <v>4</v>
      </c>
      <c r="BE30" s="73">
        <f t="shared" si="8"/>
        <v>4</v>
      </c>
      <c r="BF30" s="73">
        <f t="shared" si="8"/>
        <v>6</v>
      </c>
      <c r="BG30" s="73">
        <f t="shared" si="8"/>
        <v>10</v>
      </c>
      <c r="BH30" s="73">
        <f t="shared" si="8"/>
        <v>5</v>
      </c>
      <c r="BI30" s="73">
        <f t="shared" si="8"/>
        <v>4</v>
      </c>
      <c r="BJ30" s="73">
        <f t="shared" si="8"/>
        <v>7</v>
      </c>
      <c r="BK30" s="73">
        <f t="shared" si="8"/>
        <v>9</v>
      </c>
      <c r="BL30" s="73">
        <f t="shared" si="8"/>
        <v>4</v>
      </c>
      <c r="BM30" s="73">
        <f t="shared" si="8"/>
        <v>2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2</v>
      </c>
      <c r="O31" s="71">
        <f t="shared" ca="1" si="9"/>
        <v>10</v>
      </c>
      <c r="P31" s="71">
        <f t="shared" ca="1" si="9"/>
        <v>3</v>
      </c>
      <c r="Q31" s="71">
        <f t="shared" ca="1" si="9"/>
        <v>10</v>
      </c>
      <c r="R31" s="71">
        <f t="shared" ca="1" si="9"/>
        <v>6</v>
      </c>
      <c r="S31" s="71">
        <f t="shared" ca="1" si="9"/>
        <v>4</v>
      </c>
      <c r="T31" s="71">
        <f t="shared" ca="1" si="9"/>
        <v>5</v>
      </c>
      <c r="U31" s="71">
        <f t="shared" ca="1" si="9"/>
        <v>10</v>
      </c>
      <c r="V31" s="71">
        <f t="shared" ca="1" si="9"/>
        <v>5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1</v>
      </c>
      <c r="AB31" s="71">
        <f t="shared" ca="1" si="9"/>
        <v>2</v>
      </c>
      <c r="AC31" s="71">
        <f t="shared" ca="1" si="9"/>
        <v>3</v>
      </c>
      <c r="AD31" s="71">
        <f t="shared" ca="1" si="9"/>
        <v>4</v>
      </c>
      <c r="AE31" s="71">
        <f t="shared" ca="1" si="9"/>
        <v>3</v>
      </c>
      <c r="AF31" s="71">
        <f t="shared" ca="1" si="9"/>
        <v>0</v>
      </c>
      <c r="AG31" s="71">
        <f t="shared" ca="1" si="9"/>
        <v>10</v>
      </c>
      <c r="AH31" s="71">
        <f t="shared" ca="1" si="9"/>
        <v>3</v>
      </c>
      <c r="AI31" s="71">
        <f t="shared" ca="1" si="9"/>
        <v>6</v>
      </c>
      <c r="AJ31" s="71">
        <f t="shared" ca="1" si="9"/>
        <v>10</v>
      </c>
      <c r="AK31" s="71">
        <f t="shared" ca="1" si="9"/>
        <v>10</v>
      </c>
      <c r="AL31" s="71">
        <f t="shared" ca="1" si="9"/>
        <v>4</v>
      </c>
      <c r="AM31" s="71">
        <f t="shared" ca="1" si="9"/>
        <v>2</v>
      </c>
      <c r="AN31" s="71">
        <f t="shared" ca="1" si="9"/>
        <v>5</v>
      </c>
      <c r="AO31" s="71">
        <f t="shared" ca="1" si="9"/>
        <v>5</v>
      </c>
      <c r="AP31" s="71">
        <f t="shared" ca="1" si="9"/>
        <v>10</v>
      </c>
      <c r="AQ31" s="71">
        <f t="shared" ca="1" si="9"/>
        <v>2</v>
      </c>
      <c r="AR31" s="71">
        <f t="shared" ca="1" si="9"/>
        <v>3</v>
      </c>
      <c r="AS31" s="71">
        <f t="shared" ca="1" si="9"/>
        <v>3</v>
      </c>
      <c r="AT31" s="71">
        <f t="shared" ca="1" si="9"/>
        <v>2</v>
      </c>
      <c r="AU31" s="71">
        <f t="shared" ca="1" si="9"/>
        <v>6</v>
      </c>
      <c r="AV31" s="71">
        <f t="shared" ca="1" si="9"/>
        <v>2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3</v>
      </c>
      <c r="BA31" s="71">
        <f t="shared" ca="1" si="9"/>
        <v>3</v>
      </c>
      <c r="BB31" s="71">
        <f t="shared" ca="1" si="9"/>
        <v>1</v>
      </c>
      <c r="BC31" s="71">
        <f t="shared" ca="1" si="9"/>
        <v>3</v>
      </c>
      <c r="BD31" s="71">
        <f t="shared" ca="1" si="9"/>
        <v>3</v>
      </c>
      <c r="BE31" s="71">
        <f t="shared" ca="1" si="9"/>
        <v>1</v>
      </c>
      <c r="BF31" s="71">
        <f t="shared" ca="1" si="9"/>
        <v>3</v>
      </c>
      <c r="BG31" s="71">
        <f t="shared" ca="1" si="9"/>
        <v>10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0</v>
      </c>
      <c r="AH35" s="35">
        <f t="shared" si="10"/>
        <v>10</v>
      </c>
      <c r="AI35" s="35">
        <f t="shared" si="10"/>
        <v>10</v>
      </c>
      <c r="AJ35" s="35">
        <f t="shared" si="10"/>
        <v>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161839872</v>
      </c>
      <c r="L36" s="32">
        <f t="shared" si="12"/>
        <v>139799856</v>
      </c>
      <c r="M36" s="32">
        <f t="shared" si="12"/>
        <v>79783904</v>
      </c>
      <c r="N36" s="32">
        <f t="shared" si="12"/>
        <v>159715860</v>
      </c>
      <c r="O36" s="32">
        <f t="shared" si="12"/>
        <v>0</v>
      </c>
      <c r="P36" s="32">
        <f t="shared" si="12"/>
        <v>59807928</v>
      </c>
      <c r="Q36" s="32">
        <f t="shared" si="12"/>
        <v>0</v>
      </c>
      <c r="R36" s="32">
        <f t="shared" si="12"/>
        <v>121883860</v>
      </c>
      <c r="S36" s="32">
        <f t="shared" si="12"/>
        <v>81831944</v>
      </c>
      <c r="T36" s="32">
        <f t="shared" si="12"/>
        <v>99755988</v>
      </c>
      <c r="U36" s="32">
        <f t="shared" si="12"/>
        <v>0</v>
      </c>
      <c r="V36" s="32">
        <f t="shared" si="12"/>
        <v>99775912</v>
      </c>
      <c r="W36" s="32">
        <f t="shared" si="12"/>
        <v>101871928</v>
      </c>
      <c r="X36" s="32">
        <f t="shared" si="12"/>
        <v>99811844</v>
      </c>
      <c r="Y36" s="32">
        <f t="shared" si="12"/>
        <v>99799920</v>
      </c>
      <c r="Z36" s="32">
        <f t="shared" si="12"/>
        <v>119811932</v>
      </c>
      <c r="AA36" s="32">
        <f t="shared" si="12"/>
        <v>139783848</v>
      </c>
      <c r="AB36" s="32">
        <f t="shared" si="12"/>
        <v>119797792</v>
      </c>
      <c r="AC36" s="32">
        <f t="shared" si="12"/>
        <v>141855920</v>
      </c>
      <c r="AD36" s="32">
        <f t="shared" si="12"/>
        <v>79775896</v>
      </c>
      <c r="AE36" s="32">
        <f t="shared" si="12"/>
        <v>99783944</v>
      </c>
      <c r="AF36" s="32">
        <f t="shared" si="12"/>
        <v>119811932</v>
      </c>
      <c r="AG36" s="32">
        <f t="shared" si="12"/>
        <v>0</v>
      </c>
      <c r="AH36" s="32">
        <f t="shared" si="12"/>
        <v>99775912</v>
      </c>
      <c r="AI36" s="32">
        <f t="shared" si="12"/>
        <v>121855856</v>
      </c>
      <c r="AJ36" s="32">
        <f t="shared" si="12"/>
        <v>0</v>
      </c>
      <c r="AK36" s="32">
        <f t="shared" si="12"/>
        <v>0</v>
      </c>
      <c r="AL36" s="32">
        <f t="shared" si="12"/>
        <v>79791800</v>
      </c>
      <c r="AM36" s="32">
        <f t="shared" si="12"/>
        <v>119799920</v>
      </c>
      <c r="AN36" s="32">
        <f t="shared" si="12"/>
        <v>99771892</v>
      </c>
      <c r="AO36" s="32">
        <f t="shared" si="12"/>
        <v>101815848</v>
      </c>
      <c r="AP36" s="32">
        <f t="shared" si="12"/>
        <v>0</v>
      </c>
      <c r="AQ36" s="32">
        <f t="shared" si="12"/>
        <v>121815952</v>
      </c>
      <c r="AR36" s="32">
        <f t="shared" si="12"/>
        <v>139807848</v>
      </c>
      <c r="AS36" s="32">
        <f t="shared" si="12"/>
        <v>139799920</v>
      </c>
      <c r="AT36" s="32">
        <f t="shared" si="12"/>
        <v>119799936</v>
      </c>
      <c r="AU36" s="32">
        <f t="shared" si="12"/>
        <v>121815936</v>
      </c>
      <c r="AV36" s="32">
        <f t="shared" si="12"/>
        <v>119799944</v>
      </c>
      <c r="AW36" s="32">
        <f t="shared" si="12"/>
        <v>79803836</v>
      </c>
      <c r="AX36" s="32">
        <f t="shared" si="12"/>
        <v>119771972</v>
      </c>
      <c r="AY36" s="32">
        <f t="shared" si="12"/>
        <v>99795916</v>
      </c>
      <c r="AZ36" s="32">
        <f t="shared" si="12"/>
        <v>101823936</v>
      </c>
      <c r="BA36" s="32">
        <f t="shared" si="12"/>
        <v>139743864</v>
      </c>
      <c r="BB36" s="32">
        <f t="shared" si="12"/>
        <v>139727792</v>
      </c>
      <c r="BC36" s="32">
        <f t="shared" si="12"/>
        <v>99791800</v>
      </c>
      <c r="BD36" s="32">
        <f t="shared" si="12"/>
        <v>139803916</v>
      </c>
      <c r="BE36" s="32">
        <f t="shared" si="12"/>
        <v>139811988</v>
      </c>
      <c r="BF36" s="32">
        <f t="shared" si="12"/>
        <v>59791896</v>
      </c>
      <c r="BG36" s="32">
        <f t="shared" si="12"/>
        <v>0</v>
      </c>
      <c r="BH36" s="32">
        <f t="shared" si="12"/>
        <v>121819940</v>
      </c>
      <c r="BI36" s="32">
        <f t="shared" si="12"/>
        <v>99795908</v>
      </c>
      <c r="BJ36" s="32">
        <f t="shared" si="12"/>
        <v>119811956</v>
      </c>
      <c r="BK36" s="32">
        <f t="shared" si="12"/>
        <v>81839904</v>
      </c>
      <c r="BL36" s="32">
        <f t="shared" si="12"/>
        <v>19811988</v>
      </c>
      <c r="BM36" s="32">
        <f t="shared" si="12"/>
        <v>99811900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ca="1" si="13"/>
        <v>Daffron, Christopher</v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ca="1" si="13"/>
        <v>Desing, Scott M</v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ca="1" si="13"/>
        <v>Johnson, Creed D</v>
      </c>
      <c r="AH39" s="3" t="str">
        <f t="shared" si="13"/>
        <v/>
      </c>
      <c r="AI39" s="3" t="str">
        <f t="shared" si="13"/>
        <v/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ca="1" si="13"/>
        <v>Stonecypher, David</v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W;Daffron, Christopher;Desing, Scott M;Johnson, Creed D;Martin, Douglas C;Mccoy, William M;Nance, Rob Remote;Stonecypher, David;Young,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9" stopIfTrue="1" operator="equal">
      <formula>0</formula>
    </cfRule>
  </conditionalFormatting>
  <conditionalFormatting sqref="D26:J28 K28:BE28">
    <cfRule type="cellIs" dxfId="198" priority="10" stopIfTrue="1" operator="equal">
      <formula>1</formula>
    </cfRule>
  </conditionalFormatting>
  <conditionalFormatting sqref="H3:I3 F23 H5:I5 H7:I7 H9:I9 H11:I11 H13:I13 H15:I15 H17:I17 H19:I19 H21:I21">
    <cfRule type="cellIs" dxfId="197" priority="11" stopIfTrue="1" operator="equal">
      <formula>0</formula>
    </cfRule>
  </conditionalFormatting>
  <conditionalFormatting sqref="H4:I4 F24 H6:I6 H8:I8 H10:I10 H12:I12 H14:I14 H16:I16 H18:I18 H20:I20 H22:I22">
    <cfRule type="cellIs" dxfId="196" priority="12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5" stopIfTrue="1">
      <formula>AND(COUNTA(J4)=1,$E4=1,SUM($E3:$E4)=1)</formula>
    </cfRule>
    <cfRule type="expression" dxfId="19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17" stopIfTrue="1">
      <formula>AND(COUNTA(J3)=1,$E3=1,SUM($E3:$E4)=1)</formula>
    </cfRule>
    <cfRule type="expression" dxfId="190" priority="18" stopIfTrue="1">
      <formula>AND(COUNTA(J3)=1,$E3=0,SUM($E3:$E4)=1)</formula>
    </cfRule>
  </conditionalFormatting>
  <conditionalFormatting sqref="BF23:BN23">
    <cfRule type="cellIs" dxfId="189" priority="7" stopIfTrue="1" operator="equal">
      <formula>0</formula>
    </cfRule>
  </conditionalFormatting>
  <conditionalFormatting sqref="BF24:BN24">
    <cfRule type="cellIs" dxfId="188" priority="6" stopIfTrue="1" operator="equal">
      <formula>0</formula>
    </cfRule>
  </conditionalFormatting>
  <conditionalFormatting sqref="BF28:BN28">
    <cfRule type="cellIs" dxfId="18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156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314</v>
      </c>
      <c r="N3" s="69" t="s">
        <v>314</v>
      </c>
      <c r="O3" s="69"/>
      <c r="P3" s="69" t="s">
        <v>314</v>
      </c>
      <c r="Q3" s="69" t="s">
        <v>314</v>
      </c>
      <c r="R3" s="69"/>
      <c r="S3" s="69" t="s">
        <v>314</v>
      </c>
      <c r="T3" s="69"/>
      <c r="U3" s="69"/>
      <c r="V3" s="69" t="s">
        <v>314</v>
      </c>
      <c r="W3" s="69" t="s">
        <v>314</v>
      </c>
      <c r="X3" s="69"/>
      <c r="Y3" s="69"/>
      <c r="Z3" s="69" t="s">
        <v>314</v>
      </c>
      <c r="AA3" s="69"/>
      <c r="AB3" s="69" t="s">
        <v>314</v>
      </c>
      <c r="AC3" s="69"/>
      <c r="AD3" s="69" t="s">
        <v>314</v>
      </c>
      <c r="AE3" s="69"/>
      <c r="AF3" s="69"/>
      <c r="AG3" s="69"/>
      <c r="AH3" s="69" t="s">
        <v>314</v>
      </c>
      <c r="AI3" s="69" t="s">
        <v>314</v>
      </c>
      <c r="AJ3" s="69" t="s">
        <v>314</v>
      </c>
      <c r="AK3" s="69" t="s">
        <v>314</v>
      </c>
      <c r="AL3" s="69"/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/>
      <c r="BE3" s="96"/>
      <c r="BF3" s="69"/>
      <c r="BG3" s="69"/>
      <c r="BH3" s="69"/>
      <c r="BI3" s="69" t="s">
        <v>314</v>
      </c>
      <c r="BJ3" s="69" t="s">
        <v>314</v>
      </c>
      <c r="BK3" s="69"/>
      <c r="BL3" s="69"/>
      <c r="BM3" s="69" t="s">
        <v>314</v>
      </c>
      <c r="BN3" s="69"/>
    </row>
    <row r="4" spans="1:66" x14ac:dyDescent="0.2">
      <c r="A4" s="61" t="s">
        <v>3</v>
      </c>
      <c r="B4" s="68" t="s">
        <v>139</v>
      </c>
      <c r="C4" s="66"/>
      <c r="D4" s="64">
        <v>7</v>
      </c>
      <c r="E4" s="64">
        <f>IF(ISBLANK($D4),"0",IF(($D4-$D3)&gt;($C4-$C3),1,0))</f>
        <v>0</v>
      </c>
      <c r="F4" s="64">
        <f t="shared" ref="F4:F22" ca="1" si="1">COUNTA(INDIRECT("RC11:RC"&amp;11+playercnt-1,FALSE))</f>
        <v>23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314</v>
      </c>
      <c r="L4" s="70" t="s">
        <v>314</v>
      </c>
      <c r="M4" s="70"/>
      <c r="N4" s="70"/>
      <c r="O4" s="70" t="s">
        <v>314</v>
      </c>
      <c r="P4" s="70"/>
      <c r="Q4" s="70"/>
      <c r="R4" s="70" t="s">
        <v>314</v>
      </c>
      <c r="S4" s="70"/>
      <c r="T4" s="70" t="s">
        <v>314</v>
      </c>
      <c r="U4" s="97" t="s">
        <v>314</v>
      </c>
      <c r="V4" s="70"/>
      <c r="W4" s="70"/>
      <c r="X4" s="70"/>
      <c r="Y4" s="70" t="s">
        <v>314</v>
      </c>
      <c r="Z4" s="70"/>
      <c r="AA4" s="70" t="s">
        <v>314</v>
      </c>
      <c r="AB4" s="70"/>
      <c r="AC4" s="70" t="s">
        <v>314</v>
      </c>
      <c r="AD4" s="70"/>
      <c r="AE4" s="70" t="s">
        <v>314</v>
      </c>
      <c r="AF4" s="70" t="s">
        <v>314</v>
      </c>
      <c r="AG4" s="70" t="s">
        <v>314</v>
      </c>
      <c r="AH4" s="70"/>
      <c r="AI4" s="70"/>
      <c r="AJ4" s="70"/>
      <c r="AK4" s="70"/>
      <c r="AL4" s="70" t="s">
        <v>314</v>
      </c>
      <c r="AM4" s="70"/>
      <c r="AN4" s="70"/>
      <c r="AO4" s="70"/>
      <c r="AP4" s="70"/>
      <c r="AQ4" s="70"/>
      <c r="AR4" s="70"/>
      <c r="AS4" s="70" t="s">
        <v>314</v>
      </c>
      <c r="AT4" s="70" t="s">
        <v>314</v>
      </c>
      <c r="AU4" s="70"/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 t="s">
        <v>314</v>
      </c>
      <c r="BE4" s="70"/>
      <c r="BF4" s="70"/>
      <c r="BG4" s="70" t="s">
        <v>314</v>
      </c>
      <c r="BH4" s="70" t="s">
        <v>314</v>
      </c>
      <c r="BI4" s="70"/>
      <c r="BJ4" s="70"/>
      <c r="BK4" s="70" t="s">
        <v>314</v>
      </c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148</v>
      </c>
      <c r="C5" s="65"/>
      <c r="D5" s="64">
        <v>14</v>
      </c>
      <c r="E5" s="64">
        <f>IF(ISBLANK($D5),"0",IF(($D6-$D5)&lt;($C6-$C5),1,0))</f>
        <v>0</v>
      </c>
      <c r="F5" s="64">
        <f t="shared" ca="1" si="1"/>
        <v>22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314</v>
      </c>
      <c r="L5" s="69"/>
      <c r="M5" s="69" t="s">
        <v>314</v>
      </c>
      <c r="N5" s="69"/>
      <c r="O5" s="69" t="s">
        <v>314</v>
      </c>
      <c r="P5" s="69" t="s">
        <v>314</v>
      </c>
      <c r="Q5" s="69" t="s">
        <v>314</v>
      </c>
      <c r="R5" s="69"/>
      <c r="S5" s="69"/>
      <c r="T5" s="69" t="s">
        <v>314</v>
      </c>
      <c r="U5" s="96" t="s">
        <v>314</v>
      </c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 t="s">
        <v>314</v>
      </c>
      <c r="AH5" s="69"/>
      <c r="AI5" s="69"/>
      <c r="AJ5" s="69" t="s">
        <v>314</v>
      </c>
      <c r="AK5" s="69"/>
      <c r="AL5" s="69"/>
      <c r="AM5" s="69"/>
      <c r="AN5" s="69"/>
      <c r="AO5" s="69" t="s">
        <v>314</v>
      </c>
      <c r="AP5" s="69" t="s">
        <v>314</v>
      </c>
      <c r="AQ5" s="69"/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 t="s">
        <v>314</v>
      </c>
      <c r="AX5" s="69"/>
      <c r="AY5" s="69"/>
      <c r="AZ5" s="69" t="s">
        <v>314</v>
      </c>
      <c r="BA5" s="69"/>
      <c r="BB5" s="69"/>
      <c r="BC5" s="69"/>
      <c r="BD5" s="69" t="s">
        <v>314</v>
      </c>
      <c r="BE5" s="69"/>
      <c r="BF5" s="69"/>
      <c r="BG5" s="69" t="s">
        <v>314</v>
      </c>
      <c r="BH5" s="69" t="s">
        <v>314</v>
      </c>
      <c r="BI5" s="69"/>
      <c r="BJ5" s="69"/>
      <c r="BK5" s="69" t="s">
        <v>314</v>
      </c>
      <c r="BL5" s="69"/>
      <c r="BM5" s="69"/>
      <c r="BN5" s="69" t="s">
        <v>314</v>
      </c>
    </row>
    <row r="6" spans="1:66" x14ac:dyDescent="0.2">
      <c r="A6" s="61" t="s">
        <v>3</v>
      </c>
      <c r="B6" s="68" t="s">
        <v>248</v>
      </c>
      <c r="C6" s="66">
        <v>7.5</v>
      </c>
      <c r="D6" s="64">
        <v>45</v>
      </c>
      <c r="E6" s="64">
        <f>IF(ISBLANK($D6),"0",IF(($D6-$D5)&gt;($C6-$C5),1,0))</f>
        <v>1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 t="s">
        <v>314</v>
      </c>
      <c r="T6" s="70"/>
      <c r="U6" s="70"/>
      <c r="V6" s="70" t="s">
        <v>314</v>
      </c>
      <c r="W6" s="70" t="s">
        <v>314</v>
      </c>
      <c r="X6" s="70"/>
      <c r="Y6" s="70" t="s">
        <v>314</v>
      </c>
      <c r="Z6" s="70" t="s">
        <v>314</v>
      </c>
      <c r="AA6" s="70" t="s">
        <v>314</v>
      </c>
      <c r="AB6" s="70" t="s">
        <v>314</v>
      </c>
      <c r="AC6" s="70" t="s">
        <v>314</v>
      </c>
      <c r="AD6" s="70" t="s">
        <v>314</v>
      </c>
      <c r="AE6" s="70" t="s">
        <v>314</v>
      </c>
      <c r="AF6" s="70" t="s">
        <v>314</v>
      </c>
      <c r="AG6" s="70"/>
      <c r="AH6" s="70" t="s">
        <v>314</v>
      </c>
      <c r="AI6" s="70" t="s">
        <v>314</v>
      </c>
      <c r="AJ6" s="70"/>
      <c r="AK6" s="70" t="s">
        <v>314</v>
      </c>
      <c r="AL6" s="70" t="s">
        <v>314</v>
      </c>
      <c r="AM6" s="70" t="s">
        <v>314</v>
      </c>
      <c r="AN6" s="70" t="s">
        <v>314</v>
      </c>
      <c r="AO6" s="70"/>
      <c r="AP6" s="70"/>
      <c r="AQ6" s="70" t="s">
        <v>314</v>
      </c>
      <c r="AR6" s="70"/>
      <c r="AS6" s="70" t="s">
        <v>314</v>
      </c>
      <c r="AT6" s="70"/>
      <c r="AU6" s="70"/>
      <c r="AV6" s="70"/>
      <c r="AW6" s="70"/>
      <c r="AX6" s="70" t="s">
        <v>314</v>
      </c>
      <c r="AY6" s="70" t="s">
        <v>314</v>
      </c>
      <c r="AZ6" s="70"/>
      <c r="BA6" s="70" t="s">
        <v>314</v>
      </c>
      <c r="BB6" s="70" t="s">
        <v>314</v>
      </c>
      <c r="BC6" s="70" t="s">
        <v>314</v>
      </c>
      <c r="BD6" s="70"/>
      <c r="BE6" s="97"/>
      <c r="BF6" s="70"/>
      <c r="BG6" s="70"/>
      <c r="BH6" s="70"/>
      <c r="BI6" s="70" t="s">
        <v>314</v>
      </c>
      <c r="BJ6" s="70" t="s">
        <v>314</v>
      </c>
      <c r="BK6" s="70"/>
      <c r="BL6" s="70" t="s">
        <v>314</v>
      </c>
      <c r="BM6" s="70" t="s">
        <v>314</v>
      </c>
      <c r="BN6" s="70"/>
    </row>
    <row r="7" spans="1:66" x14ac:dyDescent="0.2">
      <c r="A7" s="59">
        <v>3</v>
      </c>
      <c r="B7" s="67" t="s">
        <v>245</v>
      </c>
      <c r="C7" s="65"/>
      <c r="D7" s="64">
        <v>28</v>
      </c>
      <c r="E7" s="64">
        <f>IF(ISBLANK($D7),"0",IF(($D8-$D7)&lt;($C8-$C7),1,0))</f>
        <v>0</v>
      </c>
      <c r="F7" s="64">
        <f t="shared" ca="1" si="1"/>
        <v>38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314</v>
      </c>
      <c r="N7" s="69" t="s">
        <v>314</v>
      </c>
      <c r="O7" s="69" t="s">
        <v>314</v>
      </c>
      <c r="P7" s="69" t="s">
        <v>314</v>
      </c>
      <c r="Q7" s="69"/>
      <c r="R7" s="96" t="s">
        <v>314</v>
      </c>
      <c r="S7" s="96"/>
      <c r="T7" s="96"/>
      <c r="U7" s="96"/>
      <c r="V7" s="69" t="s">
        <v>314</v>
      </c>
      <c r="W7" s="69"/>
      <c r="X7" s="69"/>
      <c r="Y7" s="69"/>
      <c r="Z7" s="69" t="s">
        <v>314</v>
      </c>
      <c r="AA7" s="69" t="s">
        <v>314</v>
      </c>
      <c r="AB7" s="69"/>
      <c r="AC7" s="69" t="s">
        <v>314</v>
      </c>
      <c r="AD7" s="69" t="s">
        <v>314</v>
      </c>
      <c r="AE7" s="69"/>
      <c r="AF7" s="69" t="s">
        <v>314</v>
      </c>
      <c r="AG7" s="69" t="s">
        <v>314</v>
      </c>
      <c r="AH7" s="69" t="s">
        <v>314</v>
      </c>
      <c r="AI7" s="69"/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/>
      <c r="AQ7" s="69" t="s">
        <v>314</v>
      </c>
      <c r="AR7" s="96" t="s">
        <v>314</v>
      </c>
      <c r="AS7" s="69" t="s">
        <v>314</v>
      </c>
      <c r="AT7" s="69" t="s">
        <v>314</v>
      </c>
      <c r="AU7" s="69" t="s">
        <v>314</v>
      </c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/>
      <c r="BC7" s="69" t="s">
        <v>314</v>
      </c>
      <c r="BD7" s="69" t="s">
        <v>314</v>
      </c>
      <c r="BE7" s="96"/>
      <c r="BF7" s="69"/>
      <c r="BG7" s="69"/>
      <c r="BH7" s="69" t="s">
        <v>314</v>
      </c>
      <c r="BI7" s="69" t="s">
        <v>314</v>
      </c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153</v>
      </c>
      <c r="C8" s="66">
        <v>7.5</v>
      </c>
      <c r="D8" s="64">
        <v>38</v>
      </c>
      <c r="E8" s="64">
        <f>IF(ISBLANK($D8),"0",IF(($D8-$D7)&gt;($C8-$C7),1,0))</f>
        <v>1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 t="s">
        <v>314</v>
      </c>
      <c r="M8" s="70"/>
      <c r="N8" s="70"/>
      <c r="O8" s="70"/>
      <c r="P8" s="70"/>
      <c r="Q8" s="70" t="s">
        <v>314</v>
      </c>
      <c r="R8" s="97"/>
      <c r="S8" s="97" t="s">
        <v>314</v>
      </c>
      <c r="T8" s="97" t="s">
        <v>314</v>
      </c>
      <c r="U8" s="97" t="s">
        <v>314</v>
      </c>
      <c r="V8" s="70"/>
      <c r="W8" s="70" t="s">
        <v>314</v>
      </c>
      <c r="X8" s="70"/>
      <c r="Y8" s="70" t="s">
        <v>314</v>
      </c>
      <c r="Z8" s="70"/>
      <c r="AA8" s="70"/>
      <c r="AB8" s="70" t="s">
        <v>314</v>
      </c>
      <c r="AC8" s="70"/>
      <c r="AD8" s="70"/>
      <c r="AE8" s="70" t="s">
        <v>314</v>
      </c>
      <c r="AF8" s="70"/>
      <c r="AG8" s="70"/>
      <c r="AH8" s="70"/>
      <c r="AI8" s="70" t="s">
        <v>314</v>
      </c>
      <c r="AJ8" s="70"/>
      <c r="AK8" s="70"/>
      <c r="AL8" s="70"/>
      <c r="AM8" s="70"/>
      <c r="AN8" s="70"/>
      <c r="AO8" s="70"/>
      <c r="AP8" s="70" t="s">
        <v>314</v>
      </c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 t="s">
        <v>314</v>
      </c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193</v>
      </c>
      <c r="C9" s="65"/>
      <c r="D9" s="81">
        <v>36</v>
      </c>
      <c r="E9" s="64">
        <f>IF(ISBLANK($D9),"0",IF(($D10-$D9)&lt;($C10-$C9),1,0))</f>
        <v>1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 t="s">
        <v>314</v>
      </c>
      <c r="N9" s="69"/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/>
      <c r="U9" s="96" t="s">
        <v>314</v>
      </c>
      <c r="V9" s="69" t="s">
        <v>314</v>
      </c>
      <c r="W9" s="69"/>
      <c r="X9" s="69"/>
      <c r="Y9" s="69" t="s">
        <v>314</v>
      </c>
      <c r="Z9" s="69"/>
      <c r="AA9" s="69"/>
      <c r="AB9" s="69"/>
      <c r="AC9" s="69" t="s">
        <v>314</v>
      </c>
      <c r="AD9" s="69"/>
      <c r="AE9" s="69"/>
      <c r="AF9" s="69"/>
      <c r="AG9" s="69" t="s">
        <v>314</v>
      </c>
      <c r="AH9" s="69"/>
      <c r="AI9" s="69" t="s">
        <v>314</v>
      </c>
      <c r="AJ9" s="69"/>
      <c r="AK9" s="69"/>
      <c r="AL9" s="69"/>
      <c r="AM9" s="69" t="s">
        <v>314</v>
      </c>
      <c r="AN9" s="69"/>
      <c r="AO9" s="69" t="s">
        <v>314</v>
      </c>
      <c r="AP9" s="69" t="s">
        <v>314</v>
      </c>
      <c r="AQ9" s="69"/>
      <c r="AR9" s="96"/>
      <c r="AS9" s="69" t="s">
        <v>314</v>
      </c>
      <c r="AT9" s="69" t="s">
        <v>314</v>
      </c>
      <c r="AU9" s="69"/>
      <c r="AV9" s="69" t="s">
        <v>314</v>
      </c>
      <c r="AW9" s="69"/>
      <c r="AX9" s="69" t="s">
        <v>314</v>
      </c>
      <c r="AY9" s="69"/>
      <c r="AZ9" s="69" t="s">
        <v>314</v>
      </c>
      <c r="BA9" s="69"/>
      <c r="BB9" s="69"/>
      <c r="BC9" s="69"/>
      <c r="BD9" s="69" t="s">
        <v>314</v>
      </c>
      <c r="BE9" s="96"/>
      <c r="BF9" s="69"/>
      <c r="BG9" s="69"/>
      <c r="BH9" s="69" t="s">
        <v>314</v>
      </c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164</v>
      </c>
      <c r="C10" s="66">
        <v>7.5</v>
      </c>
      <c r="D10" s="64">
        <v>37</v>
      </c>
      <c r="E10" s="64">
        <f>IF(ISBLANK($D10),"0",IF(($D10-$D9)&gt;($C10-$C9),1,0))</f>
        <v>0</v>
      </c>
      <c r="F10" s="64">
        <f t="shared" ca="1" si="1"/>
        <v>29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 t="s">
        <v>314</v>
      </c>
      <c r="M10" s="70"/>
      <c r="N10" s="70" t="s">
        <v>314</v>
      </c>
      <c r="O10" s="70"/>
      <c r="P10" s="70"/>
      <c r="Q10" s="70"/>
      <c r="R10" s="97"/>
      <c r="S10" s="97" t="s">
        <v>314</v>
      </c>
      <c r="T10" s="97" t="s">
        <v>314</v>
      </c>
      <c r="U10" s="70"/>
      <c r="V10" s="70"/>
      <c r="W10" s="70" t="s">
        <v>314</v>
      </c>
      <c r="X10" s="70"/>
      <c r="Y10" s="70"/>
      <c r="Z10" s="70" t="s">
        <v>314</v>
      </c>
      <c r="AA10" s="70" t="s">
        <v>314</v>
      </c>
      <c r="AB10" s="70" t="s">
        <v>314</v>
      </c>
      <c r="AC10" s="70"/>
      <c r="AD10" s="70" t="s">
        <v>314</v>
      </c>
      <c r="AE10" s="70" t="s">
        <v>314</v>
      </c>
      <c r="AF10" s="70" t="s">
        <v>314</v>
      </c>
      <c r="AG10" s="70"/>
      <c r="AH10" s="70" t="s">
        <v>314</v>
      </c>
      <c r="AI10" s="70"/>
      <c r="AJ10" s="70" t="s">
        <v>314</v>
      </c>
      <c r="AK10" s="70" t="s">
        <v>314</v>
      </c>
      <c r="AL10" s="70" t="s">
        <v>314</v>
      </c>
      <c r="AM10" s="70"/>
      <c r="AN10" s="70" t="s">
        <v>314</v>
      </c>
      <c r="AO10" s="70"/>
      <c r="AP10" s="70"/>
      <c r="AQ10" s="70" t="s">
        <v>314</v>
      </c>
      <c r="AR10" s="70" t="s">
        <v>314</v>
      </c>
      <c r="AS10" s="70"/>
      <c r="AT10" s="70"/>
      <c r="AU10" s="70" t="s">
        <v>314</v>
      </c>
      <c r="AV10" s="70"/>
      <c r="AW10" s="70" t="s">
        <v>314</v>
      </c>
      <c r="AX10" s="70"/>
      <c r="AY10" s="70" t="s">
        <v>314</v>
      </c>
      <c r="AZ10" s="70"/>
      <c r="BA10" s="70" t="s">
        <v>314</v>
      </c>
      <c r="BB10" s="70" t="s">
        <v>314</v>
      </c>
      <c r="BC10" s="70" t="s">
        <v>314</v>
      </c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 x14ac:dyDescent="0.2">
      <c r="A11" s="59">
        <v>5</v>
      </c>
      <c r="B11" s="67" t="s">
        <v>185</v>
      </c>
      <c r="C11" s="65">
        <v>7.5</v>
      </c>
      <c r="D11" s="64">
        <v>24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314</v>
      </c>
      <c r="M11" s="69" t="s">
        <v>314</v>
      </c>
      <c r="N11" s="69" t="s">
        <v>314</v>
      </c>
      <c r="O11" s="69" t="s">
        <v>314</v>
      </c>
      <c r="P11" s="69" t="s">
        <v>314</v>
      </c>
      <c r="Q11" s="69" t="s">
        <v>314</v>
      </c>
      <c r="R11" s="96" t="s">
        <v>314</v>
      </c>
      <c r="S11" s="96" t="s">
        <v>314</v>
      </c>
      <c r="T11" s="96"/>
      <c r="U11" s="69" t="s">
        <v>314</v>
      </c>
      <c r="V11" s="69"/>
      <c r="W11" s="69" t="s">
        <v>314</v>
      </c>
      <c r="X11" s="69"/>
      <c r="Y11" s="69"/>
      <c r="Z11" s="69" t="s">
        <v>314</v>
      </c>
      <c r="AA11" s="69" t="s">
        <v>314</v>
      </c>
      <c r="AB11" s="69" t="s">
        <v>314</v>
      </c>
      <c r="AC11" s="69" t="s">
        <v>314</v>
      </c>
      <c r="AD11" s="69" t="s">
        <v>314</v>
      </c>
      <c r="AE11" s="69"/>
      <c r="AF11" s="69" t="s">
        <v>314</v>
      </c>
      <c r="AG11" s="69" t="s">
        <v>314</v>
      </c>
      <c r="AH11" s="69" t="s">
        <v>314</v>
      </c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 t="s">
        <v>314</v>
      </c>
      <c r="AO11" s="69"/>
      <c r="AP11" s="69" t="s">
        <v>314</v>
      </c>
      <c r="AQ11" s="69" t="s">
        <v>314</v>
      </c>
      <c r="AR11" s="69"/>
      <c r="AS11" s="69" t="s">
        <v>314</v>
      </c>
      <c r="AT11" s="69" t="s">
        <v>314</v>
      </c>
      <c r="AU11" s="69" t="s">
        <v>314</v>
      </c>
      <c r="AV11" s="69"/>
      <c r="AW11" s="69"/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 t="s">
        <v>314</v>
      </c>
      <c r="BD11" s="69"/>
      <c r="BE11" s="96"/>
      <c r="BF11" s="69"/>
      <c r="BG11" s="69" t="s">
        <v>314</v>
      </c>
      <c r="BH11" s="69"/>
      <c r="BI11" s="69"/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">
      <c r="A12" s="61" t="s">
        <v>3</v>
      </c>
      <c r="B12" s="68" t="s">
        <v>201</v>
      </c>
      <c r="C12" s="66"/>
      <c r="D12" s="64">
        <v>13</v>
      </c>
      <c r="E12" s="64">
        <f>IF(ISBLANK($D12),"0",IF(($D12-$D11)&gt;($C12-$C11),1,0))</f>
        <v>0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314</v>
      </c>
      <c r="L12" s="70"/>
      <c r="M12" s="70"/>
      <c r="N12" s="70"/>
      <c r="O12" s="70"/>
      <c r="P12" s="70"/>
      <c r="Q12" s="70"/>
      <c r="R12" s="97"/>
      <c r="S12" s="97"/>
      <c r="T12" s="97" t="s">
        <v>314</v>
      </c>
      <c r="U12" s="97"/>
      <c r="V12" s="70" t="s">
        <v>314</v>
      </c>
      <c r="W12" s="70"/>
      <c r="X12" s="70"/>
      <c r="Y12" s="70" t="s">
        <v>314</v>
      </c>
      <c r="Z12" s="70"/>
      <c r="AA12" s="70"/>
      <c r="AB12" s="70"/>
      <c r="AC12" s="70"/>
      <c r="AD12" s="70"/>
      <c r="AE12" s="70" t="s">
        <v>314</v>
      </c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314</v>
      </c>
      <c r="AP12" s="70"/>
      <c r="AQ12" s="70"/>
      <c r="AR12" s="97" t="s">
        <v>314</v>
      </c>
      <c r="AS12" s="70"/>
      <c r="AT12" s="70"/>
      <c r="AU12" s="70"/>
      <c r="AV12" s="70" t="s">
        <v>314</v>
      </c>
      <c r="AW12" s="70" t="s">
        <v>314</v>
      </c>
      <c r="AX12" s="70"/>
      <c r="AY12" s="70"/>
      <c r="AZ12" s="70" t="s">
        <v>314</v>
      </c>
      <c r="BA12" s="70"/>
      <c r="BB12" s="70"/>
      <c r="BC12" s="70"/>
      <c r="BD12" s="70" t="s">
        <v>314</v>
      </c>
      <c r="BE12" s="70"/>
      <c r="BF12" s="70"/>
      <c r="BG12" s="70"/>
      <c r="BH12" s="70" t="s">
        <v>314</v>
      </c>
      <c r="BI12" s="70" t="s">
        <v>314</v>
      </c>
      <c r="BJ12" s="70"/>
      <c r="BK12" s="70" t="s">
        <v>314</v>
      </c>
      <c r="BL12" s="70"/>
      <c r="BM12" s="70"/>
      <c r="BN12" s="70"/>
    </row>
    <row r="13" spans="1:66" x14ac:dyDescent="0.2">
      <c r="A13" s="59">
        <v>6</v>
      </c>
      <c r="B13" s="67" t="s">
        <v>147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25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314</v>
      </c>
      <c r="M13" s="69" t="s">
        <v>314</v>
      </c>
      <c r="N13" s="69"/>
      <c r="O13" s="69" t="s">
        <v>314</v>
      </c>
      <c r="P13" s="69" t="s">
        <v>314</v>
      </c>
      <c r="Q13" s="69" t="s">
        <v>314</v>
      </c>
      <c r="R13" s="96"/>
      <c r="S13" s="96"/>
      <c r="T13" s="96" t="s">
        <v>314</v>
      </c>
      <c r="U13" s="69"/>
      <c r="V13" s="69" t="s">
        <v>314</v>
      </c>
      <c r="W13" s="69"/>
      <c r="X13" s="69"/>
      <c r="Y13" s="69" t="s">
        <v>314</v>
      </c>
      <c r="Z13" s="69" t="s">
        <v>314</v>
      </c>
      <c r="AA13" s="69"/>
      <c r="AB13" s="69"/>
      <c r="AC13" s="69"/>
      <c r="AD13" s="69"/>
      <c r="AE13" s="69" t="s">
        <v>314</v>
      </c>
      <c r="AF13" s="69" t="s">
        <v>314</v>
      </c>
      <c r="AG13" s="69"/>
      <c r="AH13" s="69"/>
      <c r="AI13" s="69" t="s">
        <v>314</v>
      </c>
      <c r="AJ13" s="69"/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/>
      <c r="AQ13" s="69" t="s">
        <v>314</v>
      </c>
      <c r="AR13" s="96" t="s">
        <v>314</v>
      </c>
      <c r="AS13" s="69" t="s">
        <v>314</v>
      </c>
      <c r="AT13" s="69" t="s">
        <v>314</v>
      </c>
      <c r="AU13" s="69"/>
      <c r="AV13" s="69"/>
      <c r="AW13" s="69" t="s">
        <v>314</v>
      </c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 t="s">
        <v>314</v>
      </c>
      <c r="BI13" s="69"/>
      <c r="BJ13" s="69"/>
      <c r="BK13" s="69" t="s">
        <v>314</v>
      </c>
      <c r="BL13" s="69"/>
      <c r="BM13" s="69" t="s">
        <v>314</v>
      </c>
      <c r="BN13" s="69"/>
    </row>
    <row r="14" spans="1:66" x14ac:dyDescent="0.2">
      <c r="A14" s="61" t="s">
        <v>3</v>
      </c>
      <c r="B14" s="68" t="s">
        <v>186</v>
      </c>
      <c r="C14" s="66">
        <v>9.5</v>
      </c>
      <c r="D14" s="64">
        <v>35</v>
      </c>
      <c r="E14" s="64">
        <f>IF(ISBLANK($D14),"0",IF(($D14-$D13)&gt;($C14-$C13),1,0))</f>
        <v>1</v>
      </c>
      <c r="F14" s="64">
        <f t="shared" ca="1" si="1"/>
        <v>28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/>
      <c r="N14" s="70" t="s">
        <v>314</v>
      </c>
      <c r="O14" s="70"/>
      <c r="P14" s="70"/>
      <c r="Q14" s="70"/>
      <c r="R14" s="97" t="s">
        <v>314</v>
      </c>
      <c r="S14" s="97" t="s">
        <v>314</v>
      </c>
      <c r="T14" s="97"/>
      <c r="U14" s="97" t="s">
        <v>314</v>
      </c>
      <c r="V14" s="70"/>
      <c r="W14" s="70" t="s">
        <v>314</v>
      </c>
      <c r="X14" s="70"/>
      <c r="Y14" s="70"/>
      <c r="Z14" s="70"/>
      <c r="AA14" s="70" t="s">
        <v>314</v>
      </c>
      <c r="AB14" s="70" t="s">
        <v>314</v>
      </c>
      <c r="AC14" s="70" t="s">
        <v>314</v>
      </c>
      <c r="AD14" s="70" t="s">
        <v>314</v>
      </c>
      <c r="AE14" s="70"/>
      <c r="AF14" s="70"/>
      <c r="AG14" s="70" t="s">
        <v>314</v>
      </c>
      <c r="AH14" s="70" t="s">
        <v>314</v>
      </c>
      <c r="AI14" s="70"/>
      <c r="AJ14" s="70" t="s">
        <v>314</v>
      </c>
      <c r="AK14" s="70"/>
      <c r="AL14" s="70" t="s">
        <v>314</v>
      </c>
      <c r="AM14" s="70"/>
      <c r="AN14" s="70"/>
      <c r="AO14" s="70"/>
      <c r="AP14" s="70" t="s">
        <v>314</v>
      </c>
      <c r="AQ14" s="70"/>
      <c r="AR14" s="70"/>
      <c r="AS14" s="70"/>
      <c r="AT14" s="70"/>
      <c r="AU14" s="70" t="s">
        <v>314</v>
      </c>
      <c r="AV14" s="70" t="s">
        <v>314</v>
      </c>
      <c r="AW14" s="70"/>
      <c r="AX14" s="70"/>
      <c r="AY14" s="70" t="s">
        <v>314</v>
      </c>
      <c r="AZ14" s="70" t="s">
        <v>314</v>
      </c>
      <c r="BA14" s="70" t="s">
        <v>314</v>
      </c>
      <c r="BB14" s="70" t="s">
        <v>314</v>
      </c>
      <c r="BC14" s="70" t="s">
        <v>314</v>
      </c>
      <c r="BD14" s="70" t="s">
        <v>314</v>
      </c>
      <c r="BE14" s="70"/>
      <c r="BF14" s="70"/>
      <c r="BG14" s="70" t="s">
        <v>314</v>
      </c>
      <c r="BH14" s="70"/>
      <c r="BI14" s="70" t="s">
        <v>314</v>
      </c>
      <c r="BJ14" s="70" t="s">
        <v>314</v>
      </c>
      <c r="BK14" s="70"/>
      <c r="BL14" s="70" t="s">
        <v>314</v>
      </c>
      <c r="BM14" s="70"/>
      <c r="BN14" s="70" t="s">
        <v>314</v>
      </c>
    </row>
    <row r="15" spans="1:66" x14ac:dyDescent="0.2">
      <c r="A15" s="59">
        <v>7</v>
      </c>
      <c r="B15" s="67" t="s">
        <v>150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 t="s">
        <v>314</v>
      </c>
      <c r="M15" s="69"/>
      <c r="N15" s="69" t="s">
        <v>314</v>
      </c>
      <c r="O15" s="69" t="s">
        <v>314</v>
      </c>
      <c r="P15" s="69" t="s">
        <v>314</v>
      </c>
      <c r="Q15" s="69" t="s">
        <v>314</v>
      </c>
      <c r="R15" s="96" t="s">
        <v>314</v>
      </c>
      <c r="S15" s="96"/>
      <c r="T15" s="96" t="s">
        <v>314</v>
      </c>
      <c r="U15" s="96" t="s">
        <v>314</v>
      </c>
      <c r="V15" s="69" t="s">
        <v>314</v>
      </c>
      <c r="W15" s="69" t="s">
        <v>314</v>
      </c>
      <c r="X15" s="69"/>
      <c r="Y15" s="69"/>
      <c r="Z15" s="69" t="s">
        <v>314</v>
      </c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 t="s">
        <v>314</v>
      </c>
      <c r="AI15" s="69"/>
      <c r="AJ15" s="69" t="s">
        <v>314</v>
      </c>
      <c r="AK15" s="69" t="s">
        <v>314</v>
      </c>
      <c r="AL15" s="69" t="s">
        <v>314</v>
      </c>
      <c r="AM15" s="69"/>
      <c r="AN15" s="69" t="s">
        <v>314</v>
      </c>
      <c r="AO15" s="69"/>
      <c r="AP15" s="69" t="s">
        <v>314</v>
      </c>
      <c r="AQ15" s="69" t="s">
        <v>314</v>
      </c>
      <c r="AR15" s="69"/>
      <c r="AS15" s="69" t="s">
        <v>314</v>
      </c>
      <c r="AT15" s="69" t="s">
        <v>314</v>
      </c>
      <c r="AU15" s="69" t="s">
        <v>314</v>
      </c>
      <c r="AV15" s="69" t="s">
        <v>314</v>
      </c>
      <c r="AW15" s="69"/>
      <c r="AX15" s="69" t="s">
        <v>314</v>
      </c>
      <c r="AY15" s="69" t="s">
        <v>314</v>
      </c>
      <c r="AZ15" s="69"/>
      <c r="BA15" s="69" t="s">
        <v>314</v>
      </c>
      <c r="BB15" s="69" t="s">
        <v>314</v>
      </c>
      <c r="BC15" s="69" t="s">
        <v>314</v>
      </c>
      <c r="BD15" s="69"/>
      <c r="BE15" s="96"/>
      <c r="BF15" s="69"/>
      <c r="BG15" s="69"/>
      <c r="BH15" s="69"/>
      <c r="BI15" s="69"/>
      <c r="BJ15" s="69" t="s">
        <v>314</v>
      </c>
      <c r="BK15" s="69" t="s">
        <v>314</v>
      </c>
      <c r="BL15" s="69" t="s">
        <v>314</v>
      </c>
      <c r="BM15" s="69" t="s">
        <v>314</v>
      </c>
      <c r="BN15" s="69"/>
    </row>
    <row r="16" spans="1:66" x14ac:dyDescent="0.2">
      <c r="A16" s="61" t="s">
        <v>3</v>
      </c>
      <c r="B16" s="68" t="s">
        <v>246</v>
      </c>
      <c r="C16" s="66">
        <v>2.5</v>
      </c>
      <c r="D16" s="64">
        <v>17</v>
      </c>
      <c r="E16" s="64">
        <f>IF(ISBLANK($D16),"0",IF(($D16-$D15)&gt;($C16-$C15),1,0))</f>
        <v>1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314</v>
      </c>
      <c r="N16" s="70"/>
      <c r="O16" s="70"/>
      <c r="P16" s="70"/>
      <c r="Q16" s="70"/>
      <c r="R16" s="70"/>
      <c r="S16" s="70" t="s">
        <v>314</v>
      </c>
      <c r="T16" s="70"/>
      <c r="U16" s="70"/>
      <c r="V16" s="70"/>
      <c r="W16" s="70"/>
      <c r="X16" s="70"/>
      <c r="Y16" s="70" t="s">
        <v>314</v>
      </c>
      <c r="Z16" s="70"/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/>
      <c r="AI16" s="70" t="s">
        <v>314</v>
      </c>
      <c r="AJ16" s="70"/>
      <c r="AK16" s="70"/>
      <c r="AL16" s="70"/>
      <c r="AM16" s="70" t="s">
        <v>314</v>
      </c>
      <c r="AN16" s="70"/>
      <c r="AO16" s="70" t="s">
        <v>314</v>
      </c>
      <c r="AP16" s="70"/>
      <c r="AQ16" s="70"/>
      <c r="AR16" s="97" t="s">
        <v>314</v>
      </c>
      <c r="AS16" s="70"/>
      <c r="AT16" s="70"/>
      <c r="AU16" s="70"/>
      <c r="AV16" s="70"/>
      <c r="AW16" s="70" t="s">
        <v>314</v>
      </c>
      <c r="AX16" s="70"/>
      <c r="AY16" s="70"/>
      <c r="AZ16" s="70" t="s">
        <v>314</v>
      </c>
      <c r="BA16" s="70"/>
      <c r="BB16" s="70"/>
      <c r="BC16" s="70"/>
      <c r="BD16" s="70" t="s">
        <v>314</v>
      </c>
      <c r="BE16" s="70"/>
      <c r="BF16" s="70"/>
      <c r="BG16" s="70" t="s">
        <v>314</v>
      </c>
      <c r="BH16" s="70" t="s">
        <v>314</v>
      </c>
      <c r="BI16" s="70" t="s">
        <v>314</v>
      </c>
      <c r="BJ16" s="70"/>
      <c r="BK16" s="70"/>
      <c r="BL16" s="70"/>
      <c r="BM16" s="70"/>
      <c r="BN16" s="70" t="s">
        <v>314</v>
      </c>
    </row>
    <row r="17" spans="1:66" x14ac:dyDescent="0.2">
      <c r="A17" s="59">
        <v>8</v>
      </c>
      <c r="B17" s="67" t="s">
        <v>242</v>
      </c>
      <c r="C17" s="65">
        <v>3.5</v>
      </c>
      <c r="D17" s="64">
        <v>22</v>
      </c>
      <c r="E17" s="64">
        <f>IF(ISBLANK($D17),"0",IF(($D18-$D17)&lt;($C18-$C17),1,0))</f>
        <v>1</v>
      </c>
      <c r="F17" s="64">
        <f t="shared" ca="1" si="1"/>
        <v>37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 t="s">
        <v>314</v>
      </c>
      <c r="O17" s="69" t="s">
        <v>314</v>
      </c>
      <c r="P17" s="69" t="s">
        <v>314</v>
      </c>
      <c r="Q17" s="69" t="s">
        <v>314</v>
      </c>
      <c r="R17" s="69" t="s">
        <v>314</v>
      </c>
      <c r="S17" s="69" t="s">
        <v>314</v>
      </c>
      <c r="T17" s="69"/>
      <c r="U17" s="69" t="s">
        <v>314</v>
      </c>
      <c r="V17" s="69"/>
      <c r="W17" s="69" t="s">
        <v>314</v>
      </c>
      <c r="X17" s="69"/>
      <c r="Y17" s="69" t="s">
        <v>314</v>
      </c>
      <c r="Z17" s="69"/>
      <c r="AA17" s="69" t="s">
        <v>314</v>
      </c>
      <c r="AB17" s="69" t="s">
        <v>314</v>
      </c>
      <c r="AC17" s="69" t="s">
        <v>314</v>
      </c>
      <c r="AD17" s="69" t="s">
        <v>314</v>
      </c>
      <c r="AE17" s="69"/>
      <c r="AF17" s="69" t="s">
        <v>314</v>
      </c>
      <c r="AG17" s="69" t="s">
        <v>314</v>
      </c>
      <c r="AH17" s="69" t="s">
        <v>314</v>
      </c>
      <c r="AI17" s="69" t="s">
        <v>314</v>
      </c>
      <c r="AJ17" s="69" t="s">
        <v>314</v>
      </c>
      <c r="AK17" s="69"/>
      <c r="AL17" s="69" t="s">
        <v>314</v>
      </c>
      <c r="AM17" s="69" t="s">
        <v>314</v>
      </c>
      <c r="AN17" s="69"/>
      <c r="AO17" s="69" t="s">
        <v>314</v>
      </c>
      <c r="AP17" s="69"/>
      <c r="AQ17" s="69" t="s">
        <v>314</v>
      </c>
      <c r="AR17" s="96" t="s">
        <v>314</v>
      </c>
      <c r="AS17" s="69"/>
      <c r="AT17" s="69" t="s">
        <v>314</v>
      </c>
      <c r="AU17" s="69" t="s">
        <v>314</v>
      </c>
      <c r="AV17" s="69"/>
      <c r="AW17" s="69" t="s">
        <v>314</v>
      </c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/>
      <c r="BE17" s="69"/>
      <c r="BF17" s="69"/>
      <c r="BG17" s="69" t="s">
        <v>314</v>
      </c>
      <c r="BH17" s="69"/>
      <c r="BI17" s="69"/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243</v>
      </c>
      <c r="C18" s="66"/>
      <c r="D18" s="64">
        <v>13</v>
      </c>
      <c r="E18" s="64">
        <f>IF(ISBLANK($D18),"0",IF(($D18-$D17)&gt;($C18-$C17),1,0))</f>
        <v>0</v>
      </c>
      <c r="F18" s="64">
        <f t="shared" ca="1" si="1"/>
        <v>16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/>
      <c r="O18" s="70"/>
      <c r="P18" s="70"/>
      <c r="Q18" s="70"/>
      <c r="R18" s="70"/>
      <c r="S18" s="70"/>
      <c r="T18" s="70" t="s">
        <v>314</v>
      </c>
      <c r="U18" s="97"/>
      <c r="V18" s="70" t="s">
        <v>314</v>
      </c>
      <c r="W18" s="70"/>
      <c r="X18" s="70"/>
      <c r="Y18" s="70"/>
      <c r="Z18" s="70" t="s">
        <v>314</v>
      </c>
      <c r="AA18" s="70"/>
      <c r="AB18" s="70"/>
      <c r="AC18" s="70"/>
      <c r="AD18" s="70"/>
      <c r="AE18" s="70" t="s">
        <v>314</v>
      </c>
      <c r="AF18" s="70"/>
      <c r="AG18" s="70"/>
      <c r="AH18" s="70"/>
      <c r="AI18" s="70"/>
      <c r="AJ18" s="70"/>
      <c r="AK18" s="70" t="s">
        <v>314</v>
      </c>
      <c r="AL18" s="70"/>
      <c r="AM18" s="70"/>
      <c r="AN18" s="70" t="s">
        <v>314</v>
      </c>
      <c r="AO18" s="70"/>
      <c r="AP18" s="70" t="s">
        <v>314</v>
      </c>
      <c r="AQ18" s="70"/>
      <c r="AR18" s="70"/>
      <c r="AS18" s="70" t="s">
        <v>314</v>
      </c>
      <c r="AT18" s="70"/>
      <c r="AU18" s="70"/>
      <c r="AV18" s="70" t="s">
        <v>314</v>
      </c>
      <c r="AW18" s="70"/>
      <c r="AX18" s="70"/>
      <c r="AY18" s="70"/>
      <c r="AZ18" s="70" t="s">
        <v>314</v>
      </c>
      <c r="BA18" s="70" t="s">
        <v>314</v>
      </c>
      <c r="BB18" s="70"/>
      <c r="BC18" s="70"/>
      <c r="BD18" s="70" t="s">
        <v>314</v>
      </c>
      <c r="BE18" s="97"/>
      <c r="BF18" s="70"/>
      <c r="BG18" s="70"/>
      <c r="BH18" s="70" t="s">
        <v>314</v>
      </c>
      <c r="BI18" s="70" t="s">
        <v>314</v>
      </c>
      <c r="BJ18" s="70"/>
      <c r="BK18" s="70" t="s">
        <v>314</v>
      </c>
      <c r="BL18" s="70"/>
      <c r="BM18" s="70"/>
      <c r="BN18" s="70"/>
    </row>
    <row r="19" spans="1:66" x14ac:dyDescent="0.2">
      <c r="A19" s="59">
        <v>9</v>
      </c>
      <c r="B19" s="67" t="s">
        <v>247</v>
      </c>
      <c r="C19" s="65"/>
      <c r="D19" s="64">
        <v>24</v>
      </c>
      <c r="E19" s="64">
        <f>IF(ISBLANK($D19),"0",IF(($D20-$D19)&lt;($C20-$C19),1,0))</f>
        <v>0</v>
      </c>
      <c r="F19" s="64">
        <f t="shared" ca="1" si="1"/>
        <v>15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 t="s">
        <v>314</v>
      </c>
      <c r="Q19" s="69" t="s">
        <v>314</v>
      </c>
      <c r="R19" s="69"/>
      <c r="S19" s="69" t="s">
        <v>314</v>
      </c>
      <c r="T19" s="69"/>
      <c r="U19" s="96"/>
      <c r="V19" s="69" t="s">
        <v>314</v>
      </c>
      <c r="W19" s="69"/>
      <c r="X19" s="69"/>
      <c r="Y19" s="69"/>
      <c r="Z19" s="69"/>
      <c r="AA19" s="69"/>
      <c r="AB19" s="69" t="s">
        <v>314</v>
      </c>
      <c r="AC19" s="69"/>
      <c r="AD19" s="69"/>
      <c r="AE19" s="69" t="s">
        <v>314</v>
      </c>
      <c r="AF19" s="69" t="s">
        <v>314</v>
      </c>
      <c r="AG19" s="69"/>
      <c r="AH19" s="69"/>
      <c r="AI19" s="69"/>
      <c r="AJ19" s="69"/>
      <c r="AK19" s="69" t="s">
        <v>314</v>
      </c>
      <c r="AL19" s="69"/>
      <c r="AM19" s="69"/>
      <c r="AN19" s="69"/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/>
      <c r="BN19" s="69" t="s">
        <v>314</v>
      </c>
    </row>
    <row r="20" spans="1:66" x14ac:dyDescent="0.2">
      <c r="A20" s="61" t="s">
        <v>3</v>
      </c>
      <c r="B20" s="68" t="s">
        <v>188</v>
      </c>
      <c r="C20" s="66">
        <v>6.5</v>
      </c>
      <c r="D20" s="64">
        <v>45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/>
      <c r="Q20" s="70"/>
      <c r="R20" s="70" t="s">
        <v>314</v>
      </c>
      <c r="S20" s="70"/>
      <c r="T20" s="70" t="s">
        <v>314</v>
      </c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 t="s">
        <v>314</v>
      </c>
      <c r="AB20" s="70"/>
      <c r="AC20" s="70" t="s">
        <v>314</v>
      </c>
      <c r="AD20" s="70" t="s">
        <v>314</v>
      </c>
      <c r="AE20" s="70"/>
      <c r="AF20" s="70"/>
      <c r="AG20" s="70" t="s">
        <v>314</v>
      </c>
      <c r="AH20" s="70" t="s">
        <v>314</v>
      </c>
      <c r="AI20" s="70" t="s">
        <v>314</v>
      </c>
      <c r="AJ20" s="70" t="s">
        <v>314</v>
      </c>
      <c r="AK20" s="70"/>
      <c r="AL20" s="70" t="s">
        <v>314</v>
      </c>
      <c r="AM20" s="70" t="s">
        <v>314</v>
      </c>
      <c r="AN20" s="70" t="s">
        <v>314</v>
      </c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 t="s">
        <v>314</v>
      </c>
      <c r="BC20" s="70" t="s">
        <v>314</v>
      </c>
      <c r="BD20" s="70" t="s">
        <v>314</v>
      </c>
      <c r="BE20" s="97"/>
      <c r="BF20" s="70"/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/>
    </row>
    <row r="21" spans="1:66" x14ac:dyDescent="0.2">
      <c r="A21" s="59">
        <v>10</v>
      </c>
      <c r="B21" s="67" t="s">
        <v>205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/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 t="s">
        <v>314</v>
      </c>
      <c r="AI21" s="69" t="s">
        <v>314</v>
      </c>
      <c r="AJ21" s="69"/>
      <c r="AK21" s="69"/>
      <c r="AL21" s="69"/>
      <c r="AM21" s="69"/>
      <c r="AN21" s="69" t="s">
        <v>314</v>
      </c>
      <c r="AO21" s="69" t="s">
        <v>314</v>
      </c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 t="s">
        <v>314</v>
      </c>
      <c r="BD21" s="69"/>
      <c r="BE21" s="96"/>
      <c r="BF21" s="69"/>
      <c r="BG21" s="69"/>
      <c r="BH21" s="69"/>
      <c r="BI21" s="69" t="s">
        <v>314</v>
      </c>
      <c r="BJ21" s="69"/>
      <c r="BK21" s="69" t="s">
        <v>314</v>
      </c>
      <c r="BL21" s="69"/>
      <c r="BM21" s="69"/>
      <c r="BN21" s="69"/>
    </row>
    <row r="22" spans="1:66" x14ac:dyDescent="0.2">
      <c r="A22" s="61" t="s">
        <v>3</v>
      </c>
      <c r="B22" s="68" t="s">
        <v>199</v>
      </c>
      <c r="C22" s="66">
        <v>2.5</v>
      </c>
      <c r="D22" s="64">
        <v>6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 t="s">
        <v>314</v>
      </c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/>
      <c r="Y22" s="70" t="s">
        <v>314</v>
      </c>
      <c r="Z22" s="70" t="s">
        <v>314</v>
      </c>
      <c r="AA22" s="70" t="s">
        <v>314</v>
      </c>
      <c r="AB22" s="70" t="s">
        <v>314</v>
      </c>
      <c r="AC22" s="70" t="s">
        <v>314</v>
      </c>
      <c r="AD22" s="70" t="s">
        <v>314</v>
      </c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 t="s">
        <v>314</v>
      </c>
      <c r="AL22" s="70" t="s">
        <v>314</v>
      </c>
      <c r="AM22" s="70" t="s">
        <v>314</v>
      </c>
      <c r="AN22" s="70"/>
      <c r="AO22" s="70"/>
      <c r="AP22" s="70" t="s">
        <v>314</v>
      </c>
      <c r="AQ22" s="70" t="s">
        <v>314</v>
      </c>
      <c r="AR22" s="70" t="s">
        <v>314</v>
      </c>
      <c r="AS22" s="70" t="s">
        <v>314</v>
      </c>
      <c r="AT22" s="70" t="s">
        <v>314</v>
      </c>
      <c r="AU22" s="70" t="s">
        <v>314</v>
      </c>
      <c r="AV22" s="70" t="s">
        <v>314</v>
      </c>
      <c r="AW22" s="70" t="s">
        <v>314</v>
      </c>
      <c r="AX22" s="70" t="s">
        <v>314</v>
      </c>
      <c r="AY22" s="70" t="s">
        <v>314</v>
      </c>
      <c r="AZ22" s="70" t="s">
        <v>314</v>
      </c>
      <c r="BA22" s="70" t="s">
        <v>314</v>
      </c>
      <c r="BB22" s="70" t="s">
        <v>314</v>
      </c>
      <c r="BC22" s="70"/>
      <c r="BD22" s="70" t="s">
        <v>314</v>
      </c>
      <c r="BE22" s="70"/>
      <c r="BF22" s="70"/>
      <c r="BG22" s="70" t="s">
        <v>314</v>
      </c>
      <c r="BH22" s="70" t="s">
        <v>314</v>
      </c>
      <c r="BI22" s="70"/>
      <c r="BJ22" s="70" t="s">
        <v>314</v>
      </c>
      <c r="BK22" s="70"/>
      <c r="BL22" s="70" t="s">
        <v>314</v>
      </c>
      <c r="BM22" s="70" t="s">
        <v>314</v>
      </c>
      <c r="BN22" s="70" t="s">
        <v>314</v>
      </c>
    </row>
    <row r="23" spans="1:66" x14ac:dyDescent="0.2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23</v>
      </c>
      <c r="G23" s="59"/>
      <c r="H23" s="59"/>
      <c r="I23" s="60"/>
      <c r="J23" s="78"/>
      <c r="K23" s="78">
        <v>21</v>
      </c>
      <c r="L23" s="78">
        <v>33</v>
      </c>
      <c r="M23" s="78">
        <v>24</v>
      </c>
      <c r="N23" s="80">
        <v>28</v>
      </c>
      <c r="O23" s="78">
        <v>28</v>
      </c>
      <c r="P23" s="78">
        <v>28</v>
      </c>
      <c r="Q23" s="78">
        <v>28</v>
      </c>
      <c r="R23" s="78">
        <v>31</v>
      </c>
      <c r="S23" s="78">
        <v>20</v>
      </c>
      <c r="T23" s="78">
        <v>10</v>
      </c>
      <c r="U23" s="78">
        <v>28</v>
      </c>
      <c r="V23" s="78">
        <v>23</v>
      </c>
      <c r="W23" s="78">
        <v>14</v>
      </c>
      <c r="X23" s="78"/>
      <c r="Y23" s="78">
        <v>14</v>
      </c>
      <c r="Z23" s="78">
        <v>17</v>
      </c>
      <c r="AA23" s="78">
        <v>24</v>
      </c>
      <c r="AB23" s="78">
        <v>31</v>
      </c>
      <c r="AC23" s="78">
        <v>24</v>
      </c>
      <c r="AD23" s="78">
        <v>22</v>
      </c>
      <c r="AE23" s="78">
        <v>16</v>
      </c>
      <c r="AF23" s="78">
        <v>24</v>
      </c>
      <c r="AG23" s="78">
        <v>20</v>
      </c>
      <c r="AH23" s="78">
        <v>24</v>
      </c>
      <c r="AI23" s="78">
        <v>27</v>
      </c>
      <c r="AJ23" s="78">
        <v>14</v>
      </c>
      <c r="AK23" s="78">
        <v>19</v>
      </c>
      <c r="AL23" s="78">
        <v>28</v>
      </c>
      <c r="AM23" s="78">
        <v>17</v>
      </c>
      <c r="AN23" s="78">
        <v>31</v>
      </c>
      <c r="AO23" s="78">
        <v>24</v>
      </c>
      <c r="AP23" s="78">
        <v>17</v>
      </c>
      <c r="AQ23" s="78">
        <v>27</v>
      </c>
      <c r="AR23" s="78">
        <v>17</v>
      </c>
      <c r="AS23" s="78">
        <v>27</v>
      </c>
      <c r="AT23" s="78">
        <v>17</v>
      </c>
      <c r="AU23" s="78">
        <v>14</v>
      </c>
      <c r="AV23" s="78">
        <v>24</v>
      </c>
      <c r="AW23" s="78">
        <v>24</v>
      </c>
      <c r="AX23" s="78">
        <v>30</v>
      </c>
      <c r="AY23" s="78">
        <v>13</v>
      </c>
      <c r="AZ23" s="78">
        <v>21</v>
      </c>
      <c r="BA23" s="78">
        <v>35</v>
      </c>
      <c r="BB23" s="78">
        <v>14</v>
      </c>
      <c r="BC23" s="78">
        <v>23</v>
      </c>
      <c r="BD23" s="78">
        <v>24</v>
      </c>
      <c r="BE23" s="78"/>
      <c r="BF23" s="78"/>
      <c r="BG23" s="78">
        <v>23</v>
      </c>
      <c r="BH23" s="78">
        <v>28</v>
      </c>
      <c r="BI23" s="78">
        <v>28</v>
      </c>
      <c r="BJ23" s="78">
        <v>21</v>
      </c>
      <c r="BK23" s="78">
        <v>20</v>
      </c>
      <c r="BL23" s="78">
        <v>17</v>
      </c>
      <c r="BM23" s="78">
        <v>27</v>
      </c>
      <c r="BN23" s="78">
        <v>21</v>
      </c>
    </row>
    <row r="24" spans="1:66" x14ac:dyDescent="0.2">
      <c r="A24" s="61"/>
      <c r="B24" s="68" t="str">
        <f>B22&amp; " - score"</f>
        <v>Michigan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28</v>
      </c>
      <c r="L24" s="79">
        <v>35</v>
      </c>
      <c r="M24" s="79">
        <v>28</v>
      </c>
      <c r="N24" s="79">
        <v>42</v>
      </c>
      <c r="O24" s="79">
        <v>30</v>
      </c>
      <c r="P24" s="79">
        <v>35</v>
      </c>
      <c r="Q24" s="79">
        <v>32</v>
      </c>
      <c r="R24" s="79">
        <v>24</v>
      </c>
      <c r="S24" s="79">
        <v>23</v>
      </c>
      <c r="T24" s="79">
        <v>27</v>
      </c>
      <c r="U24" s="79">
        <v>35</v>
      </c>
      <c r="V24" s="79">
        <v>34</v>
      </c>
      <c r="W24" s="79">
        <v>17</v>
      </c>
      <c r="X24" s="79"/>
      <c r="Y24" s="79">
        <v>27</v>
      </c>
      <c r="Z24" s="79">
        <v>24</v>
      </c>
      <c r="AA24" s="79">
        <v>32</v>
      </c>
      <c r="AB24" s="79">
        <v>48</v>
      </c>
      <c r="AC24" s="79">
        <v>27</v>
      </c>
      <c r="AD24" s="79">
        <v>44</v>
      </c>
      <c r="AE24" s="79">
        <v>39</v>
      </c>
      <c r="AF24" s="79">
        <v>28</v>
      </c>
      <c r="AG24" s="79">
        <v>31</v>
      </c>
      <c r="AH24" s="79">
        <v>22</v>
      </c>
      <c r="AI24" s="79">
        <v>20</v>
      </c>
      <c r="AJ24" s="79">
        <v>24</v>
      </c>
      <c r="AK24" s="79">
        <v>23</v>
      </c>
      <c r="AL24" s="79">
        <v>35</v>
      </c>
      <c r="AM24" s="79">
        <v>28</v>
      </c>
      <c r="AN24" s="79">
        <v>28</v>
      </c>
      <c r="AO24" s="79">
        <v>22</v>
      </c>
      <c r="AP24" s="79">
        <v>21</v>
      </c>
      <c r="AQ24" s="79">
        <v>30</v>
      </c>
      <c r="AR24" s="79">
        <v>27</v>
      </c>
      <c r="AS24" s="79">
        <v>31</v>
      </c>
      <c r="AT24" s="79">
        <v>28</v>
      </c>
      <c r="AU24" s="79">
        <v>21</v>
      </c>
      <c r="AV24" s="79">
        <v>31</v>
      </c>
      <c r="AW24" s="79">
        <v>31</v>
      </c>
      <c r="AX24" s="79">
        <v>34</v>
      </c>
      <c r="AY24" s="79">
        <v>24</v>
      </c>
      <c r="AZ24" s="79">
        <v>28</v>
      </c>
      <c r="BA24" s="79">
        <v>38</v>
      </c>
      <c r="BB24" s="79">
        <v>21</v>
      </c>
      <c r="BC24" s="79">
        <v>21</v>
      </c>
      <c r="BD24" s="79">
        <v>28</v>
      </c>
      <c r="BE24" s="79"/>
      <c r="BF24" s="79"/>
      <c r="BG24" s="79">
        <v>51</v>
      </c>
      <c r="BH24" s="79">
        <v>31</v>
      </c>
      <c r="BI24" s="79">
        <v>28</v>
      </c>
      <c r="BJ24" s="79">
        <v>24</v>
      </c>
      <c r="BK24" s="79">
        <v>21</v>
      </c>
      <c r="BL24" s="79">
        <v>24</v>
      </c>
      <c r="BM24" s="79">
        <v>30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8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4</v>
      </c>
      <c r="Q25" s="36">
        <f t="shared" si="3"/>
        <v>5</v>
      </c>
      <c r="R25" s="36">
        <f t="shared" si="3"/>
        <v>7</v>
      </c>
      <c r="S25" s="36">
        <f t="shared" si="3"/>
        <v>7</v>
      </c>
      <c r="T25" s="36">
        <f t="shared" si="3"/>
        <v>2</v>
      </c>
      <c r="U25" s="36">
        <f t="shared" si="3"/>
        <v>6</v>
      </c>
      <c r="V25" s="36">
        <f t="shared" si="3"/>
        <v>3</v>
      </c>
      <c r="W25" s="36">
        <f t="shared" si="3"/>
        <v>7</v>
      </c>
      <c r="X25" s="36">
        <f t="shared" si="3"/>
        <v>0</v>
      </c>
      <c r="Y25" s="36">
        <f t="shared" si="3"/>
        <v>6</v>
      </c>
      <c r="Z25" s="36">
        <f t="shared" si="3"/>
        <v>4</v>
      </c>
      <c r="AA25" s="36">
        <f t="shared" si="3"/>
        <v>5</v>
      </c>
      <c r="AB25" s="36">
        <f t="shared" si="3"/>
        <v>6</v>
      </c>
      <c r="AC25" s="36">
        <f t="shared" si="3"/>
        <v>6</v>
      </c>
      <c r="AD25" s="36">
        <f t="shared" si="3"/>
        <v>7</v>
      </c>
      <c r="AE25" s="36">
        <f t="shared" si="3"/>
        <v>2</v>
      </c>
      <c r="AF25" s="36">
        <f t="shared" si="3"/>
        <v>4</v>
      </c>
      <c r="AG25" s="36">
        <f t="shared" si="3"/>
        <v>6</v>
      </c>
      <c r="AH25" s="36">
        <f t="shared" si="3"/>
        <v>7</v>
      </c>
      <c r="AI25" s="36">
        <f t="shared" si="3"/>
        <v>9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7</v>
      </c>
      <c r="AN25" s="36">
        <f t="shared" si="3"/>
        <v>5</v>
      </c>
      <c r="AO25" s="36">
        <f t="shared" si="3"/>
        <v>5</v>
      </c>
      <c r="AP25" s="36">
        <f t="shared" si="3"/>
        <v>6</v>
      </c>
      <c r="AQ25" s="36">
        <f t="shared" si="3"/>
        <v>5</v>
      </c>
      <c r="AR25" s="36">
        <f t="shared" si="3"/>
        <v>3</v>
      </c>
      <c r="AS25" s="36">
        <f t="shared" si="3"/>
        <v>3</v>
      </c>
      <c r="AT25" s="36">
        <f t="shared" si="3"/>
        <v>4</v>
      </c>
      <c r="AU25" s="36">
        <f t="shared" si="3"/>
        <v>5</v>
      </c>
      <c r="AV25" s="36">
        <f t="shared" si="3"/>
        <v>4</v>
      </c>
      <c r="AW25" s="36">
        <f t="shared" si="3"/>
        <v>4</v>
      </c>
      <c r="AX25" s="36">
        <f t="shared" si="3"/>
        <v>6</v>
      </c>
      <c r="AY25" s="36">
        <f t="shared" si="3"/>
        <v>5</v>
      </c>
      <c r="AZ25" s="36">
        <f t="shared" si="3"/>
        <v>4</v>
      </c>
      <c r="BA25" s="36">
        <f t="shared" si="3"/>
        <v>6</v>
      </c>
      <c r="BB25" s="36">
        <f t="shared" si="3"/>
        <v>7</v>
      </c>
      <c r="BC25" s="36">
        <f t="shared" si="3"/>
        <v>7</v>
      </c>
      <c r="BD25" s="36">
        <f t="shared" si="3"/>
        <v>4</v>
      </c>
      <c r="BE25" s="36">
        <f t="shared" si="3"/>
        <v>0</v>
      </c>
      <c r="BF25" s="36">
        <f t="shared" si="3"/>
        <v>0</v>
      </c>
      <c r="BG25" s="36">
        <f t="shared" si="3"/>
        <v>6</v>
      </c>
      <c r="BH25" s="36">
        <f t="shared" si="3"/>
        <v>3</v>
      </c>
      <c r="BI25" s="36">
        <f t="shared" si="3"/>
        <v>6</v>
      </c>
      <c r="BJ25" s="36">
        <f t="shared" si="3"/>
        <v>6</v>
      </c>
      <c r="BK25" s="36">
        <f t="shared" si="3"/>
        <v>2</v>
      </c>
      <c r="BL25" s="36">
        <f t="shared" si="3"/>
        <v>5</v>
      </c>
      <c r="BM25" s="36">
        <f t="shared" si="3"/>
        <v>6</v>
      </c>
      <c r="BN25" s="36">
        <f t="shared" si="3"/>
        <v>4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31</v>
      </c>
      <c r="L26" s="71">
        <f t="shared" si="4"/>
        <v>26</v>
      </c>
      <c r="M26" s="71">
        <f t="shared" si="4"/>
        <v>28</v>
      </c>
      <c r="N26" s="71">
        <f t="shared" si="4"/>
        <v>38</v>
      </c>
      <c r="O26" s="71">
        <f t="shared" si="4"/>
        <v>26</v>
      </c>
      <c r="P26" s="71">
        <f t="shared" si="4"/>
        <v>31</v>
      </c>
      <c r="Q26" s="71">
        <f t="shared" si="4"/>
        <v>28</v>
      </c>
      <c r="R26" s="71">
        <f t="shared" si="4"/>
        <v>17</v>
      </c>
      <c r="S26" s="71">
        <f t="shared" si="4"/>
        <v>27</v>
      </c>
      <c r="T26" s="71">
        <f t="shared" si="4"/>
        <v>41</v>
      </c>
      <c r="U26" s="71">
        <f t="shared" si="4"/>
        <v>31</v>
      </c>
      <c r="V26" s="71">
        <f t="shared" si="4"/>
        <v>35</v>
      </c>
      <c r="W26" s="71">
        <f t="shared" si="4"/>
        <v>27</v>
      </c>
      <c r="X26" s="71">
        <f t="shared" si="4"/>
        <v>24</v>
      </c>
      <c r="Y26" s="71">
        <f t="shared" si="4"/>
        <v>37</v>
      </c>
      <c r="Z26" s="71">
        <f t="shared" si="4"/>
        <v>31</v>
      </c>
      <c r="AA26" s="71">
        <f t="shared" si="4"/>
        <v>32</v>
      </c>
      <c r="AB26" s="71">
        <f t="shared" si="4"/>
        <v>41</v>
      </c>
      <c r="AC26" s="71">
        <f t="shared" si="4"/>
        <v>27</v>
      </c>
      <c r="AD26" s="71">
        <f t="shared" si="4"/>
        <v>46</v>
      </c>
      <c r="AE26" s="71">
        <f t="shared" si="4"/>
        <v>47</v>
      </c>
      <c r="AF26" s="71">
        <f t="shared" si="4"/>
        <v>28</v>
      </c>
      <c r="AG26" s="71">
        <f t="shared" si="4"/>
        <v>35</v>
      </c>
      <c r="AH26" s="71">
        <f t="shared" si="4"/>
        <v>22</v>
      </c>
      <c r="AI26" s="71">
        <f t="shared" si="4"/>
        <v>17</v>
      </c>
      <c r="AJ26" s="71">
        <f t="shared" si="4"/>
        <v>34</v>
      </c>
      <c r="AK26" s="71">
        <f t="shared" si="4"/>
        <v>28</v>
      </c>
      <c r="AL26" s="71">
        <f t="shared" si="4"/>
        <v>31</v>
      </c>
      <c r="AM26" s="71">
        <f t="shared" si="4"/>
        <v>35</v>
      </c>
      <c r="AN26" s="71">
        <f t="shared" si="4"/>
        <v>21</v>
      </c>
      <c r="AO26" s="71">
        <f t="shared" si="4"/>
        <v>22</v>
      </c>
      <c r="AP26" s="71">
        <f t="shared" si="4"/>
        <v>28</v>
      </c>
      <c r="AQ26" s="71">
        <f t="shared" si="4"/>
        <v>27</v>
      </c>
      <c r="AR26" s="71">
        <f t="shared" si="4"/>
        <v>34</v>
      </c>
      <c r="AS26" s="71">
        <f t="shared" si="4"/>
        <v>28</v>
      </c>
      <c r="AT26" s="71">
        <f t="shared" si="4"/>
        <v>35</v>
      </c>
      <c r="AU26" s="71">
        <f t="shared" si="4"/>
        <v>31</v>
      </c>
      <c r="AV26" s="71">
        <f t="shared" si="4"/>
        <v>31</v>
      </c>
      <c r="AW26" s="71">
        <f t="shared" si="4"/>
        <v>31</v>
      </c>
      <c r="AX26" s="71">
        <f t="shared" si="4"/>
        <v>28</v>
      </c>
      <c r="AY26" s="71">
        <f t="shared" si="4"/>
        <v>35</v>
      </c>
      <c r="AZ26" s="71">
        <f t="shared" si="4"/>
        <v>31</v>
      </c>
      <c r="BA26" s="71">
        <f t="shared" si="4"/>
        <v>27</v>
      </c>
      <c r="BB26" s="71">
        <f t="shared" si="4"/>
        <v>31</v>
      </c>
      <c r="BC26" s="71">
        <f t="shared" si="4"/>
        <v>22</v>
      </c>
      <c r="BD26" s="71">
        <f t="shared" si="4"/>
        <v>28</v>
      </c>
      <c r="BE26" s="71">
        <f t="shared" si="4"/>
        <v>24</v>
      </c>
      <c r="BF26" s="71">
        <f t="shared" si="4"/>
        <v>24</v>
      </c>
      <c r="BG26" s="71">
        <f t="shared" si="4"/>
        <v>52</v>
      </c>
      <c r="BH26" s="71">
        <f t="shared" si="4"/>
        <v>27</v>
      </c>
      <c r="BI26" s="71">
        <f t="shared" si="4"/>
        <v>24</v>
      </c>
      <c r="BJ26" s="71">
        <f t="shared" si="4"/>
        <v>27</v>
      </c>
      <c r="BK26" s="71">
        <f t="shared" si="4"/>
        <v>25</v>
      </c>
      <c r="BL26" s="71">
        <f t="shared" si="4"/>
        <v>31</v>
      </c>
      <c r="BM26" s="71">
        <f t="shared" si="4"/>
        <v>27</v>
      </c>
      <c r="BN26" s="71">
        <f t="shared" si="4"/>
        <v>31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13</v>
      </c>
      <c r="L27" s="71">
        <f t="shared" si="5"/>
        <v>32</v>
      </c>
      <c r="M27" s="71">
        <f t="shared" si="5"/>
        <v>16</v>
      </c>
      <c r="N27" s="71">
        <f t="shared" si="5"/>
        <v>34</v>
      </c>
      <c r="O27" s="71">
        <f t="shared" si="5"/>
        <v>22</v>
      </c>
      <c r="P27" s="71">
        <f t="shared" si="5"/>
        <v>27</v>
      </c>
      <c r="Q27" s="71">
        <f t="shared" si="5"/>
        <v>24</v>
      </c>
      <c r="R27" s="71">
        <f t="shared" si="5"/>
        <v>19</v>
      </c>
      <c r="S27" s="71">
        <f t="shared" si="5"/>
        <v>7</v>
      </c>
      <c r="T27" s="71">
        <f t="shared" si="5"/>
        <v>1</v>
      </c>
      <c r="U27" s="71">
        <f t="shared" si="5"/>
        <v>27</v>
      </c>
      <c r="V27" s="71">
        <f t="shared" si="5"/>
        <v>21</v>
      </c>
      <c r="W27" s="71">
        <f t="shared" si="5"/>
        <v>5</v>
      </c>
      <c r="X27" s="71">
        <f t="shared" si="5"/>
        <v>36</v>
      </c>
      <c r="Y27" s="71">
        <f t="shared" si="5"/>
        <v>5</v>
      </c>
      <c r="Z27" s="71">
        <f t="shared" si="5"/>
        <v>5</v>
      </c>
      <c r="AA27" s="71">
        <f t="shared" si="5"/>
        <v>20</v>
      </c>
      <c r="AB27" s="71">
        <f t="shared" si="5"/>
        <v>43</v>
      </c>
      <c r="AC27" s="71">
        <f t="shared" si="5"/>
        <v>15</v>
      </c>
      <c r="AD27" s="71">
        <f t="shared" si="5"/>
        <v>30</v>
      </c>
      <c r="AE27" s="71">
        <f t="shared" si="5"/>
        <v>19</v>
      </c>
      <c r="AF27" s="71">
        <f t="shared" si="5"/>
        <v>16</v>
      </c>
      <c r="AG27" s="71">
        <f t="shared" si="5"/>
        <v>15</v>
      </c>
      <c r="AH27" s="71">
        <f t="shared" si="5"/>
        <v>10</v>
      </c>
      <c r="AI27" s="71">
        <f t="shared" si="5"/>
        <v>11</v>
      </c>
      <c r="AJ27" s="71">
        <f t="shared" si="5"/>
        <v>2</v>
      </c>
      <c r="AK27" s="71">
        <f t="shared" si="5"/>
        <v>6</v>
      </c>
      <c r="AL27" s="71">
        <f t="shared" si="5"/>
        <v>27</v>
      </c>
      <c r="AM27" s="71">
        <f t="shared" si="5"/>
        <v>9</v>
      </c>
      <c r="AN27" s="71">
        <f t="shared" si="5"/>
        <v>23</v>
      </c>
      <c r="AO27" s="71">
        <f t="shared" si="5"/>
        <v>10</v>
      </c>
      <c r="AP27" s="71">
        <f t="shared" si="5"/>
        <v>2</v>
      </c>
      <c r="AQ27" s="71">
        <f t="shared" si="5"/>
        <v>21</v>
      </c>
      <c r="AR27" s="71">
        <f t="shared" si="5"/>
        <v>8</v>
      </c>
      <c r="AS27" s="71">
        <f t="shared" si="5"/>
        <v>22</v>
      </c>
      <c r="AT27" s="71">
        <f t="shared" si="5"/>
        <v>9</v>
      </c>
      <c r="AU27" s="71">
        <f t="shared" si="5"/>
        <v>1</v>
      </c>
      <c r="AV27" s="71">
        <f t="shared" si="5"/>
        <v>19</v>
      </c>
      <c r="AW27" s="71">
        <f t="shared" si="5"/>
        <v>19</v>
      </c>
      <c r="AX27" s="71">
        <f t="shared" si="5"/>
        <v>28</v>
      </c>
      <c r="AY27" s="71">
        <f t="shared" si="5"/>
        <v>1</v>
      </c>
      <c r="AZ27" s="71">
        <f t="shared" si="5"/>
        <v>13</v>
      </c>
      <c r="BA27" s="71">
        <f t="shared" si="5"/>
        <v>37</v>
      </c>
      <c r="BB27" s="71">
        <f t="shared" si="5"/>
        <v>1</v>
      </c>
      <c r="BC27" s="71">
        <f t="shared" si="5"/>
        <v>8</v>
      </c>
      <c r="BD27" s="71">
        <f t="shared" si="5"/>
        <v>16</v>
      </c>
      <c r="BE27" s="71">
        <f t="shared" si="5"/>
        <v>36</v>
      </c>
      <c r="BF27" s="71">
        <f t="shared" si="5"/>
        <v>36</v>
      </c>
      <c r="BG27" s="71">
        <f t="shared" si="5"/>
        <v>38</v>
      </c>
      <c r="BH27" s="71">
        <f t="shared" si="5"/>
        <v>23</v>
      </c>
      <c r="BI27" s="71">
        <f t="shared" si="5"/>
        <v>20</v>
      </c>
      <c r="BJ27" s="71">
        <f t="shared" si="5"/>
        <v>9</v>
      </c>
      <c r="BK27" s="71">
        <f t="shared" si="5"/>
        <v>5</v>
      </c>
      <c r="BL27" s="71">
        <f t="shared" si="5"/>
        <v>5</v>
      </c>
      <c r="BM27" s="71">
        <f t="shared" si="5"/>
        <v>21</v>
      </c>
      <c r="BN27" s="71">
        <f t="shared" si="5"/>
        <v>13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>
        <f t="shared" ca="1" si="6"/>
        <v>1</v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0.48035714285714287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4</v>
      </c>
      <c r="M29" s="71">
        <f t="shared" si="7"/>
        <v>7</v>
      </c>
      <c r="N29" s="71">
        <f t="shared" si="7"/>
        <v>5</v>
      </c>
      <c r="O29" s="71">
        <f t="shared" si="7"/>
        <v>9</v>
      </c>
      <c r="P29" s="71">
        <f t="shared" si="7"/>
        <v>9</v>
      </c>
      <c r="Q29" s="71">
        <f t="shared" si="7"/>
        <v>8</v>
      </c>
      <c r="R29" s="71">
        <f t="shared" si="7"/>
        <v>6</v>
      </c>
      <c r="S29" s="71">
        <f t="shared" si="7"/>
        <v>4</v>
      </c>
      <c r="T29" s="71">
        <f t="shared" si="7"/>
        <v>3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0</v>
      </c>
      <c r="Y29" s="71">
        <f t="shared" si="7"/>
        <v>3</v>
      </c>
      <c r="Z29" s="71">
        <f t="shared" si="7"/>
        <v>5</v>
      </c>
      <c r="AA29" s="71">
        <f t="shared" si="7"/>
        <v>4</v>
      </c>
      <c r="AB29" s="71">
        <f t="shared" si="7"/>
        <v>5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5</v>
      </c>
      <c r="AH29" s="71">
        <f t="shared" si="7"/>
        <v>6</v>
      </c>
      <c r="AI29" s="71">
        <f t="shared" si="7"/>
        <v>6</v>
      </c>
      <c r="AJ29" s="71">
        <f t="shared" si="7"/>
        <v>6</v>
      </c>
      <c r="AK29" s="71">
        <f t="shared" si="7"/>
        <v>6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8</v>
      </c>
      <c r="AP29" s="71">
        <f t="shared" si="7"/>
        <v>5</v>
      </c>
      <c r="AQ29" s="71">
        <f t="shared" si="7"/>
        <v>6</v>
      </c>
      <c r="AR29" s="71">
        <f t="shared" si="7"/>
        <v>6</v>
      </c>
      <c r="AS29" s="71">
        <f t="shared" si="7"/>
        <v>6</v>
      </c>
      <c r="AT29" s="71">
        <f t="shared" si="7"/>
        <v>7</v>
      </c>
      <c r="AU29" s="71">
        <f t="shared" si="7"/>
        <v>6</v>
      </c>
      <c r="AV29" s="71">
        <f t="shared" si="7"/>
        <v>5</v>
      </c>
      <c r="AW29" s="71">
        <f t="shared" si="7"/>
        <v>5</v>
      </c>
      <c r="AX29" s="71">
        <f t="shared" si="7"/>
        <v>7</v>
      </c>
      <c r="AY29" s="71">
        <f t="shared" si="7"/>
        <v>4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6</v>
      </c>
      <c r="BD29" s="71">
        <f t="shared" si="7"/>
        <v>3</v>
      </c>
      <c r="BE29" s="71">
        <f t="shared" si="7"/>
        <v>0</v>
      </c>
      <c r="BF29" s="71">
        <f t="shared" si="7"/>
        <v>0</v>
      </c>
      <c r="BG29" s="71">
        <f t="shared" si="7"/>
        <v>3</v>
      </c>
      <c r="BH29" s="71">
        <f t="shared" si="7"/>
        <v>4</v>
      </c>
      <c r="BI29" s="71">
        <f t="shared" si="7"/>
        <v>3</v>
      </c>
      <c r="BJ29" s="71">
        <f t="shared" si="7"/>
        <v>7</v>
      </c>
      <c r="BK29" s="71">
        <f t="shared" si="7"/>
        <v>7</v>
      </c>
      <c r="BL29" s="71">
        <f t="shared" si="7"/>
        <v>4</v>
      </c>
      <c r="BM29" s="71">
        <f t="shared" si="7"/>
        <v>7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2</v>
      </c>
      <c r="O30" s="73">
        <f t="shared" si="8"/>
        <v>8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1</v>
      </c>
      <c r="T30" s="73">
        <f t="shared" si="8"/>
        <v>6</v>
      </c>
      <c r="U30" s="73">
        <f t="shared" si="8"/>
        <v>4</v>
      </c>
      <c r="V30" s="73">
        <f t="shared" si="8"/>
        <v>7</v>
      </c>
      <c r="W30" s="73">
        <f t="shared" si="8"/>
        <v>1</v>
      </c>
      <c r="X30" s="73">
        <f t="shared" si="8"/>
        <v>10</v>
      </c>
      <c r="Y30" s="73">
        <f t="shared" si="8"/>
        <v>4</v>
      </c>
      <c r="Z30" s="73">
        <f t="shared" si="8"/>
        <v>4</v>
      </c>
      <c r="AA30" s="73">
        <f t="shared" si="8"/>
        <v>3</v>
      </c>
      <c r="AB30" s="73">
        <f t="shared" si="8"/>
        <v>2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5</v>
      </c>
      <c r="AL30" s="73">
        <f t="shared" si="8"/>
        <v>3</v>
      </c>
      <c r="AM30" s="73">
        <f t="shared" si="8"/>
        <v>3</v>
      </c>
      <c r="AN30" s="73">
        <f t="shared" si="8"/>
        <v>5</v>
      </c>
      <c r="AO30" s="73">
        <f t="shared" si="8"/>
        <v>7</v>
      </c>
      <c r="AP30" s="73">
        <f t="shared" si="8"/>
        <v>4</v>
      </c>
      <c r="AQ30" s="73">
        <f t="shared" si="8"/>
        <v>3</v>
      </c>
      <c r="AR30" s="73">
        <f t="shared" si="8"/>
        <v>5</v>
      </c>
      <c r="AS30" s="73">
        <f t="shared" si="8"/>
        <v>7</v>
      </c>
      <c r="AT30" s="73">
        <f t="shared" si="8"/>
        <v>6</v>
      </c>
      <c r="AU30" s="73">
        <f t="shared" si="8"/>
        <v>3</v>
      </c>
      <c r="AV30" s="73">
        <f t="shared" si="8"/>
        <v>6</v>
      </c>
      <c r="AW30" s="73">
        <f t="shared" si="8"/>
        <v>4</v>
      </c>
      <c r="AX30" s="73">
        <f t="shared" si="8"/>
        <v>4</v>
      </c>
      <c r="AY30" s="73">
        <f t="shared" si="8"/>
        <v>3</v>
      </c>
      <c r="AZ30" s="73">
        <f t="shared" si="8"/>
        <v>6</v>
      </c>
      <c r="BA30" s="73">
        <f t="shared" si="8"/>
        <v>2</v>
      </c>
      <c r="BB30" s="73">
        <f t="shared" si="8"/>
        <v>1</v>
      </c>
      <c r="BC30" s="73">
        <f t="shared" si="8"/>
        <v>3</v>
      </c>
      <c r="BD30" s="73">
        <f t="shared" si="8"/>
        <v>6</v>
      </c>
      <c r="BE30" s="73">
        <f t="shared" si="8"/>
        <v>10</v>
      </c>
      <c r="BF30" s="73">
        <f t="shared" si="8"/>
        <v>10</v>
      </c>
      <c r="BG30" s="73">
        <f t="shared" si="8"/>
        <v>2</v>
      </c>
      <c r="BH30" s="73">
        <f t="shared" si="8"/>
        <v>7</v>
      </c>
      <c r="BI30" s="73">
        <f t="shared" si="8"/>
        <v>4</v>
      </c>
      <c r="BJ30" s="73">
        <f t="shared" si="8"/>
        <v>4</v>
      </c>
      <c r="BK30" s="73">
        <f t="shared" si="8"/>
        <v>10</v>
      </c>
      <c r="BL30" s="73">
        <f t="shared" si="8"/>
        <v>3</v>
      </c>
      <c r="BM30" s="73">
        <f t="shared" si="8"/>
        <v>4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0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3</v>
      </c>
      <c r="S31" s="71">
        <f t="shared" ca="1" si="9"/>
        <v>3</v>
      </c>
      <c r="T31" s="71">
        <f t="shared" ca="1" si="9"/>
        <v>6</v>
      </c>
      <c r="U31" s="71">
        <f t="shared" ca="1" si="9"/>
        <v>4</v>
      </c>
      <c r="V31" s="71">
        <f t="shared" ca="1" si="9"/>
        <v>5</v>
      </c>
      <c r="W31" s="71">
        <f t="shared" ca="1" si="9"/>
        <v>1</v>
      </c>
      <c r="X31" s="71">
        <f t="shared" ca="1" si="9"/>
        <v>10</v>
      </c>
      <c r="Y31" s="71">
        <f t="shared" ca="1" si="9"/>
        <v>6</v>
      </c>
      <c r="Z31" s="71">
        <f t="shared" ca="1" si="9"/>
        <v>2</v>
      </c>
      <c r="AA31" s="71">
        <f t="shared" ca="1" si="9"/>
        <v>1</v>
      </c>
      <c r="AB31" s="71">
        <f t="shared" ca="1" si="9"/>
        <v>2</v>
      </c>
      <c r="AC31" s="71">
        <f t="shared" ca="1" si="9"/>
        <v>2</v>
      </c>
      <c r="AD31" s="71">
        <f t="shared" ca="1" si="9"/>
        <v>1</v>
      </c>
      <c r="AE31" s="71">
        <f t="shared" ca="1" si="9"/>
        <v>6</v>
      </c>
      <c r="AF31" s="71">
        <f t="shared" ca="1" si="9"/>
        <v>4</v>
      </c>
      <c r="AG31" s="71">
        <f t="shared" ca="1" si="9"/>
        <v>4</v>
      </c>
      <c r="AH31" s="71">
        <f t="shared" ca="1" si="9"/>
        <v>1</v>
      </c>
      <c r="AI31" s="71">
        <f t="shared" ca="1" si="9"/>
        <v>5</v>
      </c>
      <c r="AJ31" s="71">
        <f t="shared" ca="1" si="9"/>
        <v>1</v>
      </c>
      <c r="AK31" s="71">
        <f t="shared" ca="1" si="9"/>
        <v>3</v>
      </c>
      <c r="AL31" s="71">
        <f t="shared" ca="1" si="9"/>
        <v>1</v>
      </c>
      <c r="AM31" s="71">
        <f t="shared" ca="1" si="9"/>
        <v>3</v>
      </c>
      <c r="AN31" s="71">
        <f t="shared" ca="1" si="9"/>
        <v>3</v>
      </c>
      <c r="AO31" s="71">
        <f t="shared" ca="1" si="9"/>
        <v>7</v>
      </c>
      <c r="AP31" s="71">
        <f t="shared" ca="1" si="9"/>
        <v>4</v>
      </c>
      <c r="AQ31" s="71">
        <f t="shared" ca="1" si="9"/>
        <v>1</v>
      </c>
      <c r="AR31" s="71">
        <f t="shared" ca="1" si="9"/>
        <v>5</v>
      </c>
      <c r="AS31" s="71">
        <f t="shared" ca="1" si="9"/>
        <v>5</v>
      </c>
      <c r="AT31" s="71">
        <f t="shared" ca="1" si="9"/>
        <v>4</v>
      </c>
      <c r="AU31" s="71">
        <f t="shared" ca="1" si="9"/>
        <v>1</v>
      </c>
      <c r="AV31" s="71">
        <f t="shared" ca="1" si="9"/>
        <v>4</v>
      </c>
      <c r="AW31" s="71">
        <f t="shared" ca="1" si="9"/>
        <v>4</v>
      </c>
      <c r="AX31" s="71">
        <f t="shared" ca="1" si="9"/>
        <v>2</v>
      </c>
      <c r="AY31" s="71">
        <f t="shared" ca="1" si="9"/>
        <v>1</v>
      </c>
      <c r="AZ31" s="71">
        <f t="shared" ca="1" si="9"/>
        <v>6</v>
      </c>
      <c r="BA31" s="71">
        <f t="shared" ca="1" si="9"/>
        <v>2</v>
      </c>
      <c r="BB31" s="71">
        <f t="shared" ca="1" si="9"/>
        <v>1</v>
      </c>
      <c r="BC31" s="71">
        <f t="shared" ca="1" si="9"/>
        <v>1</v>
      </c>
      <c r="BD31" s="71">
        <f t="shared" ca="1" si="9"/>
        <v>6</v>
      </c>
      <c r="BE31" s="71">
        <f t="shared" ca="1" si="9"/>
        <v>10</v>
      </c>
      <c r="BF31" s="71">
        <f t="shared" ca="1" si="9"/>
        <v>10</v>
      </c>
      <c r="BG31" s="71">
        <f t="shared" ca="1" si="9"/>
        <v>4</v>
      </c>
      <c r="BH31" s="71">
        <f t="shared" ca="1" si="9"/>
        <v>7</v>
      </c>
      <c r="BI31" s="71">
        <f t="shared" ca="1" si="9"/>
        <v>4</v>
      </c>
      <c r="BJ31" s="71">
        <f t="shared" ca="1" si="9"/>
        <v>2</v>
      </c>
      <c r="BK31" s="71">
        <f t="shared" ca="1" si="9"/>
        <v>8</v>
      </c>
      <c r="BL31" s="71">
        <f t="shared" ca="1" si="9"/>
        <v>1</v>
      </c>
      <c r="BM31" s="71">
        <f t="shared" ca="1" si="9"/>
        <v>2</v>
      </c>
      <c r="BN31" s="71">
        <f t="shared" ca="1" si="9"/>
        <v>4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0</v>
      </c>
      <c r="BF35" s="35">
        <f t="shared" si="11"/>
        <v>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79875948</v>
      </c>
      <c r="L36" s="32">
        <f t="shared" si="12"/>
        <v>101895872</v>
      </c>
      <c r="M36" s="32">
        <f t="shared" si="12"/>
        <v>119887936</v>
      </c>
      <c r="N36" s="32">
        <f t="shared" si="12"/>
        <v>119847864</v>
      </c>
      <c r="O36" s="32">
        <f t="shared" si="12"/>
        <v>81895912</v>
      </c>
      <c r="P36" s="32">
        <f t="shared" si="12"/>
        <v>79875892</v>
      </c>
      <c r="Q36" s="32">
        <f t="shared" si="12"/>
        <v>99887904</v>
      </c>
      <c r="R36" s="32">
        <f t="shared" si="12"/>
        <v>141931924</v>
      </c>
      <c r="S36" s="32">
        <f t="shared" si="12"/>
        <v>139891972</v>
      </c>
      <c r="T36" s="32">
        <f t="shared" si="12"/>
        <v>39835996</v>
      </c>
      <c r="U36" s="32">
        <f t="shared" si="12"/>
        <v>119875892</v>
      </c>
      <c r="V36" s="32">
        <f t="shared" si="12"/>
        <v>59859916</v>
      </c>
      <c r="W36" s="32">
        <f t="shared" si="12"/>
        <v>139891980</v>
      </c>
      <c r="X36" s="32">
        <f t="shared" si="12"/>
        <v>0</v>
      </c>
      <c r="Y36" s="32">
        <f t="shared" si="12"/>
        <v>119851980</v>
      </c>
      <c r="Z36" s="32">
        <f t="shared" si="12"/>
        <v>79875980</v>
      </c>
      <c r="AA36" s="32">
        <f t="shared" si="12"/>
        <v>99871920</v>
      </c>
      <c r="AB36" s="32">
        <f t="shared" si="12"/>
        <v>119835828</v>
      </c>
      <c r="AC36" s="32">
        <f t="shared" si="12"/>
        <v>119891940</v>
      </c>
      <c r="AD36" s="32">
        <f t="shared" si="12"/>
        <v>139815880</v>
      </c>
      <c r="AE36" s="32">
        <f t="shared" si="12"/>
        <v>39811924</v>
      </c>
      <c r="AF36" s="32">
        <f t="shared" si="12"/>
        <v>79887936</v>
      </c>
      <c r="AG36" s="32">
        <f t="shared" si="12"/>
        <v>119859940</v>
      </c>
      <c r="AH36" s="32">
        <f t="shared" si="12"/>
        <v>141911960</v>
      </c>
      <c r="AI36" s="32">
        <f t="shared" si="12"/>
        <v>181931956</v>
      </c>
      <c r="AJ36" s="32">
        <f t="shared" si="12"/>
        <v>99863992</v>
      </c>
      <c r="AK36" s="32">
        <f t="shared" si="12"/>
        <v>59887976</v>
      </c>
      <c r="AL36" s="32">
        <f t="shared" si="12"/>
        <v>99875892</v>
      </c>
      <c r="AM36" s="32">
        <f t="shared" si="12"/>
        <v>139859964</v>
      </c>
      <c r="AN36" s="32">
        <f t="shared" si="12"/>
        <v>101915908</v>
      </c>
      <c r="AO36" s="32">
        <f t="shared" si="12"/>
        <v>101911960</v>
      </c>
      <c r="AP36" s="32">
        <f t="shared" si="12"/>
        <v>119887992</v>
      </c>
      <c r="AQ36" s="32">
        <f t="shared" si="12"/>
        <v>99891916</v>
      </c>
      <c r="AR36" s="32">
        <f t="shared" si="12"/>
        <v>59863968</v>
      </c>
      <c r="AS36" s="32">
        <f t="shared" si="12"/>
        <v>59887912</v>
      </c>
      <c r="AT36" s="32">
        <f t="shared" si="12"/>
        <v>79859964</v>
      </c>
      <c r="AU36" s="32">
        <f t="shared" si="12"/>
        <v>99875996</v>
      </c>
      <c r="AV36" s="32">
        <f t="shared" si="12"/>
        <v>79875924</v>
      </c>
      <c r="AW36" s="32">
        <f t="shared" si="12"/>
        <v>79875924</v>
      </c>
      <c r="AX36" s="32">
        <f t="shared" si="12"/>
        <v>119887888</v>
      </c>
      <c r="AY36" s="32">
        <f t="shared" si="12"/>
        <v>99859996</v>
      </c>
      <c r="AZ36" s="32">
        <f t="shared" si="12"/>
        <v>79875948</v>
      </c>
      <c r="BA36" s="32">
        <f t="shared" si="12"/>
        <v>119891852</v>
      </c>
      <c r="BB36" s="32">
        <f t="shared" si="12"/>
        <v>139875996</v>
      </c>
      <c r="BC36" s="32">
        <f t="shared" si="12"/>
        <v>141911968</v>
      </c>
      <c r="BD36" s="32">
        <f t="shared" si="12"/>
        <v>79887936</v>
      </c>
      <c r="BE36" s="32">
        <f t="shared" si="12"/>
        <v>0</v>
      </c>
      <c r="BF36" s="32">
        <f t="shared" si="12"/>
        <v>0</v>
      </c>
      <c r="BG36" s="32">
        <f t="shared" si="12"/>
        <v>119791848</v>
      </c>
      <c r="BH36" s="32">
        <f t="shared" si="12"/>
        <v>59891908</v>
      </c>
      <c r="BI36" s="32">
        <f t="shared" si="12"/>
        <v>121903920</v>
      </c>
      <c r="BJ36" s="32">
        <f t="shared" si="12"/>
        <v>119891964</v>
      </c>
      <c r="BK36" s="32">
        <f t="shared" si="12"/>
        <v>41899980</v>
      </c>
      <c r="BL36" s="32">
        <f t="shared" si="12"/>
        <v>99875980</v>
      </c>
      <c r="BM36" s="32">
        <f t="shared" si="12"/>
        <v>119891916</v>
      </c>
      <c r="BN36" s="32">
        <f t="shared" si="12"/>
        <v>79875948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ca="1" si="13"/>
        <v>Emptage, Nick</v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Emptage, Nick;Staub, Ryan;Steel, Van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9" stopIfTrue="1" operator="equal">
      <formula>0</formula>
    </cfRule>
  </conditionalFormatting>
  <conditionalFormatting sqref="D26:J28 K28:BE28">
    <cfRule type="cellIs" dxfId="180" priority="10" stopIfTrue="1" operator="equal">
      <formula>1</formula>
    </cfRule>
  </conditionalFormatting>
  <conditionalFormatting sqref="H3:I3 F23 H5:I5 H7:I7 H9:I9 H11:I11 H13:I13 H15:I15 H17:I17 H19:I19 H21:I21">
    <cfRule type="cellIs" dxfId="179" priority="11" stopIfTrue="1" operator="equal">
      <formula>0</formula>
    </cfRule>
  </conditionalFormatting>
  <conditionalFormatting sqref="H4:I4 F24 H6:I6 H8:I8 H10:I10 H12:I12 H14:I14 H16:I16 H18:I18 H20:I20 H22:I22">
    <cfRule type="cellIs" dxfId="178" priority="12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5" stopIfTrue="1">
      <formula>AND(COUNTA(J4)=1,$E4=1,SUM($E3:$E4)=1)</formula>
    </cfRule>
    <cfRule type="expression" dxfId="17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17" stopIfTrue="1">
      <formula>AND(COUNTA(J3)=1,$E3=1,SUM($E3:$E4)=1)</formula>
    </cfRule>
    <cfRule type="expression" dxfId="172" priority="18" stopIfTrue="1">
      <formula>AND(COUNTA(J3)=1,$E3=0,SUM($E3:$E4)=1)</formula>
    </cfRule>
  </conditionalFormatting>
  <conditionalFormatting sqref="BF23:BN23">
    <cfRule type="cellIs" dxfId="171" priority="7" stopIfTrue="1" operator="equal">
      <formula>0</formula>
    </cfRule>
  </conditionalFormatting>
  <conditionalFormatting sqref="BF24:BN24">
    <cfRule type="cellIs" dxfId="170" priority="6" stopIfTrue="1" operator="equal">
      <formula>0</formula>
    </cfRule>
  </conditionalFormatting>
  <conditionalFormatting sqref="BF28:BN28">
    <cfRule type="cellIs" dxfId="16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N58"/>
  <sheetViews>
    <sheetView zoomScale="90" zoomScaleNormal="100" zoomScaleSheetLayoutView="100" workbookViewId="0">
      <selection activeCell="D23" sqref="D2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242</v>
      </c>
      <c r="C3" s="65"/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43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 t="s">
        <v>314</v>
      </c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 t="s">
        <v>314</v>
      </c>
      <c r="W3" s="69" t="s">
        <v>314</v>
      </c>
      <c r="X3" s="69" t="s">
        <v>314</v>
      </c>
      <c r="Y3" s="69" t="s">
        <v>314</v>
      </c>
      <c r="Z3" s="69"/>
      <c r="AA3" s="69"/>
      <c r="AB3" s="69" t="s">
        <v>314</v>
      </c>
      <c r="AC3" s="69" t="s">
        <v>314</v>
      </c>
      <c r="AD3" s="69"/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 t="s">
        <v>314</v>
      </c>
      <c r="AM3" s="69" t="s">
        <v>314</v>
      </c>
      <c r="AN3" s="69" t="s">
        <v>314</v>
      </c>
      <c r="AO3" s="69" t="s">
        <v>314</v>
      </c>
      <c r="AP3" s="69" t="s">
        <v>314</v>
      </c>
      <c r="AQ3" s="69" t="s">
        <v>314</v>
      </c>
      <c r="AR3" s="96" t="s">
        <v>314</v>
      </c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/>
      <c r="BC3" s="69"/>
      <c r="BD3" s="69"/>
      <c r="BE3" s="96"/>
      <c r="BF3" s="69"/>
      <c r="BG3" s="69"/>
      <c r="BH3" s="69"/>
      <c r="BI3" s="69" t="s">
        <v>314</v>
      </c>
      <c r="BJ3" s="69" t="s">
        <v>314</v>
      </c>
      <c r="BK3" s="69" t="s">
        <v>314</v>
      </c>
      <c r="BL3" s="69"/>
      <c r="BM3" s="69" t="s">
        <v>314</v>
      </c>
      <c r="BN3" s="69"/>
    </row>
    <row r="4" spans="1:66" x14ac:dyDescent="0.2">
      <c r="A4" s="61" t="s">
        <v>3</v>
      </c>
      <c r="B4" s="68" t="s">
        <v>145</v>
      </c>
      <c r="C4" s="66">
        <v>3.5</v>
      </c>
      <c r="D4" s="64">
        <v>44</v>
      </c>
      <c r="E4" s="64">
        <f>IF(ISBLANK($D4),"0",IF(($D4-$D3)&gt;($C4-$C3),1,0))</f>
        <v>1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 t="s">
        <v>314</v>
      </c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 t="s">
        <v>314</v>
      </c>
      <c r="BC4" s="70" t="s">
        <v>314</v>
      </c>
      <c r="BD4" s="70" t="s">
        <v>314</v>
      </c>
      <c r="BE4" s="70" t="s">
        <v>314</v>
      </c>
      <c r="BF4" s="70" t="s">
        <v>314</v>
      </c>
      <c r="BG4" s="70" t="s">
        <v>314</v>
      </c>
      <c r="BH4" s="70" t="s">
        <v>314</v>
      </c>
      <c r="BI4" s="70"/>
      <c r="BJ4" s="70"/>
      <c r="BK4" s="70"/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157</v>
      </c>
      <c r="C5" s="65">
        <v>6.5</v>
      </c>
      <c r="D5" s="64">
        <v>35</v>
      </c>
      <c r="E5" s="64">
        <f>IF(ISBLANK($D5),"0",IF(($D6-$D5)&lt;($C6-$C5),1,0))</f>
        <v>1</v>
      </c>
      <c r="F5" s="64">
        <f t="shared" ca="1" si="1"/>
        <v>35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/>
      <c r="M5" s="69" t="s">
        <v>314</v>
      </c>
      <c r="N5" s="69" t="s">
        <v>314</v>
      </c>
      <c r="O5" s="69"/>
      <c r="P5" s="69" t="s">
        <v>314</v>
      </c>
      <c r="Q5" s="69" t="s">
        <v>314</v>
      </c>
      <c r="R5" s="69"/>
      <c r="S5" s="69" t="s">
        <v>314</v>
      </c>
      <c r="T5" s="69" t="s">
        <v>314</v>
      </c>
      <c r="U5" s="96"/>
      <c r="V5" s="69"/>
      <c r="W5" s="69" t="s">
        <v>314</v>
      </c>
      <c r="X5" s="69"/>
      <c r="Y5" s="69" t="s">
        <v>314</v>
      </c>
      <c r="Z5" s="69" t="s">
        <v>314</v>
      </c>
      <c r="AA5" s="69"/>
      <c r="AB5" s="69" t="s">
        <v>314</v>
      </c>
      <c r="AC5" s="69"/>
      <c r="AD5" s="69"/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 t="s">
        <v>314</v>
      </c>
      <c r="AK5" s="69"/>
      <c r="AL5" s="69"/>
      <c r="AM5" s="69" t="s">
        <v>314</v>
      </c>
      <c r="AN5" s="69" t="s">
        <v>314</v>
      </c>
      <c r="AO5" s="69" t="s">
        <v>314</v>
      </c>
      <c r="AP5" s="69"/>
      <c r="AQ5" s="69" t="s">
        <v>314</v>
      </c>
      <c r="AR5" s="96" t="s">
        <v>314</v>
      </c>
      <c r="AS5" s="69"/>
      <c r="AT5" s="69"/>
      <c r="AU5" s="69" t="s">
        <v>314</v>
      </c>
      <c r="AV5" s="69" t="s">
        <v>314</v>
      </c>
      <c r="AW5" s="69" t="s">
        <v>314</v>
      </c>
      <c r="AX5" s="69" t="s">
        <v>314</v>
      </c>
      <c r="AY5" s="69" t="s">
        <v>314</v>
      </c>
      <c r="AZ5" s="69" t="s">
        <v>314</v>
      </c>
      <c r="BA5" s="69" t="s">
        <v>314</v>
      </c>
      <c r="BB5" s="69" t="s">
        <v>314</v>
      </c>
      <c r="BC5" s="69"/>
      <c r="BD5" s="69" t="s">
        <v>314</v>
      </c>
      <c r="BE5" s="69" t="s">
        <v>314</v>
      </c>
      <c r="BF5" s="69" t="s">
        <v>314</v>
      </c>
      <c r="BG5" s="69"/>
      <c r="BH5" s="69" t="s">
        <v>314</v>
      </c>
      <c r="BI5" s="69"/>
      <c r="BJ5" s="69" t="s">
        <v>314</v>
      </c>
      <c r="BK5" s="69"/>
      <c r="BL5" s="69" t="s">
        <v>314</v>
      </c>
      <c r="BM5" s="69" t="s">
        <v>314</v>
      </c>
      <c r="BN5" s="69"/>
    </row>
    <row r="6" spans="1:66" x14ac:dyDescent="0.2">
      <c r="A6" s="61" t="s">
        <v>3</v>
      </c>
      <c r="B6" s="68" t="s">
        <v>139</v>
      </c>
      <c r="C6" s="66"/>
      <c r="D6" s="64">
        <v>21</v>
      </c>
      <c r="E6" s="64">
        <f>IF(ISBLANK($D6),"0",IF(($D6-$D5)&gt;($C6-$C5),1,0))</f>
        <v>0</v>
      </c>
      <c r="F6" s="64">
        <f t="shared" ca="1" si="1"/>
        <v>20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 t="s">
        <v>314</v>
      </c>
      <c r="M6" s="70"/>
      <c r="N6" s="70"/>
      <c r="O6" s="70" t="s">
        <v>314</v>
      </c>
      <c r="P6" s="70"/>
      <c r="Q6" s="70"/>
      <c r="R6" s="70" t="s">
        <v>314</v>
      </c>
      <c r="S6" s="70"/>
      <c r="T6" s="70"/>
      <c r="U6" s="70" t="s">
        <v>314</v>
      </c>
      <c r="V6" s="70" t="s">
        <v>314</v>
      </c>
      <c r="W6" s="70"/>
      <c r="X6" s="70" t="s">
        <v>314</v>
      </c>
      <c r="Y6" s="70"/>
      <c r="Z6" s="70"/>
      <c r="AA6" s="70"/>
      <c r="AB6" s="70"/>
      <c r="AC6" s="70" t="s">
        <v>314</v>
      </c>
      <c r="AD6" s="70" t="s">
        <v>314</v>
      </c>
      <c r="AE6" s="70"/>
      <c r="AF6" s="70"/>
      <c r="AG6" s="70" t="s">
        <v>314</v>
      </c>
      <c r="AH6" s="70"/>
      <c r="AI6" s="70"/>
      <c r="AJ6" s="70"/>
      <c r="AK6" s="70" t="s">
        <v>314</v>
      </c>
      <c r="AL6" s="70" t="s">
        <v>314</v>
      </c>
      <c r="AM6" s="70"/>
      <c r="AN6" s="70"/>
      <c r="AO6" s="70"/>
      <c r="AP6" s="70" t="s">
        <v>314</v>
      </c>
      <c r="AQ6" s="70"/>
      <c r="AR6" s="70"/>
      <c r="AS6" s="70" t="s">
        <v>314</v>
      </c>
      <c r="AT6" s="70" t="s">
        <v>314</v>
      </c>
      <c r="AU6" s="70"/>
      <c r="AV6" s="70"/>
      <c r="AW6" s="70"/>
      <c r="AX6" s="70"/>
      <c r="AY6" s="70"/>
      <c r="AZ6" s="70"/>
      <c r="BA6" s="70"/>
      <c r="BB6" s="70"/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/>
      <c r="BK6" s="70" t="s">
        <v>314</v>
      </c>
      <c r="BL6" s="70"/>
      <c r="BM6" s="70"/>
      <c r="BN6" s="70" t="s">
        <v>314</v>
      </c>
    </row>
    <row r="7" spans="1:66" x14ac:dyDescent="0.2">
      <c r="A7" s="59">
        <v>3</v>
      </c>
      <c r="B7" s="67" t="s">
        <v>187</v>
      </c>
      <c r="C7" s="65"/>
      <c r="D7" s="64">
        <v>31</v>
      </c>
      <c r="E7" s="64">
        <f>IF(ISBLANK($D7),"0",IF(($D8-$D7)&lt;($C8-$C7),1,0))</f>
        <v>0</v>
      </c>
      <c r="F7" s="64">
        <f t="shared" ca="1" si="1"/>
        <v>34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/>
      <c r="N7" s="69" t="s">
        <v>314</v>
      </c>
      <c r="O7" s="69"/>
      <c r="P7" s="69" t="s">
        <v>314</v>
      </c>
      <c r="Q7" s="69"/>
      <c r="R7" s="96" t="s">
        <v>314</v>
      </c>
      <c r="S7" s="96"/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 t="s">
        <v>314</v>
      </c>
      <c r="AC7" s="69" t="s">
        <v>314</v>
      </c>
      <c r="AD7" s="69"/>
      <c r="AE7" s="69"/>
      <c r="AF7" s="69" t="s">
        <v>314</v>
      </c>
      <c r="AG7" s="69" t="s">
        <v>314</v>
      </c>
      <c r="AH7" s="69" t="s">
        <v>314</v>
      </c>
      <c r="AI7" s="69" t="s">
        <v>314</v>
      </c>
      <c r="AJ7" s="69" t="s">
        <v>314</v>
      </c>
      <c r="AK7" s="69"/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/>
      <c r="AR7" s="96"/>
      <c r="AS7" s="69"/>
      <c r="AT7" s="69" t="s">
        <v>314</v>
      </c>
      <c r="AU7" s="69"/>
      <c r="AV7" s="69" t="s">
        <v>314</v>
      </c>
      <c r="AW7" s="69" t="s">
        <v>314</v>
      </c>
      <c r="AX7" s="69" t="s">
        <v>314</v>
      </c>
      <c r="AY7" s="69" t="s">
        <v>314</v>
      </c>
      <c r="AZ7" s="69" t="s">
        <v>314</v>
      </c>
      <c r="BA7" s="69" t="s">
        <v>314</v>
      </c>
      <c r="BB7" s="69" t="s">
        <v>314</v>
      </c>
      <c r="BC7" s="69" t="s">
        <v>314</v>
      </c>
      <c r="BD7" s="69" t="s">
        <v>314</v>
      </c>
      <c r="BE7" s="96" t="s">
        <v>314</v>
      </c>
      <c r="BF7" s="69"/>
      <c r="BG7" s="69"/>
      <c r="BH7" s="69" t="s">
        <v>314</v>
      </c>
      <c r="BI7" s="69" t="s">
        <v>314</v>
      </c>
      <c r="BJ7" s="69"/>
      <c r="BK7" s="69" t="s">
        <v>314</v>
      </c>
      <c r="BL7" s="69" t="s">
        <v>314</v>
      </c>
      <c r="BM7" s="69" t="s">
        <v>314</v>
      </c>
      <c r="BN7" s="69"/>
    </row>
    <row r="8" spans="1:66" x14ac:dyDescent="0.2">
      <c r="A8" s="61" t="s">
        <v>3</v>
      </c>
      <c r="B8" s="68" t="s">
        <v>147</v>
      </c>
      <c r="C8" s="66">
        <v>3.5</v>
      </c>
      <c r="D8" s="64">
        <v>49</v>
      </c>
      <c r="E8" s="64">
        <f>IF(ISBLANK($D8),"0",IF(($D8-$D7)&gt;($C8-$C7),1,0))</f>
        <v>1</v>
      </c>
      <c r="F8" s="64">
        <f t="shared" ca="1" si="1"/>
        <v>21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314</v>
      </c>
      <c r="M8" s="70" t="s">
        <v>314</v>
      </c>
      <c r="N8" s="70"/>
      <c r="O8" s="70" t="s">
        <v>314</v>
      </c>
      <c r="P8" s="70"/>
      <c r="Q8" s="70" t="s">
        <v>314</v>
      </c>
      <c r="R8" s="97"/>
      <c r="S8" s="97" t="s">
        <v>314</v>
      </c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/>
      <c r="AB8" s="70"/>
      <c r="AC8" s="70"/>
      <c r="AD8" s="70" t="s">
        <v>314</v>
      </c>
      <c r="AE8" s="70" t="s">
        <v>314</v>
      </c>
      <c r="AF8" s="70"/>
      <c r="AG8" s="70"/>
      <c r="AH8" s="70"/>
      <c r="AI8" s="70"/>
      <c r="AJ8" s="70"/>
      <c r="AK8" s="70" t="s">
        <v>314</v>
      </c>
      <c r="AL8" s="70"/>
      <c r="AM8" s="70"/>
      <c r="AN8" s="70"/>
      <c r="AO8" s="70"/>
      <c r="AP8" s="70"/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 t="s">
        <v>314</v>
      </c>
      <c r="BG8" s="70" t="s">
        <v>314</v>
      </c>
      <c r="BH8" s="70"/>
      <c r="BI8" s="70"/>
      <c r="BJ8" s="70" t="s">
        <v>314</v>
      </c>
      <c r="BK8" s="70"/>
      <c r="BL8" s="70"/>
      <c r="BM8" s="70"/>
      <c r="BN8" s="70" t="s">
        <v>314</v>
      </c>
    </row>
    <row r="9" spans="1:66" x14ac:dyDescent="0.2">
      <c r="A9" s="59">
        <v>4</v>
      </c>
      <c r="B9" s="108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 t="s">
        <v>314</v>
      </c>
      <c r="O9" s="69" t="s">
        <v>314</v>
      </c>
      <c r="P9" s="69" t="s">
        <v>314</v>
      </c>
      <c r="Q9" s="69" t="s">
        <v>314</v>
      </c>
      <c r="R9" s="96" t="s">
        <v>314</v>
      </c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/>
      <c r="AB9" s="69" t="s">
        <v>314</v>
      </c>
      <c r="AC9" s="69" t="s">
        <v>314</v>
      </c>
      <c r="AD9" s="69" t="s">
        <v>314</v>
      </c>
      <c r="AE9" s="69" t="s">
        <v>314</v>
      </c>
      <c r="AF9" s="69" t="s">
        <v>314</v>
      </c>
      <c r="AG9" s="69" t="s">
        <v>314</v>
      </c>
      <c r="AH9" s="69" t="s">
        <v>314</v>
      </c>
      <c r="AI9" s="69" t="s">
        <v>314</v>
      </c>
      <c r="AJ9" s="69"/>
      <c r="AK9" s="69" t="s">
        <v>314</v>
      </c>
      <c r="AL9" s="69"/>
      <c r="AM9" s="69" t="s">
        <v>314</v>
      </c>
      <c r="AN9" s="69"/>
      <c r="AO9" s="69" t="s">
        <v>314</v>
      </c>
      <c r="AP9" s="69" t="s">
        <v>314</v>
      </c>
      <c r="AQ9" s="69" t="s">
        <v>314</v>
      </c>
      <c r="AR9" s="96" t="s">
        <v>314</v>
      </c>
      <c r="AS9" s="69" t="s">
        <v>314</v>
      </c>
      <c r="AT9" s="69" t="s">
        <v>314</v>
      </c>
      <c r="AU9" s="69"/>
      <c r="AV9" s="69" t="s">
        <v>314</v>
      </c>
      <c r="AW9" s="69" t="s">
        <v>314</v>
      </c>
      <c r="AX9" s="69"/>
      <c r="AY9" s="69" t="s">
        <v>314</v>
      </c>
      <c r="AZ9" s="69" t="s">
        <v>314</v>
      </c>
      <c r="BA9" s="69"/>
      <c r="BB9" s="69" t="s">
        <v>314</v>
      </c>
      <c r="BC9" s="69"/>
      <c r="BD9" s="69" t="s">
        <v>314</v>
      </c>
      <c r="BE9" s="96" t="s">
        <v>314</v>
      </c>
      <c r="BF9" s="69" t="s">
        <v>314</v>
      </c>
      <c r="BG9" s="69"/>
      <c r="BH9" s="69"/>
      <c r="BI9" s="69"/>
      <c r="BJ9" s="69" t="s">
        <v>314</v>
      </c>
      <c r="BK9" s="69" t="s">
        <v>314</v>
      </c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162</v>
      </c>
      <c r="C10" s="66">
        <v>10.5</v>
      </c>
      <c r="D10" s="64">
        <v>14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/>
      <c r="P10" s="70"/>
      <c r="Q10" s="70"/>
      <c r="R10" s="97"/>
      <c r="S10" s="97" t="s">
        <v>314</v>
      </c>
      <c r="T10" s="97"/>
      <c r="U10" s="70" t="s">
        <v>314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 t="s">
        <v>314</v>
      </c>
      <c r="AK10" s="70"/>
      <c r="AL10" s="70" t="s">
        <v>314</v>
      </c>
      <c r="AM10" s="70"/>
      <c r="AN10" s="70" t="s">
        <v>314</v>
      </c>
      <c r="AO10" s="70"/>
      <c r="AP10" s="70"/>
      <c r="AQ10" s="70"/>
      <c r="AR10" s="70"/>
      <c r="AS10" s="70"/>
      <c r="AT10" s="70"/>
      <c r="AU10" s="70" t="s">
        <v>314</v>
      </c>
      <c r="AV10" s="70"/>
      <c r="AW10" s="70"/>
      <c r="AX10" s="70" t="s">
        <v>314</v>
      </c>
      <c r="AY10" s="70"/>
      <c r="AZ10" s="70"/>
      <c r="BA10" s="70" t="s">
        <v>314</v>
      </c>
      <c r="BB10" s="70"/>
      <c r="BC10" s="70" t="s">
        <v>314</v>
      </c>
      <c r="BD10" s="70"/>
      <c r="BE10" s="70"/>
      <c r="BF10" s="70"/>
      <c r="BG10" s="70" t="s">
        <v>314</v>
      </c>
      <c r="BH10" s="70" t="s">
        <v>314</v>
      </c>
      <c r="BI10" s="70" t="s">
        <v>314</v>
      </c>
      <c r="BJ10" s="70"/>
      <c r="BK10" s="70"/>
      <c r="BL10" s="70" t="s">
        <v>314</v>
      </c>
      <c r="BM10" s="70"/>
      <c r="BN10" s="70" t="s">
        <v>314</v>
      </c>
    </row>
    <row r="11" spans="1:66" x14ac:dyDescent="0.2">
      <c r="A11" s="59">
        <v>5</v>
      </c>
      <c r="B11" s="67" t="s">
        <v>164</v>
      </c>
      <c r="C11" s="65"/>
      <c r="D11" s="64">
        <v>37</v>
      </c>
      <c r="E11" s="64">
        <f>IF(ISBLANK($D11),"0",IF(($D12-$D11)&lt;($C12-$C11),1,0))</f>
        <v>1</v>
      </c>
      <c r="F11" s="64">
        <f t="shared" ca="1" si="1"/>
        <v>21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 t="s">
        <v>314</v>
      </c>
      <c r="Q11" s="69"/>
      <c r="R11" s="96"/>
      <c r="S11" s="96"/>
      <c r="T11" s="96"/>
      <c r="U11" s="69" t="s">
        <v>314</v>
      </c>
      <c r="V11" s="69"/>
      <c r="W11" s="69"/>
      <c r="X11" s="69"/>
      <c r="Y11" s="69"/>
      <c r="Z11" s="69" t="s">
        <v>314</v>
      </c>
      <c r="AA11" s="69"/>
      <c r="AB11" s="69"/>
      <c r="AC11" s="69"/>
      <c r="AD11" s="69"/>
      <c r="AE11" s="69"/>
      <c r="AF11" s="69" t="s">
        <v>314</v>
      </c>
      <c r="AG11" s="69" t="s">
        <v>314</v>
      </c>
      <c r="AH11" s="69" t="s">
        <v>314</v>
      </c>
      <c r="AI11" s="69"/>
      <c r="AJ11" s="69"/>
      <c r="AK11" s="69" t="s">
        <v>314</v>
      </c>
      <c r="AL11" s="69"/>
      <c r="AM11" s="69" t="s">
        <v>314</v>
      </c>
      <c r="AN11" s="69"/>
      <c r="AO11" s="69" t="s">
        <v>314</v>
      </c>
      <c r="AP11" s="69"/>
      <c r="AQ11" s="69"/>
      <c r="AR11" s="69"/>
      <c r="AS11" s="69" t="s">
        <v>314</v>
      </c>
      <c r="AT11" s="69" t="s">
        <v>314</v>
      </c>
      <c r="AU11" s="69"/>
      <c r="AV11" s="69"/>
      <c r="AW11" s="69" t="s">
        <v>314</v>
      </c>
      <c r="AX11" s="69"/>
      <c r="AY11" s="69"/>
      <c r="AZ11" s="69"/>
      <c r="BA11" s="69"/>
      <c r="BB11" s="69"/>
      <c r="BC11" s="69"/>
      <c r="BD11" s="69" t="s">
        <v>314</v>
      </c>
      <c r="BE11" s="96"/>
      <c r="BF11" s="69"/>
      <c r="BG11" s="69"/>
      <c r="BH11" s="69" t="s">
        <v>314</v>
      </c>
      <c r="BI11" s="69" t="s">
        <v>314</v>
      </c>
      <c r="BJ11" s="69"/>
      <c r="BK11" s="69" t="s">
        <v>314</v>
      </c>
      <c r="BL11" s="69"/>
      <c r="BM11" s="69" t="s">
        <v>314</v>
      </c>
      <c r="BN11" s="69"/>
    </row>
    <row r="12" spans="1:66" x14ac:dyDescent="0.2">
      <c r="A12" s="61" t="s">
        <v>3</v>
      </c>
      <c r="B12" s="68" t="s">
        <v>155</v>
      </c>
      <c r="C12" s="66">
        <v>11.5</v>
      </c>
      <c r="D12" s="64">
        <v>35</v>
      </c>
      <c r="E12" s="64">
        <f>IF(ISBLANK($D12),"0",IF(($D12-$D11)&gt;($C12-$C11),1,0))</f>
        <v>0</v>
      </c>
      <c r="F12" s="64">
        <f t="shared" ca="1" si="1"/>
        <v>34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/>
      <c r="M12" s="70" t="s">
        <v>314</v>
      </c>
      <c r="N12" s="70"/>
      <c r="O12" s="70"/>
      <c r="P12" s="70"/>
      <c r="Q12" s="70" t="s">
        <v>314</v>
      </c>
      <c r="R12" s="97" t="s">
        <v>314</v>
      </c>
      <c r="S12" s="97" t="s">
        <v>314</v>
      </c>
      <c r="T12" s="97" t="s">
        <v>314</v>
      </c>
      <c r="U12" s="97"/>
      <c r="V12" s="70" t="s">
        <v>314</v>
      </c>
      <c r="W12" s="70" t="s">
        <v>314</v>
      </c>
      <c r="X12" s="70" t="s">
        <v>314</v>
      </c>
      <c r="Y12" s="70" t="s">
        <v>314</v>
      </c>
      <c r="Z12" s="70"/>
      <c r="AA12" s="70"/>
      <c r="AB12" s="70" t="s">
        <v>314</v>
      </c>
      <c r="AC12" s="70" t="s">
        <v>314</v>
      </c>
      <c r="AD12" s="70" t="s">
        <v>314</v>
      </c>
      <c r="AE12" s="70" t="s">
        <v>314</v>
      </c>
      <c r="AF12" s="70"/>
      <c r="AG12" s="70"/>
      <c r="AH12" s="70"/>
      <c r="AI12" s="70" t="s">
        <v>314</v>
      </c>
      <c r="AJ12" s="70" t="s">
        <v>314</v>
      </c>
      <c r="AK12" s="70"/>
      <c r="AL12" s="70" t="s">
        <v>314</v>
      </c>
      <c r="AM12" s="70"/>
      <c r="AN12" s="70" t="s">
        <v>314</v>
      </c>
      <c r="AO12" s="70"/>
      <c r="AP12" s="70" t="s">
        <v>314</v>
      </c>
      <c r="AQ12" s="70" t="s">
        <v>314</v>
      </c>
      <c r="AR12" s="97" t="s">
        <v>314</v>
      </c>
      <c r="AS12" s="70"/>
      <c r="AT12" s="70"/>
      <c r="AU12" s="70" t="s">
        <v>314</v>
      </c>
      <c r="AV12" s="70" t="s">
        <v>314</v>
      </c>
      <c r="AW12" s="70"/>
      <c r="AX12" s="70" t="s">
        <v>314</v>
      </c>
      <c r="AY12" s="70" t="s">
        <v>314</v>
      </c>
      <c r="AZ12" s="70" t="s">
        <v>314</v>
      </c>
      <c r="BA12" s="70" t="s">
        <v>314</v>
      </c>
      <c r="BB12" s="70" t="s">
        <v>314</v>
      </c>
      <c r="BC12" s="70" t="s">
        <v>314</v>
      </c>
      <c r="BD12" s="70"/>
      <c r="BE12" s="70" t="s">
        <v>314</v>
      </c>
      <c r="BF12" s="70" t="s">
        <v>314</v>
      </c>
      <c r="BG12" s="70" t="s">
        <v>314</v>
      </c>
      <c r="BH12" s="70"/>
      <c r="BI12" s="70"/>
      <c r="BJ12" s="70" t="s">
        <v>314</v>
      </c>
      <c r="BK12" s="70"/>
      <c r="BL12" s="70" t="s">
        <v>314</v>
      </c>
      <c r="BM12" s="70"/>
      <c r="BN12" s="70" t="s">
        <v>314</v>
      </c>
    </row>
    <row r="13" spans="1:66" x14ac:dyDescent="0.2">
      <c r="A13" s="59">
        <v>6</v>
      </c>
      <c r="B13" s="67" t="s">
        <v>153</v>
      </c>
      <c r="C13" s="65">
        <v>3.5</v>
      </c>
      <c r="D13" s="64">
        <v>34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/>
      <c r="M13" s="69"/>
      <c r="N13" s="69" t="s">
        <v>314</v>
      </c>
      <c r="O13" s="69"/>
      <c r="P13" s="69" t="s">
        <v>314</v>
      </c>
      <c r="Q13" s="69" t="s">
        <v>314</v>
      </c>
      <c r="R13" s="96"/>
      <c r="S13" s="96" t="s">
        <v>314</v>
      </c>
      <c r="T13" s="96" t="s">
        <v>314</v>
      </c>
      <c r="U13" s="69" t="s">
        <v>314</v>
      </c>
      <c r="V13" s="69" t="s">
        <v>314</v>
      </c>
      <c r="W13" s="69" t="s">
        <v>314</v>
      </c>
      <c r="X13" s="69"/>
      <c r="Y13" s="69" t="s">
        <v>314</v>
      </c>
      <c r="Z13" s="69"/>
      <c r="AA13" s="69"/>
      <c r="AB13" s="69" t="s">
        <v>314</v>
      </c>
      <c r="AC13" s="69" t="s">
        <v>314</v>
      </c>
      <c r="AD13" s="69"/>
      <c r="AE13" s="69" t="s">
        <v>314</v>
      </c>
      <c r="AF13" s="69" t="s">
        <v>314</v>
      </c>
      <c r="AG13" s="69"/>
      <c r="AH13" s="69" t="s">
        <v>314</v>
      </c>
      <c r="AI13" s="69"/>
      <c r="AJ13" s="69" t="s">
        <v>314</v>
      </c>
      <c r="AK13" s="69" t="s">
        <v>314</v>
      </c>
      <c r="AL13" s="69"/>
      <c r="AM13" s="69" t="s">
        <v>314</v>
      </c>
      <c r="AN13" s="69" t="s">
        <v>314</v>
      </c>
      <c r="AO13" s="69" t="s">
        <v>314</v>
      </c>
      <c r="AP13" s="69" t="s">
        <v>314</v>
      </c>
      <c r="AQ13" s="69" t="s">
        <v>314</v>
      </c>
      <c r="AR13" s="96" t="s">
        <v>314</v>
      </c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 t="s">
        <v>314</v>
      </c>
      <c r="AZ13" s="69"/>
      <c r="BA13" s="69"/>
      <c r="BB13" s="69" t="s">
        <v>314</v>
      </c>
      <c r="BC13" s="69" t="s">
        <v>314</v>
      </c>
      <c r="BD13" s="69"/>
      <c r="BE13" s="96" t="s">
        <v>314</v>
      </c>
      <c r="BF13" s="69"/>
      <c r="BG13" s="69"/>
      <c r="BH13" s="69" t="s">
        <v>314</v>
      </c>
      <c r="BI13" s="69" t="s">
        <v>314</v>
      </c>
      <c r="BJ13" s="69"/>
      <c r="BK13" s="69"/>
      <c r="BL13" s="69"/>
      <c r="BM13" s="69" t="s">
        <v>314</v>
      </c>
      <c r="BN13" s="69"/>
    </row>
    <row r="14" spans="1:66" x14ac:dyDescent="0.2">
      <c r="A14" s="61" t="s">
        <v>3</v>
      </c>
      <c r="B14" s="68" t="s">
        <v>148</v>
      </c>
      <c r="C14" s="66"/>
      <c r="D14" s="64">
        <v>31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314</v>
      </c>
      <c r="L14" s="70" t="s">
        <v>314</v>
      </c>
      <c r="M14" s="70" t="s">
        <v>314</v>
      </c>
      <c r="N14" s="70"/>
      <c r="O14" s="70" t="s">
        <v>314</v>
      </c>
      <c r="P14" s="70"/>
      <c r="Q14" s="70"/>
      <c r="R14" s="97" t="s">
        <v>314</v>
      </c>
      <c r="S14" s="97"/>
      <c r="T14" s="97"/>
      <c r="U14" s="97"/>
      <c r="V14" s="70"/>
      <c r="W14" s="70"/>
      <c r="X14" s="70" t="s">
        <v>314</v>
      </c>
      <c r="Y14" s="70"/>
      <c r="Z14" s="70" t="s">
        <v>314</v>
      </c>
      <c r="AA14" s="70"/>
      <c r="AB14" s="70"/>
      <c r="AC14" s="70"/>
      <c r="AD14" s="70" t="s">
        <v>314</v>
      </c>
      <c r="AE14" s="70"/>
      <c r="AF14" s="70"/>
      <c r="AG14" s="70" t="s">
        <v>314</v>
      </c>
      <c r="AH14" s="70"/>
      <c r="AI14" s="70" t="s">
        <v>314</v>
      </c>
      <c r="AJ14" s="70"/>
      <c r="AK14" s="70"/>
      <c r="AL14" s="70" t="s">
        <v>314</v>
      </c>
      <c r="AM14" s="70"/>
      <c r="AN14" s="70"/>
      <c r="AO14" s="70"/>
      <c r="AP14" s="70"/>
      <c r="AQ14" s="70"/>
      <c r="AR14" s="70"/>
      <c r="AS14" s="70" t="s">
        <v>314</v>
      </c>
      <c r="AT14" s="70"/>
      <c r="AU14" s="70"/>
      <c r="AV14" s="70"/>
      <c r="AW14" s="70" t="s">
        <v>314</v>
      </c>
      <c r="AX14" s="70"/>
      <c r="AY14" s="70"/>
      <c r="AZ14" s="70" t="s">
        <v>314</v>
      </c>
      <c r="BA14" s="70" t="s">
        <v>314</v>
      </c>
      <c r="BB14" s="70"/>
      <c r="BC14" s="70"/>
      <c r="BD14" s="70" t="s">
        <v>314</v>
      </c>
      <c r="BE14" s="70"/>
      <c r="BF14" s="70" t="s">
        <v>314</v>
      </c>
      <c r="BG14" s="70" t="s">
        <v>314</v>
      </c>
      <c r="BH14" s="70"/>
      <c r="BI14" s="70"/>
      <c r="BJ14" s="70" t="s">
        <v>314</v>
      </c>
      <c r="BK14" s="70" t="s">
        <v>314</v>
      </c>
      <c r="BL14" s="70" t="s">
        <v>314</v>
      </c>
      <c r="BM14" s="70"/>
      <c r="BN14" s="70" t="s">
        <v>314</v>
      </c>
    </row>
    <row r="15" spans="1:66" x14ac:dyDescent="0.2">
      <c r="A15" s="59">
        <v>7</v>
      </c>
      <c r="B15" s="67" t="s">
        <v>158</v>
      </c>
      <c r="C15" s="65">
        <v>2.5</v>
      </c>
      <c r="D15" s="64">
        <v>52</v>
      </c>
      <c r="E15" s="64">
        <f>IF(ISBLANK($D15),"0",IF(($D16-$D15)&lt;($C16-$C15),1,0))</f>
        <v>1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 t="s">
        <v>314</v>
      </c>
      <c r="N15" s="69" t="s">
        <v>314</v>
      </c>
      <c r="O15" s="69"/>
      <c r="P15" s="69" t="s">
        <v>314</v>
      </c>
      <c r="Q15" s="69" t="s">
        <v>314</v>
      </c>
      <c r="R15" s="96" t="s">
        <v>314</v>
      </c>
      <c r="S15" s="96" t="s">
        <v>314</v>
      </c>
      <c r="T15" s="96" t="s">
        <v>314</v>
      </c>
      <c r="U15" s="96" t="s">
        <v>314</v>
      </c>
      <c r="V15" s="69" t="s">
        <v>314</v>
      </c>
      <c r="W15" s="69"/>
      <c r="X15" s="69" t="s">
        <v>314</v>
      </c>
      <c r="Y15" s="69"/>
      <c r="Z15" s="69" t="s">
        <v>314</v>
      </c>
      <c r="AA15" s="69"/>
      <c r="AB15" s="69" t="s">
        <v>314</v>
      </c>
      <c r="AC15" s="69"/>
      <c r="AD15" s="69" t="s">
        <v>314</v>
      </c>
      <c r="AE15" s="69"/>
      <c r="AF15" s="69" t="s">
        <v>314</v>
      </c>
      <c r="AG15" s="69"/>
      <c r="AH15" s="69" t="s">
        <v>314</v>
      </c>
      <c r="AI15" s="69" t="s">
        <v>314</v>
      </c>
      <c r="AJ15" s="69" t="s">
        <v>314</v>
      </c>
      <c r="AK15" s="69" t="s">
        <v>314</v>
      </c>
      <c r="AL15" s="69"/>
      <c r="AM15" s="69" t="s">
        <v>314</v>
      </c>
      <c r="AN15" s="69"/>
      <c r="AO15" s="69"/>
      <c r="AP15" s="69"/>
      <c r="AQ15" s="69" t="s">
        <v>314</v>
      </c>
      <c r="AR15" s="69" t="s">
        <v>314</v>
      </c>
      <c r="AS15" s="69" t="s">
        <v>314</v>
      </c>
      <c r="AT15" s="69"/>
      <c r="AU15" s="69" t="s">
        <v>314</v>
      </c>
      <c r="AV15" s="69"/>
      <c r="AW15" s="69" t="s">
        <v>314</v>
      </c>
      <c r="AX15" s="69"/>
      <c r="AY15" s="69" t="s">
        <v>314</v>
      </c>
      <c r="AZ15" s="69" t="s">
        <v>314</v>
      </c>
      <c r="BA15" s="69" t="s">
        <v>314</v>
      </c>
      <c r="BB15" s="69" t="s">
        <v>314</v>
      </c>
      <c r="BC15" s="69"/>
      <c r="BD15" s="69" t="s">
        <v>314</v>
      </c>
      <c r="BE15" s="96"/>
      <c r="BF15" s="69" t="s">
        <v>314</v>
      </c>
      <c r="BG15" s="69" t="s">
        <v>314</v>
      </c>
      <c r="BH15" s="69" t="s">
        <v>314</v>
      </c>
      <c r="BI15" s="69"/>
      <c r="BJ15" s="69"/>
      <c r="BK15" s="69"/>
      <c r="BL15" s="69" t="s">
        <v>314</v>
      </c>
      <c r="BM15" s="69" t="s">
        <v>314</v>
      </c>
      <c r="BN15" s="69" t="s">
        <v>314</v>
      </c>
    </row>
    <row r="16" spans="1:66" x14ac:dyDescent="0.2">
      <c r="A16" s="61" t="s">
        <v>3</v>
      </c>
      <c r="B16" s="68" t="s">
        <v>234</v>
      </c>
      <c r="C16" s="66"/>
      <c r="D16" s="64">
        <v>46</v>
      </c>
      <c r="E16" s="64">
        <f>IF(ISBLANK($D16),"0",IF(($D16-$D15)&gt;($C16-$C15),1,0))</f>
        <v>0</v>
      </c>
      <c r="F16" s="64">
        <f t="shared" ca="1" si="1"/>
        <v>19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/>
      <c r="N16" s="70"/>
      <c r="O16" s="70" t="s">
        <v>314</v>
      </c>
      <c r="P16" s="70"/>
      <c r="Q16" s="70"/>
      <c r="R16" s="70"/>
      <c r="S16" s="70"/>
      <c r="T16" s="70"/>
      <c r="U16" s="70"/>
      <c r="V16" s="70"/>
      <c r="W16" s="70" t="s">
        <v>314</v>
      </c>
      <c r="X16" s="70"/>
      <c r="Y16" s="70" t="s">
        <v>314</v>
      </c>
      <c r="Z16" s="70"/>
      <c r="AA16" s="70"/>
      <c r="AB16" s="70"/>
      <c r="AC16" s="70" t="s">
        <v>314</v>
      </c>
      <c r="AD16" s="70"/>
      <c r="AE16" s="70" t="s">
        <v>314</v>
      </c>
      <c r="AF16" s="70"/>
      <c r="AG16" s="70" t="s">
        <v>314</v>
      </c>
      <c r="AH16" s="70"/>
      <c r="AI16" s="70"/>
      <c r="AJ16" s="70"/>
      <c r="AK16" s="70"/>
      <c r="AL16" s="70" t="s">
        <v>314</v>
      </c>
      <c r="AM16" s="70"/>
      <c r="AN16" s="70" t="s">
        <v>314</v>
      </c>
      <c r="AO16" s="70" t="s">
        <v>314</v>
      </c>
      <c r="AP16" s="70" t="s">
        <v>314</v>
      </c>
      <c r="AQ16" s="70"/>
      <c r="AR16" s="97"/>
      <c r="AS16" s="70"/>
      <c r="AT16" s="70" t="s">
        <v>314</v>
      </c>
      <c r="AU16" s="70"/>
      <c r="AV16" s="70" t="s">
        <v>314</v>
      </c>
      <c r="AW16" s="70"/>
      <c r="AX16" s="70" t="s">
        <v>314</v>
      </c>
      <c r="AY16" s="70"/>
      <c r="AZ16" s="70"/>
      <c r="BA16" s="70"/>
      <c r="BB16" s="70"/>
      <c r="BC16" s="70" t="s">
        <v>314</v>
      </c>
      <c r="BD16" s="70"/>
      <c r="BE16" s="70" t="s">
        <v>314</v>
      </c>
      <c r="BF16" s="70"/>
      <c r="BG16" s="70"/>
      <c r="BH16" s="70"/>
      <c r="BI16" s="70" t="s">
        <v>314</v>
      </c>
      <c r="BJ16" s="70" t="s">
        <v>314</v>
      </c>
      <c r="BK16" s="70" t="s">
        <v>314</v>
      </c>
      <c r="BL16" s="70"/>
      <c r="BM16" s="70"/>
      <c r="BN16" s="70"/>
    </row>
    <row r="17" spans="1:66" x14ac:dyDescent="0.2">
      <c r="A17" s="59">
        <v>8</v>
      </c>
      <c r="B17" s="67" t="s">
        <v>200</v>
      </c>
      <c r="C17" s="65"/>
      <c r="D17" s="64">
        <v>26</v>
      </c>
      <c r="E17" s="64">
        <f>IF(ISBLANK($D17),"0",IF(($D18-$D17)&lt;($C18-$C17),1,0))</f>
        <v>1</v>
      </c>
      <c r="F17" s="64">
        <f t="shared" ca="1" si="1"/>
        <v>19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 t="s">
        <v>314</v>
      </c>
      <c r="T17" s="69" t="s">
        <v>314</v>
      </c>
      <c r="U17" s="69"/>
      <c r="V17" s="69" t="s">
        <v>314</v>
      </c>
      <c r="W17" s="69"/>
      <c r="X17" s="69"/>
      <c r="Y17" s="69" t="s">
        <v>314</v>
      </c>
      <c r="Z17" s="69"/>
      <c r="AA17" s="69"/>
      <c r="AB17" s="69" t="s">
        <v>314</v>
      </c>
      <c r="AC17" s="69"/>
      <c r="AD17" s="69"/>
      <c r="AE17" s="69" t="s">
        <v>314</v>
      </c>
      <c r="AF17" s="69" t="s">
        <v>314</v>
      </c>
      <c r="AG17" s="69"/>
      <c r="AH17" s="69"/>
      <c r="AI17" s="69" t="s">
        <v>314</v>
      </c>
      <c r="AJ17" s="69"/>
      <c r="AK17" s="69"/>
      <c r="AL17" s="69" t="s">
        <v>314</v>
      </c>
      <c r="AM17" s="69"/>
      <c r="AN17" s="69"/>
      <c r="AO17" s="69" t="s">
        <v>314</v>
      </c>
      <c r="AP17" s="69" t="s">
        <v>314</v>
      </c>
      <c r="AQ17" s="69"/>
      <c r="AR17" s="96" t="s">
        <v>314</v>
      </c>
      <c r="AS17" s="69" t="s">
        <v>314</v>
      </c>
      <c r="AT17" s="69" t="s">
        <v>314</v>
      </c>
      <c r="AU17" s="69"/>
      <c r="AV17" s="69"/>
      <c r="AW17" s="69" t="s">
        <v>314</v>
      </c>
      <c r="AX17" s="69"/>
      <c r="AY17" s="69"/>
      <c r="AZ17" s="69"/>
      <c r="BA17" s="69"/>
      <c r="BB17" s="69"/>
      <c r="BC17" s="69"/>
      <c r="BD17" s="69"/>
      <c r="BE17" s="69" t="s">
        <v>314</v>
      </c>
      <c r="BF17" s="69"/>
      <c r="BG17" s="69"/>
      <c r="BH17" s="69" t="s">
        <v>314</v>
      </c>
      <c r="BI17" s="69"/>
      <c r="BJ17" s="69"/>
      <c r="BK17" s="69" t="s">
        <v>314</v>
      </c>
      <c r="BL17" s="69"/>
      <c r="BM17" s="69"/>
      <c r="BN17" s="69" t="s">
        <v>314</v>
      </c>
    </row>
    <row r="18" spans="1:66" x14ac:dyDescent="0.2">
      <c r="A18" s="61" t="s">
        <v>3</v>
      </c>
      <c r="B18" s="68" t="s">
        <v>203</v>
      </c>
      <c r="C18" s="66">
        <v>3.5</v>
      </c>
      <c r="D18" s="64">
        <v>29</v>
      </c>
      <c r="E18" s="64">
        <f>IF(ISBLANK($D18),"0",IF(($D18-$D17)&gt;($C18-$C17),1,0))</f>
        <v>0</v>
      </c>
      <c r="F18" s="64">
        <f t="shared" ca="1" si="1"/>
        <v>36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314</v>
      </c>
      <c r="L18" s="70" t="s">
        <v>314</v>
      </c>
      <c r="M18" s="70" t="s">
        <v>314</v>
      </c>
      <c r="N18" s="70" t="s">
        <v>314</v>
      </c>
      <c r="O18" s="70" t="s">
        <v>314</v>
      </c>
      <c r="P18" s="70" t="s">
        <v>314</v>
      </c>
      <c r="Q18" s="70" t="s">
        <v>314</v>
      </c>
      <c r="R18" s="70" t="s">
        <v>314</v>
      </c>
      <c r="S18" s="70"/>
      <c r="T18" s="70"/>
      <c r="U18" s="97" t="s">
        <v>314</v>
      </c>
      <c r="V18" s="70"/>
      <c r="W18" s="70" t="s">
        <v>314</v>
      </c>
      <c r="X18" s="70" t="s">
        <v>314</v>
      </c>
      <c r="Y18" s="70"/>
      <c r="Z18" s="70" t="s">
        <v>314</v>
      </c>
      <c r="AA18" s="70"/>
      <c r="AB18" s="70"/>
      <c r="AC18" s="70" t="s">
        <v>314</v>
      </c>
      <c r="AD18" s="70" t="s">
        <v>314</v>
      </c>
      <c r="AE18" s="70"/>
      <c r="AF18" s="70"/>
      <c r="AG18" s="70" t="s">
        <v>314</v>
      </c>
      <c r="AH18" s="70" t="s">
        <v>314</v>
      </c>
      <c r="AI18" s="70"/>
      <c r="AJ18" s="70" t="s">
        <v>314</v>
      </c>
      <c r="AK18" s="70" t="s">
        <v>314</v>
      </c>
      <c r="AL18" s="70"/>
      <c r="AM18" s="70" t="s">
        <v>314</v>
      </c>
      <c r="AN18" s="70" t="s">
        <v>314</v>
      </c>
      <c r="AO18" s="70"/>
      <c r="AP18" s="70"/>
      <c r="AQ18" s="70" t="s">
        <v>314</v>
      </c>
      <c r="AR18" s="70"/>
      <c r="AS18" s="70"/>
      <c r="AT18" s="70"/>
      <c r="AU18" s="70" t="s">
        <v>314</v>
      </c>
      <c r="AV18" s="70" t="s">
        <v>314</v>
      </c>
      <c r="AW18" s="70"/>
      <c r="AX18" s="70" t="s">
        <v>314</v>
      </c>
      <c r="AY18" s="70" t="s">
        <v>314</v>
      </c>
      <c r="AZ18" s="70" t="s">
        <v>314</v>
      </c>
      <c r="BA18" s="70" t="s">
        <v>314</v>
      </c>
      <c r="BB18" s="70" t="s">
        <v>314</v>
      </c>
      <c r="BC18" s="70" t="s">
        <v>314</v>
      </c>
      <c r="BD18" s="70" t="s">
        <v>314</v>
      </c>
      <c r="BE18" s="97"/>
      <c r="BF18" s="70" t="s">
        <v>314</v>
      </c>
      <c r="BG18" s="70" t="s">
        <v>314</v>
      </c>
      <c r="BH18" s="70"/>
      <c r="BI18" s="70" t="s">
        <v>314</v>
      </c>
      <c r="BJ18" s="70" t="s">
        <v>314</v>
      </c>
      <c r="BK18" s="70"/>
      <c r="BL18" s="70" t="s">
        <v>314</v>
      </c>
      <c r="BM18" s="70" t="s">
        <v>314</v>
      </c>
      <c r="BN18" s="70"/>
    </row>
    <row r="19" spans="1:66" x14ac:dyDescent="0.2">
      <c r="A19" s="59">
        <v>9</v>
      </c>
      <c r="B19" s="67" t="s">
        <v>236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314</v>
      </c>
      <c r="N19" s="69"/>
      <c r="O19" s="69" t="s">
        <v>314</v>
      </c>
      <c r="P19" s="69" t="s">
        <v>314</v>
      </c>
      <c r="Q19" s="69"/>
      <c r="R19" s="69" t="s">
        <v>314</v>
      </c>
      <c r="S19" s="69"/>
      <c r="T19" s="69" t="s">
        <v>314</v>
      </c>
      <c r="U19" s="96"/>
      <c r="V19" s="69" t="s">
        <v>314</v>
      </c>
      <c r="W19" s="69" t="s">
        <v>314</v>
      </c>
      <c r="X19" s="69"/>
      <c r="Y19" s="69" t="s">
        <v>314</v>
      </c>
      <c r="Z19" s="69"/>
      <c r="AA19" s="69"/>
      <c r="AB19" s="69"/>
      <c r="AC19" s="69" t="s">
        <v>314</v>
      </c>
      <c r="AD19" s="69"/>
      <c r="AE19" s="69"/>
      <c r="AF19" s="69" t="s">
        <v>314</v>
      </c>
      <c r="AG19" s="69"/>
      <c r="AH19" s="69" t="s">
        <v>314</v>
      </c>
      <c r="AI19" s="69"/>
      <c r="AJ19" s="69"/>
      <c r="AK19" s="69" t="s">
        <v>314</v>
      </c>
      <c r="AL19" s="69" t="s">
        <v>314</v>
      </c>
      <c r="AM19" s="69" t="s">
        <v>314</v>
      </c>
      <c r="AN19" s="69"/>
      <c r="AO19" s="69" t="s">
        <v>314</v>
      </c>
      <c r="AP19" s="69"/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 t="s">
        <v>314</v>
      </c>
      <c r="AW19" s="69" t="s">
        <v>314</v>
      </c>
      <c r="AX19" s="69"/>
      <c r="AY19" s="69" t="s">
        <v>314</v>
      </c>
      <c r="AZ19" s="69"/>
      <c r="BA19" s="69" t="s">
        <v>314</v>
      </c>
      <c r="BB19" s="69"/>
      <c r="BC19" s="69"/>
      <c r="BD19" s="69"/>
      <c r="BE19" s="69"/>
      <c r="BF19" s="69" t="s">
        <v>314</v>
      </c>
      <c r="BG19" s="69"/>
      <c r="BH19" s="69"/>
      <c r="BI19" s="69"/>
      <c r="BJ19" s="69"/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154</v>
      </c>
      <c r="C20" s="66">
        <v>1.5</v>
      </c>
      <c r="D20" s="64">
        <v>28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/>
      <c r="N20" s="70" t="s">
        <v>314</v>
      </c>
      <c r="O20" s="70"/>
      <c r="P20" s="70"/>
      <c r="Q20" s="70" t="s">
        <v>314</v>
      </c>
      <c r="R20" s="70"/>
      <c r="S20" s="70" t="s">
        <v>314</v>
      </c>
      <c r="T20" s="70"/>
      <c r="U20" s="70" t="s">
        <v>314</v>
      </c>
      <c r="V20" s="70"/>
      <c r="W20" s="70"/>
      <c r="X20" s="70" t="s">
        <v>314</v>
      </c>
      <c r="Y20" s="70"/>
      <c r="Z20" s="70" t="s">
        <v>314</v>
      </c>
      <c r="AA20" s="70"/>
      <c r="AB20" s="70" t="s">
        <v>314</v>
      </c>
      <c r="AC20" s="70"/>
      <c r="AD20" s="70" t="s">
        <v>314</v>
      </c>
      <c r="AE20" s="70" t="s">
        <v>314</v>
      </c>
      <c r="AF20" s="70"/>
      <c r="AG20" s="70" t="s">
        <v>314</v>
      </c>
      <c r="AH20" s="70"/>
      <c r="AI20" s="70" t="s">
        <v>314</v>
      </c>
      <c r="AJ20" s="70" t="s">
        <v>314</v>
      </c>
      <c r="AK20" s="70"/>
      <c r="AL20" s="70"/>
      <c r="AM20" s="70"/>
      <c r="AN20" s="70" t="s">
        <v>314</v>
      </c>
      <c r="AO20" s="70"/>
      <c r="AP20" s="70" t="s">
        <v>314</v>
      </c>
      <c r="AQ20" s="70"/>
      <c r="AR20" s="97"/>
      <c r="AS20" s="70"/>
      <c r="AT20" s="70" t="s">
        <v>314</v>
      </c>
      <c r="AU20" s="70"/>
      <c r="AV20" s="70"/>
      <c r="AW20" s="70"/>
      <c r="AX20" s="70" t="s">
        <v>314</v>
      </c>
      <c r="AY20" s="70"/>
      <c r="AZ20" s="70" t="s">
        <v>314</v>
      </c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/>
      <c r="BG20" s="70" t="s">
        <v>314</v>
      </c>
      <c r="BH20" s="70" t="s">
        <v>314</v>
      </c>
      <c r="BI20" s="70" t="s">
        <v>314</v>
      </c>
      <c r="BJ20" s="70" t="s">
        <v>314</v>
      </c>
      <c r="BK20" s="70"/>
      <c r="BL20" s="70"/>
      <c r="BM20" s="70"/>
      <c r="BN20" s="70" t="s">
        <v>314</v>
      </c>
    </row>
    <row r="21" spans="1:66" x14ac:dyDescent="0.2">
      <c r="A21" s="59">
        <v>10</v>
      </c>
      <c r="B21" s="67" t="s">
        <v>192</v>
      </c>
      <c r="C21" s="65"/>
      <c r="D21" s="64">
        <v>36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314</v>
      </c>
      <c r="M21" s="69"/>
      <c r="N21" s="69" t="s">
        <v>314</v>
      </c>
      <c r="O21" s="69" t="s">
        <v>314</v>
      </c>
      <c r="P21" s="69"/>
      <c r="Q21" s="69"/>
      <c r="R21" s="69" t="s">
        <v>314</v>
      </c>
      <c r="S21" s="69"/>
      <c r="T21" s="69"/>
      <c r="U21" s="96"/>
      <c r="V21" s="69"/>
      <c r="W21" s="69"/>
      <c r="X21" s="69"/>
      <c r="Y21" s="69" t="s">
        <v>314</v>
      </c>
      <c r="Z21" s="69" t="s">
        <v>314</v>
      </c>
      <c r="AA21" s="69"/>
      <c r="AB21" s="69" t="s">
        <v>314</v>
      </c>
      <c r="AC21" s="69" t="s">
        <v>314</v>
      </c>
      <c r="AD21" s="69" t="s">
        <v>314</v>
      </c>
      <c r="AE21" s="69"/>
      <c r="AF21" s="69"/>
      <c r="AG21" s="69"/>
      <c r="AH21" s="69" t="s">
        <v>314</v>
      </c>
      <c r="AI21" s="69" t="s">
        <v>314</v>
      </c>
      <c r="AJ21" s="69"/>
      <c r="AK21" s="69" t="s">
        <v>314</v>
      </c>
      <c r="AL21" s="69" t="s">
        <v>314</v>
      </c>
      <c r="AM21" s="69"/>
      <c r="AN21" s="69"/>
      <c r="AO21" s="69" t="s">
        <v>314</v>
      </c>
      <c r="AP21" s="69"/>
      <c r="AQ21" s="69"/>
      <c r="AR21" s="96"/>
      <c r="AS21" s="69" t="s">
        <v>314</v>
      </c>
      <c r="AT21" s="69"/>
      <c r="AU21" s="69" t="s">
        <v>314</v>
      </c>
      <c r="AV21" s="69" t="s">
        <v>314</v>
      </c>
      <c r="AW21" s="69"/>
      <c r="AX21" s="69" t="s">
        <v>314</v>
      </c>
      <c r="AY21" s="69" t="s">
        <v>314</v>
      </c>
      <c r="AZ21" s="69"/>
      <c r="BA21" s="69" t="s">
        <v>314</v>
      </c>
      <c r="BB21" s="69" t="s">
        <v>314</v>
      </c>
      <c r="BC21" s="69"/>
      <c r="BD21" s="69"/>
      <c r="BE21" s="96" t="s">
        <v>314</v>
      </c>
      <c r="BF21" s="69" t="s">
        <v>314</v>
      </c>
      <c r="BG21" s="69"/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156</v>
      </c>
      <c r="C22" s="66">
        <v>2.5</v>
      </c>
      <c r="D22" s="64">
        <v>42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/>
      <c r="M22" s="70" t="s">
        <v>314</v>
      </c>
      <c r="N22" s="70"/>
      <c r="O22" s="70"/>
      <c r="P22" s="70" t="s">
        <v>314</v>
      </c>
      <c r="Q22" s="70" t="s">
        <v>314</v>
      </c>
      <c r="R22" s="70"/>
      <c r="S22" s="70" t="s">
        <v>314</v>
      </c>
      <c r="T22" s="70" t="s">
        <v>314</v>
      </c>
      <c r="U22" s="70" t="s">
        <v>314</v>
      </c>
      <c r="V22" s="70" t="s">
        <v>314</v>
      </c>
      <c r="W22" s="70" t="s">
        <v>314</v>
      </c>
      <c r="X22" s="70" t="s">
        <v>314</v>
      </c>
      <c r="Y22" s="70"/>
      <c r="Z22" s="70"/>
      <c r="AA22" s="70"/>
      <c r="AB22" s="70"/>
      <c r="AC22" s="70"/>
      <c r="AD22" s="70"/>
      <c r="AE22" s="70" t="s">
        <v>314</v>
      </c>
      <c r="AF22" s="70" t="s">
        <v>314</v>
      </c>
      <c r="AG22" s="70" t="s">
        <v>314</v>
      </c>
      <c r="AH22" s="70"/>
      <c r="AI22" s="70"/>
      <c r="AJ22" s="70" t="s">
        <v>314</v>
      </c>
      <c r="AK22" s="70"/>
      <c r="AL22" s="70"/>
      <c r="AM22" s="70" t="s">
        <v>314</v>
      </c>
      <c r="AN22" s="70" t="s">
        <v>314</v>
      </c>
      <c r="AO22" s="70"/>
      <c r="AP22" s="70" t="s">
        <v>314</v>
      </c>
      <c r="AQ22" s="70" t="s">
        <v>314</v>
      </c>
      <c r="AR22" s="70" t="s">
        <v>314</v>
      </c>
      <c r="AS22" s="70"/>
      <c r="AT22" s="70" t="s">
        <v>314</v>
      </c>
      <c r="AU22" s="70"/>
      <c r="AV22" s="70"/>
      <c r="AW22" s="70" t="s">
        <v>314</v>
      </c>
      <c r="AX22" s="70"/>
      <c r="AY22" s="70"/>
      <c r="AZ22" s="70" t="s">
        <v>314</v>
      </c>
      <c r="BA22" s="70"/>
      <c r="BB22" s="70"/>
      <c r="BC22" s="70" t="s">
        <v>314</v>
      </c>
      <c r="BD22" s="70" t="s">
        <v>314</v>
      </c>
      <c r="BE22" s="70"/>
      <c r="BF22" s="70"/>
      <c r="BG22" s="70" t="s">
        <v>314</v>
      </c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Louisville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/>
      <c r="K23" s="78">
        <v>24</v>
      </c>
      <c r="L23" s="78">
        <v>35</v>
      </c>
      <c r="M23" s="78">
        <v>31</v>
      </c>
      <c r="N23" s="80">
        <v>35</v>
      </c>
      <c r="O23" s="78">
        <v>37</v>
      </c>
      <c r="P23" s="78">
        <v>21</v>
      </c>
      <c r="Q23" s="78">
        <v>28</v>
      </c>
      <c r="R23" s="78">
        <v>35</v>
      </c>
      <c r="S23" s="78">
        <v>37</v>
      </c>
      <c r="T23" s="78">
        <v>28</v>
      </c>
      <c r="U23" s="78">
        <v>35</v>
      </c>
      <c r="V23" s="78">
        <v>12</v>
      </c>
      <c r="W23" s="78">
        <v>35</v>
      </c>
      <c r="X23" s="78">
        <v>7</v>
      </c>
      <c r="Y23" s="78">
        <v>35</v>
      </c>
      <c r="Z23" s="78">
        <v>38</v>
      </c>
      <c r="AA23" s="78"/>
      <c r="AB23" s="78">
        <v>42</v>
      </c>
      <c r="AC23" s="78">
        <v>41</v>
      </c>
      <c r="AD23" s="78">
        <v>44</v>
      </c>
      <c r="AE23" s="78">
        <v>31</v>
      </c>
      <c r="AF23" s="78">
        <v>34</v>
      </c>
      <c r="AG23" s="78">
        <v>31</v>
      </c>
      <c r="AH23" s="78">
        <v>34</v>
      </c>
      <c r="AI23" s="78">
        <v>30</v>
      </c>
      <c r="AJ23" s="78">
        <v>31</v>
      </c>
      <c r="AK23" s="78">
        <v>45</v>
      </c>
      <c r="AL23" s="78">
        <v>37</v>
      </c>
      <c r="AM23" s="78">
        <v>31</v>
      </c>
      <c r="AN23" s="78">
        <v>21</v>
      </c>
      <c r="AO23" s="78">
        <v>23</v>
      </c>
      <c r="AP23" s="78">
        <v>14</v>
      </c>
      <c r="AQ23" s="78">
        <v>31</v>
      </c>
      <c r="AR23" s="78">
        <v>28</v>
      </c>
      <c r="AS23" s="78">
        <v>42</v>
      </c>
      <c r="AT23" s="78">
        <v>17</v>
      </c>
      <c r="AU23" s="78">
        <v>42</v>
      </c>
      <c r="AV23" s="78">
        <v>38</v>
      </c>
      <c r="AW23" s="78">
        <v>27</v>
      </c>
      <c r="AX23" s="78">
        <v>44</v>
      </c>
      <c r="AY23" s="78">
        <v>41</v>
      </c>
      <c r="AZ23" s="78">
        <v>40</v>
      </c>
      <c r="BA23" s="78">
        <v>35</v>
      </c>
      <c r="BB23" s="78">
        <v>28</v>
      </c>
      <c r="BC23" s="78">
        <v>7</v>
      </c>
      <c r="BD23" s="78">
        <v>28</v>
      </c>
      <c r="BE23" s="78">
        <v>45</v>
      </c>
      <c r="BF23" s="78">
        <v>45</v>
      </c>
      <c r="BG23" s="78">
        <v>10</v>
      </c>
      <c r="BH23" s="78">
        <v>34</v>
      </c>
      <c r="BI23" s="78">
        <v>14</v>
      </c>
      <c r="BJ23" s="78">
        <v>35</v>
      </c>
      <c r="BK23" s="78">
        <v>42</v>
      </c>
      <c r="BL23" s="78">
        <v>48</v>
      </c>
      <c r="BM23" s="78">
        <v>20</v>
      </c>
      <c r="BN23" s="78">
        <v>28</v>
      </c>
    </row>
    <row r="24" spans="1:66" x14ac:dyDescent="0.2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30</v>
      </c>
      <c r="M24" s="79">
        <v>35</v>
      </c>
      <c r="N24" s="79">
        <v>24</v>
      </c>
      <c r="O24" s="79">
        <v>35</v>
      </c>
      <c r="P24" s="79">
        <v>24</v>
      </c>
      <c r="Q24" s="79">
        <v>35</v>
      </c>
      <c r="R24" s="79">
        <v>31</v>
      </c>
      <c r="S24" s="79">
        <v>45</v>
      </c>
      <c r="T24" s="79">
        <v>45</v>
      </c>
      <c r="U24" s="79">
        <v>52</v>
      </c>
      <c r="V24" s="79">
        <v>24</v>
      </c>
      <c r="W24" s="79">
        <v>38</v>
      </c>
      <c r="X24" s="79">
        <v>28</v>
      </c>
      <c r="Y24" s="79">
        <v>21</v>
      </c>
      <c r="Z24" s="79">
        <v>31</v>
      </c>
      <c r="AA24" s="79"/>
      <c r="AB24" s="79">
        <v>31</v>
      </c>
      <c r="AC24" s="79">
        <v>21</v>
      </c>
      <c r="AD24" s="79">
        <v>41</v>
      </c>
      <c r="AE24" s="79">
        <v>67</v>
      </c>
      <c r="AF24" s="79">
        <v>37</v>
      </c>
      <c r="AG24" s="79">
        <v>34</v>
      </c>
      <c r="AH24" s="79">
        <v>32</v>
      </c>
      <c r="AI24" s="79">
        <v>23</v>
      </c>
      <c r="AJ24" s="79">
        <v>35</v>
      </c>
      <c r="AK24" s="79">
        <v>21</v>
      </c>
      <c r="AL24" s="79">
        <v>24</v>
      </c>
      <c r="AM24" s="79">
        <v>38</v>
      </c>
      <c r="AN24" s="79">
        <v>28</v>
      </c>
      <c r="AO24" s="79">
        <v>24</v>
      </c>
      <c r="AP24" s="79">
        <v>21</v>
      </c>
      <c r="AQ24" s="79">
        <v>34</v>
      </c>
      <c r="AR24" s="79">
        <v>35</v>
      </c>
      <c r="AS24" s="79">
        <v>28</v>
      </c>
      <c r="AT24" s="79">
        <v>20</v>
      </c>
      <c r="AU24" s="79">
        <v>21</v>
      </c>
      <c r="AV24" s="79">
        <v>33</v>
      </c>
      <c r="AW24" s="79">
        <v>30</v>
      </c>
      <c r="AX24" s="79">
        <v>38</v>
      </c>
      <c r="AY24" s="79">
        <v>31</v>
      </c>
      <c r="AZ24" s="79">
        <v>45</v>
      </c>
      <c r="BA24" s="79">
        <v>14</v>
      </c>
      <c r="BB24" s="79">
        <v>21</v>
      </c>
      <c r="BC24" s="79">
        <v>24</v>
      </c>
      <c r="BD24" s="79">
        <v>34</v>
      </c>
      <c r="BE24" s="79">
        <v>38</v>
      </c>
      <c r="BF24" s="79">
        <v>21</v>
      </c>
      <c r="BG24" s="79">
        <v>21</v>
      </c>
      <c r="BH24" s="79">
        <v>31</v>
      </c>
      <c r="BI24" s="79">
        <v>21</v>
      </c>
      <c r="BJ24" s="79">
        <v>41</v>
      </c>
      <c r="BK24" s="79">
        <v>27</v>
      </c>
      <c r="BL24" s="79">
        <v>38</v>
      </c>
      <c r="BM24" s="79">
        <v>30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5</v>
      </c>
      <c r="Q25" s="36">
        <f t="shared" si="3"/>
        <v>6</v>
      </c>
      <c r="R25" s="36">
        <f t="shared" si="3"/>
        <v>3</v>
      </c>
      <c r="S25" s="36">
        <f t="shared" si="3"/>
        <v>6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4</v>
      </c>
      <c r="Z25" s="36">
        <f t="shared" si="3"/>
        <v>7</v>
      </c>
      <c r="AA25" s="36">
        <f t="shared" si="3"/>
        <v>0</v>
      </c>
      <c r="AB25" s="36">
        <f t="shared" si="3"/>
        <v>5</v>
      </c>
      <c r="AC25" s="36">
        <f t="shared" si="3"/>
        <v>1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4</v>
      </c>
      <c r="AK25" s="36">
        <f t="shared" si="3"/>
        <v>5</v>
      </c>
      <c r="AL25" s="36">
        <f t="shared" si="3"/>
        <v>2</v>
      </c>
      <c r="AM25" s="36">
        <f t="shared" si="3"/>
        <v>5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5</v>
      </c>
      <c r="AR25" s="36">
        <f t="shared" si="3"/>
        <v>6</v>
      </c>
      <c r="AS25" s="36">
        <f t="shared" si="3"/>
        <v>6</v>
      </c>
      <c r="AT25" s="36">
        <f t="shared" si="3"/>
        <v>5</v>
      </c>
      <c r="AU25" s="36">
        <f t="shared" si="3"/>
        <v>3</v>
      </c>
      <c r="AV25" s="36">
        <f t="shared" si="3"/>
        <v>2</v>
      </c>
      <c r="AW25" s="36">
        <f t="shared" si="3"/>
        <v>7</v>
      </c>
      <c r="AX25" s="36">
        <f t="shared" si="3"/>
        <v>2</v>
      </c>
      <c r="AY25" s="36">
        <f t="shared" si="3"/>
        <v>3</v>
      </c>
      <c r="AZ25" s="36">
        <f t="shared" si="3"/>
        <v>6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8</v>
      </c>
      <c r="BE25" s="36">
        <f t="shared" si="3"/>
        <v>5</v>
      </c>
      <c r="BF25" s="36">
        <f t="shared" si="3"/>
        <v>6</v>
      </c>
      <c r="BG25" s="36">
        <f t="shared" si="3"/>
        <v>6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5</v>
      </c>
      <c r="BN25" s="36">
        <f t="shared" si="3"/>
        <v>6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11</v>
      </c>
      <c r="M26" s="71">
        <f t="shared" si="4"/>
        <v>2</v>
      </c>
      <c r="N26" s="71">
        <f t="shared" si="4"/>
        <v>17</v>
      </c>
      <c r="O26" s="71">
        <f t="shared" si="4"/>
        <v>8</v>
      </c>
      <c r="P26" s="71">
        <f t="shared" si="4"/>
        <v>3</v>
      </c>
      <c r="Q26" s="71">
        <f t="shared" si="4"/>
        <v>1</v>
      </c>
      <c r="R26" s="71">
        <f t="shared" si="4"/>
        <v>10</v>
      </c>
      <c r="S26" s="71">
        <f t="shared" si="4"/>
        <v>2</v>
      </c>
      <c r="T26" s="71">
        <f t="shared" si="4"/>
        <v>11</v>
      </c>
      <c r="U26" s="71">
        <f t="shared" si="4"/>
        <v>11</v>
      </c>
      <c r="V26" s="71">
        <f t="shared" si="4"/>
        <v>6</v>
      </c>
      <c r="W26" s="71">
        <f t="shared" si="4"/>
        <v>3</v>
      </c>
      <c r="X26" s="71">
        <f t="shared" si="4"/>
        <v>15</v>
      </c>
      <c r="Y26" s="71">
        <f t="shared" si="4"/>
        <v>20</v>
      </c>
      <c r="Z26" s="71">
        <f t="shared" si="4"/>
        <v>13</v>
      </c>
      <c r="AA26" s="71">
        <f t="shared" si="4"/>
        <v>6</v>
      </c>
      <c r="AB26" s="71">
        <f t="shared" si="4"/>
        <v>17</v>
      </c>
      <c r="AC26" s="71">
        <f t="shared" si="4"/>
        <v>26</v>
      </c>
      <c r="AD26" s="71">
        <f t="shared" si="4"/>
        <v>9</v>
      </c>
      <c r="AE26" s="71">
        <f t="shared" si="4"/>
        <v>30</v>
      </c>
      <c r="AF26" s="71">
        <f t="shared" si="4"/>
        <v>3</v>
      </c>
      <c r="AG26" s="71">
        <f t="shared" si="4"/>
        <v>3</v>
      </c>
      <c r="AH26" s="71">
        <f t="shared" si="4"/>
        <v>8</v>
      </c>
      <c r="AI26" s="71">
        <f t="shared" si="4"/>
        <v>13</v>
      </c>
      <c r="AJ26" s="71">
        <f t="shared" si="4"/>
        <v>2</v>
      </c>
      <c r="AK26" s="71">
        <f t="shared" si="4"/>
        <v>30</v>
      </c>
      <c r="AL26" s="71">
        <f t="shared" si="4"/>
        <v>19</v>
      </c>
      <c r="AM26" s="71">
        <f t="shared" si="4"/>
        <v>1</v>
      </c>
      <c r="AN26" s="71">
        <f t="shared" si="4"/>
        <v>1</v>
      </c>
      <c r="AO26" s="71">
        <f t="shared" si="4"/>
        <v>5</v>
      </c>
      <c r="AP26" s="71">
        <f t="shared" si="4"/>
        <v>1</v>
      </c>
      <c r="AQ26" s="71">
        <f t="shared" si="4"/>
        <v>3</v>
      </c>
      <c r="AR26" s="71">
        <f t="shared" si="4"/>
        <v>1</v>
      </c>
      <c r="AS26" s="71">
        <f t="shared" si="4"/>
        <v>20</v>
      </c>
      <c r="AT26" s="71">
        <f t="shared" si="4"/>
        <v>3</v>
      </c>
      <c r="AU26" s="71">
        <f t="shared" si="4"/>
        <v>27</v>
      </c>
      <c r="AV26" s="71">
        <f t="shared" si="4"/>
        <v>11</v>
      </c>
      <c r="AW26" s="71">
        <f t="shared" si="4"/>
        <v>3</v>
      </c>
      <c r="AX26" s="71">
        <f t="shared" si="4"/>
        <v>12</v>
      </c>
      <c r="AY26" s="71">
        <f t="shared" si="4"/>
        <v>16</v>
      </c>
      <c r="AZ26" s="71">
        <f t="shared" si="4"/>
        <v>1</v>
      </c>
      <c r="BA26" s="71">
        <f t="shared" si="4"/>
        <v>27</v>
      </c>
      <c r="BB26" s="71">
        <f t="shared" si="4"/>
        <v>13</v>
      </c>
      <c r="BC26" s="71">
        <f t="shared" si="4"/>
        <v>11</v>
      </c>
      <c r="BD26" s="71">
        <f t="shared" si="4"/>
        <v>0</v>
      </c>
      <c r="BE26" s="71">
        <f t="shared" si="4"/>
        <v>13</v>
      </c>
      <c r="BF26" s="71">
        <f t="shared" si="4"/>
        <v>30</v>
      </c>
      <c r="BG26" s="71">
        <f t="shared" si="4"/>
        <v>5</v>
      </c>
      <c r="BH26" s="71">
        <f t="shared" si="4"/>
        <v>9</v>
      </c>
      <c r="BI26" s="71">
        <f t="shared" si="4"/>
        <v>1</v>
      </c>
      <c r="BJ26" s="71">
        <f t="shared" si="4"/>
        <v>0</v>
      </c>
      <c r="BK26" s="71">
        <f t="shared" si="4"/>
        <v>21</v>
      </c>
      <c r="BL26" s="71">
        <f t="shared" si="4"/>
        <v>16</v>
      </c>
      <c r="BM26" s="71">
        <f t="shared" si="4"/>
        <v>4</v>
      </c>
      <c r="BN26" s="71">
        <f t="shared" si="4"/>
        <v>13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13</v>
      </c>
      <c r="M27" s="71">
        <f t="shared" si="5"/>
        <v>12</v>
      </c>
      <c r="N27" s="71">
        <f t="shared" si="5"/>
        <v>19</v>
      </c>
      <c r="O27" s="71">
        <f t="shared" si="5"/>
        <v>6</v>
      </c>
      <c r="P27" s="71">
        <f t="shared" si="5"/>
        <v>33</v>
      </c>
      <c r="Q27" s="71">
        <f t="shared" si="5"/>
        <v>15</v>
      </c>
      <c r="R27" s="71">
        <f t="shared" si="5"/>
        <v>12</v>
      </c>
      <c r="S27" s="71">
        <f t="shared" si="5"/>
        <v>4</v>
      </c>
      <c r="T27" s="71">
        <f t="shared" si="5"/>
        <v>5</v>
      </c>
      <c r="U27" s="71">
        <f t="shared" si="5"/>
        <v>9</v>
      </c>
      <c r="V27" s="71">
        <f t="shared" si="5"/>
        <v>42</v>
      </c>
      <c r="W27" s="71">
        <f t="shared" si="5"/>
        <v>5</v>
      </c>
      <c r="X27" s="71">
        <f t="shared" si="5"/>
        <v>43</v>
      </c>
      <c r="Y27" s="71">
        <f t="shared" si="5"/>
        <v>22</v>
      </c>
      <c r="Z27" s="71">
        <f t="shared" si="5"/>
        <v>9</v>
      </c>
      <c r="AA27" s="71">
        <f t="shared" si="5"/>
        <v>78</v>
      </c>
      <c r="AB27" s="71">
        <f t="shared" si="5"/>
        <v>5</v>
      </c>
      <c r="AC27" s="71">
        <f t="shared" si="5"/>
        <v>16</v>
      </c>
      <c r="AD27" s="71">
        <f t="shared" si="5"/>
        <v>7</v>
      </c>
      <c r="AE27" s="71">
        <f t="shared" si="5"/>
        <v>20</v>
      </c>
      <c r="AF27" s="71">
        <f t="shared" si="5"/>
        <v>7</v>
      </c>
      <c r="AG27" s="71">
        <f t="shared" si="5"/>
        <v>13</v>
      </c>
      <c r="AH27" s="71">
        <f t="shared" si="5"/>
        <v>12</v>
      </c>
      <c r="AI27" s="71">
        <f t="shared" si="5"/>
        <v>25</v>
      </c>
      <c r="AJ27" s="71">
        <f t="shared" si="5"/>
        <v>12</v>
      </c>
      <c r="AK27" s="71">
        <f t="shared" si="5"/>
        <v>12</v>
      </c>
      <c r="AL27" s="71">
        <f t="shared" si="5"/>
        <v>17</v>
      </c>
      <c r="AM27" s="71">
        <f t="shared" si="5"/>
        <v>9</v>
      </c>
      <c r="AN27" s="71">
        <f t="shared" si="5"/>
        <v>29</v>
      </c>
      <c r="AO27" s="71">
        <f t="shared" si="5"/>
        <v>31</v>
      </c>
      <c r="AP27" s="71">
        <f t="shared" si="5"/>
        <v>43</v>
      </c>
      <c r="AQ27" s="71">
        <f t="shared" si="5"/>
        <v>13</v>
      </c>
      <c r="AR27" s="71">
        <f t="shared" si="5"/>
        <v>15</v>
      </c>
      <c r="AS27" s="71">
        <f t="shared" si="5"/>
        <v>8</v>
      </c>
      <c r="AT27" s="71">
        <f t="shared" si="5"/>
        <v>41</v>
      </c>
      <c r="AU27" s="71">
        <f t="shared" si="5"/>
        <v>15</v>
      </c>
      <c r="AV27" s="71">
        <f t="shared" si="5"/>
        <v>7</v>
      </c>
      <c r="AW27" s="71">
        <f t="shared" si="5"/>
        <v>21</v>
      </c>
      <c r="AX27" s="71">
        <f t="shared" si="5"/>
        <v>4</v>
      </c>
      <c r="AY27" s="71">
        <f t="shared" si="5"/>
        <v>6</v>
      </c>
      <c r="AZ27" s="71">
        <f t="shared" si="5"/>
        <v>7</v>
      </c>
      <c r="BA27" s="71">
        <f t="shared" si="5"/>
        <v>29</v>
      </c>
      <c r="BB27" s="71">
        <f t="shared" si="5"/>
        <v>29</v>
      </c>
      <c r="BC27" s="71">
        <f t="shared" si="5"/>
        <v>47</v>
      </c>
      <c r="BD27" s="71">
        <f t="shared" si="5"/>
        <v>16</v>
      </c>
      <c r="BE27" s="71">
        <f t="shared" si="5"/>
        <v>5</v>
      </c>
      <c r="BF27" s="71">
        <f t="shared" si="5"/>
        <v>12</v>
      </c>
      <c r="BG27" s="71">
        <f t="shared" si="5"/>
        <v>47</v>
      </c>
      <c r="BH27" s="71">
        <f t="shared" si="5"/>
        <v>13</v>
      </c>
      <c r="BI27" s="71">
        <f t="shared" si="5"/>
        <v>43</v>
      </c>
      <c r="BJ27" s="71">
        <f t="shared" si="5"/>
        <v>2</v>
      </c>
      <c r="BK27" s="71">
        <f t="shared" si="5"/>
        <v>9</v>
      </c>
      <c r="BL27" s="71">
        <f t="shared" si="5"/>
        <v>8</v>
      </c>
      <c r="BM27" s="71">
        <f t="shared" si="5"/>
        <v>28</v>
      </c>
      <c r="BN27" s="71">
        <f t="shared" si="5"/>
        <v>29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>
        <f t="shared" ca="1" si="6"/>
        <v>1</v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0.46785714285714286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4</v>
      </c>
      <c r="M29" s="71">
        <f t="shared" si="7"/>
        <v>5</v>
      </c>
      <c r="N29" s="71">
        <f t="shared" si="7"/>
        <v>8</v>
      </c>
      <c r="O29" s="71">
        <f t="shared" si="7"/>
        <v>5</v>
      </c>
      <c r="P29" s="71">
        <f t="shared" si="7"/>
        <v>8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8</v>
      </c>
      <c r="U29" s="71">
        <f t="shared" si="7"/>
        <v>4</v>
      </c>
      <c r="V29" s="71">
        <f t="shared" si="7"/>
        <v>6</v>
      </c>
      <c r="W29" s="71">
        <f t="shared" si="7"/>
        <v>5</v>
      </c>
      <c r="X29" s="71">
        <f t="shared" si="7"/>
        <v>3</v>
      </c>
      <c r="Y29" s="71">
        <f t="shared" si="7"/>
        <v>7</v>
      </c>
      <c r="Z29" s="71">
        <f t="shared" si="7"/>
        <v>6</v>
      </c>
      <c r="AA29" s="71">
        <f t="shared" si="7"/>
        <v>0</v>
      </c>
      <c r="AB29" s="71">
        <f t="shared" si="7"/>
        <v>8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9</v>
      </c>
      <c r="AG29" s="71">
        <f t="shared" si="7"/>
        <v>4</v>
      </c>
      <c r="AH29" s="71">
        <f t="shared" si="7"/>
        <v>9</v>
      </c>
      <c r="AI29" s="71">
        <f t="shared" si="7"/>
        <v>7</v>
      </c>
      <c r="AJ29" s="71">
        <f t="shared" si="7"/>
        <v>5</v>
      </c>
      <c r="AK29" s="71">
        <f t="shared" si="7"/>
        <v>6</v>
      </c>
      <c r="AL29" s="71">
        <f t="shared" si="7"/>
        <v>5</v>
      </c>
      <c r="AM29" s="71">
        <f t="shared" si="7"/>
        <v>8</v>
      </c>
      <c r="AN29" s="71">
        <f t="shared" si="7"/>
        <v>4</v>
      </c>
      <c r="AO29" s="71">
        <f t="shared" si="7"/>
        <v>9</v>
      </c>
      <c r="AP29" s="71">
        <f t="shared" si="7"/>
        <v>5</v>
      </c>
      <c r="AQ29" s="71">
        <f t="shared" si="7"/>
        <v>6</v>
      </c>
      <c r="AR29" s="71">
        <f t="shared" si="7"/>
        <v>7</v>
      </c>
      <c r="AS29" s="71">
        <f t="shared" si="7"/>
        <v>7</v>
      </c>
      <c r="AT29" s="71">
        <f t="shared" si="7"/>
        <v>6</v>
      </c>
      <c r="AU29" s="71">
        <f t="shared" si="7"/>
        <v>6</v>
      </c>
      <c r="AV29" s="71">
        <f t="shared" si="7"/>
        <v>7</v>
      </c>
      <c r="AW29" s="71">
        <f t="shared" si="7"/>
        <v>8</v>
      </c>
      <c r="AX29" s="71">
        <f t="shared" si="7"/>
        <v>5</v>
      </c>
      <c r="AY29" s="71">
        <f t="shared" si="7"/>
        <v>8</v>
      </c>
      <c r="AZ29" s="71">
        <f t="shared" si="7"/>
        <v>5</v>
      </c>
      <c r="BA29" s="71">
        <f t="shared" si="7"/>
        <v>6</v>
      </c>
      <c r="BB29" s="71">
        <f t="shared" si="7"/>
        <v>6</v>
      </c>
      <c r="BC29" s="71">
        <f t="shared" si="7"/>
        <v>2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1</v>
      </c>
      <c r="BH29" s="71">
        <f t="shared" si="7"/>
        <v>7</v>
      </c>
      <c r="BI29" s="71">
        <f t="shared" si="7"/>
        <v>4</v>
      </c>
      <c r="BJ29" s="71">
        <f t="shared" si="7"/>
        <v>3</v>
      </c>
      <c r="BK29" s="71">
        <f t="shared" si="7"/>
        <v>7</v>
      </c>
      <c r="BL29" s="71">
        <f t="shared" si="7"/>
        <v>5</v>
      </c>
      <c r="BM29" s="71">
        <f t="shared" si="7"/>
        <v>8</v>
      </c>
      <c r="BN29" s="71">
        <f t="shared" si="7"/>
        <v>3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-18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7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5</v>
      </c>
      <c r="O30" s="73">
        <f t="shared" si="8"/>
        <v>8</v>
      </c>
      <c r="P30" s="73">
        <f t="shared" si="8"/>
        <v>5</v>
      </c>
      <c r="Q30" s="73">
        <f t="shared" si="8"/>
        <v>2</v>
      </c>
      <c r="R30" s="73">
        <f t="shared" si="8"/>
        <v>7</v>
      </c>
      <c r="S30" s="73">
        <f t="shared" si="8"/>
        <v>2</v>
      </c>
      <c r="T30" s="73">
        <f t="shared" si="8"/>
        <v>5</v>
      </c>
      <c r="U30" s="73">
        <f t="shared" si="8"/>
        <v>3</v>
      </c>
      <c r="V30" s="73">
        <f t="shared" si="8"/>
        <v>5</v>
      </c>
      <c r="W30" s="73">
        <f t="shared" si="8"/>
        <v>4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10</v>
      </c>
      <c r="AB30" s="73">
        <f t="shared" si="8"/>
        <v>5</v>
      </c>
      <c r="AC30" s="73">
        <f t="shared" si="8"/>
        <v>7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7</v>
      </c>
      <c r="AH30" s="73">
        <f t="shared" si="8"/>
        <v>6</v>
      </c>
      <c r="AI30" s="73">
        <f t="shared" si="8"/>
        <v>6</v>
      </c>
      <c r="AJ30" s="73">
        <f t="shared" si="8"/>
        <v>2</v>
      </c>
      <c r="AK30" s="73">
        <f t="shared" si="8"/>
        <v>5</v>
      </c>
      <c r="AL30" s="73">
        <f t="shared" si="8"/>
        <v>8</v>
      </c>
      <c r="AM30" s="73">
        <f t="shared" si="8"/>
        <v>5</v>
      </c>
      <c r="AN30" s="73">
        <f t="shared" si="8"/>
        <v>3</v>
      </c>
      <c r="AO30" s="73">
        <f t="shared" si="8"/>
        <v>8</v>
      </c>
      <c r="AP30" s="73">
        <f t="shared" si="8"/>
        <v>6</v>
      </c>
      <c r="AQ30" s="73">
        <f t="shared" si="8"/>
        <v>3</v>
      </c>
      <c r="AR30" s="73">
        <f t="shared" si="8"/>
        <v>4</v>
      </c>
      <c r="AS30" s="73">
        <f t="shared" si="8"/>
        <v>8</v>
      </c>
      <c r="AT30" s="73">
        <f t="shared" si="8"/>
        <v>7</v>
      </c>
      <c r="AU30" s="73">
        <f t="shared" si="8"/>
        <v>3</v>
      </c>
      <c r="AV30" s="73">
        <f t="shared" si="8"/>
        <v>6</v>
      </c>
      <c r="AW30" s="73">
        <f t="shared" si="8"/>
        <v>7</v>
      </c>
      <c r="AX30" s="73">
        <f t="shared" si="8"/>
        <v>4</v>
      </c>
      <c r="AY30" s="73">
        <f t="shared" si="8"/>
        <v>5</v>
      </c>
      <c r="AZ30" s="73">
        <f t="shared" si="8"/>
        <v>4</v>
      </c>
      <c r="BA30" s="73">
        <f t="shared" si="8"/>
        <v>5</v>
      </c>
      <c r="BB30" s="73">
        <f t="shared" si="8"/>
        <v>3</v>
      </c>
      <c r="BC30" s="73">
        <f t="shared" si="8"/>
        <v>3</v>
      </c>
      <c r="BD30" s="73">
        <f t="shared" si="8"/>
        <v>4</v>
      </c>
      <c r="BE30" s="73">
        <f t="shared" si="8"/>
        <v>5</v>
      </c>
      <c r="BF30" s="73">
        <f t="shared" si="8"/>
        <v>4</v>
      </c>
      <c r="BG30" s="73">
        <f t="shared" si="8"/>
        <v>2</v>
      </c>
      <c r="BH30" s="73">
        <f t="shared" si="8"/>
        <v>4</v>
      </c>
      <c r="BI30" s="73">
        <f t="shared" si="8"/>
        <v>5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5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6</v>
      </c>
      <c r="M31" s="71">
        <f t="shared" ca="1" si="9"/>
        <v>3</v>
      </c>
      <c r="N31" s="71">
        <f t="shared" ca="1" si="9"/>
        <v>2</v>
      </c>
      <c r="O31" s="71">
        <f t="shared" ca="1" si="9"/>
        <v>7</v>
      </c>
      <c r="P31" s="71">
        <f t="shared" ca="1" si="9"/>
        <v>2</v>
      </c>
      <c r="Q31" s="71">
        <f t="shared" ca="1" si="9"/>
        <v>1</v>
      </c>
      <c r="R31" s="71">
        <f t="shared" ca="1" si="9"/>
        <v>4</v>
      </c>
      <c r="S31" s="71">
        <f t="shared" ca="1" si="9"/>
        <v>3</v>
      </c>
      <c r="T31" s="71">
        <f t="shared" ca="1" si="9"/>
        <v>2</v>
      </c>
      <c r="U31" s="71">
        <f t="shared" ca="1" si="9"/>
        <v>4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10</v>
      </c>
      <c r="AB31" s="71">
        <f t="shared" ca="1" si="9"/>
        <v>2</v>
      </c>
      <c r="AC31" s="71">
        <f t="shared" ca="1" si="9"/>
        <v>4</v>
      </c>
      <c r="AD31" s="71">
        <f t="shared" ca="1" si="9"/>
        <v>5</v>
      </c>
      <c r="AE31" s="71">
        <f t="shared" ca="1" si="9"/>
        <v>3</v>
      </c>
      <c r="AF31" s="71">
        <f t="shared" ca="1" si="9"/>
        <v>3</v>
      </c>
      <c r="AG31" s="71">
        <f t="shared" ca="1" si="9"/>
        <v>4</v>
      </c>
      <c r="AH31" s="71">
        <f t="shared" ca="1" si="9"/>
        <v>3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7</v>
      </c>
      <c r="AM31" s="71">
        <f t="shared" ca="1" si="9"/>
        <v>2</v>
      </c>
      <c r="AN31" s="71">
        <f t="shared" ca="1" si="9"/>
        <v>2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7</v>
      </c>
      <c r="AT31" s="71">
        <f t="shared" ca="1" si="9"/>
        <v>4</v>
      </c>
      <c r="AU31" s="71">
        <f t="shared" ca="1" si="9"/>
        <v>4</v>
      </c>
      <c r="AV31" s="71">
        <f t="shared" ca="1" si="9"/>
        <v>3</v>
      </c>
      <c r="AW31" s="71">
        <f t="shared" ca="1" si="9"/>
        <v>4</v>
      </c>
      <c r="AX31" s="71">
        <f t="shared" ca="1" si="9"/>
        <v>3</v>
      </c>
      <c r="AY31" s="71">
        <f t="shared" ca="1" si="9"/>
        <v>2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2</v>
      </c>
      <c r="BN31" s="71">
        <f t="shared" ca="1" si="9"/>
        <v>7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101979924</v>
      </c>
      <c r="L36" s="32">
        <f t="shared" si="12"/>
        <v>99955948</v>
      </c>
      <c r="M36" s="32">
        <f t="shared" si="12"/>
        <v>121991952</v>
      </c>
      <c r="N36" s="32">
        <f t="shared" si="12"/>
        <v>99931924</v>
      </c>
      <c r="O36" s="32">
        <f t="shared" si="12"/>
        <v>79967976</v>
      </c>
      <c r="P36" s="32">
        <f t="shared" si="12"/>
        <v>101987868</v>
      </c>
      <c r="Q36" s="32">
        <f t="shared" si="12"/>
        <v>121995940</v>
      </c>
      <c r="R36" s="32">
        <f t="shared" si="12"/>
        <v>59959952</v>
      </c>
      <c r="S36" s="32">
        <f t="shared" si="12"/>
        <v>121991984</v>
      </c>
      <c r="T36" s="32">
        <f t="shared" si="12"/>
        <v>101955980</v>
      </c>
      <c r="U36" s="32">
        <f t="shared" si="12"/>
        <v>101955964</v>
      </c>
      <c r="V36" s="32">
        <f t="shared" si="12"/>
        <v>101975832</v>
      </c>
      <c r="W36" s="32">
        <f t="shared" si="12"/>
        <v>81987980</v>
      </c>
      <c r="X36" s="32">
        <f t="shared" si="12"/>
        <v>121939828</v>
      </c>
      <c r="Y36" s="32">
        <f t="shared" si="12"/>
        <v>79919912</v>
      </c>
      <c r="Z36" s="32">
        <f t="shared" si="12"/>
        <v>139947964</v>
      </c>
      <c r="AA36" s="32">
        <f t="shared" si="12"/>
        <v>0</v>
      </c>
      <c r="AB36" s="32">
        <f t="shared" si="12"/>
        <v>99931980</v>
      </c>
      <c r="AC36" s="32">
        <f t="shared" si="12"/>
        <v>19895936</v>
      </c>
      <c r="AD36" s="32">
        <f t="shared" si="12"/>
        <v>119963972</v>
      </c>
      <c r="AE36" s="32">
        <f t="shared" si="12"/>
        <v>121879920</v>
      </c>
      <c r="AF36" s="32">
        <f t="shared" si="12"/>
        <v>121987972</v>
      </c>
      <c r="AG36" s="32">
        <f t="shared" si="12"/>
        <v>101987948</v>
      </c>
      <c r="AH36" s="32">
        <f t="shared" si="12"/>
        <v>79967952</v>
      </c>
      <c r="AI36" s="32">
        <f t="shared" si="12"/>
        <v>119947900</v>
      </c>
      <c r="AJ36" s="32">
        <f t="shared" si="12"/>
        <v>81991952</v>
      </c>
      <c r="AK36" s="32">
        <f t="shared" si="12"/>
        <v>99879952</v>
      </c>
      <c r="AL36" s="32">
        <f t="shared" si="12"/>
        <v>39923932</v>
      </c>
      <c r="AM36" s="32">
        <f t="shared" si="12"/>
        <v>101995964</v>
      </c>
      <c r="AN36" s="32">
        <f t="shared" si="12"/>
        <v>61995884</v>
      </c>
      <c r="AO36" s="32">
        <f t="shared" si="12"/>
        <v>79979876</v>
      </c>
      <c r="AP36" s="32">
        <f t="shared" si="12"/>
        <v>81995828</v>
      </c>
      <c r="AQ36" s="32">
        <f t="shared" si="12"/>
        <v>101987948</v>
      </c>
      <c r="AR36" s="32">
        <f t="shared" si="12"/>
        <v>121995940</v>
      </c>
      <c r="AS36" s="32">
        <f t="shared" si="12"/>
        <v>119919968</v>
      </c>
      <c r="AT36" s="32">
        <f t="shared" si="12"/>
        <v>101987836</v>
      </c>
      <c r="AU36" s="32">
        <f t="shared" si="12"/>
        <v>59891940</v>
      </c>
      <c r="AV36" s="32">
        <f t="shared" si="12"/>
        <v>39955972</v>
      </c>
      <c r="AW36" s="32">
        <f t="shared" si="12"/>
        <v>141987916</v>
      </c>
      <c r="AX36" s="32">
        <f t="shared" si="12"/>
        <v>39951984</v>
      </c>
      <c r="AY36" s="32">
        <f t="shared" si="12"/>
        <v>59935976</v>
      </c>
      <c r="AZ36" s="32">
        <f t="shared" si="12"/>
        <v>121995972</v>
      </c>
      <c r="BA36" s="32">
        <f t="shared" si="12"/>
        <v>59891884</v>
      </c>
      <c r="BB36" s="32">
        <f t="shared" si="12"/>
        <v>99947884</v>
      </c>
      <c r="BC36" s="32">
        <f t="shared" si="12"/>
        <v>61955812</v>
      </c>
      <c r="BD36" s="32">
        <f t="shared" si="12"/>
        <v>161999936</v>
      </c>
      <c r="BE36" s="32">
        <f t="shared" si="12"/>
        <v>99947980</v>
      </c>
      <c r="BF36" s="32">
        <f t="shared" si="12"/>
        <v>119879952</v>
      </c>
      <c r="BG36" s="32">
        <f t="shared" si="12"/>
        <v>121979812</v>
      </c>
      <c r="BH36" s="32">
        <f t="shared" si="12"/>
        <v>119963948</v>
      </c>
      <c r="BI36" s="32">
        <f t="shared" si="12"/>
        <v>61995828</v>
      </c>
      <c r="BJ36" s="32">
        <f t="shared" si="12"/>
        <v>121999992</v>
      </c>
      <c r="BK36" s="32">
        <f t="shared" si="12"/>
        <v>79915964</v>
      </c>
      <c r="BL36" s="32">
        <f t="shared" si="12"/>
        <v>79935968</v>
      </c>
      <c r="BM36" s="32">
        <f t="shared" si="12"/>
        <v>101983888</v>
      </c>
      <c r="BN36" s="32">
        <f t="shared" si="12"/>
        <v>119947884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Gilmer, Justin T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9" stopIfTrue="1" operator="equal">
      <formula>0</formula>
    </cfRule>
  </conditionalFormatting>
  <conditionalFormatting sqref="D26:J28 K28:BE28">
    <cfRule type="cellIs" dxfId="162" priority="10" stopIfTrue="1" operator="equal">
      <formula>1</formula>
    </cfRule>
  </conditionalFormatting>
  <conditionalFormatting sqref="H3:I3 F23 H5:I5 H7:I7 H9:I9 H11:I11 H13:I13 H15:I15 H17:I17 H19:I19 H21:I21">
    <cfRule type="cellIs" dxfId="161" priority="11" stopIfTrue="1" operator="equal">
      <formula>0</formula>
    </cfRule>
  </conditionalFormatting>
  <conditionalFormatting sqref="H4:I4 F24 H6:I6 H8:I8 H10:I10 H12:I12 H14:I14 H16:I16 H18:I18 H20:I20 H22:I22">
    <cfRule type="cellIs" dxfId="160" priority="12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5" stopIfTrue="1">
      <formula>AND(COUNTA(J4)=1,$E4=1,SUM($E3:$E4)=1)</formula>
    </cfRule>
    <cfRule type="expression" dxfId="15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17" stopIfTrue="1">
      <formula>AND(COUNTA(J3)=1,$E3=1,SUM($E3:$E4)=1)</formula>
    </cfRule>
    <cfRule type="expression" dxfId="154" priority="18" stopIfTrue="1">
      <formula>AND(COUNTA(J3)=1,$E3=0,SUM($E3:$E4)=1)</formula>
    </cfRule>
  </conditionalFormatting>
  <conditionalFormatting sqref="BF23:BN23">
    <cfRule type="cellIs" dxfId="153" priority="7" stopIfTrue="1" operator="equal">
      <formula>0</formula>
    </cfRule>
  </conditionalFormatting>
  <conditionalFormatting sqref="BF24:BN24">
    <cfRule type="cellIs" dxfId="152" priority="6" stopIfTrue="1" operator="equal">
      <formula>0</formula>
    </cfRule>
  </conditionalFormatting>
  <conditionalFormatting sqref="BF28:BN28">
    <cfRule type="cellIs" dxfId="15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5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95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N58"/>
  <sheetViews>
    <sheetView zoomScale="90" zoomScaleNormal="100" zoomScaleSheetLayoutView="100" workbookViewId="0">
      <selection activeCell="D7" sqref="D7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179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23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 t="s">
        <v>314</v>
      </c>
      <c r="L3" s="69"/>
      <c r="M3" s="69"/>
      <c r="N3" s="69"/>
      <c r="O3" s="69" t="s">
        <v>314</v>
      </c>
      <c r="P3" s="69"/>
      <c r="Q3" s="69"/>
      <c r="R3" s="69"/>
      <c r="S3" s="69" t="s">
        <v>314</v>
      </c>
      <c r="T3" s="69"/>
      <c r="U3" s="69"/>
      <c r="V3" s="69" t="s">
        <v>314</v>
      </c>
      <c r="W3" s="69"/>
      <c r="X3" s="69" t="s">
        <v>314</v>
      </c>
      <c r="Y3" s="69" t="s">
        <v>314</v>
      </c>
      <c r="Z3" s="69"/>
      <c r="AA3" s="69"/>
      <c r="AB3" s="69"/>
      <c r="AC3" s="69"/>
      <c r="AD3" s="69"/>
      <c r="AE3" s="69"/>
      <c r="AF3" s="69"/>
      <c r="AG3" s="69"/>
      <c r="AH3" s="69"/>
      <c r="AI3" s="69" t="s">
        <v>314</v>
      </c>
      <c r="AJ3" s="69"/>
      <c r="AK3" s="69" t="s">
        <v>314</v>
      </c>
      <c r="AL3" s="69" t="s">
        <v>314</v>
      </c>
      <c r="AM3" s="69"/>
      <c r="AN3" s="69" t="s">
        <v>314</v>
      </c>
      <c r="AO3" s="69" t="s">
        <v>314</v>
      </c>
      <c r="AP3" s="69" t="s">
        <v>314</v>
      </c>
      <c r="AQ3" s="69"/>
      <c r="AR3" s="96" t="s">
        <v>314</v>
      </c>
      <c r="AS3" s="69"/>
      <c r="AT3" s="69"/>
      <c r="AU3" s="69" t="s">
        <v>314</v>
      </c>
      <c r="AV3" s="69" t="s">
        <v>314</v>
      </c>
      <c r="AW3" s="69" t="s">
        <v>314</v>
      </c>
      <c r="AX3" s="69"/>
      <c r="AY3" s="69"/>
      <c r="AZ3" s="69"/>
      <c r="BA3" s="69"/>
      <c r="BB3" s="69"/>
      <c r="BC3" s="69" t="s">
        <v>314</v>
      </c>
      <c r="BD3" s="69" t="s">
        <v>314</v>
      </c>
      <c r="BE3" s="96" t="s">
        <v>314</v>
      </c>
      <c r="BF3" s="69"/>
      <c r="BG3" s="69"/>
      <c r="BH3" s="69" t="s">
        <v>314</v>
      </c>
      <c r="BI3" s="69" t="s">
        <v>314</v>
      </c>
      <c r="BJ3" s="69"/>
      <c r="BK3" s="69" t="s">
        <v>314</v>
      </c>
      <c r="BL3" s="69"/>
      <c r="BM3" s="69" t="s">
        <v>314</v>
      </c>
      <c r="BN3" s="69"/>
    </row>
    <row r="4" spans="1:66" x14ac:dyDescent="0.2">
      <c r="A4" s="61" t="s">
        <v>3</v>
      </c>
      <c r="B4" s="68" t="s">
        <v>203</v>
      </c>
      <c r="C4" s="66">
        <v>0.5</v>
      </c>
      <c r="D4" s="64">
        <v>38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314</v>
      </c>
      <c r="M4" s="70"/>
      <c r="N4" s="70" t="s">
        <v>314</v>
      </c>
      <c r="O4" s="70"/>
      <c r="P4" s="70" t="s">
        <v>314</v>
      </c>
      <c r="Q4" s="70" t="s">
        <v>314</v>
      </c>
      <c r="R4" s="70" t="s">
        <v>314</v>
      </c>
      <c r="S4" s="70"/>
      <c r="T4" s="70"/>
      <c r="U4" s="97" t="s">
        <v>314</v>
      </c>
      <c r="V4" s="70"/>
      <c r="W4" s="70" t="s">
        <v>314</v>
      </c>
      <c r="X4" s="70"/>
      <c r="Y4" s="70"/>
      <c r="Z4" s="70" t="s">
        <v>314</v>
      </c>
      <c r="AA4" s="70" t="s">
        <v>314</v>
      </c>
      <c r="AB4" s="70" t="s">
        <v>314</v>
      </c>
      <c r="AC4" s="70" t="s">
        <v>314</v>
      </c>
      <c r="AD4" s="70" t="s">
        <v>314</v>
      </c>
      <c r="AE4" s="70"/>
      <c r="AF4" s="70" t="s">
        <v>314</v>
      </c>
      <c r="AG4" s="70" t="s">
        <v>314</v>
      </c>
      <c r="AH4" s="70" t="s">
        <v>314</v>
      </c>
      <c r="AI4" s="70"/>
      <c r="AJ4" s="70" t="s">
        <v>314</v>
      </c>
      <c r="AK4" s="70"/>
      <c r="AL4" s="70"/>
      <c r="AM4" s="70" t="s">
        <v>314</v>
      </c>
      <c r="AN4" s="70"/>
      <c r="AO4" s="70"/>
      <c r="AP4" s="70"/>
      <c r="AQ4" s="70" t="s">
        <v>314</v>
      </c>
      <c r="AR4" s="70"/>
      <c r="AS4" s="70" t="s">
        <v>314</v>
      </c>
      <c r="AT4" s="70"/>
      <c r="AU4" s="70"/>
      <c r="AV4" s="70"/>
      <c r="AW4" s="70"/>
      <c r="AX4" s="70" t="s">
        <v>314</v>
      </c>
      <c r="AY4" s="70" t="s">
        <v>314</v>
      </c>
      <c r="AZ4" s="70"/>
      <c r="BA4" s="70" t="s">
        <v>314</v>
      </c>
      <c r="BB4" s="70" t="s">
        <v>314</v>
      </c>
      <c r="BC4" s="70"/>
      <c r="BD4" s="70"/>
      <c r="BE4" s="70"/>
      <c r="BF4" s="70" t="s">
        <v>314</v>
      </c>
      <c r="BG4" s="70" t="s">
        <v>314</v>
      </c>
      <c r="BH4" s="70"/>
      <c r="BI4" s="70"/>
      <c r="BJ4" s="70" t="s">
        <v>314</v>
      </c>
      <c r="BK4" s="70"/>
      <c r="BL4" s="70" t="s">
        <v>314</v>
      </c>
      <c r="BM4" s="70"/>
      <c r="BN4" s="70" t="s">
        <v>314</v>
      </c>
    </row>
    <row r="5" spans="1:66" x14ac:dyDescent="0.2">
      <c r="A5" s="59">
        <v>2</v>
      </c>
      <c r="B5" s="67" t="s">
        <v>137</v>
      </c>
      <c r="C5" s="65">
        <v>2.5</v>
      </c>
      <c r="D5" s="64">
        <v>0</v>
      </c>
      <c r="E5" s="64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 t="s">
        <v>245</v>
      </c>
      <c r="C6" s="66"/>
      <c r="D6" s="64">
        <v>0</v>
      </c>
      <c r="E6" s="64">
        <f>IF(ISBLANK($D6),"0",IF(($D6-$D5)&gt;($C6-$C5),1,0))</f>
        <v>1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 t="s">
        <v>167</v>
      </c>
      <c r="C7" s="65"/>
      <c r="D7" s="64">
        <v>34</v>
      </c>
      <c r="E7" s="64">
        <f>IF(ISBLANK($D7),"0",IF(($D8-$D7)&lt;($C8-$C7),1,0))</f>
        <v>1</v>
      </c>
      <c r="F7" s="64">
        <f t="shared" ca="1" si="1"/>
        <v>14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314</v>
      </c>
      <c r="L7" s="69" t="s">
        <v>314</v>
      </c>
      <c r="M7" s="69"/>
      <c r="N7" s="69"/>
      <c r="O7" s="69"/>
      <c r="P7" s="69"/>
      <c r="Q7" s="69"/>
      <c r="R7" s="96"/>
      <c r="S7" s="96"/>
      <c r="T7" s="96"/>
      <c r="U7" s="96"/>
      <c r="V7" s="69"/>
      <c r="W7" s="69" t="s">
        <v>314</v>
      </c>
      <c r="X7" s="69" t="s">
        <v>314</v>
      </c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 t="s">
        <v>314</v>
      </c>
      <c r="AO7" s="69" t="s">
        <v>314</v>
      </c>
      <c r="AP7" s="69"/>
      <c r="AQ7" s="69"/>
      <c r="AR7" s="96"/>
      <c r="AS7" s="69"/>
      <c r="AT7" s="69"/>
      <c r="AU7" s="69"/>
      <c r="AV7" s="69" t="s">
        <v>314</v>
      </c>
      <c r="AW7" s="69"/>
      <c r="AX7" s="69"/>
      <c r="AY7" s="69"/>
      <c r="AZ7" s="69"/>
      <c r="BA7" s="69" t="s">
        <v>314</v>
      </c>
      <c r="BB7" s="69"/>
      <c r="BC7" s="69" t="s">
        <v>314</v>
      </c>
      <c r="BD7" s="69"/>
      <c r="BE7" s="96"/>
      <c r="BF7" s="69"/>
      <c r="BG7" s="69" t="s">
        <v>314</v>
      </c>
      <c r="BH7" s="69" t="s">
        <v>314</v>
      </c>
      <c r="BI7" s="69"/>
      <c r="BJ7" s="69"/>
      <c r="BK7" s="69" t="s">
        <v>314</v>
      </c>
      <c r="BL7" s="69"/>
      <c r="BM7" s="69"/>
      <c r="BN7" s="69" t="s">
        <v>314</v>
      </c>
    </row>
    <row r="8" spans="1:66" x14ac:dyDescent="0.2">
      <c r="A8" s="61" t="s">
        <v>3</v>
      </c>
      <c r="B8" s="68" t="s">
        <v>164</v>
      </c>
      <c r="C8" s="66">
        <v>2.5</v>
      </c>
      <c r="D8" s="64">
        <v>3</v>
      </c>
      <c r="E8" s="64">
        <f>IF(ISBLANK($D8),"0",IF(($D8-$D7)&gt;($C8-$C7),1,0))</f>
        <v>0</v>
      </c>
      <c r="F8" s="64">
        <f t="shared" ca="1" si="1"/>
        <v>37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/>
      <c r="M8" s="70"/>
      <c r="N8" s="70" t="s">
        <v>314</v>
      </c>
      <c r="O8" s="70" t="s">
        <v>314</v>
      </c>
      <c r="P8" s="70" t="s">
        <v>314</v>
      </c>
      <c r="Q8" s="70" t="s">
        <v>314</v>
      </c>
      <c r="R8" s="97" t="s">
        <v>314</v>
      </c>
      <c r="S8" s="97" t="s">
        <v>314</v>
      </c>
      <c r="T8" s="97"/>
      <c r="U8" s="97" t="s">
        <v>314</v>
      </c>
      <c r="V8" s="70" t="s">
        <v>314</v>
      </c>
      <c r="W8" s="70"/>
      <c r="X8" s="70"/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/>
      <c r="AF8" s="70" t="s">
        <v>314</v>
      </c>
      <c r="AG8" s="70" t="s">
        <v>314</v>
      </c>
      <c r="AH8" s="70" t="s">
        <v>314</v>
      </c>
      <c r="AI8" s="70" t="s">
        <v>314</v>
      </c>
      <c r="AJ8" s="70" t="s">
        <v>314</v>
      </c>
      <c r="AK8" s="70" t="s">
        <v>314</v>
      </c>
      <c r="AL8" s="70" t="s">
        <v>314</v>
      </c>
      <c r="AM8" s="70" t="s">
        <v>314</v>
      </c>
      <c r="AN8" s="70"/>
      <c r="AO8" s="70"/>
      <c r="AP8" s="70" t="s">
        <v>314</v>
      </c>
      <c r="AQ8" s="70" t="s">
        <v>314</v>
      </c>
      <c r="AR8" s="70" t="s">
        <v>314</v>
      </c>
      <c r="AS8" s="70" t="s">
        <v>314</v>
      </c>
      <c r="AT8" s="70"/>
      <c r="AU8" s="70" t="s">
        <v>314</v>
      </c>
      <c r="AV8" s="70"/>
      <c r="AW8" s="70" t="s">
        <v>314</v>
      </c>
      <c r="AX8" s="70" t="s">
        <v>314</v>
      </c>
      <c r="AY8" s="70" t="s">
        <v>314</v>
      </c>
      <c r="AZ8" s="70"/>
      <c r="BA8" s="70"/>
      <c r="BB8" s="70" t="s">
        <v>314</v>
      </c>
      <c r="BC8" s="70"/>
      <c r="BD8" s="70" t="s">
        <v>314</v>
      </c>
      <c r="BE8" s="70" t="s">
        <v>314</v>
      </c>
      <c r="BF8" s="70" t="s">
        <v>314</v>
      </c>
      <c r="BG8" s="70"/>
      <c r="BH8" s="70"/>
      <c r="BI8" s="70" t="s">
        <v>314</v>
      </c>
      <c r="BJ8" s="70" t="s">
        <v>314</v>
      </c>
      <c r="BK8" s="70"/>
      <c r="BL8" s="70" t="s">
        <v>314</v>
      </c>
      <c r="BM8" s="70" t="s">
        <v>314</v>
      </c>
      <c r="BN8" s="70"/>
    </row>
    <row r="9" spans="1:66" x14ac:dyDescent="0.2">
      <c r="A9" s="59">
        <v>4</v>
      </c>
      <c r="B9" s="108" t="s">
        <v>187</v>
      </c>
      <c r="C9" s="65"/>
      <c r="D9" s="81">
        <v>40</v>
      </c>
      <c r="E9" s="64">
        <f>IF(ISBLANK($D9),"0",IF(($D10-$D9)&lt;($C10-$C9),1,0))</f>
        <v>1</v>
      </c>
      <c r="F9" s="64">
        <f t="shared" ca="1" si="1"/>
        <v>30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/>
      <c r="N9" s="69" t="s">
        <v>314</v>
      </c>
      <c r="O9" s="69"/>
      <c r="P9" s="69" t="s">
        <v>314</v>
      </c>
      <c r="Q9" s="69"/>
      <c r="R9" s="96"/>
      <c r="S9" s="96"/>
      <c r="T9" s="96"/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 t="s">
        <v>314</v>
      </c>
      <c r="AA9" s="69" t="s">
        <v>314</v>
      </c>
      <c r="AB9" s="69"/>
      <c r="AC9" s="69" t="s">
        <v>314</v>
      </c>
      <c r="AD9" s="69"/>
      <c r="AE9" s="69"/>
      <c r="AF9" s="69"/>
      <c r="AG9" s="69" t="s">
        <v>314</v>
      </c>
      <c r="AH9" s="69" t="s">
        <v>314</v>
      </c>
      <c r="AI9" s="69"/>
      <c r="AJ9" s="69"/>
      <c r="AK9" s="69" t="s">
        <v>314</v>
      </c>
      <c r="AL9" s="69" t="s">
        <v>314</v>
      </c>
      <c r="AM9" s="69" t="s">
        <v>314</v>
      </c>
      <c r="AN9" s="69" t="s">
        <v>314</v>
      </c>
      <c r="AO9" s="69" t="s">
        <v>314</v>
      </c>
      <c r="AP9" s="69" t="s">
        <v>314</v>
      </c>
      <c r="AQ9" s="69"/>
      <c r="AR9" s="96"/>
      <c r="AS9" s="69" t="s">
        <v>314</v>
      </c>
      <c r="AT9" s="69"/>
      <c r="AU9" s="69" t="s">
        <v>314</v>
      </c>
      <c r="AV9" s="69"/>
      <c r="AW9" s="69" t="s">
        <v>314</v>
      </c>
      <c r="AX9" s="69"/>
      <c r="AY9" s="69" t="s">
        <v>314</v>
      </c>
      <c r="AZ9" s="69"/>
      <c r="BA9" s="69" t="s">
        <v>314</v>
      </c>
      <c r="BB9" s="69" t="s">
        <v>314</v>
      </c>
      <c r="BC9" s="69"/>
      <c r="BD9" s="69"/>
      <c r="BE9" s="96"/>
      <c r="BF9" s="69" t="s">
        <v>314</v>
      </c>
      <c r="BG9" s="69" t="s">
        <v>314</v>
      </c>
      <c r="BH9" s="69"/>
      <c r="BI9" s="69"/>
      <c r="BJ9" s="69" t="s">
        <v>314</v>
      </c>
      <c r="BK9" s="69" t="s">
        <v>314</v>
      </c>
      <c r="BL9" s="69"/>
      <c r="BM9" s="69"/>
      <c r="BN9" s="69" t="s">
        <v>314</v>
      </c>
    </row>
    <row r="10" spans="1:66" x14ac:dyDescent="0.2">
      <c r="A10" s="61" t="s">
        <v>3</v>
      </c>
      <c r="B10" s="68" t="s">
        <v>158</v>
      </c>
      <c r="C10" s="66">
        <v>10.5</v>
      </c>
      <c r="D10" s="64">
        <v>45</v>
      </c>
      <c r="E10" s="64">
        <f>IF(ISBLANK($D10),"0",IF(($D10-$D9)&gt;($C10-$C9),1,0))</f>
        <v>0</v>
      </c>
      <c r="F10" s="64">
        <f t="shared" ca="1" si="1"/>
        <v>21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/>
      <c r="O10" s="70" t="s">
        <v>314</v>
      </c>
      <c r="P10" s="70"/>
      <c r="Q10" s="70" t="s">
        <v>314</v>
      </c>
      <c r="R10" s="97" t="s">
        <v>314</v>
      </c>
      <c r="S10" s="97" t="s">
        <v>314</v>
      </c>
      <c r="T10" s="97"/>
      <c r="U10" s="70"/>
      <c r="V10" s="70"/>
      <c r="W10" s="70"/>
      <c r="X10" s="70"/>
      <c r="Y10" s="70"/>
      <c r="Z10" s="70"/>
      <c r="AA10" s="70"/>
      <c r="AB10" s="70" t="s">
        <v>314</v>
      </c>
      <c r="AC10" s="70"/>
      <c r="AD10" s="70" t="s">
        <v>314</v>
      </c>
      <c r="AE10" s="70"/>
      <c r="AF10" s="70" t="s">
        <v>314</v>
      </c>
      <c r="AG10" s="70"/>
      <c r="AH10" s="70"/>
      <c r="AI10" s="70" t="s">
        <v>314</v>
      </c>
      <c r="AJ10" s="70" t="s">
        <v>314</v>
      </c>
      <c r="AK10" s="70"/>
      <c r="AL10" s="70"/>
      <c r="AM10" s="70"/>
      <c r="AN10" s="70"/>
      <c r="AO10" s="70"/>
      <c r="AP10" s="70"/>
      <c r="AQ10" s="70" t="s">
        <v>314</v>
      </c>
      <c r="AR10" s="70" t="s">
        <v>314</v>
      </c>
      <c r="AS10" s="70"/>
      <c r="AT10" s="70"/>
      <c r="AU10" s="70"/>
      <c r="AV10" s="70" t="s">
        <v>314</v>
      </c>
      <c r="AW10" s="70"/>
      <c r="AX10" s="70" t="s">
        <v>314</v>
      </c>
      <c r="AY10" s="70"/>
      <c r="AZ10" s="70"/>
      <c r="BA10" s="70"/>
      <c r="BB10" s="70"/>
      <c r="BC10" s="70" t="s">
        <v>314</v>
      </c>
      <c r="BD10" s="70" t="s">
        <v>314</v>
      </c>
      <c r="BE10" s="70" t="s">
        <v>314</v>
      </c>
      <c r="BF10" s="70"/>
      <c r="BG10" s="70"/>
      <c r="BH10" s="70" t="s">
        <v>314</v>
      </c>
      <c r="BI10" s="70" t="s">
        <v>314</v>
      </c>
      <c r="BJ10" s="70"/>
      <c r="BK10" s="70"/>
      <c r="BL10" s="70" t="s">
        <v>314</v>
      </c>
      <c r="BM10" s="70" t="s">
        <v>314</v>
      </c>
      <c r="BN10" s="70"/>
    </row>
    <row r="11" spans="1:66" x14ac:dyDescent="0.2">
      <c r="A11" s="59">
        <v>5</v>
      </c>
      <c r="B11" s="67" t="s">
        <v>142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314</v>
      </c>
      <c r="O11" s="69"/>
      <c r="P11" s="69"/>
      <c r="Q11" s="69" t="s">
        <v>314</v>
      </c>
      <c r="R11" s="96" t="s">
        <v>314</v>
      </c>
      <c r="S11" s="96"/>
      <c r="T11" s="96"/>
      <c r="U11" s="69"/>
      <c r="V11" s="69"/>
      <c r="W11" s="69" t="s">
        <v>314</v>
      </c>
      <c r="X11" s="69" t="s">
        <v>314</v>
      </c>
      <c r="Y11" s="69"/>
      <c r="Z11" s="69" t="s">
        <v>314</v>
      </c>
      <c r="AA11" s="69"/>
      <c r="AB11" s="69" t="s">
        <v>314</v>
      </c>
      <c r="AC11" s="69" t="s">
        <v>314</v>
      </c>
      <c r="AD11" s="69" t="s">
        <v>314</v>
      </c>
      <c r="AE11" s="69"/>
      <c r="AF11" s="69"/>
      <c r="AG11" s="69" t="s">
        <v>314</v>
      </c>
      <c r="AH11" s="69"/>
      <c r="AI11" s="69"/>
      <c r="AJ11" s="69"/>
      <c r="AK11" s="69"/>
      <c r="AL11" s="69"/>
      <c r="AM11" s="69"/>
      <c r="AN11" s="69"/>
      <c r="AO11" s="69" t="s">
        <v>314</v>
      </c>
      <c r="AP11" s="69"/>
      <c r="AQ11" s="69"/>
      <c r="AR11" s="69" t="s">
        <v>314</v>
      </c>
      <c r="AS11" s="69"/>
      <c r="AT11" s="69"/>
      <c r="AU11" s="69"/>
      <c r="AV11" s="69" t="s">
        <v>314</v>
      </c>
      <c r="AW11" s="69"/>
      <c r="AX11" s="69" t="s">
        <v>314</v>
      </c>
      <c r="AY11" s="69" t="s">
        <v>314</v>
      </c>
      <c r="AZ11" s="69"/>
      <c r="BA11" s="69" t="s">
        <v>314</v>
      </c>
      <c r="BB11" s="69"/>
      <c r="BC11" s="69"/>
      <c r="BD11" s="69" t="s">
        <v>314</v>
      </c>
      <c r="BE11" s="96" t="s">
        <v>314</v>
      </c>
      <c r="BF11" s="69"/>
      <c r="BG11" s="69" t="s">
        <v>314</v>
      </c>
      <c r="BH11" s="69" t="s">
        <v>314</v>
      </c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241</v>
      </c>
      <c r="C12" s="66">
        <v>4.5</v>
      </c>
      <c r="D12" s="64">
        <v>21</v>
      </c>
      <c r="E12" s="64">
        <f>IF(ISBLANK($D12),"0",IF(($D12-$D11)&gt;($C12-$C11),1,0))</f>
        <v>0</v>
      </c>
      <c r="F12" s="64">
        <f t="shared" ca="1" si="1"/>
        <v>29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/>
      <c r="N12" s="70"/>
      <c r="O12" s="70" t="s">
        <v>314</v>
      </c>
      <c r="P12" s="70" t="s">
        <v>314</v>
      </c>
      <c r="Q12" s="70"/>
      <c r="R12" s="97"/>
      <c r="S12" s="97" t="s">
        <v>314</v>
      </c>
      <c r="T12" s="97"/>
      <c r="U12" s="97" t="s">
        <v>314</v>
      </c>
      <c r="V12" s="70" t="s">
        <v>314</v>
      </c>
      <c r="W12" s="70"/>
      <c r="X12" s="70"/>
      <c r="Y12" s="70" t="s">
        <v>314</v>
      </c>
      <c r="Z12" s="70"/>
      <c r="AA12" s="70" t="s">
        <v>314</v>
      </c>
      <c r="AB12" s="70"/>
      <c r="AC12" s="70"/>
      <c r="AD12" s="70"/>
      <c r="AE12" s="70"/>
      <c r="AF12" s="70" t="s">
        <v>314</v>
      </c>
      <c r="AG12" s="70"/>
      <c r="AH12" s="70" t="s">
        <v>314</v>
      </c>
      <c r="AI12" s="70" t="s">
        <v>314</v>
      </c>
      <c r="AJ12" s="70" t="s">
        <v>314</v>
      </c>
      <c r="AK12" s="70" t="s">
        <v>314</v>
      </c>
      <c r="AL12" s="70" t="s">
        <v>314</v>
      </c>
      <c r="AM12" s="70" t="s">
        <v>314</v>
      </c>
      <c r="AN12" s="70" t="s">
        <v>314</v>
      </c>
      <c r="AO12" s="70"/>
      <c r="AP12" s="70" t="s">
        <v>314</v>
      </c>
      <c r="AQ12" s="70" t="s">
        <v>314</v>
      </c>
      <c r="AR12" s="97"/>
      <c r="AS12" s="70" t="s">
        <v>314</v>
      </c>
      <c r="AT12" s="70"/>
      <c r="AU12" s="70" t="s">
        <v>314</v>
      </c>
      <c r="AV12" s="70"/>
      <c r="AW12" s="70" t="s">
        <v>314</v>
      </c>
      <c r="AX12" s="70"/>
      <c r="AY12" s="70"/>
      <c r="AZ12" s="70"/>
      <c r="BA12" s="70"/>
      <c r="BB12" s="70" t="s">
        <v>314</v>
      </c>
      <c r="BC12" s="70" t="s">
        <v>314</v>
      </c>
      <c r="BD12" s="70"/>
      <c r="BE12" s="70"/>
      <c r="BF12" s="70" t="s">
        <v>314</v>
      </c>
      <c r="BG12" s="70"/>
      <c r="BH12" s="70"/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159</v>
      </c>
      <c r="C13" s="65">
        <v>13.5</v>
      </c>
      <c r="D13" s="64">
        <v>49</v>
      </c>
      <c r="E13" s="64">
        <f>IF(ISBLANK($D13),"0",IF(($D14-$D13)&lt;($C14-$C13),1,0))</f>
        <v>1</v>
      </c>
      <c r="F13" s="64">
        <f t="shared" ca="1" si="1"/>
        <v>36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/>
      <c r="M13" s="69"/>
      <c r="N13" s="69" t="s">
        <v>314</v>
      </c>
      <c r="O13" s="69"/>
      <c r="P13" s="69" t="s">
        <v>314</v>
      </c>
      <c r="Q13" s="69"/>
      <c r="R13" s="96" t="s">
        <v>314</v>
      </c>
      <c r="S13" s="96" t="s">
        <v>314</v>
      </c>
      <c r="T13" s="96"/>
      <c r="U13" s="69" t="s">
        <v>314</v>
      </c>
      <c r="V13" s="69" t="s">
        <v>314</v>
      </c>
      <c r="W13" s="69" t="s">
        <v>314</v>
      </c>
      <c r="X13" s="69" t="s">
        <v>314</v>
      </c>
      <c r="Y13" s="69" t="s">
        <v>314</v>
      </c>
      <c r="Z13" s="69"/>
      <c r="AA13" s="69" t="s">
        <v>314</v>
      </c>
      <c r="AB13" s="69"/>
      <c r="AC13" s="69" t="s">
        <v>314</v>
      </c>
      <c r="AD13" s="69" t="s">
        <v>314</v>
      </c>
      <c r="AE13" s="69"/>
      <c r="AF13" s="69" t="s">
        <v>314</v>
      </c>
      <c r="AG13" s="69" t="s">
        <v>314</v>
      </c>
      <c r="AH13" s="69" t="s">
        <v>314</v>
      </c>
      <c r="AI13" s="69" t="s">
        <v>314</v>
      </c>
      <c r="AJ13" s="69" t="s">
        <v>314</v>
      </c>
      <c r="AK13" s="69" t="s">
        <v>314</v>
      </c>
      <c r="AL13" s="69" t="s">
        <v>314</v>
      </c>
      <c r="AM13" s="69" t="s">
        <v>314</v>
      </c>
      <c r="AN13" s="69"/>
      <c r="AO13" s="69"/>
      <c r="AP13" s="69" t="s">
        <v>314</v>
      </c>
      <c r="AQ13" s="69" t="s">
        <v>314</v>
      </c>
      <c r="AR13" s="96"/>
      <c r="AS13" s="69"/>
      <c r="AT13" s="69"/>
      <c r="AU13" s="69" t="s">
        <v>314</v>
      </c>
      <c r="AV13" s="69" t="s">
        <v>314</v>
      </c>
      <c r="AW13" s="69" t="s">
        <v>314</v>
      </c>
      <c r="AX13" s="69" t="s">
        <v>314</v>
      </c>
      <c r="AY13" s="69"/>
      <c r="AZ13" s="69"/>
      <c r="BA13" s="69" t="s">
        <v>314</v>
      </c>
      <c r="BB13" s="69" t="s">
        <v>314</v>
      </c>
      <c r="BC13" s="69" t="s">
        <v>314</v>
      </c>
      <c r="BD13" s="69" t="s">
        <v>314</v>
      </c>
      <c r="BE13" s="96"/>
      <c r="BF13" s="69" t="s">
        <v>314</v>
      </c>
      <c r="BG13" s="69" t="s">
        <v>314</v>
      </c>
      <c r="BH13" s="69" t="s">
        <v>314</v>
      </c>
      <c r="BI13" s="69" t="s">
        <v>314</v>
      </c>
      <c r="BJ13" s="69"/>
      <c r="BK13" s="69"/>
      <c r="BL13" s="69" t="s">
        <v>314</v>
      </c>
      <c r="BM13" s="69"/>
      <c r="BN13" s="69"/>
    </row>
    <row r="14" spans="1:66" x14ac:dyDescent="0.2">
      <c r="A14" s="61" t="s">
        <v>3</v>
      </c>
      <c r="B14" s="68" t="s">
        <v>247</v>
      </c>
      <c r="C14" s="66"/>
      <c r="D14" s="64">
        <v>30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314</v>
      </c>
      <c r="M14" s="70"/>
      <c r="N14" s="70"/>
      <c r="O14" s="70" t="s">
        <v>314</v>
      </c>
      <c r="P14" s="70"/>
      <c r="Q14" s="70" t="s">
        <v>314</v>
      </c>
      <c r="R14" s="97"/>
      <c r="S14" s="97"/>
      <c r="T14" s="97"/>
      <c r="U14" s="97"/>
      <c r="V14" s="70"/>
      <c r="W14" s="70"/>
      <c r="X14" s="70"/>
      <c r="Y14" s="70"/>
      <c r="Z14" s="70" t="s">
        <v>314</v>
      </c>
      <c r="AA14" s="70"/>
      <c r="AB14" s="70" t="s">
        <v>314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 t="s">
        <v>314</v>
      </c>
      <c r="AO14" s="70" t="s">
        <v>314</v>
      </c>
      <c r="AP14" s="70"/>
      <c r="AQ14" s="70"/>
      <c r="AR14" s="70" t="s">
        <v>314</v>
      </c>
      <c r="AS14" s="70" t="s">
        <v>314</v>
      </c>
      <c r="AT14" s="70"/>
      <c r="AU14" s="70"/>
      <c r="AV14" s="70"/>
      <c r="AW14" s="70"/>
      <c r="AX14" s="70"/>
      <c r="AY14" s="70" t="s">
        <v>314</v>
      </c>
      <c r="AZ14" s="70"/>
      <c r="BA14" s="70"/>
      <c r="BB14" s="70"/>
      <c r="BC14" s="70"/>
      <c r="BD14" s="70"/>
      <c r="BE14" s="70" t="s">
        <v>314</v>
      </c>
      <c r="BF14" s="70"/>
      <c r="BG14" s="70"/>
      <c r="BH14" s="70"/>
      <c r="BI14" s="70"/>
      <c r="BJ14" s="70" t="s">
        <v>314</v>
      </c>
      <c r="BK14" s="70" t="s">
        <v>314</v>
      </c>
      <c r="BL14" s="70"/>
      <c r="BM14" s="70" t="s">
        <v>314</v>
      </c>
      <c r="BN14" s="70" t="s">
        <v>314</v>
      </c>
    </row>
    <row r="15" spans="1:66" x14ac:dyDescent="0.2">
      <c r="A15" s="59">
        <v>7</v>
      </c>
      <c r="B15" s="67" t="s">
        <v>148</v>
      </c>
      <c r="C15" s="65">
        <v>7.5</v>
      </c>
      <c r="D15" s="64">
        <v>28</v>
      </c>
      <c r="E15" s="64">
        <f>IF(ISBLANK($D15),"0",IF(($D16-$D15)&lt;($C16-$C15),1,0))</f>
        <v>1</v>
      </c>
      <c r="F15" s="64">
        <f t="shared" ca="1" si="1"/>
        <v>27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314</v>
      </c>
      <c r="L15" s="69"/>
      <c r="M15" s="69"/>
      <c r="N15" s="69"/>
      <c r="O15" s="69"/>
      <c r="P15" s="69" t="s">
        <v>314</v>
      </c>
      <c r="Q15" s="69" t="s">
        <v>314</v>
      </c>
      <c r="R15" s="96"/>
      <c r="S15" s="96" t="s">
        <v>314</v>
      </c>
      <c r="T15" s="96"/>
      <c r="U15" s="96" t="s">
        <v>314</v>
      </c>
      <c r="V15" s="69"/>
      <c r="W15" s="69"/>
      <c r="X15" s="69" t="s">
        <v>314</v>
      </c>
      <c r="Y15" s="69" t="s">
        <v>314</v>
      </c>
      <c r="Z15" s="69" t="s">
        <v>314</v>
      </c>
      <c r="AA15" s="69" t="s">
        <v>314</v>
      </c>
      <c r="AB15" s="69"/>
      <c r="AC15" s="69"/>
      <c r="AD15" s="69" t="s">
        <v>314</v>
      </c>
      <c r="AE15" s="69"/>
      <c r="AF15" s="69" t="s">
        <v>314</v>
      </c>
      <c r="AG15" s="69" t="s">
        <v>314</v>
      </c>
      <c r="AH15" s="69" t="s">
        <v>314</v>
      </c>
      <c r="AI15" s="69"/>
      <c r="AJ15" s="69" t="s">
        <v>314</v>
      </c>
      <c r="AK15" s="69"/>
      <c r="AL15" s="69"/>
      <c r="AM15" s="69" t="s">
        <v>314</v>
      </c>
      <c r="AN15" s="69"/>
      <c r="AO15" s="69"/>
      <c r="AP15" s="69" t="s">
        <v>314</v>
      </c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 t="s">
        <v>314</v>
      </c>
      <c r="AZ15" s="69"/>
      <c r="BA15" s="69" t="s">
        <v>314</v>
      </c>
      <c r="BB15" s="69"/>
      <c r="BC15" s="69"/>
      <c r="BD15" s="69"/>
      <c r="BE15" s="96" t="s">
        <v>314</v>
      </c>
      <c r="BF15" s="69" t="s">
        <v>314</v>
      </c>
      <c r="BG15" s="69" t="s">
        <v>314</v>
      </c>
      <c r="BH15" s="69"/>
      <c r="BI15" s="69"/>
      <c r="BJ15" s="69" t="s">
        <v>314</v>
      </c>
      <c r="BK15" s="69"/>
      <c r="BL15" s="69"/>
      <c r="BM15" s="69"/>
      <c r="BN15" s="69" t="s">
        <v>314</v>
      </c>
    </row>
    <row r="16" spans="1:66" x14ac:dyDescent="0.2">
      <c r="A16" s="61" t="s">
        <v>3</v>
      </c>
      <c r="B16" s="68" t="s">
        <v>150</v>
      </c>
      <c r="C16" s="66"/>
      <c r="D16" s="64">
        <v>14</v>
      </c>
      <c r="E16" s="64">
        <f>IF(ISBLANK($D16),"0",IF(($D16-$D15)&gt;($C16-$C15),1,0))</f>
        <v>0</v>
      </c>
      <c r="F16" s="64">
        <f t="shared" ca="1" si="1"/>
        <v>24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314</v>
      </c>
      <c r="M16" s="70"/>
      <c r="N16" s="70" t="s">
        <v>314</v>
      </c>
      <c r="O16" s="70" t="s">
        <v>314</v>
      </c>
      <c r="P16" s="70"/>
      <c r="Q16" s="70"/>
      <c r="R16" s="70" t="s">
        <v>314</v>
      </c>
      <c r="S16" s="70"/>
      <c r="T16" s="70"/>
      <c r="U16" s="70"/>
      <c r="V16" s="70" t="s">
        <v>314</v>
      </c>
      <c r="W16" s="70" t="s">
        <v>314</v>
      </c>
      <c r="X16" s="70"/>
      <c r="Y16" s="70"/>
      <c r="Z16" s="70"/>
      <c r="AA16" s="70"/>
      <c r="AB16" s="70" t="s">
        <v>314</v>
      </c>
      <c r="AC16" s="70" t="s">
        <v>314</v>
      </c>
      <c r="AD16" s="70"/>
      <c r="AE16" s="70"/>
      <c r="AF16" s="70"/>
      <c r="AG16" s="70"/>
      <c r="AH16" s="70"/>
      <c r="AI16" s="70" t="s">
        <v>314</v>
      </c>
      <c r="AJ16" s="70"/>
      <c r="AK16" s="70" t="s">
        <v>314</v>
      </c>
      <c r="AL16" s="70" t="s">
        <v>314</v>
      </c>
      <c r="AM16" s="70"/>
      <c r="AN16" s="70" t="s">
        <v>314</v>
      </c>
      <c r="AO16" s="70" t="s">
        <v>314</v>
      </c>
      <c r="AP16" s="70"/>
      <c r="AQ16" s="70"/>
      <c r="AR16" s="97"/>
      <c r="AS16" s="70"/>
      <c r="AT16" s="70"/>
      <c r="AU16" s="70" t="s">
        <v>314</v>
      </c>
      <c r="AV16" s="70" t="s">
        <v>314</v>
      </c>
      <c r="AW16" s="70"/>
      <c r="AX16" s="70" t="s">
        <v>314</v>
      </c>
      <c r="AY16" s="70"/>
      <c r="AZ16" s="70"/>
      <c r="BA16" s="70"/>
      <c r="BB16" s="70" t="s">
        <v>314</v>
      </c>
      <c r="BC16" s="70" t="s">
        <v>314</v>
      </c>
      <c r="BD16" s="70" t="s">
        <v>314</v>
      </c>
      <c r="BE16" s="70"/>
      <c r="BF16" s="70"/>
      <c r="BG16" s="70"/>
      <c r="BH16" s="70" t="s">
        <v>314</v>
      </c>
      <c r="BI16" s="70" t="s">
        <v>314</v>
      </c>
      <c r="BJ16" s="70"/>
      <c r="BK16" s="70" t="s">
        <v>314</v>
      </c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145</v>
      </c>
      <c r="C17" s="65">
        <v>8.5</v>
      </c>
      <c r="D17" s="64">
        <v>70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/>
      <c r="O17" s="69" t="s">
        <v>314</v>
      </c>
      <c r="P17" s="69"/>
      <c r="Q17" s="69" t="s">
        <v>314</v>
      </c>
      <c r="R17" s="69" t="s">
        <v>314</v>
      </c>
      <c r="S17" s="69"/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 t="s">
        <v>314</v>
      </c>
      <c r="Z17" s="69"/>
      <c r="AA17" s="69"/>
      <c r="AB17" s="69" t="s">
        <v>314</v>
      </c>
      <c r="AC17" s="69"/>
      <c r="AD17" s="69"/>
      <c r="AE17" s="69"/>
      <c r="AF17" s="69"/>
      <c r="AG17" s="69"/>
      <c r="AH17" s="69" t="s">
        <v>314</v>
      </c>
      <c r="AI17" s="69"/>
      <c r="AJ17" s="69" t="s">
        <v>314</v>
      </c>
      <c r="AK17" s="69"/>
      <c r="AL17" s="69" t="s">
        <v>314</v>
      </c>
      <c r="AM17" s="69" t="s">
        <v>314</v>
      </c>
      <c r="AN17" s="69" t="s">
        <v>314</v>
      </c>
      <c r="AO17" s="69"/>
      <c r="AP17" s="69"/>
      <c r="AQ17" s="69" t="s">
        <v>314</v>
      </c>
      <c r="AR17" s="96" t="s">
        <v>314</v>
      </c>
      <c r="AS17" s="69" t="s">
        <v>314</v>
      </c>
      <c r="AT17" s="69"/>
      <c r="AU17" s="69" t="s">
        <v>314</v>
      </c>
      <c r="AV17" s="69" t="s">
        <v>314</v>
      </c>
      <c r="AW17" s="69"/>
      <c r="AX17" s="69" t="s">
        <v>314</v>
      </c>
      <c r="AY17" s="69" t="s">
        <v>314</v>
      </c>
      <c r="AZ17" s="69"/>
      <c r="BA17" s="69"/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/>
      <c r="BH17" s="69" t="s">
        <v>314</v>
      </c>
      <c r="BI17" s="69" t="s">
        <v>314</v>
      </c>
      <c r="BJ17" s="69" t="s">
        <v>314</v>
      </c>
      <c r="BK17" s="69"/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161</v>
      </c>
      <c r="C18" s="66"/>
      <c r="D18" s="64">
        <v>21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 t="s">
        <v>314</v>
      </c>
      <c r="M18" s="70"/>
      <c r="N18" s="70" t="s">
        <v>314</v>
      </c>
      <c r="O18" s="70"/>
      <c r="P18" s="70" t="s">
        <v>314</v>
      </c>
      <c r="Q18" s="70"/>
      <c r="R18" s="70"/>
      <c r="S18" s="70" t="s">
        <v>314</v>
      </c>
      <c r="T18" s="70"/>
      <c r="U18" s="97"/>
      <c r="V18" s="70"/>
      <c r="W18" s="70"/>
      <c r="X18" s="70"/>
      <c r="Y18" s="70"/>
      <c r="Z18" s="70" t="s">
        <v>314</v>
      </c>
      <c r="AA18" s="70" t="s">
        <v>314</v>
      </c>
      <c r="AB18" s="70"/>
      <c r="AC18" s="70" t="s">
        <v>314</v>
      </c>
      <c r="AD18" s="70" t="s">
        <v>314</v>
      </c>
      <c r="AE18" s="70"/>
      <c r="AF18" s="70" t="s">
        <v>314</v>
      </c>
      <c r="AG18" s="70" t="s">
        <v>314</v>
      </c>
      <c r="AH18" s="70"/>
      <c r="AI18" s="70" t="s">
        <v>314</v>
      </c>
      <c r="AJ18" s="70"/>
      <c r="AK18" s="70" t="s">
        <v>314</v>
      </c>
      <c r="AL18" s="70"/>
      <c r="AM18" s="70"/>
      <c r="AN18" s="70"/>
      <c r="AO18" s="70" t="s">
        <v>314</v>
      </c>
      <c r="AP18" s="70" t="s">
        <v>314</v>
      </c>
      <c r="AQ18" s="70"/>
      <c r="AR18" s="70"/>
      <c r="AS18" s="70"/>
      <c r="AT18" s="70"/>
      <c r="AU18" s="70"/>
      <c r="AV18" s="70"/>
      <c r="AW18" s="70" t="s">
        <v>314</v>
      </c>
      <c r="AX18" s="70"/>
      <c r="AY18" s="70"/>
      <c r="AZ18" s="70"/>
      <c r="BA18" s="70" t="s">
        <v>314</v>
      </c>
      <c r="BB18" s="70"/>
      <c r="BC18" s="70"/>
      <c r="BD18" s="70"/>
      <c r="BE18" s="97"/>
      <c r="BF18" s="70"/>
      <c r="BG18" s="70" t="s">
        <v>314</v>
      </c>
      <c r="BH18" s="70"/>
      <c r="BI18" s="70"/>
      <c r="BJ18" s="70"/>
      <c r="BK18" s="70" t="s">
        <v>314</v>
      </c>
      <c r="BL18" s="70"/>
      <c r="BM18" s="70"/>
      <c r="BN18" s="70"/>
    </row>
    <row r="19" spans="1:66" x14ac:dyDescent="0.2">
      <c r="A19" s="59">
        <v>9</v>
      </c>
      <c r="B19" s="67" t="s">
        <v>155</v>
      </c>
      <c r="C19" s="65"/>
      <c r="D19" s="64">
        <v>20</v>
      </c>
      <c r="E19" s="64">
        <f>IF(ISBLANK($D19),"0",IF(($D20-$D19)&lt;($C20-$C19),1,0))</f>
        <v>1</v>
      </c>
      <c r="F19" s="64">
        <f t="shared" ca="1" si="1"/>
        <v>26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/>
      <c r="N19" s="69"/>
      <c r="O19" s="69"/>
      <c r="P19" s="69"/>
      <c r="Q19" s="69"/>
      <c r="R19" s="69" t="s">
        <v>314</v>
      </c>
      <c r="S19" s="69" t="s">
        <v>314</v>
      </c>
      <c r="T19" s="69"/>
      <c r="U19" s="96"/>
      <c r="V19" s="69" t="s">
        <v>314</v>
      </c>
      <c r="W19" s="69"/>
      <c r="X19" s="69" t="s">
        <v>314</v>
      </c>
      <c r="Y19" s="69"/>
      <c r="Z19" s="69"/>
      <c r="AA19" s="69" t="s">
        <v>314</v>
      </c>
      <c r="AB19" s="69" t="s">
        <v>314</v>
      </c>
      <c r="AC19" s="69"/>
      <c r="AD19" s="69" t="s">
        <v>314</v>
      </c>
      <c r="AE19" s="69"/>
      <c r="AF19" s="69" t="s">
        <v>314</v>
      </c>
      <c r="AG19" s="69" t="s">
        <v>314</v>
      </c>
      <c r="AH19" s="69" t="s">
        <v>314</v>
      </c>
      <c r="AI19" s="69"/>
      <c r="AJ19" s="69" t="s">
        <v>314</v>
      </c>
      <c r="AK19" s="69"/>
      <c r="AL19" s="69" t="s">
        <v>314</v>
      </c>
      <c r="AM19" s="69" t="s">
        <v>314</v>
      </c>
      <c r="AN19" s="69" t="s">
        <v>314</v>
      </c>
      <c r="AO19" s="69"/>
      <c r="AP19" s="69" t="s">
        <v>314</v>
      </c>
      <c r="AQ19" s="69" t="s">
        <v>314</v>
      </c>
      <c r="AR19" s="69" t="s">
        <v>314</v>
      </c>
      <c r="AS19" s="69" t="s">
        <v>314</v>
      </c>
      <c r="AT19" s="69"/>
      <c r="AU19" s="69" t="s">
        <v>314</v>
      </c>
      <c r="AV19" s="69"/>
      <c r="AW19" s="69" t="s">
        <v>314</v>
      </c>
      <c r="AX19" s="69" t="s">
        <v>314</v>
      </c>
      <c r="AY19" s="69"/>
      <c r="AZ19" s="69"/>
      <c r="BA19" s="69" t="s">
        <v>314</v>
      </c>
      <c r="BB19" s="69"/>
      <c r="BC19" s="69"/>
      <c r="BD19" s="69"/>
      <c r="BE19" s="69"/>
      <c r="BF19" s="69"/>
      <c r="BG19" s="69"/>
      <c r="BH19" s="69"/>
      <c r="BI19" s="69"/>
      <c r="BJ19" s="69" t="s">
        <v>314</v>
      </c>
      <c r="BK19" s="69" t="s">
        <v>314</v>
      </c>
      <c r="BL19" s="69"/>
      <c r="BM19" s="69" t="s">
        <v>314</v>
      </c>
      <c r="BN19" s="69" t="s">
        <v>314</v>
      </c>
    </row>
    <row r="20" spans="1:66" x14ac:dyDescent="0.2">
      <c r="A20" s="61" t="s">
        <v>3</v>
      </c>
      <c r="B20" s="68" t="s">
        <v>157</v>
      </c>
      <c r="C20" s="66">
        <v>2.5</v>
      </c>
      <c r="D20" s="64">
        <v>19</v>
      </c>
      <c r="E20" s="64">
        <f>IF(ISBLANK($D20),"0",IF(($D20-$D19)&gt;($C20-$C19),1,0))</f>
        <v>0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314</v>
      </c>
      <c r="L20" s="70" t="s">
        <v>314</v>
      </c>
      <c r="M20" s="70"/>
      <c r="N20" s="70" t="s">
        <v>314</v>
      </c>
      <c r="O20" s="70" t="s">
        <v>314</v>
      </c>
      <c r="P20" s="70" t="s">
        <v>314</v>
      </c>
      <c r="Q20" s="70" t="s">
        <v>314</v>
      </c>
      <c r="R20" s="70"/>
      <c r="S20" s="70"/>
      <c r="T20" s="70"/>
      <c r="U20" s="70" t="s">
        <v>314</v>
      </c>
      <c r="V20" s="70"/>
      <c r="W20" s="70" t="s">
        <v>314</v>
      </c>
      <c r="X20" s="70"/>
      <c r="Y20" s="70" t="s">
        <v>314</v>
      </c>
      <c r="Z20" s="70" t="s">
        <v>314</v>
      </c>
      <c r="AA20" s="70"/>
      <c r="AB20" s="70"/>
      <c r="AC20" s="70" t="s">
        <v>314</v>
      </c>
      <c r="AD20" s="70"/>
      <c r="AE20" s="70"/>
      <c r="AF20" s="70"/>
      <c r="AG20" s="70"/>
      <c r="AH20" s="70"/>
      <c r="AI20" s="70" t="s">
        <v>314</v>
      </c>
      <c r="AJ20" s="70"/>
      <c r="AK20" s="70" t="s">
        <v>314</v>
      </c>
      <c r="AL20" s="70"/>
      <c r="AM20" s="70"/>
      <c r="AN20" s="70"/>
      <c r="AO20" s="70" t="s">
        <v>314</v>
      </c>
      <c r="AP20" s="70"/>
      <c r="AQ20" s="70"/>
      <c r="AR20" s="97"/>
      <c r="AS20" s="70"/>
      <c r="AT20" s="70"/>
      <c r="AU20" s="70"/>
      <c r="AV20" s="70" t="s">
        <v>314</v>
      </c>
      <c r="AW20" s="70"/>
      <c r="AX20" s="70"/>
      <c r="AY20" s="70" t="s">
        <v>314</v>
      </c>
      <c r="AZ20" s="70"/>
      <c r="BA20" s="70"/>
      <c r="BB20" s="70" t="s">
        <v>314</v>
      </c>
      <c r="BC20" s="70" t="s">
        <v>314</v>
      </c>
      <c r="BD20" s="70" t="s">
        <v>314</v>
      </c>
      <c r="BE20" s="97" t="s">
        <v>314</v>
      </c>
      <c r="BF20" s="70" t="s">
        <v>314</v>
      </c>
      <c r="BG20" s="70" t="s">
        <v>314</v>
      </c>
      <c r="BH20" s="70" t="s">
        <v>314</v>
      </c>
      <c r="BI20" s="70" t="s">
        <v>314</v>
      </c>
      <c r="BJ20" s="70"/>
      <c r="BK20" s="70"/>
      <c r="BL20" s="70" t="s">
        <v>314</v>
      </c>
      <c r="BM20" s="70"/>
      <c r="BN20" s="70"/>
    </row>
    <row r="21" spans="1:66" x14ac:dyDescent="0.2">
      <c r="A21" s="59">
        <v>10</v>
      </c>
      <c r="B21" s="67" t="s">
        <v>153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36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314</v>
      </c>
      <c r="L21" s="69" t="s">
        <v>314</v>
      </c>
      <c r="M21" s="69"/>
      <c r="N21" s="69" t="s">
        <v>314</v>
      </c>
      <c r="O21" s="69" t="s">
        <v>314</v>
      </c>
      <c r="P21" s="69"/>
      <c r="Q21" s="69" t="s">
        <v>314</v>
      </c>
      <c r="R21" s="69" t="s">
        <v>314</v>
      </c>
      <c r="S21" s="69" t="s">
        <v>314</v>
      </c>
      <c r="T21" s="69"/>
      <c r="U21" s="96" t="s">
        <v>314</v>
      </c>
      <c r="V21" s="69"/>
      <c r="W21" s="69" t="s">
        <v>314</v>
      </c>
      <c r="X21" s="69" t="s">
        <v>314</v>
      </c>
      <c r="Y21" s="69" t="s">
        <v>314</v>
      </c>
      <c r="Z21" s="69" t="s">
        <v>314</v>
      </c>
      <c r="AA21" s="69" t="s">
        <v>314</v>
      </c>
      <c r="AB21" s="69"/>
      <c r="AC21" s="69" t="s">
        <v>314</v>
      </c>
      <c r="AD21" s="69"/>
      <c r="AE21" s="69"/>
      <c r="AF21" s="69" t="s">
        <v>314</v>
      </c>
      <c r="AG21" s="69" t="s">
        <v>314</v>
      </c>
      <c r="AH21" s="69" t="s">
        <v>314</v>
      </c>
      <c r="AI21" s="69"/>
      <c r="AJ21" s="69" t="s">
        <v>314</v>
      </c>
      <c r="AK21" s="69" t="s">
        <v>314</v>
      </c>
      <c r="AL21" s="69"/>
      <c r="AM21" s="69" t="s">
        <v>314</v>
      </c>
      <c r="AN21" s="69" t="s">
        <v>314</v>
      </c>
      <c r="AO21" s="69"/>
      <c r="AP21" s="69"/>
      <c r="AQ21" s="69"/>
      <c r="AR21" s="96" t="s">
        <v>314</v>
      </c>
      <c r="AS21" s="69" t="s">
        <v>314</v>
      </c>
      <c r="AT21" s="69"/>
      <c r="AU21" s="69" t="s">
        <v>314</v>
      </c>
      <c r="AV21" s="69" t="s">
        <v>314</v>
      </c>
      <c r="AW21" s="69"/>
      <c r="AX21" s="69"/>
      <c r="AY21" s="69" t="s">
        <v>314</v>
      </c>
      <c r="AZ21" s="69"/>
      <c r="BA21" s="69"/>
      <c r="BB21" s="69" t="s">
        <v>314</v>
      </c>
      <c r="BC21" s="69" t="s">
        <v>314</v>
      </c>
      <c r="BD21" s="69"/>
      <c r="BE21" s="96" t="s">
        <v>314</v>
      </c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 t="s">
        <v>314</v>
      </c>
      <c r="BN21" s="69" t="s">
        <v>314</v>
      </c>
    </row>
    <row r="22" spans="1:66" x14ac:dyDescent="0.2">
      <c r="A22" s="61" t="s">
        <v>3</v>
      </c>
      <c r="B22" s="68" t="s">
        <v>188</v>
      </c>
      <c r="C22" s="66">
        <v>6.5</v>
      </c>
      <c r="D22" s="64">
        <v>45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314</v>
      </c>
      <c r="Q22" s="70"/>
      <c r="R22" s="70"/>
      <c r="S22" s="70"/>
      <c r="T22" s="70"/>
      <c r="U22" s="70"/>
      <c r="V22" s="70" t="s">
        <v>314</v>
      </c>
      <c r="W22" s="70"/>
      <c r="X22" s="70"/>
      <c r="Y22" s="70"/>
      <c r="Z22" s="70"/>
      <c r="AA22" s="70"/>
      <c r="AB22" s="70" t="s">
        <v>314</v>
      </c>
      <c r="AC22" s="70"/>
      <c r="AD22" s="70" t="s">
        <v>314</v>
      </c>
      <c r="AE22" s="70"/>
      <c r="AF22" s="70"/>
      <c r="AG22" s="70"/>
      <c r="AH22" s="70"/>
      <c r="AI22" s="70" t="s">
        <v>314</v>
      </c>
      <c r="AJ22" s="70"/>
      <c r="AK22" s="70"/>
      <c r="AL22" s="70" t="s">
        <v>314</v>
      </c>
      <c r="AM22" s="70"/>
      <c r="AN22" s="70"/>
      <c r="AO22" s="70" t="s">
        <v>314</v>
      </c>
      <c r="AP22" s="70" t="s">
        <v>314</v>
      </c>
      <c r="AQ22" s="70" t="s">
        <v>314</v>
      </c>
      <c r="AR22" s="70"/>
      <c r="AS22" s="70"/>
      <c r="AT22" s="70"/>
      <c r="AU22" s="70"/>
      <c r="AV22" s="70"/>
      <c r="AW22" s="70" t="s">
        <v>314</v>
      </c>
      <c r="AX22" s="70" t="s">
        <v>314</v>
      </c>
      <c r="AY22" s="70"/>
      <c r="AZ22" s="70"/>
      <c r="BA22" s="70" t="s">
        <v>314</v>
      </c>
      <c r="BB22" s="70"/>
      <c r="BC22" s="70"/>
      <c r="BD22" s="70" t="s">
        <v>314</v>
      </c>
      <c r="BE22" s="70"/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/>
      <c r="BN22" s="70"/>
    </row>
    <row r="23" spans="1:66" x14ac:dyDescent="0.2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27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42</v>
      </c>
      <c r="O23" s="78">
        <v>17</v>
      </c>
      <c r="P23" s="78">
        <v>24</v>
      </c>
      <c r="Q23" s="78">
        <v>35</v>
      </c>
      <c r="R23" s="78">
        <v>31</v>
      </c>
      <c r="S23" s="78">
        <v>37</v>
      </c>
      <c r="T23" s="78"/>
      <c r="U23" s="78">
        <v>42</v>
      </c>
      <c r="V23" s="78">
        <v>24</v>
      </c>
      <c r="W23" s="78">
        <v>27</v>
      </c>
      <c r="X23" s="78">
        <v>24</v>
      </c>
      <c r="Y23" s="78">
        <v>28</v>
      </c>
      <c r="Z23" s="78">
        <v>24</v>
      </c>
      <c r="AA23" s="78">
        <v>21</v>
      </c>
      <c r="AB23" s="78">
        <v>24</v>
      </c>
      <c r="AC23" s="78">
        <v>41</v>
      </c>
      <c r="AD23" s="78">
        <v>24</v>
      </c>
      <c r="AE23" s="78"/>
      <c r="AF23" s="78">
        <v>31</v>
      </c>
      <c r="AG23" s="78">
        <v>30</v>
      </c>
      <c r="AH23" s="78">
        <v>31</v>
      </c>
      <c r="AI23" s="78">
        <v>16</v>
      </c>
      <c r="AJ23" s="78">
        <v>27</v>
      </c>
      <c r="AK23" s="78">
        <v>37</v>
      </c>
      <c r="AL23" s="78">
        <v>21</v>
      </c>
      <c r="AM23" s="78">
        <v>28</v>
      </c>
      <c r="AN23" s="78">
        <v>28</v>
      </c>
      <c r="AO23" s="78">
        <v>23</v>
      </c>
      <c r="AP23" s="78">
        <v>21</v>
      </c>
      <c r="AQ23" s="78">
        <v>23</v>
      </c>
      <c r="AR23" s="78">
        <v>28</v>
      </c>
      <c r="AS23" s="78">
        <v>28</v>
      </c>
      <c r="AT23" s="78"/>
      <c r="AU23" s="78">
        <v>32</v>
      </c>
      <c r="AV23" s="78">
        <v>34</v>
      </c>
      <c r="AW23" s="78">
        <v>22</v>
      </c>
      <c r="AX23" s="78">
        <v>24</v>
      </c>
      <c r="AY23" s="78">
        <v>35</v>
      </c>
      <c r="AZ23" s="78"/>
      <c r="BA23" s="78">
        <v>14</v>
      </c>
      <c r="BB23" s="78">
        <v>28</v>
      </c>
      <c r="BC23" s="78">
        <v>17</v>
      </c>
      <c r="BD23" s="78">
        <v>21</v>
      </c>
      <c r="BE23" s="78">
        <v>35</v>
      </c>
      <c r="BF23" s="78">
        <v>27</v>
      </c>
      <c r="BG23" s="78">
        <v>14</v>
      </c>
      <c r="BH23" s="78">
        <v>31</v>
      </c>
      <c r="BI23" s="78">
        <v>14</v>
      </c>
      <c r="BJ23" s="78">
        <v>27</v>
      </c>
      <c r="BK23" s="78">
        <v>27</v>
      </c>
      <c r="BL23" s="78">
        <v>27</v>
      </c>
      <c r="BM23" s="78">
        <v>27</v>
      </c>
      <c r="BN23" s="78">
        <v>28</v>
      </c>
    </row>
    <row r="24" spans="1:66" x14ac:dyDescent="0.2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30</v>
      </c>
      <c r="M24" s="79"/>
      <c r="N24" s="79">
        <v>24</v>
      </c>
      <c r="O24" s="79">
        <v>23</v>
      </c>
      <c r="P24" s="79">
        <v>37</v>
      </c>
      <c r="Q24" s="79">
        <v>32</v>
      </c>
      <c r="R24" s="79">
        <v>24</v>
      </c>
      <c r="S24" s="79">
        <v>31</v>
      </c>
      <c r="T24" s="79"/>
      <c r="U24" s="79">
        <v>38</v>
      </c>
      <c r="V24" s="79">
        <v>32</v>
      </c>
      <c r="W24" s="79">
        <v>24</v>
      </c>
      <c r="X24" s="79">
        <v>30</v>
      </c>
      <c r="Y24" s="79">
        <v>24</v>
      </c>
      <c r="Z24" s="79">
        <v>28</v>
      </c>
      <c r="AA24" s="79">
        <v>24</v>
      </c>
      <c r="AB24" s="79">
        <v>31</v>
      </c>
      <c r="AC24" s="79">
        <v>31</v>
      </c>
      <c r="AD24" s="79">
        <v>42</v>
      </c>
      <c r="AE24" s="79"/>
      <c r="AF24" s="79">
        <v>35</v>
      </c>
      <c r="AG24" s="79">
        <v>24</v>
      </c>
      <c r="AH24" s="79">
        <v>35</v>
      </c>
      <c r="AI24" s="79">
        <v>34</v>
      </c>
      <c r="AJ24" s="79">
        <v>30</v>
      </c>
      <c r="AK24" s="79">
        <v>17</v>
      </c>
      <c r="AL24" s="79">
        <v>31</v>
      </c>
      <c r="AM24" s="79">
        <v>21</v>
      </c>
      <c r="AN24" s="79">
        <v>24</v>
      </c>
      <c r="AO24" s="79">
        <v>30</v>
      </c>
      <c r="AP24" s="79">
        <v>35</v>
      </c>
      <c r="AQ24" s="79">
        <v>41</v>
      </c>
      <c r="AR24" s="79">
        <v>32</v>
      </c>
      <c r="AS24" s="79">
        <v>21</v>
      </c>
      <c r="AT24" s="79"/>
      <c r="AU24" s="79">
        <v>20</v>
      </c>
      <c r="AV24" s="79">
        <v>24</v>
      </c>
      <c r="AW24" s="79">
        <v>34</v>
      </c>
      <c r="AX24" s="79">
        <v>41</v>
      </c>
      <c r="AY24" s="79">
        <v>31</v>
      </c>
      <c r="AZ24" s="79"/>
      <c r="BA24" s="79">
        <v>21</v>
      </c>
      <c r="BB24" s="79">
        <v>21</v>
      </c>
      <c r="BC24" s="79">
        <v>14</v>
      </c>
      <c r="BD24" s="79">
        <v>35</v>
      </c>
      <c r="BE24" s="79">
        <v>38</v>
      </c>
      <c r="BF24" s="79">
        <v>26</v>
      </c>
      <c r="BG24" s="79">
        <v>10</v>
      </c>
      <c r="BH24" s="79">
        <v>24</v>
      </c>
      <c r="BI24" s="79">
        <v>21</v>
      </c>
      <c r="BJ24" s="79">
        <v>38</v>
      </c>
      <c r="BK24" s="79">
        <v>31</v>
      </c>
      <c r="BL24" s="79">
        <v>24</v>
      </c>
      <c r="BM24" s="79">
        <v>30</v>
      </c>
      <c r="BN24" s="79">
        <v>21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5</v>
      </c>
      <c r="I25" s="36">
        <f ca="1">SUMPRODUCT(I3:I22,$E3:$E22)</f>
        <v>6.5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1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3</v>
      </c>
      <c r="T25" s="36">
        <f t="shared" si="3"/>
        <v>0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5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6</v>
      </c>
      <c r="AE25" s="36">
        <f t="shared" si="3"/>
        <v>0</v>
      </c>
      <c r="AF25" s="36">
        <f t="shared" si="3"/>
        <v>4</v>
      </c>
      <c r="AG25" s="36">
        <f t="shared" si="3"/>
        <v>6</v>
      </c>
      <c r="AH25" s="36">
        <f t="shared" si="3"/>
        <v>6</v>
      </c>
      <c r="AI25" s="36">
        <f t="shared" si="3"/>
        <v>2</v>
      </c>
      <c r="AJ25" s="36">
        <f t="shared" si="3"/>
        <v>5</v>
      </c>
      <c r="AK25" s="36">
        <f t="shared" si="3"/>
        <v>2</v>
      </c>
      <c r="AL25" s="36">
        <f t="shared" si="3"/>
        <v>5</v>
      </c>
      <c r="AM25" s="36">
        <f t="shared" si="3"/>
        <v>6</v>
      </c>
      <c r="AN25" s="36">
        <f t="shared" si="3"/>
        <v>4</v>
      </c>
      <c r="AO25" s="36">
        <f t="shared" si="3"/>
        <v>4</v>
      </c>
      <c r="AP25" s="36">
        <f t="shared" si="3"/>
        <v>5</v>
      </c>
      <c r="AQ25" s="36">
        <f t="shared" si="3"/>
        <v>6</v>
      </c>
      <c r="AR25" s="36">
        <f t="shared" si="3"/>
        <v>4</v>
      </c>
      <c r="AS25" s="36">
        <f t="shared" si="3"/>
        <v>5</v>
      </c>
      <c r="AT25" s="36">
        <f t="shared" si="3"/>
        <v>0</v>
      </c>
      <c r="AU25" s="36">
        <f t="shared" si="3"/>
        <v>4</v>
      </c>
      <c r="AV25" s="36">
        <f t="shared" si="3"/>
        <v>4</v>
      </c>
      <c r="AW25" s="36">
        <f t="shared" si="3"/>
        <v>5</v>
      </c>
      <c r="AX25" s="36">
        <f t="shared" si="3"/>
        <v>6</v>
      </c>
      <c r="AY25" s="36">
        <f t="shared" si="3"/>
        <v>5</v>
      </c>
      <c r="AZ25" s="36">
        <f t="shared" si="3"/>
        <v>0</v>
      </c>
      <c r="BA25" s="36">
        <f t="shared" si="3"/>
        <v>8</v>
      </c>
      <c r="BB25" s="36">
        <f t="shared" si="3"/>
        <v>4</v>
      </c>
      <c r="BC25" s="36">
        <f t="shared" si="3"/>
        <v>3</v>
      </c>
      <c r="BD25" s="36">
        <f t="shared" si="3"/>
        <v>4</v>
      </c>
      <c r="BE25" s="36">
        <f t="shared" si="3"/>
        <v>3</v>
      </c>
      <c r="BF25" s="36">
        <f t="shared" si="3"/>
        <v>5</v>
      </c>
      <c r="BG25" s="36">
        <f t="shared" si="3"/>
        <v>6</v>
      </c>
      <c r="BH25" s="36">
        <f t="shared" si="3"/>
        <v>4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4</v>
      </c>
      <c r="BM25" s="36">
        <f t="shared" si="3"/>
        <v>2</v>
      </c>
      <c r="BN25" s="36">
        <f t="shared" si="3"/>
        <v>6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3</v>
      </c>
      <c r="L26" s="71">
        <f t="shared" si="4"/>
        <v>1</v>
      </c>
      <c r="M26" s="71">
        <f t="shared" si="4"/>
        <v>7</v>
      </c>
      <c r="N26" s="71">
        <f t="shared" si="4"/>
        <v>25</v>
      </c>
      <c r="O26" s="71">
        <f t="shared" si="4"/>
        <v>1</v>
      </c>
      <c r="P26" s="71">
        <f t="shared" si="4"/>
        <v>6</v>
      </c>
      <c r="Q26" s="71">
        <f t="shared" si="4"/>
        <v>10</v>
      </c>
      <c r="R26" s="71">
        <f t="shared" si="4"/>
        <v>14</v>
      </c>
      <c r="S26" s="71">
        <f t="shared" si="4"/>
        <v>13</v>
      </c>
      <c r="T26" s="71">
        <f t="shared" si="4"/>
        <v>7</v>
      </c>
      <c r="U26" s="71">
        <f t="shared" si="4"/>
        <v>11</v>
      </c>
      <c r="V26" s="71">
        <f t="shared" si="4"/>
        <v>1</v>
      </c>
      <c r="W26" s="71">
        <f t="shared" si="4"/>
        <v>10</v>
      </c>
      <c r="X26" s="71">
        <f t="shared" si="4"/>
        <v>1</v>
      </c>
      <c r="Y26" s="71">
        <f t="shared" si="4"/>
        <v>11</v>
      </c>
      <c r="Z26" s="71">
        <f t="shared" si="4"/>
        <v>3</v>
      </c>
      <c r="AA26" s="71">
        <f t="shared" si="4"/>
        <v>4</v>
      </c>
      <c r="AB26" s="71">
        <f t="shared" si="4"/>
        <v>0</v>
      </c>
      <c r="AC26" s="71">
        <f t="shared" si="4"/>
        <v>17</v>
      </c>
      <c r="AD26" s="71">
        <f t="shared" si="4"/>
        <v>11</v>
      </c>
      <c r="AE26" s="71">
        <f t="shared" si="4"/>
        <v>7</v>
      </c>
      <c r="AF26" s="71">
        <f t="shared" si="4"/>
        <v>3</v>
      </c>
      <c r="AG26" s="71">
        <f t="shared" si="4"/>
        <v>13</v>
      </c>
      <c r="AH26" s="71">
        <f t="shared" si="4"/>
        <v>3</v>
      </c>
      <c r="AI26" s="71">
        <f t="shared" si="4"/>
        <v>11</v>
      </c>
      <c r="AJ26" s="71">
        <f t="shared" si="4"/>
        <v>4</v>
      </c>
      <c r="AK26" s="71">
        <f t="shared" si="4"/>
        <v>27</v>
      </c>
      <c r="AL26" s="71">
        <f t="shared" si="4"/>
        <v>3</v>
      </c>
      <c r="AM26" s="71">
        <f t="shared" si="4"/>
        <v>14</v>
      </c>
      <c r="AN26" s="71">
        <f t="shared" si="4"/>
        <v>11</v>
      </c>
      <c r="AO26" s="71">
        <f t="shared" si="4"/>
        <v>0</v>
      </c>
      <c r="AP26" s="71">
        <f t="shared" si="4"/>
        <v>7</v>
      </c>
      <c r="AQ26" s="71">
        <f t="shared" si="4"/>
        <v>11</v>
      </c>
      <c r="AR26" s="71">
        <f t="shared" si="4"/>
        <v>3</v>
      </c>
      <c r="AS26" s="71">
        <f t="shared" si="4"/>
        <v>14</v>
      </c>
      <c r="AT26" s="71">
        <f t="shared" si="4"/>
        <v>7</v>
      </c>
      <c r="AU26" s="71">
        <f t="shared" si="4"/>
        <v>19</v>
      </c>
      <c r="AV26" s="71">
        <f t="shared" si="4"/>
        <v>17</v>
      </c>
      <c r="AW26" s="71">
        <f t="shared" si="4"/>
        <v>5</v>
      </c>
      <c r="AX26" s="71">
        <f t="shared" si="4"/>
        <v>10</v>
      </c>
      <c r="AY26" s="71">
        <f t="shared" si="4"/>
        <v>11</v>
      </c>
      <c r="AZ26" s="71">
        <f t="shared" si="4"/>
        <v>7</v>
      </c>
      <c r="BA26" s="71">
        <f t="shared" si="4"/>
        <v>0</v>
      </c>
      <c r="BB26" s="71">
        <f t="shared" si="4"/>
        <v>14</v>
      </c>
      <c r="BC26" s="71">
        <f t="shared" si="4"/>
        <v>10</v>
      </c>
      <c r="BD26" s="71">
        <f t="shared" si="4"/>
        <v>7</v>
      </c>
      <c r="BE26" s="71">
        <f t="shared" si="4"/>
        <v>4</v>
      </c>
      <c r="BF26" s="71">
        <f t="shared" si="4"/>
        <v>8</v>
      </c>
      <c r="BG26" s="71">
        <f t="shared" si="4"/>
        <v>11</v>
      </c>
      <c r="BH26" s="71">
        <f t="shared" si="4"/>
        <v>14</v>
      </c>
      <c r="BI26" s="71">
        <f t="shared" si="4"/>
        <v>0</v>
      </c>
      <c r="BJ26" s="71">
        <f t="shared" si="4"/>
        <v>4</v>
      </c>
      <c r="BK26" s="71">
        <f t="shared" si="4"/>
        <v>3</v>
      </c>
      <c r="BL26" s="71">
        <f t="shared" si="4"/>
        <v>10</v>
      </c>
      <c r="BM26" s="71">
        <f t="shared" si="4"/>
        <v>4</v>
      </c>
      <c r="BN26" s="71">
        <f t="shared" si="4"/>
        <v>14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31</v>
      </c>
      <c r="L27" s="71">
        <f t="shared" si="5"/>
        <v>29</v>
      </c>
      <c r="M27" s="71">
        <f t="shared" si="5"/>
        <v>83</v>
      </c>
      <c r="N27" s="71">
        <f t="shared" si="5"/>
        <v>17</v>
      </c>
      <c r="O27" s="71">
        <f t="shared" si="5"/>
        <v>43</v>
      </c>
      <c r="P27" s="71">
        <f t="shared" si="5"/>
        <v>22</v>
      </c>
      <c r="Q27" s="71">
        <f t="shared" si="5"/>
        <v>16</v>
      </c>
      <c r="R27" s="71">
        <f t="shared" si="5"/>
        <v>28</v>
      </c>
      <c r="S27" s="71">
        <f t="shared" si="5"/>
        <v>15</v>
      </c>
      <c r="T27" s="71">
        <f t="shared" si="5"/>
        <v>83</v>
      </c>
      <c r="U27" s="71">
        <f t="shared" si="5"/>
        <v>3</v>
      </c>
      <c r="V27" s="71">
        <f t="shared" si="5"/>
        <v>27</v>
      </c>
      <c r="W27" s="71">
        <f t="shared" si="5"/>
        <v>32</v>
      </c>
      <c r="X27" s="71">
        <f t="shared" si="5"/>
        <v>29</v>
      </c>
      <c r="Y27" s="71">
        <f t="shared" si="5"/>
        <v>31</v>
      </c>
      <c r="Z27" s="71">
        <f t="shared" si="5"/>
        <v>31</v>
      </c>
      <c r="AA27" s="71">
        <f t="shared" si="5"/>
        <v>38</v>
      </c>
      <c r="AB27" s="71">
        <f t="shared" si="5"/>
        <v>28</v>
      </c>
      <c r="AC27" s="71">
        <f t="shared" si="5"/>
        <v>11</v>
      </c>
      <c r="AD27" s="71">
        <f t="shared" si="5"/>
        <v>17</v>
      </c>
      <c r="AE27" s="71">
        <f t="shared" si="5"/>
        <v>83</v>
      </c>
      <c r="AF27" s="71">
        <f t="shared" si="5"/>
        <v>17</v>
      </c>
      <c r="AG27" s="71">
        <f t="shared" si="5"/>
        <v>29</v>
      </c>
      <c r="AH27" s="71">
        <f t="shared" si="5"/>
        <v>17</v>
      </c>
      <c r="AI27" s="71">
        <f t="shared" si="5"/>
        <v>33</v>
      </c>
      <c r="AJ27" s="71">
        <f t="shared" si="5"/>
        <v>26</v>
      </c>
      <c r="AK27" s="71">
        <f t="shared" si="5"/>
        <v>29</v>
      </c>
      <c r="AL27" s="71">
        <f t="shared" si="5"/>
        <v>31</v>
      </c>
      <c r="AM27" s="71">
        <f t="shared" si="5"/>
        <v>34</v>
      </c>
      <c r="AN27" s="71">
        <f t="shared" si="5"/>
        <v>31</v>
      </c>
      <c r="AO27" s="71">
        <f t="shared" si="5"/>
        <v>30</v>
      </c>
      <c r="AP27" s="71">
        <f t="shared" si="5"/>
        <v>27</v>
      </c>
      <c r="AQ27" s="71">
        <f t="shared" si="5"/>
        <v>19</v>
      </c>
      <c r="AR27" s="71">
        <f t="shared" si="5"/>
        <v>23</v>
      </c>
      <c r="AS27" s="71">
        <f t="shared" si="5"/>
        <v>34</v>
      </c>
      <c r="AT27" s="71">
        <f t="shared" si="5"/>
        <v>83</v>
      </c>
      <c r="AU27" s="71">
        <f t="shared" si="5"/>
        <v>31</v>
      </c>
      <c r="AV27" s="71">
        <f t="shared" si="5"/>
        <v>25</v>
      </c>
      <c r="AW27" s="71">
        <f t="shared" si="5"/>
        <v>27</v>
      </c>
      <c r="AX27" s="71">
        <f t="shared" si="5"/>
        <v>18</v>
      </c>
      <c r="AY27" s="71">
        <f t="shared" si="5"/>
        <v>17</v>
      </c>
      <c r="AZ27" s="71">
        <f t="shared" si="5"/>
        <v>83</v>
      </c>
      <c r="BA27" s="71">
        <f t="shared" si="5"/>
        <v>48</v>
      </c>
      <c r="BB27" s="71">
        <f t="shared" si="5"/>
        <v>34</v>
      </c>
      <c r="BC27" s="71">
        <f t="shared" si="5"/>
        <v>52</v>
      </c>
      <c r="BD27" s="71">
        <f t="shared" si="5"/>
        <v>27</v>
      </c>
      <c r="BE27" s="71">
        <f t="shared" si="5"/>
        <v>10</v>
      </c>
      <c r="BF27" s="71">
        <f t="shared" si="5"/>
        <v>30</v>
      </c>
      <c r="BG27" s="71">
        <f t="shared" si="5"/>
        <v>59</v>
      </c>
      <c r="BH27" s="71">
        <f t="shared" si="5"/>
        <v>28</v>
      </c>
      <c r="BI27" s="71">
        <f t="shared" si="5"/>
        <v>48</v>
      </c>
      <c r="BJ27" s="71">
        <f t="shared" si="5"/>
        <v>18</v>
      </c>
      <c r="BK27" s="71">
        <f t="shared" si="5"/>
        <v>25</v>
      </c>
      <c r="BL27" s="71">
        <f t="shared" si="5"/>
        <v>32</v>
      </c>
      <c r="BM27" s="71">
        <f t="shared" si="5"/>
        <v>26</v>
      </c>
      <c r="BN27" s="71">
        <f t="shared" si="5"/>
        <v>34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>
        <f t="shared" ca="1" si="6"/>
        <v>1</v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0.4107142857142857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N29" si="7">COUNTA(L$3,L$5,L$7,L$9,L$11,L$13,L$15,L$17,L$19,L$21)</f>
        <v>2</v>
      </c>
      <c r="M29" s="71">
        <f t="shared" si="7"/>
        <v>0</v>
      </c>
      <c r="N29" s="71">
        <f t="shared" si="7"/>
        <v>4</v>
      </c>
      <c r="O29" s="71">
        <f t="shared" si="7"/>
        <v>3</v>
      </c>
      <c r="P29" s="71">
        <f t="shared" si="7"/>
        <v>3</v>
      </c>
      <c r="Q29" s="71">
        <f t="shared" si="7"/>
        <v>4</v>
      </c>
      <c r="R29" s="71">
        <f t="shared" si="7"/>
        <v>5</v>
      </c>
      <c r="S29" s="71">
        <f t="shared" si="7"/>
        <v>5</v>
      </c>
      <c r="T29" s="71">
        <f t="shared" si="7"/>
        <v>0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5</v>
      </c>
      <c r="AA29" s="71">
        <f t="shared" si="7"/>
        <v>5</v>
      </c>
      <c r="AB29" s="71">
        <f t="shared" si="7"/>
        <v>3</v>
      </c>
      <c r="AC29" s="71">
        <f t="shared" si="7"/>
        <v>4</v>
      </c>
      <c r="AD29" s="71">
        <f t="shared" si="7"/>
        <v>4</v>
      </c>
      <c r="AE29" s="71">
        <f t="shared" si="7"/>
        <v>0</v>
      </c>
      <c r="AF29" s="71">
        <f t="shared" si="7"/>
        <v>4</v>
      </c>
      <c r="AG29" s="71">
        <f t="shared" si="7"/>
        <v>6</v>
      </c>
      <c r="AH29" s="71">
        <f t="shared" si="7"/>
        <v>6</v>
      </c>
      <c r="AI29" s="71">
        <f t="shared" si="7"/>
        <v>2</v>
      </c>
      <c r="AJ29" s="71">
        <f t="shared" si="7"/>
        <v>5</v>
      </c>
      <c r="AK29" s="71">
        <f t="shared" si="7"/>
        <v>4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5</v>
      </c>
      <c r="AQ29" s="71">
        <f t="shared" si="7"/>
        <v>4</v>
      </c>
      <c r="AR29" s="71">
        <f t="shared" si="7"/>
        <v>6</v>
      </c>
      <c r="AS29" s="71">
        <f t="shared" si="7"/>
        <v>5</v>
      </c>
      <c r="AT29" s="71">
        <f t="shared" si="7"/>
        <v>0</v>
      </c>
      <c r="AU29" s="71">
        <f t="shared" si="7"/>
        <v>6</v>
      </c>
      <c r="AV29" s="71">
        <f t="shared" si="7"/>
        <v>6</v>
      </c>
      <c r="AW29" s="71">
        <f t="shared" si="7"/>
        <v>5</v>
      </c>
      <c r="AX29" s="71">
        <f t="shared" si="7"/>
        <v>4</v>
      </c>
      <c r="AY29" s="71">
        <f t="shared" si="7"/>
        <v>5</v>
      </c>
      <c r="AZ29" s="71">
        <f t="shared" si="7"/>
        <v>0</v>
      </c>
      <c r="BA29" s="71">
        <f t="shared" si="7"/>
        <v>6</v>
      </c>
      <c r="BB29" s="71">
        <f t="shared" si="7"/>
        <v>4</v>
      </c>
      <c r="BC29" s="71">
        <f t="shared" si="7"/>
        <v>5</v>
      </c>
      <c r="BD29" s="71">
        <f t="shared" si="7"/>
        <v>4</v>
      </c>
      <c r="BE29" s="71">
        <f t="shared" si="7"/>
        <v>5</v>
      </c>
      <c r="BF29" s="71">
        <f t="shared" si="7"/>
        <v>5</v>
      </c>
      <c r="BG29" s="71">
        <f t="shared" si="7"/>
        <v>6</v>
      </c>
      <c r="BH29" s="71">
        <f t="shared" si="7"/>
        <v>6</v>
      </c>
      <c r="BI29" s="71">
        <f t="shared" si="7"/>
        <v>3</v>
      </c>
      <c r="BJ29" s="71">
        <f t="shared" si="7"/>
        <v>4</v>
      </c>
      <c r="BK29" s="71">
        <f t="shared" si="7"/>
        <v>6</v>
      </c>
      <c r="BL29" s="71">
        <f t="shared" si="7"/>
        <v>4</v>
      </c>
      <c r="BM29" s="71">
        <f t="shared" si="7"/>
        <v>4</v>
      </c>
      <c r="BN29" s="71">
        <f t="shared" si="7"/>
        <v>6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-50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10</v>
      </c>
      <c r="N30" s="73">
        <f t="shared" si="8"/>
        <v>6</v>
      </c>
      <c r="O30" s="73">
        <f t="shared" si="8"/>
        <v>5</v>
      </c>
      <c r="P30" s="73">
        <f t="shared" si="8"/>
        <v>3</v>
      </c>
      <c r="Q30" s="73">
        <f t="shared" si="8"/>
        <v>4</v>
      </c>
      <c r="R30" s="73">
        <f t="shared" si="8"/>
        <v>5</v>
      </c>
      <c r="S30" s="73">
        <f t="shared" si="8"/>
        <v>5</v>
      </c>
      <c r="T30" s="73">
        <f t="shared" si="8"/>
        <v>10</v>
      </c>
      <c r="U30" s="73">
        <f t="shared" si="8"/>
        <v>3</v>
      </c>
      <c r="V30" s="73">
        <f t="shared" si="8"/>
        <v>5</v>
      </c>
      <c r="W30" s="73">
        <f t="shared" si="8"/>
        <v>6</v>
      </c>
      <c r="X30" s="73">
        <f t="shared" si="8"/>
        <v>7</v>
      </c>
      <c r="Y30" s="73">
        <f t="shared" si="8"/>
        <v>4</v>
      </c>
      <c r="Z30" s="73">
        <f t="shared" si="8"/>
        <v>7</v>
      </c>
      <c r="AA30" s="73">
        <f t="shared" si="8"/>
        <v>5</v>
      </c>
      <c r="AB30" s="73">
        <f t="shared" si="8"/>
        <v>5</v>
      </c>
      <c r="AC30" s="73">
        <f t="shared" si="8"/>
        <v>6</v>
      </c>
      <c r="AD30" s="73">
        <f t="shared" si="8"/>
        <v>4</v>
      </c>
      <c r="AE30" s="73">
        <f t="shared" si="8"/>
        <v>10</v>
      </c>
      <c r="AF30" s="73">
        <f t="shared" si="8"/>
        <v>4</v>
      </c>
      <c r="AG30" s="73">
        <f t="shared" si="8"/>
        <v>6</v>
      </c>
      <c r="AH30" s="73">
        <f t="shared" si="8"/>
        <v>4</v>
      </c>
      <c r="AI30" s="73">
        <f t="shared" si="8"/>
        <v>4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8</v>
      </c>
      <c r="AO30" s="73">
        <f t="shared" si="8"/>
        <v>8</v>
      </c>
      <c r="AP30" s="73">
        <f t="shared" si="8"/>
        <v>5</v>
      </c>
      <c r="AQ30" s="73">
        <f t="shared" si="8"/>
        <v>2</v>
      </c>
      <c r="AR30" s="73">
        <f t="shared" si="8"/>
        <v>6</v>
      </c>
      <c r="AS30" s="73">
        <f t="shared" si="8"/>
        <v>5</v>
      </c>
      <c r="AT30" s="73">
        <f t="shared" si="8"/>
        <v>10</v>
      </c>
      <c r="AU30" s="73">
        <f t="shared" si="8"/>
        <v>6</v>
      </c>
      <c r="AV30" s="73">
        <f t="shared" si="8"/>
        <v>6</v>
      </c>
      <c r="AW30" s="73">
        <f t="shared" si="8"/>
        <v>5</v>
      </c>
      <c r="AX30" s="73">
        <f t="shared" si="8"/>
        <v>4</v>
      </c>
      <c r="AY30" s="73">
        <f t="shared" si="8"/>
        <v>5</v>
      </c>
      <c r="AZ30" s="73">
        <f t="shared" si="8"/>
        <v>10</v>
      </c>
      <c r="BA30" s="73">
        <f t="shared" si="8"/>
        <v>6</v>
      </c>
      <c r="BB30" s="73">
        <f t="shared" si="8"/>
        <v>4</v>
      </c>
      <c r="BC30" s="73">
        <f t="shared" si="8"/>
        <v>5</v>
      </c>
      <c r="BD30" s="73">
        <f t="shared" si="8"/>
        <v>4</v>
      </c>
      <c r="BE30" s="73">
        <f t="shared" si="8"/>
        <v>5</v>
      </c>
      <c r="BF30" s="73">
        <f t="shared" si="8"/>
        <v>3</v>
      </c>
      <c r="BG30" s="73">
        <f t="shared" si="8"/>
        <v>6</v>
      </c>
      <c r="BH30" s="73">
        <f t="shared" si="8"/>
        <v>6</v>
      </c>
      <c r="BI30" s="73">
        <f t="shared" si="8"/>
        <v>3</v>
      </c>
      <c r="BJ30" s="73">
        <f t="shared" si="8"/>
        <v>4</v>
      </c>
      <c r="BK30" s="73">
        <f t="shared" si="8"/>
        <v>10</v>
      </c>
      <c r="BL30" s="73">
        <f t="shared" si="8"/>
        <v>4</v>
      </c>
      <c r="BM30" s="73">
        <f t="shared" si="8"/>
        <v>6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7</v>
      </c>
      <c r="M31" s="71">
        <f t="shared" ca="1" si="9"/>
        <v>10</v>
      </c>
      <c r="N31" s="71">
        <f t="shared" ca="1" si="9"/>
        <v>5</v>
      </c>
      <c r="O31" s="71">
        <f t="shared" ca="1" si="9"/>
        <v>6</v>
      </c>
      <c r="P31" s="71">
        <f t="shared" ca="1" si="9"/>
        <v>4</v>
      </c>
      <c r="Q31" s="71">
        <f t="shared" ca="1" si="9"/>
        <v>5</v>
      </c>
      <c r="R31" s="71">
        <f t="shared" ca="1" si="9"/>
        <v>4</v>
      </c>
      <c r="S31" s="71">
        <f t="shared" ca="1" si="9"/>
        <v>4</v>
      </c>
      <c r="T31" s="71">
        <f t="shared" ca="1" si="9"/>
        <v>10</v>
      </c>
      <c r="U31" s="71">
        <f t="shared" ca="1" si="9"/>
        <v>2</v>
      </c>
      <c r="V31" s="71">
        <f t="shared" ca="1" si="9"/>
        <v>4</v>
      </c>
      <c r="W31" s="71">
        <f t="shared" ca="1" si="9"/>
        <v>5</v>
      </c>
      <c r="X31" s="71">
        <f t="shared" ca="1" si="9"/>
        <v>4</v>
      </c>
      <c r="Y31" s="71">
        <f t="shared" ca="1" si="9"/>
        <v>3</v>
      </c>
      <c r="Z31" s="71">
        <f t="shared" ca="1" si="9"/>
        <v>6</v>
      </c>
      <c r="AA31" s="71">
        <f t="shared" ca="1" si="9"/>
        <v>2</v>
      </c>
      <c r="AB31" s="71">
        <f t="shared" ca="1" si="9"/>
        <v>6</v>
      </c>
      <c r="AC31" s="71">
        <f t="shared" ca="1" si="9"/>
        <v>5</v>
      </c>
      <c r="AD31" s="71">
        <f t="shared" ca="1" si="9"/>
        <v>5</v>
      </c>
      <c r="AE31" s="71">
        <f t="shared" ca="1" si="9"/>
        <v>10</v>
      </c>
      <c r="AF31" s="71">
        <f t="shared" ca="1" si="9"/>
        <v>3</v>
      </c>
      <c r="AG31" s="71">
        <f t="shared" ca="1" si="9"/>
        <v>3</v>
      </c>
      <c r="AH31" s="71">
        <f t="shared" ca="1" si="9"/>
        <v>1</v>
      </c>
      <c r="AI31" s="71">
        <f t="shared" ca="1" si="9"/>
        <v>7</v>
      </c>
      <c r="AJ31" s="71">
        <f t="shared" ca="1" si="9"/>
        <v>2</v>
      </c>
      <c r="AK31" s="71">
        <f t="shared" ca="1" si="9"/>
        <v>5</v>
      </c>
      <c r="AL31" s="71">
        <f t="shared" ca="1" si="9"/>
        <v>4</v>
      </c>
      <c r="AM31" s="71">
        <f t="shared" ca="1" si="9"/>
        <v>1</v>
      </c>
      <c r="AN31" s="71">
        <f t="shared" ca="1" si="9"/>
        <v>5</v>
      </c>
      <c r="AO31" s="71">
        <f t="shared" ca="1" si="9"/>
        <v>9</v>
      </c>
      <c r="AP31" s="71">
        <f t="shared" ca="1" si="9"/>
        <v>4</v>
      </c>
      <c r="AQ31" s="71">
        <f t="shared" ca="1" si="9"/>
        <v>3</v>
      </c>
      <c r="AR31" s="71">
        <f t="shared" ca="1" si="9"/>
        <v>5</v>
      </c>
      <c r="AS31" s="71">
        <f t="shared" ca="1" si="9"/>
        <v>2</v>
      </c>
      <c r="AT31" s="71">
        <f t="shared" ca="1" si="9"/>
        <v>10</v>
      </c>
      <c r="AU31" s="71">
        <f t="shared" ca="1" si="9"/>
        <v>3</v>
      </c>
      <c r="AV31" s="71">
        <f t="shared" ca="1" si="9"/>
        <v>7</v>
      </c>
      <c r="AW31" s="71">
        <f t="shared" ca="1" si="9"/>
        <v>4</v>
      </c>
      <c r="AX31" s="71">
        <f t="shared" ca="1" si="9"/>
        <v>5</v>
      </c>
      <c r="AY31" s="71">
        <f t="shared" ca="1" si="9"/>
        <v>4</v>
      </c>
      <c r="AZ31" s="71">
        <f t="shared" ca="1" si="9"/>
        <v>10</v>
      </c>
      <c r="BA31" s="71">
        <f t="shared" ca="1" si="9"/>
        <v>5</v>
      </c>
      <c r="BB31" s="71">
        <f t="shared" ca="1" si="9"/>
        <v>3</v>
      </c>
      <c r="BC31" s="71">
        <f t="shared" ca="1" si="9"/>
        <v>6</v>
      </c>
      <c r="BD31" s="71">
        <f t="shared" ca="1" si="9"/>
        <v>7</v>
      </c>
      <c r="BE31" s="71">
        <f t="shared" ca="1" si="9"/>
        <v>6</v>
      </c>
      <c r="BF31" s="71">
        <f t="shared" ca="1" si="9"/>
        <v>2</v>
      </c>
      <c r="BG31" s="71">
        <f t="shared" ca="1" si="9"/>
        <v>5</v>
      </c>
      <c r="BH31" s="71">
        <f t="shared" ca="1" si="9"/>
        <v>7</v>
      </c>
      <c r="BI31" s="71">
        <f t="shared" ca="1" si="9"/>
        <v>6</v>
      </c>
      <c r="BJ31" s="71">
        <f t="shared" ca="1" si="9"/>
        <v>3</v>
      </c>
      <c r="BK31" s="71">
        <f t="shared" ca="1" si="9"/>
        <v>7</v>
      </c>
      <c r="BL31" s="71">
        <f t="shared" ca="1" si="9"/>
        <v>5</v>
      </c>
      <c r="BM31" s="71">
        <f t="shared" ca="1" si="9"/>
        <v>5</v>
      </c>
      <c r="BN31" s="71">
        <f t="shared" ca="1" si="9"/>
        <v>3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9</v>
      </c>
      <c r="L35" s="35">
        <f t="shared" si="10"/>
        <v>9</v>
      </c>
      <c r="M35" s="35">
        <f t="shared" si="10"/>
        <v>0</v>
      </c>
      <c r="N35" s="35">
        <f t="shared" si="10"/>
        <v>9</v>
      </c>
      <c r="O35" s="35">
        <f t="shared" si="10"/>
        <v>9</v>
      </c>
      <c r="P35" s="35">
        <f t="shared" si="10"/>
        <v>9</v>
      </c>
      <c r="Q35" s="35">
        <f t="shared" si="10"/>
        <v>9</v>
      </c>
      <c r="R35" s="35">
        <f t="shared" si="10"/>
        <v>9</v>
      </c>
      <c r="S35" s="35">
        <f t="shared" si="10"/>
        <v>9</v>
      </c>
      <c r="T35" s="35">
        <f t="shared" si="10"/>
        <v>0</v>
      </c>
      <c r="U35" s="35">
        <f t="shared" si="10"/>
        <v>9</v>
      </c>
      <c r="V35" s="35">
        <f t="shared" si="10"/>
        <v>9</v>
      </c>
      <c r="W35" s="35">
        <f t="shared" si="10"/>
        <v>9</v>
      </c>
      <c r="X35" s="35">
        <f t="shared" si="10"/>
        <v>9</v>
      </c>
      <c r="Y35" s="35">
        <f t="shared" si="10"/>
        <v>9</v>
      </c>
      <c r="Z35" s="35">
        <f t="shared" si="10"/>
        <v>9</v>
      </c>
      <c r="AA35" s="35">
        <f t="shared" si="10"/>
        <v>9</v>
      </c>
      <c r="AB35" s="35">
        <f t="shared" si="10"/>
        <v>9</v>
      </c>
      <c r="AC35" s="35">
        <f t="shared" si="10"/>
        <v>9</v>
      </c>
      <c r="AD35" s="35">
        <f t="shared" si="10"/>
        <v>9</v>
      </c>
      <c r="AE35" s="35">
        <f t="shared" si="10"/>
        <v>0</v>
      </c>
      <c r="AF35" s="35">
        <f t="shared" si="10"/>
        <v>9</v>
      </c>
      <c r="AG35" s="35">
        <f t="shared" si="10"/>
        <v>9</v>
      </c>
      <c r="AH35" s="35">
        <f t="shared" si="10"/>
        <v>9</v>
      </c>
      <c r="AI35" s="35">
        <f t="shared" si="10"/>
        <v>9</v>
      </c>
      <c r="AJ35" s="35">
        <f t="shared" si="10"/>
        <v>9</v>
      </c>
      <c r="AK35" s="35">
        <f t="shared" si="10"/>
        <v>9</v>
      </c>
      <c r="AL35" s="35">
        <f>COUNTA(AL3:AL22)</f>
        <v>9</v>
      </c>
      <c r="AM35" s="35">
        <f>COUNTA(AM3:AM22)</f>
        <v>9</v>
      </c>
      <c r="AN35" s="35">
        <f>COUNTA(AN3:AN22)</f>
        <v>9</v>
      </c>
      <c r="AO35" s="35">
        <f>COUNTA(AO3:AO22)</f>
        <v>9</v>
      </c>
      <c r="AP35" s="35">
        <f t="shared" ref="AP35:BN35" si="11">COUNTA(AP3:AP22)</f>
        <v>9</v>
      </c>
      <c r="AQ35" s="35">
        <f t="shared" si="11"/>
        <v>9</v>
      </c>
      <c r="AR35" s="35">
        <f t="shared" si="11"/>
        <v>9</v>
      </c>
      <c r="AS35" s="35">
        <f t="shared" si="11"/>
        <v>9</v>
      </c>
      <c r="AT35" s="35">
        <f t="shared" si="11"/>
        <v>0</v>
      </c>
      <c r="AU35" s="35">
        <f t="shared" si="11"/>
        <v>9</v>
      </c>
      <c r="AV35" s="35">
        <f t="shared" si="11"/>
        <v>9</v>
      </c>
      <c r="AW35" s="35">
        <f t="shared" si="11"/>
        <v>9</v>
      </c>
      <c r="AX35" s="35">
        <f t="shared" si="11"/>
        <v>9</v>
      </c>
      <c r="AY35" s="35">
        <f t="shared" si="11"/>
        <v>9</v>
      </c>
      <c r="AZ35" s="35">
        <f t="shared" si="11"/>
        <v>0</v>
      </c>
      <c r="BA35" s="35">
        <f t="shared" si="11"/>
        <v>9</v>
      </c>
      <c r="BB35" s="35">
        <f t="shared" si="11"/>
        <v>9</v>
      </c>
      <c r="BC35" s="35">
        <f t="shared" si="11"/>
        <v>9</v>
      </c>
      <c r="BD35" s="35">
        <f t="shared" si="11"/>
        <v>9</v>
      </c>
      <c r="BE35" s="35">
        <f t="shared" si="11"/>
        <v>9</v>
      </c>
      <c r="BF35" s="35">
        <f t="shared" si="11"/>
        <v>9</v>
      </c>
      <c r="BG35" s="35">
        <f t="shared" si="11"/>
        <v>9</v>
      </c>
      <c r="BH35" s="35">
        <f t="shared" si="11"/>
        <v>9</v>
      </c>
      <c r="BI35" s="35">
        <f t="shared" si="11"/>
        <v>9</v>
      </c>
      <c r="BJ35" s="35">
        <f t="shared" si="11"/>
        <v>9</v>
      </c>
      <c r="BK35" s="35">
        <f t="shared" si="11"/>
        <v>9</v>
      </c>
      <c r="BL35" s="35">
        <f t="shared" si="11"/>
        <v>9</v>
      </c>
      <c r="BM35" s="35">
        <f t="shared" si="11"/>
        <v>9</v>
      </c>
      <c r="BN35" s="35">
        <f t="shared" si="11"/>
        <v>9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79987876</v>
      </c>
      <c r="L36" s="32">
        <f t="shared" si="12"/>
        <v>39995884</v>
      </c>
      <c r="M36" s="32">
        <f t="shared" si="12"/>
        <v>0</v>
      </c>
      <c r="N36" s="32">
        <f t="shared" si="12"/>
        <v>79899932</v>
      </c>
      <c r="O36" s="32">
        <f t="shared" si="12"/>
        <v>19995828</v>
      </c>
      <c r="P36" s="32">
        <f t="shared" si="12"/>
        <v>101975912</v>
      </c>
      <c r="Q36" s="32">
        <f t="shared" si="12"/>
        <v>79959936</v>
      </c>
      <c r="R36" s="32">
        <f t="shared" si="12"/>
        <v>99943888</v>
      </c>
      <c r="S36" s="32">
        <f t="shared" si="12"/>
        <v>59947940</v>
      </c>
      <c r="T36" s="32">
        <f t="shared" si="12"/>
        <v>0</v>
      </c>
      <c r="U36" s="32">
        <f t="shared" si="12"/>
        <v>99955988</v>
      </c>
      <c r="V36" s="32">
        <f t="shared" si="12"/>
        <v>101995892</v>
      </c>
      <c r="W36" s="32">
        <f t="shared" si="12"/>
        <v>119959872</v>
      </c>
      <c r="X36" s="32">
        <f t="shared" si="12"/>
        <v>139995884</v>
      </c>
      <c r="Y36" s="32">
        <f t="shared" si="12"/>
        <v>79955876</v>
      </c>
      <c r="Z36" s="32">
        <f t="shared" si="12"/>
        <v>99987876</v>
      </c>
      <c r="AA36" s="32">
        <f t="shared" si="12"/>
        <v>99983848</v>
      </c>
      <c r="AB36" s="32">
        <f t="shared" si="12"/>
        <v>101999888</v>
      </c>
      <c r="AC36" s="32">
        <f t="shared" si="12"/>
        <v>79931956</v>
      </c>
      <c r="AD36" s="32">
        <f t="shared" si="12"/>
        <v>121955932</v>
      </c>
      <c r="AE36" s="32">
        <f t="shared" si="12"/>
        <v>0</v>
      </c>
      <c r="AF36" s="32">
        <f t="shared" si="12"/>
        <v>79987932</v>
      </c>
      <c r="AG36" s="32">
        <f t="shared" si="12"/>
        <v>119947884</v>
      </c>
      <c r="AH36" s="32">
        <f t="shared" si="12"/>
        <v>119987932</v>
      </c>
      <c r="AI36" s="32">
        <f t="shared" si="12"/>
        <v>41955868</v>
      </c>
      <c r="AJ36" s="32">
        <f t="shared" si="12"/>
        <v>99983896</v>
      </c>
      <c r="AK36" s="32">
        <f t="shared" si="12"/>
        <v>39891884</v>
      </c>
      <c r="AL36" s="32">
        <f t="shared" si="12"/>
        <v>101987876</v>
      </c>
      <c r="AM36" s="32">
        <f t="shared" si="12"/>
        <v>119943864</v>
      </c>
      <c r="AN36" s="32">
        <f t="shared" si="12"/>
        <v>79955876</v>
      </c>
      <c r="AO36" s="32">
        <f t="shared" si="12"/>
        <v>81999880</v>
      </c>
      <c r="AP36" s="32">
        <f t="shared" si="12"/>
        <v>101971892</v>
      </c>
      <c r="AQ36" s="32">
        <f t="shared" si="12"/>
        <v>121955924</v>
      </c>
      <c r="AR36" s="32">
        <f t="shared" si="12"/>
        <v>79987908</v>
      </c>
      <c r="AS36" s="32">
        <f t="shared" si="12"/>
        <v>99943864</v>
      </c>
      <c r="AT36" s="32">
        <f t="shared" si="12"/>
        <v>0</v>
      </c>
      <c r="AU36" s="32">
        <f t="shared" si="12"/>
        <v>79923876</v>
      </c>
      <c r="AV36" s="32">
        <f t="shared" si="12"/>
        <v>79931900</v>
      </c>
      <c r="AW36" s="32">
        <f t="shared" si="12"/>
        <v>101979892</v>
      </c>
      <c r="AX36" s="32">
        <f t="shared" si="12"/>
        <v>121959928</v>
      </c>
      <c r="AY36" s="32">
        <f t="shared" si="12"/>
        <v>99955932</v>
      </c>
      <c r="AZ36" s="32">
        <f t="shared" si="12"/>
        <v>0</v>
      </c>
      <c r="BA36" s="32">
        <f t="shared" si="12"/>
        <v>161999808</v>
      </c>
      <c r="BB36" s="32">
        <f t="shared" si="12"/>
        <v>79943864</v>
      </c>
      <c r="BC36" s="32">
        <f t="shared" si="12"/>
        <v>59959792</v>
      </c>
      <c r="BD36" s="32">
        <f t="shared" si="12"/>
        <v>81971892</v>
      </c>
      <c r="BE36" s="32">
        <f t="shared" si="12"/>
        <v>59983960</v>
      </c>
      <c r="BF36" s="32">
        <f t="shared" si="12"/>
        <v>99967880</v>
      </c>
      <c r="BG36" s="32">
        <f t="shared" si="12"/>
        <v>119955764</v>
      </c>
      <c r="BH36" s="32">
        <f t="shared" si="12"/>
        <v>79943888</v>
      </c>
      <c r="BI36" s="32">
        <f t="shared" si="12"/>
        <v>61999808</v>
      </c>
      <c r="BJ36" s="32">
        <f t="shared" si="12"/>
        <v>121983928</v>
      </c>
      <c r="BK36" s="32">
        <f t="shared" si="12"/>
        <v>79987900</v>
      </c>
      <c r="BL36" s="32">
        <f t="shared" si="12"/>
        <v>79959872</v>
      </c>
      <c r="BM36" s="32">
        <f t="shared" si="12"/>
        <v>39983896</v>
      </c>
      <c r="BN36" s="32">
        <f t="shared" si="12"/>
        <v>119943864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9" stopIfTrue="1" operator="equal">
      <formula>0</formula>
    </cfRule>
  </conditionalFormatting>
  <conditionalFormatting sqref="D26:J28 K28:BE28">
    <cfRule type="cellIs" dxfId="144" priority="10" stopIfTrue="1" operator="equal">
      <formula>1</formula>
    </cfRule>
  </conditionalFormatting>
  <conditionalFormatting sqref="H3:I3 F23 H5:I5 H7:I7 H9:I9 H11:I11 H13:I13 H15:I15 H17:I17 H19:I19 H21:I21">
    <cfRule type="cellIs" dxfId="143" priority="11" stopIfTrue="1" operator="equal">
      <formula>0</formula>
    </cfRule>
  </conditionalFormatting>
  <conditionalFormatting sqref="H4:I4 F24 H6:I6 H8:I8 H10:I10 H12:I12 H14:I14 H16:I16 H18:I18 H20:I20 H22:I22">
    <cfRule type="cellIs" dxfId="142" priority="12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5" stopIfTrue="1">
      <formula>AND(COUNTA(J4)=1,$E4=1,SUM($E3:$E4)=1)</formula>
    </cfRule>
    <cfRule type="expression" dxfId="13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17" stopIfTrue="1">
      <formula>AND(COUNTA(J3)=1,$E3=1,SUM($E3:$E4)=1)</formula>
    </cfRule>
    <cfRule type="expression" dxfId="136" priority="18" stopIfTrue="1">
      <formula>AND(COUNTA(J3)=1,$E3=0,SUM($E3:$E4)=1)</formula>
    </cfRule>
  </conditionalFormatting>
  <conditionalFormatting sqref="BF23:BN23">
    <cfRule type="cellIs" dxfId="135" priority="7" stopIfTrue="1" operator="equal">
      <formula>0</formula>
    </cfRule>
  </conditionalFormatting>
  <conditionalFormatting sqref="BF24:BN24">
    <cfRule type="cellIs" dxfId="134" priority="6" stopIfTrue="1" operator="equal">
      <formula>0</formula>
    </cfRule>
  </conditionalFormatting>
  <conditionalFormatting sqref="BF28:BN28">
    <cfRule type="cellIs" dxfId="13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N58"/>
  <sheetViews>
    <sheetView zoomScale="90" zoomScaleNormal="100" zoomScaleSheetLayoutView="100" workbookViewId="0">
      <selection activeCell="D3" sqref="D3:D22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138</v>
      </c>
      <c r="C3" s="65"/>
      <c r="D3" s="64">
        <v>21</v>
      </c>
      <c r="E3" s="64">
        <f>IF(ISBLANK($D3),"0",IF(($D4-$D3)&lt;($C4-$C3),1,0))</f>
        <v>1</v>
      </c>
      <c r="F3" s="64">
        <f ca="1">COUNTA(INDIRECT("RC11:RC"&amp;11+playercnt-1,FALSE))</f>
        <v>30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/>
      <c r="M3" s="69" t="s">
        <v>314</v>
      </c>
      <c r="N3" s="69" t="s">
        <v>314</v>
      </c>
      <c r="O3" s="69"/>
      <c r="P3" s="69"/>
      <c r="Q3" s="69" t="s">
        <v>314</v>
      </c>
      <c r="R3" s="69" t="s">
        <v>314</v>
      </c>
      <c r="S3" s="69" t="s">
        <v>314</v>
      </c>
      <c r="T3" s="69" t="s">
        <v>314</v>
      </c>
      <c r="U3" s="69" t="s">
        <v>314</v>
      </c>
      <c r="V3" s="69"/>
      <c r="W3" s="69"/>
      <c r="X3" s="69" t="s">
        <v>314</v>
      </c>
      <c r="Y3" s="69"/>
      <c r="Z3" s="69"/>
      <c r="AA3" s="69" t="s">
        <v>314</v>
      </c>
      <c r="AB3" s="69" t="s">
        <v>314</v>
      </c>
      <c r="AC3" s="69" t="s">
        <v>314</v>
      </c>
      <c r="AD3" s="69" t="s">
        <v>314</v>
      </c>
      <c r="AE3" s="69"/>
      <c r="AF3" s="69"/>
      <c r="AG3" s="69" t="s">
        <v>314</v>
      </c>
      <c r="AH3" s="69"/>
      <c r="AI3" s="69"/>
      <c r="AJ3" s="69"/>
      <c r="AK3" s="69" t="s">
        <v>314</v>
      </c>
      <c r="AL3" s="69"/>
      <c r="AM3" s="69"/>
      <c r="AN3" s="69"/>
      <c r="AO3" s="69"/>
      <c r="AP3" s="69" t="s">
        <v>314</v>
      </c>
      <c r="AQ3" s="69"/>
      <c r="AR3" s="96"/>
      <c r="AS3" s="69"/>
      <c r="AT3" s="69" t="s">
        <v>314</v>
      </c>
      <c r="AU3" s="69"/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 t="s">
        <v>314</v>
      </c>
      <c r="BH3" s="69" t="s">
        <v>314</v>
      </c>
      <c r="BI3" s="69"/>
      <c r="BJ3" s="69"/>
      <c r="BK3" s="69" t="s">
        <v>314</v>
      </c>
      <c r="BL3" s="69"/>
      <c r="BM3" s="69"/>
      <c r="BN3" s="69" t="s">
        <v>314</v>
      </c>
    </row>
    <row r="4" spans="1:66" x14ac:dyDescent="0.2">
      <c r="A4" s="61" t="s">
        <v>3</v>
      </c>
      <c r="B4" s="68" t="s">
        <v>273</v>
      </c>
      <c r="C4" s="66">
        <v>7.5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26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314</v>
      </c>
      <c r="M4" s="70"/>
      <c r="N4" s="70"/>
      <c r="O4" s="70" t="s">
        <v>314</v>
      </c>
      <c r="P4" s="70" t="s">
        <v>314</v>
      </c>
      <c r="Q4" s="70"/>
      <c r="R4" s="70"/>
      <c r="S4" s="70"/>
      <c r="T4" s="70"/>
      <c r="U4" s="97"/>
      <c r="V4" s="70" t="s">
        <v>314</v>
      </c>
      <c r="W4" s="70" t="s">
        <v>314</v>
      </c>
      <c r="X4" s="70"/>
      <c r="Y4" s="70" t="s">
        <v>314</v>
      </c>
      <c r="Z4" s="70" t="s">
        <v>314</v>
      </c>
      <c r="AA4" s="70"/>
      <c r="AB4" s="70"/>
      <c r="AC4" s="70"/>
      <c r="AD4" s="70"/>
      <c r="AE4" s="70" t="s">
        <v>314</v>
      </c>
      <c r="AF4" s="70" t="s">
        <v>314</v>
      </c>
      <c r="AG4" s="70"/>
      <c r="AH4" s="70" t="s">
        <v>314</v>
      </c>
      <c r="AI4" s="70" t="s">
        <v>314</v>
      </c>
      <c r="AJ4" s="70" t="s">
        <v>314</v>
      </c>
      <c r="AK4" s="70"/>
      <c r="AL4" s="70" t="s">
        <v>314</v>
      </c>
      <c r="AM4" s="70" t="s">
        <v>314</v>
      </c>
      <c r="AN4" s="70" t="s">
        <v>314</v>
      </c>
      <c r="AO4" s="70" t="s">
        <v>314</v>
      </c>
      <c r="AP4" s="70"/>
      <c r="AQ4" s="70" t="s">
        <v>314</v>
      </c>
      <c r="AR4" s="70" t="s">
        <v>314</v>
      </c>
      <c r="AS4" s="70" t="s">
        <v>314</v>
      </c>
      <c r="AT4" s="70"/>
      <c r="AU4" s="70" t="s">
        <v>314</v>
      </c>
      <c r="AV4" s="70"/>
      <c r="AW4" s="70"/>
      <c r="AX4" s="70"/>
      <c r="AY4" s="70" t="s">
        <v>314</v>
      </c>
      <c r="AZ4" s="70" t="s">
        <v>314</v>
      </c>
      <c r="BA4" s="70"/>
      <c r="BB4" s="70"/>
      <c r="BC4" s="70"/>
      <c r="BD4" s="70"/>
      <c r="BE4" s="70"/>
      <c r="BF4" s="70"/>
      <c r="BG4" s="70"/>
      <c r="BH4" s="70"/>
      <c r="BI4" s="70" t="s">
        <v>314</v>
      </c>
      <c r="BJ4" s="70" t="s">
        <v>314</v>
      </c>
      <c r="BK4" s="70"/>
      <c r="BL4" s="70" t="s">
        <v>314</v>
      </c>
      <c r="BM4" s="70" t="s">
        <v>314</v>
      </c>
      <c r="BN4" s="70"/>
    </row>
    <row r="5" spans="1:66" x14ac:dyDescent="0.2">
      <c r="A5" s="59">
        <v>2</v>
      </c>
      <c r="B5" s="67" t="s">
        <v>185</v>
      </c>
      <c r="C5" s="65">
        <v>4.5</v>
      </c>
      <c r="D5" s="64">
        <v>27</v>
      </c>
      <c r="E5" s="64">
        <f>IF(ISBLANK($D5),"0",IF(($D6-$D5)&lt;($C6-$C5),1,0))</f>
        <v>1</v>
      </c>
      <c r="F5" s="64">
        <f t="shared" ca="1" si="1"/>
        <v>38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314</v>
      </c>
      <c r="M5" s="69" t="s">
        <v>314</v>
      </c>
      <c r="N5" s="69"/>
      <c r="O5" s="69"/>
      <c r="P5" s="69" t="s">
        <v>314</v>
      </c>
      <c r="Q5" s="69" t="s">
        <v>314</v>
      </c>
      <c r="R5" s="69" t="s">
        <v>314</v>
      </c>
      <c r="S5" s="69"/>
      <c r="T5" s="69"/>
      <c r="U5" s="96" t="s">
        <v>314</v>
      </c>
      <c r="V5" s="69"/>
      <c r="W5" s="69"/>
      <c r="X5" s="69"/>
      <c r="Y5" s="69" t="s">
        <v>314</v>
      </c>
      <c r="Z5" s="69" t="s">
        <v>314</v>
      </c>
      <c r="AA5" s="69"/>
      <c r="AB5" s="69" t="s">
        <v>314</v>
      </c>
      <c r="AC5" s="69" t="s">
        <v>314</v>
      </c>
      <c r="AD5" s="69"/>
      <c r="AE5" s="69" t="s">
        <v>314</v>
      </c>
      <c r="AF5" s="69"/>
      <c r="AG5" s="69" t="s">
        <v>314</v>
      </c>
      <c r="AH5" s="69" t="s">
        <v>314</v>
      </c>
      <c r="AI5" s="69" t="s">
        <v>314</v>
      </c>
      <c r="AJ5" s="69" t="s">
        <v>314</v>
      </c>
      <c r="AK5" s="69" t="s">
        <v>314</v>
      </c>
      <c r="AL5" s="69" t="s">
        <v>314</v>
      </c>
      <c r="AM5" s="69" t="s">
        <v>314</v>
      </c>
      <c r="AN5" s="69" t="s">
        <v>314</v>
      </c>
      <c r="AO5" s="69" t="s">
        <v>314</v>
      </c>
      <c r="AP5" s="69" t="s">
        <v>314</v>
      </c>
      <c r="AQ5" s="69" t="s">
        <v>314</v>
      </c>
      <c r="AR5" s="96" t="s">
        <v>314</v>
      </c>
      <c r="AS5" s="69"/>
      <c r="AT5" s="69" t="s">
        <v>314</v>
      </c>
      <c r="AU5" s="69" t="s">
        <v>314</v>
      </c>
      <c r="AV5" s="69" t="s">
        <v>314</v>
      </c>
      <c r="AW5" s="69"/>
      <c r="AX5" s="69" t="s">
        <v>314</v>
      </c>
      <c r="AY5" s="69" t="s">
        <v>314</v>
      </c>
      <c r="AZ5" s="69"/>
      <c r="BA5" s="69" t="s">
        <v>314</v>
      </c>
      <c r="BB5" s="69" t="s">
        <v>314</v>
      </c>
      <c r="BC5" s="69"/>
      <c r="BD5" s="69"/>
      <c r="BE5" s="69" t="s">
        <v>314</v>
      </c>
      <c r="BF5" s="69" t="s">
        <v>314</v>
      </c>
      <c r="BG5" s="69" t="s">
        <v>314</v>
      </c>
      <c r="BH5" s="69"/>
      <c r="BI5" s="69" t="s">
        <v>314</v>
      </c>
      <c r="BJ5" s="69" t="s">
        <v>314</v>
      </c>
      <c r="BK5" s="69"/>
      <c r="BL5" s="69" t="s">
        <v>314</v>
      </c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197</v>
      </c>
      <c r="C6" s="66"/>
      <c r="D6" s="64">
        <v>22</v>
      </c>
      <c r="E6" s="64">
        <f>IF(ISBLANK($D6),"0",IF(($D6-$D5)&gt;($C6-$C5),1,0))</f>
        <v>0</v>
      </c>
      <c r="F6" s="64">
        <f t="shared" ca="1" si="1"/>
        <v>18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314</v>
      </c>
      <c r="L6" s="70"/>
      <c r="M6" s="70"/>
      <c r="N6" s="70" t="s">
        <v>314</v>
      </c>
      <c r="O6" s="70" t="s">
        <v>314</v>
      </c>
      <c r="P6" s="70"/>
      <c r="Q6" s="70"/>
      <c r="R6" s="70"/>
      <c r="S6" s="70" t="s">
        <v>314</v>
      </c>
      <c r="T6" s="70" t="s">
        <v>314</v>
      </c>
      <c r="U6" s="70"/>
      <c r="V6" s="70" t="s">
        <v>314</v>
      </c>
      <c r="W6" s="70" t="s">
        <v>314</v>
      </c>
      <c r="X6" s="70" t="s">
        <v>314</v>
      </c>
      <c r="Y6" s="70"/>
      <c r="Z6" s="70"/>
      <c r="AA6" s="70" t="s">
        <v>314</v>
      </c>
      <c r="AB6" s="70"/>
      <c r="AC6" s="70"/>
      <c r="AD6" s="70" t="s">
        <v>314</v>
      </c>
      <c r="AE6" s="70"/>
      <c r="AF6" s="70" t="s">
        <v>314</v>
      </c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 t="s">
        <v>314</v>
      </c>
      <c r="AT6" s="70"/>
      <c r="AU6" s="70"/>
      <c r="AV6" s="70"/>
      <c r="AW6" s="70" t="s">
        <v>314</v>
      </c>
      <c r="AX6" s="70"/>
      <c r="AY6" s="70"/>
      <c r="AZ6" s="70" t="s">
        <v>314</v>
      </c>
      <c r="BA6" s="70"/>
      <c r="BB6" s="70"/>
      <c r="BC6" s="70" t="s">
        <v>314</v>
      </c>
      <c r="BD6" s="70" t="s">
        <v>314</v>
      </c>
      <c r="BE6" s="97"/>
      <c r="BF6" s="70"/>
      <c r="BG6" s="70"/>
      <c r="BH6" s="70" t="s">
        <v>314</v>
      </c>
      <c r="BI6" s="70"/>
      <c r="BJ6" s="70"/>
      <c r="BK6" s="70" t="s">
        <v>314</v>
      </c>
      <c r="BL6" s="70"/>
      <c r="BM6" s="70"/>
      <c r="BN6" s="70"/>
    </row>
    <row r="7" spans="1:66" x14ac:dyDescent="0.2">
      <c r="A7" s="59">
        <v>3</v>
      </c>
      <c r="B7" s="67" t="s">
        <v>238</v>
      </c>
      <c r="C7" s="65"/>
      <c r="D7" s="64">
        <v>16</v>
      </c>
      <c r="E7" s="64">
        <f>IF(ISBLANK($D7),"0",IF(($D8-$D7)&lt;($C8-$C7),1,0))</f>
        <v>0</v>
      </c>
      <c r="F7" s="64">
        <f t="shared" ca="1" si="1"/>
        <v>21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 t="s">
        <v>314</v>
      </c>
      <c r="Q7" s="69"/>
      <c r="R7" s="96"/>
      <c r="S7" s="96" t="s">
        <v>314</v>
      </c>
      <c r="T7" s="96" t="s">
        <v>314</v>
      </c>
      <c r="U7" s="96"/>
      <c r="V7" s="69"/>
      <c r="W7" s="69"/>
      <c r="X7" s="69"/>
      <c r="Y7" s="69"/>
      <c r="Z7" s="69" t="s">
        <v>314</v>
      </c>
      <c r="AA7" s="69"/>
      <c r="AB7" s="69"/>
      <c r="AC7" s="69"/>
      <c r="AD7" s="69"/>
      <c r="AE7" s="69"/>
      <c r="AF7" s="69"/>
      <c r="AG7" s="69"/>
      <c r="AH7" s="69"/>
      <c r="AI7" s="69"/>
      <c r="AJ7" s="69" t="s">
        <v>314</v>
      </c>
      <c r="AK7" s="69" t="s">
        <v>314</v>
      </c>
      <c r="AL7" s="69" t="s">
        <v>314</v>
      </c>
      <c r="AM7" s="69"/>
      <c r="AN7" s="69"/>
      <c r="AO7" s="69" t="s">
        <v>314</v>
      </c>
      <c r="AP7" s="69" t="s">
        <v>314</v>
      </c>
      <c r="AQ7" s="69" t="s">
        <v>314</v>
      </c>
      <c r="AR7" s="96"/>
      <c r="AS7" s="69"/>
      <c r="AT7" s="69" t="s">
        <v>314</v>
      </c>
      <c r="AU7" s="69"/>
      <c r="AV7" s="69"/>
      <c r="AW7" s="69"/>
      <c r="AX7" s="69" t="s">
        <v>314</v>
      </c>
      <c r="AY7" s="69"/>
      <c r="AZ7" s="69"/>
      <c r="BA7" s="69" t="s">
        <v>314</v>
      </c>
      <c r="BB7" s="69" t="s">
        <v>314</v>
      </c>
      <c r="BC7" s="69" t="s">
        <v>314</v>
      </c>
      <c r="BD7" s="69"/>
      <c r="BE7" s="96" t="s">
        <v>314</v>
      </c>
      <c r="BF7" s="69"/>
      <c r="BG7" s="69"/>
      <c r="BH7" s="69"/>
      <c r="BI7" s="69" t="s">
        <v>314</v>
      </c>
      <c r="BJ7" s="69" t="s">
        <v>314</v>
      </c>
      <c r="BK7" s="69" t="s">
        <v>314</v>
      </c>
      <c r="BL7" s="69"/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142</v>
      </c>
      <c r="C8" s="66">
        <v>12.5</v>
      </c>
      <c r="D8" s="64">
        <v>40</v>
      </c>
      <c r="E8" s="64">
        <f>IF(ISBLANK($D8),"0",IF(($D8-$D7)&gt;($C8-$C7),1,0))</f>
        <v>1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314</v>
      </c>
      <c r="L8" s="70" t="s">
        <v>314</v>
      </c>
      <c r="M8" s="70" t="s">
        <v>314</v>
      </c>
      <c r="N8" s="70" t="s">
        <v>314</v>
      </c>
      <c r="O8" s="70" t="s">
        <v>314</v>
      </c>
      <c r="P8" s="70"/>
      <c r="Q8" s="70" t="s">
        <v>314</v>
      </c>
      <c r="R8" s="97" t="s">
        <v>314</v>
      </c>
      <c r="S8" s="97"/>
      <c r="T8" s="97"/>
      <c r="U8" s="97" t="s">
        <v>314</v>
      </c>
      <c r="V8" s="70" t="s">
        <v>314</v>
      </c>
      <c r="W8" s="70" t="s">
        <v>314</v>
      </c>
      <c r="X8" s="70" t="s">
        <v>314</v>
      </c>
      <c r="Y8" s="70" t="s">
        <v>314</v>
      </c>
      <c r="Z8" s="70"/>
      <c r="AA8" s="70" t="s">
        <v>314</v>
      </c>
      <c r="AB8" s="70" t="s">
        <v>314</v>
      </c>
      <c r="AC8" s="70" t="s">
        <v>314</v>
      </c>
      <c r="AD8" s="70" t="s">
        <v>314</v>
      </c>
      <c r="AE8" s="70" t="s">
        <v>314</v>
      </c>
      <c r="AF8" s="70" t="s">
        <v>314</v>
      </c>
      <c r="AG8" s="70" t="s">
        <v>314</v>
      </c>
      <c r="AH8" s="70" t="s">
        <v>314</v>
      </c>
      <c r="AI8" s="70" t="s">
        <v>314</v>
      </c>
      <c r="AJ8" s="70"/>
      <c r="AK8" s="70"/>
      <c r="AL8" s="70"/>
      <c r="AM8" s="70" t="s">
        <v>314</v>
      </c>
      <c r="AN8" s="70" t="s">
        <v>314</v>
      </c>
      <c r="AO8" s="70"/>
      <c r="AP8" s="70"/>
      <c r="AQ8" s="70"/>
      <c r="AR8" s="70" t="s">
        <v>314</v>
      </c>
      <c r="AS8" s="70" t="s">
        <v>314</v>
      </c>
      <c r="AT8" s="70"/>
      <c r="AU8" s="70" t="s">
        <v>314</v>
      </c>
      <c r="AV8" s="70" t="s">
        <v>314</v>
      </c>
      <c r="AW8" s="70" t="s">
        <v>314</v>
      </c>
      <c r="AX8" s="70"/>
      <c r="AY8" s="70" t="s">
        <v>314</v>
      </c>
      <c r="AZ8" s="70" t="s">
        <v>314</v>
      </c>
      <c r="BA8" s="70"/>
      <c r="BB8" s="70"/>
      <c r="BC8" s="70"/>
      <c r="BD8" s="70" t="s">
        <v>314</v>
      </c>
      <c r="BE8" s="70"/>
      <c r="BF8" s="70" t="s">
        <v>314</v>
      </c>
      <c r="BG8" s="70" t="s">
        <v>314</v>
      </c>
      <c r="BH8" s="70" t="s">
        <v>314</v>
      </c>
      <c r="BI8" s="70"/>
      <c r="BJ8" s="70"/>
      <c r="BK8" s="70"/>
      <c r="BL8" s="70" t="s">
        <v>314</v>
      </c>
      <c r="BM8" s="70"/>
      <c r="BN8" s="70"/>
    </row>
    <row r="9" spans="1:66" x14ac:dyDescent="0.2">
      <c r="A9" s="59">
        <v>4</v>
      </c>
      <c r="B9" s="108" t="s">
        <v>242</v>
      </c>
      <c r="C9" s="65"/>
      <c r="D9" s="81">
        <v>17</v>
      </c>
      <c r="E9" s="64">
        <f>IF(ISBLANK($D9),"0",IF(($D10-$D9)&lt;($C10-$C9),1,0))</f>
        <v>1</v>
      </c>
      <c r="F9" s="64">
        <f t="shared" ca="1" si="1"/>
        <v>38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/>
      <c r="O9" s="69" t="s">
        <v>314</v>
      </c>
      <c r="P9" s="69"/>
      <c r="Q9" s="69" t="s">
        <v>314</v>
      </c>
      <c r="R9" s="96" t="s">
        <v>314</v>
      </c>
      <c r="S9" s="96" t="s">
        <v>314</v>
      </c>
      <c r="T9" s="96" t="s">
        <v>314</v>
      </c>
      <c r="U9" s="96" t="s">
        <v>314</v>
      </c>
      <c r="V9" s="69" t="s">
        <v>314</v>
      </c>
      <c r="W9" s="69" t="s">
        <v>314</v>
      </c>
      <c r="X9" s="69" t="s">
        <v>314</v>
      </c>
      <c r="Y9" s="69" t="s">
        <v>314</v>
      </c>
      <c r="Z9" s="69"/>
      <c r="AA9" s="69"/>
      <c r="AB9" s="69" t="s">
        <v>314</v>
      </c>
      <c r="AC9" s="69" t="s">
        <v>314</v>
      </c>
      <c r="AD9" s="69" t="s">
        <v>314</v>
      </c>
      <c r="AE9" s="69"/>
      <c r="AF9" s="69"/>
      <c r="AG9" s="69" t="s">
        <v>314</v>
      </c>
      <c r="AH9" s="69" t="s">
        <v>314</v>
      </c>
      <c r="AI9" s="69"/>
      <c r="AJ9" s="69" t="s">
        <v>314</v>
      </c>
      <c r="AK9" s="69" t="s">
        <v>314</v>
      </c>
      <c r="AL9" s="69"/>
      <c r="AM9" s="69" t="s">
        <v>314</v>
      </c>
      <c r="AN9" s="69"/>
      <c r="AO9" s="69"/>
      <c r="AP9" s="69" t="s">
        <v>314</v>
      </c>
      <c r="AQ9" s="69"/>
      <c r="AR9" s="96" t="s">
        <v>314</v>
      </c>
      <c r="AS9" s="69" t="s">
        <v>314</v>
      </c>
      <c r="AT9" s="69" t="s">
        <v>314</v>
      </c>
      <c r="AU9" s="69"/>
      <c r="AV9" s="69"/>
      <c r="AW9" s="69" t="s">
        <v>314</v>
      </c>
      <c r="AX9" s="69" t="s">
        <v>314</v>
      </c>
      <c r="AY9" s="69" t="s">
        <v>314</v>
      </c>
      <c r="AZ9" s="69" t="s">
        <v>314</v>
      </c>
      <c r="BA9" s="69" t="s">
        <v>314</v>
      </c>
      <c r="BB9" s="69"/>
      <c r="BC9" s="69" t="s">
        <v>314</v>
      </c>
      <c r="BD9" s="69" t="s">
        <v>314</v>
      </c>
      <c r="BE9" s="96" t="s">
        <v>314</v>
      </c>
      <c r="BF9" s="69" t="s">
        <v>314</v>
      </c>
      <c r="BG9" s="69"/>
      <c r="BH9" s="69" t="s">
        <v>314</v>
      </c>
      <c r="BI9" s="69"/>
      <c r="BJ9" s="69" t="s">
        <v>314</v>
      </c>
      <c r="BK9" s="69" t="s">
        <v>314</v>
      </c>
      <c r="BL9" s="69" t="s">
        <v>314</v>
      </c>
      <c r="BM9" s="69" t="s">
        <v>314</v>
      </c>
      <c r="BN9" s="69"/>
    </row>
    <row r="10" spans="1:66" x14ac:dyDescent="0.2">
      <c r="A10" s="61" t="s">
        <v>3</v>
      </c>
      <c r="B10" s="68" t="s">
        <v>140</v>
      </c>
      <c r="C10" s="66">
        <v>2.5</v>
      </c>
      <c r="D10" s="64">
        <v>10</v>
      </c>
      <c r="E10" s="64">
        <f>IF(ISBLANK($D10),"0",IF(($D10-$D9)&gt;($C10-$C9),1,0))</f>
        <v>0</v>
      </c>
      <c r="F10" s="64">
        <f t="shared" ca="1" si="1"/>
        <v>18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 t="s">
        <v>314</v>
      </c>
      <c r="O10" s="70"/>
      <c r="P10" s="70" t="s">
        <v>314</v>
      </c>
      <c r="Q10" s="70"/>
      <c r="R10" s="97"/>
      <c r="S10" s="97"/>
      <c r="T10" s="97"/>
      <c r="U10" s="70"/>
      <c r="V10" s="70"/>
      <c r="W10" s="70"/>
      <c r="X10" s="70"/>
      <c r="Y10" s="70"/>
      <c r="Z10" s="70" t="s">
        <v>314</v>
      </c>
      <c r="AA10" s="70" t="s">
        <v>314</v>
      </c>
      <c r="AB10" s="70"/>
      <c r="AC10" s="70"/>
      <c r="AD10" s="70"/>
      <c r="AE10" s="70" t="s">
        <v>314</v>
      </c>
      <c r="AF10" s="70" t="s">
        <v>314</v>
      </c>
      <c r="AG10" s="70"/>
      <c r="AH10" s="70"/>
      <c r="AI10" s="70" t="s">
        <v>314</v>
      </c>
      <c r="AJ10" s="70"/>
      <c r="AK10" s="70"/>
      <c r="AL10" s="70" t="s">
        <v>314</v>
      </c>
      <c r="AM10" s="70"/>
      <c r="AN10" s="70" t="s">
        <v>314</v>
      </c>
      <c r="AO10" s="70" t="s">
        <v>314</v>
      </c>
      <c r="AP10" s="70"/>
      <c r="AQ10" s="70" t="s">
        <v>314</v>
      </c>
      <c r="AR10" s="70"/>
      <c r="AS10" s="70"/>
      <c r="AT10" s="70"/>
      <c r="AU10" s="70" t="s">
        <v>314</v>
      </c>
      <c r="AV10" s="70" t="s">
        <v>314</v>
      </c>
      <c r="AW10" s="70"/>
      <c r="AX10" s="70"/>
      <c r="AY10" s="70"/>
      <c r="AZ10" s="70"/>
      <c r="BA10" s="70"/>
      <c r="BB10" s="70" t="s">
        <v>314</v>
      </c>
      <c r="BC10" s="70"/>
      <c r="BD10" s="70"/>
      <c r="BE10" s="70"/>
      <c r="BF10" s="70"/>
      <c r="BG10" s="70" t="s">
        <v>314</v>
      </c>
      <c r="BH10" s="70"/>
      <c r="BI10" s="70" t="s">
        <v>314</v>
      </c>
      <c r="BJ10" s="70"/>
      <c r="BK10" s="70"/>
      <c r="BL10" s="70"/>
      <c r="BM10" s="70"/>
      <c r="BN10" s="70" t="s">
        <v>314</v>
      </c>
    </row>
    <row r="11" spans="1:66" x14ac:dyDescent="0.2">
      <c r="A11" s="59">
        <v>5</v>
      </c>
      <c r="B11" s="67" t="s">
        <v>248</v>
      </c>
      <c r="C11" s="65">
        <v>7.5</v>
      </c>
      <c r="D11" s="64">
        <v>30</v>
      </c>
      <c r="E11" s="64">
        <f>IF(ISBLANK($D11),"0",IF(($D12-$D11)&lt;($C12-$C11),1,0))</f>
        <v>0</v>
      </c>
      <c r="F11" s="64">
        <f t="shared" ca="1" si="1"/>
        <v>29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/>
      <c r="N11" s="69" t="s">
        <v>314</v>
      </c>
      <c r="O11" s="69" t="s">
        <v>314</v>
      </c>
      <c r="P11" s="69"/>
      <c r="Q11" s="69"/>
      <c r="R11" s="96"/>
      <c r="S11" s="96" t="s">
        <v>314</v>
      </c>
      <c r="T11" s="96" t="s">
        <v>314</v>
      </c>
      <c r="U11" s="69" t="s">
        <v>314</v>
      </c>
      <c r="V11" s="69" t="s">
        <v>314</v>
      </c>
      <c r="W11" s="69" t="s">
        <v>314</v>
      </c>
      <c r="X11" s="69"/>
      <c r="Y11" s="69" t="s">
        <v>314</v>
      </c>
      <c r="Z11" s="69"/>
      <c r="AA11" s="69"/>
      <c r="AB11" s="69"/>
      <c r="AC11" s="69" t="s">
        <v>314</v>
      </c>
      <c r="AD11" s="69"/>
      <c r="AE11" s="69" t="s">
        <v>314</v>
      </c>
      <c r="AF11" s="69"/>
      <c r="AG11" s="69" t="s">
        <v>314</v>
      </c>
      <c r="AH11" s="69"/>
      <c r="AI11" s="69"/>
      <c r="AJ11" s="69" t="s">
        <v>314</v>
      </c>
      <c r="AK11" s="69" t="s">
        <v>314</v>
      </c>
      <c r="AL11" s="69" t="s">
        <v>314</v>
      </c>
      <c r="AM11" s="69"/>
      <c r="AN11" s="69" t="s">
        <v>314</v>
      </c>
      <c r="AO11" s="69" t="s">
        <v>314</v>
      </c>
      <c r="AP11" s="69"/>
      <c r="AQ11" s="69" t="s">
        <v>314</v>
      </c>
      <c r="AR11" s="69"/>
      <c r="AS11" s="69"/>
      <c r="AT11" s="69"/>
      <c r="AU11" s="69"/>
      <c r="AV11" s="69" t="s">
        <v>314</v>
      </c>
      <c r="AW11" s="69" t="s">
        <v>314</v>
      </c>
      <c r="AX11" s="69" t="s">
        <v>314</v>
      </c>
      <c r="AY11" s="69" t="s">
        <v>314</v>
      </c>
      <c r="AZ11" s="69"/>
      <c r="BA11" s="69" t="s">
        <v>314</v>
      </c>
      <c r="BB11" s="69" t="s">
        <v>314</v>
      </c>
      <c r="BC11" s="69"/>
      <c r="BD11" s="69"/>
      <c r="BE11" s="96" t="s">
        <v>314</v>
      </c>
      <c r="BF11" s="69"/>
      <c r="BG11" s="69" t="s">
        <v>314</v>
      </c>
      <c r="BH11" s="69"/>
      <c r="BI11" s="69"/>
      <c r="BJ11" s="69"/>
      <c r="BK11" s="69" t="s">
        <v>314</v>
      </c>
      <c r="BL11" s="69" t="s">
        <v>314</v>
      </c>
      <c r="BM11" s="69"/>
      <c r="BN11" s="69"/>
    </row>
    <row r="12" spans="1:66" x14ac:dyDescent="0.2">
      <c r="A12" s="61" t="s">
        <v>3</v>
      </c>
      <c r="B12" s="68" t="s">
        <v>247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27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314</v>
      </c>
      <c r="N12" s="70"/>
      <c r="O12" s="70"/>
      <c r="P12" s="70" t="s">
        <v>314</v>
      </c>
      <c r="Q12" s="70" t="s">
        <v>314</v>
      </c>
      <c r="R12" s="97" t="s">
        <v>314</v>
      </c>
      <c r="S12" s="97"/>
      <c r="T12" s="97"/>
      <c r="U12" s="97"/>
      <c r="V12" s="70"/>
      <c r="W12" s="70"/>
      <c r="X12" s="70" t="s">
        <v>314</v>
      </c>
      <c r="Y12" s="70"/>
      <c r="Z12" s="70" t="s">
        <v>314</v>
      </c>
      <c r="AA12" s="70" t="s">
        <v>314</v>
      </c>
      <c r="AB12" s="70" t="s">
        <v>314</v>
      </c>
      <c r="AC12" s="70"/>
      <c r="AD12" s="70" t="s">
        <v>314</v>
      </c>
      <c r="AE12" s="70"/>
      <c r="AF12" s="70" t="s">
        <v>314</v>
      </c>
      <c r="AG12" s="70"/>
      <c r="AH12" s="70" t="s">
        <v>314</v>
      </c>
      <c r="AI12" s="70" t="s">
        <v>314</v>
      </c>
      <c r="AJ12" s="70"/>
      <c r="AK12" s="70"/>
      <c r="AL12" s="70"/>
      <c r="AM12" s="70" t="s">
        <v>314</v>
      </c>
      <c r="AN12" s="70"/>
      <c r="AO12" s="70"/>
      <c r="AP12" s="70" t="s">
        <v>314</v>
      </c>
      <c r="AQ12" s="70"/>
      <c r="AR12" s="97" t="s">
        <v>314</v>
      </c>
      <c r="AS12" s="70" t="s">
        <v>314</v>
      </c>
      <c r="AT12" s="70" t="s">
        <v>314</v>
      </c>
      <c r="AU12" s="70" t="s">
        <v>314</v>
      </c>
      <c r="AV12" s="70"/>
      <c r="AW12" s="70"/>
      <c r="AX12" s="70"/>
      <c r="AY12" s="70"/>
      <c r="AZ12" s="70" t="s">
        <v>314</v>
      </c>
      <c r="BA12" s="70"/>
      <c r="BB12" s="70"/>
      <c r="BC12" s="70" t="s">
        <v>314</v>
      </c>
      <c r="BD12" s="70" t="s">
        <v>314</v>
      </c>
      <c r="BE12" s="70"/>
      <c r="BF12" s="70" t="s">
        <v>314</v>
      </c>
      <c r="BG12" s="70"/>
      <c r="BH12" s="70" t="s">
        <v>314</v>
      </c>
      <c r="BI12" s="70" t="s">
        <v>314</v>
      </c>
      <c r="BJ12" s="70" t="s">
        <v>314</v>
      </c>
      <c r="BK12" s="70"/>
      <c r="BL12" s="70"/>
      <c r="BM12" s="70" t="s">
        <v>314</v>
      </c>
      <c r="BN12" s="70" t="s">
        <v>314</v>
      </c>
    </row>
    <row r="13" spans="1:66" x14ac:dyDescent="0.2">
      <c r="A13" s="59">
        <v>6</v>
      </c>
      <c r="B13" s="67" t="s">
        <v>164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314</v>
      </c>
      <c r="T13" s="96" t="s">
        <v>314</v>
      </c>
      <c r="U13" s="69"/>
      <c r="V13" s="69" t="s">
        <v>314</v>
      </c>
      <c r="W13" s="69" t="s">
        <v>314</v>
      </c>
      <c r="X13" s="69" t="s">
        <v>314</v>
      </c>
      <c r="Y13" s="69"/>
      <c r="Z13" s="69" t="s">
        <v>314</v>
      </c>
      <c r="AA13" s="69" t="s">
        <v>314</v>
      </c>
      <c r="AB13" s="69"/>
      <c r="AC13" s="69"/>
      <c r="AD13" s="69"/>
      <c r="AE13" s="69"/>
      <c r="AF13" s="69" t="s">
        <v>314</v>
      </c>
      <c r="AG13" s="69" t="s">
        <v>314</v>
      </c>
      <c r="AH13" s="69" t="s">
        <v>314</v>
      </c>
      <c r="AI13" s="69"/>
      <c r="AJ13" s="69" t="s">
        <v>314</v>
      </c>
      <c r="AK13" s="69"/>
      <c r="AL13" s="69"/>
      <c r="AM13" s="69" t="s">
        <v>314</v>
      </c>
      <c r="AN13" s="69"/>
      <c r="AO13" s="69"/>
      <c r="AP13" s="69"/>
      <c r="AQ13" s="69"/>
      <c r="AR13" s="96"/>
      <c r="AS13" s="69" t="s">
        <v>314</v>
      </c>
      <c r="AT13" s="69"/>
      <c r="AU13" s="69"/>
      <c r="AV13" s="69" t="s">
        <v>314</v>
      </c>
      <c r="AW13" s="69" t="s">
        <v>314</v>
      </c>
      <c r="AX13" s="69"/>
      <c r="AY13" s="69"/>
      <c r="AZ13" s="69"/>
      <c r="BA13" s="69" t="s">
        <v>314</v>
      </c>
      <c r="BB13" s="69"/>
      <c r="BC13" s="69" t="s">
        <v>314</v>
      </c>
      <c r="BD13" s="69"/>
      <c r="BE13" s="96"/>
      <c r="BF13" s="69"/>
      <c r="BG13" s="69" t="s">
        <v>314</v>
      </c>
      <c r="BH13" s="69"/>
      <c r="BI13" s="69" t="s">
        <v>314</v>
      </c>
      <c r="BJ13" s="69"/>
      <c r="BK13" s="69"/>
      <c r="BL13" s="69"/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157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 t="s">
        <v>314</v>
      </c>
      <c r="M14" s="70" t="s">
        <v>314</v>
      </c>
      <c r="N14" s="70" t="s">
        <v>314</v>
      </c>
      <c r="O14" s="70" t="s">
        <v>314</v>
      </c>
      <c r="P14" s="70" t="s">
        <v>314</v>
      </c>
      <c r="Q14" s="70" t="s">
        <v>314</v>
      </c>
      <c r="R14" s="97" t="s">
        <v>314</v>
      </c>
      <c r="S14" s="97"/>
      <c r="T14" s="97"/>
      <c r="U14" s="97" t="s">
        <v>314</v>
      </c>
      <c r="V14" s="70"/>
      <c r="W14" s="70"/>
      <c r="X14" s="70"/>
      <c r="Y14" s="70" t="s">
        <v>314</v>
      </c>
      <c r="Z14" s="70"/>
      <c r="AA14" s="70"/>
      <c r="AB14" s="70" t="s">
        <v>314</v>
      </c>
      <c r="AC14" s="70" t="s">
        <v>314</v>
      </c>
      <c r="AD14" s="70" t="s">
        <v>314</v>
      </c>
      <c r="AE14" s="70" t="s">
        <v>314</v>
      </c>
      <c r="AF14" s="70"/>
      <c r="AG14" s="70"/>
      <c r="AH14" s="70"/>
      <c r="AI14" s="70" t="s">
        <v>314</v>
      </c>
      <c r="AJ14" s="70"/>
      <c r="AK14" s="70" t="s">
        <v>314</v>
      </c>
      <c r="AL14" s="70" t="s">
        <v>314</v>
      </c>
      <c r="AM14" s="70"/>
      <c r="AN14" s="70" t="s">
        <v>314</v>
      </c>
      <c r="AO14" s="70" t="s">
        <v>314</v>
      </c>
      <c r="AP14" s="70" t="s">
        <v>314</v>
      </c>
      <c r="AQ14" s="70" t="s">
        <v>314</v>
      </c>
      <c r="AR14" s="70" t="s">
        <v>314</v>
      </c>
      <c r="AS14" s="70"/>
      <c r="AT14" s="70" t="s">
        <v>314</v>
      </c>
      <c r="AU14" s="70" t="s">
        <v>314</v>
      </c>
      <c r="AV14" s="70"/>
      <c r="AW14" s="70"/>
      <c r="AX14" s="70" t="s">
        <v>314</v>
      </c>
      <c r="AY14" s="70" t="s">
        <v>314</v>
      </c>
      <c r="AZ14" s="70" t="s">
        <v>314</v>
      </c>
      <c r="BA14" s="70"/>
      <c r="BB14" s="70" t="s">
        <v>314</v>
      </c>
      <c r="BC14" s="70"/>
      <c r="BD14" s="70" t="s">
        <v>314</v>
      </c>
      <c r="BE14" s="70" t="s">
        <v>314</v>
      </c>
      <c r="BF14" s="70" t="s">
        <v>314</v>
      </c>
      <c r="BG14" s="70"/>
      <c r="BH14" s="70" t="s">
        <v>314</v>
      </c>
      <c r="BI14" s="70"/>
      <c r="BJ14" s="70" t="s">
        <v>314</v>
      </c>
      <c r="BK14" s="70" t="s">
        <v>314</v>
      </c>
      <c r="BL14" s="70" t="s">
        <v>314</v>
      </c>
      <c r="BM14" s="70"/>
      <c r="BN14" s="70"/>
    </row>
    <row r="15" spans="1:66" x14ac:dyDescent="0.2">
      <c r="A15" s="59">
        <v>7</v>
      </c>
      <c r="B15" s="67" t="s">
        <v>195</v>
      </c>
      <c r="C15" s="65">
        <v>1.5</v>
      </c>
      <c r="D15" s="64">
        <v>48</v>
      </c>
      <c r="E15" s="64">
        <f>IF(ISBLANK($D15),"0",IF(($D16-$D15)&lt;($C16-$C15),1,0))</f>
        <v>1</v>
      </c>
      <c r="F15" s="64">
        <f t="shared" ca="1" si="1"/>
        <v>22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314</v>
      </c>
      <c r="L15" s="69"/>
      <c r="M15" s="69"/>
      <c r="N15" s="69" t="s">
        <v>314</v>
      </c>
      <c r="O15" s="69"/>
      <c r="P15" s="69"/>
      <c r="Q15" s="69"/>
      <c r="R15" s="96"/>
      <c r="S15" s="96"/>
      <c r="T15" s="96"/>
      <c r="U15" s="96" t="s">
        <v>314</v>
      </c>
      <c r="V15" s="69"/>
      <c r="W15" s="69"/>
      <c r="X15" s="69"/>
      <c r="Y15" s="69" t="s">
        <v>314</v>
      </c>
      <c r="Z15" s="69"/>
      <c r="AA15" s="69" t="s">
        <v>314</v>
      </c>
      <c r="AB15" s="69" t="s">
        <v>314</v>
      </c>
      <c r="AC15" s="69" t="s">
        <v>314</v>
      </c>
      <c r="AD15" s="69"/>
      <c r="AE15" s="69" t="s">
        <v>314</v>
      </c>
      <c r="AF15" s="69"/>
      <c r="AG15" s="69"/>
      <c r="AH15" s="69"/>
      <c r="AI15" s="69" t="s">
        <v>314</v>
      </c>
      <c r="AJ15" s="69" t="s">
        <v>314</v>
      </c>
      <c r="AK15" s="69"/>
      <c r="AL15" s="69"/>
      <c r="AM15" s="69" t="s">
        <v>314</v>
      </c>
      <c r="AN15" s="69" t="s">
        <v>314</v>
      </c>
      <c r="AO15" s="69" t="s">
        <v>314</v>
      </c>
      <c r="AP15" s="69"/>
      <c r="AQ15" s="69" t="s">
        <v>314</v>
      </c>
      <c r="AR15" s="69" t="s">
        <v>314</v>
      </c>
      <c r="AS15" s="69" t="s">
        <v>314</v>
      </c>
      <c r="AT15" s="69"/>
      <c r="AU15" s="69"/>
      <c r="AV15" s="69"/>
      <c r="AW15" s="69" t="s">
        <v>314</v>
      </c>
      <c r="AX15" s="69"/>
      <c r="AY15" s="69"/>
      <c r="AZ15" s="69"/>
      <c r="BA15" s="69"/>
      <c r="BB15" s="69"/>
      <c r="BC15" s="69"/>
      <c r="BD15" s="69"/>
      <c r="BE15" s="96"/>
      <c r="BF15" s="69" t="s">
        <v>314</v>
      </c>
      <c r="BG15" s="69" t="s">
        <v>314</v>
      </c>
      <c r="BH15" s="69" t="s">
        <v>314</v>
      </c>
      <c r="BI15" s="69"/>
      <c r="BJ15" s="69" t="s">
        <v>314</v>
      </c>
      <c r="BK15" s="69"/>
      <c r="BL15" s="69"/>
      <c r="BM15" s="69" t="s">
        <v>314</v>
      </c>
      <c r="BN15" s="69"/>
    </row>
    <row r="16" spans="1:66" x14ac:dyDescent="0.2">
      <c r="A16" s="61" t="s">
        <v>3</v>
      </c>
      <c r="B16" s="68" t="s">
        <v>189</v>
      </c>
      <c r="C16" s="66"/>
      <c r="D16" s="64">
        <v>17</v>
      </c>
      <c r="E16" s="64">
        <f>IF(ISBLANK($D16),"0",IF(($D16-$D15)&gt;($C16-$C15),1,0))</f>
        <v>0</v>
      </c>
      <c r="F16" s="64">
        <f t="shared" ca="1" si="1"/>
        <v>34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314</v>
      </c>
      <c r="M16" s="70" t="s">
        <v>314</v>
      </c>
      <c r="N16" s="70"/>
      <c r="O16" s="70" t="s">
        <v>314</v>
      </c>
      <c r="P16" s="70" t="s">
        <v>314</v>
      </c>
      <c r="Q16" s="70" t="s">
        <v>314</v>
      </c>
      <c r="R16" s="70" t="s">
        <v>314</v>
      </c>
      <c r="S16" s="70" t="s">
        <v>314</v>
      </c>
      <c r="T16" s="70" t="s">
        <v>314</v>
      </c>
      <c r="U16" s="70"/>
      <c r="V16" s="70" t="s">
        <v>314</v>
      </c>
      <c r="W16" s="70" t="s">
        <v>314</v>
      </c>
      <c r="X16" s="70" t="s">
        <v>314</v>
      </c>
      <c r="Y16" s="70"/>
      <c r="Z16" s="70" t="s">
        <v>314</v>
      </c>
      <c r="AA16" s="70"/>
      <c r="AB16" s="70"/>
      <c r="AC16" s="70"/>
      <c r="AD16" s="70" t="s">
        <v>314</v>
      </c>
      <c r="AE16" s="70"/>
      <c r="AF16" s="70" t="s">
        <v>314</v>
      </c>
      <c r="AG16" s="70" t="s">
        <v>314</v>
      </c>
      <c r="AH16" s="70" t="s">
        <v>314</v>
      </c>
      <c r="AI16" s="70"/>
      <c r="AJ16" s="70"/>
      <c r="AK16" s="70" t="s">
        <v>314</v>
      </c>
      <c r="AL16" s="70" t="s">
        <v>314</v>
      </c>
      <c r="AM16" s="70"/>
      <c r="AN16" s="70"/>
      <c r="AO16" s="70"/>
      <c r="AP16" s="70" t="s">
        <v>314</v>
      </c>
      <c r="AQ16" s="70"/>
      <c r="AR16" s="97"/>
      <c r="AS16" s="70"/>
      <c r="AT16" s="70" t="s">
        <v>314</v>
      </c>
      <c r="AU16" s="70" t="s">
        <v>314</v>
      </c>
      <c r="AV16" s="70" t="s">
        <v>314</v>
      </c>
      <c r="AW16" s="70"/>
      <c r="AX16" s="70" t="s">
        <v>314</v>
      </c>
      <c r="AY16" s="70" t="s">
        <v>314</v>
      </c>
      <c r="AZ16" s="70" t="s">
        <v>314</v>
      </c>
      <c r="BA16" s="70" t="s">
        <v>314</v>
      </c>
      <c r="BB16" s="70" t="s">
        <v>314</v>
      </c>
      <c r="BC16" s="70" t="s">
        <v>314</v>
      </c>
      <c r="BD16" s="70" t="s">
        <v>314</v>
      </c>
      <c r="BE16" s="70" t="s">
        <v>314</v>
      </c>
      <c r="BF16" s="70"/>
      <c r="BG16" s="70"/>
      <c r="BH16" s="70"/>
      <c r="BI16" s="70" t="s">
        <v>314</v>
      </c>
      <c r="BJ16" s="70"/>
      <c r="BK16" s="70" t="s">
        <v>314</v>
      </c>
      <c r="BL16" s="70" t="s">
        <v>314</v>
      </c>
      <c r="BM16" s="70"/>
      <c r="BN16" s="70" t="s">
        <v>314</v>
      </c>
    </row>
    <row r="17" spans="1:66" x14ac:dyDescent="0.2">
      <c r="A17" s="59">
        <v>8</v>
      </c>
      <c r="B17" s="67" t="s">
        <v>159</v>
      </c>
      <c r="C17" s="65">
        <v>12.5</v>
      </c>
      <c r="D17" s="64">
        <v>49</v>
      </c>
      <c r="E17" s="64">
        <f>IF(ISBLANK($D17),"0",IF(($D18-$D17)&lt;($C18-$C17),1,0))</f>
        <v>1</v>
      </c>
      <c r="F17" s="64">
        <f t="shared" ca="1" si="1"/>
        <v>39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314</v>
      </c>
      <c r="M17" s="69"/>
      <c r="N17" s="69" t="s">
        <v>314</v>
      </c>
      <c r="O17" s="69"/>
      <c r="P17" s="69" t="s">
        <v>314</v>
      </c>
      <c r="Q17" s="69"/>
      <c r="R17" s="69" t="s">
        <v>314</v>
      </c>
      <c r="S17" s="69" t="s">
        <v>314</v>
      </c>
      <c r="T17" s="69"/>
      <c r="U17" s="69" t="s">
        <v>314</v>
      </c>
      <c r="V17" s="69" t="s">
        <v>314</v>
      </c>
      <c r="W17" s="69" t="s">
        <v>314</v>
      </c>
      <c r="X17" s="69" t="s">
        <v>314</v>
      </c>
      <c r="Y17" s="69"/>
      <c r="Z17" s="69"/>
      <c r="AA17" s="69" t="s">
        <v>314</v>
      </c>
      <c r="AB17" s="69" t="s">
        <v>314</v>
      </c>
      <c r="AC17" s="69"/>
      <c r="AD17" s="69" t="s">
        <v>314</v>
      </c>
      <c r="AE17" s="69" t="s">
        <v>314</v>
      </c>
      <c r="AF17" s="69" t="s">
        <v>314</v>
      </c>
      <c r="AG17" s="69" t="s">
        <v>314</v>
      </c>
      <c r="AH17" s="69"/>
      <c r="AI17" s="69" t="s">
        <v>314</v>
      </c>
      <c r="AJ17" s="69" t="s">
        <v>314</v>
      </c>
      <c r="AK17" s="69" t="s">
        <v>314</v>
      </c>
      <c r="AL17" s="69" t="s">
        <v>314</v>
      </c>
      <c r="AM17" s="69"/>
      <c r="AN17" s="69" t="s">
        <v>314</v>
      </c>
      <c r="AO17" s="69"/>
      <c r="AP17" s="69" t="s">
        <v>314</v>
      </c>
      <c r="AQ17" s="69" t="s">
        <v>314</v>
      </c>
      <c r="AR17" s="96" t="s">
        <v>314</v>
      </c>
      <c r="AS17" s="69"/>
      <c r="AT17" s="69"/>
      <c r="AU17" s="69" t="s">
        <v>314</v>
      </c>
      <c r="AV17" s="69" t="s">
        <v>314</v>
      </c>
      <c r="AW17" s="69" t="s">
        <v>314</v>
      </c>
      <c r="AX17" s="69" t="s">
        <v>314</v>
      </c>
      <c r="AY17" s="69" t="s">
        <v>314</v>
      </c>
      <c r="AZ17" s="69"/>
      <c r="BA17" s="69" t="s">
        <v>314</v>
      </c>
      <c r="BB17" s="69" t="s">
        <v>314</v>
      </c>
      <c r="BC17" s="69"/>
      <c r="BD17" s="69" t="s">
        <v>314</v>
      </c>
      <c r="BE17" s="69" t="s">
        <v>314</v>
      </c>
      <c r="BF17" s="69" t="s">
        <v>314</v>
      </c>
      <c r="BG17" s="69" t="s">
        <v>314</v>
      </c>
      <c r="BH17" s="69" t="s">
        <v>314</v>
      </c>
      <c r="BI17" s="69" t="s">
        <v>314</v>
      </c>
      <c r="BJ17" s="69" t="s">
        <v>314</v>
      </c>
      <c r="BK17" s="69" t="s">
        <v>314</v>
      </c>
      <c r="BL17" s="69" t="s">
        <v>314</v>
      </c>
      <c r="BM17" s="69"/>
      <c r="BN17" s="69"/>
    </row>
    <row r="18" spans="1:66" x14ac:dyDescent="0.2">
      <c r="A18" s="61" t="s">
        <v>3</v>
      </c>
      <c r="B18" s="68" t="s">
        <v>153</v>
      </c>
      <c r="C18" s="66"/>
      <c r="D18" s="64">
        <v>10</v>
      </c>
      <c r="E18" s="64">
        <f>IF(ISBLANK($D18),"0",IF(($D18-$D17)&gt;($C18-$C17),1,0))</f>
        <v>0</v>
      </c>
      <c r="F18" s="64">
        <f t="shared" ca="1" si="1"/>
        <v>17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/>
      <c r="M18" s="70" t="s">
        <v>314</v>
      </c>
      <c r="N18" s="70"/>
      <c r="O18" s="70" t="s">
        <v>314</v>
      </c>
      <c r="P18" s="70"/>
      <c r="Q18" s="70" t="s">
        <v>314</v>
      </c>
      <c r="R18" s="70"/>
      <c r="S18" s="70"/>
      <c r="T18" s="70" t="s">
        <v>314</v>
      </c>
      <c r="U18" s="97"/>
      <c r="V18" s="70"/>
      <c r="W18" s="70"/>
      <c r="X18" s="70"/>
      <c r="Y18" s="70" t="s">
        <v>314</v>
      </c>
      <c r="Z18" s="70" t="s">
        <v>314</v>
      </c>
      <c r="AA18" s="70"/>
      <c r="AB18" s="70"/>
      <c r="AC18" s="70" t="s">
        <v>314</v>
      </c>
      <c r="AD18" s="70"/>
      <c r="AE18" s="70"/>
      <c r="AF18" s="70"/>
      <c r="AG18" s="70"/>
      <c r="AH18" s="70" t="s">
        <v>314</v>
      </c>
      <c r="AI18" s="70"/>
      <c r="AJ18" s="70"/>
      <c r="AK18" s="70"/>
      <c r="AL18" s="70"/>
      <c r="AM18" s="70" t="s">
        <v>314</v>
      </c>
      <c r="AN18" s="70"/>
      <c r="AO18" s="70" t="s">
        <v>314</v>
      </c>
      <c r="AP18" s="70"/>
      <c r="AQ18" s="70"/>
      <c r="AR18" s="70"/>
      <c r="AS18" s="70" t="s">
        <v>314</v>
      </c>
      <c r="AT18" s="70" t="s">
        <v>314</v>
      </c>
      <c r="AU18" s="70"/>
      <c r="AV18" s="70"/>
      <c r="AW18" s="70"/>
      <c r="AX18" s="70"/>
      <c r="AY18" s="70"/>
      <c r="AZ18" s="70" t="s">
        <v>314</v>
      </c>
      <c r="BA18" s="70"/>
      <c r="BB18" s="70"/>
      <c r="BC18" s="70" t="s">
        <v>314</v>
      </c>
      <c r="BD18" s="70"/>
      <c r="BE18" s="97"/>
      <c r="BF18" s="70"/>
      <c r="BG18" s="70"/>
      <c r="BH18" s="70"/>
      <c r="BI18" s="70"/>
      <c r="BJ18" s="70"/>
      <c r="BK18" s="70"/>
      <c r="BL18" s="70"/>
      <c r="BM18" s="70" t="s">
        <v>314</v>
      </c>
      <c r="BN18" s="70" t="s">
        <v>314</v>
      </c>
    </row>
    <row r="19" spans="1:66" x14ac:dyDescent="0.2">
      <c r="A19" s="59">
        <v>9</v>
      </c>
      <c r="B19" s="67" t="s">
        <v>184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314</v>
      </c>
      <c r="P19" s="69"/>
      <c r="Q19" s="69" t="s">
        <v>314</v>
      </c>
      <c r="R19" s="69"/>
      <c r="S19" s="69" t="s">
        <v>314</v>
      </c>
      <c r="T19" s="69"/>
      <c r="U19" s="96"/>
      <c r="V19" s="69"/>
      <c r="W19" s="69"/>
      <c r="X19" s="69"/>
      <c r="Y19" s="69" t="s">
        <v>314</v>
      </c>
      <c r="Z19" s="69" t="s">
        <v>314</v>
      </c>
      <c r="AA19" s="69"/>
      <c r="AB19" s="69" t="s">
        <v>314</v>
      </c>
      <c r="AC19" s="69" t="s">
        <v>314</v>
      </c>
      <c r="AD19" s="69"/>
      <c r="AE19" s="69"/>
      <c r="AF19" s="69" t="s">
        <v>314</v>
      </c>
      <c r="AG19" s="69" t="s">
        <v>314</v>
      </c>
      <c r="AH19" s="69"/>
      <c r="AI19" s="69" t="s">
        <v>314</v>
      </c>
      <c r="AJ19" s="69"/>
      <c r="AK19" s="69" t="s">
        <v>314</v>
      </c>
      <c r="AL19" s="69"/>
      <c r="AM19" s="69" t="s">
        <v>314</v>
      </c>
      <c r="AN19" s="69" t="s">
        <v>314</v>
      </c>
      <c r="AO19" s="69" t="s">
        <v>314</v>
      </c>
      <c r="AP19" s="69"/>
      <c r="AQ19" s="69"/>
      <c r="AR19" s="69" t="s">
        <v>314</v>
      </c>
      <c r="AS19" s="69" t="s">
        <v>314</v>
      </c>
      <c r="AT19" s="69"/>
      <c r="AU19" s="69"/>
      <c r="AV19" s="69"/>
      <c r="AW19" s="69"/>
      <c r="AX19" s="69"/>
      <c r="AY19" s="69"/>
      <c r="AZ19" s="69"/>
      <c r="BA19" s="69"/>
      <c r="BB19" s="69" t="s">
        <v>314</v>
      </c>
      <c r="BC19" s="69"/>
      <c r="BD19" s="69"/>
      <c r="BE19" s="69" t="s">
        <v>314</v>
      </c>
      <c r="BF19" s="69" t="s">
        <v>314</v>
      </c>
      <c r="BG19" s="69" t="s">
        <v>314</v>
      </c>
      <c r="BH19" s="69"/>
      <c r="BI19" s="69"/>
      <c r="BJ19" s="69" t="s">
        <v>314</v>
      </c>
      <c r="BK19" s="69" t="s">
        <v>314</v>
      </c>
      <c r="BL19" s="69"/>
      <c r="BM19" s="69"/>
      <c r="BN19" s="69"/>
    </row>
    <row r="20" spans="1:66" x14ac:dyDescent="0.2">
      <c r="A20" s="61" t="s">
        <v>3</v>
      </c>
      <c r="B20" s="68" t="s">
        <v>245</v>
      </c>
      <c r="C20" s="66">
        <v>13.5</v>
      </c>
      <c r="D20" s="64">
        <v>40</v>
      </c>
      <c r="E20" s="64">
        <f>IF(ISBLANK($D20),"0",IF(($D20-$D19)&gt;($C20-$C19),1,0))</f>
        <v>1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 t="s">
        <v>314</v>
      </c>
      <c r="O20" s="70"/>
      <c r="P20" s="70" t="s">
        <v>314</v>
      </c>
      <c r="Q20" s="70"/>
      <c r="R20" s="70" t="s">
        <v>314</v>
      </c>
      <c r="S20" s="70"/>
      <c r="T20" s="70" t="s">
        <v>314</v>
      </c>
      <c r="U20" s="70" t="s">
        <v>314</v>
      </c>
      <c r="V20" s="70" t="s">
        <v>314</v>
      </c>
      <c r="W20" s="70" t="s">
        <v>314</v>
      </c>
      <c r="X20" s="70" t="s">
        <v>314</v>
      </c>
      <c r="Y20" s="70"/>
      <c r="Z20" s="70"/>
      <c r="AA20" s="70" t="s">
        <v>314</v>
      </c>
      <c r="AB20" s="70"/>
      <c r="AC20" s="70"/>
      <c r="AD20" s="70" t="s">
        <v>314</v>
      </c>
      <c r="AE20" s="70" t="s">
        <v>314</v>
      </c>
      <c r="AF20" s="70"/>
      <c r="AG20" s="70"/>
      <c r="AH20" s="70" t="s">
        <v>314</v>
      </c>
      <c r="AI20" s="70"/>
      <c r="AJ20" s="70" t="s">
        <v>314</v>
      </c>
      <c r="AK20" s="70"/>
      <c r="AL20" s="70" t="s">
        <v>314</v>
      </c>
      <c r="AM20" s="70"/>
      <c r="AN20" s="70"/>
      <c r="AO20" s="70"/>
      <c r="AP20" s="70" t="s">
        <v>314</v>
      </c>
      <c r="AQ20" s="70" t="s">
        <v>314</v>
      </c>
      <c r="AR20" s="97"/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/>
      <c r="BC20" s="70" t="s">
        <v>314</v>
      </c>
      <c r="BD20" s="70" t="s">
        <v>314</v>
      </c>
      <c r="BE20" s="97"/>
      <c r="BF20" s="70"/>
      <c r="BG20" s="70"/>
      <c r="BH20" s="70" t="s">
        <v>314</v>
      </c>
      <c r="BI20" s="70" t="s">
        <v>314</v>
      </c>
      <c r="BJ20" s="70"/>
      <c r="BK20" s="70"/>
      <c r="BL20" s="70" t="s">
        <v>314</v>
      </c>
      <c r="BM20" s="70" t="s">
        <v>314</v>
      </c>
      <c r="BN20" s="70" t="s">
        <v>314</v>
      </c>
    </row>
    <row r="21" spans="1:66" x14ac:dyDescent="0.2">
      <c r="A21" s="59">
        <v>10</v>
      </c>
      <c r="B21" s="67" t="s">
        <v>202</v>
      </c>
      <c r="C21" s="65">
        <v>10.5</v>
      </c>
      <c r="D21" s="64">
        <v>30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314</v>
      </c>
      <c r="O21" s="69"/>
      <c r="P21" s="69" t="s">
        <v>314</v>
      </c>
      <c r="Q21" s="69"/>
      <c r="R21" s="69"/>
      <c r="S21" s="69" t="s">
        <v>314</v>
      </c>
      <c r="T21" s="69" t="s">
        <v>314</v>
      </c>
      <c r="U21" s="96" t="s">
        <v>314</v>
      </c>
      <c r="V21" s="69"/>
      <c r="W21" s="69"/>
      <c r="X21" s="69"/>
      <c r="Y21" s="69"/>
      <c r="Z21" s="69" t="s">
        <v>314</v>
      </c>
      <c r="AA21" s="69" t="s">
        <v>314</v>
      </c>
      <c r="AB21" s="69" t="s">
        <v>314</v>
      </c>
      <c r="AC21" s="69"/>
      <c r="AD21" s="69"/>
      <c r="AE21" s="69" t="s">
        <v>314</v>
      </c>
      <c r="AF21" s="69"/>
      <c r="AG21" s="69"/>
      <c r="AH21" s="69"/>
      <c r="AI21" s="69"/>
      <c r="AJ21" s="69"/>
      <c r="AK21" s="69"/>
      <c r="AL21" s="69" t="s">
        <v>314</v>
      </c>
      <c r="AM21" s="69" t="s">
        <v>314</v>
      </c>
      <c r="AN21" s="69"/>
      <c r="AO21" s="69"/>
      <c r="AP21" s="69" t="s">
        <v>314</v>
      </c>
      <c r="AQ21" s="69" t="s">
        <v>314</v>
      </c>
      <c r="AR21" s="96"/>
      <c r="AS21" s="69" t="s">
        <v>314</v>
      </c>
      <c r="AT21" s="69"/>
      <c r="AU21" s="69"/>
      <c r="AV21" s="69" t="s">
        <v>314</v>
      </c>
      <c r="AW21" s="69"/>
      <c r="AX21" s="69"/>
      <c r="AY21" s="69"/>
      <c r="AZ21" s="69"/>
      <c r="BA21" s="69" t="s">
        <v>314</v>
      </c>
      <c r="BB21" s="69" t="s">
        <v>314</v>
      </c>
      <c r="BC21" s="69" t="s">
        <v>314</v>
      </c>
      <c r="BD21" s="69" t="s">
        <v>314</v>
      </c>
      <c r="BE21" s="96"/>
      <c r="BF21" s="69" t="s">
        <v>314</v>
      </c>
      <c r="BG21" s="69" t="s">
        <v>314</v>
      </c>
      <c r="BH21" s="69" t="s">
        <v>314</v>
      </c>
      <c r="BI21" s="69"/>
      <c r="BJ21" s="69"/>
      <c r="BK21" s="69" t="s">
        <v>314</v>
      </c>
      <c r="BL21" s="69" t="s">
        <v>314</v>
      </c>
      <c r="BM21" s="69"/>
      <c r="BN21" s="69" t="s">
        <v>314</v>
      </c>
    </row>
    <row r="22" spans="1:66" x14ac:dyDescent="0.2">
      <c r="A22" s="61" t="s">
        <v>3</v>
      </c>
      <c r="B22" s="68" t="s">
        <v>205</v>
      </c>
      <c r="C22" s="66"/>
      <c r="D22" s="64">
        <v>23</v>
      </c>
      <c r="E22" s="64">
        <f>IF(ISBLANK($D22),"0",IF(($D22-$D21)&gt;($C22-$C21),1,0))</f>
        <v>1</v>
      </c>
      <c r="F22" s="64">
        <f t="shared" ca="1" si="1"/>
        <v>31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314</v>
      </c>
      <c r="L22" s="70" t="s">
        <v>314</v>
      </c>
      <c r="M22" s="70" t="s">
        <v>314</v>
      </c>
      <c r="N22" s="70"/>
      <c r="O22" s="70" t="s">
        <v>314</v>
      </c>
      <c r="P22" s="70"/>
      <c r="Q22" s="70" t="s">
        <v>314</v>
      </c>
      <c r="R22" s="70" t="s">
        <v>314</v>
      </c>
      <c r="S22" s="70"/>
      <c r="T22" s="70"/>
      <c r="U22" s="70"/>
      <c r="V22" s="70" t="s">
        <v>314</v>
      </c>
      <c r="W22" s="70" t="s">
        <v>314</v>
      </c>
      <c r="X22" s="70" t="s">
        <v>314</v>
      </c>
      <c r="Y22" s="70" t="s">
        <v>314</v>
      </c>
      <c r="Z22" s="70"/>
      <c r="AA22" s="70"/>
      <c r="AB22" s="70"/>
      <c r="AC22" s="70" t="s">
        <v>314</v>
      </c>
      <c r="AD22" s="70" t="s">
        <v>314</v>
      </c>
      <c r="AE22" s="70"/>
      <c r="AF22" s="70" t="s">
        <v>314</v>
      </c>
      <c r="AG22" s="70" t="s">
        <v>314</v>
      </c>
      <c r="AH22" s="70" t="s">
        <v>314</v>
      </c>
      <c r="AI22" s="70" t="s">
        <v>314</v>
      </c>
      <c r="AJ22" s="70" t="s">
        <v>314</v>
      </c>
      <c r="AK22" s="70" t="s">
        <v>314</v>
      </c>
      <c r="AL22" s="70"/>
      <c r="AM22" s="70"/>
      <c r="AN22" s="70" t="s">
        <v>314</v>
      </c>
      <c r="AO22" s="70" t="s">
        <v>314</v>
      </c>
      <c r="AP22" s="70"/>
      <c r="AQ22" s="70"/>
      <c r="AR22" s="70" t="s">
        <v>314</v>
      </c>
      <c r="AS22" s="70"/>
      <c r="AT22" s="70" t="s">
        <v>314</v>
      </c>
      <c r="AU22" s="70" t="s">
        <v>314</v>
      </c>
      <c r="AV22" s="70"/>
      <c r="AW22" s="70" t="s">
        <v>314</v>
      </c>
      <c r="AX22" s="70" t="s">
        <v>314</v>
      </c>
      <c r="AY22" s="70" t="s">
        <v>314</v>
      </c>
      <c r="AZ22" s="70" t="s">
        <v>314</v>
      </c>
      <c r="BA22" s="70"/>
      <c r="BB22" s="70"/>
      <c r="BC22" s="70"/>
      <c r="BD22" s="70"/>
      <c r="BE22" s="70" t="s">
        <v>314</v>
      </c>
      <c r="BF22" s="70"/>
      <c r="BG22" s="70"/>
      <c r="BH22" s="70"/>
      <c r="BI22" s="70" t="s">
        <v>314</v>
      </c>
      <c r="BJ22" s="70" t="s">
        <v>314</v>
      </c>
      <c r="BK22" s="70"/>
      <c r="BL22" s="70"/>
      <c r="BM22" s="70" t="s">
        <v>314</v>
      </c>
      <c r="BN22" s="70"/>
    </row>
    <row r="23" spans="1:66" x14ac:dyDescent="0.2">
      <c r="A23" s="59"/>
      <c r="B23" s="67" t="str">
        <f>B21&amp; " - score"</f>
        <v>Ohio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/>
      <c r="K23" s="78">
        <v>28</v>
      </c>
      <c r="L23" s="78">
        <v>17</v>
      </c>
      <c r="M23" s="78">
        <v>31</v>
      </c>
      <c r="N23" s="80">
        <v>45</v>
      </c>
      <c r="O23" s="78">
        <v>64</v>
      </c>
      <c r="P23" s="78">
        <v>34</v>
      </c>
      <c r="Q23" s="78">
        <v>35</v>
      </c>
      <c r="R23" s="78">
        <v>24</v>
      </c>
      <c r="S23" s="78">
        <v>39</v>
      </c>
      <c r="T23" s="78">
        <v>27</v>
      </c>
      <c r="U23" s="78">
        <v>35</v>
      </c>
      <c r="V23" s="78">
        <v>27</v>
      </c>
      <c r="W23" s="78">
        <v>27</v>
      </c>
      <c r="X23" s="78">
        <v>20</v>
      </c>
      <c r="Y23" s="78">
        <v>28</v>
      </c>
      <c r="Z23" s="78">
        <v>35</v>
      </c>
      <c r="AA23" s="78">
        <v>28</v>
      </c>
      <c r="AB23" s="78">
        <v>21</v>
      </c>
      <c r="AC23" s="78">
        <v>41</v>
      </c>
      <c r="AD23" s="78">
        <v>35</v>
      </c>
      <c r="AE23" s="78">
        <v>31</v>
      </c>
      <c r="AF23" s="78">
        <v>37</v>
      </c>
      <c r="AG23" s="78">
        <v>35</v>
      </c>
      <c r="AH23" s="78">
        <v>28</v>
      </c>
      <c r="AI23" s="78">
        <v>31</v>
      </c>
      <c r="AJ23" s="78">
        <v>24</v>
      </c>
      <c r="AK23" s="78">
        <v>16</v>
      </c>
      <c r="AL23" s="78">
        <v>35</v>
      </c>
      <c r="AM23" s="78">
        <v>35</v>
      </c>
      <c r="AN23" s="78">
        <v>28</v>
      </c>
      <c r="AO23" s="78">
        <v>24</v>
      </c>
      <c r="AP23" s="78">
        <v>45</v>
      </c>
      <c r="AQ23" s="78">
        <v>40</v>
      </c>
      <c r="AR23" s="78">
        <v>25</v>
      </c>
      <c r="AS23" s="78">
        <v>42</v>
      </c>
      <c r="AT23" s="78">
        <v>21</v>
      </c>
      <c r="AU23" s="78">
        <v>28</v>
      </c>
      <c r="AV23" s="78">
        <v>34</v>
      </c>
      <c r="AW23" s="78">
        <v>37</v>
      </c>
      <c r="AX23" s="78">
        <v>24</v>
      </c>
      <c r="AY23" s="78">
        <v>27</v>
      </c>
      <c r="AZ23" s="78">
        <v>4</v>
      </c>
      <c r="BA23" s="78">
        <v>35</v>
      </c>
      <c r="BB23" s="78">
        <v>64</v>
      </c>
      <c r="BC23" s="78">
        <v>40</v>
      </c>
      <c r="BD23" s="78">
        <v>31</v>
      </c>
      <c r="BE23" s="78">
        <v>28</v>
      </c>
      <c r="BF23" s="78">
        <v>41</v>
      </c>
      <c r="BG23" s="78">
        <v>45</v>
      </c>
      <c r="BH23" s="78">
        <v>28</v>
      </c>
      <c r="BI23" s="78">
        <v>36</v>
      </c>
      <c r="BJ23" s="78">
        <v>24</v>
      </c>
      <c r="BK23" s="78">
        <v>51</v>
      </c>
      <c r="BL23" s="78">
        <v>35</v>
      </c>
      <c r="BM23" s="78">
        <v>37</v>
      </c>
      <c r="BN23" s="78">
        <v>28</v>
      </c>
    </row>
    <row r="24" spans="1:66" x14ac:dyDescent="0.2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21</v>
      </c>
      <c r="L24" s="79">
        <v>25</v>
      </c>
      <c r="M24" s="79">
        <v>21</v>
      </c>
      <c r="N24" s="79">
        <v>10</v>
      </c>
      <c r="O24" s="79">
        <v>72</v>
      </c>
      <c r="P24" s="79">
        <v>21</v>
      </c>
      <c r="Q24" s="79">
        <v>28</v>
      </c>
      <c r="R24" s="79">
        <v>38</v>
      </c>
      <c r="S24" s="79">
        <v>20</v>
      </c>
      <c r="T24" s="79">
        <v>6</v>
      </c>
      <c r="U24" s="79">
        <v>10</v>
      </c>
      <c r="V24" s="79">
        <v>18</v>
      </c>
      <c r="W24" s="79">
        <v>21</v>
      </c>
      <c r="X24" s="79">
        <v>10</v>
      </c>
      <c r="Y24" s="79">
        <v>21</v>
      </c>
      <c r="Z24" s="79">
        <v>24</v>
      </c>
      <c r="AA24" s="79">
        <v>14</v>
      </c>
      <c r="AB24" s="79">
        <v>7</v>
      </c>
      <c r="AC24" s="79">
        <v>34</v>
      </c>
      <c r="AD24" s="79">
        <v>25</v>
      </c>
      <c r="AE24" s="79">
        <v>20</v>
      </c>
      <c r="AF24" s="79">
        <v>31</v>
      </c>
      <c r="AG24" s="79">
        <v>28</v>
      </c>
      <c r="AH24" s="79">
        <v>21</v>
      </c>
      <c r="AI24" s="79">
        <v>27</v>
      </c>
      <c r="AJ24" s="79">
        <v>66</v>
      </c>
      <c r="AK24" s="79">
        <v>25</v>
      </c>
      <c r="AL24" s="79">
        <v>21</v>
      </c>
      <c r="AM24" s="79">
        <v>21</v>
      </c>
      <c r="AN24" s="79">
        <v>24</v>
      </c>
      <c r="AO24" s="79">
        <v>14</v>
      </c>
      <c r="AP24" s="79">
        <v>21</v>
      </c>
      <c r="AQ24" s="79">
        <v>23</v>
      </c>
      <c r="AR24" s="79">
        <v>20</v>
      </c>
      <c r="AS24" s="79">
        <v>31</v>
      </c>
      <c r="AT24" s="79">
        <v>14</v>
      </c>
      <c r="AU24" s="79">
        <v>21</v>
      </c>
      <c r="AV24" s="79">
        <v>21</v>
      </c>
      <c r="AW24" s="79">
        <v>30</v>
      </c>
      <c r="AX24" s="79">
        <v>17</v>
      </c>
      <c r="AY24" s="79">
        <v>17</v>
      </c>
      <c r="AZ24" s="79">
        <v>5</v>
      </c>
      <c r="BA24" s="79">
        <v>10</v>
      </c>
      <c r="BB24" s="79">
        <v>2</v>
      </c>
      <c r="BC24" s="79">
        <v>6</v>
      </c>
      <c r="BD24" s="79">
        <v>17</v>
      </c>
      <c r="BE24" s="79">
        <v>23</v>
      </c>
      <c r="BF24" s="79">
        <v>14</v>
      </c>
      <c r="BG24" s="79">
        <v>17</v>
      </c>
      <c r="BH24" s="79">
        <v>14</v>
      </c>
      <c r="BI24" s="79">
        <v>26</v>
      </c>
      <c r="BJ24" s="79">
        <v>20</v>
      </c>
      <c r="BK24" s="79">
        <v>30</v>
      </c>
      <c r="BL24" s="79">
        <v>14</v>
      </c>
      <c r="BM24" s="79">
        <v>27</v>
      </c>
      <c r="BN24" s="79">
        <v>14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4</v>
      </c>
      <c r="Q25" s="36">
        <f t="shared" si="3"/>
        <v>6</v>
      </c>
      <c r="R25" s="36">
        <f t="shared" si="3"/>
        <v>8</v>
      </c>
      <c r="S25" s="36">
        <f t="shared" si="3"/>
        <v>4</v>
      </c>
      <c r="T25" s="36">
        <f t="shared" si="3"/>
        <v>4</v>
      </c>
      <c r="U25" s="36">
        <f t="shared" si="3"/>
        <v>7</v>
      </c>
      <c r="V25" s="36">
        <f t="shared" si="3"/>
        <v>6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3</v>
      </c>
      <c r="AA25" s="36">
        <f t="shared" si="3"/>
        <v>7</v>
      </c>
      <c r="AB25" s="36">
        <f t="shared" si="3"/>
        <v>7</v>
      </c>
      <c r="AC25" s="36">
        <f t="shared" si="3"/>
        <v>6</v>
      </c>
      <c r="AD25" s="36">
        <f t="shared" si="3"/>
        <v>7</v>
      </c>
      <c r="AE25" s="36">
        <f t="shared" si="3"/>
        <v>5</v>
      </c>
      <c r="AF25" s="36">
        <f t="shared" si="3"/>
        <v>5</v>
      </c>
      <c r="AG25" s="36">
        <f t="shared" si="3"/>
        <v>7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5</v>
      </c>
      <c r="AL25" s="36">
        <f t="shared" si="3"/>
        <v>3</v>
      </c>
      <c r="AM25" s="36">
        <f t="shared" si="3"/>
        <v>6</v>
      </c>
      <c r="AN25" s="36">
        <f t="shared" si="3"/>
        <v>5</v>
      </c>
      <c r="AO25" s="36">
        <f t="shared" si="3"/>
        <v>3</v>
      </c>
      <c r="AP25" s="36">
        <f t="shared" si="3"/>
        <v>6</v>
      </c>
      <c r="AQ25" s="36">
        <f t="shared" si="3"/>
        <v>4</v>
      </c>
      <c r="AR25" s="36">
        <f t="shared" si="3"/>
        <v>7</v>
      </c>
      <c r="AS25" s="36">
        <f t="shared" si="3"/>
        <v>5</v>
      </c>
      <c r="AT25" s="36">
        <f t="shared" si="3"/>
        <v>6</v>
      </c>
      <c r="AU25" s="36">
        <f t="shared" si="3"/>
        <v>6</v>
      </c>
      <c r="AV25" s="36">
        <f t="shared" si="3"/>
        <v>6</v>
      </c>
      <c r="AW25" s="36">
        <f t="shared" si="3"/>
        <v>8</v>
      </c>
      <c r="AX25" s="36">
        <f t="shared" si="3"/>
        <v>6</v>
      </c>
      <c r="AY25" s="36">
        <f t="shared" si="3"/>
        <v>6</v>
      </c>
      <c r="AZ25" s="36">
        <f t="shared" si="3"/>
        <v>5</v>
      </c>
      <c r="BA25" s="36">
        <f t="shared" si="3"/>
        <v>6</v>
      </c>
      <c r="BB25" s="36">
        <f t="shared" si="3"/>
        <v>3</v>
      </c>
      <c r="BC25" s="36">
        <f t="shared" si="3"/>
        <v>5</v>
      </c>
      <c r="BD25" s="36">
        <f t="shared" si="3"/>
        <v>6</v>
      </c>
      <c r="BE25" s="36">
        <f t="shared" si="3"/>
        <v>5</v>
      </c>
      <c r="BF25" s="36">
        <f t="shared" si="3"/>
        <v>7</v>
      </c>
      <c r="BG25" s="36">
        <f t="shared" si="3"/>
        <v>6</v>
      </c>
      <c r="BH25" s="36">
        <f t="shared" si="3"/>
        <v>7</v>
      </c>
      <c r="BI25" s="36">
        <f t="shared" si="3"/>
        <v>6</v>
      </c>
      <c r="BJ25" s="36">
        <f t="shared" si="3"/>
        <v>6</v>
      </c>
      <c r="BK25" s="36">
        <f t="shared" si="3"/>
        <v>3</v>
      </c>
      <c r="BL25" s="36">
        <f t="shared" si="3"/>
        <v>5</v>
      </c>
      <c r="BM25" s="36">
        <f t="shared" si="3"/>
        <v>7</v>
      </c>
      <c r="BN25" s="36">
        <f t="shared" si="3"/>
        <v>5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15</v>
      </c>
      <c r="M26" s="71">
        <f t="shared" si="4"/>
        <v>3</v>
      </c>
      <c r="N26" s="71">
        <f t="shared" si="4"/>
        <v>28</v>
      </c>
      <c r="O26" s="71">
        <f t="shared" si="4"/>
        <v>15</v>
      </c>
      <c r="P26" s="71">
        <f t="shared" si="4"/>
        <v>6</v>
      </c>
      <c r="Q26" s="71">
        <f t="shared" si="4"/>
        <v>0</v>
      </c>
      <c r="R26" s="71">
        <f t="shared" si="4"/>
        <v>21</v>
      </c>
      <c r="S26" s="71">
        <f t="shared" si="4"/>
        <v>12</v>
      </c>
      <c r="T26" s="71">
        <f t="shared" si="4"/>
        <v>14</v>
      </c>
      <c r="U26" s="71">
        <f t="shared" si="4"/>
        <v>18</v>
      </c>
      <c r="V26" s="71">
        <f t="shared" si="4"/>
        <v>2</v>
      </c>
      <c r="W26" s="71">
        <f t="shared" si="4"/>
        <v>1</v>
      </c>
      <c r="X26" s="71">
        <f t="shared" si="4"/>
        <v>3</v>
      </c>
      <c r="Y26" s="71">
        <f t="shared" si="4"/>
        <v>0</v>
      </c>
      <c r="Z26" s="71">
        <f t="shared" si="4"/>
        <v>4</v>
      </c>
      <c r="AA26" s="71">
        <f t="shared" si="4"/>
        <v>7</v>
      </c>
      <c r="AB26" s="71">
        <f t="shared" si="4"/>
        <v>7</v>
      </c>
      <c r="AC26" s="71">
        <f t="shared" si="4"/>
        <v>0</v>
      </c>
      <c r="AD26" s="71">
        <f t="shared" si="4"/>
        <v>3</v>
      </c>
      <c r="AE26" s="71">
        <f t="shared" si="4"/>
        <v>4</v>
      </c>
      <c r="AF26" s="71">
        <f t="shared" si="4"/>
        <v>1</v>
      </c>
      <c r="AG26" s="71">
        <f t="shared" si="4"/>
        <v>0</v>
      </c>
      <c r="AH26" s="71">
        <f t="shared" si="4"/>
        <v>0</v>
      </c>
      <c r="AI26" s="71">
        <f t="shared" si="4"/>
        <v>3</v>
      </c>
      <c r="AJ26" s="71">
        <f t="shared" si="4"/>
        <v>49</v>
      </c>
      <c r="AK26" s="71">
        <f t="shared" si="4"/>
        <v>16</v>
      </c>
      <c r="AL26" s="71">
        <f t="shared" si="4"/>
        <v>7</v>
      </c>
      <c r="AM26" s="71">
        <f t="shared" si="4"/>
        <v>7</v>
      </c>
      <c r="AN26" s="71">
        <f t="shared" si="4"/>
        <v>3</v>
      </c>
      <c r="AO26" s="71">
        <f t="shared" si="4"/>
        <v>3</v>
      </c>
      <c r="AP26" s="71">
        <f t="shared" si="4"/>
        <v>17</v>
      </c>
      <c r="AQ26" s="71">
        <f t="shared" si="4"/>
        <v>10</v>
      </c>
      <c r="AR26" s="71">
        <f t="shared" si="4"/>
        <v>2</v>
      </c>
      <c r="AS26" s="71">
        <f t="shared" si="4"/>
        <v>4</v>
      </c>
      <c r="AT26" s="71">
        <f t="shared" si="4"/>
        <v>0</v>
      </c>
      <c r="AU26" s="71">
        <f t="shared" si="4"/>
        <v>0</v>
      </c>
      <c r="AV26" s="71">
        <f t="shared" si="4"/>
        <v>6</v>
      </c>
      <c r="AW26" s="71">
        <f t="shared" si="4"/>
        <v>0</v>
      </c>
      <c r="AX26" s="71">
        <f t="shared" si="4"/>
        <v>0</v>
      </c>
      <c r="AY26" s="71">
        <f t="shared" si="4"/>
        <v>3</v>
      </c>
      <c r="AZ26" s="71">
        <f t="shared" si="4"/>
        <v>8</v>
      </c>
      <c r="BA26" s="71">
        <f t="shared" si="4"/>
        <v>18</v>
      </c>
      <c r="BB26" s="71">
        <f t="shared" si="4"/>
        <v>55</v>
      </c>
      <c r="BC26" s="71">
        <f t="shared" si="4"/>
        <v>27</v>
      </c>
      <c r="BD26" s="71">
        <f t="shared" si="4"/>
        <v>7</v>
      </c>
      <c r="BE26" s="71">
        <f t="shared" si="4"/>
        <v>2</v>
      </c>
      <c r="BF26" s="71">
        <f t="shared" si="4"/>
        <v>20</v>
      </c>
      <c r="BG26" s="71">
        <f t="shared" si="4"/>
        <v>21</v>
      </c>
      <c r="BH26" s="71">
        <f t="shared" si="4"/>
        <v>7</v>
      </c>
      <c r="BI26" s="71">
        <f t="shared" si="4"/>
        <v>3</v>
      </c>
      <c r="BJ26" s="71">
        <f t="shared" si="4"/>
        <v>3</v>
      </c>
      <c r="BK26" s="71">
        <f t="shared" si="4"/>
        <v>14</v>
      </c>
      <c r="BL26" s="71">
        <f t="shared" si="4"/>
        <v>14</v>
      </c>
      <c r="BM26" s="71">
        <f t="shared" si="4"/>
        <v>3</v>
      </c>
      <c r="BN26" s="71">
        <f t="shared" si="4"/>
        <v>7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4</v>
      </c>
      <c r="L27" s="71">
        <f t="shared" si="5"/>
        <v>11</v>
      </c>
      <c r="M27" s="71">
        <f t="shared" si="5"/>
        <v>1</v>
      </c>
      <c r="N27" s="71">
        <f t="shared" si="5"/>
        <v>2</v>
      </c>
      <c r="O27" s="71">
        <f t="shared" si="5"/>
        <v>83</v>
      </c>
      <c r="P27" s="71">
        <f t="shared" si="5"/>
        <v>2</v>
      </c>
      <c r="Q27" s="71">
        <f t="shared" si="5"/>
        <v>10</v>
      </c>
      <c r="R27" s="71">
        <f t="shared" si="5"/>
        <v>9</v>
      </c>
      <c r="S27" s="71">
        <f t="shared" si="5"/>
        <v>6</v>
      </c>
      <c r="T27" s="71">
        <f t="shared" si="5"/>
        <v>20</v>
      </c>
      <c r="U27" s="71">
        <f t="shared" si="5"/>
        <v>8</v>
      </c>
      <c r="V27" s="71">
        <f t="shared" si="5"/>
        <v>8</v>
      </c>
      <c r="W27" s="71">
        <f t="shared" si="5"/>
        <v>5</v>
      </c>
      <c r="X27" s="71">
        <f t="shared" si="5"/>
        <v>23</v>
      </c>
      <c r="Y27" s="71">
        <f t="shared" si="5"/>
        <v>4</v>
      </c>
      <c r="Z27" s="71">
        <f t="shared" si="5"/>
        <v>6</v>
      </c>
      <c r="AA27" s="71">
        <f t="shared" si="5"/>
        <v>11</v>
      </c>
      <c r="AB27" s="71">
        <f t="shared" si="5"/>
        <v>25</v>
      </c>
      <c r="AC27" s="71">
        <f t="shared" si="5"/>
        <v>22</v>
      </c>
      <c r="AD27" s="71">
        <f t="shared" si="5"/>
        <v>7</v>
      </c>
      <c r="AE27" s="71">
        <f t="shared" si="5"/>
        <v>2</v>
      </c>
      <c r="AF27" s="71">
        <f t="shared" si="5"/>
        <v>15</v>
      </c>
      <c r="AG27" s="71">
        <f t="shared" si="5"/>
        <v>10</v>
      </c>
      <c r="AH27" s="71">
        <f t="shared" si="5"/>
        <v>4</v>
      </c>
      <c r="AI27" s="71">
        <f t="shared" si="5"/>
        <v>5</v>
      </c>
      <c r="AJ27" s="71">
        <f t="shared" si="5"/>
        <v>37</v>
      </c>
      <c r="AK27" s="71">
        <f t="shared" si="5"/>
        <v>12</v>
      </c>
      <c r="AL27" s="71">
        <f t="shared" si="5"/>
        <v>3</v>
      </c>
      <c r="AM27" s="71">
        <f t="shared" si="5"/>
        <v>3</v>
      </c>
      <c r="AN27" s="71">
        <f t="shared" si="5"/>
        <v>1</v>
      </c>
      <c r="AO27" s="71">
        <f t="shared" si="5"/>
        <v>15</v>
      </c>
      <c r="AP27" s="71">
        <f t="shared" si="5"/>
        <v>13</v>
      </c>
      <c r="AQ27" s="71">
        <f t="shared" si="5"/>
        <v>10</v>
      </c>
      <c r="AR27" s="71">
        <f t="shared" si="5"/>
        <v>8</v>
      </c>
      <c r="AS27" s="71">
        <f t="shared" si="5"/>
        <v>20</v>
      </c>
      <c r="AT27" s="71">
        <f t="shared" si="5"/>
        <v>18</v>
      </c>
      <c r="AU27" s="71">
        <f t="shared" si="5"/>
        <v>4</v>
      </c>
      <c r="AV27" s="71">
        <f t="shared" si="5"/>
        <v>2</v>
      </c>
      <c r="AW27" s="71">
        <f t="shared" si="5"/>
        <v>14</v>
      </c>
      <c r="AX27" s="71">
        <f t="shared" si="5"/>
        <v>12</v>
      </c>
      <c r="AY27" s="71">
        <f t="shared" si="5"/>
        <v>9</v>
      </c>
      <c r="AZ27" s="71">
        <f t="shared" si="5"/>
        <v>44</v>
      </c>
      <c r="BA27" s="71">
        <f t="shared" si="5"/>
        <v>8</v>
      </c>
      <c r="BB27" s="71">
        <f t="shared" si="5"/>
        <v>13</v>
      </c>
      <c r="BC27" s="71">
        <f t="shared" si="5"/>
        <v>7</v>
      </c>
      <c r="BD27" s="71">
        <f t="shared" si="5"/>
        <v>5</v>
      </c>
      <c r="BE27" s="71">
        <f t="shared" si="5"/>
        <v>2</v>
      </c>
      <c r="BF27" s="71">
        <f t="shared" si="5"/>
        <v>2</v>
      </c>
      <c r="BG27" s="71">
        <f t="shared" si="5"/>
        <v>9</v>
      </c>
      <c r="BH27" s="71">
        <f t="shared" si="5"/>
        <v>11</v>
      </c>
      <c r="BI27" s="71">
        <f t="shared" si="5"/>
        <v>9</v>
      </c>
      <c r="BJ27" s="71">
        <f t="shared" si="5"/>
        <v>9</v>
      </c>
      <c r="BK27" s="71">
        <f t="shared" si="5"/>
        <v>28</v>
      </c>
      <c r="BL27" s="71">
        <f t="shared" si="5"/>
        <v>4</v>
      </c>
      <c r="BM27" s="71">
        <f t="shared" si="5"/>
        <v>11</v>
      </c>
      <c r="BN27" s="71">
        <f t="shared" si="5"/>
        <v>11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>
        <f t="shared" ca="1" si="6"/>
        <v>1</v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0.5625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N29" si="7">COUNTA(L$3,L$5,L$7,L$9,L$11,L$13,L$15,L$17,L$19,L$21)</f>
        <v>3</v>
      </c>
      <c r="M29" s="71">
        <f t="shared" si="7"/>
        <v>3</v>
      </c>
      <c r="N29" s="71">
        <f t="shared" si="7"/>
        <v>5</v>
      </c>
      <c r="O29" s="71">
        <f t="shared" si="7"/>
        <v>3</v>
      </c>
      <c r="P29" s="71">
        <f t="shared" si="7"/>
        <v>4</v>
      </c>
      <c r="Q29" s="71">
        <f t="shared" si="7"/>
        <v>4</v>
      </c>
      <c r="R29" s="71">
        <f t="shared" si="7"/>
        <v>4</v>
      </c>
      <c r="S29" s="71">
        <f t="shared" si="7"/>
        <v>8</v>
      </c>
      <c r="T29" s="71">
        <f t="shared" si="7"/>
        <v>6</v>
      </c>
      <c r="U29" s="71">
        <f t="shared" si="7"/>
        <v>7</v>
      </c>
      <c r="V29" s="71">
        <f t="shared" si="7"/>
        <v>4</v>
      </c>
      <c r="W29" s="71">
        <f t="shared" si="7"/>
        <v>4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7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3</v>
      </c>
      <c r="AG29" s="71">
        <f t="shared" si="7"/>
        <v>7</v>
      </c>
      <c r="AH29" s="71">
        <f t="shared" si="7"/>
        <v>3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5</v>
      </c>
      <c r="AO29" s="71">
        <f t="shared" si="7"/>
        <v>5</v>
      </c>
      <c r="AP29" s="71">
        <f t="shared" si="7"/>
        <v>6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4</v>
      </c>
      <c r="AU29" s="71">
        <f t="shared" si="7"/>
        <v>2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1</v>
      </c>
      <c r="BA29" s="71">
        <f t="shared" si="7"/>
        <v>8</v>
      </c>
      <c r="BB29" s="71">
        <f t="shared" si="7"/>
        <v>7</v>
      </c>
      <c r="BC29" s="71">
        <f t="shared" si="7"/>
        <v>5</v>
      </c>
      <c r="BD29" s="71">
        <f t="shared" si="7"/>
        <v>4</v>
      </c>
      <c r="BE29" s="71">
        <f t="shared" si="7"/>
        <v>7</v>
      </c>
      <c r="BF29" s="71">
        <f t="shared" si="7"/>
        <v>7</v>
      </c>
      <c r="BG29" s="71">
        <f t="shared" si="7"/>
        <v>8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7</v>
      </c>
      <c r="BL29" s="71">
        <f t="shared" si="7"/>
        <v>5</v>
      </c>
      <c r="BM29" s="71">
        <f t="shared" si="7"/>
        <v>5</v>
      </c>
      <c r="BN29" s="71">
        <f t="shared" si="7"/>
        <v>5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35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6</v>
      </c>
      <c r="N30" s="73">
        <f t="shared" si="8"/>
        <v>2</v>
      </c>
      <c r="O30" s="73">
        <f t="shared" si="8"/>
        <v>6</v>
      </c>
      <c r="P30" s="73">
        <f t="shared" si="8"/>
        <v>3</v>
      </c>
      <c r="Q30" s="73">
        <f t="shared" si="8"/>
        <v>7</v>
      </c>
      <c r="R30" s="73">
        <f t="shared" si="8"/>
        <v>5</v>
      </c>
      <c r="S30" s="73">
        <f t="shared" si="8"/>
        <v>7</v>
      </c>
      <c r="T30" s="73">
        <f t="shared" si="8"/>
        <v>7</v>
      </c>
      <c r="U30" s="73">
        <f t="shared" si="8"/>
        <v>2</v>
      </c>
      <c r="V30" s="73">
        <f t="shared" si="8"/>
        <v>5</v>
      </c>
      <c r="W30" s="73">
        <f t="shared" si="8"/>
        <v>5</v>
      </c>
      <c r="X30" s="73">
        <f t="shared" si="8"/>
        <v>7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>
        <f t="shared" si="8"/>
        <v>5</v>
      </c>
      <c r="AD30" s="73">
        <f t="shared" si="8"/>
        <v>6</v>
      </c>
      <c r="AE30" s="73">
        <f t="shared" si="8"/>
        <v>0</v>
      </c>
      <c r="AF30" s="73">
        <f t="shared" si="8"/>
        <v>6</v>
      </c>
      <c r="AG30" s="73">
        <f t="shared" si="8"/>
        <v>6</v>
      </c>
      <c r="AH30" s="73">
        <f t="shared" si="8"/>
        <v>6</v>
      </c>
      <c r="AI30" s="73">
        <f t="shared" si="8"/>
        <v>3</v>
      </c>
      <c r="AJ30" s="73">
        <f t="shared" si="8"/>
        <v>4</v>
      </c>
      <c r="AK30" s="73">
        <f t="shared" si="8"/>
        <v>6</v>
      </c>
      <c r="AL30" s="73">
        <f t="shared" si="8"/>
        <v>2</v>
      </c>
      <c r="AM30" s="73">
        <f t="shared" si="8"/>
        <v>5</v>
      </c>
      <c r="AN30" s="73">
        <f t="shared" si="8"/>
        <v>2</v>
      </c>
      <c r="AO30" s="73">
        <f t="shared" si="8"/>
        <v>4</v>
      </c>
      <c r="AP30" s="73">
        <f t="shared" si="8"/>
        <v>5</v>
      </c>
      <c r="AQ30" s="73">
        <f t="shared" si="8"/>
        <v>1</v>
      </c>
      <c r="AR30" s="73">
        <f t="shared" si="8"/>
        <v>4</v>
      </c>
      <c r="AS30" s="73">
        <f t="shared" si="8"/>
        <v>6</v>
      </c>
      <c r="AT30" s="73">
        <f t="shared" si="8"/>
        <v>7</v>
      </c>
      <c r="AU30" s="73">
        <f t="shared" si="8"/>
        <v>3</v>
      </c>
      <c r="AV30" s="73">
        <f t="shared" si="8"/>
        <v>3</v>
      </c>
      <c r="AW30" s="73">
        <f t="shared" si="8"/>
        <v>5</v>
      </c>
      <c r="AX30" s="73">
        <f t="shared" si="8"/>
        <v>5</v>
      </c>
      <c r="AY30" s="73">
        <f t="shared" si="8"/>
        <v>3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8</v>
      </c>
      <c r="BD30" s="73">
        <f t="shared" si="8"/>
        <v>5</v>
      </c>
      <c r="BE30" s="73">
        <f t="shared" si="8"/>
        <v>6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5</v>
      </c>
      <c r="BJ30" s="73">
        <f t="shared" si="8"/>
        <v>5</v>
      </c>
      <c r="BK30" s="73">
        <f t="shared" si="8"/>
        <v>6</v>
      </c>
      <c r="BL30" s="73">
        <f t="shared" si="8"/>
        <v>2</v>
      </c>
      <c r="BM30" s="73">
        <f t="shared" si="8"/>
        <v>6</v>
      </c>
      <c r="BN30" s="73">
        <f t="shared" si="8"/>
        <v>6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3</v>
      </c>
      <c r="R31" s="71">
        <f t="shared" ca="1" si="9"/>
        <v>1</v>
      </c>
      <c r="S31" s="71">
        <f t="shared" ca="1" si="9"/>
        <v>5</v>
      </c>
      <c r="T31" s="71">
        <f t="shared" ca="1" si="9"/>
        <v>5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8</v>
      </c>
      <c r="AA31" s="71">
        <f t="shared" ca="1" si="9"/>
        <v>6</v>
      </c>
      <c r="AB31" s="71">
        <f t="shared" ca="1" si="9"/>
        <v>4</v>
      </c>
      <c r="AC31" s="71">
        <f t="shared" ca="1" si="9"/>
        <v>3</v>
      </c>
      <c r="AD31" s="71">
        <f t="shared" ca="1" si="9"/>
        <v>2</v>
      </c>
      <c r="AE31" s="71">
        <f t="shared" ca="1" si="9"/>
        <v>4</v>
      </c>
      <c r="AF31" s="71">
        <f t="shared" ca="1" si="9"/>
        <v>6</v>
      </c>
      <c r="AG31" s="71">
        <f t="shared" ca="1" si="9"/>
        <v>2</v>
      </c>
      <c r="AH31" s="71">
        <f t="shared" ca="1" si="9"/>
        <v>4</v>
      </c>
      <c r="AI31" s="71">
        <f t="shared" ca="1" si="9"/>
        <v>5</v>
      </c>
      <c r="AJ31" s="71">
        <f t="shared" ca="1" si="9"/>
        <v>4</v>
      </c>
      <c r="AK31" s="71">
        <f t="shared" ca="1" si="9"/>
        <v>2</v>
      </c>
      <c r="AL31" s="71">
        <f t="shared" ca="1" si="9"/>
        <v>4</v>
      </c>
      <c r="AM31" s="71">
        <f t="shared" ca="1" si="9"/>
        <v>7</v>
      </c>
      <c r="AN31" s="71">
        <f t="shared" ca="1" si="9"/>
        <v>4</v>
      </c>
      <c r="AO31" s="71">
        <f t="shared" ca="1" si="9"/>
        <v>6</v>
      </c>
      <c r="AP31" s="71">
        <f t="shared" ca="1" si="9"/>
        <v>3</v>
      </c>
      <c r="AQ31" s="71">
        <f t="shared" ca="1" si="9"/>
        <v>5</v>
      </c>
      <c r="AR31" s="71">
        <f t="shared" ca="1" si="9"/>
        <v>4</v>
      </c>
      <c r="AS31" s="71">
        <f t="shared" ca="1" si="9"/>
        <v>8</v>
      </c>
      <c r="AT31" s="71">
        <f t="shared" ca="1" si="9"/>
        <v>3</v>
      </c>
      <c r="AU31" s="71">
        <f t="shared" ca="1" si="9"/>
        <v>3</v>
      </c>
      <c r="AV31" s="71">
        <f t="shared" ca="1" si="9"/>
        <v>3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4</v>
      </c>
      <c r="BA31" s="71">
        <f t="shared" ca="1" si="9"/>
        <v>3</v>
      </c>
      <c r="BB31" s="71">
        <f t="shared" ca="1" si="9"/>
        <v>4</v>
      </c>
      <c r="BC31" s="71">
        <f t="shared" ca="1" si="9"/>
        <v>6</v>
      </c>
      <c r="BD31" s="71">
        <f t="shared" ca="1" si="9"/>
        <v>3</v>
      </c>
      <c r="BE31" s="71">
        <f t="shared" ca="1" si="9"/>
        <v>2</v>
      </c>
      <c r="BF31" s="71">
        <f t="shared" ca="1" si="9"/>
        <v>4</v>
      </c>
      <c r="BG31" s="71">
        <f t="shared" ca="1" si="9"/>
        <v>5</v>
      </c>
      <c r="BH31" s="71">
        <f t="shared" ca="1" si="9"/>
        <v>4</v>
      </c>
      <c r="BI31" s="71">
        <f t="shared" ca="1" si="9"/>
        <v>5</v>
      </c>
      <c r="BJ31" s="71">
        <f t="shared" ca="1" si="9"/>
        <v>5</v>
      </c>
      <c r="BK31" s="71">
        <f t="shared" ca="1" si="9"/>
        <v>4</v>
      </c>
      <c r="BL31" s="71">
        <f t="shared" ca="1" si="9"/>
        <v>2</v>
      </c>
      <c r="BM31" s="71">
        <f t="shared" ca="1" si="9"/>
        <v>6</v>
      </c>
      <c r="BN31" s="71">
        <f t="shared" ca="1" si="9"/>
        <v>6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121999984</v>
      </c>
      <c r="L36" s="32">
        <f t="shared" si="12"/>
        <v>101939956</v>
      </c>
      <c r="M36" s="32">
        <f t="shared" si="12"/>
        <v>141987996</v>
      </c>
      <c r="N36" s="32">
        <f t="shared" si="12"/>
        <v>99887992</v>
      </c>
      <c r="O36" s="32">
        <f t="shared" si="12"/>
        <v>61939668</v>
      </c>
      <c r="P36" s="32">
        <f t="shared" si="12"/>
        <v>79975992</v>
      </c>
      <c r="Q36" s="32">
        <f t="shared" si="12"/>
        <v>121999960</v>
      </c>
      <c r="R36" s="32">
        <f t="shared" si="12"/>
        <v>161915964</v>
      </c>
      <c r="S36" s="32">
        <f t="shared" si="12"/>
        <v>79951976</v>
      </c>
      <c r="T36" s="32">
        <f t="shared" si="12"/>
        <v>79943920</v>
      </c>
      <c r="U36" s="32">
        <f t="shared" si="12"/>
        <v>139927968</v>
      </c>
      <c r="V36" s="32">
        <f t="shared" si="12"/>
        <v>121991968</v>
      </c>
      <c r="W36" s="32">
        <f t="shared" si="12"/>
        <v>121995980</v>
      </c>
      <c r="X36" s="32">
        <f t="shared" si="12"/>
        <v>161987908</v>
      </c>
      <c r="Y36" s="32">
        <f t="shared" si="12"/>
        <v>101999984</v>
      </c>
      <c r="Z36" s="32">
        <f t="shared" si="12"/>
        <v>59983976</v>
      </c>
      <c r="AA36" s="32">
        <f t="shared" si="12"/>
        <v>139971956</v>
      </c>
      <c r="AB36" s="32">
        <f t="shared" si="12"/>
        <v>139971900</v>
      </c>
      <c r="AC36" s="32">
        <f t="shared" si="12"/>
        <v>121999912</v>
      </c>
      <c r="AD36" s="32">
        <f t="shared" si="12"/>
        <v>141987972</v>
      </c>
      <c r="AE36" s="32">
        <f t="shared" si="12"/>
        <v>99983992</v>
      </c>
      <c r="AF36" s="32">
        <f t="shared" si="12"/>
        <v>101995940</v>
      </c>
      <c r="AG36" s="32">
        <f t="shared" si="12"/>
        <v>141999960</v>
      </c>
      <c r="AH36" s="32">
        <f t="shared" si="12"/>
        <v>141999984</v>
      </c>
      <c r="AI36" s="32">
        <f t="shared" si="12"/>
        <v>121987980</v>
      </c>
      <c r="AJ36" s="32">
        <f t="shared" si="12"/>
        <v>141803852</v>
      </c>
      <c r="AK36" s="32">
        <f t="shared" si="12"/>
        <v>101935952</v>
      </c>
      <c r="AL36" s="32">
        <f t="shared" si="12"/>
        <v>59971988</v>
      </c>
      <c r="AM36" s="32">
        <f t="shared" si="12"/>
        <v>119971988</v>
      </c>
      <c r="AN36" s="32">
        <f t="shared" si="12"/>
        <v>101987996</v>
      </c>
      <c r="AO36" s="32">
        <f t="shared" si="12"/>
        <v>61987940</v>
      </c>
      <c r="AP36" s="32">
        <f t="shared" si="12"/>
        <v>119931948</v>
      </c>
      <c r="AQ36" s="32">
        <f t="shared" si="12"/>
        <v>79959960</v>
      </c>
      <c r="AR36" s="32">
        <f t="shared" si="12"/>
        <v>141991968</v>
      </c>
      <c r="AS36" s="32">
        <f t="shared" si="12"/>
        <v>99983920</v>
      </c>
      <c r="AT36" s="32">
        <f t="shared" si="12"/>
        <v>121999928</v>
      </c>
      <c r="AU36" s="32">
        <f t="shared" si="12"/>
        <v>121999984</v>
      </c>
      <c r="AV36" s="32">
        <f t="shared" si="12"/>
        <v>119975992</v>
      </c>
      <c r="AW36" s="32">
        <f t="shared" si="12"/>
        <v>161999944</v>
      </c>
      <c r="AX36" s="32">
        <f t="shared" si="12"/>
        <v>121999952</v>
      </c>
      <c r="AY36" s="32">
        <f t="shared" si="12"/>
        <v>121987964</v>
      </c>
      <c r="AZ36" s="32">
        <f t="shared" si="12"/>
        <v>101967824</v>
      </c>
      <c r="BA36" s="32">
        <f t="shared" si="12"/>
        <v>119927968</v>
      </c>
      <c r="BB36" s="32">
        <f t="shared" si="12"/>
        <v>59779948</v>
      </c>
      <c r="BC36" s="32">
        <f t="shared" si="12"/>
        <v>99891972</v>
      </c>
      <c r="BD36" s="32">
        <f t="shared" si="12"/>
        <v>119971980</v>
      </c>
      <c r="BE36" s="32">
        <f t="shared" si="12"/>
        <v>101991992</v>
      </c>
      <c r="BF36" s="32">
        <f t="shared" si="12"/>
        <v>139919992</v>
      </c>
      <c r="BG36" s="32">
        <f t="shared" si="12"/>
        <v>119915964</v>
      </c>
      <c r="BH36" s="32">
        <f t="shared" si="12"/>
        <v>139971956</v>
      </c>
      <c r="BI36" s="32">
        <f t="shared" si="12"/>
        <v>121987964</v>
      </c>
      <c r="BJ36" s="32">
        <f t="shared" si="12"/>
        <v>121987964</v>
      </c>
      <c r="BK36" s="32">
        <f t="shared" si="12"/>
        <v>59943888</v>
      </c>
      <c r="BL36" s="32">
        <f t="shared" si="12"/>
        <v>99943984</v>
      </c>
      <c r="BM36" s="32">
        <f t="shared" si="12"/>
        <v>141987956</v>
      </c>
      <c r="BN36" s="32">
        <f t="shared" si="12"/>
        <v>99971956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9" stopIfTrue="1" operator="equal">
      <formula>0</formula>
    </cfRule>
  </conditionalFormatting>
  <conditionalFormatting sqref="D26:J28 K28:BE28">
    <cfRule type="cellIs" dxfId="126" priority="10" stopIfTrue="1" operator="equal">
      <formula>1</formula>
    </cfRule>
  </conditionalFormatting>
  <conditionalFormatting sqref="H3:I3 F23 H5:I5 H7:I7 H9:I9 H11:I11 H13:I13 H15:I15 H17:I17 H19:I19 H21:I21">
    <cfRule type="cellIs" dxfId="125" priority="11" stopIfTrue="1" operator="equal">
      <formula>0</formula>
    </cfRule>
  </conditionalFormatting>
  <conditionalFormatting sqref="H4:I4 F24 H6:I6 H8:I8 H10:I10 H12:I12 H14:I14 H16:I16 H18:I18 H20:I20 H22:I22">
    <cfRule type="cellIs" dxfId="124" priority="12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5" stopIfTrue="1">
      <formula>AND(COUNTA(J4)=1,$E4=1,SUM($E3:$E4)=1)</formula>
    </cfRule>
    <cfRule type="expression" dxfId="12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17" stopIfTrue="1">
      <formula>AND(COUNTA(J3)=1,$E3=1,SUM($E3:$E4)=1)</formula>
    </cfRule>
    <cfRule type="expression" dxfId="118" priority="18" stopIfTrue="1">
      <formula>AND(COUNTA(J3)=1,$E3=0,SUM($E3:$E4)=1)</formula>
    </cfRule>
  </conditionalFormatting>
  <conditionalFormatting sqref="BF23:BN23">
    <cfRule type="cellIs" dxfId="117" priority="7" stopIfTrue="1" operator="equal">
      <formula>0</formula>
    </cfRule>
  </conditionalFormatting>
  <conditionalFormatting sqref="BF24:BN24">
    <cfRule type="cellIs" dxfId="116" priority="6" stopIfTrue="1" operator="equal">
      <formula>0</formula>
    </cfRule>
  </conditionalFormatting>
  <conditionalFormatting sqref="BF28:BN28">
    <cfRule type="cellIs" dxfId="11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158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N58"/>
  <sheetViews>
    <sheetView zoomScale="90" zoomScaleNormal="100" zoomScaleSheetLayoutView="100" workbookViewId="0">
      <selection activeCell="BG25" sqref="BG25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157</v>
      </c>
      <c r="C3" s="65"/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314</v>
      </c>
      <c r="O3" s="69" t="s">
        <v>314</v>
      </c>
      <c r="P3" s="69"/>
      <c r="Q3" s="69"/>
      <c r="R3" s="69"/>
      <c r="S3" s="69"/>
      <c r="T3" s="69"/>
      <c r="U3" s="69" t="s">
        <v>314</v>
      </c>
      <c r="V3" s="69" t="s">
        <v>314</v>
      </c>
      <c r="W3" s="69"/>
      <c r="X3" s="69"/>
      <c r="Y3" s="69" t="s">
        <v>314</v>
      </c>
      <c r="Z3" s="69"/>
      <c r="AA3" s="69" t="s">
        <v>314</v>
      </c>
      <c r="AB3" s="69" t="s">
        <v>314</v>
      </c>
      <c r="AC3" s="69" t="s">
        <v>314</v>
      </c>
      <c r="AD3" s="69"/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/>
      <c r="AM3" s="69" t="s">
        <v>314</v>
      </c>
      <c r="AN3" s="69" t="s">
        <v>314</v>
      </c>
      <c r="AO3" s="69" t="s">
        <v>314</v>
      </c>
      <c r="AP3" s="69"/>
      <c r="AQ3" s="69"/>
      <c r="AR3" s="96"/>
      <c r="AS3" s="69"/>
      <c r="AT3" s="69" t="s">
        <v>314</v>
      </c>
      <c r="AU3" s="69"/>
      <c r="AV3" s="69"/>
      <c r="AW3" s="69"/>
      <c r="AX3" s="69"/>
      <c r="AY3" s="69"/>
      <c r="AZ3" s="69"/>
      <c r="BA3" s="69"/>
      <c r="BB3" s="69" t="s">
        <v>314</v>
      </c>
      <c r="BC3" s="69"/>
      <c r="BD3" s="69"/>
      <c r="BE3" s="96" t="s">
        <v>314</v>
      </c>
      <c r="BF3" s="69" t="s">
        <v>314</v>
      </c>
      <c r="BG3" s="69"/>
      <c r="BH3" s="69"/>
      <c r="BI3" s="69"/>
      <c r="BJ3" s="69"/>
      <c r="BK3" s="69" t="s">
        <v>314</v>
      </c>
      <c r="BL3" s="69"/>
      <c r="BM3" s="69"/>
      <c r="BN3" s="69"/>
    </row>
    <row r="4" spans="1:66" x14ac:dyDescent="0.2">
      <c r="A4" s="61" t="s">
        <v>3</v>
      </c>
      <c r="B4" s="68" t="s">
        <v>167</v>
      </c>
      <c r="C4" s="66">
        <v>3.5</v>
      </c>
      <c r="D4" s="64">
        <v>37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314</v>
      </c>
      <c r="L4" s="70" t="s">
        <v>314</v>
      </c>
      <c r="M4" s="70" t="s">
        <v>314</v>
      </c>
      <c r="N4" s="70"/>
      <c r="O4" s="70"/>
      <c r="P4" s="70" t="s">
        <v>314</v>
      </c>
      <c r="Q4" s="70" t="s">
        <v>314</v>
      </c>
      <c r="R4" s="70" t="s">
        <v>314</v>
      </c>
      <c r="S4" s="70" t="s">
        <v>314</v>
      </c>
      <c r="T4" s="70" t="s">
        <v>314</v>
      </c>
      <c r="U4" s="97"/>
      <c r="V4" s="70"/>
      <c r="W4" s="70" t="s">
        <v>314</v>
      </c>
      <c r="X4" s="70" t="s">
        <v>314</v>
      </c>
      <c r="Y4" s="70"/>
      <c r="Z4" s="70" t="s">
        <v>314</v>
      </c>
      <c r="AA4" s="70"/>
      <c r="AB4" s="70"/>
      <c r="AC4" s="70"/>
      <c r="AD4" s="70" t="s">
        <v>314</v>
      </c>
      <c r="AE4" s="70"/>
      <c r="AF4" s="70"/>
      <c r="AG4" s="70"/>
      <c r="AH4" s="70"/>
      <c r="AI4" s="70"/>
      <c r="AJ4" s="70"/>
      <c r="AK4" s="70" t="s">
        <v>314</v>
      </c>
      <c r="AL4" s="70" t="s">
        <v>314</v>
      </c>
      <c r="AM4" s="70"/>
      <c r="AN4" s="70"/>
      <c r="AO4" s="70"/>
      <c r="AP4" s="70" t="s">
        <v>314</v>
      </c>
      <c r="AQ4" s="70" t="s">
        <v>314</v>
      </c>
      <c r="AR4" s="70" t="s">
        <v>314</v>
      </c>
      <c r="AS4" s="70" t="s">
        <v>314</v>
      </c>
      <c r="AT4" s="70"/>
      <c r="AU4" s="70" t="s">
        <v>314</v>
      </c>
      <c r="AV4" s="70" t="s">
        <v>314</v>
      </c>
      <c r="AW4" s="70" t="s">
        <v>314</v>
      </c>
      <c r="AX4" s="70" t="s">
        <v>314</v>
      </c>
      <c r="AY4" s="70" t="s">
        <v>314</v>
      </c>
      <c r="AZ4" s="70" t="s">
        <v>314</v>
      </c>
      <c r="BA4" s="70" t="s">
        <v>314</v>
      </c>
      <c r="BB4" s="70"/>
      <c r="BC4" s="70" t="s">
        <v>314</v>
      </c>
      <c r="BD4" s="70" t="s">
        <v>314</v>
      </c>
      <c r="BE4" s="70"/>
      <c r="BF4" s="70"/>
      <c r="BG4" s="70" t="s">
        <v>314</v>
      </c>
      <c r="BH4" s="70" t="s">
        <v>314</v>
      </c>
      <c r="BI4" s="70"/>
      <c r="BJ4" s="70" t="s">
        <v>314</v>
      </c>
      <c r="BK4" s="70"/>
      <c r="BL4" s="70" t="s">
        <v>314</v>
      </c>
      <c r="BM4" s="70" t="s">
        <v>314</v>
      </c>
      <c r="BN4" s="70" t="s">
        <v>314</v>
      </c>
    </row>
    <row r="5" spans="1:66" x14ac:dyDescent="0.2">
      <c r="A5" s="59">
        <v>2</v>
      </c>
      <c r="B5" s="67" t="s">
        <v>273</v>
      </c>
      <c r="C5" s="65"/>
      <c r="D5" s="64">
        <v>27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314</v>
      </c>
      <c r="O5" s="69" t="s">
        <v>314</v>
      </c>
      <c r="P5" s="69" t="s">
        <v>314</v>
      </c>
      <c r="Q5" s="69" t="s">
        <v>314</v>
      </c>
      <c r="R5" s="69"/>
      <c r="S5" s="69"/>
      <c r="T5" s="69"/>
      <c r="U5" s="96"/>
      <c r="V5" s="69" t="s">
        <v>314</v>
      </c>
      <c r="W5" s="69"/>
      <c r="X5" s="69"/>
      <c r="Y5" s="69"/>
      <c r="Z5" s="69" t="s">
        <v>314</v>
      </c>
      <c r="AA5" s="69" t="s">
        <v>314</v>
      </c>
      <c r="AB5" s="69"/>
      <c r="AC5" s="69" t="s">
        <v>314</v>
      </c>
      <c r="AD5" s="69"/>
      <c r="AE5" s="69"/>
      <c r="AF5" s="69" t="s">
        <v>314</v>
      </c>
      <c r="AG5" s="69" t="s">
        <v>314</v>
      </c>
      <c r="AH5" s="69"/>
      <c r="AI5" s="69"/>
      <c r="AJ5" s="69"/>
      <c r="AK5" s="69" t="s">
        <v>314</v>
      </c>
      <c r="AL5" s="69" t="s">
        <v>314</v>
      </c>
      <c r="AM5" s="69" t="s">
        <v>314</v>
      </c>
      <c r="AN5" s="69"/>
      <c r="AO5" s="69" t="s">
        <v>314</v>
      </c>
      <c r="AP5" s="69" t="s">
        <v>314</v>
      </c>
      <c r="AQ5" s="69"/>
      <c r="AR5" s="96"/>
      <c r="AS5" s="69"/>
      <c r="AT5" s="69"/>
      <c r="AU5" s="69" t="s">
        <v>314</v>
      </c>
      <c r="AV5" s="69" t="s">
        <v>314</v>
      </c>
      <c r="AW5" s="69"/>
      <c r="AX5" s="69" t="s">
        <v>314</v>
      </c>
      <c r="AY5" s="69" t="s">
        <v>314</v>
      </c>
      <c r="AZ5" s="69"/>
      <c r="BA5" s="69"/>
      <c r="BB5" s="69"/>
      <c r="BC5" s="69" t="s">
        <v>314</v>
      </c>
      <c r="BD5" s="69"/>
      <c r="BE5" s="69"/>
      <c r="BF5" s="69" t="s">
        <v>314</v>
      </c>
      <c r="BG5" s="69"/>
      <c r="BH5" s="69"/>
      <c r="BI5" s="69"/>
      <c r="BJ5" s="69" t="s">
        <v>314</v>
      </c>
      <c r="BK5" s="69"/>
      <c r="BL5" s="69"/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168</v>
      </c>
      <c r="C6" s="66">
        <v>6.5</v>
      </c>
      <c r="D6" s="64">
        <v>28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314</v>
      </c>
      <c r="L6" s="70" t="s">
        <v>314</v>
      </c>
      <c r="M6" s="70" t="s">
        <v>314</v>
      </c>
      <c r="N6" s="70"/>
      <c r="O6" s="70"/>
      <c r="P6" s="70"/>
      <c r="Q6" s="70"/>
      <c r="R6" s="70" t="s">
        <v>314</v>
      </c>
      <c r="S6" s="70" t="s">
        <v>314</v>
      </c>
      <c r="T6" s="70" t="s">
        <v>314</v>
      </c>
      <c r="U6" s="70" t="s">
        <v>314</v>
      </c>
      <c r="V6" s="70"/>
      <c r="W6" s="70" t="s">
        <v>314</v>
      </c>
      <c r="X6" s="70" t="s">
        <v>314</v>
      </c>
      <c r="Y6" s="70" t="s">
        <v>314</v>
      </c>
      <c r="Z6" s="70"/>
      <c r="AA6" s="70"/>
      <c r="AB6" s="70" t="s">
        <v>314</v>
      </c>
      <c r="AC6" s="70"/>
      <c r="AD6" s="70" t="s">
        <v>314</v>
      </c>
      <c r="AE6" s="70" t="s">
        <v>314</v>
      </c>
      <c r="AF6" s="70"/>
      <c r="AG6" s="70"/>
      <c r="AH6" s="70" t="s">
        <v>314</v>
      </c>
      <c r="AI6" s="70" t="s">
        <v>314</v>
      </c>
      <c r="AJ6" s="70" t="s">
        <v>314</v>
      </c>
      <c r="AK6" s="70"/>
      <c r="AL6" s="70"/>
      <c r="AM6" s="70"/>
      <c r="AN6" s="70" t="s">
        <v>314</v>
      </c>
      <c r="AO6" s="70"/>
      <c r="AP6" s="70"/>
      <c r="AQ6" s="70" t="s">
        <v>314</v>
      </c>
      <c r="AR6" s="70" t="s">
        <v>314</v>
      </c>
      <c r="AS6" s="70" t="s">
        <v>314</v>
      </c>
      <c r="AT6" s="70" t="s">
        <v>314</v>
      </c>
      <c r="AU6" s="70"/>
      <c r="AV6" s="70"/>
      <c r="AW6" s="70" t="s">
        <v>314</v>
      </c>
      <c r="AX6" s="70"/>
      <c r="AY6" s="70"/>
      <c r="AZ6" s="70" t="s">
        <v>314</v>
      </c>
      <c r="BA6" s="70" t="s">
        <v>314</v>
      </c>
      <c r="BB6" s="70" t="s">
        <v>314</v>
      </c>
      <c r="BC6" s="70"/>
      <c r="BD6" s="70" t="s">
        <v>314</v>
      </c>
      <c r="BE6" s="97" t="s">
        <v>314</v>
      </c>
      <c r="BF6" s="70"/>
      <c r="BG6" s="70" t="s">
        <v>314</v>
      </c>
      <c r="BH6" s="70" t="s">
        <v>314</v>
      </c>
      <c r="BI6" s="70"/>
      <c r="BJ6" s="70"/>
      <c r="BK6" s="70" t="s">
        <v>314</v>
      </c>
      <c r="BL6" s="70" t="s">
        <v>314</v>
      </c>
      <c r="BM6" s="70"/>
      <c r="BN6" s="70"/>
    </row>
    <row r="7" spans="1:66" x14ac:dyDescent="0.2">
      <c r="A7" s="59">
        <v>3</v>
      </c>
      <c r="B7" s="67" t="s">
        <v>205</v>
      </c>
      <c r="C7" s="65">
        <v>2.5</v>
      </c>
      <c r="D7" s="64">
        <v>17</v>
      </c>
      <c r="E7" s="64">
        <f>IF(ISBLANK($D7),"0",IF(($D8-$D7)&lt;($C8-$C7),1,0))</f>
        <v>1</v>
      </c>
      <c r="F7" s="64">
        <f t="shared" ca="1" si="1"/>
        <v>49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/>
      <c r="M7" s="69" t="s">
        <v>314</v>
      </c>
      <c r="N7" s="69" t="s">
        <v>314</v>
      </c>
      <c r="O7" s="69" t="s">
        <v>314</v>
      </c>
      <c r="P7" s="69" t="s">
        <v>314</v>
      </c>
      <c r="Q7" s="69" t="s">
        <v>314</v>
      </c>
      <c r="R7" s="96" t="s">
        <v>314</v>
      </c>
      <c r="S7" s="96" t="s">
        <v>314</v>
      </c>
      <c r="T7" s="96" t="s">
        <v>314</v>
      </c>
      <c r="U7" s="96" t="s">
        <v>314</v>
      </c>
      <c r="V7" s="69" t="s">
        <v>314</v>
      </c>
      <c r="W7" s="69" t="s">
        <v>314</v>
      </c>
      <c r="X7" s="69" t="s">
        <v>314</v>
      </c>
      <c r="Y7" s="69" t="s">
        <v>314</v>
      </c>
      <c r="Z7" s="69" t="s">
        <v>314</v>
      </c>
      <c r="AA7" s="69"/>
      <c r="AB7" s="69" t="s">
        <v>314</v>
      </c>
      <c r="AC7" s="69" t="s">
        <v>314</v>
      </c>
      <c r="AD7" s="69" t="s">
        <v>314</v>
      </c>
      <c r="AE7" s="69" t="s">
        <v>314</v>
      </c>
      <c r="AF7" s="69" t="s">
        <v>314</v>
      </c>
      <c r="AG7" s="69" t="s">
        <v>314</v>
      </c>
      <c r="AH7" s="69" t="s">
        <v>314</v>
      </c>
      <c r="AI7" s="69" t="s">
        <v>314</v>
      </c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 t="s">
        <v>314</v>
      </c>
      <c r="AR7" s="96" t="s">
        <v>314</v>
      </c>
      <c r="AS7" s="69" t="s">
        <v>314</v>
      </c>
      <c r="AT7" s="69" t="s">
        <v>314</v>
      </c>
      <c r="AU7" s="69"/>
      <c r="AV7" s="69"/>
      <c r="AW7" s="69" t="s">
        <v>314</v>
      </c>
      <c r="AX7" s="69" t="s">
        <v>314</v>
      </c>
      <c r="AY7" s="69" t="s">
        <v>314</v>
      </c>
      <c r="AZ7" s="69" t="s">
        <v>314</v>
      </c>
      <c r="BA7" s="69"/>
      <c r="BB7" s="69"/>
      <c r="BC7" s="69" t="s">
        <v>314</v>
      </c>
      <c r="BD7" s="69" t="s">
        <v>314</v>
      </c>
      <c r="BE7" s="96" t="s">
        <v>314</v>
      </c>
      <c r="BF7" s="69" t="s">
        <v>314</v>
      </c>
      <c r="BG7" s="69" t="s">
        <v>314</v>
      </c>
      <c r="BH7" s="69" t="s">
        <v>314</v>
      </c>
      <c r="BI7" s="69"/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198</v>
      </c>
      <c r="C8" s="66"/>
      <c r="D8" s="64">
        <v>9</v>
      </c>
      <c r="E8" s="64">
        <f>IF(ISBLANK($D8),"0",IF(($D8-$D7)&gt;($C8-$C7),1,0))</f>
        <v>0</v>
      </c>
      <c r="F8" s="64">
        <f t="shared" ca="1" si="1"/>
        <v>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314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 t="s">
        <v>314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 t="s">
        <v>314</v>
      </c>
      <c r="AV8" s="70" t="s">
        <v>314</v>
      </c>
      <c r="AW8" s="70"/>
      <c r="AX8" s="70"/>
      <c r="AY8" s="70"/>
      <c r="AZ8" s="70"/>
      <c r="BA8" s="70" t="s">
        <v>314</v>
      </c>
      <c r="BB8" s="70" t="s">
        <v>314</v>
      </c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209</v>
      </c>
      <c r="C9" s="65">
        <v>2.5</v>
      </c>
      <c r="D9" s="81">
        <v>28</v>
      </c>
      <c r="E9" s="64">
        <f>IF(ISBLANK($D9),"0",IF(($D10-$D9)&lt;($C10-$C9),1,0))</f>
        <v>0</v>
      </c>
      <c r="F9" s="64">
        <f t="shared" ca="1" si="1"/>
        <v>15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314</v>
      </c>
      <c r="M9" s="69"/>
      <c r="N9" s="69"/>
      <c r="O9" s="69"/>
      <c r="P9" s="69"/>
      <c r="Q9" s="69"/>
      <c r="R9" s="96" t="s">
        <v>314</v>
      </c>
      <c r="S9" s="96"/>
      <c r="T9" s="96" t="s">
        <v>314</v>
      </c>
      <c r="U9" s="96"/>
      <c r="V9" s="69" t="s">
        <v>314</v>
      </c>
      <c r="W9" s="69"/>
      <c r="X9" s="69"/>
      <c r="Y9" s="69"/>
      <c r="Z9" s="69"/>
      <c r="AA9" s="69" t="s">
        <v>314</v>
      </c>
      <c r="AB9" s="69"/>
      <c r="AC9" s="69"/>
      <c r="AD9" s="69"/>
      <c r="AE9" s="69" t="s">
        <v>314</v>
      </c>
      <c r="AF9" s="69"/>
      <c r="AG9" s="69" t="s">
        <v>314</v>
      </c>
      <c r="AH9" s="69"/>
      <c r="AI9" s="69"/>
      <c r="AJ9" s="69"/>
      <c r="AK9" s="69"/>
      <c r="AL9" s="69"/>
      <c r="AM9" s="69"/>
      <c r="AN9" s="69" t="s">
        <v>314</v>
      </c>
      <c r="AO9" s="69"/>
      <c r="AP9" s="69" t="s">
        <v>314</v>
      </c>
      <c r="AQ9" s="69"/>
      <c r="AR9" s="96"/>
      <c r="AS9" s="69" t="s">
        <v>314</v>
      </c>
      <c r="AT9" s="69"/>
      <c r="AU9" s="69"/>
      <c r="AV9" s="69" t="s">
        <v>314</v>
      </c>
      <c r="AW9" s="69"/>
      <c r="AX9" s="69"/>
      <c r="AY9" s="69"/>
      <c r="AZ9" s="69"/>
      <c r="BA9" s="69"/>
      <c r="BB9" s="69" t="s">
        <v>314</v>
      </c>
      <c r="BC9" s="69"/>
      <c r="BD9" s="69"/>
      <c r="BE9" s="96"/>
      <c r="BF9" s="69"/>
      <c r="BG9" s="69" t="s">
        <v>314</v>
      </c>
      <c r="BH9" s="69"/>
      <c r="BI9" s="69"/>
      <c r="BJ9" s="69"/>
      <c r="BK9" s="69"/>
      <c r="BL9" s="69"/>
      <c r="BM9" s="69" t="s">
        <v>314</v>
      </c>
      <c r="BN9" s="69" t="s">
        <v>314</v>
      </c>
    </row>
    <row r="10" spans="1:66" x14ac:dyDescent="0.2">
      <c r="A10" s="61" t="s">
        <v>3</v>
      </c>
      <c r="B10" s="68" t="s">
        <v>216</v>
      </c>
      <c r="C10" s="66"/>
      <c r="D10" s="64">
        <v>42</v>
      </c>
      <c r="E10" s="64">
        <f>IF(ISBLANK($D10),"0",IF(($D10-$D9)&gt;($C10-$C9),1,0))</f>
        <v>1</v>
      </c>
      <c r="F10" s="64">
        <f t="shared" ca="1" si="1"/>
        <v>40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314</v>
      </c>
      <c r="L10" s="70"/>
      <c r="M10" s="70" t="s">
        <v>314</v>
      </c>
      <c r="N10" s="70" t="s">
        <v>314</v>
      </c>
      <c r="O10" s="70" t="s">
        <v>314</v>
      </c>
      <c r="P10" s="70" t="s">
        <v>314</v>
      </c>
      <c r="Q10" s="70" t="s">
        <v>314</v>
      </c>
      <c r="R10" s="97"/>
      <c r="S10" s="97" t="s">
        <v>314</v>
      </c>
      <c r="T10" s="97"/>
      <c r="U10" s="70" t="s">
        <v>314</v>
      </c>
      <c r="V10" s="70"/>
      <c r="W10" s="70" t="s">
        <v>314</v>
      </c>
      <c r="X10" s="70" t="s">
        <v>314</v>
      </c>
      <c r="Y10" s="70" t="s">
        <v>314</v>
      </c>
      <c r="Z10" s="70" t="s">
        <v>314</v>
      </c>
      <c r="AA10" s="70"/>
      <c r="AB10" s="70" t="s">
        <v>314</v>
      </c>
      <c r="AC10" s="70" t="s">
        <v>314</v>
      </c>
      <c r="AD10" s="70" t="s">
        <v>314</v>
      </c>
      <c r="AE10" s="70"/>
      <c r="AF10" s="70" t="s">
        <v>314</v>
      </c>
      <c r="AG10" s="70"/>
      <c r="AH10" s="70" t="s">
        <v>314</v>
      </c>
      <c r="AI10" s="70" t="s">
        <v>314</v>
      </c>
      <c r="AJ10" s="70" t="s">
        <v>314</v>
      </c>
      <c r="AK10" s="70" t="s">
        <v>314</v>
      </c>
      <c r="AL10" s="70" t="s">
        <v>314</v>
      </c>
      <c r="AM10" s="70" t="s">
        <v>314</v>
      </c>
      <c r="AN10" s="70"/>
      <c r="AO10" s="70" t="s">
        <v>314</v>
      </c>
      <c r="AP10" s="70"/>
      <c r="AQ10" s="70" t="s">
        <v>314</v>
      </c>
      <c r="AR10" s="70" t="s">
        <v>314</v>
      </c>
      <c r="AS10" s="70"/>
      <c r="AT10" s="70" t="s">
        <v>314</v>
      </c>
      <c r="AU10" s="70" t="s">
        <v>314</v>
      </c>
      <c r="AV10" s="70"/>
      <c r="AW10" s="70" t="s">
        <v>314</v>
      </c>
      <c r="AX10" s="70" t="s">
        <v>314</v>
      </c>
      <c r="AY10" s="70" t="s">
        <v>314</v>
      </c>
      <c r="AZ10" s="70" t="s">
        <v>314</v>
      </c>
      <c r="BA10" s="70" t="s">
        <v>314</v>
      </c>
      <c r="BB10" s="70"/>
      <c r="BC10" s="70" t="s">
        <v>314</v>
      </c>
      <c r="BD10" s="70" t="s">
        <v>314</v>
      </c>
      <c r="BE10" s="70" t="s">
        <v>314</v>
      </c>
      <c r="BF10" s="70" t="s">
        <v>314</v>
      </c>
      <c r="BG10" s="70"/>
      <c r="BH10" s="70" t="s">
        <v>314</v>
      </c>
      <c r="BI10" s="70"/>
      <c r="BJ10" s="70" t="s">
        <v>314</v>
      </c>
      <c r="BK10" s="70" t="s">
        <v>314</v>
      </c>
      <c r="BL10" s="70" t="s">
        <v>314</v>
      </c>
      <c r="BM10" s="70"/>
      <c r="BN10" s="70"/>
    </row>
    <row r="11" spans="1:66" x14ac:dyDescent="0.2">
      <c r="A11" s="59">
        <v>5</v>
      </c>
      <c r="B11" s="67" t="s">
        <v>142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19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 t="s">
        <v>314</v>
      </c>
      <c r="N11" s="69"/>
      <c r="O11" s="69"/>
      <c r="P11" s="69"/>
      <c r="Q11" s="69" t="s">
        <v>314</v>
      </c>
      <c r="R11" s="96"/>
      <c r="S11" s="96"/>
      <c r="T11" s="96"/>
      <c r="U11" s="69"/>
      <c r="V11" s="69" t="s">
        <v>314</v>
      </c>
      <c r="W11" s="69" t="s">
        <v>314</v>
      </c>
      <c r="X11" s="69"/>
      <c r="Y11" s="69" t="s">
        <v>314</v>
      </c>
      <c r="Z11" s="69"/>
      <c r="AA11" s="69" t="s">
        <v>314</v>
      </c>
      <c r="AB11" s="69"/>
      <c r="AC11" s="69"/>
      <c r="AD11" s="69" t="s">
        <v>314</v>
      </c>
      <c r="AE11" s="69"/>
      <c r="AF11" s="69" t="s">
        <v>314</v>
      </c>
      <c r="AG11" s="69"/>
      <c r="AH11" s="69"/>
      <c r="AI11" s="69"/>
      <c r="AJ11" s="69"/>
      <c r="AK11" s="69" t="s">
        <v>314</v>
      </c>
      <c r="AL11" s="69"/>
      <c r="AM11" s="69"/>
      <c r="AN11" s="69"/>
      <c r="AO11" s="69" t="s">
        <v>314</v>
      </c>
      <c r="AP11" s="69"/>
      <c r="AQ11" s="69"/>
      <c r="AR11" s="69" t="s">
        <v>314</v>
      </c>
      <c r="AS11" s="69" t="s">
        <v>314</v>
      </c>
      <c r="AT11" s="69"/>
      <c r="AU11" s="69"/>
      <c r="AV11" s="69"/>
      <c r="AW11" s="69" t="s">
        <v>314</v>
      </c>
      <c r="AX11" s="69" t="s">
        <v>314</v>
      </c>
      <c r="AY11" s="69"/>
      <c r="AZ11" s="69"/>
      <c r="BA11" s="69"/>
      <c r="BB11" s="69"/>
      <c r="BC11" s="69" t="s">
        <v>314</v>
      </c>
      <c r="BD11" s="69" t="s">
        <v>314</v>
      </c>
      <c r="BE11" s="96" t="s">
        <v>314</v>
      </c>
      <c r="BF11" s="69" t="s">
        <v>314</v>
      </c>
      <c r="BG11" s="69"/>
      <c r="BH11" s="69"/>
      <c r="BI11" s="69"/>
      <c r="BJ11" s="69"/>
      <c r="BK11" s="69"/>
      <c r="BL11" s="69"/>
      <c r="BM11" s="69"/>
      <c r="BN11" s="69" t="s">
        <v>314</v>
      </c>
    </row>
    <row r="12" spans="1:66" x14ac:dyDescent="0.2">
      <c r="A12" s="61" t="s">
        <v>3</v>
      </c>
      <c r="B12" s="68" t="s">
        <v>242</v>
      </c>
      <c r="C12" s="66">
        <v>2.5</v>
      </c>
      <c r="D12" s="64">
        <v>5</v>
      </c>
      <c r="E12" s="64">
        <f>IF(ISBLANK($D12),"0",IF(($D12-$D11)&gt;($C12-$C11),1,0))</f>
        <v>0</v>
      </c>
      <c r="F12" s="64">
        <f t="shared" ca="1" si="1"/>
        <v>36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314</v>
      </c>
      <c r="L12" s="70" t="s">
        <v>314</v>
      </c>
      <c r="M12" s="70"/>
      <c r="N12" s="70" t="s">
        <v>314</v>
      </c>
      <c r="O12" s="70" t="s">
        <v>314</v>
      </c>
      <c r="P12" s="70" t="s">
        <v>314</v>
      </c>
      <c r="Q12" s="70"/>
      <c r="R12" s="97" t="s">
        <v>314</v>
      </c>
      <c r="S12" s="97" t="s">
        <v>314</v>
      </c>
      <c r="T12" s="97" t="s">
        <v>314</v>
      </c>
      <c r="U12" s="97" t="s">
        <v>314</v>
      </c>
      <c r="V12" s="70"/>
      <c r="W12" s="70"/>
      <c r="X12" s="70" t="s">
        <v>314</v>
      </c>
      <c r="Y12" s="70"/>
      <c r="Z12" s="70" t="s">
        <v>314</v>
      </c>
      <c r="AA12" s="70"/>
      <c r="AB12" s="70" t="s">
        <v>314</v>
      </c>
      <c r="AC12" s="70" t="s">
        <v>314</v>
      </c>
      <c r="AD12" s="70"/>
      <c r="AE12" s="70" t="s">
        <v>314</v>
      </c>
      <c r="AF12" s="70"/>
      <c r="AG12" s="70" t="s">
        <v>314</v>
      </c>
      <c r="AH12" s="70" t="s">
        <v>314</v>
      </c>
      <c r="AI12" s="70" t="s">
        <v>314</v>
      </c>
      <c r="AJ12" s="70" t="s">
        <v>314</v>
      </c>
      <c r="AK12" s="70"/>
      <c r="AL12" s="70" t="s">
        <v>314</v>
      </c>
      <c r="AM12" s="70" t="s">
        <v>314</v>
      </c>
      <c r="AN12" s="70" t="s">
        <v>314</v>
      </c>
      <c r="AO12" s="70"/>
      <c r="AP12" s="70" t="s">
        <v>314</v>
      </c>
      <c r="AQ12" s="70" t="s">
        <v>314</v>
      </c>
      <c r="AR12" s="97"/>
      <c r="AS12" s="70"/>
      <c r="AT12" s="70" t="s">
        <v>314</v>
      </c>
      <c r="AU12" s="70" t="s">
        <v>314</v>
      </c>
      <c r="AV12" s="70" t="s">
        <v>314</v>
      </c>
      <c r="AW12" s="70"/>
      <c r="AX12" s="70"/>
      <c r="AY12" s="70" t="s">
        <v>314</v>
      </c>
      <c r="AZ12" s="70" t="s">
        <v>314</v>
      </c>
      <c r="BA12" s="70" t="s">
        <v>314</v>
      </c>
      <c r="BB12" s="70" t="s">
        <v>314</v>
      </c>
      <c r="BC12" s="70"/>
      <c r="BD12" s="70"/>
      <c r="BE12" s="70"/>
      <c r="BF12" s="70"/>
      <c r="BG12" s="70" t="s">
        <v>314</v>
      </c>
      <c r="BH12" s="70" t="s">
        <v>314</v>
      </c>
      <c r="BI12" s="70"/>
      <c r="BJ12" s="70" t="s">
        <v>314</v>
      </c>
      <c r="BK12" s="70" t="s">
        <v>314</v>
      </c>
      <c r="BL12" s="70" t="s">
        <v>314</v>
      </c>
      <c r="BM12" s="70" t="s">
        <v>314</v>
      </c>
      <c r="BN12" s="70"/>
    </row>
    <row r="13" spans="1:66" x14ac:dyDescent="0.2">
      <c r="A13" s="59">
        <v>6</v>
      </c>
      <c r="B13" s="67" t="s">
        <v>234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 t="s">
        <v>314</v>
      </c>
      <c r="M13" s="69"/>
      <c r="N13" s="69"/>
      <c r="O13" s="69"/>
      <c r="P13" s="69"/>
      <c r="Q13" s="69"/>
      <c r="R13" s="96"/>
      <c r="S13" s="96"/>
      <c r="T13" s="96"/>
      <c r="U13" s="69"/>
      <c r="V13" s="69" t="s">
        <v>314</v>
      </c>
      <c r="W13" s="69"/>
      <c r="X13" s="69" t="s">
        <v>314</v>
      </c>
      <c r="Y13" s="69"/>
      <c r="Z13" s="69"/>
      <c r="AA13" s="69"/>
      <c r="AB13" s="69" t="s">
        <v>314</v>
      </c>
      <c r="AC13" s="69"/>
      <c r="AD13" s="69"/>
      <c r="AE13" s="69"/>
      <c r="AF13" s="69"/>
      <c r="AG13" s="69" t="s">
        <v>314</v>
      </c>
      <c r="AH13" s="69"/>
      <c r="AI13" s="69"/>
      <c r="AJ13" s="69"/>
      <c r="AK13" s="69" t="s">
        <v>314</v>
      </c>
      <c r="AL13" s="69"/>
      <c r="AM13" s="69"/>
      <c r="AN13" s="69"/>
      <c r="AO13" s="69"/>
      <c r="AP13" s="69" t="s">
        <v>314</v>
      </c>
      <c r="AQ13" s="69"/>
      <c r="AR13" s="96"/>
      <c r="AS13" s="69"/>
      <c r="AT13" s="69"/>
      <c r="AU13" s="69"/>
      <c r="AV13" s="69" t="s">
        <v>314</v>
      </c>
      <c r="AW13" s="69"/>
      <c r="AX13" s="69" t="s">
        <v>314</v>
      </c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 t="s">
        <v>314</v>
      </c>
      <c r="BK13" s="69"/>
      <c r="BL13" s="69"/>
      <c r="BM13" s="69"/>
      <c r="BN13" s="69"/>
    </row>
    <row r="14" spans="1:66" x14ac:dyDescent="0.2">
      <c r="A14" s="61" t="s">
        <v>3</v>
      </c>
      <c r="B14" s="68" t="s">
        <v>195</v>
      </c>
      <c r="C14" s="66">
        <v>4.5</v>
      </c>
      <c r="D14" s="64">
        <v>34</v>
      </c>
      <c r="E14" s="64">
        <f>IF(ISBLANK($D14),"0",IF(($D14-$D13)&gt;($C14-$C13),1,0))</f>
        <v>1</v>
      </c>
      <c r="F14" s="64">
        <f t="shared" ca="1" si="1"/>
        <v>45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314</v>
      </c>
      <c r="L14" s="70"/>
      <c r="M14" s="70" t="s">
        <v>314</v>
      </c>
      <c r="N14" s="70" t="s">
        <v>314</v>
      </c>
      <c r="O14" s="70" t="s">
        <v>314</v>
      </c>
      <c r="P14" s="70" t="s">
        <v>314</v>
      </c>
      <c r="Q14" s="70" t="s">
        <v>314</v>
      </c>
      <c r="R14" s="97" t="s">
        <v>314</v>
      </c>
      <c r="S14" s="97" t="s">
        <v>314</v>
      </c>
      <c r="T14" s="97" t="s">
        <v>314</v>
      </c>
      <c r="U14" s="97" t="s">
        <v>314</v>
      </c>
      <c r="V14" s="70"/>
      <c r="W14" s="70" t="s">
        <v>314</v>
      </c>
      <c r="X14" s="70"/>
      <c r="Y14" s="70" t="s">
        <v>314</v>
      </c>
      <c r="Z14" s="70" t="s">
        <v>314</v>
      </c>
      <c r="AA14" s="70" t="s">
        <v>314</v>
      </c>
      <c r="AB14" s="70"/>
      <c r="AC14" s="70" t="s">
        <v>314</v>
      </c>
      <c r="AD14" s="70" t="s">
        <v>314</v>
      </c>
      <c r="AE14" s="70" t="s">
        <v>314</v>
      </c>
      <c r="AF14" s="70" t="s">
        <v>314</v>
      </c>
      <c r="AG14" s="70"/>
      <c r="AH14" s="70" t="s">
        <v>314</v>
      </c>
      <c r="AI14" s="70" t="s">
        <v>314</v>
      </c>
      <c r="AJ14" s="70" t="s">
        <v>314</v>
      </c>
      <c r="AK14" s="70"/>
      <c r="AL14" s="70" t="s">
        <v>314</v>
      </c>
      <c r="AM14" s="70" t="s">
        <v>314</v>
      </c>
      <c r="AN14" s="70" t="s">
        <v>314</v>
      </c>
      <c r="AO14" s="70" t="s">
        <v>314</v>
      </c>
      <c r="AP14" s="70"/>
      <c r="AQ14" s="70" t="s">
        <v>314</v>
      </c>
      <c r="AR14" s="70" t="s">
        <v>314</v>
      </c>
      <c r="AS14" s="70" t="s">
        <v>314</v>
      </c>
      <c r="AT14" s="70" t="s">
        <v>314</v>
      </c>
      <c r="AU14" s="70" t="s">
        <v>314</v>
      </c>
      <c r="AV14" s="70"/>
      <c r="AW14" s="70" t="s">
        <v>314</v>
      </c>
      <c r="AX14" s="70"/>
      <c r="AY14" s="70" t="s">
        <v>314</v>
      </c>
      <c r="AZ14" s="70" t="s">
        <v>314</v>
      </c>
      <c r="BA14" s="70" t="s">
        <v>314</v>
      </c>
      <c r="BB14" s="70" t="s">
        <v>314</v>
      </c>
      <c r="BC14" s="70" t="s">
        <v>314</v>
      </c>
      <c r="BD14" s="70" t="s">
        <v>314</v>
      </c>
      <c r="BE14" s="70" t="s">
        <v>314</v>
      </c>
      <c r="BF14" s="70" t="s">
        <v>314</v>
      </c>
      <c r="BG14" s="70" t="s">
        <v>314</v>
      </c>
      <c r="BH14" s="70" t="s">
        <v>314</v>
      </c>
      <c r="BI14" s="70"/>
      <c r="BJ14" s="70"/>
      <c r="BK14" s="70" t="s">
        <v>314</v>
      </c>
      <c r="BL14" s="70" t="s">
        <v>314</v>
      </c>
      <c r="BM14" s="70" t="s">
        <v>314</v>
      </c>
      <c r="BN14" s="70" t="s">
        <v>314</v>
      </c>
    </row>
    <row r="15" spans="1:66" x14ac:dyDescent="0.2">
      <c r="A15" s="59">
        <v>7</v>
      </c>
      <c r="B15" s="67" t="s">
        <v>152</v>
      </c>
      <c r="C15" s="65">
        <v>9.5</v>
      </c>
      <c r="D15" s="64">
        <v>56</v>
      </c>
      <c r="E15" s="64">
        <f>IF(ISBLANK($D15),"0",IF(($D16-$D15)&lt;($C16-$C15),1,0))</f>
        <v>1</v>
      </c>
      <c r="F15" s="64">
        <f t="shared" ca="1" si="1"/>
        <v>19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 t="s">
        <v>314</v>
      </c>
      <c r="Q15" s="69"/>
      <c r="R15" s="96" t="s">
        <v>314</v>
      </c>
      <c r="S15" s="96" t="s">
        <v>314</v>
      </c>
      <c r="T15" s="96" t="s">
        <v>314</v>
      </c>
      <c r="U15" s="96" t="s">
        <v>314</v>
      </c>
      <c r="V15" s="69"/>
      <c r="W15" s="69"/>
      <c r="X15" s="69" t="s">
        <v>314</v>
      </c>
      <c r="Y15" s="69" t="s">
        <v>314</v>
      </c>
      <c r="Z15" s="69"/>
      <c r="AA15" s="69"/>
      <c r="AB15" s="69"/>
      <c r="AC15" s="69"/>
      <c r="AD15" s="69"/>
      <c r="AE15" s="69" t="s">
        <v>314</v>
      </c>
      <c r="AF15" s="69"/>
      <c r="AG15" s="69" t="s">
        <v>314</v>
      </c>
      <c r="AH15" s="69"/>
      <c r="AI15" s="69"/>
      <c r="AJ15" s="69" t="s">
        <v>314</v>
      </c>
      <c r="AK15" s="69"/>
      <c r="AL15" s="69"/>
      <c r="AM15" s="69"/>
      <c r="AN15" s="69" t="s">
        <v>314</v>
      </c>
      <c r="AO15" s="69" t="s">
        <v>314</v>
      </c>
      <c r="AP15" s="69"/>
      <c r="AQ15" s="69"/>
      <c r="AR15" s="69"/>
      <c r="AS15" s="69"/>
      <c r="AT15" s="69"/>
      <c r="AU15" s="69" t="s">
        <v>314</v>
      </c>
      <c r="AV15" s="69"/>
      <c r="AW15" s="69"/>
      <c r="AX15" s="69"/>
      <c r="AY15" s="69"/>
      <c r="AZ15" s="69" t="s">
        <v>314</v>
      </c>
      <c r="BA15" s="69" t="s">
        <v>314</v>
      </c>
      <c r="BB15" s="69" t="s">
        <v>314</v>
      </c>
      <c r="BC15" s="69"/>
      <c r="BD15" s="69" t="s">
        <v>314</v>
      </c>
      <c r="BE15" s="96"/>
      <c r="BF15" s="69"/>
      <c r="BG15" s="69"/>
      <c r="BH15" s="69" t="s">
        <v>314</v>
      </c>
      <c r="BI15" s="69"/>
      <c r="BJ15" s="69"/>
      <c r="BK15" s="69"/>
      <c r="BL15" s="69"/>
      <c r="BM15" s="69"/>
      <c r="BN15" s="69" t="s">
        <v>314</v>
      </c>
    </row>
    <row r="16" spans="1:66" x14ac:dyDescent="0.2">
      <c r="A16" s="61" t="s">
        <v>3</v>
      </c>
      <c r="B16" s="68" t="s">
        <v>247</v>
      </c>
      <c r="C16" s="66"/>
      <c r="D16" s="64">
        <v>3</v>
      </c>
      <c r="E16" s="64">
        <f>IF(ISBLANK($D16),"0",IF(($D16-$D15)&gt;($C16-$C15),1,0))</f>
        <v>0</v>
      </c>
      <c r="F16" s="64">
        <f t="shared" ca="1" si="1"/>
        <v>36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 t="s">
        <v>314</v>
      </c>
      <c r="M16" s="70" t="s">
        <v>314</v>
      </c>
      <c r="N16" s="70" t="s">
        <v>314</v>
      </c>
      <c r="O16" s="70" t="s">
        <v>314</v>
      </c>
      <c r="P16" s="70"/>
      <c r="Q16" s="70" t="s">
        <v>314</v>
      </c>
      <c r="R16" s="70"/>
      <c r="S16" s="70"/>
      <c r="T16" s="70"/>
      <c r="U16" s="70"/>
      <c r="V16" s="70" t="s">
        <v>314</v>
      </c>
      <c r="W16" s="70" t="s">
        <v>314</v>
      </c>
      <c r="X16" s="70"/>
      <c r="Y16" s="70"/>
      <c r="Z16" s="70" t="s">
        <v>314</v>
      </c>
      <c r="AA16" s="70" t="s">
        <v>314</v>
      </c>
      <c r="AB16" s="70" t="s">
        <v>314</v>
      </c>
      <c r="AC16" s="70" t="s">
        <v>314</v>
      </c>
      <c r="AD16" s="70" t="s">
        <v>314</v>
      </c>
      <c r="AE16" s="70"/>
      <c r="AF16" s="70" t="s">
        <v>314</v>
      </c>
      <c r="AG16" s="70"/>
      <c r="AH16" s="70" t="s">
        <v>314</v>
      </c>
      <c r="AI16" s="70" t="s">
        <v>314</v>
      </c>
      <c r="AJ16" s="70"/>
      <c r="AK16" s="70" t="s">
        <v>314</v>
      </c>
      <c r="AL16" s="70" t="s">
        <v>314</v>
      </c>
      <c r="AM16" s="70" t="s">
        <v>314</v>
      </c>
      <c r="AN16" s="70"/>
      <c r="AO16" s="70"/>
      <c r="AP16" s="70" t="s">
        <v>314</v>
      </c>
      <c r="AQ16" s="70" t="s">
        <v>314</v>
      </c>
      <c r="AR16" s="97" t="s">
        <v>314</v>
      </c>
      <c r="AS16" s="70" t="s">
        <v>314</v>
      </c>
      <c r="AT16" s="70" t="s">
        <v>314</v>
      </c>
      <c r="AU16" s="70"/>
      <c r="AV16" s="70" t="s">
        <v>314</v>
      </c>
      <c r="AW16" s="70" t="s">
        <v>314</v>
      </c>
      <c r="AX16" s="70" t="s">
        <v>314</v>
      </c>
      <c r="AY16" s="70" t="s">
        <v>314</v>
      </c>
      <c r="AZ16" s="70"/>
      <c r="BA16" s="70"/>
      <c r="BB16" s="70"/>
      <c r="BC16" s="70" t="s">
        <v>314</v>
      </c>
      <c r="BD16" s="70"/>
      <c r="BE16" s="70" t="s">
        <v>314</v>
      </c>
      <c r="BF16" s="70" t="s">
        <v>314</v>
      </c>
      <c r="BG16" s="70" t="s">
        <v>314</v>
      </c>
      <c r="BH16" s="70"/>
      <c r="BI16" s="70"/>
      <c r="BJ16" s="70" t="s">
        <v>314</v>
      </c>
      <c r="BK16" s="70" t="s">
        <v>314</v>
      </c>
      <c r="BL16" s="70" t="s">
        <v>314</v>
      </c>
      <c r="BM16" s="70" t="s">
        <v>314</v>
      </c>
      <c r="BN16" s="70"/>
    </row>
    <row r="17" spans="1:66" x14ac:dyDescent="0.2">
      <c r="A17" s="59">
        <v>8</v>
      </c>
      <c r="B17" s="67" t="s">
        <v>138</v>
      </c>
      <c r="C17" s="65">
        <v>2.5</v>
      </c>
      <c r="D17" s="64">
        <v>38</v>
      </c>
      <c r="E17" s="64">
        <f>IF(ISBLANK($D17),"0",IF(($D18-$D17)&lt;($C18-$C17),1,0))</f>
        <v>0</v>
      </c>
      <c r="F17" s="64">
        <f t="shared" ca="1" si="1"/>
        <v>40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/>
      <c r="M17" s="69" t="s">
        <v>314</v>
      </c>
      <c r="N17" s="69"/>
      <c r="O17" s="69" t="s">
        <v>314</v>
      </c>
      <c r="P17" s="69"/>
      <c r="Q17" s="69" t="s">
        <v>314</v>
      </c>
      <c r="R17" s="69" t="s">
        <v>314</v>
      </c>
      <c r="S17" s="69" t="s">
        <v>314</v>
      </c>
      <c r="T17" s="69" t="s">
        <v>314</v>
      </c>
      <c r="U17" s="69" t="s">
        <v>314</v>
      </c>
      <c r="V17" s="69"/>
      <c r="W17" s="69" t="s">
        <v>314</v>
      </c>
      <c r="X17" s="69" t="s">
        <v>314</v>
      </c>
      <c r="Y17" s="69" t="s">
        <v>314</v>
      </c>
      <c r="Z17" s="69" t="s">
        <v>314</v>
      </c>
      <c r="AA17" s="69" t="s">
        <v>314</v>
      </c>
      <c r="AB17" s="69" t="s">
        <v>314</v>
      </c>
      <c r="AC17" s="69" t="s">
        <v>314</v>
      </c>
      <c r="AD17" s="69"/>
      <c r="AE17" s="69"/>
      <c r="AF17" s="69"/>
      <c r="AG17" s="69" t="s">
        <v>314</v>
      </c>
      <c r="AH17" s="69" t="s">
        <v>314</v>
      </c>
      <c r="AI17" s="69"/>
      <c r="AJ17" s="69"/>
      <c r="AK17" s="69" t="s">
        <v>314</v>
      </c>
      <c r="AL17" s="69" t="s">
        <v>314</v>
      </c>
      <c r="AM17" s="69" t="s">
        <v>314</v>
      </c>
      <c r="AN17" s="69" t="s">
        <v>314</v>
      </c>
      <c r="AO17" s="69" t="s">
        <v>314</v>
      </c>
      <c r="AP17" s="69" t="s">
        <v>314</v>
      </c>
      <c r="AQ17" s="69" t="s">
        <v>314</v>
      </c>
      <c r="AR17" s="96"/>
      <c r="AS17" s="69"/>
      <c r="AT17" s="69" t="s">
        <v>314</v>
      </c>
      <c r="AU17" s="69" t="s">
        <v>314</v>
      </c>
      <c r="AV17" s="69" t="s">
        <v>314</v>
      </c>
      <c r="AW17" s="69" t="s">
        <v>314</v>
      </c>
      <c r="AX17" s="69" t="s">
        <v>314</v>
      </c>
      <c r="AY17" s="69"/>
      <c r="AZ17" s="69"/>
      <c r="BA17" s="69" t="s">
        <v>314</v>
      </c>
      <c r="BB17" s="69" t="s">
        <v>314</v>
      </c>
      <c r="BC17" s="69" t="s">
        <v>314</v>
      </c>
      <c r="BD17" s="69"/>
      <c r="BE17" s="69" t="s">
        <v>314</v>
      </c>
      <c r="BF17" s="69" t="s">
        <v>314</v>
      </c>
      <c r="BG17" s="69" t="s">
        <v>314</v>
      </c>
      <c r="BH17" s="69"/>
      <c r="BI17" s="69"/>
      <c r="BJ17" s="69" t="s">
        <v>314</v>
      </c>
      <c r="BK17" s="69" t="s">
        <v>314</v>
      </c>
      <c r="BL17" s="69" t="s">
        <v>314</v>
      </c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246</v>
      </c>
      <c r="C18" s="66"/>
      <c r="D18" s="64">
        <v>40</v>
      </c>
      <c r="E18" s="64">
        <f>IF(ISBLANK($D18),"0",IF(($D18-$D17)&gt;($C18-$C17),1,0))</f>
        <v>1</v>
      </c>
      <c r="F18" s="64">
        <f t="shared" ca="1" si="1"/>
        <v>15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 t="s">
        <v>314</v>
      </c>
      <c r="M18" s="70"/>
      <c r="N18" s="70" t="s">
        <v>314</v>
      </c>
      <c r="O18" s="70"/>
      <c r="P18" s="70" t="s">
        <v>314</v>
      </c>
      <c r="Q18" s="70"/>
      <c r="R18" s="70"/>
      <c r="S18" s="70"/>
      <c r="T18" s="70"/>
      <c r="U18" s="97"/>
      <c r="V18" s="70" t="s">
        <v>314</v>
      </c>
      <c r="W18" s="70"/>
      <c r="X18" s="70"/>
      <c r="Y18" s="70"/>
      <c r="Z18" s="70"/>
      <c r="AA18" s="70"/>
      <c r="AB18" s="70"/>
      <c r="AC18" s="70"/>
      <c r="AD18" s="70" t="s">
        <v>314</v>
      </c>
      <c r="AE18" s="70" t="s">
        <v>314</v>
      </c>
      <c r="AF18" s="70" t="s">
        <v>314</v>
      </c>
      <c r="AG18" s="70"/>
      <c r="AH18" s="70"/>
      <c r="AI18" s="70" t="s">
        <v>314</v>
      </c>
      <c r="AJ18" s="70" t="s">
        <v>314</v>
      </c>
      <c r="AK18" s="70"/>
      <c r="AL18" s="70"/>
      <c r="AM18" s="70"/>
      <c r="AN18" s="70"/>
      <c r="AO18" s="70"/>
      <c r="AP18" s="70"/>
      <c r="AQ18" s="70"/>
      <c r="AR18" s="70" t="s">
        <v>314</v>
      </c>
      <c r="AS18" s="70" t="s">
        <v>314</v>
      </c>
      <c r="AT18" s="70"/>
      <c r="AU18" s="70"/>
      <c r="AV18" s="70"/>
      <c r="AW18" s="70"/>
      <c r="AX18" s="70"/>
      <c r="AY18" s="70" t="s">
        <v>314</v>
      </c>
      <c r="AZ18" s="70" t="s">
        <v>314</v>
      </c>
      <c r="BA18" s="70"/>
      <c r="BB18" s="70"/>
      <c r="BC18" s="70"/>
      <c r="BD18" s="70" t="s">
        <v>314</v>
      </c>
      <c r="BE18" s="97"/>
      <c r="BF18" s="70"/>
      <c r="BG18" s="70"/>
      <c r="BH18" s="70" t="s">
        <v>314</v>
      </c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 t="s">
        <v>248</v>
      </c>
      <c r="C19" s="65"/>
      <c r="D19" s="64">
        <v>21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 t="s">
        <v>314</v>
      </c>
      <c r="O19" s="69" t="s">
        <v>314</v>
      </c>
      <c r="P19" s="69"/>
      <c r="Q19" s="69"/>
      <c r="R19" s="69"/>
      <c r="S19" s="69" t="s">
        <v>314</v>
      </c>
      <c r="T19" s="69" t="s">
        <v>314</v>
      </c>
      <c r="U19" s="96"/>
      <c r="V19" s="69" t="s">
        <v>314</v>
      </c>
      <c r="W19" s="69" t="s">
        <v>314</v>
      </c>
      <c r="X19" s="69"/>
      <c r="Y19" s="69"/>
      <c r="Z19" s="69"/>
      <c r="AA19" s="69" t="s">
        <v>314</v>
      </c>
      <c r="AB19" s="69" t="s">
        <v>314</v>
      </c>
      <c r="AC19" s="69" t="s">
        <v>314</v>
      </c>
      <c r="AD19" s="69" t="s">
        <v>314</v>
      </c>
      <c r="AE19" s="69" t="s">
        <v>314</v>
      </c>
      <c r="AF19" s="69" t="s">
        <v>314</v>
      </c>
      <c r="AG19" s="69"/>
      <c r="AH19" s="69" t="s">
        <v>314</v>
      </c>
      <c r="AI19" s="69" t="s">
        <v>314</v>
      </c>
      <c r="AJ19" s="69"/>
      <c r="AK19" s="69"/>
      <c r="AL19" s="69"/>
      <c r="AM19" s="69" t="s">
        <v>314</v>
      </c>
      <c r="AN19" s="69"/>
      <c r="AO19" s="69" t="s">
        <v>314</v>
      </c>
      <c r="AP19" s="69"/>
      <c r="AQ19" s="69" t="s">
        <v>314</v>
      </c>
      <c r="AR19" s="69"/>
      <c r="AS19" s="69" t="s">
        <v>314</v>
      </c>
      <c r="AT19" s="69"/>
      <c r="AU19" s="69"/>
      <c r="AV19" s="69"/>
      <c r="AW19" s="69"/>
      <c r="AX19" s="69" t="s">
        <v>314</v>
      </c>
      <c r="AY19" s="69"/>
      <c r="AZ19" s="69" t="s">
        <v>314</v>
      </c>
      <c r="BA19" s="69" t="s">
        <v>314</v>
      </c>
      <c r="BB19" s="69"/>
      <c r="BC19" s="69"/>
      <c r="BD19" s="69" t="s">
        <v>314</v>
      </c>
      <c r="BE19" s="69" t="s">
        <v>314</v>
      </c>
      <c r="BF19" s="69"/>
      <c r="BG19" s="69"/>
      <c r="BH19" s="69"/>
      <c r="BI19" s="69"/>
      <c r="BJ19" s="69" t="s">
        <v>314</v>
      </c>
      <c r="BK19" s="69" t="s">
        <v>314</v>
      </c>
      <c r="BL19" s="69" t="s">
        <v>314</v>
      </c>
      <c r="BM19" s="69" t="s">
        <v>314</v>
      </c>
      <c r="BN19" s="69"/>
    </row>
    <row r="20" spans="1:66" x14ac:dyDescent="0.2">
      <c r="A20" s="61" t="s">
        <v>3</v>
      </c>
      <c r="B20" s="68" t="s">
        <v>137</v>
      </c>
      <c r="C20" s="66">
        <v>5.5</v>
      </c>
      <c r="D20" s="64">
        <v>38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 t="s">
        <v>314</v>
      </c>
      <c r="M20" s="70" t="s">
        <v>314</v>
      </c>
      <c r="N20" s="70"/>
      <c r="O20" s="70"/>
      <c r="P20" s="70" t="s">
        <v>314</v>
      </c>
      <c r="Q20" s="70" t="s">
        <v>314</v>
      </c>
      <c r="R20" s="70" t="s">
        <v>314</v>
      </c>
      <c r="S20" s="70"/>
      <c r="T20" s="70"/>
      <c r="U20" s="70" t="s">
        <v>314</v>
      </c>
      <c r="V20" s="70"/>
      <c r="W20" s="70"/>
      <c r="X20" s="70" t="s">
        <v>314</v>
      </c>
      <c r="Y20" s="70" t="s">
        <v>314</v>
      </c>
      <c r="Z20" s="70" t="s">
        <v>314</v>
      </c>
      <c r="AA20" s="70"/>
      <c r="AB20" s="70"/>
      <c r="AC20" s="70"/>
      <c r="AD20" s="70"/>
      <c r="AE20" s="70"/>
      <c r="AF20" s="70"/>
      <c r="AG20" s="70" t="s">
        <v>314</v>
      </c>
      <c r="AH20" s="70"/>
      <c r="AI20" s="70"/>
      <c r="AJ20" s="70" t="s">
        <v>314</v>
      </c>
      <c r="AK20" s="70" t="s">
        <v>314</v>
      </c>
      <c r="AL20" s="70" t="s">
        <v>314</v>
      </c>
      <c r="AM20" s="70"/>
      <c r="AN20" s="70" t="s">
        <v>314</v>
      </c>
      <c r="AO20" s="70"/>
      <c r="AP20" s="70" t="s">
        <v>314</v>
      </c>
      <c r="AQ20" s="70"/>
      <c r="AR20" s="97" t="s">
        <v>314</v>
      </c>
      <c r="AS20" s="70"/>
      <c r="AT20" s="70" t="s">
        <v>314</v>
      </c>
      <c r="AU20" s="70" t="s">
        <v>314</v>
      </c>
      <c r="AV20" s="70" t="s">
        <v>314</v>
      </c>
      <c r="AW20" s="70" t="s">
        <v>314</v>
      </c>
      <c r="AX20" s="70"/>
      <c r="AY20" s="70" t="s">
        <v>314</v>
      </c>
      <c r="AZ20" s="70"/>
      <c r="BA20" s="70"/>
      <c r="BB20" s="70" t="s">
        <v>314</v>
      </c>
      <c r="BC20" s="70" t="s">
        <v>314</v>
      </c>
      <c r="BD20" s="70"/>
      <c r="BE20" s="97"/>
      <c r="BF20" s="70" t="s">
        <v>314</v>
      </c>
      <c r="BG20" s="70" t="s">
        <v>314</v>
      </c>
      <c r="BH20" s="70" t="s">
        <v>314</v>
      </c>
      <c r="BI20" s="70"/>
      <c r="BJ20" s="70"/>
      <c r="BK20" s="70"/>
      <c r="BL20" s="70"/>
      <c r="BM20" s="70"/>
      <c r="BN20" s="70" t="s">
        <v>314</v>
      </c>
    </row>
    <row r="21" spans="1:66" x14ac:dyDescent="0.2">
      <c r="A21" s="59">
        <v>10</v>
      </c>
      <c r="B21" s="67" t="s">
        <v>188</v>
      </c>
      <c r="C21" s="65"/>
      <c r="D21" s="64">
        <v>14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314</v>
      </c>
      <c r="L21" s="69"/>
      <c r="M21" s="69" t="s">
        <v>314</v>
      </c>
      <c r="N21" s="69"/>
      <c r="O21" s="69" t="s">
        <v>314</v>
      </c>
      <c r="P21" s="69" t="s">
        <v>314</v>
      </c>
      <c r="Q21" s="69"/>
      <c r="R21" s="69" t="s">
        <v>314</v>
      </c>
      <c r="S21" s="69"/>
      <c r="T21" s="69" t="s">
        <v>314</v>
      </c>
      <c r="U21" s="96"/>
      <c r="V21" s="69"/>
      <c r="W21" s="69"/>
      <c r="X21" s="69" t="s">
        <v>314</v>
      </c>
      <c r="Y21" s="69"/>
      <c r="Z21" s="69"/>
      <c r="AA21" s="69"/>
      <c r="AB21" s="69"/>
      <c r="AC21" s="69" t="s">
        <v>314</v>
      </c>
      <c r="AD21" s="69"/>
      <c r="AE21" s="69"/>
      <c r="AF21" s="69" t="s">
        <v>314</v>
      </c>
      <c r="AG21" s="69" t="s">
        <v>314</v>
      </c>
      <c r="AH21" s="69"/>
      <c r="AI21" s="69"/>
      <c r="AJ21" s="69" t="s">
        <v>314</v>
      </c>
      <c r="AK21" s="69"/>
      <c r="AL21" s="69" t="s">
        <v>314</v>
      </c>
      <c r="AM21" s="69" t="s">
        <v>314</v>
      </c>
      <c r="AN21" s="69" t="s">
        <v>314</v>
      </c>
      <c r="AO21" s="69"/>
      <c r="AP21" s="69"/>
      <c r="AQ21" s="69" t="s">
        <v>314</v>
      </c>
      <c r="AR21" s="96" t="s">
        <v>314</v>
      </c>
      <c r="AS21" s="69"/>
      <c r="AT21" s="69" t="s">
        <v>314</v>
      </c>
      <c r="AU21" s="69" t="s">
        <v>314</v>
      </c>
      <c r="AV21" s="69" t="s">
        <v>314</v>
      </c>
      <c r="AW21" s="69"/>
      <c r="AX21" s="69" t="s">
        <v>314</v>
      </c>
      <c r="AY21" s="69"/>
      <c r="AZ21" s="69"/>
      <c r="BA21" s="69"/>
      <c r="BB21" s="69"/>
      <c r="BC21" s="69" t="s">
        <v>314</v>
      </c>
      <c r="BD21" s="69" t="s">
        <v>314</v>
      </c>
      <c r="BE21" s="96" t="s">
        <v>314</v>
      </c>
      <c r="BF21" s="69"/>
      <c r="BG21" s="69" t="s">
        <v>314</v>
      </c>
      <c r="BH21" s="69"/>
      <c r="BI21" s="69"/>
      <c r="BJ21" s="69" t="s">
        <v>314</v>
      </c>
      <c r="BK21" s="69"/>
      <c r="BL21" s="69"/>
      <c r="BM21" s="69" t="s">
        <v>314</v>
      </c>
      <c r="BN21" s="69" t="s">
        <v>314</v>
      </c>
    </row>
    <row r="22" spans="1:66" x14ac:dyDescent="0.2">
      <c r="A22" s="61" t="s">
        <v>3</v>
      </c>
      <c r="B22" s="68" t="s">
        <v>159</v>
      </c>
      <c r="C22" s="66">
        <v>16.5</v>
      </c>
      <c r="D22" s="64">
        <v>33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/>
      <c r="L22" s="70" t="s">
        <v>314</v>
      </c>
      <c r="M22" s="70"/>
      <c r="N22" s="70" t="s">
        <v>314</v>
      </c>
      <c r="O22" s="70"/>
      <c r="P22" s="70"/>
      <c r="Q22" s="70" t="s">
        <v>314</v>
      </c>
      <c r="R22" s="70"/>
      <c r="S22" s="70" t="s">
        <v>314</v>
      </c>
      <c r="T22" s="70"/>
      <c r="U22" s="70" t="s">
        <v>314</v>
      </c>
      <c r="V22" s="70" t="s">
        <v>314</v>
      </c>
      <c r="W22" s="70" t="s">
        <v>314</v>
      </c>
      <c r="X22" s="70"/>
      <c r="Y22" s="70" t="s">
        <v>314</v>
      </c>
      <c r="Z22" s="70" t="s">
        <v>314</v>
      </c>
      <c r="AA22" s="70" t="s">
        <v>314</v>
      </c>
      <c r="AB22" s="70" t="s">
        <v>314</v>
      </c>
      <c r="AC22" s="70"/>
      <c r="AD22" s="70" t="s">
        <v>314</v>
      </c>
      <c r="AE22" s="70" t="s">
        <v>314</v>
      </c>
      <c r="AF22" s="70"/>
      <c r="AG22" s="70"/>
      <c r="AH22" s="70" t="s">
        <v>314</v>
      </c>
      <c r="AI22" s="70" t="s">
        <v>314</v>
      </c>
      <c r="AJ22" s="70"/>
      <c r="AK22" s="70" t="s">
        <v>314</v>
      </c>
      <c r="AL22" s="70"/>
      <c r="AM22" s="70"/>
      <c r="AN22" s="70"/>
      <c r="AO22" s="70" t="s">
        <v>314</v>
      </c>
      <c r="AP22" s="70" t="s">
        <v>314</v>
      </c>
      <c r="AQ22" s="70"/>
      <c r="AR22" s="70"/>
      <c r="AS22" s="70" t="s">
        <v>314</v>
      </c>
      <c r="AT22" s="70"/>
      <c r="AU22" s="70"/>
      <c r="AV22" s="70"/>
      <c r="AW22" s="70" t="s">
        <v>314</v>
      </c>
      <c r="AX22" s="70"/>
      <c r="AY22" s="70" t="s">
        <v>314</v>
      </c>
      <c r="AZ22" s="70" t="s">
        <v>314</v>
      </c>
      <c r="BA22" s="70" t="s">
        <v>314</v>
      </c>
      <c r="BB22" s="70" t="s">
        <v>314</v>
      </c>
      <c r="BC22" s="70"/>
      <c r="BD22" s="70"/>
      <c r="BE22" s="70"/>
      <c r="BF22" s="70" t="s">
        <v>314</v>
      </c>
      <c r="BG22" s="70"/>
      <c r="BH22" s="70" t="s">
        <v>314</v>
      </c>
      <c r="BI22" s="70"/>
      <c r="BJ22" s="70"/>
      <c r="BK22" s="70" t="s">
        <v>314</v>
      </c>
      <c r="BL22" s="70" t="s">
        <v>314</v>
      </c>
      <c r="BM22" s="70"/>
      <c r="BN22" s="70"/>
    </row>
    <row r="23" spans="1:66" x14ac:dyDescent="0.2">
      <c r="A23" s="59"/>
      <c r="B23" s="67" t="str">
        <f>B21&amp; " - score"</f>
        <v>Texas A&amp;M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21</v>
      </c>
      <c r="M23" s="78">
        <v>24</v>
      </c>
      <c r="N23" s="80">
        <v>24</v>
      </c>
      <c r="O23" s="78">
        <v>42</v>
      </c>
      <c r="P23" s="78">
        <v>21</v>
      </c>
      <c r="Q23" s="78">
        <v>21</v>
      </c>
      <c r="R23" s="78">
        <v>21</v>
      </c>
      <c r="S23" s="78">
        <v>9</v>
      </c>
      <c r="T23" s="78">
        <v>21</v>
      </c>
      <c r="U23" s="78">
        <v>21</v>
      </c>
      <c r="V23" s="78">
        <v>22</v>
      </c>
      <c r="W23" s="78">
        <v>10</v>
      </c>
      <c r="X23" s="78">
        <v>17</v>
      </c>
      <c r="Y23" s="78">
        <v>10</v>
      </c>
      <c r="Z23" s="78">
        <v>20</v>
      </c>
      <c r="AA23" s="78">
        <v>21</v>
      </c>
      <c r="AB23" s="78">
        <v>21</v>
      </c>
      <c r="AC23" s="78">
        <v>38</v>
      </c>
      <c r="AD23" s="78">
        <v>23</v>
      </c>
      <c r="AE23" s="78">
        <v>6</v>
      </c>
      <c r="AF23" s="78">
        <v>24</v>
      </c>
      <c r="AG23" s="78">
        <v>24</v>
      </c>
      <c r="AH23" s="78">
        <v>24</v>
      </c>
      <c r="AI23" s="78">
        <v>10</v>
      </c>
      <c r="AJ23" s="78">
        <v>21</v>
      </c>
      <c r="AK23" s="78">
        <v>28</v>
      </c>
      <c r="AL23" s="78">
        <v>21</v>
      </c>
      <c r="AM23" s="78">
        <v>19</v>
      </c>
      <c r="AN23" s="78">
        <v>14</v>
      </c>
      <c r="AO23" s="78">
        <v>17</v>
      </c>
      <c r="AP23" s="78">
        <v>17</v>
      </c>
      <c r="AQ23" s="78">
        <v>34</v>
      </c>
      <c r="AR23" s="78">
        <v>21</v>
      </c>
      <c r="AS23" s="78">
        <v>17</v>
      </c>
      <c r="AT23" s="78">
        <v>31</v>
      </c>
      <c r="AU23" s="78">
        <v>32</v>
      </c>
      <c r="AV23" s="78">
        <v>21</v>
      </c>
      <c r="AW23" s="78">
        <v>27</v>
      </c>
      <c r="AX23" s="78">
        <v>36</v>
      </c>
      <c r="AY23" s="78">
        <v>20</v>
      </c>
      <c r="AZ23" s="78">
        <v>18</v>
      </c>
      <c r="BA23" s="78">
        <v>14</v>
      </c>
      <c r="BB23" s="78">
        <v>14</v>
      </c>
      <c r="BC23" s="78">
        <v>24</v>
      </c>
      <c r="BD23" s="78">
        <v>38</v>
      </c>
      <c r="BE23" s="78">
        <v>38</v>
      </c>
      <c r="BF23" s="78">
        <v>21</v>
      </c>
      <c r="BG23" s="78">
        <v>18</v>
      </c>
      <c r="BH23" s="78">
        <v>20</v>
      </c>
      <c r="BI23" s="78"/>
      <c r="BJ23" s="78">
        <v>17</v>
      </c>
      <c r="BK23" s="78">
        <v>21</v>
      </c>
      <c r="BL23" s="78">
        <v>17</v>
      </c>
      <c r="BM23" s="78">
        <v>27</v>
      </c>
      <c r="BN23" s="78">
        <v>21</v>
      </c>
    </row>
    <row r="24" spans="1:66" x14ac:dyDescent="0.2">
      <c r="A24" s="61"/>
      <c r="B24" s="68" t="str">
        <f>B22&amp; " - score"</f>
        <v>Alabama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38</v>
      </c>
      <c r="G24" s="61"/>
      <c r="H24" s="62"/>
      <c r="I24" s="63"/>
      <c r="J24" s="79"/>
      <c r="K24" s="79">
        <v>35</v>
      </c>
      <c r="L24" s="79">
        <v>38</v>
      </c>
      <c r="M24" s="79">
        <v>28</v>
      </c>
      <c r="N24" s="79">
        <v>48</v>
      </c>
      <c r="O24" s="79">
        <v>17</v>
      </c>
      <c r="P24" s="79">
        <v>35</v>
      </c>
      <c r="Q24" s="79">
        <v>42</v>
      </c>
      <c r="R24" s="79">
        <v>35</v>
      </c>
      <c r="S24" s="79">
        <v>26</v>
      </c>
      <c r="T24" s="79">
        <v>28</v>
      </c>
      <c r="U24" s="79">
        <v>49</v>
      </c>
      <c r="V24" s="79">
        <v>48</v>
      </c>
      <c r="W24" s="79">
        <v>35</v>
      </c>
      <c r="X24" s="79">
        <v>30</v>
      </c>
      <c r="Y24" s="79">
        <v>42</v>
      </c>
      <c r="Z24" s="79">
        <v>45</v>
      </c>
      <c r="AA24" s="79">
        <v>42</v>
      </c>
      <c r="AB24" s="79">
        <v>42</v>
      </c>
      <c r="AC24" s="79">
        <v>31</v>
      </c>
      <c r="AD24" s="79">
        <v>44</v>
      </c>
      <c r="AE24" s="79">
        <v>49</v>
      </c>
      <c r="AF24" s="79">
        <v>31</v>
      </c>
      <c r="AG24" s="79">
        <v>40</v>
      </c>
      <c r="AH24" s="79">
        <v>45</v>
      </c>
      <c r="AI24" s="79">
        <v>41</v>
      </c>
      <c r="AJ24" s="79">
        <v>35</v>
      </c>
      <c r="AK24" s="79">
        <v>49</v>
      </c>
      <c r="AL24" s="79">
        <v>35</v>
      </c>
      <c r="AM24" s="79">
        <v>31</v>
      </c>
      <c r="AN24" s="79">
        <v>28</v>
      </c>
      <c r="AO24" s="79">
        <v>34</v>
      </c>
      <c r="AP24" s="79">
        <v>41</v>
      </c>
      <c r="AQ24" s="79">
        <v>41</v>
      </c>
      <c r="AR24" s="79">
        <v>37</v>
      </c>
      <c r="AS24" s="79">
        <v>35</v>
      </c>
      <c r="AT24" s="79">
        <v>35</v>
      </c>
      <c r="AU24" s="79">
        <v>45</v>
      </c>
      <c r="AV24" s="79">
        <v>35</v>
      </c>
      <c r="AW24" s="79">
        <v>46</v>
      </c>
      <c r="AX24" s="79">
        <v>45</v>
      </c>
      <c r="AY24" s="79">
        <v>45</v>
      </c>
      <c r="AZ24" s="79">
        <v>44</v>
      </c>
      <c r="BA24" s="79">
        <v>35</v>
      </c>
      <c r="BB24" s="79">
        <v>47</v>
      </c>
      <c r="BC24" s="79">
        <v>31</v>
      </c>
      <c r="BD24" s="79">
        <v>21</v>
      </c>
      <c r="BE24" s="79">
        <v>49</v>
      </c>
      <c r="BF24" s="79">
        <v>42</v>
      </c>
      <c r="BG24" s="79">
        <v>25</v>
      </c>
      <c r="BH24" s="79">
        <v>41</v>
      </c>
      <c r="BI24" s="79"/>
      <c r="BJ24" s="79">
        <v>31</v>
      </c>
      <c r="BK24" s="79">
        <v>49</v>
      </c>
      <c r="BL24" s="79">
        <v>42</v>
      </c>
      <c r="BM24" s="79">
        <v>40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8</v>
      </c>
      <c r="Q25" s="36">
        <f t="shared" si="3"/>
        <v>8</v>
      </c>
      <c r="R25" s="36">
        <f t="shared" si="3"/>
        <v>5</v>
      </c>
      <c r="S25" s="36">
        <f t="shared" si="3"/>
        <v>6</v>
      </c>
      <c r="T25" s="36">
        <f t="shared" si="3"/>
        <v>4</v>
      </c>
      <c r="U25" s="36">
        <f t="shared" si="3"/>
        <v>6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>
        <f t="shared" si="3"/>
        <v>4</v>
      </c>
      <c r="AD25" s="36">
        <f t="shared" si="3"/>
        <v>7</v>
      </c>
      <c r="AE25" s="36">
        <f t="shared" si="3"/>
        <v>5</v>
      </c>
      <c r="AF25" s="36">
        <f t="shared" si="3"/>
        <v>6</v>
      </c>
      <c r="AG25" s="36">
        <f t="shared" si="3"/>
        <v>4</v>
      </c>
      <c r="AH25" s="36">
        <f t="shared" si="3"/>
        <v>4</v>
      </c>
      <c r="AI25" s="36">
        <f t="shared" si="3"/>
        <v>5</v>
      </c>
      <c r="AJ25" s="36">
        <f t="shared" si="3"/>
        <v>6</v>
      </c>
      <c r="AK25" s="36">
        <f t="shared" si="3"/>
        <v>7</v>
      </c>
      <c r="AL25" s="36">
        <f t="shared" si="3"/>
        <v>6</v>
      </c>
      <c r="AM25" s="36">
        <f t="shared" si="3"/>
        <v>4</v>
      </c>
      <c r="AN25" s="36">
        <f t="shared" si="3"/>
        <v>4</v>
      </c>
      <c r="AO25" s="36">
        <f t="shared" si="3"/>
        <v>7</v>
      </c>
      <c r="AP25" s="36">
        <f t="shared" si="3"/>
        <v>5</v>
      </c>
      <c r="AQ25" s="36">
        <f t="shared" si="3"/>
        <v>4</v>
      </c>
      <c r="AR25" s="36">
        <f t="shared" si="3"/>
        <v>7</v>
      </c>
      <c r="AS25" s="36">
        <f t="shared" si="3"/>
        <v>6</v>
      </c>
      <c r="AT25" s="36">
        <f t="shared" si="3"/>
        <v>4</v>
      </c>
      <c r="AU25" s="36">
        <f t="shared" si="3"/>
        <v>6</v>
      </c>
      <c r="AV25" s="36">
        <f t="shared" si="3"/>
        <v>3</v>
      </c>
      <c r="AW25" s="36">
        <f t="shared" si="3"/>
        <v>7</v>
      </c>
      <c r="AX25" s="36">
        <f t="shared" si="3"/>
        <v>5</v>
      </c>
      <c r="AY25" s="36">
        <f t="shared" si="3"/>
        <v>8</v>
      </c>
      <c r="AZ25" s="36">
        <f t="shared" si="3"/>
        <v>7</v>
      </c>
      <c r="BA25" s="36">
        <f t="shared" si="3"/>
        <v>5</v>
      </c>
      <c r="BB25" s="36">
        <f t="shared" si="3"/>
        <v>4</v>
      </c>
      <c r="BC25" s="36">
        <f t="shared" si="3"/>
        <v>7</v>
      </c>
      <c r="BD25" s="36">
        <f t="shared" si="3"/>
        <v>7</v>
      </c>
      <c r="BE25" s="36">
        <f t="shared" si="3"/>
        <v>4</v>
      </c>
      <c r="BF25" s="36">
        <f t="shared" si="3"/>
        <v>7</v>
      </c>
      <c r="BG25" s="36">
        <f t="shared" si="3"/>
        <v>4</v>
      </c>
      <c r="BH25" s="36">
        <f t="shared" si="3"/>
        <v>8</v>
      </c>
      <c r="BI25" s="36">
        <f t="shared" si="3"/>
        <v>0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 t="shared" si="3"/>
        <v>4</v>
      </c>
      <c r="BN25" s="36">
        <f t="shared" si="3"/>
        <v>7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8</v>
      </c>
      <c r="L26" s="71">
        <f t="shared" si="4"/>
        <v>2</v>
      </c>
      <c r="M26" s="71">
        <f t="shared" si="4"/>
        <v>15</v>
      </c>
      <c r="N26" s="71">
        <f t="shared" si="4"/>
        <v>5</v>
      </c>
      <c r="O26" s="71">
        <f t="shared" si="4"/>
        <v>44</v>
      </c>
      <c r="P26" s="71">
        <f t="shared" si="4"/>
        <v>5</v>
      </c>
      <c r="Q26" s="71">
        <f t="shared" si="4"/>
        <v>2</v>
      </c>
      <c r="R26" s="71">
        <f t="shared" si="4"/>
        <v>5</v>
      </c>
      <c r="S26" s="71">
        <f t="shared" si="4"/>
        <v>2</v>
      </c>
      <c r="T26" s="71">
        <f t="shared" si="4"/>
        <v>12</v>
      </c>
      <c r="U26" s="71">
        <f t="shared" si="4"/>
        <v>9</v>
      </c>
      <c r="V26" s="71">
        <f t="shared" si="4"/>
        <v>7</v>
      </c>
      <c r="W26" s="71">
        <f t="shared" si="4"/>
        <v>6</v>
      </c>
      <c r="X26" s="71">
        <f t="shared" si="4"/>
        <v>6</v>
      </c>
      <c r="Y26" s="71">
        <f t="shared" si="4"/>
        <v>13</v>
      </c>
      <c r="Z26" s="71">
        <f t="shared" si="4"/>
        <v>6</v>
      </c>
      <c r="AA26" s="71">
        <f t="shared" si="4"/>
        <v>2</v>
      </c>
      <c r="AB26" s="71">
        <f t="shared" si="4"/>
        <v>2</v>
      </c>
      <c r="AC26" s="71">
        <f t="shared" si="4"/>
        <v>26</v>
      </c>
      <c r="AD26" s="71">
        <f t="shared" si="4"/>
        <v>2</v>
      </c>
      <c r="AE26" s="71">
        <f t="shared" si="4"/>
        <v>24</v>
      </c>
      <c r="AF26" s="71">
        <f t="shared" si="4"/>
        <v>12</v>
      </c>
      <c r="AG26" s="71">
        <f t="shared" si="4"/>
        <v>3</v>
      </c>
      <c r="AH26" s="71">
        <f t="shared" si="4"/>
        <v>2</v>
      </c>
      <c r="AI26" s="71">
        <f t="shared" si="4"/>
        <v>12</v>
      </c>
      <c r="AJ26" s="71">
        <f t="shared" si="4"/>
        <v>5</v>
      </c>
      <c r="AK26" s="71">
        <f t="shared" si="4"/>
        <v>2</v>
      </c>
      <c r="AL26" s="71">
        <f t="shared" si="4"/>
        <v>5</v>
      </c>
      <c r="AM26" s="71">
        <f t="shared" si="4"/>
        <v>7</v>
      </c>
      <c r="AN26" s="71">
        <f t="shared" si="4"/>
        <v>5</v>
      </c>
      <c r="AO26" s="71">
        <f t="shared" si="4"/>
        <v>2</v>
      </c>
      <c r="AP26" s="71">
        <f t="shared" si="4"/>
        <v>5</v>
      </c>
      <c r="AQ26" s="71">
        <f t="shared" si="4"/>
        <v>12</v>
      </c>
      <c r="AR26" s="71">
        <f t="shared" si="4"/>
        <v>3</v>
      </c>
      <c r="AS26" s="71">
        <f t="shared" si="4"/>
        <v>1</v>
      </c>
      <c r="AT26" s="71">
        <f t="shared" si="4"/>
        <v>15</v>
      </c>
      <c r="AU26" s="71">
        <f t="shared" si="4"/>
        <v>6</v>
      </c>
      <c r="AV26" s="71">
        <f t="shared" si="4"/>
        <v>5</v>
      </c>
      <c r="AW26" s="71">
        <f t="shared" si="4"/>
        <v>0</v>
      </c>
      <c r="AX26" s="71">
        <f t="shared" si="4"/>
        <v>10</v>
      </c>
      <c r="AY26" s="71">
        <f t="shared" si="4"/>
        <v>6</v>
      </c>
      <c r="AZ26" s="71">
        <f t="shared" si="4"/>
        <v>7</v>
      </c>
      <c r="BA26" s="71">
        <f t="shared" si="4"/>
        <v>2</v>
      </c>
      <c r="BB26" s="71">
        <f t="shared" si="4"/>
        <v>14</v>
      </c>
      <c r="BC26" s="71">
        <f t="shared" si="4"/>
        <v>12</v>
      </c>
      <c r="BD26" s="71">
        <f t="shared" si="4"/>
        <v>36</v>
      </c>
      <c r="BE26" s="71">
        <f t="shared" si="4"/>
        <v>8</v>
      </c>
      <c r="BF26" s="71">
        <f t="shared" si="4"/>
        <v>2</v>
      </c>
      <c r="BG26" s="71">
        <f t="shared" si="4"/>
        <v>12</v>
      </c>
      <c r="BH26" s="71">
        <f t="shared" si="4"/>
        <v>2</v>
      </c>
      <c r="BI26" s="71">
        <f t="shared" si="4"/>
        <v>19</v>
      </c>
      <c r="BJ26" s="71">
        <f t="shared" si="4"/>
        <v>5</v>
      </c>
      <c r="BK26" s="71">
        <f t="shared" si="4"/>
        <v>9</v>
      </c>
      <c r="BL26" s="71">
        <f t="shared" si="4"/>
        <v>6</v>
      </c>
      <c r="BM26" s="71">
        <f t="shared" si="4"/>
        <v>6</v>
      </c>
      <c r="BN26" s="71">
        <f t="shared" si="4"/>
        <v>12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12</v>
      </c>
      <c r="L27" s="71">
        <f t="shared" si="5"/>
        <v>12</v>
      </c>
      <c r="M27" s="71">
        <f t="shared" si="5"/>
        <v>5</v>
      </c>
      <c r="N27" s="71">
        <f t="shared" si="5"/>
        <v>25</v>
      </c>
      <c r="O27" s="71">
        <f t="shared" si="5"/>
        <v>12</v>
      </c>
      <c r="P27" s="71">
        <f t="shared" si="5"/>
        <v>9</v>
      </c>
      <c r="Q27" s="71">
        <f t="shared" si="5"/>
        <v>16</v>
      </c>
      <c r="R27" s="71">
        <f t="shared" si="5"/>
        <v>9</v>
      </c>
      <c r="S27" s="71">
        <f t="shared" si="5"/>
        <v>12</v>
      </c>
      <c r="T27" s="71">
        <f t="shared" si="5"/>
        <v>2</v>
      </c>
      <c r="U27" s="71">
        <f t="shared" si="5"/>
        <v>23</v>
      </c>
      <c r="V27" s="71">
        <f t="shared" si="5"/>
        <v>23</v>
      </c>
      <c r="W27" s="71">
        <f t="shared" si="5"/>
        <v>2</v>
      </c>
      <c r="X27" s="71">
        <f t="shared" si="5"/>
        <v>0</v>
      </c>
      <c r="Y27" s="71">
        <f t="shared" si="5"/>
        <v>5</v>
      </c>
      <c r="Z27" s="71">
        <f t="shared" si="5"/>
        <v>18</v>
      </c>
      <c r="AA27" s="71">
        <f t="shared" si="5"/>
        <v>16</v>
      </c>
      <c r="AB27" s="71">
        <f t="shared" si="5"/>
        <v>16</v>
      </c>
      <c r="AC27" s="71">
        <f t="shared" si="5"/>
        <v>22</v>
      </c>
      <c r="AD27" s="71">
        <f t="shared" si="5"/>
        <v>20</v>
      </c>
      <c r="AE27" s="71">
        <f t="shared" si="5"/>
        <v>8</v>
      </c>
      <c r="AF27" s="71">
        <f t="shared" si="5"/>
        <v>8</v>
      </c>
      <c r="AG27" s="71">
        <f t="shared" si="5"/>
        <v>17</v>
      </c>
      <c r="AH27" s="71">
        <f t="shared" si="5"/>
        <v>22</v>
      </c>
      <c r="AI27" s="71">
        <f t="shared" si="5"/>
        <v>4</v>
      </c>
      <c r="AJ27" s="71">
        <f t="shared" si="5"/>
        <v>9</v>
      </c>
      <c r="AK27" s="71">
        <f t="shared" si="5"/>
        <v>30</v>
      </c>
      <c r="AL27" s="71">
        <f t="shared" si="5"/>
        <v>9</v>
      </c>
      <c r="AM27" s="71">
        <f t="shared" si="5"/>
        <v>3</v>
      </c>
      <c r="AN27" s="71">
        <f t="shared" si="5"/>
        <v>5</v>
      </c>
      <c r="AO27" s="71">
        <f t="shared" si="5"/>
        <v>4</v>
      </c>
      <c r="AP27" s="71">
        <f t="shared" si="5"/>
        <v>11</v>
      </c>
      <c r="AQ27" s="71">
        <f t="shared" si="5"/>
        <v>28</v>
      </c>
      <c r="AR27" s="71">
        <f t="shared" si="5"/>
        <v>11</v>
      </c>
      <c r="AS27" s="71">
        <f t="shared" si="5"/>
        <v>5</v>
      </c>
      <c r="AT27" s="71">
        <f t="shared" si="5"/>
        <v>19</v>
      </c>
      <c r="AU27" s="71">
        <f t="shared" si="5"/>
        <v>30</v>
      </c>
      <c r="AV27" s="71">
        <f t="shared" si="5"/>
        <v>9</v>
      </c>
      <c r="AW27" s="71">
        <f t="shared" si="5"/>
        <v>26</v>
      </c>
      <c r="AX27" s="71">
        <f t="shared" si="5"/>
        <v>34</v>
      </c>
      <c r="AY27" s="71">
        <f t="shared" si="5"/>
        <v>18</v>
      </c>
      <c r="AZ27" s="71">
        <f t="shared" si="5"/>
        <v>15</v>
      </c>
      <c r="BA27" s="71">
        <f t="shared" si="5"/>
        <v>2</v>
      </c>
      <c r="BB27" s="71">
        <f t="shared" si="5"/>
        <v>14</v>
      </c>
      <c r="BC27" s="71">
        <f t="shared" si="5"/>
        <v>8</v>
      </c>
      <c r="BD27" s="71">
        <f t="shared" si="5"/>
        <v>12</v>
      </c>
      <c r="BE27" s="71">
        <f t="shared" si="5"/>
        <v>40</v>
      </c>
      <c r="BF27" s="71">
        <f t="shared" si="5"/>
        <v>16</v>
      </c>
      <c r="BG27" s="71">
        <f t="shared" si="5"/>
        <v>4</v>
      </c>
      <c r="BH27" s="71">
        <f t="shared" si="5"/>
        <v>14</v>
      </c>
      <c r="BI27" s="71">
        <f t="shared" si="5"/>
        <v>47</v>
      </c>
      <c r="BJ27" s="71">
        <f t="shared" si="5"/>
        <v>1</v>
      </c>
      <c r="BK27" s="71">
        <f t="shared" si="5"/>
        <v>23</v>
      </c>
      <c r="BL27" s="71">
        <f t="shared" si="5"/>
        <v>12</v>
      </c>
      <c r="BM27" s="71">
        <f t="shared" si="5"/>
        <v>20</v>
      </c>
      <c r="BN27" s="71">
        <f t="shared" si="5"/>
        <v>2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0.5357142857142857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N29" si="7">COUNTA(L$3,L$5,L$7,L$9,L$11,L$13,L$15,L$17,L$19,L$21)</f>
        <v>2</v>
      </c>
      <c r="M29" s="71">
        <f t="shared" si="7"/>
        <v>4</v>
      </c>
      <c r="N29" s="71">
        <f t="shared" si="7"/>
        <v>4</v>
      </c>
      <c r="O29" s="71">
        <f t="shared" si="7"/>
        <v>6</v>
      </c>
      <c r="P29" s="71">
        <f t="shared" si="7"/>
        <v>4</v>
      </c>
      <c r="Q29" s="71">
        <f t="shared" si="7"/>
        <v>4</v>
      </c>
      <c r="R29" s="71">
        <f t="shared" si="7"/>
        <v>5</v>
      </c>
      <c r="S29" s="71">
        <f t="shared" si="7"/>
        <v>4</v>
      </c>
      <c r="T29" s="71">
        <f t="shared" si="7"/>
        <v>6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5</v>
      </c>
      <c r="Y29" s="71">
        <f t="shared" si="7"/>
        <v>5</v>
      </c>
      <c r="Z29" s="71">
        <f t="shared" si="7"/>
        <v>3</v>
      </c>
      <c r="AA29" s="71">
        <f t="shared" si="7"/>
        <v>6</v>
      </c>
      <c r="AB29" s="71">
        <f t="shared" si="7"/>
        <v>5</v>
      </c>
      <c r="AC29" s="71">
        <f t="shared" si="7"/>
        <v>6</v>
      </c>
      <c r="AD29" s="71">
        <f t="shared" si="7"/>
        <v>3</v>
      </c>
      <c r="AE29" s="71">
        <f t="shared" si="7"/>
        <v>5</v>
      </c>
      <c r="AF29" s="71">
        <f t="shared" si="7"/>
        <v>6</v>
      </c>
      <c r="AG29" s="71">
        <f t="shared" si="7"/>
        <v>8</v>
      </c>
      <c r="AH29" s="71">
        <f t="shared" si="7"/>
        <v>4</v>
      </c>
      <c r="AI29" s="71">
        <f t="shared" si="7"/>
        <v>3</v>
      </c>
      <c r="AJ29" s="71">
        <f t="shared" si="7"/>
        <v>4</v>
      </c>
      <c r="AK29" s="71">
        <f t="shared" si="7"/>
        <v>5</v>
      </c>
      <c r="AL29" s="71">
        <f t="shared" si="7"/>
        <v>4</v>
      </c>
      <c r="AM29" s="71">
        <f t="shared" si="7"/>
        <v>6</v>
      </c>
      <c r="AN29" s="71">
        <f t="shared" si="7"/>
        <v>6</v>
      </c>
      <c r="AO29" s="71">
        <f t="shared" si="7"/>
        <v>7</v>
      </c>
      <c r="AP29" s="71">
        <f t="shared" si="7"/>
        <v>5</v>
      </c>
      <c r="AQ29" s="71">
        <f t="shared" si="7"/>
        <v>4</v>
      </c>
      <c r="AR29" s="71">
        <f t="shared" si="7"/>
        <v>3</v>
      </c>
      <c r="AS29" s="71">
        <f t="shared" si="7"/>
        <v>4</v>
      </c>
      <c r="AT29" s="71">
        <f t="shared" si="7"/>
        <v>4</v>
      </c>
      <c r="AU29" s="71">
        <f t="shared" si="7"/>
        <v>4</v>
      </c>
      <c r="AV29" s="71">
        <f t="shared" si="7"/>
        <v>5</v>
      </c>
      <c r="AW29" s="71">
        <f t="shared" si="7"/>
        <v>3</v>
      </c>
      <c r="AX29" s="71">
        <f t="shared" si="7"/>
        <v>7</v>
      </c>
      <c r="AY29" s="71">
        <f t="shared" si="7"/>
        <v>2</v>
      </c>
      <c r="AZ29" s="71">
        <f t="shared" si="7"/>
        <v>3</v>
      </c>
      <c r="BA29" s="71">
        <f t="shared" si="7"/>
        <v>3</v>
      </c>
      <c r="BB29" s="71">
        <f t="shared" si="7"/>
        <v>4</v>
      </c>
      <c r="BC29" s="71">
        <f t="shared" si="7"/>
        <v>5</v>
      </c>
      <c r="BD29" s="71">
        <f t="shared" si="7"/>
        <v>5</v>
      </c>
      <c r="BE29" s="71">
        <f t="shared" si="7"/>
        <v>6</v>
      </c>
      <c r="BF29" s="71">
        <f t="shared" si="7"/>
        <v>5</v>
      </c>
      <c r="BG29" s="71">
        <f t="shared" si="7"/>
        <v>4</v>
      </c>
      <c r="BH29" s="71">
        <f t="shared" si="7"/>
        <v>2</v>
      </c>
      <c r="BI29" s="71">
        <f t="shared" si="7"/>
        <v>0</v>
      </c>
      <c r="BJ29" s="71">
        <f t="shared" si="7"/>
        <v>6</v>
      </c>
      <c r="BK29" s="71">
        <f t="shared" si="7"/>
        <v>4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20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4</v>
      </c>
      <c r="N30" s="73">
        <f t="shared" si="8"/>
        <v>6</v>
      </c>
      <c r="O30" s="73">
        <f t="shared" si="8"/>
        <v>6</v>
      </c>
      <c r="P30" s="73">
        <f t="shared" si="8"/>
        <v>4</v>
      </c>
      <c r="Q30" s="73">
        <f t="shared" si="8"/>
        <v>4</v>
      </c>
      <c r="R30" s="73">
        <f t="shared" si="8"/>
        <v>1</v>
      </c>
      <c r="S30" s="73">
        <f t="shared" si="8"/>
        <v>2</v>
      </c>
      <c r="T30" s="73">
        <f t="shared" si="8"/>
        <v>2</v>
      </c>
      <c r="U30" s="73">
        <f t="shared" si="8"/>
        <v>2</v>
      </c>
      <c r="V30" s="73">
        <f t="shared" si="8"/>
        <v>7</v>
      </c>
      <c r="W30" s="73">
        <f t="shared" si="8"/>
        <v>4</v>
      </c>
      <c r="X30" s="73">
        <f t="shared" si="8"/>
        <v>3</v>
      </c>
      <c r="Y30" s="73">
        <f t="shared" si="8"/>
        <v>3</v>
      </c>
      <c r="Z30" s="73">
        <f t="shared" si="8"/>
        <v>3</v>
      </c>
      <c r="AA30" s="73">
        <f t="shared" si="8"/>
        <v>6</v>
      </c>
      <c r="AB30" s="73">
        <f t="shared" si="8"/>
        <v>5</v>
      </c>
      <c r="AC30" s="73">
        <f t="shared" si="8"/>
        <v>6</v>
      </c>
      <c r="AD30" s="73">
        <f t="shared" si="8"/>
        <v>5</v>
      </c>
      <c r="AE30" s="73">
        <f t="shared" si="8"/>
        <v>3</v>
      </c>
      <c r="AF30" s="73">
        <f t="shared" si="8"/>
        <v>8</v>
      </c>
      <c r="AG30" s="73">
        <f t="shared" si="8"/>
        <v>4</v>
      </c>
      <c r="AH30" s="73">
        <f t="shared" si="8"/>
        <v>4</v>
      </c>
      <c r="AI30" s="73">
        <f t="shared" si="8"/>
        <v>5</v>
      </c>
      <c r="AJ30" s="73">
        <f t="shared" si="8"/>
        <v>4</v>
      </c>
      <c r="AK30" s="73">
        <f t="shared" si="8"/>
        <v>5</v>
      </c>
      <c r="AL30" s="73">
        <f t="shared" si="8"/>
        <v>4</v>
      </c>
      <c r="AM30" s="73">
        <f t="shared" si="8"/>
        <v>6</v>
      </c>
      <c r="AN30" s="73">
        <f t="shared" si="8"/>
        <v>2</v>
      </c>
      <c r="AO30" s="73">
        <f t="shared" si="8"/>
        <v>5</v>
      </c>
      <c r="AP30" s="73">
        <f t="shared" si="8"/>
        <v>3</v>
      </c>
      <c r="AQ30" s="73">
        <f t="shared" si="8"/>
        <v>4</v>
      </c>
      <c r="AR30" s="73">
        <f t="shared" si="8"/>
        <v>5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5</v>
      </c>
      <c r="AW30" s="73">
        <f t="shared" si="8"/>
        <v>3</v>
      </c>
      <c r="AX30" s="73">
        <f t="shared" si="8"/>
        <v>7</v>
      </c>
      <c r="AY30" s="73">
        <f t="shared" si="8"/>
        <v>4</v>
      </c>
      <c r="AZ30" s="73">
        <f t="shared" si="8"/>
        <v>3</v>
      </c>
      <c r="BA30" s="73">
        <f t="shared" si="8"/>
        <v>3</v>
      </c>
      <c r="BB30" s="73">
        <f t="shared" si="8"/>
        <v>2</v>
      </c>
      <c r="BC30" s="73">
        <f t="shared" si="8"/>
        <v>5</v>
      </c>
      <c r="BD30" s="73">
        <f t="shared" si="8"/>
        <v>5</v>
      </c>
      <c r="BE30" s="73">
        <f t="shared" si="8"/>
        <v>6</v>
      </c>
      <c r="BF30" s="73">
        <f t="shared" si="8"/>
        <v>5</v>
      </c>
      <c r="BG30" s="73">
        <f t="shared" si="8"/>
        <v>2</v>
      </c>
      <c r="BH30" s="73">
        <f t="shared" si="8"/>
        <v>2</v>
      </c>
      <c r="BI30" s="73">
        <f t="shared" si="8"/>
        <v>10</v>
      </c>
      <c r="BJ30" s="73">
        <f t="shared" si="8"/>
        <v>6</v>
      </c>
      <c r="BK30" s="73">
        <f t="shared" si="8"/>
        <v>4</v>
      </c>
      <c r="BL30" s="73">
        <f t="shared" si="8"/>
        <v>3</v>
      </c>
      <c r="BM30" s="73">
        <f t="shared" si="8"/>
        <v>4</v>
      </c>
      <c r="BN30" s="73">
        <f t="shared" si="8"/>
        <v>3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4</v>
      </c>
      <c r="Q31" s="71">
        <f t="shared" ca="1" si="9"/>
        <v>2</v>
      </c>
      <c r="R31" s="71">
        <f t="shared" ca="1" si="9"/>
        <v>3</v>
      </c>
      <c r="S31" s="71">
        <f t="shared" ca="1" si="9"/>
        <v>2</v>
      </c>
      <c r="T31" s="71">
        <f t="shared" ca="1" si="9"/>
        <v>4</v>
      </c>
      <c r="U31" s="71">
        <f t="shared" ca="1" si="9"/>
        <v>2</v>
      </c>
      <c r="V31" s="71">
        <f t="shared" ca="1" si="9"/>
        <v>7</v>
      </c>
      <c r="W31" s="71">
        <f t="shared" ca="1" si="9"/>
        <v>2</v>
      </c>
      <c r="X31" s="71">
        <f t="shared" ca="1" si="9"/>
        <v>3</v>
      </c>
      <c r="Y31" s="71">
        <f t="shared" ca="1" si="9"/>
        <v>3</v>
      </c>
      <c r="Z31" s="71">
        <f t="shared" ca="1" si="9"/>
        <v>1</v>
      </c>
      <c r="AA31" s="71">
        <f t="shared" ca="1" si="9"/>
        <v>6</v>
      </c>
      <c r="AB31" s="71">
        <f t="shared" ca="1" si="9"/>
        <v>3</v>
      </c>
      <c r="AC31" s="71">
        <f t="shared" ca="1" si="9"/>
        <v>4</v>
      </c>
      <c r="AD31" s="71">
        <f t="shared" ca="1" si="9"/>
        <v>3</v>
      </c>
      <c r="AE31" s="71">
        <f t="shared" ca="1" si="9"/>
        <v>5</v>
      </c>
      <c r="AF31" s="71">
        <f t="shared" ca="1" si="9"/>
        <v>6</v>
      </c>
      <c r="AG31" s="71">
        <f t="shared" ca="1" si="9"/>
        <v>6</v>
      </c>
      <c r="AH31" s="71">
        <f t="shared" ca="1" si="9"/>
        <v>2</v>
      </c>
      <c r="AI31" s="71">
        <f t="shared" ca="1" si="9"/>
        <v>3</v>
      </c>
      <c r="AJ31" s="71">
        <f t="shared" ca="1" si="9"/>
        <v>4</v>
      </c>
      <c r="AK31" s="71">
        <f t="shared" ca="1" si="9"/>
        <v>3</v>
      </c>
      <c r="AL31" s="71">
        <f t="shared" ca="1" si="9"/>
        <v>2</v>
      </c>
      <c r="AM31" s="71">
        <f t="shared" ca="1" si="9"/>
        <v>4</v>
      </c>
      <c r="AN31" s="71">
        <f t="shared" ca="1" si="9"/>
        <v>4</v>
      </c>
      <c r="AO31" s="71">
        <f t="shared" ca="1" si="9"/>
        <v>5</v>
      </c>
      <c r="AP31" s="71">
        <f t="shared" ca="1" si="9"/>
        <v>3</v>
      </c>
      <c r="AQ31" s="71">
        <f t="shared" ca="1" si="9"/>
        <v>2</v>
      </c>
      <c r="AR31" s="71">
        <f t="shared" ca="1" si="9"/>
        <v>3</v>
      </c>
      <c r="AS31" s="71">
        <f t="shared" ca="1" si="9"/>
        <v>4</v>
      </c>
      <c r="AT31" s="71">
        <f t="shared" ca="1" si="9"/>
        <v>2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3</v>
      </c>
      <c r="BA31" s="71">
        <f t="shared" ca="1" si="9"/>
        <v>3</v>
      </c>
      <c r="BB31" s="71">
        <f t="shared" ca="1" si="9"/>
        <v>4</v>
      </c>
      <c r="BC31" s="71">
        <f t="shared" ca="1" si="9"/>
        <v>3</v>
      </c>
      <c r="BD31" s="71">
        <f t="shared" ca="1" si="9"/>
        <v>5</v>
      </c>
      <c r="BE31" s="71">
        <f t="shared" ca="1" si="9"/>
        <v>4</v>
      </c>
      <c r="BF31" s="71">
        <f t="shared" ca="1" si="9"/>
        <v>3</v>
      </c>
      <c r="BG31" s="71">
        <f t="shared" ca="1" si="9"/>
        <v>2</v>
      </c>
      <c r="BH31" s="71">
        <f t="shared" ca="1" si="9"/>
        <v>2</v>
      </c>
      <c r="BI31" s="71">
        <f t="shared" ca="1" si="9"/>
        <v>10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  <c r="BN31" s="71">
        <f t="shared" ca="1" si="9"/>
        <v>5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99967952</v>
      </c>
      <c r="L36" s="32">
        <f t="shared" si="12"/>
        <v>81991952</v>
      </c>
      <c r="M36" s="32">
        <f t="shared" si="12"/>
        <v>119939980</v>
      </c>
      <c r="N36" s="32">
        <f t="shared" si="12"/>
        <v>121979900</v>
      </c>
      <c r="O36" s="32">
        <f t="shared" si="12"/>
        <v>79823952</v>
      </c>
      <c r="P36" s="32">
        <f t="shared" si="12"/>
        <v>159979964</v>
      </c>
      <c r="Q36" s="32">
        <f t="shared" si="12"/>
        <v>161991936</v>
      </c>
      <c r="R36" s="32">
        <f t="shared" si="12"/>
        <v>99979964</v>
      </c>
      <c r="S36" s="32">
        <f t="shared" si="12"/>
        <v>121991952</v>
      </c>
      <c r="T36" s="32">
        <f t="shared" si="12"/>
        <v>79951992</v>
      </c>
      <c r="U36" s="32">
        <f t="shared" si="12"/>
        <v>121963908</v>
      </c>
      <c r="V36" s="32">
        <f t="shared" si="12"/>
        <v>101971908</v>
      </c>
      <c r="W36" s="32">
        <f t="shared" si="12"/>
        <v>121975992</v>
      </c>
      <c r="X36" s="32">
        <f t="shared" si="12"/>
        <v>99976000</v>
      </c>
      <c r="Y36" s="32">
        <f t="shared" si="12"/>
        <v>141947980</v>
      </c>
      <c r="Z36" s="32">
        <f t="shared" si="12"/>
        <v>141975928</v>
      </c>
      <c r="AA36" s="32">
        <f t="shared" si="12"/>
        <v>81991936</v>
      </c>
      <c r="AB36" s="32">
        <f t="shared" si="12"/>
        <v>61991936</v>
      </c>
      <c r="AC36" s="32">
        <f t="shared" si="12"/>
        <v>79895912</v>
      </c>
      <c r="AD36" s="32">
        <f t="shared" si="12"/>
        <v>141991920</v>
      </c>
      <c r="AE36" s="32">
        <f t="shared" si="12"/>
        <v>101903968</v>
      </c>
      <c r="AF36" s="32">
        <f t="shared" si="12"/>
        <v>119951968</v>
      </c>
      <c r="AG36" s="32">
        <f t="shared" si="12"/>
        <v>79987932</v>
      </c>
      <c r="AH36" s="32">
        <f t="shared" si="12"/>
        <v>81991912</v>
      </c>
      <c r="AI36" s="32">
        <f t="shared" si="12"/>
        <v>101951984</v>
      </c>
      <c r="AJ36" s="32">
        <f t="shared" si="12"/>
        <v>119979964</v>
      </c>
      <c r="AK36" s="32">
        <f t="shared" si="12"/>
        <v>141991880</v>
      </c>
      <c r="AL36" s="32">
        <f t="shared" si="12"/>
        <v>119979964</v>
      </c>
      <c r="AM36" s="32">
        <f t="shared" si="12"/>
        <v>79971988</v>
      </c>
      <c r="AN36" s="32">
        <f t="shared" si="12"/>
        <v>79979980</v>
      </c>
      <c r="AO36" s="32">
        <f t="shared" si="12"/>
        <v>141991984</v>
      </c>
      <c r="AP36" s="32">
        <f t="shared" si="12"/>
        <v>101979956</v>
      </c>
      <c r="AQ36" s="32">
        <f t="shared" si="12"/>
        <v>79951888</v>
      </c>
      <c r="AR36" s="32">
        <f t="shared" si="12"/>
        <v>139987956</v>
      </c>
      <c r="AS36" s="32">
        <f t="shared" si="12"/>
        <v>121995980</v>
      </c>
      <c r="AT36" s="32">
        <f t="shared" si="12"/>
        <v>79939924</v>
      </c>
      <c r="AU36" s="32">
        <f t="shared" si="12"/>
        <v>119975880</v>
      </c>
      <c r="AV36" s="32">
        <f t="shared" si="12"/>
        <v>59979964</v>
      </c>
      <c r="AW36" s="32">
        <f t="shared" si="12"/>
        <v>141999896</v>
      </c>
      <c r="AX36" s="32">
        <f t="shared" si="12"/>
        <v>99959864</v>
      </c>
      <c r="AY36" s="32">
        <f t="shared" si="12"/>
        <v>161975928</v>
      </c>
      <c r="AZ36" s="32">
        <f t="shared" si="12"/>
        <v>141971940</v>
      </c>
      <c r="BA36" s="32">
        <f t="shared" si="12"/>
        <v>101991992</v>
      </c>
      <c r="BB36" s="32">
        <f t="shared" si="12"/>
        <v>81943944</v>
      </c>
      <c r="BC36" s="32">
        <f t="shared" si="12"/>
        <v>139951968</v>
      </c>
      <c r="BD36" s="32">
        <f t="shared" si="12"/>
        <v>139855952</v>
      </c>
      <c r="BE36" s="32">
        <f t="shared" si="12"/>
        <v>79967840</v>
      </c>
      <c r="BF36" s="32">
        <f t="shared" si="12"/>
        <v>141991936</v>
      </c>
      <c r="BG36" s="32">
        <f t="shared" si="12"/>
        <v>79951984</v>
      </c>
      <c r="BH36" s="32">
        <f t="shared" si="12"/>
        <v>161991944</v>
      </c>
      <c r="BI36" s="32">
        <f t="shared" si="12"/>
        <v>0</v>
      </c>
      <c r="BJ36" s="32">
        <f t="shared" si="12"/>
        <v>79979996</v>
      </c>
      <c r="BK36" s="32">
        <f t="shared" si="12"/>
        <v>81963908</v>
      </c>
      <c r="BL36" s="32">
        <f t="shared" si="12"/>
        <v>101975952</v>
      </c>
      <c r="BM36" s="32">
        <f t="shared" si="12"/>
        <v>79975920</v>
      </c>
      <c r="BN36" s="32">
        <f t="shared" si="12"/>
        <v>139951992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ca="1" si="13"/>
        <v>Warren, Jason</v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Warren, Jason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9" stopIfTrue="1" operator="equal">
      <formula>0</formula>
    </cfRule>
  </conditionalFormatting>
  <conditionalFormatting sqref="D26:J28 K28:BE28">
    <cfRule type="cellIs" dxfId="108" priority="10" stopIfTrue="1" operator="equal">
      <formula>1</formula>
    </cfRule>
  </conditionalFormatting>
  <conditionalFormatting sqref="H3:I3 F23 H5:I5 H7:I7 H9:I9 H11:I11 H13:I13 H15:I15 H17:I17 H19:I19 H21:I21">
    <cfRule type="cellIs" dxfId="107" priority="11" stopIfTrue="1" operator="equal">
      <formula>0</formula>
    </cfRule>
  </conditionalFormatting>
  <conditionalFormatting sqref="H4:I4 F24 H6:I6 H8:I8 H10:I10 H12:I12 H14:I14 H16:I16 H18:I18 H20:I20 H22:I22">
    <cfRule type="cellIs" dxfId="106" priority="12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5" stopIfTrue="1">
      <formula>AND(COUNTA(J4)=1,$E4=1,SUM($E3:$E4)=1)</formula>
    </cfRule>
    <cfRule type="expression" dxfId="10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17" stopIfTrue="1">
      <formula>AND(COUNTA(J3)=1,$E3=1,SUM($E3:$E4)=1)</formula>
    </cfRule>
    <cfRule type="expression" dxfId="100" priority="18" stopIfTrue="1">
      <formula>AND(COUNTA(J3)=1,$E3=0,SUM($E3:$E4)=1)</formula>
    </cfRule>
  </conditionalFormatting>
  <conditionalFormatting sqref="BF23:BN23">
    <cfRule type="cellIs" dxfId="99" priority="7" stopIfTrue="1" operator="equal">
      <formula>0</formula>
    </cfRule>
  </conditionalFormatting>
  <conditionalFormatting sqref="BF24:BN24">
    <cfRule type="cellIs" dxfId="98" priority="6" stopIfTrue="1" operator="equal">
      <formula>0</formula>
    </cfRule>
  </conditionalFormatting>
  <conditionalFormatting sqref="BF28:BN28">
    <cfRule type="cellIs" dxfId="9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260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1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N58"/>
  <sheetViews>
    <sheetView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154</v>
      </c>
      <c r="C3" s="65"/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/>
      <c r="O3" s="69"/>
      <c r="P3" s="69"/>
      <c r="Q3" s="69" t="s">
        <v>314</v>
      </c>
      <c r="R3" s="69" t="s">
        <v>314</v>
      </c>
      <c r="S3" s="69"/>
      <c r="T3" s="69"/>
      <c r="U3" s="69" t="s">
        <v>314</v>
      </c>
      <c r="V3" s="69"/>
      <c r="W3" s="69"/>
      <c r="X3" s="69"/>
      <c r="Y3" s="69"/>
      <c r="Z3" s="69" t="s">
        <v>314</v>
      </c>
      <c r="AA3" s="69"/>
      <c r="AB3" s="69"/>
      <c r="AC3" s="69" t="s">
        <v>314</v>
      </c>
      <c r="AD3" s="69"/>
      <c r="AE3" s="69" t="s">
        <v>314</v>
      </c>
      <c r="AF3" s="69" t="s">
        <v>314</v>
      </c>
      <c r="AG3" s="69"/>
      <c r="AH3" s="69" t="s">
        <v>314</v>
      </c>
      <c r="AI3" s="69" t="s">
        <v>314</v>
      </c>
      <c r="AJ3" s="69"/>
      <c r="AK3" s="69" t="s">
        <v>314</v>
      </c>
      <c r="AL3" s="69" t="s">
        <v>314</v>
      </c>
      <c r="AM3" s="69" t="s">
        <v>314</v>
      </c>
      <c r="AN3" s="69"/>
      <c r="AO3" s="69" t="s">
        <v>314</v>
      </c>
      <c r="AP3" s="69"/>
      <c r="AQ3" s="69"/>
      <c r="AR3" s="96" t="s">
        <v>314</v>
      </c>
      <c r="AS3" s="69" t="s">
        <v>314</v>
      </c>
      <c r="AT3" s="69"/>
      <c r="AU3" s="69" t="s">
        <v>314</v>
      </c>
      <c r="AV3" s="69" t="s">
        <v>314</v>
      </c>
      <c r="AW3" s="69" t="s">
        <v>314</v>
      </c>
      <c r="AX3" s="69" t="s">
        <v>314</v>
      </c>
      <c r="AY3" s="69"/>
      <c r="AZ3" s="69"/>
      <c r="BA3" s="69" t="s">
        <v>314</v>
      </c>
      <c r="BB3" s="69"/>
      <c r="BC3" s="69" t="s">
        <v>314</v>
      </c>
      <c r="BD3" s="69"/>
      <c r="BE3" s="96"/>
      <c r="BF3" s="69"/>
      <c r="BG3" s="69" t="s">
        <v>314</v>
      </c>
      <c r="BH3" s="69"/>
      <c r="BI3" s="69"/>
      <c r="BJ3" s="69"/>
      <c r="BK3" s="69"/>
      <c r="BL3" s="69"/>
      <c r="BM3" s="69" t="s">
        <v>314</v>
      </c>
      <c r="BN3" s="69" t="s">
        <v>314</v>
      </c>
    </row>
    <row r="4" spans="1:66" x14ac:dyDescent="0.2">
      <c r="A4" s="61" t="s">
        <v>3</v>
      </c>
      <c r="B4" s="68" t="s">
        <v>241</v>
      </c>
      <c r="C4" s="66">
        <v>14.5</v>
      </c>
      <c r="D4" s="64">
        <v>45</v>
      </c>
      <c r="E4" s="64">
        <f>IF(ISBLANK($D4),"0",IF(($D4-$D3)&gt;($C4-$C3),1,0))</f>
        <v>1</v>
      </c>
      <c r="F4" s="64">
        <f t="shared" ref="F4:F22" ca="1" si="1">COUNTA(INDIRECT("RC11:RC"&amp;11+playercnt-1,FALSE))</f>
        <v>25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314</v>
      </c>
      <c r="O4" s="70"/>
      <c r="P4" s="70" t="s">
        <v>314</v>
      </c>
      <c r="Q4" s="70"/>
      <c r="R4" s="70"/>
      <c r="S4" s="70" t="s">
        <v>314</v>
      </c>
      <c r="T4" s="70" t="s">
        <v>314</v>
      </c>
      <c r="U4" s="97"/>
      <c r="V4" s="70" t="s">
        <v>314</v>
      </c>
      <c r="W4" s="70" t="s">
        <v>314</v>
      </c>
      <c r="X4" s="70" t="s">
        <v>314</v>
      </c>
      <c r="Y4" s="70" t="s">
        <v>314</v>
      </c>
      <c r="Z4" s="70"/>
      <c r="AA4" s="70"/>
      <c r="AB4" s="70" t="s">
        <v>314</v>
      </c>
      <c r="AC4" s="70"/>
      <c r="AD4" s="70" t="s">
        <v>314</v>
      </c>
      <c r="AE4" s="70"/>
      <c r="AF4" s="70"/>
      <c r="AG4" s="70" t="s">
        <v>314</v>
      </c>
      <c r="AH4" s="70"/>
      <c r="AI4" s="70"/>
      <c r="AJ4" s="70" t="s">
        <v>314</v>
      </c>
      <c r="AK4" s="70"/>
      <c r="AL4" s="70"/>
      <c r="AM4" s="70"/>
      <c r="AN4" s="70" t="s">
        <v>314</v>
      </c>
      <c r="AO4" s="70"/>
      <c r="AP4" s="70" t="s">
        <v>314</v>
      </c>
      <c r="AQ4" s="70" t="s">
        <v>314</v>
      </c>
      <c r="AR4" s="70"/>
      <c r="AS4" s="70"/>
      <c r="AT4" s="70" t="s">
        <v>314</v>
      </c>
      <c r="AU4" s="70"/>
      <c r="AV4" s="70"/>
      <c r="AW4" s="70"/>
      <c r="AX4" s="70"/>
      <c r="AY4" s="70" t="s">
        <v>314</v>
      </c>
      <c r="AZ4" s="70"/>
      <c r="BA4" s="70"/>
      <c r="BB4" s="70" t="s">
        <v>314</v>
      </c>
      <c r="BC4" s="70"/>
      <c r="BD4" s="70" t="s">
        <v>314</v>
      </c>
      <c r="BE4" s="70" t="s">
        <v>314</v>
      </c>
      <c r="BF4" s="70" t="s">
        <v>314</v>
      </c>
      <c r="BG4" s="70"/>
      <c r="BH4" s="70"/>
      <c r="BI4" s="70" t="s">
        <v>314</v>
      </c>
      <c r="BJ4" s="70" t="s">
        <v>314</v>
      </c>
      <c r="BK4" s="70" t="s">
        <v>314</v>
      </c>
      <c r="BL4" s="70" t="s">
        <v>314</v>
      </c>
      <c r="BM4" s="70"/>
      <c r="BN4" s="70"/>
    </row>
    <row r="5" spans="1:66" x14ac:dyDescent="0.2">
      <c r="A5" s="59">
        <v>2</v>
      </c>
      <c r="B5" s="67" t="s">
        <v>145</v>
      </c>
      <c r="C5" s="65">
        <v>10.5</v>
      </c>
      <c r="D5" s="64">
        <v>31</v>
      </c>
      <c r="E5" s="64">
        <f>IF(ISBLANK($D5),"0",IF(($D6-$D5)&lt;($C6-$C5),1,0))</f>
        <v>0</v>
      </c>
      <c r="F5" s="64">
        <f t="shared" ca="1" si="1"/>
        <v>33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314</v>
      </c>
      <c r="L5" s="69"/>
      <c r="M5" s="69"/>
      <c r="N5" s="69" t="s">
        <v>314</v>
      </c>
      <c r="O5" s="69"/>
      <c r="P5" s="69"/>
      <c r="Q5" s="69" t="s">
        <v>314</v>
      </c>
      <c r="R5" s="69" t="s">
        <v>314</v>
      </c>
      <c r="S5" s="69" t="s">
        <v>314</v>
      </c>
      <c r="T5" s="69"/>
      <c r="U5" s="96" t="s">
        <v>314</v>
      </c>
      <c r="V5" s="69"/>
      <c r="W5" s="69" t="s">
        <v>314</v>
      </c>
      <c r="X5" s="69"/>
      <c r="Y5" s="69" t="s">
        <v>314</v>
      </c>
      <c r="Z5" s="69" t="s">
        <v>314</v>
      </c>
      <c r="AA5" s="69"/>
      <c r="AB5" s="69" t="s">
        <v>314</v>
      </c>
      <c r="AC5" s="69"/>
      <c r="AD5" s="69" t="s">
        <v>314</v>
      </c>
      <c r="AE5" s="69" t="s">
        <v>314</v>
      </c>
      <c r="AF5" s="69" t="s">
        <v>314</v>
      </c>
      <c r="AG5" s="69"/>
      <c r="AH5" s="69" t="s">
        <v>314</v>
      </c>
      <c r="AI5" s="69" t="s">
        <v>314</v>
      </c>
      <c r="AJ5" s="69" t="s">
        <v>314</v>
      </c>
      <c r="AK5" s="69" t="s">
        <v>314</v>
      </c>
      <c r="AL5" s="69"/>
      <c r="AM5" s="69" t="s">
        <v>314</v>
      </c>
      <c r="AN5" s="69" t="s">
        <v>314</v>
      </c>
      <c r="AO5" s="69"/>
      <c r="AP5" s="69" t="s">
        <v>314</v>
      </c>
      <c r="AQ5" s="69"/>
      <c r="AR5" s="96" t="s">
        <v>314</v>
      </c>
      <c r="AS5" s="69" t="s">
        <v>314</v>
      </c>
      <c r="AT5" s="69" t="s">
        <v>314</v>
      </c>
      <c r="AU5" s="69" t="s">
        <v>314</v>
      </c>
      <c r="AV5" s="69"/>
      <c r="AW5" s="69" t="s">
        <v>314</v>
      </c>
      <c r="AX5" s="69" t="s">
        <v>314</v>
      </c>
      <c r="AY5" s="69" t="s">
        <v>314</v>
      </c>
      <c r="AZ5" s="69"/>
      <c r="BA5" s="69"/>
      <c r="BB5" s="69"/>
      <c r="BC5" s="69"/>
      <c r="BD5" s="69" t="s">
        <v>314</v>
      </c>
      <c r="BE5" s="69" t="s">
        <v>314</v>
      </c>
      <c r="BF5" s="69" t="s">
        <v>314</v>
      </c>
      <c r="BG5" s="69"/>
      <c r="BH5" s="69"/>
      <c r="BI5" s="69"/>
      <c r="BJ5" s="69"/>
      <c r="BK5" s="69" t="s">
        <v>314</v>
      </c>
      <c r="BL5" s="69"/>
      <c r="BM5" s="69" t="s">
        <v>314</v>
      </c>
      <c r="BN5" s="69" t="s">
        <v>314</v>
      </c>
    </row>
    <row r="6" spans="1:66" x14ac:dyDescent="0.2">
      <c r="A6" s="61" t="s">
        <v>3</v>
      </c>
      <c r="B6" s="68" t="s">
        <v>236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19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314</v>
      </c>
      <c r="M6" s="70" t="s">
        <v>314</v>
      </c>
      <c r="N6" s="70"/>
      <c r="O6" s="70"/>
      <c r="P6" s="70" t="s">
        <v>314</v>
      </c>
      <c r="Q6" s="70"/>
      <c r="R6" s="70"/>
      <c r="S6" s="70"/>
      <c r="T6" s="70" t="s">
        <v>314</v>
      </c>
      <c r="U6" s="70"/>
      <c r="V6" s="70" t="s">
        <v>314</v>
      </c>
      <c r="W6" s="70"/>
      <c r="X6" s="70" t="s">
        <v>314</v>
      </c>
      <c r="Y6" s="70"/>
      <c r="Z6" s="70"/>
      <c r="AA6" s="70"/>
      <c r="AB6" s="70"/>
      <c r="AC6" s="70" t="s">
        <v>314</v>
      </c>
      <c r="AD6" s="70"/>
      <c r="AE6" s="70"/>
      <c r="AF6" s="70"/>
      <c r="AG6" s="70" t="s">
        <v>314</v>
      </c>
      <c r="AH6" s="70"/>
      <c r="AI6" s="70"/>
      <c r="AJ6" s="70"/>
      <c r="AK6" s="70"/>
      <c r="AL6" s="70" t="s">
        <v>314</v>
      </c>
      <c r="AM6" s="70"/>
      <c r="AN6" s="70"/>
      <c r="AO6" s="70" t="s">
        <v>314</v>
      </c>
      <c r="AP6" s="70"/>
      <c r="AQ6" s="70" t="s">
        <v>314</v>
      </c>
      <c r="AR6" s="70"/>
      <c r="AS6" s="70"/>
      <c r="AT6" s="70"/>
      <c r="AU6" s="70"/>
      <c r="AV6" s="70" t="s">
        <v>314</v>
      </c>
      <c r="AW6" s="70"/>
      <c r="AX6" s="70"/>
      <c r="AY6" s="70"/>
      <c r="AZ6" s="70"/>
      <c r="BA6" s="70" t="s">
        <v>314</v>
      </c>
      <c r="BB6" s="70" t="s">
        <v>314</v>
      </c>
      <c r="BC6" s="70" t="s">
        <v>314</v>
      </c>
      <c r="BD6" s="70"/>
      <c r="BE6" s="97"/>
      <c r="BF6" s="70"/>
      <c r="BG6" s="70" t="s">
        <v>314</v>
      </c>
      <c r="BH6" s="70"/>
      <c r="BI6" s="70" t="s">
        <v>314</v>
      </c>
      <c r="BJ6" s="70" t="s">
        <v>314</v>
      </c>
      <c r="BK6" s="70"/>
      <c r="BL6" s="70" t="s">
        <v>314</v>
      </c>
      <c r="BM6" s="70"/>
      <c r="BN6" s="70"/>
    </row>
    <row r="7" spans="1:66" x14ac:dyDescent="0.2">
      <c r="A7" s="59">
        <v>3</v>
      </c>
      <c r="B7" s="67" t="s">
        <v>152</v>
      </c>
      <c r="C7" s="65">
        <v>2.5</v>
      </c>
      <c r="D7" s="64">
        <v>40</v>
      </c>
      <c r="E7" s="64">
        <f>IF(ISBLANK($D7),"0",IF(($D8-$D7)&lt;($C8-$C7),1,0))</f>
        <v>1</v>
      </c>
      <c r="F7" s="64">
        <f t="shared" ca="1" si="1"/>
        <v>34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314</v>
      </c>
      <c r="N7" s="69"/>
      <c r="O7" s="69"/>
      <c r="P7" s="69" t="s">
        <v>314</v>
      </c>
      <c r="Q7" s="69" t="s">
        <v>314</v>
      </c>
      <c r="R7" s="96"/>
      <c r="S7" s="96" t="s">
        <v>314</v>
      </c>
      <c r="T7" s="96" t="s">
        <v>314</v>
      </c>
      <c r="U7" s="96" t="s">
        <v>314</v>
      </c>
      <c r="V7" s="69"/>
      <c r="W7" s="69"/>
      <c r="X7" s="69"/>
      <c r="Y7" s="69" t="s">
        <v>314</v>
      </c>
      <c r="Z7" s="69" t="s">
        <v>314</v>
      </c>
      <c r="AA7" s="69"/>
      <c r="AB7" s="69"/>
      <c r="AC7" s="69" t="s">
        <v>314</v>
      </c>
      <c r="AD7" s="69"/>
      <c r="AE7" s="69" t="s">
        <v>314</v>
      </c>
      <c r="AF7" s="69" t="s">
        <v>314</v>
      </c>
      <c r="AG7" s="69" t="s">
        <v>314</v>
      </c>
      <c r="AH7" s="69" t="s">
        <v>314</v>
      </c>
      <c r="AI7" s="69"/>
      <c r="AJ7" s="69" t="s">
        <v>314</v>
      </c>
      <c r="AK7" s="69" t="s">
        <v>314</v>
      </c>
      <c r="AL7" s="69" t="s">
        <v>314</v>
      </c>
      <c r="AM7" s="69" t="s">
        <v>314</v>
      </c>
      <c r="AN7" s="69" t="s">
        <v>314</v>
      </c>
      <c r="AO7" s="69" t="s">
        <v>314</v>
      </c>
      <c r="AP7" s="69" t="s">
        <v>314</v>
      </c>
      <c r="AQ7" s="69"/>
      <c r="AR7" s="96" t="s">
        <v>314</v>
      </c>
      <c r="AS7" s="69" t="s">
        <v>314</v>
      </c>
      <c r="AT7" s="69" t="s">
        <v>314</v>
      </c>
      <c r="AU7" s="69" t="s">
        <v>314</v>
      </c>
      <c r="AV7" s="69"/>
      <c r="AW7" s="69" t="s">
        <v>314</v>
      </c>
      <c r="AX7" s="69" t="s">
        <v>314</v>
      </c>
      <c r="AY7" s="69" t="s">
        <v>314</v>
      </c>
      <c r="AZ7" s="69"/>
      <c r="BA7" s="69" t="s">
        <v>314</v>
      </c>
      <c r="BB7" s="69"/>
      <c r="BC7" s="69"/>
      <c r="BD7" s="69"/>
      <c r="BE7" s="96"/>
      <c r="BF7" s="69" t="s">
        <v>314</v>
      </c>
      <c r="BG7" s="69" t="s">
        <v>314</v>
      </c>
      <c r="BH7" s="69"/>
      <c r="BI7" s="69" t="s">
        <v>314</v>
      </c>
      <c r="BJ7" s="69" t="s">
        <v>314</v>
      </c>
      <c r="BK7" s="69" t="s">
        <v>314</v>
      </c>
      <c r="BL7" s="69"/>
      <c r="BM7" s="69" t="s">
        <v>314</v>
      </c>
      <c r="BN7" s="69"/>
    </row>
    <row r="8" spans="1:66" x14ac:dyDescent="0.2">
      <c r="A8" s="61" t="s">
        <v>3</v>
      </c>
      <c r="B8" s="68" t="s">
        <v>248</v>
      </c>
      <c r="C8" s="66"/>
      <c r="D8" s="64">
        <v>29</v>
      </c>
      <c r="E8" s="64">
        <f>IF(ISBLANK($D8),"0",IF(($D8-$D7)&gt;($C8-$C7),1,0))</f>
        <v>0</v>
      </c>
      <c r="F8" s="64">
        <f t="shared" ca="1" si="1"/>
        <v>18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314</v>
      </c>
      <c r="L8" s="70" t="s">
        <v>314</v>
      </c>
      <c r="M8" s="70"/>
      <c r="N8" s="70" t="s">
        <v>314</v>
      </c>
      <c r="O8" s="70"/>
      <c r="P8" s="70"/>
      <c r="Q8" s="70"/>
      <c r="R8" s="97" t="s">
        <v>314</v>
      </c>
      <c r="S8" s="97"/>
      <c r="T8" s="97"/>
      <c r="U8" s="97"/>
      <c r="V8" s="70" t="s">
        <v>314</v>
      </c>
      <c r="W8" s="70" t="s">
        <v>314</v>
      </c>
      <c r="X8" s="70" t="s">
        <v>314</v>
      </c>
      <c r="Y8" s="70"/>
      <c r="Z8" s="70"/>
      <c r="AA8" s="70"/>
      <c r="AB8" s="70" t="s">
        <v>314</v>
      </c>
      <c r="AC8" s="70"/>
      <c r="AD8" s="70" t="s">
        <v>314</v>
      </c>
      <c r="AE8" s="70"/>
      <c r="AF8" s="70"/>
      <c r="AG8" s="70"/>
      <c r="AH8" s="70"/>
      <c r="AI8" s="70" t="s">
        <v>314</v>
      </c>
      <c r="AJ8" s="70"/>
      <c r="AK8" s="70"/>
      <c r="AL8" s="70"/>
      <c r="AM8" s="70"/>
      <c r="AN8" s="70"/>
      <c r="AO8" s="70"/>
      <c r="AP8" s="70"/>
      <c r="AQ8" s="70" t="s">
        <v>314</v>
      </c>
      <c r="AR8" s="70"/>
      <c r="AS8" s="70"/>
      <c r="AT8" s="70"/>
      <c r="AU8" s="70"/>
      <c r="AV8" s="70" t="s">
        <v>314</v>
      </c>
      <c r="AW8" s="70"/>
      <c r="AX8" s="70"/>
      <c r="AY8" s="70"/>
      <c r="AZ8" s="70"/>
      <c r="BA8" s="70"/>
      <c r="BB8" s="70" t="s">
        <v>314</v>
      </c>
      <c r="BC8" s="70" t="s">
        <v>314</v>
      </c>
      <c r="BD8" s="70" t="s">
        <v>314</v>
      </c>
      <c r="BE8" s="70" t="s">
        <v>314</v>
      </c>
      <c r="BF8" s="70"/>
      <c r="BG8" s="70"/>
      <c r="BH8" s="70"/>
      <c r="BI8" s="70"/>
      <c r="BJ8" s="70"/>
      <c r="BK8" s="70"/>
      <c r="BL8" s="70" t="s">
        <v>314</v>
      </c>
      <c r="BM8" s="70"/>
      <c r="BN8" s="70" t="s">
        <v>314</v>
      </c>
    </row>
    <row r="9" spans="1:66" x14ac:dyDescent="0.2">
      <c r="A9" s="59">
        <v>4</v>
      </c>
      <c r="B9" s="108" t="s">
        <v>153</v>
      </c>
      <c r="C9" s="65">
        <v>13.5</v>
      </c>
      <c r="D9" s="81">
        <v>21</v>
      </c>
      <c r="E9" s="64">
        <f>IF(ISBLANK($D9),"0",IF(($D10-$D9)&lt;($C10-$C9),1,0))</f>
        <v>0</v>
      </c>
      <c r="F9" s="64">
        <f t="shared" ca="1" si="1"/>
        <v>30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314</v>
      </c>
      <c r="M9" s="69" t="s">
        <v>314</v>
      </c>
      <c r="N9" s="69"/>
      <c r="O9" s="69"/>
      <c r="P9" s="69" t="s">
        <v>314</v>
      </c>
      <c r="Q9" s="69" t="s">
        <v>314</v>
      </c>
      <c r="R9" s="96"/>
      <c r="S9" s="96" t="s">
        <v>314</v>
      </c>
      <c r="T9" s="96"/>
      <c r="U9" s="96" t="s">
        <v>314</v>
      </c>
      <c r="V9" s="69"/>
      <c r="W9" s="69" t="s">
        <v>314</v>
      </c>
      <c r="X9" s="69" t="s">
        <v>314</v>
      </c>
      <c r="Y9" s="69"/>
      <c r="Z9" s="69"/>
      <c r="AA9" s="69"/>
      <c r="AB9" s="69" t="s">
        <v>314</v>
      </c>
      <c r="AC9" s="69" t="s">
        <v>314</v>
      </c>
      <c r="AD9" s="69" t="s">
        <v>314</v>
      </c>
      <c r="AE9" s="69"/>
      <c r="AF9" s="69" t="s">
        <v>314</v>
      </c>
      <c r="AG9" s="69"/>
      <c r="AH9" s="69"/>
      <c r="AI9" s="69"/>
      <c r="AJ9" s="69" t="s">
        <v>314</v>
      </c>
      <c r="AK9" s="69" t="s">
        <v>314</v>
      </c>
      <c r="AL9" s="69"/>
      <c r="AM9" s="69"/>
      <c r="AN9" s="69"/>
      <c r="AO9" s="69" t="s">
        <v>314</v>
      </c>
      <c r="AP9" s="69" t="s">
        <v>314</v>
      </c>
      <c r="AQ9" s="69" t="s">
        <v>314</v>
      </c>
      <c r="AR9" s="96" t="s">
        <v>314</v>
      </c>
      <c r="AS9" s="69"/>
      <c r="AT9" s="69"/>
      <c r="AU9" s="69"/>
      <c r="AV9" s="69" t="s">
        <v>314</v>
      </c>
      <c r="AW9" s="69" t="s">
        <v>314</v>
      </c>
      <c r="AX9" s="69"/>
      <c r="AY9" s="69" t="s">
        <v>314</v>
      </c>
      <c r="AZ9" s="69"/>
      <c r="BA9" s="69" t="s">
        <v>314</v>
      </c>
      <c r="BB9" s="69"/>
      <c r="BC9" s="69" t="s">
        <v>314</v>
      </c>
      <c r="BD9" s="69" t="s">
        <v>314</v>
      </c>
      <c r="BE9" s="96" t="s">
        <v>314</v>
      </c>
      <c r="BF9" s="69"/>
      <c r="BG9" s="69" t="s">
        <v>314</v>
      </c>
      <c r="BH9" s="69"/>
      <c r="BI9" s="69"/>
      <c r="BJ9" s="69" t="s">
        <v>314</v>
      </c>
      <c r="BK9" s="69"/>
      <c r="BL9" s="69" t="s">
        <v>314</v>
      </c>
      <c r="BM9" s="69" t="s">
        <v>314</v>
      </c>
      <c r="BN9" s="69" t="s">
        <v>314</v>
      </c>
    </row>
    <row r="10" spans="1:66" x14ac:dyDescent="0.2">
      <c r="A10" s="61" t="s">
        <v>3</v>
      </c>
      <c r="B10" s="68" t="s">
        <v>150</v>
      </c>
      <c r="C10" s="66"/>
      <c r="D10" s="64">
        <v>24</v>
      </c>
      <c r="E10" s="64">
        <f>IF(ISBLANK($D10),"0",IF(($D10-$D9)&gt;($C10-$C9),1,0))</f>
        <v>1</v>
      </c>
      <c r="F10" s="64">
        <f t="shared" ca="1" si="1"/>
        <v>22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314</v>
      </c>
      <c r="L10" s="70"/>
      <c r="M10" s="70"/>
      <c r="N10" s="70" t="s">
        <v>314</v>
      </c>
      <c r="O10" s="70"/>
      <c r="P10" s="70"/>
      <c r="Q10" s="70"/>
      <c r="R10" s="97" t="s">
        <v>314</v>
      </c>
      <c r="S10" s="97"/>
      <c r="T10" s="97" t="s">
        <v>314</v>
      </c>
      <c r="U10" s="70"/>
      <c r="V10" s="70" t="s">
        <v>314</v>
      </c>
      <c r="W10" s="70"/>
      <c r="X10" s="70"/>
      <c r="Y10" s="70" t="s">
        <v>314</v>
      </c>
      <c r="Z10" s="70" t="s">
        <v>314</v>
      </c>
      <c r="AA10" s="70"/>
      <c r="AB10" s="70"/>
      <c r="AC10" s="70"/>
      <c r="AD10" s="70"/>
      <c r="AE10" s="70" t="s">
        <v>314</v>
      </c>
      <c r="AF10" s="70"/>
      <c r="AG10" s="70" t="s">
        <v>314</v>
      </c>
      <c r="AH10" s="70" t="s">
        <v>314</v>
      </c>
      <c r="AI10" s="70" t="s">
        <v>314</v>
      </c>
      <c r="AJ10" s="70"/>
      <c r="AK10" s="70"/>
      <c r="AL10" s="70" t="s">
        <v>314</v>
      </c>
      <c r="AM10" s="70" t="s">
        <v>314</v>
      </c>
      <c r="AN10" s="70" t="s">
        <v>314</v>
      </c>
      <c r="AO10" s="70"/>
      <c r="AP10" s="70"/>
      <c r="AQ10" s="70"/>
      <c r="AR10" s="70"/>
      <c r="AS10" s="70" t="s">
        <v>314</v>
      </c>
      <c r="AT10" s="70" t="s">
        <v>314</v>
      </c>
      <c r="AU10" s="70" t="s">
        <v>314</v>
      </c>
      <c r="AV10" s="70"/>
      <c r="AW10" s="70"/>
      <c r="AX10" s="70" t="s">
        <v>314</v>
      </c>
      <c r="AY10" s="70"/>
      <c r="AZ10" s="70"/>
      <c r="BA10" s="70"/>
      <c r="BB10" s="70" t="s">
        <v>314</v>
      </c>
      <c r="BC10" s="70"/>
      <c r="BD10" s="70"/>
      <c r="BE10" s="70"/>
      <c r="BF10" s="70" t="s">
        <v>314</v>
      </c>
      <c r="BG10" s="70"/>
      <c r="BH10" s="70"/>
      <c r="BI10" s="70" t="s">
        <v>314</v>
      </c>
      <c r="BJ10" s="70"/>
      <c r="BK10" s="70" t="s">
        <v>314</v>
      </c>
      <c r="BL10" s="70"/>
      <c r="BM10" s="70"/>
      <c r="BN10" s="70"/>
    </row>
    <row r="11" spans="1:66" x14ac:dyDescent="0.2">
      <c r="A11" s="59">
        <v>5</v>
      </c>
      <c r="B11" s="67" t="s">
        <v>156</v>
      </c>
      <c r="C11" s="65">
        <v>3.5</v>
      </c>
      <c r="D11" s="64">
        <v>37</v>
      </c>
      <c r="E11" s="64">
        <f>IF(ISBLANK($D11),"0",IF(($D12-$D11)&lt;($C12-$C11),1,0))</f>
        <v>0</v>
      </c>
      <c r="F11" s="64">
        <f t="shared" ca="1" si="1"/>
        <v>44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314</v>
      </c>
      <c r="N11" s="69" t="s">
        <v>314</v>
      </c>
      <c r="O11" s="69"/>
      <c r="P11" s="69" t="s">
        <v>314</v>
      </c>
      <c r="Q11" s="69" t="s">
        <v>314</v>
      </c>
      <c r="R11" s="96"/>
      <c r="S11" s="96" t="s">
        <v>314</v>
      </c>
      <c r="T11" s="96"/>
      <c r="U11" s="69" t="s">
        <v>314</v>
      </c>
      <c r="V11" s="69" t="s">
        <v>314</v>
      </c>
      <c r="W11" s="69" t="s">
        <v>314</v>
      </c>
      <c r="X11" s="69" t="s">
        <v>314</v>
      </c>
      <c r="Y11" s="69" t="s">
        <v>314</v>
      </c>
      <c r="Z11" s="69" t="s">
        <v>314</v>
      </c>
      <c r="AA11" s="69"/>
      <c r="AB11" s="69" t="s">
        <v>314</v>
      </c>
      <c r="AC11" s="69" t="s">
        <v>314</v>
      </c>
      <c r="AD11" s="69"/>
      <c r="AE11" s="69" t="s">
        <v>314</v>
      </c>
      <c r="AF11" s="69" t="s">
        <v>314</v>
      </c>
      <c r="AG11" s="69" t="s">
        <v>314</v>
      </c>
      <c r="AH11" s="69" t="s">
        <v>314</v>
      </c>
      <c r="AI11" s="69" t="s">
        <v>314</v>
      </c>
      <c r="AJ11" s="69" t="s">
        <v>314</v>
      </c>
      <c r="AK11" s="69" t="s">
        <v>314</v>
      </c>
      <c r="AL11" s="69" t="s">
        <v>314</v>
      </c>
      <c r="AM11" s="69" t="s">
        <v>314</v>
      </c>
      <c r="AN11" s="69" t="s">
        <v>314</v>
      </c>
      <c r="AO11" s="69"/>
      <c r="AP11" s="69" t="s">
        <v>314</v>
      </c>
      <c r="AQ11" s="69" t="s">
        <v>314</v>
      </c>
      <c r="AR11" s="69" t="s">
        <v>314</v>
      </c>
      <c r="AS11" s="69" t="s">
        <v>314</v>
      </c>
      <c r="AT11" s="69"/>
      <c r="AU11" s="69" t="s">
        <v>314</v>
      </c>
      <c r="AV11" s="69" t="s">
        <v>314</v>
      </c>
      <c r="AW11" s="69" t="s">
        <v>314</v>
      </c>
      <c r="AX11" s="69"/>
      <c r="AY11" s="69" t="s">
        <v>314</v>
      </c>
      <c r="AZ11" s="69"/>
      <c r="BA11" s="69" t="s">
        <v>314</v>
      </c>
      <c r="BB11" s="69" t="s">
        <v>314</v>
      </c>
      <c r="BC11" s="69" t="s">
        <v>314</v>
      </c>
      <c r="BD11" s="69" t="s">
        <v>314</v>
      </c>
      <c r="BE11" s="96"/>
      <c r="BF11" s="69" t="s">
        <v>314</v>
      </c>
      <c r="BG11" s="69" t="s">
        <v>314</v>
      </c>
      <c r="BH11" s="69"/>
      <c r="BI11" s="69" t="s">
        <v>314</v>
      </c>
      <c r="BJ11" s="69" t="s">
        <v>314</v>
      </c>
      <c r="BK11" s="69"/>
      <c r="BL11" s="69" t="s">
        <v>314</v>
      </c>
      <c r="BM11" s="69" t="s">
        <v>314</v>
      </c>
      <c r="BN11" s="69" t="s">
        <v>314</v>
      </c>
    </row>
    <row r="12" spans="1:66" x14ac:dyDescent="0.2">
      <c r="A12" s="61" t="s">
        <v>3</v>
      </c>
      <c r="B12" s="68" t="s">
        <v>155</v>
      </c>
      <c r="C12" s="66"/>
      <c r="D12" s="64">
        <v>34</v>
      </c>
      <c r="E12" s="64">
        <f>IF(ISBLANK($D12),"0",IF(($D12-$D11)&gt;($C12-$C11),1,0))</f>
        <v>1</v>
      </c>
      <c r="F12" s="64">
        <f t="shared" ca="1" si="1"/>
        <v>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/>
      <c r="Q12" s="70"/>
      <c r="R12" s="97" t="s">
        <v>314</v>
      </c>
      <c r="S12" s="97"/>
      <c r="T12" s="97" t="s">
        <v>314</v>
      </c>
      <c r="U12" s="97"/>
      <c r="V12" s="70"/>
      <c r="W12" s="70"/>
      <c r="X12" s="70"/>
      <c r="Y12" s="70"/>
      <c r="Z12" s="70"/>
      <c r="AA12" s="70"/>
      <c r="AB12" s="70"/>
      <c r="AC12" s="70"/>
      <c r="AD12" s="70" t="s">
        <v>314</v>
      </c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 t="s">
        <v>314</v>
      </c>
      <c r="AP12" s="70"/>
      <c r="AQ12" s="70"/>
      <c r="AR12" s="97"/>
      <c r="AS12" s="70"/>
      <c r="AT12" s="70" t="s">
        <v>314</v>
      </c>
      <c r="AU12" s="70"/>
      <c r="AV12" s="70"/>
      <c r="AW12" s="70"/>
      <c r="AX12" s="70" t="s">
        <v>314</v>
      </c>
      <c r="AY12" s="70"/>
      <c r="AZ12" s="70"/>
      <c r="BA12" s="70"/>
      <c r="BB12" s="70"/>
      <c r="BC12" s="70"/>
      <c r="BD12" s="70"/>
      <c r="BE12" s="70" t="s">
        <v>314</v>
      </c>
      <c r="BF12" s="70"/>
      <c r="BG12" s="70"/>
      <c r="BH12" s="70"/>
      <c r="BI12" s="70"/>
      <c r="BJ12" s="70"/>
      <c r="BK12" s="70" t="s">
        <v>314</v>
      </c>
      <c r="BL12" s="70"/>
      <c r="BM12" s="70"/>
      <c r="BN12" s="70"/>
    </row>
    <row r="13" spans="1:66" x14ac:dyDescent="0.2">
      <c r="A13" s="59">
        <v>6</v>
      </c>
      <c r="B13" s="67" t="s">
        <v>157</v>
      </c>
      <c r="C13" s="65"/>
      <c r="D13" s="64">
        <v>27</v>
      </c>
      <c r="E13" s="64">
        <f>IF(ISBLANK($D13),"0",IF(($D14-$D13)&lt;($C14-$C13),1,0))</f>
        <v>0</v>
      </c>
      <c r="F13" s="64">
        <f t="shared" ca="1" si="1"/>
        <v>32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 t="s">
        <v>314</v>
      </c>
      <c r="N13" s="69" t="s">
        <v>314</v>
      </c>
      <c r="O13" s="69"/>
      <c r="P13" s="69"/>
      <c r="Q13" s="69"/>
      <c r="R13" s="96"/>
      <c r="S13" s="96"/>
      <c r="T13" s="96"/>
      <c r="U13" s="69" t="s">
        <v>314</v>
      </c>
      <c r="V13" s="69" t="s">
        <v>314</v>
      </c>
      <c r="W13" s="69" t="s">
        <v>314</v>
      </c>
      <c r="X13" s="69"/>
      <c r="Y13" s="69" t="s">
        <v>314</v>
      </c>
      <c r="Z13" s="69"/>
      <c r="AA13" s="69"/>
      <c r="AB13" s="69"/>
      <c r="AC13" s="69" t="s">
        <v>314</v>
      </c>
      <c r="AD13" s="69" t="s">
        <v>314</v>
      </c>
      <c r="AE13" s="69" t="s">
        <v>314</v>
      </c>
      <c r="AF13" s="69" t="s">
        <v>314</v>
      </c>
      <c r="AG13" s="69" t="s">
        <v>314</v>
      </c>
      <c r="AH13" s="69" t="s">
        <v>314</v>
      </c>
      <c r="AI13" s="69"/>
      <c r="AJ13" s="69" t="s">
        <v>314</v>
      </c>
      <c r="AK13" s="69" t="s">
        <v>314</v>
      </c>
      <c r="AL13" s="69" t="s">
        <v>314</v>
      </c>
      <c r="AM13" s="69" t="s">
        <v>314</v>
      </c>
      <c r="AN13" s="69"/>
      <c r="AO13" s="69" t="s">
        <v>314</v>
      </c>
      <c r="AP13" s="69" t="s">
        <v>314</v>
      </c>
      <c r="AQ13" s="69"/>
      <c r="AR13" s="96" t="s">
        <v>314</v>
      </c>
      <c r="AS13" s="69" t="s">
        <v>314</v>
      </c>
      <c r="AT13" s="69" t="s">
        <v>314</v>
      </c>
      <c r="AU13" s="69"/>
      <c r="AV13" s="69"/>
      <c r="AW13" s="69" t="s">
        <v>314</v>
      </c>
      <c r="AX13" s="69"/>
      <c r="AY13" s="69"/>
      <c r="AZ13" s="69"/>
      <c r="BA13" s="69" t="s">
        <v>314</v>
      </c>
      <c r="BB13" s="69" t="s">
        <v>314</v>
      </c>
      <c r="BC13" s="69" t="s">
        <v>314</v>
      </c>
      <c r="BD13" s="69"/>
      <c r="BE13" s="96" t="s">
        <v>314</v>
      </c>
      <c r="BF13" s="69" t="s">
        <v>314</v>
      </c>
      <c r="BG13" s="69" t="s">
        <v>314</v>
      </c>
      <c r="BH13" s="69"/>
      <c r="BI13" s="69"/>
      <c r="BJ13" s="69" t="s">
        <v>314</v>
      </c>
      <c r="BK13" s="69" t="s">
        <v>314</v>
      </c>
      <c r="BL13" s="69"/>
      <c r="BM13" s="69"/>
      <c r="BN13" s="69"/>
    </row>
    <row r="14" spans="1:66" x14ac:dyDescent="0.2">
      <c r="A14" s="61" t="s">
        <v>3</v>
      </c>
      <c r="B14" s="68" t="s">
        <v>140</v>
      </c>
      <c r="C14" s="66">
        <v>1.5</v>
      </c>
      <c r="D14" s="64">
        <v>30</v>
      </c>
      <c r="E14" s="64">
        <f>IF(ISBLANK($D14),"0",IF(($D14-$D13)&gt;($C14-$C13),1,0))</f>
        <v>1</v>
      </c>
      <c r="F14" s="64">
        <f t="shared" ca="1" si="1"/>
        <v>20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 t="s">
        <v>314</v>
      </c>
      <c r="Q14" s="70" t="s">
        <v>314</v>
      </c>
      <c r="R14" s="97" t="s">
        <v>314</v>
      </c>
      <c r="S14" s="97" t="s">
        <v>314</v>
      </c>
      <c r="T14" s="97" t="s">
        <v>314</v>
      </c>
      <c r="U14" s="97"/>
      <c r="V14" s="70"/>
      <c r="W14" s="70"/>
      <c r="X14" s="70" t="s">
        <v>314</v>
      </c>
      <c r="Y14" s="70"/>
      <c r="Z14" s="70" t="s">
        <v>314</v>
      </c>
      <c r="AA14" s="70"/>
      <c r="AB14" s="70" t="s">
        <v>314</v>
      </c>
      <c r="AC14" s="70"/>
      <c r="AD14" s="70"/>
      <c r="AE14" s="70"/>
      <c r="AF14" s="70"/>
      <c r="AG14" s="70"/>
      <c r="AH14" s="70"/>
      <c r="AI14" s="70" t="s">
        <v>314</v>
      </c>
      <c r="AJ14" s="70"/>
      <c r="AK14" s="70"/>
      <c r="AL14" s="70"/>
      <c r="AM14" s="70"/>
      <c r="AN14" s="70" t="s">
        <v>314</v>
      </c>
      <c r="AO14" s="70"/>
      <c r="AP14" s="70"/>
      <c r="AQ14" s="70" t="s">
        <v>314</v>
      </c>
      <c r="AR14" s="70"/>
      <c r="AS14" s="70"/>
      <c r="AT14" s="70"/>
      <c r="AU14" s="70" t="s">
        <v>314</v>
      </c>
      <c r="AV14" s="70" t="s">
        <v>314</v>
      </c>
      <c r="AW14" s="70"/>
      <c r="AX14" s="70" t="s">
        <v>314</v>
      </c>
      <c r="AY14" s="70" t="s">
        <v>314</v>
      </c>
      <c r="AZ14" s="70"/>
      <c r="BA14" s="70"/>
      <c r="BB14" s="70"/>
      <c r="BC14" s="70"/>
      <c r="BD14" s="70" t="s">
        <v>314</v>
      </c>
      <c r="BE14" s="70"/>
      <c r="BF14" s="70"/>
      <c r="BG14" s="70"/>
      <c r="BH14" s="70"/>
      <c r="BI14" s="70" t="s">
        <v>314</v>
      </c>
      <c r="BJ14" s="70"/>
      <c r="BK14" s="70"/>
      <c r="BL14" s="70" t="s">
        <v>314</v>
      </c>
      <c r="BM14" s="70" t="s">
        <v>314</v>
      </c>
      <c r="BN14" s="70" t="s">
        <v>314</v>
      </c>
    </row>
    <row r="15" spans="1:66" x14ac:dyDescent="0.2">
      <c r="A15" s="59">
        <v>7</v>
      </c>
      <c r="B15" s="67" t="s">
        <v>186</v>
      </c>
      <c r="C15" s="65">
        <v>3.5</v>
      </c>
      <c r="D15" s="64">
        <v>34</v>
      </c>
      <c r="E15" s="64">
        <f>IF(ISBLANK($D15),"0",IF(($D16-$D15)&lt;($C16-$C15),1,0))</f>
        <v>0</v>
      </c>
      <c r="F15" s="64">
        <f t="shared" ca="1" si="1"/>
        <v>36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314</v>
      </c>
      <c r="M15" s="69"/>
      <c r="N15" s="69"/>
      <c r="O15" s="69"/>
      <c r="P15" s="69" t="s">
        <v>314</v>
      </c>
      <c r="Q15" s="69" t="s">
        <v>314</v>
      </c>
      <c r="R15" s="96" t="s">
        <v>314</v>
      </c>
      <c r="S15" s="96" t="s">
        <v>314</v>
      </c>
      <c r="T15" s="96"/>
      <c r="U15" s="96"/>
      <c r="V15" s="69"/>
      <c r="W15" s="69" t="s">
        <v>314</v>
      </c>
      <c r="X15" s="69" t="s">
        <v>314</v>
      </c>
      <c r="Y15" s="69" t="s">
        <v>314</v>
      </c>
      <c r="Z15" s="69" t="s">
        <v>314</v>
      </c>
      <c r="AA15" s="69"/>
      <c r="AB15" s="69"/>
      <c r="AC15" s="69" t="s">
        <v>314</v>
      </c>
      <c r="AD15" s="69" t="s">
        <v>314</v>
      </c>
      <c r="AE15" s="69"/>
      <c r="AF15" s="69" t="s">
        <v>314</v>
      </c>
      <c r="AG15" s="69"/>
      <c r="AH15" s="69" t="s">
        <v>314</v>
      </c>
      <c r="AI15" s="69" t="s">
        <v>314</v>
      </c>
      <c r="AJ15" s="69"/>
      <c r="AK15" s="69"/>
      <c r="AL15" s="69" t="s">
        <v>314</v>
      </c>
      <c r="AM15" s="69" t="s">
        <v>314</v>
      </c>
      <c r="AN15" s="69" t="s">
        <v>314</v>
      </c>
      <c r="AO15" s="69" t="s">
        <v>314</v>
      </c>
      <c r="AP15" s="69"/>
      <c r="AQ15" s="69" t="s">
        <v>314</v>
      </c>
      <c r="AR15" s="69" t="s">
        <v>314</v>
      </c>
      <c r="AS15" s="69" t="s">
        <v>314</v>
      </c>
      <c r="AT15" s="69" t="s">
        <v>314</v>
      </c>
      <c r="AU15" s="69" t="s">
        <v>314</v>
      </c>
      <c r="AV15" s="69" t="s">
        <v>314</v>
      </c>
      <c r="AW15" s="69" t="s">
        <v>314</v>
      </c>
      <c r="AX15" s="69" t="s">
        <v>314</v>
      </c>
      <c r="AY15" s="69" t="s">
        <v>314</v>
      </c>
      <c r="AZ15" s="69"/>
      <c r="BA15" s="69"/>
      <c r="BB15" s="69"/>
      <c r="BC15" s="69" t="s">
        <v>314</v>
      </c>
      <c r="BD15" s="69" t="s">
        <v>314</v>
      </c>
      <c r="BE15" s="96"/>
      <c r="BF15" s="69" t="s">
        <v>314</v>
      </c>
      <c r="BG15" s="69" t="s">
        <v>314</v>
      </c>
      <c r="BH15" s="69"/>
      <c r="BI15" s="69" t="s">
        <v>314</v>
      </c>
      <c r="BJ15" s="69" t="s">
        <v>314</v>
      </c>
      <c r="BK15" s="69" t="s">
        <v>314</v>
      </c>
      <c r="BL15" s="69" t="s">
        <v>314</v>
      </c>
      <c r="BM15" s="69"/>
      <c r="BN15" s="69" t="s">
        <v>314</v>
      </c>
    </row>
    <row r="16" spans="1:66" x14ac:dyDescent="0.2">
      <c r="A16" s="61" t="s">
        <v>3</v>
      </c>
      <c r="B16" s="68" t="s">
        <v>187</v>
      </c>
      <c r="C16" s="66"/>
      <c r="D16" s="64">
        <v>35</v>
      </c>
      <c r="E16" s="64">
        <f>IF(ISBLANK($D16),"0",IF(($D16-$D15)&gt;($C16-$C15),1,0))</f>
        <v>1</v>
      </c>
      <c r="F16" s="64">
        <f t="shared" ca="1" si="1"/>
        <v>16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314</v>
      </c>
      <c r="L16" s="70"/>
      <c r="M16" s="70" t="s">
        <v>314</v>
      </c>
      <c r="N16" s="70" t="s">
        <v>314</v>
      </c>
      <c r="O16" s="70"/>
      <c r="P16" s="70"/>
      <c r="Q16" s="70"/>
      <c r="R16" s="70"/>
      <c r="S16" s="70"/>
      <c r="T16" s="70" t="s">
        <v>314</v>
      </c>
      <c r="U16" s="70" t="s">
        <v>314</v>
      </c>
      <c r="V16" s="70" t="s">
        <v>314</v>
      </c>
      <c r="W16" s="70"/>
      <c r="X16" s="70"/>
      <c r="Y16" s="70"/>
      <c r="Z16" s="70"/>
      <c r="AA16" s="70"/>
      <c r="AB16" s="70" t="s">
        <v>314</v>
      </c>
      <c r="AC16" s="70"/>
      <c r="AD16" s="70"/>
      <c r="AE16" s="70" t="s">
        <v>314</v>
      </c>
      <c r="AF16" s="70"/>
      <c r="AG16" s="70" t="s">
        <v>314</v>
      </c>
      <c r="AH16" s="70"/>
      <c r="AI16" s="70"/>
      <c r="AJ16" s="70" t="s">
        <v>314</v>
      </c>
      <c r="AK16" s="70" t="s">
        <v>314</v>
      </c>
      <c r="AL16" s="70"/>
      <c r="AM16" s="70"/>
      <c r="AN16" s="70"/>
      <c r="AO16" s="70"/>
      <c r="AP16" s="70" t="s">
        <v>314</v>
      </c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 t="s">
        <v>314</v>
      </c>
      <c r="BB16" s="70" t="s">
        <v>314</v>
      </c>
      <c r="BC16" s="70"/>
      <c r="BD16" s="70"/>
      <c r="BE16" s="70" t="s">
        <v>314</v>
      </c>
      <c r="BF16" s="70"/>
      <c r="BG16" s="70"/>
      <c r="BH16" s="70"/>
      <c r="BI16" s="70"/>
      <c r="BJ16" s="70"/>
      <c r="BK16" s="70"/>
      <c r="BL16" s="70"/>
      <c r="BM16" s="70" t="s">
        <v>314</v>
      </c>
      <c r="BN16" s="70"/>
    </row>
    <row r="17" spans="1:66" x14ac:dyDescent="0.2">
      <c r="A17" s="59">
        <v>8</v>
      </c>
      <c r="B17" s="67" t="s">
        <v>195</v>
      </c>
      <c r="C17" s="65">
        <v>3.5</v>
      </c>
      <c r="D17" s="64">
        <v>20</v>
      </c>
      <c r="E17" s="64">
        <f>IF(ISBLANK($D17),"0",IF(($D18-$D17)&lt;($C18-$C17),1,0))</f>
        <v>0</v>
      </c>
      <c r="F17" s="64">
        <f t="shared" ca="1" si="1"/>
        <v>38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314</v>
      </c>
      <c r="L17" s="69" t="s">
        <v>314</v>
      </c>
      <c r="M17" s="69" t="s">
        <v>314</v>
      </c>
      <c r="N17" s="69" t="s">
        <v>314</v>
      </c>
      <c r="O17" s="69"/>
      <c r="P17" s="69"/>
      <c r="Q17" s="69"/>
      <c r="R17" s="69" t="s">
        <v>314</v>
      </c>
      <c r="S17" s="69" t="s">
        <v>314</v>
      </c>
      <c r="T17" s="69" t="s">
        <v>314</v>
      </c>
      <c r="U17" s="69" t="s">
        <v>314</v>
      </c>
      <c r="V17" s="69" t="s">
        <v>314</v>
      </c>
      <c r="W17" s="69"/>
      <c r="X17" s="69" t="s">
        <v>314</v>
      </c>
      <c r="Y17" s="69" t="s">
        <v>314</v>
      </c>
      <c r="Z17" s="69" t="s">
        <v>314</v>
      </c>
      <c r="AA17" s="69"/>
      <c r="AB17" s="69"/>
      <c r="AC17" s="69" t="s">
        <v>314</v>
      </c>
      <c r="AD17" s="69" t="s">
        <v>314</v>
      </c>
      <c r="AE17" s="69" t="s">
        <v>314</v>
      </c>
      <c r="AF17" s="69" t="s">
        <v>314</v>
      </c>
      <c r="AG17" s="69" t="s">
        <v>314</v>
      </c>
      <c r="AH17" s="69"/>
      <c r="AI17" s="69"/>
      <c r="AJ17" s="69" t="s">
        <v>314</v>
      </c>
      <c r="AK17" s="69" t="s">
        <v>314</v>
      </c>
      <c r="AL17" s="69"/>
      <c r="AM17" s="69" t="s">
        <v>314</v>
      </c>
      <c r="AN17" s="69"/>
      <c r="AO17" s="69"/>
      <c r="AP17" s="69" t="s">
        <v>314</v>
      </c>
      <c r="AQ17" s="69" t="s">
        <v>314</v>
      </c>
      <c r="AR17" s="96" t="s">
        <v>314</v>
      </c>
      <c r="AS17" s="69" t="s">
        <v>314</v>
      </c>
      <c r="AT17" s="69" t="s">
        <v>314</v>
      </c>
      <c r="AU17" s="69" t="s">
        <v>314</v>
      </c>
      <c r="AV17" s="69"/>
      <c r="AW17" s="69" t="s">
        <v>314</v>
      </c>
      <c r="AX17" s="69" t="s">
        <v>314</v>
      </c>
      <c r="AY17" s="69" t="s">
        <v>314</v>
      </c>
      <c r="AZ17" s="69"/>
      <c r="BA17" s="69" t="s">
        <v>314</v>
      </c>
      <c r="BB17" s="69"/>
      <c r="BC17" s="69"/>
      <c r="BD17" s="69" t="s">
        <v>314</v>
      </c>
      <c r="BE17" s="69" t="s">
        <v>314</v>
      </c>
      <c r="BF17" s="69" t="s">
        <v>314</v>
      </c>
      <c r="BG17" s="69"/>
      <c r="BH17" s="69"/>
      <c r="BI17" s="69" t="s">
        <v>314</v>
      </c>
      <c r="BJ17" s="69" t="s">
        <v>314</v>
      </c>
      <c r="BK17" s="69" t="s">
        <v>314</v>
      </c>
      <c r="BL17" s="69"/>
      <c r="BM17" s="69" t="s">
        <v>314</v>
      </c>
      <c r="BN17" s="69" t="s">
        <v>314</v>
      </c>
    </row>
    <row r="18" spans="1:66" x14ac:dyDescent="0.2">
      <c r="A18" s="61" t="s">
        <v>3</v>
      </c>
      <c r="B18" s="68" t="s">
        <v>147</v>
      </c>
      <c r="C18" s="66"/>
      <c r="D18" s="64">
        <v>37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 t="s">
        <v>314</v>
      </c>
      <c r="Q18" s="70" t="s">
        <v>314</v>
      </c>
      <c r="R18" s="70"/>
      <c r="S18" s="70"/>
      <c r="T18" s="70"/>
      <c r="U18" s="97"/>
      <c r="V18" s="70"/>
      <c r="W18" s="70" t="s">
        <v>314</v>
      </c>
      <c r="X18" s="70"/>
      <c r="Y18" s="70"/>
      <c r="Z18" s="70"/>
      <c r="AA18" s="70"/>
      <c r="AB18" s="70" t="s">
        <v>314</v>
      </c>
      <c r="AC18" s="70"/>
      <c r="AD18" s="70"/>
      <c r="AE18" s="70"/>
      <c r="AF18" s="70"/>
      <c r="AG18" s="70"/>
      <c r="AH18" s="70" t="s">
        <v>314</v>
      </c>
      <c r="AI18" s="70" t="s">
        <v>314</v>
      </c>
      <c r="AJ18" s="70"/>
      <c r="AK18" s="70"/>
      <c r="AL18" s="70" t="s">
        <v>314</v>
      </c>
      <c r="AM18" s="70"/>
      <c r="AN18" s="70" t="s">
        <v>314</v>
      </c>
      <c r="AO18" s="70" t="s">
        <v>314</v>
      </c>
      <c r="AP18" s="70"/>
      <c r="AQ18" s="70"/>
      <c r="AR18" s="70"/>
      <c r="AS18" s="70"/>
      <c r="AT18" s="70"/>
      <c r="AU18" s="70"/>
      <c r="AV18" s="70" t="s">
        <v>314</v>
      </c>
      <c r="AW18" s="70"/>
      <c r="AX18" s="70"/>
      <c r="AY18" s="70"/>
      <c r="AZ18" s="70"/>
      <c r="BA18" s="70"/>
      <c r="BB18" s="70" t="s">
        <v>314</v>
      </c>
      <c r="BC18" s="70" t="s">
        <v>314</v>
      </c>
      <c r="BD18" s="70"/>
      <c r="BE18" s="97"/>
      <c r="BF18" s="70"/>
      <c r="BG18" s="70" t="s">
        <v>314</v>
      </c>
      <c r="BH18" s="70"/>
      <c r="BI18" s="70"/>
      <c r="BJ18" s="70"/>
      <c r="BK18" s="70"/>
      <c r="BL18" s="70" t="s">
        <v>314</v>
      </c>
      <c r="BM18" s="70"/>
      <c r="BN18" s="70"/>
    </row>
    <row r="19" spans="1:66" x14ac:dyDescent="0.2">
      <c r="A19" s="59">
        <v>9</v>
      </c>
      <c r="B19" s="67" t="s">
        <v>162</v>
      </c>
      <c r="C19" s="65">
        <v>21.5</v>
      </c>
      <c r="D19" s="64">
        <v>32</v>
      </c>
      <c r="E19" s="64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314</v>
      </c>
      <c r="M19" s="69"/>
      <c r="N19" s="69" t="s">
        <v>314</v>
      </c>
      <c r="O19" s="69"/>
      <c r="P19" s="69"/>
      <c r="Q19" s="69" t="s">
        <v>314</v>
      </c>
      <c r="R19" s="69"/>
      <c r="S19" s="69" t="s">
        <v>314</v>
      </c>
      <c r="T19" s="69"/>
      <c r="U19" s="96"/>
      <c r="V19" s="69" t="s">
        <v>314</v>
      </c>
      <c r="W19" s="69" t="s">
        <v>314</v>
      </c>
      <c r="X19" s="69" t="s">
        <v>314</v>
      </c>
      <c r="Y19" s="69" t="s">
        <v>314</v>
      </c>
      <c r="Z19" s="69"/>
      <c r="AA19" s="69"/>
      <c r="AB19" s="69" t="s">
        <v>314</v>
      </c>
      <c r="AC19" s="69"/>
      <c r="AD19" s="69"/>
      <c r="AE19" s="69"/>
      <c r="AF19" s="69" t="s">
        <v>314</v>
      </c>
      <c r="AG19" s="69"/>
      <c r="AH19" s="69"/>
      <c r="AI19" s="69"/>
      <c r="AJ19" s="69"/>
      <c r="AK19" s="69" t="s">
        <v>314</v>
      </c>
      <c r="AL19" s="69" t="s">
        <v>314</v>
      </c>
      <c r="AM19" s="69"/>
      <c r="AN19" s="69"/>
      <c r="AO19" s="69"/>
      <c r="AP19" s="69"/>
      <c r="AQ19" s="69" t="s">
        <v>314</v>
      </c>
      <c r="AR19" s="69" t="s">
        <v>314</v>
      </c>
      <c r="AS19" s="69"/>
      <c r="AT19" s="69"/>
      <c r="AU19" s="69" t="s">
        <v>314</v>
      </c>
      <c r="AV19" s="69"/>
      <c r="AW19" s="69" t="s">
        <v>314</v>
      </c>
      <c r="AX19" s="69" t="s">
        <v>314</v>
      </c>
      <c r="AY19" s="69"/>
      <c r="AZ19" s="69"/>
      <c r="BA19" s="69"/>
      <c r="BB19" s="69"/>
      <c r="BC19" s="69"/>
      <c r="BD19" s="69"/>
      <c r="BE19" s="69" t="s">
        <v>314</v>
      </c>
      <c r="BF19" s="69" t="s">
        <v>314</v>
      </c>
      <c r="BG19" s="69" t="s">
        <v>314</v>
      </c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 t="s">
        <v>199</v>
      </c>
      <c r="C20" s="66"/>
      <c r="D20" s="64">
        <v>23</v>
      </c>
      <c r="E20" s="64">
        <f>IF(ISBLANK($D20),"0",IF(($D20-$D19)&gt;($C20-$C19),1,0))</f>
        <v>1</v>
      </c>
      <c r="F20" s="64">
        <f t="shared" ca="1" si="1"/>
        <v>32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314</v>
      </c>
      <c r="L20" s="70"/>
      <c r="M20" s="70" t="s">
        <v>314</v>
      </c>
      <c r="N20" s="70"/>
      <c r="O20" s="70"/>
      <c r="P20" s="70" t="s">
        <v>314</v>
      </c>
      <c r="Q20" s="70"/>
      <c r="R20" s="70" t="s">
        <v>314</v>
      </c>
      <c r="S20" s="70"/>
      <c r="T20" s="70" t="s">
        <v>314</v>
      </c>
      <c r="U20" s="70" t="s">
        <v>314</v>
      </c>
      <c r="V20" s="70"/>
      <c r="W20" s="70"/>
      <c r="X20" s="70"/>
      <c r="Y20" s="70"/>
      <c r="Z20" s="70" t="s">
        <v>314</v>
      </c>
      <c r="AA20" s="70"/>
      <c r="AB20" s="70"/>
      <c r="AC20" s="70" t="s">
        <v>314</v>
      </c>
      <c r="AD20" s="70" t="s">
        <v>314</v>
      </c>
      <c r="AE20" s="70" t="s">
        <v>314</v>
      </c>
      <c r="AF20" s="70"/>
      <c r="AG20" s="70" t="s">
        <v>314</v>
      </c>
      <c r="AH20" s="70" t="s">
        <v>314</v>
      </c>
      <c r="AI20" s="70" t="s">
        <v>314</v>
      </c>
      <c r="AJ20" s="70" t="s">
        <v>314</v>
      </c>
      <c r="AK20" s="70"/>
      <c r="AL20" s="70"/>
      <c r="AM20" s="70" t="s">
        <v>314</v>
      </c>
      <c r="AN20" s="70" t="s">
        <v>314</v>
      </c>
      <c r="AO20" s="70" t="s">
        <v>314</v>
      </c>
      <c r="AP20" s="70" t="s">
        <v>314</v>
      </c>
      <c r="AQ20" s="70"/>
      <c r="AR20" s="97"/>
      <c r="AS20" s="70" t="s">
        <v>314</v>
      </c>
      <c r="AT20" s="70" t="s">
        <v>314</v>
      </c>
      <c r="AU20" s="70"/>
      <c r="AV20" s="70" t="s">
        <v>314</v>
      </c>
      <c r="AW20" s="70"/>
      <c r="AX20" s="70"/>
      <c r="AY20" s="70" t="s">
        <v>314</v>
      </c>
      <c r="AZ20" s="70"/>
      <c r="BA20" s="70" t="s">
        <v>314</v>
      </c>
      <c r="BB20" s="70" t="s">
        <v>314</v>
      </c>
      <c r="BC20" s="70" t="s">
        <v>314</v>
      </c>
      <c r="BD20" s="70" t="s">
        <v>314</v>
      </c>
      <c r="BE20" s="97"/>
      <c r="BF20" s="70"/>
      <c r="BG20" s="70"/>
      <c r="BH20" s="70"/>
      <c r="BI20" s="70" t="s">
        <v>314</v>
      </c>
      <c r="BJ20" s="70" t="s">
        <v>314</v>
      </c>
      <c r="BK20" s="70" t="s">
        <v>314</v>
      </c>
      <c r="BL20" s="70" t="s">
        <v>314</v>
      </c>
      <c r="BM20" s="70" t="s">
        <v>314</v>
      </c>
      <c r="BN20" s="70" t="s">
        <v>314</v>
      </c>
    </row>
    <row r="21" spans="1:66" x14ac:dyDescent="0.2">
      <c r="A21" s="59">
        <v>10</v>
      </c>
      <c r="B21" s="67" t="s">
        <v>185</v>
      </c>
      <c r="C21" s="65"/>
      <c r="D21" s="64">
        <v>17</v>
      </c>
      <c r="E21" s="64">
        <f>IF(ISBLANK($D21),"0",IF(($D22-$D21)&lt;($C22-$C21),1,0))</f>
        <v>1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314</v>
      </c>
      <c r="M21" s="69" t="s">
        <v>314</v>
      </c>
      <c r="N21" s="69"/>
      <c r="O21" s="69"/>
      <c r="P21" s="69" t="s">
        <v>314</v>
      </c>
      <c r="Q21" s="69"/>
      <c r="R21" s="69" t="s">
        <v>314</v>
      </c>
      <c r="S21" s="69"/>
      <c r="T21" s="69" t="s">
        <v>314</v>
      </c>
      <c r="U21" s="96"/>
      <c r="V21" s="69"/>
      <c r="W21" s="69"/>
      <c r="X21" s="69"/>
      <c r="Y21" s="69" t="s">
        <v>314</v>
      </c>
      <c r="Z21" s="69" t="s">
        <v>314</v>
      </c>
      <c r="AA21" s="69"/>
      <c r="AB21" s="69" t="s">
        <v>314</v>
      </c>
      <c r="AC21" s="69" t="s">
        <v>314</v>
      </c>
      <c r="AD21" s="69"/>
      <c r="AE21" s="69"/>
      <c r="AF21" s="69"/>
      <c r="AG21" s="69" t="s">
        <v>314</v>
      </c>
      <c r="AH21" s="69" t="s">
        <v>314</v>
      </c>
      <c r="AI21" s="69"/>
      <c r="AJ21" s="69"/>
      <c r="AK21" s="69"/>
      <c r="AL21" s="69"/>
      <c r="AM21" s="69" t="s">
        <v>314</v>
      </c>
      <c r="AN21" s="69" t="s">
        <v>314</v>
      </c>
      <c r="AO21" s="69" t="s">
        <v>314</v>
      </c>
      <c r="AP21" s="69"/>
      <c r="AQ21" s="69" t="s">
        <v>314</v>
      </c>
      <c r="AR21" s="96" t="s">
        <v>314</v>
      </c>
      <c r="AS21" s="69" t="s">
        <v>314</v>
      </c>
      <c r="AT21" s="69" t="s">
        <v>314</v>
      </c>
      <c r="AU21" s="69"/>
      <c r="AV21" s="69"/>
      <c r="AW21" s="69" t="s">
        <v>314</v>
      </c>
      <c r="AX21" s="69"/>
      <c r="AY21" s="69" t="s">
        <v>314</v>
      </c>
      <c r="AZ21" s="69"/>
      <c r="BA21" s="69"/>
      <c r="BB21" s="69" t="s">
        <v>314</v>
      </c>
      <c r="BC21" s="69" t="s">
        <v>314</v>
      </c>
      <c r="BD21" s="69" t="s">
        <v>314</v>
      </c>
      <c r="BE21" s="96" t="s">
        <v>314</v>
      </c>
      <c r="BF21" s="69" t="s">
        <v>314</v>
      </c>
      <c r="BG21" s="69"/>
      <c r="BH21" s="69"/>
      <c r="BI21" s="69"/>
      <c r="BJ21" s="69" t="s">
        <v>314</v>
      </c>
      <c r="BK21" s="69"/>
      <c r="BL21" s="69"/>
      <c r="BM21" s="69"/>
      <c r="BN21" s="69" t="s">
        <v>314</v>
      </c>
    </row>
    <row r="22" spans="1:66" x14ac:dyDescent="0.2">
      <c r="A22" s="61" t="s">
        <v>3</v>
      </c>
      <c r="B22" s="68" t="s">
        <v>205</v>
      </c>
      <c r="C22" s="66">
        <v>7.5</v>
      </c>
      <c r="D22" s="64">
        <v>23</v>
      </c>
      <c r="E22" s="64">
        <f>IF(ISBLANK($D22),"0",IF(($D22-$D21)&gt;($C22-$C21),1,0))</f>
        <v>0</v>
      </c>
      <c r="F22" s="64">
        <f t="shared" ca="1" si="1"/>
        <v>25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314</v>
      </c>
      <c r="L22" s="70"/>
      <c r="M22" s="70"/>
      <c r="N22" s="70" t="s">
        <v>314</v>
      </c>
      <c r="O22" s="70"/>
      <c r="P22" s="70"/>
      <c r="Q22" s="70" t="s">
        <v>314</v>
      </c>
      <c r="R22" s="70"/>
      <c r="S22" s="70" t="s">
        <v>314</v>
      </c>
      <c r="T22" s="70"/>
      <c r="U22" s="70" t="s">
        <v>314</v>
      </c>
      <c r="V22" s="70" t="s">
        <v>314</v>
      </c>
      <c r="W22" s="70" t="s">
        <v>314</v>
      </c>
      <c r="X22" s="70" t="s">
        <v>314</v>
      </c>
      <c r="Y22" s="70"/>
      <c r="Z22" s="70"/>
      <c r="AA22" s="70"/>
      <c r="AB22" s="70"/>
      <c r="AC22" s="70"/>
      <c r="AD22" s="70" t="s">
        <v>314</v>
      </c>
      <c r="AE22" s="70" t="s">
        <v>314</v>
      </c>
      <c r="AF22" s="70" t="s">
        <v>314</v>
      </c>
      <c r="AG22" s="70"/>
      <c r="AH22" s="70"/>
      <c r="AI22" s="70" t="s">
        <v>314</v>
      </c>
      <c r="AJ22" s="70" t="s">
        <v>314</v>
      </c>
      <c r="AK22" s="70" t="s">
        <v>314</v>
      </c>
      <c r="AL22" s="70" t="s">
        <v>314</v>
      </c>
      <c r="AM22" s="70"/>
      <c r="AN22" s="70"/>
      <c r="AO22" s="70"/>
      <c r="AP22" s="70" t="s">
        <v>314</v>
      </c>
      <c r="AQ22" s="70"/>
      <c r="AR22" s="70"/>
      <c r="AS22" s="70"/>
      <c r="AT22" s="70"/>
      <c r="AU22" s="70" t="s">
        <v>314</v>
      </c>
      <c r="AV22" s="70" t="s">
        <v>314</v>
      </c>
      <c r="AW22" s="70"/>
      <c r="AX22" s="70" t="s">
        <v>314</v>
      </c>
      <c r="AY22" s="70"/>
      <c r="AZ22" s="70"/>
      <c r="BA22" s="70" t="s">
        <v>314</v>
      </c>
      <c r="BB22" s="70"/>
      <c r="BC22" s="70"/>
      <c r="BD22" s="70"/>
      <c r="BE22" s="70"/>
      <c r="BF22" s="70"/>
      <c r="BG22" s="70" t="s">
        <v>314</v>
      </c>
      <c r="BH22" s="70"/>
      <c r="BI22" s="70" t="s">
        <v>314</v>
      </c>
      <c r="BJ22" s="70"/>
      <c r="BK22" s="70" t="s">
        <v>314</v>
      </c>
      <c r="BL22" s="70" t="s">
        <v>314</v>
      </c>
      <c r="BM22" s="70" t="s">
        <v>314</v>
      </c>
      <c r="BN22" s="70"/>
    </row>
    <row r="23" spans="1:66" x14ac:dyDescent="0.2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24</v>
      </c>
      <c r="L23" s="78">
        <v>45</v>
      </c>
      <c r="M23" s="78">
        <v>21</v>
      </c>
      <c r="N23" s="80">
        <v>21</v>
      </c>
      <c r="O23" s="78"/>
      <c r="P23" s="78">
        <v>28</v>
      </c>
      <c r="Q23" s="78">
        <v>24</v>
      </c>
      <c r="R23" s="78">
        <v>20</v>
      </c>
      <c r="S23" s="78">
        <v>17</v>
      </c>
      <c r="T23" s="78">
        <v>21</v>
      </c>
      <c r="U23" s="78">
        <v>14</v>
      </c>
      <c r="V23" s="78">
        <v>15</v>
      </c>
      <c r="W23" s="78">
        <v>14</v>
      </c>
      <c r="X23" s="78">
        <v>20</v>
      </c>
      <c r="Y23" s="78">
        <v>21</v>
      </c>
      <c r="Z23" s="78">
        <v>21</v>
      </c>
      <c r="AA23" s="78"/>
      <c r="AB23" s="78">
        <v>21</v>
      </c>
      <c r="AC23" s="78">
        <v>33</v>
      </c>
      <c r="AD23" s="78">
        <v>10</v>
      </c>
      <c r="AE23" s="78">
        <v>31</v>
      </c>
      <c r="AF23" s="78">
        <v>31</v>
      </c>
      <c r="AG23" s="78">
        <v>24</v>
      </c>
      <c r="AH23" s="78">
        <v>20</v>
      </c>
      <c r="AI23" s="78">
        <v>20</v>
      </c>
      <c r="AJ23" s="78">
        <v>17</v>
      </c>
      <c r="AK23" s="78">
        <v>22</v>
      </c>
      <c r="AL23" s="78">
        <v>23</v>
      </c>
      <c r="AM23" s="78">
        <v>18</v>
      </c>
      <c r="AN23" s="78">
        <v>28</v>
      </c>
      <c r="AO23" s="78">
        <v>13</v>
      </c>
      <c r="AP23" s="78">
        <v>17</v>
      </c>
      <c r="AQ23" s="78">
        <v>33</v>
      </c>
      <c r="AR23" s="78">
        <v>18</v>
      </c>
      <c r="AS23" s="78">
        <v>18</v>
      </c>
      <c r="AT23" s="78">
        <v>17</v>
      </c>
      <c r="AU23" s="78">
        <v>7</v>
      </c>
      <c r="AV23" s="78">
        <v>21</v>
      </c>
      <c r="AW23" s="78">
        <v>45</v>
      </c>
      <c r="AX23" s="78">
        <v>13</v>
      </c>
      <c r="AY23" s="78">
        <v>17</v>
      </c>
      <c r="AZ23" s="78"/>
      <c r="BA23" s="78">
        <v>21</v>
      </c>
      <c r="BB23" s="78">
        <v>21</v>
      </c>
      <c r="BC23" s="78">
        <v>37</v>
      </c>
      <c r="BD23" s="78">
        <v>21</v>
      </c>
      <c r="BE23" s="78">
        <v>37</v>
      </c>
      <c r="BF23" s="78">
        <v>41</v>
      </c>
      <c r="BG23" s="78">
        <v>17</v>
      </c>
      <c r="BH23" s="78"/>
      <c r="BI23" s="78">
        <v>14</v>
      </c>
      <c r="BJ23" s="78">
        <v>20</v>
      </c>
      <c r="BK23" s="78">
        <v>21</v>
      </c>
      <c r="BL23" s="78">
        <v>17</v>
      </c>
      <c r="BM23" s="78">
        <v>20</v>
      </c>
      <c r="BN23" s="78">
        <v>21</v>
      </c>
    </row>
    <row r="24" spans="1:66" x14ac:dyDescent="0.2">
      <c r="A24" s="61"/>
      <c r="B24" s="68" t="str">
        <f>B22&amp; " - score"</f>
        <v>Wisconsin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/>
      <c r="K24" s="79">
        <v>35</v>
      </c>
      <c r="L24" s="79">
        <v>52</v>
      </c>
      <c r="M24" s="79">
        <v>24</v>
      </c>
      <c r="N24" s="79">
        <v>35</v>
      </c>
      <c r="O24" s="79"/>
      <c r="P24" s="79">
        <v>31</v>
      </c>
      <c r="Q24" s="79">
        <v>34</v>
      </c>
      <c r="R24" s="79">
        <v>24</v>
      </c>
      <c r="S24" s="79">
        <v>27</v>
      </c>
      <c r="T24" s="79">
        <v>16</v>
      </c>
      <c r="U24" s="79">
        <v>28</v>
      </c>
      <c r="V24" s="79">
        <v>34</v>
      </c>
      <c r="W24" s="79">
        <v>24</v>
      </c>
      <c r="X24" s="79">
        <v>30</v>
      </c>
      <c r="Y24" s="79">
        <v>28</v>
      </c>
      <c r="Z24" s="79">
        <v>24</v>
      </c>
      <c r="AA24" s="79"/>
      <c r="AB24" s="79">
        <v>24</v>
      </c>
      <c r="AC24" s="79">
        <v>21</v>
      </c>
      <c r="AD24" s="79">
        <v>24</v>
      </c>
      <c r="AE24" s="79">
        <v>44</v>
      </c>
      <c r="AF24" s="79">
        <v>40</v>
      </c>
      <c r="AG24" s="79">
        <v>30</v>
      </c>
      <c r="AH24" s="79">
        <v>24</v>
      </c>
      <c r="AI24" s="79">
        <v>38</v>
      </c>
      <c r="AJ24" s="79">
        <v>27</v>
      </c>
      <c r="AK24" s="79">
        <v>45</v>
      </c>
      <c r="AL24" s="79">
        <v>69</v>
      </c>
      <c r="AM24" s="79">
        <v>21</v>
      </c>
      <c r="AN24" s="79">
        <v>21</v>
      </c>
      <c r="AO24" s="79">
        <v>20</v>
      </c>
      <c r="AP24" s="79">
        <v>31</v>
      </c>
      <c r="AQ24" s="79">
        <v>35</v>
      </c>
      <c r="AR24" s="79">
        <v>25</v>
      </c>
      <c r="AS24" s="79">
        <v>24</v>
      </c>
      <c r="AT24" s="79">
        <v>24</v>
      </c>
      <c r="AU24" s="79">
        <v>29</v>
      </c>
      <c r="AV24" s="79">
        <v>35</v>
      </c>
      <c r="AW24" s="79">
        <v>34</v>
      </c>
      <c r="AX24" s="79">
        <v>24</v>
      </c>
      <c r="AY24" s="79">
        <v>24</v>
      </c>
      <c r="AZ24" s="79"/>
      <c r="BA24" s="79">
        <v>35</v>
      </c>
      <c r="BB24" s="79">
        <v>28</v>
      </c>
      <c r="BC24" s="79">
        <v>42</v>
      </c>
      <c r="BD24" s="79">
        <v>28</v>
      </c>
      <c r="BE24" s="79">
        <v>39</v>
      </c>
      <c r="BF24" s="79">
        <v>38</v>
      </c>
      <c r="BG24" s="79">
        <v>30</v>
      </c>
      <c r="BH24" s="79"/>
      <c r="BI24" s="79">
        <v>36</v>
      </c>
      <c r="BJ24" s="79">
        <v>24</v>
      </c>
      <c r="BK24" s="79">
        <v>31</v>
      </c>
      <c r="BL24" s="79">
        <v>31</v>
      </c>
      <c r="BM24" s="79">
        <v>30</v>
      </c>
      <c r="BN24" s="79">
        <v>28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8</v>
      </c>
      <c r="H25" s="36">
        <f>SUMPRODUCT(H3:H22,$E3:$E22)</f>
        <v>3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0</v>
      </c>
      <c r="P25" s="36">
        <f t="shared" si="3"/>
        <v>7</v>
      </c>
      <c r="Q25" s="36">
        <f t="shared" si="3"/>
        <v>3</v>
      </c>
      <c r="R25" s="36">
        <f t="shared" si="3"/>
        <v>5</v>
      </c>
      <c r="S25" s="36">
        <f t="shared" si="3"/>
        <v>3</v>
      </c>
      <c r="T25" s="36">
        <f t="shared" si="3"/>
        <v>9</v>
      </c>
      <c r="U25" s="36">
        <f t="shared" si="3"/>
        <v>3</v>
      </c>
      <c r="V25" s="36">
        <f t="shared" si="3"/>
        <v>4</v>
      </c>
      <c r="W25" s="36">
        <f t="shared" si="3"/>
        <v>2</v>
      </c>
      <c r="X25" s="36">
        <f t="shared" si="3"/>
        <v>3</v>
      </c>
      <c r="Y25" s="36">
        <f t="shared" si="3"/>
        <v>4</v>
      </c>
      <c r="Z25" s="36">
        <f t="shared" si="3"/>
        <v>5</v>
      </c>
      <c r="AA25" s="36">
        <f t="shared" si="3"/>
        <v>0</v>
      </c>
      <c r="AB25" s="36">
        <f t="shared" si="3"/>
        <v>5</v>
      </c>
      <c r="AC25" s="36">
        <f t="shared" si="3"/>
        <v>4</v>
      </c>
      <c r="AD25" s="36">
        <f t="shared" si="3"/>
        <v>3</v>
      </c>
      <c r="AE25" s="36">
        <f t="shared" si="3"/>
        <v>4</v>
      </c>
      <c r="AF25" s="36">
        <f t="shared" si="3"/>
        <v>1</v>
      </c>
      <c r="AG25" s="36">
        <f t="shared" si="3"/>
        <v>7</v>
      </c>
      <c r="AH25" s="36">
        <f t="shared" si="3"/>
        <v>5</v>
      </c>
      <c r="AI25" s="36">
        <f t="shared" si="3"/>
        <v>4</v>
      </c>
      <c r="AJ25" s="36">
        <f t="shared" si="3"/>
        <v>4</v>
      </c>
      <c r="AK25" s="36">
        <f t="shared" si="3"/>
        <v>2</v>
      </c>
      <c r="AL25" s="36">
        <f t="shared" si="3"/>
        <v>4</v>
      </c>
      <c r="AM25" s="36">
        <f t="shared" si="3"/>
        <v>4</v>
      </c>
      <c r="AN25" s="36">
        <f t="shared" si="3"/>
        <v>7</v>
      </c>
      <c r="AO25" s="36">
        <f t="shared" si="3"/>
        <v>6</v>
      </c>
      <c r="AP25" s="36">
        <f t="shared" si="3"/>
        <v>4</v>
      </c>
      <c r="AQ25" s="36">
        <f t="shared" si="3"/>
        <v>4</v>
      </c>
      <c r="AR25" s="36">
        <f t="shared" si="3"/>
        <v>2</v>
      </c>
      <c r="AS25" s="36">
        <f t="shared" si="3"/>
        <v>4</v>
      </c>
      <c r="AT25" s="36">
        <f t="shared" si="3"/>
        <v>6</v>
      </c>
      <c r="AU25" s="36">
        <f t="shared" si="3"/>
        <v>3</v>
      </c>
      <c r="AV25" s="36">
        <f t="shared" si="3"/>
        <v>4</v>
      </c>
      <c r="AW25" s="36">
        <f t="shared" si="3"/>
        <v>2</v>
      </c>
      <c r="AX25" s="36">
        <f t="shared" si="3"/>
        <v>4</v>
      </c>
      <c r="AY25" s="36">
        <f t="shared" si="3"/>
        <v>5</v>
      </c>
      <c r="AZ25" s="36">
        <f t="shared" si="3"/>
        <v>0</v>
      </c>
      <c r="BA25" s="36">
        <f t="shared" si="3"/>
        <v>4</v>
      </c>
      <c r="BB25" s="36">
        <f t="shared" si="3"/>
        <v>7</v>
      </c>
      <c r="BC25" s="36">
        <f t="shared" si="3"/>
        <v>4</v>
      </c>
      <c r="BD25" s="36">
        <f t="shared" si="3"/>
        <v>4</v>
      </c>
      <c r="BE25" s="36">
        <f t="shared" si="3"/>
        <v>4</v>
      </c>
      <c r="BF25" s="36">
        <f t="shared" si="3"/>
        <v>4</v>
      </c>
      <c r="BG25" s="36">
        <f t="shared" si="3"/>
        <v>3</v>
      </c>
      <c r="BH25" s="36">
        <f t="shared" si="3"/>
        <v>0</v>
      </c>
      <c r="BI25" s="36">
        <f t="shared" si="3"/>
        <v>6</v>
      </c>
      <c r="BJ25" s="36">
        <f t="shared" si="3"/>
        <v>5</v>
      </c>
      <c r="BK25" s="36">
        <f t="shared" si="3"/>
        <v>5</v>
      </c>
      <c r="BL25" s="36">
        <f t="shared" si="3"/>
        <v>5</v>
      </c>
      <c r="BM25" s="36">
        <f t="shared" si="3"/>
        <v>4</v>
      </c>
      <c r="BN25" s="36">
        <f t="shared" si="3"/>
        <v>3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5</v>
      </c>
      <c r="L26" s="71">
        <f t="shared" si="4"/>
        <v>1</v>
      </c>
      <c r="M26" s="71">
        <f t="shared" si="4"/>
        <v>3</v>
      </c>
      <c r="N26" s="71">
        <f t="shared" si="4"/>
        <v>8</v>
      </c>
      <c r="O26" s="71">
        <f t="shared" si="4"/>
        <v>6</v>
      </c>
      <c r="P26" s="71">
        <f t="shared" si="4"/>
        <v>3</v>
      </c>
      <c r="Q26" s="71">
        <f t="shared" si="4"/>
        <v>4</v>
      </c>
      <c r="R26" s="71">
        <f t="shared" si="4"/>
        <v>2</v>
      </c>
      <c r="S26" s="71">
        <f t="shared" si="4"/>
        <v>4</v>
      </c>
      <c r="T26" s="71">
        <f t="shared" si="4"/>
        <v>11</v>
      </c>
      <c r="U26" s="71">
        <f t="shared" si="4"/>
        <v>8</v>
      </c>
      <c r="V26" s="71">
        <f t="shared" si="4"/>
        <v>13</v>
      </c>
      <c r="W26" s="71">
        <f t="shared" si="4"/>
        <v>4</v>
      </c>
      <c r="X26" s="71">
        <f t="shared" si="4"/>
        <v>4</v>
      </c>
      <c r="Y26" s="71">
        <f t="shared" si="4"/>
        <v>1</v>
      </c>
      <c r="Z26" s="71">
        <f t="shared" si="4"/>
        <v>3</v>
      </c>
      <c r="AA26" s="71">
        <f t="shared" si="4"/>
        <v>6</v>
      </c>
      <c r="AB26" s="71">
        <f t="shared" si="4"/>
        <v>3</v>
      </c>
      <c r="AC26" s="71">
        <f t="shared" si="4"/>
        <v>18</v>
      </c>
      <c r="AD26" s="71">
        <f t="shared" si="4"/>
        <v>8</v>
      </c>
      <c r="AE26" s="71">
        <f t="shared" si="4"/>
        <v>7</v>
      </c>
      <c r="AF26" s="71">
        <f t="shared" si="4"/>
        <v>3</v>
      </c>
      <c r="AG26" s="71">
        <f t="shared" si="4"/>
        <v>0</v>
      </c>
      <c r="AH26" s="71">
        <f t="shared" si="4"/>
        <v>2</v>
      </c>
      <c r="AI26" s="71">
        <f t="shared" si="4"/>
        <v>12</v>
      </c>
      <c r="AJ26" s="71">
        <f t="shared" si="4"/>
        <v>4</v>
      </c>
      <c r="AK26" s="71">
        <f t="shared" si="4"/>
        <v>17</v>
      </c>
      <c r="AL26" s="71">
        <f t="shared" si="4"/>
        <v>40</v>
      </c>
      <c r="AM26" s="71">
        <f t="shared" si="4"/>
        <v>3</v>
      </c>
      <c r="AN26" s="71">
        <f t="shared" si="4"/>
        <v>13</v>
      </c>
      <c r="AO26" s="71">
        <f t="shared" si="4"/>
        <v>1</v>
      </c>
      <c r="AP26" s="71">
        <f t="shared" si="4"/>
        <v>8</v>
      </c>
      <c r="AQ26" s="71">
        <f t="shared" si="4"/>
        <v>4</v>
      </c>
      <c r="AR26" s="71">
        <f t="shared" si="4"/>
        <v>1</v>
      </c>
      <c r="AS26" s="71">
        <f t="shared" si="4"/>
        <v>0</v>
      </c>
      <c r="AT26" s="71">
        <f t="shared" si="4"/>
        <v>1</v>
      </c>
      <c r="AU26" s="71">
        <f t="shared" si="4"/>
        <v>16</v>
      </c>
      <c r="AV26" s="71">
        <f t="shared" si="4"/>
        <v>8</v>
      </c>
      <c r="AW26" s="71">
        <f t="shared" si="4"/>
        <v>17</v>
      </c>
      <c r="AX26" s="71">
        <f t="shared" si="4"/>
        <v>5</v>
      </c>
      <c r="AY26" s="71">
        <f t="shared" si="4"/>
        <v>1</v>
      </c>
      <c r="AZ26" s="71">
        <f t="shared" si="4"/>
        <v>6</v>
      </c>
      <c r="BA26" s="71">
        <f t="shared" si="4"/>
        <v>8</v>
      </c>
      <c r="BB26" s="71">
        <f t="shared" si="4"/>
        <v>1</v>
      </c>
      <c r="BC26" s="71">
        <f t="shared" si="4"/>
        <v>1</v>
      </c>
      <c r="BD26" s="71">
        <f t="shared" si="4"/>
        <v>1</v>
      </c>
      <c r="BE26" s="71">
        <f t="shared" si="4"/>
        <v>4</v>
      </c>
      <c r="BF26" s="71">
        <f t="shared" si="4"/>
        <v>9</v>
      </c>
      <c r="BG26" s="71">
        <f t="shared" si="4"/>
        <v>7</v>
      </c>
      <c r="BH26" s="71">
        <f t="shared" si="4"/>
        <v>6</v>
      </c>
      <c r="BI26" s="71">
        <f t="shared" si="4"/>
        <v>16</v>
      </c>
      <c r="BJ26" s="71">
        <f t="shared" si="4"/>
        <v>2</v>
      </c>
      <c r="BK26" s="71">
        <f t="shared" si="4"/>
        <v>4</v>
      </c>
      <c r="BL26" s="71">
        <f t="shared" si="4"/>
        <v>8</v>
      </c>
      <c r="BM26" s="71">
        <f t="shared" si="4"/>
        <v>4</v>
      </c>
      <c r="BN26" s="71">
        <f t="shared" si="4"/>
        <v>1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19</v>
      </c>
      <c r="L27" s="71">
        <f t="shared" si="5"/>
        <v>57</v>
      </c>
      <c r="M27" s="71">
        <f t="shared" si="5"/>
        <v>5</v>
      </c>
      <c r="N27" s="71">
        <f t="shared" si="5"/>
        <v>16</v>
      </c>
      <c r="O27" s="71">
        <f t="shared" si="5"/>
        <v>40</v>
      </c>
      <c r="P27" s="71">
        <f t="shared" si="5"/>
        <v>19</v>
      </c>
      <c r="Q27" s="71">
        <f t="shared" si="5"/>
        <v>18</v>
      </c>
      <c r="R27" s="71">
        <f t="shared" si="5"/>
        <v>4</v>
      </c>
      <c r="S27" s="71">
        <f t="shared" si="5"/>
        <v>4</v>
      </c>
      <c r="T27" s="71">
        <f t="shared" si="5"/>
        <v>3</v>
      </c>
      <c r="U27" s="71">
        <f t="shared" si="5"/>
        <v>2</v>
      </c>
      <c r="V27" s="71">
        <f t="shared" si="5"/>
        <v>9</v>
      </c>
      <c r="W27" s="71">
        <f t="shared" si="5"/>
        <v>2</v>
      </c>
      <c r="X27" s="71">
        <f t="shared" si="5"/>
        <v>10</v>
      </c>
      <c r="Y27" s="71">
        <f t="shared" si="5"/>
        <v>9</v>
      </c>
      <c r="Z27" s="71">
        <f t="shared" si="5"/>
        <v>5</v>
      </c>
      <c r="AA27" s="71">
        <f t="shared" si="5"/>
        <v>40</v>
      </c>
      <c r="AB27" s="71">
        <f t="shared" si="5"/>
        <v>5</v>
      </c>
      <c r="AC27" s="71">
        <f t="shared" si="5"/>
        <v>14</v>
      </c>
      <c r="AD27" s="71">
        <f t="shared" si="5"/>
        <v>6</v>
      </c>
      <c r="AE27" s="71">
        <f t="shared" si="5"/>
        <v>35</v>
      </c>
      <c r="AF27" s="71">
        <f t="shared" si="5"/>
        <v>31</v>
      </c>
      <c r="AG27" s="71">
        <f t="shared" si="5"/>
        <v>14</v>
      </c>
      <c r="AH27" s="71">
        <f t="shared" si="5"/>
        <v>4</v>
      </c>
      <c r="AI27" s="71">
        <f t="shared" si="5"/>
        <v>18</v>
      </c>
      <c r="AJ27" s="71">
        <f t="shared" si="5"/>
        <v>4</v>
      </c>
      <c r="AK27" s="71">
        <f t="shared" si="5"/>
        <v>27</v>
      </c>
      <c r="AL27" s="71">
        <f t="shared" si="5"/>
        <v>52</v>
      </c>
      <c r="AM27" s="71">
        <f t="shared" si="5"/>
        <v>1</v>
      </c>
      <c r="AN27" s="71">
        <f t="shared" si="5"/>
        <v>9</v>
      </c>
      <c r="AO27" s="71">
        <f t="shared" si="5"/>
        <v>7</v>
      </c>
      <c r="AP27" s="71">
        <f t="shared" si="5"/>
        <v>8</v>
      </c>
      <c r="AQ27" s="71">
        <f t="shared" si="5"/>
        <v>28</v>
      </c>
      <c r="AR27" s="71">
        <f t="shared" si="5"/>
        <v>3</v>
      </c>
      <c r="AS27" s="71">
        <f t="shared" si="5"/>
        <v>2</v>
      </c>
      <c r="AT27" s="71">
        <f t="shared" si="5"/>
        <v>1</v>
      </c>
      <c r="AU27" s="71">
        <f t="shared" si="5"/>
        <v>4</v>
      </c>
      <c r="AV27" s="71">
        <f t="shared" si="5"/>
        <v>16</v>
      </c>
      <c r="AW27" s="71">
        <f t="shared" si="5"/>
        <v>39</v>
      </c>
      <c r="AX27" s="71">
        <f t="shared" si="5"/>
        <v>3</v>
      </c>
      <c r="AY27" s="71">
        <f t="shared" si="5"/>
        <v>1</v>
      </c>
      <c r="AZ27" s="71">
        <f t="shared" si="5"/>
        <v>40</v>
      </c>
      <c r="BA27" s="71">
        <f t="shared" si="5"/>
        <v>16</v>
      </c>
      <c r="BB27" s="71">
        <f t="shared" si="5"/>
        <v>9</v>
      </c>
      <c r="BC27" s="71">
        <f t="shared" si="5"/>
        <v>39</v>
      </c>
      <c r="BD27" s="71">
        <f t="shared" si="5"/>
        <v>9</v>
      </c>
      <c r="BE27" s="71">
        <f t="shared" si="5"/>
        <v>36</v>
      </c>
      <c r="BF27" s="71">
        <f t="shared" si="5"/>
        <v>39</v>
      </c>
      <c r="BG27" s="71">
        <f t="shared" si="5"/>
        <v>7</v>
      </c>
      <c r="BH27" s="71">
        <f t="shared" si="5"/>
        <v>40</v>
      </c>
      <c r="BI27" s="71">
        <f t="shared" si="5"/>
        <v>10</v>
      </c>
      <c r="BJ27" s="71">
        <f t="shared" si="5"/>
        <v>4</v>
      </c>
      <c r="BK27" s="71">
        <f t="shared" si="5"/>
        <v>12</v>
      </c>
      <c r="BL27" s="71">
        <f t="shared" si="5"/>
        <v>8</v>
      </c>
      <c r="BM27" s="71">
        <f t="shared" si="5"/>
        <v>10</v>
      </c>
      <c r="BN27" s="71">
        <f t="shared" si="5"/>
        <v>9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0.38750000000000001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N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0</v>
      </c>
      <c r="P29" s="71">
        <f t="shared" si="7"/>
        <v>5</v>
      </c>
      <c r="Q29" s="71">
        <f t="shared" si="7"/>
        <v>7</v>
      </c>
      <c r="R29" s="71">
        <f t="shared" si="7"/>
        <v>5</v>
      </c>
      <c r="S29" s="71">
        <f t="shared" si="7"/>
        <v>7</v>
      </c>
      <c r="T29" s="71">
        <f t="shared" si="7"/>
        <v>3</v>
      </c>
      <c r="U29" s="71">
        <f t="shared" si="7"/>
        <v>7</v>
      </c>
      <c r="V29" s="71">
        <f t="shared" si="7"/>
        <v>4</v>
      </c>
      <c r="W29" s="71">
        <f t="shared" si="7"/>
        <v>6</v>
      </c>
      <c r="X29" s="71">
        <f t="shared" si="7"/>
        <v>5</v>
      </c>
      <c r="Y29" s="71">
        <f t="shared" si="7"/>
        <v>8</v>
      </c>
      <c r="Z29" s="71">
        <f t="shared" si="7"/>
        <v>7</v>
      </c>
      <c r="AA29" s="71">
        <f t="shared" si="7"/>
        <v>0</v>
      </c>
      <c r="AB29" s="71">
        <f t="shared" si="7"/>
        <v>5</v>
      </c>
      <c r="AC29" s="71">
        <f t="shared" si="7"/>
        <v>8</v>
      </c>
      <c r="AD29" s="71">
        <f t="shared" si="7"/>
        <v>5</v>
      </c>
      <c r="AE29" s="71">
        <f t="shared" si="7"/>
        <v>6</v>
      </c>
      <c r="AF29" s="71">
        <f t="shared" si="7"/>
        <v>9</v>
      </c>
      <c r="AG29" s="71">
        <f t="shared" si="7"/>
        <v>5</v>
      </c>
      <c r="AH29" s="71">
        <f t="shared" si="7"/>
        <v>7</v>
      </c>
      <c r="AI29" s="71">
        <f t="shared" si="7"/>
        <v>4</v>
      </c>
      <c r="AJ29" s="71">
        <f t="shared" si="7"/>
        <v>6</v>
      </c>
      <c r="AK29" s="71">
        <f t="shared" si="7"/>
        <v>8</v>
      </c>
      <c r="AL29" s="71">
        <f t="shared" si="7"/>
        <v>6</v>
      </c>
      <c r="AM29" s="71">
        <f t="shared" si="7"/>
        <v>8</v>
      </c>
      <c r="AN29" s="71">
        <f t="shared" si="7"/>
        <v>5</v>
      </c>
      <c r="AO29" s="71">
        <f t="shared" si="7"/>
        <v>6</v>
      </c>
      <c r="AP29" s="71">
        <f t="shared" si="7"/>
        <v>6</v>
      </c>
      <c r="AQ29" s="71">
        <f t="shared" si="7"/>
        <v>6</v>
      </c>
      <c r="AR29" s="71">
        <f t="shared" si="7"/>
        <v>10</v>
      </c>
      <c r="AS29" s="71">
        <f t="shared" si="7"/>
        <v>8</v>
      </c>
      <c r="AT29" s="71">
        <f t="shared" si="7"/>
        <v>6</v>
      </c>
      <c r="AU29" s="71">
        <f t="shared" si="7"/>
        <v>7</v>
      </c>
      <c r="AV29" s="71">
        <f t="shared" si="7"/>
        <v>4</v>
      </c>
      <c r="AW29" s="71">
        <f t="shared" si="7"/>
        <v>10</v>
      </c>
      <c r="AX29" s="71">
        <f t="shared" si="7"/>
        <v>6</v>
      </c>
      <c r="AY29" s="71">
        <f t="shared" si="7"/>
        <v>7</v>
      </c>
      <c r="AZ29" s="71">
        <f t="shared" si="7"/>
        <v>0</v>
      </c>
      <c r="BA29" s="71">
        <f t="shared" si="7"/>
        <v>6</v>
      </c>
      <c r="BB29" s="71">
        <f t="shared" si="7"/>
        <v>3</v>
      </c>
      <c r="BC29" s="71">
        <f t="shared" si="7"/>
        <v>6</v>
      </c>
      <c r="BD29" s="71">
        <f t="shared" si="7"/>
        <v>6</v>
      </c>
      <c r="BE29" s="71">
        <f t="shared" si="7"/>
        <v>6</v>
      </c>
      <c r="BF29" s="71">
        <f t="shared" si="7"/>
        <v>8</v>
      </c>
      <c r="BG29" s="71">
        <f t="shared" si="7"/>
        <v>7</v>
      </c>
      <c r="BH29" s="71">
        <f t="shared" si="7"/>
        <v>0</v>
      </c>
      <c r="BI29" s="71">
        <f t="shared" si="7"/>
        <v>4</v>
      </c>
      <c r="BJ29" s="71">
        <f t="shared" si="7"/>
        <v>7</v>
      </c>
      <c r="BK29" s="71">
        <f t="shared" si="7"/>
        <v>5</v>
      </c>
      <c r="BL29" s="71">
        <f t="shared" si="7"/>
        <v>3</v>
      </c>
      <c r="BM29" s="71">
        <f t="shared" si="7"/>
        <v>6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-63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6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6</v>
      </c>
      <c r="N30" s="73">
        <f t="shared" si="8"/>
        <v>4</v>
      </c>
      <c r="O30" s="73">
        <f t="shared" si="8"/>
        <v>10</v>
      </c>
      <c r="P30" s="73">
        <f t="shared" si="8"/>
        <v>4</v>
      </c>
      <c r="Q30" s="73">
        <f t="shared" si="8"/>
        <v>2</v>
      </c>
      <c r="R30" s="73">
        <f t="shared" si="8"/>
        <v>6</v>
      </c>
      <c r="S30" s="73">
        <f t="shared" si="8"/>
        <v>0</v>
      </c>
      <c r="T30" s="73">
        <f t="shared" si="8"/>
        <v>6</v>
      </c>
      <c r="U30" s="73">
        <f t="shared" si="8"/>
        <v>4</v>
      </c>
      <c r="V30" s="73">
        <f t="shared" si="8"/>
        <v>5</v>
      </c>
      <c r="W30" s="73">
        <f t="shared" si="8"/>
        <v>3</v>
      </c>
      <c r="X30" s="73">
        <f t="shared" si="8"/>
        <v>2</v>
      </c>
      <c r="Y30" s="73">
        <f t="shared" si="8"/>
        <v>3</v>
      </c>
      <c r="Z30" s="73">
        <f t="shared" si="8"/>
        <v>4</v>
      </c>
      <c r="AA30" s="73">
        <f t="shared" si="8"/>
        <v>10</v>
      </c>
      <c r="AB30" s="73">
        <f t="shared" si="8"/>
        <v>4</v>
      </c>
      <c r="AC30" s="73">
        <f t="shared" si="8"/>
        <v>5</v>
      </c>
      <c r="AD30" s="73">
        <f t="shared" si="8"/>
        <v>4</v>
      </c>
      <c r="AE30" s="73">
        <f t="shared" si="8"/>
        <v>5</v>
      </c>
      <c r="AF30" s="73">
        <f t="shared" si="8"/>
        <v>2</v>
      </c>
      <c r="AG30" s="73">
        <f t="shared" si="8"/>
        <v>6</v>
      </c>
      <c r="AH30" s="73">
        <f t="shared" si="8"/>
        <v>6</v>
      </c>
      <c r="AI30" s="73">
        <f t="shared" si="8"/>
        <v>5</v>
      </c>
      <c r="AJ30" s="73">
        <f t="shared" si="8"/>
        <v>3</v>
      </c>
      <c r="AK30" s="73">
        <f t="shared" si="8"/>
        <v>3</v>
      </c>
      <c r="AL30" s="73">
        <f t="shared" si="8"/>
        <v>5</v>
      </c>
      <c r="AM30" s="73">
        <f t="shared" si="8"/>
        <v>5</v>
      </c>
      <c r="AN30" s="73">
        <f t="shared" si="8"/>
        <v>4</v>
      </c>
      <c r="AO30" s="73">
        <f t="shared" si="8"/>
        <v>7</v>
      </c>
      <c r="AP30" s="73">
        <f t="shared" si="8"/>
        <v>3</v>
      </c>
      <c r="AQ30" s="73">
        <f t="shared" si="8"/>
        <v>3</v>
      </c>
      <c r="AR30" s="73">
        <f t="shared" si="8"/>
        <v>3</v>
      </c>
      <c r="AS30" s="73">
        <f t="shared" si="8"/>
        <v>5</v>
      </c>
      <c r="AT30" s="73">
        <f t="shared" si="8"/>
        <v>5</v>
      </c>
      <c r="AU30" s="73">
        <f t="shared" si="8"/>
        <v>2</v>
      </c>
      <c r="AV30" s="73">
        <f t="shared" si="8"/>
        <v>5</v>
      </c>
      <c r="AW30" s="73">
        <f t="shared" si="8"/>
        <v>3</v>
      </c>
      <c r="AX30" s="73">
        <f t="shared" si="8"/>
        <v>3</v>
      </c>
      <c r="AY30" s="73">
        <f t="shared" si="8"/>
        <v>2</v>
      </c>
      <c r="AZ30" s="73">
        <f t="shared" si="8"/>
        <v>10</v>
      </c>
      <c r="BA30" s="73">
        <f t="shared" si="8"/>
        <v>5</v>
      </c>
      <c r="BB30" s="73">
        <f t="shared" si="8"/>
        <v>8</v>
      </c>
      <c r="BC30" s="73">
        <f t="shared" si="8"/>
        <v>7</v>
      </c>
      <c r="BD30" s="73">
        <f t="shared" si="8"/>
        <v>3</v>
      </c>
      <c r="BE30" s="73">
        <f t="shared" si="8"/>
        <v>5</v>
      </c>
      <c r="BF30" s="73">
        <f t="shared" si="8"/>
        <v>3</v>
      </c>
      <c r="BG30" s="73">
        <f t="shared" si="8"/>
        <v>4</v>
      </c>
      <c r="BH30" s="73">
        <f t="shared" si="8"/>
        <v>10</v>
      </c>
      <c r="BI30" s="73">
        <f t="shared" si="8"/>
        <v>3</v>
      </c>
      <c r="BJ30" s="73">
        <f t="shared" si="8"/>
        <v>4</v>
      </c>
      <c r="BK30" s="73">
        <f t="shared" si="8"/>
        <v>4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2</v>
      </c>
      <c r="N31" s="71">
        <f t="shared" ca="1" si="9"/>
        <v>6</v>
      </c>
      <c r="O31" s="71">
        <f t="shared" ca="1" si="9"/>
        <v>10</v>
      </c>
      <c r="P31" s="71">
        <f t="shared" ca="1" si="9"/>
        <v>4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6</v>
      </c>
      <c r="U31" s="71">
        <f t="shared" ca="1" si="9"/>
        <v>2</v>
      </c>
      <c r="V31" s="71">
        <f t="shared" ca="1" si="9"/>
        <v>7</v>
      </c>
      <c r="W31" s="71">
        <f t="shared" ca="1" si="9"/>
        <v>5</v>
      </c>
      <c r="X31" s="71">
        <f t="shared" ca="1" si="9"/>
        <v>6</v>
      </c>
      <c r="Y31" s="71">
        <f t="shared" ca="1" si="9"/>
        <v>3</v>
      </c>
      <c r="Z31" s="71">
        <f t="shared" ca="1" si="9"/>
        <v>2</v>
      </c>
      <c r="AA31" s="71">
        <f t="shared" ca="1" si="9"/>
        <v>10</v>
      </c>
      <c r="AB31" s="71">
        <f t="shared" ca="1" si="9"/>
        <v>6</v>
      </c>
      <c r="AC31" s="71">
        <f t="shared" ca="1" si="9"/>
        <v>1</v>
      </c>
      <c r="AD31" s="71">
        <f t="shared" ca="1" si="9"/>
        <v>4</v>
      </c>
      <c r="AE31" s="71">
        <f t="shared" ca="1" si="9"/>
        <v>3</v>
      </c>
      <c r="AF31" s="71">
        <f t="shared" ca="1" si="9"/>
        <v>2</v>
      </c>
      <c r="AG31" s="71">
        <f t="shared" ca="1" si="9"/>
        <v>4</v>
      </c>
      <c r="AH31" s="71">
        <f t="shared" ca="1" si="9"/>
        <v>2</v>
      </c>
      <c r="AI31" s="71">
        <f t="shared" ca="1" si="9"/>
        <v>5</v>
      </c>
      <c r="AJ31" s="71">
        <f t="shared" ca="1" si="9"/>
        <v>3</v>
      </c>
      <c r="AK31" s="71">
        <f t="shared" ca="1" si="9"/>
        <v>3</v>
      </c>
      <c r="AL31" s="71">
        <f t="shared" ca="1" si="9"/>
        <v>5</v>
      </c>
      <c r="AM31" s="71">
        <f t="shared" ca="1" si="9"/>
        <v>1</v>
      </c>
      <c r="AN31" s="71">
        <f t="shared" ca="1" si="9"/>
        <v>4</v>
      </c>
      <c r="AO31" s="71">
        <f t="shared" ca="1" si="9"/>
        <v>3</v>
      </c>
      <c r="AP31" s="71">
        <f t="shared" ca="1" si="9"/>
        <v>3</v>
      </c>
      <c r="AQ31" s="71">
        <f t="shared" ca="1" si="9"/>
        <v>5</v>
      </c>
      <c r="AR31" s="71">
        <f t="shared" ca="1" si="9"/>
        <v>1</v>
      </c>
      <c r="AS31" s="71">
        <f t="shared" ca="1" si="9"/>
        <v>1</v>
      </c>
      <c r="AT31" s="71">
        <f t="shared" ca="1" si="9"/>
        <v>3</v>
      </c>
      <c r="AU31" s="71">
        <f t="shared" ca="1" si="9"/>
        <v>4</v>
      </c>
      <c r="AV31" s="71">
        <f t="shared" ca="1" si="9"/>
        <v>5</v>
      </c>
      <c r="AW31" s="71">
        <f t="shared" ca="1" si="9"/>
        <v>1</v>
      </c>
      <c r="AX31" s="71">
        <f t="shared" ca="1" si="9"/>
        <v>5</v>
      </c>
      <c r="AY31" s="71">
        <f t="shared" ca="1" si="9"/>
        <v>2</v>
      </c>
      <c r="AZ31" s="71">
        <f t="shared" ca="1" si="9"/>
        <v>10</v>
      </c>
      <c r="BA31" s="71">
        <f t="shared" ca="1" si="9"/>
        <v>3</v>
      </c>
      <c r="BB31" s="71">
        <f t="shared" ca="1" si="9"/>
        <v>6</v>
      </c>
      <c r="BC31" s="71">
        <f t="shared" ca="1" si="9"/>
        <v>3</v>
      </c>
      <c r="BD31" s="71">
        <f t="shared" ca="1" si="9"/>
        <v>3</v>
      </c>
      <c r="BE31" s="71">
        <f t="shared" ca="1" si="9"/>
        <v>5</v>
      </c>
      <c r="BF31" s="71">
        <f t="shared" ca="1" si="9"/>
        <v>3</v>
      </c>
      <c r="BG31" s="71">
        <f t="shared" ca="1" si="9"/>
        <v>4</v>
      </c>
      <c r="BH31" s="71">
        <f t="shared" ca="1" si="9"/>
        <v>10</v>
      </c>
      <c r="BI31" s="71">
        <f t="shared" ca="1" si="9"/>
        <v>5</v>
      </c>
      <c r="BJ31" s="71">
        <f t="shared" ca="1" si="9"/>
        <v>2</v>
      </c>
      <c r="BK31" s="71">
        <f t="shared" ca="1" si="9"/>
        <v>4</v>
      </c>
      <c r="BL31" s="71">
        <f t="shared" ca="1" si="9"/>
        <v>6</v>
      </c>
      <c r="BM31" s="71">
        <f t="shared" ca="1" si="9"/>
        <v>3</v>
      </c>
      <c r="BN31" s="71">
        <f t="shared" ca="1" si="9"/>
        <v>2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59979924</v>
      </c>
      <c r="L36" s="32">
        <f t="shared" si="12"/>
        <v>41995772</v>
      </c>
      <c r="M36" s="32">
        <f t="shared" si="12"/>
        <v>101987980</v>
      </c>
      <c r="N36" s="32">
        <f t="shared" si="12"/>
        <v>59967936</v>
      </c>
      <c r="O36" s="32">
        <f t="shared" si="12"/>
        <v>0</v>
      </c>
      <c r="P36" s="32">
        <f t="shared" si="12"/>
        <v>141987924</v>
      </c>
      <c r="Q36" s="32">
        <f t="shared" si="12"/>
        <v>59983928</v>
      </c>
      <c r="R36" s="32">
        <f t="shared" si="12"/>
        <v>101991984</v>
      </c>
      <c r="S36" s="32">
        <f t="shared" si="12"/>
        <v>59983984</v>
      </c>
      <c r="T36" s="32">
        <f t="shared" si="12"/>
        <v>181955988</v>
      </c>
      <c r="U36" s="32">
        <f t="shared" si="12"/>
        <v>59967992</v>
      </c>
      <c r="V36" s="32">
        <f t="shared" si="12"/>
        <v>79947964</v>
      </c>
      <c r="W36" s="32">
        <f t="shared" si="12"/>
        <v>39983992</v>
      </c>
      <c r="X36" s="32">
        <f t="shared" si="12"/>
        <v>59983960</v>
      </c>
      <c r="Y36" s="32">
        <f t="shared" si="12"/>
        <v>81995964</v>
      </c>
      <c r="Z36" s="32">
        <f t="shared" si="12"/>
        <v>101987980</v>
      </c>
      <c r="AA36" s="32">
        <f t="shared" si="12"/>
        <v>0</v>
      </c>
      <c r="AB36" s="32">
        <f t="shared" si="12"/>
        <v>101987980</v>
      </c>
      <c r="AC36" s="32">
        <f t="shared" si="12"/>
        <v>81927944</v>
      </c>
      <c r="AD36" s="32">
        <f t="shared" si="12"/>
        <v>59967976</v>
      </c>
      <c r="AE36" s="32">
        <f t="shared" si="12"/>
        <v>79971860</v>
      </c>
      <c r="AF36" s="32">
        <f t="shared" si="12"/>
        <v>19987876</v>
      </c>
      <c r="AG36" s="32">
        <f t="shared" si="12"/>
        <v>141999944</v>
      </c>
      <c r="AH36" s="32">
        <f t="shared" si="12"/>
        <v>101991984</v>
      </c>
      <c r="AI36" s="32">
        <f t="shared" si="12"/>
        <v>79951928</v>
      </c>
      <c r="AJ36" s="32">
        <f t="shared" si="12"/>
        <v>79983984</v>
      </c>
      <c r="AK36" s="32">
        <f t="shared" si="12"/>
        <v>39931892</v>
      </c>
      <c r="AL36" s="32">
        <f t="shared" si="12"/>
        <v>79839792</v>
      </c>
      <c r="AM36" s="32">
        <f t="shared" si="12"/>
        <v>81987996</v>
      </c>
      <c r="AN36" s="32">
        <f t="shared" si="12"/>
        <v>141947964</v>
      </c>
      <c r="AO36" s="32">
        <f t="shared" si="12"/>
        <v>121995972</v>
      </c>
      <c r="AP36" s="32">
        <f t="shared" si="12"/>
        <v>79967968</v>
      </c>
      <c r="AQ36" s="32">
        <f t="shared" si="12"/>
        <v>81983888</v>
      </c>
      <c r="AR36" s="32">
        <f t="shared" si="12"/>
        <v>41995988</v>
      </c>
      <c r="AS36" s="32">
        <f t="shared" si="12"/>
        <v>81999992</v>
      </c>
      <c r="AT36" s="32">
        <f t="shared" si="12"/>
        <v>121995996</v>
      </c>
      <c r="AU36" s="32">
        <f t="shared" si="12"/>
        <v>59935984</v>
      </c>
      <c r="AV36" s="32">
        <f t="shared" si="12"/>
        <v>79967936</v>
      </c>
      <c r="AW36" s="32">
        <f t="shared" si="12"/>
        <v>41931844</v>
      </c>
      <c r="AX36" s="32">
        <f t="shared" si="12"/>
        <v>79979988</v>
      </c>
      <c r="AY36" s="32">
        <f t="shared" si="12"/>
        <v>101995996</v>
      </c>
      <c r="AZ36" s="32">
        <f t="shared" si="12"/>
        <v>0</v>
      </c>
      <c r="BA36" s="32">
        <f t="shared" si="12"/>
        <v>79967936</v>
      </c>
      <c r="BB36" s="32">
        <f t="shared" si="12"/>
        <v>141995964</v>
      </c>
      <c r="BC36" s="32">
        <f t="shared" si="12"/>
        <v>81995844</v>
      </c>
      <c r="BD36" s="32">
        <f t="shared" si="12"/>
        <v>81995964</v>
      </c>
      <c r="BE36" s="32">
        <f t="shared" si="12"/>
        <v>81983856</v>
      </c>
      <c r="BF36" s="32">
        <f t="shared" si="12"/>
        <v>81963844</v>
      </c>
      <c r="BG36" s="32">
        <f t="shared" si="12"/>
        <v>59971972</v>
      </c>
      <c r="BH36" s="32">
        <f t="shared" si="12"/>
        <v>0</v>
      </c>
      <c r="BI36" s="32">
        <f t="shared" si="12"/>
        <v>119935960</v>
      </c>
      <c r="BJ36" s="32">
        <f t="shared" si="12"/>
        <v>101991984</v>
      </c>
      <c r="BK36" s="32">
        <f t="shared" si="12"/>
        <v>99983952</v>
      </c>
      <c r="BL36" s="32">
        <f t="shared" si="12"/>
        <v>99967968</v>
      </c>
      <c r="BM36" s="32">
        <f t="shared" si="12"/>
        <v>79983960</v>
      </c>
      <c r="BN36" s="32">
        <f t="shared" si="12"/>
        <v>61995964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ca="1" si="13"/>
        <v>Boykin, Jerome W</v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ca="1" si="13"/>
        <v>Gilmer, Justin T</v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ca="1" si="13"/>
        <v>Robbins, Thomas D</v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ca="1" si="13"/>
        <v>Straw, Adam D</v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Boykin, Jerome W;Gilmer, Justin T;Robbins, Thomas D;Straw, Adam D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9" stopIfTrue="1" operator="equal">
      <formula>0</formula>
    </cfRule>
  </conditionalFormatting>
  <conditionalFormatting sqref="D26:J28 K28:BE28">
    <cfRule type="cellIs" dxfId="90" priority="10" stopIfTrue="1" operator="equal">
      <formula>1</formula>
    </cfRule>
  </conditionalFormatting>
  <conditionalFormatting sqref="H3:I3 F23 H5:I5 H7:I7 H9:I9 H11:I11 H13:I13 H15:I15 H17:I17 H19:I19 H21:I21">
    <cfRule type="cellIs" dxfId="89" priority="11" stopIfTrue="1" operator="equal">
      <formula>0</formula>
    </cfRule>
  </conditionalFormatting>
  <conditionalFormatting sqref="H4:I4 F24 H6:I6 H8:I8 H10:I10 H12:I12 H14:I14 H16:I16 H18:I18 H20:I20 H22:I22">
    <cfRule type="cellIs" dxfId="88" priority="12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5" stopIfTrue="1">
      <formula>AND(COUNTA(J4)=1,$E4=1,SUM($E3:$E4)=1)</formula>
    </cfRule>
    <cfRule type="expression" dxfId="8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17" stopIfTrue="1">
      <formula>AND(COUNTA(J3)=1,$E3=1,SUM($E3:$E4)=1)</formula>
    </cfRule>
    <cfRule type="expression" dxfId="82" priority="18" stopIfTrue="1">
      <formula>AND(COUNTA(J3)=1,$E3=0,SUM($E3:$E4)=1)</formula>
    </cfRule>
  </conditionalFormatting>
  <conditionalFormatting sqref="BF23:BN23">
    <cfRule type="cellIs" dxfId="81" priority="7" stopIfTrue="1" operator="equal">
      <formula>0</formula>
    </cfRule>
  </conditionalFormatting>
  <conditionalFormatting sqref="BF24:BN24">
    <cfRule type="cellIs" dxfId="80" priority="6" stopIfTrue="1" operator="equal">
      <formula>0</formula>
    </cfRule>
  </conditionalFormatting>
  <conditionalFormatting sqref="BF28:BN28">
    <cfRule type="cellIs" dxfId="79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363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3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N58"/>
  <sheetViews>
    <sheetView tabSelected="1" zoomScale="90" zoomScaleNormal="100" zoomScaleSheetLayoutView="100" workbookViewId="0">
      <selection activeCell="D3" sqref="D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 t="s">
        <v>205</v>
      </c>
      <c r="C3" s="65">
        <v>6.5</v>
      </c>
      <c r="D3" s="64"/>
      <c r="E3" s="64" t="str">
        <f>IF(ISBLANK($D3),"0",IF(($D4-$D3)&lt;($C4-$C3),1,0))</f>
        <v>0</v>
      </c>
      <c r="F3" s="64">
        <f ca="1">COUNTA(INDIRECT("RC11:RC"&amp;11+playercnt-1,FALSE))</f>
        <v>50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314</v>
      </c>
      <c r="L3" s="69" t="s">
        <v>314</v>
      </c>
      <c r="M3" s="69" t="s">
        <v>314</v>
      </c>
      <c r="N3" s="69" t="s">
        <v>314</v>
      </c>
      <c r="O3" s="69" t="s">
        <v>314</v>
      </c>
      <c r="P3" s="69" t="s">
        <v>314</v>
      </c>
      <c r="Q3" s="69" t="s">
        <v>314</v>
      </c>
      <c r="R3" s="69" t="s">
        <v>314</v>
      </c>
      <c r="S3" s="69" t="s">
        <v>314</v>
      </c>
      <c r="T3" s="69"/>
      <c r="U3" s="69" t="s">
        <v>314</v>
      </c>
      <c r="V3" s="69" t="s">
        <v>314</v>
      </c>
      <c r="W3" s="69" t="s">
        <v>314</v>
      </c>
      <c r="X3" s="69" t="s">
        <v>314</v>
      </c>
      <c r="Y3" s="69" t="s">
        <v>314</v>
      </c>
      <c r="Z3" s="69" t="s">
        <v>314</v>
      </c>
      <c r="AA3" s="69" t="s">
        <v>314</v>
      </c>
      <c r="AB3" s="69" t="s">
        <v>314</v>
      </c>
      <c r="AC3" s="69" t="s">
        <v>314</v>
      </c>
      <c r="AD3" s="69" t="s">
        <v>314</v>
      </c>
      <c r="AE3" s="69" t="s">
        <v>314</v>
      </c>
      <c r="AF3" s="69" t="s">
        <v>314</v>
      </c>
      <c r="AG3" s="69" t="s">
        <v>314</v>
      </c>
      <c r="AH3" s="69" t="s">
        <v>314</v>
      </c>
      <c r="AI3" s="69" t="s">
        <v>314</v>
      </c>
      <c r="AJ3" s="69" t="s">
        <v>314</v>
      </c>
      <c r="AK3" s="69"/>
      <c r="AL3" s="69" t="s">
        <v>314</v>
      </c>
      <c r="AM3" s="69" t="s">
        <v>314</v>
      </c>
      <c r="AN3" s="69" t="s">
        <v>314</v>
      </c>
      <c r="AO3" s="69"/>
      <c r="AP3" s="69"/>
      <c r="AQ3" s="69" t="s">
        <v>314</v>
      </c>
      <c r="AR3" s="96"/>
      <c r="AS3" s="69" t="s">
        <v>314</v>
      </c>
      <c r="AT3" s="69" t="s">
        <v>314</v>
      </c>
      <c r="AU3" s="69" t="s">
        <v>314</v>
      </c>
      <c r="AV3" s="69" t="s">
        <v>314</v>
      </c>
      <c r="AW3" s="69" t="s">
        <v>314</v>
      </c>
      <c r="AX3" s="69" t="s">
        <v>314</v>
      </c>
      <c r="AY3" s="69" t="s">
        <v>314</v>
      </c>
      <c r="AZ3" s="69" t="s">
        <v>314</v>
      </c>
      <c r="BA3" s="69" t="s">
        <v>314</v>
      </c>
      <c r="BB3" s="69" t="s">
        <v>314</v>
      </c>
      <c r="BC3" s="69" t="s">
        <v>314</v>
      </c>
      <c r="BD3" s="69" t="s">
        <v>314</v>
      </c>
      <c r="BE3" s="96" t="s">
        <v>314</v>
      </c>
      <c r="BF3" s="69" t="s">
        <v>314</v>
      </c>
      <c r="BG3" s="69"/>
      <c r="BH3" s="69" t="s">
        <v>314</v>
      </c>
      <c r="BI3" s="69" t="s">
        <v>314</v>
      </c>
      <c r="BJ3" s="69" t="s">
        <v>314</v>
      </c>
      <c r="BK3" s="69" t="s">
        <v>314</v>
      </c>
      <c r="BL3" s="69" t="s">
        <v>314</v>
      </c>
      <c r="BM3" s="69" t="s">
        <v>314</v>
      </c>
      <c r="BN3" s="69" t="s">
        <v>314</v>
      </c>
    </row>
    <row r="4" spans="1:66" x14ac:dyDescent="0.2">
      <c r="A4" s="61" t="s">
        <v>3</v>
      </c>
      <c r="B4" s="68" t="s">
        <v>201</v>
      </c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 t="s">
        <v>314</v>
      </c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 t="s">
        <v>314</v>
      </c>
      <c r="AP4" s="70"/>
      <c r="AQ4" s="70"/>
      <c r="AR4" s="70" t="s">
        <v>314</v>
      </c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 t="s">
        <v>314</v>
      </c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 t="s">
        <v>193</v>
      </c>
      <c r="C5" s="65"/>
      <c r="D5" s="64"/>
      <c r="E5" s="64" t="str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 t="s">
        <v>314</v>
      </c>
      <c r="N5" s="69"/>
      <c r="O5" s="69" t="s">
        <v>314</v>
      </c>
      <c r="P5" s="69" t="s">
        <v>314</v>
      </c>
      <c r="Q5" s="69" t="s">
        <v>314</v>
      </c>
      <c r="R5" s="69"/>
      <c r="S5" s="69" t="s">
        <v>314</v>
      </c>
      <c r="T5" s="69" t="s">
        <v>314</v>
      </c>
      <c r="U5" s="96"/>
      <c r="V5" s="69" t="s">
        <v>314</v>
      </c>
      <c r="W5" s="69" t="s">
        <v>314</v>
      </c>
      <c r="X5" s="69" t="s">
        <v>314</v>
      </c>
      <c r="Y5" s="69"/>
      <c r="Z5" s="69" t="s">
        <v>314</v>
      </c>
      <c r="AA5" s="69" t="s">
        <v>314</v>
      </c>
      <c r="AB5" s="69"/>
      <c r="AC5" s="69"/>
      <c r="AD5" s="69"/>
      <c r="AE5" s="69"/>
      <c r="AF5" s="69" t="s">
        <v>314</v>
      </c>
      <c r="AG5" s="69"/>
      <c r="AH5" s="69"/>
      <c r="AI5" s="69" t="s">
        <v>314</v>
      </c>
      <c r="AJ5" s="69"/>
      <c r="AK5" s="69"/>
      <c r="AL5" s="69"/>
      <c r="AM5" s="69"/>
      <c r="AN5" s="69"/>
      <c r="AO5" s="69" t="s">
        <v>314</v>
      </c>
      <c r="AP5" s="69"/>
      <c r="AQ5" s="69"/>
      <c r="AR5" s="96" t="s">
        <v>314</v>
      </c>
      <c r="AS5" s="69" t="s">
        <v>314</v>
      </c>
      <c r="AT5" s="69"/>
      <c r="AU5" s="69" t="s">
        <v>314</v>
      </c>
      <c r="AV5" s="69"/>
      <c r="AW5" s="69" t="s">
        <v>314</v>
      </c>
      <c r="AX5" s="69" t="s">
        <v>314</v>
      </c>
      <c r="AY5" s="69"/>
      <c r="AZ5" s="69" t="s">
        <v>314</v>
      </c>
      <c r="BA5" s="69" t="s">
        <v>314</v>
      </c>
      <c r="BB5" s="69"/>
      <c r="BC5" s="69"/>
      <c r="BD5" s="69" t="s">
        <v>314</v>
      </c>
      <c r="BE5" s="69" t="s">
        <v>314</v>
      </c>
      <c r="BF5" s="69"/>
      <c r="BG5" s="69" t="s">
        <v>314</v>
      </c>
      <c r="BH5" s="69"/>
      <c r="BI5" s="69"/>
      <c r="BJ5" s="69" t="s">
        <v>314</v>
      </c>
      <c r="BK5" s="69" t="s">
        <v>314</v>
      </c>
      <c r="BL5" s="69" t="s">
        <v>314</v>
      </c>
      <c r="BM5" s="69"/>
      <c r="BN5" s="69"/>
    </row>
    <row r="6" spans="1:66" x14ac:dyDescent="0.2">
      <c r="A6" s="61" t="s">
        <v>3</v>
      </c>
      <c r="B6" s="68" t="s">
        <v>157</v>
      </c>
      <c r="C6" s="66">
        <v>3.5</v>
      </c>
      <c r="D6" s="64"/>
      <c r="E6" s="64" t="str">
        <f>IF(ISBLANK($D6),"0",IF(($D6-$D5)&gt;($C6-$C5),1,0))</f>
        <v>0</v>
      </c>
      <c r="F6" s="64">
        <f t="shared" ca="1" si="1"/>
        <v>27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 t="s">
        <v>314</v>
      </c>
      <c r="L6" s="70" t="s">
        <v>314</v>
      </c>
      <c r="M6" s="70"/>
      <c r="N6" s="70" t="s">
        <v>314</v>
      </c>
      <c r="O6" s="70"/>
      <c r="P6" s="70"/>
      <c r="Q6" s="70"/>
      <c r="R6" s="70" t="s">
        <v>314</v>
      </c>
      <c r="S6" s="70"/>
      <c r="T6" s="70"/>
      <c r="U6" s="70" t="s">
        <v>314</v>
      </c>
      <c r="V6" s="70"/>
      <c r="W6" s="70"/>
      <c r="X6" s="70"/>
      <c r="Y6" s="70" t="s">
        <v>314</v>
      </c>
      <c r="Z6" s="70"/>
      <c r="AA6" s="70"/>
      <c r="AB6" s="70" t="s">
        <v>314</v>
      </c>
      <c r="AC6" s="70" t="s">
        <v>314</v>
      </c>
      <c r="AD6" s="70" t="s">
        <v>314</v>
      </c>
      <c r="AE6" s="70" t="s">
        <v>314</v>
      </c>
      <c r="AF6" s="70"/>
      <c r="AG6" s="70" t="s">
        <v>314</v>
      </c>
      <c r="AH6" s="70" t="s">
        <v>314</v>
      </c>
      <c r="AI6" s="70"/>
      <c r="AJ6" s="70" t="s">
        <v>314</v>
      </c>
      <c r="AK6" s="70"/>
      <c r="AL6" s="70" t="s">
        <v>314</v>
      </c>
      <c r="AM6" s="70" t="s">
        <v>314</v>
      </c>
      <c r="AN6" s="70" t="s">
        <v>314</v>
      </c>
      <c r="AO6" s="70"/>
      <c r="AP6" s="70"/>
      <c r="AQ6" s="70" t="s">
        <v>314</v>
      </c>
      <c r="AR6" s="70"/>
      <c r="AS6" s="70"/>
      <c r="AT6" s="70" t="s">
        <v>314</v>
      </c>
      <c r="AU6" s="70"/>
      <c r="AV6" s="70" t="s">
        <v>314</v>
      </c>
      <c r="AW6" s="70"/>
      <c r="AX6" s="70"/>
      <c r="AY6" s="70" t="s">
        <v>314</v>
      </c>
      <c r="AZ6" s="70"/>
      <c r="BA6" s="70"/>
      <c r="BB6" s="70" t="s">
        <v>314</v>
      </c>
      <c r="BC6" s="70" t="s">
        <v>314</v>
      </c>
      <c r="BD6" s="70"/>
      <c r="BE6" s="97"/>
      <c r="BF6" s="70" t="s">
        <v>314</v>
      </c>
      <c r="BG6" s="70"/>
      <c r="BH6" s="70" t="s">
        <v>314</v>
      </c>
      <c r="BI6" s="70" t="s">
        <v>314</v>
      </c>
      <c r="BJ6" s="70"/>
      <c r="BK6" s="70"/>
      <c r="BL6" s="70"/>
      <c r="BM6" s="70" t="s">
        <v>314</v>
      </c>
      <c r="BN6" s="70" t="s">
        <v>314</v>
      </c>
    </row>
    <row r="7" spans="1:66" x14ac:dyDescent="0.2">
      <c r="A7" s="59">
        <v>3</v>
      </c>
      <c r="B7" s="67" t="s">
        <v>139</v>
      </c>
      <c r="C7" s="65"/>
      <c r="D7" s="64"/>
      <c r="E7" s="64" t="str">
        <f>IF(ISBLANK($D7),"0",IF(($D8-$D7)&lt;($C8-$C7),1,0))</f>
        <v>0</v>
      </c>
      <c r="F7" s="64">
        <f t="shared" ca="1" si="1"/>
        <v>30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314</v>
      </c>
      <c r="L7" s="69" t="s">
        <v>314</v>
      </c>
      <c r="M7" s="69" t="s">
        <v>314</v>
      </c>
      <c r="N7" s="69"/>
      <c r="O7" s="69"/>
      <c r="P7" s="69"/>
      <c r="Q7" s="69"/>
      <c r="R7" s="96" t="s">
        <v>314</v>
      </c>
      <c r="S7" s="96" t="s">
        <v>314</v>
      </c>
      <c r="T7" s="96"/>
      <c r="U7" s="96" t="s">
        <v>314</v>
      </c>
      <c r="V7" s="69"/>
      <c r="W7" s="69" t="s">
        <v>314</v>
      </c>
      <c r="X7" s="69" t="s">
        <v>314</v>
      </c>
      <c r="Y7" s="69"/>
      <c r="Z7" s="69"/>
      <c r="AA7" s="69" t="s">
        <v>314</v>
      </c>
      <c r="AB7" s="69"/>
      <c r="AC7" s="69" t="s">
        <v>314</v>
      </c>
      <c r="AD7" s="69"/>
      <c r="AE7" s="69" t="s">
        <v>314</v>
      </c>
      <c r="AF7" s="69" t="s">
        <v>314</v>
      </c>
      <c r="AG7" s="69" t="s">
        <v>314</v>
      </c>
      <c r="AH7" s="69" t="s">
        <v>314</v>
      </c>
      <c r="AI7" s="69"/>
      <c r="AJ7" s="69"/>
      <c r="AK7" s="69"/>
      <c r="AL7" s="69"/>
      <c r="AM7" s="69" t="s">
        <v>314</v>
      </c>
      <c r="AN7" s="69" t="s">
        <v>314</v>
      </c>
      <c r="AO7" s="69"/>
      <c r="AP7" s="69"/>
      <c r="AQ7" s="69"/>
      <c r="AR7" s="96" t="s">
        <v>314</v>
      </c>
      <c r="AS7" s="69" t="s">
        <v>314</v>
      </c>
      <c r="AT7" s="69"/>
      <c r="AU7" s="69"/>
      <c r="AV7" s="69" t="s">
        <v>314</v>
      </c>
      <c r="AW7" s="69" t="s">
        <v>314</v>
      </c>
      <c r="AX7" s="69" t="s">
        <v>314</v>
      </c>
      <c r="AY7" s="69"/>
      <c r="AZ7" s="69" t="s">
        <v>314</v>
      </c>
      <c r="BA7" s="69"/>
      <c r="BB7" s="69"/>
      <c r="BC7" s="69"/>
      <c r="BD7" s="69"/>
      <c r="BE7" s="96"/>
      <c r="BF7" s="69"/>
      <c r="BG7" s="69" t="s">
        <v>314</v>
      </c>
      <c r="BH7" s="69" t="s">
        <v>314</v>
      </c>
      <c r="BI7" s="69" t="s">
        <v>314</v>
      </c>
      <c r="BJ7" s="69" t="s">
        <v>314</v>
      </c>
      <c r="BK7" s="69" t="s">
        <v>314</v>
      </c>
      <c r="BL7" s="69" t="s">
        <v>314</v>
      </c>
      <c r="BM7" s="69" t="s">
        <v>314</v>
      </c>
      <c r="BN7" s="69" t="s">
        <v>314</v>
      </c>
    </row>
    <row r="8" spans="1:66" x14ac:dyDescent="0.2">
      <c r="A8" s="61" t="s">
        <v>3</v>
      </c>
      <c r="B8" s="68" t="s">
        <v>164</v>
      </c>
      <c r="C8" s="66">
        <v>10.5</v>
      </c>
      <c r="D8" s="64"/>
      <c r="E8" s="64" t="str">
        <f>IF(ISBLANK($D8),"0",IF(($D8-$D7)&gt;($C8-$C7),1,0))</f>
        <v>0</v>
      </c>
      <c r="F8" s="64">
        <f t="shared" ca="1" si="1"/>
        <v>24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314</v>
      </c>
      <c r="O8" s="70" t="s">
        <v>314</v>
      </c>
      <c r="P8" s="70" t="s">
        <v>314</v>
      </c>
      <c r="Q8" s="70" t="s">
        <v>314</v>
      </c>
      <c r="R8" s="97"/>
      <c r="S8" s="97"/>
      <c r="T8" s="97" t="s">
        <v>314</v>
      </c>
      <c r="U8" s="97"/>
      <c r="V8" s="70" t="s">
        <v>314</v>
      </c>
      <c r="W8" s="70"/>
      <c r="X8" s="70"/>
      <c r="Y8" s="70" t="s">
        <v>314</v>
      </c>
      <c r="Z8" s="70" t="s">
        <v>314</v>
      </c>
      <c r="AA8" s="70"/>
      <c r="AB8" s="70" t="s">
        <v>314</v>
      </c>
      <c r="AC8" s="70"/>
      <c r="AD8" s="70" t="s">
        <v>314</v>
      </c>
      <c r="AE8" s="70"/>
      <c r="AF8" s="70"/>
      <c r="AG8" s="70"/>
      <c r="AH8" s="70"/>
      <c r="AI8" s="70" t="s">
        <v>314</v>
      </c>
      <c r="AJ8" s="70" t="s">
        <v>314</v>
      </c>
      <c r="AK8" s="70"/>
      <c r="AL8" s="70" t="s">
        <v>314</v>
      </c>
      <c r="AM8" s="70"/>
      <c r="AN8" s="70"/>
      <c r="AO8" s="70" t="s">
        <v>314</v>
      </c>
      <c r="AP8" s="70"/>
      <c r="AQ8" s="70" t="s">
        <v>314</v>
      </c>
      <c r="AR8" s="70"/>
      <c r="AS8" s="70"/>
      <c r="AT8" s="70" t="s">
        <v>314</v>
      </c>
      <c r="AU8" s="70" t="s">
        <v>314</v>
      </c>
      <c r="AV8" s="70"/>
      <c r="AW8" s="70"/>
      <c r="AX8" s="70"/>
      <c r="AY8" s="70" t="s">
        <v>314</v>
      </c>
      <c r="AZ8" s="70"/>
      <c r="BA8" s="70" t="s">
        <v>314</v>
      </c>
      <c r="BB8" s="70" t="s">
        <v>314</v>
      </c>
      <c r="BC8" s="70" t="s">
        <v>314</v>
      </c>
      <c r="BD8" s="70" t="s">
        <v>314</v>
      </c>
      <c r="BE8" s="70" t="s">
        <v>314</v>
      </c>
      <c r="BF8" s="70" t="s">
        <v>314</v>
      </c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 t="s">
        <v>147</v>
      </c>
      <c r="C9" s="65"/>
      <c r="D9" s="81"/>
      <c r="E9" s="64" t="str">
        <f>IF(ISBLANK($D9),"0",IF(($D10-$D9)&lt;($C10-$C9),1,0))</f>
        <v>0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314</v>
      </c>
      <c r="L9" s="69"/>
      <c r="M9" s="69" t="s">
        <v>314</v>
      </c>
      <c r="N9" s="69"/>
      <c r="O9" s="69"/>
      <c r="P9" s="69" t="s">
        <v>314</v>
      </c>
      <c r="Q9" s="69" t="s">
        <v>314</v>
      </c>
      <c r="R9" s="96"/>
      <c r="S9" s="96"/>
      <c r="T9" s="96" t="s">
        <v>314</v>
      </c>
      <c r="U9" s="96"/>
      <c r="V9" s="69" t="s">
        <v>314</v>
      </c>
      <c r="W9" s="69" t="s">
        <v>314</v>
      </c>
      <c r="X9" s="69" t="s">
        <v>314</v>
      </c>
      <c r="Y9" s="69"/>
      <c r="Z9" s="69" t="s">
        <v>314</v>
      </c>
      <c r="AA9" s="69" t="s">
        <v>314</v>
      </c>
      <c r="AB9" s="69" t="s">
        <v>314</v>
      </c>
      <c r="AC9" s="69"/>
      <c r="AD9" s="69"/>
      <c r="AE9" s="69"/>
      <c r="AF9" s="69" t="s">
        <v>314</v>
      </c>
      <c r="AG9" s="69" t="s">
        <v>314</v>
      </c>
      <c r="AH9" s="69" t="s">
        <v>314</v>
      </c>
      <c r="AI9" s="69" t="s">
        <v>314</v>
      </c>
      <c r="AJ9" s="69" t="s">
        <v>314</v>
      </c>
      <c r="AK9" s="69"/>
      <c r="AL9" s="69" t="s">
        <v>314</v>
      </c>
      <c r="AM9" s="69" t="s">
        <v>314</v>
      </c>
      <c r="AN9" s="69"/>
      <c r="AO9" s="69"/>
      <c r="AP9" s="69"/>
      <c r="AQ9" s="69" t="s">
        <v>314</v>
      </c>
      <c r="AR9" s="96" t="s">
        <v>314</v>
      </c>
      <c r="AS9" s="69"/>
      <c r="AT9" s="69" t="s">
        <v>314</v>
      </c>
      <c r="AU9" s="69" t="s">
        <v>314</v>
      </c>
      <c r="AV9" s="69"/>
      <c r="AW9" s="69"/>
      <c r="AX9" s="69" t="s">
        <v>314</v>
      </c>
      <c r="AY9" s="69" t="s">
        <v>314</v>
      </c>
      <c r="AZ9" s="69" t="s">
        <v>314</v>
      </c>
      <c r="BA9" s="69"/>
      <c r="BB9" s="69"/>
      <c r="BC9" s="69"/>
      <c r="BD9" s="69"/>
      <c r="BE9" s="96" t="s">
        <v>314</v>
      </c>
      <c r="BF9" s="69" t="s">
        <v>314</v>
      </c>
      <c r="BG9" s="69" t="s">
        <v>314</v>
      </c>
      <c r="BH9" s="69" t="s">
        <v>314</v>
      </c>
      <c r="BI9" s="69"/>
      <c r="BJ9" s="69" t="s">
        <v>314</v>
      </c>
      <c r="BK9" s="69"/>
      <c r="BL9" s="69"/>
      <c r="BM9" s="69" t="s">
        <v>314</v>
      </c>
      <c r="BN9" s="69"/>
    </row>
    <row r="10" spans="1:66" x14ac:dyDescent="0.2">
      <c r="A10" s="61" t="s">
        <v>3</v>
      </c>
      <c r="B10" s="68" t="s">
        <v>151</v>
      </c>
      <c r="C10" s="66">
        <v>2.5</v>
      </c>
      <c r="D10" s="64"/>
      <c r="E10" s="64" t="str">
        <f>IF(ISBLANK($D10),"0",IF(($D10-$D9)&gt;($C10-$C9),1,0))</f>
        <v>0</v>
      </c>
      <c r="F10" s="64">
        <f t="shared" ca="1" si="1"/>
        <v>23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314</v>
      </c>
      <c r="M10" s="70"/>
      <c r="N10" s="70" t="s">
        <v>314</v>
      </c>
      <c r="O10" s="70" t="s">
        <v>314</v>
      </c>
      <c r="P10" s="70"/>
      <c r="Q10" s="70"/>
      <c r="R10" s="97" t="s">
        <v>314</v>
      </c>
      <c r="S10" s="97" t="s">
        <v>314</v>
      </c>
      <c r="T10" s="97"/>
      <c r="U10" s="70" t="s">
        <v>314</v>
      </c>
      <c r="V10" s="70"/>
      <c r="W10" s="70"/>
      <c r="X10" s="70"/>
      <c r="Y10" s="70" t="s">
        <v>314</v>
      </c>
      <c r="Z10" s="70"/>
      <c r="AA10" s="70"/>
      <c r="AB10" s="70"/>
      <c r="AC10" s="70" t="s">
        <v>314</v>
      </c>
      <c r="AD10" s="70" t="s">
        <v>314</v>
      </c>
      <c r="AE10" s="70" t="s">
        <v>314</v>
      </c>
      <c r="AF10" s="70"/>
      <c r="AG10" s="70"/>
      <c r="AH10" s="70"/>
      <c r="AI10" s="70"/>
      <c r="AJ10" s="70"/>
      <c r="AK10" s="70"/>
      <c r="AL10" s="70"/>
      <c r="AM10" s="70"/>
      <c r="AN10" s="70" t="s">
        <v>314</v>
      </c>
      <c r="AO10" s="70" t="s">
        <v>314</v>
      </c>
      <c r="AP10" s="70"/>
      <c r="AQ10" s="70"/>
      <c r="AR10" s="70"/>
      <c r="AS10" s="70" t="s">
        <v>314</v>
      </c>
      <c r="AT10" s="70"/>
      <c r="AU10" s="70"/>
      <c r="AV10" s="70" t="s">
        <v>314</v>
      </c>
      <c r="AW10" s="70" t="s">
        <v>314</v>
      </c>
      <c r="AX10" s="70"/>
      <c r="AY10" s="70"/>
      <c r="AZ10" s="70"/>
      <c r="BA10" s="70" t="s">
        <v>314</v>
      </c>
      <c r="BB10" s="70" t="s">
        <v>314</v>
      </c>
      <c r="BC10" s="70" t="s">
        <v>314</v>
      </c>
      <c r="BD10" s="70" t="s">
        <v>314</v>
      </c>
      <c r="BE10" s="70"/>
      <c r="BF10" s="70"/>
      <c r="BG10" s="70"/>
      <c r="BH10" s="70"/>
      <c r="BI10" s="70" t="s">
        <v>314</v>
      </c>
      <c r="BJ10" s="70"/>
      <c r="BK10" s="70" t="s">
        <v>314</v>
      </c>
      <c r="BL10" s="70" t="s">
        <v>314</v>
      </c>
      <c r="BM10" s="70"/>
      <c r="BN10" s="70" t="s">
        <v>314</v>
      </c>
    </row>
    <row r="11" spans="1:66" x14ac:dyDescent="0.2">
      <c r="A11" s="59">
        <v>5</v>
      </c>
      <c r="B11" s="67" t="s">
        <v>148</v>
      </c>
      <c r="C11" s="65">
        <v>2.5</v>
      </c>
      <c r="D11" s="64"/>
      <c r="E11" s="64" t="str">
        <f>IF(ISBLANK($D11),"0",IF(($D12-$D11)&lt;($C12-$C11),1,0))</f>
        <v>0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314</v>
      </c>
      <c r="L11" s="69" t="s">
        <v>314</v>
      </c>
      <c r="M11" s="69" t="s">
        <v>314</v>
      </c>
      <c r="N11" s="69" t="s">
        <v>314</v>
      </c>
      <c r="O11" s="69"/>
      <c r="P11" s="69" t="s">
        <v>314</v>
      </c>
      <c r="Q11" s="69" t="s">
        <v>314</v>
      </c>
      <c r="R11" s="96"/>
      <c r="S11" s="96" t="s">
        <v>314</v>
      </c>
      <c r="T11" s="96" t="s">
        <v>314</v>
      </c>
      <c r="U11" s="69" t="s">
        <v>314</v>
      </c>
      <c r="V11" s="69" t="s">
        <v>314</v>
      </c>
      <c r="W11" s="69"/>
      <c r="X11" s="69" t="s">
        <v>314</v>
      </c>
      <c r="Y11" s="69"/>
      <c r="Z11" s="69" t="s">
        <v>314</v>
      </c>
      <c r="AA11" s="69"/>
      <c r="AB11" s="69"/>
      <c r="AC11" s="69"/>
      <c r="AD11" s="69"/>
      <c r="AE11" s="69" t="s">
        <v>314</v>
      </c>
      <c r="AF11" s="69" t="s">
        <v>314</v>
      </c>
      <c r="AG11" s="69" t="s">
        <v>314</v>
      </c>
      <c r="AH11" s="69" t="s">
        <v>314</v>
      </c>
      <c r="AI11" s="69"/>
      <c r="AJ11" s="69" t="s">
        <v>314</v>
      </c>
      <c r="AK11" s="69"/>
      <c r="AL11" s="69"/>
      <c r="AM11" s="69" t="s">
        <v>314</v>
      </c>
      <c r="AN11" s="69" t="s">
        <v>314</v>
      </c>
      <c r="AO11" s="69"/>
      <c r="AP11" s="69"/>
      <c r="AQ11" s="69" t="s">
        <v>314</v>
      </c>
      <c r="AR11" s="69"/>
      <c r="AS11" s="69" t="s">
        <v>314</v>
      </c>
      <c r="AT11" s="69" t="s">
        <v>314</v>
      </c>
      <c r="AU11" s="69" t="s">
        <v>314</v>
      </c>
      <c r="AV11" s="69" t="s">
        <v>314</v>
      </c>
      <c r="AW11" s="69" t="s">
        <v>314</v>
      </c>
      <c r="AX11" s="69" t="s">
        <v>314</v>
      </c>
      <c r="AY11" s="69"/>
      <c r="AZ11" s="69" t="s">
        <v>314</v>
      </c>
      <c r="BA11" s="69" t="s">
        <v>314</v>
      </c>
      <c r="BB11" s="69" t="s">
        <v>314</v>
      </c>
      <c r="BC11" s="69" t="s">
        <v>314</v>
      </c>
      <c r="BD11" s="69"/>
      <c r="BE11" s="96" t="s">
        <v>314</v>
      </c>
      <c r="BF11" s="69" t="s">
        <v>314</v>
      </c>
      <c r="BG11" s="69" t="s">
        <v>314</v>
      </c>
      <c r="BH11" s="69"/>
      <c r="BI11" s="69" t="s">
        <v>314</v>
      </c>
      <c r="BJ11" s="69" t="s">
        <v>314</v>
      </c>
      <c r="BK11" s="69" t="s">
        <v>314</v>
      </c>
      <c r="BL11" s="69" t="s">
        <v>314</v>
      </c>
      <c r="BM11" s="69" t="s">
        <v>314</v>
      </c>
      <c r="BN11" s="69" t="s">
        <v>314</v>
      </c>
    </row>
    <row r="12" spans="1:66" x14ac:dyDescent="0.2">
      <c r="A12" s="61" t="s">
        <v>3</v>
      </c>
      <c r="B12" s="68" t="s">
        <v>246</v>
      </c>
      <c r="C12" s="66"/>
      <c r="D12" s="64"/>
      <c r="E12" s="64" t="str">
        <f>IF(ISBLANK($D12),"0",IF(($D12-$D11)&gt;($C12-$C11),1,0))</f>
        <v>0</v>
      </c>
      <c r="F12" s="64">
        <f t="shared" ca="1" si="1"/>
        <v>15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 t="s">
        <v>314</v>
      </c>
      <c r="P12" s="70"/>
      <c r="Q12" s="70"/>
      <c r="R12" s="97" t="s">
        <v>314</v>
      </c>
      <c r="S12" s="97"/>
      <c r="T12" s="97"/>
      <c r="U12" s="97"/>
      <c r="V12" s="70"/>
      <c r="W12" s="70" t="s">
        <v>314</v>
      </c>
      <c r="X12" s="70"/>
      <c r="Y12" s="70" t="s">
        <v>314</v>
      </c>
      <c r="Z12" s="70"/>
      <c r="AA12" s="70" t="s">
        <v>314</v>
      </c>
      <c r="AB12" s="70" t="s">
        <v>314</v>
      </c>
      <c r="AC12" s="70" t="s">
        <v>314</v>
      </c>
      <c r="AD12" s="70" t="s">
        <v>314</v>
      </c>
      <c r="AE12" s="70"/>
      <c r="AF12" s="70"/>
      <c r="AG12" s="70"/>
      <c r="AH12" s="70"/>
      <c r="AI12" s="70" t="s">
        <v>314</v>
      </c>
      <c r="AJ12" s="70"/>
      <c r="AK12" s="70"/>
      <c r="AL12" s="70" t="s">
        <v>314</v>
      </c>
      <c r="AM12" s="70"/>
      <c r="AN12" s="70"/>
      <c r="AO12" s="70" t="s">
        <v>314</v>
      </c>
      <c r="AP12" s="70"/>
      <c r="AQ12" s="70"/>
      <c r="AR12" s="97" t="s">
        <v>314</v>
      </c>
      <c r="AS12" s="70"/>
      <c r="AT12" s="70"/>
      <c r="AU12" s="70"/>
      <c r="AV12" s="70"/>
      <c r="AW12" s="70"/>
      <c r="AX12" s="70"/>
      <c r="AY12" s="70" t="s">
        <v>314</v>
      </c>
      <c r="AZ12" s="70"/>
      <c r="BA12" s="70"/>
      <c r="BB12" s="70"/>
      <c r="BC12" s="70"/>
      <c r="BD12" s="70" t="s">
        <v>314</v>
      </c>
      <c r="BE12" s="70"/>
      <c r="BF12" s="70"/>
      <c r="BG12" s="70"/>
      <c r="BH12" s="70" t="s">
        <v>314</v>
      </c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 t="s">
        <v>245</v>
      </c>
      <c r="C13" s="65">
        <v>3.5</v>
      </c>
      <c r="D13" s="64"/>
      <c r="E13" s="64" t="str">
        <f>IF(ISBLANK($D13),"0",IF(($D14-$D13)&lt;($C14-$C13),1,0))</f>
        <v>0</v>
      </c>
      <c r="F13" s="64">
        <f t="shared" ca="1" si="1"/>
        <v>35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314</v>
      </c>
      <c r="L13" s="69" t="s">
        <v>314</v>
      </c>
      <c r="M13" s="69"/>
      <c r="N13" s="69" t="s">
        <v>314</v>
      </c>
      <c r="O13" s="69"/>
      <c r="P13" s="69" t="s">
        <v>314</v>
      </c>
      <c r="Q13" s="69"/>
      <c r="R13" s="96"/>
      <c r="S13" s="96" t="s">
        <v>314</v>
      </c>
      <c r="T13" s="96"/>
      <c r="U13" s="69" t="s">
        <v>314</v>
      </c>
      <c r="V13" s="69" t="s">
        <v>314</v>
      </c>
      <c r="W13" s="69" t="s">
        <v>314</v>
      </c>
      <c r="X13" s="69"/>
      <c r="Y13" s="69" t="s">
        <v>314</v>
      </c>
      <c r="Z13" s="69" t="s">
        <v>314</v>
      </c>
      <c r="AA13" s="69"/>
      <c r="AB13" s="69" t="s">
        <v>314</v>
      </c>
      <c r="AC13" s="69" t="s">
        <v>314</v>
      </c>
      <c r="AD13" s="69"/>
      <c r="AE13" s="69"/>
      <c r="AF13" s="69"/>
      <c r="AG13" s="69" t="s">
        <v>314</v>
      </c>
      <c r="AH13" s="69" t="s">
        <v>314</v>
      </c>
      <c r="AI13" s="69"/>
      <c r="AJ13" s="69" t="s">
        <v>314</v>
      </c>
      <c r="AK13" s="69"/>
      <c r="AL13" s="69" t="s">
        <v>314</v>
      </c>
      <c r="AM13" s="69" t="s">
        <v>314</v>
      </c>
      <c r="AN13" s="69" t="s">
        <v>314</v>
      </c>
      <c r="AO13" s="69"/>
      <c r="AP13" s="69"/>
      <c r="AQ13" s="69" t="s">
        <v>314</v>
      </c>
      <c r="AR13" s="96" t="s">
        <v>314</v>
      </c>
      <c r="AS13" s="69"/>
      <c r="AT13" s="69" t="s">
        <v>314</v>
      </c>
      <c r="AU13" s="69" t="s">
        <v>314</v>
      </c>
      <c r="AV13" s="69" t="s">
        <v>314</v>
      </c>
      <c r="AW13" s="69"/>
      <c r="AX13" s="69" t="s">
        <v>314</v>
      </c>
      <c r="AY13" s="69" t="s">
        <v>314</v>
      </c>
      <c r="AZ13" s="69" t="s">
        <v>314</v>
      </c>
      <c r="BA13" s="69" t="s">
        <v>314</v>
      </c>
      <c r="BB13" s="69" t="s">
        <v>314</v>
      </c>
      <c r="BC13" s="69" t="s">
        <v>314</v>
      </c>
      <c r="BD13" s="69"/>
      <c r="BE13" s="96"/>
      <c r="BF13" s="69" t="s">
        <v>314</v>
      </c>
      <c r="BG13" s="69"/>
      <c r="BH13" s="69" t="s">
        <v>314</v>
      </c>
      <c r="BI13" s="69" t="s">
        <v>314</v>
      </c>
      <c r="BJ13" s="69"/>
      <c r="BK13" s="69" t="s">
        <v>314</v>
      </c>
      <c r="BL13" s="69"/>
      <c r="BM13" s="69" t="s">
        <v>314</v>
      </c>
      <c r="BN13" s="69" t="s">
        <v>314</v>
      </c>
    </row>
    <row r="14" spans="1:66" x14ac:dyDescent="0.2">
      <c r="A14" s="61" t="s">
        <v>3</v>
      </c>
      <c r="B14" s="68" t="s">
        <v>247</v>
      </c>
      <c r="C14" s="66"/>
      <c r="D14" s="64"/>
      <c r="E14" s="64" t="str">
        <f>IF(ISBLANK($D14),"0",IF(($D14-$D13)&gt;($C14-$C13),1,0))</f>
        <v>0</v>
      </c>
      <c r="F14" s="64">
        <f t="shared" ca="1" si="1"/>
        <v>19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 t="s">
        <v>314</v>
      </c>
      <c r="N14" s="70"/>
      <c r="O14" s="70" t="s">
        <v>314</v>
      </c>
      <c r="P14" s="70"/>
      <c r="Q14" s="70" t="s">
        <v>314</v>
      </c>
      <c r="R14" s="97" t="s">
        <v>314</v>
      </c>
      <c r="S14" s="97"/>
      <c r="T14" s="97" t="s">
        <v>314</v>
      </c>
      <c r="U14" s="97"/>
      <c r="V14" s="70"/>
      <c r="W14" s="70"/>
      <c r="X14" s="70" t="s">
        <v>314</v>
      </c>
      <c r="Y14" s="70"/>
      <c r="Z14" s="70"/>
      <c r="AA14" s="70" t="s">
        <v>314</v>
      </c>
      <c r="AB14" s="70"/>
      <c r="AC14" s="70"/>
      <c r="AD14" s="70" t="s">
        <v>314</v>
      </c>
      <c r="AE14" s="70" t="s">
        <v>314</v>
      </c>
      <c r="AF14" s="70" t="s">
        <v>314</v>
      </c>
      <c r="AG14" s="70"/>
      <c r="AH14" s="70"/>
      <c r="AI14" s="70" t="s">
        <v>314</v>
      </c>
      <c r="AJ14" s="70"/>
      <c r="AK14" s="70"/>
      <c r="AL14" s="70"/>
      <c r="AM14" s="70"/>
      <c r="AN14" s="70"/>
      <c r="AO14" s="70" t="s">
        <v>314</v>
      </c>
      <c r="AP14" s="70"/>
      <c r="AQ14" s="70"/>
      <c r="AR14" s="70"/>
      <c r="AS14" s="70" t="s">
        <v>314</v>
      </c>
      <c r="AT14" s="70"/>
      <c r="AU14" s="70"/>
      <c r="AV14" s="70"/>
      <c r="AW14" s="70" t="s">
        <v>314</v>
      </c>
      <c r="AX14" s="70"/>
      <c r="AY14" s="70"/>
      <c r="AZ14" s="70"/>
      <c r="BA14" s="70"/>
      <c r="BB14" s="70"/>
      <c r="BC14" s="70"/>
      <c r="BD14" s="70" t="s">
        <v>314</v>
      </c>
      <c r="BE14" s="70" t="s">
        <v>314</v>
      </c>
      <c r="BF14" s="70"/>
      <c r="BG14" s="70" t="s">
        <v>314</v>
      </c>
      <c r="BH14" s="70"/>
      <c r="BI14" s="70"/>
      <c r="BJ14" s="70" t="s">
        <v>314</v>
      </c>
      <c r="BK14" s="70"/>
      <c r="BL14" s="70" t="s">
        <v>314</v>
      </c>
      <c r="BM14" s="70"/>
      <c r="BN14" s="70"/>
    </row>
    <row r="15" spans="1:66" x14ac:dyDescent="0.2">
      <c r="A15" s="59">
        <v>7</v>
      </c>
      <c r="B15" s="67" t="s">
        <v>184</v>
      </c>
      <c r="C15" s="65"/>
      <c r="D15" s="64"/>
      <c r="E15" s="64" t="str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 t="s">
        <v>314</v>
      </c>
      <c r="N15" s="69"/>
      <c r="O15" s="69"/>
      <c r="P15" s="69"/>
      <c r="Q15" s="69"/>
      <c r="R15" s="96"/>
      <c r="S15" s="96" t="s">
        <v>314</v>
      </c>
      <c r="T15" s="96"/>
      <c r="U15" s="96"/>
      <c r="V15" s="69" t="s">
        <v>314</v>
      </c>
      <c r="W15" s="69" t="s">
        <v>314</v>
      </c>
      <c r="X15" s="69"/>
      <c r="Y15" s="69"/>
      <c r="Z15" s="69" t="s">
        <v>314</v>
      </c>
      <c r="AA15" s="69" t="s">
        <v>314</v>
      </c>
      <c r="AB15" s="69"/>
      <c r="AC15" s="69" t="s">
        <v>314</v>
      </c>
      <c r="AD15" s="69"/>
      <c r="AE15" s="69" t="s">
        <v>314</v>
      </c>
      <c r="AF15" s="69" t="s">
        <v>314</v>
      </c>
      <c r="AG15" s="69" t="s">
        <v>314</v>
      </c>
      <c r="AH15" s="69"/>
      <c r="AI15" s="69"/>
      <c r="AJ15" s="69" t="s">
        <v>314</v>
      </c>
      <c r="AK15" s="69"/>
      <c r="AL15" s="69"/>
      <c r="AM15" s="69"/>
      <c r="AN15" s="69"/>
      <c r="AO15" s="69" t="s">
        <v>314</v>
      </c>
      <c r="AP15" s="69"/>
      <c r="AQ15" s="69" t="s">
        <v>314</v>
      </c>
      <c r="AR15" s="69"/>
      <c r="AS15" s="69"/>
      <c r="AT15" s="69"/>
      <c r="AU15" s="69"/>
      <c r="AV15" s="69"/>
      <c r="AW15" s="69"/>
      <c r="AX15" s="69"/>
      <c r="AY15" s="69"/>
      <c r="AZ15" s="69" t="s">
        <v>314</v>
      </c>
      <c r="BA15" s="69" t="s">
        <v>314</v>
      </c>
      <c r="BB15" s="69"/>
      <c r="BC15" s="69" t="s">
        <v>314</v>
      </c>
      <c r="BD15" s="69" t="s">
        <v>314</v>
      </c>
      <c r="BE15" s="96"/>
      <c r="BF15" s="69" t="s">
        <v>314</v>
      </c>
      <c r="BG15" s="69"/>
      <c r="BH15" s="69" t="s">
        <v>314</v>
      </c>
      <c r="BI15" s="69"/>
      <c r="BJ15" s="69" t="s">
        <v>314</v>
      </c>
      <c r="BK15" s="69" t="s">
        <v>314</v>
      </c>
      <c r="BL15" s="69"/>
      <c r="BM15" s="69" t="s">
        <v>314</v>
      </c>
      <c r="BN15" s="69" t="s">
        <v>314</v>
      </c>
    </row>
    <row r="16" spans="1:66" x14ac:dyDescent="0.2">
      <c r="A16" s="61" t="s">
        <v>3</v>
      </c>
      <c r="B16" s="68" t="s">
        <v>150</v>
      </c>
      <c r="C16" s="66">
        <v>7.5</v>
      </c>
      <c r="D16" s="64"/>
      <c r="E16" s="64" t="str">
        <f>IF(ISBLANK($D16),"0",IF(($D16-$D15)&gt;($C16-$C15),1,0))</f>
        <v>0</v>
      </c>
      <c r="F16" s="64">
        <f t="shared" ca="1" si="1"/>
        <v>31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314</v>
      </c>
      <c r="L16" s="70" t="s">
        <v>314</v>
      </c>
      <c r="M16" s="70"/>
      <c r="N16" s="70" t="s">
        <v>314</v>
      </c>
      <c r="O16" s="70" t="s">
        <v>314</v>
      </c>
      <c r="P16" s="70" t="s">
        <v>314</v>
      </c>
      <c r="Q16" s="70" t="s">
        <v>314</v>
      </c>
      <c r="R16" s="70" t="s">
        <v>314</v>
      </c>
      <c r="S16" s="70"/>
      <c r="T16" s="70" t="s">
        <v>314</v>
      </c>
      <c r="U16" s="70" t="s">
        <v>314</v>
      </c>
      <c r="V16" s="70"/>
      <c r="W16" s="70"/>
      <c r="X16" s="70" t="s">
        <v>314</v>
      </c>
      <c r="Y16" s="70" t="s">
        <v>314</v>
      </c>
      <c r="Z16" s="70"/>
      <c r="AA16" s="70"/>
      <c r="AB16" s="70" t="s">
        <v>314</v>
      </c>
      <c r="AC16" s="70"/>
      <c r="AD16" s="70" t="s">
        <v>314</v>
      </c>
      <c r="AE16" s="70"/>
      <c r="AF16" s="70"/>
      <c r="AG16" s="70"/>
      <c r="AH16" s="70" t="s">
        <v>314</v>
      </c>
      <c r="AI16" s="70" t="s">
        <v>314</v>
      </c>
      <c r="AJ16" s="70"/>
      <c r="AK16" s="70"/>
      <c r="AL16" s="70" t="s">
        <v>314</v>
      </c>
      <c r="AM16" s="70" t="s">
        <v>314</v>
      </c>
      <c r="AN16" s="70" t="s">
        <v>314</v>
      </c>
      <c r="AO16" s="70"/>
      <c r="AP16" s="70"/>
      <c r="AQ16" s="70"/>
      <c r="AR16" s="97" t="s">
        <v>314</v>
      </c>
      <c r="AS16" s="70" t="s">
        <v>314</v>
      </c>
      <c r="AT16" s="70" t="s">
        <v>314</v>
      </c>
      <c r="AU16" s="70" t="s">
        <v>314</v>
      </c>
      <c r="AV16" s="70" t="s">
        <v>314</v>
      </c>
      <c r="AW16" s="70" t="s">
        <v>314</v>
      </c>
      <c r="AX16" s="70" t="s">
        <v>314</v>
      </c>
      <c r="AY16" s="70" t="s">
        <v>314</v>
      </c>
      <c r="AZ16" s="70"/>
      <c r="BA16" s="70"/>
      <c r="BB16" s="70" t="s">
        <v>314</v>
      </c>
      <c r="BC16" s="70"/>
      <c r="BD16" s="70"/>
      <c r="BE16" s="70" t="s">
        <v>314</v>
      </c>
      <c r="BF16" s="70"/>
      <c r="BG16" s="70" t="s">
        <v>314</v>
      </c>
      <c r="BH16" s="70"/>
      <c r="BI16" s="70" t="s">
        <v>314</v>
      </c>
      <c r="BJ16" s="70"/>
      <c r="BK16" s="70"/>
      <c r="BL16" s="70" t="s">
        <v>314</v>
      </c>
      <c r="BM16" s="70"/>
      <c r="BN16" s="70"/>
    </row>
    <row r="17" spans="1:66" x14ac:dyDescent="0.2">
      <c r="A17" s="59">
        <v>8</v>
      </c>
      <c r="B17" s="67" t="s">
        <v>155</v>
      </c>
      <c r="C17" s="65">
        <v>5.5</v>
      </c>
      <c r="D17" s="64"/>
      <c r="E17" s="64" t="str">
        <f>IF(ISBLANK($D17),"0",IF(($D18-$D17)&lt;($C18-$C17),1,0))</f>
        <v>0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314</v>
      </c>
      <c r="M17" s="69" t="s">
        <v>314</v>
      </c>
      <c r="N17" s="69"/>
      <c r="O17" s="69" t="s">
        <v>314</v>
      </c>
      <c r="P17" s="69"/>
      <c r="Q17" s="69" t="s">
        <v>314</v>
      </c>
      <c r="R17" s="69"/>
      <c r="S17" s="69" t="s">
        <v>314</v>
      </c>
      <c r="T17" s="69" t="s">
        <v>314</v>
      </c>
      <c r="U17" s="69" t="s">
        <v>314</v>
      </c>
      <c r="V17" s="69" t="s">
        <v>314</v>
      </c>
      <c r="W17" s="69" t="s">
        <v>314</v>
      </c>
      <c r="X17" s="69" t="s">
        <v>314</v>
      </c>
      <c r="Y17" s="69" t="s">
        <v>314</v>
      </c>
      <c r="Z17" s="69" t="s">
        <v>314</v>
      </c>
      <c r="AA17" s="69" t="s">
        <v>314</v>
      </c>
      <c r="AB17" s="69" t="s">
        <v>314</v>
      </c>
      <c r="AC17" s="69" t="s">
        <v>314</v>
      </c>
      <c r="AD17" s="69" t="s">
        <v>314</v>
      </c>
      <c r="AE17" s="69" t="s">
        <v>314</v>
      </c>
      <c r="AF17" s="69" t="s">
        <v>314</v>
      </c>
      <c r="AG17" s="69" t="s">
        <v>314</v>
      </c>
      <c r="AH17" s="69"/>
      <c r="AI17" s="69" t="s">
        <v>314</v>
      </c>
      <c r="AJ17" s="69" t="s">
        <v>314</v>
      </c>
      <c r="AK17" s="69"/>
      <c r="AL17" s="69" t="s">
        <v>314</v>
      </c>
      <c r="AM17" s="69" t="s">
        <v>314</v>
      </c>
      <c r="AN17" s="69" t="s">
        <v>314</v>
      </c>
      <c r="AO17" s="69" t="s">
        <v>314</v>
      </c>
      <c r="AP17" s="69"/>
      <c r="AQ17" s="69" t="s">
        <v>314</v>
      </c>
      <c r="AR17" s="96"/>
      <c r="AS17" s="69" t="s">
        <v>314</v>
      </c>
      <c r="AT17" s="69"/>
      <c r="AU17" s="69" t="s">
        <v>314</v>
      </c>
      <c r="AV17" s="69" t="s">
        <v>314</v>
      </c>
      <c r="AW17" s="69" t="s">
        <v>314</v>
      </c>
      <c r="AX17" s="69"/>
      <c r="AY17" s="69"/>
      <c r="AZ17" s="69" t="s">
        <v>314</v>
      </c>
      <c r="BA17" s="69" t="s">
        <v>314</v>
      </c>
      <c r="BB17" s="69" t="s">
        <v>314</v>
      </c>
      <c r="BC17" s="69" t="s">
        <v>314</v>
      </c>
      <c r="BD17" s="69" t="s">
        <v>314</v>
      </c>
      <c r="BE17" s="69" t="s">
        <v>314</v>
      </c>
      <c r="BF17" s="69" t="s">
        <v>314</v>
      </c>
      <c r="BG17" s="69" t="s">
        <v>314</v>
      </c>
      <c r="BH17" s="69" t="s">
        <v>314</v>
      </c>
      <c r="BI17" s="69" t="s">
        <v>314</v>
      </c>
      <c r="BJ17" s="69" t="s">
        <v>314</v>
      </c>
      <c r="BK17" s="69"/>
      <c r="BL17" s="69"/>
      <c r="BM17" s="69" t="s">
        <v>314</v>
      </c>
      <c r="BN17" s="69"/>
    </row>
    <row r="18" spans="1:66" x14ac:dyDescent="0.2">
      <c r="A18" s="61" t="s">
        <v>3</v>
      </c>
      <c r="B18" s="68" t="s">
        <v>169</v>
      </c>
      <c r="C18" s="66"/>
      <c r="D18" s="64"/>
      <c r="E18" s="64" t="str">
        <f>IF(ISBLANK($D18),"0",IF(($D18-$D17)&gt;($C18-$C17),1,0))</f>
        <v>0</v>
      </c>
      <c r="F18" s="64">
        <f t="shared" ca="1" si="1"/>
        <v>12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314</v>
      </c>
      <c r="L18" s="70"/>
      <c r="M18" s="70"/>
      <c r="N18" s="70" t="s">
        <v>314</v>
      </c>
      <c r="O18" s="70"/>
      <c r="P18" s="70" t="s">
        <v>314</v>
      </c>
      <c r="Q18" s="70"/>
      <c r="R18" s="70" t="s">
        <v>314</v>
      </c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 t="s">
        <v>314</v>
      </c>
      <c r="AI18" s="70"/>
      <c r="AJ18" s="70"/>
      <c r="AK18" s="70"/>
      <c r="AL18" s="70"/>
      <c r="AM18" s="70"/>
      <c r="AN18" s="70"/>
      <c r="AO18" s="70"/>
      <c r="AP18" s="70"/>
      <c r="AQ18" s="70"/>
      <c r="AR18" s="70" t="s">
        <v>314</v>
      </c>
      <c r="AS18" s="70"/>
      <c r="AT18" s="70" t="s">
        <v>314</v>
      </c>
      <c r="AU18" s="70"/>
      <c r="AV18" s="70"/>
      <c r="AW18" s="70"/>
      <c r="AX18" s="70" t="s">
        <v>314</v>
      </c>
      <c r="AY18" s="70" t="s">
        <v>314</v>
      </c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 t="s">
        <v>314</v>
      </c>
      <c r="BL18" s="70" t="s">
        <v>314</v>
      </c>
      <c r="BM18" s="70"/>
      <c r="BN18" s="70" t="s">
        <v>314</v>
      </c>
    </row>
    <row r="19" spans="1:66" x14ac:dyDescent="0.2">
      <c r="A19" s="59">
        <v>9</v>
      </c>
      <c r="B19" s="67" t="s">
        <v>198</v>
      </c>
      <c r="C19" s="65"/>
      <c r="D19" s="64"/>
      <c r="E19" s="64" t="str">
        <f>IF(ISBLANK($D19),"0",IF(($D20-$D19)&lt;($C20-$C19),1,0))</f>
        <v>0</v>
      </c>
      <c r="F19" s="64">
        <f t="shared" ca="1" si="1"/>
        <v>20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314</v>
      </c>
      <c r="L19" s="69"/>
      <c r="M19" s="69" t="s">
        <v>314</v>
      </c>
      <c r="N19" s="69"/>
      <c r="O19" s="69"/>
      <c r="P19" s="69"/>
      <c r="Q19" s="69"/>
      <c r="R19" s="69"/>
      <c r="S19" s="69"/>
      <c r="T19" s="69"/>
      <c r="U19" s="96"/>
      <c r="V19" s="69" t="s">
        <v>314</v>
      </c>
      <c r="W19" s="69"/>
      <c r="X19" s="69" t="s">
        <v>314</v>
      </c>
      <c r="Y19" s="69"/>
      <c r="Z19" s="69" t="s">
        <v>314</v>
      </c>
      <c r="AA19" s="69" t="s">
        <v>314</v>
      </c>
      <c r="AB19" s="69" t="s">
        <v>314</v>
      </c>
      <c r="AC19" s="69"/>
      <c r="AD19" s="69" t="s">
        <v>314</v>
      </c>
      <c r="AE19" s="69"/>
      <c r="AF19" s="69" t="s">
        <v>314</v>
      </c>
      <c r="AG19" s="69" t="s">
        <v>314</v>
      </c>
      <c r="AH19" s="69"/>
      <c r="AI19" s="69" t="s">
        <v>314</v>
      </c>
      <c r="AJ19" s="69" t="s">
        <v>314</v>
      </c>
      <c r="AK19" s="69"/>
      <c r="AL19" s="69"/>
      <c r="AM19" s="69"/>
      <c r="AN19" s="69"/>
      <c r="AO19" s="69"/>
      <c r="AP19" s="69"/>
      <c r="AQ19" s="69" t="s">
        <v>314</v>
      </c>
      <c r="AR19" s="69"/>
      <c r="AS19" s="69"/>
      <c r="AT19" s="69" t="s">
        <v>314</v>
      </c>
      <c r="AU19" s="69" t="s">
        <v>314</v>
      </c>
      <c r="AV19" s="69"/>
      <c r="AW19" s="69"/>
      <c r="AX19" s="69"/>
      <c r="AY19" s="69"/>
      <c r="AZ19" s="69"/>
      <c r="BA19" s="69"/>
      <c r="BB19" s="69"/>
      <c r="BC19" s="69" t="s">
        <v>314</v>
      </c>
      <c r="BD19" s="69" t="s">
        <v>314</v>
      </c>
      <c r="BE19" s="69"/>
      <c r="BF19" s="69"/>
      <c r="BG19" s="69"/>
      <c r="BH19" s="69" t="s">
        <v>314</v>
      </c>
      <c r="BI19" s="69"/>
      <c r="BJ19" s="69"/>
      <c r="BK19" s="69" t="s">
        <v>314</v>
      </c>
      <c r="BL19" s="69"/>
      <c r="BM19" s="69"/>
      <c r="BN19" s="69" t="s">
        <v>314</v>
      </c>
    </row>
    <row r="20" spans="1:66" x14ac:dyDescent="0.2">
      <c r="A20" s="61" t="s">
        <v>3</v>
      </c>
      <c r="B20" s="68" t="s">
        <v>203</v>
      </c>
      <c r="C20" s="66">
        <v>7.5</v>
      </c>
      <c r="D20" s="64"/>
      <c r="E20" s="64" t="str">
        <f>IF(ISBLANK($D20),"0",IF(($D20-$D19)&gt;($C20-$C19),1,0))</f>
        <v>0</v>
      </c>
      <c r="F20" s="64">
        <f t="shared" ca="1" si="1"/>
        <v>34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314</v>
      </c>
      <c r="M20" s="70"/>
      <c r="N20" s="70" t="s">
        <v>314</v>
      </c>
      <c r="O20" s="70" t="s">
        <v>314</v>
      </c>
      <c r="P20" s="70" t="s">
        <v>314</v>
      </c>
      <c r="Q20" s="70" t="s">
        <v>314</v>
      </c>
      <c r="R20" s="70" t="s">
        <v>314</v>
      </c>
      <c r="S20" s="70" t="s">
        <v>314</v>
      </c>
      <c r="T20" s="70" t="s">
        <v>314</v>
      </c>
      <c r="U20" s="70" t="s">
        <v>314</v>
      </c>
      <c r="V20" s="70"/>
      <c r="W20" s="70" t="s">
        <v>314</v>
      </c>
      <c r="X20" s="70"/>
      <c r="Y20" s="70" t="s">
        <v>314</v>
      </c>
      <c r="Z20" s="70"/>
      <c r="AA20" s="70"/>
      <c r="AB20" s="70"/>
      <c r="AC20" s="70" t="s">
        <v>314</v>
      </c>
      <c r="AD20" s="70"/>
      <c r="AE20" s="70" t="s">
        <v>314</v>
      </c>
      <c r="AF20" s="70"/>
      <c r="AG20" s="70"/>
      <c r="AH20" s="70" t="s">
        <v>314</v>
      </c>
      <c r="AI20" s="70"/>
      <c r="AJ20" s="70"/>
      <c r="AK20" s="70"/>
      <c r="AL20" s="70" t="s">
        <v>314</v>
      </c>
      <c r="AM20" s="70" t="s">
        <v>314</v>
      </c>
      <c r="AN20" s="70" t="s">
        <v>314</v>
      </c>
      <c r="AO20" s="70" t="s">
        <v>314</v>
      </c>
      <c r="AP20" s="70"/>
      <c r="AQ20" s="70"/>
      <c r="AR20" s="97" t="s">
        <v>314</v>
      </c>
      <c r="AS20" s="70" t="s">
        <v>314</v>
      </c>
      <c r="AT20" s="70"/>
      <c r="AU20" s="70"/>
      <c r="AV20" s="70" t="s">
        <v>314</v>
      </c>
      <c r="AW20" s="70" t="s">
        <v>314</v>
      </c>
      <c r="AX20" s="70" t="s">
        <v>314</v>
      </c>
      <c r="AY20" s="70" t="s">
        <v>314</v>
      </c>
      <c r="AZ20" s="70" t="s">
        <v>314</v>
      </c>
      <c r="BA20" s="70" t="s">
        <v>314</v>
      </c>
      <c r="BB20" s="70" t="s">
        <v>314</v>
      </c>
      <c r="BC20" s="70"/>
      <c r="BD20" s="70"/>
      <c r="BE20" s="97" t="s">
        <v>314</v>
      </c>
      <c r="BF20" s="70" t="s">
        <v>314</v>
      </c>
      <c r="BG20" s="70" t="s">
        <v>314</v>
      </c>
      <c r="BH20" s="70"/>
      <c r="BI20" s="70" t="s">
        <v>314</v>
      </c>
      <c r="BJ20" s="70" t="s">
        <v>314</v>
      </c>
      <c r="BK20" s="70"/>
      <c r="BL20" s="70" t="s">
        <v>314</v>
      </c>
      <c r="BM20" s="70" t="s">
        <v>314</v>
      </c>
      <c r="BN20" s="70"/>
    </row>
    <row r="21" spans="1:66" x14ac:dyDescent="0.2">
      <c r="A21" s="59">
        <v>10</v>
      </c>
      <c r="B21" s="67" t="s">
        <v>159</v>
      </c>
      <c r="C21" s="65">
        <v>7.5</v>
      </c>
      <c r="D21" s="64"/>
      <c r="E21" s="64" t="str">
        <f>IF(ISBLANK($D21),"0",IF(($D22-$D21)&lt;($C22-$C21),1,0))</f>
        <v>0</v>
      </c>
      <c r="F21" s="64">
        <f t="shared" ca="1" si="1"/>
        <v>46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314</v>
      </c>
      <c r="L21" s="69" t="s">
        <v>314</v>
      </c>
      <c r="M21" s="69" t="s">
        <v>314</v>
      </c>
      <c r="N21" s="69" t="s">
        <v>314</v>
      </c>
      <c r="O21" s="69" t="s">
        <v>314</v>
      </c>
      <c r="P21" s="69"/>
      <c r="Q21" s="69" t="s">
        <v>314</v>
      </c>
      <c r="R21" s="69"/>
      <c r="S21" s="69" t="s">
        <v>314</v>
      </c>
      <c r="T21" s="69" t="s">
        <v>314</v>
      </c>
      <c r="U21" s="96" t="s">
        <v>314</v>
      </c>
      <c r="V21" s="69"/>
      <c r="W21" s="69" t="s">
        <v>314</v>
      </c>
      <c r="X21" s="69"/>
      <c r="Y21" s="69" t="s">
        <v>314</v>
      </c>
      <c r="Z21" s="69" t="s">
        <v>314</v>
      </c>
      <c r="AA21" s="69" t="s">
        <v>314</v>
      </c>
      <c r="AB21" s="69"/>
      <c r="AC21" s="69" t="s">
        <v>314</v>
      </c>
      <c r="AD21" s="69" t="s">
        <v>314</v>
      </c>
      <c r="AE21" s="69" t="s">
        <v>314</v>
      </c>
      <c r="AF21" s="69" t="s">
        <v>314</v>
      </c>
      <c r="AG21" s="69" t="s">
        <v>314</v>
      </c>
      <c r="AH21" s="69" t="s">
        <v>314</v>
      </c>
      <c r="AI21" s="69" t="s">
        <v>314</v>
      </c>
      <c r="AJ21" s="69" t="s">
        <v>314</v>
      </c>
      <c r="AK21" s="69"/>
      <c r="AL21" s="69" t="s">
        <v>314</v>
      </c>
      <c r="AM21" s="69"/>
      <c r="AN21" s="69" t="s">
        <v>314</v>
      </c>
      <c r="AO21" s="69" t="s">
        <v>314</v>
      </c>
      <c r="AP21" s="69"/>
      <c r="AQ21" s="69" t="s">
        <v>314</v>
      </c>
      <c r="AR21" s="96" t="s">
        <v>314</v>
      </c>
      <c r="AS21" s="69" t="s">
        <v>314</v>
      </c>
      <c r="AT21" s="69" t="s">
        <v>314</v>
      </c>
      <c r="AU21" s="69" t="s">
        <v>314</v>
      </c>
      <c r="AV21" s="69" t="s">
        <v>314</v>
      </c>
      <c r="AW21" s="69" t="s">
        <v>314</v>
      </c>
      <c r="AX21" s="69" t="s">
        <v>314</v>
      </c>
      <c r="AY21" s="69" t="s">
        <v>314</v>
      </c>
      <c r="AZ21" s="69" t="s">
        <v>314</v>
      </c>
      <c r="BA21" s="69" t="s">
        <v>314</v>
      </c>
      <c r="BB21" s="69" t="s">
        <v>314</v>
      </c>
      <c r="BC21" s="69" t="s">
        <v>314</v>
      </c>
      <c r="BD21" s="69"/>
      <c r="BE21" s="96" t="s">
        <v>314</v>
      </c>
      <c r="BF21" s="69"/>
      <c r="BG21" s="69" t="s">
        <v>314</v>
      </c>
      <c r="BH21" s="69" t="s">
        <v>314</v>
      </c>
      <c r="BI21" s="69" t="s">
        <v>314</v>
      </c>
      <c r="BJ21" s="69" t="s">
        <v>314</v>
      </c>
      <c r="BK21" s="69" t="s">
        <v>314</v>
      </c>
      <c r="BL21" s="69" t="s">
        <v>314</v>
      </c>
      <c r="BM21" s="69" t="s">
        <v>314</v>
      </c>
      <c r="BN21" s="69" t="s">
        <v>314</v>
      </c>
    </row>
    <row r="22" spans="1:66" x14ac:dyDescent="0.2">
      <c r="A22" s="61" t="s">
        <v>3</v>
      </c>
      <c r="B22" s="68" t="s">
        <v>137</v>
      </c>
      <c r="C22" s="66"/>
      <c r="D22" s="64"/>
      <c r="E22" s="64" t="str">
        <f>IF(ISBLANK($D22),"0",IF(($D22-$D21)&gt;($C22-$C21),1,0))</f>
        <v>0</v>
      </c>
      <c r="F22" s="64">
        <f t="shared" ca="1" si="1"/>
        <v>8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/>
      <c r="P22" s="70" t="s">
        <v>314</v>
      </c>
      <c r="Q22" s="70"/>
      <c r="R22" s="70" t="s">
        <v>314</v>
      </c>
      <c r="S22" s="70"/>
      <c r="T22" s="70"/>
      <c r="U22" s="70"/>
      <c r="V22" s="70" t="s">
        <v>314</v>
      </c>
      <c r="W22" s="70"/>
      <c r="X22" s="70" t="s">
        <v>314</v>
      </c>
      <c r="Y22" s="70"/>
      <c r="Z22" s="70"/>
      <c r="AA22" s="70"/>
      <c r="AB22" s="70" t="s">
        <v>314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 t="s">
        <v>314</v>
      </c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 t="s">
        <v>314</v>
      </c>
      <c r="BE22" s="70"/>
      <c r="BF22" s="70" t="s">
        <v>314</v>
      </c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34</v>
      </c>
      <c r="L23" s="78">
        <v>38</v>
      </c>
      <c r="M23" s="78">
        <v>35</v>
      </c>
      <c r="N23" s="80">
        <v>42</v>
      </c>
      <c r="O23" s="78">
        <v>33</v>
      </c>
      <c r="P23" s="78">
        <v>34</v>
      </c>
      <c r="Q23" s="78">
        <v>35</v>
      </c>
      <c r="R23" s="78">
        <v>10</v>
      </c>
      <c r="S23" s="78">
        <v>17</v>
      </c>
      <c r="T23" s="78">
        <v>27</v>
      </c>
      <c r="U23" s="78">
        <v>49</v>
      </c>
      <c r="V23" s="78">
        <v>27</v>
      </c>
      <c r="W23" s="78">
        <v>27</v>
      </c>
      <c r="X23" s="78">
        <v>23</v>
      </c>
      <c r="Y23" s="78">
        <v>42</v>
      </c>
      <c r="Z23" s="78">
        <v>35</v>
      </c>
      <c r="AA23" s="78">
        <v>35</v>
      </c>
      <c r="AB23" s="78">
        <v>24</v>
      </c>
      <c r="AC23" s="78">
        <v>34</v>
      </c>
      <c r="AD23" s="78">
        <v>33</v>
      </c>
      <c r="AE23" s="78">
        <v>45</v>
      </c>
      <c r="AF23" s="78">
        <v>41</v>
      </c>
      <c r="AG23" s="78">
        <v>38</v>
      </c>
      <c r="AH23" s="78">
        <v>47</v>
      </c>
      <c r="AI23" s="78">
        <v>27</v>
      </c>
      <c r="AJ23" s="78">
        <v>35</v>
      </c>
      <c r="AK23" s="78"/>
      <c r="AL23" s="78">
        <v>32</v>
      </c>
      <c r="AM23" s="78">
        <v>28</v>
      </c>
      <c r="AN23" s="78">
        <v>28</v>
      </c>
      <c r="AO23" s="78">
        <v>30</v>
      </c>
      <c r="AP23" s="78"/>
      <c r="AQ23" s="78">
        <v>40</v>
      </c>
      <c r="AR23" s="78">
        <v>28</v>
      </c>
      <c r="AS23" s="78">
        <v>38</v>
      </c>
      <c r="AT23" s="78">
        <v>34</v>
      </c>
      <c r="AU23" s="78">
        <v>32</v>
      </c>
      <c r="AV23" s="78">
        <v>21</v>
      </c>
      <c r="AW23" s="78">
        <v>24</v>
      </c>
      <c r="AX23" s="78">
        <v>41</v>
      </c>
      <c r="AY23" s="78">
        <v>38</v>
      </c>
      <c r="AZ23" s="78">
        <v>38</v>
      </c>
      <c r="BA23" s="78">
        <v>35</v>
      </c>
      <c r="BB23" s="78">
        <v>24</v>
      </c>
      <c r="BC23" s="78">
        <v>24</v>
      </c>
      <c r="BD23" s="78">
        <v>28</v>
      </c>
      <c r="BE23" s="78">
        <v>36</v>
      </c>
      <c r="BF23" s="78">
        <v>38</v>
      </c>
      <c r="BG23" s="78">
        <v>59</v>
      </c>
      <c r="BH23" s="78">
        <v>31</v>
      </c>
      <c r="BI23" s="78">
        <v>54</v>
      </c>
      <c r="BJ23" s="78">
        <v>27</v>
      </c>
      <c r="BK23" s="78">
        <v>41</v>
      </c>
      <c r="BL23" s="78">
        <v>34</v>
      </c>
      <c r="BM23" s="78">
        <v>40</v>
      </c>
      <c r="BN23" s="78">
        <v>15</v>
      </c>
    </row>
    <row r="24" spans="1:66" x14ac:dyDescent="0.2">
      <c r="A24" s="61"/>
      <c r="B24" s="68" t="str">
        <f>B22&amp; " - score"</f>
        <v>LSU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21</v>
      </c>
      <c r="L24" s="79">
        <v>28</v>
      </c>
      <c r="M24" s="79">
        <v>17</v>
      </c>
      <c r="N24" s="79">
        <v>17</v>
      </c>
      <c r="O24" s="79">
        <v>16</v>
      </c>
      <c r="P24" s="79">
        <v>28</v>
      </c>
      <c r="Q24" s="79">
        <v>14</v>
      </c>
      <c r="R24" s="79">
        <v>13</v>
      </c>
      <c r="S24" s="79">
        <v>9</v>
      </c>
      <c r="T24" s="79">
        <v>16</v>
      </c>
      <c r="U24" s="79">
        <v>21</v>
      </c>
      <c r="V24" s="79">
        <v>21</v>
      </c>
      <c r="W24" s="79">
        <v>17</v>
      </c>
      <c r="X24" s="79">
        <v>17</v>
      </c>
      <c r="Y24" s="79">
        <v>21</v>
      </c>
      <c r="Z24" s="79">
        <v>24</v>
      </c>
      <c r="AA24" s="79">
        <v>14</v>
      </c>
      <c r="AB24" s="79">
        <v>21</v>
      </c>
      <c r="AC24" s="79">
        <v>24</v>
      </c>
      <c r="AD24" s="79">
        <v>17</v>
      </c>
      <c r="AE24" s="79">
        <v>17</v>
      </c>
      <c r="AF24" s="79">
        <v>31</v>
      </c>
      <c r="AG24" s="79">
        <v>20</v>
      </c>
      <c r="AH24" s="79">
        <v>22</v>
      </c>
      <c r="AI24" s="79">
        <v>17</v>
      </c>
      <c r="AJ24" s="79">
        <v>21</v>
      </c>
      <c r="AK24" s="79"/>
      <c r="AL24" s="79">
        <v>9</v>
      </c>
      <c r="AM24" s="79">
        <v>24</v>
      </c>
      <c r="AN24" s="79">
        <v>20</v>
      </c>
      <c r="AO24" s="79">
        <v>17</v>
      </c>
      <c r="AP24" s="79"/>
      <c r="AQ24" s="79">
        <v>23</v>
      </c>
      <c r="AR24" s="79">
        <v>20</v>
      </c>
      <c r="AS24" s="79">
        <v>24</v>
      </c>
      <c r="AT24" s="79">
        <v>23</v>
      </c>
      <c r="AU24" s="79">
        <v>21</v>
      </c>
      <c r="AV24" s="79">
        <v>10</v>
      </c>
      <c r="AW24" s="79">
        <v>7</v>
      </c>
      <c r="AX24" s="79">
        <v>30</v>
      </c>
      <c r="AY24" s="79">
        <v>20</v>
      </c>
      <c r="AZ24" s="79">
        <v>21</v>
      </c>
      <c r="BA24" s="79">
        <v>21</v>
      </c>
      <c r="BB24" s="79">
        <v>10</v>
      </c>
      <c r="BC24" s="79">
        <v>9</v>
      </c>
      <c r="BD24" s="79">
        <v>21</v>
      </c>
      <c r="BE24" s="79">
        <v>28</v>
      </c>
      <c r="BF24" s="79">
        <v>31</v>
      </c>
      <c r="BG24" s="79">
        <v>33</v>
      </c>
      <c r="BH24" s="79">
        <v>14</v>
      </c>
      <c r="BI24" s="79">
        <v>36</v>
      </c>
      <c r="BJ24" s="79">
        <v>17</v>
      </c>
      <c r="BK24" s="79">
        <v>21</v>
      </c>
      <c r="BL24" s="79">
        <v>24</v>
      </c>
      <c r="BM24" s="79">
        <v>24</v>
      </c>
      <c r="BN24" s="79">
        <v>3</v>
      </c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13</v>
      </c>
      <c r="L26" s="71">
        <f t="shared" si="4"/>
        <v>10</v>
      </c>
      <c r="M26" s="71">
        <f t="shared" si="4"/>
        <v>18</v>
      </c>
      <c r="N26" s="71">
        <f t="shared" si="4"/>
        <v>25</v>
      </c>
      <c r="O26" s="71">
        <f t="shared" si="4"/>
        <v>17</v>
      </c>
      <c r="P26" s="71">
        <f t="shared" si="4"/>
        <v>6</v>
      </c>
      <c r="Q26" s="71">
        <f t="shared" si="4"/>
        <v>21</v>
      </c>
      <c r="R26" s="71">
        <f t="shared" si="4"/>
        <v>3</v>
      </c>
      <c r="S26" s="71">
        <f t="shared" si="4"/>
        <v>8</v>
      </c>
      <c r="T26" s="71">
        <f t="shared" si="4"/>
        <v>11</v>
      </c>
      <c r="U26" s="71">
        <f t="shared" si="4"/>
        <v>28</v>
      </c>
      <c r="V26" s="71">
        <f t="shared" si="4"/>
        <v>6</v>
      </c>
      <c r="W26" s="71">
        <f t="shared" si="4"/>
        <v>10</v>
      </c>
      <c r="X26" s="71">
        <f t="shared" si="4"/>
        <v>6</v>
      </c>
      <c r="Y26" s="71">
        <f t="shared" si="4"/>
        <v>21</v>
      </c>
      <c r="Z26" s="71">
        <f t="shared" si="4"/>
        <v>11</v>
      </c>
      <c r="AA26" s="71">
        <f t="shared" si="4"/>
        <v>21</v>
      </c>
      <c r="AB26" s="71">
        <f t="shared" si="4"/>
        <v>3</v>
      </c>
      <c r="AC26" s="71">
        <f t="shared" si="4"/>
        <v>10</v>
      </c>
      <c r="AD26" s="71">
        <f t="shared" si="4"/>
        <v>16</v>
      </c>
      <c r="AE26" s="71">
        <f t="shared" si="4"/>
        <v>28</v>
      </c>
      <c r="AF26" s="71">
        <f t="shared" si="4"/>
        <v>10</v>
      </c>
      <c r="AG26" s="71">
        <f t="shared" si="4"/>
        <v>18</v>
      </c>
      <c r="AH26" s="71">
        <f t="shared" si="4"/>
        <v>25</v>
      </c>
      <c r="AI26" s="71">
        <f t="shared" si="4"/>
        <v>10</v>
      </c>
      <c r="AJ26" s="71">
        <f t="shared" si="4"/>
        <v>14</v>
      </c>
      <c r="AK26" s="71">
        <f t="shared" si="4"/>
        <v>0</v>
      </c>
      <c r="AL26" s="71">
        <f t="shared" si="4"/>
        <v>23</v>
      </c>
      <c r="AM26" s="71">
        <f t="shared" si="4"/>
        <v>4</v>
      </c>
      <c r="AN26" s="71">
        <f t="shared" si="4"/>
        <v>8</v>
      </c>
      <c r="AO26" s="71">
        <f t="shared" si="4"/>
        <v>13</v>
      </c>
      <c r="AP26" s="71">
        <f t="shared" si="4"/>
        <v>0</v>
      </c>
      <c r="AQ26" s="71">
        <f t="shared" si="4"/>
        <v>17</v>
      </c>
      <c r="AR26" s="71">
        <f t="shared" si="4"/>
        <v>8</v>
      </c>
      <c r="AS26" s="71">
        <f t="shared" si="4"/>
        <v>14</v>
      </c>
      <c r="AT26" s="71">
        <f t="shared" si="4"/>
        <v>11</v>
      </c>
      <c r="AU26" s="71">
        <f t="shared" si="4"/>
        <v>11</v>
      </c>
      <c r="AV26" s="71">
        <f t="shared" si="4"/>
        <v>11</v>
      </c>
      <c r="AW26" s="71">
        <f t="shared" si="4"/>
        <v>17</v>
      </c>
      <c r="AX26" s="71">
        <f t="shared" si="4"/>
        <v>11</v>
      </c>
      <c r="AY26" s="71">
        <f t="shared" si="4"/>
        <v>18</v>
      </c>
      <c r="AZ26" s="71">
        <f t="shared" si="4"/>
        <v>17</v>
      </c>
      <c r="BA26" s="71">
        <f t="shared" si="4"/>
        <v>14</v>
      </c>
      <c r="BB26" s="71">
        <f t="shared" si="4"/>
        <v>14</v>
      </c>
      <c r="BC26" s="71">
        <f t="shared" si="4"/>
        <v>15</v>
      </c>
      <c r="BD26" s="71">
        <f t="shared" si="4"/>
        <v>7</v>
      </c>
      <c r="BE26" s="71">
        <f t="shared" si="4"/>
        <v>8</v>
      </c>
      <c r="BF26" s="71">
        <f t="shared" si="4"/>
        <v>7</v>
      </c>
      <c r="BG26" s="71">
        <f t="shared" si="4"/>
        <v>26</v>
      </c>
      <c r="BH26" s="71">
        <f t="shared" si="4"/>
        <v>17</v>
      </c>
      <c r="BI26" s="71">
        <f t="shared" si="4"/>
        <v>18</v>
      </c>
      <c r="BJ26" s="71">
        <f t="shared" si="4"/>
        <v>10</v>
      </c>
      <c r="BK26" s="71">
        <f t="shared" si="4"/>
        <v>20</v>
      </c>
      <c r="BL26" s="71">
        <f t="shared" si="4"/>
        <v>10</v>
      </c>
      <c r="BM26" s="71">
        <f t="shared" si="4"/>
        <v>16</v>
      </c>
      <c r="BN26" s="71">
        <f t="shared" si="4"/>
        <v>12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55</v>
      </c>
      <c r="L27" s="71">
        <f t="shared" si="5"/>
        <v>66</v>
      </c>
      <c r="M27" s="71">
        <f t="shared" si="5"/>
        <v>52</v>
      </c>
      <c r="N27" s="71">
        <f t="shared" si="5"/>
        <v>59</v>
      </c>
      <c r="O27" s="71">
        <f t="shared" si="5"/>
        <v>49</v>
      </c>
      <c r="P27" s="71">
        <f t="shared" si="5"/>
        <v>62</v>
      </c>
      <c r="Q27" s="71">
        <f t="shared" si="5"/>
        <v>49</v>
      </c>
      <c r="R27" s="71">
        <f t="shared" si="5"/>
        <v>23</v>
      </c>
      <c r="S27" s="71">
        <f t="shared" si="5"/>
        <v>26</v>
      </c>
      <c r="T27" s="71">
        <f t="shared" si="5"/>
        <v>43</v>
      </c>
      <c r="U27" s="71">
        <f t="shared" si="5"/>
        <v>70</v>
      </c>
      <c r="V27" s="71">
        <f t="shared" si="5"/>
        <v>48</v>
      </c>
      <c r="W27" s="71">
        <f t="shared" si="5"/>
        <v>44</v>
      </c>
      <c r="X27" s="71">
        <f t="shared" si="5"/>
        <v>40</v>
      </c>
      <c r="Y27" s="71">
        <f t="shared" si="5"/>
        <v>63</v>
      </c>
      <c r="Z27" s="71">
        <f t="shared" si="5"/>
        <v>59</v>
      </c>
      <c r="AA27" s="71">
        <f t="shared" si="5"/>
        <v>49</v>
      </c>
      <c r="AB27" s="71">
        <f t="shared" si="5"/>
        <v>45</v>
      </c>
      <c r="AC27" s="71">
        <f t="shared" si="5"/>
        <v>58</v>
      </c>
      <c r="AD27" s="71">
        <f t="shared" si="5"/>
        <v>50</v>
      </c>
      <c r="AE27" s="71">
        <f t="shared" si="5"/>
        <v>62</v>
      </c>
      <c r="AF27" s="71">
        <f t="shared" si="5"/>
        <v>72</v>
      </c>
      <c r="AG27" s="71">
        <f t="shared" si="5"/>
        <v>58</v>
      </c>
      <c r="AH27" s="71">
        <f t="shared" si="5"/>
        <v>69</v>
      </c>
      <c r="AI27" s="71">
        <f t="shared" si="5"/>
        <v>44</v>
      </c>
      <c r="AJ27" s="71">
        <f t="shared" si="5"/>
        <v>56</v>
      </c>
      <c r="AK27" s="71">
        <f t="shared" si="5"/>
        <v>0</v>
      </c>
      <c r="AL27" s="71">
        <f t="shared" si="5"/>
        <v>41</v>
      </c>
      <c r="AM27" s="71">
        <f t="shared" si="5"/>
        <v>52</v>
      </c>
      <c r="AN27" s="71">
        <f t="shared" si="5"/>
        <v>48</v>
      </c>
      <c r="AO27" s="71">
        <f t="shared" si="5"/>
        <v>47</v>
      </c>
      <c r="AP27" s="71">
        <f t="shared" si="5"/>
        <v>0</v>
      </c>
      <c r="AQ27" s="71">
        <f t="shared" si="5"/>
        <v>63</v>
      </c>
      <c r="AR27" s="71">
        <f t="shared" si="5"/>
        <v>48</v>
      </c>
      <c r="AS27" s="71">
        <f t="shared" si="5"/>
        <v>62</v>
      </c>
      <c r="AT27" s="71">
        <f t="shared" si="5"/>
        <v>57</v>
      </c>
      <c r="AU27" s="71">
        <f t="shared" si="5"/>
        <v>53</v>
      </c>
      <c r="AV27" s="71">
        <f t="shared" si="5"/>
        <v>31</v>
      </c>
      <c r="AW27" s="71">
        <f t="shared" si="5"/>
        <v>31</v>
      </c>
      <c r="AX27" s="71">
        <f t="shared" si="5"/>
        <v>71</v>
      </c>
      <c r="AY27" s="71">
        <f t="shared" si="5"/>
        <v>58</v>
      </c>
      <c r="AZ27" s="71">
        <f t="shared" si="5"/>
        <v>59</v>
      </c>
      <c r="BA27" s="71">
        <f t="shared" si="5"/>
        <v>56</v>
      </c>
      <c r="BB27" s="71">
        <f t="shared" si="5"/>
        <v>34</v>
      </c>
      <c r="BC27" s="71">
        <f t="shared" si="5"/>
        <v>33</v>
      </c>
      <c r="BD27" s="71">
        <f t="shared" si="5"/>
        <v>49</v>
      </c>
      <c r="BE27" s="71">
        <f t="shared" si="5"/>
        <v>64</v>
      </c>
      <c r="BF27" s="71">
        <f t="shared" si="5"/>
        <v>69</v>
      </c>
      <c r="BG27" s="71">
        <f t="shared" si="5"/>
        <v>92</v>
      </c>
      <c r="BH27" s="71">
        <f t="shared" si="5"/>
        <v>45</v>
      </c>
      <c r="BI27" s="71">
        <f t="shared" si="5"/>
        <v>90</v>
      </c>
      <c r="BJ27" s="71">
        <f t="shared" si="5"/>
        <v>44</v>
      </c>
      <c r="BK27" s="71">
        <f t="shared" si="5"/>
        <v>62</v>
      </c>
      <c r="BL27" s="71">
        <f t="shared" si="5"/>
        <v>58</v>
      </c>
      <c r="BM27" s="71">
        <f t="shared" si="5"/>
        <v>64</v>
      </c>
      <c r="BN27" s="71">
        <f t="shared" si="5"/>
        <v>18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N29" si="7">COUNTA(L$3,L$5,L$7,L$9,L$11,L$13,L$15,L$17,L$19,L$21)</f>
        <v>6</v>
      </c>
      <c r="M29" s="71">
        <f t="shared" si="7"/>
        <v>9</v>
      </c>
      <c r="N29" s="71">
        <f t="shared" si="7"/>
        <v>4</v>
      </c>
      <c r="O29" s="71">
        <f t="shared" si="7"/>
        <v>4</v>
      </c>
      <c r="P29" s="71">
        <f t="shared" si="7"/>
        <v>5</v>
      </c>
      <c r="Q29" s="71">
        <f t="shared" si="7"/>
        <v>6</v>
      </c>
      <c r="R29" s="71">
        <f t="shared" si="7"/>
        <v>2</v>
      </c>
      <c r="S29" s="71">
        <f t="shared" si="7"/>
        <v>8</v>
      </c>
      <c r="T29" s="71">
        <f t="shared" si="7"/>
        <v>5</v>
      </c>
      <c r="U29" s="71">
        <f t="shared" si="7"/>
        <v>6</v>
      </c>
      <c r="V29" s="71">
        <f t="shared" si="7"/>
        <v>8</v>
      </c>
      <c r="W29" s="71">
        <f t="shared" si="7"/>
        <v>8</v>
      </c>
      <c r="X29" s="71">
        <f t="shared" si="7"/>
        <v>7</v>
      </c>
      <c r="Y29" s="71">
        <f t="shared" si="7"/>
        <v>4</v>
      </c>
      <c r="Z29" s="71">
        <f t="shared" si="7"/>
        <v>9</v>
      </c>
      <c r="AA29" s="71">
        <f t="shared" si="7"/>
        <v>8</v>
      </c>
      <c r="AB29" s="71">
        <f t="shared" si="7"/>
        <v>5</v>
      </c>
      <c r="AC29" s="71">
        <f t="shared" si="7"/>
        <v>6</v>
      </c>
      <c r="AD29" s="71">
        <f t="shared" si="7"/>
        <v>4</v>
      </c>
      <c r="AE29" s="71">
        <f t="shared" si="7"/>
        <v>6</v>
      </c>
      <c r="AF29" s="71">
        <f t="shared" si="7"/>
        <v>9</v>
      </c>
      <c r="AG29" s="71">
        <f t="shared" si="7"/>
        <v>9</v>
      </c>
      <c r="AH29" s="71">
        <f t="shared" si="7"/>
        <v>6</v>
      </c>
      <c r="AI29" s="71">
        <f t="shared" si="7"/>
        <v>6</v>
      </c>
      <c r="AJ29" s="71">
        <f t="shared" si="7"/>
        <v>8</v>
      </c>
      <c r="AK29" s="71">
        <f t="shared" si="7"/>
        <v>0</v>
      </c>
      <c r="AL29" s="71">
        <f t="shared" si="7"/>
        <v>5</v>
      </c>
      <c r="AM29" s="71">
        <f t="shared" si="7"/>
        <v>6</v>
      </c>
      <c r="AN29" s="71">
        <f t="shared" si="7"/>
        <v>6</v>
      </c>
      <c r="AO29" s="71">
        <f t="shared" si="7"/>
        <v>4</v>
      </c>
      <c r="AP29" s="71">
        <f t="shared" si="7"/>
        <v>0</v>
      </c>
      <c r="AQ29" s="71">
        <f t="shared" si="7"/>
        <v>8</v>
      </c>
      <c r="AR29" s="71">
        <f t="shared" si="7"/>
        <v>5</v>
      </c>
      <c r="AS29" s="71">
        <f t="shared" si="7"/>
        <v>6</v>
      </c>
      <c r="AT29" s="71">
        <f t="shared" si="7"/>
        <v>6</v>
      </c>
      <c r="AU29" s="71">
        <f t="shared" si="7"/>
        <v>8</v>
      </c>
      <c r="AV29" s="71">
        <f t="shared" si="7"/>
        <v>6</v>
      </c>
      <c r="AW29" s="71">
        <f t="shared" si="7"/>
        <v>6</v>
      </c>
      <c r="AX29" s="71">
        <f t="shared" si="7"/>
        <v>7</v>
      </c>
      <c r="AY29" s="71">
        <f t="shared" si="7"/>
        <v>4</v>
      </c>
      <c r="AZ29" s="71">
        <f t="shared" si="7"/>
        <v>9</v>
      </c>
      <c r="BA29" s="71">
        <f t="shared" si="7"/>
        <v>7</v>
      </c>
      <c r="BB29" s="71">
        <f t="shared" si="7"/>
        <v>5</v>
      </c>
      <c r="BC29" s="71">
        <f t="shared" si="7"/>
        <v>7</v>
      </c>
      <c r="BD29" s="71">
        <f t="shared" si="7"/>
        <v>5</v>
      </c>
      <c r="BE29" s="71">
        <f t="shared" si="7"/>
        <v>6</v>
      </c>
      <c r="BF29" s="71">
        <f t="shared" si="7"/>
        <v>6</v>
      </c>
      <c r="BG29" s="71">
        <f t="shared" si="7"/>
        <v>6</v>
      </c>
      <c r="BH29" s="71">
        <f t="shared" si="7"/>
        <v>8</v>
      </c>
      <c r="BI29" s="71">
        <f t="shared" si="7"/>
        <v>6</v>
      </c>
      <c r="BJ29" s="71">
        <f t="shared" si="7"/>
        <v>8</v>
      </c>
      <c r="BK29" s="71">
        <f t="shared" si="7"/>
        <v>8</v>
      </c>
      <c r="BL29" s="71">
        <f t="shared" si="7"/>
        <v>5</v>
      </c>
      <c r="BM29" s="71">
        <f t="shared" si="7"/>
        <v>8</v>
      </c>
      <c r="BN29" s="71">
        <f t="shared" si="7"/>
        <v>7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6</v>
      </c>
      <c r="N30" s="73">
        <f t="shared" si="8"/>
        <v>1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5</v>
      </c>
      <c r="S30" s="73">
        <f t="shared" si="8"/>
        <v>3</v>
      </c>
      <c r="T30" s="73">
        <f t="shared" si="8"/>
        <v>4</v>
      </c>
      <c r="U30" s="73">
        <f t="shared" si="8"/>
        <v>1</v>
      </c>
      <c r="V30" s="73">
        <f t="shared" si="8"/>
        <v>5</v>
      </c>
      <c r="W30" s="73">
        <f t="shared" si="8"/>
        <v>5</v>
      </c>
      <c r="X30" s="73">
        <f t="shared" si="8"/>
        <v>6</v>
      </c>
      <c r="Y30" s="73">
        <f t="shared" si="8"/>
        <v>1</v>
      </c>
      <c r="Z30" s="73">
        <f t="shared" si="8"/>
        <v>4</v>
      </c>
      <c r="AA30" s="73">
        <f t="shared" si="8"/>
        <v>7</v>
      </c>
      <c r="AB30" s="73">
        <f t="shared" si="8"/>
        <v>4</v>
      </c>
      <c r="AC30" s="73">
        <f t="shared" si="8"/>
        <v>3</v>
      </c>
      <c r="AD30" s="73">
        <f t="shared" si="8"/>
        <v>3</v>
      </c>
      <c r="AE30" s="73">
        <f t="shared" si="8"/>
        <v>3</v>
      </c>
      <c r="AF30" s="73">
        <f t="shared" si="8"/>
        <v>6</v>
      </c>
      <c r="AG30" s="73">
        <f t="shared" si="8"/>
        <v>4</v>
      </c>
      <c r="AH30" s="73">
        <f t="shared" si="8"/>
        <v>3</v>
      </c>
      <c r="AI30" s="73">
        <f t="shared" si="8"/>
        <v>5</v>
      </c>
      <c r="AJ30" s="73">
        <f t="shared" si="8"/>
        <v>3</v>
      </c>
      <c r="AK30" s="73">
        <f t="shared" si="8"/>
        <v>10</v>
      </c>
      <c r="AL30" s="73">
        <f t="shared" si="8"/>
        <v>2</v>
      </c>
      <c r="AM30" s="73">
        <f t="shared" si="8"/>
        <v>3</v>
      </c>
      <c r="AN30" s="73">
        <f t="shared" si="8"/>
        <v>1</v>
      </c>
      <c r="AO30" s="73">
        <f t="shared" si="8"/>
        <v>5</v>
      </c>
      <c r="AP30" s="73">
        <f t="shared" si="8"/>
        <v>10</v>
      </c>
      <c r="AQ30" s="73">
        <f t="shared" si="8"/>
        <v>3</v>
      </c>
      <c r="AR30" s="73">
        <f t="shared" si="8"/>
        <v>6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1</v>
      </c>
      <c r="AW30" s="73">
        <f t="shared" si="8"/>
        <v>3</v>
      </c>
      <c r="AX30" s="73">
        <f t="shared" si="8"/>
        <v>4</v>
      </c>
      <c r="AY30" s="73">
        <f t="shared" si="8"/>
        <v>3</v>
      </c>
      <c r="AZ30" s="73">
        <f t="shared" si="8"/>
        <v>4</v>
      </c>
      <c r="BA30" s="73">
        <f t="shared" si="8"/>
        <v>2</v>
      </c>
      <c r="BB30" s="73">
        <f t="shared" si="8"/>
        <v>0</v>
      </c>
      <c r="BC30" s="73">
        <f t="shared" si="8"/>
        <v>2</v>
      </c>
      <c r="BD30" s="73">
        <f t="shared" si="8"/>
        <v>6</v>
      </c>
      <c r="BE30" s="73">
        <f t="shared" si="8"/>
        <v>3</v>
      </c>
      <c r="BF30" s="73">
        <f t="shared" si="8"/>
        <v>3</v>
      </c>
      <c r="BG30" s="73">
        <f t="shared" si="8"/>
        <v>5</v>
      </c>
      <c r="BH30" s="73">
        <f t="shared" si="8"/>
        <v>5</v>
      </c>
      <c r="BI30" s="73">
        <f t="shared" si="8"/>
        <v>1</v>
      </c>
      <c r="BJ30" s="73">
        <f t="shared" si="8"/>
        <v>5</v>
      </c>
      <c r="BK30" s="73">
        <f t="shared" si="8"/>
        <v>5</v>
      </c>
      <c r="BL30" s="73">
        <f t="shared" si="8"/>
        <v>4</v>
      </c>
      <c r="BM30" s="73">
        <f t="shared" si="8"/>
        <v>3</v>
      </c>
      <c r="BN30" s="73">
        <f t="shared" si="8"/>
        <v>4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2.5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3.5</v>
      </c>
      <c r="N31" s="71">
        <f t="shared" ca="1" si="9"/>
        <v>3.5</v>
      </c>
      <c r="O31" s="71">
        <f t="shared" ca="1" si="9"/>
        <v>4.5</v>
      </c>
      <c r="P31" s="71">
        <f t="shared" ca="1" si="9"/>
        <v>3.5</v>
      </c>
      <c r="Q31" s="71">
        <f t="shared" ca="1" si="9"/>
        <v>2.5</v>
      </c>
      <c r="R31" s="71">
        <f t="shared" ca="1" si="9"/>
        <v>5.5</v>
      </c>
      <c r="S31" s="71">
        <f t="shared" ca="1" si="9"/>
        <v>2.5</v>
      </c>
      <c r="T31" s="71">
        <f t="shared" ca="1" si="9"/>
        <v>3.5</v>
      </c>
      <c r="U31" s="71">
        <f t="shared" ca="1" si="9"/>
        <v>1.5</v>
      </c>
      <c r="V31" s="71">
        <f t="shared" ca="1" si="9"/>
        <v>4.5</v>
      </c>
      <c r="W31" s="71">
        <f t="shared" ca="1" si="9"/>
        <v>2.5</v>
      </c>
      <c r="X31" s="71">
        <f t="shared" ca="1" si="9"/>
        <v>3.5</v>
      </c>
      <c r="Y31" s="71">
        <f t="shared" ca="1" si="9"/>
        <v>3.5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4.5</v>
      </c>
      <c r="AC31" s="71">
        <f t="shared" ca="1" si="9"/>
        <v>3.5</v>
      </c>
      <c r="AD31" s="71">
        <f t="shared" ca="1" si="9"/>
        <v>5.5</v>
      </c>
      <c r="AE31" s="71">
        <f t="shared" ca="1" si="9"/>
        <v>3.5</v>
      </c>
      <c r="AF31" s="71">
        <f t="shared" ca="1" si="9"/>
        <v>3.5</v>
      </c>
      <c r="AG31" s="71">
        <f t="shared" ca="1" si="9"/>
        <v>2.5</v>
      </c>
      <c r="AH31" s="71">
        <f t="shared" ca="1" si="9"/>
        <v>1.5</v>
      </c>
      <c r="AI31" s="71">
        <f t="shared" ca="1" si="9"/>
        <v>4.5</v>
      </c>
      <c r="AJ31" s="71">
        <f t="shared" ca="1" si="9"/>
        <v>3.5</v>
      </c>
      <c r="AK31" s="71">
        <f t="shared" ca="1" si="9"/>
        <v>10</v>
      </c>
      <c r="AL31" s="71">
        <f t="shared" ca="1" si="9"/>
        <v>2.5</v>
      </c>
      <c r="AM31" s="71">
        <f t="shared" ca="1" si="9"/>
        <v>1.5</v>
      </c>
      <c r="AN31" s="71">
        <f t="shared" ca="1" si="9"/>
        <v>1.5</v>
      </c>
      <c r="AO31" s="71">
        <f t="shared" ca="1" si="9"/>
        <v>6.5</v>
      </c>
      <c r="AP31" s="71">
        <f t="shared" ca="1" si="9"/>
        <v>10</v>
      </c>
      <c r="AQ31" s="71">
        <f t="shared" ca="1" si="9"/>
        <v>3.5</v>
      </c>
      <c r="AR31" s="71">
        <f t="shared" ca="1" si="9"/>
        <v>3.5</v>
      </c>
      <c r="AS31" s="71">
        <f t="shared" ca="1" si="9"/>
        <v>2.5</v>
      </c>
      <c r="AT31" s="71">
        <f t="shared" ca="1" si="9"/>
        <v>3.5</v>
      </c>
      <c r="AU31" s="71">
        <f t="shared" ca="1" si="9"/>
        <v>2.5</v>
      </c>
      <c r="AV31" s="71">
        <f t="shared" ca="1" si="9"/>
        <v>1.5</v>
      </c>
      <c r="AW31" s="71">
        <f t="shared" ca="1" si="9"/>
        <v>2.5</v>
      </c>
      <c r="AX31" s="71">
        <f t="shared" ca="1" si="9"/>
        <v>1.5</v>
      </c>
      <c r="AY31" s="71">
        <f t="shared" ca="1" si="9"/>
        <v>3.5</v>
      </c>
      <c r="AZ31" s="71">
        <f t="shared" ca="1" si="9"/>
        <v>1.5</v>
      </c>
      <c r="BA31" s="71">
        <f t="shared" ca="1" si="9"/>
        <v>3.5</v>
      </c>
      <c r="BB31" s="71">
        <f t="shared" ca="1" si="9"/>
        <v>2.5</v>
      </c>
      <c r="BC31" s="71">
        <f t="shared" ca="1" si="9"/>
        <v>4.5</v>
      </c>
      <c r="BD31" s="71">
        <f t="shared" ca="1" si="9"/>
        <v>7.5</v>
      </c>
      <c r="BE31" s="71">
        <f t="shared" ca="1" si="9"/>
        <v>2.5</v>
      </c>
      <c r="BF31" s="71">
        <f t="shared" ca="1" si="9"/>
        <v>3.5</v>
      </c>
      <c r="BG31" s="71">
        <f t="shared" ca="1" si="9"/>
        <v>2.5</v>
      </c>
      <c r="BH31" s="71">
        <f t="shared" ca="1" si="9"/>
        <v>3.5</v>
      </c>
      <c r="BI31" s="71">
        <f t="shared" ca="1" si="9"/>
        <v>1.5</v>
      </c>
      <c r="BJ31" s="71">
        <f t="shared" ca="1" si="9"/>
        <v>2.5</v>
      </c>
      <c r="BK31" s="71">
        <f t="shared" ca="1" si="9"/>
        <v>4.5</v>
      </c>
      <c r="BL31" s="71">
        <f t="shared" ca="1" si="9"/>
        <v>3.5</v>
      </c>
      <c r="BM31" s="71">
        <f t="shared" ca="1" si="9"/>
        <v>1.5</v>
      </c>
      <c r="BN31" s="71">
        <f t="shared" ca="1" si="9"/>
        <v>4.5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N35" si="11">COUNTA(AP3:AP22)</f>
        <v>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  <c r="BN35" s="35">
        <f t="shared" si="11"/>
        <v>10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N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ca="1" si="13"/>
        <v>Mccoy, William M</v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ca="1" si="13"/>
        <v>Nance, Rob Remote</v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  <c r="BN39" s="3" t="str">
        <f t="shared" si="13"/>
        <v/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Mccoy, William M;Nance, Rob Remote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9" stopIfTrue="1" operator="equal">
      <formula>0</formula>
    </cfRule>
  </conditionalFormatting>
  <conditionalFormatting sqref="D26:J28 K28:BE28">
    <cfRule type="cellIs" dxfId="72" priority="10" stopIfTrue="1" operator="equal">
      <formula>1</formula>
    </cfRule>
  </conditionalFormatting>
  <conditionalFormatting sqref="H3:I3 F23 H5:I5 H7:I7 H9:I9 H11:I11 H13:I13 H15:I15 H17:I17 H19:I19 H21:I21">
    <cfRule type="cellIs" dxfId="71" priority="11" stopIfTrue="1" operator="equal">
      <formula>0</formula>
    </cfRule>
  </conditionalFormatting>
  <conditionalFormatting sqref="H4:I4 F24 H6:I6 H8:I8 H10:I10 H12:I12 H14:I14 H16:I16 H18:I18 H20:I20 H22:I22">
    <cfRule type="cellIs" dxfId="70" priority="12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5" stopIfTrue="1">
      <formula>AND(COUNTA(J4)=1,$E4=1,SUM($E3:$E4)=1)</formula>
    </cfRule>
    <cfRule type="expression" dxfId="6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17" stopIfTrue="1">
      <formula>AND(COUNTA(J3)=1,$E3=1,SUM($E3:$E4)=1)</formula>
    </cfRule>
    <cfRule type="expression" dxfId="64" priority="18" stopIfTrue="1">
      <formula>AND(COUNTA(J3)=1,$E3=0,SUM($E3:$E4)=1)</formula>
    </cfRule>
  </conditionalFormatting>
  <conditionalFormatting sqref="BF23:BN23">
    <cfRule type="cellIs" dxfId="63" priority="7" stopIfTrue="1" operator="equal">
      <formula>0</formula>
    </cfRule>
  </conditionalFormatting>
  <conditionalFormatting sqref="BF24:BN24">
    <cfRule type="cellIs" dxfId="62" priority="6" stopIfTrue="1" operator="equal">
      <formula>0</formula>
    </cfRule>
  </conditionalFormatting>
  <conditionalFormatting sqref="BF28:BN28">
    <cfRule type="cellIs" dxfId="61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9" stopIfTrue="1" operator="equal">
      <formula>0</formula>
    </cfRule>
  </conditionalFormatting>
  <conditionalFormatting sqref="D26:J28 K28:BE28">
    <cfRule type="cellIs" dxfId="54" priority="10" stopIfTrue="1" operator="equal">
      <formula>1</formula>
    </cfRule>
  </conditionalFormatting>
  <conditionalFormatting sqref="H3:I3 F23 H5:I5 H7:I7 H9:I9 H11:I11 H13:I13 H15:I15 H17:I17 H19:I19 H21:I21">
    <cfRule type="cellIs" dxfId="53" priority="11" stopIfTrue="1" operator="equal">
      <formula>0</formula>
    </cfRule>
  </conditionalFormatting>
  <conditionalFormatting sqref="H4:I4 F24 H6:I6 H8:I8 H10:I10 H12:I12 H14:I14 H16:I16 H18:I18 H20:I20 H22:I22">
    <cfRule type="cellIs" dxfId="52" priority="12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5" stopIfTrue="1">
      <formula>AND(COUNTA(J4)=1,$E4=1,SUM($E3:$E4)=1)</formula>
    </cfRule>
    <cfRule type="expression" dxfId="4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17" stopIfTrue="1">
      <formula>AND(COUNTA(J3)=1,$E3=1,SUM($E3:$E4)=1)</formula>
    </cfRule>
    <cfRule type="expression" dxfId="46" priority="18" stopIfTrue="1">
      <formula>AND(COUNTA(J3)=1,$E3=0,SUM($E3:$E4)=1)</formula>
    </cfRule>
  </conditionalFormatting>
  <conditionalFormatting sqref="BF23:BN23">
    <cfRule type="cellIs" dxfId="45" priority="7" stopIfTrue="1" operator="equal">
      <formula>0</formula>
    </cfRule>
  </conditionalFormatting>
  <conditionalFormatting sqref="BF24:BN24">
    <cfRule type="cellIs" dxfId="44" priority="6" stopIfTrue="1" operator="equal">
      <formula>0</formula>
    </cfRule>
  </conditionalFormatting>
  <conditionalFormatting sqref="BF28:BN28">
    <cfRule type="cellIs" dxfId="43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568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8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9" stopIfTrue="1" operator="equal">
      <formula>0</formula>
    </cfRule>
  </conditionalFormatting>
  <conditionalFormatting sqref="D26:J28 K28:BE28">
    <cfRule type="cellIs" dxfId="36" priority="10" stopIfTrue="1" operator="equal">
      <formula>1</formula>
    </cfRule>
  </conditionalFormatting>
  <conditionalFormatting sqref="H3:I3 F23 H5:I5 H7:I7 H9:I9 H11:I11 H13:I13 H15:I15 H17:I17 H19:I19 H21:I21">
    <cfRule type="cellIs" dxfId="35" priority="11" stopIfTrue="1" operator="equal">
      <formula>0</formula>
    </cfRule>
  </conditionalFormatting>
  <conditionalFormatting sqref="H4:I4 F24 H6:I6 H8:I8 H10:I10 H12:I12 H14:I14 H16:I16 H18:I18 H20:I20 H22:I22">
    <cfRule type="cellIs" dxfId="34" priority="12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5" stopIfTrue="1">
      <formula>AND(COUNTA(J4)=1,$E4=1,SUM($E3:$E4)=1)</formula>
    </cfRule>
    <cfRule type="expression" dxfId="3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17" stopIfTrue="1">
      <formula>AND(COUNTA(J3)=1,$E3=1,SUM($E3:$E4)=1)</formula>
    </cfRule>
    <cfRule type="expression" dxfId="28" priority="18" stopIfTrue="1">
      <formula>AND(COUNTA(J3)=1,$E3=0,SUM($E3:$E4)=1)</formula>
    </cfRule>
  </conditionalFormatting>
  <conditionalFormatting sqref="BF23:BN23">
    <cfRule type="cellIs" dxfId="27" priority="7" stopIfTrue="1" operator="equal">
      <formula>0</formula>
    </cfRule>
  </conditionalFormatting>
  <conditionalFormatting sqref="BF24:BN24">
    <cfRule type="cellIs" dxfId="26" priority="6" stopIfTrue="1" operator="equal">
      <formula>0</formula>
    </cfRule>
  </conditionalFormatting>
  <conditionalFormatting sqref="BF28:BN28">
    <cfRule type="cellIs" dxfId="25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670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0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N58"/>
  <sheetViews>
    <sheetView zoomScale="90" zoomScaleNormal="100" zoomScaleSheetLayoutView="100" workbookViewId="0">
      <selection activeCell="B3" sqref="B3"/>
    </sheetView>
  </sheetViews>
  <sheetFormatPr defaultRowHeight="12.75" x14ac:dyDescent="0.2"/>
  <cols>
    <col min="1" max="1" width="3.42578125" bestFit="1" customWidth="1"/>
    <col min="2" max="2" width="17.5703125" customWidth="1"/>
    <col min="3" max="3" width="6.7109375" bestFit="1" customWidth="1"/>
    <col min="4" max="4" width="4.28515625" bestFit="1" customWidth="1"/>
    <col min="5" max="5" width="3.42578125" bestFit="1" customWidth="1"/>
    <col min="6" max="6" width="4.140625" customWidth="1"/>
    <col min="7" max="66" width="3.28515625" customWidth="1"/>
  </cols>
  <sheetData>
    <row r="1" spans="1:66" x14ac:dyDescent="0.2">
      <c r="B1" s="6"/>
      <c r="I1">
        <f>COUNTA(K1:BW1)</f>
        <v>0</v>
      </c>
      <c r="J1">
        <f>SUM(K1:BW1)</f>
        <v>0</v>
      </c>
    </row>
    <row r="2" spans="1:66" ht="114" x14ac:dyDescent="0.2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N2" ca="1" si="0">INDIRECT(ADDRESS(ROW(),COLUMN(),,,"Chart"))</f>
        <v>Aaron, Chip</v>
      </c>
      <c r="L2" s="4" t="str">
        <f t="shared" ca="1" si="0"/>
        <v>Barker, Christopher A</v>
      </c>
      <c r="M2" s="4" t="str">
        <f t="shared" ca="1" si="0"/>
        <v>Beasley, Tate</v>
      </c>
      <c r="N2" s="4" t="str">
        <f t="shared" ca="1" si="0"/>
        <v>Beckwith, Greg</v>
      </c>
      <c r="O2" s="4" t="str">
        <f t="shared" ca="1" si="0"/>
        <v>Boykin, Jerome W</v>
      </c>
      <c r="P2" s="4" t="str">
        <f t="shared" ca="1" si="0"/>
        <v>Carroll, Adam</v>
      </c>
      <c r="Q2" s="4" t="str">
        <f t="shared" ca="1" si="0"/>
        <v>Daffron, Christopher</v>
      </c>
      <c r="R2" s="4" t="str">
        <f t="shared" ca="1" si="0"/>
        <v>Delehanty, Kyle T</v>
      </c>
      <c r="S2" s="4" t="str">
        <f t="shared" ca="1" si="0"/>
        <v>Desetto, Daniel</v>
      </c>
      <c r="T2" s="4" t="str">
        <f t="shared" ca="1" si="0"/>
        <v>Desetto, Thomas Remote</v>
      </c>
      <c r="U2" s="4" t="str">
        <f t="shared" ca="1" si="0"/>
        <v>Desing, Scott M</v>
      </c>
      <c r="V2" s="4" t="str">
        <f t="shared" ca="1" si="0"/>
        <v>Drebin, James</v>
      </c>
      <c r="W2" s="4" t="str">
        <f t="shared" ca="1" si="0"/>
        <v>Edwards, Christopher S</v>
      </c>
      <c r="X2" s="4" t="str">
        <f t="shared" ca="1" si="0"/>
        <v>Emptage, Nick</v>
      </c>
      <c r="Y2" s="4" t="str">
        <f t="shared" ca="1" si="0"/>
        <v>Ferguson, Scott Remote</v>
      </c>
      <c r="Z2" s="4" t="str">
        <f t="shared" ca="1" si="0"/>
        <v>Fonville, Chris</v>
      </c>
      <c r="AA2" s="4" t="str">
        <f t="shared" ca="1" si="0"/>
        <v>Gilmer, Justin T</v>
      </c>
      <c r="AB2" s="4" t="str">
        <f t="shared" ca="1" si="0"/>
        <v>Hendrick, Matt R</v>
      </c>
      <c r="AC2" s="4" t="str">
        <f t="shared" ca="1" si="0"/>
        <v>Holden, Brent Remote</v>
      </c>
      <c r="AD2" s="4" t="str">
        <f t="shared" ca="1" si="0"/>
        <v>Holley, Jeremy Remote</v>
      </c>
      <c r="AE2" s="4" t="str">
        <f t="shared" ca="1" si="0"/>
        <v>Inabinet, Gregory</v>
      </c>
      <c r="AF2" s="4" t="str">
        <f t="shared" ca="1" si="0"/>
        <v>James, Larry Remote</v>
      </c>
      <c r="AG2" s="4" t="str">
        <f t="shared" ca="1" si="0"/>
        <v>Johnson, Creed D</v>
      </c>
      <c r="AH2" s="4" t="str">
        <f t="shared" ca="1" si="0"/>
        <v>Locklear, Dave Remote</v>
      </c>
      <c r="AI2" s="4" t="str">
        <f t="shared" ca="1" si="0"/>
        <v>Marsh, Alexander Remote</v>
      </c>
      <c r="AJ2" s="4" t="str">
        <f t="shared" ca="1" si="0"/>
        <v>Martin, Douglas C</v>
      </c>
      <c r="AK2" s="4" t="str">
        <f t="shared" ca="1" si="0"/>
        <v>Mccoy, William M</v>
      </c>
      <c r="AL2" s="4" t="str">
        <f t="shared" ca="1" si="0"/>
        <v>Montanez, Johanna</v>
      </c>
      <c r="AM2" s="4" t="str">
        <f t="shared" ca="1" si="0"/>
        <v>Moore, Kevin B</v>
      </c>
      <c r="AN2" s="4" t="str">
        <f t="shared" ca="1" si="0"/>
        <v>Murdaugh, Stephen K</v>
      </c>
      <c r="AO2" s="4" t="str">
        <f t="shared" ca="1" si="0"/>
        <v>Murphy, William A</v>
      </c>
      <c r="AP2" s="4" t="str">
        <f t="shared" ca="1" si="0"/>
        <v>Nance, Rob Remote</v>
      </c>
      <c r="AQ2" s="4" t="str">
        <f t="shared" ca="1" si="0"/>
        <v>Neeley, Amber Remote</v>
      </c>
      <c r="AR2" s="4" t="str">
        <f t="shared" ca="1" si="0"/>
        <v>Neeley, Michael Remote</v>
      </c>
      <c r="AS2" s="4" t="str">
        <f t="shared" ca="1" si="0"/>
        <v>Neill, Charles H</v>
      </c>
      <c r="AT2" s="4" t="str">
        <f t="shared" ca="1" si="0"/>
        <v>Nguyen, Thai Remote</v>
      </c>
      <c r="AU2" s="4" t="str">
        <f t="shared" ca="1" si="0"/>
        <v>Paul, Wilmaison</v>
      </c>
      <c r="AV2" s="4" t="str">
        <f t="shared" ca="1" si="0"/>
        <v>Penrose, Tim Remote</v>
      </c>
      <c r="AW2" s="4" t="str">
        <f t="shared" ca="1" si="0"/>
        <v>Powell, LaMar</v>
      </c>
      <c r="AX2" s="4" t="str">
        <f t="shared" ca="1" si="0"/>
        <v>Reams, Byron L</v>
      </c>
      <c r="AY2" s="4" t="str">
        <f t="shared" ca="1" si="0"/>
        <v>Robbins, Dale</v>
      </c>
      <c r="AZ2" s="4" t="str">
        <f t="shared" ca="1" si="0"/>
        <v>Robbins, Thomas D</v>
      </c>
      <c r="BA2" s="4" t="str">
        <f t="shared" ca="1" si="0"/>
        <v>Ruffin, Chris</v>
      </c>
      <c r="BB2" s="4" t="str">
        <f t="shared" ca="1" si="0"/>
        <v>Sams, David</v>
      </c>
      <c r="BC2" s="4" t="str">
        <f t="shared" ca="1" si="0"/>
        <v>Sapp, Carl G</v>
      </c>
      <c r="BD2" s="4" t="str">
        <f t="shared" ca="1" si="0"/>
        <v>Staub, Kevin</v>
      </c>
      <c r="BE2" s="4" t="str">
        <f t="shared" ca="1" si="0"/>
        <v>Staub, Ryan</v>
      </c>
      <c r="BF2" s="4" t="str">
        <f t="shared" ca="1" si="0"/>
        <v>Steel, Van Remote</v>
      </c>
      <c r="BG2" s="4" t="str">
        <f t="shared" ca="1" si="0"/>
        <v>Stonecypher, David</v>
      </c>
      <c r="BH2" s="4" t="str">
        <f t="shared" ca="1" si="0"/>
        <v>Straw, Adam D</v>
      </c>
      <c r="BI2" s="4" t="str">
        <f t="shared" ca="1" si="0"/>
        <v>Warren, Jason</v>
      </c>
      <c r="BJ2" s="4" t="str">
        <f t="shared" ca="1" si="0"/>
        <v>Warren, Todd Remote</v>
      </c>
      <c r="BK2" s="4" t="str">
        <f t="shared" ca="1" si="0"/>
        <v>Wells, Seth Remote</v>
      </c>
      <c r="BL2" s="4" t="str">
        <f t="shared" ca="1" si="0"/>
        <v>White, Jarred</v>
      </c>
      <c r="BM2" s="4" t="str">
        <f t="shared" ca="1" si="0"/>
        <v>Winburn, Steve A</v>
      </c>
      <c r="BN2" s="4" t="str">
        <f t="shared" ca="1" si="0"/>
        <v>Young, Kenneth</v>
      </c>
    </row>
    <row r="3" spans="1:66" x14ac:dyDescent="0.2">
      <c r="A3" s="59">
        <v>1</v>
      </c>
      <c r="B3" s="67"/>
      <c r="C3" s="65"/>
      <c r="D3" s="64"/>
      <c r="E3" s="64" t="str">
        <f>IF(ISBLANK($D3),"0",IF(($D4-$D3)&lt;($C4-$C3),1,0))</f>
        <v>0</v>
      </c>
      <c r="F3" s="64">
        <f ca="1">COUNTA(INDIRECT("RC11:RC"&amp;11+playercnt-1,FALSE))</f>
        <v>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3" s="96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  <c r="BN3" s="69"/>
    </row>
    <row r="4" spans="1:66" x14ac:dyDescent="0.2">
      <c r="A4" s="61" t="s">
        <v>3</v>
      </c>
      <c r="B4" s="68"/>
      <c r="C4" s="66"/>
      <c r="D4" s="64"/>
      <c r="E4" s="64" t="str">
        <f>IF(ISBLANK($D4),"0",IF(($D4-$D3)&gt;($C4-$C3),1,0))</f>
        <v>0</v>
      </c>
      <c r="F4" s="64">
        <f t="shared" ref="F4:F22" ca="1" si="1">COUNTA(INDIRECT("RC11:RC"&amp;11+playercnt-1,FALSE))</f>
        <v>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  <c r="BN4" s="70"/>
    </row>
    <row r="5" spans="1:66" x14ac:dyDescent="0.2">
      <c r="A5" s="59">
        <v>2</v>
      </c>
      <c r="B5" s="67"/>
      <c r="C5" s="65"/>
      <c r="D5" s="64"/>
      <c r="E5" s="64" t="str">
        <f>IF(ISBLANK($D5),"0",IF(($D6-$D5)&lt;($C6-$C5),1,0))</f>
        <v>0</v>
      </c>
      <c r="F5" s="64">
        <f t="shared" ca="1" si="1"/>
        <v>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</row>
    <row r="6" spans="1:66" x14ac:dyDescent="0.2">
      <c r="A6" s="61" t="s">
        <v>3</v>
      </c>
      <c r="B6" s="68"/>
      <c r="C6" s="66"/>
      <c r="D6" s="64"/>
      <c r="E6" s="64" t="str">
        <f>IF(ISBLANK($D6),"0",IF(($D6-$D5)&gt;($C6-$C5),1,0))</f>
        <v>0</v>
      </c>
      <c r="F6" s="64">
        <f t="shared" ca="1" si="1"/>
        <v>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  <c r="BN6" s="70"/>
    </row>
    <row r="7" spans="1:66" x14ac:dyDescent="0.2">
      <c r="A7" s="59">
        <v>3</v>
      </c>
      <c r="B7" s="67"/>
      <c r="C7" s="65"/>
      <c r="D7" s="64"/>
      <c r="E7" s="64" t="str">
        <f>IF(ISBLANK($D7),"0",IF(($D8-$D7)&lt;($C8-$C7),1,0))</f>
        <v>0</v>
      </c>
      <c r="F7" s="64">
        <f t="shared" ca="1" si="1"/>
        <v>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7" s="96"/>
      <c r="K7" s="69"/>
      <c r="L7" s="69"/>
      <c r="M7" s="69"/>
      <c r="N7" s="69"/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  <c r="BN7" s="69"/>
    </row>
    <row r="8" spans="1:66" x14ac:dyDescent="0.2">
      <c r="A8" s="61" t="s">
        <v>3</v>
      </c>
      <c r="B8" s="68"/>
      <c r="C8" s="66"/>
      <c r="D8" s="64"/>
      <c r="E8" s="64" t="str">
        <f>IF(ISBLANK($D8),"0",IF(($D8-$D7)&gt;($C8-$C7),1,0))</f>
        <v>0</v>
      </c>
      <c r="F8" s="64">
        <f t="shared" ca="1" si="1"/>
        <v>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8" s="70"/>
      <c r="K8" s="70"/>
      <c r="L8" s="70"/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  <c r="BN8" s="70"/>
    </row>
    <row r="9" spans="1:66" x14ac:dyDescent="0.2">
      <c r="A9" s="59">
        <v>4</v>
      </c>
      <c r="B9" s="108"/>
      <c r="C9" s="65"/>
      <c r="D9" s="81"/>
      <c r="E9" s="64" t="str">
        <f>IF(ISBLANK($D9),"0",IF(($D10-$D9)&lt;($C10-$C9),1,0))</f>
        <v>0</v>
      </c>
      <c r="F9" s="64">
        <f t="shared" ca="1" si="1"/>
        <v>0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/>
      <c r="L9" s="69"/>
      <c r="M9" s="69"/>
      <c r="N9" s="69"/>
      <c r="O9" s="69"/>
      <c r="P9" s="69"/>
      <c r="Q9" s="69"/>
      <c r="R9" s="96"/>
      <c r="S9" s="96"/>
      <c r="T9" s="96"/>
      <c r="U9" s="96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  <c r="BN9" s="69"/>
    </row>
    <row r="10" spans="1:66" x14ac:dyDescent="0.2">
      <c r="A10" s="61" t="s">
        <v>3</v>
      </c>
      <c r="B10" s="68"/>
      <c r="C10" s="66"/>
      <c r="D10" s="64"/>
      <c r="E10" s="64" t="str">
        <f>IF(ISBLANK($D10),"0",IF(($D10-$D9)&gt;($C10-$C9),1,0))</f>
        <v>0</v>
      </c>
      <c r="F10" s="64">
        <f t="shared" ca="1" si="1"/>
        <v>0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/>
      <c r="M10" s="70"/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  <c r="BN10" s="70"/>
    </row>
    <row r="11" spans="1:66" x14ac:dyDescent="0.2">
      <c r="A11" s="59">
        <v>5</v>
      </c>
      <c r="B11" s="67"/>
      <c r="C11" s="65"/>
      <c r="D11" s="64"/>
      <c r="E11" s="64" t="str">
        <f>IF(ISBLANK($D11),"0",IF(($D12-$D11)&lt;($C12-$C11),1,0))</f>
        <v>0</v>
      </c>
      <c r="F11" s="64">
        <f t="shared" ca="1" si="1"/>
        <v>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/>
      <c r="M11" s="69"/>
      <c r="N11" s="69"/>
      <c r="O11" s="69"/>
      <c r="P11" s="69"/>
      <c r="Q11" s="69"/>
      <c r="R11" s="96"/>
      <c r="S11" s="96"/>
      <c r="T11" s="96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  <c r="BN11" s="69"/>
    </row>
    <row r="12" spans="1:66" x14ac:dyDescent="0.2">
      <c r="A12" s="61" t="s">
        <v>3</v>
      </c>
      <c r="B12" s="68"/>
      <c r="C12" s="66"/>
      <c r="D12" s="64"/>
      <c r="E12" s="64" t="str">
        <f>IF(ISBLANK($D12),"0",IF(($D12-$D11)&gt;($C12-$C11),1,0))</f>
        <v>0</v>
      </c>
      <c r="F12" s="64">
        <f t="shared" ca="1" si="1"/>
        <v>0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/>
      <c r="N12" s="70"/>
      <c r="O12" s="70"/>
      <c r="P12" s="70"/>
      <c r="Q12" s="70"/>
      <c r="R12" s="97"/>
      <c r="S12" s="97"/>
      <c r="T12" s="97"/>
      <c r="U12" s="97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  <c r="BN12" s="70"/>
    </row>
    <row r="13" spans="1:66" x14ac:dyDescent="0.2">
      <c r="A13" s="59">
        <v>6</v>
      </c>
      <c r="B13" s="67"/>
      <c r="C13" s="65"/>
      <c r="D13" s="64"/>
      <c r="E13" s="64" t="str">
        <f>IF(ISBLANK($D13),"0",IF(($D14-$D13)&lt;($C14-$C13),1,0))</f>
        <v>0</v>
      </c>
      <c r="F13" s="64">
        <f t="shared" ca="1" si="1"/>
        <v>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3" s="96"/>
      <c r="K13" s="69"/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  <c r="BN13" s="69"/>
    </row>
    <row r="14" spans="1:66" x14ac:dyDescent="0.2">
      <c r="A14" s="61" t="s">
        <v>3</v>
      </c>
      <c r="B14" s="68"/>
      <c r="C14" s="66"/>
      <c r="D14" s="64"/>
      <c r="E14" s="64" t="str">
        <f>IF(ISBLANK($D14),"0",IF(($D14-$D13)&gt;($C14-$C13),1,0))</f>
        <v>0</v>
      </c>
      <c r="F14" s="64">
        <f t="shared" ca="1" si="1"/>
        <v>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  <c r="BN14" s="70"/>
    </row>
    <row r="15" spans="1:66" x14ac:dyDescent="0.2">
      <c r="A15" s="59">
        <v>7</v>
      </c>
      <c r="B15" s="67"/>
      <c r="C15" s="65"/>
      <c r="D15" s="64"/>
      <c r="E15" s="64" t="str">
        <f>IF(ISBLANK($D15),"0",IF(($D16-$D15)&lt;($C16-$C15),1,0))</f>
        <v>0</v>
      </c>
      <c r="F15" s="64">
        <f t="shared" ca="1" si="1"/>
        <v>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  <c r="BN15" s="69"/>
    </row>
    <row r="16" spans="1:66" x14ac:dyDescent="0.2">
      <c r="A16" s="61" t="s">
        <v>3</v>
      </c>
      <c r="B16" s="68"/>
      <c r="C16" s="66"/>
      <c r="D16" s="64"/>
      <c r="E16" s="64" t="str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  <c r="BN16" s="70"/>
    </row>
    <row r="17" spans="1:66" x14ac:dyDescent="0.2">
      <c r="A17" s="59">
        <v>8</v>
      </c>
      <c r="B17" s="67"/>
      <c r="C17" s="65"/>
      <c r="D17" s="64"/>
      <c r="E17" s="64" t="str">
        <f>IF(ISBLANK($D17),"0",IF(($D18-$D17)&lt;($C18-$C17),1,0))</f>
        <v>0</v>
      </c>
      <c r="F17" s="64">
        <f t="shared" ca="1" si="1"/>
        <v>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BN17" s="69"/>
    </row>
    <row r="18" spans="1:66" x14ac:dyDescent="0.2">
      <c r="A18" s="61" t="s">
        <v>3</v>
      </c>
      <c r="B18" s="68"/>
      <c r="C18" s="66"/>
      <c r="D18" s="64"/>
      <c r="E18" s="64" t="str">
        <f>IF(ISBLANK($D18),"0",IF(($D18-$D17)&gt;($C18-$C17),1,0))</f>
        <v>0</v>
      </c>
      <c r="F18" s="64">
        <f t="shared" ca="1" si="1"/>
        <v>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  <c r="BN18" s="70"/>
    </row>
    <row r="19" spans="1:66" x14ac:dyDescent="0.2">
      <c r="A19" s="59">
        <v>9</v>
      </c>
      <c r="B19" s="67"/>
      <c r="C19" s="65"/>
      <c r="D19" s="64"/>
      <c r="E19" s="64" t="str">
        <f>IF(ISBLANK($D19),"0",IF(($D20-$D19)&lt;($C20-$C19),1,0))</f>
        <v>0</v>
      </c>
      <c r="F19" s="64">
        <f t="shared" ca="1" si="1"/>
        <v>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BN19" s="69"/>
    </row>
    <row r="20" spans="1:66" x14ac:dyDescent="0.2">
      <c r="A20" s="61" t="s">
        <v>3</v>
      </c>
      <c r="B20" s="68"/>
      <c r="C20" s="66"/>
      <c r="D20" s="64"/>
      <c r="E20" s="64" t="str">
        <f>IF(ISBLANK($D20),"0",IF(($D20-$D19)&gt;($C20-$C19),1,0))</f>
        <v>0</v>
      </c>
      <c r="F20" s="64">
        <f t="shared" ca="1" si="1"/>
        <v>0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  <c r="BN20" s="70"/>
    </row>
    <row r="21" spans="1:66" x14ac:dyDescent="0.2">
      <c r="A21" s="59">
        <v>10</v>
      </c>
      <c r="B21" s="67"/>
      <c r="C21" s="65"/>
      <c r="D21" s="64"/>
      <c r="E21" s="64" t="str">
        <f>IF(ISBLANK($D21),"0",IF(($D22-$D21)&lt;($C22-$C21),1,0))</f>
        <v>0</v>
      </c>
      <c r="F21" s="64">
        <f t="shared" ca="1" si="1"/>
        <v>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96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  <c r="BN21" s="69"/>
    </row>
    <row r="22" spans="1:66" x14ac:dyDescent="0.2">
      <c r="A22" s="61" t="s">
        <v>3</v>
      </c>
      <c r="B22" s="68"/>
      <c r="C22" s="66"/>
      <c r="D22" s="64"/>
      <c r="E22" s="64" t="str">
        <f>IF(ISBLANK($D22),"0",IF(($D22-$D21)&gt;($C22-$C21),1,0))</f>
        <v>0</v>
      </c>
      <c r="F22" s="64">
        <f t="shared" ca="1" si="1"/>
        <v>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  <c r="BN22" s="70"/>
    </row>
    <row r="23" spans="1:66" x14ac:dyDescent="0.2">
      <c r="A23" s="59"/>
      <c r="B23" s="67" t="str">
        <f>B21&amp; " - score"</f>
        <v xml:space="preserve">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0</v>
      </c>
      <c r="G23" s="59"/>
      <c r="H23" s="59"/>
      <c r="I23" s="60"/>
      <c r="J23" s="78"/>
      <c r="K23" s="78"/>
      <c r="L23" s="78"/>
      <c r="M23" s="78"/>
      <c r="N23" s="80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  <c r="BN23" s="78"/>
    </row>
    <row r="24" spans="1:66" x14ac:dyDescent="0.2">
      <c r="A24" s="61"/>
      <c r="B24" s="68" t="str">
        <f>B22&amp; " - score"</f>
        <v xml:space="preserve">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0</v>
      </c>
      <c r="G24" s="61"/>
      <c r="H24" s="62"/>
      <c r="I24" s="63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</row>
    <row r="25" spans="1:66" x14ac:dyDescent="0.2">
      <c r="A25" s="58"/>
      <c r="B25" s="5" t="s">
        <v>4</v>
      </c>
      <c r="C25" s="5"/>
      <c r="D25" s="36"/>
      <c r="E25" s="36"/>
      <c r="F25" s="36"/>
      <c r="G25" s="36">
        <f>SUMPRODUCT(G3:G22,$E3:$E22)</f>
        <v>0</v>
      </c>
      <c r="H25" s="36">
        <f>SUMPRODUCT(H3:H22,$E3:$E22)</f>
        <v>0</v>
      </c>
      <c r="I25" s="36">
        <f ca="1">SUMPRODUCT(I3:I22,$E3:$E22)</f>
        <v>0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0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0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0</v>
      </c>
      <c r="N25" s="36">
        <f t="shared" ref="N25:BN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0</v>
      </c>
      <c r="O25" s="36">
        <f t="shared" si="3"/>
        <v>0</v>
      </c>
      <c r="P25" s="36">
        <f t="shared" si="3"/>
        <v>0</v>
      </c>
      <c r="Q25" s="36">
        <f t="shared" si="3"/>
        <v>0</v>
      </c>
      <c r="R25" s="36">
        <f t="shared" si="3"/>
        <v>0</v>
      </c>
      <c r="S25" s="36">
        <f t="shared" si="3"/>
        <v>0</v>
      </c>
      <c r="T25" s="36">
        <f t="shared" si="3"/>
        <v>0</v>
      </c>
      <c r="U25" s="36">
        <f t="shared" si="3"/>
        <v>0</v>
      </c>
      <c r="V25" s="36">
        <f t="shared" si="3"/>
        <v>0</v>
      </c>
      <c r="W25" s="36">
        <f t="shared" si="3"/>
        <v>0</v>
      </c>
      <c r="X25" s="36">
        <f t="shared" si="3"/>
        <v>0</v>
      </c>
      <c r="Y25" s="36">
        <f t="shared" si="3"/>
        <v>0</v>
      </c>
      <c r="Z25" s="36">
        <f t="shared" si="3"/>
        <v>0</v>
      </c>
      <c r="AA25" s="36">
        <f t="shared" si="3"/>
        <v>0</v>
      </c>
      <c r="AB25" s="36">
        <f t="shared" si="3"/>
        <v>0</v>
      </c>
      <c r="AC25" s="36">
        <f t="shared" si="3"/>
        <v>0</v>
      </c>
      <c r="AD25" s="36">
        <f t="shared" si="3"/>
        <v>0</v>
      </c>
      <c r="AE25" s="36">
        <f t="shared" si="3"/>
        <v>0</v>
      </c>
      <c r="AF25" s="36">
        <f t="shared" si="3"/>
        <v>0</v>
      </c>
      <c r="AG25" s="36">
        <f t="shared" si="3"/>
        <v>0</v>
      </c>
      <c r="AH25" s="36">
        <f t="shared" si="3"/>
        <v>0</v>
      </c>
      <c r="AI25" s="36">
        <f t="shared" si="3"/>
        <v>0</v>
      </c>
      <c r="AJ25" s="36">
        <f t="shared" si="3"/>
        <v>0</v>
      </c>
      <c r="AK25" s="36">
        <f t="shared" si="3"/>
        <v>0</v>
      </c>
      <c r="AL25" s="36">
        <f t="shared" si="3"/>
        <v>0</v>
      </c>
      <c r="AM25" s="36">
        <f t="shared" si="3"/>
        <v>0</v>
      </c>
      <c r="AN25" s="36">
        <f t="shared" si="3"/>
        <v>0</v>
      </c>
      <c r="AO25" s="36">
        <f t="shared" si="3"/>
        <v>0</v>
      </c>
      <c r="AP25" s="36">
        <f t="shared" si="3"/>
        <v>0</v>
      </c>
      <c r="AQ25" s="36">
        <f t="shared" si="3"/>
        <v>0</v>
      </c>
      <c r="AR25" s="36">
        <f t="shared" si="3"/>
        <v>0</v>
      </c>
      <c r="AS25" s="36">
        <f t="shared" si="3"/>
        <v>0</v>
      </c>
      <c r="AT25" s="36">
        <f t="shared" si="3"/>
        <v>0</v>
      </c>
      <c r="AU25" s="36">
        <f t="shared" si="3"/>
        <v>0</v>
      </c>
      <c r="AV25" s="36">
        <f t="shared" si="3"/>
        <v>0</v>
      </c>
      <c r="AW25" s="36">
        <f t="shared" si="3"/>
        <v>0</v>
      </c>
      <c r="AX25" s="36">
        <f t="shared" si="3"/>
        <v>0</v>
      </c>
      <c r="AY25" s="36">
        <f t="shared" si="3"/>
        <v>0</v>
      </c>
      <c r="AZ25" s="36">
        <f t="shared" si="3"/>
        <v>0</v>
      </c>
      <c r="BA25" s="36">
        <f t="shared" si="3"/>
        <v>0</v>
      </c>
      <c r="BB25" s="36">
        <f t="shared" si="3"/>
        <v>0</v>
      </c>
      <c r="BC25" s="36">
        <f t="shared" si="3"/>
        <v>0</v>
      </c>
      <c r="BD25" s="36">
        <f t="shared" si="3"/>
        <v>0</v>
      </c>
      <c r="BE25" s="36">
        <f t="shared" si="3"/>
        <v>0</v>
      </c>
      <c r="BF25" s="36">
        <f t="shared" si="3"/>
        <v>0</v>
      </c>
      <c r="BG25" s="36">
        <f t="shared" si="3"/>
        <v>0</v>
      </c>
      <c r="BH25" s="36">
        <f t="shared" si="3"/>
        <v>0</v>
      </c>
      <c r="BI25" s="36">
        <f t="shared" si="3"/>
        <v>0</v>
      </c>
      <c r="BJ25" s="36">
        <f t="shared" si="3"/>
        <v>0</v>
      </c>
      <c r="BK25" s="36">
        <f t="shared" si="3"/>
        <v>0</v>
      </c>
      <c r="BL25" s="36">
        <f t="shared" si="3"/>
        <v>0</v>
      </c>
      <c r="BM25" s="36">
        <f t="shared" si="3"/>
        <v>0</v>
      </c>
      <c r="BN25" s="36">
        <f t="shared" si="3"/>
        <v>0</v>
      </c>
    </row>
    <row r="26" spans="1:66" x14ac:dyDescent="0.2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 t="shared" ref="K26:BN26" si="4">ABS((K23-K24)-($D21-$D22))</f>
        <v>0</v>
      </c>
      <c r="L26" s="71">
        <f t="shared" si="4"/>
        <v>0</v>
      </c>
      <c r="M26" s="71">
        <f t="shared" si="4"/>
        <v>0</v>
      </c>
      <c r="N26" s="71">
        <f t="shared" si="4"/>
        <v>0</v>
      </c>
      <c r="O26" s="71">
        <f t="shared" si="4"/>
        <v>0</v>
      </c>
      <c r="P26" s="71">
        <f t="shared" si="4"/>
        <v>0</v>
      </c>
      <c r="Q26" s="71">
        <f t="shared" si="4"/>
        <v>0</v>
      </c>
      <c r="R26" s="71">
        <f t="shared" si="4"/>
        <v>0</v>
      </c>
      <c r="S26" s="71">
        <f t="shared" si="4"/>
        <v>0</v>
      </c>
      <c r="T26" s="71">
        <f t="shared" si="4"/>
        <v>0</v>
      </c>
      <c r="U26" s="71">
        <f t="shared" si="4"/>
        <v>0</v>
      </c>
      <c r="V26" s="71">
        <f t="shared" si="4"/>
        <v>0</v>
      </c>
      <c r="W26" s="71">
        <f t="shared" si="4"/>
        <v>0</v>
      </c>
      <c r="X26" s="71">
        <f t="shared" si="4"/>
        <v>0</v>
      </c>
      <c r="Y26" s="71">
        <f t="shared" si="4"/>
        <v>0</v>
      </c>
      <c r="Z26" s="71">
        <f t="shared" si="4"/>
        <v>0</v>
      </c>
      <c r="AA26" s="71">
        <f t="shared" si="4"/>
        <v>0</v>
      </c>
      <c r="AB26" s="71">
        <f t="shared" si="4"/>
        <v>0</v>
      </c>
      <c r="AC26" s="71">
        <f t="shared" si="4"/>
        <v>0</v>
      </c>
      <c r="AD26" s="71">
        <f t="shared" si="4"/>
        <v>0</v>
      </c>
      <c r="AE26" s="71">
        <f t="shared" si="4"/>
        <v>0</v>
      </c>
      <c r="AF26" s="71">
        <f t="shared" si="4"/>
        <v>0</v>
      </c>
      <c r="AG26" s="71">
        <f t="shared" si="4"/>
        <v>0</v>
      </c>
      <c r="AH26" s="71">
        <f t="shared" si="4"/>
        <v>0</v>
      </c>
      <c r="AI26" s="71">
        <f t="shared" si="4"/>
        <v>0</v>
      </c>
      <c r="AJ26" s="71">
        <f t="shared" si="4"/>
        <v>0</v>
      </c>
      <c r="AK26" s="71">
        <f t="shared" si="4"/>
        <v>0</v>
      </c>
      <c r="AL26" s="71">
        <f t="shared" si="4"/>
        <v>0</v>
      </c>
      <c r="AM26" s="71">
        <f t="shared" si="4"/>
        <v>0</v>
      </c>
      <c r="AN26" s="71">
        <f t="shared" si="4"/>
        <v>0</v>
      </c>
      <c r="AO26" s="71">
        <f t="shared" si="4"/>
        <v>0</v>
      </c>
      <c r="AP26" s="71">
        <f t="shared" si="4"/>
        <v>0</v>
      </c>
      <c r="AQ26" s="71">
        <f t="shared" si="4"/>
        <v>0</v>
      </c>
      <c r="AR26" s="71">
        <f t="shared" si="4"/>
        <v>0</v>
      </c>
      <c r="AS26" s="71">
        <f t="shared" si="4"/>
        <v>0</v>
      </c>
      <c r="AT26" s="71">
        <f t="shared" si="4"/>
        <v>0</v>
      </c>
      <c r="AU26" s="71">
        <f t="shared" si="4"/>
        <v>0</v>
      </c>
      <c r="AV26" s="71">
        <f t="shared" si="4"/>
        <v>0</v>
      </c>
      <c r="AW26" s="71">
        <f t="shared" si="4"/>
        <v>0</v>
      </c>
      <c r="AX26" s="71">
        <f t="shared" si="4"/>
        <v>0</v>
      </c>
      <c r="AY26" s="71">
        <f t="shared" si="4"/>
        <v>0</v>
      </c>
      <c r="AZ26" s="71">
        <f t="shared" si="4"/>
        <v>0</v>
      </c>
      <c r="BA26" s="71">
        <f t="shared" si="4"/>
        <v>0</v>
      </c>
      <c r="BB26" s="71">
        <f t="shared" si="4"/>
        <v>0</v>
      </c>
      <c r="BC26" s="71">
        <f t="shared" si="4"/>
        <v>0</v>
      </c>
      <c r="BD26" s="71">
        <f t="shared" si="4"/>
        <v>0</v>
      </c>
      <c r="BE26" s="71">
        <f t="shared" si="4"/>
        <v>0</v>
      </c>
      <c r="BF26" s="71">
        <f t="shared" si="4"/>
        <v>0</v>
      </c>
      <c r="BG26" s="71">
        <f t="shared" si="4"/>
        <v>0</v>
      </c>
      <c r="BH26" s="71">
        <f t="shared" si="4"/>
        <v>0</v>
      </c>
      <c r="BI26" s="71">
        <f t="shared" si="4"/>
        <v>0</v>
      </c>
      <c r="BJ26" s="71">
        <f t="shared" si="4"/>
        <v>0</v>
      </c>
      <c r="BK26" s="71">
        <f t="shared" si="4"/>
        <v>0</v>
      </c>
      <c r="BL26" s="71">
        <f t="shared" si="4"/>
        <v>0</v>
      </c>
      <c r="BM26" s="71">
        <f t="shared" si="4"/>
        <v>0</v>
      </c>
      <c r="BN26" s="71">
        <f t="shared" si="4"/>
        <v>0</v>
      </c>
    </row>
    <row r="27" spans="1:66" x14ac:dyDescent="0.2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 t="shared" ref="K27:BN27" si="5">ABS(($D21+$D22)-(K23+K24))</f>
        <v>0</v>
      </c>
      <c r="L27" s="71">
        <f t="shared" si="5"/>
        <v>0</v>
      </c>
      <c r="M27" s="71">
        <f t="shared" si="5"/>
        <v>0</v>
      </c>
      <c r="N27" s="71">
        <f t="shared" si="5"/>
        <v>0</v>
      </c>
      <c r="O27" s="71">
        <f t="shared" si="5"/>
        <v>0</v>
      </c>
      <c r="P27" s="71">
        <f t="shared" si="5"/>
        <v>0</v>
      </c>
      <c r="Q27" s="71">
        <f t="shared" si="5"/>
        <v>0</v>
      </c>
      <c r="R27" s="71">
        <f t="shared" si="5"/>
        <v>0</v>
      </c>
      <c r="S27" s="71">
        <f t="shared" si="5"/>
        <v>0</v>
      </c>
      <c r="T27" s="71">
        <f t="shared" si="5"/>
        <v>0</v>
      </c>
      <c r="U27" s="71">
        <f t="shared" si="5"/>
        <v>0</v>
      </c>
      <c r="V27" s="71">
        <f t="shared" si="5"/>
        <v>0</v>
      </c>
      <c r="W27" s="71">
        <f t="shared" si="5"/>
        <v>0</v>
      </c>
      <c r="X27" s="71">
        <f t="shared" si="5"/>
        <v>0</v>
      </c>
      <c r="Y27" s="71">
        <f t="shared" si="5"/>
        <v>0</v>
      </c>
      <c r="Z27" s="71">
        <f t="shared" si="5"/>
        <v>0</v>
      </c>
      <c r="AA27" s="71">
        <f t="shared" si="5"/>
        <v>0</v>
      </c>
      <c r="AB27" s="71">
        <f t="shared" si="5"/>
        <v>0</v>
      </c>
      <c r="AC27" s="71">
        <f t="shared" si="5"/>
        <v>0</v>
      </c>
      <c r="AD27" s="71">
        <f t="shared" si="5"/>
        <v>0</v>
      </c>
      <c r="AE27" s="71">
        <f t="shared" si="5"/>
        <v>0</v>
      </c>
      <c r="AF27" s="71">
        <f t="shared" si="5"/>
        <v>0</v>
      </c>
      <c r="AG27" s="71">
        <f t="shared" si="5"/>
        <v>0</v>
      </c>
      <c r="AH27" s="71">
        <f t="shared" si="5"/>
        <v>0</v>
      </c>
      <c r="AI27" s="71">
        <f t="shared" si="5"/>
        <v>0</v>
      </c>
      <c r="AJ27" s="71">
        <f t="shared" si="5"/>
        <v>0</v>
      </c>
      <c r="AK27" s="71">
        <f t="shared" si="5"/>
        <v>0</v>
      </c>
      <c r="AL27" s="71">
        <f t="shared" si="5"/>
        <v>0</v>
      </c>
      <c r="AM27" s="71">
        <f t="shared" si="5"/>
        <v>0</v>
      </c>
      <c r="AN27" s="71">
        <f t="shared" si="5"/>
        <v>0</v>
      </c>
      <c r="AO27" s="71">
        <f t="shared" si="5"/>
        <v>0</v>
      </c>
      <c r="AP27" s="71">
        <f t="shared" si="5"/>
        <v>0</v>
      </c>
      <c r="AQ27" s="71">
        <f t="shared" si="5"/>
        <v>0</v>
      </c>
      <c r="AR27" s="71">
        <f t="shared" si="5"/>
        <v>0</v>
      </c>
      <c r="AS27" s="71">
        <f t="shared" si="5"/>
        <v>0</v>
      </c>
      <c r="AT27" s="71">
        <f t="shared" si="5"/>
        <v>0</v>
      </c>
      <c r="AU27" s="71">
        <f t="shared" si="5"/>
        <v>0</v>
      </c>
      <c r="AV27" s="71">
        <f t="shared" si="5"/>
        <v>0</v>
      </c>
      <c r="AW27" s="71">
        <f t="shared" si="5"/>
        <v>0</v>
      </c>
      <c r="AX27" s="71">
        <f t="shared" si="5"/>
        <v>0</v>
      </c>
      <c r="AY27" s="71">
        <f t="shared" si="5"/>
        <v>0</v>
      </c>
      <c r="AZ27" s="71">
        <f t="shared" si="5"/>
        <v>0</v>
      </c>
      <c r="BA27" s="71">
        <f t="shared" si="5"/>
        <v>0</v>
      </c>
      <c r="BB27" s="71">
        <f t="shared" si="5"/>
        <v>0</v>
      </c>
      <c r="BC27" s="71">
        <f t="shared" si="5"/>
        <v>0</v>
      </c>
      <c r="BD27" s="71">
        <f t="shared" si="5"/>
        <v>0</v>
      </c>
      <c r="BE27" s="71">
        <f t="shared" si="5"/>
        <v>0</v>
      </c>
      <c r="BF27" s="71">
        <f t="shared" si="5"/>
        <v>0</v>
      </c>
      <c r="BG27" s="71">
        <f t="shared" si="5"/>
        <v>0</v>
      </c>
      <c r="BH27" s="71">
        <f t="shared" si="5"/>
        <v>0</v>
      </c>
      <c r="BI27" s="71">
        <f t="shared" si="5"/>
        <v>0</v>
      </c>
      <c r="BJ27" s="71">
        <f t="shared" si="5"/>
        <v>0</v>
      </c>
      <c r="BK27" s="71">
        <f t="shared" si="5"/>
        <v>0</v>
      </c>
      <c r="BL27" s="71">
        <f t="shared" si="5"/>
        <v>0</v>
      </c>
      <c r="BM27" s="71">
        <f t="shared" si="5"/>
        <v>0</v>
      </c>
      <c r="BN27" s="71">
        <f t="shared" si="5"/>
        <v>0</v>
      </c>
    </row>
    <row r="28" spans="1:66" x14ac:dyDescent="0.2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t="shared" ref="K28:BN28" ca="1" si="6">IF(COUNTA($D$3:$D$22)&lt;2,"",IF(K36=MAX(INDIRECT("R36C11:R36C"&amp;11+playercnt-1,FALSE)),1,""))</f>
        <v/>
      </c>
      <c r="L28" s="72" t="str">
        <f t="shared" ca="1" si="6"/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  <c r="BN28" s="72" t="str">
        <f t="shared" ca="1" si="6"/>
        <v/>
      </c>
    </row>
    <row r="29" spans="1:66" x14ac:dyDescent="0.2">
      <c r="A29" s="35"/>
      <c r="B29" s="35" t="s">
        <v>8</v>
      </c>
      <c r="C29" s="37">
        <f ca="1">IF(COUNTA(D3:D22)=0,0,SUM(INDIRECT("R[-4]C11:R[-4]C"&amp;11+playercnt-1,FALSE))/(COUNTA(D3:D22)*playercnt/2))</f>
        <v>0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0</v>
      </c>
      <c r="L29" s="71">
        <f t="shared" ref="L29:BN29" si="7">COUNTA(L$3,L$5,L$7,L$9,L$11,L$13,L$15,L$17,L$19,L$21)</f>
        <v>0</v>
      </c>
      <c r="M29" s="71">
        <f t="shared" si="7"/>
        <v>0</v>
      </c>
      <c r="N29" s="71">
        <f t="shared" si="7"/>
        <v>0</v>
      </c>
      <c r="O29" s="71">
        <f t="shared" si="7"/>
        <v>0</v>
      </c>
      <c r="P29" s="71">
        <f t="shared" si="7"/>
        <v>0</v>
      </c>
      <c r="Q29" s="71">
        <f t="shared" si="7"/>
        <v>0</v>
      </c>
      <c r="R29" s="71">
        <f t="shared" si="7"/>
        <v>0</v>
      </c>
      <c r="S29" s="71">
        <f t="shared" si="7"/>
        <v>0</v>
      </c>
      <c r="T29" s="71">
        <f t="shared" si="7"/>
        <v>0</v>
      </c>
      <c r="U29" s="71">
        <f t="shared" si="7"/>
        <v>0</v>
      </c>
      <c r="V29" s="71">
        <f t="shared" si="7"/>
        <v>0</v>
      </c>
      <c r="W29" s="71">
        <f t="shared" si="7"/>
        <v>0</v>
      </c>
      <c r="X29" s="71">
        <f t="shared" si="7"/>
        <v>0</v>
      </c>
      <c r="Y29" s="71">
        <f t="shared" si="7"/>
        <v>0</v>
      </c>
      <c r="Z29" s="71">
        <f t="shared" si="7"/>
        <v>0</v>
      </c>
      <c r="AA29" s="71">
        <f t="shared" si="7"/>
        <v>0</v>
      </c>
      <c r="AB29" s="71">
        <f t="shared" si="7"/>
        <v>0</v>
      </c>
      <c r="AC29" s="71">
        <f t="shared" si="7"/>
        <v>0</v>
      </c>
      <c r="AD29" s="71">
        <f t="shared" si="7"/>
        <v>0</v>
      </c>
      <c r="AE29" s="71">
        <f t="shared" si="7"/>
        <v>0</v>
      </c>
      <c r="AF29" s="71">
        <f t="shared" si="7"/>
        <v>0</v>
      </c>
      <c r="AG29" s="71">
        <f t="shared" si="7"/>
        <v>0</v>
      </c>
      <c r="AH29" s="71">
        <f t="shared" si="7"/>
        <v>0</v>
      </c>
      <c r="AI29" s="71">
        <f t="shared" si="7"/>
        <v>0</v>
      </c>
      <c r="AJ29" s="71">
        <f t="shared" si="7"/>
        <v>0</v>
      </c>
      <c r="AK29" s="71">
        <f t="shared" si="7"/>
        <v>0</v>
      </c>
      <c r="AL29" s="71">
        <f t="shared" si="7"/>
        <v>0</v>
      </c>
      <c r="AM29" s="71">
        <f t="shared" si="7"/>
        <v>0</v>
      </c>
      <c r="AN29" s="71">
        <f t="shared" si="7"/>
        <v>0</v>
      </c>
      <c r="AO29" s="71">
        <f t="shared" si="7"/>
        <v>0</v>
      </c>
      <c r="AP29" s="71">
        <f t="shared" si="7"/>
        <v>0</v>
      </c>
      <c r="AQ29" s="71">
        <f t="shared" si="7"/>
        <v>0</v>
      </c>
      <c r="AR29" s="71">
        <f t="shared" si="7"/>
        <v>0</v>
      </c>
      <c r="AS29" s="71">
        <f t="shared" si="7"/>
        <v>0</v>
      </c>
      <c r="AT29" s="71">
        <f t="shared" si="7"/>
        <v>0</v>
      </c>
      <c r="AU29" s="71">
        <f t="shared" si="7"/>
        <v>0</v>
      </c>
      <c r="AV29" s="71">
        <f t="shared" si="7"/>
        <v>0</v>
      </c>
      <c r="AW29" s="71">
        <f t="shared" si="7"/>
        <v>0</v>
      </c>
      <c r="AX29" s="71">
        <f t="shared" si="7"/>
        <v>0</v>
      </c>
      <c r="AY29" s="71">
        <f t="shared" si="7"/>
        <v>0</v>
      </c>
      <c r="AZ29" s="71">
        <f t="shared" si="7"/>
        <v>0</v>
      </c>
      <c r="BA29" s="71">
        <f t="shared" si="7"/>
        <v>0</v>
      </c>
      <c r="BB29" s="71">
        <f t="shared" si="7"/>
        <v>0</v>
      </c>
      <c r="BC29" s="71">
        <f t="shared" si="7"/>
        <v>0</v>
      </c>
      <c r="BD29" s="71">
        <f t="shared" si="7"/>
        <v>0</v>
      </c>
      <c r="BE29" s="71">
        <f t="shared" si="7"/>
        <v>0</v>
      </c>
      <c r="BF29" s="71">
        <f t="shared" si="7"/>
        <v>0</v>
      </c>
      <c r="BG29" s="71">
        <f t="shared" si="7"/>
        <v>0</v>
      </c>
      <c r="BH29" s="71">
        <f t="shared" si="7"/>
        <v>0</v>
      </c>
      <c r="BI29" s="71">
        <f t="shared" si="7"/>
        <v>0</v>
      </c>
      <c r="BJ29" s="71">
        <f t="shared" si="7"/>
        <v>0</v>
      </c>
      <c r="BK29" s="71">
        <f t="shared" si="7"/>
        <v>0</v>
      </c>
      <c r="BL29" s="71">
        <f t="shared" si="7"/>
        <v>0</v>
      </c>
      <c r="BM29" s="71">
        <f t="shared" si="7"/>
        <v>0</v>
      </c>
      <c r="BN29" s="71">
        <f t="shared" si="7"/>
        <v>0</v>
      </c>
    </row>
    <row r="30" spans="1:66" x14ac:dyDescent="0.2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10</v>
      </c>
      <c r="L30" s="73">
        <f t="shared" ref="L30:BN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10</v>
      </c>
      <c r="M30" s="73">
        <f t="shared" si="8"/>
        <v>10</v>
      </c>
      <c r="N30" s="73">
        <f t="shared" si="8"/>
        <v>10</v>
      </c>
      <c r="O30" s="73">
        <f t="shared" si="8"/>
        <v>10</v>
      </c>
      <c r="P30" s="73">
        <f t="shared" si="8"/>
        <v>10</v>
      </c>
      <c r="Q30" s="73">
        <f t="shared" si="8"/>
        <v>10</v>
      </c>
      <c r="R30" s="73">
        <f t="shared" si="8"/>
        <v>10</v>
      </c>
      <c r="S30" s="73">
        <f t="shared" si="8"/>
        <v>10</v>
      </c>
      <c r="T30" s="73">
        <f t="shared" si="8"/>
        <v>10</v>
      </c>
      <c r="U30" s="73">
        <f t="shared" si="8"/>
        <v>10</v>
      </c>
      <c r="V30" s="73">
        <f t="shared" si="8"/>
        <v>10</v>
      </c>
      <c r="W30" s="73">
        <f t="shared" si="8"/>
        <v>10</v>
      </c>
      <c r="X30" s="73">
        <f t="shared" si="8"/>
        <v>10</v>
      </c>
      <c r="Y30" s="73">
        <f t="shared" si="8"/>
        <v>10</v>
      </c>
      <c r="Z30" s="73">
        <f t="shared" si="8"/>
        <v>10</v>
      </c>
      <c r="AA30" s="73">
        <f t="shared" si="8"/>
        <v>10</v>
      </c>
      <c r="AB30" s="73">
        <f t="shared" si="8"/>
        <v>10</v>
      </c>
      <c r="AC30" s="73">
        <f t="shared" si="8"/>
        <v>10</v>
      </c>
      <c r="AD30" s="73">
        <f t="shared" si="8"/>
        <v>10</v>
      </c>
      <c r="AE30" s="73">
        <f t="shared" si="8"/>
        <v>10</v>
      </c>
      <c r="AF30" s="73">
        <f t="shared" si="8"/>
        <v>10</v>
      </c>
      <c r="AG30" s="73">
        <f t="shared" si="8"/>
        <v>10</v>
      </c>
      <c r="AH30" s="73">
        <f t="shared" si="8"/>
        <v>10</v>
      </c>
      <c r="AI30" s="73">
        <f t="shared" si="8"/>
        <v>10</v>
      </c>
      <c r="AJ30" s="73">
        <f t="shared" si="8"/>
        <v>10</v>
      </c>
      <c r="AK30" s="73">
        <f t="shared" si="8"/>
        <v>10</v>
      </c>
      <c r="AL30" s="73">
        <f t="shared" si="8"/>
        <v>10</v>
      </c>
      <c r="AM30" s="73">
        <f t="shared" si="8"/>
        <v>10</v>
      </c>
      <c r="AN30" s="73">
        <f t="shared" si="8"/>
        <v>10</v>
      </c>
      <c r="AO30" s="73">
        <f t="shared" si="8"/>
        <v>10</v>
      </c>
      <c r="AP30" s="73">
        <f t="shared" si="8"/>
        <v>10</v>
      </c>
      <c r="AQ30" s="73">
        <f t="shared" si="8"/>
        <v>10</v>
      </c>
      <c r="AR30" s="73">
        <f t="shared" si="8"/>
        <v>10</v>
      </c>
      <c r="AS30" s="73">
        <f t="shared" si="8"/>
        <v>10</v>
      </c>
      <c r="AT30" s="73">
        <f t="shared" si="8"/>
        <v>10</v>
      </c>
      <c r="AU30" s="73">
        <f t="shared" si="8"/>
        <v>10</v>
      </c>
      <c r="AV30" s="73">
        <f t="shared" si="8"/>
        <v>10</v>
      </c>
      <c r="AW30" s="73">
        <f t="shared" si="8"/>
        <v>10</v>
      </c>
      <c r="AX30" s="73">
        <f t="shared" si="8"/>
        <v>10</v>
      </c>
      <c r="AY30" s="73">
        <f t="shared" si="8"/>
        <v>10</v>
      </c>
      <c r="AZ30" s="73">
        <f t="shared" si="8"/>
        <v>10</v>
      </c>
      <c r="BA30" s="73">
        <f t="shared" si="8"/>
        <v>10</v>
      </c>
      <c r="BB30" s="73">
        <f t="shared" si="8"/>
        <v>10</v>
      </c>
      <c r="BC30" s="73">
        <f t="shared" si="8"/>
        <v>10</v>
      </c>
      <c r="BD30" s="73">
        <f t="shared" si="8"/>
        <v>10</v>
      </c>
      <c r="BE30" s="73">
        <f t="shared" si="8"/>
        <v>10</v>
      </c>
      <c r="BF30" s="73">
        <f t="shared" si="8"/>
        <v>10</v>
      </c>
      <c r="BG30" s="73">
        <f t="shared" si="8"/>
        <v>10</v>
      </c>
      <c r="BH30" s="73">
        <f t="shared" si="8"/>
        <v>10</v>
      </c>
      <c r="BI30" s="73">
        <f t="shared" si="8"/>
        <v>10</v>
      </c>
      <c r="BJ30" s="73">
        <f t="shared" si="8"/>
        <v>10</v>
      </c>
      <c r="BK30" s="73">
        <f t="shared" si="8"/>
        <v>10</v>
      </c>
      <c r="BL30" s="73">
        <f t="shared" si="8"/>
        <v>10</v>
      </c>
      <c r="BM30" s="73">
        <f t="shared" si="8"/>
        <v>10</v>
      </c>
      <c r="BN30" s="73">
        <f t="shared" si="8"/>
        <v>10</v>
      </c>
    </row>
    <row r="31" spans="1:66" x14ac:dyDescent="0.2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10</v>
      </c>
      <c r="L31" s="71">
        <f t="shared" ref="L31:BN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10</v>
      </c>
      <c r="M31" s="71">
        <f t="shared" ca="1" si="9"/>
        <v>10</v>
      </c>
      <c r="N31" s="71">
        <f t="shared" ca="1" si="9"/>
        <v>10</v>
      </c>
      <c r="O31" s="71">
        <f t="shared" ca="1" si="9"/>
        <v>10</v>
      </c>
      <c r="P31" s="71">
        <f t="shared" ca="1" si="9"/>
        <v>10</v>
      </c>
      <c r="Q31" s="71">
        <f t="shared" ca="1" si="9"/>
        <v>10</v>
      </c>
      <c r="R31" s="71">
        <f t="shared" ca="1" si="9"/>
        <v>10</v>
      </c>
      <c r="S31" s="71">
        <f t="shared" ca="1" si="9"/>
        <v>10</v>
      </c>
      <c r="T31" s="71">
        <f t="shared" ca="1" si="9"/>
        <v>10</v>
      </c>
      <c r="U31" s="71">
        <f t="shared" ca="1" si="9"/>
        <v>10</v>
      </c>
      <c r="V31" s="71">
        <f t="shared" ca="1" si="9"/>
        <v>10</v>
      </c>
      <c r="W31" s="71">
        <f t="shared" ca="1" si="9"/>
        <v>10</v>
      </c>
      <c r="X31" s="71">
        <f t="shared" ca="1" si="9"/>
        <v>10</v>
      </c>
      <c r="Y31" s="71">
        <f t="shared" ca="1" si="9"/>
        <v>10</v>
      </c>
      <c r="Z31" s="71">
        <f t="shared" ca="1" si="9"/>
        <v>10</v>
      </c>
      <c r="AA31" s="71">
        <f t="shared" ca="1" si="9"/>
        <v>10</v>
      </c>
      <c r="AB31" s="71">
        <f t="shared" ca="1" si="9"/>
        <v>10</v>
      </c>
      <c r="AC31" s="71">
        <f t="shared" ca="1" si="9"/>
        <v>10</v>
      </c>
      <c r="AD31" s="71">
        <f t="shared" ca="1" si="9"/>
        <v>10</v>
      </c>
      <c r="AE31" s="71">
        <f t="shared" ca="1" si="9"/>
        <v>10</v>
      </c>
      <c r="AF31" s="71">
        <f t="shared" ca="1" si="9"/>
        <v>10</v>
      </c>
      <c r="AG31" s="71">
        <f t="shared" ca="1" si="9"/>
        <v>10</v>
      </c>
      <c r="AH31" s="71">
        <f t="shared" ca="1" si="9"/>
        <v>10</v>
      </c>
      <c r="AI31" s="71">
        <f t="shared" ca="1" si="9"/>
        <v>10</v>
      </c>
      <c r="AJ31" s="71">
        <f t="shared" ca="1" si="9"/>
        <v>10</v>
      </c>
      <c r="AK31" s="71">
        <f t="shared" ca="1" si="9"/>
        <v>10</v>
      </c>
      <c r="AL31" s="71">
        <f t="shared" ca="1" si="9"/>
        <v>10</v>
      </c>
      <c r="AM31" s="71">
        <f t="shared" ca="1" si="9"/>
        <v>10</v>
      </c>
      <c r="AN31" s="71">
        <f t="shared" ca="1" si="9"/>
        <v>10</v>
      </c>
      <c r="AO31" s="71">
        <f t="shared" ca="1" si="9"/>
        <v>10</v>
      </c>
      <c r="AP31" s="71">
        <f t="shared" ca="1" si="9"/>
        <v>10</v>
      </c>
      <c r="AQ31" s="71">
        <f t="shared" ca="1" si="9"/>
        <v>10</v>
      </c>
      <c r="AR31" s="71">
        <f t="shared" ca="1" si="9"/>
        <v>10</v>
      </c>
      <c r="AS31" s="71">
        <f t="shared" ca="1" si="9"/>
        <v>10</v>
      </c>
      <c r="AT31" s="71">
        <f t="shared" ca="1" si="9"/>
        <v>10</v>
      </c>
      <c r="AU31" s="71">
        <f t="shared" ca="1" si="9"/>
        <v>10</v>
      </c>
      <c r="AV31" s="71">
        <f t="shared" ca="1" si="9"/>
        <v>10</v>
      </c>
      <c r="AW31" s="71">
        <f t="shared" ca="1" si="9"/>
        <v>10</v>
      </c>
      <c r="AX31" s="71">
        <f t="shared" ca="1" si="9"/>
        <v>10</v>
      </c>
      <c r="AY31" s="71">
        <f t="shared" ca="1" si="9"/>
        <v>10</v>
      </c>
      <c r="AZ31" s="71">
        <f t="shared" ca="1" si="9"/>
        <v>10</v>
      </c>
      <c r="BA31" s="71">
        <f t="shared" ca="1" si="9"/>
        <v>10</v>
      </c>
      <c r="BB31" s="71">
        <f t="shared" ca="1" si="9"/>
        <v>10</v>
      </c>
      <c r="BC31" s="71">
        <f t="shared" ca="1" si="9"/>
        <v>10</v>
      </c>
      <c r="BD31" s="71">
        <f t="shared" ca="1" si="9"/>
        <v>10</v>
      </c>
      <c r="BE31" s="71">
        <f t="shared" ca="1" si="9"/>
        <v>10</v>
      </c>
      <c r="BF31" s="71">
        <f t="shared" ca="1" si="9"/>
        <v>10</v>
      </c>
      <c r="BG31" s="71">
        <f t="shared" ca="1" si="9"/>
        <v>10</v>
      </c>
      <c r="BH31" s="71">
        <f t="shared" ca="1" si="9"/>
        <v>10</v>
      </c>
      <c r="BI31" s="71">
        <f t="shared" ca="1" si="9"/>
        <v>10</v>
      </c>
      <c r="BJ31" s="71">
        <f t="shared" ca="1" si="9"/>
        <v>10</v>
      </c>
      <c r="BK31" s="71">
        <f t="shared" ca="1" si="9"/>
        <v>10</v>
      </c>
      <c r="BL31" s="71">
        <f t="shared" ca="1" si="9"/>
        <v>10</v>
      </c>
      <c r="BM31" s="71">
        <f t="shared" ca="1" si="9"/>
        <v>10</v>
      </c>
      <c r="BN31" s="71">
        <f t="shared" ca="1" si="9"/>
        <v>10</v>
      </c>
    </row>
    <row r="32" spans="1:66" x14ac:dyDescent="0.2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</row>
    <row r="33" spans="1:66" x14ac:dyDescent="0.2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</row>
    <row r="34" spans="1:66" x14ac:dyDescent="0.2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</row>
    <row r="35" spans="1:66" x14ac:dyDescent="0.2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0</v>
      </c>
      <c r="L35" s="35">
        <f t="shared" si="10"/>
        <v>0</v>
      </c>
      <c r="M35" s="35">
        <f t="shared" si="10"/>
        <v>0</v>
      </c>
      <c r="N35" s="35">
        <f t="shared" si="10"/>
        <v>0</v>
      </c>
      <c r="O35" s="35">
        <f t="shared" si="10"/>
        <v>0</v>
      </c>
      <c r="P35" s="35">
        <f t="shared" si="10"/>
        <v>0</v>
      </c>
      <c r="Q35" s="35">
        <f t="shared" si="10"/>
        <v>0</v>
      </c>
      <c r="R35" s="35">
        <f t="shared" si="10"/>
        <v>0</v>
      </c>
      <c r="S35" s="35">
        <f t="shared" si="10"/>
        <v>0</v>
      </c>
      <c r="T35" s="35">
        <f t="shared" si="10"/>
        <v>0</v>
      </c>
      <c r="U35" s="35">
        <f t="shared" si="10"/>
        <v>0</v>
      </c>
      <c r="V35" s="35">
        <f t="shared" si="10"/>
        <v>0</v>
      </c>
      <c r="W35" s="35">
        <f t="shared" si="10"/>
        <v>0</v>
      </c>
      <c r="X35" s="35">
        <f t="shared" si="10"/>
        <v>0</v>
      </c>
      <c r="Y35" s="35">
        <f t="shared" si="10"/>
        <v>0</v>
      </c>
      <c r="Z35" s="35">
        <f t="shared" si="10"/>
        <v>0</v>
      </c>
      <c r="AA35" s="35">
        <f t="shared" si="10"/>
        <v>0</v>
      </c>
      <c r="AB35" s="35">
        <f t="shared" si="10"/>
        <v>0</v>
      </c>
      <c r="AC35" s="35">
        <f t="shared" si="10"/>
        <v>0</v>
      </c>
      <c r="AD35" s="35">
        <f t="shared" si="10"/>
        <v>0</v>
      </c>
      <c r="AE35" s="35">
        <f t="shared" si="10"/>
        <v>0</v>
      </c>
      <c r="AF35" s="35">
        <f t="shared" si="10"/>
        <v>0</v>
      </c>
      <c r="AG35" s="35">
        <f t="shared" si="10"/>
        <v>0</v>
      </c>
      <c r="AH35" s="35">
        <f t="shared" si="10"/>
        <v>0</v>
      </c>
      <c r="AI35" s="35">
        <f t="shared" si="10"/>
        <v>0</v>
      </c>
      <c r="AJ35" s="35">
        <f t="shared" si="10"/>
        <v>0</v>
      </c>
      <c r="AK35" s="35">
        <f t="shared" si="10"/>
        <v>0</v>
      </c>
      <c r="AL35" s="35">
        <f>COUNTA(AL3:AL22)</f>
        <v>0</v>
      </c>
      <c r="AM35" s="35">
        <f>COUNTA(AM3:AM22)</f>
        <v>0</v>
      </c>
      <c r="AN35" s="35">
        <f>COUNTA(AN3:AN22)</f>
        <v>0</v>
      </c>
      <c r="AO35" s="35">
        <f>COUNTA(AO3:AO22)</f>
        <v>0</v>
      </c>
      <c r="AP35" s="35">
        <f t="shared" ref="AP35:BN35" si="11">COUNTA(AP3:AP22)</f>
        <v>0</v>
      </c>
      <c r="AQ35" s="35">
        <f t="shared" si="11"/>
        <v>0</v>
      </c>
      <c r="AR35" s="35">
        <f t="shared" si="11"/>
        <v>0</v>
      </c>
      <c r="AS35" s="35">
        <f t="shared" si="11"/>
        <v>0</v>
      </c>
      <c r="AT35" s="35">
        <f t="shared" si="11"/>
        <v>0</v>
      </c>
      <c r="AU35" s="35">
        <f t="shared" si="11"/>
        <v>0</v>
      </c>
      <c r="AV35" s="35">
        <f t="shared" si="11"/>
        <v>0</v>
      </c>
      <c r="AW35" s="35">
        <f t="shared" si="11"/>
        <v>0</v>
      </c>
      <c r="AX35" s="35">
        <f t="shared" si="11"/>
        <v>0</v>
      </c>
      <c r="AY35" s="35">
        <f t="shared" si="11"/>
        <v>0</v>
      </c>
      <c r="AZ35" s="35">
        <f t="shared" si="11"/>
        <v>0</v>
      </c>
      <c r="BA35" s="35">
        <f t="shared" si="11"/>
        <v>0</v>
      </c>
      <c r="BB35" s="35">
        <f t="shared" si="11"/>
        <v>0</v>
      </c>
      <c r="BC35" s="35">
        <f t="shared" si="11"/>
        <v>0</v>
      </c>
      <c r="BD35" s="35">
        <f t="shared" si="11"/>
        <v>0</v>
      </c>
      <c r="BE35" s="35">
        <f t="shared" si="11"/>
        <v>0</v>
      </c>
      <c r="BF35" s="35">
        <f t="shared" si="11"/>
        <v>0</v>
      </c>
      <c r="BG35" s="35">
        <f t="shared" si="11"/>
        <v>0</v>
      </c>
      <c r="BH35" s="35">
        <f t="shared" si="11"/>
        <v>0</v>
      </c>
      <c r="BI35" s="35">
        <f t="shared" si="11"/>
        <v>0</v>
      </c>
      <c r="BJ35" s="35">
        <f t="shared" si="11"/>
        <v>0</v>
      </c>
      <c r="BK35" s="35">
        <f t="shared" si="11"/>
        <v>0</v>
      </c>
      <c r="BL35" s="35">
        <f t="shared" si="11"/>
        <v>0</v>
      </c>
      <c r="BM35" s="35">
        <f t="shared" si="11"/>
        <v>0</v>
      </c>
      <c r="BN35" s="35">
        <f t="shared" si="11"/>
        <v>0</v>
      </c>
    </row>
    <row r="36" spans="1:66" x14ac:dyDescent="0.2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 t="shared" ref="K36:BN36" si="12">COUNTA(K23:K24)*((10000000*K25)+(1000000*(COUNTA(K21)*$E21+COUNTA(K22)*$E22))-(COUNTA($D$21:$D$22)*1000*K26)-(COUNTA($D$21:$D$22)*K27))</f>
        <v>0</v>
      </c>
      <c r="L36" s="32">
        <f t="shared" si="12"/>
        <v>0</v>
      </c>
      <c r="M36" s="32">
        <f t="shared" si="12"/>
        <v>0</v>
      </c>
      <c r="N36" s="32">
        <f t="shared" si="12"/>
        <v>0</v>
      </c>
      <c r="O36" s="32">
        <f t="shared" si="12"/>
        <v>0</v>
      </c>
      <c r="P36" s="32">
        <f t="shared" si="12"/>
        <v>0</v>
      </c>
      <c r="Q36" s="32">
        <f t="shared" si="12"/>
        <v>0</v>
      </c>
      <c r="R36" s="32">
        <f t="shared" si="12"/>
        <v>0</v>
      </c>
      <c r="S36" s="32">
        <f t="shared" si="12"/>
        <v>0</v>
      </c>
      <c r="T36" s="32">
        <f t="shared" si="12"/>
        <v>0</v>
      </c>
      <c r="U36" s="32">
        <f t="shared" si="12"/>
        <v>0</v>
      </c>
      <c r="V36" s="32">
        <f t="shared" si="12"/>
        <v>0</v>
      </c>
      <c r="W36" s="32">
        <f t="shared" si="12"/>
        <v>0</v>
      </c>
      <c r="X36" s="32">
        <f t="shared" si="12"/>
        <v>0</v>
      </c>
      <c r="Y36" s="32">
        <f t="shared" si="12"/>
        <v>0</v>
      </c>
      <c r="Z36" s="32">
        <f t="shared" si="12"/>
        <v>0</v>
      </c>
      <c r="AA36" s="32">
        <f t="shared" si="12"/>
        <v>0</v>
      </c>
      <c r="AB36" s="32">
        <f t="shared" si="12"/>
        <v>0</v>
      </c>
      <c r="AC36" s="32">
        <f t="shared" si="12"/>
        <v>0</v>
      </c>
      <c r="AD36" s="32">
        <f t="shared" si="12"/>
        <v>0</v>
      </c>
      <c r="AE36" s="32">
        <f t="shared" si="12"/>
        <v>0</v>
      </c>
      <c r="AF36" s="32">
        <f t="shared" si="12"/>
        <v>0</v>
      </c>
      <c r="AG36" s="32">
        <f t="shared" si="12"/>
        <v>0</v>
      </c>
      <c r="AH36" s="32">
        <f t="shared" si="12"/>
        <v>0</v>
      </c>
      <c r="AI36" s="32">
        <f t="shared" si="12"/>
        <v>0</v>
      </c>
      <c r="AJ36" s="32">
        <f t="shared" si="12"/>
        <v>0</v>
      </c>
      <c r="AK36" s="32">
        <f t="shared" si="12"/>
        <v>0</v>
      </c>
      <c r="AL36" s="32">
        <f t="shared" si="12"/>
        <v>0</v>
      </c>
      <c r="AM36" s="32">
        <f t="shared" si="12"/>
        <v>0</v>
      </c>
      <c r="AN36" s="32">
        <f t="shared" si="12"/>
        <v>0</v>
      </c>
      <c r="AO36" s="32">
        <f t="shared" si="12"/>
        <v>0</v>
      </c>
      <c r="AP36" s="32">
        <f t="shared" si="12"/>
        <v>0</v>
      </c>
      <c r="AQ36" s="32">
        <f t="shared" si="12"/>
        <v>0</v>
      </c>
      <c r="AR36" s="32">
        <f t="shared" si="12"/>
        <v>0</v>
      </c>
      <c r="AS36" s="32">
        <f t="shared" si="12"/>
        <v>0</v>
      </c>
      <c r="AT36" s="32">
        <f t="shared" si="12"/>
        <v>0</v>
      </c>
      <c r="AU36" s="32">
        <f t="shared" si="12"/>
        <v>0</v>
      </c>
      <c r="AV36" s="32">
        <f t="shared" si="12"/>
        <v>0</v>
      </c>
      <c r="AW36" s="32">
        <f t="shared" si="12"/>
        <v>0</v>
      </c>
      <c r="AX36" s="32">
        <f t="shared" si="12"/>
        <v>0</v>
      </c>
      <c r="AY36" s="32">
        <f t="shared" si="12"/>
        <v>0</v>
      </c>
      <c r="AZ36" s="32">
        <f t="shared" si="12"/>
        <v>0</v>
      </c>
      <c r="BA36" s="32">
        <f t="shared" si="12"/>
        <v>0</v>
      </c>
      <c r="BB36" s="32">
        <f t="shared" si="12"/>
        <v>0</v>
      </c>
      <c r="BC36" s="32">
        <f t="shared" si="12"/>
        <v>0</v>
      </c>
      <c r="BD36" s="32">
        <f t="shared" si="12"/>
        <v>0</v>
      </c>
      <c r="BE36" s="32">
        <f t="shared" si="12"/>
        <v>0</v>
      </c>
      <c r="BF36" s="32">
        <f t="shared" si="12"/>
        <v>0</v>
      </c>
      <c r="BG36" s="32">
        <f t="shared" si="12"/>
        <v>0</v>
      </c>
      <c r="BH36" s="32">
        <f t="shared" si="12"/>
        <v>0</v>
      </c>
      <c r="BI36" s="32">
        <f t="shared" si="12"/>
        <v>0</v>
      </c>
      <c r="BJ36" s="32">
        <f t="shared" si="12"/>
        <v>0</v>
      </c>
      <c r="BK36" s="32">
        <f t="shared" si="12"/>
        <v>0</v>
      </c>
      <c r="BL36" s="32">
        <f t="shared" si="12"/>
        <v>0</v>
      </c>
      <c r="BM36" s="32">
        <f t="shared" si="12"/>
        <v>0</v>
      </c>
      <c r="BN36" s="32">
        <f t="shared" si="12"/>
        <v>0</v>
      </c>
    </row>
    <row r="38" spans="1:66" x14ac:dyDescent="0.2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6" x14ac:dyDescent="0.2">
      <c r="B39" s="8" t="s">
        <v>127</v>
      </c>
      <c r="C39" s="3"/>
      <c r="D39" s="3"/>
      <c r="E39" s="3"/>
      <c r="F39" s="3"/>
      <c r="G39" s="3"/>
      <c r="H39" s="3"/>
      <c r="I39" s="3"/>
      <c r="J39" s="3"/>
      <c r="K39" s="3" t="str">
        <f ca="1">IF(K35&lt;&gt;10, K$2,"")</f>
        <v>Aaron, Chip</v>
      </c>
      <c r="L39" s="3" t="str">
        <f t="shared" ref="L39:BN39" ca="1" si="13">IF(L35&lt;&gt;10, L$2,"")</f>
        <v>Barker, Christopher A</v>
      </c>
      <c r="M39" s="3" t="str">
        <f t="shared" ca="1" si="13"/>
        <v>Beasley, Tate</v>
      </c>
      <c r="N39" s="3" t="str">
        <f t="shared" ca="1" si="13"/>
        <v>Beckwith, Greg</v>
      </c>
      <c r="O39" s="3" t="str">
        <f t="shared" ca="1" si="13"/>
        <v>Boykin, Jerome W</v>
      </c>
      <c r="P39" s="3" t="str">
        <f t="shared" ca="1" si="13"/>
        <v>Carroll, Adam</v>
      </c>
      <c r="Q39" s="3" t="str">
        <f t="shared" ca="1" si="13"/>
        <v>Daffron, Christopher</v>
      </c>
      <c r="R39" s="3" t="str">
        <f t="shared" ca="1" si="13"/>
        <v>Delehanty, Kyle T</v>
      </c>
      <c r="S39" s="3" t="str">
        <f t="shared" ca="1" si="13"/>
        <v>Desetto, Daniel</v>
      </c>
      <c r="T39" s="3" t="str">
        <f t="shared" ca="1" si="13"/>
        <v>Desetto, Thomas Remote</v>
      </c>
      <c r="U39" s="3" t="str">
        <f t="shared" ca="1" si="13"/>
        <v>Desing, Scott M</v>
      </c>
      <c r="V39" s="3" t="str">
        <f t="shared" ca="1" si="13"/>
        <v>Drebin, James</v>
      </c>
      <c r="W39" s="3" t="str">
        <f t="shared" ca="1" si="13"/>
        <v>Edwards, Christopher S</v>
      </c>
      <c r="X39" s="3" t="str">
        <f t="shared" ca="1" si="13"/>
        <v>Emptage, Nick</v>
      </c>
      <c r="Y39" s="3" t="str">
        <f t="shared" ca="1" si="13"/>
        <v>Ferguson, Scott Remote</v>
      </c>
      <c r="Z39" s="3" t="str">
        <f t="shared" ca="1" si="13"/>
        <v>Fonville, Chris</v>
      </c>
      <c r="AA39" s="3" t="str">
        <f t="shared" ca="1" si="13"/>
        <v>Gilmer, Justin T</v>
      </c>
      <c r="AB39" s="3" t="str">
        <f t="shared" ca="1" si="13"/>
        <v>Hendrick, Matt R</v>
      </c>
      <c r="AC39" s="3" t="str">
        <f t="shared" ca="1" si="13"/>
        <v>Holden, Brent Remote</v>
      </c>
      <c r="AD39" s="3" t="str">
        <f t="shared" ca="1" si="13"/>
        <v>Holley, Jeremy Remote</v>
      </c>
      <c r="AE39" s="3" t="str">
        <f t="shared" ca="1" si="13"/>
        <v>Inabinet, Gregory</v>
      </c>
      <c r="AF39" s="3" t="str">
        <f t="shared" ca="1" si="13"/>
        <v>James, Larry Remote</v>
      </c>
      <c r="AG39" s="3" t="str">
        <f t="shared" ca="1" si="13"/>
        <v>Johnson, Creed D</v>
      </c>
      <c r="AH39" s="3" t="str">
        <f t="shared" ca="1" si="13"/>
        <v>Locklear, Dave Remote</v>
      </c>
      <c r="AI39" s="3" t="str">
        <f t="shared" ca="1" si="13"/>
        <v>Marsh, Alexander Remote</v>
      </c>
      <c r="AJ39" s="3" t="str">
        <f t="shared" ca="1" si="13"/>
        <v>Martin, Douglas C</v>
      </c>
      <c r="AK39" s="3" t="str">
        <f t="shared" ca="1" si="13"/>
        <v>Mccoy, William M</v>
      </c>
      <c r="AL39" s="3" t="str">
        <f t="shared" ca="1" si="13"/>
        <v>Montanez, Johanna</v>
      </c>
      <c r="AM39" s="3" t="str">
        <f t="shared" ca="1" si="13"/>
        <v>Moore, Kevin B</v>
      </c>
      <c r="AN39" s="3" t="str">
        <f t="shared" ca="1" si="13"/>
        <v>Murdaugh, Stephen K</v>
      </c>
      <c r="AO39" s="3" t="str">
        <f t="shared" ca="1" si="13"/>
        <v>Murphy, William A</v>
      </c>
      <c r="AP39" s="3" t="str">
        <f t="shared" ca="1" si="13"/>
        <v>Nance, Rob Remote</v>
      </c>
      <c r="AQ39" s="3" t="str">
        <f t="shared" ca="1" si="13"/>
        <v>Neeley, Amber Remote</v>
      </c>
      <c r="AR39" s="3" t="str">
        <f t="shared" ca="1" si="13"/>
        <v>Neeley, Michael Remote</v>
      </c>
      <c r="AS39" s="3" t="str">
        <f t="shared" ca="1" si="13"/>
        <v>Neill, Charles H</v>
      </c>
      <c r="AT39" s="3" t="str">
        <f t="shared" ca="1" si="13"/>
        <v>Nguyen, Thai Remote</v>
      </c>
      <c r="AU39" s="3" t="str">
        <f t="shared" ca="1" si="13"/>
        <v>Paul, Wilmaison</v>
      </c>
      <c r="AV39" s="3" t="str">
        <f t="shared" ca="1" si="13"/>
        <v>Penrose, Tim Remote</v>
      </c>
      <c r="AW39" s="3" t="str">
        <f t="shared" ca="1" si="13"/>
        <v>Powell, LaMar</v>
      </c>
      <c r="AX39" s="3" t="str">
        <f t="shared" ca="1" si="13"/>
        <v>Reams, Byron L</v>
      </c>
      <c r="AY39" s="3" t="str">
        <f t="shared" ca="1" si="13"/>
        <v>Robbins, Dale</v>
      </c>
      <c r="AZ39" s="3" t="str">
        <f t="shared" ca="1" si="13"/>
        <v>Robbins, Thomas D</v>
      </c>
      <c r="BA39" s="3" t="str">
        <f t="shared" ca="1" si="13"/>
        <v>Ruffin, Chris</v>
      </c>
      <c r="BB39" s="3" t="str">
        <f t="shared" ca="1" si="13"/>
        <v>Sams, David</v>
      </c>
      <c r="BC39" s="3" t="str">
        <f t="shared" ca="1" si="13"/>
        <v>Sapp, Carl G</v>
      </c>
      <c r="BD39" s="3" t="str">
        <f t="shared" ca="1" si="13"/>
        <v>Staub, Kevin</v>
      </c>
      <c r="BE39" s="3" t="str">
        <f t="shared" ca="1" si="13"/>
        <v>Staub, Ryan</v>
      </c>
      <c r="BF39" s="3" t="str">
        <f t="shared" ca="1" si="13"/>
        <v>Steel, Van Remote</v>
      </c>
      <c r="BG39" s="3" t="str">
        <f t="shared" ca="1" si="13"/>
        <v>Stonecypher, David</v>
      </c>
      <c r="BH39" s="3" t="str">
        <f t="shared" ca="1" si="13"/>
        <v>Straw, Adam D</v>
      </c>
      <c r="BI39" s="3" t="str">
        <f t="shared" ca="1" si="13"/>
        <v>Warren, Jason</v>
      </c>
      <c r="BJ39" s="3" t="str">
        <f t="shared" ca="1" si="13"/>
        <v>Warren, Todd Remote</v>
      </c>
      <c r="BK39" s="3" t="str">
        <f t="shared" ca="1" si="13"/>
        <v>Wells, Seth Remote</v>
      </c>
      <c r="BL39" s="3" t="str">
        <f t="shared" ca="1" si="13"/>
        <v>White, Jarred</v>
      </c>
      <c r="BM39" s="3" t="str">
        <f t="shared" ca="1" si="13"/>
        <v>Winburn, Steve A</v>
      </c>
      <c r="BN39" s="3" t="str">
        <f t="shared" ca="1" si="13"/>
        <v>Young, Kenneth</v>
      </c>
    </row>
    <row r="40" spans="1:66" x14ac:dyDescent="0.2">
      <c r="B40" s="8" t="s">
        <v>292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Aaron, Chip</v>
      </c>
      <c r="L40" s="3" t="str">
        <f t="shared" ref="L40:BN40" ca="1" si="14">IF(L$1 &lt; 1,L$2,"")</f>
        <v>Barker, Christopher A</v>
      </c>
      <c r="M40" s="3" t="str">
        <f t="shared" ca="1" si="14"/>
        <v>Beasley, Tate</v>
      </c>
      <c r="N40" s="3" t="str">
        <f t="shared" ca="1" si="14"/>
        <v>Beckwith, Greg</v>
      </c>
      <c r="O40" s="3" t="str">
        <f t="shared" ca="1" si="14"/>
        <v>Boykin, Jerome W</v>
      </c>
      <c r="P40" s="3" t="str">
        <f t="shared" ca="1" si="14"/>
        <v>Carroll, Adam</v>
      </c>
      <c r="Q40" s="3" t="str">
        <f t="shared" ca="1" si="14"/>
        <v>Daffron, Christopher</v>
      </c>
      <c r="R40" s="3" t="str">
        <f t="shared" ca="1" si="14"/>
        <v>Delehanty, Kyle T</v>
      </c>
      <c r="S40" s="3" t="str">
        <f t="shared" ca="1" si="14"/>
        <v>Desetto, Daniel</v>
      </c>
      <c r="T40" s="3" t="str">
        <f t="shared" ca="1" si="14"/>
        <v>Desetto, Thomas Remote</v>
      </c>
      <c r="U40" s="3" t="str">
        <f t="shared" ca="1" si="14"/>
        <v>Desing, Scott M</v>
      </c>
      <c r="V40" s="3" t="str">
        <f t="shared" ca="1" si="14"/>
        <v>Drebin, James</v>
      </c>
      <c r="W40" s="3" t="str">
        <f t="shared" ca="1" si="14"/>
        <v>Edwards, Christopher S</v>
      </c>
      <c r="X40" s="3" t="str">
        <f t="shared" ca="1" si="14"/>
        <v>Emptage, Nick</v>
      </c>
      <c r="Y40" s="3" t="str">
        <f t="shared" ca="1" si="14"/>
        <v>Ferguson, Scott Remote</v>
      </c>
      <c r="Z40" s="3" t="str">
        <f t="shared" ca="1" si="14"/>
        <v>Fonville, Chris</v>
      </c>
      <c r="AA40" s="3" t="str">
        <f t="shared" ca="1" si="14"/>
        <v>Gilmer, Justin T</v>
      </c>
      <c r="AB40" s="3" t="str">
        <f t="shared" ca="1" si="14"/>
        <v>Hendrick, Matt R</v>
      </c>
      <c r="AC40" s="3" t="str">
        <f t="shared" ca="1" si="14"/>
        <v>Holden, Brent Remote</v>
      </c>
      <c r="AD40" s="3" t="str">
        <f t="shared" ca="1" si="14"/>
        <v>Holley, Jeremy Remote</v>
      </c>
      <c r="AE40" s="3" t="str">
        <f t="shared" ca="1" si="14"/>
        <v>Inabinet, Gregory</v>
      </c>
      <c r="AF40" s="3" t="str">
        <f t="shared" ca="1" si="14"/>
        <v>James, Larry Remote</v>
      </c>
      <c r="AG40" s="3" t="str">
        <f t="shared" ca="1" si="14"/>
        <v>Johnson, Creed D</v>
      </c>
      <c r="AH40" s="3" t="str">
        <f t="shared" ca="1" si="14"/>
        <v>Locklear, Dave Remote</v>
      </c>
      <c r="AI40" s="3" t="str">
        <f t="shared" ca="1" si="14"/>
        <v>Marsh, Alexander Remote</v>
      </c>
      <c r="AJ40" s="3" t="str">
        <f t="shared" ca="1" si="14"/>
        <v>Martin, Douglas C</v>
      </c>
      <c r="AK40" s="3" t="str">
        <f t="shared" ca="1" si="14"/>
        <v>Mccoy, William M</v>
      </c>
      <c r="AL40" s="3" t="str">
        <f t="shared" ca="1" si="14"/>
        <v>Montanez, Johanna</v>
      </c>
      <c r="AM40" s="3" t="str">
        <f t="shared" ca="1" si="14"/>
        <v>Moore, Kevin B</v>
      </c>
      <c r="AN40" s="3" t="str">
        <f t="shared" ca="1" si="14"/>
        <v>Murdaugh, Stephen K</v>
      </c>
      <c r="AO40" s="3" t="str">
        <f t="shared" ca="1" si="14"/>
        <v>Murphy, William A</v>
      </c>
      <c r="AP40" s="3" t="str">
        <f t="shared" ca="1" si="14"/>
        <v>Nance, Rob Remote</v>
      </c>
      <c r="AQ40" s="3" t="str">
        <f t="shared" ca="1" si="14"/>
        <v>Neeley, Amber Remote</v>
      </c>
      <c r="AR40" s="3" t="str">
        <f t="shared" ca="1" si="14"/>
        <v>Neeley, Michael Remote</v>
      </c>
      <c r="AS40" s="3" t="str">
        <f t="shared" ca="1" si="14"/>
        <v>Neill, Charles H</v>
      </c>
      <c r="AT40" s="3" t="str">
        <f t="shared" ca="1" si="14"/>
        <v>Nguyen, Thai Remote</v>
      </c>
      <c r="AU40" s="3" t="str">
        <f t="shared" ca="1" si="14"/>
        <v>Paul, Wilmaison</v>
      </c>
      <c r="AV40" s="3" t="str">
        <f t="shared" ca="1" si="14"/>
        <v>Penrose, Tim Remote</v>
      </c>
      <c r="AW40" s="3" t="str">
        <f t="shared" ca="1" si="14"/>
        <v>Powell, LaMar</v>
      </c>
      <c r="AX40" s="3" t="str">
        <f t="shared" ca="1" si="14"/>
        <v>Reams, Byron L</v>
      </c>
      <c r="AY40" s="3" t="str">
        <f t="shared" ca="1" si="14"/>
        <v>Robbins, Dale</v>
      </c>
      <c r="AZ40" s="3" t="str">
        <f t="shared" ca="1" si="14"/>
        <v>Robbins, Thomas D</v>
      </c>
      <c r="BA40" s="3" t="str">
        <f t="shared" ca="1" si="14"/>
        <v>Ruffin, Chris</v>
      </c>
      <c r="BB40" s="3" t="str">
        <f t="shared" ca="1" si="14"/>
        <v>Sams, David</v>
      </c>
      <c r="BC40" s="3" t="str">
        <f t="shared" ca="1" si="14"/>
        <v>Sapp, Carl G</v>
      </c>
      <c r="BD40" s="3" t="str">
        <f t="shared" ca="1" si="14"/>
        <v>Staub, Kevin</v>
      </c>
      <c r="BE40" s="3" t="str">
        <f t="shared" ca="1" si="14"/>
        <v>Staub, Ryan</v>
      </c>
      <c r="BF40" s="3" t="str">
        <f t="shared" ca="1" si="14"/>
        <v>Steel, Van Remote</v>
      </c>
      <c r="BG40" s="3" t="str">
        <f t="shared" ca="1" si="14"/>
        <v>Stonecypher, David</v>
      </c>
      <c r="BH40" s="3" t="str">
        <f t="shared" ca="1" si="14"/>
        <v>Straw, Adam D</v>
      </c>
      <c r="BI40" s="3" t="str">
        <f t="shared" ca="1" si="14"/>
        <v>Warren, Jason</v>
      </c>
      <c r="BJ40" s="3" t="str">
        <f t="shared" ca="1" si="14"/>
        <v>Warren, Todd Remote</v>
      </c>
      <c r="BK40" s="3" t="str">
        <f t="shared" ca="1" si="14"/>
        <v>Wells, Seth Remote</v>
      </c>
      <c r="BL40" s="3" t="str">
        <f t="shared" ca="1" si="14"/>
        <v>White, Jarred</v>
      </c>
      <c r="BM40" s="3" t="str">
        <f t="shared" ca="1" si="14"/>
        <v>Winburn, Steve A</v>
      </c>
      <c r="BN40" s="3" t="str">
        <f t="shared" ca="1" si="14"/>
        <v>Young, Kenneth</v>
      </c>
    </row>
    <row r="41" spans="1:66" x14ac:dyDescent="0.2">
      <c r="B41" s="8" t="s">
        <v>128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6" x14ac:dyDescent="0.2">
      <c r="B42" s="8" t="s">
        <v>293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Chip;Barker, Christopher A;Beasley, Tate;Beckwith, Greg;Boykin, Jerome W;Carroll, Adam;Daffron, Christopher;Delehanty, Kyle T;Desetto, Daniel;Desetto, Thomas Remote;Desing, Scott M;Drebin, James;Edwards, Christopher S;Emptage, Nick;Ferguson, Scott Remote;Fonville, Chris;Gilmer, Justin T;Hendrick, Matt R;Holden, Brent Remote;Holley, Jeremy Remote;Inabinet, Gregory;James, Larry Remote;Johnson, Creed D;Locklear, Dave Remote;Marsh, Alexander Remote;Martin, Douglas C;Mccoy, William M;Montanez, Johanna;Moore, Kevin B;Murdaugh, Stephen K;Murphy, William A;Nance, Rob Remote;Neeley, Amber Remote;Neeley, Michael Remote;Neill, Charles H;Nguyen, Thai Remote;Paul, Wilmaison;Penrose, Tim Remote;Powell, LaMar;Reams, Byron L;Robbins, Dale;Robbins, Thomas D;Ruffin, Chris;Sams, David;Sapp, Carl G;Staub, Kevin;Staub, Ryan;Steel, Van Remote;Stonecypher, David;Straw, Adam D;Warren, Jason;Warren, Todd Remote;Wells,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6" x14ac:dyDescent="0.2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6" x14ac:dyDescent="0.2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6" x14ac:dyDescent="0.2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6" x14ac:dyDescent="0.2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6" x14ac:dyDescent="0.2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6" x14ac:dyDescent="0.2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">
      <c r="B57" s="8"/>
      <c r="AK57" s="3"/>
      <c r="AL57" s="3"/>
      <c r="AM57" s="3"/>
      <c r="AN57" s="3"/>
    </row>
    <row r="58" spans="2:40" x14ac:dyDescent="0.2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N23">
    <cfRule type="cellIs" dxfId="9" priority="7" stopIfTrue="1" operator="equal">
      <formula>0</formula>
    </cfRule>
  </conditionalFormatting>
  <conditionalFormatting sqref="BF24:BN24">
    <cfRule type="cellIs" dxfId="8" priority="6" stopIfTrue="1" operator="equal">
      <formula>0</formula>
    </cfRule>
  </conditionalFormatting>
  <conditionalFormatting sqref="BF28:BN28">
    <cfRule type="cellIs" dxfId="7" priority="5" stopIfTrue="1" operator="equal">
      <formula>1</formula>
    </cfRule>
  </conditionalFormatting>
  <conditionalFormatting sqref="BF12:BN12 BF14:BN14 BF16:BN16 BF18:BN18 BF20:BN20 BF22:BN22 BF4:BN4 BF6:BN6 BF8:BN8 BF10:BN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N11 BF13:BN13 BF15:BN15 BF17:BN17 BF19:BN19 BF21:BN21 BF3:BN3 BF5:BN5 BF7:BN7 BF9:BN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77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28575</xdr:colOff>
                    <xdr:row>1</xdr:row>
                    <xdr:rowOff>133350</xdr:rowOff>
                  </from>
                  <to>
                    <xdr:col>1</xdr:col>
                    <xdr:colOff>781050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28575</xdr:colOff>
                    <xdr:row>1</xdr:row>
                    <xdr:rowOff>476250</xdr:rowOff>
                  </from>
                  <to>
                    <xdr:col>1</xdr:col>
                    <xdr:colOff>781050</xdr:colOff>
                    <xdr:row>1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28575</xdr:colOff>
                    <xdr:row>1</xdr:row>
                    <xdr:rowOff>847725</xdr:rowOff>
                  </from>
                  <to>
                    <xdr:col>1</xdr:col>
                    <xdr:colOff>923925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2.75" x14ac:dyDescent="0.2"/>
  <cols>
    <col min="3" max="3" width="10.28515625" bestFit="1" customWidth="1"/>
    <col min="4" max="4" width="3.28515625" bestFit="1" customWidth="1"/>
    <col min="5" max="23" width="3.28515625" customWidth="1"/>
  </cols>
  <sheetData>
    <row r="1" spans="1:23" x14ac:dyDescent="0.2">
      <c r="A1" t="s">
        <v>130</v>
      </c>
    </row>
    <row r="2" spans="1:23" x14ac:dyDescent="0.2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2" sqref="A2:O14"/>
    </sheetView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264</v>
      </c>
    </row>
    <row r="3" spans="1:23" x14ac:dyDescent="0.2">
      <c r="B3" s="106">
        <f t="shared" ref="B3:O3" ca="1" si="0">SUM(B4:B14)</f>
        <v>19</v>
      </c>
      <c r="C3" s="106">
        <f t="shared" ca="1" si="0"/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20</v>
      </c>
      <c r="J3" s="106">
        <f t="shared" ca="1" si="0"/>
        <v>20</v>
      </c>
      <c r="K3" s="106">
        <f t="shared" ca="1" si="0"/>
        <v>20</v>
      </c>
      <c r="L3" s="106">
        <f t="shared" ca="1" si="0"/>
        <v>0</v>
      </c>
      <c r="M3" s="106">
        <f t="shared" ca="1" si="0"/>
        <v>0</v>
      </c>
      <c r="N3" s="106">
        <f t="shared" ca="1" si="0"/>
        <v>0</v>
      </c>
      <c r="O3" s="106">
        <f t="shared" ca="1" si="0"/>
        <v>199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88" t="str">
        <f>A$159</f>
        <v>Southeastern</v>
      </c>
      <c r="B4" s="86">
        <f t="shared" ref="B4:N14" ca="1" si="1">SUMIF($A$19:$A$201,$A4,B$19:B$201)</f>
        <v>7</v>
      </c>
      <c r="C4" s="86">
        <f t="shared" ca="1" si="1"/>
        <v>6</v>
      </c>
      <c r="D4" s="86">
        <f t="shared" ca="1" si="1"/>
        <v>7</v>
      </c>
      <c r="E4" s="86">
        <f t="shared" ca="1" si="1"/>
        <v>8</v>
      </c>
      <c r="F4" s="86">
        <f t="shared" ca="1" si="1"/>
        <v>2</v>
      </c>
      <c r="G4" s="86">
        <f t="shared" ca="1" si="1"/>
        <v>8</v>
      </c>
      <c r="H4" s="86">
        <f t="shared" ca="1" si="1"/>
        <v>7</v>
      </c>
      <c r="I4" s="86">
        <f t="shared" ca="1" si="1"/>
        <v>8</v>
      </c>
      <c r="J4" s="86">
        <f t="shared" ca="1" si="1"/>
        <v>4</v>
      </c>
      <c r="K4" s="86">
        <f t="shared" ca="1" si="1"/>
        <v>8</v>
      </c>
      <c r="L4" s="86">
        <f t="shared" ca="1" si="1"/>
        <v>0</v>
      </c>
      <c r="M4" s="86">
        <f t="shared" ca="1" si="1"/>
        <v>0</v>
      </c>
      <c r="N4" s="86">
        <f t="shared" ca="1" si="1"/>
        <v>0</v>
      </c>
      <c r="O4" s="92">
        <f t="shared" ref="O4:O14" ca="1" si="2">SUM(B4:N4)</f>
        <v>65</v>
      </c>
      <c r="P4" s="2"/>
      <c r="Q4" s="2"/>
      <c r="R4" s="2"/>
      <c r="S4" s="2"/>
      <c r="T4" s="2"/>
      <c r="U4" s="2"/>
      <c r="V4" s="2"/>
      <c r="W4" s="2"/>
    </row>
    <row r="5" spans="1:23" x14ac:dyDescent="0.2">
      <c r="A5" s="88" t="str">
        <f>A$19</f>
        <v>Atlantic Coast</v>
      </c>
      <c r="B5" s="86">
        <f t="shared" ca="1" si="1"/>
        <v>5</v>
      </c>
      <c r="C5" s="86">
        <f t="shared" ca="1" si="1"/>
        <v>6</v>
      </c>
      <c r="D5" s="86">
        <f t="shared" ca="1" si="1"/>
        <v>2</v>
      </c>
      <c r="E5" s="86">
        <f t="shared" ca="1" si="1"/>
        <v>4</v>
      </c>
      <c r="F5" s="86">
        <f t="shared" ca="1" si="1"/>
        <v>6</v>
      </c>
      <c r="G5" s="86">
        <f t="shared" ca="1" si="1"/>
        <v>4</v>
      </c>
      <c r="H5" s="86">
        <f t="shared" ca="1" si="1"/>
        <v>2</v>
      </c>
      <c r="I5" s="86">
        <f t="shared" ca="1" si="1"/>
        <v>2</v>
      </c>
      <c r="J5" s="86">
        <f t="shared" ca="1" si="1"/>
        <v>3</v>
      </c>
      <c r="K5" s="86">
        <f t="shared" ca="1" si="1"/>
        <v>6</v>
      </c>
      <c r="L5" s="86">
        <f t="shared" ca="1" si="1"/>
        <v>0</v>
      </c>
      <c r="M5" s="86">
        <f t="shared" ca="1" si="1"/>
        <v>0</v>
      </c>
      <c r="N5" s="86">
        <f t="shared" ca="1" si="1"/>
        <v>0</v>
      </c>
      <c r="O5" s="92">
        <f t="shared" ca="1" si="2"/>
        <v>40</v>
      </c>
    </row>
    <row r="6" spans="1:23" x14ac:dyDescent="0.2">
      <c r="A6" s="88" t="str">
        <f>A$66</f>
        <v>Big Ten</v>
      </c>
      <c r="B6" s="86">
        <f t="shared" ca="1" si="1"/>
        <v>1</v>
      </c>
      <c r="C6" s="86">
        <f t="shared" ca="1" si="1"/>
        <v>3</v>
      </c>
      <c r="D6" s="86">
        <f t="shared" ca="1" si="1"/>
        <v>3</v>
      </c>
      <c r="E6" s="86">
        <f t="shared" ca="1" si="1"/>
        <v>4</v>
      </c>
      <c r="F6" s="86">
        <f t="shared" ca="1" si="1"/>
        <v>4</v>
      </c>
      <c r="G6" s="86">
        <f t="shared" ca="1" si="1"/>
        <v>2</v>
      </c>
      <c r="H6" s="86">
        <f t="shared" ca="1" si="1"/>
        <v>4</v>
      </c>
      <c r="I6" s="86">
        <f t="shared" ca="1" si="1"/>
        <v>2</v>
      </c>
      <c r="J6" s="86">
        <f t="shared" ca="1" si="1"/>
        <v>4</v>
      </c>
      <c r="K6" s="86">
        <f t="shared" ca="1" si="1"/>
        <v>4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31</v>
      </c>
    </row>
    <row r="7" spans="1:23" x14ac:dyDescent="0.2">
      <c r="A7" s="88" t="str">
        <f>A$144</f>
        <v>Pacific 12</v>
      </c>
      <c r="B7" s="86">
        <f t="shared" ca="1" si="1"/>
        <v>2</v>
      </c>
      <c r="C7" s="86">
        <f t="shared" ca="1" si="1"/>
        <v>1</v>
      </c>
      <c r="D7" s="86">
        <f t="shared" ca="1" si="1"/>
        <v>3</v>
      </c>
      <c r="E7" s="86">
        <f t="shared" ca="1" si="1"/>
        <v>2</v>
      </c>
      <c r="F7" s="86">
        <f t="shared" ca="1" si="1"/>
        <v>4</v>
      </c>
      <c r="G7" s="86">
        <f t="shared" ca="1" si="1"/>
        <v>4</v>
      </c>
      <c r="H7" s="86">
        <f t="shared" ca="1" si="1"/>
        <v>3</v>
      </c>
      <c r="I7" s="86">
        <f t="shared" ca="1" si="1"/>
        <v>2</v>
      </c>
      <c r="J7" s="86">
        <f t="shared" ca="1" si="1"/>
        <v>4</v>
      </c>
      <c r="K7" s="86">
        <f t="shared" ca="1" si="1"/>
        <v>0</v>
      </c>
      <c r="L7" s="86">
        <f t="shared" ca="1" si="1"/>
        <v>0</v>
      </c>
      <c r="M7" s="86">
        <f t="shared" ca="1" si="1"/>
        <v>0</v>
      </c>
      <c r="N7" s="86">
        <f t="shared" ca="1" si="1"/>
        <v>0</v>
      </c>
      <c r="O7" s="92">
        <f t="shared" ca="1" si="2"/>
        <v>25</v>
      </c>
    </row>
    <row r="8" spans="1:23" x14ac:dyDescent="0.2">
      <c r="A8" s="88" t="str">
        <f>A$36</f>
        <v>Big 12</v>
      </c>
      <c r="B8" s="86">
        <f t="shared" ca="1" si="1"/>
        <v>2</v>
      </c>
      <c r="C8" s="86">
        <f t="shared" ca="1" si="1"/>
        <v>2</v>
      </c>
      <c r="D8" s="86">
        <f t="shared" ca="1" si="1"/>
        <v>1</v>
      </c>
      <c r="E8" s="86">
        <f t="shared" ca="1" si="1"/>
        <v>2</v>
      </c>
      <c r="F8" s="86">
        <f t="shared" ca="1" si="1"/>
        <v>4</v>
      </c>
      <c r="G8" s="86">
        <f t="shared" ca="1" si="1"/>
        <v>2</v>
      </c>
      <c r="H8" s="86">
        <f t="shared" ca="1" si="1"/>
        <v>2</v>
      </c>
      <c r="I8" s="86">
        <f t="shared" ca="1" si="1"/>
        <v>2</v>
      </c>
      <c r="J8" s="86">
        <f t="shared" ca="1" si="1"/>
        <v>4</v>
      </c>
      <c r="K8" s="86">
        <f t="shared" ca="1" si="1"/>
        <v>2</v>
      </c>
      <c r="L8" s="86">
        <f t="shared" ca="1" si="1"/>
        <v>0</v>
      </c>
      <c r="M8" s="86">
        <f t="shared" ca="1" si="1"/>
        <v>0</v>
      </c>
      <c r="N8" s="86">
        <f t="shared" ca="1" si="1"/>
        <v>0</v>
      </c>
      <c r="O8" s="92">
        <f t="shared" ca="1" si="2"/>
        <v>23</v>
      </c>
    </row>
    <row r="9" spans="1:23" x14ac:dyDescent="0.2">
      <c r="A9" s="88" t="str">
        <f>A$99</f>
        <v>Independents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0</v>
      </c>
      <c r="G9" s="86">
        <f t="shared" ca="1" si="1"/>
        <v>0</v>
      </c>
      <c r="H9" s="86">
        <f t="shared" ca="1" si="1"/>
        <v>2</v>
      </c>
      <c r="I9" s="86">
        <f t="shared" ca="1" si="1"/>
        <v>2</v>
      </c>
      <c r="J9" s="86">
        <f t="shared" ca="1" si="1"/>
        <v>1</v>
      </c>
      <c r="K9" s="86">
        <f t="shared" ca="1" si="1"/>
        <v>0</v>
      </c>
      <c r="L9" s="86">
        <f t="shared" ca="1" si="1"/>
        <v>0</v>
      </c>
      <c r="M9" s="86">
        <f t="shared" ca="1" si="1"/>
        <v>0</v>
      </c>
      <c r="N9" s="86">
        <f t="shared" ca="1" si="1"/>
        <v>0</v>
      </c>
      <c r="O9" s="92">
        <f t="shared" ca="1" si="2"/>
        <v>8</v>
      </c>
    </row>
    <row r="10" spans="1:23" x14ac:dyDescent="0.2">
      <c r="A10" s="88" t="str">
        <f>A$129</f>
        <v>Mountain West</v>
      </c>
      <c r="B10" s="86">
        <f t="shared" ca="1" si="1"/>
        <v>0</v>
      </c>
      <c r="C10" s="86">
        <f t="shared" ca="1" si="1"/>
        <v>0</v>
      </c>
      <c r="D10" s="86">
        <f t="shared" ca="1" si="1"/>
        <v>0</v>
      </c>
      <c r="E10" s="86">
        <f t="shared" ca="1" si="1"/>
        <v>0</v>
      </c>
      <c r="F10" s="86">
        <f t="shared" ca="1" si="1"/>
        <v>0</v>
      </c>
      <c r="G10" s="86">
        <f t="shared" ca="1" si="1"/>
        <v>0</v>
      </c>
      <c r="H10" s="86">
        <f t="shared" ca="1" si="1"/>
        <v>0</v>
      </c>
      <c r="I10" s="86">
        <f t="shared" ca="1" si="1"/>
        <v>1</v>
      </c>
      <c r="J10" s="86">
        <f t="shared" ca="1" si="1"/>
        <v>0</v>
      </c>
      <c r="K10" s="86">
        <f t="shared" ca="1" si="1"/>
        <v>0</v>
      </c>
      <c r="L10" s="86">
        <f t="shared" ca="1" si="1"/>
        <v>0</v>
      </c>
      <c r="M10" s="86">
        <f t="shared" ca="1" si="1"/>
        <v>0</v>
      </c>
      <c r="N10" s="86">
        <f t="shared" ca="1" si="1"/>
        <v>0</v>
      </c>
      <c r="O10" s="92">
        <f t="shared" ca="1" si="2"/>
        <v>1</v>
      </c>
    </row>
    <row r="11" spans="1:23" x14ac:dyDescent="0.2">
      <c r="A11" s="88" t="str">
        <f>A$52</f>
        <v>American Athletic</v>
      </c>
      <c r="B11" s="86">
        <f t="shared" ca="1" si="1"/>
        <v>1</v>
      </c>
      <c r="C11" s="86">
        <f t="shared" ca="1" si="1"/>
        <v>1</v>
      </c>
      <c r="D11" s="86">
        <f t="shared" ca="1" si="1"/>
        <v>3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1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6</v>
      </c>
    </row>
    <row r="12" spans="1:23" x14ac:dyDescent="0.2">
      <c r="A12" s="88" t="str">
        <f>A$82</f>
        <v>Conference USA</v>
      </c>
      <c r="B12" s="86">
        <f t="shared" ca="1" si="1"/>
        <v>0</v>
      </c>
      <c r="C12" s="86">
        <f t="shared" ca="1" si="1"/>
        <v>0</v>
      </c>
      <c r="D12" s="86">
        <f t="shared" ca="1" si="1"/>
        <v>0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0</v>
      </c>
    </row>
    <row r="13" spans="1:23" x14ac:dyDescent="0.2">
      <c r="A13" s="88" t="str">
        <f>A$178</f>
        <v>Sun Belt</v>
      </c>
      <c r="B13" s="86">
        <f t="shared" ca="1" si="1"/>
        <v>0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0</v>
      </c>
    </row>
    <row r="14" spans="1:23" x14ac:dyDescent="0.2">
      <c r="A14" s="88" t="str">
        <f>A$114</f>
        <v>Mid American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">
      <c r="O15"/>
    </row>
    <row r="19" spans="1:15" s="28" customFormat="1" ht="13.5" thickBot="1" x14ac:dyDescent="0.25">
      <c r="A19" s="94" t="s">
        <v>177</v>
      </c>
      <c r="B19" s="89">
        <f ca="1">SUM(B20:B34)</f>
        <v>5</v>
      </c>
      <c r="C19" s="89">
        <f t="shared" ref="C19:N19" ca="1" si="3">SUM(C20:C34)</f>
        <v>6</v>
      </c>
      <c r="D19" s="89">
        <f t="shared" ca="1" si="3"/>
        <v>2</v>
      </c>
      <c r="E19" s="89">
        <f t="shared" ca="1" si="3"/>
        <v>4</v>
      </c>
      <c r="F19" s="89">
        <f t="shared" ca="1" si="3"/>
        <v>6</v>
      </c>
      <c r="G19" s="89">
        <f t="shared" ca="1" si="3"/>
        <v>4</v>
      </c>
      <c r="H19" s="89">
        <f t="shared" ca="1" si="3"/>
        <v>2</v>
      </c>
      <c r="I19" s="89">
        <f t="shared" ca="1" si="3"/>
        <v>2</v>
      </c>
      <c r="J19" s="89">
        <f t="shared" ca="1" si="3"/>
        <v>3</v>
      </c>
      <c r="K19" s="89">
        <f t="shared" ca="1" si="3"/>
        <v>6</v>
      </c>
      <c r="L19" s="89">
        <f t="shared" ca="1" si="3"/>
        <v>0</v>
      </c>
      <c r="M19" s="89">
        <f t="shared" ca="1" si="3"/>
        <v>0</v>
      </c>
      <c r="N19" s="89">
        <f t="shared" ca="1" si="3"/>
        <v>0</v>
      </c>
      <c r="O19" s="91"/>
    </row>
    <row r="20" spans="1:15" x14ac:dyDescent="0.2">
      <c r="A20" s="95" t="s">
        <v>156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0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0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0</v>
      </c>
      <c r="N20" s="86">
        <f ca="1">COUNTIF(INDIRECT(ADDRESS(3,2,1,,N$2)):INDIRECT(ADDRESS(22,2,1,,N$2)),$A20)</f>
        <v>0</v>
      </c>
      <c r="O20" s="92">
        <f t="shared" ref="O20:O33" ca="1" si="4">SUM(B20:N20)</f>
        <v>4</v>
      </c>
    </row>
    <row r="21" spans="1:15" x14ac:dyDescent="0.2">
      <c r="A21" s="95" t="s">
        <v>155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1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1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0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0</v>
      </c>
      <c r="O21" s="92">
        <f t="shared" ca="1" si="4"/>
        <v>6</v>
      </c>
    </row>
    <row r="22" spans="1:15" x14ac:dyDescent="0.2">
      <c r="A22" s="95" t="s">
        <v>139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1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4</v>
      </c>
    </row>
    <row r="23" spans="1:15" x14ac:dyDescent="0.2">
      <c r="A23" s="95" t="s">
        <v>164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1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1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7</v>
      </c>
    </row>
    <row r="24" spans="1:15" x14ac:dyDescent="0.2">
      <c r="A24" s="95" t="s">
        <v>193</v>
      </c>
      <c r="B24" s="86">
        <f ca="1">COUNTIF(INDIRECT(ADDRESS(3,2,1,,B$2)):INDIRECT(ADDRESS(22,2,1,,B$2)),$A24)</f>
        <v>0</v>
      </c>
      <c r="C24" s="86">
        <f ca="1">COUNTIF(INDIRECT(ADDRESS(3,2,1,,C$2)):INDIRECT(ADDRESS(22,2,1,,C$2)),$A24)</f>
        <v>1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0</v>
      </c>
      <c r="H24" s="86">
        <f ca="1">COUNTIF(INDIRECT(ADDRESS(3,2,1,,H$2)):INDIRECT(ADDRESS(22,2,1,,H$2)),$A24)</f>
        <v>0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1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3</v>
      </c>
    </row>
    <row r="25" spans="1:15" x14ac:dyDescent="0.2">
      <c r="A25" s="95" t="s">
        <v>157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1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1</v>
      </c>
      <c r="I25" s="86">
        <f ca="1">COUNTIF(INDIRECT(ADDRESS(3,2,1,,I$2)):INDIRECT(ADDRESS(22,2,1,,I$2)),$A25)</f>
        <v>1</v>
      </c>
      <c r="J25" s="86">
        <f ca="1">COUNTIF(INDIRECT(ADDRESS(3,2,1,,J$2)):INDIRECT(ADDRESS(22,2,1,,J$2)),$A25)</f>
        <v>1</v>
      </c>
      <c r="K25" s="86">
        <f ca="1">COUNTIF(INDIRECT(ADDRESS(3,2,1,,K$2)):INDIRECT(ADDRESS(22,2,1,,K$2)),$A25)</f>
        <v>1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6</v>
      </c>
    </row>
    <row r="26" spans="1:15" x14ac:dyDescent="0.2">
      <c r="A26" s="95" t="s">
        <v>180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0</v>
      </c>
      <c r="D26" s="86">
        <f ca="1">COUNTIF(INDIRECT(ADDRESS(3,2,1,,D$2)):INDIRECT(ADDRESS(22,2,1,,D$2)),$A26)</f>
        <v>0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0</v>
      </c>
      <c r="O26" s="92">
        <f t="shared" ca="1" si="4"/>
        <v>0</v>
      </c>
    </row>
    <row r="27" spans="1:15" x14ac:dyDescent="0.2">
      <c r="A27" s="95" t="s">
        <v>167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1</v>
      </c>
      <c r="D27" s="86">
        <f ca="1">COUNTIF(INDIRECT(ADDRESS(3,2,1,,D$2)):INDIRECT(ADDRESS(22,2,1,,D$2)),$A27)</f>
        <v>0</v>
      </c>
      <c r="E27" s="86">
        <f ca="1">COUNTIF(INDIRECT(ADDRESS(3,2,1,,E$2)):INDIRECT(ADDRESS(22,2,1,,E$2)),$A27)</f>
        <v>0</v>
      </c>
      <c r="F27" s="86">
        <f ca="1">COUNTIF(INDIRECT(ADDRESS(3,2,1,,F$2)):INDIRECT(ADDRESS(22,2,1,,F$2)),$A27)</f>
        <v>0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1</v>
      </c>
      <c r="J27" s="86">
        <f ca="1">COUNTIF(INDIRECT(ADDRESS(3,2,1,,J$2)):INDIRECT(ADDRESS(22,2,1,,J$2)),$A27)</f>
        <v>0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0</v>
      </c>
      <c r="O27" s="92">
        <f t="shared" ca="1" si="4"/>
        <v>3</v>
      </c>
    </row>
    <row r="28" spans="1:15" x14ac:dyDescent="0.2">
      <c r="A28" s="95" t="s">
        <v>192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1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3</v>
      </c>
    </row>
    <row r="29" spans="1:15" x14ac:dyDescent="0.2">
      <c r="A29" s="95" t="s">
        <v>169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0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">
      <c r="A30" s="95" t="s">
        <v>181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">
      <c r="A31" s="95" t="s">
        <v>144</v>
      </c>
      <c r="B31" s="86">
        <f ca="1">COUNTIF(INDIRECT(ADDRESS(3,2,1,,B$2)):INDIRECT(ADDRESS(22,2,1,,B$2)),$A31)</f>
        <v>1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0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0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1</v>
      </c>
    </row>
    <row r="32" spans="1:15" x14ac:dyDescent="0.2">
      <c r="A32" s="95" t="s">
        <v>146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1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0</v>
      </c>
      <c r="L32" s="86">
        <f ca="1">COUNTIF(INDIRECT(ADDRESS(3,2,1,,L$2)):INDIRECT(ADDRESS(22,2,1,,L$2)),$A32)</f>
        <v>0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1</v>
      </c>
    </row>
    <row r="33" spans="1:23" x14ac:dyDescent="0.2">
      <c r="A33" s="95" t="s">
        <v>143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0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0</v>
      </c>
    </row>
    <row r="36" spans="1:23" ht="13.5" thickBot="1" x14ac:dyDescent="0.25">
      <c r="A36" s="94" t="s">
        <v>178</v>
      </c>
      <c r="B36" s="89">
        <f t="shared" ref="B36:N36" ca="1" si="5">SUM(B37:B49)</f>
        <v>2</v>
      </c>
      <c r="C36" s="89">
        <f t="shared" ca="1" si="5"/>
        <v>2</v>
      </c>
      <c r="D36" s="89">
        <f t="shared" ca="1" si="5"/>
        <v>1</v>
      </c>
      <c r="E36" s="89">
        <f t="shared" ca="1" si="5"/>
        <v>2</v>
      </c>
      <c r="F36" s="89">
        <f t="shared" ca="1" si="5"/>
        <v>4</v>
      </c>
      <c r="G36" s="89">
        <f t="shared" ca="1" si="5"/>
        <v>2</v>
      </c>
      <c r="H36" s="89">
        <f t="shared" ca="1" si="5"/>
        <v>2</v>
      </c>
      <c r="I36" s="89">
        <f t="shared" ca="1" si="5"/>
        <v>2</v>
      </c>
      <c r="J36" s="89">
        <f t="shared" ca="1" si="5"/>
        <v>4</v>
      </c>
      <c r="K36" s="89">
        <f t="shared" ca="1" si="5"/>
        <v>2</v>
      </c>
      <c r="L36" s="89">
        <f t="shared" ca="1" si="5"/>
        <v>0</v>
      </c>
      <c r="M36" s="89">
        <f t="shared" ca="1" si="5"/>
        <v>0</v>
      </c>
      <c r="N36" s="89">
        <f t="shared" ca="1" si="5"/>
        <v>0</v>
      </c>
      <c r="O36" s="91"/>
    </row>
    <row r="37" spans="1:23" s="28" customFormat="1" x14ac:dyDescent="0.2">
      <c r="A37" s="95" t="s">
        <v>158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1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1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4</v>
      </c>
    </row>
    <row r="38" spans="1:23" x14ac:dyDescent="0.2">
      <c r="A38" s="95" t="s">
        <v>147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1</v>
      </c>
      <c r="F38" s="86">
        <f ca="1">COUNTIF(INDIRECT(ADDRESS(3,2,1,,F$2)):INDIRECT(ADDRESS(22,2,1,,F$2)),$A38)</f>
        <v>1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1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4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95" t="s">
        <v>234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1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1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1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3</v>
      </c>
    </row>
    <row r="40" spans="1:23" x14ac:dyDescent="0.2">
      <c r="A40" s="95" t="s">
        <v>186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1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1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2</v>
      </c>
    </row>
    <row r="41" spans="1:23" x14ac:dyDescent="0.2">
      <c r="A41" s="95" t="s">
        <v>189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1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">
      <c r="A42" s="95" t="s">
        <v>187</v>
      </c>
      <c r="B42" s="86">
        <f ca="1">COUNTIF(INDIRECT(ADDRESS(3,2,1,,B$2)):INDIRECT(ADDRESS(22,2,1,,B$2)),$A42)</f>
        <v>1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1</v>
      </c>
      <c r="G42" s="86">
        <f ca="1">COUNTIF(INDIRECT(ADDRESS(3,2,1,,G$2)):INDIRECT(ADDRESS(22,2,1,,G$2)),$A42)</f>
        <v>1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1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4</v>
      </c>
    </row>
    <row r="43" spans="1:23" x14ac:dyDescent="0.2">
      <c r="A43" s="95" t="s">
        <v>195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1</v>
      </c>
      <c r="J43" s="86">
        <f ca="1">COUNTIF(INDIRECT(ADDRESS(3,2,1,,J$2)):INDIRECT(ADDRESS(22,2,1,,J$2)),$A43)</f>
        <v>1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3</v>
      </c>
    </row>
    <row r="44" spans="1:23" x14ac:dyDescent="0.2">
      <c r="A44" s="95" t="s">
        <v>151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0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1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0</v>
      </c>
      <c r="N44" s="86">
        <f ca="1">COUNTIF(INDIRECT(ADDRESS(3,2,1,,N$2)):INDIRECT(ADDRESS(22,2,1,,N$2)),$A44)</f>
        <v>0</v>
      </c>
      <c r="O44" s="92">
        <f t="shared" ca="1" si="6"/>
        <v>1</v>
      </c>
    </row>
    <row r="45" spans="1:23" x14ac:dyDescent="0.2">
      <c r="A45" s="95" t="s">
        <v>182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1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1</v>
      </c>
    </row>
    <row r="46" spans="1:23" x14ac:dyDescent="0.2">
      <c r="A46" s="95" t="s">
        <v>183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94" t="s">
        <v>283</v>
      </c>
      <c r="B52" s="89">
        <f t="shared" ref="B52:N52" ca="1" si="7">SUM(B53:B64)</f>
        <v>1</v>
      </c>
      <c r="C52" s="89">
        <f t="shared" ca="1" si="7"/>
        <v>1</v>
      </c>
      <c r="D52" s="89">
        <f t="shared" ca="1" si="7"/>
        <v>3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1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">
      <c r="A53" s="95" t="s">
        <v>190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1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1</v>
      </c>
    </row>
    <row r="54" spans="1:15" x14ac:dyDescent="0.2">
      <c r="A54" s="95" t="s">
        <v>210</v>
      </c>
      <c r="B54" s="86">
        <f ca="1">COUNTIF(INDIRECT(ADDRESS(3,2,1,,B$2)):INDIRECT(ADDRESS(22,2,1,,B$2)),$A54)</f>
        <v>1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1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2</v>
      </c>
    </row>
    <row r="55" spans="1:15" x14ac:dyDescent="0.2">
      <c r="A55" s="95" t="s">
        <v>209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1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1</v>
      </c>
    </row>
    <row r="56" spans="1:15" x14ac:dyDescent="0.2">
      <c r="A56" s="95" t="s">
        <v>224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">
      <c r="A57" s="95" t="s">
        <v>207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">
      <c r="A58" s="95" t="s">
        <v>213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">
      <c r="A59" s="95" t="s">
        <v>165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1</v>
      </c>
      <c r="D59" s="86">
        <f ca="1">COUNTIF(INDIRECT(ADDRESS(3,2,1,,D$2)):INDIRECT(ADDRESS(22,2,1,,D$2)),$A59)</f>
        <v>1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2</v>
      </c>
    </row>
    <row r="60" spans="1:15" x14ac:dyDescent="0.2">
      <c r="A60" s="95" t="s">
        <v>191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">
      <c r="A61" s="95" t="s">
        <v>214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">
      <c r="A62" s="95" t="s">
        <v>166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">
      <c r="A63" s="95" t="s">
        <v>212</v>
      </c>
      <c r="B63" s="86">
        <f ca="1">COUNTIF(INDIRECT(ADDRESS(3,2,1,,B$2)):INDIRECT(ADDRESS(22,2,1,,B$2)),$A63)</f>
        <v>0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0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94" t="s">
        <v>170</v>
      </c>
      <c r="B66" s="89">
        <f t="shared" ref="B66:N66" ca="1" si="9">SUM(B67:B79)</f>
        <v>1</v>
      </c>
      <c r="C66" s="89">
        <f t="shared" ca="1" si="9"/>
        <v>3</v>
      </c>
      <c r="D66" s="89">
        <f t="shared" ca="1" si="9"/>
        <v>3</v>
      </c>
      <c r="E66" s="89">
        <f t="shared" ca="1" si="9"/>
        <v>4</v>
      </c>
      <c r="F66" s="89">
        <f t="shared" ca="1" si="9"/>
        <v>4</v>
      </c>
      <c r="G66" s="89">
        <f t="shared" ca="1" si="9"/>
        <v>2</v>
      </c>
      <c r="H66" s="89">
        <f t="shared" ca="1" si="9"/>
        <v>4</v>
      </c>
      <c r="I66" s="89">
        <f t="shared" ca="1" si="9"/>
        <v>2</v>
      </c>
      <c r="J66" s="89">
        <f t="shared" ca="1" si="9"/>
        <v>4</v>
      </c>
      <c r="K66" s="89">
        <f t="shared" ca="1" si="9"/>
        <v>4</v>
      </c>
      <c r="L66" s="89">
        <f t="shared" ca="1" si="9"/>
        <v>0</v>
      </c>
      <c r="M66" s="89">
        <f t="shared" ca="1" si="9"/>
        <v>0</v>
      </c>
      <c r="N66" s="89">
        <f t="shared" ca="1" si="9"/>
        <v>0</v>
      </c>
      <c r="O66" s="91"/>
    </row>
    <row r="67" spans="1:15" x14ac:dyDescent="0.2">
      <c r="A67" s="95" t="s">
        <v>162</v>
      </c>
      <c r="B67" s="86">
        <f ca="1">COUNTIF(INDIRECT(ADDRESS(3,2,1,,B$2)):INDIRECT(ADDRESS(22,2,1,,B$2)),$A67)</f>
        <v>0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1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80" ca="1" si="10">SUM(B67:N67)</f>
        <v>2</v>
      </c>
    </row>
    <row r="68" spans="1:15" x14ac:dyDescent="0.2">
      <c r="A68" s="95" t="s">
        <v>198</v>
      </c>
      <c r="B68" s="86">
        <f ca="1">COUNTIF(INDIRECT(ADDRESS(3,2,1,,B$2)):INDIRECT(ADDRESS(22,2,1,,B$2)),$A68)</f>
        <v>0</v>
      </c>
      <c r="C68" s="86">
        <f ca="1">COUNTIF(INDIRECT(ADDRESS(3,2,1,,C$2)):INDIRECT(ADDRESS(22,2,1,,C$2)),$A68)</f>
        <v>1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1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1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3</v>
      </c>
    </row>
    <row r="69" spans="1:15" x14ac:dyDescent="0.2">
      <c r="A69" s="95" t="s">
        <v>205</v>
      </c>
      <c r="B69" s="86">
        <f ca="1">COUNTIF(INDIRECT(ADDRESS(3,2,1,,B$2)):INDIRECT(ADDRESS(22,2,1,,B$2)),$A69)</f>
        <v>1</v>
      </c>
      <c r="C69" s="86">
        <f ca="1">COUNTIF(INDIRECT(ADDRESS(3,2,1,,C$2)):INDIRECT(ADDRESS(22,2,1,,C$2)),$A69)</f>
        <v>0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1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1</v>
      </c>
      <c r="I69" s="86">
        <f ca="1">COUNTIF(INDIRECT(ADDRESS(3,2,1,,I$2)):INDIRECT(ADDRESS(22,2,1,,I$2)),$A69)</f>
        <v>1</v>
      </c>
      <c r="J69" s="86">
        <f ca="1">COUNTIF(INDIRECT(ADDRESS(3,2,1,,J$2)):INDIRECT(ADDRESS(22,2,1,,J$2)),$A69)</f>
        <v>1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7</v>
      </c>
    </row>
    <row r="70" spans="1:15" x14ac:dyDescent="0.2">
      <c r="A70" s="95" t="s">
        <v>185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1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1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1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4</v>
      </c>
    </row>
    <row r="71" spans="1:15" x14ac:dyDescent="0.2">
      <c r="A71" s="95" t="s">
        <v>199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1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3</v>
      </c>
    </row>
    <row r="72" spans="1:15" x14ac:dyDescent="0.2">
      <c r="A72" s="95" t="s">
        <v>203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1</v>
      </c>
      <c r="H72" s="86">
        <f ca="1">COUNTIF(INDIRECT(ADDRESS(3,2,1,,H$2)):INDIRECT(ADDRESS(22,2,1,,H$2)),$A72)</f>
        <v>0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0</v>
      </c>
      <c r="O72" s="92">
        <f t="shared" ca="1" si="10"/>
        <v>4</v>
      </c>
    </row>
    <row r="73" spans="1:15" x14ac:dyDescent="0.2">
      <c r="A73" s="95" t="s">
        <v>202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1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1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2</v>
      </c>
    </row>
    <row r="74" spans="1:15" x14ac:dyDescent="0.2">
      <c r="A74" s="95" t="s">
        <v>201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1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1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2</v>
      </c>
    </row>
    <row r="75" spans="1:15" x14ac:dyDescent="0.2">
      <c r="A75" s="95" t="s">
        <v>196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1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">
      <c r="A76" s="95" t="s">
        <v>200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">
      <c r="A77" s="95" t="s">
        <v>197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1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1</v>
      </c>
    </row>
    <row r="78" spans="1:15" x14ac:dyDescent="0.2">
      <c r="A78" s="95" t="s">
        <v>204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0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0</v>
      </c>
    </row>
    <row r="79" spans="1:15" x14ac:dyDescent="0.2">
      <c r="A79" s="95" t="s">
        <v>179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">
      <c r="A80" s="95" t="s">
        <v>194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94" t="s">
        <v>171</v>
      </c>
      <c r="B82" s="89">
        <f t="shared" ref="B82:N82" ca="1" si="11">SUM(B83:B97)</f>
        <v>0</v>
      </c>
      <c r="C82" s="89">
        <f t="shared" ca="1" si="11"/>
        <v>0</v>
      </c>
      <c r="D82" s="89">
        <f t="shared" ca="1" si="11"/>
        <v>0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">
      <c r="A83" s="95" t="s">
        <v>208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95" t="s">
        <v>250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">
      <c r="A85" s="95" t="s">
        <v>251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">
      <c r="A86" s="95" t="s">
        <v>259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">
      <c r="A87" s="95" t="s">
        <v>253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">
      <c r="A88" s="95" t="s">
        <v>254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">
      <c r="A89" s="95" t="s">
        <v>285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">
      <c r="A90" s="95" t="s">
        <v>211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">
      <c r="A91" s="95" t="s">
        <v>163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">
      <c r="A92" s="95" t="s">
        <v>284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">
      <c r="A93" s="95" t="s">
        <v>282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">
      <c r="A94" s="95" t="s">
        <v>217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">
      <c r="A95" s="95" t="s">
        <v>206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94" t="s">
        <v>172</v>
      </c>
      <c r="B99" s="89">
        <f t="shared" ref="B99:N99" ca="1" si="13">SUM(B100:B112)</f>
        <v>1</v>
      </c>
      <c r="C99" s="89">
        <f t="shared" ca="1" si="13"/>
        <v>1</v>
      </c>
      <c r="D99" s="89">
        <f t="shared" ca="1" si="13"/>
        <v>1</v>
      </c>
      <c r="E99" s="89">
        <f t="shared" ca="1" si="13"/>
        <v>0</v>
      </c>
      <c r="F99" s="89">
        <f t="shared" ca="1" si="13"/>
        <v>0</v>
      </c>
      <c r="G99" s="89">
        <f t="shared" ca="1" si="13"/>
        <v>0</v>
      </c>
      <c r="H99" s="89">
        <f t="shared" ca="1" si="13"/>
        <v>2</v>
      </c>
      <c r="I99" s="89">
        <f t="shared" ca="1" si="13"/>
        <v>2</v>
      </c>
      <c r="J99" s="89">
        <f t="shared" ca="1" si="13"/>
        <v>1</v>
      </c>
      <c r="K99" s="89">
        <f t="shared" ca="1" si="13"/>
        <v>0</v>
      </c>
      <c r="L99" s="89">
        <f t="shared" ca="1" si="13"/>
        <v>0</v>
      </c>
      <c r="M99" s="89">
        <f t="shared" ca="1" si="13"/>
        <v>0</v>
      </c>
      <c r="N99" s="89">
        <f t="shared" ca="1" si="13"/>
        <v>0</v>
      </c>
      <c r="O99" s="91"/>
    </row>
    <row r="100" spans="1:15" x14ac:dyDescent="0.2">
      <c r="A100" s="95" t="s">
        <v>140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0</v>
      </c>
      <c r="D100" s="86">
        <f ca="1">COUNTIF(INDIRECT(ADDRESS(3,2,1,,D$2)):INDIRECT(ADDRESS(22,2,1,,D$2)),$A100)</f>
        <v>1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1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4</v>
      </c>
    </row>
    <row r="101" spans="1:15" x14ac:dyDescent="0.2">
      <c r="A101" s="95" t="s">
        <v>273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1</v>
      </c>
      <c r="I101" s="86">
        <f ca="1">COUNTIF(INDIRECT(ADDRESS(3,2,1,,I$2)):INDIRECT(ADDRESS(22,2,1,,I$2)),$A101)</f>
        <v>1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3</v>
      </c>
    </row>
    <row r="102" spans="1:15" x14ac:dyDescent="0.2">
      <c r="A102" s="95" t="s">
        <v>216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0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1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ca="1">SUM(B102:N102)</f>
        <v>1</v>
      </c>
    </row>
    <row r="103" spans="1:15" x14ac:dyDescent="0.2">
      <c r="A103" s="95" t="s">
        <v>215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94" t="s">
        <v>173</v>
      </c>
      <c r="B114" s="89">
        <f t="shared" ref="B114:N114" ca="1" si="14">SUM(B115:B127)</f>
        <v>0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">
      <c r="A115" s="95" t="s">
        <v>218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95" t="s">
        <v>225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0</v>
      </c>
    </row>
    <row r="117" spans="1:15" x14ac:dyDescent="0.2">
      <c r="A117" s="95" t="s">
        <v>219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">
      <c r="A118" s="95" t="s">
        <v>220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">
      <c r="A119" s="95" t="s">
        <v>226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">
      <c r="A120" s="95" t="s">
        <v>227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">
      <c r="A121" s="95" t="s">
        <v>221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">
      <c r="A122" s="95" t="s">
        <v>281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">
      <c r="A123" s="95" t="s">
        <v>222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">
      <c r="A124" s="95" t="s">
        <v>228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">
      <c r="A125" s="95" t="s">
        <v>223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">
      <c r="A126" s="95" t="s">
        <v>229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">
      <c r="A127" s="95" t="s">
        <v>230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94" t="s">
        <v>174</v>
      </c>
      <c r="B129" s="89">
        <f t="shared" ref="B129:N129" ca="1" si="16">SUM(B130:B142)</f>
        <v>0</v>
      </c>
      <c r="C129" s="89">
        <f t="shared" ca="1" si="16"/>
        <v>0</v>
      </c>
      <c r="D129" s="89">
        <f t="shared" ca="1" si="16"/>
        <v>0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1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">
      <c r="A130" s="95" t="s">
        <v>168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1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1</v>
      </c>
    </row>
    <row r="131" spans="1:15" x14ac:dyDescent="0.2">
      <c r="A131" s="95" t="s">
        <v>141</v>
      </c>
      <c r="B131" s="86">
        <f ca="1">COUNTIF(INDIRECT(ADDRESS(3,2,1,,B$2)):INDIRECT(ADDRESS(22,2,1,,B$2)),$A131)</f>
        <v>0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0</v>
      </c>
    </row>
    <row r="132" spans="1:15" x14ac:dyDescent="0.2">
      <c r="A132" s="95" t="s">
        <v>263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0</v>
      </c>
    </row>
    <row r="133" spans="1:15" x14ac:dyDescent="0.2">
      <c r="A133" s="95" t="s">
        <v>257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">
      <c r="A134" s="95" t="s">
        <v>231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">
      <c r="A135" s="95" t="s">
        <v>237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">
      <c r="A136" s="95" t="s">
        <v>256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">
      <c r="A137" s="95" t="s">
        <v>260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">
      <c r="A138" s="95" t="s">
        <v>232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">
      <c r="A139" s="95" t="s">
        <v>233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">
      <c r="A140" s="95" t="s">
        <v>262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">
      <c r="A141" s="95" t="s">
        <v>235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94" t="s">
        <v>276</v>
      </c>
      <c r="B144" s="89">
        <f t="shared" ref="B144:N144" ca="1" si="18">SUM(B145:B157)</f>
        <v>2</v>
      </c>
      <c r="C144" s="89">
        <f t="shared" ca="1" si="18"/>
        <v>1</v>
      </c>
      <c r="D144" s="89">
        <f t="shared" ca="1" si="18"/>
        <v>3</v>
      </c>
      <c r="E144" s="89">
        <f t="shared" ca="1" si="18"/>
        <v>2</v>
      </c>
      <c r="F144" s="89">
        <f t="shared" ca="1" si="18"/>
        <v>4</v>
      </c>
      <c r="G144" s="89">
        <f t="shared" ca="1" si="18"/>
        <v>4</v>
      </c>
      <c r="H144" s="89">
        <f t="shared" ca="1" si="18"/>
        <v>3</v>
      </c>
      <c r="I144" s="89">
        <f t="shared" ca="1" si="18"/>
        <v>2</v>
      </c>
      <c r="J144" s="89">
        <f t="shared" ca="1" si="18"/>
        <v>4</v>
      </c>
      <c r="K144" s="89">
        <f t="shared" ca="1" si="18"/>
        <v>0</v>
      </c>
      <c r="L144" s="89">
        <f t="shared" ca="1" si="18"/>
        <v>0</v>
      </c>
      <c r="M144" s="89">
        <f t="shared" ca="1" si="18"/>
        <v>0</v>
      </c>
      <c r="N144" s="89">
        <f t="shared" ca="1" si="18"/>
        <v>0</v>
      </c>
      <c r="O144" s="91"/>
    </row>
    <row r="145" spans="1:15" x14ac:dyDescent="0.2">
      <c r="A145" s="95" t="s">
        <v>236</v>
      </c>
      <c r="B145" s="86">
        <f ca="1">COUNTIF(INDIRECT(ADDRESS(3,2,1,,B$2)):INDIRECT(ADDRESS(22,2,1,,B$2)),$A145)</f>
        <v>0</v>
      </c>
      <c r="C145" s="86">
        <f ca="1">COUNTIF(INDIRECT(ADDRESS(3,2,1,,C$2)):INDIRECT(ADDRESS(22,2,1,,C$2)),$A145)</f>
        <v>1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1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3</v>
      </c>
    </row>
    <row r="146" spans="1:15" x14ac:dyDescent="0.2">
      <c r="A146" s="95" t="s">
        <v>241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1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4</v>
      </c>
    </row>
    <row r="147" spans="1:15" x14ac:dyDescent="0.2">
      <c r="A147" s="95" t="s">
        <v>242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1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0</v>
      </c>
      <c r="N147" s="86">
        <f ca="1">COUNTIF(INDIRECT(ADDRESS(3,2,1,,N$2)):INDIRECT(ADDRESS(22,2,1,,N$2)),$A147)</f>
        <v>0</v>
      </c>
      <c r="O147" s="92">
        <f t="shared" ca="1" si="19"/>
        <v>5</v>
      </c>
    </row>
    <row r="148" spans="1:15" x14ac:dyDescent="0.2">
      <c r="A148" s="95" t="s">
        <v>243</v>
      </c>
      <c r="B148" s="86">
        <f ca="1">COUNTIF(INDIRECT(ADDRESS(3,2,1,,B$2)):INDIRECT(ADDRESS(22,2,1,,B$2)),$A148)</f>
        <v>1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1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2</v>
      </c>
    </row>
    <row r="149" spans="1:15" x14ac:dyDescent="0.2">
      <c r="A149" s="95" t="s">
        <v>154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1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0</v>
      </c>
      <c r="J149" s="86">
        <f ca="1">COUNTIF(INDIRECT(ADDRESS(3,2,1,,J$2)):INDIRECT(ADDRESS(22,2,1,,J$2)),$A149)</f>
        <v>1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">
      <c r="A150" s="95" t="s">
        <v>142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1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1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3</v>
      </c>
    </row>
    <row r="151" spans="1:15" x14ac:dyDescent="0.2">
      <c r="A151" s="95" t="s">
        <v>161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1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0</v>
      </c>
      <c r="G151" s="86">
        <f ca="1">COUNTIF(INDIRECT(ADDRESS(3,2,1,,G$2)):INDIRECT(ADDRESS(22,2,1,,G$2)),$A151)</f>
        <v>1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0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2</v>
      </c>
    </row>
    <row r="152" spans="1:15" x14ac:dyDescent="0.2">
      <c r="A152" s="95" t="s">
        <v>145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0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0</v>
      </c>
      <c r="O152" s="92">
        <f t="shared" ca="1" si="19"/>
        <v>3</v>
      </c>
    </row>
    <row r="153" spans="1:15" x14ac:dyDescent="0.2">
      <c r="A153" s="95" t="s">
        <v>238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0</v>
      </c>
      <c r="H153" s="86">
        <f ca="1">COUNTIF(INDIRECT(ADDRESS(3,2,1,,H$2)):INDIRECT(ADDRESS(22,2,1,,H$2)),$A153)</f>
        <v>1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0</v>
      </c>
      <c r="O153" s="92">
        <f t="shared" ca="1" si="19"/>
        <v>1</v>
      </c>
    </row>
    <row r="154" spans="1:15" x14ac:dyDescent="0.2">
      <c r="A154" s="95" t="s">
        <v>239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">
      <c r="A155" s="95" t="s">
        <v>240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0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19"/>
        <v>0</v>
      </c>
    </row>
    <row r="156" spans="1:15" x14ac:dyDescent="0.2">
      <c r="A156" s="95" t="s">
        <v>244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5" thickBot="1" x14ac:dyDescent="0.25">
      <c r="A159" s="94" t="s">
        <v>175</v>
      </c>
      <c r="B159" s="89">
        <f t="shared" ref="B159:N159" ca="1" si="20">SUM(B160:B172)</f>
        <v>7</v>
      </c>
      <c r="C159" s="89">
        <f t="shared" ca="1" si="20"/>
        <v>6</v>
      </c>
      <c r="D159" s="89">
        <f ca="1">SUM(D160:D173)</f>
        <v>7</v>
      </c>
      <c r="E159" s="89">
        <f t="shared" ca="1" si="20"/>
        <v>8</v>
      </c>
      <c r="F159" s="89">
        <f t="shared" ca="1" si="20"/>
        <v>2</v>
      </c>
      <c r="G159" s="89">
        <f t="shared" ca="1" si="20"/>
        <v>8</v>
      </c>
      <c r="H159" s="89">
        <f t="shared" ca="1" si="20"/>
        <v>7</v>
      </c>
      <c r="I159" s="89">
        <f t="shared" ca="1" si="20"/>
        <v>8</v>
      </c>
      <c r="J159" s="89">
        <f t="shared" ca="1" si="20"/>
        <v>4</v>
      </c>
      <c r="K159" s="89">
        <f t="shared" ca="1" si="20"/>
        <v>8</v>
      </c>
      <c r="L159" s="89">
        <f t="shared" ca="1" si="20"/>
        <v>0</v>
      </c>
      <c r="M159" s="89">
        <f t="shared" ca="1" si="20"/>
        <v>0</v>
      </c>
      <c r="N159" s="89">
        <f t="shared" ca="1" si="20"/>
        <v>0</v>
      </c>
      <c r="O159" s="91"/>
    </row>
    <row r="160" spans="1:15" x14ac:dyDescent="0.2">
      <c r="A160" s="95" t="s">
        <v>150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0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0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1</v>
      </c>
      <c r="L160" s="86">
        <f ca="1">COUNTIF(INDIRECT(ADDRESS(3,2,1,,L$2)):INDIRECT(ADDRESS(22,2,1,,L$2)),$A160)</f>
        <v>0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ref="O160:O173" ca="1" si="21">SUM(B160:N160)</f>
        <v>7</v>
      </c>
    </row>
    <row r="161" spans="1:15" x14ac:dyDescent="0.2">
      <c r="A161" s="95" t="s">
        <v>245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1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1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0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0</v>
      </c>
      <c r="O161" s="92">
        <f t="shared" ca="1" si="21"/>
        <v>5</v>
      </c>
    </row>
    <row r="162" spans="1:15" x14ac:dyDescent="0.2">
      <c r="A162" s="95" t="s">
        <v>137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0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0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0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0</v>
      </c>
      <c r="N162" s="86">
        <f ca="1">COUNTIF(INDIRECT(ADDRESS(3,2,1,,N$2)):INDIRECT(ADDRESS(22,2,1,,N$2)),$A162)</f>
        <v>0</v>
      </c>
      <c r="O162" s="92">
        <f t="shared" ca="1" si="21"/>
        <v>5</v>
      </c>
    </row>
    <row r="163" spans="1:15" x14ac:dyDescent="0.2">
      <c r="A163" s="95" t="s">
        <v>248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1</v>
      </c>
      <c r="I163" s="86">
        <f ca="1">COUNTIF(INDIRECT(ADDRESS(3,2,1,,I$2)):INDIRECT(ADDRESS(22,2,1,,I$2)),$A163)</f>
        <v>1</v>
      </c>
      <c r="J163" s="86">
        <f ca="1">COUNTIF(INDIRECT(ADDRESS(3,2,1,,J$2)):INDIRECT(ADDRESS(22,2,1,,J$2)),$A163)</f>
        <v>1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0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0</v>
      </c>
      <c r="O163" s="92">
        <f t="shared" ca="1" si="21"/>
        <v>6</v>
      </c>
    </row>
    <row r="164" spans="1:15" x14ac:dyDescent="0.2">
      <c r="A164" s="95" t="s">
        <v>138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1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1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1"/>
        <v>4</v>
      </c>
    </row>
    <row r="165" spans="1:15" x14ac:dyDescent="0.2">
      <c r="A165" s="95" t="s">
        <v>148</v>
      </c>
      <c r="B165" s="86">
        <f ca="1">COUNTIF(INDIRECT(ADDRESS(3,2,1,,B$2)):INDIRECT(ADDRESS(22,2,1,,B$2)),$A165)</f>
        <v>1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0</v>
      </c>
      <c r="E165" s="86">
        <f ca="1">COUNTIF(INDIRECT(ADDRESS(3,2,1,,E$2)):INDIRECT(ADDRESS(22,2,1,,E$2)),$A165)</f>
        <v>1</v>
      </c>
      <c r="F165" s="86">
        <f ca="1">COUNTIF(INDIRECT(ADDRESS(3,2,1,,F$2)):INDIRECT(ADDRESS(22,2,1,,F$2)),$A165)</f>
        <v>1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0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1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0</v>
      </c>
      <c r="O165" s="92">
        <f t="shared" ca="1" si="21"/>
        <v>5</v>
      </c>
    </row>
    <row r="166" spans="1:15" x14ac:dyDescent="0.2">
      <c r="A166" s="95" t="s">
        <v>159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1</v>
      </c>
      <c r="E166" s="86">
        <f ca="1">COUNTIF(INDIRECT(ADDRESS(3,2,1,,E$2)):INDIRECT(ADDRESS(22,2,1,,E$2)),$A166)</f>
        <v>0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1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0</v>
      </c>
      <c r="N166" s="86">
        <f ca="1">COUNTIF(INDIRECT(ADDRESS(3,2,1,,N$2)):INDIRECT(ADDRESS(22,2,1,,N$2)),$A166)</f>
        <v>0</v>
      </c>
      <c r="O166" s="92">
        <f t="shared" ca="1" si="21"/>
        <v>6</v>
      </c>
    </row>
    <row r="167" spans="1:15" x14ac:dyDescent="0.2">
      <c r="A167" s="95" t="s">
        <v>188</v>
      </c>
      <c r="B167" s="86">
        <f ca="1">COUNTIF(INDIRECT(ADDRESS(3,2,1,,B$2)):INDIRECT(ADDRESS(22,2,1,,B$2)),$A167)</f>
        <v>1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1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1</v>
      </c>
      <c r="J167" s="86">
        <f ca="1">COUNTIF(INDIRECT(ADDRESS(3,2,1,,J$2)):INDIRECT(ADDRESS(22,2,1,,J$2)),$A167)</f>
        <v>0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">
      <c r="A168" s="95" t="s">
        <v>247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1</v>
      </c>
      <c r="F168" s="86">
        <f ca="1">COUNTIF(INDIRECT(ADDRESS(3,2,1,,F$2)):INDIRECT(ADDRESS(22,2,1,,F$2)),$A168)</f>
        <v>0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1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0</v>
      </c>
      <c r="O168" s="92">
        <f t="shared" ca="1" si="21"/>
        <v>6</v>
      </c>
    </row>
    <row r="169" spans="1:15" x14ac:dyDescent="0.2">
      <c r="A169" s="95" t="s">
        <v>152</v>
      </c>
      <c r="B169" s="86">
        <f ca="1">COUNTIF(INDIRECT(ADDRESS(3,2,1,,B$2)):INDIRECT(ADDRESS(22,2,1,,B$2)),$A169)</f>
        <v>1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0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0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0</v>
      </c>
      <c r="O169" s="92">
        <f t="shared" ca="1" si="21"/>
        <v>4</v>
      </c>
    </row>
    <row r="170" spans="1:15" x14ac:dyDescent="0.2">
      <c r="A170" s="95" t="s">
        <v>153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1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0</v>
      </c>
      <c r="J170" s="86">
        <f ca="1">COUNTIF(INDIRECT(ADDRESS(3,2,1,,J$2)):INDIRECT(ADDRESS(22,2,1,,J$2)),$A170)</f>
        <v>1</v>
      </c>
      <c r="K170" s="86">
        <f ca="1">COUNTIF(INDIRECT(ADDRESS(3,2,1,,K$2)):INDIRECT(ADDRESS(22,2,1,,K$2)),$A170)</f>
        <v>0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1"/>
        <v>6</v>
      </c>
    </row>
    <row r="171" spans="1:15" x14ac:dyDescent="0.2">
      <c r="A171" s="95" t="s">
        <v>184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0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1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0</v>
      </c>
      <c r="O171" s="92">
        <f t="shared" ca="1" si="21"/>
        <v>2</v>
      </c>
    </row>
    <row r="172" spans="1:15" x14ac:dyDescent="0.2">
      <c r="A172" s="95" t="s">
        <v>246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1</v>
      </c>
      <c r="D172" s="86">
        <f ca="1">COUNTIF(INDIRECT(ADDRESS(3,2,1,,D$2)):INDIRECT(ADDRESS(22,2,1,,D$2)),$A172)</f>
        <v>0</v>
      </c>
      <c r="E172" s="86">
        <f ca="1">COUNTIF(INDIRECT(ADDRESS(3,2,1,,E$2)):INDIRECT(ADDRESS(22,2,1,,E$2)),$A172)</f>
        <v>1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1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1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1"/>
        <v>4</v>
      </c>
    </row>
    <row r="173" spans="1:15" x14ac:dyDescent="0.2">
      <c r="A173" s="95" t="s">
        <v>160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0</v>
      </c>
      <c r="J173" s="86">
        <f ca="1">COUNTIF(INDIRECT(ADDRESS(3,2,1,,J$2)):INDIRECT(ADDRESS(22,2,1,,J$2)),$A173)</f>
        <v>0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0</v>
      </c>
      <c r="O173" s="92">
        <f t="shared" ca="1" si="21"/>
        <v>1</v>
      </c>
    </row>
    <row r="174" spans="1:15" s="28" customFormat="1" x14ac:dyDescent="0.2"/>
    <row r="178" spans="1:15" ht="13.5" thickBot="1" x14ac:dyDescent="0.25">
      <c r="A178" s="94" t="s">
        <v>176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">
      <c r="A179" s="95" t="s">
        <v>302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95" t="s">
        <v>249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">
      <c r="A181" s="95" t="s">
        <v>303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">
      <c r="A182" s="95" t="s">
        <v>286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">
      <c r="A183" s="95" t="s">
        <v>258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">
      <c r="A184" s="95" t="s">
        <v>252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">
      <c r="A185" s="95" t="s">
        <v>261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">
      <c r="A186" s="95" t="s">
        <v>270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">
      <c r="A187" s="95" t="s">
        <v>287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">
      <c r="A188" s="95" t="s">
        <v>255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95" t="s">
        <v>149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/>
  </sheetViews>
  <sheetFormatPr defaultRowHeight="12.75" x14ac:dyDescent="0.2"/>
  <cols>
    <col min="1" max="1" width="19.28515625" bestFit="1" customWidth="1"/>
    <col min="2" max="14" width="6.5703125" bestFit="1" customWidth="1"/>
    <col min="15" max="15" width="11.28515625" style="90" customWidth="1"/>
    <col min="16" max="23" width="3.28515625" customWidth="1"/>
  </cols>
  <sheetData>
    <row r="2" spans="1:23" ht="26.25" thickBot="1" x14ac:dyDescent="0.25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264</v>
      </c>
    </row>
    <row r="3" spans="1:23" x14ac:dyDescent="0.2">
      <c r="A3" s="102" t="str">
        <f>A$144</f>
        <v>Pacific 12</v>
      </c>
      <c r="B3" s="103">
        <f t="shared" ref="B3:N13" ca="1" si="0">SUMIF($A$19:$A$201,$A3,B$19:B$201)</f>
        <v>0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0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0</v>
      </c>
      <c r="N3" s="103">
        <f t="shared" ca="1" si="0"/>
        <v>0</v>
      </c>
      <c r="O3" s="92">
        <f t="shared" ref="O3:O13" ca="1" si="1">SUM(B3:N3)</f>
        <v>0</v>
      </c>
      <c r="P3" s="2"/>
      <c r="Q3" s="2"/>
      <c r="R3" s="2"/>
      <c r="S3" s="2"/>
      <c r="T3" s="2"/>
      <c r="U3" s="2"/>
      <c r="V3" s="2"/>
      <c r="W3" s="2"/>
    </row>
    <row r="4" spans="1:23" x14ac:dyDescent="0.2">
      <c r="A4" s="102" t="str">
        <f>A$159</f>
        <v>Southeastern</v>
      </c>
      <c r="B4" s="103">
        <f t="shared" ca="1" si="0"/>
        <v>1</v>
      </c>
      <c r="C4" s="103">
        <f t="shared" ca="1" si="0"/>
        <v>1</v>
      </c>
      <c r="D4" s="103">
        <f t="shared" ca="1" si="0"/>
        <v>0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2</v>
      </c>
      <c r="L4" s="103">
        <f t="shared" ca="1" si="0"/>
        <v>0</v>
      </c>
      <c r="M4" s="103">
        <f t="shared" ca="1" si="0"/>
        <v>0</v>
      </c>
      <c r="N4" s="103">
        <f t="shared" ca="1" si="0"/>
        <v>0</v>
      </c>
      <c r="O4" s="92">
        <f t="shared" ca="1" si="1"/>
        <v>8</v>
      </c>
    </row>
    <row r="5" spans="1:23" x14ac:dyDescent="0.2">
      <c r="A5" s="102" t="str">
        <f>A$36</f>
        <v>Big 12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">
      <c r="A6" s="102" t="str">
        <f>A$66</f>
        <v>Big Ten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2</v>
      </c>
      <c r="F6" s="103">
        <f t="shared" ca="1" si="0"/>
        <v>0</v>
      </c>
      <c r="G6" s="103">
        <f t="shared" ca="1" si="0"/>
        <v>0</v>
      </c>
      <c r="H6" s="103">
        <f t="shared" ca="1" si="0"/>
        <v>2</v>
      </c>
      <c r="I6" s="103">
        <f t="shared" ca="1" si="0"/>
        <v>0</v>
      </c>
      <c r="J6" s="103">
        <f t="shared" ca="1" si="0"/>
        <v>2</v>
      </c>
      <c r="K6" s="103">
        <f t="shared" ca="1" si="0"/>
        <v>0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6</v>
      </c>
    </row>
    <row r="7" spans="1:23" x14ac:dyDescent="0.2">
      <c r="A7" s="102" t="str">
        <f>A$19</f>
        <v>Atlantic Coast</v>
      </c>
      <c r="B7" s="103">
        <f t="shared" ca="1" si="0"/>
        <v>1</v>
      </c>
      <c r="C7" s="103">
        <f t="shared" ca="1" si="0"/>
        <v>1</v>
      </c>
      <c r="D7" s="103">
        <f t="shared" ca="1" si="0"/>
        <v>2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 x14ac:dyDescent="0.2">
      <c r="A8" s="102" t="str">
        <f>A$99</f>
        <v>Independents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">
      <c r="A9" s="102" t="str">
        <f>A$52</f>
        <v>American Athletic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">
      <c r="A10" s="102" t="str">
        <f>A$82</f>
        <v>Conference USA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">
      <c r="A11" s="102" t="str">
        <f>A$114</f>
        <v>Mid American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">
      <c r="A12" s="102" t="str">
        <f>A$129</f>
        <v>Mountain West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0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0</v>
      </c>
    </row>
    <row r="13" spans="1:23" x14ac:dyDescent="0.2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0</v>
      </c>
      <c r="M14" s="107">
        <f t="shared" ca="1" si="2"/>
        <v>0</v>
      </c>
      <c r="N14" s="107">
        <f t="shared" ca="1" si="2"/>
        <v>0</v>
      </c>
      <c r="O14" s="107">
        <f t="shared" ca="1" si="2"/>
        <v>20</v>
      </c>
      <c r="P14" s="2"/>
      <c r="Q14" s="2"/>
      <c r="R14" s="2"/>
      <c r="S14" s="2"/>
      <c r="T14" s="2"/>
      <c r="U14" s="2"/>
      <c r="V14" s="2"/>
      <c r="W14" s="2"/>
    </row>
    <row r="15" spans="1:23" x14ac:dyDescent="0.2">
      <c r="O15"/>
    </row>
    <row r="19" spans="1:15" s="28" customFormat="1" ht="13.5" thickBot="1" x14ac:dyDescent="0.25">
      <c r="A19" s="104" t="s">
        <v>177</v>
      </c>
      <c r="B19" s="100">
        <f ca="1">SUM(B20:B34)</f>
        <v>1</v>
      </c>
      <c r="C19" s="100">
        <f t="shared" ref="C19:N19" ca="1" si="3">SUM(C20:C34)</f>
        <v>1</v>
      </c>
      <c r="D19" s="100">
        <f t="shared" ca="1" si="3"/>
        <v>2</v>
      </c>
      <c r="E19" s="100">
        <f t="shared" ca="1" si="3"/>
        <v>0</v>
      </c>
      <c r="F19" s="100">
        <f t="shared" ca="1" si="3"/>
        <v>2</v>
      </c>
      <c r="G19" s="100">
        <f t="shared" ca="1" si="3"/>
        <v>0</v>
      </c>
      <c r="H19" s="100">
        <f t="shared" ca="1" si="3"/>
        <v>0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0</v>
      </c>
      <c r="N19" s="100">
        <f t="shared" ca="1" si="3"/>
        <v>0</v>
      </c>
      <c r="O19" s="101"/>
    </row>
    <row r="20" spans="1:15" x14ac:dyDescent="0.2">
      <c r="A20" s="105" t="s">
        <v>156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1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1</v>
      </c>
    </row>
    <row r="21" spans="1:15" x14ac:dyDescent="0.2">
      <c r="A21" s="105" t="s">
        <v>139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1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">
      <c r="A23" s="105" t="s">
        <v>144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0</v>
      </c>
    </row>
    <row r="24" spans="1:15" x14ac:dyDescent="0.2">
      <c r="A24" s="105" t="s">
        <v>180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">
      <c r="A25" s="105" t="s">
        <v>155</v>
      </c>
      <c r="B25" s="103">
        <f ca="1">COUNTIF(INDIRECT(ADDRESS(21,2,1,,B$2)):INDIRECT(ADDRESS(22,2,1,,B$2)),$A25)</f>
        <v>1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1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2</v>
      </c>
    </row>
    <row r="26" spans="1:15" x14ac:dyDescent="0.2">
      <c r="A26" s="105" t="s">
        <v>192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1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1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2</v>
      </c>
    </row>
    <row r="27" spans="1:15" x14ac:dyDescent="0.2">
      <c r="A27" s="105" t="s">
        <v>157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">
      <c r="A28" s="105" t="s">
        <v>169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">
      <c r="A29" s="105" t="s">
        <v>164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">
      <c r="A30" s="105" t="s">
        <v>193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">
      <c r="A31" s="105" t="s">
        <v>146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">
      <c r="A32" s="105" t="s">
        <v>181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">
      <c r="A33" s="105" t="s">
        <v>143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5" thickBot="1" x14ac:dyDescent="0.25">
      <c r="A36" s="104" t="s">
        <v>178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">
      <c r="A37" s="105" t="s">
        <v>186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">
      <c r="A38" s="105" t="s">
        <v>158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">
      <c r="A39" s="105" t="s">
        <v>234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">
      <c r="A40" s="105" t="s">
        <v>182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">
      <c r="A41" s="105" t="s">
        <v>183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">
      <c r="A42" s="105" t="s">
        <v>151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">
      <c r="A43" s="105" t="s">
        <v>147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">
      <c r="A44" s="105" t="s">
        <v>187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">
      <c r="A45" s="105" t="s">
        <v>189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">
      <c r="A46" s="105" t="s">
        <v>195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5" thickBot="1" x14ac:dyDescent="0.25">
      <c r="A52" s="104" t="s">
        <v>283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">
      <c r="A53" s="105" t="s">
        <v>224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3" ca="1" si="8">SUM(B53:N53)</f>
        <v>0</v>
      </c>
    </row>
    <row r="54" spans="1:15" x14ac:dyDescent="0.2">
      <c r="A54" s="105" t="s">
        <v>190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">
      <c r="A55" s="105" t="s">
        <v>191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">
      <c r="A56" s="105" t="s">
        <v>210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">
      <c r="A57" s="105" t="s">
        <v>213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">
      <c r="A58" s="105" t="s">
        <v>209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">
      <c r="A59" s="105" t="s">
        <v>214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">
      <c r="A60" s="105" t="s">
        <v>166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">
      <c r="A61" s="105" t="s">
        <v>212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">
      <c r="A62" s="105" t="s">
        <v>207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">
      <c r="A63" s="105" t="s">
        <v>165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ca="1" si="8"/>
        <v>0</v>
      </c>
    </row>
    <row r="66" spans="1:15" s="28" customFormat="1" ht="13.5" thickBot="1" x14ac:dyDescent="0.25">
      <c r="A66" s="104" t="s">
        <v>170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2</v>
      </c>
      <c r="F66" s="100">
        <f t="shared" ca="1" si="9"/>
        <v>0</v>
      </c>
      <c r="G66" s="100">
        <f t="shared" ca="1" si="9"/>
        <v>0</v>
      </c>
      <c r="H66" s="100">
        <f t="shared" ca="1" si="9"/>
        <v>2</v>
      </c>
      <c r="I66" s="100">
        <f t="shared" ca="1" si="9"/>
        <v>0</v>
      </c>
      <c r="J66" s="100">
        <f t="shared" ca="1" si="9"/>
        <v>2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0</v>
      </c>
      <c r="O66" s="101"/>
    </row>
    <row r="67" spans="1:15" x14ac:dyDescent="0.2">
      <c r="A67" s="105" t="s">
        <v>199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1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80" ca="1" si="10">SUM(B67:N67)</f>
        <v>1</v>
      </c>
    </row>
    <row r="68" spans="1:15" x14ac:dyDescent="0.2">
      <c r="A68" s="105" t="s">
        <v>202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1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0"/>
        <v>1</v>
      </c>
    </row>
    <row r="69" spans="1:15" x14ac:dyDescent="0.2">
      <c r="A69" s="105" t="s">
        <v>196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">
      <c r="A70" s="105" t="s">
        <v>197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">
      <c r="A71" s="105" t="s">
        <v>198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">
      <c r="A72" s="105" t="s">
        <v>162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">
      <c r="A73" s="105" t="s">
        <v>200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">
      <c r="A74" s="105" t="s">
        <v>185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1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1</v>
      </c>
    </row>
    <row r="75" spans="1:15" x14ac:dyDescent="0.2">
      <c r="A75" s="105" t="s">
        <v>201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0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0</v>
      </c>
    </row>
    <row r="76" spans="1:15" x14ac:dyDescent="0.2">
      <c r="A76" s="105" t="s">
        <v>203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">
      <c r="A77" s="105" t="s">
        <v>204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">
      <c r="A78" s="105" t="s">
        <v>205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1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1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1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3</v>
      </c>
    </row>
    <row r="79" spans="1:15" x14ac:dyDescent="0.2">
      <c r="A79" s="105" t="s">
        <v>179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ca="1" si="10"/>
        <v>0</v>
      </c>
    </row>
    <row r="80" spans="1:15" x14ac:dyDescent="0.2">
      <c r="A80" s="105" t="s">
        <v>194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0"/>
        <v>0</v>
      </c>
    </row>
    <row r="82" spans="1:15" s="28" customFormat="1" ht="13.5" thickBot="1" x14ac:dyDescent="0.25">
      <c r="A82" s="104" t="s">
        <v>171</v>
      </c>
      <c r="B82" s="100">
        <f t="shared" ref="B82:N82" ca="1" si="11">SUM(B83:B97)</f>
        <v>0</v>
      </c>
      <c r="C82" s="100">
        <f t="shared" ca="1" si="11"/>
        <v>0</v>
      </c>
      <c r="D82" s="100">
        <f t="shared" ca="1" si="11"/>
        <v>0</v>
      </c>
      <c r="E82" s="100">
        <f t="shared" ca="1" si="11"/>
        <v>0</v>
      </c>
      <c r="F82" s="100">
        <f t="shared" ca="1" si="11"/>
        <v>0</v>
      </c>
      <c r="G82" s="100">
        <f t="shared" ca="1" si="11"/>
        <v>0</v>
      </c>
      <c r="H82" s="100">
        <f t="shared" ca="1" si="11"/>
        <v>0</v>
      </c>
      <c r="I82" s="100">
        <f t="shared" ca="1" si="11"/>
        <v>0</v>
      </c>
      <c r="J82" s="100">
        <f t="shared" ca="1" si="11"/>
        <v>0</v>
      </c>
      <c r="K82" s="100">
        <f t="shared" ca="1" si="11"/>
        <v>0</v>
      </c>
      <c r="L82" s="100">
        <f t="shared" ca="1" si="11"/>
        <v>0</v>
      </c>
      <c r="M82" s="100">
        <f t="shared" ca="1" si="11"/>
        <v>0</v>
      </c>
      <c r="N82" s="100">
        <f t="shared" ca="1" si="11"/>
        <v>0</v>
      </c>
      <c r="O82" s="101"/>
    </row>
    <row r="83" spans="1:15" x14ac:dyDescent="0.2">
      <c r="A83" s="105" t="s">
        <v>250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2">SUM(B83:N83)</f>
        <v>0</v>
      </c>
    </row>
    <row r="84" spans="1:15" x14ac:dyDescent="0.2">
      <c r="A84" s="105" t="s">
        <v>251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">
      <c r="A85" s="105" t="s">
        <v>259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">
      <c r="A86" s="105" t="s">
        <v>208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">
      <c r="A87" s="105" t="s">
        <v>253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">
      <c r="A88" s="105" t="s">
        <v>254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">
      <c r="A89" s="105" t="s">
        <v>285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">
      <c r="A90" s="105" t="s">
        <v>211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">
      <c r="A91" s="105" t="s">
        <v>163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">
      <c r="A92" s="105" t="s">
        <v>284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">
      <c r="A93" s="105" t="s">
        <v>282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">
      <c r="A94" s="105" t="s">
        <v>217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">
      <c r="A95" s="105" t="s">
        <v>206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9" spans="1:15" s="28" customFormat="1" ht="13.5" thickBot="1" x14ac:dyDescent="0.25">
      <c r="A99" s="104" t="s">
        <v>172</v>
      </c>
      <c r="B99" s="100">
        <f t="shared" ref="B99:N99" ca="1" si="13">SUM(B100:B112)</f>
        <v>0</v>
      </c>
      <c r="C99" s="100">
        <f t="shared" ca="1" si="13"/>
        <v>0</v>
      </c>
      <c r="D99" s="100">
        <f t="shared" ca="1" si="13"/>
        <v>0</v>
      </c>
      <c r="E99" s="100">
        <f t="shared" ca="1" si="13"/>
        <v>0</v>
      </c>
      <c r="F99" s="100">
        <f t="shared" ca="1" si="13"/>
        <v>0</v>
      </c>
      <c r="G99" s="100">
        <f t="shared" ca="1" si="13"/>
        <v>0</v>
      </c>
      <c r="H99" s="100">
        <f t="shared" ca="1" si="13"/>
        <v>0</v>
      </c>
      <c r="I99" s="100">
        <f t="shared" ca="1" si="13"/>
        <v>0</v>
      </c>
      <c r="J99" s="100">
        <f t="shared" ca="1" si="13"/>
        <v>0</v>
      </c>
      <c r="K99" s="100">
        <f t="shared" ca="1" si="13"/>
        <v>0</v>
      </c>
      <c r="L99" s="100">
        <f t="shared" ca="1" si="13"/>
        <v>0</v>
      </c>
      <c r="M99" s="100">
        <f t="shared" ca="1" si="13"/>
        <v>0</v>
      </c>
      <c r="N99" s="100">
        <f t="shared" ca="1" si="13"/>
        <v>0</v>
      </c>
      <c r="O99" s="101"/>
    </row>
    <row r="100" spans="1:15" x14ac:dyDescent="0.2">
      <c r="A100" s="105" t="s">
        <v>140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ca="1">SUM(B100:N100)</f>
        <v>0</v>
      </c>
    </row>
    <row r="101" spans="1:15" x14ac:dyDescent="0.2">
      <c r="A101" s="105" t="s">
        <v>215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ca="1">SUM(B101:N101)</f>
        <v>0</v>
      </c>
    </row>
    <row r="102" spans="1:15" x14ac:dyDescent="0.2">
      <c r="A102" s="105" t="s">
        <v>273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ca="1">SUM(B102:N102)</f>
        <v>0</v>
      </c>
    </row>
    <row r="103" spans="1:15" x14ac:dyDescent="0.2">
      <c r="A103" s="105" t="s">
        <v>216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ca="1">SUM(B103:N103)</f>
        <v>0</v>
      </c>
    </row>
    <row r="114" spans="1:15" s="28" customFormat="1" ht="13.5" thickBot="1" x14ac:dyDescent="0.25">
      <c r="A114" s="104" t="s">
        <v>173</v>
      </c>
      <c r="B114" s="100">
        <f t="shared" ref="B114:N114" ca="1" si="14">SUM(B115:B127)</f>
        <v>0</v>
      </c>
      <c r="C114" s="100">
        <f t="shared" ca="1" si="14"/>
        <v>0</v>
      </c>
      <c r="D114" s="100">
        <f t="shared" ca="1" si="14"/>
        <v>0</v>
      </c>
      <c r="E114" s="100">
        <f t="shared" ca="1" si="14"/>
        <v>0</v>
      </c>
      <c r="F114" s="100">
        <f t="shared" ca="1" si="14"/>
        <v>0</v>
      </c>
      <c r="G114" s="100">
        <f t="shared" ca="1" si="14"/>
        <v>0</v>
      </c>
      <c r="H114" s="100">
        <f t="shared" ca="1" si="14"/>
        <v>0</v>
      </c>
      <c r="I114" s="100">
        <f t="shared" ca="1" si="14"/>
        <v>0</v>
      </c>
      <c r="J114" s="100">
        <f t="shared" ca="1" si="14"/>
        <v>0</v>
      </c>
      <c r="K114" s="100">
        <f t="shared" ca="1" si="14"/>
        <v>0</v>
      </c>
      <c r="L114" s="100">
        <f t="shared" ca="1" si="14"/>
        <v>0</v>
      </c>
      <c r="M114" s="100">
        <f t="shared" ca="1" si="14"/>
        <v>0</v>
      </c>
      <c r="N114" s="100">
        <f t="shared" ca="1" si="14"/>
        <v>0</v>
      </c>
      <c r="O114" s="101"/>
    </row>
    <row r="115" spans="1:15" x14ac:dyDescent="0.2">
      <c r="A115" s="105" t="s">
        <v>218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5">SUM(B115:N115)</f>
        <v>0</v>
      </c>
    </row>
    <row r="116" spans="1:15" x14ac:dyDescent="0.2">
      <c r="A116" s="105" t="s">
        <v>225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5"/>
        <v>0</v>
      </c>
    </row>
    <row r="117" spans="1:15" x14ac:dyDescent="0.2">
      <c r="A117" s="105" t="s">
        <v>219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5"/>
        <v>0</v>
      </c>
    </row>
    <row r="118" spans="1:15" x14ac:dyDescent="0.2">
      <c r="A118" s="105" t="s">
        <v>220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5"/>
        <v>0</v>
      </c>
    </row>
    <row r="119" spans="1:15" x14ac:dyDescent="0.2">
      <c r="A119" s="105" t="s">
        <v>226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5"/>
        <v>0</v>
      </c>
    </row>
    <row r="120" spans="1:15" x14ac:dyDescent="0.2">
      <c r="A120" s="105" t="s">
        <v>227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5"/>
        <v>0</v>
      </c>
    </row>
    <row r="121" spans="1:15" x14ac:dyDescent="0.2">
      <c r="A121" s="105" t="s">
        <v>221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5"/>
        <v>0</v>
      </c>
    </row>
    <row r="122" spans="1:15" x14ac:dyDescent="0.2">
      <c r="A122" s="105" t="s">
        <v>281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5"/>
        <v>0</v>
      </c>
    </row>
    <row r="123" spans="1:15" x14ac:dyDescent="0.2">
      <c r="A123" s="105" t="s">
        <v>222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5"/>
        <v>0</v>
      </c>
    </row>
    <row r="124" spans="1:15" x14ac:dyDescent="0.2">
      <c r="A124" s="105" t="s">
        <v>228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5"/>
        <v>0</v>
      </c>
    </row>
    <row r="125" spans="1:15" x14ac:dyDescent="0.2">
      <c r="A125" s="105" t="s">
        <v>223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5"/>
        <v>0</v>
      </c>
    </row>
    <row r="126" spans="1:15" x14ac:dyDescent="0.2">
      <c r="A126" s="105" t="s">
        <v>229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5"/>
        <v>0</v>
      </c>
    </row>
    <row r="127" spans="1:15" x14ac:dyDescent="0.2">
      <c r="A127" s="105" t="s">
        <v>230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5"/>
        <v>0</v>
      </c>
    </row>
    <row r="129" spans="1:15" s="28" customFormat="1" ht="13.5" thickBot="1" x14ac:dyDescent="0.25">
      <c r="A129" s="104" t="s">
        <v>174</v>
      </c>
      <c r="B129" s="100">
        <f t="shared" ref="B129:N129" ca="1" si="16">SUM(B130:B142)</f>
        <v>0</v>
      </c>
      <c r="C129" s="100">
        <f t="shared" ca="1" si="16"/>
        <v>0</v>
      </c>
      <c r="D129" s="100">
        <f t="shared" ca="1" si="16"/>
        <v>0</v>
      </c>
      <c r="E129" s="100">
        <f t="shared" ca="1" si="16"/>
        <v>0</v>
      </c>
      <c r="F129" s="100">
        <f t="shared" ca="1" si="16"/>
        <v>0</v>
      </c>
      <c r="G129" s="100">
        <f t="shared" ca="1" si="16"/>
        <v>0</v>
      </c>
      <c r="H129" s="100">
        <f t="shared" ca="1" si="16"/>
        <v>0</v>
      </c>
      <c r="I129" s="100">
        <f t="shared" ca="1" si="16"/>
        <v>0</v>
      </c>
      <c r="J129" s="100">
        <f t="shared" ca="1" si="16"/>
        <v>0</v>
      </c>
      <c r="K129" s="100">
        <f t="shared" ca="1" si="16"/>
        <v>0</v>
      </c>
      <c r="L129" s="100">
        <f t="shared" ca="1" si="16"/>
        <v>0</v>
      </c>
      <c r="M129" s="100">
        <f t="shared" ca="1" si="16"/>
        <v>0</v>
      </c>
      <c r="N129" s="100">
        <f t="shared" ca="1" si="16"/>
        <v>0</v>
      </c>
      <c r="O129" s="101"/>
    </row>
    <row r="130" spans="1:15" x14ac:dyDescent="0.2">
      <c r="A130" s="105" t="s">
        <v>231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17">SUM(B130:N130)</f>
        <v>0</v>
      </c>
    </row>
    <row r="131" spans="1:15" x14ac:dyDescent="0.2">
      <c r="A131" s="105" t="s">
        <v>168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7"/>
        <v>0</v>
      </c>
    </row>
    <row r="132" spans="1:15" x14ac:dyDescent="0.2">
      <c r="A132" s="105" t="s">
        <v>141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7"/>
        <v>0</v>
      </c>
    </row>
    <row r="133" spans="1:15" x14ac:dyDescent="0.2">
      <c r="A133" s="105" t="s">
        <v>256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7"/>
        <v>0</v>
      </c>
    </row>
    <row r="134" spans="1:15" x14ac:dyDescent="0.2">
      <c r="A134" s="105" t="s">
        <v>257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7"/>
        <v>0</v>
      </c>
    </row>
    <row r="135" spans="1:15" x14ac:dyDescent="0.2">
      <c r="A135" s="105" t="s">
        <v>260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7"/>
        <v>0</v>
      </c>
    </row>
    <row r="136" spans="1:15" x14ac:dyDescent="0.2">
      <c r="A136" s="105" t="s">
        <v>232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7"/>
        <v>0</v>
      </c>
    </row>
    <row r="137" spans="1:15" x14ac:dyDescent="0.2">
      <c r="A137" s="105" t="s">
        <v>233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7"/>
        <v>0</v>
      </c>
    </row>
    <row r="138" spans="1:15" x14ac:dyDescent="0.2">
      <c r="A138" s="105" t="s">
        <v>262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7"/>
        <v>0</v>
      </c>
    </row>
    <row r="139" spans="1:15" x14ac:dyDescent="0.2">
      <c r="A139" s="105" t="s">
        <v>235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7"/>
        <v>0</v>
      </c>
    </row>
    <row r="140" spans="1:15" x14ac:dyDescent="0.2">
      <c r="A140" s="105" t="s">
        <v>263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7"/>
        <v>0</v>
      </c>
    </row>
    <row r="141" spans="1:15" x14ac:dyDescent="0.2">
      <c r="A141" s="105" t="s">
        <v>237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17"/>
        <v>0</v>
      </c>
    </row>
    <row r="144" spans="1:15" s="28" customFormat="1" ht="13.5" thickBot="1" x14ac:dyDescent="0.25">
      <c r="A144" s="104" t="s">
        <v>276</v>
      </c>
      <c r="B144" s="100">
        <f t="shared" ref="B144:N144" ca="1" si="18">SUM(B145:B157)</f>
        <v>0</v>
      </c>
      <c r="C144" s="100">
        <f t="shared" ca="1" si="18"/>
        <v>0</v>
      </c>
      <c r="D144" s="100">
        <f t="shared" ca="1" si="18"/>
        <v>0</v>
      </c>
      <c r="E144" s="100">
        <f t="shared" ca="1" si="18"/>
        <v>0</v>
      </c>
      <c r="F144" s="100">
        <f t="shared" ca="1" si="18"/>
        <v>0</v>
      </c>
      <c r="G144" s="100">
        <f t="shared" ca="1" si="18"/>
        <v>0</v>
      </c>
      <c r="H144" s="100">
        <f t="shared" ca="1" si="18"/>
        <v>0</v>
      </c>
      <c r="I144" s="100">
        <f t="shared" ca="1" si="18"/>
        <v>0</v>
      </c>
      <c r="J144" s="100">
        <f t="shared" ca="1" si="18"/>
        <v>0</v>
      </c>
      <c r="K144" s="100">
        <f t="shared" ca="1" si="18"/>
        <v>0</v>
      </c>
      <c r="L144" s="100">
        <f t="shared" ca="1" si="18"/>
        <v>0</v>
      </c>
      <c r="M144" s="100">
        <f t="shared" ca="1" si="18"/>
        <v>0</v>
      </c>
      <c r="N144" s="100">
        <f t="shared" ca="1" si="18"/>
        <v>0</v>
      </c>
      <c r="O144" s="101"/>
    </row>
    <row r="145" spans="1:15" x14ac:dyDescent="0.2">
      <c r="A145" s="105" t="s">
        <v>236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19">SUM(B145:N145)</f>
        <v>0</v>
      </c>
    </row>
    <row r="146" spans="1:15" x14ac:dyDescent="0.2">
      <c r="A146" s="105" t="s">
        <v>239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19"/>
        <v>0</v>
      </c>
    </row>
    <row r="147" spans="1:15" x14ac:dyDescent="0.2">
      <c r="A147" s="105" t="s">
        <v>154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19"/>
        <v>0</v>
      </c>
    </row>
    <row r="148" spans="1:15" x14ac:dyDescent="0.2">
      <c r="A148" s="105" t="s">
        <v>161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19"/>
        <v>0</v>
      </c>
    </row>
    <row r="149" spans="1:15" x14ac:dyDescent="0.2">
      <c r="A149" s="105" t="s">
        <v>241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19"/>
        <v>0</v>
      </c>
    </row>
    <row r="150" spans="1:15" x14ac:dyDescent="0.2">
      <c r="A150" s="105" t="s">
        <v>243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19"/>
        <v>0</v>
      </c>
    </row>
    <row r="151" spans="1:15" x14ac:dyDescent="0.2">
      <c r="A151" s="105" t="s">
        <v>238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19"/>
        <v>0</v>
      </c>
    </row>
    <row r="152" spans="1:15" x14ac:dyDescent="0.2">
      <c r="A152" s="105" t="s">
        <v>142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19"/>
        <v>0</v>
      </c>
    </row>
    <row r="153" spans="1:15" x14ac:dyDescent="0.2">
      <c r="A153" s="105" t="s">
        <v>240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19"/>
        <v>0</v>
      </c>
    </row>
    <row r="154" spans="1:15" x14ac:dyDescent="0.2">
      <c r="A154" s="105" t="s">
        <v>242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19"/>
        <v>0</v>
      </c>
    </row>
    <row r="155" spans="1:15" x14ac:dyDescent="0.2">
      <c r="A155" s="105" t="s">
        <v>145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19"/>
        <v>0</v>
      </c>
    </row>
    <row r="156" spans="1:15" x14ac:dyDescent="0.2">
      <c r="A156" s="105" t="s">
        <v>244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19"/>
        <v>0</v>
      </c>
    </row>
    <row r="159" spans="1:15" s="28" customFormat="1" ht="13.5" thickBot="1" x14ac:dyDescent="0.25">
      <c r="A159" s="104" t="s">
        <v>175</v>
      </c>
      <c r="B159" s="100">
        <f t="shared" ref="B159:N159" ca="1" si="20">SUM(B160:B172)</f>
        <v>1</v>
      </c>
      <c r="C159" s="100">
        <f t="shared" ca="1" si="20"/>
        <v>1</v>
      </c>
      <c r="D159" s="100">
        <f ca="1">SUM(D160:D173)</f>
        <v>0</v>
      </c>
      <c r="E159" s="100">
        <f t="shared" ca="1" si="20"/>
        <v>0</v>
      </c>
      <c r="F159" s="100">
        <f t="shared" ca="1" si="20"/>
        <v>0</v>
      </c>
      <c r="G159" s="100">
        <f t="shared" ca="1" si="20"/>
        <v>2</v>
      </c>
      <c r="H159" s="100">
        <f t="shared" ca="1" si="20"/>
        <v>0</v>
      </c>
      <c r="I159" s="100">
        <f t="shared" ca="1" si="20"/>
        <v>2</v>
      </c>
      <c r="J159" s="100">
        <f t="shared" ca="1" si="20"/>
        <v>0</v>
      </c>
      <c r="K159" s="100">
        <f t="shared" ca="1" si="20"/>
        <v>2</v>
      </c>
      <c r="L159" s="100">
        <f t="shared" ca="1" si="20"/>
        <v>0</v>
      </c>
      <c r="M159" s="100">
        <f t="shared" ca="1" si="20"/>
        <v>0</v>
      </c>
      <c r="N159" s="100">
        <f t="shared" ca="1" si="20"/>
        <v>0</v>
      </c>
      <c r="O159" s="101"/>
    </row>
    <row r="160" spans="1:15" x14ac:dyDescent="0.2">
      <c r="A160" s="105" t="s">
        <v>137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1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0</v>
      </c>
      <c r="O160" s="92">
        <f t="shared" ref="O160:O173" ca="1" si="21">SUM(B160:N160)</f>
        <v>1</v>
      </c>
    </row>
    <row r="161" spans="1:15" x14ac:dyDescent="0.2">
      <c r="A161" s="105" t="s">
        <v>159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1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1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1"/>
        <v>2</v>
      </c>
    </row>
    <row r="162" spans="1:15" x14ac:dyDescent="0.2">
      <c r="A162" s="105" t="s">
        <v>245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1"/>
        <v>0</v>
      </c>
    </row>
    <row r="163" spans="1:15" x14ac:dyDescent="0.2">
      <c r="A163" s="105" t="s">
        <v>148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1"/>
        <v>0</v>
      </c>
    </row>
    <row r="164" spans="1:15" x14ac:dyDescent="0.2">
      <c r="A164" s="105" t="s">
        <v>247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1"/>
        <v>0</v>
      </c>
    </row>
    <row r="165" spans="1:15" x14ac:dyDescent="0.2">
      <c r="A165" s="105" t="s">
        <v>152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1"/>
        <v>0</v>
      </c>
    </row>
    <row r="166" spans="1:15" x14ac:dyDescent="0.2">
      <c r="A166" s="105" t="s">
        <v>246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1"/>
        <v>0</v>
      </c>
    </row>
    <row r="167" spans="1:15" x14ac:dyDescent="0.2">
      <c r="A167" s="105" t="s">
        <v>248</v>
      </c>
      <c r="B167" s="103">
        <f ca="1">COUNTIF(INDIRECT(ADDRESS(21,2,1,,B$2)):INDIRECT(ADDRESS(22,2,1,,B$2)),$A167)</f>
        <v>1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1"/>
        <v>1</v>
      </c>
    </row>
    <row r="168" spans="1:15" x14ac:dyDescent="0.2">
      <c r="A168" s="105" t="s">
        <v>138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1"/>
        <v>0</v>
      </c>
    </row>
    <row r="169" spans="1:15" x14ac:dyDescent="0.2">
      <c r="A169" s="105" t="s">
        <v>184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1"/>
        <v>0</v>
      </c>
    </row>
    <row r="170" spans="1:15" x14ac:dyDescent="0.2">
      <c r="A170" s="105" t="s">
        <v>150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1"/>
        <v>0</v>
      </c>
    </row>
    <row r="171" spans="1:15" x14ac:dyDescent="0.2">
      <c r="A171" s="105" t="s">
        <v>153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1</v>
      </c>
      <c r="D171" s="103">
        <f ca="1">COUNTIF(INDIRECT(ADDRESS(21,2,1,,D$2)):INDIRECT(ADDRESS(22,2,1,,D$2)),$A171)</f>
        <v>0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1"/>
        <v>2</v>
      </c>
    </row>
    <row r="172" spans="1:15" x14ac:dyDescent="0.2">
      <c r="A172" s="105" t="s">
        <v>188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1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1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1"/>
        <v>2</v>
      </c>
    </row>
    <row r="173" spans="1:15" x14ac:dyDescent="0.2">
      <c r="A173" s="105" t="s">
        <v>160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1"/>
        <v>0</v>
      </c>
    </row>
    <row r="174" spans="1:15" s="28" customFormat="1" x14ac:dyDescent="0.2"/>
    <row r="178" spans="1:15" ht="13.5" thickBot="1" x14ac:dyDescent="0.25">
      <c r="A178" s="104" t="s">
        <v>176</v>
      </c>
      <c r="B178" s="100">
        <f t="shared" ref="B178:N178" ca="1" si="22">SUM(B179:B191)</f>
        <v>0</v>
      </c>
      <c r="C178" s="100">
        <f t="shared" ca="1" si="22"/>
        <v>0</v>
      </c>
      <c r="D178" s="100">
        <f t="shared" ca="1" si="22"/>
        <v>0</v>
      </c>
      <c r="E178" s="100">
        <f t="shared" ca="1" si="22"/>
        <v>0</v>
      </c>
      <c r="F178" s="100">
        <f t="shared" ca="1" si="22"/>
        <v>0</v>
      </c>
      <c r="G178" s="100">
        <f t="shared" ca="1" si="22"/>
        <v>0</v>
      </c>
      <c r="H178" s="100">
        <f t="shared" ca="1" si="22"/>
        <v>0</v>
      </c>
      <c r="I178" s="100">
        <f t="shared" ca="1" si="22"/>
        <v>0</v>
      </c>
      <c r="J178" s="100">
        <f t="shared" ca="1" si="22"/>
        <v>0</v>
      </c>
      <c r="K178" s="100">
        <f t="shared" ca="1" si="22"/>
        <v>0</v>
      </c>
      <c r="L178" s="100">
        <f t="shared" ca="1" si="22"/>
        <v>0</v>
      </c>
      <c r="M178" s="100">
        <f t="shared" ca="1" si="22"/>
        <v>0</v>
      </c>
      <c r="N178" s="100">
        <f t="shared" ca="1" si="22"/>
        <v>0</v>
      </c>
      <c r="O178" s="101"/>
    </row>
    <row r="179" spans="1:15" x14ac:dyDescent="0.2">
      <c r="A179" s="105" t="s">
        <v>302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9" ca="1" si="23">SUM(B179:N179)</f>
        <v>0</v>
      </c>
    </row>
    <row r="180" spans="1:15" x14ac:dyDescent="0.2">
      <c r="A180" s="105" t="s">
        <v>249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3"/>
        <v>0</v>
      </c>
    </row>
    <row r="181" spans="1:15" x14ac:dyDescent="0.2">
      <c r="A181" s="105" t="s">
        <v>303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3"/>
        <v>0</v>
      </c>
    </row>
    <row r="182" spans="1:15" x14ac:dyDescent="0.2">
      <c r="A182" s="105" t="s">
        <v>286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3"/>
        <v>0</v>
      </c>
    </row>
    <row r="183" spans="1:15" x14ac:dyDescent="0.2">
      <c r="A183" s="105" t="s">
        <v>258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3"/>
        <v>0</v>
      </c>
    </row>
    <row r="184" spans="1:15" x14ac:dyDescent="0.2">
      <c r="A184" s="105" t="s">
        <v>252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3"/>
        <v>0</v>
      </c>
    </row>
    <row r="185" spans="1:15" x14ac:dyDescent="0.2">
      <c r="A185" s="105" t="s">
        <v>261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3"/>
        <v>0</v>
      </c>
    </row>
    <row r="186" spans="1:15" x14ac:dyDescent="0.2">
      <c r="A186" s="105" t="s">
        <v>270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3"/>
        <v>0</v>
      </c>
    </row>
    <row r="187" spans="1:15" x14ac:dyDescent="0.2">
      <c r="A187" s="105" t="s">
        <v>287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ca="1" si="23"/>
        <v>0</v>
      </c>
    </row>
    <row r="188" spans="1:15" x14ac:dyDescent="0.2">
      <c r="A188" s="105" t="s">
        <v>255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3"/>
        <v>0</v>
      </c>
    </row>
    <row r="189" spans="1:15" s="28" customFormat="1" x14ac:dyDescent="0.2">
      <c r="A189" s="105" t="s">
        <v>149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3"/>
        <v>0</v>
      </c>
    </row>
    <row r="191" spans="1:15" x14ac:dyDescent="0.2">
      <c r="O191"/>
    </row>
    <row r="192" spans="1:15" x14ac:dyDescent="0.2">
      <c r="O192"/>
    </row>
    <row r="193" spans="15:15" x14ac:dyDescent="0.2">
      <c r="O193"/>
    </row>
    <row r="194" spans="15:15" x14ac:dyDescent="0.2">
      <c r="O194"/>
    </row>
    <row r="195" spans="15:15" x14ac:dyDescent="0.2">
      <c r="O195"/>
    </row>
    <row r="196" spans="15:15" x14ac:dyDescent="0.2">
      <c r="O196"/>
    </row>
    <row r="197" spans="15:15" x14ac:dyDescent="0.2">
      <c r="O197"/>
    </row>
    <row r="198" spans="15:15" x14ac:dyDescent="0.2">
      <c r="O198"/>
    </row>
    <row r="199" spans="15:15" x14ac:dyDescent="0.2">
      <c r="O199"/>
    </row>
    <row r="200" spans="15:15" x14ac:dyDescent="0.2">
      <c r="O200"/>
    </row>
    <row r="201" spans="15:15" x14ac:dyDescent="0.2">
      <c r="O201"/>
    </row>
    <row r="202" spans="15:15" x14ac:dyDescent="0.2">
      <c r="O202"/>
    </row>
  </sheetData>
  <sortState ref="A179:O189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9525</xdr:colOff>
                    <xdr:row>1</xdr:row>
                    <xdr:rowOff>57150</xdr:rowOff>
                  </from>
                  <to>
                    <xdr:col>0</xdr:col>
                    <xdr:colOff>1076325</xdr:colOff>
                    <xdr:row>1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2.75" x14ac:dyDescent="0.2"/>
  <sheetData>
    <row r="1" spans="1:4" ht="15.75" x14ac:dyDescent="0.25">
      <c r="A1" s="57" t="s">
        <v>54</v>
      </c>
    </row>
    <row r="2" spans="1:4" x14ac:dyDescent="0.2">
      <c r="A2" s="28" t="s">
        <v>55</v>
      </c>
    </row>
    <row r="3" spans="1:4" x14ac:dyDescent="0.2">
      <c r="B3" t="s">
        <v>56</v>
      </c>
    </row>
    <row r="4" spans="1:4" x14ac:dyDescent="0.2">
      <c r="B4" t="s">
        <v>58</v>
      </c>
    </row>
    <row r="5" spans="1:4" x14ac:dyDescent="0.2">
      <c r="A5" s="28" t="s">
        <v>57</v>
      </c>
    </row>
    <row r="6" spans="1:4" x14ac:dyDescent="0.2">
      <c r="B6" t="s">
        <v>59</v>
      </c>
    </row>
    <row r="7" spans="1:4" x14ac:dyDescent="0.2">
      <c r="C7" t="s">
        <v>60</v>
      </c>
    </row>
    <row r="8" spans="1:4" x14ac:dyDescent="0.2">
      <c r="C8" t="s">
        <v>77</v>
      </c>
    </row>
    <row r="9" spans="1:4" x14ac:dyDescent="0.2">
      <c r="B9" t="s">
        <v>68</v>
      </c>
    </row>
    <row r="10" spans="1:4" x14ac:dyDescent="0.2">
      <c r="C10" t="s">
        <v>69</v>
      </c>
    </row>
    <row r="11" spans="1:4" x14ac:dyDescent="0.2">
      <c r="C11" t="s">
        <v>76</v>
      </c>
    </row>
    <row r="12" spans="1:4" x14ac:dyDescent="0.2">
      <c r="C12" t="s">
        <v>64</v>
      </c>
    </row>
    <row r="13" spans="1:4" x14ac:dyDescent="0.2">
      <c r="C13" t="s">
        <v>70</v>
      </c>
    </row>
    <row r="14" spans="1:4" x14ac:dyDescent="0.2">
      <c r="D14" t="s">
        <v>71</v>
      </c>
    </row>
    <row r="15" spans="1:4" x14ac:dyDescent="0.2">
      <c r="D15" t="s">
        <v>72</v>
      </c>
    </row>
    <row r="16" spans="1:4" x14ac:dyDescent="0.2">
      <c r="B16" t="s">
        <v>67</v>
      </c>
    </row>
    <row r="17" spans="2:3" x14ac:dyDescent="0.2">
      <c r="C17" t="s">
        <v>61</v>
      </c>
    </row>
    <row r="18" spans="2:3" x14ac:dyDescent="0.2">
      <c r="C18" t="s">
        <v>62</v>
      </c>
    </row>
    <row r="25" spans="2:3" x14ac:dyDescent="0.2">
      <c r="B25" t="s">
        <v>66</v>
      </c>
    </row>
    <row r="26" spans="2:3" x14ac:dyDescent="0.2">
      <c r="C26" t="s">
        <v>63</v>
      </c>
    </row>
    <row r="27" spans="2:3" x14ac:dyDescent="0.2">
      <c r="C27" t="s">
        <v>65</v>
      </c>
    </row>
    <row r="31" spans="2:3" x14ac:dyDescent="0.2">
      <c r="B31" t="s">
        <v>73</v>
      </c>
    </row>
    <row r="32" spans="2:3" x14ac:dyDescent="0.2">
      <c r="C32" t="s">
        <v>74</v>
      </c>
    </row>
    <row r="34" spans="1:3" x14ac:dyDescent="0.2">
      <c r="C34" t="s">
        <v>75</v>
      </c>
    </row>
    <row r="36" spans="1:3" x14ac:dyDescent="0.2">
      <c r="B36" t="s">
        <v>78</v>
      </c>
    </row>
    <row r="38" spans="1:3" ht="15.75" x14ac:dyDescent="0.25">
      <c r="A38" s="57" t="s">
        <v>79</v>
      </c>
    </row>
    <row r="39" spans="1:3" x14ac:dyDescent="0.2">
      <c r="A39" s="28" t="s">
        <v>80</v>
      </c>
    </row>
    <row r="40" spans="1:3" x14ac:dyDescent="0.2">
      <c r="B40" t="s">
        <v>81</v>
      </c>
    </row>
    <row r="41" spans="1:3" x14ac:dyDescent="0.2">
      <c r="B41" t="s">
        <v>82</v>
      </c>
    </row>
    <row r="42" spans="1:3" x14ac:dyDescent="0.2">
      <c r="A42" s="28" t="s">
        <v>83</v>
      </c>
    </row>
    <row r="43" spans="1:3" x14ac:dyDescent="0.2">
      <c r="B43" t="s">
        <v>84</v>
      </c>
    </row>
    <row r="44" spans="1:3" x14ac:dyDescent="0.2">
      <c r="B44" t="s">
        <v>114</v>
      </c>
    </row>
    <row r="45" spans="1:3" x14ac:dyDescent="0.2">
      <c r="A45" s="28" t="s">
        <v>85</v>
      </c>
    </row>
    <row r="46" spans="1:3" x14ac:dyDescent="0.2">
      <c r="B46" t="s">
        <v>86</v>
      </c>
    </row>
    <row r="47" spans="1:3" x14ac:dyDescent="0.2">
      <c r="B47" t="s">
        <v>87</v>
      </c>
    </row>
    <row r="48" spans="1:3" x14ac:dyDescent="0.2">
      <c r="C48" t="s">
        <v>88</v>
      </c>
    </row>
    <row r="49" spans="1:3" x14ac:dyDescent="0.2">
      <c r="C49" t="s">
        <v>89</v>
      </c>
    </row>
    <row r="50" spans="1:3" x14ac:dyDescent="0.2">
      <c r="C50" t="s">
        <v>90</v>
      </c>
    </row>
    <row r="51" spans="1:3" x14ac:dyDescent="0.2">
      <c r="B51" t="s">
        <v>91</v>
      </c>
    </row>
    <row r="52" spans="1:3" x14ac:dyDescent="0.2">
      <c r="B52" t="s">
        <v>115</v>
      </c>
    </row>
    <row r="53" spans="1:3" x14ac:dyDescent="0.2">
      <c r="C53" t="s">
        <v>116</v>
      </c>
    </row>
    <row r="54" spans="1:3" x14ac:dyDescent="0.2">
      <c r="A54" s="28" t="s">
        <v>92</v>
      </c>
    </row>
    <row r="55" spans="1:3" x14ac:dyDescent="0.2">
      <c r="B55" t="s">
        <v>93</v>
      </c>
    </row>
    <row r="56" spans="1:3" x14ac:dyDescent="0.2">
      <c r="B56" t="s">
        <v>94</v>
      </c>
    </row>
    <row r="57" spans="1:3" x14ac:dyDescent="0.2">
      <c r="B57" t="s">
        <v>95</v>
      </c>
    </row>
    <row r="58" spans="1:3" x14ac:dyDescent="0.2">
      <c r="B58" t="s">
        <v>124</v>
      </c>
    </row>
    <row r="59" spans="1:3" x14ac:dyDescent="0.2">
      <c r="C59" t="s">
        <v>123</v>
      </c>
    </row>
    <row r="60" spans="1:3" x14ac:dyDescent="0.2">
      <c r="C60" t="s">
        <v>96</v>
      </c>
    </row>
    <row r="61" spans="1:3" x14ac:dyDescent="0.2">
      <c r="C61" t="s">
        <v>97</v>
      </c>
    </row>
    <row r="62" spans="1:3" x14ac:dyDescent="0.2">
      <c r="B62" t="s">
        <v>117</v>
      </c>
    </row>
    <row r="63" spans="1:3" x14ac:dyDescent="0.2">
      <c r="C63" t="s">
        <v>118</v>
      </c>
    </row>
    <row r="64" spans="1:3" x14ac:dyDescent="0.2">
      <c r="A64" s="28" t="s">
        <v>98</v>
      </c>
    </row>
    <row r="65" spans="1:3" x14ac:dyDescent="0.2">
      <c r="B65" t="s">
        <v>99</v>
      </c>
    </row>
    <row r="66" spans="1:3" x14ac:dyDescent="0.2">
      <c r="B66" t="s">
        <v>100</v>
      </c>
    </row>
    <row r="67" spans="1:3" x14ac:dyDescent="0.2">
      <c r="B67" t="s">
        <v>101</v>
      </c>
    </row>
    <row r="68" spans="1:3" x14ac:dyDescent="0.2">
      <c r="B68" t="s">
        <v>102</v>
      </c>
    </row>
    <row r="69" spans="1:3" x14ac:dyDescent="0.2">
      <c r="B69" t="s">
        <v>107</v>
      </c>
    </row>
    <row r="70" spans="1:3" x14ac:dyDescent="0.2">
      <c r="B70" t="s">
        <v>108</v>
      </c>
    </row>
    <row r="71" spans="1:3" x14ac:dyDescent="0.2">
      <c r="B71" t="s">
        <v>103</v>
      </c>
    </row>
    <row r="72" spans="1:3" x14ac:dyDescent="0.2">
      <c r="B72" t="s">
        <v>104</v>
      </c>
    </row>
    <row r="73" spans="1:3" x14ac:dyDescent="0.2">
      <c r="B73" t="s">
        <v>105</v>
      </c>
    </row>
    <row r="74" spans="1:3" x14ac:dyDescent="0.2">
      <c r="B74" t="s">
        <v>106</v>
      </c>
    </row>
    <row r="75" spans="1:3" x14ac:dyDescent="0.2">
      <c r="A75" s="28" t="s">
        <v>119</v>
      </c>
    </row>
    <row r="76" spans="1:3" x14ac:dyDescent="0.2">
      <c r="B76" t="s">
        <v>120</v>
      </c>
    </row>
    <row r="77" spans="1:3" x14ac:dyDescent="0.2">
      <c r="C77" t="s">
        <v>121</v>
      </c>
    </row>
    <row r="78" spans="1:3" x14ac:dyDescent="0.2">
      <c r="B78" t="s">
        <v>122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2016-11-05T19:56:55Z</dcterms:modified>
</cp:coreProperties>
</file>