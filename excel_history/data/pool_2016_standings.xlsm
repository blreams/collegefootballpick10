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Byron Reams" reservationPassword="86D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reams\Desktop\"/>
    </mc:Choice>
  </mc:AlternateContent>
  <bookViews>
    <workbookView xWindow="225" yWindow="900" windowWidth="16035" windowHeight="9495" tabRatio="850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E3" i="250"/>
  <c r="J1" i="250"/>
  <c r="I1" i="250"/>
  <c r="D52" i="14"/>
  <c r="B59" i="14"/>
  <c r="B52" i="14"/>
  <c r="D19" i="14"/>
  <c r="D45" i="14"/>
  <c r="B45" i="14"/>
  <c r="B57" i="14"/>
  <c r="D59" i="14"/>
  <c r="D9" i="14"/>
  <c r="B9" i="14"/>
  <c r="D57" i="14"/>
  <c r="BC36" i="261" l="1"/>
  <c r="V25" i="250"/>
  <c r="BB25" i="258"/>
  <c r="BB36" i="258" s="1"/>
  <c r="BK30" i="250"/>
  <c r="BN30" i="254"/>
  <c r="BL30" i="256"/>
  <c r="AL25" i="250"/>
  <c r="BK30" i="258"/>
  <c r="AB30" i="258"/>
  <c r="BH30" i="258"/>
  <c r="AJ30" i="258"/>
  <c r="L30" i="258"/>
  <c r="AR30" i="258"/>
  <c r="BI30" i="254"/>
  <c r="AN30" i="256"/>
  <c r="AY30" i="257"/>
  <c r="BJ25" i="258"/>
  <c r="BJ36" i="258" s="1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Z36" i="258" s="1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Q36" i="257" s="1"/>
  <c r="Y25" i="257"/>
  <c r="Y36" i="257" s="1"/>
  <c r="AG25" i="257"/>
  <c r="AO25" i="257"/>
  <c r="AW25" i="257"/>
  <c r="AW36" i="257" s="1"/>
  <c r="BE25" i="257"/>
  <c r="BE36" i="257" s="1"/>
  <c r="BM25" i="257"/>
  <c r="N25" i="258"/>
  <c r="N36" i="258" s="1"/>
  <c r="AD25" i="258"/>
  <c r="AD36" i="258" s="1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T36" i="257" s="1"/>
  <c r="AB25" i="257"/>
  <c r="AJ25" i="257"/>
  <c r="AR25" i="257"/>
  <c r="AZ25" i="257"/>
  <c r="AZ36" i="257" s="1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M36" i="257" s="1"/>
  <c r="U25" i="257"/>
  <c r="U36" i="257" s="1"/>
  <c r="AC25" i="257"/>
  <c r="AK25" i="257"/>
  <c r="AS25" i="257"/>
  <c r="AS36" i="257" s="1"/>
  <c r="BA25" i="257"/>
  <c r="BA36" i="257" s="1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BF36" i="250" s="1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AT36" i="250" s="1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AG36" i="257"/>
  <c r="AO36" i="257"/>
  <c r="BM36" i="257"/>
  <c r="N30" i="257"/>
  <c r="V30" i="257"/>
  <c r="AD30" i="257"/>
  <c r="AL30" i="257"/>
  <c r="AT30" i="257"/>
  <c r="BB30" i="257"/>
  <c r="BJ30" i="257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AB36" i="257"/>
  <c r="AJ36" i="257"/>
  <c r="AR36" i="257"/>
  <c r="BH36" i="257"/>
  <c r="O30" i="257"/>
  <c r="W30" i="257"/>
  <c r="AE30" i="257"/>
  <c r="AM30" i="257"/>
  <c r="AU30" i="257"/>
  <c r="BC30" i="257"/>
  <c r="AT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AC36" i="257"/>
  <c r="AK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61"/>
  <c r="C29" i="260"/>
  <c r="C29" i="258"/>
  <c r="C29" i="259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AI28" i="261"/>
  <c r="AO28" i="261"/>
  <c r="AH28" i="261"/>
  <c r="O28" i="261"/>
  <c r="AJ28" i="261"/>
  <c r="BG28" i="261"/>
  <c r="AA28" i="261"/>
  <c r="M28" i="261"/>
  <c r="AC28" i="261"/>
  <c r="AS28" i="261"/>
  <c r="BI28" i="261"/>
  <c r="V28" i="261"/>
  <c r="AL28" i="261"/>
  <c r="BB28" i="261"/>
  <c r="W28" i="261"/>
  <c r="AV28" i="261"/>
  <c r="BK28" i="261"/>
  <c r="X28" i="261"/>
  <c r="L28" i="261"/>
  <c r="BE28" i="261"/>
  <c r="AX28" i="261"/>
  <c r="BL28" i="261"/>
  <c r="BH28" i="261"/>
  <c r="AB28" i="261"/>
  <c r="AY28" i="261"/>
  <c r="S28" i="261"/>
  <c r="Q28" i="261"/>
  <c r="AG28" i="261"/>
  <c r="AW28" i="261"/>
  <c r="BM28" i="261"/>
  <c r="Z28" i="261"/>
  <c r="AP28" i="261"/>
  <c r="BF28" i="261"/>
  <c r="AF28" i="261"/>
  <c r="AU28" i="261"/>
  <c r="AR28" i="261"/>
  <c r="Y28" i="261"/>
  <c r="R28" i="261"/>
  <c r="BN28" i="261"/>
  <c r="AM28" i="261"/>
  <c r="AN28" i="261"/>
  <c r="AZ28" i="261"/>
  <c r="T28" i="261"/>
  <c r="AQ28" i="261"/>
  <c r="U28" i="261"/>
  <c r="AK28" i="261"/>
  <c r="BA28" i="261"/>
  <c r="N28" i="261"/>
  <c r="AD28" i="261"/>
  <c r="AT28" i="261"/>
  <c r="BJ28" i="261"/>
  <c r="P28" i="261"/>
  <c r="AE28" i="261"/>
  <c r="BD28" i="261"/>
  <c r="BC28" i="261"/>
  <c r="AC28" i="260"/>
  <c r="AI28" i="260"/>
  <c r="BK28" i="260"/>
  <c r="Z28" i="260"/>
  <c r="AM28" i="260"/>
  <c r="AW28" i="260"/>
  <c r="AN28" i="260"/>
  <c r="W28" i="260"/>
  <c r="BM28" i="260"/>
  <c r="AS28" i="260"/>
  <c r="Y28" i="260"/>
  <c r="AU28" i="260"/>
  <c r="AF28" i="260"/>
  <c r="BA28" i="260"/>
  <c r="N28" i="260"/>
  <c r="AD28" i="260"/>
  <c r="AT28" i="260"/>
  <c r="BJ28" i="260"/>
  <c r="BC28" i="260"/>
  <c r="AO28" i="260"/>
  <c r="AV28" i="260"/>
  <c r="AP28" i="260"/>
  <c r="AY28" i="260"/>
  <c r="AG28" i="260"/>
  <c r="M28" i="260"/>
  <c r="BD28" i="260"/>
  <c r="AE28" i="260"/>
  <c r="AZ28" i="260"/>
  <c r="P28" i="260"/>
  <c r="AK28" i="260"/>
  <c r="BG28" i="260"/>
  <c r="R28" i="260"/>
  <c r="AH28" i="260"/>
  <c r="AX28" i="260"/>
  <c r="BN28" i="260"/>
  <c r="Q28" i="260"/>
  <c r="L28" i="260"/>
  <c r="T28" i="260"/>
  <c r="AA28" i="260"/>
  <c r="BF28" i="260"/>
  <c r="S28" i="260"/>
  <c r="BI28" i="260"/>
  <c r="AR28" i="260"/>
  <c r="X28" i="260"/>
  <c r="O28" i="260"/>
  <c r="AJ28" i="260"/>
  <c r="BE28" i="260"/>
  <c r="U28" i="260"/>
  <c r="AQ28" i="260"/>
  <c r="BL28" i="260"/>
  <c r="V28" i="260"/>
  <c r="AL28" i="260"/>
  <c r="BB28" i="260"/>
  <c r="AB28" i="260"/>
  <c r="BH28" i="260"/>
  <c r="BM28" i="259"/>
  <c r="U28" i="259"/>
  <c r="Y28" i="259"/>
  <c r="AC28" i="258"/>
  <c r="AX28" i="258"/>
  <c r="AU28" i="258"/>
  <c r="BF28" i="258"/>
  <c r="N28" i="259"/>
  <c r="T28" i="258"/>
  <c r="Q28" i="259"/>
  <c r="X28" i="259"/>
  <c r="AV28" i="259"/>
  <c r="BJ28" i="258"/>
  <c r="BG28" i="258"/>
  <c r="Y28" i="258"/>
  <c r="BC28" i="258"/>
  <c r="Z28" i="259"/>
  <c r="M28" i="258"/>
  <c r="AF28" i="259"/>
  <c r="BI28" i="259"/>
  <c r="AS28" i="259"/>
  <c r="L28" i="259"/>
  <c r="AV28" i="258"/>
  <c r="R28" i="258"/>
  <c r="AR28" i="258"/>
  <c r="O28" i="259"/>
  <c r="AA28" i="258"/>
  <c r="L28" i="258"/>
  <c r="BL28" i="259"/>
  <c r="AB28" i="259"/>
  <c r="BH28" i="258"/>
  <c r="AJ28" i="259"/>
  <c r="AY28" i="258"/>
  <c r="AP28" i="258"/>
  <c r="BK28" i="259"/>
  <c r="AA28" i="259"/>
  <c r="AP28" i="259"/>
  <c r="AD28" i="259"/>
  <c r="AJ28" i="258"/>
  <c r="BD28" i="258"/>
  <c r="AK28" i="258"/>
  <c r="AW28" i="259"/>
  <c r="AD28" i="258"/>
  <c r="AB28" i="258"/>
  <c r="V28" i="259"/>
  <c r="AK28" i="259"/>
  <c r="AO28" i="259"/>
  <c r="AN28" i="258"/>
  <c r="BB28" i="258"/>
  <c r="AE28" i="258"/>
  <c r="AH28" i="258"/>
  <c r="AM28" i="259"/>
  <c r="BN28" i="258"/>
  <c r="AG28" i="259"/>
  <c r="AU28" i="259"/>
  <c r="P28" i="259"/>
  <c r="N28" i="258"/>
  <c r="AQ28" i="258"/>
  <c r="AZ28" i="258"/>
  <c r="AM28" i="258"/>
  <c r="AH28" i="259"/>
  <c r="BE28" i="258"/>
  <c r="W28" i="259"/>
  <c r="AR28" i="259"/>
  <c r="P28" i="258"/>
  <c r="AI28" i="259"/>
  <c r="AE28" i="259"/>
  <c r="BL28" i="258"/>
  <c r="AZ28" i="259"/>
  <c r="R28" i="259"/>
  <c r="BJ28" i="259"/>
  <c r="AW28" i="258"/>
  <c r="AQ28" i="259"/>
  <c r="AN28" i="259"/>
  <c r="BG28" i="259"/>
  <c r="S28" i="259"/>
  <c r="BA28" i="258"/>
  <c r="AT28" i="258"/>
  <c r="Q28" i="258"/>
  <c r="BN28" i="259"/>
  <c r="AF28" i="258"/>
  <c r="AC28" i="259"/>
  <c r="BH28" i="259"/>
  <c r="BF28" i="259"/>
  <c r="AT28" i="259"/>
  <c r="BK28" i="258"/>
  <c r="X28" i="258"/>
  <c r="U28" i="258"/>
  <c r="AX28" i="259"/>
  <c r="BI28" i="258"/>
  <c r="W28" i="258"/>
  <c r="AL28" i="259"/>
  <c r="BA28" i="259"/>
  <c r="BE28" i="259"/>
  <c r="AI28" i="258"/>
  <c r="AS28" i="258"/>
  <c r="V28" i="258"/>
  <c r="BC28" i="259"/>
  <c r="T28" i="259"/>
  <c r="AG28" i="258"/>
  <c r="BD28" i="259"/>
  <c r="Z28" i="258"/>
  <c r="AO28" i="258"/>
  <c r="S28" i="258"/>
  <c r="M28" i="259"/>
  <c r="AL28" i="258"/>
  <c r="BM28" i="258"/>
  <c r="AY28" i="259"/>
  <c r="O28" i="258"/>
  <c r="BB28" i="259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61"/>
  <c r="K28" i="260"/>
  <c r="K28" i="259"/>
  <c r="K28" i="258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G28" i="256"/>
  <c r="AL28" i="257"/>
  <c r="AP28" i="256"/>
  <c r="BC28" i="256"/>
  <c r="BE28" i="257"/>
  <c r="AY28" i="257"/>
  <c r="Y28" i="257"/>
  <c r="AX28" i="256"/>
  <c r="AF28" i="256"/>
  <c r="BK28" i="257"/>
  <c r="AT28" i="256"/>
  <c r="R28" i="256"/>
  <c r="AZ28" i="256"/>
  <c r="AV28" i="256"/>
  <c r="AI28" i="257"/>
  <c r="AK28" i="256"/>
  <c r="BF28" i="257"/>
  <c r="P28" i="256"/>
  <c r="AD28" i="257"/>
  <c r="BA28" i="257"/>
  <c r="BD28" i="256"/>
  <c r="M28" i="256"/>
  <c r="BJ28" i="256"/>
  <c r="T28" i="256"/>
  <c r="BL28" i="256"/>
  <c r="BI28" i="257"/>
  <c r="BK28" i="256"/>
  <c r="AW28" i="256"/>
  <c r="AI28" i="256"/>
  <c r="W28" i="256"/>
  <c r="AR28" i="256"/>
  <c r="O28" i="256"/>
  <c r="BA28" i="256"/>
  <c r="AL28" i="256"/>
  <c r="O28" i="257"/>
  <c r="AK28" i="257"/>
  <c r="BN28" i="257"/>
  <c r="AR28" i="257"/>
  <c r="AB28" i="256"/>
  <c r="AP28" i="257"/>
  <c r="AY28" i="256"/>
  <c r="BJ28" i="257"/>
  <c r="U28" i="257"/>
  <c r="AD28" i="256"/>
  <c r="R28" i="257"/>
  <c r="AW28" i="257"/>
  <c r="BM28" i="257"/>
  <c r="C29" i="257"/>
  <c r="BG28" i="257"/>
  <c r="Z28" i="257"/>
  <c r="AC28" i="257"/>
  <c r="AC28" i="256"/>
  <c r="BN28" i="256"/>
  <c r="AU28" i="256"/>
  <c r="V28" i="257"/>
  <c r="AS28" i="256"/>
  <c r="X28" i="257"/>
  <c r="BH28" i="256"/>
  <c r="AE28" i="256"/>
  <c r="BC28" i="257"/>
  <c r="Q28" i="256"/>
  <c r="AO28" i="256"/>
  <c r="AT28" i="257"/>
  <c r="W28" i="257"/>
  <c r="C29" i="256"/>
  <c r="BH28" i="257"/>
  <c r="AE28" i="257"/>
  <c r="BE28" i="256"/>
  <c r="AQ28" i="256"/>
  <c r="N28" i="257"/>
  <c r="AJ28" i="256"/>
  <c r="BB28" i="257"/>
  <c r="AM28" i="256"/>
  <c r="AN28" i="257"/>
  <c r="AZ28" i="257"/>
  <c r="M28" i="257"/>
  <c r="AF28" i="257"/>
  <c r="AO28" i="257"/>
  <c r="K28" i="256"/>
  <c r="AU28" i="257"/>
  <c r="Z28" i="256"/>
  <c r="Q28" i="257"/>
  <c r="BB28" i="256"/>
  <c r="N28" i="256"/>
  <c r="U28" i="256"/>
  <c r="AG28" i="257"/>
  <c r="AJ28" i="257"/>
  <c r="X28" i="256"/>
  <c r="AS28" i="257"/>
  <c r="AH28" i="256"/>
  <c r="S28" i="257"/>
  <c r="AA28" i="257"/>
  <c r="L28" i="256"/>
  <c r="BG28" i="256"/>
  <c r="K28" i="257"/>
  <c r="BI28" i="256"/>
  <c r="BL28" i="257"/>
  <c r="S28" i="256"/>
  <c r="BM28" i="256"/>
  <c r="Y28" i="256"/>
  <c r="AH28" i="257"/>
  <c r="AQ28" i="257"/>
  <c r="BF28" i="256"/>
  <c r="AB28" i="257"/>
  <c r="V28" i="256"/>
  <c r="AV28" i="257"/>
  <c r="L28" i="257"/>
  <c r="AX28" i="257"/>
  <c r="AN28" i="256"/>
  <c r="AA28" i="256"/>
  <c r="BD28" i="257"/>
  <c r="T28" i="257"/>
  <c r="P28" i="257"/>
  <c r="AM28" i="257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L39" i="257" l="1"/>
  <c r="AK39" i="256"/>
  <c r="BF39" i="256"/>
  <c r="BH39" i="256"/>
  <c r="BN39" i="257"/>
  <c r="AC39" i="257"/>
  <c r="AX39" i="257"/>
  <c r="AI39" i="257"/>
  <c r="AR39" i="256"/>
  <c r="R39" i="257"/>
  <c r="K39" i="257"/>
  <c r="BD39" i="257"/>
  <c r="BB39" i="257"/>
  <c r="X39" i="257"/>
  <c r="AH39" i="257"/>
  <c r="AJ39" i="257"/>
  <c r="AB39" i="257"/>
  <c r="BI39" i="257"/>
  <c r="BE39" i="257"/>
  <c r="Y39" i="257"/>
  <c r="U39" i="257"/>
  <c r="BK39" i="257"/>
  <c r="AM39" i="257"/>
  <c r="AR39" i="257"/>
  <c r="BJ39" i="257"/>
  <c r="AS39" i="257"/>
  <c r="AU39" i="257"/>
  <c r="AL39" i="257"/>
  <c r="BA39" i="257"/>
  <c r="AN39" i="256"/>
  <c r="AO39" i="257"/>
  <c r="BF39" i="257"/>
  <c r="Q39" i="256"/>
  <c r="U39" i="256"/>
  <c r="AD39" i="257"/>
  <c r="AQ39" i="256"/>
  <c r="Z39" i="257"/>
  <c r="AG39" i="257"/>
  <c r="AE39" i="257"/>
  <c r="Q39" i="257"/>
  <c r="BL39" i="257"/>
  <c r="AY39" i="257"/>
  <c r="AP39" i="256"/>
  <c r="AQ39" i="257"/>
  <c r="AH39" i="256"/>
  <c r="O39" i="256"/>
  <c r="P39" i="257"/>
  <c r="AT39" i="257"/>
  <c r="W39" i="257"/>
  <c r="AF39" i="256"/>
  <c r="AN39" i="257"/>
  <c r="S39" i="257"/>
  <c r="AG39" i="256"/>
  <c r="AW39" i="256"/>
  <c r="BM39" i="257"/>
  <c r="AV39" i="257"/>
  <c r="BC39" i="257"/>
  <c r="BG39" i="256"/>
  <c r="AF39" i="257"/>
  <c r="AW39" i="257"/>
  <c r="M39" i="257"/>
  <c r="AE39" i="256"/>
  <c r="BD39" i="256"/>
  <c r="AO39" i="256"/>
  <c r="BN39" i="256"/>
  <c r="AA39" i="256"/>
  <c r="T39" i="256"/>
  <c r="T39" i="257"/>
  <c r="V39" i="257"/>
  <c r="L39" i="256"/>
  <c r="AP39" i="257"/>
  <c r="AY39" i="256"/>
  <c r="BG39" i="257"/>
  <c r="V39" i="256"/>
  <c r="AK39" i="257"/>
  <c r="N39" i="257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W5" i="14"/>
  <c r="W7" i="14"/>
  <c r="W4" i="14"/>
  <c r="V4" i="14"/>
  <c r="V7" i="14"/>
  <c r="V5" i="14"/>
  <c r="U5" i="14"/>
  <c r="T7" i="14"/>
  <c r="U7" i="14"/>
  <c r="U4" i="14"/>
  <c r="T4" i="14"/>
  <c r="T5" i="14"/>
  <c r="U39" i="258" l="1"/>
  <c r="AQ39" i="258"/>
  <c r="BK39" i="258"/>
  <c r="M39" i="258"/>
  <c r="BJ39" i="258"/>
  <c r="Q39" i="258"/>
  <c r="BC39" i="258"/>
  <c r="AI39" i="258"/>
  <c r="BF39" i="258"/>
  <c r="AN39" i="258"/>
  <c r="AB39" i="258"/>
  <c r="R39" i="258"/>
  <c r="AA39" i="258"/>
  <c r="Y39" i="258"/>
  <c r="T39" i="258"/>
  <c r="AX39" i="258"/>
  <c r="AC39" i="258"/>
  <c r="BN39" i="258"/>
  <c r="AR39" i="258"/>
  <c r="P39" i="258"/>
  <c r="BE39" i="258"/>
  <c r="AV39" i="258"/>
  <c r="BL39" i="258"/>
  <c r="AL39" i="258"/>
  <c r="AH39" i="258"/>
  <c r="AG39" i="258"/>
  <c r="AT39" i="258"/>
  <c r="L39" i="258"/>
  <c r="BI39" i="258"/>
  <c r="AD39" i="258"/>
  <c r="AW39" i="258"/>
  <c r="AU39" i="258"/>
  <c r="AS39" i="258"/>
  <c r="BM39" i="258"/>
  <c r="Z39" i="258"/>
  <c r="N39" i="258"/>
  <c r="W39" i="258"/>
  <c r="BG39" i="258"/>
  <c r="V39" i="258"/>
  <c r="AF39" i="258"/>
  <c r="AJ39" i="258"/>
  <c r="AE39" i="258"/>
  <c r="AZ39" i="258"/>
  <c r="AO39" i="258"/>
  <c r="X39" i="258"/>
  <c r="O39" i="258"/>
  <c r="K39" i="258"/>
  <c r="AM39" i="258"/>
  <c r="S39" i="258"/>
  <c r="BH39" i="258"/>
  <c r="BB39" i="258"/>
  <c r="BA39" i="258"/>
  <c r="BD39" i="258"/>
  <c r="AY39" i="258"/>
  <c r="E52" i="14"/>
  <c r="E57" i="14"/>
  <c r="E59" i="14"/>
  <c r="E9" i="14"/>
  <c r="E45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43" i="14"/>
  <c r="D60" i="14"/>
  <c r="D34" i="14"/>
  <c r="D38" i="14"/>
  <c r="D58" i="14"/>
  <c r="D55" i="14"/>
  <c r="D10" i="14"/>
  <c r="D54" i="14"/>
  <c r="D35" i="14"/>
  <c r="D62" i="14"/>
  <c r="D47" i="14"/>
  <c r="D20" i="14"/>
  <c r="D22" i="14"/>
  <c r="D27" i="14"/>
  <c r="D40" i="14"/>
  <c r="D16" i="14"/>
  <c r="D48" i="14"/>
  <c r="D17" i="14"/>
  <c r="D26" i="14"/>
  <c r="D18" i="14"/>
  <c r="D30" i="14"/>
  <c r="D37" i="14"/>
  <c r="D12" i="14"/>
  <c r="D14" i="14"/>
  <c r="D44" i="14"/>
  <c r="D53" i="14"/>
  <c r="D39" i="14"/>
  <c r="D31" i="14"/>
  <c r="D49" i="14"/>
  <c r="D33" i="14"/>
  <c r="D63" i="14"/>
  <c r="D11" i="14"/>
  <c r="D23" i="14"/>
  <c r="D50" i="14"/>
  <c r="D21" i="14"/>
  <c r="D46" i="14"/>
  <c r="D36" i="14"/>
  <c r="D28" i="14"/>
  <c r="D61" i="14"/>
  <c r="D24" i="14"/>
  <c r="D42" i="14"/>
  <c r="D13" i="14"/>
  <c r="D8" i="14"/>
  <c r="D29" i="14"/>
  <c r="F57" i="14" l="1"/>
  <c r="F9" i="14"/>
  <c r="F45" i="14"/>
  <c r="F59" i="14"/>
  <c r="F52" i="14"/>
  <c r="E8" i="14"/>
  <c r="E61" i="14"/>
  <c r="E42" i="14"/>
  <c r="E54" i="14"/>
  <c r="E22" i="14"/>
  <c r="E29" i="14"/>
  <c r="E47" i="14"/>
  <c r="E33" i="14"/>
  <c r="E60" i="14"/>
  <c r="E11" i="14"/>
  <c r="F29" i="14"/>
  <c r="F46" i="14"/>
  <c r="F55" i="14"/>
  <c r="F28" i="14"/>
  <c r="E24" i="14"/>
  <c r="E27" i="14"/>
  <c r="E23" i="14"/>
  <c r="E30" i="14"/>
  <c r="E63" i="14"/>
  <c r="E28" i="14"/>
  <c r="E35" i="14"/>
  <c r="E62" i="14"/>
  <c r="E53" i="14"/>
  <c r="E20" i="14"/>
  <c r="E12" i="14"/>
  <c r="E55" i="14"/>
  <c r="E50" i="14"/>
  <c r="E34" i="14"/>
  <c r="E44" i="14"/>
  <c r="E18" i="14"/>
  <c r="E17" i="14"/>
  <c r="E19" i="14"/>
  <c r="E49" i="14"/>
  <c r="E31" i="14"/>
  <c r="E38" i="14"/>
  <c r="E16" i="14"/>
  <c r="E40" i="14"/>
  <c r="E10" i="14"/>
  <c r="E48" i="14"/>
  <c r="E14" i="14"/>
  <c r="E39" i="14"/>
  <c r="E37" i="14"/>
  <c r="E46" i="14"/>
  <c r="E58" i="14"/>
  <c r="E36" i="14"/>
  <c r="E21" i="14"/>
  <c r="F31" i="14"/>
  <c r="F22" i="14"/>
  <c r="F34" i="14"/>
  <c r="F53" i="14"/>
  <c r="F58" i="14"/>
  <c r="F20" i="14"/>
  <c r="F19" i="14"/>
  <c r="F24" i="14"/>
  <c r="F44" i="14"/>
  <c r="F17" i="14"/>
  <c r="F47" i="14"/>
  <c r="F37" i="14"/>
  <c r="F39" i="14"/>
  <c r="F8" i="14"/>
  <c r="F16" i="14"/>
  <c r="F54" i="14"/>
  <c r="F36" i="14"/>
  <c r="F27" i="14"/>
  <c r="F23" i="14"/>
  <c r="F35" i="14"/>
  <c r="F21" i="14"/>
  <c r="F62" i="14"/>
  <c r="F10" i="14"/>
  <c r="F49" i="14"/>
  <c r="F33" i="14"/>
  <c r="F14" i="14"/>
  <c r="F61" i="14"/>
  <c r="F38" i="14"/>
  <c r="F12" i="14"/>
  <c r="F48" i="14"/>
  <c r="F30" i="14"/>
  <c r="F40" i="14"/>
  <c r="F42" i="14"/>
  <c r="F60" i="14"/>
  <c r="F11" i="14"/>
  <c r="F18" i="14"/>
  <c r="F50" i="14"/>
  <c r="F63" i="14"/>
  <c r="F43" i="14"/>
  <c r="E43" i="14"/>
  <c r="E26" i="14"/>
  <c r="F26" i="14"/>
  <c r="E13" i="14"/>
  <c r="F13" i="14"/>
  <c r="D56" i="14"/>
  <c r="D25" i="14"/>
  <c r="D32" i="14"/>
  <c r="D51" i="14"/>
  <c r="D15" i="14"/>
  <c r="D41" i="14"/>
  <c r="BH39" i="259" l="1"/>
  <c r="AH39" i="259"/>
  <c r="Q39" i="259"/>
  <c r="BA39" i="259"/>
  <c r="V39" i="259"/>
  <c r="BG39" i="259"/>
  <c r="AR39" i="259"/>
  <c r="BL39" i="259"/>
  <c r="AQ39" i="259"/>
  <c r="L39" i="259"/>
  <c r="AB39" i="259"/>
  <c r="AG39" i="259"/>
  <c r="BN39" i="259"/>
  <c r="BB39" i="259"/>
  <c r="AS39" i="259"/>
  <c r="Z39" i="259"/>
  <c r="BE39" i="259"/>
  <c r="AW39" i="259"/>
  <c r="AD39" i="259"/>
  <c r="S39" i="259"/>
  <c r="Y39" i="259"/>
  <c r="R39" i="259"/>
  <c r="P39" i="259"/>
  <c r="AI39" i="259"/>
  <c r="M39" i="259"/>
  <c r="X39" i="259"/>
  <c r="BK39" i="259"/>
  <c r="AC39" i="259"/>
  <c r="AO39" i="259"/>
  <c r="AA39" i="259"/>
  <c r="BI39" i="259"/>
  <c r="O39" i="259"/>
  <c r="BD39" i="259"/>
  <c r="T39" i="259"/>
  <c r="U39" i="259"/>
  <c r="AX39" i="259"/>
  <c r="AV39" i="259"/>
  <c r="AU39" i="259"/>
  <c r="AY39" i="259"/>
  <c r="BM39" i="259"/>
  <c r="BJ39" i="259"/>
  <c r="AJ39" i="259"/>
  <c r="W39" i="259"/>
  <c r="BF39" i="259"/>
  <c r="BC39" i="259"/>
  <c r="AN39" i="259"/>
  <c r="AF39" i="259"/>
  <c r="AL39" i="259"/>
  <c r="AZ39" i="259"/>
  <c r="AM39" i="259"/>
  <c r="N39" i="259"/>
  <c r="AK39" i="259"/>
  <c r="AT39" i="259"/>
  <c r="K39" i="259"/>
  <c r="AE39" i="259"/>
  <c r="E51" i="14"/>
  <c r="F51" i="14"/>
  <c r="F15" i="14"/>
  <c r="E15" i="14"/>
  <c r="F32" i="14"/>
  <c r="E32" i="14"/>
  <c r="E25" i="14"/>
  <c r="F25" i="14"/>
  <c r="E41" i="14"/>
  <c r="F41" i="14"/>
  <c r="F56" i="14"/>
  <c r="E56" i="14"/>
  <c r="A19" i="14"/>
  <c r="H19" i="14" l="1"/>
  <c r="AM28" i="255"/>
  <c r="AO2" i="255"/>
  <c r="H2" i="253"/>
  <c r="BM2" i="260"/>
  <c r="W2" i="257"/>
  <c r="I9" i="255"/>
  <c r="AL28" i="252"/>
  <c r="F6" i="252"/>
  <c r="AT2" i="259"/>
  <c r="BG2" i="258"/>
  <c r="Z2" i="253"/>
  <c r="BJ28" i="252"/>
  <c r="Z28" i="253"/>
  <c r="BJ2" i="256"/>
  <c r="I3" i="261"/>
  <c r="AP2" i="252"/>
  <c r="BM28" i="253"/>
  <c r="AW2" i="251"/>
  <c r="C30" i="261"/>
  <c r="BA2" i="252"/>
  <c r="AU2" i="251"/>
  <c r="F4" i="252"/>
  <c r="BH28" i="253"/>
  <c r="BI2" i="253"/>
  <c r="S28" i="253"/>
  <c r="F18" i="256"/>
  <c r="T28" i="250"/>
  <c r="AD2" i="250"/>
  <c r="F17" i="260"/>
  <c r="AI2" i="253"/>
  <c r="P2" i="253"/>
  <c r="Q2" i="261"/>
  <c r="AA28" i="255"/>
  <c r="I16" i="251"/>
  <c r="J2" i="261"/>
  <c r="F14" i="257"/>
  <c r="BA2" i="260"/>
  <c r="S2" i="261"/>
  <c r="I17" i="258"/>
  <c r="AD2" i="251"/>
  <c r="AG2" i="261"/>
  <c r="BA2" i="253"/>
  <c r="BA28" i="251"/>
  <c r="AG28" i="252"/>
  <c r="AP28" i="255"/>
  <c r="AJ2" i="260"/>
  <c r="AR2" i="250"/>
  <c r="BI2" i="256"/>
  <c r="BD2" i="256"/>
  <c r="AM2" i="251"/>
  <c r="AE2" i="256"/>
  <c r="I13" i="256"/>
  <c r="BI28" i="255"/>
  <c r="N2" i="260"/>
  <c r="F19" i="253"/>
  <c r="AG28" i="251"/>
  <c r="I6" i="254"/>
  <c r="AP2" i="253"/>
  <c r="I7" i="259"/>
  <c r="R2" i="260"/>
  <c r="V2" i="257"/>
  <c r="AF2" i="260"/>
  <c r="AM2" i="255"/>
  <c r="Q2" i="255"/>
  <c r="AS2" i="250"/>
  <c r="F14" i="260"/>
  <c r="F20" i="257"/>
  <c r="AE2" i="259"/>
  <c r="F16" i="253"/>
  <c r="BL28" i="252"/>
  <c r="W28" i="255"/>
  <c r="G2" i="260"/>
  <c r="AV28" i="255"/>
  <c r="I3" i="259"/>
  <c r="I13" i="255"/>
  <c r="AB28" i="250"/>
  <c r="P2" i="257"/>
  <c r="AT2" i="258"/>
  <c r="AZ28" i="255"/>
  <c r="BL2" i="258"/>
  <c r="F8" i="259"/>
  <c r="F16" i="261"/>
  <c r="S28" i="251"/>
  <c r="AY2" i="256"/>
  <c r="R28" i="255"/>
  <c r="F16" i="251"/>
  <c r="F11" i="257"/>
  <c r="AC2" i="254"/>
  <c r="BM2" i="259"/>
  <c r="F11" i="250"/>
  <c r="I6" i="260"/>
  <c r="I13" i="258"/>
  <c r="AK28" i="253"/>
  <c r="BA28" i="250"/>
  <c r="O2" i="257"/>
  <c r="I5" i="257"/>
  <c r="AW2" i="254"/>
  <c r="W2" i="251"/>
  <c r="I5" i="261"/>
  <c r="F16" i="259"/>
  <c r="I18" i="250"/>
  <c r="AH2" i="256"/>
  <c r="AL2" i="258"/>
  <c r="AK28" i="255"/>
  <c r="I6" i="250"/>
  <c r="S28" i="252"/>
  <c r="BG28" i="253"/>
  <c r="BH2" i="258"/>
  <c r="M2" i="255"/>
  <c r="AU28" i="255"/>
  <c r="AL2" i="259"/>
  <c r="W2" i="258"/>
  <c r="R2" i="256"/>
  <c r="I5" i="259"/>
  <c r="AP2" i="261"/>
  <c r="BF2" i="259"/>
  <c r="K2" i="251"/>
  <c r="C30" i="253"/>
  <c r="AH2" i="255"/>
  <c r="AN28" i="250"/>
  <c r="V2" i="258"/>
  <c r="BF28" i="255"/>
  <c r="AH2" i="258"/>
  <c r="S2" i="257"/>
  <c r="Q2" i="250"/>
  <c r="BG2" i="261"/>
  <c r="F5" i="255"/>
  <c r="F13" i="253"/>
  <c r="AN28" i="255"/>
  <c r="AD2" i="252"/>
  <c r="AH2" i="252"/>
  <c r="I4" i="253"/>
  <c r="F14" i="259"/>
  <c r="AQ2" i="261"/>
  <c r="I11" i="259"/>
  <c r="N28" i="255"/>
  <c r="X2" i="254"/>
  <c r="I21" i="251"/>
  <c r="G2" i="255"/>
  <c r="AM2" i="259"/>
  <c r="BE2" i="254"/>
  <c r="AY2" i="252"/>
  <c r="I21" i="254"/>
  <c r="BB28" i="255"/>
  <c r="AB2" i="252"/>
  <c r="AI28" i="253"/>
  <c r="BC2" i="259"/>
  <c r="W2" i="259"/>
  <c r="AJ2" i="259"/>
  <c r="AK2" i="257"/>
  <c r="T2" i="254"/>
  <c r="F10" i="259"/>
  <c r="AU2" i="259"/>
  <c r="F13" i="250"/>
  <c r="AV2" i="259"/>
  <c r="AN2" i="257"/>
  <c r="I15" i="256"/>
  <c r="AV2" i="253"/>
  <c r="AG28" i="250"/>
  <c r="I17" i="253"/>
  <c r="BG28" i="255"/>
  <c r="I13" i="261"/>
  <c r="BI2" i="261"/>
  <c r="BB28" i="251"/>
  <c r="AP2" i="260"/>
  <c r="I18" i="261"/>
  <c r="BD2" i="260"/>
  <c r="BN28" i="255"/>
  <c r="I20" i="253"/>
  <c r="I9" i="259"/>
  <c r="I22" i="255"/>
  <c r="Q2" i="260"/>
  <c r="AQ28" i="255"/>
  <c r="BE28" i="255"/>
  <c r="BK2" i="256"/>
  <c r="AW28" i="253"/>
  <c r="I3" i="253"/>
  <c r="BK2" i="250"/>
  <c r="Y2" i="251"/>
  <c r="AL2" i="260"/>
  <c r="I9" i="260"/>
  <c r="I22" i="260"/>
  <c r="BD28" i="251"/>
  <c r="P28" i="255"/>
  <c r="F6" i="260"/>
  <c r="BG28" i="252"/>
  <c r="F14" i="251"/>
  <c r="F20" i="259"/>
  <c r="F13" i="260"/>
  <c r="BL2" i="252"/>
  <c r="F24" i="256"/>
  <c r="M2" i="256"/>
  <c r="F4" i="256"/>
  <c r="F4" i="260"/>
  <c r="BN2" i="251"/>
  <c r="BB28" i="252"/>
  <c r="AH28" i="251"/>
  <c r="I11" i="257"/>
  <c r="N2" i="254"/>
  <c r="X2" i="258"/>
  <c r="AD2" i="258"/>
  <c r="I22" i="259"/>
  <c r="AL2" i="256"/>
  <c r="BB2" i="258"/>
  <c r="AP28" i="253"/>
  <c r="I12" i="259"/>
  <c r="F17" i="259"/>
  <c r="X2" i="251"/>
  <c r="F17" i="258"/>
  <c r="F13" i="259"/>
  <c r="F17" i="256"/>
  <c r="L2" i="258"/>
  <c r="AM2" i="253"/>
  <c r="BM2" i="261"/>
  <c r="M28" i="253"/>
  <c r="I10" i="254"/>
  <c r="BJ2" i="261"/>
  <c r="F15" i="257"/>
  <c r="P2" i="261"/>
  <c r="U2" i="256"/>
  <c r="AM28" i="253"/>
  <c r="F15" i="254"/>
  <c r="I8" i="261"/>
  <c r="AM2" i="252"/>
  <c r="BJ2" i="254"/>
  <c r="F11" i="258"/>
  <c r="Z28" i="250"/>
  <c r="O2" i="251"/>
  <c r="BJ28" i="255"/>
  <c r="F3" i="252"/>
  <c r="AL2" i="251"/>
  <c r="BL2" i="254"/>
  <c r="I19" i="261"/>
  <c r="AT2" i="261"/>
  <c r="AK2" i="252"/>
  <c r="BB28" i="253"/>
  <c r="F23" i="250"/>
  <c r="AN28" i="253"/>
  <c r="AH2" i="260"/>
  <c r="I10" i="250"/>
  <c r="AU2" i="253"/>
  <c r="I11" i="250"/>
  <c r="F23" i="253"/>
  <c r="K2" i="260"/>
  <c r="AR28" i="253"/>
  <c r="C29" i="250"/>
  <c r="AW2" i="252"/>
  <c r="AU2" i="258"/>
  <c r="F8" i="254"/>
  <c r="AW2" i="253"/>
  <c r="BC2" i="254"/>
  <c r="AW28" i="251"/>
  <c r="AR2" i="261"/>
  <c r="AN2" i="261"/>
  <c r="AU2" i="256"/>
  <c r="U2" i="250"/>
  <c r="F11" i="261"/>
  <c r="AS2" i="261"/>
  <c r="K2" i="259"/>
  <c r="BG2" i="257"/>
  <c r="I15" i="259"/>
  <c r="AK2" i="259"/>
  <c r="R2" i="252"/>
  <c r="BH2" i="254"/>
  <c r="AZ2" i="259"/>
  <c r="F15" i="255"/>
  <c r="S28" i="250"/>
  <c r="F23" i="261"/>
  <c r="F5" i="260"/>
  <c r="I10" i="260"/>
  <c r="AF2" i="259"/>
  <c r="BE2" i="258"/>
  <c r="AQ2" i="253"/>
  <c r="AC2" i="256"/>
  <c r="AG28" i="255"/>
  <c r="AH28" i="255"/>
  <c r="I19" i="260"/>
  <c r="BN2" i="255"/>
  <c r="F18" i="253"/>
  <c r="AI2" i="255"/>
  <c r="AV2" i="250"/>
  <c r="I14" i="260"/>
  <c r="AE2" i="260"/>
  <c r="F4" i="251"/>
  <c r="L2" i="254"/>
  <c r="AS2" i="258"/>
  <c r="BC2" i="255"/>
  <c r="I17" i="254"/>
  <c r="F16" i="258"/>
  <c r="AX2" i="250"/>
  <c r="I22" i="261"/>
  <c r="J2" i="260"/>
  <c r="X28" i="253"/>
  <c r="Q28" i="252"/>
  <c r="AO2" i="250"/>
  <c r="K28" i="255"/>
  <c r="I16" i="254"/>
  <c r="F4" i="254"/>
  <c r="I6" i="257"/>
  <c r="AY2" i="258"/>
  <c r="BE2" i="256"/>
  <c r="BD2" i="258"/>
  <c r="AN2" i="259"/>
  <c r="F19" i="252"/>
  <c r="I13" i="250"/>
  <c r="F22" i="257"/>
  <c r="BB2" i="253"/>
  <c r="BJ2" i="259"/>
  <c r="BK28" i="251"/>
  <c r="AH2" i="254"/>
  <c r="T28" i="253"/>
  <c r="Y28" i="250"/>
  <c r="AT2" i="255"/>
  <c r="V2" i="251"/>
  <c r="BB2" i="250"/>
  <c r="BL28" i="255"/>
  <c r="AW2" i="261"/>
  <c r="U2" i="251"/>
  <c r="K2" i="256"/>
  <c r="AT2" i="256"/>
  <c r="I22" i="251"/>
  <c r="AM2" i="261"/>
  <c r="F22" i="260"/>
  <c r="BE2" i="260"/>
  <c r="F24" i="260"/>
  <c r="BA2" i="258"/>
  <c r="N2" i="259"/>
  <c r="Z28" i="251"/>
  <c r="F11" i="260"/>
  <c r="AO28" i="253"/>
  <c r="I10" i="253"/>
  <c r="AL28" i="253"/>
  <c r="AV2" i="256"/>
  <c r="F3" i="258"/>
  <c r="BA2" i="254"/>
  <c r="F19" i="250"/>
  <c r="BB2" i="254"/>
  <c r="AF28" i="255"/>
  <c r="AR2" i="258"/>
  <c r="AL28" i="255"/>
  <c r="AN2" i="251"/>
  <c r="AF2" i="250"/>
  <c r="BM28" i="255"/>
  <c r="I18" i="260"/>
  <c r="BN28" i="253"/>
  <c r="BC28" i="252"/>
  <c r="BL28" i="251"/>
  <c r="O28" i="255"/>
  <c r="O2" i="261"/>
  <c r="G2" i="258"/>
  <c r="F13" i="252"/>
  <c r="BA2" i="251"/>
  <c r="AD2" i="255"/>
  <c r="J2" i="257"/>
  <c r="U2" i="260"/>
  <c r="AX2" i="256"/>
  <c r="AJ28" i="255"/>
  <c r="BI2" i="255"/>
  <c r="F8" i="256"/>
  <c r="I12" i="252"/>
  <c r="AK2" i="258"/>
  <c r="BE2" i="252"/>
  <c r="F6" i="254"/>
  <c r="AF2" i="257"/>
  <c r="AU28" i="253"/>
  <c r="AP2" i="257"/>
  <c r="J2" i="250"/>
  <c r="AU2" i="257"/>
  <c r="BH2" i="261"/>
  <c r="I11" i="255"/>
  <c r="F8" i="253"/>
  <c r="AY2" i="259"/>
  <c r="AF28" i="252"/>
  <c r="AC2" i="260"/>
  <c r="BN28" i="251"/>
  <c r="I13" i="253"/>
  <c r="I8" i="255"/>
  <c r="AV2" i="254"/>
  <c r="AX2" i="260"/>
  <c r="AS2" i="254"/>
  <c r="F21" i="260"/>
  <c r="W2" i="254"/>
  <c r="AC2" i="253"/>
  <c r="F20" i="253"/>
  <c r="I19" i="251"/>
  <c r="I15" i="260"/>
  <c r="AY28" i="253"/>
  <c r="BC2" i="257"/>
  <c r="AC28" i="253"/>
  <c r="F16" i="260"/>
  <c r="AJ2" i="255"/>
  <c r="F13" i="255"/>
  <c r="T2" i="251"/>
  <c r="AT28" i="252"/>
  <c r="T2" i="256"/>
  <c r="S2" i="258"/>
  <c r="F21" i="250"/>
  <c r="M28" i="255"/>
  <c r="AR2" i="252"/>
  <c r="F5" i="254"/>
  <c r="Z2" i="254"/>
  <c r="BH2" i="255"/>
  <c r="I4" i="259"/>
  <c r="I5" i="250"/>
  <c r="I11" i="254"/>
  <c r="U2" i="253"/>
  <c r="I3" i="254"/>
  <c r="AX2" i="259"/>
  <c r="F12" i="255"/>
  <c r="I10" i="255"/>
  <c r="AB28" i="255"/>
  <c r="Y2" i="256"/>
  <c r="AP28" i="252"/>
  <c r="BN2" i="254"/>
  <c r="O2" i="253"/>
  <c r="BK2" i="261"/>
  <c r="BK2" i="253"/>
  <c r="I20" i="259"/>
  <c r="G2" i="257"/>
  <c r="N28" i="251"/>
  <c r="C29" i="255"/>
  <c r="U2" i="254"/>
  <c r="F6" i="257"/>
  <c r="U2" i="252"/>
  <c r="AM2" i="256"/>
  <c r="AZ2" i="252"/>
  <c r="AA2" i="252"/>
  <c r="K2" i="258"/>
  <c r="AX2" i="254"/>
  <c r="F21" i="261"/>
  <c r="BN2" i="252"/>
  <c r="F10" i="252"/>
  <c r="BG2" i="252"/>
  <c r="F13" i="258"/>
  <c r="AI28" i="255"/>
  <c r="J2" i="255"/>
  <c r="AP2" i="251"/>
  <c r="AX28" i="253"/>
  <c r="V28" i="252"/>
  <c r="H2" i="258"/>
  <c r="AP2" i="255"/>
  <c r="BH2" i="256"/>
  <c r="U2" i="261"/>
  <c r="F10" i="258"/>
  <c r="F7" i="261"/>
  <c r="BI28" i="250"/>
  <c r="AB28" i="252"/>
  <c r="BL2" i="257"/>
  <c r="Z2" i="261"/>
  <c r="F21" i="256"/>
  <c r="AZ2" i="260"/>
  <c r="AI2" i="261"/>
  <c r="AN28" i="252"/>
  <c r="AV28" i="252"/>
  <c r="BL28" i="253"/>
  <c r="AD2" i="257"/>
  <c r="F18" i="251"/>
  <c r="Q28" i="251"/>
  <c r="F22" i="259"/>
  <c r="H2" i="260"/>
  <c r="AY28" i="255"/>
  <c r="AG2" i="250"/>
  <c r="I5" i="255"/>
  <c r="F13" i="261"/>
  <c r="F9" i="260"/>
  <c r="AG28" i="253"/>
  <c r="J2" i="253"/>
  <c r="AG2" i="252"/>
  <c r="AR28" i="252"/>
  <c r="S2" i="255"/>
  <c r="BI28" i="252"/>
  <c r="Q28" i="255"/>
  <c r="I7" i="258"/>
  <c r="Z28" i="255"/>
  <c r="AG2" i="253"/>
  <c r="I22" i="258"/>
  <c r="AJ2" i="258"/>
  <c r="T2" i="253"/>
  <c r="AE2" i="261"/>
  <c r="O28" i="253"/>
  <c r="AG2" i="260"/>
  <c r="AE2" i="253"/>
  <c r="K2" i="253"/>
  <c r="AE28" i="255"/>
  <c r="F7" i="255"/>
  <c r="C30" i="257"/>
  <c r="AC28" i="255"/>
  <c r="L2" i="260"/>
  <c r="F6" i="261"/>
  <c r="BN2" i="253"/>
  <c r="AE28" i="253"/>
  <c r="I18" i="259"/>
  <c r="F23" i="255"/>
  <c r="I8" i="260"/>
  <c r="I19" i="257"/>
  <c r="I17" i="261"/>
  <c r="AB2" i="255"/>
  <c r="T2" i="260"/>
  <c r="AA2" i="251"/>
  <c r="F5" i="258"/>
  <c r="AW2" i="250"/>
  <c r="AT2" i="260"/>
  <c r="U2" i="259"/>
  <c r="AK2" i="250"/>
  <c r="BJ2" i="257"/>
  <c r="F7" i="256"/>
  <c r="AH2" i="253"/>
  <c r="AN2" i="256"/>
  <c r="X2" i="257"/>
  <c r="Z2" i="250"/>
  <c r="AK28" i="254"/>
  <c r="Z2" i="255"/>
  <c r="W28" i="253"/>
  <c r="BC28" i="251"/>
  <c r="M2" i="251"/>
  <c r="AC2" i="259"/>
  <c r="F20" i="261"/>
  <c r="I7" i="255"/>
  <c r="I22" i="254"/>
  <c r="F8" i="251"/>
  <c r="T2" i="255"/>
  <c r="AM2" i="260"/>
  <c r="F24" i="258"/>
  <c r="F21" i="257"/>
  <c r="AZ2" i="254"/>
  <c r="BJ2" i="260"/>
  <c r="F9" i="251"/>
  <c r="BL2" i="253"/>
  <c r="AQ28" i="253"/>
  <c r="AB2" i="254"/>
  <c r="AX28" i="255"/>
  <c r="BA2" i="255"/>
  <c r="W2" i="253"/>
  <c r="AL28" i="251"/>
  <c r="I11" i="258"/>
  <c r="BH2" i="252"/>
  <c r="R28" i="250"/>
  <c r="AE2" i="258"/>
  <c r="T2" i="257"/>
  <c r="I12" i="251"/>
  <c r="AH28" i="252"/>
  <c r="AL2" i="253"/>
  <c r="AR28" i="251"/>
  <c r="K28" i="253"/>
  <c r="K28" i="250"/>
  <c r="F10" i="251"/>
  <c r="G2" i="254"/>
  <c r="F19" i="255"/>
  <c r="BK2" i="259"/>
  <c r="AW2" i="260"/>
  <c r="AX2" i="252"/>
  <c r="AY2" i="250"/>
  <c r="AO28" i="255"/>
  <c r="I14" i="255"/>
  <c r="AG2" i="254"/>
  <c r="AY2" i="254"/>
  <c r="G2" i="256"/>
  <c r="R2" i="259"/>
  <c r="BI28" i="253"/>
  <c r="AO2" i="261"/>
  <c r="BM2" i="254"/>
  <c r="AB2" i="251"/>
  <c r="I21" i="261"/>
  <c r="Q28" i="250"/>
  <c r="F21" i="252"/>
  <c r="BF2" i="251"/>
  <c r="X28" i="254"/>
  <c r="BG2" i="250"/>
  <c r="AS2" i="259"/>
  <c r="AW2" i="256"/>
  <c r="Z2" i="257"/>
  <c r="F12" i="256"/>
  <c r="F3" i="253"/>
  <c r="BD28" i="253"/>
  <c r="U2" i="258"/>
  <c r="BI2" i="259"/>
  <c r="M28" i="251"/>
  <c r="BC2" i="256"/>
  <c r="BN2" i="256"/>
  <c r="I20" i="261"/>
  <c r="AN2" i="255"/>
  <c r="J2" i="254"/>
  <c r="AM2" i="250"/>
  <c r="AQ2" i="260"/>
  <c r="AF28" i="253"/>
  <c r="AA2" i="257"/>
  <c r="I17" i="259"/>
  <c r="R2" i="261"/>
  <c r="BJ2" i="250"/>
  <c r="I5" i="254"/>
  <c r="AE2" i="251"/>
  <c r="G2" i="252"/>
  <c r="BC2" i="252"/>
  <c r="F4" i="255"/>
  <c r="F22" i="255"/>
  <c r="AZ2" i="255"/>
  <c r="I8" i="256"/>
  <c r="V28" i="254"/>
  <c r="BN28" i="250"/>
  <c r="I9" i="251"/>
  <c r="AM2" i="258"/>
  <c r="X2" i="256"/>
  <c r="BJ28" i="250"/>
  <c r="F22" i="256"/>
  <c r="J2" i="256"/>
  <c r="AP28" i="250"/>
  <c r="C30" i="256"/>
  <c r="AP2" i="259"/>
  <c r="H2" i="257"/>
  <c r="F3" i="261"/>
  <c r="I20" i="252"/>
  <c r="I18" i="254"/>
  <c r="BA28" i="253"/>
  <c r="BH28" i="252"/>
  <c r="AM28" i="252"/>
  <c r="BL2" i="260"/>
  <c r="AQ28" i="250"/>
  <c r="AY28" i="250"/>
  <c r="BM2" i="255"/>
  <c r="BG28" i="250"/>
  <c r="AA28" i="251"/>
  <c r="BF28" i="252"/>
  <c r="T28" i="251"/>
  <c r="BI2" i="257"/>
  <c r="J2" i="252"/>
  <c r="L28" i="252"/>
  <c r="F4" i="259"/>
  <c r="C29" i="253"/>
  <c r="AR2" i="257"/>
  <c r="W28" i="250"/>
  <c r="Q2" i="257"/>
  <c r="I21" i="256"/>
  <c r="I7" i="252"/>
  <c r="AM2" i="254"/>
  <c r="N28" i="252"/>
  <c r="R2" i="253"/>
  <c r="AI28" i="252"/>
  <c r="I17" i="256"/>
  <c r="F15" i="250"/>
  <c r="AA28" i="252"/>
  <c r="F3" i="259"/>
  <c r="I16" i="257"/>
  <c r="AU28" i="250"/>
  <c r="AD28" i="253"/>
  <c r="I9" i="258"/>
  <c r="L2" i="253"/>
  <c r="AI2" i="250"/>
  <c r="BD2" i="259"/>
  <c r="F24" i="252"/>
  <c r="I21" i="252"/>
  <c r="Z2" i="260"/>
  <c r="L2" i="255"/>
  <c r="F24" i="254"/>
  <c r="I12" i="257"/>
  <c r="AI2" i="251"/>
  <c r="F17" i="254"/>
  <c r="X2" i="253"/>
  <c r="AK28" i="252"/>
  <c r="V28" i="251"/>
  <c r="AF2" i="256"/>
  <c r="F13" i="257"/>
  <c r="I15" i="255"/>
  <c r="F20" i="258"/>
  <c r="AL28" i="254"/>
  <c r="M2" i="250"/>
  <c r="I14" i="254"/>
  <c r="F23" i="256"/>
  <c r="BF28" i="250"/>
  <c r="AJ2" i="250"/>
  <c r="I16" i="258"/>
  <c r="AH2" i="250"/>
  <c r="I19" i="256"/>
  <c r="O28" i="251"/>
  <c r="F5" i="251"/>
  <c r="I8" i="254"/>
  <c r="I18" i="258"/>
  <c r="F8" i="255"/>
  <c r="BB2" i="257"/>
  <c r="AG2" i="255"/>
  <c r="I13" i="252"/>
  <c r="F12" i="261"/>
  <c r="C30" i="259"/>
  <c r="I8" i="253"/>
  <c r="I15" i="250"/>
  <c r="BN28" i="254"/>
  <c r="F24" i="253"/>
  <c r="AE2" i="254"/>
  <c r="F22" i="258"/>
  <c r="P2" i="252"/>
  <c r="I20" i="250"/>
  <c r="L2" i="252"/>
  <c r="I6" i="252"/>
  <c r="AI2" i="259"/>
  <c r="F9" i="261"/>
  <c r="AH2" i="261"/>
  <c r="AY2" i="255"/>
  <c r="AB28" i="254"/>
  <c r="F5" i="259"/>
  <c r="AR28" i="254"/>
  <c r="R28" i="254"/>
  <c r="K28" i="251"/>
  <c r="I12" i="258"/>
  <c r="Y2" i="258"/>
  <c r="AQ2" i="255"/>
  <c r="I19" i="253"/>
  <c r="AJ28" i="251"/>
  <c r="U28" i="251"/>
  <c r="AJ2" i="261"/>
  <c r="V28" i="253"/>
  <c r="F22" i="253"/>
  <c r="I2" i="255"/>
  <c r="O2" i="259"/>
  <c r="I5" i="253"/>
  <c r="BH2" i="253"/>
  <c r="BL2" i="261"/>
  <c r="Y2" i="255"/>
  <c r="F21" i="251"/>
  <c r="AQ28" i="251"/>
  <c r="I13" i="251"/>
  <c r="S2" i="253"/>
  <c r="X2" i="259"/>
  <c r="AO28" i="254"/>
  <c r="AI28" i="254"/>
  <c r="T28" i="255"/>
  <c r="AD28" i="255"/>
  <c r="I3" i="252"/>
  <c r="BK2" i="255"/>
  <c r="I5" i="252"/>
  <c r="F19" i="251"/>
  <c r="I5" i="258"/>
  <c r="F3" i="260"/>
  <c r="AZ28" i="250"/>
  <c r="I7" i="257"/>
  <c r="AW2" i="255"/>
  <c r="I14" i="251"/>
  <c r="AA2" i="258"/>
  <c r="F12" i="259"/>
  <c r="I18" i="251"/>
  <c r="BL28" i="250"/>
  <c r="F18" i="252"/>
  <c r="U28" i="254"/>
  <c r="BB2" i="260"/>
  <c r="AP2" i="250"/>
  <c r="AK2" i="253"/>
  <c r="S28" i="254"/>
  <c r="AP2" i="254"/>
  <c r="F14" i="253"/>
  <c r="I3" i="250"/>
  <c r="BB2" i="252"/>
  <c r="AT28" i="251"/>
  <c r="I19" i="250"/>
  <c r="AZ2" i="261"/>
  <c r="F11" i="253"/>
  <c r="AG2" i="256"/>
  <c r="Z2" i="258"/>
  <c r="AI2" i="256"/>
  <c r="AW28" i="254"/>
  <c r="AK28" i="250"/>
  <c r="BM2" i="252"/>
  <c r="AH2" i="251"/>
  <c r="M2" i="252"/>
  <c r="BG2" i="256"/>
  <c r="AW2" i="259"/>
  <c r="F8" i="250"/>
  <c r="F20" i="256"/>
  <c r="AF2" i="252"/>
  <c r="AM28" i="251"/>
  <c r="BA28" i="255"/>
  <c r="BH28" i="255"/>
  <c r="F9" i="255"/>
  <c r="I13" i="257"/>
  <c r="F22" i="250"/>
  <c r="C30" i="258"/>
  <c r="F15" i="260"/>
  <c r="V2" i="255"/>
  <c r="Y2" i="252"/>
  <c r="AQ2" i="258"/>
  <c r="K2" i="257"/>
  <c r="AD2" i="256"/>
  <c r="AT2" i="250"/>
  <c r="AC28" i="251"/>
  <c r="AA28" i="250"/>
  <c r="Q2" i="258"/>
  <c r="M2" i="259"/>
  <c r="BC28" i="253"/>
  <c r="BK2" i="257"/>
  <c r="I18" i="252"/>
  <c r="U28" i="252"/>
  <c r="Q2" i="254"/>
  <c r="I8" i="259"/>
  <c r="BK28" i="253"/>
  <c r="AV2" i="255"/>
  <c r="BN2" i="261"/>
  <c r="T2" i="252"/>
  <c r="I4" i="251"/>
  <c r="C29" i="252"/>
  <c r="I10" i="261"/>
  <c r="I14" i="259"/>
  <c r="Z2" i="259"/>
  <c r="F15" i="261"/>
  <c r="I13" i="254"/>
  <c r="F6" i="259"/>
  <c r="AS2" i="260"/>
  <c r="K28" i="252"/>
  <c r="C30" i="254"/>
  <c r="I14" i="257"/>
  <c r="K2" i="252"/>
  <c r="I17" i="252"/>
  <c r="I16" i="250"/>
  <c r="AO2" i="259"/>
  <c r="F19" i="257"/>
  <c r="I20" i="256"/>
  <c r="C30" i="255"/>
  <c r="BI28" i="254"/>
  <c r="AE28" i="250"/>
  <c r="AT28" i="255"/>
  <c r="F14" i="255"/>
  <c r="BM2" i="257"/>
  <c r="AC2" i="255"/>
  <c r="X2" i="255"/>
  <c r="BK2" i="254"/>
  <c r="BH2" i="257"/>
  <c r="F7" i="260"/>
  <c r="O28" i="250"/>
  <c r="AW2" i="257"/>
  <c r="AD2" i="259"/>
  <c r="Q28" i="253"/>
  <c r="F16" i="252"/>
  <c r="F15" i="252"/>
  <c r="AT2" i="253"/>
  <c r="F9" i="253"/>
  <c r="I6" i="253"/>
  <c r="AW28" i="255"/>
  <c r="F14" i="250"/>
  <c r="F23" i="258"/>
  <c r="I2" i="250"/>
  <c r="F10" i="254"/>
  <c r="I3" i="258"/>
  <c r="AZ2" i="256"/>
  <c r="BC2" i="258"/>
  <c r="AX28" i="252"/>
  <c r="Y28" i="255"/>
  <c r="AV2" i="257"/>
  <c r="AK2" i="255"/>
  <c r="BF2" i="261"/>
  <c r="I10" i="258"/>
  <c r="F17" i="261"/>
  <c r="BC28" i="255"/>
  <c r="I10" i="251"/>
  <c r="M2" i="260"/>
  <c r="O2" i="255"/>
  <c r="F14" i="252"/>
  <c r="I20" i="254"/>
  <c r="I2" i="258"/>
  <c r="BG2" i="251"/>
  <c r="AF28" i="254"/>
  <c r="I12" i="256"/>
  <c r="S2" i="260"/>
  <c r="F10" i="257"/>
  <c r="P2" i="259"/>
  <c r="AJ28" i="252"/>
  <c r="AB2" i="260"/>
  <c r="AA2" i="261"/>
  <c r="C29" i="251"/>
  <c r="AL2" i="254"/>
  <c r="F8" i="261"/>
  <c r="V2" i="253"/>
  <c r="U28" i="253"/>
  <c r="AS2" i="256"/>
  <c r="BM2" i="250"/>
  <c r="I10" i="257"/>
  <c r="I18" i="257"/>
  <c r="BE2" i="259"/>
  <c r="AU28" i="252"/>
  <c r="BB2" i="255"/>
  <c r="F14" i="256"/>
  <c r="AN2" i="252"/>
  <c r="Q2" i="252"/>
  <c r="AC2" i="251"/>
  <c r="F21" i="254"/>
  <c r="AA2" i="259"/>
  <c r="AH28" i="254"/>
  <c r="AY28" i="254"/>
  <c r="I4" i="254"/>
  <c r="F18" i="261"/>
  <c r="AP28" i="251"/>
  <c r="S2" i="251"/>
  <c r="AO2" i="257"/>
  <c r="I3" i="256"/>
  <c r="F19" i="261"/>
  <c r="AR2" i="260"/>
  <c r="G2" i="259"/>
  <c r="AD2" i="260"/>
  <c r="AS28" i="253"/>
  <c r="I11" i="253"/>
  <c r="I6" i="259"/>
  <c r="Y2" i="259"/>
  <c r="K2" i="261"/>
  <c r="AQ2" i="257"/>
  <c r="O2" i="250"/>
  <c r="AJ2" i="251"/>
  <c r="AR2" i="254"/>
  <c r="Y2" i="257"/>
  <c r="AG2" i="251"/>
  <c r="U28" i="255"/>
  <c r="Y28" i="252"/>
  <c r="T2" i="259"/>
  <c r="F3" i="257"/>
  <c r="BE2" i="261"/>
  <c r="BG2" i="260"/>
  <c r="I6" i="251"/>
  <c r="F21" i="258"/>
  <c r="AB2" i="258"/>
  <c r="F12" i="251"/>
  <c r="AA28" i="253"/>
  <c r="I9" i="252"/>
  <c r="AV28" i="250"/>
  <c r="I4" i="250"/>
  <c r="AS28" i="252"/>
  <c r="I4" i="257"/>
  <c r="AS2" i="252"/>
  <c r="L2" i="256"/>
  <c r="I3" i="257"/>
  <c r="I11" i="256"/>
  <c r="AU2" i="254"/>
  <c r="J2" i="251"/>
  <c r="BD2" i="255"/>
  <c r="M28" i="254"/>
  <c r="AV28" i="254"/>
  <c r="AL2" i="255"/>
  <c r="BD2" i="253"/>
  <c r="T2" i="261"/>
  <c r="R28" i="252"/>
  <c r="T28" i="252"/>
  <c r="S2" i="256"/>
  <c r="BI28" i="251"/>
  <c r="N2" i="258"/>
  <c r="F16" i="255"/>
  <c r="M2" i="261"/>
  <c r="F23" i="252"/>
  <c r="F11" i="255"/>
  <c r="AB2" i="256"/>
  <c r="BK28" i="254"/>
  <c r="BD2" i="254"/>
  <c r="AP2" i="258"/>
  <c r="I4" i="252"/>
  <c r="F24" i="251"/>
  <c r="BN2" i="250"/>
  <c r="N2" i="252"/>
  <c r="F17" i="257"/>
  <c r="AF2" i="253"/>
  <c r="AX2" i="258"/>
  <c r="BB2" i="256"/>
  <c r="F14" i="258"/>
  <c r="F12" i="260"/>
  <c r="F11" i="251"/>
  <c r="AO2" i="251"/>
  <c r="BM2" i="251"/>
  <c r="BE28" i="251"/>
  <c r="F15" i="251"/>
  <c r="F17" i="255"/>
  <c r="BJ2" i="253"/>
  <c r="F9" i="259"/>
  <c r="F7" i="259"/>
  <c r="I5" i="251"/>
  <c r="AC2" i="250"/>
  <c r="BE28" i="253"/>
  <c r="F22" i="261"/>
  <c r="AN28" i="254"/>
  <c r="AQ2" i="250"/>
  <c r="BA28" i="254"/>
  <c r="I6" i="258"/>
  <c r="F20" i="260"/>
  <c r="BB28" i="254"/>
  <c r="H2" i="251"/>
  <c r="F17" i="252"/>
  <c r="AI28" i="250"/>
  <c r="AD28" i="254"/>
  <c r="F15" i="256"/>
  <c r="I7" i="251"/>
  <c r="BI2" i="250"/>
  <c r="AP28" i="254"/>
  <c r="BG28" i="254"/>
  <c r="BK28" i="255"/>
  <c r="O2" i="258"/>
  <c r="F18" i="259"/>
  <c r="AH28" i="250"/>
  <c r="F22" i="254"/>
  <c r="BF28" i="254"/>
  <c r="BC2" i="251"/>
  <c r="AB2" i="259"/>
  <c r="R2" i="258"/>
  <c r="BL2" i="250"/>
  <c r="F12" i="252"/>
  <c r="AZ2" i="253"/>
  <c r="P2" i="256"/>
  <c r="AV2" i="251"/>
  <c r="AL2" i="250"/>
  <c r="K2" i="250"/>
  <c r="M2" i="258"/>
  <c r="BF2" i="257"/>
  <c r="C29" i="254"/>
  <c r="F9" i="252"/>
  <c r="AV28" i="253"/>
  <c r="BA28" i="252"/>
  <c r="I16" i="253"/>
  <c r="M2" i="253"/>
  <c r="I21" i="253"/>
  <c r="BE2" i="255"/>
  <c r="R2" i="251"/>
  <c r="BC2" i="250"/>
  <c r="I15" i="254"/>
  <c r="AZ28" i="254"/>
  <c r="BE28" i="252"/>
  <c r="AZ28" i="252"/>
  <c r="AV2" i="258"/>
  <c r="T28" i="254"/>
  <c r="AG2" i="259"/>
  <c r="I19" i="258"/>
  <c r="F24" i="261"/>
  <c r="I2" i="251"/>
  <c r="I7" i="256"/>
  <c r="F11" i="252"/>
  <c r="AE28" i="254"/>
  <c r="BJ28" i="251"/>
  <c r="BA2" i="261"/>
  <c r="H2" i="261"/>
  <c r="N2" i="257"/>
  <c r="F7" i="258"/>
  <c r="I13" i="259"/>
  <c r="I8" i="257"/>
  <c r="AA2" i="260"/>
  <c r="F23" i="259"/>
  <c r="Q2" i="259"/>
  <c r="F14" i="254"/>
  <c r="F13" i="251"/>
  <c r="F3" i="254"/>
  <c r="P28" i="252"/>
  <c r="F10" i="255"/>
  <c r="F16" i="256"/>
  <c r="O2" i="256"/>
  <c r="BH28" i="250"/>
  <c r="AX28" i="250"/>
  <c r="F7" i="252"/>
  <c r="F3" i="256"/>
  <c r="BJ2" i="252"/>
  <c r="I12" i="254"/>
  <c r="BJ28" i="254"/>
  <c r="BJ2" i="255"/>
  <c r="N28" i="254"/>
  <c r="AN2" i="253"/>
  <c r="Z2" i="252"/>
  <c r="BD28" i="254"/>
  <c r="AM28" i="250"/>
  <c r="R2" i="250"/>
  <c r="Y28" i="253"/>
  <c r="O28" i="252"/>
  <c r="BI2" i="258"/>
  <c r="I9" i="254"/>
  <c r="BN28" i="252"/>
  <c r="M28" i="250"/>
  <c r="V2" i="261"/>
  <c r="X28" i="250"/>
  <c r="W28" i="251"/>
  <c r="F24" i="257"/>
  <c r="AF28" i="250"/>
  <c r="I17" i="260"/>
  <c r="L28" i="250"/>
  <c r="AX28" i="254"/>
  <c r="AD2" i="253"/>
  <c r="AZ2" i="257"/>
  <c r="S2" i="254"/>
  <c r="AN2" i="250"/>
  <c r="F16" i="254"/>
  <c r="I7" i="254"/>
  <c r="I15" i="253"/>
  <c r="I14" i="256"/>
  <c r="AQ28" i="254"/>
  <c r="I12" i="255"/>
  <c r="AZ28" i="253"/>
  <c r="I2" i="254"/>
  <c r="AW2" i="258"/>
  <c r="BD28" i="252"/>
  <c r="Z2" i="256"/>
  <c r="F20" i="252"/>
  <c r="I21" i="255"/>
  <c r="AU2" i="260"/>
  <c r="I21" i="258"/>
  <c r="AO2" i="253"/>
  <c r="I3" i="260"/>
  <c r="F18" i="254"/>
  <c r="AK2" i="260"/>
  <c r="AE2" i="257"/>
  <c r="I2" i="257"/>
  <c r="Z28" i="252"/>
  <c r="I22" i="253"/>
  <c r="F6" i="250"/>
  <c r="R28" i="251"/>
  <c r="F18" i="250"/>
  <c r="F12" i="258"/>
  <c r="AM28" i="254"/>
  <c r="Y2" i="254"/>
  <c r="F17" i="253"/>
  <c r="N2" i="253"/>
  <c r="I2" i="256"/>
  <c r="BK28" i="252"/>
  <c r="F5" i="257"/>
  <c r="F19" i="260"/>
  <c r="AX28" i="251"/>
  <c r="I9" i="253"/>
  <c r="K2" i="254"/>
  <c r="BH28" i="254"/>
  <c r="AU2" i="252"/>
  <c r="I4" i="255"/>
  <c r="K41" i="255"/>
  <c r="F5" i="256"/>
  <c r="F9" i="254"/>
  <c r="BM28" i="250"/>
  <c r="I12" i="261"/>
  <c r="AY2" i="261"/>
  <c r="L28" i="254"/>
  <c r="V28" i="250"/>
  <c r="AL2" i="257"/>
  <c r="AR2" i="259"/>
  <c r="Z2" i="251"/>
  <c r="I13" i="260"/>
  <c r="I9" i="257"/>
  <c r="I19" i="255"/>
  <c r="I17" i="250"/>
  <c r="I14" i="252"/>
  <c r="AM2" i="257"/>
  <c r="F4" i="261"/>
  <c r="I12" i="253"/>
  <c r="I4" i="258"/>
  <c r="T2" i="250"/>
  <c r="F20" i="250"/>
  <c r="AN28" i="251"/>
  <c r="P28" i="251"/>
  <c r="AR2" i="251"/>
  <c r="G2" i="253"/>
  <c r="I15" i="252"/>
  <c r="BE28" i="250"/>
  <c r="P28" i="254"/>
  <c r="C30" i="260"/>
  <c r="BE2" i="250"/>
  <c r="BB28" i="250"/>
  <c r="I21" i="259"/>
  <c r="BD28" i="255"/>
  <c r="AI28" i="251"/>
  <c r="L2" i="259"/>
  <c r="BF28" i="251"/>
  <c r="AR28" i="255"/>
  <c r="X2" i="252"/>
  <c r="X28" i="255"/>
  <c r="BI2" i="251"/>
  <c r="Q2" i="256"/>
  <c r="H2" i="259"/>
  <c r="BK2" i="252"/>
  <c r="BA2" i="259"/>
  <c r="BF2" i="260"/>
  <c r="F9" i="250"/>
  <c r="AF2" i="251"/>
  <c r="I16" i="261"/>
  <c r="AQ2" i="251"/>
  <c r="Y28" i="254"/>
  <c r="I20" i="251"/>
  <c r="AD2" i="254"/>
  <c r="AB2" i="257"/>
  <c r="AX2" i="255"/>
  <c r="N2" i="250"/>
  <c r="L28" i="253"/>
  <c r="BF2" i="253"/>
  <c r="AI2" i="254"/>
  <c r="I7" i="261"/>
  <c r="BJ2" i="251"/>
  <c r="F22" i="252"/>
  <c r="AK2" i="256"/>
  <c r="X28" i="252"/>
  <c r="AJ2" i="254"/>
  <c r="I17" i="255"/>
  <c r="AZ28" i="251"/>
  <c r="X2" i="261"/>
  <c r="F23" i="251"/>
  <c r="O2" i="254"/>
  <c r="F6" i="255"/>
  <c r="AF28" i="251"/>
  <c r="BM28" i="251"/>
  <c r="BN2" i="257"/>
  <c r="AH28" i="253"/>
  <c r="Y2" i="253"/>
  <c r="F10" i="250"/>
  <c r="F13" i="254"/>
  <c r="X2" i="250"/>
  <c r="AC28" i="252"/>
  <c r="BE28" i="254"/>
  <c r="J2" i="258"/>
  <c r="F8" i="252"/>
  <c r="AF2" i="254"/>
  <c r="AB28" i="251"/>
  <c r="G2" i="251"/>
  <c r="AJ2" i="252"/>
  <c r="I9" i="256"/>
  <c r="BC2" i="260"/>
  <c r="R9" i="14"/>
  <c r="Y28" i="251"/>
  <c r="I22" i="257"/>
  <c r="AG2" i="258"/>
  <c r="BN2" i="260"/>
  <c r="F23" i="254"/>
  <c r="BF2" i="254"/>
  <c r="K2" i="255"/>
  <c r="C30" i="252"/>
  <c r="BH28" i="251"/>
  <c r="I8" i="251"/>
  <c r="AD28" i="252"/>
  <c r="AB2" i="253"/>
  <c r="BC2" i="253"/>
  <c r="F9" i="258"/>
  <c r="W2" i="260"/>
  <c r="F19" i="256"/>
  <c r="BC28" i="250"/>
  <c r="AO2" i="256"/>
  <c r="I22" i="256"/>
  <c r="I3" i="251"/>
  <c r="F6" i="253"/>
  <c r="Y2" i="260"/>
  <c r="AY2" i="253"/>
  <c r="P2" i="260"/>
  <c r="AW28" i="250"/>
  <c r="BB2" i="261"/>
  <c r="AJ28" i="250"/>
  <c r="BJ28" i="253"/>
  <c r="F7" i="253"/>
  <c r="AC2" i="257"/>
  <c r="AU2" i="250"/>
  <c r="BG2" i="254"/>
  <c r="BA2" i="250"/>
  <c r="BM2" i="258"/>
  <c r="F17" i="250"/>
  <c r="AB2" i="261"/>
  <c r="K28" i="254"/>
  <c r="AT28" i="254"/>
  <c r="F9" i="256"/>
  <c r="W2" i="250"/>
  <c r="I11" i="251"/>
  <c r="AJ2" i="256"/>
  <c r="S5" i="14"/>
  <c r="F15" i="258"/>
  <c r="AQ2" i="259"/>
  <c r="AA28" i="254"/>
  <c r="AN2" i="254"/>
  <c r="L28" i="255"/>
  <c r="F24" i="259"/>
  <c r="I19" i="254"/>
  <c r="I20" i="257"/>
  <c r="P28" i="250"/>
  <c r="AE2" i="252"/>
  <c r="I20" i="258"/>
  <c r="I14" i="250"/>
  <c r="AN2" i="258"/>
  <c r="I2" i="261"/>
  <c r="AT28" i="250"/>
  <c r="AS28" i="250"/>
  <c r="AX2" i="261"/>
  <c r="N28" i="253"/>
  <c r="F8" i="258"/>
  <c r="AJ28" i="254"/>
  <c r="AV2" i="252"/>
  <c r="BI2" i="260"/>
  <c r="AA2" i="256"/>
  <c r="R2" i="257"/>
  <c r="BF2" i="252"/>
  <c r="BL2" i="255"/>
  <c r="AI2" i="258"/>
  <c r="F24" i="250"/>
  <c r="AC28" i="250"/>
  <c r="BG2" i="253"/>
  <c r="F10" i="260"/>
  <c r="I10" i="252"/>
  <c r="N2" i="261"/>
  <c r="W2" i="255"/>
  <c r="BK28" i="250"/>
  <c r="BJ2" i="258"/>
  <c r="AR28" i="250"/>
  <c r="AJ28" i="253"/>
  <c r="F3" i="251"/>
  <c r="P2" i="250"/>
  <c r="I12" i="250"/>
  <c r="AC28" i="254"/>
  <c r="F18" i="258"/>
  <c r="I9" i="250"/>
  <c r="F3" i="255"/>
  <c r="X2" i="260"/>
  <c r="AI2" i="252"/>
  <c r="R28" i="253"/>
  <c r="I11" i="252"/>
  <c r="AY28" i="252"/>
  <c r="BD28" i="250"/>
  <c r="F14" i="261"/>
  <c r="F18" i="257"/>
  <c r="AS2" i="251"/>
  <c r="AQ28" i="252"/>
  <c r="S2" i="259"/>
  <c r="U2" i="255"/>
  <c r="V2" i="260"/>
  <c r="AN2" i="260"/>
  <c r="BF2" i="255"/>
  <c r="AF2" i="255"/>
  <c r="BE2" i="253"/>
  <c r="R2" i="255"/>
  <c r="BN2" i="258"/>
  <c r="F19" i="254"/>
  <c r="C30" i="251"/>
  <c r="F3" i="250"/>
  <c r="F18" i="255"/>
  <c r="Q28" i="254"/>
  <c r="AQ2" i="256"/>
  <c r="AO28" i="250"/>
  <c r="I2" i="252"/>
  <c r="I10" i="259"/>
  <c r="BL2" i="259"/>
  <c r="AX2" i="251"/>
  <c r="H2" i="254"/>
  <c r="BI2" i="254"/>
  <c r="I16" i="255"/>
  <c r="O2" i="252"/>
  <c r="I22" i="252"/>
  <c r="AV2" i="260"/>
  <c r="AK2" i="261"/>
  <c r="O2" i="260"/>
  <c r="AD28" i="251"/>
  <c r="AB28" i="253"/>
  <c r="L28" i="251"/>
  <c r="AU2" i="255"/>
  <c r="BM2" i="256"/>
  <c r="I17" i="257"/>
  <c r="AO28" i="251"/>
  <c r="AC2" i="252"/>
  <c r="N2" i="255"/>
  <c r="BD2" i="257"/>
  <c r="BL28" i="254"/>
  <c r="I16" i="256"/>
  <c r="BN2" i="259"/>
  <c r="AY2" i="251"/>
  <c r="V2" i="252"/>
  <c r="H2" i="252"/>
  <c r="H2" i="256"/>
  <c r="I2" i="253"/>
  <c r="AQ2" i="254"/>
  <c r="F7" i="250"/>
  <c r="I5" i="256"/>
  <c r="AT28" i="253"/>
  <c r="I8" i="252"/>
  <c r="F12" i="250"/>
  <c r="I10" i="256"/>
  <c r="AI2" i="260"/>
  <c r="G2" i="250"/>
  <c r="AQ2" i="252"/>
  <c r="BL2" i="256"/>
  <c r="I18" i="256"/>
  <c r="AR2" i="255"/>
  <c r="I16" i="252"/>
  <c r="BA2" i="256"/>
  <c r="P2" i="255"/>
  <c r="BF2" i="256"/>
  <c r="M28" i="252"/>
  <c r="F5" i="261"/>
  <c r="AU28" i="251"/>
  <c r="F18" i="260"/>
  <c r="V2" i="256"/>
  <c r="BB2" i="259"/>
  <c r="BH2" i="250"/>
  <c r="I12" i="260"/>
  <c r="BL2" i="251"/>
  <c r="BM28" i="252"/>
  <c r="I14" i="261"/>
  <c r="BD2" i="261"/>
  <c r="BF2" i="258"/>
  <c r="S2" i="252"/>
  <c r="N28" i="250"/>
  <c r="BF2" i="250"/>
  <c r="P2" i="254"/>
  <c r="F5" i="252"/>
  <c r="F24" i="255"/>
  <c r="BF28" i="253"/>
  <c r="F23" i="260"/>
  <c r="V2" i="259"/>
  <c r="AT2" i="254"/>
  <c r="X28" i="251"/>
  <c r="I22" i="250"/>
  <c r="BK2" i="260"/>
  <c r="I20" i="260"/>
  <c r="L2" i="250"/>
  <c r="BE2" i="257"/>
  <c r="W2" i="252"/>
  <c r="F11" i="256"/>
  <c r="F16" i="257"/>
  <c r="J2" i="259"/>
  <c r="BG28" i="251"/>
  <c r="AT2" i="252"/>
  <c r="BG2" i="255"/>
  <c r="W2" i="261"/>
  <c r="F19" i="258"/>
  <c r="I11" i="260"/>
  <c r="I16" i="260"/>
  <c r="AG2" i="257"/>
  <c r="N2" i="251"/>
  <c r="R2" i="254"/>
  <c r="Z28" i="254"/>
  <c r="BK2" i="258"/>
  <c r="I7" i="250"/>
  <c r="F10" i="256"/>
  <c r="F5" i="250"/>
  <c r="Y2" i="261"/>
  <c r="BE2" i="251"/>
  <c r="AA2" i="255"/>
  <c r="Q2" i="251"/>
  <c r="BC2" i="261"/>
  <c r="AS28" i="255"/>
  <c r="BD2" i="251"/>
  <c r="BA2" i="257"/>
  <c r="S28" i="255"/>
  <c r="F20" i="255"/>
  <c r="F17" i="251"/>
  <c r="I4" i="256"/>
  <c r="AT2" i="257"/>
  <c r="AV2" i="261"/>
  <c r="P2" i="251"/>
  <c r="I18" i="255"/>
  <c r="AU2" i="261"/>
  <c r="F20" i="251"/>
  <c r="M2" i="257"/>
  <c r="I21" i="257"/>
  <c r="F15" i="253"/>
  <c r="F7" i="251"/>
  <c r="I15" i="258"/>
  <c r="I14" i="258"/>
  <c r="W2" i="256"/>
  <c r="AZ2" i="250"/>
  <c r="Q2" i="253"/>
  <c r="AK2" i="251"/>
  <c r="BK2" i="251"/>
  <c r="F6" i="251"/>
  <c r="F5" i="253"/>
  <c r="AG28" i="254"/>
  <c r="S9" i="14"/>
  <c r="AY28" i="251"/>
  <c r="F4" i="250"/>
  <c r="AS2" i="253"/>
  <c r="P52" i="14"/>
  <c r="I21" i="260"/>
  <c r="AI2" i="257"/>
  <c r="AE2" i="250"/>
  <c r="AS28" i="254"/>
  <c r="R52" i="14"/>
  <c r="AJ2" i="257"/>
  <c r="Q9" i="14"/>
  <c r="AT2" i="251"/>
  <c r="AX2" i="257"/>
  <c r="AA2" i="250"/>
  <c r="V2" i="254"/>
  <c r="P9" i="14"/>
  <c r="BI2" i="252"/>
  <c r="I7" i="253"/>
  <c r="G2" i="261"/>
  <c r="AR2" i="256"/>
  <c r="S59" i="14"/>
  <c r="P57" i="14"/>
  <c r="F7" i="257"/>
  <c r="F8" i="257"/>
  <c r="AC2" i="261"/>
  <c r="I16" i="259"/>
  <c r="AL2" i="261"/>
  <c r="P59" i="14"/>
  <c r="S57" i="14"/>
  <c r="I15" i="261"/>
  <c r="F6" i="256"/>
  <c r="F4" i="258"/>
  <c r="S7" i="14"/>
  <c r="AF2" i="258"/>
  <c r="F7" i="254"/>
  <c r="AS2" i="257"/>
  <c r="F21" i="255"/>
  <c r="AY2" i="257"/>
  <c r="F10" i="261"/>
  <c r="BD2" i="252"/>
  <c r="BC28" i="254"/>
  <c r="I4" i="260"/>
  <c r="AK2" i="254"/>
  <c r="F11" i="254"/>
  <c r="F10" i="253"/>
  <c r="BH2" i="260"/>
  <c r="U28" i="250"/>
  <c r="I6" i="255"/>
  <c r="BH2" i="251"/>
  <c r="I20" i="255"/>
  <c r="AV28" i="251"/>
  <c r="L59" i="14"/>
  <c r="I21" i="250"/>
  <c r="F12" i="257"/>
  <c r="AB2" i="250"/>
  <c r="F21" i="253"/>
  <c r="I8" i="250"/>
  <c r="S52" i="14"/>
  <c r="AY2" i="260"/>
  <c r="Y2" i="250"/>
  <c r="L45" i="14"/>
  <c r="I6" i="256"/>
  <c r="I4" i="261"/>
  <c r="AC2" i="258"/>
  <c r="O59" i="14"/>
  <c r="AZ2" i="251"/>
  <c r="AS2" i="255"/>
  <c r="I3" i="255"/>
  <c r="S4" i="14"/>
  <c r="F13" i="256"/>
  <c r="Q52" i="14"/>
  <c r="P45" i="14"/>
  <c r="S45" i="14"/>
  <c r="Q45" i="14"/>
  <c r="M45" i="14"/>
  <c r="M9" i="14"/>
  <c r="I19" i="259"/>
  <c r="BM2" i="253"/>
  <c r="AE28" i="252"/>
  <c r="BM28" i="254"/>
  <c r="I15" i="257"/>
  <c r="F8" i="260"/>
  <c r="V28" i="255"/>
  <c r="AO2" i="258"/>
  <c r="AL2" i="252"/>
  <c r="AR2" i="253"/>
  <c r="I2" i="260"/>
  <c r="T2" i="258"/>
  <c r="I2" i="259"/>
  <c r="F22" i="251"/>
  <c r="AU28" i="254"/>
  <c r="P28" i="253"/>
  <c r="AW28" i="252"/>
  <c r="BB2" i="251"/>
  <c r="F12" i="254"/>
  <c r="AX2" i="253"/>
  <c r="F6" i="258"/>
  <c r="I9" i="261"/>
  <c r="R45" i="14"/>
  <c r="AH2" i="259"/>
  <c r="C30" i="250"/>
  <c r="I17" i="251"/>
  <c r="N2" i="256"/>
  <c r="F15" i="259"/>
  <c r="F20" i="254"/>
  <c r="N57" i="14"/>
  <c r="F19" i="259"/>
  <c r="M2" i="254"/>
  <c r="AO28" i="252"/>
  <c r="I15" i="251"/>
  <c r="I14" i="253"/>
  <c r="H2" i="250"/>
  <c r="L57" i="14"/>
  <c r="I6" i="261"/>
  <c r="I18" i="253"/>
  <c r="V2" i="250"/>
  <c r="AF2" i="261"/>
  <c r="BD2" i="250"/>
  <c r="F4" i="253"/>
  <c r="L9" i="14"/>
  <c r="Q59" i="14"/>
  <c r="AK28" i="251"/>
  <c r="F4" i="257"/>
  <c r="I5" i="260"/>
  <c r="F21" i="259"/>
  <c r="U2" i="257"/>
  <c r="F12" i="253"/>
  <c r="AZ2" i="258"/>
  <c r="AP2" i="256"/>
  <c r="AE28" i="251"/>
  <c r="BG2" i="259"/>
  <c r="AS28" i="251"/>
  <c r="S2" i="250"/>
  <c r="I11" i="261"/>
  <c r="I7" i="260"/>
  <c r="AJ2" i="253"/>
  <c r="BH2" i="259"/>
  <c r="AO2" i="254"/>
  <c r="AH2" i="257"/>
  <c r="AD2" i="261"/>
  <c r="F16" i="250"/>
  <c r="L2" i="257"/>
  <c r="I19" i="252"/>
  <c r="T59" i="14"/>
  <c r="L2" i="251"/>
  <c r="F23" i="257"/>
  <c r="W28" i="252"/>
  <c r="AL28" i="250"/>
  <c r="AO2" i="260"/>
  <c r="W28" i="254"/>
  <c r="L52" i="14"/>
  <c r="U45" i="14"/>
  <c r="L2" i="261"/>
  <c r="F11" i="259"/>
  <c r="P2" i="258"/>
  <c r="H2" i="255"/>
  <c r="I8" i="258"/>
  <c r="AA2" i="253"/>
  <c r="R59" i="14"/>
  <c r="F9" i="257"/>
  <c r="AD28" i="250"/>
  <c r="AE2" i="255"/>
  <c r="AA2" i="254"/>
  <c r="O28" i="254"/>
  <c r="AO2" i="252"/>
  <c r="R57" i="14"/>
  <c r="U57" i="14"/>
  <c r="O45" i="14"/>
  <c r="N59" i="14"/>
  <c r="M57" i="14"/>
  <c r="M52" i="14"/>
  <c r="Q57" i="14"/>
  <c r="M59" i="14"/>
  <c r="Q7" i="14"/>
  <c r="R7" i="14"/>
  <c r="R5" i="14"/>
  <c r="BN2" i="1"/>
  <c r="Q4" i="14"/>
  <c r="Q5" i="14"/>
  <c r="R4" i="14"/>
  <c r="O9" i="14"/>
  <c r="O52" i="14"/>
  <c r="O57" i="14"/>
  <c r="N9" i="14"/>
  <c r="N52" i="14"/>
  <c r="N45" i="14"/>
  <c r="T45" i="14"/>
  <c r="T57" i="14"/>
  <c r="T9" i="14"/>
  <c r="T52" i="14"/>
  <c r="U52" i="14"/>
  <c r="U59" i="14"/>
  <c r="U9" i="14"/>
  <c r="V52" i="14"/>
  <c r="V59" i="14"/>
  <c r="V57" i="14"/>
  <c r="V9" i="14"/>
  <c r="V45" i="14"/>
  <c r="W57" i="14"/>
  <c r="W45" i="14"/>
  <c r="W52" i="14"/>
  <c r="W9" i="14"/>
  <c r="W59" i="14"/>
  <c r="AO40" i="252" l="1"/>
  <c r="AA39" i="254"/>
  <c r="AA40" i="254"/>
  <c r="AE40" i="255"/>
  <c r="AA40" i="253"/>
  <c r="AA39" i="253"/>
  <c r="P40" i="258"/>
  <c r="L39" i="261"/>
  <c r="L40" i="261"/>
  <c r="AO40" i="260"/>
  <c r="AO39" i="260"/>
  <c r="L40" i="251"/>
  <c r="L40" i="257"/>
  <c r="AD39" i="261"/>
  <c r="AD40" i="261"/>
  <c r="AH40" i="257"/>
  <c r="AO39" i="254"/>
  <c r="AO40" i="254"/>
  <c r="BH40" i="259"/>
  <c r="AJ40" i="253"/>
  <c r="S40" i="250"/>
  <c r="BG40" i="259"/>
  <c r="AP40" i="256"/>
  <c r="AZ40" i="258"/>
  <c r="U40" i="257"/>
  <c r="BD40" i="250"/>
  <c r="AF40" i="261"/>
  <c r="AF39" i="261"/>
  <c r="V40" i="250"/>
  <c r="M40" i="254"/>
  <c r="M39" i="254"/>
  <c r="N40" i="256"/>
  <c r="AH40" i="259"/>
  <c r="AX40" i="253"/>
  <c r="BB40" i="251"/>
  <c r="T40" i="258"/>
  <c r="AR40" i="253"/>
  <c r="AL40" i="252"/>
  <c r="AO40" i="258"/>
  <c r="BM40" i="253"/>
  <c r="AX31" i="255"/>
  <c r="R31" i="255"/>
  <c r="AO31" i="255"/>
  <c r="AM31" i="255"/>
  <c r="P31" i="255"/>
  <c r="AI31" i="255"/>
  <c r="U31" i="255"/>
  <c r="AE31" i="255"/>
  <c r="AD31" i="255"/>
  <c r="BJ31" i="255"/>
  <c r="V31" i="255"/>
  <c r="L31" i="255"/>
  <c r="AQ31" i="255"/>
  <c r="M31" i="255"/>
  <c r="BN31" i="255"/>
  <c r="K31" i="255"/>
  <c r="BG31" i="255"/>
  <c r="Q31" i="255"/>
  <c r="AY31" i="255"/>
  <c r="BE31" i="255"/>
  <c r="BD31" i="255"/>
  <c r="W31" i="255"/>
  <c r="X31" i="255"/>
  <c r="O31" i="255"/>
  <c r="Y31" i="255"/>
  <c r="AF31" i="255"/>
  <c r="AZ31" i="255"/>
  <c r="AB31" i="255"/>
  <c r="AN31" i="255"/>
  <c r="AK31" i="255"/>
  <c r="BC31" i="255"/>
  <c r="BL31" i="255"/>
  <c r="AC31" i="255"/>
  <c r="BB31" i="255"/>
  <c r="AA31" i="255"/>
  <c r="AH31" i="255"/>
  <c r="AR31" i="255"/>
  <c r="AG31" i="255"/>
  <c r="S31" i="255"/>
  <c r="AS31" i="255"/>
  <c r="BI31" i="255"/>
  <c r="N31" i="255"/>
  <c r="AW31" i="255"/>
  <c r="BF31" i="255"/>
  <c r="Z31" i="255"/>
  <c r="AT31" i="255"/>
  <c r="AP31" i="255"/>
  <c r="AV31" i="255"/>
  <c r="I25" i="255"/>
  <c r="T31" i="255"/>
  <c r="AL31" i="255"/>
  <c r="BM31" i="255"/>
  <c r="BA31" i="255"/>
  <c r="AJ31" i="255"/>
  <c r="AU31" i="255"/>
  <c r="BK31" i="255"/>
  <c r="BH31" i="255"/>
  <c r="AS40" i="255"/>
  <c r="AZ40" i="251"/>
  <c r="AC40" i="258"/>
  <c r="Y40" i="250"/>
  <c r="AY40" i="260"/>
  <c r="AY39" i="260"/>
  <c r="AB40" i="250"/>
  <c r="BH40" i="251"/>
  <c r="BH39" i="260"/>
  <c r="BH40" i="260"/>
  <c r="AK39" i="254"/>
  <c r="AK40" i="254"/>
  <c r="BD40" i="252"/>
  <c r="AY40" i="257"/>
  <c r="AS40" i="257"/>
  <c r="AF40" i="258"/>
  <c r="AL40" i="261"/>
  <c r="AL39" i="261"/>
  <c r="AC40" i="261"/>
  <c r="AC39" i="261"/>
  <c r="AR40" i="256"/>
  <c r="BI40" i="252"/>
  <c r="V40" i="254"/>
  <c r="V39" i="254"/>
  <c r="AA40" i="250"/>
  <c r="AX40" i="257"/>
  <c r="AT40" i="251"/>
  <c r="AJ40" i="257"/>
  <c r="AE40" i="250"/>
  <c r="AI40" i="257"/>
  <c r="AS40" i="253"/>
  <c r="BK40" i="251"/>
  <c r="AK40" i="251"/>
  <c r="AK39" i="251"/>
  <c r="Q40" i="253"/>
  <c r="AZ40" i="250"/>
  <c r="W40" i="256"/>
  <c r="M40" i="257"/>
  <c r="AU40" i="261"/>
  <c r="AU39" i="261"/>
  <c r="P40" i="251"/>
  <c r="AV39" i="261"/>
  <c r="AV40" i="261"/>
  <c r="AT40" i="257"/>
  <c r="BA40" i="257"/>
  <c r="BD40" i="251"/>
  <c r="BC39" i="261"/>
  <c r="BC40" i="261"/>
  <c r="Q39" i="251"/>
  <c r="Q40" i="251"/>
  <c r="AA40" i="255"/>
  <c r="BE40" i="251"/>
  <c r="Y40" i="261"/>
  <c r="Y39" i="261"/>
  <c r="BK40" i="258"/>
  <c r="R39" i="254"/>
  <c r="R40" i="254"/>
  <c r="N40" i="251"/>
  <c r="AG40" i="257"/>
  <c r="W40" i="261"/>
  <c r="W39" i="261"/>
  <c r="BG40" i="255"/>
  <c r="AT40" i="252"/>
  <c r="W40" i="252"/>
  <c r="BE40" i="257"/>
  <c r="L40" i="250"/>
  <c r="BK39" i="260"/>
  <c r="BK40" i="260"/>
  <c r="AT39" i="254"/>
  <c r="AT40" i="254"/>
  <c r="V40" i="259"/>
  <c r="P40" i="254"/>
  <c r="P39" i="254"/>
  <c r="BF40" i="250"/>
  <c r="S40" i="252"/>
  <c r="BF40" i="258"/>
  <c r="BD39" i="261"/>
  <c r="BD40" i="261"/>
  <c r="BL40" i="251"/>
  <c r="BH40" i="250"/>
  <c r="BB40" i="259"/>
  <c r="V40" i="256"/>
  <c r="BF40" i="256"/>
  <c r="P40" i="255"/>
  <c r="BA40" i="256"/>
  <c r="AR40" i="255"/>
  <c r="BL40" i="256"/>
  <c r="AQ40" i="252"/>
  <c r="AI39" i="260"/>
  <c r="AI40" i="260"/>
  <c r="AQ39" i="254"/>
  <c r="AQ40" i="254"/>
  <c r="V40" i="252"/>
  <c r="AY40" i="251"/>
  <c r="BN40" i="259"/>
  <c r="BD40" i="257"/>
  <c r="N40" i="255"/>
  <c r="AC40" i="252"/>
  <c r="BM40" i="256"/>
  <c r="AU40" i="255"/>
  <c r="O39" i="260"/>
  <c r="O40" i="260"/>
  <c r="AK40" i="261"/>
  <c r="AK39" i="261"/>
  <c r="AV40" i="260"/>
  <c r="AV39" i="260"/>
  <c r="O40" i="252"/>
  <c r="BI39" i="254"/>
  <c r="BI40" i="254"/>
  <c r="AX40" i="251"/>
  <c r="BL40" i="259"/>
  <c r="AQ40" i="256"/>
  <c r="BN40" i="258"/>
  <c r="R40" i="255"/>
  <c r="BE40" i="253"/>
  <c r="AF40" i="255"/>
  <c r="BF40" i="255"/>
  <c r="AN39" i="260"/>
  <c r="AN40" i="260"/>
  <c r="V40" i="260"/>
  <c r="V39" i="260"/>
  <c r="U40" i="255"/>
  <c r="S40" i="259"/>
  <c r="AS40" i="251"/>
  <c r="AI40" i="252"/>
  <c r="X39" i="260"/>
  <c r="X40" i="260"/>
  <c r="P40" i="250"/>
  <c r="BJ40" i="258"/>
  <c r="W40" i="255"/>
  <c r="N40" i="261"/>
  <c r="N39" i="261"/>
  <c r="BG40" i="253"/>
  <c r="AI40" i="258"/>
  <c r="BL40" i="255"/>
  <c r="BF40" i="252"/>
  <c r="BF39" i="252"/>
  <c r="R40" i="257"/>
  <c r="AA40" i="256"/>
  <c r="BI39" i="260"/>
  <c r="BI40" i="260"/>
  <c r="AV40" i="252"/>
  <c r="AX40" i="261"/>
  <c r="AX39" i="261"/>
  <c r="AN40" i="258"/>
  <c r="AE40" i="252"/>
  <c r="AN39" i="254"/>
  <c r="AN40" i="254"/>
  <c r="AQ40" i="259"/>
  <c r="AJ40" i="256"/>
  <c r="W40" i="250"/>
  <c r="AB39" i="261"/>
  <c r="AB40" i="261"/>
  <c r="BM40" i="258"/>
  <c r="BA40" i="250"/>
  <c r="BG39" i="254"/>
  <c r="BG40" i="254"/>
  <c r="AU40" i="250"/>
  <c r="AC40" i="257"/>
  <c r="BB39" i="261"/>
  <c r="BB40" i="261"/>
  <c r="P40" i="260"/>
  <c r="P39" i="260"/>
  <c r="AY40" i="253"/>
  <c r="Y39" i="260"/>
  <c r="Y40" i="260"/>
  <c r="AB31" i="251"/>
  <c r="Z31" i="251"/>
  <c r="AT31" i="251"/>
  <c r="Y31" i="251"/>
  <c r="BE31" i="251"/>
  <c r="BB31" i="251"/>
  <c r="AW31" i="251"/>
  <c r="L31" i="251"/>
  <c r="W31" i="251"/>
  <c r="AI31" i="251"/>
  <c r="BG31" i="251"/>
  <c r="AM31" i="251"/>
  <c r="AV31" i="251"/>
  <c r="BN31" i="251"/>
  <c r="BH31" i="251"/>
  <c r="BA31" i="251"/>
  <c r="AG31" i="251"/>
  <c r="AR31" i="251"/>
  <c r="P31" i="251"/>
  <c r="U31" i="251"/>
  <c r="AP31" i="251"/>
  <c r="R31" i="251"/>
  <c r="AX31" i="251"/>
  <c r="M31" i="251"/>
  <c r="AA31" i="251"/>
  <c r="BJ31" i="251"/>
  <c r="BK31" i="251"/>
  <c r="O31" i="251"/>
  <c r="V31" i="251"/>
  <c r="N31" i="251"/>
  <c r="I25" i="251"/>
  <c r="AJ31" i="251"/>
  <c r="T31" i="251"/>
  <c r="AS31" i="251"/>
  <c r="S31" i="251"/>
  <c r="Q31" i="251"/>
  <c r="BF31" i="251"/>
  <c r="X31" i="251"/>
  <c r="AN31" i="251"/>
  <c r="AZ31" i="251"/>
  <c r="BM31" i="251"/>
  <c r="BC31" i="251"/>
  <c r="K31" i="251"/>
  <c r="AE31" i="251"/>
  <c r="AL31" i="251"/>
  <c r="AC31" i="251"/>
  <c r="AQ31" i="251"/>
  <c r="AD31" i="251"/>
  <c r="AY31" i="251"/>
  <c r="BD31" i="251"/>
  <c r="AF31" i="251"/>
  <c r="AU31" i="251"/>
  <c r="AO31" i="251"/>
  <c r="BL31" i="251"/>
  <c r="AK31" i="251"/>
  <c r="AH31" i="251"/>
  <c r="BI31" i="251"/>
  <c r="AO40" i="256"/>
  <c r="W39" i="260"/>
  <c r="W40" i="260"/>
  <c r="BC40" i="253"/>
  <c r="AB40" i="253"/>
  <c r="K40" i="255"/>
  <c r="BF40" i="254"/>
  <c r="BF39" i="254"/>
  <c r="BN39" i="260"/>
  <c r="BN40" i="260"/>
  <c r="AG40" i="258"/>
  <c r="BC40" i="260"/>
  <c r="BC39" i="260"/>
  <c r="AJ40" i="252"/>
  <c r="AF40" i="254"/>
  <c r="AF39" i="254"/>
  <c r="X40" i="250"/>
  <c r="Y40" i="253"/>
  <c r="BN40" i="257"/>
  <c r="O40" i="254"/>
  <c r="O39" i="254"/>
  <c r="X40" i="261"/>
  <c r="X39" i="261"/>
  <c r="AJ39" i="254"/>
  <c r="AJ40" i="254"/>
  <c r="AK40" i="256"/>
  <c r="BJ40" i="251"/>
  <c r="AI40" i="254"/>
  <c r="AI39" i="254"/>
  <c r="BF40" i="253"/>
  <c r="N40" i="250"/>
  <c r="AX40" i="255"/>
  <c r="AB40" i="257"/>
  <c r="AD39" i="254"/>
  <c r="AD40" i="254"/>
  <c r="AQ40" i="251"/>
  <c r="AF40" i="251"/>
  <c r="BF39" i="260"/>
  <c r="BF40" i="260"/>
  <c r="BA40" i="259"/>
  <c r="BK40" i="252"/>
  <c r="Q40" i="256"/>
  <c r="BI40" i="251"/>
  <c r="X39" i="252"/>
  <c r="X40" i="252"/>
  <c r="L40" i="259"/>
  <c r="BE40" i="250"/>
  <c r="AR40" i="251"/>
  <c r="T40" i="250"/>
  <c r="AM40" i="257"/>
  <c r="Z40" i="251"/>
  <c r="AR40" i="259"/>
  <c r="AL40" i="257"/>
  <c r="AY40" i="261"/>
  <c r="AY39" i="261"/>
  <c r="AU40" i="252"/>
  <c r="K39" i="254"/>
  <c r="K40" i="254"/>
  <c r="N40" i="253"/>
  <c r="Y39" i="254"/>
  <c r="Y40" i="254"/>
  <c r="AE40" i="257"/>
  <c r="AK39" i="260"/>
  <c r="AK40" i="260"/>
  <c r="AI31" i="260"/>
  <c r="AD31" i="260"/>
  <c r="AT31" i="260"/>
  <c r="BJ31" i="260"/>
  <c r="T31" i="260"/>
  <c r="Y31" i="260"/>
  <c r="U31" i="260"/>
  <c r="BL31" i="260"/>
  <c r="BB31" i="260"/>
  <c r="AU31" i="260"/>
  <c r="AS31" i="260"/>
  <c r="AR31" i="260"/>
  <c r="BD31" i="260"/>
  <c r="Q31" i="260"/>
  <c r="AN31" i="260"/>
  <c r="AM31" i="260"/>
  <c r="X31" i="260"/>
  <c r="AK31" i="260"/>
  <c r="K31" i="260"/>
  <c r="BM31" i="260"/>
  <c r="AX31" i="260"/>
  <c r="AE31" i="260"/>
  <c r="AH31" i="260"/>
  <c r="BN31" i="260"/>
  <c r="P31" i="260"/>
  <c r="BA31" i="260"/>
  <c r="BE31" i="260"/>
  <c r="AP31" i="260"/>
  <c r="AG31" i="260"/>
  <c r="AB31" i="260"/>
  <c r="AO31" i="260"/>
  <c r="AL31" i="260"/>
  <c r="AC31" i="260"/>
  <c r="N31" i="260"/>
  <c r="AJ31" i="260"/>
  <c r="V31" i="260"/>
  <c r="Z31" i="260"/>
  <c r="AA31" i="260"/>
  <c r="AZ31" i="260"/>
  <c r="L31" i="260"/>
  <c r="BH31" i="260"/>
  <c r="BI31" i="260"/>
  <c r="S31" i="260"/>
  <c r="R31" i="260"/>
  <c r="O31" i="260"/>
  <c r="AF31" i="260"/>
  <c r="BK31" i="260"/>
  <c r="AQ31" i="260"/>
  <c r="AV31" i="260"/>
  <c r="BG31" i="260"/>
  <c r="W31" i="260"/>
  <c r="BF31" i="260"/>
  <c r="AW31" i="260"/>
  <c r="BC31" i="260"/>
  <c r="I25" i="260"/>
  <c r="AY31" i="260"/>
  <c r="M31" i="260"/>
  <c r="AO40" i="253"/>
  <c r="AU40" i="260"/>
  <c r="AU39" i="260"/>
  <c r="Z40" i="256"/>
  <c r="AW40" i="258"/>
  <c r="AN40" i="250"/>
  <c r="S39" i="254"/>
  <c r="S40" i="254"/>
  <c r="AZ40" i="257"/>
  <c r="AZ39" i="257"/>
  <c r="AD40" i="253"/>
  <c r="V39" i="261"/>
  <c r="V40" i="261"/>
  <c r="BI40" i="258"/>
  <c r="R40" i="250"/>
  <c r="Z40" i="252"/>
  <c r="AN40" i="253"/>
  <c r="BJ40" i="255"/>
  <c r="BJ40" i="252"/>
  <c r="O40" i="256"/>
  <c r="Q40" i="259"/>
  <c r="AA39" i="260"/>
  <c r="AA40" i="260"/>
  <c r="N40" i="257"/>
  <c r="BA40" i="261"/>
  <c r="BA39" i="261"/>
  <c r="AG40" i="259"/>
  <c r="AV40" i="258"/>
  <c r="BC40" i="250"/>
  <c r="R40" i="251"/>
  <c r="BE40" i="255"/>
  <c r="M40" i="253"/>
  <c r="BF40" i="257"/>
  <c r="M40" i="258"/>
  <c r="K40" i="250"/>
  <c r="AL40" i="250"/>
  <c r="AV40" i="251"/>
  <c r="P40" i="256"/>
  <c r="AZ40" i="253"/>
  <c r="BL40" i="250"/>
  <c r="R40" i="258"/>
  <c r="AB40" i="259"/>
  <c r="BC40" i="251"/>
  <c r="O40" i="258"/>
  <c r="BI40" i="250"/>
  <c r="AQ40" i="250"/>
  <c r="AC40" i="250"/>
  <c r="BJ40" i="253"/>
  <c r="BM40" i="251"/>
  <c r="AO40" i="251"/>
  <c r="BB40" i="256"/>
  <c r="AX40" i="258"/>
  <c r="AF40" i="253"/>
  <c r="N40" i="252"/>
  <c r="BN40" i="250"/>
  <c r="AP40" i="258"/>
  <c r="AP39" i="258"/>
  <c r="BD39" i="254"/>
  <c r="BD40" i="254"/>
  <c r="AB40" i="256"/>
  <c r="M40" i="261"/>
  <c r="M39" i="261"/>
  <c r="N40" i="258"/>
  <c r="S40" i="256"/>
  <c r="T39" i="261"/>
  <c r="T40" i="261"/>
  <c r="BD40" i="253"/>
  <c r="AL40" i="255"/>
  <c r="BD40" i="255"/>
  <c r="AU39" i="254"/>
  <c r="AU40" i="254"/>
  <c r="BH31" i="257"/>
  <c r="Y31" i="257"/>
  <c r="AW31" i="257"/>
  <c r="AU31" i="257"/>
  <c r="AT31" i="257"/>
  <c r="AD31" i="257"/>
  <c r="W31" i="257"/>
  <c r="AR31" i="257"/>
  <c r="AG31" i="257"/>
  <c r="AH31" i="257"/>
  <c r="V31" i="257"/>
  <c r="BN31" i="257"/>
  <c r="I25" i="257"/>
  <c r="AB31" i="257"/>
  <c r="M31" i="257"/>
  <c r="AA31" i="257"/>
  <c r="BD31" i="257"/>
  <c r="AJ31" i="257"/>
  <c r="R31" i="257"/>
  <c r="AI31" i="257"/>
  <c r="BM31" i="257"/>
  <c r="AV31" i="257"/>
  <c r="AY31" i="257"/>
  <c r="AF31" i="257"/>
  <c r="BI31" i="257"/>
  <c r="BJ31" i="257"/>
  <c r="K31" i="257"/>
  <c r="BA31" i="257"/>
  <c r="AN31" i="257"/>
  <c r="BL31" i="257"/>
  <c r="AX31" i="257"/>
  <c r="BK31" i="257"/>
  <c r="BE31" i="257"/>
  <c r="T31" i="257"/>
  <c r="U31" i="257"/>
  <c r="L31" i="257"/>
  <c r="AL31" i="257"/>
  <c r="AM31" i="257"/>
  <c r="Q31" i="257"/>
  <c r="AK31" i="257"/>
  <c r="AZ31" i="257"/>
  <c r="BF31" i="257"/>
  <c r="AS31" i="257"/>
  <c r="X31" i="257"/>
  <c r="S31" i="257"/>
  <c r="AQ31" i="257"/>
  <c r="AC31" i="257"/>
  <c r="O31" i="257"/>
  <c r="N31" i="257"/>
  <c r="AO31" i="257"/>
  <c r="Z31" i="257"/>
  <c r="BG31" i="257"/>
  <c r="BC31" i="257"/>
  <c r="AP31" i="257"/>
  <c r="AE31" i="257"/>
  <c r="P31" i="257"/>
  <c r="BB31" i="257"/>
  <c r="L40" i="256"/>
  <c r="AS40" i="252"/>
  <c r="AB40" i="258"/>
  <c r="BG39" i="260"/>
  <c r="BG40" i="260"/>
  <c r="BE40" i="261"/>
  <c r="BE39" i="261"/>
  <c r="T40" i="259"/>
  <c r="AG39" i="251"/>
  <c r="AG40" i="251"/>
  <c r="Y40" i="257"/>
  <c r="AR39" i="254"/>
  <c r="AR40" i="254"/>
  <c r="AJ39" i="251"/>
  <c r="AJ40" i="251"/>
  <c r="O40" i="250"/>
  <c r="AQ40" i="257"/>
  <c r="K39" i="261"/>
  <c r="K40" i="261"/>
  <c r="Y40" i="259"/>
  <c r="AD40" i="260"/>
  <c r="AD39" i="260"/>
  <c r="AR40" i="260"/>
  <c r="AR39" i="260"/>
  <c r="O31" i="256"/>
  <c r="AL31" i="256"/>
  <c r="AB31" i="256"/>
  <c r="BE31" i="256"/>
  <c r="AF31" i="256"/>
  <c r="M31" i="256"/>
  <c r="V31" i="256"/>
  <c r="BG31" i="256"/>
  <c r="BA31" i="256"/>
  <c r="AC31" i="256"/>
  <c r="BB31" i="256"/>
  <c r="AR31" i="256"/>
  <c r="X31" i="256"/>
  <c r="BK31" i="256"/>
  <c r="BL31" i="256"/>
  <c r="I25" i="256"/>
  <c r="S31" i="256"/>
  <c r="AO31" i="256"/>
  <c r="AG31" i="256"/>
  <c r="AM31" i="256"/>
  <c r="AP31" i="256"/>
  <c r="AS31" i="256"/>
  <c r="BC31" i="256"/>
  <c r="P31" i="256"/>
  <c r="L31" i="256"/>
  <c r="N31" i="256"/>
  <c r="BN31" i="256"/>
  <c r="Y31" i="256"/>
  <c r="AZ31" i="256"/>
  <c r="BF31" i="256"/>
  <c r="Z31" i="256"/>
  <c r="AV31" i="256"/>
  <c r="T31" i="256"/>
  <c r="U31" i="256"/>
  <c r="AU31" i="256"/>
  <c r="AI31" i="256"/>
  <c r="AQ31" i="256"/>
  <c r="AN31" i="256"/>
  <c r="AT31" i="256"/>
  <c r="W31" i="256"/>
  <c r="AE31" i="256"/>
  <c r="BM31" i="256"/>
  <c r="BI31" i="256"/>
  <c r="AJ31" i="256"/>
  <c r="BJ31" i="256"/>
  <c r="AK31" i="256"/>
  <c r="AY31" i="256"/>
  <c r="K31" i="256"/>
  <c r="AA31" i="256"/>
  <c r="AW31" i="256"/>
  <c r="AH31" i="256"/>
  <c r="AX31" i="256"/>
  <c r="BH31" i="256"/>
  <c r="BD31" i="256"/>
  <c r="Q31" i="256"/>
  <c r="AD31" i="256"/>
  <c r="R31" i="256"/>
  <c r="AO40" i="257"/>
  <c r="S40" i="251"/>
  <c r="AA40" i="259"/>
  <c r="AC40" i="251"/>
  <c r="Q40" i="252"/>
  <c r="AN40" i="252"/>
  <c r="BB40" i="255"/>
  <c r="BE40" i="259"/>
  <c r="BM40" i="250"/>
  <c r="AS40" i="256"/>
  <c r="V40" i="253"/>
  <c r="AL40" i="254"/>
  <c r="AL39" i="254"/>
  <c r="AA39" i="261"/>
  <c r="AA40" i="261"/>
  <c r="AB39" i="260"/>
  <c r="AB40" i="260"/>
  <c r="P40" i="259"/>
  <c r="S40" i="260"/>
  <c r="S39" i="260"/>
  <c r="BG40" i="251"/>
  <c r="BG39" i="251"/>
  <c r="O40" i="255"/>
  <c r="M40" i="260"/>
  <c r="M39" i="260"/>
  <c r="BF39" i="261"/>
  <c r="BF40" i="261"/>
  <c r="AK40" i="255"/>
  <c r="AV40" i="257"/>
  <c r="BC40" i="258"/>
  <c r="AZ40" i="256"/>
  <c r="K31" i="258"/>
  <c r="L31" i="258"/>
  <c r="AL31" i="258"/>
  <c r="BG31" i="258"/>
  <c r="R31" i="258"/>
  <c r="AQ31" i="258"/>
  <c r="AK31" i="258"/>
  <c r="BL31" i="258"/>
  <c r="AW31" i="258"/>
  <c r="AB31" i="258"/>
  <c r="AJ31" i="258"/>
  <c r="BC31" i="258"/>
  <c r="Q31" i="258"/>
  <c r="N31" i="258"/>
  <c r="AV31" i="258"/>
  <c r="AP31" i="258"/>
  <c r="P31" i="258"/>
  <c r="BD31" i="258"/>
  <c r="BI31" i="258"/>
  <c r="AA31" i="258"/>
  <c r="AH31" i="258"/>
  <c r="BM31" i="258"/>
  <c r="AD31" i="258"/>
  <c r="BB31" i="258"/>
  <c r="AE31" i="258"/>
  <c r="BF31" i="258"/>
  <c r="S31" i="258"/>
  <c r="AX31" i="258"/>
  <c r="T31" i="258"/>
  <c r="AI31" i="258"/>
  <c r="AZ31" i="258"/>
  <c r="AG31" i="258"/>
  <c r="BE31" i="258"/>
  <c r="AC31" i="258"/>
  <c r="X31" i="258"/>
  <c r="AM31" i="258"/>
  <c r="Y31" i="258"/>
  <c r="U31" i="258"/>
  <c r="W31" i="258"/>
  <c r="AR31" i="258"/>
  <c r="BK31" i="258"/>
  <c r="BJ31" i="258"/>
  <c r="BH31" i="258"/>
  <c r="I25" i="258"/>
  <c r="AY31" i="258"/>
  <c r="AU31" i="258"/>
  <c r="AS31" i="258"/>
  <c r="AT31" i="258"/>
  <c r="AO31" i="258"/>
  <c r="AN31" i="258"/>
  <c r="AF31" i="258"/>
  <c r="BA31" i="258"/>
  <c r="V31" i="258"/>
  <c r="Z31" i="258"/>
  <c r="O31" i="258"/>
  <c r="M31" i="258"/>
  <c r="BN31" i="258"/>
  <c r="AT40" i="253"/>
  <c r="AD40" i="259"/>
  <c r="AW40" i="257"/>
  <c r="BH40" i="257"/>
  <c r="BH39" i="257"/>
  <c r="BK40" i="254"/>
  <c r="BK39" i="254"/>
  <c r="X40" i="255"/>
  <c r="AC40" i="255"/>
  <c r="BM40" i="257"/>
  <c r="AO40" i="259"/>
  <c r="K40" i="252"/>
  <c r="AS39" i="260"/>
  <c r="AS40" i="260"/>
  <c r="Z40" i="259"/>
  <c r="T40" i="252"/>
  <c r="BN40" i="261"/>
  <c r="BN39" i="261"/>
  <c r="AV40" i="255"/>
  <c r="Q40" i="254"/>
  <c r="Q39" i="254"/>
  <c r="BK40" i="257"/>
  <c r="M40" i="259"/>
  <c r="Q40" i="258"/>
  <c r="AT40" i="250"/>
  <c r="AD40" i="256"/>
  <c r="K40" i="257"/>
  <c r="AQ40" i="258"/>
  <c r="Y40" i="252"/>
  <c r="V40" i="255"/>
  <c r="AF40" i="252"/>
  <c r="AW40" i="259"/>
  <c r="BG40" i="256"/>
  <c r="M40" i="252"/>
  <c r="AH40" i="251"/>
  <c r="BM40" i="252"/>
  <c r="AI40" i="256"/>
  <c r="Z40" i="258"/>
  <c r="AG40" i="256"/>
  <c r="AZ39" i="261"/>
  <c r="AZ40" i="261"/>
  <c r="BB40" i="252"/>
  <c r="BC31" i="250"/>
  <c r="AS31" i="250"/>
  <c r="N31" i="250"/>
  <c r="W31" i="250"/>
  <c r="BL31" i="250"/>
  <c r="Q31" i="250"/>
  <c r="BI31" i="250"/>
  <c r="AT31" i="250"/>
  <c r="AE31" i="250"/>
  <c r="AF31" i="250"/>
  <c r="Z31" i="250"/>
  <c r="BN31" i="250"/>
  <c r="BJ31" i="250"/>
  <c r="AC31" i="250"/>
  <c r="AY31" i="250"/>
  <c r="AN31" i="250"/>
  <c r="Y31" i="250"/>
  <c r="P31" i="250"/>
  <c r="AI31" i="250"/>
  <c r="AW31" i="250"/>
  <c r="AP31" i="250"/>
  <c r="AD31" i="250"/>
  <c r="AL31" i="250"/>
  <c r="AV31" i="250"/>
  <c r="BM31" i="250"/>
  <c r="K31" i="250"/>
  <c r="R31" i="250"/>
  <c r="BH31" i="250"/>
  <c r="AB31" i="250"/>
  <c r="AZ31" i="250"/>
  <c r="AQ31" i="250"/>
  <c r="I25" i="250"/>
  <c r="AM31" i="250"/>
  <c r="AX31" i="250"/>
  <c r="S31" i="250"/>
  <c r="BK31" i="250"/>
  <c r="BD31" i="250"/>
  <c r="L31" i="250"/>
  <c r="O31" i="250"/>
  <c r="BA31" i="250"/>
  <c r="BG31" i="250"/>
  <c r="V31" i="250"/>
  <c r="AR31" i="250"/>
  <c r="AO31" i="250"/>
  <c r="X31" i="250"/>
  <c r="AJ31" i="250"/>
  <c r="BF31" i="250"/>
  <c r="AG31" i="250"/>
  <c r="M31" i="250"/>
  <c r="AU31" i="250"/>
  <c r="T31" i="250"/>
  <c r="AA31" i="250"/>
  <c r="U31" i="250"/>
  <c r="BB31" i="250"/>
  <c r="AH31" i="250"/>
  <c r="BE31" i="250"/>
  <c r="AK31" i="250"/>
  <c r="AP40" i="254"/>
  <c r="AP39" i="254"/>
  <c r="AK40" i="253"/>
  <c r="AP40" i="250"/>
  <c r="AP39" i="250"/>
  <c r="BB39" i="260"/>
  <c r="BB40" i="260"/>
  <c r="AA40" i="258"/>
  <c r="AW40" i="255"/>
  <c r="BK40" i="255"/>
  <c r="BK31" i="252"/>
  <c r="BE31" i="252"/>
  <c r="BB31" i="252"/>
  <c r="S31" i="252"/>
  <c r="AP31" i="252"/>
  <c r="Q31" i="252"/>
  <c r="Z31" i="252"/>
  <c r="W31" i="252"/>
  <c r="BG31" i="252"/>
  <c r="AZ31" i="252"/>
  <c r="AY31" i="252"/>
  <c r="Y31" i="252"/>
  <c r="BM31" i="252"/>
  <c r="AA31" i="252"/>
  <c r="BL31" i="252"/>
  <c r="AS31" i="252"/>
  <c r="AK31" i="252"/>
  <c r="AR31" i="252"/>
  <c r="X31" i="252"/>
  <c r="AJ31" i="252"/>
  <c r="BJ31" i="252"/>
  <c r="L31" i="252"/>
  <c r="N31" i="252"/>
  <c r="AI31" i="252"/>
  <c r="BI31" i="252"/>
  <c r="U31" i="252"/>
  <c r="T31" i="252"/>
  <c r="AV31" i="252"/>
  <c r="AO31" i="252"/>
  <c r="V31" i="252"/>
  <c r="BD31" i="252"/>
  <c r="AE31" i="252"/>
  <c r="K31" i="252"/>
  <c r="AB31" i="252"/>
  <c r="AQ31" i="252"/>
  <c r="M31" i="252"/>
  <c r="AF31" i="252"/>
  <c r="AU31" i="252"/>
  <c r="AW31" i="252"/>
  <c r="AD31" i="252"/>
  <c r="AC31" i="252"/>
  <c r="BA31" i="252"/>
  <c r="P31" i="252"/>
  <c r="AN31" i="252"/>
  <c r="AL31" i="252"/>
  <c r="BC31" i="252"/>
  <c r="I25" i="252"/>
  <c r="BF31" i="252"/>
  <c r="O31" i="252"/>
  <c r="AX31" i="252"/>
  <c r="AT31" i="252"/>
  <c r="BN31" i="252"/>
  <c r="AH31" i="252"/>
  <c r="AM31" i="252"/>
  <c r="BH31" i="252"/>
  <c r="AG31" i="252"/>
  <c r="R31" i="252"/>
  <c r="X40" i="259"/>
  <c r="S40" i="253"/>
  <c r="Y40" i="255"/>
  <c r="BL40" i="261"/>
  <c r="BL39" i="261"/>
  <c r="BH40" i="253"/>
  <c r="O40" i="259"/>
  <c r="AJ39" i="261"/>
  <c r="AJ40" i="261"/>
  <c r="AQ40" i="255"/>
  <c r="Y40" i="258"/>
  <c r="AY40" i="255"/>
  <c r="AH40" i="261"/>
  <c r="AH39" i="261"/>
  <c r="AI40" i="259"/>
  <c r="L40" i="252"/>
  <c r="P40" i="252"/>
  <c r="AE39" i="254"/>
  <c r="AE40" i="254"/>
  <c r="AG40" i="255"/>
  <c r="BB40" i="257"/>
  <c r="AH40" i="250"/>
  <c r="AJ40" i="250"/>
  <c r="M40" i="250"/>
  <c r="AF40" i="256"/>
  <c r="X40" i="253"/>
  <c r="AI40" i="251"/>
  <c r="L40" i="255"/>
  <c r="Z39" i="260"/>
  <c r="Z40" i="260"/>
  <c r="BD40" i="259"/>
  <c r="AI40" i="250"/>
  <c r="L40" i="253"/>
  <c r="R40" i="253"/>
  <c r="AM39" i="254"/>
  <c r="AM40" i="254"/>
  <c r="Q40" i="257"/>
  <c r="AR40" i="257"/>
  <c r="BI40" i="257"/>
  <c r="BM40" i="255"/>
  <c r="BL40" i="260"/>
  <c r="BL39" i="260"/>
  <c r="AP39" i="259"/>
  <c r="AP40" i="259"/>
  <c r="X40" i="256"/>
  <c r="AM40" i="258"/>
  <c r="AZ40" i="255"/>
  <c r="BC40" i="252"/>
  <c r="AE40" i="251"/>
  <c r="BJ40" i="250"/>
  <c r="R40" i="261"/>
  <c r="R39" i="261"/>
  <c r="AA39" i="257"/>
  <c r="AA40" i="257"/>
  <c r="AQ39" i="260"/>
  <c r="AQ40" i="260"/>
  <c r="AM40" i="250"/>
  <c r="AN40" i="255"/>
  <c r="BN40" i="256"/>
  <c r="BC40" i="256"/>
  <c r="BI40" i="259"/>
  <c r="U40" i="258"/>
  <c r="Z40" i="257"/>
  <c r="AW40" i="256"/>
  <c r="AS40" i="259"/>
  <c r="BG40" i="250"/>
  <c r="BF40" i="251"/>
  <c r="AB40" i="251"/>
  <c r="BM40" i="254"/>
  <c r="BM39" i="254"/>
  <c r="AO39" i="261"/>
  <c r="AO40" i="261"/>
  <c r="R40" i="259"/>
  <c r="AY39" i="254"/>
  <c r="AY40" i="254"/>
  <c r="AG39" i="254"/>
  <c r="AG40" i="254"/>
  <c r="AY40" i="250"/>
  <c r="AX40" i="252"/>
  <c r="AW39" i="260"/>
  <c r="AW40" i="260"/>
  <c r="BK40" i="259"/>
  <c r="AL40" i="253"/>
  <c r="T40" i="257"/>
  <c r="AE40" i="258"/>
  <c r="BH40" i="252"/>
  <c r="W40" i="253"/>
  <c r="BA40" i="255"/>
  <c r="AB40" i="254"/>
  <c r="AB39" i="254"/>
  <c r="BL40" i="253"/>
  <c r="BJ40" i="260"/>
  <c r="BJ39" i="260"/>
  <c r="AZ39" i="254"/>
  <c r="AZ40" i="254"/>
  <c r="AM40" i="260"/>
  <c r="AM39" i="260"/>
  <c r="T40" i="255"/>
  <c r="AC40" i="259"/>
  <c r="M40" i="251"/>
  <c r="Z40" i="255"/>
  <c r="Z40" i="250"/>
  <c r="X40" i="257"/>
  <c r="AN40" i="256"/>
  <c r="AH40" i="253"/>
  <c r="BJ40" i="257"/>
  <c r="AK40" i="250"/>
  <c r="U40" i="259"/>
  <c r="AT40" i="260"/>
  <c r="AT39" i="260"/>
  <c r="AW40" i="250"/>
  <c r="AA40" i="251"/>
  <c r="T40" i="260"/>
  <c r="T39" i="260"/>
  <c r="AB40" i="255"/>
  <c r="BN40" i="253"/>
  <c r="L40" i="260"/>
  <c r="L39" i="260"/>
  <c r="K40" i="253"/>
  <c r="AE40" i="253"/>
  <c r="AG40" i="260"/>
  <c r="AG39" i="260"/>
  <c r="AE40" i="261"/>
  <c r="AE39" i="261"/>
  <c r="T40" i="253"/>
  <c r="AJ40" i="258"/>
  <c r="AG40" i="253"/>
  <c r="S40" i="255"/>
  <c r="AG40" i="252"/>
  <c r="AG40" i="250"/>
  <c r="AD40" i="257"/>
  <c r="AI39" i="261"/>
  <c r="AI40" i="261"/>
  <c r="AZ40" i="260"/>
  <c r="AZ39" i="260"/>
  <c r="Z40" i="261"/>
  <c r="Z39" i="261"/>
  <c r="BL40" i="257"/>
  <c r="U40" i="261"/>
  <c r="U39" i="261"/>
  <c r="BH40" i="256"/>
  <c r="AP40" i="255"/>
  <c r="AP39" i="251"/>
  <c r="AP40" i="251"/>
  <c r="BG40" i="252"/>
  <c r="BN40" i="252"/>
  <c r="AX39" i="254"/>
  <c r="AX40" i="254"/>
  <c r="K40" i="258"/>
  <c r="AA40" i="252"/>
  <c r="AZ40" i="252"/>
  <c r="AM40" i="256"/>
  <c r="U40" i="252"/>
  <c r="U39" i="254"/>
  <c r="U40" i="254"/>
  <c r="BK40" i="253"/>
  <c r="BK39" i="261"/>
  <c r="BK40" i="261"/>
  <c r="O40" i="253"/>
  <c r="BN40" i="254"/>
  <c r="BN39" i="254"/>
  <c r="Y40" i="256"/>
  <c r="AX40" i="259"/>
  <c r="AD31" i="254"/>
  <c r="AW31" i="254"/>
  <c r="BL31" i="254"/>
  <c r="AN31" i="254"/>
  <c r="AS31" i="254"/>
  <c r="AE31" i="254"/>
  <c r="AR31" i="254"/>
  <c r="BH31" i="254"/>
  <c r="AQ31" i="254"/>
  <c r="X31" i="254"/>
  <c r="AU31" i="254"/>
  <c r="AA31" i="254"/>
  <c r="AK31" i="254"/>
  <c r="BE31" i="254"/>
  <c r="BJ31" i="254"/>
  <c r="Z31" i="254"/>
  <c r="Y31" i="254"/>
  <c r="AH31" i="254"/>
  <c r="U31" i="254"/>
  <c r="S31" i="254"/>
  <c r="AM31" i="254"/>
  <c r="BM31" i="254"/>
  <c r="AF31" i="254"/>
  <c r="V31" i="254"/>
  <c r="AO31" i="254"/>
  <c r="BI31" i="254"/>
  <c r="AZ31" i="254"/>
  <c r="AV31" i="254"/>
  <c r="BB31" i="254"/>
  <c r="P31" i="254"/>
  <c r="AY31" i="254"/>
  <c r="BK31" i="254"/>
  <c r="BN31" i="254"/>
  <c r="AT31" i="254"/>
  <c r="BD31" i="254"/>
  <c r="AC31" i="254"/>
  <c r="BA31" i="254"/>
  <c r="W31" i="254"/>
  <c r="O31" i="254"/>
  <c r="AP31" i="254"/>
  <c r="AX31" i="254"/>
  <c r="M31" i="254"/>
  <c r="BF31" i="254"/>
  <c r="BC31" i="254"/>
  <c r="R31" i="254"/>
  <c r="BG31" i="254"/>
  <c r="Q31" i="254"/>
  <c r="T31" i="254"/>
  <c r="L31" i="254"/>
  <c r="I25" i="254"/>
  <c r="AI31" i="254"/>
  <c r="N31" i="254"/>
  <c r="K31" i="254"/>
  <c r="AG31" i="254"/>
  <c r="AJ31" i="254"/>
  <c r="AB31" i="254"/>
  <c r="AL31" i="254"/>
  <c r="U40" i="253"/>
  <c r="BH40" i="255"/>
  <c r="Z40" i="254"/>
  <c r="Z39" i="254"/>
  <c r="AR40" i="252"/>
  <c r="S40" i="258"/>
  <c r="T40" i="256"/>
  <c r="T40" i="251"/>
  <c r="AJ40" i="255"/>
  <c r="BC40" i="257"/>
  <c r="AC40" i="253"/>
  <c r="W40" i="254"/>
  <c r="W39" i="254"/>
  <c r="AS39" i="254"/>
  <c r="AS40" i="254"/>
  <c r="AX39" i="260"/>
  <c r="AX40" i="260"/>
  <c r="AV39" i="254"/>
  <c r="AV40" i="254"/>
  <c r="AC40" i="260"/>
  <c r="AC39" i="260"/>
  <c r="AY40" i="259"/>
  <c r="BH39" i="261"/>
  <c r="BH40" i="261"/>
  <c r="AU40" i="257"/>
  <c r="AP40" i="257"/>
  <c r="AF40" i="257"/>
  <c r="BE40" i="252"/>
  <c r="BE39" i="252"/>
  <c r="AK39" i="258"/>
  <c r="AK40" i="258"/>
  <c r="BI40" i="255"/>
  <c r="AX40" i="256"/>
  <c r="U39" i="260"/>
  <c r="U40" i="260"/>
  <c r="AD40" i="255"/>
  <c r="BA40" i="251"/>
  <c r="O40" i="261"/>
  <c r="O39" i="261"/>
  <c r="AF40" i="250"/>
  <c r="AN40" i="251"/>
  <c r="AR40" i="258"/>
  <c r="BB40" i="254"/>
  <c r="BB39" i="254"/>
  <c r="BA39" i="254"/>
  <c r="BA40" i="254"/>
  <c r="AV40" i="256"/>
  <c r="N40" i="259"/>
  <c r="BA40" i="258"/>
  <c r="BE40" i="260"/>
  <c r="BE39" i="260"/>
  <c r="AM39" i="261"/>
  <c r="AM40" i="261"/>
  <c r="AT40" i="256"/>
  <c r="K40" i="256"/>
  <c r="U40" i="251"/>
  <c r="U39" i="251"/>
  <c r="AW39" i="261"/>
  <c r="AW40" i="261"/>
  <c r="BB40" i="250"/>
  <c r="V40" i="251"/>
  <c r="AT40" i="255"/>
  <c r="AH39" i="254"/>
  <c r="AH40" i="254"/>
  <c r="BJ40" i="259"/>
  <c r="BB40" i="253"/>
  <c r="AN40" i="259"/>
  <c r="BD40" i="258"/>
  <c r="BE40" i="256"/>
  <c r="AY40" i="258"/>
  <c r="AO40" i="250"/>
  <c r="AX40" i="250"/>
  <c r="BC40" i="255"/>
  <c r="AS40" i="258"/>
  <c r="L39" i="254"/>
  <c r="L40" i="254"/>
  <c r="AE39" i="260"/>
  <c r="AE40" i="260"/>
  <c r="AV40" i="250"/>
  <c r="AI40" i="255"/>
  <c r="BN40" i="255"/>
  <c r="AC40" i="256"/>
  <c r="AQ40" i="253"/>
  <c r="BE40" i="258"/>
  <c r="AF40" i="259"/>
  <c r="AZ40" i="259"/>
  <c r="BH40" i="254"/>
  <c r="BH39" i="254"/>
  <c r="R40" i="252"/>
  <c r="AK40" i="259"/>
  <c r="BG40" i="257"/>
  <c r="K40" i="259"/>
  <c r="AS40" i="261"/>
  <c r="AS39" i="261"/>
  <c r="U40" i="250"/>
  <c r="AU40" i="256"/>
  <c r="AN39" i="261"/>
  <c r="AN40" i="261"/>
  <c r="AR40" i="261"/>
  <c r="AR39" i="261"/>
  <c r="BC40" i="254"/>
  <c r="BC39" i="254"/>
  <c r="AW40" i="253"/>
  <c r="AU40" i="258"/>
  <c r="AW40" i="252"/>
  <c r="K39" i="260"/>
  <c r="K40" i="260"/>
  <c r="AU40" i="253"/>
  <c r="AH40" i="260"/>
  <c r="AH39" i="260"/>
  <c r="AK40" i="252"/>
  <c r="AT39" i="261"/>
  <c r="AT40" i="261"/>
  <c r="BL40" i="254"/>
  <c r="BL39" i="254"/>
  <c r="AL40" i="251"/>
  <c r="O39" i="251"/>
  <c r="O40" i="251"/>
  <c r="BJ39" i="254"/>
  <c r="BJ40" i="254"/>
  <c r="AM40" i="252"/>
  <c r="U40" i="256"/>
  <c r="P40" i="261"/>
  <c r="P39" i="261"/>
  <c r="BJ40" i="261"/>
  <c r="BJ39" i="261"/>
  <c r="BM40" i="261"/>
  <c r="BM39" i="261"/>
  <c r="AM40" i="253"/>
  <c r="L40" i="258"/>
  <c r="X40" i="251"/>
  <c r="BB40" i="258"/>
  <c r="AL40" i="256"/>
  <c r="AD40" i="258"/>
  <c r="X40" i="258"/>
  <c r="N39" i="254"/>
  <c r="N40" i="254"/>
  <c r="BN39" i="251"/>
  <c r="BN40" i="251"/>
  <c r="M40" i="256"/>
  <c r="BL40" i="252"/>
  <c r="AL39" i="260"/>
  <c r="AL40" i="260"/>
  <c r="Y40" i="251"/>
  <c r="BK40" i="250"/>
  <c r="AH31" i="253"/>
  <c r="Q31" i="253"/>
  <c r="AX31" i="253"/>
  <c r="AG31" i="253"/>
  <c r="BC31" i="253"/>
  <c r="AQ31" i="253"/>
  <c r="AV31" i="253"/>
  <c r="BD31" i="253"/>
  <c r="K31" i="253"/>
  <c r="Z31" i="253"/>
  <c r="W31" i="253"/>
  <c r="AL31" i="253"/>
  <c r="AU31" i="253"/>
  <c r="BJ31" i="253"/>
  <c r="BB31" i="253"/>
  <c r="L31" i="253"/>
  <c r="I25" i="253"/>
  <c r="X31" i="253"/>
  <c r="V31" i="253"/>
  <c r="U31" i="253"/>
  <c r="BF31" i="253"/>
  <c r="AW31" i="253"/>
  <c r="AM31" i="253"/>
  <c r="AZ31" i="253"/>
  <c r="AR31" i="253"/>
  <c r="BK31" i="253"/>
  <c r="BH31" i="253"/>
  <c r="R31" i="253"/>
  <c r="AE31" i="253"/>
  <c r="S31" i="253"/>
  <c r="AI31" i="253"/>
  <c r="P31" i="253"/>
  <c r="BE31" i="253"/>
  <c r="M31" i="253"/>
  <c r="AF31" i="253"/>
  <c r="AK31" i="253"/>
  <c r="BN31" i="253"/>
  <c r="AC31" i="253"/>
  <c r="BG31" i="253"/>
  <c r="AO31" i="253"/>
  <c r="AJ31" i="253"/>
  <c r="AS31" i="253"/>
  <c r="BI31" i="253"/>
  <c r="AD31" i="253"/>
  <c r="Y31" i="253"/>
  <c r="N31" i="253"/>
  <c r="BM31" i="253"/>
  <c r="O31" i="253"/>
  <c r="AY31" i="253"/>
  <c r="BA31" i="253"/>
  <c r="AA31" i="253"/>
  <c r="T31" i="253"/>
  <c r="BL31" i="253"/>
  <c r="AT31" i="253"/>
  <c r="AP31" i="253"/>
  <c r="AN31" i="253"/>
  <c r="AB31" i="253"/>
  <c r="BK40" i="256"/>
  <c r="Q39" i="260"/>
  <c r="Q40" i="260"/>
  <c r="BD40" i="260"/>
  <c r="BD39" i="260"/>
  <c r="AP39" i="260"/>
  <c r="AP40" i="260"/>
  <c r="BI40" i="261"/>
  <c r="BI39" i="261"/>
  <c r="AV40" i="253"/>
  <c r="AN40" i="257"/>
  <c r="AV40" i="259"/>
  <c r="AU40" i="259"/>
  <c r="T40" i="254"/>
  <c r="T39" i="254"/>
  <c r="AK40" i="257"/>
  <c r="AJ40" i="259"/>
  <c r="W40" i="259"/>
  <c r="BC40" i="259"/>
  <c r="AB40" i="252"/>
  <c r="AY40" i="252"/>
  <c r="BE40" i="254"/>
  <c r="BE39" i="254"/>
  <c r="AM40" i="259"/>
  <c r="X39" i="254"/>
  <c r="X40" i="254"/>
  <c r="AQ39" i="261"/>
  <c r="AQ40" i="261"/>
  <c r="AH40" i="252"/>
  <c r="AD40" i="252"/>
  <c r="BG39" i="261"/>
  <c r="BG40" i="261"/>
  <c r="Q40" i="250"/>
  <c r="S40" i="257"/>
  <c r="AH40" i="258"/>
  <c r="V40" i="258"/>
  <c r="AH40" i="255"/>
  <c r="K40" i="251"/>
  <c r="BF40" i="259"/>
  <c r="AP39" i="261"/>
  <c r="AP40" i="261"/>
  <c r="R40" i="256"/>
  <c r="W40" i="258"/>
  <c r="AL40" i="259"/>
  <c r="M40" i="255"/>
  <c r="BH40" i="258"/>
  <c r="AL40" i="258"/>
  <c r="AH40" i="256"/>
  <c r="W40" i="251"/>
  <c r="AW39" i="254"/>
  <c r="AW40" i="254"/>
  <c r="O39" i="257"/>
  <c r="O40" i="257"/>
  <c r="BM40" i="259"/>
  <c r="AC39" i="254"/>
  <c r="AC40" i="254"/>
  <c r="AY40" i="256"/>
  <c r="BL40" i="258"/>
  <c r="AT40" i="258"/>
  <c r="P40" i="257"/>
  <c r="I25" i="259"/>
  <c r="AN31" i="259"/>
  <c r="AA31" i="259"/>
  <c r="AL31" i="259"/>
  <c r="AQ31" i="259"/>
  <c r="AG31" i="259"/>
  <c r="Z31" i="259"/>
  <c r="Q31" i="259"/>
  <c r="BM31" i="259"/>
  <c r="AY31" i="259"/>
  <c r="BL31" i="259"/>
  <c r="U31" i="259"/>
  <c r="K31" i="259"/>
  <c r="BH31" i="259"/>
  <c r="AJ31" i="259"/>
  <c r="BK31" i="259"/>
  <c r="BD31" i="259"/>
  <c r="AT31" i="259"/>
  <c r="AE31" i="259"/>
  <c r="BN31" i="259"/>
  <c r="AR31" i="259"/>
  <c r="P31" i="259"/>
  <c r="BB31" i="259"/>
  <c r="BG31" i="259"/>
  <c r="AH31" i="259"/>
  <c r="AU31" i="259"/>
  <c r="AI31" i="259"/>
  <c r="T31" i="259"/>
  <c r="AV31" i="259"/>
  <c r="AO31" i="259"/>
  <c r="AP31" i="259"/>
  <c r="AM31" i="259"/>
  <c r="L31" i="259"/>
  <c r="N31" i="259"/>
  <c r="BI31" i="259"/>
  <c r="AC31" i="259"/>
  <c r="S31" i="259"/>
  <c r="AW31" i="259"/>
  <c r="W31" i="259"/>
  <c r="AZ31" i="259"/>
  <c r="AB31" i="259"/>
  <c r="Y31" i="259"/>
  <c r="BC31" i="259"/>
  <c r="O31" i="259"/>
  <c r="AD31" i="259"/>
  <c r="BF31" i="259"/>
  <c r="V31" i="259"/>
  <c r="AX31" i="259"/>
  <c r="AS31" i="259"/>
  <c r="AK31" i="259"/>
  <c r="BA31" i="259"/>
  <c r="BJ31" i="259"/>
  <c r="M31" i="259"/>
  <c r="BE31" i="259"/>
  <c r="AF31" i="259"/>
  <c r="R31" i="259"/>
  <c r="X31" i="259"/>
  <c r="AE40" i="259"/>
  <c r="AS40" i="250"/>
  <c r="Q40" i="255"/>
  <c r="AM40" i="255"/>
  <c r="AF39" i="260"/>
  <c r="AF40" i="260"/>
  <c r="V40" i="257"/>
  <c r="R39" i="260"/>
  <c r="R40" i="260"/>
  <c r="AP40" i="253"/>
  <c r="N40" i="260"/>
  <c r="N39" i="260"/>
  <c r="AE40" i="256"/>
  <c r="AM40" i="251"/>
  <c r="BD40" i="256"/>
  <c r="BI39" i="256"/>
  <c r="BI40" i="256"/>
  <c r="AR40" i="250"/>
  <c r="AJ40" i="260"/>
  <c r="AJ39" i="260"/>
  <c r="BA40" i="253"/>
  <c r="AG40" i="261"/>
  <c r="AG39" i="261"/>
  <c r="AD40" i="251"/>
  <c r="S39" i="261"/>
  <c r="S40" i="261"/>
  <c r="BA39" i="260"/>
  <c r="BA40" i="260"/>
  <c r="Q40" i="261"/>
  <c r="Q39" i="261"/>
  <c r="P40" i="253"/>
  <c r="AI40" i="253"/>
  <c r="AD40" i="250"/>
  <c r="BI40" i="253"/>
  <c r="AU40" i="251"/>
  <c r="BA40" i="252"/>
  <c r="AW40" i="251"/>
  <c r="AP40" i="252"/>
  <c r="V31" i="261"/>
  <c r="W31" i="261"/>
  <c r="AP31" i="261"/>
  <c r="BJ31" i="261"/>
  <c r="BF31" i="261"/>
  <c r="N31" i="261"/>
  <c r="I25" i="261"/>
  <c r="AS31" i="261"/>
  <c r="O31" i="261"/>
  <c r="BA31" i="261"/>
  <c r="AX31" i="261"/>
  <c r="AM31" i="261"/>
  <c r="K31" i="261"/>
  <c r="P31" i="261"/>
  <c r="AG31" i="261"/>
  <c r="AZ31" i="261"/>
  <c r="BG31" i="261"/>
  <c r="AC31" i="261"/>
  <c r="AE31" i="261"/>
  <c r="AL31" i="261"/>
  <c r="BB31" i="261"/>
  <c r="U31" i="261"/>
  <c r="BI31" i="261"/>
  <c r="Y31" i="261"/>
  <c r="BM31" i="261"/>
  <c r="AY31" i="261"/>
  <c r="BL31" i="261"/>
  <c r="AT31" i="261"/>
  <c r="AB31" i="261"/>
  <c r="AQ31" i="261"/>
  <c r="AA31" i="261"/>
  <c r="BN31" i="261"/>
  <c r="AK31" i="261"/>
  <c r="AV31" i="261"/>
  <c r="AJ31" i="261"/>
  <c r="L31" i="261"/>
  <c r="R31" i="261"/>
  <c r="S31" i="261"/>
  <c r="X31" i="261"/>
  <c r="AR31" i="261"/>
  <c r="BD31" i="261"/>
  <c r="AO31" i="261"/>
  <c r="M31" i="261"/>
  <c r="AN31" i="261"/>
  <c r="BK31" i="261"/>
  <c r="AI31" i="261"/>
  <c r="AW31" i="261"/>
  <c r="BE31" i="261"/>
  <c r="Q31" i="261"/>
  <c r="T31" i="261"/>
  <c r="BC31" i="261"/>
  <c r="AD31" i="261"/>
  <c r="Z31" i="261"/>
  <c r="AF31" i="261"/>
  <c r="AH31" i="261"/>
  <c r="BH31" i="261"/>
  <c r="AU31" i="261"/>
  <c r="BJ40" i="256"/>
  <c r="Z40" i="253"/>
  <c r="BG40" i="258"/>
  <c r="AT40" i="259"/>
  <c r="W40" i="257"/>
  <c r="BM40" i="260"/>
  <c r="BM39" i="260"/>
  <c r="AO40" i="255"/>
  <c r="BN39" i="1"/>
  <c r="BN40" i="1"/>
  <c r="K41" i="260"/>
  <c r="K41" i="254"/>
  <c r="K42" i="255"/>
  <c r="K41" i="261"/>
  <c r="K42" i="254"/>
  <c r="K41" i="253"/>
  <c r="K42" i="258"/>
  <c r="K41" i="252"/>
  <c r="K42" i="260"/>
  <c r="K41" i="258"/>
  <c r="K41" i="250"/>
  <c r="K42" i="252"/>
  <c r="K41" i="251"/>
  <c r="K42" i="259"/>
  <c r="K42" i="250"/>
  <c r="K42" i="253"/>
  <c r="K42" i="257"/>
  <c r="K41" i="257"/>
  <c r="K42" i="261"/>
  <c r="K41" i="259"/>
  <c r="K42" i="256"/>
  <c r="K42" i="251"/>
  <c r="K41" i="256"/>
  <c r="B55" i="14"/>
  <c r="M7" i="14"/>
  <c r="O7" i="14"/>
  <c r="P7" i="14"/>
  <c r="N5" i="14"/>
  <c r="O5" i="14"/>
  <c r="P5" i="14"/>
  <c r="N4" i="14"/>
  <c r="N7" i="14"/>
  <c r="M5" i="14"/>
  <c r="P4" i="14"/>
  <c r="O4" i="14"/>
  <c r="B28" i="14"/>
  <c r="B29" i="14"/>
  <c r="M4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W29" i="14"/>
  <c r="W6" i="14"/>
  <c r="W28" i="14"/>
  <c r="W55" i="14"/>
  <c r="V29" i="14"/>
  <c r="V6" i="14"/>
  <c r="V28" i="14"/>
  <c r="V55" i="14"/>
  <c r="N6" i="14"/>
  <c r="M29" i="14"/>
  <c r="U55" i="14"/>
  <c r="P29" i="14"/>
  <c r="P6" i="14"/>
  <c r="U28" i="14"/>
  <c r="O55" i="14"/>
  <c r="S55" i="14"/>
  <c r="M28" i="14"/>
  <c r="U6" i="14"/>
  <c r="O28" i="14"/>
  <c r="U29" i="14"/>
  <c r="T55" i="14"/>
  <c r="R29" i="14"/>
  <c r="N28" i="14"/>
  <c r="T28" i="14"/>
  <c r="Q29" i="14"/>
  <c r="T29" i="14"/>
  <c r="T6" i="14"/>
  <c r="Q55" i="14"/>
  <c r="R6" i="14"/>
  <c r="R55" i="14"/>
  <c r="Q28" i="14"/>
  <c r="P28" i="14"/>
  <c r="O29" i="14"/>
  <c r="N29" i="14"/>
  <c r="N55" i="14"/>
  <c r="S29" i="14"/>
  <c r="P55" i="14"/>
  <c r="Q6" i="14"/>
  <c r="O6" i="14"/>
  <c r="S28" i="14"/>
  <c r="R28" i="14"/>
  <c r="M55" i="14"/>
  <c r="S6" i="14"/>
  <c r="A60" i="14" l="1"/>
  <c r="H60" i="14" l="1"/>
  <c r="A33" i="14"/>
  <c r="H33" i="14" l="1"/>
  <c r="A63" i="14" l="1"/>
  <c r="H63" i="14" l="1"/>
  <c r="A56" i="14" l="1"/>
  <c r="H56" i="14" l="1"/>
  <c r="A42" i="14"/>
  <c r="H42" i="14" l="1"/>
  <c r="A32" i="14" l="1"/>
  <c r="H32" i="14" l="1"/>
  <c r="BC23" i="15"/>
  <c r="U27" i="15"/>
  <c r="E133" i="223"/>
  <c r="I87" i="223"/>
  <c r="K4" i="14"/>
  <c r="AM19" i="15"/>
  <c r="H33" i="237"/>
  <c r="BN22" i="18"/>
  <c r="BR27" i="15"/>
  <c r="F189" i="237"/>
  <c r="F59" i="223"/>
  <c r="I160" i="237"/>
  <c r="AU27" i="15"/>
  <c r="AI8" i="18"/>
  <c r="BN29" i="15"/>
  <c r="C25" i="237"/>
  <c r="B21" i="237"/>
  <c r="C152" i="237"/>
  <c r="J185" i="237"/>
  <c r="M135" i="223"/>
  <c r="W20" i="15"/>
  <c r="G91" i="237"/>
  <c r="H179" i="237"/>
  <c r="J92" i="223"/>
  <c r="J29" i="237"/>
  <c r="K78" i="237"/>
  <c r="D39" i="237"/>
  <c r="F179" i="237"/>
  <c r="E37" i="237"/>
  <c r="I152" i="223"/>
  <c r="B14" i="185"/>
  <c r="I62" i="223"/>
  <c r="AM29" i="15"/>
  <c r="M61" i="237"/>
  <c r="F152" i="237"/>
  <c r="L2" i="18"/>
  <c r="N29" i="237"/>
  <c r="AP4" i="18"/>
  <c r="F29" i="223"/>
  <c r="E91" i="237"/>
  <c r="BK22" i="18"/>
  <c r="N22" i="18"/>
  <c r="Y18" i="18"/>
  <c r="BA2" i="18"/>
  <c r="H30" i="223"/>
  <c r="I71" i="223"/>
  <c r="L125" i="223"/>
  <c r="F42" i="223"/>
  <c r="M73" i="223"/>
  <c r="B154" i="237"/>
  <c r="AH11" i="18"/>
  <c r="U29" i="15"/>
  <c r="AK28" i="15"/>
  <c r="K89" i="223"/>
  <c r="BA19" i="15"/>
  <c r="F62" i="237"/>
  <c r="B30" i="237"/>
  <c r="AV30" i="15"/>
  <c r="G137" i="237"/>
  <c r="O29" i="15"/>
  <c r="F140" i="223"/>
  <c r="H162" i="223"/>
  <c r="AD25" i="15"/>
  <c r="B182" i="223"/>
  <c r="AK16" i="18"/>
  <c r="AL22" i="15"/>
  <c r="F3" i="1"/>
  <c r="AT23" i="15"/>
  <c r="N26" i="237"/>
  <c r="BP26" i="15"/>
  <c r="N171" i="223"/>
  <c r="M28" i="1"/>
  <c r="E27" i="223"/>
  <c r="B61" i="14"/>
  <c r="D167" i="223"/>
  <c r="BL19" i="15"/>
  <c r="AP10" i="18"/>
  <c r="N67" i="237"/>
  <c r="AW16" i="18"/>
  <c r="AV10" i="18"/>
  <c r="L83" i="237"/>
  <c r="L59" i="223"/>
  <c r="BM25" i="15"/>
  <c r="E71" i="223"/>
  <c r="N30" i="237"/>
  <c r="K90" i="223"/>
  <c r="K119" i="223"/>
  <c r="I116" i="223"/>
  <c r="AU19" i="18"/>
  <c r="AZ28" i="1"/>
  <c r="F149" i="223"/>
  <c r="C46" i="237"/>
  <c r="U3" i="18"/>
  <c r="E124" i="237"/>
  <c r="BK5" i="18"/>
  <c r="J55" i="237"/>
  <c r="L22" i="18"/>
  <c r="J74" i="237"/>
  <c r="M91" i="223"/>
  <c r="D181" i="237"/>
  <c r="N151" i="237"/>
  <c r="B67" i="223"/>
  <c r="AS15" i="18"/>
  <c r="X31" i="15"/>
  <c r="AW8" i="18"/>
  <c r="G116" i="223"/>
  <c r="L44" i="237"/>
  <c r="K30" i="223"/>
  <c r="P12" i="18"/>
  <c r="AZ14" i="18"/>
  <c r="L102" i="223"/>
  <c r="C167" i="237"/>
  <c r="I53" i="237"/>
  <c r="M42" i="237"/>
  <c r="AO28" i="15"/>
  <c r="T34" i="18"/>
  <c r="K28" i="223"/>
  <c r="D186" i="223"/>
  <c r="BG7" i="18"/>
  <c r="M85" i="223"/>
  <c r="AS9" i="18"/>
  <c r="BI28" i="15"/>
  <c r="H24" i="237"/>
  <c r="BK21" i="15"/>
  <c r="AS3" i="18"/>
  <c r="J57" i="237"/>
  <c r="W11" i="18"/>
  <c r="B24" i="223"/>
  <c r="S8" i="18"/>
  <c r="K154" i="223"/>
  <c r="G136" i="237"/>
  <c r="N88" i="223"/>
  <c r="O13" i="18"/>
  <c r="E77" i="223"/>
  <c r="D151" i="237"/>
  <c r="G42" i="223"/>
  <c r="G164" i="237"/>
  <c r="AA16" i="18"/>
  <c r="I115" i="237"/>
  <c r="J71" i="223"/>
  <c r="E119" i="237"/>
  <c r="F135" i="223"/>
  <c r="N38" i="237"/>
  <c r="BI20" i="18"/>
  <c r="G100" i="237"/>
  <c r="H120" i="223"/>
  <c r="I11" i="18"/>
  <c r="M60" i="237"/>
  <c r="U13" i="18"/>
  <c r="K20" i="18"/>
  <c r="M89" i="237"/>
  <c r="F22" i="237"/>
  <c r="R13" i="18"/>
  <c r="K77" i="237"/>
  <c r="M31" i="15"/>
  <c r="I17" i="18"/>
  <c r="K123" i="237"/>
  <c r="H168" i="223"/>
  <c r="AH15" i="18"/>
  <c r="AS22" i="15"/>
  <c r="B101" i="223"/>
  <c r="E95" i="223"/>
  <c r="N8" i="18"/>
  <c r="J134" i="223"/>
  <c r="F78" i="223"/>
  <c r="G127" i="237"/>
  <c r="AO15" i="18"/>
  <c r="I56" i="237"/>
  <c r="F151" i="223"/>
  <c r="Q12" i="18"/>
  <c r="BL14" i="18"/>
  <c r="S10" i="18"/>
  <c r="E121" i="237"/>
  <c r="K43" i="237"/>
  <c r="M9" i="18"/>
  <c r="I91" i="237"/>
  <c r="BH8" i="18"/>
  <c r="F75" i="223"/>
  <c r="M2" i="18"/>
  <c r="K46" i="237"/>
  <c r="BD31" i="15"/>
  <c r="G37" i="223"/>
  <c r="E40" i="237"/>
  <c r="L164" i="237"/>
  <c r="C93" i="223"/>
  <c r="AY31" i="15"/>
  <c r="BE34" i="18"/>
  <c r="BN7" i="18"/>
  <c r="E127" i="237"/>
  <c r="Q3" i="18"/>
  <c r="L24" i="15"/>
  <c r="AH28" i="1"/>
  <c r="B80" i="223"/>
  <c r="N187" i="237"/>
  <c r="L148" i="237"/>
  <c r="G76" i="237"/>
  <c r="AM7" i="18"/>
  <c r="B11" i="14"/>
  <c r="F102" i="237"/>
  <c r="BL25" i="15"/>
  <c r="F67" i="223"/>
  <c r="L181" i="237"/>
  <c r="E145" i="237"/>
  <c r="P6" i="18"/>
  <c r="L26" i="15"/>
  <c r="G71" i="237"/>
  <c r="C165" i="223"/>
  <c r="F180" i="223"/>
  <c r="H39" i="237"/>
  <c r="BD22" i="18"/>
  <c r="F181" i="237"/>
  <c r="J122" i="223"/>
  <c r="BC6" i="18"/>
  <c r="E53" i="223"/>
  <c r="B19" i="14"/>
  <c r="H152" i="223"/>
  <c r="C44" i="237"/>
  <c r="B155" i="223"/>
  <c r="N100" i="223"/>
  <c r="E102" i="237"/>
  <c r="C126" i="237"/>
  <c r="Z22" i="18"/>
  <c r="F182" i="237"/>
  <c r="C31" i="237"/>
  <c r="L5" i="18"/>
  <c r="M38" i="223"/>
  <c r="AO22" i="18"/>
  <c r="M28" i="223"/>
  <c r="L69" i="237"/>
  <c r="C161" i="237"/>
  <c r="AZ7" i="18"/>
  <c r="I85" i="237"/>
  <c r="N27" i="237"/>
  <c r="L124" i="237"/>
  <c r="E139" i="223"/>
  <c r="BB24" i="15"/>
  <c r="BB17" i="18"/>
  <c r="G39" i="237"/>
  <c r="J172" i="237"/>
  <c r="BN31" i="15"/>
  <c r="J180" i="223"/>
  <c r="BC18" i="18"/>
  <c r="AC2" i="18"/>
  <c r="K115" i="237"/>
  <c r="BB14" i="18"/>
  <c r="Z2" i="1"/>
  <c r="BH11" i="18"/>
  <c r="N146" i="237"/>
  <c r="J154" i="237"/>
  <c r="I29" i="223"/>
  <c r="D141" i="237"/>
  <c r="X13" i="18"/>
  <c r="F145" i="223"/>
  <c r="BB12" i="18"/>
  <c r="M122" i="223"/>
  <c r="B15" i="185"/>
  <c r="AA22" i="18"/>
  <c r="BF28" i="1"/>
  <c r="F28" i="223"/>
  <c r="BC20" i="18"/>
  <c r="AJ21" i="18"/>
  <c r="AI4" i="18"/>
  <c r="D125" i="223"/>
  <c r="BO28" i="15"/>
  <c r="W3" i="18"/>
  <c r="G189" i="237"/>
  <c r="BS27" i="15"/>
  <c r="D30" i="223"/>
  <c r="I54" i="223"/>
  <c r="B163" i="237"/>
  <c r="BR21" i="15"/>
  <c r="E145" i="223"/>
  <c r="D164" i="237"/>
  <c r="N61" i="237"/>
  <c r="H115" i="223"/>
  <c r="F20" i="237"/>
  <c r="BK25" i="15"/>
  <c r="K167" i="237"/>
  <c r="W19" i="18"/>
  <c r="J20" i="18"/>
  <c r="AT5" i="18"/>
  <c r="G42" i="237"/>
  <c r="I123" i="237"/>
  <c r="AP28" i="15"/>
  <c r="I137" i="237"/>
  <c r="X3" i="18"/>
  <c r="K117" i="237"/>
  <c r="E87" i="223"/>
  <c r="C155" i="223"/>
  <c r="BC9" i="18"/>
  <c r="H19" i="15"/>
  <c r="L46" i="237"/>
  <c r="BF4" i="18"/>
  <c r="S28" i="1"/>
  <c r="AF18" i="18"/>
  <c r="E56" i="237"/>
  <c r="G30" i="237"/>
  <c r="AP19" i="15"/>
  <c r="I32" i="237"/>
  <c r="C23" i="223"/>
  <c r="R7" i="18"/>
  <c r="G117" i="237"/>
  <c r="BE5" i="18"/>
  <c r="I15" i="1"/>
  <c r="AW34" i="18"/>
  <c r="B22" i="14"/>
  <c r="M116" i="223"/>
  <c r="L57" i="237"/>
  <c r="H24" i="223"/>
  <c r="F84" i="223"/>
  <c r="G53" i="237"/>
  <c r="BI5" i="18"/>
  <c r="G76" i="223"/>
  <c r="F89" i="223"/>
  <c r="M148" i="237"/>
  <c r="M185" i="223"/>
  <c r="G29" i="237"/>
  <c r="AO6" i="18"/>
  <c r="D67" i="237"/>
  <c r="M11" i="18"/>
  <c r="AN28" i="1"/>
  <c r="BJ5" i="18"/>
  <c r="C163" i="223"/>
  <c r="E73" i="223"/>
  <c r="N182" i="223"/>
  <c r="BH10" i="18"/>
  <c r="BL11" i="18"/>
  <c r="AH19" i="15"/>
  <c r="V27" i="15"/>
  <c r="BK3" i="18"/>
  <c r="H42" i="223"/>
  <c r="P28" i="15"/>
  <c r="L185" i="237"/>
  <c r="AZ2" i="18"/>
  <c r="F23" i="1"/>
  <c r="N56" i="237"/>
  <c r="E152" i="223"/>
  <c r="E79" i="237"/>
  <c r="N85" i="223"/>
  <c r="M117" i="223"/>
  <c r="L32" i="223"/>
  <c r="B73" i="223"/>
  <c r="I138" i="223"/>
  <c r="N60" i="223"/>
  <c r="G29" i="223"/>
  <c r="E84" i="237"/>
  <c r="K70" i="223"/>
  <c r="L154" i="223"/>
  <c r="R22" i="15"/>
  <c r="E93" i="237"/>
  <c r="K56" i="223"/>
  <c r="M59" i="237"/>
  <c r="D119" i="237"/>
  <c r="B87" i="237"/>
  <c r="S21" i="15"/>
  <c r="F23" i="237"/>
  <c r="K161" i="223"/>
  <c r="BG8" i="18"/>
  <c r="M3" i="18"/>
  <c r="K145" i="237"/>
  <c r="AZ13" i="18"/>
  <c r="K182" i="237"/>
  <c r="I74" i="237"/>
  <c r="C185" i="223"/>
  <c r="F90" i="223"/>
  <c r="H54" i="223"/>
  <c r="L167" i="237"/>
  <c r="AT14" i="18"/>
  <c r="AU11" i="18"/>
  <c r="AB30" i="15"/>
  <c r="AC21" i="18"/>
  <c r="H90" i="223"/>
  <c r="G9" i="18"/>
  <c r="B61" i="223"/>
  <c r="H20" i="18"/>
  <c r="G38" i="237"/>
  <c r="N70" i="237"/>
  <c r="D91" i="237"/>
  <c r="BF21" i="18"/>
  <c r="H37" i="223"/>
  <c r="H117" i="237"/>
  <c r="O25" i="15"/>
  <c r="Q26" i="15"/>
  <c r="H13" i="18"/>
  <c r="F90" i="237"/>
  <c r="BU29" i="15"/>
  <c r="B71" i="237"/>
  <c r="H147" i="223"/>
  <c r="BM10" i="18"/>
  <c r="L164" i="223"/>
  <c r="K84" i="237"/>
  <c r="L42" i="223"/>
  <c r="K187" i="223"/>
  <c r="C59" i="237"/>
  <c r="G69" i="223"/>
  <c r="B183" i="223"/>
  <c r="B149" i="237"/>
  <c r="C73" i="223"/>
  <c r="L29" i="15"/>
  <c r="D171" i="237"/>
  <c r="AU5" i="18"/>
  <c r="Y6" i="18"/>
  <c r="B148" i="237"/>
  <c r="I76" i="223"/>
  <c r="M131" i="223"/>
  <c r="BE22" i="15"/>
  <c r="I26" i="237"/>
  <c r="AT3" i="18"/>
  <c r="E186" i="223"/>
  <c r="G183" i="237"/>
  <c r="M152" i="223"/>
  <c r="BF12" i="18"/>
  <c r="K68" i="223"/>
  <c r="C116" i="237"/>
  <c r="L32" i="237"/>
  <c r="E181" i="223"/>
  <c r="BM15" i="18"/>
  <c r="BL22" i="18"/>
  <c r="H139" i="237"/>
  <c r="BM21" i="18"/>
  <c r="K21" i="18"/>
  <c r="BO30" i="15"/>
  <c r="J20" i="237"/>
  <c r="V15" i="18"/>
  <c r="N91" i="237"/>
  <c r="E161" i="237"/>
  <c r="S11" i="18"/>
  <c r="M169" i="223"/>
  <c r="AG16" i="18"/>
  <c r="R6" i="18"/>
  <c r="I156" i="223"/>
  <c r="E86" i="223"/>
  <c r="I27" i="237"/>
  <c r="B10" i="14"/>
  <c r="I12" i="18"/>
  <c r="X2" i="1"/>
  <c r="B137" i="237"/>
  <c r="AN22" i="15"/>
  <c r="F120" i="223"/>
  <c r="I179" i="237"/>
  <c r="F117" i="223"/>
  <c r="BA10" i="18"/>
  <c r="X21" i="15"/>
  <c r="G135" i="223"/>
  <c r="BL6" i="18"/>
  <c r="BG28" i="1"/>
  <c r="BO26" i="15"/>
  <c r="BP20" i="15"/>
  <c r="H80" i="223"/>
  <c r="G27" i="223"/>
  <c r="W22" i="18"/>
  <c r="F60" i="237"/>
  <c r="F183" i="237"/>
  <c r="M29" i="237"/>
  <c r="B25" i="223"/>
  <c r="I183" i="237"/>
  <c r="I182" i="237"/>
  <c r="D123" i="237"/>
  <c r="AF15" i="18"/>
  <c r="E26" i="223"/>
  <c r="H101" i="237"/>
  <c r="D148" i="237"/>
  <c r="AA20" i="18"/>
  <c r="F73" i="223"/>
  <c r="C45" i="223"/>
  <c r="AU22" i="15"/>
  <c r="L60" i="223"/>
  <c r="I62" i="237"/>
  <c r="AD8" i="18"/>
  <c r="AR28" i="1"/>
  <c r="AJ27" i="15"/>
  <c r="C118" i="223"/>
  <c r="AZ20" i="18"/>
  <c r="H57" i="237"/>
  <c r="F75" i="237"/>
  <c r="F57" i="223"/>
  <c r="AP25" i="15"/>
  <c r="E164" i="223"/>
  <c r="B125" i="223"/>
  <c r="J164" i="223"/>
  <c r="J86" i="223"/>
  <c r="BG12" i="18"/>
  <c r="AE9" i="18"/>
  <c r="BF13" i="18"/>
  <c r="G160" i="223"/>
  <c r="G21" i="223"/>
  <c r="C23" i="237"/>
  <c r="J150" i="237"/>
  <c r="K37" i="223"/>
  <c r="C185" i="237"/>
  <c r="M131" i="237"/>
  <c r="BB19" i="18"/>
  <c r="G131" i="237"/>
  <c r="H40" i="223"/>
  <c r="B165" i="223"/>
  <c r="M140" i="237"/>
  <c r="D168" i="223"/>
  <c r="D95" i="223"/>
  <c r="H46" i="237"/>
  <c r="V20" i="15"/>
  <c r="G139" i="223"/>
  <c r="F21" i="237"/>
  <c r="F44" i="223"/>
  <c r="I136" i="237"/>
  <c r="X5" i="18"/>
  <c r="AH12" i="18"/>
  <c r="F101" i="223"/>
  <c r="BI4" i="18"/>
  <c r="J37" i="223"/>
  <c r="AL19" i="18"/>
  <c r="BP29" i="15"/>
  <c r="BR26" i="15"/>
  <c r="N72" i="237"/>
  <c r="K118" i="237"/>
  <c r="AL20" i="15"/>
  <c r="I72" i="237"/>
  <c r="J25" i="223"/>
  <c r="E31" i="237"/>
  <c r="AR17" i="18"/>
  <c r="L149" i="223"/>
  <c r="AJ28" i="1"/>
  <c r="F44" i="237"/>
  <c r="BQ22" i="15"/>
  <c r="Z17" i="18"/>
  <c r="Z10" i="18"/>
  <c r="BE15" i="18"/>
  <c r="BG22" i="15"/>
  <c r="B160" i="223"/>
  <c r="Y5" i="18"/>
  <c r="AA7" i="18"/>
  <c r="M180" i="223"/>
  <c r="W2" i="14"/>
  <c r="M125" i="237"/>
  <c r="B165" i="237"/>
  <c r="AC27" i="15"/>
  <c r="F87" i="223"/>
  <c r="T10" i="18"/>
  <c r="AR4" i="18"/>
  <c r="AU21" i="18"/>
  <c r="V9" i="18"/>
  <c r="M69" i="223"/>
  <c r="AG28" i="15"/>
  <c r="AA19" i="15"/>
  <c r="I94" i="223"/>
  <c r="AZ4" i="18"/>
  <c r="N167" i="223"/>
  <c r="J170" i="223"/>
  <c r="AQ19" i="15"/>
  <c r="I135" i="223"/>
  <c r="R26" i="15"/>
  <c r="B127" i="237"/>
  <c r="BD7" i="18"/>
  <c r="E151" i="237"/>
  <c r="N139" i="223"/>
  <c r="AS17" i="18"/>
  <c r="BK10" i="18"/>
  <c r="AM13" i="18"/>
  <c r="BC21" i="15"/>
  <c r="AP16" i="18"/>
  <c r="J29" i="15"/>
  <c r="S27" i="15"/>
  <c r="B76" i="223"/>
  <c r="D27" i="223"/>
  <c r="D42" i="223"/>
  <c r="BK15" i="18"/>
  <c r="L123" i="223"/>
  <c r="L10" i="18"/>
  <c r="AZ11" i="18"/>
  <c r="J127" i="223"/>
  <c r="C182" i="237"/>
  <c r="K125" i="223"/>
  <c r="G146" i="237"/>
  <c r="C120" i="223"/>
  <c r="E171" i="223"/>
  <c r="AW22" i="15"/>
  <c r="G162" i="223"/>
  <c r="AE13" i="18"/>
  <c r="M155" i="223"/>
  <c r="AI29" i="15"/>
  <c r="F24" i="1"/>
  <c r="AH7" i="18"/>
  <c r="L43" i="223"/>
  <c r="AU8" i="18"/>
  <c r="K168" i="223"/>
  <c r="J76" i="223"/>
  <c r="L168" i="237"/>
  <c r="H186" i="237"/>
  <c r="D150" i="223"/>
  <c r="F72" i="223"/>
  <c r="M146" i="237"/>
  <c r="C38" i="223"/>
  <c r="BJ20" i="15"/>
  <c r="BE19" i="15"/>
  <c r="J79" i="223"/>
  <c r="BI22" i="18"/>
  <c r="E40" i="223"/>
  <c r="C43" i="237"/>
  <c r="B86" i="223"/>
  <c r="R31" i="15"/>
  <c r="E162" i="223"/>
  <c r="F14" i="1"/>
  <c r="K22" i="237"/>
  <c r="AX11" i="18"/>
  <c r="I183" i="223"/>
  <c r="K151" i="237"/>
  <c r="AB21" i="15"/>
  <c r="J78" i="237"/>
  <c r="H165" i="223"/>
  <c r="X20" i="18"/>
  <c r="O19" i="15"/>
  <c r="BJ29" i="15"/>
  <c r="K40" i="237"/>
  <c r="F37" i="237"/>
  <c r="B171" i="237"/>
  <c r="AX7" i="18"/>
  <c r="G131" i="223"/>
  <c r="G58" i="223"/>
  <c r="G20" i="18"/>
  <c r="H72" i="237"/>
  <c r="AH29" i="15"/>
  <c r="AJ30" i="15"/>
  <c r="L53" i="237"/>
  <c r="F45" i="223"/>
  <c r="F46" i="237"/>
  <c r="K25" i="237"/>
  <c r="B135" i="237"/>
  <c r="AM6" i="18"/>
  <c r="AS28" i="15"/>
  <c r="G184" i="223"/>
  <c r="AD26" i="15"/>
  <c r="W2" i="18"/>
  <c r="C68" i="223"/>
  <c r="T29" i="15"/>
  <c r="AZ6" i="18"/>
  <c r="M24" i="237"/>
  <c r="B26" i="223"/>
  <c r="L30" i="15"/>
  <c r="T22" i="18"/>
  <c r="BI19" i="18"/>
  <c r="G102" i="223"/>
  <c r="H14" i="18"/>
  <c r="N184" i="223"/>
  <c r="I31" i="223"/>
  <c r="L131" i="237"/>
  <c r="E187" i="223"/>
  <c r="BT25" i="15"/>
  <c r="BQ26" i="15"/>
  <c r="H183" i="223"/>
  <c r="Z21" i="15"/>
  <c r="BN20" i="18"/>
  <c r="AV20" i="18"/>
  <c r="BS22" i="15"/>
  <c r="M62" i="237"/>
  <c r="M101" i="237"/>
  <c r="B56" i="237"/>
  <c r="B86" i="237"/>
  <c r="P26" i="15"/>
  <c r="C136" i="237"/>
  <c r="AN7" i="18"/>
  <c r="S21" i="18"/>
  <c r="G172" i="223"/>
  <c r="K126" i="237"/>
  <c r="M37" i="223"/>
  <c r="J44" i="237"/>
  <c r="R19" i="15"/>
  <c r="E94" i="237"/>
  <c r="F38" i="237"/>
  <c r="AB12" i="18"/>
  <c r="AZ25" i="15"/>
  <c r="E63" i="237"/>
  <c r="D164" i="223"/>
  <c r="AP8" i="18"/>
  <c r="M136" i="237"/>
  <c r="AY19" i="15"/>
  <c r="L20" i="237"/>
  <c r="BA21" i="15"/>
  <c r="B63" i="237"/>
  <c r="J28" i="223"/>
  <c r="AB17" i="18"/>
  <c r="N140" i="237"/>
  <c r="Z25" i="15"/>
  <c r="J180" i="237"/>
  <c r="AE20" i="18"/>
  <c r="AF5" i="18"/>
  <c r="C161" i="223"/>
  <c r="BK14" i="18"/>
  <c r="L153" i="237"/>
  <c r="H151" i="237"/>
  <c r="J29" i="223"/>
  <c r="I31" i="15"/>
  <c r="G68" i="237"/>
  <c r="K173" i="223"/>
  <c r="H127" i="223"/>
  <c r="V7" i="18"/>
  <c r="AR22" i="18"/>
  <c r="I134" i="237"/>
  <c r="N73" i="223"/>
  <c r="B74" i="223"/>
  <c r="N102" i="237"/>
  <c r="B141" i="237"/>
  <c r="I184" i="223"/>
  <c r="L116" i="223"/>
  <c r="BU31" i="15"/>
  <c r="BU26" i="15"/>
  <c r="BU19" i="15"/>
  <c r="K141" i="223"/>
  <c r="AR34" i="18"/>
  <c r="AU2" i="1"/>
  <c r="AL17" i="18"/>
  <c r="L71" i="223"/>
  <c r="I24" i="223"/>
  <c r="AJ19" i="18"/>
  <c r="B150" i="237"/>
  <c r="F166" i="223"/>
  <c r="AU30" i="15"/>
  <c r="H102" i="237"/>
  <c r="P21" i="15"/>
  <c r="Z15" i="18"/>
  <c r="F43" i="223"/>
  <c r="AY2" i="1"/>
  <c r="C26" i="237"/>
  <c r="D160" i="223"/>
  <c r="K80" i="237"/>
  <c r="N89" i="237"/>
  <c r="D136" i="237"/>
  <c r="C134" i="223"/>
  <c r="BT20" i="15"/>
  <c r="E179" i="223"/>
  <c r="D186" i="237"/>
  <c r="I94" i="237"/>
  <c r="J115" i="223"/>
  <c r="C187" i="237"/>
  <c r="K43" i="223"/>
  <c r="F187" i="223"/>
  <c r="C57" i="223"/>
  <c r="D187" i="223"/>
  <c r="J42" i="223"/>
  <c r="AS20" i="15"/>
  <c r="AX31" i="15"/>
  <c r="H31" i="223"/>
  <c r="B8" i="14"/>
  <c r="K41" i="237"/>
  <c r="D20" i="237"/>
  <c r="O27" i="15"/>
  <c r="AI30" i="15"/>
  <c r="W20" i="18"/>
  <c r="L23" i="223"/>
  <c r="K125" i="237"/>
  <c r="BR23" i="15"/>
  <c r="AX18" i="18"/>
  <c r="K19" i="15"/>
  <c r="G79" i="223"/>
  <c r="F135" i="237"/>
  <c r="F26" i="223"/>
  <c r="D68" i="223"/>
  <c r="N43" i="223"/>
  <c r="M31" i="237"/>
  <c r="H95" i="223"/>
  <c r="O6" i="18"/>
  <c r="E29" i="223"/>
  <c r="BN18" i="18"/>
  <c r="K154" i="237"/>
  <c r="AA29" i="15"/>
  <c r="AR27" i="15"/>
  <c r="K21" i="223"/>
  <c r="BL23" i="15"/>
  <c r="K69" i="237"/>
  <c r="E68" i="237"/>
  <c r="BN19" i="18"/>
  <c r="AQ29" i="15"/>
  <c r="BT29" i="15"/>
  <c r="P3" i="18"/>
  <c r="AX22" i="15"/>
  <c r="AA26" i="15"/>
  <c r="E173" i="223"/>
  <c r="AQ24" i="15"/>
  <c r="AN10" i="18"/>
  <c r="H103" i="237"/>
  <c r="E154" i="223"/>
  <c r="C149" i="237"/>
  <c r="V13" i="18"/>
  <c r="AQ8" i="18"/>
  <c r="B54" i="223"/>
  <c r="E126" i="223"/>
  <c r="I89" i="223"/>
  <c r="AB19" i="15"/>
  <c r="AK22" i="15"/>
  <c r="E56" i="223"/>
  <c r="H148" i="237"/>
  <c r="C29" i="223"/>
  <c r="BF26" i="15"/>
  <c r="F168" i="223"/>
  <c r="B28" i="223"/>
  <c r="AG26" i="15"/>
  <c r="L160" i="223"/>
  <c r="L180" i="223"/>
  <c r="AR2" i="18"/>
  <c r="H69" i="223"/>
  <c r="B20" i="223"/>
  <c r="L24" i="237"/>
  <c r="J131" i="223"/>
  <c r="N29" i="15"/>
  <c r="I86" i="237"/>
  <c r="H117" i="223"/>
  <c r="I45" i="223"/>
  <c r="J148" i="237"/>
  <c r="N185" i="237"/>
  <c r="AN16" i="18"/>
  <c r="J22" i="223"/>
  <c r="V21" i="15"/>
  <c r="AY21" i="15"/>
  <c r="H45" i="237"/>
  <c r="BK23" i="15"/>
  <c r="B38" i="223"/>
  <c r="BC30" i="15"/>
  <c r="AZ22" i="18"/>
  <c r="I26" i="223"/>
  <c r="L153" i="223"/>
  <c r="E38" i="237"/>
  <c r="G77" i="237"/>
  <c r="C32" i="223"/>
  <c r="F38" i="223"/>
  <c r="I90" i="237"/>
  <c r="W25" i="15"/>
  <c r="C115" i="237"/>
  <c r="E132" i="223"/>
  <c r="AB20" i="18"/>
  <c r="BF30" i="15"/>
  <c r="L63" i="237"/>
  <c r="E188" i="223"/>
  <c r="I79" i="237"/>
  <c r="AG28" i="1"/>
  <c r="D169" i="223"/>
  <c r="E189" i="223"/>
  <c r="N185" i="223"/>
  <c r="L189" i="223"/>
  <c r="BH5" i="18"/>
  <c r="C79" i="223"/>
  <c r="G31" i="237"/>
  <c r="BS26" i="15"/>
  <c r="AH8" i="18"/>
  <c r="F153" i="223"/>
  <c r="BF31" i="15"/>
  <c r="W4" i="18"/>
  <c r="G84" i="237"/>
  <c r="M185" i="237"/>
  <c r="BN22" i="15"/>
  <c r="BD15" i="18"/>
  <c r="AR19" i="15"/>
  <c r="BD30" i="15"/>
  <c r="Q21" i="15"/>
  <c r="AD24" i="15"/>
  <c r="H87" i="223"/>
  <c r="N74" i="237"/>
  <c r="I153" i="237"/>
  <c r="D188" i="223"/>
  <c r="C37" i="237"/>
  <c r="P8" i="18"/>
  <c r="P2" i="18"/>
  <c r="K93" i="237"/>
  <c r="L78" i="223"/>
  <c r="B120" i="237"/>
  <c r="H94" i="237"/>
  <c r="B73" i="237"/>
  <c r="M57" i="237"/>
  <c r="G8" i="18"/>
  <c r="M166" i="237"/>
  <c r="AO20" i="15"/>
  <c r="BF20" i="15"/>
  <c r="AA13" i="18"/>
  <c r="I88" i="237"/>
  <c r="K42" i="237"/>
  <c r="AM28" i="15"/>
  <c r="G119" i="237"/>
  <c r="I61" i="223"/>
  <c r="U19" i="15"/>
  <c r="V10" i="18"/>
  <c r="G23" i="15"/>
  <c r="B121" i="237"/>
  <c r="C21" i="223"/>
  <c r="G91" i="223"/>
  <c r="AN22" i="18"/>
  <c r="W22" i="15"/>
  <c r="I150" i="223"/>
  <c r="K73" i="237"/>
  <c r="AE19" i="18"/>
  <c r="N161" i="237"/>
  <c r="BN8" i="18"/>
  <c r="Z18" i="18"/>
  <c r="AN31" i="15"/>
  <c r="AS24" i="15"/>
  <c r="K44" i="223"/>
  <c r="BB4" i="18"/>
  <c r="BT26" i="15"/>
  <c r="BA19" i="18"/>
  <c r="BU25" i="15"/>
  <c r="M187" i="223"/>
  <c r="I83" i="237"/>
  <c r="C187" i="223"/>
  <c r="AY4" i="18"/>
  <c r="AJ21" i="15"/>
  <c r="BS20" i="15"/>
  <c r="H70" i="223"/>
  <c r="BM19" i="15"/>
  <c r="C84" i="223"/>
  <c r="D121" i="237"/>
  <c r="I101" i="223"/>
  <c r="K147" i="223"/>
  <c r="H131" i="223"/>
  <c r="L21" i="18"/>
  <c r="BJ30" i="15"/>
  <c r="D137" i="223"/>
  <c r="J173" i="223"/>
  <c r="N38" i="223"/>
  <c r="N77" i="223"/>
  <c r="BM11" i="18"/>
  <c r="N152" i="237"/>
  <c r="L169" i="237"/>
  <c r="D146" i="237"/>
  <c r="AD21" i="18"/>
  <c r="AB27" i="15"/>
  <c r="AU24" i="15"/>
  <c r="B13" i="14"/>
  <c r="J70" i="223"/>
  <c r="G55" i="237"/>
  <c r="F173" i="223"/>
  <c r="H56" i="237"/>
  <c r="BD23" i="15"/>
  <c r="AD31" i="15"/>
  <c r="D168" i="237"/>
  <c r="L88" i="223"/>
  <c r="BF22" i="18"/>
  <c r="E33" i="223"/>
  <c r="BH31" i="15"/>
  <c r="D93" i="223"/>
  <c r="M139" i="237"/>
  <c r="I60" i="223"/>
  <c r="G92" i="237"/>
  <c r="C29" i="237"/>
  <c r="K116" i="237"/>
  <c r="L21" i="237"/>
  <c r="D30" i="237"/>
  <c r="AP13" i="18"/>
  <c r="M6" i="18"/>
  <c r="J136" i="223"/>
  <c r="L24" i="223"/>
  <c r="C60" i="223"/>
  <c r="D150" i="237"/>
  <c r="M132" i="223"/>
  <c r="H89" i="237"/>
  <c r="AD11" i="18"/>
  <c r="L92" i="237"/>
  <c r="I27" i="223"/>
  <c r="AV12" i="18"/>
  <c r="D42" i="237"/>
  <c r="BL2" i="18"/>
  <c r="B43" i="223"/>
  <c r="N170" i="237"/>
  <c r="B59" i="223"/>
  <c r="AA28" i="1"/>
  <c r="K12" i="18"/>
  <c r="K170" i="237"/>
  <c r="AM11" i="18"/>
  <c r="B162" i="237"/>
  <c r="I121" i="223"/>
  <c r="F172" i="223"/>
  <c r="AO4" i="18"/>
  <c r="C75" i="237"/>
  <c r="AM28" i="1"/>
  <c r="N94" i="223"/>
  <c r="BF22" i="15"/>
  <c r="J77" i="223"/>
  <c r="AM17" i="18"/>
  <c r="L163" i="237"/>
  <c r="J187" i="237"/>
  <c r="J75" i="237"/>
  <c r="D189" i="223"/>
  <c r="H39" i="223"/>
  <c r="J116" i="237"/>
  <c r="H44" i="223"/>
  <c r="C90" i="223"/>
  <c r="C69" i="223"/>
  <c r="Q2" i="1"/>
  <c r="B89" i="223"/>
  <c r="C170" i="237"/>
  <c r="H78" i="237"/>
  <c r="M121" i="223"/>
  <c r="K189" i="237"/>
  <c r="AI11" i="18"/>
  <c r="F53" i="237"/>
  <c r="D69" i="237"/>
  <c r="M80" i="223"/>
  <c r="I185" i="237"/>
  <c r="I77" i="237"/>
  <c r="BE30" i="15"/>
  <c r="T9" i="18"/>
  <c r="J161" i="223"/>
  <c r="H84" i="237"/>
  <c r="AP24" i="15"/>
  <c r="I127" i="223"/>
  <c r="J89" i="223"/>
  <c r="G160" i="237"/>
  <c r="I162" i="223"/>
  <c r="E95" i="237"/>
  <c r="E125" i="237"/>
  <c r="BN20" i="15"/>
  <c r="R21" i="15"/>
  <c r="L68" i="237"/>
  <c r="BH20" i="18"/>
  <c r="H156" i="223"/>
  <c r="J87" i="223"/>
  <c r="J84" i="223"/>
  <c r="L122" i="223"/>
  <c r="F141" i="223"/>
  <c r="I148" i="237"/>
  <c r="M18" i="18"/>
  <c r="M115" i="237"/>
  <c r="H73" i="223"/>
  <c r="I25" i="223"/>
  <c r="E70" i="223"/>
  <c r="N32" i="223"/>
  <c r="BG22" i="18"/>
  <c r="BC31" i="15"/>
  <c r="L37" i="223"/>
  <c r="S18" i="18"/>
  <c r="I90" i="223"/>
  <c r="BL16" i="18"/>
  <c r="D44" i="237"/>
  <c r="D146" i="223"/>
  <c r="E126" i="237"/>
  <c r="BD14" i="18"/>
  <c r="E62" i="223"/>
  <c r="AK24" i="15"/>
  <c r="E117" i="237"/>
  <c r="AE2" i="18"/>
  <c r="G170" i="237"/>
  <c r="BR28" i="15"/>
  <c r="BT28" i="15"/>
  <c r="AB21" i="18"/>
  <c r="N162" i="237"/>
  <c r="G187" i="237"/>
  <c r="I188" i="237"/>
  <c r="BN27" i="15"/>
  <c r="G68" i="223"/>
  <c r="N79" i="223"/>
  <c r="C188" i="223"/>
  <c r="N131" i="237"/>
  <c r="BE29" i="15"/>
  <c r="AO18" i="18"/>
  <c r="BB11" i="18"/>
  <c r="S17" i="18"/>
  <c r="AB7" i="18"/>
  <c r="H167" i="237"/>
  <c r="I152" i="237"/>
  <c r="D40" i="237"/>
  <c r="AZ22" i="15"/>
  <c r="L53" i="223"/>
  <c r="D101" i="223"/>
  <c r="M150" i="237"/>
  <c r="K67" i="237"/>
  <c r="E153" i="223"/>
  <c r="L141" i="223"/>
  <c r="N135" i="223"/>
  <c r="C153" i="237"/>
  <c r="I126" i="237"/>
  <c r="B62" i="237"/>
  <c r="U25" i="15"/>
  <c r="AJ13" i="18"/>
  <c r="D180" i="223"/>
  <c r="C58" i="223"/>
  <c r="AV28" i="15"/>
  <c r="AP15" i="18"/>
  <c r="B180" i="223"/>
  <c r="I43" i="237"/>
  <c r="F186" i="237"/>
  <c r="H150" i="237"/>
  <c r="AH4" i="18"/>
  <c r="BL19" i="18"/>
  <c r="AF7" i="18"/>
  <c r="L28" i="14"/>
  <c r="BP25" i="15"/>
  <c r="G123" i="223"/>
  <c r="R10" i="18"/>
  <c r="AE34" i="18"/>
  <c r="L139" i="223"/>
  <c r="AG21" i="15"/>
  <c r="B91" i="223"/>
  <c r="BA22" i="18"/>
  <c r="L58" i="237"/>
  <c r="BA6" i="18"/>
  <c r="AM27" i="15"/>
  <c r="H26" i="237"/>
  <c r="F30" i="223"/>
  <c r="BQ20" i="15"/>
  <c r="W31" i="15"/>
  <c r="BM20" i="15"/>
  <c r="AQ20" i="15"/>
  <c r="BJ20" i="18"/>
  <c r="E32" i="223"/>
  <c r="F121" i="237"/>
  <c r="BJ8" i="18"/>
  <c r="K5" i="14"/>
  <c r="AG11" i="18"/>
  <c r="BT24" i="15"/>
  <c r="AC16" i="18"/>
  <c r="AV28" i="1"/>
  <c r="N80" i="237"/>
  <c r="G130" i="237"/>
  <c r="BJ4" i="18"/>
  <c r="Q28" i="1"/>
  <c r="K172" i="223"/>
  <c r="I39" i="237"/>
  <c r="BR24" i="15"/>
  <c r="L30" i="223"/>
  <c r="BM22" i="18"/>
  <c r="D147" i="223"/>
  <c r="AF34" i="18"/>
  <c r="G27" i="237"/>
  <c r="M68" i="223"/>
  <c r="BC4" i="18"/>
  <c r="AD22" i="15"/>
  <c r="J78" i="223"/>
  <c r="F7" i="1"/>
  <c r="BB2" i="18"/>
  <c r="AH21" i="15"/>
  <c r="AF22" i="15"/>
  <c r="N139" i="237"/>
  <c r="H161" i="223"/>
  <c r="V6" i="18"/>
  <c r="E24" i="223"/>
  <c r="H2" i="18"/>
  <c r="L23" i="15"/>
  <c r="AD30" i="15"/>
  <c r="G6" i="18"/>
  <c r="K127" i="223"/>
  <c r="T14" i="18"/>
  <c r="M56" i="223"/>
  <c r="AC7" i="18"/>
  <c r="AM16" i="18"/>
  <c r="BG16" i="18"/>
  <c r="I16" i="1"/>
  <c r="BR22" i="15"/>
  <c r="B23" i="223"/>
  <c r="N31" i="223"/>
  <c r="B181" i="237"/>
  <c r="K146" i="237"/>
  <c r="AY20" i="18"/>
  <c r="AG20" i="15"/>
  <c r="J26" i="237"/>
  <c r="BE28" i="15"/>
  <c r="E29" i="237"/>
  <c r="L57" i="223"/>
  <c r="BM16" i="18"/>
  <c r="B170" i="223"/>
  <c r="BJ34" i="18"/>
  <c r="E91" i="223"/>
  <c r="L40" i="237"/>
  <c r="F181" i="223"/>
  <c r="C119" i="223"/>
  <c r="F94" i="223"/>
  <c r="AU6" i="18"/>
  <c r="C62" i="237"/>
  <c r="I124" i="223"/>
  <c r="C75" i="223"/>
  <c r="V8" i="18"/>
  <c r="G78" i="237"/>
  <c r="B184" i="223"/>
  <c r="B182" i="237"/>
  <c r="N30" i="223"/>
  <c r="H34" i="18"/>
  <c r="BN28" i="1"/>
  <c r="G46" i="237"/>
  <c r="E121" i="223"/>
  <c r="J132" i="223"/>
  <c r="M44" i="223"/>
  <c r="I63" i="223"/>
  <c r="H22" i="237"/>
  <c r="K71" i="237"/>
  <c r="BI24" i="15"/>
  <c r="M119" i="237"/>
  <c r="BV31" i="15"/>
  <c r="B93" i="237"/>
  <c r="J40" i="237"/>
  <c r="X14" i="18"/>
  <c r="H8" i="18"/>
  <c r="J15" i="18"/>
  <c r="U8" i="18"/>
  <c r="W18" i="18"/>
  <c r="AU20" i="18"/>
  <c r="M32" i="237"/>
  <c r="C76" i="237"/>
  <c r="I80" i="237"/>
  <c r="D86" i="223"/>
  <c r="H87" i="237"/>
  <c r="AI15" i="18"/>
  <c r="J26" i="15"/>
  <c r="J168" i="237"/>
  <c r="E133" i="237"/>
  <c r="BC7" i="18"/>
  <c r="V30" i="15"/>
  <c r="G93" i="237"/>
  <c r="E172" i="237"/>
  <c r="AC13" i="18"/>
  <c r="G28" i="237"/>
  <c r="G155" i="223"/>
  <c r="L87" i="237"/>
  <c r="O9" i="18"/>
  <c r="S6" i="18"/>
  <c r="M117" i="237"/>
  <c r="B123" i="223"/>
  <c r="BJ12" i="18"/>
  <c r="G148" i="223"/>
  <c r="BH19" i="18"/>
  <c r="H163" i="237"/>
  <c r="G33" i="237"/>
  <c r="J38" i="223"/>
  <c r="L7" i="18"/>
  <c r="F140" i="237"/>
  <c r="D167" i="237"/>
  <c r="K137" i="237"/>
  <c r="N70" i="223"/>
  <c r="AJ15" i="18"/>
  <c r="BF19" i="18"/>
  <c r="F56" i="237"/>
  <c r="BG14" i="18"/>
  <c r="AJ2" i="18"/>
  <c r="K117" i="223"/>
  <c r="BI2" i="18"/>
  <c r="L22" i="237"/>
  <c r="I78" i="223"/>
  <c r="K102" i="237"/>
  <c r="AY15" i="18"/>
  <c r="D71" i="237"/>
  <c r="AV21" i="15"/>
  <c r="D20" i="223"/>
  <c r="Y24" i="15"/>
  <c r="BH22" i="18"/>
  <c r="I11" i="1"/>
  <c r="B133" i="223"/>
  <c r="K137" i="223"/>
  <c r="J187" i="223"/>
  <c r="BS28" i="15"/>
  <c r="I38" i="223"/>
  <c r="J119" i="237"/>
  <c r="BF10" i="18"/>
  <c r="C26" i="223"/>
  <c r="K102" i="223"/>
  <c r="E30" i="237"/>
  <c r="F100" i="223"/>
  <c r="J55" i="223"/>
  <c r="AN21" i="15"/>
  <c r="L77" i="223"/>
  <c r="AH9" i="18"/>
  <c r="V19" i="18"/>
  <c r="B79" i="237"/>
  <c r="BH19" i="15"/>
  <c r="BC17" i="18"/>
  <c r="AL28" i="15"/>
  <c r="E54" i="223"/>
  <c r="BC24" i="15"/>
  <c r="K22" i="223"/>
  <c r="D124" i="237"/>
  <c r="H153" i="223"/>
  <c r="AJ19" i="15"/>
  <c r="I41" i="237"/>
  <c r="AE28" i="15"/>
  <c r="J21" i="18"/>
  <c r="AU10" i="18"/>
  <c r="L62" i="237"/>
  <c r="BB29" i="15"/>
  <c r="N165" i="223"/>
  <c r="BE4" i="18"/>
  <c r="B83" i="237"/>
  <c r="H80" i="237"/>
  <c r="I33" i="237"/>
  <c r="AL3" i="18"/>
  <c r="G75" i="237"/>
  <c r="AV7" i="18"/>
  <c r="U22" i="18"/>
  <c r="L181" i="223"/>
  <c r="D149" i="237"/>
  <c r="N77" i="237"/>
  <c r="R5" i="18"/>
  <c r="U5" i="18"/>
  <c r="K126" i="223"/>
  <c r="BD3" i="18"/>
  <c r="AP11" i="18"/>
  <c r="N11" i="18"/>
  <c r="F160" i="237"/>
  <c r="AG22" i="18"/>
  <c r="AX15" i="18"/>
  <c r="AI12" i="18"/>
  <c r="P22" i="18"/>
  <c r="G24" i="237"/>
  <c r="P19" i="15"/>
  <c r="H170" i="237"/>
  <c r="B125" i="237"/>
  <c r="K124" i="223"/>
  <c r="G135" i="237"/>
  <c r="BI31" i="15"/>
  <c r="M186" i="237"/>
  <c r="AJ8" i="18"/>
  <c r="AU3" i="18"/>
  <c r="N87" i="237"/>
  <c r="D117" i="237"/>
  <c r="B15" i="14"/>
  <c r="D126" i="237"/>
  <c r="L62" i="223"/>
  <c r="BK19" i="18"/>
  <c r="R21" i="18"/>
  <c r="F102" i="223"/>
  <c r="H59" i="237"/>
  <c r="N26" i="15"/>
  <c r="BB7" i="18"/>
  <c r="M168" i="237"/>
  <c r="AN11" i="18"/>
  <c r="H7" i="18"/>
  <c r="J136" i="237"/>
  <c r="J32" i="223"/>
  <c r="B74" i="237"/>
  <c r="N75" i="223"/>
  <c r="K68" i="237"/>
  <c r="M166" i="223"/>
  <c r="X18" i="18"/>
  <c r="M134" i="237"/>
  <c r="B42" i="14"/>
  <c r="B35" i="14"/>
  <c r="H185" i="223"/>
  <c r="E155" i="237"/>
  <c r="E37" i="223"/>
  <c r="Z9" i="18"/>
  <c r="AL6" i="18"/>
  <c r="AV19" i="15"/>
  <c r="BU30" i="15"/>
  <c r="F10" i="1"/>
  <c r="AB16" i="18"/>
  <c r="D151" i="223"/>
  <c r="Q24" i="15"/>
  <c r="I127" i="237"/>
  <c r="AT20" i="18"/>
  <c r="AY6" i="18"/>
  <c r="K133" i="223"/>
  <c r="N93" i="237"/>
  <c r="N28" i="237"/>
  <c r="P9" i="18"/>
  <c r="H92" i="237"/>
  <c r="B41" i="237"/>
  <c r="N141" i="223"/>
  <c r="K80" i="223"/>
  <c r="BU28" i="15"/>
  <c r="E46" i="223"/>
  <c r="AO21" i="18"/>
  <c r="L132" i="223"/>
  <c r="B137" i="223"/>
  <c r="G188" i="237"/>
  <c r="V19" i="15"/>
  <c r="B184" i="237"/>
  <c r="BM31" i="15"/>
  <c r="AQ22" i="18"/>
  <c r="E167" i="223"/>
  <c r="N20" i="223"/>
  <c r="BN3" i="18"/>
  <c r="E187" i="237"/>
  <c r="J56" i="237"/>
  <c r="X17" i="18"/>
  <c r="B34" i="14"/>
  <c r="BP19" i="15"/>
  <c r="AY13" i="18"/>
  <c r="F18" i="1"/>
  <c r="C91" i="237"/>
  <c r="Y21" i="15"/>
  <c r="D31" i="223"/>
  <c r="L28" i="223"/>
  <c r="H170" i="223"/>
  <c r="D161" i="223"/>
  <c r="AK20" i="15"/>
  <c r="F137" i="237"/>
  <c r="C180" i="223"/>
  <c r="G71" i="223"/>
  <c r="BH16" i="18"/>
  <c r="BK2" i="1"/>
  <c r="AQ28" i="15"/>
  <c r="M14" i="18"/>
  <c r="L78" i="237"/>
  <c r="I160" i="223"/>
  <c r="E103" i="223"/>
  <c r="E138" i="223"/>
  <c r="G149" i="223"/>
  <c r="AT25" i="15"/>
  <c r="M140" i="223"/>
  <c r="M63" i="223"/>
  <c r="M138" i="237"/>
  <c r="L80" i="223"/>
  <c r="I132" i="237"/>
  <c r="J184" i="223"/>
  <c r="AN25" i="15"/>
  <c r="E162" i="237"/>
  <c r="G117" i="223"/>
  <c r="K139" i="237"/>
  <c r="AN2" i="1"/>
  <c r="BN28" i="15"/>
  <c r="D160" i="237"/>
  <c r="B134" i="237"/>
  <c r="E72" i="223"/>
  <c r="B30" i="185"/>
  <c r="AO31" i="15"/>
  <c r="L95" i="223"/>
  <c r="I95" i="237"/>
  <c r="BH6" i="18"/>
  <c r="C80" i="223"/>
  <c r="B151" i="223"/>
  <c r="N19" i="18"/>
  <c r="I22" i="223"/>
  <c r="B22" i="237"/>
  <c r="J149" i="223"/>
  <c r="C56" i="237"/>
  <c r="H134" i="237"/>
  <c r="L145" i="223"/>
  <c r="G127" i="223"/>
  <c r="N32" i="237"/>
  <c r="G30" i="15"/>
  <c r="Q5" i="18"/>
  <c r="BF25" i="15"/>
  <c r="AO34" i="18"/>
  <c r="I119" i="237"/>
  <c r="J75" i="223"/>
  <c r="B87" i="223"/>
  <c r="N153" i="223"/>
  <c r="N44" i="223"/>
  <c r="R16" i="18"/>
  <c r="BQ23" i="15"/>
  <c r="BJ28" i="1"/>
  <c r="BU24" i="15"/>
  <c r="G141" i="223"/>
  <c r="E55" i="223"/>
  <c r="X28" i="1"/>
  <c r="N123" i="237"/>
  <c r="F164" i="237"/>
  <c r="BE23" i="15"/>
  <c r="BF20" i="18"/>
  <c r="J33" i="237"/>
  <c r="M83" i="223"/>
  <c r="I86" i="223"/>
  <c r="BC19" i="15"/>
  <c r="B29" i="237"/>
  <c r="N126" i="237"/>
  <c r="M151" i="223"/>
  <c r="U2" i="1"/>
  <c r="B84" i="223"/>
  <c r="M136" i="223"/>
  <c r="E146" i="223"/>
  <c r="C135" i="237"/>
  <c r="D77" i="237"/>
  <c r="J42" i="237"/>
  <c r="S22" i="18"/>
  <c r="AO29" i="15"/>
  <c r="E115" i="223"/>
  <c r="AR28" i="15"/>
  <c r="G132" i="237"/>
  <c r="L11" i="18"/>
  <c r="K88" i="237"/>
  <c r="M120" i="223"/>
  <c r="U6" i="18"/>
  <c r="BG15" i="18"/>
  <c r="M37" i="237"/>
  <c r="BG3" i="18"/>
  <c r="Z27" i="15"/>
  <c r="AL26" i="15"/>
  <c r="J184" i="237"/>
  <c r="C40" i="237"/>
  <c r="M2" i="1"/>
  <c r="K148" i="237"/>
  <c r="AK19" i="18"/>
  <c r="BF17" i="18"/>
  <c r="I43" i="223"/>
  <c r="C90" i="237"/>
  <c r="H15" i="18"/>
  <c r="AP27" i="15"/>
  <c r="B167" i="237"/>
  <c r="J61" i="223"/>
  <c r="C103" i="223"/>
  <c r="H41" i="223"/>
  <c r="I19" i="18"/>
  <c r="BI34" i="18"/>
  <c r="H25" i="15"/>
  <c r="BN9" i="18"/>
  <c r="M150" i="223"/>
  <c r="C27" i="223"/>
  <c r="F59" i="237"/>
  <c r="E168" i="237"/>
  <c r="BQ28" i="15"/>
  <c r="G150" i="237"/>
  <c r="BQ19" i="15"/>
  <c r="F72" i="237"/>
  <c r="L165" i="237"/>
  <c r="H187" i="237"/>
  <c r="B36" i="18"/>
  <c r="C40" i="223"/>
  <c r="Q16" i="18"/>
  <c r="G169" i="223"/>
  <c r="J167" i="237"/>
  <c r="AX29" i="15"/>
  <c r="L33" i="237"/>
  <c r="G22" i="223"/>
  <c r="E89" i="223"/>
  <c r="W30" i="15"/>
  <c r="D57" i="223"/>
  <c r="C168" i="237"/>
  <c r="J186" i="237"/>
  <c r="AR15" i="18"/>
  <c r="N153" i="237"/>
  <c r="N119" i="223"/>
  <c r="I173" i="237"/>
  <c r="J77" i="237"/>
  <c r="G130" i="223"/>
  <c r="AL2" i="1"/>
  <c r="Y17" i="18"/>
  <c r="H146" i="237"/>
  <c r="AY5" i="18"/>
  <c r="D115" i="237"/>
  <c r="B39" i="223"/>
  <c r="C62" i="18"/>
  <c r="G4" i="18"/>
  <c r="AL27" i="15"/>
  <c r="K121" i="223"/>
  <c r="AT30" i="15"/>
  <c r="N154" i="223"/>
  <c r="AW15" i="18"/>
  <c r="J80" i="237"/>
  <c r="BT31" i="15"/>
  <c r="BO23" i="15"/>
  <c r="Z24" i="15"/>
  <c r="K115" i="223"/>
  <c r="J139" i="237"/>
  <c r="H140" i="223"/>
  <c r="C146" i="237"/>
  <c r="B40" i="223"/>
  <c r="AV6" i="18"/>
  <c r="C153" i="223"/>
  <c r="B152" i="237"/>
  <c r="AD23" i="15"/>
  <c r="AC20" i="15"/>
  <c r="BM13" i="18"/>
  <c r="BE16" i="18"/>
  <c r="N116" i="237"/>
  <c r="L91" i="223"/>
  <c r="L91" i="237"/>
  <c r="B90" i="237"/>
  <c r="U14" i="18"/>
  <c r="Z20" i="15"/>
  <c r="C147" i="223"/>
  <c r="N42" i="237"/>
  <c r="M23" i="15"/>
  <c r="BR31" i="15"/>
  <c r="AO11" i="18"/>
  <c r="E30" i="223"/>
  <c r="J182" i="237"/>
  <c r="BV20" i="15"/>
  <c r="F161" i="237"/>
  <c r="BA28" i="1"/>
  <c r="M62" i="223"/>
  <c r="AU19" i="15"/>
  <c r="AK8" i="18"/>
  <c r="BC10" i="18"/>
  <c r="C186" i="237"/>
  <c r="AA4" i="18"/>
  <c r="BE17" i="18"/>
  <c r="J179" i="237"/>
  <c r="I95" i="223"/>
  <c r="E149" i="223"/>
  <c r="AM23" i="15"/>
  <c r="BU23" i="15"/>
  <c r="K40" i="223"/>
  <c r="BJ2" i="18"/>
  <c r="D54" i="237"/>
  <c r="B186" i="223"/>
  <c r="Z31" i="15"/>
  <c r="F133" i="237"/>
  <c r="AD19" i="15"/>
  <c r="E43" i="237"/>
  <c r="H180" i="223"/>
  <c r="BI2" i="1"/>
  <c r="AJ29" i="15"/>
  <c r="BA5" i="18"/>
  <c r="J189" i="237"/>
  <c r="BV23" i="15"/>
  <c r="N137" i="237"/>
  <c r="S20" i="15"/>
  <c r="B31" i="237"/>
  <c r="BO24" i="15"/>
  <c r="M91" i="237"/>
  <c r="AD7" i="18"/>
  <c r="AZ2" i="1"/>
  <c r="D117" i="223"/>
  <c r="L75" i="237"/>
  <c r="H100" i="237"/>
  <c r="H70" i="237"/>
  <c r="I180" i="223"/>
  <c r="BJ27" i="15"/>
  <c r="C118" i="237"/>
  <c r="D58" i="223"/>
  <c r="AM5" i="18"/>
  <c r="AC2" i="1"/>
  <c r="I56" i="223"/>
  <c r="X20" i="15"/>
  <c r="BM17" i="18"/>
  <c r="J171" i="237"/>
  <c r="M164" i="223"/>
  <c r="BV21" i="15"/>
  <c r="N71" i="223"/>
  <c r="AG24" i="15"/>
  <c r="AU13" i="18"/>
  <c r="J26" i="223"/>
  <c r="AQ21" i="18"/>
  <c r="B55" i="223"/>
  <c r="BA2" i="1"/>
  <c r="N69" i="237"/>
  <c r="AL29" i="15"/>
  <c r="F2" i="14"/>
  <c r="J89" i="237"/>
  <c r="M160" i="223"/>
  <c r="C173" i="223"/>
  <c r="N39" i="237"/>
  <c r="AX8" i="18"/>
  <c r="T20" i="18"/>
  <c r="L44" i="223"/>
  <c r="N55" i="223"/>
  <c r="B57" i="223"/>
  <c r="AH20" i="15"/>
  <c r="BF24" i="15"/>
  <c r="K87" i="223"/>
  <c r="AX17" i="18"/>
  <c r="F74" i="237"/>
  <c r="AS8" i="18"/>
  <c r="G28" i="15"/>
  <c r="F160" i="223"/>
  <c r="C42" i="237"/>
  <c r="I147" i="223"/>
  <c r="N90" i="223"/>
  <c r="BR19" i="15"/>
  <c r="H84" i="223"/>
  <c r="L179" i="223"/>
  <c r="V12" i="18"/>
  <c r="E71" i="237"/>
  <c r="L184" i="223"/>
  <c r="AZ21" i="18"/>
  <c r="R23" i="15"/>
  <c r="K15" i="18"/>
  <c r="J181" i="237"/>
  <c r="H146" i="223"/>
  <c r="E80" i="237"/>
  <c r="L94" i="223"/>
  <c r="E67" i="223"/>
  <c r="I22" i="18"/>
  <c r="J102" i="237"/>
  <c r="N80" i="223"/>
  <c r="AH23" i="15"/>
  <c r="J124" i="223"/>
  <c r="H138" i="223"/>
  <c r="B68" i="237"/>
  <c r="L133" i="223"/>
  <c r="AI6" i="18"/>
  <c r="B57" i="237"/>
  <c r="B133" i="237"/>
  <c r="H162" i="237"/>
  <c r="G121" i="223"/>
  <c r="AZ27" i="15"/>
  <c r="BS19" i="15"/>
  <c r="I147" i="237"/>
  <c r="V11" i="18"/>
  <c r="C137" i="223"/>
  <c r="G17" i="18"/>
  <c r="J121" i="223"/>
  <c r="D71" i="223"/>
  <c r="AI2" i="1"/>
  <c r="G182" i="223"/>
  <c r="C44" i="223"/>
  <c r="N23" i="15"/>
  <c r="M137" i="223"/>
  <c r="AQ30" i="15"/>
  <c r="AF12" i="18"/>
  <c r="W5" i="18"/>
  <c r="D43" i="223"/>
  <c r="L68" i="223"/>
  <c r="E134" i="223"/>
  <c r="H161" i="237"/>
  <c r="F187" i="237"/>
  <c r="N140" i="223"/>
  <c r="I187" i="223"/>
  <c r="G27" i="15"/>
  <c r="AQ17" i="18"/>
  <c r="BL15" i="18"/>
  <c r="D91" i="223"/>
  <c r="AI19" i="15"/>
  <c r="I179" i="223"/>
  <c r="G56" i="223"/>
  <c r="C166" i="237"/>
  <c r="F39" i="237"/>
  <c r="E84" i="223"/>
  <c r="B37" i="237"/>
  <c r="AG7" i="18"/>
  <c r="AV20" i="15"/>
  <c r="C117" i="223"/>
  <c r="B145" i="223"/>
  <c r="J117" i="223"/>
  <c r="P27" i="15"/>
  <c r="G59" i="237"/>
  <c r="G166" i="223"/>
  <c r="M71" i="237"/>
  <c r="BC20" i="15"/>
  <c r="E93" i="223"/>
  <c r="L22" i="223"/>
  <c r="G161" i="223"/>
  <c r="I58" i="223"/>
  <c r="G53" i="223"/>
  <c r="M149" i="237"/>
  <c r="M170" i="237"/>
  <c r="D145" i="223"/>
  <c r="BC34" i="18"/>
  <c r="L18" i="18"/>
  <c r="S20" i="18"/>
  <c r="G85" i="237"/>
  <c r="BE27" i="15"/>
  <c r="F21" i="1"/>
  <c r="L124" i="223"/>
  <c r="L14" i="18"/>
  <c r="AA34" i="18"/>
  <c r="C62" i="223"/>
  <c r="Q13" i="18"/>
  <c r="O23" i="15"/>
  <c r="AO8" i="18"/>
  <c r="G150" i="223"/>
  <c r="F54" i="223"/>
  <c r="G21" i="237"/>
  <c r="C55" i="223"/>
  <c r="D141" i="223"/>
  <c r="H134" i="223"/>
  <c r="J22" i="18"/>
  <c r="J58" i="223"/>
  <c r="B39" i="14"/>
  <c r="I166" i="237"/>
  <c r="H189" i="237"/>
  <c r="E58" i="237"/>
  <c r="M42" i="223"/>
  <c r="N145" i="237"/>
  <c r="AQ6" i="18"/>
  <c r="AR19" i="18"/>
  <c r="M102" i="237"/>
  <c r="J145" i="237"/>
  <c r="C138" i="237"/>
  <c r="N188" i="237"/>
  <c r="N181" i="223"/>
  <c r="BL2" i="1"/>
  <c r="AP23" i="15"/>
  <c r="N160" i="237"/>
  <c r="D188" i="237"/>
  <c r="J146" i="223"/>
  <c r="G185" i="223"/>
  <c r="N15" i="18"/>
  <c r="AJ3" i="18"/>
  <c r="B131" i="223"/>
  <c r="B166" i="237"/>
  <c r="BE6" i="18"/>
  <c r="G187" i="223"/>
  <c r="N152" i="223"/>
  <c r="E74" i="237"/>
  <c r="Y23" i="15"/>
  <c r="J8" i="18"/>
  <c r="AG25" i="15"/>
  <c r="I33" i="223"/>
  <c r="N146" i="223"/>
  <c r="M83" i="237"/>
  <c r="AU25" i="15"/>
  <c r="M137" i="237"/>
  <c r="BB18" i="18"/>
  <c r="AO26" i="15"/>
  <c r="D130" i="223"/>
  <c r="AP30" i="15"/>
  <c r="C59" i="223"/>
  <c r="AQ12" i="18"/>
  <c r="U12" i="18"/>
  <c r="N103" i="223"/>
  <c r="AV13" i="18"/>
  <c r="K30" i="15"/>
  <c r="M188" i="223"/>
  <c r="H79" i="237"/>
  <c r="G15" i="18"/>
  <c r="AI5" i="18"/>
  <c r="AC19" i="15"/>
  <c r="AF8" i="18"/>
  <c r="K181" i="223"/>
  <c r="B45" i="237"/>
  <c r="H53" i="223"/>
  <c r="B11" i="185"/>
  <c r="AQ3" i="18"/>
  <c r="H55" i="223"/>
  <c r="I84" i="223"/>
  <c r="R2" i="18"/>
  <c r="I68" i="223"/>
  <c r="J167" i="223"/>
  <c r="L4" i="14"/>
  <c r="BN2" i="18"/>
  <c r="BI23" i="15"/>
  <c r="K187" i="237"/>
  <c r="B185" i="237"/>
  <c r="M182" i="237"/>
  <c r="N136" i="223"/>
  <c r="B138" i="237"/>
  <c r="BV22" i="15"/>
  <c r="L6" i="18"/>
  <c r="D83" i="237"/>
  <c r="C39" i="237"/>
  <c r="Y28" i="1"/>
  <c r="V20" i="18"/>
  <c r="N172" i="237"/>
  <c r="E166" i="237"/>
  <c r="E90" i="237"/>
  <c r="AC23" i="15"/>
  <c r="F85" i="237"/>
  <c r="M22" i="18"/>
  <c r="R8" i="18"/>
  <c r="AI24" i="15"/>
  <c r="E42" i="223"/>
  <c r="AO10" i="18"/>
  <c r="J103" i="223"/>
  <c r="L151" i="237"/>
  <c r="H121" i="223"/>
  <c r="AF25" i="15"/>
  <c r="J54" i="237"/>
  <c r="AD21" i="15"/>
  <c r="BM30" i="15"/>
  <c r="M63" i="237"/>
  <c r="AN29" i="15"/>
  <c r="AS19" i="15"/>
  <c r="AE26" i="15"/>
  <c r="N22" i="15"/>
  <c r="BM8" i="18"/>
  <c r="M181" i="223"/>
  <c r="D78" i="223"/>
  <c r="L60" i="237"/>
  <c r="C68" i="237"/>
  <c r="J60" i="223"/>
  <c r="BE12" i="18"/>
  <c r="H25" i="223"/>
  <c r="AZ31" i="15"/>
  <c r="H119" i="223"/>
  <c r="M127" i="223"/>
  <c r="AV22" i="18"/>
  <c r="O22" i="15"/>
  <c r="BD29" i="15"/>
  <c r="E87" i="237"/>
  <c r="BA20" i="15"/>
  <c r="G63" i="223"/>
  <c r="B122" i="237"/>
  <c r="L150" i="237"/>
  <c r="C156" i="237"/>
  <c r="AW22" i="18"/>
  <c r="E150" i="223"/>
  <c r="N53" i="223"/>
  <c r="F76" i="237"/>
  <c r="E25" i="223"/>
  <c r="AQ28" i="1"/>
  <c r="J38" i="237"/>
  <c r="BQ21" i="15"/>
  <c r="W2" i="1"/>
  <c r="C20" i="237"/>
  <c r="BB8" i="18"/>
  <c r="I42" i="223"/>
  <c r="X7" i="18"/>
  <c r="J155" i="237"/>
  <c r="J181" i="223"/>
  <c r="BB19" i="15"/>
  <c r="H188" i="237"/>
  <c r="Q20" i="18"/>
  <c r="I25" i="237"/>
  <c r="C125" i="237"/>
  <c r="BK9" i="18"/>
  <c r="D61" i="223"/>
  <c r="B170" i="237"/>
  <c r="BA9" i="18"/>
  <c r="AV26" i="15"/>
  <c r="W27" i="15"/>
  <c r="J135" i="223"/>
  <c r="N33" i="237"/>
  <c r="AN26" i="15"/>
  <c r="X34" i="18"/>
  <c r="H173" i="223"/>
  <c r="AE25" i="15"/>
  <c r="M31" i="223"/>
  <c r="AO27" i="15"/>
  <c r="W8" i="18"/>
  <c r="F53" i="223"/>
  <c r="Q22" i="15"/>
  <c r="N125" i="237"/>
  <c r="S19" i="18"/>
  <c r="F116" i="223"/>
  <c r="D155" i="223"/>
  <c r="L180" i="237"/>
  <c r="N27" i="15"/>
  <c r="H121" i="237"/>
  <c r="F63" i="223"/>
  <c r="C145" i="237"/>
  <c r="AG9" i="18"/>
  <c r="AZ34" i="18"/>
  <c r="AO23" i="15"/>
  <c r="M24" i="15"/>
  <c r="H23" i="237"/>
  <c r="AG14" i="18"/>
  <c r="H62" i="237"/>
  <c r="H79" i="223"/>
  <c r="B179" i="223"/>
  <c r="J9" i="18"/>
  <c r="Y9" i="18"/>
  <c r="K27" i="237"/>
  <c r="BB26" i="15"/>
  <c r="T24" i="15"/>
  <c r="C69" i="237"/>
  <c r="BJ31" i="15"/>
  <c r="BB28" i="1"/>
  <c r="M163" i="237"/>
  <c r="AL21" i="18"/>
  <c r="N25" i="15"/>
  <c r="AR9" i="18"/>
  <c r="D139" i="223"/>
  <c r="BE7" i="18"/>
  <c r="D33" i="237"/>
  <c r="AE14" i="18"/>
  <c r="H152" i="237"/>
  <c r="E21" i="223"/>
  <c r="M68" i="237"/>
  <c r="K16" i="18"/>
  <c r="H156" i="237"/>
  <c r="AT12" i="18"/>
  <c r="E62" i="237"/>
  <c r="T11" i="18"/>
  <c r="O4" i="18"/>
  <c r="BN4" i="18"/>
  <c r="F136" i="237"/>
  <c r="BA21" i="18"/>
  <c r="D179" i="223"/>
  <c r="K37" i="237"/>
  <c r="AM31" i="15"/>
  <c r="I59" i="223"/>
  <c r="AL10" i="18"/>
  <c r="I60" i="237"/>
  <c r="C121" i="223"/>
  <c r="H28" i="223"/>
  <c r="D93" i="237"/>
  <c r="BF27" i="15"/>
  <c r="K100" i="237"/>
  <c r="I55" i="237"/>
  <c r="D23" i="223"/>
  <c r="E182" i="223"/>
  <c r="AR6" i="18"/>
  <c r="E100" i="223"/>
  <c r="F95" i="237"/>
  <c r="F101" i="237"/>
  <c r="F166" i="237"/>
  <c r="AO14" i="18"/>
  <c r="G139" i="237"/>
  <c r="K45" i="223"/>
  <c r="G38" i="223"/>
  <c r="L119" i="223"/>
  <c r="AL34" i="18"/>
  <c r="F94" i="237"/>
  <c r="H77" i="223"/>
  <c r="H20" i="223"/>
  <c r="P18" i="18"/>
  <c r="O20" i="15"/>
  <c r="H153" i="237"/>
  <c r="L172" i="237"/>
  <c r="E33" i="237"/>
  <c r="N170" i="223"/>
  <c r="K85" i="237"/>
  <c r="B53" i="14"/>
  <c r="N19" i="15"/>
  <c r="B26" i="14"/>
  <c r="C63" i="223"/>
  <c r="K31" i="237"/>
  <c r="L140" i="237"/>
  <c r="B130" i="237"/>
  <c r="I122" i="223"/>
  <c r="J122" i="237"/>
  <c r="L166" i="223"/>
  <c r="AP21" i="18"/>
  <c r="K29" i="237"/>
  <c r="E83" i="237"/>
  <c r="L103" i="237"/>
  <c r="L168" i="223"/>
  <c r="I21" i="18"/>
  <c r="J102" i="223"/>
  <c r="K25" i="15"/>
  <c r="AP20" i="15"/>
  <c r="O30" i="15"/>
  <c r="AY23" i="15"/>
  <c r="BB20" i="15"/>
  <c r="AF28" i="1"/>
  <c r="AE19" i="15"/>
  <c r="AL13" i="18"/>
  <c r="AO2" i="18"/>
  <c r="G94" i="223"/>
  <c r="B72" i="223"/>
  <c r="T7" i="18"/>
  <c r="W19" i="15"/>
  <c r="U7" i="18"/>
  <c r="G85" i="223"/>
  <c r="AI22" i="15"/>
  <c r="H167" i="223"/>
  <c r="C167" i="223"/>
  <c r="AV15" i="18"/>
  <c r="L146" i="237"/>
  <c r="Q22" i="18"/>
  <c r="AY29" i="15"/>
  <c r="AV27" i="15"/>
  <c r="I141" i="237"/>
  <c r="E153" i="237"/>
  <c r="G124" i="223"/>
  <c r="N55" i="237"/>
  <c r="C56" i="223"/>
  <c r="D41" i="223"/>
  <c r="N22" i="223"/>
  <c r="AJ26" i="15"/>
  <c r="AL2" i="18"/>
  <c r="BJ13" i="18"/>
  <c r="M23" i="237"/>
  <c r="AC4" i="18"/>
  <c r="AY28" i="15"/>
  <c r="BG19" i="18"/>
  <c r="BG20" i="15"/>
  <c r="M171" i="223"/>
  <c r="H71" i="223"/>
  <c r="F145" i="237"/>
  <c r="AS28" i="1"/>
  <c r="M148" i="223"/>
  <c r="I14" i="18"/>
  <c r="J72" i="223"/>
  <c r="BA22" i="15"/>
  <c r="N101" i="237"/>
  <c r="O24" i="15"/>
  <c r="C168" i="223"/>
  <c r="BB22" i="18"/>
  <c r="AD10" i="18"/>
  <c r="B40" i="237"/>
  <c r="K156" i="237"/>
  <c r="M183" i="237"/>
  <c r="E184" i="237"/>
  <c r="J126" i="223"/>
  <c r="L76" i="223"/>
  <c r="M167" i="237"/>
  <c r="Y13" i="18"/>
  <c r="N62" i="223"/>
  <c r="H169" i="237"/>
  <c r="Z8" i="18"/>
  <c r="AN34" i="18"/>
  <c r="AT15" i="18"/>
  <c r="AS14" i="18"/>
  <c r="G78" i="223"/>
  <c r="J160" i="237"/>
  <c r="N123" i="223"/>
  <c r="E45" i="223"/>
  <c r="E173" i="237"/>
  <c r="L28" i="15"/>
  <c r="M146" i="223"/>
  <c r="N34" i="18"/>
  <c r="AC3" i="18"/>
  <c r="AT13" i="18"/>
  <c r="D130" i="237"/>
  <c r="G163" i="237"/>
  <c r="M153" i="237"/>
  <c r="AS21" i="18"/>
  <c r="L171" i="223"/>
  <c r="N68" i="223"/>
  <c r="BA23" i="15"/>
  <c r="M71" i="223"/>
  <c r="N186" i="223"/>
  <c r="D184" i="223"/>
  <c r="BH7" i="18"/>
  <c r="I46" i="237"/>
  <c r="K22" i="18"/>
  <c r="BJ19" i="18"/>
  <c r="AE5" i="18"/>
  <c r="I169" i="223"/>
  <c r="E28" i="223"/>
  <c r="L154" i="237"/>
  <c r="N138" i="223"/>
  <c r="BM4" i="18"/>
  <c r="BK24" i="15"/>
  <c r="C101" i="223"/>
  <c r="Q6" i="18"/>
  <c r="N25" i="237"/>
  <c r="AX24" i="15"/>
  <c r="F45" i="237"/>
  <c r="B48" i="14"/>
  <c r="BI26" i="15"/>
  <c r="F116" i="237"/>
  <c r="K184" i="223"/>
  <c r="BK11" i="18"/>
  <c r="D86" i="237"/>
  <c r="AN4" i="18"/>
  <c r="M183" i="223"/>
  <c r="J117" i="237"/>
  <c r="I93" i="223"/>
  <c r="BA30" i="15"/>
  <c r="AP5" i="18"/>
  <c r="M167" i="223"/>
  <c r="J163" i="223"/>
  <c r="M61" i="223"/>
  <c r="AL11" i="18"/>
  <c r="L63" i="223"/>
  <c r="G149" i="237"/>
  <c r="AX19" i="15"/>
  <c r="BA15" i="18"/>
  <c r="N155" i="237"/>
  <c r="Q28" i="15"/>
  <c r="K55" i="223"/>
  <c r="C30" i="237"/>
  <c r="AA21" i="18"/>
  <c r="BA18" i="18"/>
  <c r="G120" i="237"/>
  <c r="D152" i="223"/>
  <c r="M145" i="237"/>
  <c r="AS4" i="18"/>
  <c r="M70" i="237"/>
  <c r="G168" i="237"/>
  <c r="AX9" i="18"/>
  <c r="F188" i="223"/>
  <c r="F40" i="237"/>
  <c r="D171" i="223"/>
  <c r="M145" i="223"/>
  <c r="AM10" i="18"/>
  <c r="Q11" i="18"/>
  <c r="L188" i="223"/>
  <c r="BD6" i="18"/>
  <c r="X28" i="15"/>
  <c r="AD28" i="15"/>
  <c r="Z16" i="18"/>
  <c r="H28" i="237"/>
  <c r="H126" i="223"/>
  <c r="N163" i="223"/>
  <c r="O16" i="18"/>
  <c r="AN14" i="18"/>
  <c r="D135" i="223"/>
  <c r="AE31" i="15"/>
  <c r="G140" i="223"/>
  <c r="B173" i="223"/>
  <c r="AB29" i="15"/>
  <c r="G156" i="223"/>
  <c r="H119" i="237"/>
  <c r="S30" i="15"/>
  <c r="L151" i="223"/>
  <c r="I28" i="237"/>
  <c r="I57" i="223"/>
  <c r="L28" i="237"/>
  <c r="L170" i="237"/>
  <c r="L20" i="18"/>
  <c r="C150" i="223"/>
  <c r="F30" i="237"/>
  <c r="F164" i="223"/>
  <c r="D154" i="223"/>
  <c r="H188" i="223"/>
  <c r="N59" i="223"/>
  <c r="D116" i="237"/>
  <c r="M73" i="237"/>
  <c r="I131" i="237"/>
  <c r="K165" i="237"/>
  <c r="B51" i="14"/>
  <c r="R3" i="18"/>
  <c r="BN23" i="15"/>
  <c r="AS34" i="18"/>
  <c r="AZ17" i="18"/>
  <c r="L161" i="223"/>
  <c r="N130" i="237"/>
  <c r="J28" i="237"/>
  <c r="BI29" i="15"/>
  <c r="BM26" i="15"/>
  <c r="C184" i="223"/>
  <c r="L40" i="223"/>
  <c r="T2" i="18"/>
  <c r="E103" i="237"/>
  <c r="V23" i="15"/>
  <c r="AV11" i="18"/>
  <c r="E167" i="237"/>
  <c r="N29" i="223"/>
  <c r="C188" i="237"/>
  <c r="T28" i="1"/>
  <c r="K46" i="223"/>
  <c r="AM20" i="15"/>
  <c r="J100" i="237"/>
  <c r="N21" i="223"/>
  <c r="B60" i="223"/>
  <c r="Y7" i="18"/>
  <c r="N169" i="237"/>
  <c r="N46" i="237"/>
  <c r="G63" i="237"/>
  <c r="C57" i="237"/>
  <c r="N23" i="237"/>
  <c r="BD28" i="1"/>
  <c r="B122" i="223"/>
  <c r="G188" i="223"/>
  <c r="N187" i="223"/>
  <c r="B79" i="223"/>
  <c r="AK23" i="15"/>
  <c r="AR23" i="15"/>
  <c r="K183" i="223"/>
  <c r="BG34" i="18"/>
  <c r="L152" i="237"/>
  <c r="N164" i="237"/>
  <c r="N46" i="223"/>
  <c r="C164" i="237"/>
  <c r="J30" i="237"/>
  <c r="AB5" i="18"/>
  <c r="F69" i="237"/>
  <c r="AQ11" i="18"/>
  <c r="H74" i="237"/>
  <c r="E147" i="223"/>
  <c r="C89" i="223"/>
  <c r="F163" i="223"/>
  <c r="AX3" i="18"/>
  <c r="X22" i="18"/>
  <c r="H137" i="237"/>
  <c r="B16" i="14"/>
  <c r="H132" i="223"/>
  <c r="L46" i="223"/>
  <c r="G34" i="18"/>
  <c r="K136" i="237"/>
  <c r="L45" i="223"/>
  <c r="B88" i="237"/>
  <c r="E117" i="223"/>
  <c r="E102" i="223"/>
  <c r="H21" i="18"/>
  <c r="I40" i="237"/>
  <c r="M13" i="18"/>
  <c r="BI8" i="18"/>
  <c r="M179" i="237"/>
  <c r="I2" i="1"/>
  <c r="G28" i="223"/>
  <c r="N166" i="237"/>
  <c r="I27" i="15"/>
  <c r="K116" i="223"/>
  <c r="AR21" i="18"/>
  <c r="AC22" i="18"/>
  <c r="BC5" i="18"/>
  <c r="D162" i="223"/>
  <c r="AU21" i="15"/>
  <c r="F152" i="223"/>
  <c r="L150" i="223"/>
  <c r="M138" i="223"/>
  <c r="N20" i="18"/>
  <c r="AX30" i="15"/>
  <c r="G95" i="223"/>
  <c r="I151" i="237"/>
  <c r="K164" i="223"/>
  <c r="F79" i="223"/>
  <c r="N14" i="18"/>
  <c r="D72" i="237"/>
  <c r="BM22" i="15"/>
  <c r="AX19" i="18"/>
  <c r="C186" i="223"/>
  <c r="H75" i="237"/>
  <c r="B46" i="223"/>
  <c r="F165" i="237"/>
  <c r="M151" i="237"/>
  <c r="C54" i="223"/>
  <c r="E88" i="223"/>
  <c r="C100" i="237"/>
  <c r="J154" i="223"/>
  <c r="AB20" i="15"/>
  <c r="BM28" i="15"/>
  <c r="B58" i="14"/>
  <c r="R28" i="15"/>
  <c r="BE8" i="18"/>
  <c r="AK9" i="18"/>
  <c r="AP2" i="1"/>
  <c r="L73" i="223"/>
  <c r="G25" i="223"/>
  <c r="AO5" i="18"/>
  <c r="D156" i="223"/>
  <c r="G67" i="237"/>
  <c r="AY20" i="15"/>
  <c r="J1" i="15"/>
  <c r="Q8" i="18"/>
  <c r="E101" i="237"/>
  <c r="M28" i="15"/>
  <c r="BO29" i="15"/>
  <c r="BN34" i="18"/>
  <c r="BO22" i="15"/>
  <c r="B146" i="237"/>
  <c r="M141" i="223"/>
  <c r="L121" i="237"/>
  <c r="C29" i="1"/>
  <c r="K57" i="237"/>
  <c r="G153" i="237"/>
  <c r="H29" i="223"/>
  <c r="J170" i="237"/>
  <c r="V17" i="18"/>
  <c r="F24" i="223"/>
  <c r="D152" i="237"/>
  <c r="C61" i="223"/>
  <c r="G118" i="223"/>
  <c r="BH21" i="18"/>
  <c r="I18" i="1"/>
  <c r="M22" i="237"/>
  <c r="M180" i="237"/>
  <c r="S29" i="15"/>
  <c r="K149" i="223"/>
  <c r="D90" i="223"/>
  <c r="K179" i="237"/>
  <c r="C54" i="237"/>
  <c r="H38" i="237"/>
  <c r="BJ22" i="18"/>
  <c r="D46" i="223"/>
  <c r="I22" i="15"/>
  <c r="AY34" i="18"/>
  <c r="I72" i="223"/>
  <c r="B53" i="223"/>
  <c r="B25" i="237"/>
  <c r="D131" i="223"/>
  <c r="S4" i="18"/>
  <c r="B140" i="223"/>
  <c r="H33" i="223"/>
  <c r="G60" i="237"/>
  <c r="U28" i="15"/>
  <c r="O12" i="18"/>
  <c r="AR11" i="18"/>
  <c r="G26" i="15"/>
  <c r="M120" i="237"/>
  <c r="L148" i="223"/>
  <c r="E85" i="223"/>
  <c r="K91" i="237"/>
  <c r="I101" i="237"/>
  <c r="M156" i="237"/>
  <c r="AE7" i="18"/>
  <c r="H9" i="18"/>
  <c r="H120" i="237"/>
  <c r="BD20" i="15"/>
  <c r="AT19" i="18"/>
  <c r="BB25" i="15"/>
  <c r="H118" i="223"/>
  <c r="BL10" i="18"/>
  <c r="C152" i="223"/>
  <c r="D68" i="237"/>
  <c r="F68" i="223"/>
  <c r="L55" i="223"/>
  <c r="D166" i="223"/>
  <c r="BV26" i="15"/>
  <c r="BV27" i="15"/>
  <c r="BO21" i="15"/>
  <c r="BM28" i="1"/>
  <c r="AC8" i="18"/>
  <c r="BG2" i="18"/>
  <c r="BF15" i="18"/>
  <c r="D102" i="223"/>
  <c r="BK21" i="18"/>
  <c r="E136" i="223"/>
  <c r="K60" i="223"/>
  <c r="C63" i="237"/>
  <c r="BP30" i="15"/>
  <c r="AS7" i="18"/>
  <c r="K58" i="223"/>
  <c r="BG24" i="15"/>
  <c r="I137" i="223"/>
  <c r="L133" i="237"/>
  <c r="I172" i="223"/>
  <c r="C72" i="237"/>
  <c r="G124" i="237"/>
  <c r="L25" i="237"/>
  <c r="C33" i="223"/>
  <c r="I124" i="237"/>
  <c r="F139" i="237"/>
  <c r="BB5" i="18"/>
  <c r="B145" i="237"/>
  <c r="D85" i="237"/>
  <c r="N164" i="223"/>
  <c r="AF22" i="18"/>
  <c r="L116" i="237"/>
  <c r="BG10" i="18"/>
  <c r="I68" i="237"/>
  <c r="J162" i="237"/>
  <c r="AY8" i="18"/>
  <c r="BD22" i="15"/>
  <c r="D181" i="223"/>
  <c r="K120" i="237"/>
  <c r="AH34" i="18"/>
  <c r="M10" i="18"/>
  <c r="I55" i="223"/>
  <c r="AP18" i="18"/>
  <c r="L72" i="223"/>
  <c r="G37" i="237"/>
  <c r="B25" i="14"/>
  <c r="H4" i="18"/>
  <c r="M7" i="18"/>
  <c r="M172" i="237"/>
  <c r="K139" i="223"/>
  <c r="H85" i="223"/>
  <c r="B27" i="223"/>
  <c r="S24" i="15"/>
  <c r="N171" i="237"/>
  <c r="B44" i="223"/>
  <c r="F22" i="223"/>
  <c r="BN6" i="18"/>
  <c r="AN18" i="18"/>
  <c r="D100" i="237"/>
  <c r="AL5" i="18"/>
  <c r="BE9" i="18"/>
  <c r="J125" i="223"/>
  <c r="C166" i="223"/>
  <c r="M27" i="15"/>
  <c r="AK4" i="18"/>
  <c r="B119" i="237"/>
  <c r="Z20" i="18"/>
  <c r="N132" i="223"/>
  <c r="BB15" i="18"/>
  <c r="J2" i="1"/>
  <c r="BF3" i="18"/>
  <c r="BT22" i="15"/>
  <c r="G70" i="223"/>
  <c r="C87" i="237"/>
  <c r="AE3" i="18"/>
  <c r="B68" i="223"/>
  <c r="W15" i="18"/>
  <c r="G119" i="223"/>
  <c r="J120" i="223"/>
  <c r="K61" i="223"/>
  <c r="I139" i="237"/>
  <c r="L88" i="237"/>
  <c r="H141" i="223"/>
  <c r="N165" i="237"/>
  <c r="F100" i="237"/>
  <c r="AX12" i="18"/>
  <c r="M135" i="237"/>
  <c r="D62" i="223"/>
  <c r="BN16" i="18"/>
  <c r="AG10" i="18"/>
  <c r="O21" i="18"/>
  <c r="J68" i="223"/>
  <c r="BH30" i="15"/>
  <c r="M94" i="237"/>
  <c r="BH17" i="18"/>
  <c r="G95" i="237"/>
  <c r="AJ10" i="18"/>
  <c r="AR22" i="15"/>
  <c r="C89" i="237"/>
  <c r="D135" i="237"/>
  <c r="Y11" i="18"/>
  <c r="J21" i="15"/>
  <c r="I8" i="18"/>
  <c r="O28" i="15"/>
  <c r="K91" i="223"/>
  <c r="S23" i="15"/>
  <c r="AX4" i="18"/>
  <c r="M74" i="237"/>
  <c r="B103" i="223"/>
  <c r="T25" i="15"/>
  <c r="H136" i="223"/>
  <c r="Q21" i="18"/>
  <c r="K2" i="1"/>
  <c r="D29" i="223"/>
  <c r="BF18" i="18"/>
  <c r="D121" i="223"/>
  <c r="B43" i="14"/>
  <c r="D138" i="237"/>
  <c r="C83" i="237"/>
  <c r="J173" i="237"/>
  <c r="K150" i="223"/>
  <c r="AG23" i="15"/>
  <c r="B17" i="14"/>
  <c r="P13" i="18"/>
  <c r="AG31" i="15"/>
  <c r="L95" i="237"/>
  <c r="BU21" i="15"/>
  <c r="BA3" i="18"/>
  <c r="B30" i="14"/>
  <c r="AP21" i="15"/>
  <c r="N4" i="18"/>
  <c r="K78" i="223"/>
  <c r="D180" i="237"/>
  <c r="P31" i="15"/>
  <c r="E83" i="223"/>
  <c r="K131" i="237"/>
  <c r="AJ22" i="18"/>
  <c r="F183" i="223"/>
  <c r="E59" i="237"/>
  <c r="AK10" i="18"/>
  <c r="Q19" i="15"/>
  <c r="P2" i="1"/>
  <c r="AW19" i="15"/>
  <c r="T3" i="18"/>
  <c r="E165" i="237"/>
  <c r="AH24" i="15"/>
  <c r="Y29" i="15"/>
  <c r="B69" i="223"/>
  <c r="C46" i="223"/>
  <c r="I130" i="223"/>
  <c r="K75" i="237"/>
  <c r="F151" i="237"/>
  <c r="C171" i="237"/>
  <c r="AJ16" i="18"/>
  <c r="AH22" i="18"/>
  <c r="L31" i="237"/>
  <c r="H44" i="237"/>
  <c r="B166" i="223"/>
  <c r="F46" i="223"/>
  <c r="I78" i="237"/>
  <c r="J33" i="223"/>
  <c r="L101" i="223"/>
  <c r="B167" i="223"/>
  <c r="AX20" i="15"/>
  <c r="K162" i="223"/>
  <c r="BC19" i="18"/>
  <c r="D87" i="237"/>
  <c r="F70" i="237"/>
  <c r="Z19" i="18"/>
  <c r="C87" i="223"/>
  <c r="AD20" i="15"/>
  <c r="L100" i="237"/>
  <c r="K183" i="237"/>
  <c r="E80" i="223"/>
  <c r="AB3" i="18"/>
  <c r="AY21" i="18"/>
  <c r="H116" i="237"/>
  <c r="L55" i="237"/>
  <c r="AD3" i="18"/>
  <c r="P14" i="18"/>
  <c r="AF24" i="15"/>
  <c r="F29" i="237"/>
  <c r="G62" i="223"/>
  <c r="G22" i="237"/>
  <c r="H154" i="223"/>
  <c r="AR29" i="15"/>
  <c r="I131" i="223"/>
  <c r="C117" i="237"/>
  <c r="L118" i="237"/>
  <c r="E146" i="237"/>
  <c r="AB2" i="1"/>
  <c r="T30" i="15"/>
  <c r="B77" i="237"/>
  <c r="D84" i="223"/>
  <c r="AR20" i="18"/>
  <c r="C181" i="223"/>
  <c r="E73" i="237"/>
  <c r="AA2" i="1"/>
  <c r="BO25" i="15"/>
  <c r="N173" i="223"/>
  <c r="M187" i="237"/>
  <c r="J59" i="223"/>
  <c r="H56" i="223"/>
  <c r="F171" i="237"/>
  <c r="AH20" i="18"/>
  <c r="Z26" i="15"/>
  <c r="C38" i="237"/>
  <c r="K76" i="223"/>
  <c r="T21" i="15"/>
  <c r="AW11" i="18"/>
  <c r="O20" i="18"/>
  <c r="L167" i="223"/>
  <c r="T28" i="15"/>
  <c r="BG27" i="15"/>
  <c r="N25" i="223"/>
  <c r="J147" i="223"/>
  <c r="N184" i="237"/>
  <c r="G103" i="223"/>
  <c r="I24" i="15"/>
  <c r="B156" i="237"/>
  <c r="C27" i="237"/>
  <c r="G61" i="223"/>
  <c r="E54" i="237"/>
  <c r="AV19" i="18"/>
  <c r="AO7" i="18"/>
  <c r="AQ16" i="18"/>
  <c r="B46" i="237"/>
  <c r="H88" i="223"/>
  <c r="G12" i="18"/>
  <c r="M20" i="18"/>
  <c r="B164" i="223"/>
  <c r="K101" i="223"/>
  <c r="I92" i="223"/>
  <c r="I140" i="237"/>
  <c r="K94" i="223"/>
  <c r="F124" i="237"/>
  <c r="AC9" i="18"/>
  <c r="G147" i="223"/>
  <c r="AL12" i="18"/>
  <c r="K179" i="223"/>
  <c r="H126" i="237"/>
  <c r="E61" i="237"/>
  <c r="AU7" i="18"/>
  <c r="I44" i="237"/>
  <c r="L102" i="237"/>
  <c r="B135" i="223"/>
  <c r="K148" i="223"/>
  <c r="F168" i="237"/>
  <c r="D78" i="237"/>
  <c r="K152" i="223"/>
  <c r="E150" i="237"/>
  <c r="L71" i="237"/>
  <c r="BF7" i="18"/>
  <c r="J188" i="223"/>
  <c r="T19" i="18"/>
  <c r="B136" i="223"/>
  <c r="AL9" i="18"/>
  <c r="AA11" i="18"/>
  <c r="K188" i="237"/>
  <c r="BO19" i="15"/>
  <c r="BL30" i="15"/>
  <c r="AP14" i="18"/>
  <c r="F120" i="237"/>
  <c r="B33" i="223"/>
  <c r="G84" i="223"/>
  <c r="I167" i="237"/>
  <c r="J153" i="237"/>
  <c r="C95" i="237"/>
  <c r="C133" i="223"/>
  <c r="H27" i="237"/>
  <c r="B162" i="223"/>
  <c r="BH25" i="15"/>
  <c r="C33" i="237"/>
  <c r="BI17" i="18"/>
  <c r="AT20" i="15"/>
  <c r="L38" i="237"/>
  <c r="K119" i="237"/>
  <c r="M56" i="237"/>
  <c r="J166" i="237"/>
  <c r="F67" i="237"/>
  <c r="AZ15" i="18"/>
  <c r="BE24" i="15"/>
  <c r="M24" i="223"/>
  <c r="L2" i="14"/>
  <c r="C84" i="237"/>
  <c r="BJ16" i="18"/>
  <c r="L94" i="237"/>
  <c r="M126" i="223"/>
  <c r="D116" i="223"/>
  <c r="E123" i="237"/>
  <c r="J168" i="223"/>
  <c r="AF20" i="18"/>
  <c r="G80" i="223"/>
  <c r="N118" i="223"/>
  <c r="F91" i="237"/>
  <c r="Y31" i="15"/>
  <c r="U21" i="15"/>
  <c r="K32" i="237"/>
  <c r="AM9" i="18"/>
  <c r="J95" i="237"/>
  <c r="AW23" i="15"/>
  <c r="C122" i="237"/>
  <c r="C183" i="237"/>
  <c r="E76" i="223"/>
  <c r="L171" i="237"/>
  <c r="I5" i="18"/>
  <c r="G86" i="223"/>
  <c r="K151" i="223"/>
  <c r="L9" i="18"/>
  <c r="N92" i="223"/>
  <c r="I28" i="15"/>
  <c r="D73" i="237"/>
  <c r="H90" i="237"/>
  <c r="B45" i="223"/>
  <c r="E148" i="223"/>
  <c r="BS25" i="15"/>
  <c r="K26" i="223"/>
  <c r="I21" i="237"/>
  <c r="BE31" i="15"/>
  <c r="BB28" i="15"/>
  <c r="H68" i="237"/>
  <c r="Y3" i="18"/>
  <c r="K17" i="18"/>
  <c r="BA24" i="15"/>
  <c r="BC14" i="18"/>
  <c r="G59" i="223"/>
  <c r="G39" i="223"/>
  <c r="AN8" i="18"/>
  <c r="BV25" i="15"/>
  <c r="AP31" i="15"/>
  <c r="I79" i="223"/>
  <c r="D45" i="223"/>
  <c r="AT28" i="1"/>
  <c r="F167" i="237"/>
  <c r="AX28" i="1"/>
  <c r="K79" i="237"/>
  <c r="K186" i="223"/>
  <c r="K77" i="223"/>
  <c r="P21" i="18"/>
  <c r="I170" i="223"/>
  <c r="BC28" i="15"/>
  <c r="N72" i="223"/>
  <c r="AM2" i="18"/>
  <c r="N154" i="237"/>
  <c r="H149" i="223"/>
  <c r="X23" i="15"/>
  <c r="AM20" i="18"/>
  <c r="I4" i="18"/>
  <c r="BB27" i="15"/>
  <c r="F23" i="223"/>
  <c r="C132" i="223"/>
  <c r="L120" i="237"/>
  <c r="L139" i="237"/>
  <c r="D25" i="237"/>
  <c r="D185" i="237"/>
  <c r="D136" i="223"/>
  <c r="C20" i="223"/>
  <c r="F125" i="223"/>
  <c r="G101" i="223"/>
  <c r="AA14" i="18"/>
  <c r="D55" i="223"/>
  <c r="D148" i="223"/>
  <c r="BF16" i="18"/>
  <c r="D137" i="237"/>
  <c r="N40" i="237"/>
  <c r="G133" i="223"/>
  <c r="Y2" i="18"/>
  <c r="D75" i="223"/>
  <c r="M67" i="237"/>
  <c r="K122" i="223"/>
  <c r="G16" i="18"/>
  <c r="AC15" i="18"/>
  <c r="AK20" i="18"/>
  <c r="G57" i="237"/>
  <c r="N137" i="223"/>
  <c r="N24" i="223"/>
  <c r="BF2" i="18"/>
  <c r="W24" i="15"/>
  <c r="B169" i="237"/>
  <c r="C171" i="223"/>
  <c r="D24" i="237"/>
  <c r="BE28" i="1"/>
  <c r="B115" i="237"/>
  <c r="N41" i="237"/>
  <c r="J151" i="237"/>
  <c r="F189" i="223"/>
  <c r="D163" i="223"/>
  <c r="AY24" i="15"/>
  <c r="H37" i="237"/>
  <c r="R22" i="18"/>
  <c r="G151" i="237"/>
  <c r="D103" i="223"/>
  <c r="C72" i="223"/>
  <c r="G120" i="223"/>
  <c r="C53" i="237"/>
  <c r="O7" i="18"/>
  <c r="L7" i="14"/>
  <c r="E131" i="237"/>
  <c r="AN30" i="15"/>
  <c r="AM18" i="18"/>
  <c r="J30" i="15"/>
  <c r="I182" i="223"/>
  <c r="I75" i="223"/>
  <c r="AD27" i="15"/>
  <c r="M86" i="223"/>
  <c r="G45" i="237"/>
  <c r="V25" i="15"/>
  <c r="L93" i="223"/>
  <c r="F31" i="237"/>
  <c r="L155" i="223"/>
  <c r="AT29" i="15"/>
  <c r="C147" i="237"/>
  <c r="BF23" i="15"/>
  <c r="AZ16" i="18"/>
  <c r="BD5" i="18"/>
  <c r="G123" i="237"/>
  <c r="C125" i="223"/>
  <c r="L5" i="14"/>
  <c r="M30" i="223"/>
  <c r="BH26" i="15"/>
  <c r="J62" i="237"/>
  <c r="AC5" i="18"/>
  <c r="BH18" i="18"/>
  <c r="F115" i="223"/>
  <c r="I119" i="223"/>
  <c r="F103" i="237"/>
  <c r="B180" i="237"/>
  <c r="L137" i="237"/>
  <c r="H141" i="237"/>
  <c r="H12" i="18"/>
  <c r="AD2" i="1"/>
  <c r="N73" i="237"/>
  <c r="F55" i="223"/>
  <c r="I74" i="223"/>
  <c r="N21" i="237"/>
  <c r="BJ25" i="15"/>
  <c r="C30" i="223"/>
  <c r="I2" i="14"/>
  <c r="H89" i="223"/>
  <c r="C76" i="223"/>
  <c r="BK27" i="15"/>
  <c r="BL20" i="15"/>
  <c r="J147" i="237"/>
  <c r="AK34" i="18"/>
  <c r="E57" i="223"/>
  <c r="I3" i="18"/>
  <c r="N117" i="237"/>
  <c r="BH24" i="15"/>
  <c r="G5" i="18"/>
  <c r="I172" i="237"/>
  <c r="Y14" i="18"/>
  <c r="AN15" i="18"/>
  <c r="BT19" i="15"/>
  <c r="D62" i="237"/>
  <c r="AO2" i="1"/>
  <c r="AC30" i="15"/>
  <c r="N63" i="237"/>
  <c r="O14" i="18"/>
  <c r="BK28" i="1"/>
  <c r="N21" i="18"/>
  <c r="H184" i="223"/>
  <c r="F134" i="223"/>
  <c r="I9" i="1"/>
  <c r="L103" i="223"/>
  <c r="AW13" i="18"/>
  <c r="J22" i="15"/>
  <c r="AN9" i="18"/>
  <c r="AZ19" i="18"/>
  <c r="L126" i="223"/>
  <c r="L122" i="237"/>
  <c r="N189" i="237"/>
  <c r="F16" i="1"/>
  <c r="I130" i="237"/>
  <c r="J127" i="237"/>
  <c r="J130" i="237"/>
  <c r="F148" i="237"/>
  <c r="J67" i="237"/>
  <c r="C123" i="223"/>
  <c r="C146" i="223"/>
  <c r="M165" i="223"/>
  <c r="BM24" i="15"/>
  <c r="H42" i="237"/>
  <c r="M168" i="223"/>
  <c r="T26" i="15"/>
  <c r="L170" i="223"/>
  <c r="F33" i="223"/>
  <c r="H93" i="223"/>
  <c r="W6" i="18"/>
  <c r="C123" i="237"/>
  <c r="M76" i="237"/>
  <c r="AT8" i="18"/>
  <c r="F185" i="237"/>
  <c r="K103" i="237"/>
  <c r="AV25" i="15"/>
  <c r="G167" i="237"/>
  <c r="I41" i="223"/>
  <c r="F39" i="223"/>
  <c r="I21" i="1"/>
  <c r="I6" i="18"/>
  <c r="F139" i="223"/>
  <c r="F126" i="223"/>
  <c r="L34" i="18"/>
  <c r="F127" i="237"/>
  <c r="N58" i="223"/>
  <c r="X11" i="18"/>
  <c r="H72" i="223"/>
  <c r="M155" i="237"/>
  <c r="D43" i="237"/>
  <c r="G140" i="237"/>
  <c r="E169" i="237"/>
  <c r="AH21" i="18"/>
  <c r="I188" i="223"/>
  <c r="AK28" i="1"/>
  <c r="R4" i="18"/>
  <c r="M188" i="237"/>
  <c r="K79" i="223"/>
  <c r="BG11" i="18"/>
  <c r="F60" i="223"/>
  <c r="J2" i="18"/>
  <c r="BB2" i="1"/>
  <c r="BR20" i="15"/>
  <c r="BN25" i="15"/>
  <c r="M43" i="237"/>
  <c r="BV24" i="15"/>
  <c r="T17" i="18"/>
  <c r="AM22" i="18"/>
  <c r="K130" i="237"/>
  <c r="AF21" i="18"/>
  <c r="BI12" i="18"/>
  <c r="D156" i="237"/>
  <c r="K132" i="237"/>
  <c r="B76" i="237"/>
  <c r="Y30" i="15"/>
  <c r="AN21" i="18"/>
  <c r="BN11" i="18"/>
  <c r="J103" i="237"/>
  <c r="AQ22" i="15"/>
  <c r="BJ11" i="18"/>
  <c r="H86" i="223"/>
  <c r="L134" i="223"/>
  <c r="G33" i="223"/>
  <c r="AF27" i="15"/>
  <c r="Y22" i="18"/>
  <c r="K189" i="223"/>
  <c r="I85" i="223"/>
  <c r="B164" i="237"/>
  <c r="Q20" i="15"/>
  <c r="J87" i="237"/>
  <c r="B168" i="223"/>
  <c r="K21" i="237"/>
  <c r="L173" i="237"/>
  <c r="E122" i="237"/>
  <c r="AP3" i="18"/>
  <c r="N78" i="223"/>
  <c r="G100" i="223"/>
  <c r="D101" i="237"/>
  <c r="I61" i="237"/>
  <c r="J141" i="223"/>
  <c r="BK26" i="15"/>
  <c r="L58" i="223"/>
  <c r="AS30" i="15"/>
  <c r="AU2" i="18"/>
  <c r="AS31" i="15"/>
  <c r="J145" i="223"/>
  <c r="BK34" i="18"/>
  <c r="AZ9" i="18"/>
  <c r="L42" i="237"/>
  <c r="G13" i="18"/>
  <c r="I92" i="237"/>
  <c r="M119" i="223"/>
  <c r="C24" i="223"/>
  <c r="I186" i="237"/>
  <c r="AC18" i="18"/>
  <c r="N13" i="18"/>
  <c r="J137" i="237"/>
  <c r="C28" i="237"/>
  <c r="F123" i="223"/>
  <c r="AF30" i="15"/>
  <c r="AK7" i="18"/>
  <c r="AD5" i="18"/>
  <c r="D57" i="237"/>
  <c r="P5" i="18"/>
  <c r="BF2" i="1"/>
  <c r="P25" i="15"/>
  <c r="AK3" i="18"/>
  <c r="AL24" i="15"/>
  <c r="M45" i="223"/>
  <c r="D67" i="223"/>
  <c r="N127" i="223"/>
  <c r="N116" i="223"/>
  <c r="I42" i="237"/>
  <c r="H187" i="223"/>
  <c r="C165" i="237"/>
  <c r="K72" i="223"/>
  <c r="P28" i="1"/>
  <c r="V28" i="1"/>
  <c r="V31" i="15"/>
  <c r="H75" i="223"/>
  <c r="BC21" i="18"/>
  <c r="AY7" i="18"/>
  <c r="W34" i="18"/>
  <c r="D118" i="223"/>
  <c r="I45" i="237"/>
  <c r="K31" i="223"/>
  <c r="F17" i="1"/>
  <c r="N120" i="223"/>
  <c r="H169" i="223"/>
  <c r="F130" i="223"/>
  <c r="G58" i="237"/>
  <c r="M156" i="223"/>
  <c r="W21" i="18"/>
  <c r="R15" i="18"/>
  <c r="L118" i="223"/>
  <c r="BD28" i="15"/>
  <c r="Z11" i="18"/>
  <c r="M154" i="237"/>
  <c r="G86" i="237"/>
  <c r="Y20" i="15"/>
  <c r="AS29" i="15"/>
  <c r="N92" i="237"/>
  <c r="T13" i="18"/>
  <c r="AL8" i="18"/>
  <c r="X10" i="18"/>
  <c r="AD9" i="18"/>
  <c r="N60" i="237"/>
  <c r="C93" i="18"/>
  <c r="Z21" i="18"/>
  <c r="H103" i="223"/>
  <c r="AK22" i="18"/>
  <c r="M27" i="223"/>
  <c r="AU18" i="18"/>
  <c r="B139" i="223"/>
  <c r="F121" i="223"/>
  <c r="L136" i="237"/>
  <c r="E123" i="223"/>
  <c r="J179" i="223"/>
  <c r="K57" i="223"/>
  <c r="N41" i="223"/>
  <c r="H46" i="223"/>
  <c r="BG31" i="15"/>
  <c r="N78" i="237"/>
  <c r="L27" i="223"/>
  <c r="L25" i="223"/>
  <c r="T19" i="15"/>
  <c r="J88" i="237"/>
  <c r="BN13" i="18"/>
  <c r="AU22" i="18"/>
  <c r="L183" i="237"/>
  <c r="L134" i="237"/>
  <c r="I162" i="237"/>
  <c r="AR5" i="18"/>
  <c r="K19" i="18"/>
  <c r="AC12" i="18"/>
  <c r="M53" i="223"/>
  <c r="G20" i="223"/>
  <c r="K27" i="15"/>
  <c r="Z19" i="15"/>
  <c r="H145" i="223"/>
  <c r="L37" i="237"/>
  <c r="F32" i="223"/>
  <c r="Q9" i="18"/>
  <c r="C126" i="223"/>
  <c r="B47" i="14"/>
  <c r="AR8" i="18"/>
  <c r="X25" i="15"/>
  <c r="AM8" i="18"/>
  <c r="K14" i="18"/>
  <c r="L12" i="18"/>
  <c r="AK30" i="15"/>
  <c r="G93" i="223"/>
  <c r="BB30" i="15"/>
  <c r="F89" i="237"/>
  <c r="AM30" i="15"/>
  <c r="F134" i="237"/>
  <c r="D60" i="237"/>
  <c r="AF9" i="18"/>
  <c r="AN23" i="15"/>
  <c r="D40" i="223"/>
  <c r="AV8" i="18"/>
  <c r="C41" i="223"/>
  <c r="R29" i="15"/>
  <c r="G43" i="223"/>
  <c r="J100" i="223"/>
  <c r="I151" i="223"/>
  <c r="D59" i="223"/>
  <c r="H131" i="237"/>
  <c r="D187" i="237"/>
  <c r="F156" i="237"/>
  <c r="B10" i="185"/>
  <c r="AB28" i="15"/>
  <c r="C140" i="237"/>
  <c r="AU28" i="15"/>
  <c r="I139" i="223"/>
  <c r="N3" i="18"/>
  <c r="M189" i="237"/>
  <c r="N86" i="237"/>
  <c r="N148" i="237"/>
  <c r="I9" i="18"/>
  <c r="AI31" i="15"/>
  <c r="M16" i="18"/>
  <c r="AC20" i="18"/>
  <c r="Z4" i="18"/>
  <c r="K53" i="223"/>
  <c r="AK6" i="18"/>
  <c r="AH10" i="18"/>
  <c r="E130" i="223"/>
  <c r="AQ2" i="18"/>
  <c r="N44" i="237"/>
  <c r="M29" i="15"/>
  <c r="H63" i="223"/>
  <c r="B153" i="237"/>
  <c r="AC25" i="15"/>
  <c r="AX2" i="18"/>
  <c r="F74" i="223"/>
  <c r="B161" i="223"/>
  <c r="AH27" i="15"/>
  <c r="H11" i="18"/>
  <c r="D46" i="237"/>
  <c r="BP24" i="15"/>
  <c r="C58" i="237"/>
  <c r="H184" i="237"/>
  <c r="H27" i="15"/>
  <c r="N131" i="223"/>
  <c r="K26" i="15"/>
  <c r="AA30" i="15"/>
  <c r="M45" i="237"/>
  <c r="L182" i="237"/>
  <c r="AQ10" i="18"/>
  <c r="AG27" i="15"/>
  <c r="I88" i="223"/>
  <c r="AU4" i="18"/>
  <c r="K2" i="18"/>
  <c r="AU29" i="15"/>
  <c r="AY12" i="18"/>
  <c r="J91" i="223"/>
  <c r="BD16" i="18"/>
  <c r="C86" i="223"/>
  <c r="BA8" i="18"/>
  <c r="H185" i="237"/>
  <c r="G89" i="223"/>
  <c r="AQ4" i="18"/>
  <c r="H31" i="15"/>
  <c r="N88" i="237"/>
  <c r="AQ18" i="18"/>
  <c r="E78" i="237"/>
  <c r="AY11" i="18"/>
  <c r="AR30" i="15"/>
  <c r="B70" i="237"/>
  <c r="I34" i="18"/>
  <c r="E115" i="237"/>
  <c r="AG6" i="18"/>
  <c r="E165" i="223"/>
  <c r="D173" i="237"/>
  <c r="G41" i="237"/>
  <c r="J130" i="223"/>
  <c r="W28" i="15"/>
  <c r="BI27" i="15"/>
  <c r="C41" i="237"/>
  <c r="H26" i="15"/>
  <c r="K182" i="223"/>
  <c r="N119" i="237"/>
  <c r="H139" i="223"/>
  <c r="I21" i="15"/>
  <c r="H94" i="223"/>
  <c r="Y19" i="15"/>
  <c r="E141" i="237"/>
  <c r="AT11" i="18"/>
  <c r="M23" i="223"/>
  <c r="K62" i="237"/>
  <c r="E20" i="223"/>
  <c r="BP21" i="15"/>
  <c r="K163" i="223"/>
  <c r="M134" i="223"/>
  <c r="AE6" i="18"/>
  <c r="L19" i="15"/>
  <c r="N33" i="223"/>
  <c r="C148" i="223"/>
  <c r="K7" i="18"/>
  <c r="AY19" i="18"/>
  <c r="K85" i="223"/>
  <c r="BF9" i="18"/>
  <c r="C163" i="237"/>
  <c r="J28" i="15"/>
  <c r="N57" i="237"/>
  <c r="J126" i="237"/>
  <c r="I83" i="223"/>
  <c r="H23" i="223"/>
  <c r="AV3" i="18"/>
  <c r="C51" i="18"/>
  <c r="V4" i="18"/>
  <c r="BB6" i="18"/>
  <c r="BC22" i="18"/>
  <c r="AZ26" i="15"/>
  <c r="K55" i="237"/>
  <c r="B37" i="18"/>
  <c r="AZ12" i="18"/>
  <c r="AS26" i="15"/>
  <c r="E23" i="223"/>
  <c r="AA18" i="18"/>
  <c r="BK30" i="15"/>
  <c r="BA4" i="18"/>
  <c r="K155" i="223"/>
  <c r="O15" i="18"/>
  <c r="F118" i="237"/>
  <c r="AP2" i="18"/>
  <c r="F86" i="237"/>
  <c r="I58" i="237"/>
  <c r="X16" i="18"/>
  <c r="U10" i="18"/>
  <c r="K34" i="18"/>
  <c r="E76" i="237"/>
  <c r="J83" i="223"/>
  <c r="N30" i="15"/>
  <c r="AL16" i="18"/>
  <c r="AQ15" i="18"/>
  <c r="BG26" i="15"/>
  <c r="O5" i="18"/>
  <c r="J183" i="223"/>
  <c r="B20" i="237"/>
  <c r="D100" i="223"/>
  <c r="B121" i="223"/>
  <c r="M124" i="237"/>
  <c r="AP6" i="18"/>
  <c r="D134" i="223"/>
  <c r="V21" i="18"/>
  <c r="I70" i="223"/>
  <c r="K54" i="237"/>
  <c r="BB31" i="15"/>
  <c r="M93" i="237"/>
  <c r="X19" i="18"/>
  <c r="J45" i="237"/>
  <c r="K95" i="223"/>
  <c r="J135" i="237"/>
  <c r="U20" i="18"/>
  <c r="AO9" i="18"/>
  <c r="K58" i="237"/>
  <c r="F161" i="223"/>
  <c r="B31" i="223"/>
  <c r="H85" i="237"/>
  <c r="G83" i="223"/>
  <c r="J123" i="223"/>
  <c r="N134" i="223"/>
  <c r="K28" i="15"/>
  <c r="B24" i="237"/>
  <c r="B188" i="223"/>
  <c r="K188" i="223"/>
  <c r="I16" i="18"/>
  <c r="N5" i="18"/>
  <c r="G7" i="18"/>
  <c r="BA14" i="18"/>
  <c r="H83" i="237"/>
  <c r="AW5" i="18"/>
  <c r="BL3" i="18"/>
  <c r="J101" i="223"/>
  <c r="M21" i="18"/>
  <c r="AY27" i="15"/>
  <c r="I154" i="223"/>
  <c r="D29" i="237"/>
  <c r="L100" i="223"/>
  <c r="AV2" i="18"/>
  <c r="E160" i="237"/>
  <c r="J23" i="15"/>
  <c r="AA8" i="18"/>
  <c r="T4" i="18"/>
  <c r="M87" i="237"/>
  <c r="M60" i="223"/>
  <c r="E147" i="237"/>
  <c r="J24" i="223"/>
  <c r="B151" i="237"/>
  <c r="AV22" i="15"/>
  <c r="H29" i="237"/>
  <c r="AT31" i="15"/>
  <c r="E169" i="223"/>
  <c r="U19" i="18"/>
  <c r="G74" i="237"/>
  <c r="K171" i="237"/>
  <c r="B69" i="237"/>
  <c r="H86" i="237"/>
  <c r="K132" i="223"/>
  <c r="AH25" i="15"/>
  <c r="I166" i="223"/>
  <c r="BA34" i="18"/>
  <c r="B94" i="237"/>
  <c r="D153" i="223"/>
  <c r="S25" i="15"/>
  <c r="D170" i="237"/>
  <c r="BK7" i="18"/>
  <c r="BD2" i="1"/>
  <c r="F148" i="223"/>
  <c r="BE21" i="18"/>
  <c r="H43" i="223"/>
  <c r="BL12" i="18"/>
  <c r="D79" i="237"/>
  <c r="B186" i="237"/>
  <c r="L80" i="237"/>
  <c r="M41" i="223"/>
  <c r="L92" i="223"/>
  <c r="AS16" i="18"/>
  <c r="G70" i="237"/>
  <c r="BL5" i="18"/>
  <c r="F57" i="237"/>
  <c r="E120" i="237"/>
  <c r="AI2" i="18"/>
  <c r="AF23" i="15"/>
  <c r="AE27" i="15"/>
  <c r="AQ27" i="15"/>
  <c r="AM26" i="15"/>
  <c r="I140" i="223"/>
  <c r="L20" i="223"/>
  <c r="D39" i="223"/>
  <c r="O31" i="15"/>
  <c r="C180" i="237"/>
  <c r="X27" i="15"/>
  <c r="B148" i="223"/>
  <c r="S9" i="18"/>
  <c r="H164" i="223"/>
  <c r="K11" i="18"/>
  <c r="AJ6" i="18"/>
  <c r="I103" i="237"/>
  <c r="J171" i="223"/>
  <c r="C21" i="237"/>
  <c r="Z3" i="18"/>
  <c r="N28" i="1"/>
  <c r="J137" i="223"/>
  <c r="BD26" i="15"/>
  <c r="C39" i="223"/>
  <c r="AG12" i="18"/>
  <c r="B27" i="14"/>
  <c r="AQ31" i="15"/>
  <c r="G121" i="237"/>
  <c r="U18" i="18"/>
  <c r="I22" i="237"/>
  <c r="H6" i="18"/>
  <c r="AP26" i="15"/>
  <c r="BD24" i="15"/>
  <c r="B95" i="223"/>
  <c r="N61" i="223"/>
  <c r="BJ10" i="18"/>
  <c r="BR29" i="15"/>
  <c r="BQ25" i="15"/>
  <c r="I59" i="237"/>
  <c r="G32" i="223"/>
  <c r="BK8" i="18"/>
  <c r="M4" i="18"/>
  <c r="AT22" i="15"/>
  <c r="O2" i="1"/>
  <c r="U28" i="1"/>
  <c r="B127" i="223"/>
  <c r="H45" i="223"/>
  <c r="M19" i="18"/>
  <c r="AS5" i="18"/>
  <c r="G83" i="237"/>
  <c r="C102" i="237"/>
  <c r="E134" i="237"/>
  <c r="AH22" i="15"/>
  <c r="R34" i="18"/>
  <c r="AP20" i="18"/>
  <c r="H19" i="18"/>
  <c r="B131" i="237"/>
  <c r="F84" i="237"/>
  <c r="B138" i="223"/>
  <c r="F12" i="1"/>
  <c r="L188" i="237"/>
  <c r="J11" i="18"/>
  <c r="BT23" i="15"/>
  <c r="BJ15" i="18"/>
  <c r="F167" i="223"/>
  <c r="AK26" i="15"/>
  <c r="G115" i="237"/>
  <c r="B163" i="223"/>
  <c r="BK4" i="18"/>
  <c r="M22" i="15"/>
  <c r="V2" i="1"/>
  <c r="S16" i="18"/>
  <c r="B56" i="14"/>
  <c r="K168" i="237"/>
  <c r="H23" i="15"/>
  <c r="I164" i="223"/>
  <c r="AL14" i="18"/>
  <c r="AI27" i="15"/>
  <c r="M57" i="223"/>
  <c r="BI19" i="15"/>
  <c r="E42" i="237"/>
  <c r="I70" i="237"/>
  <c r="F153" i="237"/>
  <c r="L169" i="223"/>
  <c r="C172" i="223"/>
  <c r="AK12" i="18"/>
  <c r="AI20" i="18"/>
  <c r="X19" i="15"/>
  <c r="J152" i="223"/>
  <c r="AV4" i="18"/>
  <c r="P30" i="15"/>
  <c r="AQ21" i="15"/>
  <c r="B12" i="14"/>
  <c r="J169" i="223"/>
  <c r="BK19" i="15"/>
  <c r="M152" i="237"/>
  <c r="BP27" i="15"/>
  <c r="BM21" i="15"/>
  <c r="L45" i="237"/>
  <c r="BA13" i="18"/>
  <c r="Q4" i="18"/>
  <c r="F93" i="237"/>
  <c r="M69" i="237"/>
  <c r="AJ24" i="15"/>
  <c r="AZ3" i="18"/>
  <c r="F55" i="237"/>
  <c r="D133" i="237"/>
  <c r="H171" i="237"/>
  <c r="AA6" i="18"/>
  <c r="F62" i="223"/>
  <c r="I189" i="237"/>
  <c r="AS27" i="15"/>
  <c r="D75" i="237"/>
  <c r="J150" i="223"/>
  <c r="AD19" i="18"/>
  <c r="R20" i="18"/>
  <c r="D59" i="237"/>
  <c r="AH2" i="18"/>
  <c r="M173" i="223"/>
  <c r="AY22" i="18"/>
  <c r="E127" i="223"/>
  <c r="J84" i="237"/>
  <c r="D94" i="223"/>
  <c r="K152" i="237"/>
  <c r="T31" i="15"/>
  <c r="AB24" i="15"/>
  <c r="M78" i="223"/>
  <c r="N134" i="237"/>
  <c r="E171" i="237"/>
  <c r="L61" i="237"/>
  <c r="G103" i="237"/>
  <c r="F20" i="223"/>
  <c r="F171" i="223"/>
  <c r="S2" i="18"/>
  <c r="B147" i="223"/>
  <c r="L83" i="223"/>
  <c r="N87" i="223"/>
  <c r="Q19" i="18"/>
  <c r="J16" i="18"/>
  <c r="M95" i="237"/>
  <c r="U2" i="18"/>
  <c r="J140" i="237"/>
  <c r="G44" i="237"/>
  <c r="K74" i="237"/>
  <c r="AW17" i="18"/>
  <c r="F179" i="223"/>
  <c r="D172" i="237"/>
  <c r="BI9" i="18"/>
  <c r="AU23" i="15"/>
  <c r="H68" i="223"/>
  <c r="C65" i="18"/>
  <c r="G189" i="223"/>
  <c r="G23" i="237"/>
  <c r="O34" i="18"/>
  <c r="E88" i="237"/>
  <c r="D33" i="223"/>
  <c r="AZ18" i="18"/>
  <c r="AA31" i="15"/>
  <c r="N168" i="223"/>
  <c r="L123" i="237"/>
  <c r="AT24" i="15"/>
  <c r="B149" i="223"/>
  <c r="AA5" i="18"/>
  <c r="L30" i="237"/>
  <c r="D69" i="223"/>
  <c r="B44" i="14"/>
  <c r="M90" i="237"/>
  <c r="N54" i="223"/>
  <c r="K29" i="223"/>
  <c r="J172" i="223"/>
  <c r="N21" i="15"/>
  <c r="F136" i="223"/>
  <c r="AP19" i="18"/>
  <c r="AR20" i="15"/>
  <c r="H63" i="237"/>
  <c r="M20" i="237"/>
  <c r="L29" i="14"/>
  <c r="I165" i="223"/>
  <c r="D41" i="237"/>
  <c r="J22" i="237"/>
  <c r="S5" i="18"/>
  <c r="N166" i="223"/>
  <c r="N57" i="223"/>
  <c r="C95" i="223"/>
  <c r="B153" i="223"/>
  <c r="AO22" i="15"/>
  <c r="B146" i="223"/>
  <c r="AM34" i="18"/>
  <c r="X6" i="18"/>
  <c r="K24" i="223"/>
  <c r="L131" i="223"/>
  <c r="J80" i="223"/>
  <c r="I155" i="237"/>
  <c r="G167" i="223"/>
  <c r="L135" i="223"/>
  <c r="BA11" i="18"/>
  <c r="AZ5" i="18"/>
  <c r="BJ9" i="18"/>
  <c r="W28" i="1"/>
  <c r="B29" i="185"/>
  <c r="K86" i="223"/>
  <c r="F184" i="237"/>
  <c r="H124" i="223"/>
  <c r="K146" i="223"/>
  <c r="U15" i="18"/>
  <c r="N54" i="237"/>
  <c r="J57" i="223"/>
  <c r="J90" i="223"/>
  <c r="I20" i="15"/>
  <c r="I84" i="237"/>
  <c r="AD28" i="1"/>
  <c r="B132" i="223"/>
  <c r="BH28" i="1"/>
  <c r="M33" i="223"/>
  <c r="B94" i="223"/>
  <c r="AK14" i="18"/>
  <c r="V29" i="15"/>
  <c r="C22" i="223"/>
  <c r="D79" i="223"/>
  <c r="G161" i="237"/>
  <c r="B53" i="237"/>
  <c r="L77" i="237"/>
  <c r="F73" i="237"/>
  <c r="H179" i="223"/>
  <c r="F9" i="1"/>
  <c r="K32" i="223"/>
  <c r="D21" i="223"/>
  <c r="L76" i="237"/>
  <c r="G26" i="237"/>
  <c r="E180" i="237"/>
  <c r="G125" i="223"/>
  <c r="B59" i="237"/>
  <c r="AG19" i="15"/>
  <c r="Q14" i="18"/>
  <c r="H22" i="15"/>
  <c r="T23" i="15"/>
  <c r="K67" i="223"/>
  <c r="G25" i="237"/>
  <c r="B14" i="14"/>
  <c r="X22" i="15"/>
  <c r="BH22" i="15"/>
  <c r="U21" i="18"/>
  <c r="M161" i="223"/>
  <c r="B21" i="223"/>
  <c r="B61" i="237"/>
  <c r="BH2" i="18"/>
  <c r="C130" i="237"/>
  <c r="AJ12" i="18"/>
  <c r="J23" i="237"/>
  <c r="B40" i="14"/>
  <c r="I102" i="237"/>
  <c r="AD29" i="15"/>
  <c r="E94" i="223"/>
  <c r="C78" i="237"/>
  <c r="M17" i="18"/>
  <c r="BM5" i="18"/>
  <c r="W17" i="18"/>
  <c r="E185" i="237"/>
  <c r="N149" i="237"/>
  <c r="G40" i="237"/>
  <c r="I39" i="223"/>
  <c r="P23" i="15"/>
  <c r="H130" i="223"/>
  <c r="BK20" i="18"/>
  <c r="E31" i="223"/>
  <c r="BG2" i="1"/>
  <c r="N62" i="237"/>
  <c r="BC3" i="18"/>
  <c r="N68" i="237"/>
  <c r="C61" i="237"/>
  <c r="M172" i="223"/>
  <c r="AY18" i="18"/>
  <c r="D161" i="237"/>
  <c r="G155" i="237"/>
  <c r="J85" i="223"/>
  <c r="C74" i="237"/>
  <c r="J120" i="237"/>
  <c r="R25" i="15"/>
  <c r="F163" i="237"/>
  <c r="L39" i="237"/>
  <c r="Y4" i="18"/>
  <c r="G138" i="223"/>
  <c r="F119" i="237"/>
  <c r="D170" i="223"/>
  <c r="B181" i="223"/>
  <c r="O11" i="18"/>
  <c r="D183" i="237"/>
  <c r="F88" i="223"/>
  <c r="N79" i="237"/>
  <c r="E69" i="237"/>
  <c r="F42" i="237"/>
  <c r="H166" i="237"/>
  <c r="L79" i="237"/>
  <c r="N16" i="18"/>
  <c r="BE25" i="15"/>
  <c r="D32" i="237"/>
  <c r="AT34" i="18"/>
  <c r="M86" i="237"/>
  <c r="I31" i="237"/>
  <c r="L115" i="223"/>
  <c r="H62" i="223"/>
  <c r="N17" i="18"/>
  <c r="AQ34" i="18"/>
  <c r="L8" i="18"/>
  <c r="AW7" i="18"/>
  <c r="N127" i="237"/>
  <c r="J46" i="237"/>
  <c r="L147" i="223"/>
  <c r="B95" i="237"/>
  <c r="M15" i="18"/>
  <c r="V24" i="15"/>
  <c r="I148" i="223"/>
  <c r="K30" i="237"/>
  <c r="BQ24" i="15"/>
  <c r="H138" i="237"/>
  <c r="M84" i="237"/>
  <c r="BM27" i="15"/>
  <c r="BN17" i="18"/>
  <c r="H88" i="237"/>
  <c r="BK18" i="18"/>
  <c r="AE29" i="15"/>
  <c r="BL27" i="15"/>
  <c r="U24" i="15"/>
  <c r="AB6" i="18"/>
  <c r="J4" i="18"/>
  <c r="J146" i="237"/>
  <c r="C88" i="237"/>
  <c r="H30" i="15"/>
  <c r="E116" i="223"/>
  <c r="L20" i="15"/>
  <c r="D124" i="223"/>
  <c r="N181" i="237"/>
  <c r="H21" i="223"/>
  <c r="L140" i="223"/>
  <c r="BI20" i="15"/>
  <c r="O19" i="18"/>
  <c r="I26" i="15"/>
  <c r="AI14" i="18"/>
  <c r="BP22" i="15"/>
  <c r="I63" i="237"/>
  <c r="H172" i="237"/>
  <c r="K161" i="237"/>
  <c r="L26" i="237"/>
  <c r="H118" i="237"/>
  <c r="B32" i="237"/>
  <c r="K20" i="223"/>
  <c r="BC2" i="1"/>
  <c r="L56" i="223"/>
  <c r="AH2" i="1"/>
  <c r="I23" i="223"/>
  <c r="BN12" i="18"/>
  <c r="AJ5" i="18"/>
  <c r="H76" i="223"/>
  <c r="S3" i="18"/>
  <c r="G134" i="223"/>
  <c r="Y12" i="18"/>
  <c r="J10" i="18"/>
  <c r="G126" i="237"/>
  <c r="I123" i="223"/>
  <c r="E160" i="223"/>
  <c r="C58" i="18"/>
  <c r="AA25" i="15"/>
  <c r="BH34" i="18"/>
  <c r="K84" i="223"/>
  <c r="E45" i="237"/>
  <c r="BI22" i="15"/>
  <c r="BD2" i="18"/>
  <c r="D25" i="223"/>
  <c r="H92" i="223"/>
  <c r="J79" i="237"/>
  <c r="G163" i="223"/>
  <c r="AA17" i="18"/>
  <c r="L61" i="223"/>
  <c r="B117" i="237"/>
  <c r="G90" i="223"/>
  <c r="B85" i="223"/>
  <c r="H135" i="223"/>
  <c r="M118" i="237"/>
  <c r="T22" i="15"/>
  <c r="Y8" i="18"/>
  <c r="D63" i="237"/>
  <c r="K23" i="237"/>
  <c r="K162" i="237"/>
  <c r="AH30" i="15"/>
  <c r="G184" i="237"/>
  <c r="J25" i="15"/>
  <c r="AK21" i="18"/>
  <c r="AT9" i="18"/>
  <c r="F33" i="237"/>
  <c r="AV16" i="18"/>
  <c r="G151" i="223"/>
  <c r="H2" i="1"/>
  <c r="BF28" i="15"/>
  <c r="I18" i="18"/>
  <c r="M41" i="237"/>
  <c r="F85" i="223"/>
  <c r="BA17" i="18"/>
  <c r="BD19" i="18"/>
  <c r="E170" i="223"/>
  <c r="D139" i="237"/>
  <c r="G183" i="223"/>
  <c r="F131" i="237"/>
  <c r="G18" i="18"/>
  <c r="BK29" i="15"/>
  <c r="AV21" i="18"/>
  <c r="I12" i="1"/>
  <c r="F147" i="237"/>
  <c r="AX22" i="18"/>
  <c r="AL25" i="15"/>
  <c r="BE13" i="18"/>
  <c r="E152" i="237"/>
  <c r="BH12" i="18"/>
  <c r="L39" i="223"/>
  <c r="AD2" i="18"/>
  <c r="L187" i="237"/>
  <c r="BP28" i="15"/>
  <c r="I163" i="237"/>
  <c r="N67" i="223"/>
  <c r="BE10" i="18"/>
  <c r="J151" i="223"/>
  <c r="L55" i="14"/>
  <c r="BB16" i="18"/>
  <c r="E59" i="223"/>
  <c r="N20" i="15"/>
  <c r="K75" i="223"/>
  <c r="BH3" i="18"/>
  <c r="N31" i="237"/>
  <c r="E41" i="237"/>
  <c r="AJ22" i="15"/>
  <c r="F182" i="223"/>
  <c r="L172" i="223"/>
  <c r="C149" i="223"/>
  <c r="F123" i="237"/>
  <c r="L161" i="237"/>
  <c r="J25" i="237"/>
  <c r="R14" i="18"/>
  <c r="AX5" i="18"/>
  <c r="AW24" i="15"/>
  <c r="Z5" i="18"/>
  <c r="C140" i="223"/>
  <c r="N182" i="237"/>
  <c r="K133" i="237"/>
  <c r="AI25" i="15"/>
  <c r="AF11" i="18"/>
  <c r="AF10" i="18"/>
  <c r="H20" i="15"/>
  <c r="H154" i="237"/>
  <c r="AL20" i="18"/>
  <c r="Z29" i="15"/>
  <c r="J18" i="18"/>
  <c r="BG18" i="18"/>
  <c r="K72" i="237"/>
  <c r="AP28" i="1"/>
  <c r="BF19" i="15"/>
  <c r="N95" i="237"/>
  <c r="J14" i="18"/>
  <c r="M75" i="237"/>
  <c r="G67" i="223"/>
  <c r="G2" i="1"/>
  <c r="G19" i="18"/>
  <c r="AD17" i="18"/>
  <c r="E141" i="223"/>
  <c r="I91" i="223"/>
  <c r="BC2" i="18"/>
  <c r="M184" i="237"/>
  <c r="B36" i="14"/>
  <c r="BP23" i="15"/>
  <c r="E23" i="237"/>
  <c r="I125" i="237"/>
  <c r="I30" i="237"/>
  <c r="F43" i="237"/>
  <c r="M124" i="223"/>
  <c r="K38" i="223"/>
  <c r="AB23" i="15"/>
  <c r="AN13" i="18"/>
  <c r="E75" i="223"/>
  <c r="B169" i="223"/>
  <c r="L89" i="237"/>
  <c r="J40" i="223"/>
  <c r="E183" i="223"/>
  <c r="E53" i="237"/>
  <c r="D72" i="223"/>
  <c r="U34" i="18"/>
  <c r="H100" i="223"/>
  <c r="BK20" i="15"/>
  <c r="AV34" i="18"/>
  <c r="AV18" i="18"/>
  <c r="I118" i="237"/>
  <c r="AT7" i="18"/>
  <c r="BT30" i="15"/>
  <c r="AM14" i="18"/>
  <c r="AE12" i="18"/>
  <c r="B183" i="237"/>
  <c r="C83" i="18"/>
  <c r="AE11" i="18"/>
  <c r="H132" i="237"/>
  <c r="E67" i="237"/>
  <c r="W16" i="18"/>
  <c r="C55" i="237"/>
  <c r="E90" i="223"/>
  <c r="E39" i="237"/>
  <c r="E122" i="223"/>
  <c r="AI28" i="1"/>
  <c r="E132" i="237"/>
  <c r="AY28" i="1"/>
  <c r="J118" i="237"/>
  <c r="AR31" i="15"/>
  <c r="F117" i="237"/>
  <c r="K73" i="223"/>
  <c r="J24" i="237"/>
  <c r="L189" i="237"/>
  <c r="BH15" i="18"/>
  <c r="I102" i="223"/>
  <c r="S13" i="18"/>
  <c r="F61" i="237"/>
  <c r="M130" i="237"/>
  <c r="C92" i="237"/>
  <c r="J17" i="18"/>
  <c r="M123" i="237"/>
  <c r="B18" i="14"/>
  <c r="B168" i="237"/>
  <c r="BK22" i="15"/>
  <c r="L87" i="223"/>
  <c r="AI34" i="18"/>
  <c r="C66" i="18" s="1"/>
  <c r="AH13" i="18"/>
  <c r="D22" i="237"/>
  <c r="C88" i="18"/>
  <c r="N121" i="237"/>
  <c r="BJ21" i="18"/>
  <c r="AK11" i="18"/>
  <c r="BV29" i="15"/>
  <c r="H53" i="237"/>
  <c r="BB21" i="15"/>
  <c r="M93" i="223"/>
  <c r="R27" i="15"/>
  <c r="E44" i="223"/>
  <c r="BH29" i="15"/>
  <c r="BK12" i="18"/>
  <c r="C148" i="237"/>
  <c r="AN20" i="15"/>
  <c r="G24" i="223"/>
  <c r="F56" i="223"/>
  <c r="M122" i="237"/>
  <c r="BB9" i="18"/>
  <c r="BI28" i="1"/>
  <c r="K63" i="237"/>
  <c r="BL8" i="18"/>
  <c r="BV28" i="15"/>
  <c r="R28" i="1"/>
  <c r="AI23" i="15"/>
  <c r="G22" i="18"/>
  <c r="AT19" i="15"/>
  <c r="F156" i="223"/>
  <c r="BB21" i="18"/>
  <c r="I150" i="237"/>
  <c r="C116" i="223"/>
  <c r="K89" i="237"/>
  <c r="O26" i="15"/>
  <c r="J162" i="223"/>
  <c r="P29" i="15"/>
  <c r="J160" i="223"/>
  <c r="B26" i="237"/>
  <c r="Z7" i="18"/>
  <c r="B63" i="223"/>
  <c r="N150" i="237"/>
  <c r="C182" i="223"/>
  <c r="AB14" i="18"/>
  <c r="AC19" i="18"/>
  <c r="AS19" i="18"/>
  <c r="AH19" i="18"/>
  <c r="N56" i="223"/>
  <c r="G133" i="237"/>
  <c r="N138" i="237"/>
  <c r="AZ28" i="15"/>
  <c r="K4" i="18"/>
  <c r="N180" i="223"/>
  <c r="N186" i="237"/>
  <c r="N69" i="223"/>
  <c r="C53" i="223"/>
  <c r="W21" i="15"/>
  <c r="AM21" i="18"/>
  <c r="BB10" i="18"/>
  <c r="I69" i="237"/>
  <c r="AL30" i="15"/>
  <c r="BL31" i="15"/>
  <c r="F5" i="1"/>
  <c r="M181" i="237"/>
  <c r="J139" i="223"/>
  <c r="D63" i="223"/>
  <c r="C55" i="18"/>
  <c r="F169" i="223"/>
  <c r="B155" i="237"/>
  <c r="BG4" i="18"/>
  <c r="K60" i="237"/>
  <c r="V22" i="18"/>
  <c r="AA10" i="18"/>
  <c r="AE30" i="15"/>
  <c r="M39" i="223"/>
  <c r="L86" i="223"/>
  <c r="M25" i="223"/>
  <c r="D95" i="237"/>
  <c r="E70" i="237"/>
  <c r="N37" i="223"/>
  <c r="L38" i="223"/>
  <c r="AH18" i="18"/>
  <c r="P4" i="18"/>
  <c r="M72" i="223"/>
  <c r="H165" i="237"/>
  <c r="D120" i="223"/>
  <c r="J88" i="223"/>
  <c r="N126" i="223"/>
  <c r="C60" i="237"/>
  <c r="B60" i="14"/>
  <c r="BF14" i="18"/>
  <c r="V3" i="18"/>
  <c r="D184" i="237"/>
  <c r="B29" i="223"/>
  <c r="AG15" i="18"/>
  <c r="BN15" i="18"/>
  <c r="G45" i="223"/>
  <c r="BA26" i="15"/>
  <c r="N120" i="237"/>
  <c r="D80" i="223"/>
  <c r="J5" i="18"/>
  <c r="AW25" i="15"/>
  <c r="AP7" i="18"/>
  <c r="G62" i="237"/>
  <c r="H116" i="223"/>
  <c r="AB31" i="15"/>
  <c r="I13" i="18"/>
  <c r="N59" i="237"/>
  <c r="B58" i="237"/>
  <c r="AJ14" i="18"/>
  <c r="E22" i="237"/>
  <c r="B141" i="223"/>
  <c r="AX14" i="18"/>
  <c r="C85" i="237"/>
  <c r="G87" i="223"/>
  <c r="J21" i="223"/>
  <c r="AI22" i="18"/>
  <c r="K45" i="237"/>
  <c r="AY9" i="18"/>
  <c r="N24" i="237"/>
  <c r="F122" i="237"/>
  <c r="E92" i="223"/>
  <c r="W29" i="15"/>
  <c r="E180" i="223"/>
  <c r="F132" i="223"/>
  <c r="AO21" i="15"/>
  <c r="M125" i="223"/>
  <c r="N40" i="223"/>
  <c r="B60" i="237"/>
  <c r="D165" i="237"/>
  <c r="I32" i="223"/>
  <c r="L162" i="223"/>
  <c r="E78" i="223"/>
  <c r="E184" i="223"/>
  <c r="W10" i="18"/>
  <c r="K53" i="237"/>
  <c r="J39" i="223"/>
  <c r="BH9" i="18"/>
  <c r="AD6" i="18"/>
  <c r="L120" i="223"/>
  <c r="F124" i="223"/>
  <c r="AM15" i="18"/>
  <c r="J31" i="15"/>
  <c r="BG25" i="15"/>
  <c r="E75" i="237"/>
  <c r="F54" i="237"/>
  <c r="E44" i="237"/>
  <c r="H149" i="237"/>
  <c r="G118" i="237"/>
  <c r="I146" i="223"/>
  <c r="X24" i="15"/>
  <c r="J166" i="223"/>
  <c r="BD20" i="18"/>
  <c r="AI21" i="15"/>
  <c r="C39" i="18"/>
  <c r="L182" i="223"/>
  <c r="M103" i="223"/>
  <c r="AD13" i="18"/>
  <c r="D23" i="237"/>
  <c r="L152" i="223"/>
  <c r="N22" i="237"/>
  <c r="L183" i="223"/>
  <c r="J3" i="18"/>
  <c r="BU27" i="15"/>
  <c r="C156" i="223"/>
  <c r="AF29" i="15"/>
  <c r="L31" i="15"/>
  <c r="BD11" i="18"/>
  <c r="Q34" i="18"/>
  <c r="F37" i="223"/>
  <c r="E151" i="223"/>
  <c r="H115" i="237"/>
  <c r="L54" i="223"/>
  <c r="AX26" i="15"/>
  <c r="T2" i="1"/>
  <c r="K20" i="15"/>
  <c r="BE3" i="18"/>
  <c r="E60" i="237"/>
  <c r="J189" i="223"/>
  <c r="L59" i="237"/>
  <c r="I126" i="223"/>
  <c r="N75" i="237"/>
  <c r="AZ24" i="15"/>
  <c r="BL28" i="1"/>
  <c r="AX2" i="1"/>
  <c r="B91" i="237"/>
  <c r="AI26" i="15"/>
  <c r="F93" i="223"/>
  <c r="K20" i="237"/>
  <c r="D70" i="223"/>
  <c r="AR26" i="15"/>
  <c r="C184" i="237"/>
  <c r="C38" i="18"/>
  <c r="L162" i="237"/>
  <c r="H168" i="237"/>
  <c r="B117" i="223"/>
  <c r="BE26" i="15"/>
  <c r="J27" i="237"/>
  <c r="AX21" i="15"/>
  <c r="G179" i="223"/>
  <c r="W26" i="15"/>
  <c r="Z22" i="15"/>
  <c r="N103" i="237"/>
  <c r="C151" i="237"/>
  <c r="AR18" i="18"/>
  <c r="Q18" i="18"/>
  <c r="F92" i="237"/>
  <c r="AH28" i="15"/>
  <c r="E161" i="223"/>
  <c r="J43" i="223"/>
  <c r="AW10" i="18"/>
  <c r="K38" i="237"/>
  <c r="I141" i="223"/>
  <c r="M84" i="223"/>
  <c r="G90" i="237"/>
  <c r="BA27" i="15"/>
  <c r="L117" i="223"/>
  <c r="J27" i="15"/>
  <c r="AT2" i="18"/>
  <c r="AZ20" i="15"/>
  <c r="AD12" i="18"/>
  <c r="F13" i="1"/>
  <c r="G145" i="237"/>
  <c r="G30" i="223"/>
  <c r="AK19" i="15"/>
  <c r="B132" i="237"/>
  <c r="BM6" i="18"/>
  <c r="B93" i="223"/>
  <c r="P20" i="15"/>
  <c r="J115" i="237"/>
  <c r="D60" i="223"/>
  <c r="BF5" i="18"/>
  <c r="BH2" i="1"/>
  <c r="L2" i="1"/>
  <c r="T20" i="15"/>
  <c r="K61" i="237"/>
  <c r="N85" i="237"/>
  <c r="C136" i="223"/>
  <c r="I118" i="223"/>
  <c r="E179" i="237"/>
  <c r="M179" i="223"/>
  <c r="AI18" i="18"/>
  <c r="H164" i="237"/>
  <c r="X26" i="15"/>
  <c r="C141" i="237"/>
  <c r="G69" i="237"/>
  <c r="V14" i="18"/>
  <c r="N28" i="15"/>
  <c r="I149" i="223"/>
  <c r="BM20" i="18"/>
  <c r="N132" i="237"/>
  <c r="E125" i="223"/>
  <c r="I29" i="15"/>
  <c r="B83" i="223"/>
  <c r="C63" i="18"/>
  <c r="B54" i="14"/>
  <c r="AJ11" i="18"/>
  <c r="N141" i="237"/>
  <c r="G21" i="15"/>
  <c r="BS31" i="15"/>
  <c r="V2" i="18"/>
  <c r="G43" i="237"/>
  <c r="B139" i="237"/>
  <c r="F11" i="1"/>
  <c r="I44" i="223"/>
  <c r="Y28" i="15"/>
  <c r="N95" i="223"/>
  <c r="L179" i="237"/>
  <c r="E120" i="223"/>
  <c r="L16" i="18"/>
  <c r="N189" i="223"/>
  <c r="N169" i="223"/>
  <c r="BH20" i="15"/>
  <c r="C88" i="223"/>
  <c r="AZ23" i="15"/>
  <c r="P19" i="18"/>
  <c r="E63" i="223"/>
  <c r="D56" i="237"/>
  <c r="B49" i="14"/>
  <c r="C130" i="223"/>
  <c r="D182" i="237"/>
  <c r="C32" i="237"/>
  <c r="E136" i="237"/>
  <c r="J91" i="237"/>
  <c r="I67" i="223"/>
  <c r="F184" i="223"/>
  <c r="D132" i="223"/>
  <c r="G14" i="18"/>
  <c r="G173" i="237"/>
  <c r="B152" i="223"/>
  <c r="B134" i="223"/>
  <c r="L67" i="237"/>
  <c r="BI18" i="18"/>
  <c r="G29" i="15"/>
  <c r="K138" i="237"/>
  <c r="T18" i="18"/>
  <c r="BI15" i="18"/>
  <c r="AF6" i="18"/>
  <c r="M6" i="14"/>
  <c r="AF2" i="18"/>
  <c r="B187" i="237"/>
  <c r="K23" i="15"/>
  <c r="BB34" i="18"/>
  <c r="C85" i="18" s="1"/>
  <c r="N89" i="223"/>
  <c r="I185" i="223"/>
  <c r="Q25" i="15"/>
  <c r="BO31" i="15"/>
  <c r="E57" i="237"/>
  <c r="N76" i="223"/>
  <c r="F155" i="237"/>
  <c r="M72" i="237"/>
  <c r="X15" i="18"/>
  <c r="H43" i="237"/>
  <c r="F6" i="1"/>
  <c r="D166" i="237"/>
  <c r="AA2" i="18"/>
  <c r="D147" i="237"/>
  <c r="K122" i="237"/>
  <c r="AW20" i="18"/>
  <c r="C100" i="223"/>
  <c r="D122" i="237"/>
  <c r="AK29" i="15"/>
  <c r="I76" i="237"/>
  <c r="N163" i="237"/>
  <c r="I164" i="237"/>
  <c r="M127" i="237"/>
  <c r="J12" i="18"/>
  <c r="L90" i="237"/>
  <c r="I154" i="237"/>
  <c r="AB34" i="18"/>
  <c r="C59" i="18" s="1"/>
  <c r="G173" i="223"/>
  <c r="BB13" i="18"/>
  <c r="S2" i="1"/>
  <c r="I38" i="237"/>
  <c r="C155" i="237"/>
  <c r="BK2" i="18"/>
  <c r="AS20" i="18"/>
  <c r="I21" i="223"/>
  <c r="J165" i="223"/>
  <c r="AK18" i="18"/>
  <c r="AC14" i="18"/>
  <c r="Q17" i="18"/>
  <c r="B90" i="223"/>
  <c r="L130" i="223"/>
  <c r="E92" i="237"/>
  <c r="J53" i="223"/>
  <c r="F86" i="223"/>
  <c r="F147" i="223"/>
  <c r="M33" i="237"/>
  <c r="F26" i="237"/>
  <c r="J32" i="237"/>
  <c r="K166" i="237"/>
  <c r="G80" i="237"/>
  <c r="K59" i="223"/>
  <c r="M126" i="237"/>
  <c r="BB3" i="18"/>
  <c r="L84" i="223"/>
  <c r="B126" i="223"/>
  <c r="AC26" i="15"/>
  <c r="Y2" i="1"/>
  <c r="BN21" i="18"/>
  <c r="K33" i="237"/>
  <c r="J20" i="15"/>
  <c r="P17" i="18"/>
  <c r="B56" i="223"/>
  <c r="B21" i="14"/>
  <c r="J153" i="223"/>
  <c r="C71" i="223"/>
  <c r="B123" i="237"/>
  <c r="G25" i="15"/>
  <c r="AG22" i="15"/>
  <c r="AN24" i="15"/>
  <c r="N10" i="18"/>
  <c r="N27" i="223"/>
  <c r="F31" i="223"/>
  <c r="AK31" i="15"/>
  <c r="K140" i="237"/>
  <c r="AA27" i="15"/>
  <c r="F78" i="237"/>
  <c r="F162" i="237"/>
  <c r="BG5" i="18"/>
  <c r="L155" i="237"/>
  <c r="C189" i="237"/>
  <c r="I146" i="237"/>
  <c r="AL18" i="18"/>
  <c r="C169" i="237"/>
  <c r="E155" i="223"/>
  <c r="B188" i="237"/>
  <c r="H101" i="223"/>
  <c r="C150" i="237"/>
  <c r="F61" i="223"/>
  <c r="BA29" i="15"/>
  <c r="AV23" i="15"/>
  <c r="H21" i="15"/>
  <c r="BG23" i="15"/>
  <c r="G170" i="223"/>
  <c r="BD13" i="18"/>
  <c r="J188" i="237"/>
  <c r="K26" i="237"/>
  <c r="G146" i="223"/>
  <c r="AR12" i="18"/>
  <c r="C169" i="223"/>
  <c r="J156" i="223"/>
  <c r="AG5" i="18"/>
  <c r="L86" i="237"/>
  <c r="M20" i="223"/>
  <c r="K28" i="237"/>
  <c r="AH26" i="15"/>
  <c r="F71" i="237"/>
  <c r="AQ25" i="15"/>
  <c r="W13" i="18"/>
  <c r="L85" i="237"/>
  <c r="C131" i="223"/>
  <c r="S7" i="18"/>
  <c r="BH4" i="18"/>
  <c r="AL4" i="18"/>
  <c r="H140" i="237"/>
  <c r="M130" i="223"/>
  <c r="L156" i="237"/>
  <c r="L156" i="223"/>
  <c r="AK25" i="15"/>
  <c r="B71" i="223"/>
  <c r="G54" i="223"/>
  <c r="L146" i="223"/>
  <c r="G171" i="237"/>
  <c r="D162" i="237"/>
  <c r="AC28" i="1"/>
  <c r="L74" i="237"/>
  <c r="H26" i="223"/>
  <c r="M32" i="223"/>
  <c r="Y21" i="18"/>
  <c r="BG30" i="15"/>
  <c r="C154" i="237"/>
  <c r="BR25" i="15"/>
  <c r="BJ28" i="15"/>
  <c r="D163" i="237"/>
  <c r="F41" i="237"/>
  <c r="H40" i="237"/>
  <c r="K63" i="223"/>
  <c r="C139" i="237"/>
  <c r="J63" i="223"/>
  <c r="M103" i="237"/>
  <c r="AQ26" i="15"/>
  <c r="T27" i="15"/>
  <c r="M132" i="237"/>
  <c r="K155" i="237"/>
  <c r="H125" i="223"/>
  <c r="N155" i="223"/>
  <c r="AL28" i="1"/>
  <c r="AF13" i="18"/>
  <c r="J141" i="237"/>
  <c r="AC22" i="15"/>
  <c r="AS22" i="18"/>
  <c r="BE14" i="18"/>
  <c r="AZ10" i="18"/>
  <c r="N147" i="223"/>
  <c r="M173" i="237"/>
  <c r="AP12" i="18"/>
  <c r="L28" i="1"/>
  <c r="AL22" i="18"/>
  <c r="E58" i="223"/>
  <c r="BI6" i="18"/>
  <c r="G166" i="237"/>
  <c r="B172" i="237"/>
  <c r="BE11" i="18"/>
  <c r="C85" i="223"/>
  <c r="E28" i="237"/>
  <c r="B179" i="237"/>
  <c r="BG9" i="18"/>
  <c r="J182" i="223"/>
  <c r="M100" i="223"/>
  <c r="G181" i="223"/>
  <c r="I46" i="223"/>
  <c r="D58" i="237"/>
  <c r="AI13" i="18"/>
  <c r="AE10" i="18"/>
  <c r="AW2" i="1"/>
  <c r="I23" i="15"/>
  <c r="AB4" i="18"/>
  <c r="S26" i="15"/>
  <c r="I189" i="223"/>
  <c r="H150" i="223"/>
  <c r="D173" i="223"/>
  <c r="BJ23" i="15"/>
  <c r="I145" i="237"/>
  <c r="BL21" i="15"/>
  <c r="F63" i="237"/>
  <c r="AZ29" i="15"/>
  <c r="I10" i="1"/>
  <c r="E61" i="223"/>
  <c r="N156" i="237"/>
  <c r="H20" i="237"/>
  <c r="T12" i="18"/>
  <c r="H77" i="237"/>
  <c r="O22" i="18"/>
  <c r="X30" i="15"/>
  <c r="H148" i="223"/>
  <c r="AG18" i="18"/>
  <c r="J165" i="237"/>
  <c r="G88" i="237"/>
  <c r="E137" i="237"/>
  <c r="R17" i="18"/>
  <c r="H181" i="223"/>
  <c r="AS11" i="18"/>
  <c r="BE19" i="18"/>
  <c r="B50" i="14"/>
  <c r="AN27" i="15"/>
  <c r="C43" i="223"/>
  <c r="E139" i="237"/>
  <c r="AL21" i="15"/>
  <c r="F80" i="237"/>
  <c r="W14" i="18"/>
  <c r="Q10" i="18"/>
  <c r="F122" i="223"/>
  <c r="AM22" i="15"/>
  <c r="I29" i="237"/>
  <c r="N31" i="15"/>
  <c r="AR25" i="15"/>
  <c r="F146" i="223"/>
  <c r="AF28" i="15"/>
  <c r="BI14" i="18"/>
  <c r="AS18" i="18"/>
  <c r="F95" i="223"/>
  <c r="B85" i="237"/>
  <c r="BS30" i="15"/>
  <c r="C80" i="237"/>
  <c r="K28" i="1"/>
  <c r="J63" i="237"/>
  <c r="K185" i="223"/>
  <c r="L185" i="223"/>
  <c r="BJ2" i="1"/>
  <c r="F25" i="223"/>
  <c r="J101" i="237"/>
  <c r="K186" i="237"/>
  <c r="N74" i="223"/>
  <c r="K167" i="223"/>
  <c r="AU15" i="18"/>
  <c r="E138" i="237"/>
  <c r="N179" i="223"/>
  <c r="J133" i="237"/>
  <c r="H3" i="18"/>
  <c r="J83" i="237"/>
  <c r="BC13" i="18"/>
  <c r="D165" i="223"/>
  <c r="J6" i="18"/>
  <c r="AN19" i="18"/>
  <c r="I2" i="18"/>
  <c r="R12" i="18"/>
  <c r="R24" i="15"/>
  <c r="BA20" i="18"/>
  <c r="F79" i="237"/>
  <c r="BL13" i="18"/>
  <c r="D131" i="237"/>
  <c r="N63" i="223"/>
  <c r="E32" i="237"/>
  <c r="B78" i="237"/>
  <c r="AW18" i="18"/>
  <c r="J59" i="237"/>
  <c r="C164" i="223"/>
  <c r="B154" i="223"/>
  <c r="K83" i="237"/>
  <c r="BD34" i="18"/>
  <c r="G168" i="223"/>
  <c r="AG4" i="18"/>
  <c r="C73" i="237"/>
  <c r="AB13" i="18"/>
  <c r="E89" i="237"/>
  <c r="BF21" i="15"/>
  <c r="M46" i="237"/>
  <c r="F4" i="1"/>
  <c r="G156" i="237"/>
  <c r="I171" i="223"/>
  <c r="J30" i="223"/>
  <c r="N133" i="237"/>
  <c r="D94" i="237"/>
  <c r="E21" i="237"/>
  <c r="C92" i="223"/>
  <c r="AP22" i="15"/>
  <c r="F88" i="237"/>
  <c r="AO19" i="15"/>
  <c r="H55" i="237"/>
  <c r="Z28" i="15"/>
  <c r="M78" i="237"/>
  <c r="N130" i="223"/>
  <c r="J19" i="18"/>
  <c r="AW28" i="15"/>
  <c r="J131" i="237"/>
  <c r="L21" i="223"/>
  <c r="N93" i="223"/>
  <c r="BV19" i="15"/>
  <c r="C162" i="223"/>
  <c r="B140" i="237"/>
  <c r="J94" i="223"/>
  <c r="M92" i="237"/>
  <c r="K76" i="237"/>
  <c r="E26" i="237"/>
  <c r="K121" i="237"/>
  <c r="BE21" i="15"/>
  <c r="C101" i="237"/>
  <c r="N2" i="18"/>
  <c r="F77" i="223"/>
  <c r="BT27" i="15"/>
  <c r="BM2" i="1"/>
  <c r="BJ19" i="15"/>
  <c r="G180" i="223"/>
  <c r="Q31" i="15"/>
  <c r="I167" i="223"/>
  <c r="AM25" i="15"/>
  <c r="C154" i="223"/>
  <c r="AB22" i="18"/>
  <c r="G171" i="223"/>
  <c r="J76" i="237"/>
  <c r="M162" i="223"/>
  <c r="H16" i="18"/>
  <c r="D27" i="237"/>
  <c r="BN5" i="18"/>
  <c r="M161" i="237"/>
  <c r="B189" i="223"/>
  <c r="C70" i="237"/>
  <c r="O17" i="18"/>
  <c r="S12" i="18"/>
  <c r="I165" i="237"/>
  <c r="Z12" i="18"/>
  <c r="G102" i="237"/>
  <c r="M153" i="223"/>
  <c r="BN21" i="15"/>
  <c r="F20" i="1"/>
  <c r="H95" i="237"/>
  <c r="AF19" i="18"/>
  <c r="F162" i="223"/>
  <c r="I138" i="237"/>
  <c r="C124" i="223"/>
  <c r="I120" i="223"/>
  <c r="H10" i="18"/>
  <c r="AL31" i="15"/>
  <c r="G126" i="223"/>
  <c r="H61" i="237"/>
  <c r="K7" i="14"/>
  <c r="X29" i="15"/>
  <c r="C70" i="223"/>
  <c r="N23" i="223"/>
  <c r="N37" i="237"/>
  <c r="AW19" i="18"/>
  <c r="AY16" i="18"/>
  <c r="I168" i="223"/>
  <c r="M100" i="237"/>
  <c r="H182" i="223"/>
  <c r="BA12" i="18"/>
  <c r="AW9" i="18"/>
  <c r="BD17" i="18"/>
  <c r="K86" i="237"/>
  <c r="M40" i="237"/>
  <c r="I93" i="237"/>
  <c r="M87" i="223"/>
  <c r="G44" i="223"/>
  <c r="F28" i="237"/>
  <c r="E60" i="223"/>
  <c r="G2" i="18"/>
  <c r="B116" i="237"/>
  <c r="AE21" i="18"/>
  <c r="C141" i="223"/>
  <c r="I19" i="1"/>
  <c r="I180" i="237"/>
  <c r="G181" i="237"/>
  <c r="M55" i="237"/>
  <c r="X12" i="18"/>
  <c r="AO28" i="1"/>
  <c r="AH31" i="15"/>
  <c r="F80" i="223"/>
  <c r="M88" i="237"/>
  <c r="L184" i="237"/>
  <c r="E183" i="237"/>
  <c r="I181" i="223"/>
  <c r="AJ9" i="18"/>
  <c r="AJ23" i="15"/>
  <c r="BG28" i="15"/>
  <c r="AH3" i="18"/>
  <c r="B70" i="223"/>
  <c r="H28" i="15"/>
  <c r="AV5" i="18"/>
  <c r="BD19" i="15"/>
  <c r="AE23" i="15"/>
  <c r="C132" i="237"/>
  <c r="I40" i="223"/>
  <c r="H83" i="223"/>
  <c r="AH16" i="18"/>
  <c r="I37" i="223"/>
  <c r="AY30" i="15"/>
  <c r="BM19" i="18"/>
  <c r="P24" i="15"/>
  <c r="H181" i="237"/>
  <c r="N173" i="237"/>
  <c r="J185" i="223"/>
  <c r="BI11" i="18"/>
  <c r="G26" i="223"/>
  <c r="K124" i="237"/>
  <c r="C79" i="237"/>
  <c r="H61" i="223"/>
  <c r="H147" i="237"/>
  <c r="M54" i="237"/>
  <c r="AQ9" i="18"/>
  <c r="N53" i="237"/>
  <c r="W23" i="15"/>
  <c r="H123" i="223"/>
  <c r="H133" i="223"/>
  <c r="M25" i="237"/>
  <c r="N125" i="223"/>
  <c r="I23" i="237"/>
  <c r="I117" i="223"/>
  <c r="K9" i="18"/>
  <c r="H91" i="223"/>
  <c r="BC16" i="18"/>
  <c r="AI9" i="18"/>
  <c r="K18" i="18"/>
  <c r="G40" i="223"/>
  <c r="R20" i="15"/>
  <c r="D32" i="223"/>
  <c r="J156" i="237"/>
  <c r="AF31" i="15"/>
  <c r="M27" i="237"/>
  <c r="G180" i="237"/>
  <c r="N160" i="223"/>
  <c r="C179" i="237"/>
  <c r="G55" i="223"/>
  <c r="AN12" i="18"/>
  <c r="L137" i="223"/>
  <c r="H58" i="223"/>
  <c r="AU17" i="18"/>
  <c r="AS23" i="15"/>
  <c r="N28" i="223"/>
  <c r="G154" i="223"/>
  <c r="G87" i="237"/>
  <c r="M76" i="223"/>
  <c r="G61" i="237"/>
  <c r="AW2" i="18"/>
  <c r="G20" i="15"/>
  <c r="B62" i="223"/>
  <c r="BA31" i="15"/>
  <c r="D38" i="223"/>
  <c r="M133" i="223"/>
  <c r="L69" i="223"/>
  <c r="N71" i="237"/>
  <c r="AI21" i="18"/>
  <c r="BK16" i="18"/>
  <c r="AU34" i="18"/>
  <c r="K101" i="237"/>
  <c r="R9" i="18"/>
  <c r="N58" i="237"/>
  <c r="I100" i="223"/>
  <c r="B185" i="223"/>
  <c r="Q15" i="18"/>
  <c r="J140" i="223"/>
  <c r="C120" i="237"/>
  <c r="I7" i="1"/>
  <c r="AQ5" i="18"/>
  <c r="N90" i="237"/>
  <c r="B41" i="14"/>
  <c r="F69" i="223"/>
  <c r="M79" i="237"/>
  <c r="G101" i="237"/>
  <c r="N188" i="223"/>
  <c r="B118" i="237"/>
  <c r="BL26" i="15"/>
  <c r="F127" i="223"/>
  <c r="K6" i="18"/>
  <c r="E27" i="237"/>
  <c r="AW27" i="15"/>
  <c r="C102" i="223"/>
  <c r="BL24" i="15"/>
  <c r="BI13" i="18"/>
  <c r="AV24" i="15"/>
  <c r="B13" i="185"/>
  <c r="B46" i="14"/>
  <c r="C172" i="237"/>
  <c r="AB22" i="15"/>
  <c r="F25" i="237"/>
  <c r="O18" i="18"/>
  <c r="E118" i="237"/>
  <c r="D179" i="237"/>
  <c r="I134" i="223"/>
  <c r="AO17" i="18"/>
  <c r="C103" i="237"/>
  <c r="I73" i="237"/>
  <c r="E24" i="237"/>
  <c r="N167" i="237"/>
  <c r="G19" i="15"/>
  <c r="B160" i="237"/>
  <c r="AB8" i="18"/>
  <c r="I20" i="237"/>
  <c r="K170" i="223"/>
  <c r="B63" i="14"/>
  <c r="N133" i="223"/>
  <c r="BH21" i="15"/>
  <c r="F83" i="223"/>
  <c r="G31" i="223"/>
  <c r="J71" i="237"/>
  <c r="C160" i="223"/>
  <c r="J116" i="223"/>
  <c r="J164" i="237"/>
  <c r="AK2" i="1"/>
  <c r="AR21" i="15"/>
  <c r="BN19" i="15"/>
  <c r="M55" i="223"/>
  <c r="F103" i="223"/>
  <c r="BL22" i="15"/>
  <c r="BI30" i="15"/>
  <c r="G46" i="223"/>
  <c r="M34" i="18"/>
  <c r="C44" i="18" s="1"/>
  <c r="L15" i="18"/>
  <c r="D26" i="223"/>
  <c r="B9" i="185"/>
  <c r="J53" i="237"/>
  <c r="F172" i="237"/>
  <c r="AD22" i="18"/>
  <c r="G74" i="223"/>
  <c r="AW26" i="15"/>
  <c r="D125" i="237"/>
  <c r="H60" i="223"/>
  <c r="BH23" i="15"/>
  <c r="G153" i="223"/>
  <c r="Y15" i="18"/>
  <c r="M163" i="223"/>
  <c r="BF6" i="18"/>
  <c r="F92" i="223"/>
  <c r="AH17" i="18"/>
  <c r="BG13" i="18"/>
  <c r="BD10" i="18"/>
  <c r="L29" i="237"/>
  <c r="M26" i="223"/>
  <c r="B7" i="185"/>
  <c r="C45" i="237"/>
  <c r="O21" i="15"/>
  <c r="AF21" i="15"/>
  <c r="J58" i="237"/>
  <c r="J34" i="18"/>
  <c r="E140" i="223"/>
  <c r="I149" i="237"/>
  <c r="I5" i="1"/>
  <c r="I170" i="237"/>
  <c r="M29" i="223"/>
  <c r="AC6" i="18"/>
  <c r="U30" i="15"/>
  <c r="G152" i="237"/>
  <c r="G75" i="223"/>
  <c r="I22" i="1"/>
  <c r="S22" i="15"/>
  <c r="AS2" i="1"/>
  <c r="D103" i="237"/>
  <c r="BM18" i="18"/>
  <c r="I121" i="237"/>
  <c r="J39" i="237"/>
  <c r="D37" i="237"/>
  <c r="B5" i="185"/>
  <c r="R2" i="14"/>
  <c r="AA3" i="18"/>
  <c r="T16" i="18"/>
  <c r="AU28" i="1"/>
  <c r="K39" i="237"/>
  <c r="BS23" i="15"/>
  <c r="BH27" i="15"/>
  <c r="J155" i="223"/>
  <c r="BM2" i="18"/>
  <c r="I77" i="223"/>
  <c r="M184" i="223"/>
  <c r="AN20" i="18"/>
  <c r="AJ28" i="15"/>
  <c r="BN30" i="15"/>
  <c r="AA21" i="15"/>
  <c r="L186" i="237"/>
  <c r="M21" i="237"/>
  <c r="K169" i="237"/>
  <c r="BJ6" i="18"/>
  <c r="H136" i="237"/>
  <c r="B187" i="223"/>
  <c r="H137" i="223"/>
  <c r="P7" i="18"/>
  <c r="B32" i="14"/>
  <c r="I132" i="223"/>
  <c r="G141" i="237"/>
  <c r="D22" i="223"/>
  <c r="R30" i="15"/>
  <c r="K141" i="237"/>
  <c r="P11" i="18"/>
  <c r="P34" i="18"/>
  <c r="J149" i="237"/>
  <c r="AT28" i="15"/>
  <c r="F132" i="237"/>
  <c r="AU31" i="15"/>
  <c r="N100" i="237"/>
  <c r="J21" i="237"/>
  <c r="D120" i="237"/>
  <c r="K33" i="223"/>
  <c r="B77" i="223"/>
  <c r="AD34" i="18"/>
  <c r="C61" i="18" s="1"/>
  <c r="AD4" i="18"/>
  <c r="G145" i="223"/>
  <c r="H172" i="223"/>
  <c r="D127" i="223"/>
  <c r="L67" i="223"/>
  <c r="D182" i="223"/>
  <c r="D145" i="237"/>
  <c r="N6" i="18"/>
  <c r="H130" i="237"/>
  <c r="H57" i="223"/>
  <c r="I20" i="1"/>
  <c r="K56" i="237"/>
  <c r="H171" i="223"/>
  <c r="AG19" i="18"/>
  <c r="J72" i="237"/>
  <c r="K153" i="223"/>
  <c r="BJ3" i="18"/>
  <c r="L130" i="237"/>
  <c r="I173" i="223"/>
  <c r="M154" i="223"/>
  <c r="BC8" i="18"/>
  <c r="N94" i="237"/>
  <c r="BD8" i="18"/>
  <c r="AZ8" i="18"/>
  <c r="E181" i="237"/>
  <c r="AY26" i="15"/>
  <c r="AN17" i="18"/>
  <c r="BI21" i="15"/>
  <c r="AV17" i="18"/>
  <c r="G164" i="223"/>
  <c r="BH13" i="18"/>
  <c r="AY17" i="18"/>
  <c r="K140" i="223"/>
  <c r="K172" i="237"/>
  <c r="AG20" i="18"/>
  <c r="H189" i="223"/>
  <c r="G10" i="18"/>
  <c r="I168" i="237"/>
  <c r="B28" i="237"/>
  <c r="J7" i="18"/>
  <c r="K92" i="237"/>
  <c r="AX34" i="18"/>
  <c r="C81" i="18" s="1"/>
  <c r="BQ27" i="15"/>
  <c r="BS29" i="15"/>
  <c r="I120" i="237"/>
  <c r="M141" i="237"/>
  <c r="D89" i="237"/>
  <c r="F138" i="223"/>
  <c r="AR24" i="15"/>
  <c r="AJ18" i="18"/>
  <c r="M170" i="223"/>
  <c r="K173" i="237"/>
  <c r="C77" i="223"/>
  <c r="M28" i="237"/>
  <c r="M53" i="237"/>
  <c r="K70" i="237"/>
  <c r="AX20" i="18"/>
  <c r="C67" i="237"/>
  <c r="AE28" i="1"/>
  <c r="AE20" i="15"/>
  <c r="I17" i="1"/>
  <c r="P20" i="18"/>
  <c r="AW21" i="18"/>
  <c r="B147" i="237"/>
  <c r="L160" i="237"/>
  <c r="B33" i="237"/>
  <c r="D26" i="237"/>
  <c r="D55" i="237"/>
  <c r="BE20" i="18"/>
  <c r="L72" i="237"/>
  <c r="B72" i="237"/>
  <c r="AP22" i="18"/>
  <c r="T6" i="18"/>
  <c r="K185" i="237"/>
  <c r="N135" i="237"/>
  <c r="AP29" i="15"/>
  <c r="AQ13" i="18"/>
  <c r="J183" i="237"/>
  <c r="J152" i="237"/>
  <c r="G125" i="237"/>
  <c r="H24" i="15"/>
  <c r="O3" i="18"/>
  <c r="G73" i="237"/>
  <c r="AM21" i="15"/>
  <c r="R18" i="18"/>
  <c r="L125" i="237"/>
  <c r="AR14" i="18"/>
  <c r="D44" i="223"/>
  <c r="N179" i="237"/>
  <c r="K31" i="15"/>
  <c r="B156" i="223"/>
  <c r="C119" i="237"/>
  <c r="M40" i="223"/>
  <c r="D132" i="237"/>
  <c r="AK13" i="18"/>
  <c r="BI3" i="18"/>
  <c r="AX10" i="18"/>
  <c r="J124" i="237"/>
  <c r="AJ20" i="15"/>
  <c r="K8" i="18"/>
  <c r="F27" i="223"/>
  <c r="P22" i="15"/>
  <c r="K29" i="15"/>
  <c r="M102" i="223"/>
  <c r="BL17" i="18"/>
  <c r="D37" i="223"/>
  <c r="J67" i="223"/>
  <c r="S15" i="18"/>
  <c r="I136" i="223"/>
  <c r="B89" i="237"/>
  <c r="AQ2" i="1"/>
  <c r="W9" i="18"/>
  <c r="I156" i="237"/>
  <c r="F180" i="237"/>
  <c r="K90" i="237"/>
  <c r="E163" i="223"/>
  <c r="M74" i="223"/>
  <c r="K24" i="237"/>
  <c r="AY10" i="18"/>
  <c r="AR2" i="1"/>
  <c r="G122" i="223"/>
  <c r="N24" i="15"/>
  <c r="F21" i="223"/>
  <c r="D83" i="223"/>
  <c r="B124" i="223"/>
  <c r="K10" i="18"/>
  <c r="E101" i="223"/>
  <c r="C137" i="237"/>
  <c r="C71" i="237"/>
  <c r="G116" i="237"/>
  <c r="L90" i="223"/>
  <c r="H54" i="237"/>
  <c r="N124" i="237"/>
  <c r="D74" i="237"/>
  <c r="BN26" i="15"/>
  <c r="H102" i="223"/>
  <c r="BS21" i="15"/>
  <c r="BR30" i="15"/>
  <c r="B118" i="223"/>
  <c r="AV2" i="1"/>
  <c r="M59" i="223"/>
  <c r="D84" i="237"/>
  <c r="B189" i="237"/>
  <c r="U23" i="15"/>
  <c r="E135" i="237"/>
  <c r="J61" i="237"/>
  <c r="E22" i="223"/>
  <c r="B150" i="223"/>
  <c r="N151" i="223"/>
  <c r="Y25" i="15"/>
  <c r="L117" i="237"/>
  <c r="E25" i="237"/>
  <c r="M19" i="15"/>
  <c r="H25" i="237"/>
  <c r="B136" i="237"/>
  <c r="AQ7" i="18"/>
  <c r="AJ2" i="1"/>
  <c r="E130" i="237"/>
  <c r="G31" i="15"/>
  <c r="I14" i="1"/>
  <c r="K95" i="237"/>
  <c r="BN14" i="18"/>
  <c r="K21" i="15"/>
  <c r="G79" i="237"/>
  <c r="BK31" i="15"/>
  <c r="R11" i="18"/>
  <c r="AT22" i="18"/>
  <c r="J132" i="237"/>
  <c r="B92" i="223"/>
  <c r="I57" i="237"/>
  <c r="B41" i="223"/>
  <c r="H180" i="237"/>
  <c r="G72" i="223"/>
  <c r="B38" i="237"/>
  <c r="I89" i="237"/>
  <c r="D149" i="223"/>
  <c r="BG19" i="15"/>
  <c r="G32" i="237"/>
  <c r="N121" i="223"/>
  <c r="C25" i="223"/>
  <c r="H122" i="223"/>
  <c r="M88" i="223"/>
  <c r="AY25" i="15"/>
  <c r="T5" i="18"/>
  <c r="AK21" i="15"/>
  <c r="Q30" i="15"/>
  <c r="L79" i="223"/>
  <c r="O28" i="1"/>
  <c r="J69" i="223"/>
  <c r="E46" i="237"/>
  <c r="N122" i="223"/>
  <c r="AE17" i="18"/>
  <c r="G22" i="15"/>
  <c r="C52" i="18"/>
  <c r="BL34" i="18"/>
  <c r="M101" i="223"/>
  <c r="Y34" i="18"/>
  <c r="C95" i="18"/>
  <c r="AF17" i="18"/>
  <c r="V18" i="18"/>
  <c r="H29" i="15"/>
  <c r="K22" i="15"/>
  <c r="Q29" i="15"/>
  <c r="X4" i="18"/>
  <c r="D185" i="223"/>
  <c r="AE4" i="18"/>
  <c r="J86" i="237"/>
  <c r="B31" i="14"/>
  <c r="AY22" i="15"/>
  <c r="V16" i="18"/>
  <c r="AP17" i="18"/>
  <c r="C170" i="223"/>
  <c r="AW3" i="18"/>
  <c r="C189" i="223"/>
  <c r="AC21" i="15"/>
  <c r="C93" i="237"/>
  <c r="D88" i="237"/>
  <c r="BF34" i="18"/>
  <c r="BS24" i="15"/>
  <c r="C124" i="237"/>
  <c r="K41" i="223"/>
  <c r="N168" i="237"/>
  <c r="D154" i="237"/>
  <c r="B55" i="237"/>
  <c r="I87" i="237"/>
  <c r="AY3" i="18"/>
  <c r="U9" i="18"/>
  <c r="AN5" i="18"/>
  <c r="AQ14" i="18"/>
  <c r="J54" i="223"/>
  <c r="Z6" i="18"/>
  <c r="M75" i="223"/>
  <c r="BJ7" i="18"/>
  <c r="K93" i="223"/>
  <c r="B161" i="237"/>
  <c r="K83" i="223"/>
  <c r="BJ24" i="15"/>
  <c r="C179" i="223"/>
  <c r="C160" i="237"/>
  <c r="BM34" i="18"/>
  <c r="C30" i="1"/>
  <c r="L163" i="223"/>
  <c r="BK17" i="18"/>
  <c r="J23" i="223"/>
  <c r="F58" i="223"/>
  <c r="AF26" i="15"/>
  <c r="C127" i="223"/>
  <c r="P15" i="18"/>
  <c r="B75" i="223"/>
  <c r="O8" i="18"/>
  <c r="K42" i="223"/>
  <c r="F8" i="1"/>
  <c r="D77" i="223"/>
  <c r="B102" i="237"/>
  <c r="BC22" i="15"/>
  <c r="AM2" i="1"/>
  <c r="AI3" i="18"/>
  <c r="AC10" i="18"/>
  <c r="G92" i="223"/>
  <c r="E182" i="237"/>
  <c r="AK2" i="18"/>
  <c r="N124" i="223"/>
  <c r="L165" i="223"/>
  <c r="B115" i="223"/>
  <c r="L33" i="223"/>
  <c r="N91" i="223"/>
  <c r="AD20" i="18"/>
  <c r="L126" i="237"/>
  <c r="K25" i="223"/>
  <c r="AE18" i="18"/>
  <c r="AG29" i="15"/>
  <c r="AA19" i="18"/>
  <c r="AH6" i="18"/>
  <c r="E118" i="223"/>
  <c r="F150" i="237"/>
  <c r="F58" i="237"/>
  <c r="AC28" i="15"/>
  <c r="D138" i="223"/>
  <c r="E188" i="237"/>
  <c r="I37" i="237"/>
  <c r="BN10" i="18"/>
  <c r="AF19" i="15"/>
  <c r="J31" i="223"/>
  <c r="AW21" i="15"/>
  <c r="C82" i="18"/>
  <c r="C87" i="18"/>
  <c r="F137" i="223"/>
  <c r="C133" i="237"/>
  <c r="I184" i="237"/>
  <c r="H73" i="237"/>
  <c r="E186" i="237"/>
  <c r="BC29" i="15"/>
  <c r="K130" i="223"/>
  <c r="AM4" i="18"/>
  <c r="O10" i="18"/>
  <c r="C86" i="237"/>
  <c r="F24" i="237"/>
  <c r="AB9" i="18"/>
  <c r="AG13" i="18"/>
  <c r="J119" i="223"/>
  <c r="AF4" i="18"/>
  <c r="M133" i="237"/>
  <c r="D89" i="223"/>
  <c r="AR13" i="18"/>
  <c r="M38" i="237"/>
  <c r="I30" i="15"/>
  <c r="U31" i="15"/>
  <c r="L145" i="237"/>
  <c r="BK28" i="15"/>
  <c r="M58" i="223"/>
  <c r="G172" i="237"/>
  <c r="AR16" i="18"/>
  <c r="B84" i="237"/>
  <c r="M115" i="223"/>
  <c r="B35" i="18"/>
  <c r="L127" i="223"/>
  <c r="G94" i="237"/>
  <c r="H32" i="223"/>
  <c r="K118" i="223"/>
  <c r="AS2" i="18"/>
  <c r="B54" i="237"/>
  <c r="D24" i="223"/>
  <c r="BM29" i="15"/>
  <c r="E185" i="223"/>
  <c r="M80" i="237"/>
  <c r="L93" i="237"/>
  <c r="U22" i="15"/>
  <c r="J95" i="223"/>
  <c r="F115" i="237"/>
  <c r="I161" i="223"/>
  <c r="AT27" i="15"/>
  <c r="M58" i="237"/>
  <c r="I4" i="1"/>
  <c r="AS6" i="18"/>
  <c r="L135" i="237"/>
  <c r="C135" i="223"/>
  <c r="H71" i="237"/>
  <c r="E170" i="237"/>
  <c r="F188" i="237"/>
  <c r="N172" i="223"/>
  <c r="AW14" i="18"/>
  <c r="D76" i="223"/>
  <c r="BE18" i="18"/>
  <c r="E149" i="237"/>
  <c r="L23" i="237"/>
  <c r="K166" i="223"/>
  <c r="B23" i="237"/>
  <c r="BD18" i="18"/>
  <c r="AJ34" i="18"/>
  <c r="AJ17" i="18"/>
  <c r="M30" i="237"/>
  <c r="AT17" i="18"/>
  <c r="L74" i="223"/>
  <c r="M92" i="223"/>
  <c r="F154" i="237"/>
  <c r="C24" i="237"/>
  <c r="B33" i="14"/>
  <c r="K54" i="223"/>
  <c r="AB2" i="18"/>
  <c r="BV30" i="15"/>
  <c r="L4" i="18"/>
  <c r="J44" i="223"/>
  <c r="B43" i="237"/>
  <c r="X21" i="18"/>
  <c r="C74" i="223"/>
  <c r="H123" i="237"/>
  <c r="BG20" i="18"/>
  <c r="V5" i="18"/>
  <c r="K69" i="223"/>
  <c r="C31" i="223"/>
  <c r="BL7" i="18"/>
  <c r="BM23" i="15"/>
  <c r="BU20" i="15"/>
  <c r="AV14" i="18"/>
  <c r="K150" i="237"/>
  <c r="L127" i="237"/>
  <c r="V22" i="15"/>
  <c r="M162" i="237"/>
  <c r="AU26" i="15"/>
  <c r="AQ23" i="15"/>
  <c r="N150" i="223"/>
  <c r="L56" i="237"/>
  <c r="S14" i="18"/>
  <c r="BQ29" i="15"/>
  <c r="L22" i="15"/>
  <c r="B12" i="185"/>
  <c r="AS10" i="18"/>
  <c r="K120" i="223"/>
  <c r="AB28" i="1"/>
  <c r="J133" i="223"/>
  <c r="AO24" i="15"/>
  <c r="Y16" i="18"/>
  <c r="BA7" i="18"/>
  <c r="K24" i="15"/>
  <c r="BI10" i="18"/>
  <c r="F40" i="223"/>
  <c r="Y10" i="18"/>
  <c r="H31" i="237"/>
  <c r="BQ30" i="15"/>
  <c r="C78" i="223"/>
  <c r="BH28" i="15"/>
  <c r="G165" i="237"/>
  <c r="K184" i="237"/>
  <c r="K181" i="237"/>
  <c r="G165" i="223"/>
  <c r="X8" i="18"/>
  <c r="BK13" i="18"/>
  <c r="C75" i="18"/>
  <c r="D92" i="223"/>
  <c r="D119" i="223"/>
  <c r="AE15" i="18"/>
  <c r="H91" i="237"/>
  <c r="AG2" i="1"/>
  <c r="AG30" i="15"/>
  <c r="K136" i="223"/>
  <c r="J73" i="237"/>
  <c r="AT21" i="18"/>
  <c r="G122" i="237"/>
  <c r="L121" i="223"/>
  <c r="D140" i="223"/>
  <c r="BL9" i="18"/>
  <c r="D54" i="223"/>
  <c r="I71" i="237"/>
  <c r="AP9" i="18"/>
  <c r="S83" i="18"/>
  <c r="E38" i="223"/>
  <c r="I145" i="223"/>
  <c r="C76" i="18"/>
  <c r="AL19" i="15"/>
  <c r="B130" i="223"/>
  <c r="D45" i="237"/>
  <c r="C22" i="237"/>
  <c r="E164" i="237"/>
  <c r="B38" i="14"/>
  <c r="BD21" i="18"/>
  <c r="U26" i="15"/>
  <c r="BE2" i="1"/>
  <c r="AN28" i="15"/>
  <c r="AC31" i="15"/>
  <c r="AZ53" i="18"/>
  <c r="AV9" i="18"/>
  <c r="O2" i="18"/>
  <c r="K71" i="223"/>
  <c r="J138" i="223"/>
  <c r="I171" i="237"/>
  <c r="H145" i="237"/>
  <c r="M39" i="237"/>
  <c r="E72" i="237"/>
  <c r="N149" i="223"/>
  <c r="BE20" i="15"/>
  <c r="C94" i="237"/>
  <c r="C181" i="237"/>
  <c r="L84" i="237"/>
  <c r="AZ19" i="15"/>
  <c r="V83" i="18"/>
  <c r="BL18" i="18"/>
  <c r="K100" i="223"/>
  <c r="J186" i="223"/>
  <c r="E131" i="223"/>
  <c r="BI16" i="18"/>
  <c r="C42" i="223"/>
  <c r="BN50" i="18"/>
  <c r="AP79" i="18"/>
  <c r="AV53" i="18"/>
  <c r="AW20" i="15"/>
  <c r="B62" i="14"/>
  <c r="M54" i="223"/>
  <c r="W12" i="18"/>
  <c r="AA28" i="15"/>
  <c r="BN97" i="18"/>
  <c r="AS13" i="18"/>
  <c r="I125" i="223"/>
  <c r="I24" i="237"/>
  <c r="R2" i="1"/>
  <c r="O46" i="18"/>
  <c r="BL21" i="18"/>
  <c r="F138" i="237"/>
  <c r="N115" i="223"/>
  <c r="AX16" i="18"/>
  <c r="AC29" i="15"/>
  <c r="I20" i="18"/>
  <c r="M26" i="15"/>
  <c r="K28" i="14"/>
  <c r="L119" i="237"/>
  <c r="B80" i="237"/>
  <c r="AE22" i="18"/>
  <c r="Z2" i="18"/>
  <c r="AR3" i="18"/>
  <c r="F149" i="237"/>
  <c r="J27" i="223"/>
  <c r="S28" i="15"/>
  <c r="AK5" i="18"/>
  <c r="G60" i="223"/>
  <c r="I135" i="237"/>
  <c r="G21" i="18"/>
  <c r="BF11" i="18"/>
  <c r="I103" i="223"/>
  <c r="AI19" i="18"/>
  <c r="E85" i="237"/>
  <c r="V26" i="15"/>
  <c r="E156" i="237"/>
  <c r="BF8" i="18"/>
  <c r="BJ21" i="15"/>
  <c r="X9" i="18"/>
  <c r="J24" i="15"/>
  <c r="M121" i="237"/>
  <c r="D127" i="237"/>
  <c r="AG3" i="18"/>
  <c r="D80" i="237"/>
  <c r="H160" i="237"/>
  <c r="AW30" i="15"/>
  <c r="L3" i="18"/>
  <c r="BE22" i="18"/>
  <c r="N20" i="237"/>
  <c r="C80" i="18"/>
  <c r="D123" i="223"/>
  <c r="L138" i="223"/>
  <c r="J60" i="237"/>
  <c r="H32" i="237"/>
  <c r="AL7" i="18"/>
  <c r="BP31" i="15"/>
  <c r="J43" i="237"/>
  <c r="AT6" i="18"/>
  <c r="D74" i="223"/>
  <c r="H124" i="237"/>
  <c r="AA20" i="15"/>
  <c r="AX23" i="15"/>
  <c r="C78" i="18"/>
  <c r="B37" i="223"/>
  <c r="AU14" i="18"/>
  <c r="C131" i="237"/>
  <c r="Q27" i="15"/>
  <c r="D155" i="237"/>
  <c r="L26" i="223"/>
  <c r="C83" i="223"/>
  <c r="I73" i="223"/>
  <c r="N26" i="223"/>
  <c r="E154" i="237"/>
  <c r="H38" i="223"/>
  <c r="M149" i="223"/>
  <c r="AT4" i="18"/>
  <c r="AX6" i="18"/>
  <c r="C86" i="18"/>
  <c r="I187" i="237"/>
  <c r="C37" i="223"/>
  <c r="K180" i="223"/>
  <c r="AR10" i="18"/>
  <c r="F155" i="223"/>
  <c r="M43" i="223"/>
  <c r="H182" i="237"/>
  <c r="BG21" i="15"/>
  <c r="H122" i="237"/>
  <c r="B67" i="237"/>
  <c r="M95" i="223"/>
  <c r="G77" i="223"/>
  <c r="Y22" i="15"/>
  <c r="D115" i="223"/>
  <c r="F41" i="223"/>
  <c r="N84" i="223"/>
  <c r="B119" i="223"/>
  <c r="E55" i="237"/>
  <c r="BJ22" i="15"/>
  <c r="I75" i="237"/>
  <c r="G73" i="223"/>
  <c r="K147" i="237"/>
  <c r="AA22" i="15"/>
  <c r="K92" i="223"/>
  <c r="C91" i="223"/>
  <c r="AO30" i="15"/>
  <c r="F173" i="237"/>
  <c r="M164" i="237"/>
  <c r="B6" i="185"/>
  <c r="B116" i="223"/>
  <c r="H74" i="223"/>
  <c r="E148" i="237"/>
  <c r="N161" i="223"/>
  <c r="L27" i="237"/>
  <c r="C94" i="18"/>
  <c r="BM14" i="18"/>
  <c r="G137" i="223"/>
  <c r="N118" i="237"/>
  <c r="I13" i="1"/>
  <c r="AW29" i="15"/>
  <c r="AQ20" i="18"/>
  <c r="G20" i="237"/>
  <c r="U17" i="18"/>
  <c r="BB23" i="15"/>
  <c r="C48" i="18"/>
  <c r="J85" i="237"/>
  <c r="AE24" i="15"/>
  <c r="BG17" i="18"/>
  <c r="M77" i="223"/>
  <c r="G24" i="15"/>
  <c r="H41" i="237"/>
  <c r="C67" i="223"/>
  <c r="N43" i="237"/>
  <c r="H155" i="223"/>
  <c r="E39" i="223"/>
  <c r="D122" i="223"/>
  <c r="M8" i="18"/>
  <c r="K44" i="237"/>
  <c r="H5" i="18"/>
  <c r="BO20" i="15"/>
  <c r="BO27" i="15"/>
  <c r="B37" i="14"/>
  <c r="F130" i="237"/>
  <c r="J134" i="237"/>
  <c r="AG2" i="18"/>
  <c r="L54" i="237"/>
  <c r="C173" i="237"/>
  <c r="I100" i="237"/>
  <c r="F27" i="237"/>
  <c r="C122" i="223"/>
  <c r="Z34" i="18"/>
  <c r="N183" i="237"/>
  <c r="D31" i="237"/>
  <c r="I163" i="223"/>
  <c r="K135" i="223"/>
  <c r="D126" i="223"/>
  <c r="J41" i="237"/>
  <c r="AX27" i="15"/>
  <c r="I116" i="237"/>
  <c r="G134" i="237"/>
  <c r="I133" i="223"/>
  <c r="F126" i="237"/>
  <c r="T15" i="18"/>
  <c r="J56" i="223"/>
  <c r="B92" i="237"/>
  <c r="H160" i="223"/>
  <c r="B78" i="223"/>
  <c r="M12" i="18"/>
  <c r="AJ4" i="18"/>
  <c r="N183" i="223"/>
  <c r="N117" i="223"/>
  <c r="G152" i="223"/>
  <c r="AB18" i="18"/>
  <c r="I69" i="223"/>
  <c r="K88" i="223"/>
  <c r="F165" i="223"/>
  <c r="L70" i="223"/>
  <c r="B39" i="237"/>
  <c r="L19" i="18"/>
  <c r="BE83" i="18"/>
  <c r="O50" i="18"/>
  <c r="S53" i="18"/>
  <c r="BF83" i="18"/>
  <c r="F71" i="223"/>
  <c r="F186" i="223"/>
  <c r="B100" i="223"/>
  <c r="K59" i="237"/>
  <c r="D140" i="237"/>
  <c r="V34" i="18"/>
  <c r="C53" i="18" s="1"/>
  <c r="K138" i="223"/>
  <c r="Z28" i="1"/>
  <c r="K3" i="18"/>
  <c r="D92" i="237"/>
  <c r="E74" i="223"/>
  <c r="G179" i="237"/>
  <c r="D73" i="223"/>
  <c r="K23" i="223"/>
  <c r="H127" i="237"/>
  <c r="S97" i="18"/>
  <c r="D169" i="237"/>
  <c r="J161" i="237"/>
  <c r="K160" i="237"/>
  <c r="AV50" i="18"/>
  <c r="BF88" i="18"/>
  <c r="AP73" i="18"/>
  <c r="C94" i="223"/>
  <c r="C145" i="223"/>
  <c r="BD4" i="18"/>
  <c r="AM3" i="18"/>
  <c r="D133" i="223"/>
  <c r="B75" i="237"/>
  <c r="D183" i="223"/>
  <c r="L149" i="237"/>
  <c r="F118" i="223"/>
  <c r="J118" i="223"/>
  <c r="D56" i="223"/>
  <c r="C77" i="237"/>
  <c r="C70" i="18"/>
  <c r="F77" i="237"/>
  <c r="M85" i="237"/>
  <c r="AE22" i="15"/>
  <c r="AN3" i="18"/>
  <c r="M77" i="237"/>
  <c r="M186" i="223"/>
  <c r="N42" i="223"/>
  <c r="BN53" i="18"/>
  <c r="AV83" i="18"/>
  <c r="D28" i="237"/>
  <c r="B102" i="223"/>
  <c r="C40" i="18"/>
  <c r="I155" i="223"/>
  <c r="D85" i="223"/>
  <c r="AP55" i="18"/>
  <c r="AV97" i="18"/>
  <c r="AZ30" i="15"/>
  <c r="I8" i="1"/>
  <c r="J169" i="237"/>
  <c r="H133" i="237"/>
  <c r="L13" i="18"/>
  <c r="L75" i="223"/>
  <c r="AZ97" i="18"/>
  <c r="AV88" i="18"/>
  <c r="BF97" i="18"/>
  <c r="S89" i="18"/>
  <c r="E68" i="223"/>
  <c r="AN19" i="15"/>
  <c r="AM19" i="18"/>
  <c r="E140" i="237"/>
  <c r="BD21" i="15"/>
  <c r="E156" i="223"/>
  <c r="AI28" i="15"/>
  <c r="M118" i="223"/>
  <c r="BM7" i="18"/>
  <c r="N156" i="223"/>
  <c r="N83" i="237"/>
  <c r="Z23" i="15"/>
  <c r="F170" i="237"/>
  <c r="J31" i="237"/>
  <c r="C115" i="223"/>
  <c r="I15" i="18"/>
  <c r="M90" i="223"/>
  <c r="BD9" i="18"/>
  <c r="C90" i="18"/>
  <c r="J62" i="223"/>
  <c r="K87" i="237"/>
  <c r="Q23" i="15"/>
  <c r="Y27" i="15"/>
  <c r="H151" i="223"/>
  <c r="E116" i="237"/>
  <c r="AA23" i="15"/>
  <c r="K5" i="18"/>
  <c r="T8" i="18"/>
  <c r="Q2" i="18"/>
  <c r="C162" i="237"/>
  <c r="L138" i="237"/>
  <c r="AF20" i="15"/>
  <c r="AD15" i="18"/>
  <c r="L73" i="237"/>
  <c r="AC11" i="18"/>
  <c r="AN2" i="18"/>
  <c r="AF3" i="18"/>
  <c r="AD18" i="18"/>
  <c r="BC12" i="18"/>
  <c r="AB10" i="18"/>
  <c r="AO16" i="18"/>
  <c r="N2" i="1"/>
  <c r="M182" i="223"/>
  <c r="G138" i="237"/>
  <c r="AX13" i="18"/>
  <c r="BF29" i="15"/>
  <c r="H22" i="18"/>
  <c r="B23" i="14"/>
  <c r="C151" i="223"/>
  <c r="J74" i="223"/>
  <c r="AZ21" i="15"/>
  <c r="AB26" i="15"/>
  <c r="N136" i="237"/>
  <c r="J94" i="237"/>
  <c r="G186" i="223"/>
  <c r="L31" i="223"/>
  <c r="G136" i="223"/>
  <c r="AF2" i="1"/>
  <c r="N148" i="223"/>
  <c r="S31" i="15"/>
  <c r="AD16" i="18"/>
  <c r="AG8" i="18"/>
  <c r="AG21" i="18"/>
  <c r="B22" i="223"/>
  <c r="M25" i="15"/>
  <c r="K131" i="223"/>
  <c r="L29" i="223"/>
  <c r="K29" i="14"/>
  <c r="AN6" i="18"/>
  <c r="AN88" i="18" s="1"/>
  <c r="J163" i="237"/>
  <c r="BD12" i="18"/>
  <c r="J13" i="18"/>
  <c r="L25" i="15"/>
  <c r="M147" i="223"/>
  <c r="AE16" i="18"/>
  <c r="K156" i="223"/>
  <c r="F87" i="237"/>
  <c r="BD25" i="15"/>
  <c r="K153" i="237"/>
  <c r="F141" i="237"/>
  <c r="N101" i="223"/>
  <c r="C49" i="18"/>
  <c r="C91" i="18"/>
  <c r="B32" i="223"/>
  <c r="U4" i="18"/>
  <c r="M94" i="223"/>
  <c r="N7" i="18"/>
  <c r="M30" i="15"/>
  <c r="G182" i="237"/>
  <c r="D88" i="223"/>
  <c r="AV29" i="15"/>
  <c r="C45" i="18"/>
  <c r="N86" i="223"/>
  <c r="H166" i="223"/>
  <c r="K135" i="237"/>
  <c r="J37" i="237"/>
  <c r="BG6" i="18"/>
  <c r="I53" i="223"/>
  <c r="F170" i="223"/>
  <c r="B100" i="237"/>
  <c r="L27" i="15"/>
  <c r="V28" i="15"/>
  <c r="K62" i="223"/>
  <c r="E69" i="223"/>
  <c r="H125" i="237"/>
  <c r="D61" i="237"/>
  <c r="AO3" i="18"/>
  <c r="E172" i="223"/>
  <c r="AA9" i="18"/>
  <c r="AT18" i="18"/>
  <c r="C28" i="223"/>
  <c r="D38" i="237"/>
  <c r="BJ26" i="15"/>
  <c r="AF16" i="18"/>
  <c r="K180" i="237"/>
  <c r="BG29" i="15"/>
  <c r="P10" i="18"/>
  <c r="I28" i="223"/>
  <c r="AS12" i="18"/>
  <c r="L147" i="237"/>
  <c r="M21" i="15"/>
  <c r="L141" i="237"/>
  <c r="B20" i="14"/>
  <c r="AG34" i="18"/>
  <c r="BG21" i="18"/>
  <c r="Z13" i="18"/>
  <c r="B24" i="14"/>
  <c r="BA28" i="15"/>
  <c r="AI16" i="18"/>
  <c r="L187" i="223"/>
  <c r="BA16" i="18"/>
  <c r="BL4" i="18"/>
  <c r="E135" i="223"/>
  <c r="J93" i="223"/>
  <c r="K123" i="223"/>
  <c r="AB11" i="18"/>
  <c r="Z14" i="18"/>
  <c r="E43" i="223"/>
  <c r="F32" i="237"/>
  <c r="AS21" i="15"/>
  <c r="AC34" i="18"/>
  <c r="AE8" i="18"/>
  <c r="S57" i="18"/>
  <c r="F154" i="223"/>
  <c r="AB19" i="18"/>
  <c r="E168" i="223"/>
  <c r="BJ18" i="18"/>
  <c r="K134" i="237"/>
  <c r="L41" i="237"/>
  <c r="D76" i="237"/>
  <c r="F150" i="223"/>
  <c r="K59" i="14"/>
  <c r="Y19" i="18"/>
  <c r="AT16" i="18"/>
  <c r="I25" i="15"/>
  <c r="V46" i="18"/>
  <c r="AZ89" i="18"/>
  <c r="AI7" i="18"/>
  <c r="G185" i="237"/>
  <c r="C72" i="18"/>
  <c r="M139" i="223"/>
  <c r="AV31" i="15"/>
  <c r="BJ17" i="18"/>
  <c r="F146" i="237"/>
  <c r="F19" i="1"/>
  <c r="K171" i="223"/>
  <c r="G57" i="223"/>
  <c r="O97" i="18"/>
  <c r="L6" i="14"/>
  <c r="F169" i="237"/>
  <c r="B172" i="223"/>
  <c r="AW31" i="15"/>
  <c r="J20" i="223"/>
  <c r="I161" i="237"/>
  <c r="C43" i="18"/>
  <c r="AP46" i="18"/>
  <c r="S46" i="18"/>
  <c r="V50" i="18"/>
  <c r="AP53" i="18"/>
  <c r="J84" i="18"/>
  <c r="O41" i="18"/>
  <c r="AP41" i="18"/>
  <c r="Z97" i="18"/>
  <c r="AU9" i="18"/>
  <c r="Y20" i="18"/>
  <c r="G148" i="237"/>
  <c r="AQ19" i="18"/>
  <c r="I3" i="1"/>
  <c r="AZ55" i="18"/>
  <c r="AO12" i="18"/>
  <c r="BT21" i="15"/>
  <c r="C68" i="18"/>
  <c r="K27" i="223"/>
  <c r="D153" i="237"/>
  <c r="J45" i="223"/>
  <c r="X55" i="18"/>
  <c r="BD27" i="15"/>
  <c r="H163" i="223"/>
  <c r="M5" i="18"/>
  <c r="BE50" i="18"/>
  <c r="AE83" i="18"/>
  <c r="J41" i="223"/>
  <c r="J69" i="237"/>
  <c r="AD14" i="18"/>
  <c r="M79" i="18"/>
  <c r="AP44" i="18"/>
  <c r="S73" i="18"/>
  <c r="Z74" i="18"/>
  <c r="AE55" i="18"/>
  <c r="AD53" i="18"/>
  <c r="AP83" i="18"/>
  <c r="S84" i="18"/>
  <c r="AP34" i="18"/>
  <c r="K145" i="223"/>
  <c r="BN24" i="15"/>
  <c r="AO19" i="18"/>
  <c r="B126" i="237"/>
  <c r="AY2" i="18"/>
  <c r="AH14" i="18"/>
  <c r="F185" i="223"/>
  <c r="J148" i="223"/>
  <c r="Z30" i="15"/>
  <c r="L70" i="237"/>
  <c r="AT10" i="18"/>
  <c r="BG74" i="18"/>
  <c r="C56" i="18"/>
  <c r="N122" i="237"/>
  <c r="I169" i="237"/>
  <c r="B42" i="223"/>
  <c r="Y83" i="18"/>
  <c r="C183" i="223"/>
  <c r="AG17" i="18"/>
  <c r="B88" i="223"/>
  <c r="C92" i="18"/>
  <c r="AZ57" i="18"/>
  <c r="AV84" i="18"/>
  <c r="BF61" i="18"/>
  <c r="BD88" i="18"/>
  <c r="Z88" i="18"/>
  <c r="AV64" i="18"/>
  <c r="BG44" i="18"/>
  <c r="AD73" i="18"/>
  <c r="AE50" i="18"/>
  <c r="AN74" i="18"/>
  <c r="BG55" i="18"/>
  <c r="BD62" i="18"/>
  <c r="AP62" i="18"/>
  <c r="BF62" i="18"/>
  <c r="X83" i="18"/>
  <c r="X64" i="18"/>
  <c r="C79" i="18"/>
  <c r="K164" i="237"/>
  <c r="B27" i="237"/>
  <c r="I117" i="237"/>
  <c r="BE77" i="18"/>
  <c r="L89" i="223"/>
  <c r="G162" i="237"/>
  <c r="AG87" i="18"/>
  <c r="AG56" i="18"/>
  <c r="AP88" i="18"/>
  <c r="AT84" i="18"/>
  <c r="BG56" i="18"/>
  <c r="BG97" i="18"/>
  <c r="AD97" i="18"/>
  <c r="AZ73" i="18"/>
  <c r="AE88" i="18"/>
  <c r="AG88" i="18"/>
  <c r="Y90" i="18"/>
  <c r="BG87" i="18"/>
  <c r="Y74" i="18"/>
  <c r="AZ77" i="18"/>
  <c r="AZ84" i="18"/>
  <c r="J68" i="237"/>
  <c r="AX25" i="15"/>
  <c r="V84" i="18"/>
  <c r="U11" i="18"/>
  <c r="AT2" i="1"/>
  <c r="AZ90" i="18"/>
  <c r="AV74" i="18"/>
  <c r="M55" i="18"/>
  <c r="V53" i="18"/>
  <c r="AP56" i="18"/>
  <c r="AQ97" i="18"/>
  <c r="M89" i="18"/>
  <c r="BA89" i="18"/>
  <c r="Y73" i="18"/>
  <c r="AP87" i="18"/>
  <c r="K134" i="223"/>
  <c r="N180" i="237"/>
  <c r="F91" i="223"/>
  <c r="BL28" i="15"/>
  <c r="C77" i="18"/>
  <c r="B8" i="185"/>
  <c r="D90" i="237"/>
  <c r="G154" i="237"/>
  <c r="I80" i="223"/>
  <c r="C127" i="237"/>
  <c r="M79" i="223"/>
  <c r="H59" i="223"/>
  <c r="AO13" i="18"/>
  <c r="F70" i="223"/>
  <c r="AH5" i="18"/>
  <c r="BB22" i="15"/>
  <c r="M171" i="237"/>
  <c r="Q7" i="18"/>
  <c r="M22" i="223"/>
  <c r="H155" i="237"/>
  <c r="BC28" i="1"/>
  <c r="AF14" i="18"/>
  <c r="D102" i="237"/>
  <c r="L41" i="223"/>
  <c r="L115" i="237"/>
  <c r="W7" i="18"/>
  <c r="E163" i="237"/>
  <c r="I181" i="237"/>
  <c r="M165" i="237"/>
  <c r="K149" i="237"/>
  <c r="H93" i="237"/>
  <c r="AW28" i="1"/>
  <c r="I7" i="18"/>
  <c r="B30" i="223"/>
  <c r="I10" i="18"/>
  <c r="I30" i="223"/>
  <c r="M160" i="237"/>
  <c r="L186" i="223"/>
  <c r="BM3" i="18"/>
  <c r="J125" i="237"/>
  <c r="L132" i="237"/>
  <c r="BC26" i="15"/>
  <c r="AJ20" i="18"/>
  <c r="AE2" i="1"/>
  <c r="M44" i="237"/>
  <c r="L85" i="223"/>
  <c r="H30" i="237"/>
  <c r="J92" i="237"/>
  <c r="B101" i="237"/>
  <c r="K165" i="223"/>
  <c r="M169" i="237"/>
  <c r="H69" i="237"/>
  <c r="I115" i="223"/>
  <c r="BC15" i="18"/>
  <c r="AK17" i="18"/>
  <c r="BL20" i="18"/>
  <c r="J90" i="237"/>
  <c r="K163" i="237"/>
  <c r="H22" i="223"/>
  <c r="H60" i="237"/>
  <c r="BK6" i="18"/>
  <c r="I122" i="237"/>
  <c r="H186" i="223"/>
  <c r="AI17" i="18"/>
  <c r="AR7" i="18"/>
  <c r="AM12" i="18"/>
  <c r="BJ14" i="18"/>
  <c r="M189" i="223"/>
  <c r="AB15" i="18"/>
  <c r="D28" i="223"/>
  <c r="N39" i="223"/>
  <c r="C138" i="223"/>
  <c r="E189" i="237"/>
  <c r="F76" i="223"/>
  <c r="G3" i="18"/>
  <c r="BB20" i="18"/>
  <c r="I67" i="237"/>
  <c r="B44" i="237"/>
  <c r="F131" i="223"/>
  <c r="BL29" i="15"/>
  <c r="AA12" i="18"/>
  <c r="E119" i="223"/>
  <c r="AZ75" i="18"/>
  <c r="AU16" i="18"/>
  <c r="L43" i="237"/>
  <c r="B42" i="237"/>
  <c r="BQ31" i="15"/>
  <c r="L136" i="223"/>
  <c r="E77" i="237"/>
  <c r="J73" i="223"/>
  <c r="I186" i="223"/>
  <c r="C84" i="18"/>
  <c r="F68" i="237"/>
  <c r="I133" i="237"/>
  <c r="I54" i="237"/>
  <c r="M20" i="15"/>
  <c r="K127" i="237"/>
  <c r="BC27" i="15"/>
  <c r="M116" i="237"/>
  <c r="H67" i="223"/>
  <c r="N84" i="237"/>
  <c r="G115" i="223"/>
  <c r="M147" i="237"/>
  <c r="AJ7" i="18"/>
  <c r="K103" i="223"/>
  <c r="F133" i="223"/>
  <c r="AI10" i="18"/>
  <c r="I6" i="1"/>
  <c r="AS25" i="15"/>
  <c r="N147" i="237"/>
  <c r="H21" i="237"/>
  <c r="BH14" i="18"/>
  <c r="AA15" i="18"/>
  <c r="F125" i="237"/>
  <c r="L173" i="223"/>
  <c r="D53" i="223"/>
  <c r="BM12" i="18"/>
  <c r="AU20" i="15"/>
  <c r="AL23" i="15"/>
  <c r="E79" i="223"/>
  <c r="AW12" i="18"/>
  <c r="N145" i="223"/>
  <c r="AX21" i="18"/>
  <c r="E166" i="223"/>
  <c r="F15" i="1"/>
  <c r="AT26" i="15"/>
  <c r="G169" i="237"/>
  <c r="AC24" i="15"/>
  <c r="O81" i="18"/>
  <c r="I153" i="223"/>
  <c r="C139" i="223"/>
  <c r="H67" i="237"/>
  <c r="L17" i="18"/>
  <c r="B58" i="223"/>
  <c r="J121" i="237"/>
  <c r="AL15" i="18"/>
  <c r="N12" i="18"/>
  <c r="BC11" i="18"/>
  <c r="M46" i="223"/>
  <c r="E100" i="237"/>
  <c r="L166" i="237"/>
  <c r="M123" i="223"/>
  <c r="E124" i="223"/>
  <c r="AZ63" i="18"/>
  <c r="BB81" i="18"/>
  <c r="E41" i="223"/>
  <c r="J93" i="237"/>
  <c r="K74" i="223"/>
  <c r="G88" i="223"/>
  <c r="N9" i="18"/>
  <c r="K13" i="18"/>
  <c r="S19" i="15"/>
  <c r="H17" i="18"/>
  <c r="B103" i="237"/>
  <c r="J58" i="18"/>
  <c r="V48" i="18"/>
  <c r="B110" i="18"/>
  <c r="E137" i="223"/>
  <c r="AW6" i="18"/>
  <c r="V90" i="18"/>
  <c r="X63" i="18"/>
  <c r="N18" i="18"/>
  <c r="AM24" i="15"/>
  <c r="N162" i="223"/>
  <c r="BE53" i="18"/>
  <c r="F119" i="223"/>
  <c r="D189" i="237"/>
  <c r="G132" i="223"/>
  <c r="F83" i="237"/>
  <c r="AO20" i="18"/>
  <c r="BI7" i="18"/>
  <c r="Z46" i="18"/>
  <c r="C54" i="18"/>
  <c r="Q97" i="18"/>
  <c r="BA25" i="15"/>
  <c r="AT21" i="15"/>
  <c r="R19" i="18"/>
  <c r="BF85" i="18"/>
  <c r="BJ53" i="18"/>
  <c r="Q40" i="18"/>
  <c r="G147" i="237"/>
  <c r="B173" i="237"/>
  <c r="J46" i="223"/>
  <c r="I62" i="18"/>
  <c r="O84" i="18"/>
  <c r="AL89" i="18"/>
  <c r="BH90" i="18"/>
  <c r="AI84" i="18"/>
  <c r="AR85" i="18"/>
  <c r="AF46" i="18"/>
  <c r="BE46" i="18"/>
  <c r="BH93" i="18"/>
  <c r="BK91" i="18"/>
  <c r="X86" i="18"/>
  <c r="AX73" i="18"/>
  <c r="AB50" i="18"/>
  <c r="Z69" i="18"/>
  <c r="BG94" i="18"/>
  <c r="BE94" i="18"/>
  <c r="BJ81" i="18"/>
  <c r="BJ66" i="18"/>
  <c r="I50" i="18"/>
  <c r="BH48" i="18"/>
  <c r="AB48" i="18"/>
  <c r="O55" i="18"/>
  <c r="BN62" i="18"/>
  <c r="BA62" i="18"/>
  <c r="AX53" i="18"/>
  <c r="BC53" i="18"/>
  <c r="Z85" i="18"/>
  <c r="J83" i="18"/>
  <c r="BC81" i="18"/>
  <c r="BN84" i="18"/>
  <c r="Z58" i="18"/>
  <c r="BC63" i="18"/>
  <c r="BK41" i="18"/>
  <c r="AE45" i="18"/>
  <c r="BE97" i="18"/>
  <c r="N76" i="237"/>
  <c r="J70" i="237"/>
  <c r="J138" i="237"/>
  <c r="J41" i="18"/>
  <c r="F22" i="1"/>
  <c r="B124" i="237"/>
  <c r="BI21" i="18"/>
  <c r="AF56" i="18"/>
  <c r="BA55" i="18"/>
  <c r="BU22" i="15"/>
  <c r="D53" i="237"/>
  <c r="L21" i="15"/>
  <c r="H27" i="223"/>
  <c r="G72" i="237"/>
  <c r="Y26" i="15"/>
  <c r="AI41" i="18"/>
  <c r="K169" i="223"/>
  <c r="K74" i="18"/>
  <c r="BG67" i="18"/>
  <c r="P16" i="18"/>
  <c r="C134" i="237"/>
  <c r="G54" i="237"/>
  <c r="Y97" i="18"/>
  <c r="O89" i="18"/>
  <c r="G186" i="237"/>
  <c r="E20" i="237"/>
  <c r="C121" i="237"/>
  <c r="AR97" i="18"/>
  <c r="Z40" i="18"/>
  <c r="BB93" i="18"/>
  <c r="Y57" i="18"/>
  <c r="N84" i="18"/>
  <c r="AA56" i="18"/>
  <c r="R61" i="18"/>
  <c r="O85" i="18"/>
  <c r="AF88" i="18"/>
  <c r="AB46" i="18"/>
  <c r="AZ46" i="18"/>
  <c r="X44" i="18"/>
  <c r="BA93" i="18"/>
  <c r="AP91" i="18"/>
  <c r="BK45" i="18"/>
  <c r="AQ86" i="18"/>
  <c r="BF59" i="18"/>
  <c r="BC40" i="18"/>
  <c r="BG50" i="18"/>
  <c r="S50" i="18"/>
  <c r="BA69" i="18"/>
  <c r="N57" i="18"/>
  <c r="BC74" i="18"/>
  <c r="AF66" i="18"/>
  <c r="AP49" i="18"/>
  <c r="BA90" i="18"/>
  <c r="AZ50" i="18"/>
  <c r="BA75" i="18"/>
  <c r="Y48" i="18"/>
  <c r="J48" i="18"/>
  <c r="R55" i="18"/>
  <c r="BB62" i="18"/>
  <c r="N62" i="18"/>
  <c r="X53" i="18"/>
  <c r="N53" i="18"/>
  <c r="BC85" i="18"/>
  <c r="N83" i="18"/>
  <c r="BJ83" i="18"/>
  <c r="BA84" i="18"/>
  <c r="Z84" i="18"/>
  <c r="AA58" i="18"/>
  <c r="AF81" i="18"/>
  <c r="AK27" i="15"/>
  <c r="K94" i="237"/>
  <c r="BF46" i="18"/>
  <c r="Z75" i="18"/>
  <c r="G89" i="237"/>
  <c r="BC25" i="15"/>
  <c r="AC17" i="18"/>
  <c r="J45" i="18"/>
  <c r="Y94" i="18"/>
  <c r="J19" i="15"/>
  <c r="D70" i="237"/>
  <c r="D172" i="223"/>
  <c r="AJ25" i="15"/>
  <c r="M70" i="223"/>
  <c r="X2" i="18"/>
  <c r="BG84" i="18"/>
  <c r="BH72" i="18"/>
  <c r="BB56" i="18"/>
  <c r="N55" i="18"/>
  <c r="BK46" i="18"/>
  <c r="H58" i="237"/>
  <c r="S34" i="18"/>
  <c r="B171" i="223"/>
  <c r="AQ56" i="18"/>
  <c r="J75" i="18"/>
  <c r="AA40" i="18"/>
  <c r="BE89" i="18"/>
  <c r="AO25" i="15"/>
  <c r="D87" i="223"/>
  <c r="AU12" i="18"/>
  <c r="BE74" i="18"/>
  <c r="BK72" i="18"/>
  <c r="Q84" i="18"/>
  <c r="Z72" i="18"/>
  <c r="J89" i="18"/>
  <c r="AA57" i="18"/>
  <c r="AQ84" i="18"/>
  <c r="S63" i="18"/>
  <c r="J56" i="18"/>
  <c r="AR61" i="18"/>
  <c r="V85" i="18"/>
  <c r="AI88" i="18"/>
  <c r="J64" i="18"/>
  <c r="P46" i="18"/>
  <c r="Y46" i="18"/>
  <c r="Q44" i="18"/>
  <c r="V93" i="18"/>
  <c r="AC93" i="18"/>
  <c r="AO91" i="18"/>
  <c r="BA45" i="18"/>
  <c r="Z86" i="18"/>
  <c r="AI73" i="18"/>
  <c r="N59" i="18"/>
  <c r="AJ40" i="18"/>
  <c r="AU40" i="18"/>
  <c r="AH50" i="18"/>
  <c r="AQ79" i="18"/>
  <c r="BD69" i="18"/>
  <c r="AL69" i="18"/>
  <c r="BD94" i="18"/>
  <c r="AP81" i="18"/>
  <c r="AI74" i="18"/>
  <c r="BD66" i="18"/>
  <c r="Y49" i="18"/>
  <c r="AN72" i="18"/>
  <c r="AB60" i="18"/>
  <c r="BF90" i="18"/>
  <c r="N77" i="18"/>
  <c r="I47" i="18"/>
  <c r="AD50" i="18"/>
  <c r="I95" i="18"/>
  <c r="AP95" i="18"/>
  <c r="AQ75" i="18"/>
  <c r="AM75" i="18"/>
  <c r="I48" i="18"/>
  <c r="AP48" i="18"/>
  <c r="AH55" i="18"/>
  <c r="AQ55" i="18"/>
  <c r="V55" i="18"/>
  <c r="Y65" i="18"/>
  <c r="AU65" i="18"/>
  <c r="BK62" i="18"/>
  <c r="K62" i="18"/>
  <c r="AF62" i="18"/>
  <c r="AJ59" i="18"/>
  <c r="BA53" i="18"/>
  <c r="AT53" i="18"/>
  <c r="BN85" i="18"/>
  <c r="Z90" i="18"/>
  <c r="Q83" i="18"/>
  <c r="AG86" i="18"/>
  <c r="BC84" i="18"/>
  <c r="BD84" i="18"/>
  <c r="BB64" i="18"/>
  <c r="O58" i="18"/>
  <c r="AB63" i="18"/>
  <c r="I88" i="18"/>
  <c r="BB58" i="18"/>
  <c r="AA24" i="15"/>
  <c r="J123" i="237"/>
  <c r="BG88" i="18"/>
  <c r="Y77" i="18"/>
  <c r="M21" i="223"/>
  <c r="AH56" i="18"/>
  <c r="AB57" i="18"/>
  <c r="J61" i="18"/>
  <c r="AB64" i="18"/>
  <c r="I93" i="18"/>
  <c r="BI73" i="18"/>
  <c r="BF50" i="18"/>
  <c r="AF94" i="18"/>
  <c r="N66" i="18"/>
  <c r="AQ77" i="18"/>
  <c r="S95" i="18"/>
  <c r="AQ48" i="18"/>
  <c r="V69" i="18"/>
  <c r="AJ62" i="18"/>
  <c r="AG53" i="18"/>
  <c r="W83" i="18"/>
  <c r="AM64" i="18"/>
  <c r="BG63" i="18"/>
  <c r="AO41" i="18"/>
  <c r="R41" i="18"/>
  <c r="AV41" i="18"/>
  <c r="AH54" i="18"/>
  <c r="BB54" i="18"/>
  <c r="O45" i="18"/>
  <c r="BB97" i="18"/>
  <c r="BI89" i="18"/>
  <c r="BD89" i="18"/>
  <c r="BC73" i="18"/>
  <c r="BJ73" i="18"/>
  <c r="AH88" i="18"/>
  <c r="X84" i="18"/>
  <c r="AT40" i="18"/>
  <c r="BC94" i="18"/>
  <c r="Q94" i="18"/>
  <c r="Y69" i="18"/>
  <c r="AU84" i="18"/>
  <c r="N78" i="18"/>
  <c r="BK78" i="18"/>
  <c r="AX87" i="18"/>
  <c r="N87" i="18"/>
  <c r="BB87" i="18"/>
  <c r="Z70" i="18"/>
  <c r="Y70" i="18"/>
  <c r="P70" i="18"/>
  <c r="AI89" i="18"/>
  <c r="K66" i="18"/>
  <c r="BB74" i="18"/>
  <c r="AP74" i="18"/>
  <c r="Z62" i="18"/>
  <c r="BB60" i="18"/>
  <c r="BE72" i="18"/>
  <c r="AO46" i="18"/>
  <c r="BA65" i="18"/>
  <c r="AH90" i="18"/>
  <c r="AC67" i="18"/>
  <c r="BF67" i="18"/>
  <c r="BJ91" i="18"/>
  <c r="BH42" i="18"/>
  <c r="AB42" i="18"/>
  <c r="J42" i="18"/>
  <c r="P42" i="18"/>
  <c r="AB86" i="18"/>
  <c r="AC59" i="18"/>
  <c r="AZ92" i="18"/>
  <c r="AF92" i="18"/>
  <c r="BB77" i="18"/>
  <c r="AB77" i="18"/>
  <c r="P94" i="18"/>
  <c r="AD47" i="18"/>
  <c r="AX47" i="18"/>
  <c r="AX28" i="15"/>
  <c r="AJ31" i="15"/>
  <c r="BK58" i="18"/>
  <c r="K160" i="223"/>
  <c r="Y58" i="18"/>
  <c r="AE81" i="18"/>
  <c r="D134" i="237"/>
  <c r="AO40" i="18"/>
  <c r="N45" i="223"/>
  <c r="BB72" i="18"/>
  <c r="BI84" i="18"/>
  <c r="BD85" i="18"/>
  <c r="L46" i="18"/>
  <c r="R93" i="18"/>
  <c r="AV73" i="18"/>
  <c r="S76" i="18"/>
  <c r="AB69" i="18"/>
  <c r="AZ66" i="18"/>
  <c r="AF60" i="18"/>
  <c r="BG95" i="18"/>
  <c r="K75" i="18"/>
  <c r="Q69" i="18"/>
  <c r="V62" i="18"/>
  <c r="BH85" i="18"/>
  <c r="AT86" i="18"/>
  <c r="AQ76" i="18"/>
  <c r="BI63" i="18"/>
  <c r="AH41" i="18"/>
  <c r="BG41" i="18"/>
  <c r="AO54" i="18"/>
  <c r="V54" i="18"/>
  <c r="AV45" i="18"/>
  <c r="X97" i="18"/>
  <c r="AN97" i="18"/>
  <c r="BF81" i="18"/>
  <c r="K89" i="18"/>
  <c r="AU89" i="18"/>
  <c r="BN73" i="18"/>
  <c r="AM88" i="18"/>
  <c r="AD88" i="18"/>
  <c r="I85" i="18"/>
  <c r="I40" i="18"/>
  <c r="AI94" i="18"/>
  <c r="M94" i="18"/>
  <c r="AE56" i="18"/>
  <c r="K78" i="18"/>
  <c r="M78" i="18"/>
  <c r="AS78" i="18"/>
  <c r="AE76" i="18"/>
  <c r="BD90" i="18"/>
  <c r="Z87" i="18"/>
  <c r="AH87" i="18"/>
  <c r="AH70" i="18"/>
  <c r="R70" i="18"/>
  <c r="J70" i="18"/>
  <c r="AL66" i="18"/>
  <c r="N88" i="18"/>
  <c r="W74" i="18"/>
  <c r="AE97" i="18"/>
  <c r="BD60" i="18"/>
  <c r="AC90" i="18"/>
  <c r="BN72" i="18"/>
  <c r="AH74" i="18"/>
  <c r="AJ57" i="18"/>
  <c r="AJ69" i="18"/>
  <c r="AQ67" i="18"/>
  <c r="BJ86" i="18"/>
  <c r="BD93" i="18"/>
  <c r="AS42" i="18"/>
  <c r="AP42" i="18"/>
  <c r="BG42" i="18"/>
  <c r="BD70" i="18"/>
  <c r="I59" i="18"/>
  <c r="P92" i="18"/>
  <c r="BH92" i="18"/>
  <c r="V92" i="18"/>
  <c r="AE77" i="18"/>
  <c r="Z77" i="18"/>
  <c r="BH43" i="18"/>
  <c r="M43" i="18"/>
  <c r="P86" i="18"/>
  <c r="AF47" i="18"/>
  <c r="BK54" i="18"/>
  <c r="N115" i="237"/>
  <c r="BI25" i="15"/>
  <c r="AW4" i="18"/>
  <c r="H76" i="237"/>
  <c r="AM83" i="18"/>
  <c r="U16" i="18"/>
  <c r="R60" i="18"/>
  <c r="H18" i="18"/>
  <c r="AL79" i="18"/>
  <c r="BD43" i="18"/>
  <c r="AE84" i="18"/>
  <c r="AZ85" i="18"/>
  <c r="AE64" i="18"/>
  <c r="U93" i="18"/>
  <c r="M86" i="18"/>
  <c r="W40" i="18"/>
  <c r="BC76" i="18"/>
  <c r="N69" i="18"/>
  <c r="N81" i="18"/>
  <c r="AL72" i="18"/>
  <c r="AO77" i="18"/>
  <c r="V95" i="18"/>
  <c r="AF48" i="18"/>
  <c r="AO55" i="18"/>
  <c r="AA59" i="18"/>
  <c r="BH57" i="18"/>
  <c r="AX86" i="18"/>
  <c r="AN58" i="18"/>
  <c r="BH63" i="18"/>
  <c r="BC56" i="18"/>
  <c r="AG80" i="18"/>
  <c r="BL80" i="18"/>
  <c r="AN52" i="18"/>
  <c r="H52" i="18"/>
  <c r="AU41" i="18"/>
  <c r="AT41" i="18"/>
  <c r="AN54" i="18"/>
  <c r="AZ54" i="18"/>
  <c r="N90" i="18"/>
  <c r="BD97" i="18"/>
  <c r="AF97" i="18"/>
  <c r="AA89" i="18"/>
  <c r="W89" i="18"/>
  <c r="AV89" i="18"/>
  <c r="J73" i="18"/>
  <c r="AS73" i="18"/>
  <c r="W88" i="18"/>
  <c r="AN39" i="18"/>
  <c r="AF39" i="18"/>
  <c r="O40" i="18"/>
  <c r="BE40" i="18"/>
  <c r="O94" i="18"/>
  <c r="BA94" i="18"/>
  <c r="H56" i="18"/>
  <c r="AZ78" i="18"/>
  <c r="AT78" i="18"/>
  <c r="AO78" i="18"/>
  <c r="AS81" i="18"/>
  <c r="BD75" i="18"/>
  <c r="AU87" i="18"/>
  <c r="AW87" i="18"/>
  <c r="BE70" i="18"/>
  <c r="AM81" i="18"/>
  <c r="BL70" i="18"/>
  <c r="AH66" i="18"/>
  <c r="V66" i="18"/>
  <c r="X74" i="18"/>
  <c r="AQ46" i="18"/>
  <c r="M62" i="18"/>
  <c r="AA60" i="18"/>
  <c r="I72" i="18"/>
  <c r="AW63" i="18"/>
  <c r="AN65" i="18"/>
  <c r="AH75" i="18"/>
  <c r="AJ91" i="18"/>
  <c r="AG67" i="18"/>
  <c r="BN67" i="18"/>
  <c r="W93" i="18"/>
  <c r="AA93" i="18"/>
  <c r="BB42" i="18"/>
  <c r="AG42" i="18"/>
  <c r="BD42" i="18"/>
  <c r="Q87" i="18"/>
  <c r="AM59" i="18"/>
  <c r="BG92" i="18"/>
  <c r="W92" i="18"/>
  <c r="AP92" i="18"/>
  <c r="AT83" i="18"/>
  <c r="X77" i="18"/>
  <c r="V43" i="18"/>
  <c r="AP43" i="18"/>
  <c r="AZ47" i="18"/>
  <c r="V47" i="18"/>
  <c r="L47" i="18"/>
  <c r="AB54" i="18"/>
  <c r="V52" i="18"/>
  <c r="R97" i="18"/>
  <c r="AM49" i="18"/>
  <c r="S49" i="18"/>
  <c r="AC95" i="18"/>
  <c r="M75" i="18"/>
  <c r="O44" i="18"/>
  <c r="AN44" i="18"/>
  <c r="BF71" i="18"/>
  <c r="S71" i="18"/>
  <c r="AB71" i="18"/>
  <c r="AA71" i="18"/>
  <c r="AR79" i="18"/>
  <c r="BD79" i="18"/>
  <c r="BL79" i="18"/>
  <c r="AW64" i="18"/>
  <c r="B120" i="223"/>
  <c r="AM48" i="18"/>
  <c r="W43" i="18"/>
  <c r="J44" i="18"/>
  <c r="AJ39" i="18"/>
  <c r="AV47" i="18"/>
  <c r="BC86" i="18"/>
  <c r="BD80" i="18"/>
  <c r="AD41" i="18"/>
  <c r="S45" i="18"/>
  <c r="BL89" i="18"/>
  <c r="BN88" i="18"/>
  <c r="L55" i="18"/>
  <c r="BK94" i="18"/>
  <c r="AW78" i="18"/>
  <c r="AM87" i="18"/>
  <c r="BF66" i="18"/>
  <c r="AU74" i="18"/>
  <c r="K80" i="18"/>
  <c r="BK67" i="18"/>
  <c r="BK42" i="18"/>
  <c r="O59" i="18"/>
  <c r="Y92" i="18"/>
  <c r="AJ43" i="18"/>
  <c r="AX52" i="18"/>
  <c r="BC49" i="18"/>
  <c r="AE95" i="18"/>
  <c r="AU44" i="18"/>
  <c r="BB44" i="18"/>
  <c r="AN77" i="18"/>
  <c r="AN71" i="18"/>
  <c r="Q71" i="18"/>
  <c r="AB79" i="18"/>
  <c r="AE79" i="18"/>
  <c r="BN64" i="18"/>
  <c r="BD92" i="18"/>
  <c r="V73" i="18"/>
  <c r="L73" i="18"/>
  <c r="I61" i="18"/>
  <c r="V61" i="18"/>
  <c r="Z61" i="18"/>
  <c r="Q39" i="18"/>
  <c r="AS39" i="18"/>
  <c r="G56" i="237"/>
  <c r="AC74" i="18"/>
  <c r="L79" i="18"/>
  <c r="AV93" i="18"/>
  <c r="AX79" i="18"/>
  <c r="BI95" i="18"/>
  <c r="Z59" i="18"/>
  <c r="AO58" i="18"/>
  <c r="K45" i="14"/>
  <c r="BH41" i="18"/>
  <c r="BN83" i="18"/>
  <c r="BG89" i="18"/>
  <c r="S88" i="18"/>
  <c r="X48" i="18"/>
  <c r="U78" i="18"/>
  <c r="AD87" i="18"/>
  <c r="BF70" i="18"/>
  <c r="AQ83" i="18"/>
  <c r="AO86" i="18"/>
  <c r="AI67" i="18"/>
  <c r="BC93" i="18"/>
  <c r="BI42" i="18"/>
  <c r="AR92" i="18"/>
  <c r="X47" i="18"/>
  <c r="AC52" i="18"/>
  <c r="U49" i="18"/>
  <c r="AB49" i="18"/>
  <c r="O95" i="18"/>
  <c r="N44" i="18"/>
  <c r="AO44" i="18"/>
  <c r="AE71" i="18"/>
  <c r="U71" i="18"/>
  <c r="L71" i="18"/>
  <c r="AV42" i="18"/>
  <c r="BF64" i="18"/>
  <c r="BN78" i="18"/>
  <c r="AP45" i="18"/>
  <c r="BG73" i="18"/>
  <c r="AD83" i="18"/>
  <c r="W61" i="18"/>
  <c r="BA61" i="18"/>
  <c r="W39" i="18"/>
  <c r="L101" i="237"/>
  <c r="O60" i="18"/>
  <c r="AF63" i="18"/>
  <c r="N86" i="18"/>
  <c r="R81" i="18"/>
  <c r="H65" i="18"/>
  <c r="BG64" i="18"/>
  <c r="AI80" i="18"/>
  <c r="K41" i="18"/>
  <c r="BE45" i="18"/>
  <c r="AP89" i="18"/>
  <c r="AD40" i="18"/>
  <c r="Y91" i="18"/>
  <c r="H76" i="18"/>
  <c r="O70" i="18"/>
  <c r="BL66" i="18"/>
  <c r="AE58" i="18"/>
  <c r="AO81" i="18"/>
  <c r="S67" i="18"/>
  <c r="K48" i="18"/>
  <c r="AB40" i="18"/>
  <c r="BJ92" i="18"/>
  <c r="N43" i="18"/>
  <c r="AJ54" i="18"/>
  <c r="R59" i="18"/>
  <c r="R57" i="18"/>
  <c r="AR95" i="18"/>
  <c r="M69" i="18"/>
  <c r="M44" i="18"/>
  <c r="Y71" i="18"/>
  <c r="BJ71" i="18"/>
  <c r="BB71" i="18"/>
  <c r="AO71" i="18"/>
  <c r="AS79" i="18"/>
  <c r="S79" i="18"/>
  <c r="AG83" i="18"/>
  <c r="AA92" i="18"/>
  <c r="AV87" i="18"/>
  <c r="AM57" i="18"/>
  <c r="N70" i="18"/>
  <c r="L70" i="18"/>
  <c r="BH66" i="18"/>
  <c r="AF74" i="18"/>
  <c r="AX74" i="18"/>
  <c r="Q62" i="18"/>
  <c r="AC46" i="18"/>
  <c r="AI60" i="18"/>
  <c r="V72" i="18"/>
  <c r="AT65" i="18"/>
  <c r="AP67" i="18"/>
  <c r="AE67" i="18"/>
  <c r="I67" i="18"/>
  <c r="AH93" i="18"/>
  <c r="AT93" i="18"/>
  <c r="K69" i="18"/>
  <c r="BF42" i="18"/>
  <c r="BE42" i="18"/>
  <c r="Q59" i="18"/>
  <c r="AQ59" i="18"/>
  <c r="BB92" i="18"/>
  <c r="O92" i="18"/>
  <c r="AN92" i="18"/>
  <c r="R77" i="18"/>
  <c r="L77" i="18"/>
  <c r="AM43" i="18"/>
  <c r="AC43" i="18"/>
  <c r="S47" i="18"/>
  <c r="AM47" i="18"/>
  <c r="AX54" i="18"/>
  <c r="BN91" i="18"/>
  <c r="E86" i="237"/>
  <c r="H173" i="237"/>
  <c r="G23" i="223"/>
  <c r="J57" i="18"/>
  <c r="M89" i="223"/>
  <c r="I20" i="223"/>
  <c r="AZ67" i="18"/>
  <c r="AI49" i="18"/>
  <c r="L63" i="18"/>
  <c r="AN85" i="18"/>
  <c r="AJ46" i="18"/>
  <c r="P91" i="18"/>
  <c r="L86" i="18"/>
  <c r="BI40" i="18"/>
  <c r="BN43" i="18"/>
  <c r="AC94" i="18"/>
  <c r="AZ74" i="18"/>
  <c r="AO60" i="18"/>
  <c r="AB47" i="18"/>
  <c r="N75" i="18"/>
  <c r="P48" i="18"/>
  <c r="BB65" i="18"/>
  <c r="M53" i="18"/>
  <c r="M83" i="18"/>
  <c r="BD56" i="18"/>
  <c r="I80" i="18"/>
  <c r="Z80" i="18"/>
  <c r="K52" i="14"/>
  <c r="BJ52" i="18"/>
  <c r="AA52" i="18"/>
  <c r="U41" i="18"/>
  <c r="AS41" i="18"/>
  <c r="AP54" i="18"/>
  <c r="BD45" i="18"/>
  <c r="X45" i="18"/>
  <c r="BN46" i="18"/>
  <c r="AC97" i="18"/>
  <c r="BF89" i="18"/>
  <c r="AN89" i="18"/>
  <c r="AD89" i="18"/>
  <c r="AA73" i="18"/>
  <c r="BE69" i="18"/>
  <c r="M88" i="18"/>
  <c r="BA39" i="18"/>
  <c r="Y55" i="18"/>
  <c r="AE40" i="18"/>
  <c r="I91" i="18"/>
  <c r="AA94" i="18"/>
  <c r="AN94" i="18"/>
  <c r="AV56" i="18"/>
  <c r="BJ78" i="18"/>
  <c r="AL78" i="18"/>
  <c r="AC76" i="18"/>
  <c r="AO87" i="18"/>
  <c r="AB87" i="18"/>
  <c r="K87" i="18"/>
  <c r="AM46" i="18"/>
  <c r="Q70" i="18"/>
  <c r="AX70" i="18"/>
  <c r="AJ66" i="18"/>
  <c r="AW66" i="18"/>
  <c r="W45" i="18"/>
  <c r="P74" i="18"/>
  <c r="AA74" i="18"/>
  <c r="AZ62" i="18"/>
  <c r="AT60" i="18"/>
  <c r="BF60" i="18"/>
  <c r="BI72" i="18"/>
  <c r="AW75" i="18"/>
  <c r="BK65" i="18"/>
  <c r="AG65" i="18"/>
  <c r="M67" i="18"/>
  <c r="AD67" i="18"/>
  <c r="Q67" i="18"/>
  <c r="BJ93" i="18"/>
  <c r="AG93" i="18"/>
  <c r="L42" i="18"/>
  <c r="AC42" i="18"/>
  <c r="Y42" i="18"/>
  <c r="S59" i="18"/>
  <c r="AV59" i="18"/>
  <c r="BI81" i="18"/>
  <c r="AJ92" i="18"/>
  <c r="AT92" i="18"/>
  <c r="AL77" i="18"/>
  <c r="AV77" i="18"/>
  <c r="J43" i="18"/>
  <c r="BL43" i="18"/>
  <c r="AC47" i="18"/>
  <c r="BB47" i="18"/>
  <c r="BA47" i="18"/>
  <c r="AU52" i="18"/>
  <c r="AR49" i="18"/>
  <c r="N49" i="18"/>
  <c r="AZ49" i="18"/>
  <c r="BL87" i="18"/>
  <c r="BL84" i="18"/>
  <c r="BL44" i="18"/>
  <c r="AH44" i="18"/>
  <c r="AF71" i="18"/>
  <c r="AN83" i="18"/>
  <c r="AN46" i="18"/>
  <c r="AU71" i="18"/>
  <c r="W79" i="18"/>
  <c r="AV69" i="18"/>
  <c r="BN79" i="18"/>
  <c r="AG55" i="18"/>
  <c r="AX64" i="18"/>
  <c r="T21" i="18"/>
  <c r="BA42" i="18"/>
  <c r="AZ51" i="18"/>
  <c r="BB45" i="18"/>
  <c r="BF94" i="18"/>
  <c r="BK95" i="18"/>
  <c r="W62" i="18"/>
  <c r="P58" i="18"/>
  <c r="W46" i="18"/>
  <c r="AO97" i="18"/>
  <c r="R89" i="18"/>
  <c r="U51" i="18"/>
  <c r="X40" i="18"/>
  <c r="AN56" i="18"/>
  <c r="M76" i="18"/>
  <c r="H70" i="18"/>
  <c r="Q66" i="18"/>
  <c r="AD60" i="18"/>
  <c r="AV65" i="18"/>
  <c r="AR67" i="18"/>
  <c r="AF42" i="18"/>
  <c r="AI92" i="18"/>
  <c r="AT77" i="18"/>
  <c r="P89" i="18"/>
  <c r="AG52" i="18"/>
  <c r="R83" i="18"/>
  <c r="BD49" i="18"/>
  <c r="AS95" i="18"/>
  <c r="BA44" i="18"/>
  <c r="AI44" i="18"/>
  <c r="AN91" i="18"/>
  <c r="AQ71" i="18"/>
  <c r="AH71" i="18"/>
  <c r="BJ79" i="18"/>
  <c r="BA79" i="18"/>
  <c r="AN64" i="18"/>
  <c r="AS92" i="18"/>
  <c r="AU70" i="18"/>
  <c r="AP51" i="18"/>
  <c r="AO61" i="18"/>
  <c r="AL61" i="18"/>
  <c r="AD61" i="18"/>
  <c r="H69" i="18"/>
  <c r="H46" i="18"/>
  <c r="Z39" i="18"/>
  <c r="N83" i="223"/>
  <c r="P90" i="18"/>
  <c r="H84" i="18"/>
  <c r="M45" i="18"/>
  <c r="AA81" i="18"/>
  <c r="AX48" i="18"/>
  <c r="BB90" i="18"/>
  <c r="BJ56" i="18"/>
  <c r="U90" i="18"/>
  <c r="BF54" i="18"/>
  <c r="AW97" i="18"/>
  <c r="H73" i="18"/>
  <c r="AN51" i="18"/>
  <c r="T40" i="18"/>
  <c r="BA56" i="18"/>
  <c r="BI76" i="18"/>
  <c r="W87" i="18"/>
  <c r="AX66" i="18"/>
  <c r="AW62" i="18"/>
  <c r="AX72" i="18"/>
  <c r="BD67" i="18"/>
  <c r="BN93" i="18"/>
  <c r="AI59" i="18"/>
  <c r="AC92" i="18"/>
  <c r="T43" i="18"/>
  <c r="Q54" i="18"/>
  <c r="AG49" i="18"/>
  <c r="O49" i="18"/>
  <c r="H49" i="18"/>
  <c r="BL86" i="18"/>
  <c r="BD44" i="18"/>
  <c r="V44" i="18"/>
  <c r="BE71" i="18"/>
  <c r="AG71" i="18"/>
  <c r="W71" i="18"/>
  <c r="K79" i="18"/>
  <c r="AG79" i="18"/>
  <c r="BA64" i="18"/>
  <c r="L87" i="18"/>
  <c r="AJ78" i="18"/>
  <c r="AP57" i="18"/>
  <c r="X61" i="18"/>
  <c r="AD63" i="18"/>
  <c r="AV61" i="18"/>
  <c r="H39" i="18"/>
  <c r="D21" i="237"/>
  <c r="BE2" i="18"/>
  <c r="AU85" i="18"/>
  <c r="BF40" i="18"/>
  <c r="AN49" i="18"/>
  <c r="AV62" i="18"/>
  <c r="BJ58" i="18"/>
  <c r="N52" i="18"/>
  <c r="BE41" i="18"/>
  <c r="K97" i="18"/>
  <c r="AL73" i="18"/>
  <c r="AT51" i="18"/>
  <c r="AE94" i="18"/>
  <c r="BA78" i="18"/>
  <c r="BD81" i="18"/>
  <c r="AD70" i="18"/>
  <c r="AI90" i="18"/>
  <c r="AC69" i="18"/>
  <c r="AW41" i="18"/>
  <c r="AB67" i="18"/>
  <c r="BJ42" i="18"/>
  <c r="BB59" i="18"/>
  <c r="BK77" i="18"/>
  <c r="AO43" i="18"/>
  <c r="T52" i="18"/>
  <c r="BG49" i="18"/>
  <c r="Z49" i="18"/>
  <c r="W95" i="18"/>
  <c r="BJ44" i="18"/>
  <c r="I44" i="18"/>
  <c r="O71" i="18"/>
  <c r="AM71" i="18"/>
  <c r="AS71" i="18"/>
  <c r="AV66" i="18"/>
  <c r="AV46" i="18"/>
  <c r="AV79" i="18"/>
  <c r="Z64" i="18"/>
  <c r="AV92" i="18"/>
  <c r="AM78" i="18"/>
  <c r="K73" i="18"/>
  <c r="AQ61" i="18"/>
  <c r="AS61" i="18"/>
  <c r="AU61" i="18"/>
  <c r="U61" i="18"/>
  <c r="AA39" i="18"/>
  <c r="N102" i="223"/>
  <c r="D118" i="237"/>
  <c r="S56" i="18"/>
  <c r="I73" i="18"/>
  <c r="BD74" i="18"/>
  <c r="AT75" i="18"/>
  <c r="AI53" i="18"/>
  <c r="AH63" i="18"/>
  <c r="AB52" i="18"/>
  <c r="AC54" i="18"/>
  <c r="T97" i="18"/>
  <c r="AM89" i="18"/>
  <c r="BD51" i="18"/>
  <c r="R40" i="18"/>
  <c r="BE56" i="18"/>
  <c r="H78" i="18"/>
  <c r="BC87" i="18"/>
  <c r="BI70" i="18"/>
  <c r="AQ91" i="18"/>
  <c r="AB72" i="18"/>
  <c r="X67" i="18"/>
  <c r="BE93" i="18"/>
  <c r="I42" i="18"/>
  <c r="BI48" i="18"/>
  <c r="BA77" i="18"/>
  <c r="AA47" i="18"/>
  <c r="X52" i="18"/>
  <c r="R48" i="18"/>
  <c r="BL74" i="18"/>
  <c r="AJ95" i="18"/>
  <c r="M85" i="18"/>
  <c r="M91" i="18"/>
  <c r="AL71" i="18"/>
  <c r="I71" i="18"/>
  <c r="AZ71" i="18"/>
  <c r="AV85" i="18"/>
  <c r="AN79" i="18"/>
  <c r="AO64" i="18"/>
  <c r="BI66" i="18"/>
  <c r="AU86" i="18"/>
  <c r="AP86" i="18"/>
  <c r="AA61" i="18"/>
  <c r="AD58" i="18"/>
  <c r="BC61" i="18"/>
  <c r="O39" i="18"/>
  <c r="H74" i="18"/>
  <c r="AD39" i="18"/>
  <c r="B46" i="18"/>
  <c r="B55" i="18"/>
  <c r="B71" i="18"/>
  <c r="B39" i="18"/>
  <c r="C50" i="18"/>
  <c r="B94" i="18"/>
  <c r="I63" i="18"/>
  <c r="BF69" i="18"/>
  <c r="AL75" i="18"/>
  <c r="AX81" i="18"/>
  <c r="AA48" i="18"/>
  <c r="AX91" i="18"/>
  <c r="BA50" i="18"/>
  <c r="AF55" i="18"/>
  <c r="AU75" i="18"/>
  <c r="AU91" i="18"/>
  <c r="BN56" i="18"/>
  <c r="Y56" i="18"/>
  <c r="AZ56" i="18"/>
  <c r="AQ85" i="18"/>
  <c r="AO45" i="18"/>
  <c r="S72" i="18"/>
  <c r="N72" i="18"/>
  <c r="AO62" i="18"/>
  <c r="K90" i="18"/>
  <c r="P45" i="18"/>
  <c r="P47" i="18"/>
  <c r="P40" i="18"/>
  <c r="M84" i="18"/>
  <c r="S44" i="18"/>
  <c r="AX44" i="18"/>
  <c r="U79" i="18"/>
  <c r="AV90" i="18"/>
  <c r="AD93" i="18"/>
  <c r="Y61" i="18"/>
  <c r="BD48" i="18"/>
  <c r="AM84" i="18"/>
  <c r="AI70" i="18"/>
  <c r="AM69" i="18"/>
  <c r="AM67" i="18"/>
  <c r="AF72" i="18"/>
  <c r="AO73" i="18"/>
  <c r="AO72" i="18"/>
  <c r="AQ60" i="18"/>
  <c r="Z60" i="18"/>
  <c r="AC84" i="18"/>
  <c r="AC63" i="18"/>
  <c r="X60" i="18"/>
  <c r="M65" i="18"/>
  <c r="L65" i="18"/>
  <c r="AH81" i="18"/>
  <c r="AH69" i="18"/>
  <c r="AI65" i="18"/>
  <c r="BC65" i="18"/>
  <c r="AH59" i="18"/>
  <c r="AT69" i="18"/>
  <c r="AG77" i="18"/>
  <c r="AT49" i="18"/>
  <c r="AT50" i="18"/>
  <c r="BN77" i="18"/>
  <c r="AT46" i="18"/>
  <c r="BL75" i="18"/>
  <c r="Z95" i="18"/>
  <c r="BF95" i="18"/>
  <c r="BL73" i="18"/>
  <c r="BL97" i="18"/>
  <c r="T95" i="18"/>
  <c r="BC95" i="18"/>
  <c r="Y95" i="18"/>
  <c r="AQ95" i="18"/>
  <c r="AN62" i="18"/>
  <c r="BC64" i="18"/>
  <c r="AG47" i="18"/>
  <c r="Q64" i="18"/>
  <c r="AG63" i="18"/>
  <c r="AG97" i="18"/>
  <c r="AL64" i="18"/>
  <c r="AG81" i="18"/>
  <c r="P64" i="18"/>
  <c r="BJ64" i="18"/>
  <c r="BI53" i="18"/>
  <c r="BI55" i="18"/>
  <c r="AU53" i="18"/>
  <c r="W53" i="18"/>
  <c r="W86" i="18"/>
  <c r="W94" i="18"/>
  <c r="W90" i="18"/>
  <c r="R54" i="18"/>
  <c r="BE54" i="18"/>
  <c r="P54" i="18"/>
  <c r="Z54" i="18"/>
  <c r="AS70" i="18"/>
  <c r="AS94" i="18"/>
  <c r="AS89" i="18"/>
  <c r="AS90" i="18"/>
  <c r="AG76" i="18"/>
  <c r="AS74" i="18"/>
  <c r="BA76" i="18"/>
  <c r="AS48" i="18"/>
  <c r="AT76" i="18"/>
  <c r="AD76" i="18"/>
  <c r="BF76" i="18"/>
  <c r="AS53" i="18"/>
  <c r="AS69" i="18"/>
  <c r="AA76" i="18"/>
  <c r="O76" i="18"/>
  <c r="AB76" i="18"/>
  <c r="L91" i="18"/>
  <c r="L84" i="18"/>
  <c r="L92" i="18"/>
  <c r="BG43" i="18"/>
  <c r="L69" i="18"/>
  <c r="X43" i="18"/>
  <c r="L85" i="18"/>
  <c r="AD43" i="18"/>
  <c r="L93" i="18"/>
  <c r="L97" i="18"/>
  <c r="L48" i="18"/>
  <c r="P43" i="18"/>
  <c r="L40" i="18"/>
  <c r="BE43" i="18"/>
  <c r="AQ52" i="18"/>
  <c r="R52" i="18"/>
  <c r="M87" i="18"/>
  <c r="AM63" i="18"/>
  <c r="AC70" i="18"/>
  <c r="AQ66" i="18"/>
  <c r="AG66" i="18"/>
  <c r="AQ89" i="18"/>
  <c r="AQ74" i="18"/>
  <c r="AT62" i="18"/>
  <c r="N60" i="18"/>
  <c r="BN60" i="18"/>
  <c r="AJ72" i="18"/>
  <c r="BD65" i="18"/>
  <c r="AA67" i="18"/>
  <c r="AS67" i="18"/>
  <c r="AH67" i="18"/>
  <c r="AJ93" i="18"/>
  <c r="X93" i="18"/>
  <c r="BL42" i="18"/>
  <c r="AJ42" i="18"/>
  <c r="AN42" i="18"/>
  <c r="AB75" i="18"/>
  <c r="X59" i="18"/>
  <c r="AX92" i="18"/>
  <c r="AL92" i="18"/>
  <c r="BK92" i="18"/>
  <c r="AT90" i="18"/>
  <c r="K77" i="18"/>
  <c r="BF43" i="18"/>
  <c r="Y47" i="18"/>
  <c r="AU47" i="18"/>
  <c r="BJ47" i="18"/>
  <c r="AM54" i="18"/>
  <c r="BA85" i="18"/>
  <c r="AC83" i="18"/>
  <c r="G41" i="223"/>
  <c r="BJ67" i="18"/>
  <c r="AQ53" i="18"/>
  <c r="H78" i="223"/>
  <c r="G11" i="18"/>
  <c r="AJ49" i="18"/>
  <c r="BK50" i="18"/>
  <c r="AN57" i="18"/>
  <c r="I56" i="18"/>
  <c r="BC88" i="18"/>
  <c r="Y44" i="18"/>
  <c r="AE91" i="18"/>
  <c r="Q73" i="18"/>
  <c r="R50" i="18"/>
  <c r="BL39" i="18"/>
  <c r="G94" i="18"/>
  <c r="AT66" i="18"/>
  <c r="AP60" i="18"/>
  <c r="AI50" i="18"/>
  <c r="AO75" i="18"/>
  <c r="AA55" i="18"/>
  <c r="AJ65" i="18"/>
  <c r="AM62" i="18"/>
  <c r="AF53" i="18"/>
  <c r="AF83" i="18"/>
  <c r="BI64" i="18"/>
  <c r="W63" i="18"/>
  <c r="AT56" i="18"/>
  <c r="M80" i="18"/>
  <c r="BN80" i="18"/>
  <c r="Q52" i="18"/>
  <c r="BA52" i="18"/>
  <c r="BL52" i="18"/>
  <c r="S41" i="18"/>
  <c r="M54" i="18"/>
  <c r="W54" i="18"/>
  <c r="N46" i="18"/>
  <c r="R45" i="18"/>
  <c r="AT97" i="18"/>
  <c r="BJ97" i="18"/>
  <c r="X89" i="18"/>
  <c r="Y89" i="18"/>
  <c r="AR89" i="18"/>
  <c r="AJ73" i="18"/>
  <c r="BE81" i="18"/>
  <c r="R88" i="18"/>
  <c r="L39" i="18"/>
  <c r="BJ55" i="18"/>
  <c r="AV40" i="18"/>
  <c r="BK63" i="18"/>
  <c r="AW94" i="18"/>
  <c r="N94" i="18"/>
  <c r="BH56" i="18"/>
  <c r="AI78" i="18"/>
  <c r="AQ78" i="18"/>
  <c r="P78" i="18"/>
  <c r="AE87" i="18"/>
  <c r="AR87" i="18"/>
  <c r="G87" i="18"/>
  <c r="BH87" i="18"/>
  <c r="BB70" i="18"/>
  <c r="BH70" i="18"/>
  <c r="AF70" i="18"/>
  <c r="L66" i="18"/>
  <c r="S66" i="18"/>
  <c r="AJ45" i="18"/>
  <c r="AQ58" i="18"/>
  <c r="AG74" i="18"/>
  <c r="BA60" i="18"/>
  <c r="AG60" i="18"/>
  <c r="K72" i="18"/>
  <c r="AP72" i="18"/>
  <c r="BI80" i="18"/>
  <c r="AH65" i="18"/>
  <c r="AN67" i="18"/>
  <c r="AJ63" i="18"/>
  <c r="U67" i="18"/>
  <c r="AO67" i="18"/>
  <c r="O93" i="18"/>
  <c r="AR93" i="18"/>
  <c r="K42" i="18"/>
  <c r="O42" i="18"/>
  <c r="Q42" i="18"/>
  <c r="U59" i="18"/>
  <c r="BI97" i="18"/>
  <c r="J92" i="18"/>
  <c r="I92" i="18"/>
  <c r="AO92" i="18"/>
  <c r="BJ77" i="18"/>
  <c r="H77" i="18"/>
  <c r="BI43" i="18"/>
  <c r="K43" i="18"/>
  <c r="U47" i="18"/>
  <c r="O47" i="18"/>
  <c r="BA54" i="18"/>
  <c r="BC52" i="18"/>
  <c r="R66" i="18"/>
  <c r="AO49" i="18"/>
  <c r="BK49" i="18"/>
  <c r="Q95" i="18"/>
  <c r="AA95" i="18"/>
  <c r="M48" i="18"/>
  <c r="Z44" i="18"/>
  <c r="AV71" i="18"/>
  <c r="J71" i="18"/>
  <c r="AN90" i="18"/>
  <c r="BN71" i="18"/>
  <c r="AV48" i="18"/>
  <c r="BE79" i="18"/>
  <c r="Q79" i="18"/>
  <c r="U38" i="18"/>
  <c r="G69" i="18"/>
  <c r="I64" i="18"/>
  <c r="AD64" i="18"/>
  <c r="BK90" i="18"/>
  <c r="H135" i="237"/>
  <c r="BJ61" i="18"/>
  <c r="J59" i="18"/>
  <c r="BA66" i="18"/>
  <c r="U48" i="18"/>
  <c r="O53" i="18"/>
  <c r="U63" i="18"/>
  <c r="O52" i="18"/>
  <c r="AV54" i="18"/>
  <c r="N97" i="18"/>
  <c r="BF73" i="18"/>
  <c r="W51" i="18"/>
  <c r="BB40" i="18"/>
  <c r="AB78" i="18"/>
  <c r="BD91" i="18"/>
  <c r="BN70" i="18"/>
  <c r="I45" i="18"/>
  <c r="AZ60" i="18"/>
  <c r="Z65" i="18"/>
  <c r="AU93" i="18"/>
  <c r="H92" i="18"/>
  <c r="AD77" i="18"/>
  <c r="P57" i="18"/>
  <c r="P52" i="18"/>
  <c r="R86" i="18"/>
  <c r="BN49" i="18"/>
  <c r="BL48" i="18"/>
  <c r="W44" i="18"/>
  <c r="M90" i="18"/>
  <c r="AW71" i="18"/>
  <c r="X71" i="18"/>
  <c r="BK71" i="18"/>
  <c r="BI79" i="18"/>
  <c r="AI79" i="18"/>
  <c r="H38" i="18"/>
  <c r="AT64" i="18"/>
  <c r="L59" i="18"/>
  <c r="BB78" i="18"/>
  <c r="AW73" i="18"/>
  <c r="AF61" i="18"/>
  <c r="AD46" i="18"/>
  <c r="AC61" i="18"/>
  <c r="H66" i="18"/>
  <c r="AM39" i="18"/>
  <c r="M26" i="237"/>
  <c r="BA41" i="18"/>
  <c r="AU77" i="18"/>
  <c r="AG85" i="18"/>
  <c r="P59" i="18"/>
  <c r="BF49" i="18"/>
  <c r="BI69" i="18"/>
  <c r="G83" i="18"/>
  <c r="AR80" i="18"/>
  <c r="AI52" i="18"/>
  <c r="AU54" i="18"/>
  <c r="I97" i="18"/>
  <c r="BE73" i="18"/>
  <c r="K51" i="18"/>
  <c r="BH94" i="18"/>
  <c r="AU90" i="18"/>
  <c r="AN87" i="18"/>
  <c r="T70" i="18"/>
  <c r="AU66" i="18"/>
  <c r="M60" i="18"/>
  <c r="AW86" i="18"/>
  <c r="W67" i="18"/>
  <c r="BC42" i="18"/>
  <c r="AB84" i="18"/>
  <c r="BC92" i="18"/>
  <c r="BG47" i="18"/>
  <c r="U85" i="18"/>
  <c r="K49" i="18"/>
  <c r="R85" i="18"/>
  <c r="AH95" i="18"/>
  <c r="BL83" i="18"/>
  <c r="BI44" i="18"/>
  <c r="M71" i="18"/>
  <c r="K71" i="18"/>
  <c r="BC71" i="18"/>
  <c r="BD71" i="18"/>
  <c r="BH79" i="18"/>
  <c r="H79" i="18"/>
  <c r="G53" i="18"/>
  <c r="AG69" i="18"/>
  <c r="AC64" i="18"/>
  <c r="AU72" i="18"/>
  <c r="M73" i="18"/>
  <c r="T61" i="18"/>
  <c r="AD86" i="18"/>
  <c r="L61" i="18"/>
  <c r="H93" i="18"/>
  <c r="BH84" i="18"/>
  <c r="BF87" i="18"/>
  <c r="AQ62" i="18"/>
  <c r="X46" i="18"/>
  <c r="AI76" i="18"/>
  <c r="J77" i="18"/>
  <c r="V81" i="18"/>
  <c r="N56" i="18"/>
  <c r="M52" i="18"/>
  <c r="AA54" i="18"/>
  <c r="AC89" i="18"/>
  <c r="AR73" i="18"/>
  <c r="AZ39" i="18"/>
  <c r="AT94" i="18"/>
  <c r="BD78" i="18"/>
  <c r="BI87" i="18"/>
  <c r="AN70" i="18"/>
  <c r="AQ69" i="18"/>
  <c r="BH60" i="18"/>
  <c r="AH86" i="18"/>
  <c r="J67" i="18"/>
  <c r="T42" i="18"/>
  <c r="AW92" i="18"/>
  <c r="AP77" i="18"/>
  <c r="BH47" i="18"/>
  <c r="AO52" i="18"/>
  <c r="AS49" i="18"/>
  <c r="V49" i="18"/>
  <c r="BL53" i="18"/>
  <c r="AB44" i="18"/>
  <c r="AM44" i="18"/>
  <c r="AI71" i="18"/>
  <c r="AC71" i="18"/>
  <c r="N71" i="18"/>
  <c r="AV91" i="18"/>
  <c r="Y79" i="18"/>
  <c r="G42" i="18"/>
  <c r="V38" i="18"/>
  <c r="Y64" i="18"/>
  <c r="L88" i="18"/>
  <c r="BC78" i="18"/>
  <c r="AC73" i="18"/>
  <c r="AD69" i="18"/>
  <c r="AP61" i="18"/>
  <c r="Y39" i="18"/>
  <c r="K57" i="14"/>
  <c r="X66" i="18"/>
  <c r="AQ42" i="18"/>
  <c r="BL88" i="18"/>
  <c r="Y50" i="18"/>
  <c r="L72" i="18"/>
  <c r="BF55" i="18"/>
  <c r="AB56" i="18"/>
  <c r="BK52" i="18"/>
  <c r="BJ54" i="18"/>
  <c r="BA97" i="18"/>
  <c r="BB73" i="18"/>
  <c r="BH51" i="18"/>
  <c r="Y40" i="18"/>
  <c r="AV78" i="18"/>
  <c r="AF87" i="18"/>
  <c r="AM53" i="18"/>
  <c r="AI81" i="18"/>
  <c r="AE53" i="18"/>
  <c r="AO80" i="18"/>
  <c r="BC67" i="18"/>
  <c r="AL42" i="18"/>
  <c r="BI92" i="18"/>
  <c r="AM77" i="18"/>
  <c r="AE47" i="18"/>
  <c r="AS52" i="18"/>
  <c r="Q49" i="18"/>
  <c r="R90" i="18"/>
  <c r="AF95" i="18"/>
  <c r="M40" i="18"/>
  <c r="M50" i="18"/>
  <c r="AN63" i="18"/>
  <c r="R71" i="18"/>
  <c r="P71" i="18"/>
  <c r="V79" i="18"/>
  <c r="O79" i="18"/>
  <c r="AS38" i="18"/>
  <c r="AG58" i="18"/>
  <c r="M64" i="18"/>
  <c r="R43" i="18"/>
  <c r="AU78" i="18"/>
  <c r="B78" i="18" s="1"/>
  <c r="AU73" i="18"/>
  <c r="H61" i="18"/>
  <c r="AX61" i="18"/>
  <c r="BB61" i="18"/>
  <c r="BD39" i="18"/>
  <c r="C41" i="18"/>
  <c r="B53" i="18"/>
  <c r="B42" i="18"/>
  <c r="B69" i="18"/>
  <c r="B63" i="18"/>
  <c r="B84" i="18"/>
  <c r="B61" i="18"/>
  <c r="B77" i="18"/>
  <c r="BA57" i="18"/>
  <c r="Z63" i="18"/>
  <c r="S69" i="18"/>
  <c r="BC75" i="18"/>
  <c r="BH81" i="18"/>
  <c r="BG58" i="18"/>
  <c r="AZ91" i="18"/>
  <c r="AX50" i="18"/>
  <c r="J55" i="18"/>
  <c r="AU49" i="18"/>
  <c r="Z56" i="18"/>
  <c r="Y66" i="18"/>
  <c r="X56" i="18"/>
  <c r="AQ41" i="18"/>
  <c r="N74" i="18"/>
  <c r="AJ74" i="18"/>
  <c r="AO53" i="18"/>
  <c r="R72" i="18"/>
  <c r="AD72" i="18"/>
  <c r="K45" i="18"/>
  <c r="K57" i="18"/>
  <c r="P83" i="18"/>
  <c r="BF47" i="18"/>
  <c r="P93" i="18"/>
  <c r="AV44" i="18"/>
  <c r="AQ44" i="18"/>
  <c r="BC44" i="18"/>
  <c r="I79" i="18"/>
  <c r="J79" i="18"/>
  <c r="AZ61" i="18"/>
  <c r="AI61" i="18"/>
  <c r="BN87" i="18"/>
  <c r="BG70" i="18"/>
  <c r="AM41" i="18"/>
  <c r="AM45" i="18"/>
  <c r="AO84" i="18"/>
  <c r="AO94" i="18"/>
  <c r="AO90" i="18"/>
  <c r="AO93" i="18"/>
  <c r="AC62" i="18"/>
  <c r="BL60" i="18"/>
  <c r="AC79" i="18"/>
  <c r="AC57" i="18"/>
  <c r="AC88" i="18"/>
  <c r="V60" i="18"/>
  <c r="AX60" i="18"/>
  <c r="AZ65" i="18"/>
  <c r="W65" i="18"/>
  <c r="AC65" i="18"/>
  <c r="AH83" i="18"/>
  <c r="AS65" i="18"/>
  <c r="AP65" i="18"/>
  <c r="AH73" i="18"/>
  <c r="AT55" i="18"/>
  <c r="AH77" i="18"/>
  <c r="BL77" i="18"/>
  <c r="V77" i="18"/>
  <c r="BH77" i="18"/>
  <c r="J95" i="18"/>
  <c r="BH95" i="18"/>
  <c r="AX95" i="18"/>
  <c r="BL91" i="18"/>
  <c r="BL63" i="18"/>
  <c r="L95" i="18"/>
  <c r="N95" i="18"/>
  <c r="BL81" i="18"/>
  <c r="AN55" i="18"/>
  <c r="AN50" i="18"/>
  <c r="R64" i="18"/>
  <c r="AG73" i="18"/>
  <c r="AF64" i="18"/>
  <c r="AG84" i="18"/>
  <c r="S64" i="18"/>
  <c r="AG40" i="18"/>
  <c r="AG41" i="18"/>
  <c r="BI50" i="18"/>
  <c r="BI45" i="18"/>
  <c r="AU62" i="18"/>
  <c r="W60" i="18"/>
  <c r="W55" i="18"/>
  <c r="W69" i="18"/>
  <c r="W85" i="18"/>
  <c r="X54" i="18"/>
  <c r="U54" i="18"/>
  <c r="J54" i="18"/>
  <c r="AS54" i="18"/>
  <c r="AR76" i="18"/>
  <c r="BJ76" i="18"/>
  <c r="AS63" i="18"/>
  <c r="AS46" i="18"/>
  <c r="AM76" i="18"/>
  <c r="K76" i="18"/>
  <c r="BH76" i="18"/>
  <c r="Z76" i="18"/>
  <c r="AS47" i="18"/>
  <c r="J76" i="18"/>
  <c r="AS40" i="18"/>
  <c r="AJ76" i="18"/>
  <c r="AS59" i="18"/>
  <c r="U76" i="18"/>
  <c r="P76" i="18"/>
  <c r="AX76" i="18"/>
  <c r="X76" i="18"/>
  <c r="AF43" i="18"/>
  <c r="BJ43" i="18"/>
  <c r="L60" i="18"/>
  <c r="I43" i="18"/>
  <c r="AI43" i="18"/>
  <c r="L90" i="18"/>
  <c r="L74" i="18"/>
  <c r="Y43" i="18"/>
  <c r="L43" i="18"/>
  <c r="L41" i="18"/>
  <c r="L75" i="18"/>
  <c r="S43" i="18"/>
  <c r="U40" i="18"/>
  <c r="U52" i="18"/>
  <c r="AD52" i="18"/>
  <c r="U75" i="18"/>
  <c r="U86" i="18"/>
  <c r="U97" i="18"/>
  <c r="BE52" i="18"/>
  <c r="AP52" i="18"/>
  <c r="U53" i="18"/>
  <c r="U66" i="18"/>
  <c r="AJ52" i="18"/>
  <c r="AW89" i="18"/>
  <c r="S80" i="18"/>
  <c r="N80" i="18"/>
  <c r="Q80" i="18"/>
  <c r="AW77" i="18"/>
  <c r="BH80" i="18"/>
  <c r="J80" i="18"/>
  <c r="AZ80" i="18"/>
  <c r="AW49" i="18"/>
  <c r="AW81" i="18"/>
  <c r="AW53" i="18"/>
  <c r="AE80" i="18"/>
  <c r="BK80" i="18"/>
  <c r="X80" i="18"/>
  <c r="AQ80" i="18"/>
  <c r="AW55" i="18"/>
  <c r="U92" i="18"/>
  <c r="AM90" i="18"/>
  <c r="AJ70" i="18"/>
  <c r="AQ70" i="18"/>
  <c r="P66" i="18"/>
  <c r="I66" i="18"/>
  <c r="J74" i="18"/>
  <c r="AO74" i="18"/>
  <c r="BC62" i="18"/>
  <c r="AL60" i="18"/>
  <c r="BG72" i="18"/>
  <c r="AH85" i="18"/>
  <c r="AD65" i="18"/>
  <c r="AJ86" i="18"/>
  <c r="Z67" i="18"/>
  <c r="BL67" i="18"/>
  <c r="AL93" i="18"/>
  <c r="AH42" i="18"/>
  <c r="Z42" i="18"/>
  <c r="K91" i="18"/>
  <c r="N42" i="18"/>
  <c r="BK59" i="18"/>
  <c r="AG92" i="18"/>
  <c r="AH92" i="18"/>
  <c r="AM92" i="18"/>
  <c r="Z92" i="18"/>
  <c r="AS77" i="18"/>
  <c r="BI77" i="18"/>
  <c r="AB43" i="18"/>
  <c r="AN47" i="18"/>
  <c r="AR47" i="18"/>
  <c r="BD54" i="18"/>
  <c r="M67" i="223"/>
  <c r="U20" i="15"/>
  <c r="AI97" i="18"/>
  <c r="AB25" i="15"/>
  <c r="AJ56" i="18"/>
  <c r="BG90" i="18"/>
  <c r="B90" i="18" s="1"/>
  <c r="BG59" i="18"/>
  <c r="AY14" i="18"/>
  <c r="AY74" i="18"/>
  <c r="AW85" i="18"/>
  <c r="AA90" i="18"/>
  <c r="AT61" i="18"/>
  <c r="AG64" i="18"/>
  <c r="L44" i="18"/>
  <c r="AY45" i="18"/>
  <c r="AU59" i="18"/>
  <c r="AM50" i="18"/>
  <c r="S39" i="18"/>
  <c r="BN81" i="18"/>
  <c r="BI49" i="18"/>
  <c r="AD90" i="18"/>
  <c r="BL95" i="18"/>
  <c r="B95" i="18" s="1"/>
  <c r="AC75" i="18"/>
  <c r="AS55" i="18"/>
  <c r="S65" i="18"/>
  <c r="BI62" i="18"/>
  <c r="AH53" i="18"/>
  <c r="AM86" i="18"/>
  <c r="AW76" i="18"/>
  <c r="BD63" i="18"/>
  <c r="W56" i="18"/>
  <c r="AW90" i="18"/>
  <c r="U80" i="18"/>
  <c r="BI52" i="18"/>
  <c r="L52" i="18"/>
  <c r="BI41" i="18"/>
  <c r="N41" i="18"/>
  <c r="Y54" i="18"/>
  <c r="G54" i="18"/>
  <c r="AN45" i="18"/>
  <c r="V97" i="18"/>
  <c r="W97" i="18"/>
  <c r="AJ97" i="18"/>
  <c r="AB89" i="18"/>
  <c r="BN89" i="18"/>
  <c r="AP50" i="18"/>
  <c r="X73" i="18"/>
  <c r="G88" i="18"/>
  <c r="AI39" i="18"/>
  <c r="BH39" i="18"/>
  <c r="H40" i="18"/>
  <c r="V40" i="18"/>
  <c r="BK83" i="18"/>
  <c r="I94" i="18"/>
  <c r="Y85" i="18"/>
  <c r="AU58" i="18"/>
  <c r="R78" i="18"/>
  <c r="BE78" i="18"/>
  <c r="AS84" i="18"/>
  <c r="H87" i="18"/>
  <c r="BE87" i="18"/>
  <c r="J87" i="18"/>
  <c r="V87" i="18"/>
  <c r="X70" i="18"/>
  <c r="AO70" i="18"/>
  <c r="AA70" i="18"/>
  <c r="AI58" i="18"/>
  <c r="BN66" i="18"/>
  <c r="AQ81" i="18"/>
  <c r="BJ74" i="18"/>
  <c r="BE62" i="18"/>
  <c r="Y60" i="18"/>
  <c r="BG60" i="18"/>
  <c r="AG72" i="18"/>
  <c r="O72" i="18"/>
  <c r="AE65" i="18"/>
  <c r="AX65" i="18"/>
  <c r="L67" i="18"/>
  <c r="BB67" i="18"/>
  <c r="Y67" i="18"/>
  <c r="AE93" i="18"/>
  <c r="AF93" i="18"/>
  <c r="R42" i="18"/>
  <c r="U42" i="18"/>
  <c r="W42" i="18"/>
  <c r="AU42" i="18"/>
  <c r="AL59" i="18"/>
  <c r="BN92" i="18"/>
  <c r="X92" i="18"/>
  <c r="AE92" i="18"/>
  <c r="AT70" i="18"/>
  <c r="Q77" i="18"/>
  <c r="AT91" i="18"/>
  <c r="H43" i="18"/>
  <c r="AR43" i="18"/>
  <c r="Z47" i="18"/>
  <c r="AW47" i="18"/>
  <c r="AQ54" i="18"/>
  <c r="U70" i="18"/>
  <c r="R76" i="18"/>
  <c r="BB49" i="18"/>
  <c r="BA49" i="18"/>
  <c r="BL85" i="18"/>
  <c r="AO95" i="18"/>
  <c r="AG44" i="18"/>
  <c r="BK44" i="18"/>
  <c r="AN41" i="18"/>
  <c r="V71" i="18"/>
  <c r="AD71" i="18"/>
  <c r="G71" i="18"/>
  <c r="AM79" i="18"/>
  <c r="AU79" i="18"/>
  <c r="AV81" i="18"/>
  <c r="G55" i="18"/>
  <c r="S38" i="18"/>
  <c r="AG91" i="18"/>
  <c r="BI67" i="18"/>
  <c r="AE21" i="15"/>
  <c r="K39" i="223"/>
  <c r="AI64" i="18"/>
  <c r="U50" i="18"/>
  <c r="BI60" i="18"/>
  <c r="BE55" i="18"/>
  <c r="AH57" i="18"/>
  <c r="BF56" i="18"/>
  <c r="Z41" i="18"/>
  <c r="Z45" i="18"/>
  <c r="AH89" i="18"/>
  <c r="AT88" i="18"/>
  <c r="AU39" i="18"/>
  <c r="AR94" i="18"/>
  <c r="BH78" i="18"/>
  <c r="AQ87" i="18"/>
  <c r="K70" i="18"/>
  <c r="AQ90" i="18"/>
  <c r="W72" i="18"/>
  <c r="R67" i="18"/>
  <c r="BI93" i="18"/>
  <c r="P87" i="18"/>
  <c r="BE92" i="18"/>
  <c r="L81" i="18"/>
  <c r="AL54" i="18"/>
  <c r="AD49" i="18"/>
  <c r="AH49" i="18"/>
  <c r="AZ95" i="18"/>
  <c r="AD95" i="18"/>
  <c r="K44" i="18"/>
  <c r="AW44" i="18"/>
  <c r="BA71" i="18"/>
  <c r="AT71" i="18"/>
  <c r="BI71" i="18"/>
  <c r="AD79" i="18"/>
  <c r="BG79" i="18"/>
  <c r="G76" i="18"/>
  <c r="BK64" i="18"/>
  <c r="T64" i="18"/>
  <c r="O43" i="18"/>
  <c r="BN82" i="18"/>
  <c r="G82" i="18"/>
  <c r="BG82" i="18"/>
  <c r="AU48" i="18"/>
  <c r="AN73" i="18"/>
  <c r="AN61" i="18"/>
  <c r="AB61" i="18"/>
  <c r="O61" i="18"/>
  <c r="BF39" i="18"/>
  <c r="AE39" i="18"/>
  <c r="H183" i="237"/>
  <c r="AR65" i="18"/>
  <c r="C60" i="18"/>
  <c r="AZ64" i="18"/>
  <c r="BK76" i="18"/>
  <c r="BN90" i="18"/>
  <c r="AI38" i="18"/>
  <c r="AH84" i="18"/>
  <c r="AN80" i="18"/>
  <c r="X41" i="18"/>
  <c r="AT45" i="18"/>
  <c r="AE89" i="18"/>
  <c r="J88" i="18"/>
  <c r="AC39" i="18"/>
  <c r="AU94" i="18"/>
  <c r="L78" i="18"/>
  <c r="AT87" i="18"/>
  <c r="AE70" i="18"/>
  <c r="BN74" i="18"/>
  <c r="BE60" i="18"/>
  <c r="U65" i="18"/>
  <c r="AW67" i="18"/>
  <c r="X42" i="18"/>
  <c r="BI75" i="18"/>
  <c r="AF77" i="18"/>
  <c r="P53" i="18"/>
  <c r="U91" i="18"/>
  <c r="R69" i="18"/>
  <c r="AQ49" i="18"/>
  <c r="BL50" i="18"/>
  <c r="AZ44" i="18"/>
  <c r="AL44" i="18"/>
  <c r="AN66" i="18"/>
  <c r="AY71" i="18"/>
  <c r="AX71" i="18"/>
  <c r="Z79" i="18"/>
  <c r="AA79" i="18"/>
  <c r="AV38" i="18"/>
  <c r="X38" i="18"/>
  <c r="AQ64" i="18"/>
  <c r="AB92" i="18"/>
  <c r="AY55" i="18"/>
  <c r="L82" i="18"/>
  <c r="AM82" i="18"/>
  <c r="AW82" i="18"/>
  <c r="AU76" i="18"/>
  <c r="AB73" i="18"/>
  <c r="K61" i="18"/>
  <c r="Q61" i="18"/>
  <c r="BG61" i="18"/>
  <c r="BB39" i="18"/>
  <c r="AI20" i="15"/>
  <c r="N45" i="237"/>
  <c r="AO57" i="18"/>
  <c r="BF93" i="18"/>
  <c r="BN69" i="18"/>
  <c r="AN75" i="18"/>
  <c r="AI83" i="18"/>
  <c r="BA80" i="18"/>
  <c r="BH52" i="18"/>
  <c r="N54" i="18"/>
  <c r="BJ89" i="18"/>
  <c r="BE90" i="18"/>
  <c r="AT39" i="18"/>
  <c r="AD56" i="18"/>
  <c r="BL78" i="18"/>
  <c r="BJ87" i="18"/>
  <c r="V70" i="18"/>
  <c r="R74" i="18"/>
  <c r="BJ72" i="18"/>
  <c r="H67" i="18"/>
  <c r="J93" i="18"/>
  <c r="M42" i="18"/>
  <c r="BL92" i="18"/>
  <c r="AT81" i="18"/>
  <c r="AT47" i="18"/>
  <c r="Z52" i="18"/>
  <c r="T49" i="18"/>
  <c r="BB95" i="18"/>
  <c r="X95" i="18"/>
  <c r="H44" i="18"/>
  <c r="AE44" i="18"/>
  <c r="AN53" i="18"/>
  <c r="BL71" i="18"/>
  <c r="AJ71" i="18"/>
  <c r="X79" i="18"/>
  <c r="BF79" i="18"/>
  <c r="P38" i="18"/>
  <c r="T38" i="18"/>
  <c r="U64" i="18"/>
  <c r="AY88" i="18"/>
  <c r="J82" i="18"/>
  <c r="AL82" i="18"/>
  <c r="T82" i="18"/>
  <c r="AR78" i="18"/>
  <c r="W73" i="18"/>
  <c r="BH61" i="18"/>
  <c r="AJ61" i="18"/>
  <c r="BE61" i="18"/>
  <c r="K39" i="18"/>
  <c r="AL90" i="18"/>
  <c r="BM9" i="18"/>
  <c r="H72" i="18"/>
  <c r="G44" i="18"/>
  <c r="AS43" i="18"/>
  <c r="BN47" i="18"/>
  <c r="BE65" i="18"/>
  <c r="AZ83" i="18"/>
  <c r="AT80" i="18"/>
  <c r="AF41" i="18"/>
  <c r="S54" i="18"/>
  <c r="V89" i="18"/>
  <c r="BM88" i="18"/>
  <c r="M39" i="18"/>
  <c r="S94" i="18"/>
  <c r="AX78" i="18"/>
  <c r="O87" i="18"/>
  <c r="AL70" i="18"/>
  <c r="W66" i="18"/>
  <c r="AH60" i="18"/>
  <c r="AH40" i="18"/>
  <c r="K67" i="18"/>
  <c r="AA42" i="18"/>
  <c r="M59" i="18"/>
  <c r="AU92" i="18"/>
  <c r="L50" i="18"/>
  <c r="BM54" i="18"/>
  <c r="BM85" i="18"/>
  <c r="AA96" i="18"/>
  <c r="BL49" i="18"/>
  <c r="AC49" i="18"/>
  <c r="BN95" i="18"/>
  <c r="AT44" i="18"/>
  <c r="AF44" i="18"/>
  <c r="Z71" i="18"/>
  <c r="BG71" i="18"/>
  <c r="BH71" i="18"/>
  <c r="AT79" i="18"/>
  <c r="BC79" i="18"/>
  <c r="AZ79" i="18"/>
  <c r="Q38" i="18"/>
  <c r="AG94" i="18"/>
  <c r="K92" i="18"/>
  <c r="AY82" i="18"/>
  <c r="B82" i="18" s="1"/>
  <c r="AN82" i="18"/>
  <c r="AE82" i="18"/>
  <c r="BD82" i="18"/>
  <c r="BM78" i="18"/>
  <c r="O73" i="18"/>
  <c r="BN61" i="18"/>
  <c r="BL61" i="18"/>
  <c r="AE61" i="18"/>
  <c r="AP39" i="18"/>
  <c r="BG39" i="18"/>
  <c r="B86" i="18"/>
  <c r="B93" i="18"/>
  <c r="B44" i="18"/>
  <c r="B64" i="18"/>
  <c r="B65" i="18"/>
  <c r="B97" i="18"/>
  <c r="B41" i="18"/>
  <c r="B58" i="18"/>
  <c r="B50" i="18"/>
  <c r="B74" i="18"/>
  <c r="Z83" i="18"/>
  <c r="AL63" i="18"/>
  <c r="BH69" i="18"/>
  <c r="AX89" i="18"/>
  <c r="J90" i="18"/>
  <c r="AF58" i="18"/>
  <c r="S48" i="18"/>
  <c r="AX84" i="18"/>
  <c r="BB55" i="18"/>
  <c r="AU69" i="18"/>
  <c r="BI56" i="18"/>
  <c r="BL56" i="18"/>
  <c r="AO56" i="18"/>
  <c r="U74" i="18"/>
  <c r="AD74" i="18"/>
  <c r="BA74" i="18"/>
  <c r="AW72" i="18"/>
  <c r="AO88" i="18"/>
  <c r="AC72" i="18"/>
  <c r="K83" i="18"/>
  <c r="K63" i="18"/>
  <c r="P69" i="18"/>
  <c r="BK47" i="18"/>
  <c r="K55" i="14"/>
  <c r="BF44" i="18"/>
  <c r="M57" i="18"/>
  <c r="AV58" i="18"/>
  <c r="N79" i="18"/>
  <c r="AD75" i="18"/>
  <c r="AM61" i="18"/>
  <c r="AD84" i="18"/>
  <c r="AM93" i="18"/>
  <c r="AM94" i="18"/>
  <c r="AM58" i="18"/>
  <c r="W70" i="18"/>
  <c r="P72" i="18"/>
  <c r="AO50" i="18"/>
  <c r="Q72" i="18"/>
  <c r="M72" i="18"/>
  <c r="P60" i="18"/>
  <c r="BC60" i="18"/>
  <c r="AC85" i="18"/>
  <c r="AS60" i="18"/>
  <c r="AC41" i="18"/>
  <c r="I60" i="18"/>
  <c r="AC50" i="18"/>
  <c r="O65" i="18"/>
  <c r="X65" i="18"/>
  <c r="AO65" i="18"/>
  <c r="BM65" i="18"/>
  <c r="BJ65" i="18"/>
  <c r="AW65" i="18"/>
  <c r="AH91" i="18"/>
  <c r="AT48" i="18"/>
  <c r="M77" i="18"/>
  <c r="AT67" i="18"/>
  <c r="S77" i="18"/>
  <c r="W77" i="18"/>
  <c r="AT85" i="18"/>
  <c r="U95" i="18"/>
  <c r="P95" i="18"/>
  <c r="R95" i="18"/>
  <c r="BL41" i="18"/>
  <c r="BL69" i="18"/>
  <c r="AM95" i="18"/>
  <c r="BL93" i="18"/>
  <c r="AN81" i="18"/>
  <c r="AN40" i="18"/>
  <c r="AH64" i="18"/>
  <c r="BE64" i="18"/>
  <c r="BL64" i="18"/>
  <c r="AS64" i="18"/>
  <c r="AG57" i="18"/>
  <c r="AG59" i="18"/>
  <c r="V64" i="18"/>
  <c r="BI58" i="18"/>
  <c r="BI86" i="18"/>
  <c r="BI85" i="18"/>
  <c r="AU81" i="18"/>
  <c r="W49" i="18"/>
  <c r="W75" i="18"/>
  <c r="W50" i="18"/>
  <c r="W58" i="18"/>
  <c r="BN54" i="18"/>
  <c r="W84" i="18"/>
  <c r="AS93" i="18"/>
  <c r="BD76" i="18"/>
  <c r="AO76" i="18"/>
  <c r="W76" i="18"/>
  <c r="AS62" i="18"/>
  <c r="BM76" i="18"/>
  <c r="AS91" i="18"/>
  <c r="AS76" i="18"/>
  <c r="AL76" i="18"/>
  <c r="AS66" i="18"/>
  <c r="V76" i="18"/>
  <c r="AS88" i="18"/>
  <c r="AN76" i="18"/>
  <c r="AS75" i="18"/>
  <c r="AZ76" i="18"/>
  <c r="AV76" i="18"/>
  <c r="AF76" i="18"/>
  <c r="AS58" i="18"/>
  <c r="AN43" i="18"/>
  <c r="BC43" i="18"/>
  <c r="L56" i="18"/>
  <c r="L83" i="18"/>
  <c r="AX43" i="18"/>
  <c r="BK43" i="18"/>
  <c r="L62" i="18"/>
  <c r="AV43" i="18"/>
  <c r="L58" i="18"/>
  <c r="L49" i="18"/>
  <c r="AU43" i="18"/>
  <c r="BA43" i="18"/>
  <c r="U89" i="18"/>
  <c r="BN52" i="18"/>
  <c r="AT52" i="18"/>
  <c r="U69" i="18"/>
  <c r="U57" i="18"/>
  <c r="BB52" i="18"/>
  <c r="AL52" i="18"/>
  <c r="AZ52" i="18"/>
  <c r="U58" i="18"/>
  <c r="U73" i="18"/>
  <c r="AW43" i="18"/>
  <c r="Y80" i="18"/>
  <c r="AX80" i="18"/>
  <c r="W80" i="18"/>
  <c r="AW40" i="18"/>
  <c r="AW42" i="18"/>
  <c r="BC80" i="18"/>
  <c r="BE80" i="18"/>
  <c r="R80" i="18"/>
  <c r="AW57" i="18"/>
  <c r="BJ80" i="18"/>
  <c r="AW59" i="18"/>
  <c r="AW45" i="18"/>
  <c r="AJ80" i="18"/>
  <c r="AD80" i="18"/>
  <c r="AU80" i="18"/>
  <c r="AW48" i="18"/>
  <c r="U72" i="18"/>
  <c r="AU46" i="18"/>
  <c r="BK61" i="18"/>
  <c r="V57" i="18"/>
  <c r="AG62" i="18"/>
  <c r="AF45" i="18"/>
  <c r="BB94" i="18"/>
  <c r="AM74" i="18"/>
  <c r="V42" i="18"/>
  <c r="U81" i="18"/>
  <c r="R46" i="18"/>
  <c r="H71" i="18"/>
  <c r="AH79" i="18"/>
  <c r="R92" i="18"/>
  <c r="M61" i="18"/>
  <c r="B83" i="18"/>
  <c r="B79" i="18"/>
  <c r="C47" i="18"/>
  <c r="BB75" i="18"/>
  <c r="BG83" i="18"/>
  <c r="AU57" i="18"/>
  <c r="O56" i="18"/>
  <c r="AM72" i="18"/>
  <c r="P97" i="18"/>
  <c r="BN44" i="18"/>
  <c r="AD59" i="18"/>
  <c r="AM97" i="18"/>
  <c r="AO59" i="18"/>
  <c r="BM60" i="18"/>
  <c r="AC60" i="18"/>
  <c r="AH47" i="18"/>
  <c r="AT59" i="18"/>
  <c r="BG77" i="18"/>
  <c r="G95" i="18"/>
  <c r="M95" i="18"/>
  <c r="N64" i="18"/>
  <c r="AG50" i="18"/>
  <c r="L64" i="18"/>
  <c r="AF78" i="18"/>
  <c r="AG54" i="18"/>
  <c r="AH76" i="18"/>
  <c r="AS57" i="18"/>
  <c r="AS83" i="18"/>
  <c r="I76" i="18"/>
  <c r="AS45" i="18"/>
  <c r="L89" i="18"/>
  <c r="AA43" i="18"/>
  <c r="BB43" i="18"/>
  <c r="AF52" i="18"/>
  <c r="U77" i="18"/>
  <c r="K52" i="18"/>
  <c r="AY52" i="18"/>
  <c r="AW54" i="18"/>
  <c r="BF80" i="18"/>
  <c r="AF80" i="18"/>
  <c r="AW69" i="18"/>
  <c r="O80" i="18"/>
  <c r="T80" i="18"/>
  <c r="AW84" i="18"/>
  <c r="U87" i="18"/>
  <c r="AW52" i="18"/>
  <c r="U46" i="18"/>
  <c r="G77" i="18"/>
  <c r="G56" i="18"/>
  <c r="G92" i="18"/>
  <c r="G90" i="18"/>
  <c r="AA38" i="18"/>
  <c r="AN38" i="18"/>
  <c r="G40" i="18"/>
  <c r="G57" i="18"/>
  <c r="AJ38" i="18"/>
  <c r="AU38" i="18"/>
  <c r="G93" i="18"/>
  <c r="AM38" i="18"/>
  <c r="BD38" i="18"/>
  <c r="G75" i="18"/>
  <c r="AY59" i="18"/>
  <c r="AY40" i="18"/>
  <c r="AY67" i="18"/>
  <c r="AY86" i="18"/>
  <c r="AY66" i="18"/>
  <c r="AY90" i="18"/>
  <c r="AY44" i="18"/>
  <c r="AY69" i="18"/>
  <c r="AI82" i="18"/>
  <c r="AY81" i="18"/>
  <c r="Y82" i="18"/>
  <c r="AO39" i="18"/>
  <c r="H90" i="18"/>
  <c r="AR39" i="18"/>
  <c r="H81" i="18"/>
  <c r="AQ39" i="18"/>
  <c r="H85" i="18"/>
  <c r="BK39" i="18"/>
  <c r="AL39" i="18"/>
  <c r="H62" i="18"/>
  <c r="T39" i="18"/>
  <c r="H89" i="18"/>
  <c r="AW39" i="18"/>
  <c r="T72" i="18"/>
  <c r="AM51" i="18"/>
  <c r="AG51" i="18"/>
  <c r="T53" i="18"/>
  <c r="AX51" i="18"/>
  <c r="G51" i="18"/>
  <c r="AY51" i="18"/>
  <c r="T47" i="18"/>
  <c r="T66" i="18"/>
  <c r="BN51" i="18"/>
  <c r="N51" i="18"/>
  <c r="AD51" i="18"/>
  <c r="BE51" i="18"/>
  <c r="T85" i="18"/>
  <c r="AF51" i="18"/>
  <c r="AE51" i="18"/>
  <c r="T69" i="18"/>
  <c r="BA51" i="18"/>
  <c r="T84" i="18"/>
  <c r="T55" i="18"/>
  <c r="T93" i="18"/>
  <c r="AI51" i="18"/>
  <c r="BM92" i="18"/>
  <c r="Z96" i="18"/>
  <c r="AP96" i="18"/>
  <c r="V96" i="18"/>
  <c r="BM71" i="18"/>
  <c r="AI96" i="18"/>
  <c r="BM87" i="18"/>
  <c r="AS96" i="18"/>
  <c r="AB96" i="18"/>
  <c r="BM59" i="18"/>
  <c r="AC96" i="18"/>
  <c r="BM67" i="18"/>
  <c r="AG96" i="18"/>
  <c r="T96" i="18"/>
  <c r="AZ96" i="18"/>
  <c r="AJ96" i="18"/>
  <c r="AH96" i="18"/>
  <c r="BM79" i="18"/>
  <c r="BM58" i="18"/>
  <c r="AT96" i="18"/>
  <c r="BJ96" i="18"/>
  <c r="J96" i="18"/>
  <c r="AU96" i="18"/>
  <c r="AD96" i="18"/>
  <c r="BM40" i="18"/>
  <c r="BF96" i="18"/>
  <c r="BM57" i="18"/>
  <c r="R73" i="18"/>
  <c r="H41" i="18"/>
  <c r="O91" i="18"/>
  <c r="N76" i="18"/>
  <c r="AO89" i="18"/>
  <c r="V78" i="18"/>
  <c r="H60" i="18"/>
  <c r="BD59" i="18"/>
  <c r="BA96" i="18"/>
  <c r="K95" i="18"/>
  <c r="AR71" i="18"/>
  <c r="G97" i="18"/>
  <c r="K82" i="18"/>
  <c r="AU97" i="18"/>
  <c r="BI61" i="18"/>
  <c r="AC81" i="18"/>
  <c r="AX63" i="18"/>
  <c r="S58" i="18"/>
  <c r="AU45" i="18"/>
  <c r="M74" i="18"/>
  <c r="AO85" i="18"/>
  <c r="BE47" i="18"/>
  <c r="U44" i="18"/>
  <c r="AW61" i="18"/>
  <c r="AM55" i="18"/>
  <c r="G72" i="18"/>
  <c r="AC56" i="18"/>
  <c r="AH58" i="18"/>
  <c r="BF65" i="18"/>
  <c r="AX77" i="18"/>
  <c r="AT73" i="18"/>
  <c r="BM95" i="18"/>
  <c r="H95" i="18"/>
  <c r="AG48" i="18"/>
  <c r="AG46" i="18"/>
  <c r="BI57" i="18"/>
  <c r="BG54" i="18"/>
  <c r="BC54" i="18"/>
  <c r="BE76" i="18"/>
  <c r="AP76" i="18"/>
  <c r="T76" i="18"/>
  <c r="AS50" i="18"/>
  <c r="AG43" i="18"/>
  <c r="L57" i="18"/>
  <c r="L45" i="18"/>
  <c r="AE43" i="18"/>
  <c r="AE52" i="18"/>
  <c r="U94" i="18"/>
  <c r="AR52" i="18"/>
  <c r="U83" i="18"/>
  <c r="AH80" i="18"/>
  <c r="AA80" i="18"/>
  <c r="AW91" i="18"/>
  <c r="AW60" i="18"/>
  <c r="H80" i="18"/>
  <c r="AW74" i="18"/>
  <c r="AC80" i="18"/>
  <c r="AY80" i="18"/>
  <c r="AW88" i="18"/>
  <c r="G52" i="18"/>
  <c r="AM52" i="18"/>
  <c r="AH52" i="18"/>
  <c r="G66" i="18"/>
  <c r="BA38" i="18"/>
  <c r="G67" i="18"/>
  <c r="G86" i="18"/>
  <c r="AR38" i="18"/>
  <c r="AB38" i="18"/>
  <c r="G73" i="18"/>
  <c r="G47" i="18"/>
  <c r="AZ38" i="18"/>
  <c r="BB38" i="18"/>
  <c r="G41" i="18"/>
  <c r="BC38" i="18"/>
  <c r="J38" i="18"/>
  <c r="G59" i="18"/>
  <c r="AY65" i="18"/>
  <c r="AY54" i="18"/>
  <c r="AY87" i="18"/>
  <c r="BI82" i="18"/>
  <c r="AY79" i="18"/>
  <c r="AP82" i="18"/>
  <c r="AS82" i="18"/>
  <c r="AY73" i="18"/>
  <c r="AG82" i="18"/>
  <c r="AY91" i="18"/>
  <c r="H47" i="18"/>
  <c r="N39" i="18"/>
  <c r="H88" i="18"/>
  <c r="H50" i="18"/>
  <c r="R39" i="18"/>
  <c r="H97" i="18"/>
  <c r="H75" i="18"/>
  <c r="BE39" i="18"/>
  <c r="H58" i="18"/>
  <c r="H48" i="18"/>
  <c r="BC39" i="18"/>
  <c r="H55" i="18"/>
  <c r="X39" i="18"/>
  <c r="X51" i="18"/>
  <c r="Z51" i="18"/>
  <c r="BL51" i="18"/>
  <c r="AJ51" i="18"/>
  <c r="BF51" i="18"/>
  <c r="AL51" i="18"/>
  <c r="T41" i="18"/>
  <c r="T92" i="18"/>
  <c r="T87" i="18"/>
  <c r="BM51" i="18"/>
  <c r="V51" i="18"/>
  <c r="T89" i="18"/>
  <c r="T58" i="18"/>
  <c r="S51" i="18"/>
  <c r="M51" i="18"/>
  <c r="T90" i="18"/>
  <c r="T79" i="18"/>
  <c r="T86" i="18"/>
  <c r="T75" i="18"/>
  <c r="T46" i="18"/>
  <c r="AA51" i="18"/>
  <c r="BI96" i="18"/>
  <c r="U96" i="18"/>
  <c r="X96" i="18"/>
  <c r="P96" i="18"/>
  <c r="BM49" i="18"/>
  <c r="BM94" i="18"/>
  <c r="BM52" i="18"/>
  <c r="N96" i="18"/>
  <c r="BM81" i="18"/>
  <c r="BM42" i="18"/>
  <c r="AM96" i="18"/>
  <c r="BM74" i="18"/>
  <c r="H96" i="18"/>
  <c r="BM56" i="18"/>
  <c r="BM63" i="18"/>
  <c r="AV96" i="18"/>
  <c r="Y96" i="18"/>
  <c r="BL96" i="18"/>
  <c r="BM83" i="18"/>
  <c r="O96" i="18"/>
  <c r="BM93" i="18"/>
  <c r="BD96" i="18"/>
  <c r="S96" i="18"/>
  <c r="BD61" i="18"/>
  <c r="AK15" i="18"/>
  <c r="AZ69" i="18"/>
  <c r="AM80" i="18"/>
  <c r="AZ88" i="18"/>
  <c r="AS87" i="18"/>
  <c r="G65" i="18"/>
  <c r="O77" i="18"/>
  <c r="BB96" i="18"/>
  <c r="AD44" i="18"/>
  <c r="AP71" i="18"/>
  <c r="M38" i="18"/>
  <c r="AV82" i="18"/>
  <c r="AP97" i="18"/>
  <c r="H63" i="18"/>
  <c r="B92" i="18"/>
  <c r="O69" i="18"/>
  <c r="S40" i="18"/>
  <c r="U56" i="18"/>
  <c r="AQ73" i="18"/>
  <c r="BD72" i="18"/>
  <c r="N47" i="18"/>
  <c r="AV57" i="18"/>
  <c r="BD55" i="18"/>
  <c r="AZ70" i="18"/>
  <c r="AA72" i="18"/>
  <c r="BJ60" i="18"/>
  <c r="BI65" i="18"/>
  <c r="AB65" i="18"/>
  <c r="AC77" i="18"/>
  <c r="BL55" i="18"/>
  <c r="BL46" i="18"/>
  <c r="BL90" i="18"/>
  <c r="AR64" i="18"/>
  <c r="AG90" i="18"/>
  <c r="BI83" i="18"/>
  <c r="W47" i="18"/>
  <c r="AT54" i="18"/>
  <c r="BG76" i="18"/>
  <c r="AS72" i="18"/>
  <c r="Y76" i="18"/>
  <c r="Q76" i="18"/>
  <c r="AQ43" i="18"/>
  <c r="AL43" i="18"/>
  <c r="U43" i="18"/>
  <c r="AH43" i="18"/>
  <c r="AV52" i="18"/>
  <c r="S52" i="18"/>
  <c r="BG52" i="18"/>
  <c r="U62" i="18"/>
  <c r="AL80" i="18"/>
  <c r="V80" i="18"/>
  <c r="AW79" i="18"/>
  <c r="AP80" i="18"/>
  <c r="BB80" i="18"/>
  <c r="AW83" i="18"/>
  <c r="AB80" i="18"/>
  <c r="BG80" i="18"/>
  <c r="AW50" i="18"/>
  <c r="J52" i="18"/>
  <c r="W52" i="18"/>
  <c r="U55" i="18"/>
  <c r="G70" i="18"/>
  <c r="K38" i="18"/>
  <c r="O38" i="18"/>
  <c r="G38" i="18"/>
  <c r="AT38" i="18"/>
  <c r="AF38" i="18"/>
  <c r="G45" i="18"/>
  <c r="AO38" i="18"/>
  <c r="AC38" i="18"/>
  <c r="AL38" i="18"/>
  <c r="G62" i="18"/>
  <c r="AE38" i="18"/>
  <c r="I38" i="18"/>
  <c r="G85" i="18"/>
  <c r="AY72" i="18"/>
  <c r="AR82" i="18"/>
  <c r="AY58" i="18"/>
  <c r="AY48" i="18"/>
  <c r="AY56" i="18"/>
  <c r="AB82" i="18"/>
  <c r="AY62" i="18"/>
  <c r="AY57" i="18"/>
  <c r="AY97" i="18"/>
  <c r="AY85" i="18"/>
  <c r="H42" i="18"/>
  <c r="U39" i="18"/>
  <c r="H54" i="18"/>
  <c r="H57" i="18"/>
  <c r="AG39" i="18"/>
  <c r="AX39" i="18"/>
  <c r="J39" i="18"/>
  <c r="H59" i="18"/>
  <c r="H83" i="18"/>
  <c r="I39" i="18"/>
  <c r="AB39" i="18"/>
  <c r="P39" i="18"/>
  <c r="T71" i="18"/>
  <c r="AH51" i="18"/>
  <c r="H51" i="18"/>
  <c r="T54" i="18"/>
  <c r="T77" i="18"/>
  <c r="T51" i="18"/>
  <c r="T83" i="18"/>
  <c r="T48" i="18"/>
  <c r="T67" i="18"/>
  <c r="T78" i="18"/>
  <c r="J51" i="18"/>
  <c r="BJ51" i="18"/>
  <c r="T73" i="18"/>
  <c r="T65" i="18"/>
  <c r="BK51" i="18"/>
  <c r="O51" i="18"/>
  <c r="T81" i="18"/>
  <c r="T45" i="18"/>
  <c r="AR51" i="18"/>
  <c r="AQ51" i="18"/>
  <c r="T94" i="18"/>
  <c r="AW51" i="18"/>
  <c r="T88" i="18"/>
  <c r="AE68" i="18"/>
  <c r="AK79" i="18"/>
  <c r="AK62" i="18"/>
  <c r="AK92" i="18"/>
  <c r="AL68" i="18"/>
  <c r="Q68" i="18"/>
  <c r="AK91" i="18"/>
  <c r="AK87" i="18"/>
  <c r="AK53" i="18"/>
  <c r="AK46" i="18"/>
  <c r="S68" i="18"/>
  <c r="AK75" i="18"/>
  <c r="AJ68" i="18"/>
  <c r="AU68" i="18"/>
  <c r="AG68" i="18"/>
  <c r="AK81" i="18"/>
  <c r="M68" i="18"/>
  <c r="BJ68" i="18"/>
  <c r="X68" i="18"/>
  <c r="AF68" i="18"/>
  <c r="AK61" i="18"/>
  <c r="AH68" i="18"/>
  <c r="AC68" i="18"/>
  <c r="J68" i="18"/>
  <c r="AK84" i="18"/>
  <c r="AK85" i="18"/>
  <c r="BN96" i="18"/>
  <c r="BM97" i="18"/>
  <c r="M96" i="18"/>
  <c r="R96" i="18"/>
  <c r="BM75" i="18"/>
  <c r="I96" i="18"/>
  <c r="AQ96" i="18"/>
  <c r="BC96" i="18"/>
  <c r="BM72" i="18"/>
  <c r="BM41" i="18"/>
  <c r="BM69" i="18"/>
  <c r="BM66" i="18"/>
  <c r="BM73" i="18"/>
  <c r="AW96" i="18"/>
  <c r="AK96" i="18"/>
  <c r="BE96" i="18"/>
  <c r="BM86" i="18"/>
  <c r="BM53" i="18"/>
  <c r="AN96" i="18"/>
  <c r="BH96" i="18"/>
  <c r="BM90" i="18"/>
  <c r="BM89" i="18"/>
  <c r="AL96" i="18"/>
  <c r="G61" i="18"/>
  <c r="AT42" i="18"/>
  <c r="BA95" i="18"/>
  <c r="BD41" i="18"/>
  <c r="Z55" i="18"/>
  <c r="AP70" i="18"/>
  <c r="AQ93" i="18"/>
  <c r="Q43" i="18"/>
  <c r="R75" i="18"/>
  <c r="AJ44" i="18"/>
  <c r="AV80" i="18"/>
  <c r="AG70" i="18"/>
  <c r="BJ82" i="18"/>
  <c r="BM61" i="18"/>
  <c r="G39" i="18"/>
  <c r="B89" i="18"/>
  <c r="B54" i="18"/>
  <c r="BA81" i="18"/>
  <c r="BA83" i="18"/>
  <c r="AW56" i="18"/>
  <c r="I74" i="18"/>
  <c r="K53" i="18"/>
  <c r="M97" i="18"/>
  <c r="R79" i="18"/>
  <c r="AM70" i="18"/>
  <c r="AI72" i="18"/>
  <c r="AV60" i="18"/>
  <c r="AC86" i="18"/>
  <c r="AQ65" i="18"/>
  <c r="BN65" i="18"/>
  <c r="AT63" i="18"/>
  <c r="AL95" i="18"/>
  <c r="AW95" i="18"/>
  <c r="AN86" i="18"/>
  <c r="BD64" i="18"/>
  <c r="AA64" i="18"/>
  <c r="S92" i="18"/>
  <c r="W91" i="18"/>
  <c r="W48" i="18"/>
  <c r="AY76" i="18"/>
  <c r="BN76" i="18"/>
  <c r="BB76" i="18"/>
  <c r="AS86" i="18"/>
  <c r="L94" i="18"/>
  <c r="Z43" i="18"/>
  <c r="L53" i="18"/>
  <c r="U45" i="18"/>
  <c r="U84" i="18"/>
  <c r="Y52" i="18"/>
  <c r="I52" i="18"/>
  <c r="U88" i="18"/>
  <c r="AW70" i="18"/>
  <c r="P80" i="18"/>
  <c r="AW93" i="18"/>
  <c r="L80" i="18"/>
  <c r="AS80" i="18"/>
  <c r="AW46" i="18"/>
  <c r="AW80" i="18"/>
  <c r="AW58" i="18"/>
  <c r="U60" i="18"/>
  <c r="BF52" i="18"/>
  <c r="BD52" i="18"/>
  <c r="G43" i="18"/>
  <c r="G89" i="18"/>
  <c r="AH38" i="18"/>
  <c r="Y38" i="18"/>
  <c r="W38" i="18"/>
  <c r="AW38" i="18"/>
  <c r="G50" i="18"/>
  <c r="G64" i="18"/>
  <c r="N38" i="18"/>
  <c r="AG38" i="18"/>
  <c r="G91" i="18"/>
  <c r="BM38" i="18"/>
  <c r="AD38" i="18"/>
  <c r="L38" i="18"/>
  <c r="AY47" i="18"/>
  <c r="AY78" i="18"/>
  <c r="AY92" i="18"/>
  <c r="AY83" i="18"/>
  <c r="AY95" i="18"/>
  <c r="AY63" i="18"/>
  <c r="BK82" i="18"/>
  <c r="AY94" i="18"/>
  <c r="AZ82" i="18"/>
  <c r="AY41" i="18"/>
  <c r="BE82" i="18"/>
  <c r="BI39" i="18"/>
  <c r="AH39" i="18"/>
  <c r="H94" i="18"/>
  <c r="H91" i="18"/>
  <c r="BN39" i="18"/>
  <c r="H86" i="18"/>
  <c r="BJ39" i="18"/>
  <c r="H64" i="18"/>
  <c r="H53" i="18"/>
  <c r="V39" i="18"/>
  <c r="H45" i="18"/>
  <c r="AV39" i="18"/>
  <c r="T59" i="18"/>
  <c r="P51" i="18"/>
  <c r="AC51" i="18"/>
  <c r="AU51" i="18"/>
  <c r="T56" i="18"/>
  <c r="I51" i="18"/>
  <c r="L51" i="18"/>
  <c r="BB51" i="18"/>
  <c r="T74" i="18"/>
  <c r="T63" i="18"/>
  <c r="BG51" i="18"/>
  <c r="T91" i="18"/>
  <c r="AV51" i="18"/>
  <c r="T60" i="18"/>
  <c r="R51" i="18"/>
  <c r="AS51" i="18"/>
  <c r="T57" i="18"/>
  <c r="T44" i="18"/>
  <c r="Y51" i="18"/>
  <c r="T62" i="18"/>
  <c r="T50" i="18"/>
  <c r="AO51" i="18"/>
  <c r="AK38" i="18"/>
  <c r="AK40" i="18"/>
  <c r="AK77" i="18"/>
  <c r="AK42" i="18"/>
  <c r="T68" i="18"/>
  <c r="AK70" i="18"/>
  <c r="AY68" i="18"/>
  <c r="AQ68" i="18"/>
  <c r="AK68" i="18"/>
  <c r="AK60" i="18"/>
  <c r="AK93" i="18"/>
  <c r="N68" i="18"/>
  <c r="AK63" i="18"/>
  <c r="AA68" i="18"/>
  <c r="BD68" i="18"/>
  <c r="AK65" i="18"/>
  <c r="AK94" i="18"/>
  <c r="AI68" i="18"/>
  <c r="R68" i="18"/>
  <c r="BE68" i="18"/>
  <c r="AK48" i="18"/>
  <c r="BM68" i="18"/>
  <c r="L68" i="18"/>
  <c r="Z68" i="18"/>
  <c r="P68" i="18"/>
  <c r="BH68" i="18"/>
  <c r="BM39" i="18"/>
  <c r="Q96" i="18"/>
  <c r="BM48" i="18"/>
  <c r="BM84" i="18"/>
  <c r="BM82" i="18"/>
  <c r="AX96" i="18"/>
  <c r="BM47" i="18"/>
  <c r="BM44" i="18"/>
  <c r="BG96" i="18"/>
  <c r="BM77" i="18"/>
  <c r="BM62" i="18"/>
  <c r="BM80" i="18"/>
  <c r="BM70" i="18"/>
  <c r="AF96" i="18"/>
  <c r="BM91" i="18"/>
  <c r="AY96" i="18"/>
  <c r="BM46" i="18"/>
  <c r="BM45" i="18"/>
  <c r="BM55" i="18"/>
  <c r="BK96" i="18"/>
  <c r="K96" i="18"/>
  <c r="AE96" i="18"/>
  <c r="AO96" i="18"/>
  <c r="AR96" i="18"/>
  <c r="BM50" i="18"/>
  <c r="L96" i="18"/>
  <c r="BM96" i="18"/>
  <c r="B68" i="18"/>
  <c r="C89" i="18"/>
  <c r="C74" i="18"/>
  <c r="Q51" i="18"/>
  <c r="B40" i="18"/>
  <c r="B73" i="18"/>
  <c r="B81" i="18"/>
  <c r="C42" i="18"/>
  <c r="C97" i="18"/>
  <c r="C69" i="18"/>
  <c r="C73" i="18"/>
  <c r="C64" i="18"/>
  <c r="C57" i="18"/>
  <c r="K9" i="14"/>
  <c r="AE75" i="18"/>
  <c r="BK75" i="18"/>
  <c r="V75" i="18"/>
  <c r="Q75" i="18"/>
  <c r="AR53" i="18"/>
  <c r="BH75" i="18"/>
  <c r="AR75" i="18"/>
  <c r="B75" i="18" s="1"/>
  <c r="BN75" i="18"/>
  <c r="BF75" i="18"/>
  <c r="AJ75" i="18"/>
  <c r="BH89" i="18"/>
  <c r="AT89" i="18"/>
  <c r="BC89" i="18"/>
  <c r="N89" i="18"/>
  <c r="Q89" i="18"/>
  <c r="AU55" i="18"/>
  <c r="AR55" i="18"/>
  <c r="AC55" i="18"/>
  <c r="AV55" i="18"/>
  <c r="X50" i="18"/>
  <c r="BK55" i="18"/>
  <c r="S55" i="18"/>
  <c r="BN55" i="18"/>
  <c r="Q55" i="18"/>
  <c r="K55" i="18"/>
  <c r="AU64" i="18"/>
  <c r="O64" i="18"/>
  <c r="K64" i="18"/>
  <c r="AT43" i="18"/>
  <c r="AZ43" i="18"/>
  <c r="BE88" i="18"/>
  <c r="B88" i="18" s="1"/>
  <c r="O88" i="18"/>
  <c r="K88" i="18"/>
  <c r="X88" i="18"/>
  <c r="Y88" i="18"/>
  <c r="BK88" i="18"/>
  <c r="V88" i="18"/>
  <c r="AL83" i="18"/>
  <c r="AI69" i="18"/>
  <c r="BC69" i="18"/>
  <c r="AL53" i="18"/>
  <c r="BJ69" i="18"/>
  <c r="AL46" i="18"/>
  <c r="AR69" i="18"/>
  <c r="BB69" i="18"/>
  <c r="AE69" i="18"/>
  <c r="BF77" i="18"/>
  <c r="AJ77" i="18"/>
  <c r="P77" i="18"/>
  <c r="I77" i="18"/>
  <c r="AX97" i="18"/>
  <c r="W81" i="18"/>
  <c r="Y81" i="18"/>
  <c r="AB81" i="18"/>
  <c r="AD81" i="18"/>
  <c r="AJ81" i="18"/>
  <c r="Q81" i="18"/>
  <c r="K81" i="18"/>
  <c r="AL81" i="18"/>
  <c r="AR81" i="18"/>
  <c r="P67" i="18"/>
  <c r="AU67" i="18"/>
  <c r="N67" i="18"/>
  <c r="O67" i="18"/>
  <c r="AJ83" i="18"/>
  <c r="AJ53" i="18"/>
  <c r="AL67" i="18"/>
  <c r="BE67" i="18"/>
  <c r="AI42" i="18"/>
  <c r="AR42" i="18"/>
  <c r="AD42" i="18"/>
  <c r="K46" i="18"/>
  <c r="S42" i="18"/>
  <c r="S87" i="18"/>
  <c r="AZ87" i="18"/>
  <c r="BA87" i="18"/>
  <c r="AC87" i="18"/>
  <c r="BD87" i="18"/>
  <c r="B87" i="18" s="1"/>
  <c r="AI87" i="18"/>
  <c r="BD53" i="18"/>
  <c r="BD46" i="18"/>
  <c r="BA70" i="18"/>
  <c r="AR70" i="18"/>
  <c r="S70" i="18"/>
  <c r="AM73" i="18"/>
  <c r="I87" i="18"/>
  <c r="BD50" i="18"/>
  <c r="BD73" i="18"/>
  <c r="BD83" i="18"/>
  <c r="X87" i="18"/>
  <c r="AL87" i="18"/>
  <c r="Y87" i="18"/>
  <c r="BK87" i="18"/>
  <c r="AZ42" i="18"/>
  <c r="AO42" i="18"/>
  <c r="AX42" i="18"/>
  <c r="Q60" i="18"/>
  <c r="AJ60" i="18"/>
  <c r="AN60" i="18"/>
  <c r="BK60" i="18"/>
  <c r="AM60" i="18"/>
  <c r="AC53" i="18"/>
  <c r="K60" i="18"/>
  <c r="AU63" i="18"/>
  <c r="BN63" i="18"/>
  <c r="P63" i="18"/>
  <c r="AF79" i="18"/>
  <c r="AP63" i="18"/>
  <c r="AF73" i="18"/>
  <c r="BB63" i="18"/>
  <c r="BJ63" i="18"/>
  <c r="BA63" i="18"/>
  <c r="BE63" i="18"/>
  <c r="AR63" i="18"/>
  <c r="R63" i="18"/>
  <c r="AQ63" i="18"/>
  <c r="AF50" i="18"/>
  <c r="AV63" i="18"/>
  <c r="BF63" i="18"/>
  <c r="N63" i="18"/>
  <c r="AR59" i="18"/>
  <c r="BI59" i="18"/>
  <c r="AB59" i="18"/>
  <c r="B59" i="18" s="1"/>
  <c r="BC59" i="18"/>
  <c r="AB97" i="18"/>
  <c r="AX59" i="18"/>
  <c r="AF59" i="18"/>
  <c r="AE59" i="18"/>
  <c r="BN59" i="18"/>
  <c r="Y59" i="18"/>
  <c r="W59" i="18"/>
  <c r="AB53" i="18"/>
  <c r="BH59" i="18"/>
  <c r="BE59" i="18"/>
  <c r="K59" i="18"/>
  <c r="V59" i="18"/>
  <c r="X81" i="18"/>
  <c r="P81" i="18"/>
  <c r="BK81" i="18"/>
  <c r="M81" i="18"/>
  <c r="AX46" i="18"/>
  <c r="BG81" i="18"/>
  <c r="AG89" i="18"/>
  <c r="AP64" i="18"/>
  <c r="BH64" i="18"/>
  <c r="W41" i="18"/>
  <c r="AL41" i="18"/>
  <c r="AJ41" i="18"/>
  <c r="P41" i="18"/>
  <c r="J53" i="18"/>
  <c r="J50" i="18"/>
  <c r="AE41" i="18"/>
  <c r="AZ41" i="18"/>
  <c r="V41" i="18"/>
  <c r="J46" i="18"/>
  <c r="I41" i="18"/>
  <c r="BN41" i="18"/>
  <c r="M41" i="18"/>
  <c r="BC41" i="18"/>
  <c r="AB41" i="18"/>
  <c r="Y41" i="18"/>
  <c r="BJ41" i="18"/>
  <c r="BF41" i="18"/>
  <c r="AR41" i="18"/>
  <c r="BH45" i="18"/>
  <c r="AR45" i="18"/>
  <c r="AG45" i="18"/>
  <c r="AB45" i="18"/>
  <c r="AQ45" i="18"/>
  <c r="BC45" i="18"/>
  <c r="BN45" i="18"/>
  <c r="BF45" i="18"/>
  <c r="AZ45" i="18"/>
  <c r="Q45" i="18"/>
  <c r="N45" i="18"/>
  <c r="B45" i="18" s="1"/>
  <c r="AA45" i="18"/>
  <c r="N73" i="18"/>
  <c r="V45" i="18"/>
  <c r="AL45" i="18"/>
  <c r="AX45" i="18"/>
  <c r="N50" i="18"/>
  <c r="AI45" i="18"/>
  <c r="S90" i="18"/>
  <c r="AB90" i="18"/>
  <c r="AF90" i="18"/>
  <c r="BG46" i="18"/>
  <c r="AJ90" i="18"/>
  <c r="BI90" i="18"/>
  <c r="AP90" i="18"/>
  <c r="AX90" i="18"/>
  <c r="BC90" i="18"/>
  <c r="AE90" i="18"/>
  <c r="BJ90" i="18"/>
  <c r="O90" i="18"/>
  <c r="X90" i="18"/>
  <c r="BG53" i="18"/>
  <c r="Q90" i="18"/>
  <c r="I90" i="18"/>
  <c r="AE72" i="18"/>
  <c r="BA72" i="18"/>
  <c r="AH72" i="18"/>
  <c r="J72" i="18"/>
  <c r="AO79" i="18"/>
  <c r="AZ72" i="18"/>
  <c r="AT72" i="18"/>
  <c r="Y72" i="18"/>
  <c r="BL72" i="18"/>
  <c r="X72" i="18"/>
  <c r="AO83" i="18"/>
  <c r="BF72" i="18"/>
  <c r="AV72" i="18"/>
  <c r="Q58" i="18"/>
  <c r="BN58" i="18"/>
  <c r="AB58" i="18"/>
  <c r="K58" i="18"/>
  <c r="AA83" i="18"/>
  <c r="I58" i="18"/>
  <c r="BC58" i="18"/>
  <c r="V58" i="18"/>
  <c r="AR58" i="18"/>
  <c r="AJ58" i="18"/>
  <c r="AX58" i="18"/>
  <c r="BL58" i="18"/>
  <c r="AT58" i="18"/>
  <c r="M58" i="18"/>
  <c r="BD58" i="18"/>
  <c r="AA46" i="18"/>
  <c r="X58" i="18"/>
  <c r="BE58" i="18"/>
  <c r="AL58" i="18"/>
  <c r="N58" i="18"/>
  <c r="AP58" i="18"/>
  <c r="R58" i="18"/>
  <c r="AA53" i="18"/>
  <c r="BL47" i="18"/>
  <c r="Q47" i="18"/>
  <c r="M47" i="18"/>
  <c r="P55" i="18"/>
  <c r="BD47" i="18"/>
  <c r="BC47" i="18"/>
  <c r="R47" i="18"/>
  <c r="AQ47" i="18"/>
  <c r="P73" i="18"/>
  <c r="AL47" i="18"/>
  <c r="AP47" i="18"/>
  <c r="K47" i="18"/>
  <c r="J47" i="18"/>
  <c r="P50" i="18"/>
  <c r="L76" i="18"/>
  <c r="AS97" i="18"/>
  <c r="AD57" i="18"/>
  <c r="AT57" i="18"/>
  <c r="Z73" i="18"/>
  <c r="Z89" i="18"/>
  <c r="X57" i="18"/>
  <c r="AE57" i="18"/>
  <c r="AQ57" i="18"/>
  <c r="AR57" i="18"/>
  <c r="AL57" i="18"/>
  <c r="Z50" i="18"/>
  <c r="Z57" i="18"/>
  <c r="B57" i="18" s="1"/>
  <c r="BF57" i="18"/>
  <c r="BN57" i="18"/>
  <c r="Q57" i="18"/>
  <c r="W57" i="18"/>
  <c r="AF57" i="18"/>
  <c r="Z53" i="18"/>
  <c r="AI57" i="18"/>
  <c r="BD57" i="18"/>
  <c r="BC57" i="18"/>
  <c r="BK57" i="18"/>
  <c r="BG57" i="18"/>
  <c r="BE57" i="18"/>
  <c r="O57" i="18"/>
  <c r="AN84" i="18"/>
  <c r="BA88" i="18"/>
  <c r="K84" i="18"/>
  <c r="BA46" i="18"/>
  <c r="BK84" i="18"/>
  <c r="AP84" i="18"/>
  <c r="AR84" i="18"/>
  <c r="AJ84" i="18"/>
  <c r="R84" i="18"/>
  <c r="BE84" i="18"/>
  <c r="BJ84" i="18"/>
  <c r="Y84" i="18"/>
  <c r="BF84" i="18"/>
  <c r="I84" i="18"/>
  <c r="AA84" i="18"/>
  <c r="AF84" i="18"/>
  <c r="BA73" i="18"/>
  <c r="AU95" i="18"/>
  <c r="AB95" i="18"/>
  <c r="BD95" i="18"/>
  <c r="AI95" i="18"/>
  <c r="BE95" i="18"/>
  <c r="AT95" i="18"/>
  <c r="AG95" i="18"/>
  <c r="AV95" i="18"/>
  <c r="X62" i="18"/>
  <c r="AD62" i="18"/>
  <c r="AH62" i="18"/>
  <c r="AE46" i="18"/>
  <c r="J62" i="18"/>
  <c r="AI62" i="18"/>
  <c r="AR62" i="18"/>
  <c r="O62" i="18"/>
  <c r="AE62" i="18"/>
  <c r="B62" i="18" s="1"/>
  <c r="S62" i="18"/>
  <c r="Y62" i="18"/>
  <c r="BL62" i="18"/>
  <c r="BJ62" i="18"/>
  <c r="AA62" i="18"/>
  <c r="BH62" i="18"/>
  <c r="AE73" i="18"/>
  <c r="BG62" i="18"/>
  <c r="AU56" i="18"/>
  <c r="AS56" i="18"/>
  <c r="R56" i="18"/>
  <c r="AL56" i="18"/>
  <c r="AI56" i="18"/>
  <c r="V56" i="18"/>
  <c r="Y53" i="18"/>
  <c r="AR56" i="18"/>
  <c r="M56" i="18"/>
  <c r="BK56" i="18"/>
  <c r="Q56" i="18"/>
  <c r="AX56" i="18"/>
  <c r="AM66" i="18"/>
  <c r="M66" i="18"/>
  <c r="AI55" i="18"/>
  <c r="BE66" i="18"/>
  <c r="AP66" i="18"/>
  <c r="J66" i="18"/>
  <c r="AI66" i="18"/>
  <c r="B66" i="18" s="1"/>
  <c r="AO66" i="18"/>
  <c r="AR66" i="18"/>
  <c r="AA66" i="18"/>
  <c r="BC66" i="18"/>
  <c r="O66" i="18"/>
  <c r="BG66" i="18"/>
  <c r="AI46" i="18"/>
  <c r="AE66" i="18"/>
  <c r="AN78" i="18"/>
  <c r="J78" i="18"/>
  <c r="BF78" i="18"/>
  <c r="AU88" i="18"/>
  <c r="AU50" i="18"/>
  <c r="AD78" i="18"/>
  <c r="Y78" i="18"/>
  <c r="AE78" i="18"/>
  <c r="BI78" i="18"/>
  <c r="AP78" i="18"/>
  <c r="Q78" i="18"/>
  <c r="X78" i="18"/>
  <c r="AH78" i="18"/>
  <c r="I78" i="18"/>
  <c r="AC78" i="18"/>
  <c r="BG78" i="18"/>
  <c r="V74" i="18"/>
  <c r="Q74" i="18"/>
  <c r="BK74" i="18"/>
  <c r="AT74" i="18"/>
  <c r="BI74" i="18"/>
  <c r="AR74" i="18"/>
  <c r="AQ88" i="18"/>
  <c r="AQ50" i="18"/>
  <c r="AE74" i="18"/>
  <c r="S74" i="18"/>
  <c r="AB74" i="18"/>
  <c r="BF74" i="18"/>
  <c r="AL74" i="18"/>
  <c r="O74" i="18"/>
  <c r="AS44" i="18"/>
  <c r="BH44" i="18"/>
  <c r="AC44" i="18"/>
  <c r="P44" i="18"/>
  <c r="BE44" i="18"/>
  <c r="R44" i="18"/>
  <c r="AR44" i="18"/>
  <c r="AA44" i="18"/>
  <c r="M46" i="18"/>
  <c r="AD55" i="18"/>
  <c r="P61" i="18"/>
  <c r="AG61" i="18"/>
  <c r="S61" i="18"/>
  <c r="BD77" i="18"/>
  <c r="BC77" i="18"/>
  <c r="BC72" i="18"/>
  <c r="AQ72" i="18"/>
  <c r="AR72" i="18"/>
  <c r="AH61" i="18"/>
  <c r="BH65" i="18"/>
  <c r="AF65" i="18"/>
  <c r="R65" i="18"/>
  <c r="N65" i="18"/>
  <c r="AH97" i="18"/>
  <c r="J65" i="18"/>
  <c r="P65" i="18"/>
  <c r="AL65" i="18"/>
  <c r="AA65" i="18"/>
  <c r="AM65" i="18"/>
  <c r="Q65" i="18"/>
  <c r="BG65" i="18"/>
  <c r="K65" i="18"/>
  <c r="BL65" i="18"/>
  <c r="V65" i="18"/>
  <c r="I65" i="18"/>
  <c r="AH46" i="18"/>
  <c r="Q41" i="18"/>
  <c r="AH48" i="18"/>
  <c r="N48" i="18"/>
  <c r="AC48" i="18"/>
  <c r="BG48" i="18"/>
  <c r="Q50" i="18"/>
  <c r="Q88" i="18"/>
  <c r="AI48" i="18"/>
  <c r="BJ48" i="18"/>
  <c r="AN48" i="18"/>
  <c r="BK48" i="18"/>
  <c r="Q53" i="18"/>
  <c r="AR48" i="18"/>
  <c r="AO48" i="18"/>
  <c r="AL48" i="18"/>
  <c r="AJ48" i="18"/>
  <c r="Q46" i="18"/>
  <c r="Z48" i="18"/>
  <c r="BE48" i="18"/>
  <c r="BF48" i="18"/>
  <c r="BB48" i="18"/>
  <c r="AZ48" i="18"/>
  <c r="BC48" i="18"/>
  <c r="AE48" i="18"/>
  <c r="Q48" i="18"/>
  <c r="B48" i="18" s="1"/>
  <c r="AD48" i="18"/>
  <c r="BA48" i="18"/>
  <c r="BN48" i="18"/>
  <c r="O48" i="18"/>
  <c r="Y63" i="18"/>
  <c r="AF89" i="18"/>
  <c r="AA63" i="18"/>
  <c r="M63" i="18"/>
  <c r="AO63" i="18"/>
  <c r="Q63" i="18"/>
  <c r="J63" i="18"/>
  <c r="AI63" i="18"/>
  <c r="AE63" i="18"/>
  <c r="V63" i="18"/>
  <c r="O63" i="18"/>
  <c r="BI54" i="18"/>
  <c r="I54" i="18"/>
  <c r="W64" i="18"/>
  <c r="K54" i="18"/>
  <c r="BH54" i="18"/>
  <c r="AI54" i="18"/>
  <c r="L54" i="18"/>
  <c r="AF54" i="18"/>
  <c r="BL54" i="18"/>
  <c r="AR54" i="18"/>
  <c r="O54" i="18"/>
  <c r="AE54" i="18"/>
  <c r="AD54" i="18"/>
  <c r="BD40" i="18"/>
  <c r="I57" i="18"/>
  <c r="BN40" i="18"/>
  <c r="AM40" i="18"/>
  <c r="I55" i="18"/>
  <c r="BL40" i="18"/>
  <c r="I53" i="18"/>
  <c r="K40" i="18"/>
  <c r="BA40" i="18"/>
  <c r="N40" i="18"/>
  <c r="AZ40" i="18"/>
  <c r="AL40" i="18"/>
  <c r="BH40" i="18"/>
  <c r="BK40" i="18"/>
  <c r="AC40" i="18"/>
  <c r="AF40" i="18"/>
  <c r="AP40" i="18"/>
  <c r="AR40" i="18"/>
  <c r="J40" i="18"/>
  <c r="I89" i="18"/>
  <c r="BG40" i="18"/>
  <c r="I83" i="18"/>
  <c r="AX40" i="18"/>
  <c r="BJ40" i="18"/>
  <c r="AQ40" i="18"/>
  <c r="AI40" i="18"/>
  <c r="I46" i="18"/>
  <c r="BL76" i="18"/>
  <c r="BL57" i="18"/>
  <c r="AN95" i="18"/>
  <c r="BJ95" i="18"/>
  <c r="BJ94" i="18"/>
  <c r="K94" i="18"/>
  <c r="AP94" i="18"/>
  <c r="AD94" i="18"/>
  <c r="AH94" i="18"/>
  <c r="AV94" i="18"/>
  <c r="R94" i="18"/>
  <c r="BK73" i="18"/>
  <c r="AJ94" i="18"/>
  <c r="AB94" i="18"/>
  <c r="BK97" i="18"/>
  <c r="BK53" i="18"/>
  <c r="BI94" i="18"/>
  <c r="BK89" i="18"/>
  <c r="X94" i="18"/>
  <c r="Z94" i="18"/>
  <c r="V94" i="18"/>
  <c r="BL94" i="18"/>
  <c r="AQ94" i="18"/>
  <c r="BN94" i="18"/>
  <c r="AZ94" i="18"/>
  <c r="J94" i="18"/>
  <c r="BK79" i="18"/>
  <c r="AX94" i="18"/>
  <c r="AL94" i="18"/>
  <c r="AG75" i="18"/>
  <c r="AR77" i="18"/>
  <c r="O75" i="18"/>
  <c r="I75" i="18"/>
  <c r="Y75" i="18"/>
  <c r="BG75" i="18"/>
  <c r="AV75" i="18"/>
  <c r="AF75" i="18"/>
  <c r="AR90" i="18"/>
  <c r="AP75" i="18"/>
  <c r="AR46" i="18"/>
  <c r="S75" i="18"/>
  <c r="AI75" i="18"/>
  <c r="BJ75" i="18"/>
  <c r="AX75" i="18"/>
  <c r="AR88" i="18"/>
  <c r="AA75" i="18"/>
  <c r="AR83" i="18"/>
  <c r="X75" i="18"/>
  <c r="P75" i="18"/>
  <c r="AR50" i="18"/>
  <c r="BE75" i="18"/>
  <c r="BK70" i="18"/>
  <c r="BC70" i="18"/>
  <c r="I70" i="18"/>
  <c r="AM56" i="18"/>
  <c r="M70" i="18"/>
  <c r="AB70" i="18"/>
  <c r="BJ70" i="18"/>
  <c r="AV70" i="18"/>
  <c r="AX93" i="18"/>
  <c r="M93" i="18"/>
  <c r="N93" i="18"/>
  <c r="Z93" i="18"/>
  <c r="BK93" i="18"/>
  <c r="Y93" i="18"/>
  <c r="AB93" i="18"/>
  <c r="BJ88" i="18"/>
  <c r="BJ57" i="18"/>
  <c r="S93" i="18"/>
  <c r="AZ93" i="18"/>
  <c r="AI93" i="18"/>
  <c r="BJ46" i="18"/>
  <c r="BJ50" i="18"/>
  <c r="Q93" i="18"/>
  <c r="K93" i="18"/>
  <c r="BG93" i="18"/>
  <c r="AN93" i="18"/>
  <c r="AP93" i="18"/>
  <c r="AB88" i="18"/>
  <c r="AB62" i="18"/>
  <c r="AP59" i="18"/>
  <c r="AZ59" i="18"/>
  <c r="BJ59" i="18"/>
  <c r="BA59" i="18"/>
  <c r="AB55" i="18"/>
  <c r="BL59" i="18"/>
  <c r="AN59" i="18"/>
  <c r="AB83" i="18"/>
  <c r="AS85" i="18"/>
  <c r="AA85" i="18"/>
  <c r="BB89" i="18"/>
  <c r="BB41" i="18"/>
  <c r="BB57" i="18"/>
  <c r="S85" i="18"/>
  <c r="BJ85" i="18"/>
  <c r="BB46" i="18"/>
  <c r="BB85" i="18"/>
  <c r="B85" i="18" s="1"/>
  <c r="BE85" i="18"/>
  <c r="BB84" i="18"/>
  <c r="N85" i="18"/>
  <c r="AB85" i="18"/>
  <c r="BB79" i="18"/>
  <c r="AE85" i="18"/>
  <c r="BB50" i="18"/>
  <c r="AI85" i="18"/>
  <c r="AL85" i="18"/>
  <c r="X85" i="18"/>
  <c r="AD85" i="18"/>
  <c r="K85" i="18"/>
  <c r="BB53" i="18"/>
  <c r="BB88" i="18"/>
  <c r="P85" i="18"/>
  <c r="J85" i="18"/>
  <c r="AX85" i="18"/>
  <c r="AM85" i="18"/>
  <c r="BB83" i="18"/>
  <c r="AP85" i="18"/>
  <c r="BK85" i="18"/>
  <c r="AJ85" i="18"/>
  <c r="BG85" i="18"/>
  <c r="Q85" i="18"/>
  <c r="AA87" i="18"/>
  <c r="AA97" i="18"/>
  <c r="AA41" i="18"/>
  <c r="AA88" i="18"/>
  <c r="BA58" i="18"/>
  <c r="AC58" i="18"/>
  <c r="AA77" i="18"/>
  <c r="AA50" i="18"/>
  <c r="BF58" i="18"/>
  <c r="AZ58" i="18"/>
  <c r="BH58" i="18"/>
  <c r="AJ89" i="18"/>
  <c r="AJ64" i="18"/>
  <c r="BH67" i="18"/>
  <c r="AV67" i="18"/>
  <c r="AJ87" i="18"/>
  <c r="AJ50" i="18"/>
  <c r="BA67" i="18"/>
  <c r="V67" i="18"/>
  <c r="AJ55" i="18"/>
  <c r="AF67" i="18"/>
  <c r="AX67" i="18"/>
  <c r="AJ67" i="18"/>
  <c r="B67" i="18" s="1"/>
  <c r="AJ79" i="18"/>
  <c r="AJ88" i="18"/>
  <c r="AI77" i="18"/>
  <c r="AC66" i="18"/>
  <c r="Z66" i="18"/>
  <c r="AD66" i="18"/>
  <c r="AB66" i="18"/>
  <c r="BB66" i="18"/>
  <c r="BK66" i="18"/>
  <c r="BH88" i="18"/>
  <c r="BC91" i="18"/>
  <c r="BH53" i="18"/>
  <c r="BB91" i="18"/>
  <c r="AD91" i="18"/>
  <c r="BH74" i="18"/>
  <c r="V91" i="18"/>
  <c r="N91" i="18"/>
  <c r="BH46" i="18"/>
  <c r="AI91" i="18"/>
  <c r="BA91" i="18"/>
  <c r="BG91" i="18"/>
  <c r="BH73" i="18"/>
  <c r="AB91" i="18"/>
  <c r="AC91" i="18"/>
  <c r="R91" i="18"/>
  <c r="BF91" i="18"/>
  <c r="BE91" i="18"/>
  <c r="AM91" i="18"/>
  <c r="BH55" i="18"/>
  <c r="Z91" i="18"/>
  <c r="BH83" i="18"/>
  <c r="BH97" i="18"/>
  <c r="AR91" i="18"/>
  <c r="AF91" i="18"/>
  <c r="S91" i="18"/>
  <c r="AL91" i="18"/>
  <c r="BI91" i="18"/>
  <c r="Q91" i="18"/>
  <c r="J91" i="18"/>
  <c r="X91" i="18"/>
  <c r="AA91" i="18"/>
  <c r="BH50" i="18"/>
  <c r="BH91" i="18"/>
  <c r="B91" i="18" s="1"/>
  <c r="AX83" i="18"/>
  <c r="S81" i="18"/>
  <c r="J81" i="18"/>
  <c r="Z81" i="18"/>
  <c r="AX41" i="18"/>
  <c r="AX62" i="18"/>
  <c r="AZ81" i="18"/>
  <c r="AX88" i="18"/>
  <c r="AX57" i="18"/>
  <c r="AX55" i="18"/>
  <c r="AN69" i="18"/>
  <c r="AL62" i="18"/>
  <c r="AF69" i="18"/>
  <c r="BG69" i="18"/>
  <c r="AO69" i="18"/>
  <c r="AL50" i="18"/>
  <c r="AA69" i="18"/>
  <c r="I69" i="18"/>
  <c r="AL55" i="18"/>
  <c r="AL97" i="18"/>
  <c r="BK69" i="18"/>
  <c r="AL84" i="18"/>
  <c r="X69" i="18"/>
  <c r="J69" i="18"/>
  <c r="AP69" i="18"/>
  <c r="AL88" i="18"/>
  <c r="BF86" i="18"/>
  <c r="BC50" i="18"/>
  <c r="J86" i="18"/>
  <c r="BA86" i="18"/>
  <c r="Q86" i="18"/>
  <c r="K86" i="18"/>
  <c r="AA86" i="18"/>
  <c r="AE86" i="18"/>
  <c r="BC83" i="18"/>
  <c r="AF86" i="18"/>
  <c r="BN86" i="18"/>
  <c r="BK86" i="18"/>
  <c r="BC55" i="18"/>
  <c r="BD86" i="18"/>
  <c r="I86" i="18"/>
  <c r="AI86" i="18"/>
  <c r="BB86" i="18"/>
  <c r="AZ86" i="18"/>
  <c r="S86" i="18"/>
  <c r="Y86" i="18"/>
  <c r="AV86" i="18"/>
  <c r="BG86" i="18"/>
  <c r="AL86" i="18"/>
  <c r="AR86" i="18"/>
  <c r="BH86" i="18"/>
  <c r="BC97" i="18"/>
  <c r="O86" i="18"/>
  <c r="BE86" i="18"/>
  <c r="V86" i="18"/>
  <c r="BL45" i="18"/>
  <c r="AH45" i="18"/>
  <c r="BG45" i="18"/>
  <c r="AC45" i="18"/>
  <c r="Y45" i="18"/>
  <c r="AD45" i="18"/>
  <c r="BJ45" i="18"/>
  <c r="N61" i="18"/>
  <c r="AE42" i="18"/>
  <c r="BN42" i="18"/>
  <c r="AM42" i="18"/>
  <c r="K56" i="18"/>
  <c r="K50" i="18"/>
  <c r="AQ92" i="18"/>
  <c r="Q92" i="18"/>
  <c r="BI46" i="18"/>
  <c r="M92" i="18"/>
  <c r="N92" i="18"/>
  <c r="BF92" i="18"/>
  <c r="BI88" i="18"/>
  <c r="BA92" i="18"/>
  <c r="AD92" i="18"/>
  <c r="R87" i="18"/>
  <c r="M49" i="18"/>
  <c r="AV49" i="18"/>
  <c r="BJ49" i="18"/>
  <c r="R53" i="18"/>
  <c r="R62" i="18"/>
  <c r="AL49" i="18"/>
  <c r="AA49" i="18"/>
  <c r="AE49" i="18"/>
  <c r="R49" i="18"/>
  <c r="B49" i="18" s="1"/>
  <c r="AX49" i="18"/>
  <c r="BE49" i="18"/>
  <c r="J49" i="18"/>
  <c r="X49" i="18"/>
  <c r="P49" i="18"/>
  <c r="BH49" i="18"/>
  <c r="I49" i="18"/>
  <c r="AF49" i="18"/>
  <c r="P56" i="18"/>
  <c r="AI47" i="18"/>
  <c r="P79" i="18"/>
  <c r="BI47" i="18"/>
  <c r="AJ47" i="18"/>
  <c r="P84" i="18"/>
  <c r="AO47" i="18"/>
  <c r="P62" i="18"/>
  <c r="P88" i="18"/>
  <c r="AR60" i="18"/>
  <c r="J60" i="18"/>
  <c r="AE60" i="18"/>
  <c r="S60" i="18"/>
  <c r="AU60" i="18"/>
  <c r="Z78" i="18"/>
  <c r="AG78" i="18"/>
  <c r="W78" i="18"/>
  <c r="S78" i="18"/>
  <c r="O78" i="18"/>
  <c r="AA78" i="18"/>
  <c r="AU83" i="18"/>
  <c r="AB51" i="18"/>
  <c r="BI51" i="18"/>
  <c r="BC51" i="18"/>
  <c r="G60" i="18"/>
  <c r="G74" i="18"/>
  <c r="G63" i="18"/>
  <c r="BL38" i="18"/>
  <c r="G49" i="18"/>
  <c r="G84" i="18"/>
  <c r="BI38" i="18"/>
  <c r="BH38" i="18"/>
  <c r="BF38" i="18"/>
  <c r="G81" i="18"/>
  <c r="G80" i="18"/>
  <c r="G46" i="18"/>
  <c r="Z38" i="18"/>
  <c r="G78" i="18"/>
  <c r="G58" i="18"/>
  <c r="BE38" i="18"/>
  <c r="BG38" i="18"/>
  <c r="R38" i="18"/>
  <c r="AX38" i="18"/>
  <c r="G79" i="18"/>
  <c r="BN38" i="18"/>
  <c r="G48" i="18"/>
  <c r="AP38" i="18"/>
  <c r="BJ38" i="18"/>
  <c r="BK38" i="18"/>
  <c r="AQ38" i="18"/>
  <c r="AY64" i="18"/>
  <c r="AY77" i="18"/>
  <c r="V82" i="18"/>
  <c r="AU82" i="18"/>
  <c r="AY89" i="18"/>
  <c r="AY61" i="18"/>
  <c r="AO82" i="18"/>
  <c r="Q82" i="18"/>
  <c r="AY75" i="18"/>
  <c r="R82" i="18"/>
  <c r="AA82" i="18"/>
  <c r="AH82" i="18"/>
  <c r="U82" i="18"/>
  <c r="O82" i="18"/>
  <c r="AC82" i="18"/>
  <c r="N82" i="18"/>
  <c r="AY38" i="18"/>
  <c r="AY42" i="18"/>
  <c r="X82" i="18"/>
  <c r="BF82" i="18"/>
  <c r="AF82" i="18"/>
  <c r="BB82" i="18"/>
  <c r="AY46" i="18"/>
  <c r="BA82" i="18"/>
  <c r="AY39" i="18"/>
  <c r="BC82" i="18"/>
  <c r="W82" i="18"/>
  <c r="AY50" i="18"/>
  <c r="AQ82" i="18"/>
  <c r="AY53" i="18"/>
  <c r="AY93" i="18"/>
  <c r="AY84" i="18"/>
  <c r="AX82" i="18"/>
  <c r="Z82" i="18"/>
  <c r="I82" i="18"/>
  <c r="AT82" i="18"/>
  <c r="BL82" i="18"/>
  <c r="S82" i="18"/>
  <c r="AJ82" i="18"/>
  <c r="BH82" i="18"/>
  <c r="AY43" i="18"/>
  <c r="AD82" i="18"/>
  <c r="M82" i="18"/>
  <c r="P82" i="18"/>
  <c r="H82" i="18"/>
  <c r="AY49" i="18"/>
  <c r="AY60" i="18"/>
  <c r="AY70" i="18"/>
  <c r="BM43" i="18"/>
  <c r="BM64" i="18"/>
  <c r="W96" i="18"/>
  <c r="G96" i="18"/>
  <c r="AK41" i="18"/>
  <c r="AK55" i="18"/>
  <c r="BB68" i="18"/>
  <c r="BF68" i="18"/>
  <c r="V68" i="18"/>
  <c r="AK50" i="18"/>
  <c r="AZ68" i="18"/>
  <c r="AB68" i="18"/>
  <c r="AO68" i="18"/>
  <c r="AK73" i="18"/>
  <c r="AK66" i="18"/>
  <c r="I68" i="18"/>
  <c r="AS68" i="18"/>
  <c r="AN68" i="18"/>
  <c r="AK44" i="18"/>
  <c r="AK97" i="18"/>
  <c r="AK57" i="18"/>
  <c r="BG68" i="18"/>
  <c r="AK67" i="18"/>
  <c r="AK83" i="18"/>
  <c r="AK56" i="18"/>
  <c r="AR68" i="18"/>
  <c r="W68" i="18"/>
  <c r="AK86" i="18"/>
  <c r="H68" i="18"/>
  <c r="U68" i="18"/>
  <c r="AK51" i="18"/>
  <c r="AK59" i="18"/>
  <c r="AV68" i="18"/>
  <c r="AD68" i="18"/>
  <c r="AX68" i="18"/>
  <c r="AP68" i="18"/>
  <c r="AK74" i="18"/>
  <c r="BK68" i="18"/>
  <c r="BC68" i="18"/>
  <c r="AK45" i="18"/>
  <c r="AK69" i="18"/>
  <c r="AK47" i="18"/>
  <c r="AT68" i="18"/>
  <c r="BI68" i="18"/>
  <c r="AK58" i="18"/>
  <c r="K68" i="18"/>
  <c r="AK89" i="18"/>
  <c r="BL68" i="18"/>
  <c r="Y68" i="18"/>
  <c r="O68" i="18"/>
  <c r="BA68" i="18"/>
  <c r="AK78" i="18"/>
  <c r="AW68" i="18"/>
  <c r="G68" i="18"/>
  <c r="AK88" i="18"/>
  <c r="AK90" i="18"/>
  <c r="AK49" i="18"/>
  <c r="AK80" i="18"/>
  <c r="AK52" i="18"/>
  <c r="AK82" i="18"/>
  <c r="AK43" i="18"/>
  <c r="AK54" i="18"/>
  <c r="AK64" i="18"/>
  <c r="AK95" i="18"/>
  <c r="AK39" i="18"/>
  <c r="AK71" i="18"/>
  <c r="BN68" i="18"/>
  <c r="AM68" i="18"/>
  <c r="AK76" i="18"/>
  <c r="AK72" i="18"/>
  <c r="I9" i="14" l="1"/>
  <c r="J9" i="14"/>
  <c r="I55" i="14"/>
  <c r="J55" i="14"/>
  <c r="M66" i="223"/>
  <c r="M6" i="223" s="1"/>
  <c r="I57" i="14"/>
  <c r="J57" i="14"/>
  <c r="N82" i="223"/>
  <c r="N12" i="223" s="1"/>
  <c r="J52" i="14"/>
  <c r="I52" i="14"/>
  <c r="I19" i="223"/>
  <c r="I5" i="223" s="1"/>
  <c r="I45" i="14"/>
  <c r="J45" i="14"/>
  <c r="O120" i="223"/>
  <c r="N114" i="237"/>
  <c r="N11" i="237" s="1"/>
  <c r="K159" i="223"/>
  <c r="K4" i="223" s="1"/>
  <c r="O171" i="223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E19" i="237"/>
  <c r="E7" i="237" s="1"/>
  <c r="D52" i="237"/>
  <c r="D9" i="237" s="1"/>
  <c r="O124" i="237"/>
  <c r="O173" i="237"/>
  <c r="F82" i="237"/>
  <c r="F10" i="237" s="1"/>
  <c r="O103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E99" i="237"/>
  <c r="E8" i="237" s="1"/>
  <c r="O58" i="223"/>
  <c r="H66" i="237"/>
  <c r="H6" i="237" s="1"/>
  <c r="N144" i="223"/>
  <c r="N7" i="223" s="1"/>
  <c r="D52" i="223"/>
  <c r="D11" i="223" s="1"/>
  <c r="G114" i="223"/>
  <c r="G14" i="223" s="1"/>
  <c r="H66" i="223"/>
  <c r="H6" i="223" s="1"/>
  <c r="O42" i="237"/>
  <c r="O44" i="237"/>
  <c r="I66" i="237"/>
  <c r="I6" i="237" s="1"/>
  <c r="I114" i="223"/>
  <c r="I14" i="223" s="1"/>
  <c r="O101" i="237"/>
  <c r="AE40" i="1"/>
  <c r="BM25" i="18"/>
  <c r="M159" i="237"/>
  <c r="M4" i="237" s="1"/>
  <c r="O30" i="223"/>
  <c r="L114" i="237"/>
  <c r="L11" i="237" s="1"/>
  <c r="AT40" i="1"/>
  <c r="O27" i="237"/>
  <c r="O88" i="223"/>
  <c r="O42" i="223"/>
  <c r="O126" i="237"/>
  <c r="K144" i="223"/>
  <c r="K7" i="223" s="1"/>
  <c r="AC31" i="1"/>
  <c r="I25" i="1"/>
  <c r="AG31" i="1"/>
  <c r="BA31" i="1"/>
  <c r="BL31" i="1"/>
  <c r="BB31" i="1"/>
  <c r="AL31" i="1"/>
  <c r="Y31" i="1"/>
  <c r="AT31" i="1"/>
  <c r="AZ31" i="1"/>
  <c r="V31" i="1"/>
  <c r="AK31" i="1"/>
  <c r="U31" i="1"/>
  <c r="AJ31" i="1"/>
  <c r="BM31" i="1"/>
  <c r="AU31" i="1"/>
  <c r="BH31" i="1"/>
  <c r="AW31" i="1"/>
  <c r="R31" i="1"/>
  <c r="L31" i="1"/>
  <c r="BE31" i="1"/>
  <c r="W31" i="1"/>
  <c r="O31" i="1"/>
  <c r="BF31" i="1"/>
  <c r="N31" i="1"/>
  <c r="Q31" i="1"/>
  <c r="AN31" i="1"/>
  <c r="AD31" i="1"/>
  <c r="M31" i="1"/>
  <c r="AB31" i="1"/>
  <c r="BD31" i="1"/>
  <c r="AV31" i="1"/>
  <c r="Z31" i="1"/>
  <c r="BN31" i="1"/>
  <c r="BG31" i="1"/>
  <c r="AP31" i="1"/>
  <c r="BK31" i="1"/>
  <c r="AE31" i="1"/>
  <c r="AM31" i="1"/>
  <c r="BI31" i="1"/>
  <c r="AY31" i="1"/>
  <c r="T31" i="1"/>
  <c r="AI31" i="1"/>
  <c r="AQ31" i="1"/>
  <c r="AX31" i="1"/>
  <c r="BC31" i="1"/>
  <c r="AO31" i="1"/>
  <c r="K31" i="1"/>
  <c r="AR31" i="1"/>
  <c r="BJ31" i="1"/>
  <c r="AA31" i="1"/>
  <c r="AS31" i="1"/>
  <c r="AH31" i="1"/>
  <c r="S31" i="1"/>
  <c r="AF31" i="1"/>
  <c r="P31" i="1"/>
  <c r="X31" i="1"/>
  <c r="J19" i="223"/>
  <c r="J5" i="223" s="1"/>
  <c r="O172" i="223"/>
  <c r="I59" i="14"/>
  <c r="J59" i="14"/>
  <c r="AO25" i="18"/>
  <c r="B99" i="237"/>
  <c r="B8" i="237" s="1"/>
  <c r="O100" i="237"/>
  <c r="I52" i="223"/>
  <c r="I11" i="223" s="1"/>
  <c r="J36" i="237"/>
  <c r="J5" i="237" s="1"/>
  <c r="O32" i="223"/>
  <c r="I29" i="14"/>
  <c r="J29" i="14"/>
  <c r="O22" i="223"/>
  <c r="AF40" i="1"/>
  <c r="N40" i="1"/>
  <c r="AF25" i="18"/>
  <c r="C114" i="223"/>
  <c r="C14" i="223" s="1"/>
  <c r="N82" i="237"/>
  <c r="N10" i="237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02" i="223"/>
  <c r="AN25" i="18"/>
  <c r="O75" i="237"/>
  <c r="AM25" i="18"/>
  <c r="C144" i="223"/>
  <c r="C7" i="223" s="1"/>
  <c r="K159" i="237"/>
  <c r="K4" i="237" s="1"/>
  <c r="G178" i="237"/>
  <c r="G13" i="237" s="1"/>
  <c r="K25" i="18"/>
  <c r="O100" i="223"/>
  <c r="B99" i="223"/>
  <c r="B9" i="223" s="1"/>
  <c r="O39" i="237"/>
  <c r="O78" i="223"/>
  <c r="H159" i="223"/>
  <c r="H4" i="223" s="1"/>
  <c r="O92" i="237"/>
  <c r="I99" i="237"/>
  <c r="I8" i="237" s="1"/>
  <c r="F129" i="237"/>
  <c r="F12" i="237" s="1"/>
  <c r="C66" i="223"/>
  <c r="C6" i="223" s="1"/>
  <c r="G19" i="237"/>
  <c r="G7" i="237" s="1"/>
  <c r="O116" i="223"/>
  <c r="O119" i="223"/>
  <c r="D114" i="223"/>
  <c r="D14" i="223" s="1"/>
  <c r="B66" i="237"/>
  <c r="B6" i="237" s="1"/>
  <c r="O67" i="237"/>
  <c r="C36" i="223"/>
  <c r="C8" i="223" s="1"/>
  <c r="C82" i="223"/>
  <c r="C12" i="223" s="1"/>
  <c r="B36" i="223"/>
  <c r="B8" i="223" s="1"/>
  <c r="O37" i="223"/>
  <c r="N19" i="237"/>
  <c r="N7" i="237" s="1"/>
  <c r="L25" i="18"/>
  <c r="H159" i="237"/>
  <c r="H4" i="237" s="1"/>
  <c r="AG25" i="18"/>
  <c r="AR25" i="18"/>
  <c r="O80" i="237"/>
  <c r="I28" i="14"/>
  <c r="J28" i="14"/>
  <c r="N114" i="223"/>
  <c r="N14" i="223" s="1"/>
  <c r="R39" i="1"/>
  <c r="R40" i="1"/>
  <c r="K99" i="223"/>
  <c r="K9" i="223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H144" i="237"/>
  <c r="H3" i="237" s="1"/>
  <c r="BE40" i="1"/>
  <c r="O130" i="223"/>
  <c r="B129" i="223"/>
  <c r="B10" i="223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I144" i="223"/>
  <c r="I7" i="223" s="1"/>
  <c r="AG40" i="1"/>
  <c r="O43" i="237"/>
  <c r="O23" i="237"/>
  <c r="F114" i="237"/>
  <c r="F11" i="237" s="1"/>
  <c r="O54" i="237"/>
  <c r="M114" i="223"/>
  <c r="M14" i="223" s="1"/>
  <c r="O84" i="237"/>
  <c r="L144" i="237"/>
  <c r="L3" i="237" s="1"/>
  <c r="K129" i="223"/>
  <c r="K10" i="223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I36" i="237"/>
  <c r="I5" i="237" s="1"/>
  <c r="O115" i="223"/>
  <c r="B114" i="223"/>
  <c r="B14" i="223" s="1"/>
  <c r="AI25" i="18"/>
  <c r="AM40" i="1"/>
  <c r="O102" i="237"/>
  <c r="O75" i="223"/>
  <c r="C159" i="237"/>
  <c r="C4" i="237" s="1"/>
  <c r="C178" i="223"/>
  <c r="C13" i="223" s="1"/>
  <c r="K82" i="223"/>
  <c r="K12" i="223" s="1"/>
  <c r="O161" i="237"/>
  <c r="AY25" i="18"/>
  <c r="O55" i="237"/>
  <c r="AW25" i="18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38" i="237"/>
  <c r="O41" i="223"/>
  <c r="O92" i="223"/>
  <c r="E129" i="237"/>
  <c r="E12" i="237" s="1"/>
  <c r="AJ40" i="1"/>
  <c r="O136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50" i="223"/>
  <c r="O189" i="237"/>
  <c r="AV40" i="1"/>
  <c r="O118" i="223"/>
  <c r="O124" i="223"/>
  <c r="D82" i="223"/>
  <c r="D12" i="223" s="1"/>
  <c r="AR40" i="1"/>
  <c r="AQ40" i="1"/>
  <c r="O89" i="237"/>
  <c r="J66" i="223"/>
  <c r="J6" i="223" s="1"/>
  <c r="D36" i="223"/>
  <c r="D8" i="223" s="1"/>
  <c r="BI25" i="18"/>
  <c r="O156" i="223"/>
  <c r="N178" i="237"/>
  <c r="N13" i="237" s="1"/>
  <c r="O25" i="18"/>
  <c r="O72" i="237"/>
  <c r="O33" i="237"/>
  <c r="L159" i="237"/>
  <c r="L4" i="237" s="1"/>
  <c r="O147" i="237"/>
  <c r="C66" i="237"/>
  <c r="C6" i="237" s="1"/>
  <c r="M52" i="237"/>
  <c r="M9" i="237" s="1"/>
  <c r="O28" i="237"/>
  <c r="L129" i="237"/>
  <c r="L12" i="237" s="1"/>
  <c r="BJ25" i="18"/>
  <c r="H129" i="237"/>
  <c r="H12" i="237" s="1"/>
  <c r="D144" i="237"/>
  <c r="D3" i="237" s="1"/>
  <c r="L66" i="223"/>
  <c r="L6" i="223" s="1"/>
  <c r="G144" i="223"/>
  <c r="G7" i="223" s="1"/>
  <c r="O77" i="223"/>
  <c r="N99" i="237"/>
  <c r="N8" i="237" s="1"/>
  <c r="O187" i="223"/>
  <c r="AA25" i="18"/>
  <c r="D36" i="237"/>
  <c r="D5" i="237" s="1"/>
  <c r="AS40" i="1"/>
  <c r="J52" i="237"/>
  <c r="J9" i="237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AK40" i="1"/>
  <c r="C159" i="223"/>
  <c r="C4" i="223" s="1"/>
  <c r="F82" i="223"/>
  <c r="F12" i="223" s="1"/>
  <c r="I19" i="237"/>
  <c r="I7" i="237" s="1"/>
  <c r="B159" i="237"/>
  <c r="B4" i="237" s="1"/>
  <c r="O160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D178" i="237"/>
  <c r="D13" i="237" s="1"/>
  <c r="O118" i="237"/>
  <c r="O185" i="223"/>
  <c r="I99" i="223"/>
  <c r="I9" i="223" s="1"/>
  <c r="O62" i="223"/>
  <c r="C178" i="237"/>
  <c r="C13" i="237" s="1"/>
  <c r="N159" i="223"/>
  <c r="N4" i="223" s="1"/>
  <c r="N52" i="237"/>
  <c r="N9" i="237" s="1"/>
  <c r="I36" i="223"/>
  <c r="I8" i="223" s="1"/>
  <c r="H82" i="223"/>
  <c r="H12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70" i="223"/>
  <c r="AH25" i="18"/>
  <c r="O116" i="237"/>
  <c r="M99" i="237"/>
  <c r="M8" i="237" s="1"/>
  <c r="N36" i="237"/>
  <c r="N5" i="237" s="1"/>
  <c r="I7" i="14"/>
  <c r="J7" i="14"/>
  <c r="O189" i="223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M40" i="1"/>
  <c r="O140" i="237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N129" i="223"/>
  <c r="N10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K82" i="237"/>
  <c r="K10" i="237" s="1"/>
  <c r="O154" i="223"/>
  <c r="O78" i="237"/>
  <c r="J82" i="237"/>
  <c r="J10" i="237" s="1"/>
  <c r="N178" i="223"/>
  <c r="N13" i="223" s="1"/>
  <c r="BJ40" i="1"/>
  <c r="O85" i="237"/>
  <c r="H19" i="237"/>
  <c r="H7" i="237" s="1"/>
  <c r="I144" i="237"/>
  <c r="I3" i="237" s="1"/>
  <c r="AW40" i="1"/>
  <c r="M99" i="223"/>
  <c r="M9" i="223" s="1"/>
  <c r="O179" i="237"/>
  <c r="B178" i="237"/>
  <c r="B13" i="237" s="1"/>
  <c r="O172" i="237"/>
  <c r="O71" i="223"/>
  <c r="M129" i="223"/>
  <c r="M10" i="223" s="1"/>
  <c r="M19" i="223"/>
  <c r="M5" i="223" s="1"/>
  <c r="O188" i="237"/>
  <c r="O123" i="237"/>
  <c r="O56" i="223"/>
  <c r="Y40" i="1"/>
  <c r="O126" i="223"/>
  <c r="BB25" i="18"/>
  <c r="J52" i="223"/>
  <c r="J11" i="223" s="1"/>
  <c r="L129" i="223"/>
  <c r="L10" i="223" s="1"/>
  <c r="O90" i="223"/>
  <c r="S40" i="1"/>
  <c r="C99" i="223"/>
  <c r="C9" i="223" s="1"/>
  <c r="O187" i="237"/>
  <c r="L66" i="237"/>
  <c r="L6" i="237" s="1"/>
  <c r="O134" i="223"/>
  <c r="O152" i="223"/>
  <c r="I66" i="223"/>
  <c r="I6" i="223" s="1"/>
  <c r="C129" i="223"/>
  <c r="C10" i="223" s="1"/>
  <c r="L178" i="237"/>
  <c r="L13" i="237" s="1"/>
  <c r="O139" i="237"/>
  <c r="B82" i="223"/>
  <c r="B12" i="223" s="1"/>
  <c r="O83" i="223"/>
  <c r="M178" i="223"/>
  <c r="M13" i="223" s="1"/>
  <c r="E178" i="237"/>
  <c r="E13" i="237" s="1"/>
  <c r="L39" i="1"/>
  <c r="L40" i="1"/>
  <c r="BH40" i="1"/>
  <c r="J114" i="237"/>
  <c r="J11" i="237" s="1"/>
  <c r="O93" i="223"/>
  <c r="O132" i="237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G144" i="237"/>
  <c r="G3" i="237" s="1"/>
  <c r="G178" i="223"/>
  <c r="G13" i="223" s="1"/>
  <c r="O117" i="223"/>
  <c r="K19" i="237"/>
  <c r="K7" i="237" s="1"/>
  <c r="O91" i="237"/>
  <c r="AX40" i="1"/>
  <c r="BE25" i="18"/>
  <c r="T40" i="1"/>
  <c r="H114" i="237"/>
  <c r="H11" i="237" s="1"/>
  <c r="F36" i="223"/>
  <c r="F8" i="223" s="1"/>
  <c r="K52" i="237"/>
  <c r="K9" i="237" s="1"/>
  <c r="O60" i="237"/>
  <c r="O141" i="223"/>
  <c r="O58" i="237"/>
  <c r="O29" i="223"/>
  <c r="V25" i="18"/>
  <c r="N36" i="223"/>
  <c r="N8" i="223" s="1"/>
  <c r="O155" i="237"/>
  <c r="C52" i="223"/>
  <c r="C11" i="223" s="1"/>
  <c r="O63" i="223"/>
  <c r="O26" i="237"/>
  <c r="J159" i="223"/>
  <c r="J4" i="223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H52" i="237"/>
  <c r="H9" i="237" s="1"/>
  <c r="O168" i="237"/>
  <c r="M129" i="237"/>
  <c r="M12" i="237" s="1"/>
  <c r="E66" i="237"/>
  <c r="E6" i="237" s="1"/>
  <c r="O183" i="237"/>
  <c r="H99" i="223"/>
  <c r="H9" i="223" s="1"/>
  <c r="E52" i="237"/>
  <c r="E9" i="237" s="1"/>
  <c r="O169" i="223"/>
  <c r="G66" i="223"/>
  <c r="G6" i="223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H25" i="18"/>
  <c r="N66" i="223"/>
  <c r="N6" i="223" s="1"/>
  <c r="O85" i="223"/>
  <c r="O117" i="237"/>
  <c r="E159" i="223"/>
  <c r="E4" i="223" s="1"/>
  <c r="S25" i="18"/>
  <c r="AH40" i="1"/>
  <c r="BC40" i="1"/>
  <c r="K19" i="223"/>
  <c r="K5" i="223" s="1"/>
  <c r="O32" i="237"/>
  <c r="O95" i="237"/>
  <c r="L114" i="223"/>
  <c r="L14" i="223" s="1"/>
  <c r="O181" i="223"/>
  <c r="BC25" i="18"/>
  <c r="BG40" i="1"/>
  <c r="H129" i="223"/>
  <c r="H10" i="223" s="1"/>
  <c r="C129" i="237"/>
  <c r="C12" i="237" s="1"/>
  <c r="O61" i="237"/>
  <c r="O21" i="223"/>
  <c r="K66" i="223"/>
  <c r="K6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O59" i="237"/>
  <c r="H178" i="223"/>
  <c r="H13" i="223" s="1"/>
  <c r="B52" i="237"/>
  <c r="B9" i="237" s="1"/>
  <c r="O53" i="237"/>
  <c r="O94" i="223"/>
  <c r="O132" i="223"/>
  <c r="A33" i="185"/>
  <c r="O146" i="223"/>
  <c r="O153" i="223"/>
  <c r="M19" i="237"/>
  <c r="M7" i="237" s="1"/>
  <c r="O149" i="223"/>
  <c r="F178" i="223"/>
  <c r="F13" i="223" s="1"/>
  <c r="L82" i="223"/>
  <c r="L12" i="223" s="1"/>
  <c r="O147" i="223"/>
  <c r="F19" i="223"/>
  <c r="F5" i="223" s="1"/>
  <c r="AZ25" i="18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V40" i="1"/>
  <c r="O163" i="223"/>
  <c r="G114" i="237"/>
  <c r="G11" i="237" s="1"/>
  <c r="O138" i="223"/>
  <c r="O131" i="237"/>
  <c r="G82" i="237"/>
  <c r="G10" i="237" s="1"/>
  <c r="O127" i="223"/>
  <c r="O40" i="1"/>
  <c r="O95" i="223"/>
  <c r="Z25" i="18"/>
  <c r="O148" i="223"/>
  <c r="L19" i="223"/>
  <c r="L5" i="223" s="1"/>
  <c r="O186" i="237"/>
  <c r="BD40" i="1"/>
  <c r="O94" i="237"/>
  <c r="O69" i="237"/>
  <c r="O151" i="237"/>
  <c r="E159" i="237"/>
  <c r="E4" i="237" s="1"/>
  <c r="L99" i="223"/>
  <c r="L9" i="223" s="1"/>
  <c r="BL25" i="18"/>
  <c r="H82" i="237"/>
  <c r="H10" i="237" s="1"/>
  <c r="O188" i="223"/>
  <c r="O24" i="237"/>
  <c r="G82" i="223"/>
  <c r="G12" i="223" s="1"/>
  <c r="O31" i="223"/>
  <c r="O121" i="223"/>
  <c r="D99" i="223"/>
  <c r="D9" i="223" s="1"/>
  <c r="B19" i="237"/>
  <c r="B7" i="237" s="1"/>
  <c r="O20" i="237"/>
  <c r="J82" i="223"/>
  <c r="J12" i="223" s="1"/>
  <c r="AV25" i="18"/>
  <c r="I82" i="223"/>
  <c r="I12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E19" i="223"/>
  <c r="E5" i="223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J129" i="223"/>
  <c r="J10" i="223" s="1"/>
  <c r="E114" i="237"/>
  <c r="E11" i="237" s="1"/>
  <c r="O70" i="237"/>
  <c r="O161" i="223"/>
  <c r="O153" i="237"/>
  <c r="E129" i="223"/>
  <c r="E10" i="223" s="1"/>
  <c r="K52" i="223"/>
  <c r="K11" i="223" s="1"/>
  <c r="N25" i="18"/>
  <c r="J99" i="223"/>
  <c r="J9" i="223" s="1"/>
  <c r="L36" i="237"/>
  <c r="L5" i="237" s="1"/>
  <c r="H144" i="223"/>
  <c r="H7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G19" i="223"/>
  <c r="G5" i="223" s="1"/>
  <c r="M52" i="223"/>
  <c r="M11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J178" i="223"/>
  <c r="J13" i="223" s="1"/>
  <c r="O139" i="223"/>
  <c r="F129" i="223"/>
  <c r="F10" i="223" s="1"/>
  <c r="D66" i="223"/>
  <c r="D6" i="223" s="1"/>
  <c r="AK25" i="18"/>
  <c r="BF40" i="1"/>
  <c r="J144" i="223"/>
  <c r="J7" i="223" s="1"/>
  <c r="G99" i="223"/>
  <c r="G9" i="223" s="1"/>
  <c r="AP25" i="18"/>
  <c r="O168" i="223"/>
  <c r="O164" i="237"/>
  <c r="O76" i="237"/>
  <c r="K129" i="237"/>
  <c r="K12" i="237" s="1"/>
  <c r="BB40" i="1"/>
  <c r="J66" i="237"/>
  <c r="J6" i="237" s="1"/>
  <c r="J129" i="237"/>
  <c r="J12" i="237" s="1"/>
  <c r="I129" i="237"/>
  <c r="I12" i="237" s="1"/>
  <c r="AO40" i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AD40" i="1"/>
  <c r="O180" i="237"/>
  <c r="F114" i="223"/>
  <c r="F14" i="223" s="1"/>
  <c r="C52" i="237"/>
  <c r="C9" i="237" s="1"/>
  <c r="H36" i="237"/>
  <c r="H5" i="237" s="1"/>
  <c r="B114" i="237"/>
  <c r="B11" i="237" s="1"/>
  <c r="O115" i="237"/>
  <c r="O169" i="237"/>
  <c r="M66" i="237"/>
  <c r="M6" i="237" s="1"/>
  <c r="C19" i="223"/>
  <c r="C5" i="223" s="1"/>
  <c r="Y25" i="18"/>
  <c r="O45" i="223"/>
  <c r="F66" i="237"/>
  <c r="F6" i="237" s="1"/>
  <c r="O162" i="223"/>
  <c r="O33" i="223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36" i="223"/>
  <c r="O135" i="223"/>
  <c r="K178" i="223"/>
  <c r="K13" i="223" s="1"/>
  <c r="O164" i="223"/>
  <c r="O46" i="237"/>
  <c r="O156" i="237"/>
  <c r="AA40" i="1"/>
  <c r="O77" i="237"/>
  <c r="AB40" i="1"/>
  <c r="AD25" i="18"/>
  <c r="AB25" i="18"/>
  <c r="L99" i="237"/>
  <c r="L8" i="237" s="1"/>
  <c r="O167" i="223"/>
  <c r="O166" i="223"/>
  <c r="I129" i="223"/>
  <c r="I10" i="223" s="1"/>
  <c r="O69" i="223"/>
  <c r="T25" i="18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P40" i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E82" i="223"/>
  <c r="E12" i="223" s="1"/>
  <c r="BA25" i="18"/>
  <c r="C82" i="237"/>
  <c r="C10" i="237" s="1"/>
  <c r="K40" i="1"/>
  <c r="O103" i="223"/>
  <c r="F99" i="237"/>
  <c r="F8" i="237" s="1"/>
  <c r="O68" i="223"/>
  <c r="AE25" i="18"/>
  <c r="BF25" i="18"/>
  <c r="O119" i="237"/>
  <c r="D99" i="237"/>
  <c r="D8" i="237" s="1"/>
  <c r="O44" i="223"/>
  <c r="O27" i="223"/>
  <c r="G36" i="237"/>
  <c r="G5" i="237" s="1"/>
  <c r="O145" i="237"/>
  <c r="B144" i="237"/>
  <c r="B3" i="237" s="1"/>
  <c r="O140" i="223"/>
  <c r="O25" i="237"/>
  <c r="O53" i="223"/>
  <c r="B52" i="223"/>
  <c r="B11" i="223" s="1"/>
  <c r="K178" i="237"/>
  <c r="K13" i="237" s="1"/>
  <c r="O146" i="237"/>
  <c r="G66" i="237"/>
  <c r="G6" i="237" s="1"/>
  <c r="AP40" i="1"/>
  <c r="C99" i="237"/>
  <c r="C8" i="237" s="1"/>
  <c r="O46" i="223"/>
  <c r="M178" i="237"/>
  <c r="M13" i="237" s="1"/>
  <c r="O88" i="237"/>
  <c r="AX25" i="18"/>
  <c r="O79" i="223"/>
  <c r="O122" i="223"/>
  <c r="O60" i="223"/>
  <c r="J99" i="237"/>
  <c r="J8" i="237" s="1"/>
  <c r="N129" i="237"/>
  <c r="N12" i="237" s="1"/>
  <c r="R25" i="18"/>
  <c r="O173" i="223"/>
  <c r="M144" i="223"/>
  <c r="M7" i="223" s="1"/>
  <c r="M144" i="237"/>
  <c r="M3" i="237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D129" i="237"/>
  <c r="D12" i="237" s="1"/>
  <c r="AC25" i="18"/>
  <c r="J159" i="237"/>
  <c r="J4" i="237" s="1"/>
  <c r="O40" i="237"/>
  <c r="F144" i="237"/>
  <c r="F3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72" i="223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E82" i="237"/>
  <c r="E10" i="237" s="1"/>
  <c r="O130" i="237"/>
  <c r="B129" i="237"/>
  <c r="B12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H19" i="223"/>
  <c r="H5" i="223" s="1"/>
  <c r="E99" i="223"/>
  <c r="E9" i="223" s="1"/>
  <c r="K99" i="237"/>
  <c r="K8" i="237" s="1"/>
  <c r="K36" i="237"/>
  <c r="K5" i="237" s="1"/>
  <c r="D178" i="223"/>
  <c r="D13" i="223" s="1"/>
  <c r="B178" i="223"/>
  <c r="B13" i="223" s="1"/>
  <c r="O179" i="223"/>
  <c r="C144" i="237"/>
  <c r="C3" i="237" s="1"/>
  <c r="F52" i="223"/>
  <c r="F11" i="223" s="1"/>
  <c r="O170" i="237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C19" i="237"/>
  <c r="C7" i="237" s="1"/>
  <c r="W40" i="1"/>
  <c r="N52" i="223"/>
  <c r="N11" i="223" s="1"/>
  <c r="O122" i="237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D82" i="237"/>
  <c r="D10" i="237" s="1"/>
  <c r="O138" i="237"/>
  <c r="O185" i="237"/>
  <c r="AQ25" i="18"/>
  <c r="H52" i="223"/>
  <c r="H11" i="223" s="1"/>
  <c r="O45" i="237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D129" i="223"/>
  <c r="D10" i="223" s="1"/>
  <c r="M82" i="237"/>
  <c r="M10" i="237" s="1"/>
  <c r="O166" i="237"/>
  <c r="O131" i="223"/>
  <c r="AJ25" i="18"/>
  <c r="N159" i="237"/>
  <c r="N4" i="237" s="1"/>
  <c r="BL40" i="1"/>
  <c r="J144" i="237"/>
  <c r="J3" i="237" s="1"/>
  <c r="N144" i="237"/>
  <c r="N3" i="237" s="1"/>
  <c r="D144" i="223"/>
  <c r="D7" i="223" s="1"/>
  <c r="G52" i="223"/>
  <c r="G11" i="223" s="1"/>
  <c r="O145" i="223"/>
  <c r="B144" i="223"/>
  <c r="B7" i="223" s="1"/>
  <c r="B36" i="237"/>
  <c r="B5" i="237" s="1"/>
  <c r="O37" i="237"/>
  <c r="I178" i="223"/>
  <c r="I13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I40" i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133" i="237"/>
  <c r="O57" i="237"/>
  <c r="O68" i="237"/>
  <c r="E66" i="223"/>
  <c r="E6" i="223" s="1"/>
  <c r="L178" i="223"/>
  <c r="L13" i="223" s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F159" i="223"/>
  <c r="F4" i="223" s="1"/>
  <c r="O57" i="223"/>
  <c r="M159" i="223"/>
  <c r="M4" i="223" s="1"/>
  <c r="BA40" i="1"/>
  <c r="O55" i="223"/>
  <c r="AC40" i="1"/>
  <c r="H99" i="237"/>
  <c r="H8" i="237" s="1"/>
  <c r="AZ40" i="1"/>
  <c r="O31" i="237"/>
  <c r="BI40" i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O186" i="223"/>
  <c r="J178" i="237"/>
  <c r="J13" i="237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90" i="237"/>
  <c r="O152" i="237"/>
  <c r="O40" i="223"/>
  <c r="K114" i="223"/>
  <c r="K14" i="223" s="1"/>
  <c r="O39" i="223"/>
  <c r="D114" i="237"/>
  <c r="D11" i="237" s="1"/>
  <c r="AL40" i="1"/>
  <c r="G129" i="223"/>
  <c r="G10" i="223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O167" i="237"/>
  <c r="M40" i="1"/>
  <c r="BG25" i="18"/>
  <c r="M36" i="237"/>
  <c r="M5" i="237" s="1"/>
  <c r="E114" i="223"/>
  <c r="E14" i="223" s="1"/>
  <c r="O84" i="223"/>
  <c r="U40" i="1"/>
  <c r="O29" i="237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M82" i="223"/>
  <c r="M12" i="223" s="1"/>
  <c r="O87" i="223"/>
  <c r="L144" i="223"/>
  <c r="L7" i="223" s="1"/>
  <c r="O22" i="237"/>
  <c r="O151" i="223"/>
  <c r="B31" i="185"/>
  <c r="A34" i="185" s="1"/>
  <c r="A35" i="185" s="1"/>
  <c r="O134" i="237"/>
  <c r="D159" i="237"/>
  <c r="D4" i="237" s="1"/>
  <c r="AN40" i="1"/>
  <c r="I159" i="223"/>
  <c r="I4" i="223" s="1"/>
  <c r="I3" i="223" s="1"/>
  <c r="BK40" i="1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N25" i="18"/>
  <c r="N19" i="223"/>
  <c r="N5" i="223" s="1"/>
  <c r="O184" i="237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37" i="223"/>
  <c r="O41" i="237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E36" i="223"/>
  <c r="E8" i="223" s="1"/>
  <c r="O74" i="237"/>
  <c r="AU25" i="18"/>
  <c r="O125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F159" i="237"/>
  <c r="F4" i="237" s="1"/>
  <c r="BD25" i="18"/>
  <c r="AL25" i="18"/>
  <c r="O83" i="237"/>
  <c r="B82" i="237"/>
  <c r="B10" i="237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79" i="237"/>
  <c r="F99" i="223"/>
  <c r="F9" i="223" s="1"/>
  <c r="O133" i="223"/>
  <c r="D19" i="223"/>
  <c r="D5" i="223" s="1"/>
  <c r="O123" i="223"/>
  <c r="O93" i="237"/>
  <c r="O182" i="237"/>
  <c r="O184" i="223"/>
  <c r="O170" i="223"/>
  <c r="O181" i="237"/>
  <c r="O23" i="223"/>
  <c r="G129" i="237"/>
  <c r="G12" i="237" s="1"/>
  <c r="J5" i="14"/>
  <c r="I5" i="14"/>
  <c r="O91" i="223"/>
  <c r="O180" i="223"/>
  <c r="O62" i="237"/>
  <c r="K66" i="237"/>
  <c r="K6" i="237" s="1"/>
  <c r="L52" i="223"/>
  <c r="L11" i="223" s="1"/>
  <c r="L36" i="223"/>
  <c r="L8" i="223" s="1"/>
  <c r="M114" i="237"/>
  <c r="M11" i="237" s="1"/>
  <c r="G159" i="237"/>
  <c r="G4" i="237" s="1"/>
  <c r="F52" i="237"/>
  <c r="F9" i="237" s="1"/>
  <c r="O89" i="223"/>
  <c r="Q40" i="1"/>
  <c r="O162" i="237"/>
  <c r="O59" i="223"/>
  <c r="O43" i="223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I82" i="237"/>
  <c r="I10" i="237" s="1"/>
  <c r="O121" i="237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73" i="237"/>
  <c r="O120" i="237"/>
  <c r="C36" i="237"/>
  <c r="C5" i="237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C114" i="237"/>
  <c r="C11" i="237" s="1"/>
  <c r="O38" i="223"/>
  <c r="O20" i="223"/>
  <c r="B19" i="223"/>
  <c r="B5" i="223" s="1"/>
  <c r="L159" i="223"/>
  <c r="L4" i="223" s="1"/>
  <c r="O28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54" i="223"/>
  <c r="P25" i="18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D19" i="237"/>
  <c r="D7" i="237" s="1"/>
  <c r="J114" i="223"/>
  <c r="J14" i="223" s="1"/>
  <c r="E178" i="223"/>
  <c r="E13" i="223" s="1"/>
  <c r="D159" i="223"/>
  <c r="D4" i="223" s="1"/>
  <c r="AY40" i="1"/>
  <c r="O150" i="237"/>
  <c r="AU40" i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O141" i="237"/>
  <c r="O74" i="223"/>
  <c r="O63" i="237"/>
  <c r="L19" i="237"/>
  <c r="L7" i="237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M36" i="223"/>
  <c r="M8" i="223" s="1"/>
  <c r="O86" i="237"/>
  <c r="O56" i="237"/>
  <c r="O26" i="223"/>
  <c r="O135" i="237"/>
  <c r="L52" i="237"/>
  <c r="L9" i="237" s="1"/>
  <c r="O171" i="237"/>
  <c r="F36" i="237"/>
  <c r="F5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86" i="223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76" i="223"/>
  <c r="O127" i="237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65" i="237"/>
  <c r="O160" i="223"/>
  <c r="B159" i="223"/>
  <c r="B4" i="223" s="1"/>
  <c r="J36" i="223"/>
  <c r="J8" i="223" s="1"/>
  <c r="O165" i="223"/>
  <c r="K36" i="223"/>
  <c r="K8" i="223" s="1"/>
  <c r="G159" i="223"/>
  <c r="G4" i="223" s="1"/>
  <c r="O125" i="223"/>
  <c r="O25" i="223"/>
  <c r="I178" i="237"/>
  <c r="I13" i="237" s="1"/>
  <c r="O137" i="237"/>
  <c r="X40" i="1"/>
  <c r="J19" i="237"/>
  <c r="J7" i="237" s="1"/>
  <c r="AT25" i="18"/>
  <c r="O148" i="237"/>
  <c r="O149" i="237"/>
  <c r="O183" i="223"/>
  <c r="O71" i="237"/>
  <c r="H36" i="223"/>
  <c r="H8" i="223" s="1"/>
  <c r="O61" i="223"/>
  <c r="K144" i="237"/>
  <c r="K3" i="237" s="1"/>
  <c r="M25" i="18"/>
  <c r="O87" i="237"/>
  <c r="O73" i="223"/>
  <c r="BK25" i="18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D66" i="237"/>
  <c r="D6" i="237" s="1"/>
  <c r="G52" i="237"/>
  <c r="G9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X25" i="18"/>
  <c r="F19" i="237"/>
  <c r="F7" i="237" s="1"/>
  <c r="H114" i="223"/>
  <c r="H14" i="223" s="1"/>
  <c r="E144" i="223"/>
  <c r="E7" i="223" s="1"/>
  <c r="O163" i="237"/>
  <c r="W25" i="18"/>
  <c r="F144" i="223"/>
  <c r="F7" i="223" s="1"/>
  <c r="Z40" i="1"/>
  <c r="K114" i="237"/>
  <c r="K11" i="237" s="1"/>
  <c r="N99" i="223"/>
  <c r="N9" i="223" s="1"/>
  <c r="N3" i="223" s="1"/>
  <c r="O155" i="223"/>
  <c r="E52" i="223"/>
  <c r="E11" i="223" s="1"/>
  <c r="E144" i="237"/>
  <c r="E3" i="237" s="1"/>
  <c r="F66" i="223"/>
  <c r="F6" i="223" s="1"/>
  <c r="O80" i="223"/>
  <c r="Q25" i="18"/>
  <c r="G36" i="223"/>
  <c r="G8" i="223" s="1"/>
  <c r="O101" i="223"/>
  <c r="G99" i="237"/>
  <c r="G8" i="237" s="1"/>
  <c r="I114" i="237"/>
  <c r="I11" i="237" s="1"/>
  <c r="O11" i="237" s="1"/>
  <c r="O24" i="223"/>
  <c r="AS25" i="18"/>
  <c r="I52" i="237"/>
  <c r="I9" i="237" s="1"/>
  <c r="B66" i="223"/>
  <c r="B6" i="223" s="1"/>
  <c r="O67" i="223"/>
  <c r="U25" i="18"/>
  <c r="L82" i="237"/>
  <c r="L10" i="237" s="1"/>
  <c r="N66" i="237"/>
  <c r="N6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O182" i="223"/>
  <c r="O30" i="237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154" i="237"/>
  <c r="E36" i="237"/>
  <c r="E5" i="237" s="1"/>
  <c r="O5" i="237" s="1"/>
  <c r="F178" i="237"/>
  <c r="F13" i="237" s="1"/>
  <c r="H178" i="237"/>
  <c r="H13" i="237" s="1"/>
  <c r="O21" i="237"/>
  <c r="I159" i="237"/>
  <c r="I4" i="237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I4" i="14"/>
  <c r="J4" i="14"/>
  <c r="B14" i="237"/>
  <c r="O13" i="223"/>
  <c r="D6" i="14"/>
  <c r="E6" i="14" s="1"/>
  <c r="W24" i="14"/>
  <c r="W62" i="14"/>
  <c r="W32" i="14"/>
  <c r="W50" i="14"/>
  <c r="W60" i="14"/>
  <c r="W14" i="14"/>
  <c r="W27" i="14"/>
  <c r="W43" i="14"/>
  <c r="W51" i="14"/>
  <c r="W39" i="14"/>
  <c r="W15" i="14"/>
  <c r="W22" i="14"/>
  <c r="W20" i="14"/>
  <c r="W38" i="14"/>
  <c r="W63" i="14"/>
  <c r="W21" i="14"/>
  <c r="W18" i="14"/>
  <c r="W44" i="14"/>
  <c r="W47" i="14"/>
  <c r="W25" i="14"/>
  <c r="W48" i="14"/>
  <c r="W34" i="14"/>
  <c r="W13" i="14"/>
  <c r="W19" i="14"/>
  <c r="W23" i="14"/>
  <c r="W33" i="14"/>
  <c r="W46" i="14"/>
  <c r="W49" i="14"/>
  <c r="W36" i="14"/>
  <c r="W12" i="14"/>
  <c r="W30" i="14"/>
  <c r="W58" i="14"/>
  <c r="W26" i="14"/>
  <c r="W35" i="14"/>
  <c r="W8" i="14"/>
  <c r="W11" i="14"/>
  <c r="W37" i="14"/>
  <c r="W31" i="14"/>
  <c r="W41" i="14"/>
  <c r="W54" i="14"/>
  <c r="W40" i="14"/>
  <c r="W56" i="14"/>
  <c r="W17" i="14"/>
  <c r="W16" i="14"/>
  <c r="W53" i="14"/>
  <c r="W42" i="14"/>
  <c r="W10" i="14"/>
  <c r="W61" i="14"/>
  <c r="V24" i="14"/>
  <c r="V62" i="14"/>
  <c r="V32" i="14"/>
  <c r="V50" i="14"/>
  <c r="V60" i="14"/>
  <c r="V14" i="14"/>
  <c r="V27" i="14"/>
  <c r="V43" i="14"/>
  <c r="V51" i="14"/>
  <c r="V39" i="14"/>
  <c r="V15" i="14"/>
  <c r="V22" i="14"/>
  <c r="V20" i="14"/>
  <c r="V38" i="14"/>
  <c r="V63" i="14"/>
  <c r="V21" i="14"/>
  <c r="V18" i="14"/>
  <c r="V44" i="14"/>
  <c r="V47" i="14"/>
  <c r="V25" i="14"/>
  <c r="V48" i="14"/>
  <c r="V34" i="14"/>
  <c r="V13" i="14"/>
  <c r="V19" i="14"/>
  <c r="V23" i="14"/>
  <c r="V33" i="14"/>
  <c r="V46" i="14"/>
  <c r="V49" i="14"/>
  <c r="V36" i="14"/>
  <c r="V12" i="14"/>
  <c r="V30" i="14"/>
  <c r="V58" i="14"/>
  <c r="V26" i="14"/>
  <c r="V35" i="14"/>
  <c r="V8" i="14"/>
  <c r="V11" i="14"/>
  <c r="V37" i="14"/>
  <c r="V31" i="14"/>
  <c r="V41" i="14"/>
  <c r="V54" i="14"/>
  <c r="V40" i="14"/>
  <c r="V56" i="14"/>
  <c r="V17" i="14"/>
  <c r="V16" i="14"/>
  <c r="V53" i="14"/>
  <c r="V42" i="14"/>
  <c r="V10" i="14"/>
  <c r="V61" i="14"/>
  <c r="K41" i="1"/>
  <c r="K42" i="1"/>
  <c r="B70" i="18"/>
  <c r="B43" i="18"/>
  <c r="B47" i="18"/>
  <c r="L24" i="14"/>
  <c r="T24" i="14"/>
  <c r="M24" i="14"/>
  <c r="R20" i="14"/>
  <c r="O20" i="14"/>
  <c r="Q20" i="14"/>
  <c r="J97" i="18"/>
  <c r="T23" i="14"/>
  <c r="M23" i="14"/>
  <c r="C25" i="18"/>
  <c r="T37" i="14"/>
  <c r="S37" i="14"/>
  <c r="K62" i="14"/>
  <c r="U62" i="14"/>
  <c r="Q62" i="14"/>
  <c r="Q38" i="14"/>
  <c r="L38" i="14"/>
  <c r="K33" i="14"/>
  <c r="S33" i="14"/>
  <c r="N33" i="14"/>
  <c r="O31" i="14"/>
  <c r="R31" i="14"/>
  <c r="M31" i="14"/>
  <c r="T32" i="14"/>
  <c r="R32" i="14"/>
  <c r="M32" i="14"/>
  <c r="R63" i="14"/>
  <c r="S63" i="14"/>
  <c r="K63" i="14"/>
  <c r="P46" i="14"/>
  <c r="Q46" i="14"/>
  <c r="T46" i="14"/>
  <c r="N41" i="14"/>
  <c r="R41" i="14"/>
  <c r="U41" i="14"/>
  <c r="U50" i="14"/>
  <c r="P50" i="14"/>
  <c r="Q21" i="14"/>
  <c r="N21" i="14"/>
  <c r="M21" i="14"/>
  <c r="L49" i="14"/>
  <c r="Q49" i="14"/>
  <c r="M49" i="14"/>
  <c r="N54" i="14"/>
  <c r="T54" i="14"/>
  <c r="U54" i="14"/>
  <c r="M60" i="14"/>
  <c r="K60" i="14"/>
  <c r="R18" i="14"/>
  <c r="Q18" i="14"/>
  <c r="K36" i="14"/>
  <c r="Q36" i="14"/>
  <c r="N36" i="14"/>
  <c r="S40" i="14"/>
  <c r="Q40" i="14"/>
  <c r="N40" i="14"/>
  <c r="T14" i="14"/>
  <c r="K14" i="14"/>
  <c r="S44" i="14"/>
  <c r="T44" i="14"/>
  <c r="R44" i="14"/>
  <c r="C46" i="18"/>
  <c r="T12" i="14"/>
  <c r="R12" i="14"/>
  <c r="Q12" i="14"/>
  <c r="Q56" i="14"/>
  <c r="M56" i="14"/>
  <c r="O56" i="14"/>
  <c r="P27" i="14"/>
  <c r="R27" i="14"/>
  <c r="L27" i="14"/>
  <c r="T47" i="14"/>
  <c r="O47" i="14"/>
  <c r="R47" i="14"/>
  <c r="R30" i="14"/>
  <c r="L30" i="14"/>
  <c r="P30" i="14"/>
  <c r="Q17" i="14"/>
  <c r="N17" i="14"/>
  <c r="P17" i="14"/>
  <c r="M43" i="14"/>
  <c r="U43" i="14"/>
  <c r="Q43" i="14"/>
  <c r="S25" i="14"/>
  <c r="K25" i="14"/>
  <c r="L25" i="14"/>
  <c r="P58" i="14"/>
  <c r="R58" i="14"/>
  <c r="T58" i="14"/>
  <c r="N16" i="14"/>
  <c r="R16" i="14"/>
  <c r="Q51" i="14"/>
  <c r="U51" i="14"/>
  <c r="T51" i="14"/>
  <c r="M48" i="14"/>
  <c r="P48" i="14"/>
  <c r="N48" i="14"/>
  <c r="C71" i="18"/>
  <c r="O26" i="14"/>
  <c r="M26" i="14"/>
  <c r="R53" i="14"/>
  <c r="P53" i="14"/>
  <c r="O39" i="14"/>
  <c r="R39" i="14"/>
  <c r="L39" i="14"/>
  <c r="N34" i="14"/>
  <c r="Q34" i="14"/>
  <c r="T34" i="14"/>
  <c r="U35" i="14"/>
  <c r="O35" i="14"/>
  <c r="K35" i="14"/>
  <c r="N42" i="14"/>
  <c r="L42" i="14"/>
  <c r="R15" i="14"/>
  <c r="M15" i="14"/>
  <c r="O13" i="14"/>
  <c r="U13" i="14"/>
  <c r="Q13" i="14"/>
  <c r="U8" i="14"/>
  <c r="L8" i="14"/>
  <c r="N8" i="14"/>
  <c r="T10" i="14"/>
  <c r="U10" i="14"/>
  <c r="R10" i="14"/>
  <c r="N22" i="14"/>
  <c r="M22" i="14"/>
  <c r="P22" i="14"/>
  <c r="K19" i="14"/>
  <c r="U19" i="14"/>
  <c r="O19" i="14"/>
  <c r="U11" i="14"/>
  <c r="Q11" i="14"/>
  <c r="S11" i="14"/>
  <c r="L61" i="14"/>
  <c r="N10" i="14"/>
  <c r="P19" i="14"/>
  <c r="T19" i="14"/>
  <c r="L11" i="14"/>
  <c r="N11" i="14"/>
  <c r="B51" i="18"/>
  <c r="B56" i="18"/>
  <c r="BC46" i="18"/>
  <c r="I81" i="18"/>
  <c r="N24" i="14"/>
  <c r="K24" i="14"/>
  <c r="U24" i="14"/>
  <c r="S20" i="14"/>
  <c r="K20" i="14"/>
  <c r="AF85" i="18"/>
  <c r="N23" i="14"/>
  <c r="Q23" i="14"/>
  <c r="S23" i="14"/>
  <c r="Q37" i="14"/>
  <c r="K37" i="14"/>
  <c r="L37" i="14"/>
  <c r="S62" i="14"/>
  <c r="N62" i="14"/>
  <c r="R38" i="14"/>
  <c r="M38" i="14"/>
  <c r="U38" i="14"/>
  <c r="BF53" i="18"/>
  <c r="Q33" i="14"/>
  <c r="U33" i="14"/>
  <c r="L33" i="14"/>
  <c r="O83" i="18"/>
  <c r="K31" i="14"/>
  <c r="L31" i="14"/>
  <c r="U31" i="14"/>
  <c r="Q32" i="14"/>
  <c r="O32" i="14"/>
  <c r="N32" i="14"/>
  <c r="N63" i="14"/>
  <c r="U63" i="14"/>
  <c r="M63" i="14"/>
  <c r="L46" i="14"/>
  <c r="R46" i="14"/>
  <c r="M46" i="14"/>
  <c r="T41" i="14"/>
  <c r="O41" i="14"/>
  <c r="P41" i="14"/>
  <c r="Q50" i="14"/>
  <c r="S50" i="14"/>
  <c r="O50" i="14"/>
  <c r="O21" i="14"/>
  <c r="U21" i="14"/>
  <c r="R21" i="14"/>
  <c r="T49" i="14"/>
  <c r="R49" i="14"/>
  <c r="L54" i="14"/>
  <c r="O54" i="14"/>
  <c r="K54" i="14"/>
  <c r="R60" i="14"/>
  <c r="N60" i="14"/>
  <c r="P60" i="14"/>
  <c r="L18" i="14"/>
  <c r="O18" i="14"/>
  <c r="M18" i="14"/>
  <c r="R36" i="14"/>
  <c r="T36" i="14"/>
  <c r="O40" i="14"/>
  <c r="R40" i="14"/>
  <c r="K40" i="14"/>
  <c r="S14" i="14"/>
  <c r="P14" i="14"/>
  <c r="O14" i="14"/>
  <c r="N44" i="14"/>
  <c r="U44" i="14"/>
  <c r="K44" i="14"/>
  <c r="O12" i="14"/>
  <c r="U12" i="14"/>
  <c r="L12" i="14"/>
  <c r="U56" i="14"/>
  <c r="S56" i="14"/>
  <c r="P56" i="14"/>
  <c r="S27" i="14"/>
  <c r="M27" i="14"/>
  <c r="N27" i="14"/>
  <c r="K47" i="14"/>
  <c r="L47" i="14"/>
  <c r="O30" i="14"/>
  <c r="K30" i="14"/>
  <c r="T30" i="14"/>
  <c r="R17" i="14"/>
  <c r="S17" i="14"/>
  <c r="T17" i="14"/>
  <c r="S43" i="14"/>
  <c r="T43" i="14"/>
  <c r="O43" i="14"/>
  <c r="N25" i="14"/>
  <c r="P25" i="14"/>
  <c r="Q25" i="14"/>
  <c r="S58" i="14"/>
  <c r="Q58" i="14"/>
  <c r="K16" i="14"/>
  <c r="U16" i="14"/>
  <c r="T16" i="14"/>
  <c r="P51" i="14"/>
  <c r="N51" i="14"/>
  <c r="R51" i="14"/>
  <c r="T48" i="14"/>
  <c r="U48" i="14"/>
  <c r="P26" i="14"/>
  <c r="S26" i="14"/>
  <c r="K26" i="14"/>
  <c r="Q53" i="14"/>
  <c r="K53" i="14"/>
  <c r="L53" i="14"/>
  <c r="S39" i="14"/>
  <c r="P39" i="14"/>
  <c r="K39" i="14"/>
  <c r="L34" i="14"/>
  <c r="S34" i="14"/>
  <c r="O34" i="14"/>
  <c r="R35" i="14"/>
  <c r="S35" i="14"/>
  <c r="R42" i="14"/>
  <c r="M42" i="14"/>
  <c r="P42" i="14"/>
  <c r="T15" i="14"/>
  <c r="N15" i="14"/>
  <c r="P15" i="14"/>
  <c r="T13" i="14"/>
  <c r="S13" i="14"/>
  <c r="P8" i="14"/>
  <c r="R8" i="14"/>
  <c r="O8" i="14"/>
  <c r="K10" i="14"/>
  <c r="U22" i="14"/>
  <c r="S22" i="14"/>
  <c r="B96" i="18"/>
  <c r="B60" i="18"/>
  <c r="AX69" i="18"/>
  <c r="P24" i="14"/>
  <c r="O24" i="14"/>
  <c r="M20" i="14"/>
  <c r="T20" i="14"/>
  <c r="N20" i="14"/>
  <c r="P23" i="14"/>
  <c r="O23" i="14"/>
  <c r="K23" i="14"/>
  <c r="R37" i="14"/>
  <c r="N37" i="14"/>
  <c r="P37" i="14"/>
  <c r="L62" i="14"/>
  <c r="T62" i="14"/>
  <c r="R62" i="14"/>
  <c r="P38" i="14"/>
  <c r="K38" i="14"/>
  <c r="T38" i="14"/>
  <c r="R33" i="14"/>
  <c r="M33" i="14"/>
  <c r="C67" i="18"/>
  <c r="P31" i="14"/>
  <c r="T31" i="14"/>
  <c r="S32" i="14"/>
  <c r="P32" i="14"/>
  <c r="K32" i="14"/>
  <c r="Q63" i="14"/>
  <c r="T63" i="14"/>
  <c r="P63" i="14"/>
  <c r="S46" i="14"/>
  <c r="N46" i="14"/>
  <c r="O46" i="14"/>
  <c r="K41" i="14"/>
  <c r="S41" i="14"/>
  <c r="Q41" i="14"/>
  <c r="R50" i="14"/>
  <c r="N50" i="14"/>
  <c r="K50" i="14"/>
  <c r="L21" i="14"/>
  <c r="S21" i="14"/>
  <c r="K21" i="14"/>
  <c r="O49" i="14"/>
  <c r="K49" i="14"/>
  <c r="N49" i="14"/>
  <c r="S54" i="14"/>
  <c r="R54" i="14"/>
  <c r="Q60" i="14"/>
  <c r="S60" i="14"/>
  <c r="O60" i="14"/>
  <c r="N18" i="14"/>
  <c r="K18" i="14"/>
  <c r="P18" i="14"/>
  <c r="O36" i="14"/>
  <c r="S36" i="14"/>
  <c r="M36" i="14"/>
  <c r="P40" i="14"/>
  <c r="L40" i="14"/>
  <c r="L14" i="14"/>
  <c r="U14" i="14"/>
  <c r="N14" i="14"/>
  <c r="L44" i="14"/>
  <c r="M44" i="14"/>
  <c r="P44" i="14"/>
  <c r="P12" i="14"/>
  <c r="S12" i="14"/>
  <c r="R56" i="14"/>
  <c r="L56" i="14"/>
  <c r="T56" i="14"/>
  <c r="U27" i="14"/>
  <c r="O27" i="14"/>
  <c r="T27" i="14"/>
  <c r="P47" i="14"/>
  <c r="S47" i="14"/>
  <c r="Q47" i="14"/>
  <c r="Q30" i="14"/>
  <c r="M30" i="14"/>
  <c r="M17" i="14"/>
  <c r="U17" i="14"/>
  <c r="N43" i="14"/>
  <c r="K43" i="14"/>
  <c r="T25" i="14"/>
  <c r="M25" i="14"/>
  <c r="O25" i="14"/>
  <c r="M58" i="14"/>
  <c r="L58" i="14"/>
  <c r="N58" i="14"/>
  <c r="P16" i="14"/>
  <c r="Q16" i="14"/>
  <c r="M16" i="14"/>
  <c r="S51" i="14"/>
  <c r="M51" i="14"/>
  <c r="R48" i="14"/>
  <c r="L48" i="14"/>
  <c r="Q48" i="14"/>
  <c r="L26" i="14"/>
  <c r="Q26" i="14"/>
  <c r="U26" i="14"/>
  <c r="U53" i="14"/>
  <c r="M53" i="14"/>
  <c r="O53" i="14"/>
  <c r="Q39" i="14"/>
  <c r="U39" i="14"/>
  <c r="M39" i="14"/>
  <c r="M34" i="14"/>
  <c r="U34" i="14"/>
  <c r="M35" i="14"/>
  <c r="T35" i="14"/>
  <c r="L35" i="14"/>
  <c r="O42" i="14"/>
  <c r="T42" i="14"/>
  <c r="Q42" i="14"/>
  <c r="O15" i="14"/>
  <c r="L15" i="14"/>
  <c r="K15" i="14"/>
  <c r="R13" i="14"/>
  <c r="M13" i="14"/>
  <c r="K13" i="14"/>
  <c r="S8" i="14"/>
  <c r="M8" i="14"/>
  <c r="Q8" i="14"/>
  <c r="L10" i="14"/>
  <c r="Q10" i="14"/>
  <c r="K22" i="14"/>
  <c r="R22" i="14"/>
  <c r="Q22" i="14"/>
  <c r="N19" i="14"/>
  <c r="M19" i="14"/>
  <c r="Q19" i="14"/>
  <c r="K11" i="14"/>
  <c r="P11" i="14"/>
  <c r="T11" i="14"/>
  <c r="S61" i="14"/>
  <c r="O61" i="14"/>
  <c r="N61" i="14"/>
  <c r="B34" i="185"/>
  <c r="U61" i="14"/>
  <c r="Q61" i="14"/>
  <c r="S10" i="14"/>
  <c r="O11" i="14"/>
  <c r="B80" i="18"/>
  <c r="B76" i="18"/>
  <c r="B52" i="18"/>
  <c r="B72" i="18"/>
  <c r="I19" i="15"/>
  <c r="K6" i="14"/>
  <c r="S24" i="14"/>
  <c r="Q24" i="14"/>
  <c r="R24" i="14"/>
  <c r="L20" i="14"/>
  <c r="U20" i="14"/>
  <c r="P20" i="14"/>
  <c r="U23" i="14"/>
  <c r="L23" i="14"/>
  <c r="R23" i="14"/>
  <c r="O37" i="14"/>
  <c r="M37" i="14"/>
  <c r="U37" i="14"/>
  <c r="P62" i="14"/>
  <c r="O62" i="14"/>
  <c r="M62" i="14"/>
  <c r="N38" i="14"/>
  <c r="O38" i="14"/>
  <c r="S38" i="14"/>
  <c r="O33" i="14"/>
  <c r="P33" i="14"/>
  <c r="T33" i="14"/>
  <c r="C96" i="18"/>
  <c r="N31" i="14"/>
  <c r="S31" i="14"/>
  <c r="Q31" i="14"/>
  <c r="L32" i="14"/>
  <c r="U32" i="14"/>
  <c r="L63" i="14"/>
  <c r="O63" i="14"/>
  <c r="U46" i="14"/>
  <c r="K46" i="14"/>
  <c r="L41" i="14"/>
  <c r="M41" i="14"/>
  <c r="L50" i="14"/>
  <c r="M50" i="14"/>
  <c r="T50" i="14"/>
  <c r="P21" i="14"/>
  <c r="T21" i="14"/>
  <c r="S49" i="14"/>
  <c r="P49" i="14"/>
  <c r="U49" i="14"/>
  <c r="P54" i="14"/>
  <c r="M54" i="14"/>
  <c r="Q54" i="14"/>
  <c r="T60" i="14"/>
  <c r="U60" i="14"/>
  <c r="L60" i="14"/>
  <c r="S18" i="14"/>
  <c r="T18" i="14"/>
  <c r="U18" i="14"/>
  <c r="U36" i="14"/>
  <c r="P36" i="14"/>
  <c r="L36" i="14"/>
  <c r="M40" i="14"/>
  <c r="T40" i="14"/>
  <c r="U40" i="14"/>
  <c r="M14" i="14"/>
  <c r="Q14" i="14"/>
  <c r="R14" i="14"/>
  <c r="Q44" i="14"/>
  <c r="O44" i="14"/>
  <c r="K12" i="14"/>
  <c r="N12" i="14"/>
  <c r="M12" i="14"/>
  <c r="N56" i="14"/>
  <c r="K56" i="14"/>
  <c r="K27" i="14"/>
  <c r="Q27" i="14"/>
  <c r="N47" i="14"/>
  <c r="M47" i="14"/>
  <c r="U47" i="14"/>
  <c r="N30" i="14"/>
  <c r="S30" i="14"/>
  <c r="U30" i="14"/>
  <c r="K17" i="14"/>
  <c r="L17" i="14"/>
  <c r="O17" i="14"/>
  <c r="L43" i="14"/>
  <c r="P43" i="14"/>
  <c r="R43" i="14"/>
  <c r="U25" i="14"/>
  <c r="R25" i="14"/>
  <c r="U58" i="14"/>
  <c r="O58" i="14"/>
  <c r="K58" i="14"/>
  <c r="S16" i="14"/>
  <c r="O16" i="14"/>
  <c r="L16" i="14"/>
  <c r="K51" i="14"/>
  <c r="L51" i="14"/>
  <c r="O51" i="14"/>
  <c r="O48" i="14"/>
  <c r="K48" i="14"/>
  <c r="S48" i="14"/>
  <c r="R26" i="14"/>
  <c r="N26" i="14"/>
  <c r="T26" i="14"/>
  <c r="T53" i="14"/>
  <c r="N53" i="14"/>
  <c r="S53" i="14"/>
  <c r="N39" i="14"/>
  <c r="T39" i="14"/>
  <c r="R34" i="14"/>
  <c r="P34" i="14"/>
  <c r="K34" i="14"/>
  <c r="N35" i="14"/>
  <c r="Q35" i="14"/>
  <c r="P35" i="14"/>
  <c r="U42" i="14"/>
  <c r="K42" i="14"/>
  <c r="S42" i="14"/>
  <c r="S15" i="14"/>
  <c r="Q15" i="14"/>
  <c r="U15" i="14"/>
  <c r="L13" i="14"/>
  <c r="P13" i="14"/>
  <c r="N13" i="14"/>
  <c r="T8" i="14"/>
  <c r="K8" i="14"/>
  <c r="M10" i="14"/>
  <c r="O10" i="14"/>
  <c r="P10" i="14"/>
  <c r="L22" i="14"/>
  <c r="O22" i="14"/>
  <c r="T22" i="14"/>
  <c r="R19" i="14"/>
  <c r="S19" i="14"/>
  <c r="L19" i="14"/>
  <c r="R11" i="14"/>
  <c r="M11" i="14"/>
  <c r="R61" i="14"/>
  <c r="M61" i="14"/>
  <c r="K61" i="14"/>
  <c r="T61" i="14"/>
  <c r="P61" i="14"/>
  <c r="C34" i="18"/>
  <c r="A43" i="18"/>
  <c r="A42" i="18"/>
  <c r="B38" i="18"/>
  <c r="L3" i="223" l="1"/>
  <c r="D3" i="223"/>
  <c r="O12" i="223"/>
  <c r="M14" i="237"/>
  <c r="O3" i="237"/>
  <c r="N14" i="237"/>
  <c r="F14" i="237"/>
  <c r="I14" i="237"/>
  <c r="G14" i="237"/>
  <c r="O7" i="237"/>
  <c r="O9" i="223"/>
  <c r="M3" i="223"/>
  <c r="O8" i="237"/>
  <c r="O5" i="223"/>
  <c r="O10" i="237"/>
  <c r="O6" i="237"/>
  <c r="O11" i="223"/>
  <c r="K14" i="237"/>
  <c r="C3" i="223"/>
  <c r="D14" i="237"/>
  <c r="C14" i="237"/>
  <c r="O10" i="223"/>
  <c r="O12" i="237"/>
  <c r="K3" i="223"/>
  <c r="O8" i="223"/>
  <c r="G3" i="223"/>
  <c r="O4" i="223"/>
  <c r="L14" i="237"/>
  <c r="B3" i="223"/>
  <c r="O6" i="223"/>
  <c r="E3" i="223"/>
  <c r="H14" i="237"/>
  <c r="F3" i="223"/>
  <c r="H3" i="223"/>
  <c r="A44" i="18"/>
  <c r="I61" i="14"/>
  <c r="J61" i="14"/>
  <c r="I8" i="14"/>
  <c r="J8" i="14"/>
  <c r="I42" i="14"/>
  <c r="J42" i="14"/>
  <c r="I34" i="14"/>
  <c r="J34" i="14"/>
  <c r="I48" i="14"/>
  <c r="J48" i="14"/>
  <c r="I51" i="14"/>
  <c r="J51" i="14"/>
  <c r="J58" i="14"/>
  <c r="I58" i="14"/>
  <c r="J17" i="14"/>
  <c r="I17" i="14"/>
  <c r="I27" i="14"/>
  <c r="J27" i="14"/>
  <c r="I56" i="14"/>
  <c r="J56" i="14"/>
  <c r="I12" i="14"/>
  <c r="J12" i="14"/>
  <c r="J46" i="14"/>
  <c r="I46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1" i="14"/>
  <c r="J11" i="14"/>
  <c r="I22" i="14"/>
  <c r="J22" i="14"/>
  <c r="J13" i="14"/>
  <c r="I13" i="14"/>
  <c r="J15" i="14"/>
  <c r="I15" i="14"/>
  <c r="J43" i="14"/>
  <c r="I43" i="14"/>
  <c r="I18" i="14"/>
  <c r="J18" i="14"/>
  <c r="J49" i="14"/>
  <c r="I49" i="14"/>
  <c r="J21" i="14"/>
  <c r="I21" i="14"/>
  <c r="I50" i="14"/>
  <c r="J50" i="14"/>
  <c r="I41" i="14"/>
  <c r="J41" i="14"/>
  <c r="J32" i="14"/>
  <c r="I32" i="14"/>
  <c r="J38" i="14"/>
  <c r="I38" i="14"/>
  <c r="I23" i="14"/>
  <c r="J23" i="14"/>
  <c r="I10" i="14"/>
  <c r="J10" i="14"/>
  <c r="I39" i="14"/>
  <c r="J39" i="14"/>
  <c r="I53" i="14"/>
  <c r="J53" i="14"/>
  <c r="I26" i="14"/>
  <c r="J26" i="14"/>
  <c r="J16" i="14"/>
  <c r="I16" i="14"/>
  <c r="J30" i="14"/>
  <c r="I30" i="14"/>
  <c r="J47" i="14"/>
  <c r="I47" i="14"/>
  <c r="I44" i="14"/>
  <c r="J44" i="14"/>
  <c r="J40" i="14"/>
  <c r="I40" i="14"/>
  <c r="J54" i="14"/>
  <c r="I54" i="14"/>
  <c r="I31" i="14"/>
  <c r="J31" i="14"/>
  <c r="J37" i="14"/>
  <c r="I37" i="14"/>
  <c r="I20" i="14"/>
  <c r="J20" i="14"/>
  <c r="J24" i="14"/>
  <c r="I24" i="14"/>
  <c r="J19" i="14"/>
  <c r="I19" i="14"/>
  <c r="I35" i="14"/>
  <c r="J35" i="14"/>
  <c r="J25" i="14"/>
  <c r="I25" i="14"/>
  <c r="J14" i="14"/>
  <c r="I14" i="14"/>
  <c r="I36" i="14"/>
  <c r="J36" i="14"/>
  <c r="I60" i="14"/>
  <c r="J60" i="14"/>
  <c r="I63" i="14"/>
  <c r="J63" i="14"/>
  <c r="I33" i="14"/>
  <c r="J33" i="14"/>
  <c r="I62" i="14"/>
  <c r="J62" i="14"/>
  <c r="E14" i="237"/>
  <c r="O4" i="237"/>
  <c r="J3" i="223"/>
  <c r="O14" i="223"/>
  <c r="O3" i="223" s="1"/>
  <c r="O7" i="223"/>
  <c r="O9" i="237"/>
  <c r="O13" i="237"/>
  <c r="J14" i="237"/>
  <c r="A36" i="185"/>
  <c r="B34" i="18"/>
  <c r="B33" i="185"/>
  <c r="B35" i="185"/>
  <c r="O14" i="237" l="1"/>
  <c r="A37" i="185"/>
  <c r="B36" i="185"/>
  <c r="A38" i="185" l="1"/>
  <c r="B37" i="185"/>
  <c r="A39" i="185" l="1"/>
  <c r="A8" i="14"/>
  <c r="B38" i="185"/>
  <c r="A40" i="185" l="1"/>
  <c r="A53" i="14"/>
  <c r="H8" i="14"/>
  <c r="B39" i="185"/>
  <c r="A41" i="185" l="1"/>
  <c r="H53" i="14"/>
  <c r="B40" i="185"/>
  <c r="A42" i="185" l="1"/>
  <c r="A11" i="14"/>
  <c r="B41" i="185"/>
  <c r="A43" i="185" l="1"/>
  <c r="H11" i="14"/>
  <c r="B43" i="185"/>
  <c r="B42" i="185"/>
  <c r="A61" i="14" l="1"/>
  <c r="H61" i="14" l="1"/>
  <c r="A62" i="14" l="1"/>
  <c r="H62" i="14" l="1"/>
  <c r="A54" i="14" l="1"/>
  <c r="H54" i="14" l="1"/>
  <c r="A43" i="14" l="1"/>
  <c r="H43" i="14" l="1"/>
  <c r="A13" i="14" l="1"/>
  <c r="A14" i="14" s="1"/>
  <c r="H14" i="14" s="1"/>
  <c r="A38" i="14"/>
  <c r="A39" i="14" s="1"/>
  <c r="H39" i="14" l="1"/>
  <c r="A40" i="14"/>
  <c r="H40" i="14" s="1"/>
  <c r="H38" i="14"/>
  <c r="A30" i="14"/>
  <c r="A16" i="14"/>
  <c r="A44" i="14"/>
  <c r="A34" i="14"/>
  <c r="H13" i="14"/>
  <c r="A35" i="14" l="1"/>
  <c r="H16" i="14"/>
  <c r="A20" i="14"/>
  <c r="A21" i="14" s="1"/>
  <c r="H21" i="14" s="1"/>
  <c r="H30" i="14"/>
  <c r="H44" i="14"/>
  <c r="A46" i="14"/>
  <c r="A58" i="14"/>
  <c r="H35" i="14"/>
  <c r="A17" i="14"/>
  <c r="H34" i="14"/>
  <c r="H58" i="14" l="1"/>
  <c r="A59" i="14"/>
  <c r="H59" i="14" s="1"/>
  <c r="A23" i="14"/>
  <c r="A22" i="14"/>
  <c r="H22" i="14" s="1"/>
  <c r="A24" i="14"/>
  <c r="A36" i="14"/>
  <c r="A52" i="14"/>
  <c r="H52" i="14" s="1"/>
  <c r="H46" i="14"/>
  <c r="H20" i="14"/>
  <c r="A10" i="14"/>
  <c r="H23" i="14"/>
  <c r="A55" i="14"/>
  <c r="A41" i="14"/>
  <c r="H17" i="14"/>
  <c r="H24" i="14" l="1"/>
  <c r="A25" i="14"/>
  <c r="H36" i="14"/>
  <c r="A37" i="14"/>
  <c r="H37" i="14" s="1"/>
  <c r="H10" i="14"/>
  <c r="A15" i="14"/>
  <c r="H55" i="14"/>
  <c r="H41" i="14"/>
  <c r="A57" i="14"/>
  <c r="H57" i="14" s="1"/>
  <c r="A12" i="14"/>
  <c r="A18" i="14" s="1"/>
  <c r="H18" i="14" s="1"/>
  <c r="A26" i="14" l="1"/>
  <c r="H25" i="14"/>
  <c r="H15" i="14"/>
  <c r="A9" i="14"/>
  <c r="H9" i="14" s="1"/>
  <c r="H12" i="14"/>
  <c r="A31" i="14"/>
  <c r="H31" i="14" s="1"/>
  <c r="A45" i="14"/>
  <c r="H45" i="14" s="1"/>
  <c r="C41" i="14"/>
  <c r="C61" i="14"/>
  <c r="C49" i="14"/>
  <c r="C25" i="14"/>
  <c r="C18" i="14"/>
  <c r="C15" i="14"/>
  <c r="C35" i="14"/>
  <c r="C17" i="14"/>
  <c r="C10" i="14"/>
  <c r="C56" i="14"/>
  <c r="C28" i="14"/>
  <c r="C53" i="14"/>
  <c r="C14" i="14"/>
  <c r="C43" i="14"/>
  <c r="C23" i="14"/>
  <c r="C24" i="14"/>
  <c r="C52" i="14"/>
  <c r="C60" i="14"/>
  <c r="C37" i="14"/>
  <c r="C13" i="14"/>
  <c r="C27" i="14"/>
  <c r="C32" i="14"/>
  <c r="C62" i="14"/>
  <c r="C46" i="14"/>
  <c r="C39" i="14"/>
  <c r="C38" i="14"/>
  <c r="C26" i="14"/>
  <c r="C21" i="14"/>
  <c r="C29" i="14"/>
  <c r="C30" i="14"/>
  <c r="C33" i="14"/>
  <c r="C12" i="14"/>
  <c r="C58" i="14"/>
  <c r="C44" i="14"/>
  <c r="C20" i="14"/>
  <c r="C55" i="14"/>
  <c r="C45" i="14"/>
  <c r="C16" i="14"/>
  <c r="C42" i="14"/>
  <c r="C34" i="14"/>
  <c r="C50" i="14"/>
  <c r="C9" i="14"/>
  <c r="C59" i="14"/>
  <c r="C22" i="14"/>
  <c r="C57" i="14"/>
  <c r="C31" i="14"/>
  <c r="C8" i="14"/>
  <c r="C36" i="14"/>
  <c r="C51" i="14"/>
  <c r="C48" i="14"/>
  <c r="C63" i="14"/>
  <c r="C54" i="14"/>
  <c r="C19" i="14"/>
  <c r="C40" i="14"/>
  <c r="C11" i="14"/>
  <c r="C47" i="14"/>
  <c r="H26" i="14" l="1"/>
  <c r="A27" i="14"/>
  <c r="A28" i="14" l="1"/>
  <c r="H27" i="14"/>
  <c r="H28" i="14" l="1"/>
  <c r="A29" i="14"/>
  <c r="H29" i="14" s="1"/>
  <c r="A47" i="14"/>
  <c r="A48" i="14"/>
  <c r="A49" i="14"/>
  <c r="A50" i="14"/>
  <c r="A51" i="14"/>
  <c r="H51" i="14"/>
  <c r="H50" i="14"/>
  <c r="H48" i="14"/>
  <c r="H49" i="14"/>
  <c r="H47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9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<sst xmlns="http://schemas.openxmlformats.org/spreadsheetml/2006/main" count="7975" uniqueCount="322">
  <si>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</si>
  <si>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</si>
  <si>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</si>
  <si>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</si>
  <si>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</si>
  <si>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</si>
  <si>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</si>
  <si>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</si>
  <si>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</si>
  <si>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</si>
  <si>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</si>
  <si>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</si>
  <si>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</si>
  <si>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</si>
  <si>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</si>
  <si>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</si>
  <si>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</si>
  <si>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</si>
  <si>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</si>
  <si>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</si>
  <si>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</si>
  <si>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</si>
  <si>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</si>
  <si>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</si>
  <si>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</si>
  <si>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</si>
  <si>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</si>
  <si>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</si>
  <si>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</si>
  <si>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</si>
  <si>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</si>
  <si>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</si>
  <si>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</si>
  <si>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</si>
  <si>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</si>
  <si>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</si>
  <si>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</si>
  <si>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</si>
  <si>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</si>
  <si>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</si>
  <si>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</si>
  <si>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</si>
  <si>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</si>
  <si>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</si>
  <si>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</si>
  <si>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</si>
  <si>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</si>
  <si>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</si>
  <si>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</si>
  <si>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</si>
  <si>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</si>
  <si>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</si>
  <si>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</si>
  <si>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</si>
  <si>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</si>
  <si>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</si>
  <si>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</si>
  <si>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</si>
  <si>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</si>
  <si>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</si>
  <si>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</si>
  <si>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</si>
  <si>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</si>
  <si>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</si>
  <si>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</si>
  <si>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</si>
  <si>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</si>
  <si>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</si>
  <si>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</si>
  <si>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</si>
  <si>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</si>
  <si>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</si>
  <si>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</si>
  <si>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</si>
  <si>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</si>
  <si>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</si>
  <si>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</si>
  <si>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</si>
  <si>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</si>
  <si>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</si>
  <si>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</si>
  <si>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</si>
  <si>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</si>
  <si>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</si>
  <si>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</si>
  <si>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</si>
  <si>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</si>
  <si>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</si>
  <si>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</si>
  <si>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</si>
  <si>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</si>
  <si>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</si>
  <si>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</si>
  <si>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</si>
  <si>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</si>
  <si>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</si>
  <si>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</si>
  <si>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</si>
  <si>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</si>
  <si>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</si>
  <si>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</si>
  <si>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</si>
  <si>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</si>
  <si>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</si>
  <si>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</si>
  <si>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</si>
  <si>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</si>
  <si>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</si>
  <si>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</si>
  <si>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</si>
  <si>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</si>
  <si>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</si>
  <si>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</si>
  <si>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</si>
  <si>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</si>
  <si>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</si>
  <si>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</si>
  <si>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</si>
  <si>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</si>
  <si>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</si>
  <si>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</si>
  <si>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</si>
  <si>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</si>
  <si>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</si>
  <si>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</si>
  <si>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</si>
  <si>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</si>
  <si>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</si>
  <si>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</si>
  <si>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</si>
  <si>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</si>
  <si>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</si>
  <si>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</si>
  <si>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</si>
  <si>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</si>
  <si>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</si>
  <si>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</si>
  <si>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</si>
  <si>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</si>
  <si>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</si>
  <si>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</si>
  <si>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</si>
  <si>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</si>
  <si>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</si>
  <si>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</si>
  <si>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</si>
  <si>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</si>
  <si>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</si>
  <si>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</si>
  <si>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</si>
  <si>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</si>
  <si>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</si>
  <si>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</si>
  <si>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</si>
  <si>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</si>
  <si>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</si>
  <si>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</si>
  <si>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</si>
  <si>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</si>
  <si>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</si>
  <si>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</si>
  <si>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</si>
  <si>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</si>
  <si>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</si>
  <si>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</si>
  <si>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</si>
  <si>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</si>
  <si>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</si>
  <si>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</si>
  <si>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</si>
  <si>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</si>
  <si>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</si>
  <si>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</si>
  <si>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</si>
  <si>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</si>
  <si>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</si>
  <si>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</si>
  <si>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</si>
  <si>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</si>
  <si>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</si>
  <si>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</si>
  <si>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</si>
  <si>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</si>
  <si>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</si>
  <si>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</si>
  <si>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</si>
  <si>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</si>
  <si>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</si>
  <si>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</si>
  <si>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</si>
  <si>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</si>
  <si>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</si>
  <si>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</si>
  <si>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</si>
  <si>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</si>
  <si>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</si>
  <si>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</si>
  <si>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</si>
  <si>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</si>
  <si>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</si>
  <si>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</si>
  <si>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</si>
  <si>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</si>
  <si>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</si>
  <si>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</si>
  <si>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</si>
  <si>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</si>
  <si>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</si>
  <si>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</si>
  <si>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</si>
  <si>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</si>
  <si>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</si>
  <si>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</si>
  <si>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</si>
  <si>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</si>
  <si>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</si>
  <si>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</si>
  <si>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</si>
  <si>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</si>
  <si>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</si>
  <si>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</si>
  <si>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</si>
  <si>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</si>
  <si>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</si>
  <si>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</si>
  <si>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</si>
  <si>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</si>
  <si>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</si>
  <si>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</si>
  <si>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</si>
  <si>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</si>
  <si>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</si>
  <si>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</si>
  <si>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</si>
  <si>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</si>
  <si>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</si>
  <si>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</si>
  <si>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</si>
  <si>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</si>
  <si>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</si>
  <si>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</si>
  <si>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</si>
  <si>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</si>
  <si>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</si>
  <si>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</si>
  <si>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</si>
  <si>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</si>
  <si>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</si>
  <si>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</si>
  <si>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</si>
  <si>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</si>
  <si>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</si>
  <si>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</si>
  <si>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</si>
  <si>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</si>
  <si>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</si>
  <si>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</si>
  <si>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</si>
  <si>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</si>
  <si>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</si>
  <si>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</si>
  <si>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</si>
  <si>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</si>
  <si>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</si>
  <si>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</si>
  <si>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</si>
  <si>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</si>
  <si>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</si>
  <si>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</si>
  <si>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</si>
  <si>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</si>
  <si>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</si>
  <si>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</si>
  <si>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</si>
  <si>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</si>
  <si>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</si>
  <si>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</si>
  <si>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</si>
  <si>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</si>
  <si>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</si>
  <si>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</si>
  <si>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</si>
  <si>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</si>
  <si>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</si>
  <si>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</si>
  <si>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</si>
  <si>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</si>
  <si>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</si>
  <si>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</si>
  <si>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</si>
  <si>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</si>
  <si>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</si>
  <si>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</si>
  <si>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</si>
  <si>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</si>
  <si>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</si>
  <si>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</si>
  <si>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</si>
  <si>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</si>
  <si>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</si>
  <si>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</si>
  <si>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</si>
  <si>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</si>
  <si>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</si>
  <si>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</si>
  <si>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</si>
  <si>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</si>
  <si>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</si>
  <si>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</si>
  <si>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</si>
  <si>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</si>
  <si>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</si>
  <si>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</si>
  <si>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Boykin, Jerome W</t>
  </si>
  <si>
    <t>Drebin, James</t>
  </si>
  <si>
    <t>Staub, Ryan</t>
  </si>
  <si>
    <t>Warren, Jason</t>
  </si>
  <si>
    <t>Holden, Brent</t>
  </si>
  <si>
    <t>Nance, Rob</t>
  </si>
  <si>
    <t>Neeley, Michael</t>
  </si>
  <si>
    <t>Nguyen, Thai</t>
  </si>
  <si>
    <t>James, Larry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</si>
</sst>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0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5.5</c:v>
                </c:pt>
                <c:pt idx="9">
                  <c:v>3.5</c:v>
                </c:pt>
                <c:pt idx="10">
                  <c:v>5</c:v>
                </c:pt>
                <c:pt idx="11">
                  <c:v>5</c:v>
                </c:pt>
                <c:pt idx="12">
                  <c:v>7</c:v>
                </c:pt>
                <c:pt idx="13">
                  <c:v>6.5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-8</c:v>
                </c:pt>
                <c:pt idx="9">
                  <c:v>-11</c:v>
                </c:pt>
                <c:pt idx="10">
                  <c:v>-10</c:v>
                </c:pt>
                <c:pt idx="11">
                  <c:v>-12</c:v>
                </c:pt>
                <c:pt idx="12">
                  <c:v>-12</c:v>
                </c:pt>
                <c:pt idx="13">
                  <c:v>-17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7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-16</c:v>
                </c:pt>
                <c:pt idx="9">
                  <c:v>-21</c:v>
                </c:pt>
                <c:pt idx="10">
                  <c:v>-20</c:v>
                </c:pt>
                <c:pt idx="11">
                  <c:v>-21</c:v>
                </c:pt>
                <c:pt idx="12">
                  <c:v>-21</c:v>
                </c:pt>
                <c:pt idx="13">
                  <c:v>-24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-3</c:v>
                </c:pt>
                <c:pt idx="9">
                  <c:v>-5</c:v>
                </c:pt>
                <c:pt idx="10">
                  <c:v>-2</c:v>
                </c:pt>
                <c:pt idx="11">
                  <c:v>0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-4</c:v>
                </c:pt>
                <c:pt idx="12">
                  <c:v>-3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-10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-2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-4</c:v>
                </c:pt>
                <c:pt idx="10">
                  <c:v>-5</c:v>
                </c:pt>
                <c:pt idx="11">
                  <c:v>-7</c:v>
                </c:pt>
                <c:pt idx="12">
                  <c:v>-6</c:v>
                </c:pt>
                <c:pt idx="13">
                  <c:v>-11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</c:v>
                </c:pt>
                <c:pt idx="10">
                  <c:v>-3</c:v>
                </c:pt>
                <c:pt idx="11">
                  <c:v>-4</c:v>
                </c:pt>
                <c:pt idx="12">
                  <c:v>-5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-2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-11</c:v>
                </c:pt>
                <c:pt idx="10">
                  <c:v>-16</c:v>
                </c:pt>
                <c:pt idx="11">
                  <c:v>-18</c:v>
                </c:pt>
                <c:pt idx="12">
                  <c:v>-20</c:v>
                </c:pt>
                <c:pt idx="13">
                  <c:v>-21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-8</c:v>
                </c:pt>
                <c:pt idx="10">
                  <c:v>-6</c:v>
                </c:pt>
                <c:pt idx="11">
                  <c:v>-10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-1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-9</c:v>
                </c:pt>
                <c:pt idx="10">
                  <c:v>-14</c:v>
                </c:pt>
                <c:pt idx="11">
                  <c:v>-19</c:v>
                </c:pt>
                <c:pt idx="12">
                  <c:v>-24</c:v>
                </c:pt>
                <c:pt idx="13">
                  <c:v>-22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7</c:v>
                </c:pt>
                <c:pt idx="13">
                  <c:v>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-3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-6</c:v>
                </c:pt>
                <c:pt idx="10">
                  <c:v>-3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  <c:pt idx="10">
                  <c:v>9</c:v>
                </c:pt>
                <c:pt idx="11">
                  <c:v>7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-4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-5</c:v>
                </c:pt>
                <c:pt idx="11">
                  <c:v>-5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-1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7</c:v>
                </c:pt>
                <c:pt idx="13">
                  <c:v>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-10</c:v>
                </c:pt>
                <c:pt idx="11">
                  <c:v>-8</c:v>
                </c:pt>
                <c:pt idx="12">
                  <c:v>-10</c:v>
                </c:pt>
                <c:pt idx="13">
                  <c:v>-11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-5</c:v>
                </c:pt>
                <c:pt idx="11">
                  <c:v>-8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56944"/>
        <c:axId val="404850672"/>
      </c:lineChart>
      <c:catAx>
        <c:axId val="4048569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06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0485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694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4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17</c:v>
                </c:pt>
                <c:pt idx="5">
                  <c:v>8</c:v>
                </c:pt>
                <c:pt idx="6">
                  <c:v>6</c:v>
                </c:pt>
                <c:pt idx="7">
                  <c:v>9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856160"/>
        <c:axId val="404856552"/>
      </c:barChart>
      <c:catAx>
        <c:axId val="404856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8565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616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41</c:v>
                </c:pt>
                <c:pt idx="1">
                  <c:v>44.4</c:v>
                </c:pt>
                <c:pt idx="2">
                  <c:v>47.8</c:v>
                </c:pt>
                <c:pt idx="3">
                  <c:v>51.199999999999996</c:v>
                </c:pt>
                <c:pt idx="4">
                  <c:v>54.599999999999994</c:v>
                </c:pt>
                <c:pt idx="5">
                  <c:v>57.999999999999993</c:v>
                </c:pt>
                <c:pt idx="6">
                  <c:v>61.399999999999991</c:v>
                </c:pt>
                <c:pt idx="7">
                  <c:v>64.8</c:v>
                </c:pt>
                <c:pt idx="8">
                  <c:v>68.2</c:v>
                </c:pt>
                <c:pt idx="9">
                  <c:v>71.600000000000009</c:v>
                </c:pt>
                <c:pt idx="10">
                  <c:v>75.000000000000014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1</c:v>
                </c:pt>
                <c:pt idx="6">
                  <c:v>10</c:v>
                </c:pt>
                <c:pt idx="7">
                  <c:v>10</c:v>
                </c:pt>
                <c:pt idx="8">
                  <c:v>13</c:v>
                </c:pt>
                <c:pt idx="9">
                  <c:v>9</c:v>
                </c:pt>
                <c:pt idx="1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857728"/>
        <c:axId val="404851064"/>
      </c:barChart>
      <c:catAx>
        <c:axId val="404857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851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8577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="" xmlns:a16="http://schemas.microsoft.com/office/drawing/2014/main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="" xmlns:a16="http://schemas.microsoft.com/office/drawing/2014/main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="" xmlns:a16="http://schemas.microsoft.com/office/drawing/2014/main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="" xmlns:a16="http://schemas.microsoft.com/office/drawing/2014/main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="" xmlns:a16="http://schemas.microsoft.com/office/drawing/2014/main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="" xmlns:a16="http://schemas.microsoft.com/office/drawing/2014/main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="" xmlns:a16="http://schemas.microsoft.com/office/drawing/2014/main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="" xmlns:a16="http://schemas.microsoft.com/office/drawing/2014/main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="" xmlns:a16="http://schemas.microsoft.com/office/drawing/2014/main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="" xmlns:a16="http://schemas.microsoft.com/office/drawing/2014/main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="" xmlns:a16="http://schemas.microsoft.com/office/drawing/2014/main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="" xmlns:a16="http://schemas.microsoft.com/office/drawing/2014/main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="" xmlns:a16="http://schemas.microsoft.com/office/drawing/2014/main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="" xmlns:a16="http://schemas.microsoft.com/office/drawing/2014/main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="" xmlns:a16="http://schemas.microsoft.com/office/drawing/2014/main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="" xmlns:a16="http://schemas.microsoft.com/office/drawing/2014/main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="" xmlns:a16="http://schemas.microsoft.com/office/drawing/2014/main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="" xmlns:a16="http://schemas.microsoft.com/office/drawing/2014/main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="" xmlns:a16="http://schemas.microsoft.com/office/drawing/2014/main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="" xmlns:a16="http://schemas.microsoft.com/office/drawing/2014/main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="" xmlns:a16="http://schemas.microsoft.com/office/drawing/2014/main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="" xmlns:a16="http://schemas.microsoft.com/office/drawing/2014/main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="" xmlns:a16="http://schemas.microsoft.com/office/drawing/2014/main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="" xmlns:a16="http://schemas.microsoft.com/office/drawing/2014/main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="" xmlns:a16="http://schemas.microsoft.com/office/drawing/2014/main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="" xmlns:a16="http://schemas.microsoft.com/office/drawing/2014/main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="" xmlns:a16="http://schemas.microsoft.com/office/drawing/2014/main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="" xmlns:a16="http://schemas.microsoft.com/office/drawing/2014/main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="" xmlns:a16="http://schemas.microsoft.com/office/drawing/2014/main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="" xmlns:a16="http://schemas.microsoft.com/office/drawing/2014/main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="" xmlns:a16="http://schemas.microsoft.com/office/drawing/2014/main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="" xmlns:a16="http://schemas.microsoft.com/office/drawing/2014/main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="" xmlns:a16="http://schemas.microsoft.com/office/drawing/2014/main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="" xmlns:a16="http://schemas.microsoft.com/office/drawing/2014/main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="" xmlns:a16="http://schemas.microsoft.com/office/drawing/2014/main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="" xmlns:a16="http://schemas.microsoft.com/office/drawing/2014/main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="" xmlns:a16="http://schemas.microsoft.com/office/drawing/2014/main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="" xmlns:a16="http://schemas.microsoft.com/office/drawing/2014/main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="" xmlns:a16="http://schemas.microsoft.com/office/drawing/2014/main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="" xmlns:a16="http://schemas.microsoft.com/office/drawing/2014/main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="" xmlns:a16="http://schemas.microsoft.com/office/drawing/2014/main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="" xmlns:a16="http://schemas.microsoft.com/office/drawing/2014/main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="" xmlns:a16="http://schemas.microsoft.com/office/drawing/2014/main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="" xmlns:a16="http://schemas.microsoft.com/office/drawing/2014/main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tabSelected="1"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45</v>
      </c>
      <c r="F2" s="110">
        <f ca="1">AVERAGE(INDIRECT("R8C4:R"&amp;8+playercnt-1&amp;"C4",FALSE))</f>
        <v>63.5</v>
      </c>
      <c r="G2" s="111"/>
      <c r="I2" s="112">
        <f ca="1">SUM(INDIRECT("R8C4:R"&amp;8+playercnt-1&amp;"C4",FALSE))/((playercnt)*games_completed)</f>
        <v>0.48846153846153845</v>
      </c>
      <c r="J2" s="112"/>
      <c r="L2" s="113">
        <f ca="1">SUM(INDIRECT("R8C4:R"&amp;8+playercnt-1&amp;"C4",FALSE))-(playercnt*games_completed/2)</f>
        <v>-84</v>
      </c>
      <c r="M2" s="113"/>
      <c r="O2" s="28" t="s">
        <v>46</v>
      </c>
      <c r="R2">
        <f ca="1">MEDIAN(INDIRECT("R8C4:R"&amp;8+playercnt-1&amp;"C4",FALSE))</f>
        <v>65</v>
      </c>
      <c r="U2" s="28" t="s">
        <v>47</v>
      </c>
      <c r="W2">
        <f ca="1">MODE(INDIRECT("R8C4:R"&amp;8+playercnt-1&amp;"C4",FALSE))</f>
        <v>68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63</v>
      </c>
      <c r="E4" s="25">
        <f t="shared" ref="E4:E7" si="0">D4/games_completed</f>
        <v>0.48461538461538461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>
        <f t="shared" ca="1" si="3"/>
        <v>8</v>
      </c>
      <c r="T4" s="13">
        <f t="shared" ca="1" si="3"/>
        <v>6</v>
      </c>
      <c r="U4" s="13">
        <f t="shared" ca="1" si="3"/>
        <v>4</v>
      </c>
      <c r="V4" s="13">
        <f t="shared" ca="1" si="3"/>
        <v>2</v>
      </c>
      <c r="W4" s="13">
        <f t="shared" ca="1" si="3"/>
        <v>3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71</v>
      </c>
      <c r="E5" s="25">
        <f t="shared" si="0"/>
        <v>0.5461538461538461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>
        <f t="shared" ca="1" si="4"/>
        <v>3</v>
      </c>
      <c r="T5" s="13">
        <f t="shared" ca="1" si="4"/>
        <v>7</v>
      </c>
      <c r="U5" s="13">
        <f t="shared" ca="1" si="4"/>
        <v>5</v>
      </c>
      <c r="V5" s="13">
        <f t="shared" ca="1" si="4"/>
        <v>7</v>
      </c>
      <c r="W5" s="13">
        <f t="shared" ca="1" si="4"/>
        <v>4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71.5</v>
      </c>
      <c r="E6" s="25">
        <f t="shared" ca="1" si="0"/>
        <v>0.55000000000000004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>
        <f t="shared" ca="1" si="5"/>
        <v>6</v>
      </c>
      <c r="S6" s="13">
        <f t="shared" ca="1" si="5"/>
        <v>3</v>
      </c>
      <c r="T6" s="13">
        <f t="shared" ca="1" si="5"/>
        <v>6.5</v>
      </c>
      <c r="U6" s="13">
        <f t="shared" ca="1" si="5"/>
        <v>5</v>
      </c>
      <c r="V6" s="13">
        <f t="shared" ca="1" si="5"/>
        <v>7</v>
      </c>
      <c r="W6" s="13">
        <f t="shared" ca="1" si="5"/>
        <v>4.5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">
      <c r="A8" s="83">
        <f>IF(D8=D7,A7,Y8)</f>
        <v>1</v>
      </c>
      <c r="B8" s="39" t="str">
        <f ca="1">INDIRECT(ADDRESS(2,10+INDIRECT(ADDRESS(ROW(),24)),,,"Chart"))</f>
        <v>Holley, Jeremy Remote</v>
      </c>
      <c r="C8" s="40">
        <f ca="1">sumAcrossWkSheets(28,10,X8)</f>
        <v>0</v>
      </c>
      <c r="D8" s="40">
        <f>sumAcrossWkSheets(25,10,X8)</f>
        <v>75</v>
      </c>
      <c r="E8" s="41">
        <f>D8/games_completed</f>
        <v>0.57692307692307687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7</v>
      </c>
      <c r="J8" s="45">
        <f ca="1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6</v>
      </c>
      <c r="Q8" s="46">
        <f ca="1">IF($D$2&gt;=(COLUMN()-10),HLOOKUP($B8,INDIRECT(ADDRESS(2,11,1,,Q$3)):INDIRECT(ADDRESS(25,playercnt+10,1,,Q$3)),24),"")</f>
        <v>7</v>
      </c>
      <c r="R8" s="46">
        <f ca="1">IF($D$2&gt;=(COLUMN()-10),HLOOKUP($B8,INDIRECT(ADDRESS(2,11,1,,R$3)):INDIRECT(ADDRESS(25,playercnt+10,1,,R$3)),24),"")</f>
        <v>7</v>
      </c>
      <c r="S8" s="46">
        <f ca="1">IF($D$2&gt;=(COLUMN()-10),HLOOKUP($B8,INDIRECT(ADDRESS(2,11,1,,S$3)):INDIRECT(ADDRESS(25,playercnt+10,1,,S$3)),24),"")</f>
        <v>3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5</v>
      </c>
      <c r="V8" s="46">
        <f ca="1">IF($D$2&gt;=(COLUMN()-10),HLOOKUP($B8,INDIRECT(ADDRESS(2,11,1,,V$3)):INDIRECT(ADDRESS(25,playercnt+10,1,,V$3)),24),"")</f>
        <v>6</v>
      </c>
      <c r="W8" s="46">
        <f ca="1">IF($D$2&gt;=(COLUMN()-10),HLOOKUP($B8,INDIRECT(ADDRESS(2,11,1,,W$3)):INDIRECT(ADDRESS(25,playercnt+10,1,,W$3)),24),"")</f>
        <v>6</v>
      </c>
      <c r="X8" s="47">
        <v>20</v>
      </c>
      <c r="Y8" s="47">
        <f>Y7+1</f>
        <v>1</v>
      </c>
      <c r="AC8" s="24"/>
    </row>
    <row r="9" spans="1:29" x14ac:dyDescent="0.2">
      <c r="A9" s="83">
        <f>IF(D9=D8,A8,Y9)</f>
        <v>2</v>
      </c>
      <c r="B9" s="39" t="str">
        <f ca="1">INDIRECT(ADDRESS(2,10+INDIRECT(ADDRESS(ROW(),24)),,,"Chart"))</f>
        <v>Warren, Todd Remote</v>
      </c>
      <c r="C9" s="40">
        <f ca="1">sumAcrossWkSheets(28,10,X9)</f>
        <v>0</v>
      </c>
      <c r="D9" s="40">
        <f>sumAcrossWkSheets(25,10,X9)</f>
        <v>74</v>
      </c>
      <c r="E9" s="25">
        <f>D9/games_completed</f>
        <v>0.56923076923076921</v>
      </c>
      <c r="F9" s="11">
        <f>$D$8-D9</f>
        <v>1</v>
      </c>
      <c r="G9" s="16">
        <v>4</v>
      </c>
      <c r="H9" s="20">
        <f>G9-A9</f>
        <v>2</v>
      </c>
      <c r="I9" s="17">
        <f ca="1">MAX(K9:W9)</f>
        <v>8</v>
      </c>
      <c r="J9" s="17">
        <f ca="1">MIN(K9:W9)</f>
        <v>3</v>
      </c>
      <c r="K9" s="46">
        <f ca="1">IF($D$2&gt;=(COLUMN()-10),HLOOKUP($B9,INDIRECT(ADDRESS(2,11,1,,K$3)):INDIRECT(ADDRESS(25,playercnt+10,1,,K$3)),24),"")</f>
        <v>3</v>
      </c>
      <c r="L9" s="46">
        <f ca="1">IF($D$2&gt;=(COLUMN()-10),HLOOKUP($B9,INDIRECT(ADDRESS(2,11,1,,L$3)):INDIRECT(ADDRESS(25,playercnt+10,1,,L$3)),24),"")</f>
        <v>7</v>
      </c>
      <c r="M9" s="46">
        <f ca="1">IF($D$2&gt;=(COLUMN()-10),HLOOKUP($B9,INDIRECT(ADDRESS(2,11,1,,M$3)):INDIRECT(ADDRESS(25,playercnt+10,1,,M$3)),24),"")</f>
        <v>6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6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4</v>
      </c>
      <c r="V9" s="46">
        <f ca="1">IF($D$2&gt;=(COLUMN()-10),HLOOKUP($B9,INDIRECT(ADDRESS(2,11,1,,V$3)):INDIRECT(ADDRESS(25,playercnt+10,1,,V$3)),24),"")</f>
        <v>8</v>
      </c>
      <c r="W9" s="46">
        <f ca="1">IF($D$2&gt;=(COLUMN()-10),HLOOKUP($B9,INDIRECT(ADDRESS(2,11,1,,W$3)):INDIRECT(ADDRESS(25,playercnt+10,1,,W$3)),24),"")</f>
        <v>7</v>
      </c>
      <c r="X9" s="14">
        <v>52</v>
      </c>
      <c r="Y9" s="14">
        <f t="shared" ref="Y9:Y25" si="7">Y8+1</f>
        <v>2</v>
      </c>
    </row>
    <row r="10" spans="1:29" x14ac:dyDescent="0.2">
      <c r="A10" s="83">
        <f>IF(D10=D9,A9,Y10)</f>
        <v>3</v>
      </c>
      <c r="B10" s="39" t="str">
        <f ca="1">INDIRECT(ADDRESS(2,10+INDIRECT(ADDRESS(ROW(),24)),,,"Chart"))</f>
        <v>Neeley, Amber Remote</v>
      </c>
      <c r="C10" s="40">
        <f ca="1">sumAcrossWkSheets(28,10,X10)</f>
        <v>1</v>
      </c>
      <c r="D10" s="40">
        <f>sumAcrossWkSheets(25,10,X10)</f>
        <v>73</v>
      </c>
      <c r="E10" s="25">
        <f>D10/games_completed</f>
        <v>0.56153846153846154</v>
      </c>
      <c r="F10" s="11">
        <f>$D$8-D10</f>
        <v>2</v>
      </c>
      <c r="G10" s="43">
        <v>4</v>
      </c>
      <c r="H10" s="20">
        <f>G10-A10</f>
        <v>1</v>
      </c>
      <c r="I10" s="17">
        <f ca="1">MAX(K10:W10)</f>
        <v>8</v>
      </c>
      <c r="J10" s="17">
        <f ca="1">MIN(K10:W10)</f>
        <v>4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8</v>
      </c>
      <c r="M10" s="46">
        <f ca="1">IF($D$2&gt;=(COLUMN()-10),HLOOKUP($B10,INDIRECT(ADDRESS(2,11,1,,M$3)):INDIRECT(ADDRESS(25,playercnt+10,1,,M$3)),24),"")</f>
        <v>6</v>
      </c>
      <c r="N10" s="46">
        <f ca="1">IF($D$2&gt;=(COLUMN()-10),HLOOKUP($B10,INDIRECT(ADDRESS(2,11,1,,N$3)):INDIRECT(ADDRESS(25,playercnt+10,1,,N$3)),24),"")</f>
        <v>5</v>
      </c>
      <c r="O10" s="46">
        <f ca="1">IF($D$2&gt;=(COLUMN()-10),HLOOKUP($B10,INDIRECT(ADDRESS(2,11,1,,O$3)):INDIRECT(ADDRESS(25,playercnt+10,1,,O$3)),24),"")</f>
        <v>5</v>
      </c>
      <c r="P10" s="46">
        <f ca="1">IF($D$2&gt;=(COLUMN()-10),HLOOKUP($B10,INDIRECT(ADDRESS(2,11,1,,P$3)):INDIRECT(ADDRESS(25,playercnt+10,1,,P$3)),24),"")</f>
        <v>6</v>
      </c>
      <c r="Q10" s="46">
        <f ca="1">IF($D$2&gt;=(COLUMN()-10),HLOOKUP($B10,INDIRECT(ADDRESS(2,11,1,,Q$3)):INDIRECT(ADDRESS(25,playercnt+10,1,,Q$3)),24),"")</f>
        <v>4</v>
      </c>
      <c r="R10" s="46">
        <f ca="1">IF($D$2&gt;=(COLUMN()-10),HLOOKUP($B10,INDIRECT(ADDRESS(2,11,1,,R$3)):INDIRECT(ADDRESS(25,playercnt+10,1,,R$3)),24),"")</f>
        <v>4</v>
      </c>
      <c r="S10" s="46">
        <f ca="1">IF($D$2&gt;=(COLUMN()-10),HLOOKUP($B10,INDIRECT(ADDRESS(2,11,1,,S$3)):INDIRECT(ADDRESS(25,playercnt+10,1,,S$3)),24),"")</f>
        <v>4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7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6</v>
      </c>
      <c r="X10" s="47">
        <v>33</v>
      </c>
      <c r="Y10" s="14">
        <f t="shared" si="7"/>
        <v>3</v>
      </c>
    </row>
    <row r="11" spans="1:29" x14ac:dyDescent="0.2">
      <c r="A11" s="83">
        <f>IF(D11=D10,A10,Y11)</f>
        <v>4</v>
      </c>
      <c r="B11" s="39" t="str">
        <f ca="1">INDIRECT(ADDRESS(2,10+INDIRECT(ADDRESS(ROW(),24)),,,"Chart"))</f>
        <v>Locklear, Dave Remote</v>
      </c>
      <c r="C11" s="40">
        <f ca="1">sumAcrossWkSheets(28,10,X11)</f>
        <v>0</v>
      </c>
      <c r="D11" s="40">
        <f>sumAcrossWkSheets(25,10,X11)</f>
        <v>72</v>
      </c>
      <c r="E11" s="25">
        <f>D11/games_completed</f>
        <v>0.55384615384615388</v>
      </c>
      <c r="F11" s="11">
        <f>$D$8-D11</f>
        <v>3</v>
      </c>
      <c r="G11" s="16">
        <v>2</v>
      </c>
      <c r="H11" s="20">
        <f>G11-A11</f>
        <v>-2</v>
      </c>
      <c r="I11" s="17">
        <f ca="1">MAX(K11:W11)</f>
        <v>8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7</v>
      </c>
      <c r="O11" s="46">
        <f ca="1">IF($D$2&gt;=(COLUMN()-10),HLOOKUP($B11,INDIRECT(ADDRESS(2,11,1,,O$3)):INDIRECT(ADDRESS(25,playercnt+10,1,,O$3)),24),"")</f>
        <v>4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4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8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4</v>
      </c>
      <c r="W11" s="46">
        <f ca="1">IF($D$2&gt;=(COLUMN()-10),HLOOKUP($B11,INDIRECT(ADDRESS(2,11,1,,W$3)):INDIRECT(ADDRESS(25,playercnt+10,1,,W$3)),24),"")</f>
        <v>4</v>
      </c>
      <c r="X11" s="14">
        <v>24</v>
      </c>
      <c r="Y11" s="14">
        <f t="shared" si="7"/>
        <v>4</v>
      </c>
    </row>
    <row r="12" spans="1:29" x14ac:dyDescent="0.2">
      <c r="A12" s="83">
        <f>IF(D12=D11,A11,Y12)</f>
        <v>4</v>
      </c>
      <c r="B12" s="39" t="str">
        <f ca="1">INDIRECT(ADDRESS(2,10+INDIRECT(ADDRESS(ROW(),24)),,,"Chart"))</f>
        <v>Reams, Byron L</v>
      </c>
      <c r="C12" s="40">
        <f ca="1">sumAcrossWkSheets(28,10,X12)</f>
        <v>0</v>
      </c>
      <c r="D12" s="40">
        <f>sumAcrossWkSheets(25,10,X12)</f>
        <v>72</v>
      </c>
      <c r="E12" s="25">
        <f>D12/games_completed</f>
        <v>0.55384615384615388</v>
      </c>
      <c r="F12" s="11">
        <f>$D$8-D12</f>
        <v>3</v>
      </c>
      <c r="G12" s="43">
        <v>10</v>
      </c>
      <c r="H12" s="20">
        <f>G12-A12</f>
        <v>6</v>
      </c>
      <c r="I12" s="17">
        <f ca="1">MAX(K12:W12)</f>
        <v>8</v>
      </c>
      <c r="J12" s="17">
        <f ca="1">MIN(K12:W12)</f>
        <v>2</v>
      </c>
      <c r="K12" s="46">
        <f ca="1">IF($D$2&gt;=(COLUMN()-10),HLOOKUP($B12,INDIRECT(ADDRESS(2,11,1,,K$3)):INDIRECT(ADDRESS(25,playercnt+10,1,,K$3)),24),"")</f>
        <v>8</v>
      </c>
      <c r="L12" s="46">
        <f ca="1">IF($D$2&gt;=(COLUMN()-10),HLOOKUP($B12,INDIRECT(ADDRESS(2,11,1,,L$3)):INDIRECT(ADDRESS(25,playercnt+10,1,,L$3)),24),"")</f>
        <v>3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2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7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7</v>
      </c>
      <c r="X12" s="47">
        <v>40</v>
      </c>
      <c r="Y12" s="14">
        <f t="shared" si="7"/>
        <v>5</v>
      </c>
    </row>
    <row r="13" spans="1:29" x14ac:dyDescent="0.2">
      <c r="A13" s="83">
        <f>IF(D13=D12,A12,Y13)</f>
        <v>6</v>
      </c>
      <c r="B13" s="39" t="str">
        <f ca="1">INDIRECT(ADDRESS(2,10+INDIRECT(ADDRESS(ROW(),24)),,,"Chart"))</f>
        <v>Carroll, Adam</v>
      </c>
      <c r="C13" s="40">
        <f ca="1">sumAcrossWkSheets(28,10,X13)</f>
        <v>0</v>
      </c>
      <c r="D13" s="40">
        <f>sumAcrossWkSheets(25,10,X13)</f>
        <v>71</v>
      </c>
      <c r="E13" s="25">
        <f>D13/games_completed</f>
        <v>0.5461538461538461</v>
      </c>
      <c r="F13" s="11">
        <f>$D$8-D13</f>
        <v>4</v>
      </c>
      <c r="G13" s="16">
        <v>10</v>
      </c>
      <c r="H13" s="20">
        <f>G13-A13</f>
        <v>4</v>
      </c>
      <c r="I13" s="17">
        <f ca="1">MAX(K13:W13)</f>
        <v>8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5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4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8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7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7</v>
      </c>
      <c r="W13" s="46">
        <f ca="1">IF($D$2&gt;=(COLUMN()-10),HLOOKUP($B13,INDIRECT(ADDRESS(2,11,1,,W$3)):INDIRECT(ADDRESS(25,playercnt+10,1,,W$3)),24),"")</f>
        <v>6</v>
      </c>
      <c r="X13" s="14">
        <v>6</v>
      </c>
      <c r="Y13" s="14">
        <f t="shared" si="7"/>
        <v>6</v>
      </c>
    </row>
    <row r="14" spans="1:29" x14ac:dyDescent="0.2">
      <c r="A14" s="83">
        <f>IF(D14=D13,A13,Y14)</f>
        <v>6</v>
      </c>
      <c r="B14" s="39" t="str">
        <f ca="1">INDIRECT(ADDRESS(2,10+INDIRECT(ADDRESS(ROW(),24)),,,"Chart"))</f>
        <v>Robbins, Dale</v>
      </c>
      <c r="C14" s="40">
        <f ca="1">sumAcrossWkSheets(28,10,X14)</f>
        <v>0</v>
      </c>
      <c r="D14" s="40">
        <f>sumAcrossWkSheets(25,10,X14)</f>
        <v>71</v>
      </c>
      <c r="E14" s="25">
        <f>D14/games_completed</f>
        <v>0.5461538461538461</v>
      </c>
      <c r="F14" s="11">
        <f>$D$8-D14</f>
        <v>4</v>
      </c>
      <c r="G14" s="43">
        <v>2</v>
      </c>
      <c r="H14" s="20">
        <f>G14-A14</f>
        <v>-4</v>
      </c>
      <c r="I14" s="17">
        <f ca="1">MAX(K14:W14)</f>
        <v>8</v>
      </c>
      <c r="J14" s="17">
        <f ca="1">MIN(K14:W14)</f>
        <v>3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3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5</v>
      </c>
      <c r="T14" s="46">
        <f ca="1">IF($D$2&gt;=(COLUMN()-10),HLOOKUP($B14,INDIRECT(ADDRESS(2,11,1,,T$3)):INDIRECT(ADDRESS(25,playercnt+10,1,,T$3)),24),"")</f>
        <v>8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8</v>
      </c>
      <c r="W14" s="46">
        <f ca="1">IF($D$2&gt;=(COLUMN()-10),HLOOKUP($B14,INDIRECT(ADDRESS(2,11,1,,W$3)):INDIRECT(ADDRESS(25,playercnt+10,1,,W$3)),24),"")</f>
        <v>3</v>
      </c>
      <c r="X14" s="47">
        <v>41</v>
      </c>
      <c r="Y14" s="14">
        <f t="shared" si="7"/>
        <v>7</v>
      </c>
    </row>
    <row r="15" spans="1:29" x14ac:dyDescent="0.2">
      <c r="A15" s="83">
        <f>IF(D15=D14,A14,Y15)</f>
        <v>6</v>
      </c>
      <c r="B15" s="39" t="str">
        <f ca="1">INDIRECT(ADDRESS(2,10+INDIRECT(ADDRESS(ROW(),24)),,,"Chart"))</f>
        <v>Staub, Kevin</v>
      </c>
      <c r="C15" s="40">
        <f ca="1">sumAcrossWkSheets(28,10,X15)</f>
        <v>1</v>
      </c>
      <c r="D15" s="40">
        <f>sumAcrossWkSheets(25,10,X15)</f>
        <v>71</v>
      </c>
      <c r="E15" s="25">
        <f>D15/games_completed</f>
        <v>0.5461538461538461</v>
      </c>
      <c r="F15" s="11">
        <f>$D$8-D15</f>
        <v>4</v>
      </c>
      <c r="G15" s="16">
        <v>4</v>
      </c>
      <c r="H15" s="20">
        <f>G15-A15</f>
        <v>-2</v>
      </c>
      <c r="I15" s="17">
        <f ca="1">MAX(K15:W15)</f>
        <v>8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6</v>
      </c>
      <c r="M15" s="46">
        <f ca="1">IF($D$2&gt;=(COLUMN()-10),HLOOKUP($B15,INDIRECT(ADDRESS(2,11,1,,M$3)):INDIRECT(ADDRESS(25,playercnt+10,1,,M$3)),24),"")</f>
        <v>7</v>
      </c>
      <c r="N15" s="46">
        <f ca="1">IF($D$2&gt;=(COLUMN()-10),HLOOKUP($B15,INDIRECT(ADDRESS(2,11,1,,N$3)):INDIRECT(ADDRESS(25,playercnt+10,1,,N$3)),24),"")</f>
        <v>4</v>
      </c>
      <c r="O15" s="46">
        <f ca="1">IF($D$2&gt;=(COLUMN()-10),HLOOKUP($B15,INDIRECT(ADDRESS(2,11,1,,O$3)):INDIRECT(ADDRESS(25,playercnt+10,1,,O$3)),24),"")</f>
        <v>8</v>
      </c>
      <c r="P15" s="46">
        <f ca="1">IF($D$2&gt;=(COLUMN()-10),HLOOKUP($B15,INDIRECT(ADDRESS(2,11,1,,P$3)):INDIRECT(ADDRESS(25,playercnt+10,1,,P$3)),24),"")</f>
        <v>4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7</v>
      </c>
      <c r="S15" s="46">
        <f ca="1">IF($D$2&gt;=(COLUMN()-10),HLOOKUP($B15,INDIRECT(ADDRESS(2,11,1,,S$3)):INDIRECT(ADDRESS(25,playercnt+10,1,,S$3)),24),"")</f>
        <v>4</v>
      </c>
      <c r="T15" s="46">
        <f ca="1">IF($D$2&gt;=(COLUMN()-10),HLOOKUP($B15,INDIRECT(ADDRESS(2,11,1,,T$3)):INDIRECT(ADDRESS(25,playercnt+10,1,,T$3)),24),"")</f>
        <v>3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4</v>
      </c>
      <c r="X15" s="14">
        <v>46</v>
      </c>
      <c r="Y15" s="14">
        <f t="shared" si="7"/>
        <v>8</v>
      </c>
    </row>
    <row r="16" spans="1:29" x14ac:dyDescent="0.2">
      <c r="A16" s="83">
        <f>IF(D16=D15,A15,Y16)</f>
        <v>9</v>
      </c>
      <c r="B16" s="39" t="str">
        <f ca="1">INDIRECT(ADDRESS(2,10+INDIRECT(ADDRESS(ROW(),24)),,,"Chart"))</f>
        <v>Beckwith, Greg</v>
      </c>
      <c r="C16" s="40">
        <f ca="1">sumAcrossWkSheets(28,10,X16)</f>
        <v>0</v>
      </c>
      <c r="D16" s="40">
        <f>sumAcrossWkSheets(25,10,X16)</f>
        <v>70</v>
      </c>
      <c r="E16" s="25">
        <f>D16/games_completed</f>
        <v>0.53846153846153844</v>
      </c>
      <c r="F16" s="11">
        <f>$D$8-D16</f>
        <v>5</v>
      </c>
      <c r="G16" s="43">
        <v>4</v>
      </c>
      <c r="H16" s="20">
        <f>G16-A16</f>
        <v>-5</v>
      </c>
      <c r="I16" s="17">
        <f ca="1">MAX(K16:W16)</f>
        <v>8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7</v>
      </c>
      <c r="L16" s="46">
        <f ca="1">IF($D$2&gt;=(COLUMN()-10),HLOOKUP($B16,INDIRECT(ADDRESS(2,11,1,,L$3)):INDIRECT(ADDRESS(25,playercnt+10,1,,L$3)),24),"")</f>
        <v>4</v>
      </c>
      <c r="M16" s="46">
        <f ca="1">IF($D$2&gt;=(COLUMN()-10),HLOOKUP($B16,INDIRECT(ADDRESS(2,11,1,,M$3)):INDIRECT(ADDRESS(25,playercnt+10,1,,M$3)),24),"")</f>
        <v>8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5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5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3</v>
      </c>
      <c r="T16" s="46">
        <f ca="1">IF($D$2&gt;=(COLUMN()-10),HLOOKUP($B16,INDIRECT(ADDRESS(2,11,1,,T$3)):INDIRECT(ADDRESS(25,playercnt+10,1,,T$3)),24),"")</f>
        <v>8</v>
      </c>
      <c r="U16" s="46">
        <f ca="1">IF($D$2&gt;=(COLUMN()-10),HLOOKUP($B16,INDIRECT(ADDRESS(2,11,1,,U$3)):INDIRECT(ADDRESS(25,playercnt+10,1,,U$3)),24),"")</f>
        <v>4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3</v>
      </c>
      <c r="X16" s="47">
        <v>4</v>
      </c>
      <c r="Y16" s="14">
        <f t="shared" si="7"/>
        <v>9</v>
      </c>
    </row>
    <row r="17" spans="1:25" x14ac:dyDescent="0.2">
      <c r="A17" s="83">
        <f>IF(D17=D16,A16,Y17)</f>
        <v>9</v>
      </c>
      <c r="B17" s="39" t="str">
        <f ca="1">INDIRECT(ADDRESS(2,10+INDIRECT(ADDRESS(ROW(),24)),,,"Chart"))</f>
        <v>Murdaugh, Stephen K</v>
      </c>
      <c r="C17" s="40">
        <f ca="1">sumAcrossWkSheets(28,10,X17)</f>
        <v>0</v>
      </c>
      <c r="D17" s="40">
        <f>sumAcrossWkSheets(25,10,X17)</f>
        <v>70</v>
      </c>
      <c r="E17" s="25">
        <f>D17/games_completed</f>
        <v>0.53846153846153844</v>
      </c>
      <c r="F17" s="11">
        <f>$D$8-D17</f>
        <v>5</v>
      </c>
      <c r="G17" s="16">
        <v>10</v>
      </c>
      <c r="H17" s="20">
        <f>G17-A17</f>
        <v>1</v>
      </c>
      <c r="I17" s="17">
        <f ca="1">MAX(K17:W17)</f>
        <v>8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7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3</v>
      </c>
      <c r="P17" s="46">
        <f ca="1">IF($D$2&gt;=(COLUMN()-10),HLOOKUP($B17,INDIRECT(ADDRESS(2,11,1,,P$3)):INDIRECT(ADDRESS(25,playercnt+10,1,,P$3)),24),"")</f>
        <v>4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7</v>
      </c>
      <c r="T17" s="46">
        <f ca="1">IF($D$2&gt;=(COLUMN()-10),HLOOKUP($B17,INDIRECT(ADDRESS(2,11,1,,T$3)):INDIRECT(ADDRESS(25,playercnt+10,1,,T$3)),24),"")</f>
        <v>6</v>
      </c>
      <c r="U17" s="46">
        <f ca="1">IF($D$2&gt;=(COLUMN()-10),HLOOKUP($B17,INDIRECT(ADDRESS(2,11,1,,U$3)):INDIRECT(ADDRESS(25,playercnt+10,1,,U$3)),24),"")</f>
        <v>7</v>
      </c>
      <c r="V17" s="46">
        <f ca="1">IF($D$2&gt;=(COLUMN()-10),HLOOKUP($B17,INDIRECT(ADDRESS(2,11,1,,V$3)):INDIRECT(ADDRESS(25,playercnt+10,1,,V$3)),24),"")</f>
        <v>8</v>
      </c>
      <c r="W17" s="46">
        <f ca="1">IF($D$2&gt;=(COLUMN()-10),HLOOKUP($B17,INDIRECT(ADDRESS(2,11,1,,W$3)):INDIRECT(ADDRESS(25,playercnt+10,1,,W$3)),24),"")</f>
        <v>5</v>
      </c>
      <c r="X17" s="14">
        <v>30</v>
      </c>
      <c r="Y17" s="14">
        <f t="shared" si="7"/>
        <v>10</v>
      </c>
    </row>
    <row r="18" spans="1:25" x14ac:dyDescent="0.2">
      <c r="A18" s="83">
        <f>IF(D18=D17,A17,Y18)</f>
        <v>9</v>
      </c>
      <c r="B18" s="39" t="str">
        <f ca="1">INDIRECT(ADDRESS(2,10+INDIRECT(ADDRESS(ROW(),24)),,,"Chart"))</f>
        <v>Ruffin, Chris</v>
      </c>
      <c r="C18" s="40">
        <f ca="1">sumAcrossWkSheets(28,10,X18)</f>
        <v>1</v>
      </c>
      <c r="D18" s="40">
        <f>sumAcrossWkSheets(25,10,X18)</f>
        <v>70</v>
      </c>
      <c r="E18" s="25">
        <f>D18/games_completed</f>
        <v>0.53846153846153844</v>
      </c>
      <c r="F18" s="11">
        <f>$D$8-D18</f>
        <v>5</v>
      </c>
      <c r="G18" s="43">
        <v>10</v>
      </c>
      <c r="H18" s="20">
        <f>G18-A18</f>
        <v>1</v>
      </c>
      <c r="I18" s="17">
        <f ca="1">MAX(K18:W18)</f>
        <v>8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8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3</v>
      </c>
      <c r="P18" s="46">
        <f ca="1">IF($D$2&gt;=(COLUMN()-10),HLOOKUP($B18,INDIRECT(ADDRESS(2,11,1,,P$3)):INDIRECT(ADDRESS(25,playercnt+10,1,,P$3)),24),"")</f>
        <v>8</v>
      </c>
      <c r="Q18" s="46">
        <f ca="1">IF($D$2&gt;=(COLUMN()-10),HLOOKUP($B18,INDIRECT(ADDRESS(2,11,1,,Q$3)):INDIRECT(ADDRESS(25,playercnt+10,1,,Q$3)),24),"")</f>
        <v>6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3</v>
      </c>
      <c r="V18" s="46">
        <f ca="1">IF($D$2&gt;=(COLUMN()-10),HLOOKUP($B18,INDIRECT(ADDRESS(2,11,1,,V$3)):INDIRECT(ADDRESS(25,playercnt+10,1,,V$3)),24),"")</f>
        <v>3</v>
      </c>
      <c r="W18" s="46">
        <f ca="1">IF($D$2&gt;=(COLUMN()-10),HLOOKUP($B18,INDIRECT(ADDRESS(2,11,1,,W$3)):INDIRECT(ADDRESS(25,playercnt+10,1,,W$3)),24),"")</f>
        <v>5</v>
      </c>
      <c r="X18" s="47">
        <v>43</v>
      </c>
      <c r="Y18" s="14">
        <f t="shared" si="7"/>
        <v>11</v>
      </c>
    </row>
    <row r="19" spans="1:25" x14ac:dyDescent="0.2">
      <c r="A19" s="83">
        <f>IF(D19=D18,A18,Y19)</f>
        <v>12</v>
      </c>
      <c r="B19" s="39" t="str">
        <f ca="1">INDIRECT(ADDRESS(2,10+INDIRECT(ADDRESS(ROW(),24)),,,"Chart"))</f>
        <v>Aaron, Chip</v>
      </c>
      <c r="C19" s="40">
        <f ca="1">sumAcrossWkSheets(28,10,X19)</f>
        <v>1</v>
      </c>
      <c r="D19" s="40">
        <f>sumAcrossWkSheets(25,10,X19)</f>
        <v>69</v>
      </c>
      <c r="E19" s="25">
        <f>D19/games_completed</f>
        <v>0.53076923076923077</v>
      </c>
      <c r="F19" s="11">
        <f>$D$8-D19</f>
        <v>6</v>
      </c>
      <c r="G19" s="16">
        <v>18</v>
      </c>
      <c r="H19" s="20">
        <f>G19-A19</f>
        <v>6</v>
      </c>
      <c r="I19" s="17">
        <f ca="1">MAX(K19:W19)</f>
        <v>8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8</v>
      </c>
      <c r="N19" s="46">
        <f ca="1">IF($D$2&gt;=(COLUMN()-10),HLOOKUP($B19,INDIRECT(ADDRESS(2,11,1,,N$3)):INDIRECT(ADDRESS(25,playercnt+10,1,,N$3)),24),"")</f>
        <v>4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3</v>
      </c>
      <c r="T19" s="46">
        <f ca="1">IF($D$2&gt;=(COLUMN()-10),HLOOKUP($B19,INDIRECT(ADDRESS(2,11,1,,T$3)):INDIRECT(ADDRESS(25,playercnt+10,1,,T$3)),24),"")</f>
        <v>7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8</v>
      </c>
      <c r="W19" s="46">
        <f ca="1">IF($D$2&gt;=(COLUMN()-10),HLOOKUP($B19,INDIRECT(ADDRESS(2,11,1,,W$3)):INDIRECT(ADDRESS(25,playercnt+10,1,,W$3)),24),"")</f>
        <v>6</v>
      </c>
      <c r="X19" s="14">
        <v>1</v>
      </c>
      <c r="Y19" s="14">
        <f t="shared" si="7"/>
        <v>12</v>
      </c>
    </row>
    <row r="20" spans="1:25" x14ac:dyDescent="0.2">
      <c r="A20" s="83">
        <f>IF(D20=D19,A19,Y20)</f>
        <v>12</v>
      </c>
      <c r="B20" s="39" t="str">
        <f ca="1">INDIRECT(ADDRESS(2,10+INDIRECT(ADDRESS(ROW(),24)),,,"Chart"))</f>
        <v>Fonville, Chris</v>
      </c>
      <c r="C20" s="40">
        <f ca="1">sumAcrossWkSheets(28,10,X20)</f>
        <v>0</v>
      </c>
      <c r="D20" s="40">
        <f>sumAcrossWkSheets(25,10,X20)</f>
        <v>69</v>
      </c>
      <c r="E20" s="25">
        <f>D20/games_completed</f>
        <v>0.53076923076923077</v>
      </c>
      <c r="F20" s="11">
        <f>$D$8-D20</f>
        <v>6</v>
      </c>
      <c r="G20" s="43">
        <v>4</v>
      </c>
      <c r="H20" s="20">
        <f>G20-A20</f>
        <v>-8</v>
      </c>
      <c r="I20" s="17">
        <f ca="1">MAX(K20:W20)</f>
        <v>7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7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6</v>
      </c>
      <c r="V20" s="46">
        <f ca="1">IF($D$2&gt;=(COLUMN()-10),HLOOKUP($B20,INDIRECT(ADDRESS(2,11,1,,V$3)):INDIRECT(ADDRESS(25,playercnt+10,1,,V$3)),24),"")</f>
        <v>7</v>
      </c>
      <c r="W20" s="46">
        <f ca="1">IF($D$2&gt;=(COLUMN()-10),HLOOKUP($B20,INDIRECT(ADDRESS(2,11,1,,W$3)):INDIRECT(ADDRESS(25,playercnt+10,1,,W$3)),24),"")</f>
        <v>2</v>
      </c>
      <c r="X20" s="47">
        <v>16</v>
      </c>
      <c r="Y20" s="14">
        <f t="shared" si="7"/>
        <v>13</v>
      </c>
    </row>
    <row r="21" spans="1:25" x14ac:dyDescent="0.2">
      <c r="A21" s="83">
        <f>IF(D21=D20,A20,Y21)</f>
        <v>12</v>
      </c>
      <c r="B21" s="39" t="str">
        <f ca="1">INDIRECT(ADDRESS(2,10+INDIRECT(ADDRESS(ROW(),24)),,,"Chart"))</f>
        <v>Hendrick, Matt R</v>
      </c>
      <c r="C21" s="40">
        <f ca="1">sumAcrossWkSheets(28,10,X21)</f>
        <v>0</v>
      </c>
      <c r="D21" s="40">
        <f>sumAcrossWkSheets(25,10,X21)</f>
        <v>69</v>
      </c>
      <c r="E21" s="25">
        <f>D21/games_completed</f>
        <v>0.53076923076923077</v>
      </c>
      <c r="F21" s="11">
        <f>$D$8-D21</f>
        <v>6</v>
      </c>
      <c r="G21" s="16">
        <v>9</v>
      </c>
      <c r="H21" s="20">
        <f>G21-A21</f>
        <v>-3</v>
      </c>
      <c r="I21" s="17">
        <f ca="1">MAX(K21:W21)</f>
        <v>8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7</v>
      </c>
      <c r="R21" s="46">
        <f ca="1">IF($D$2&gt;=(COLUMN()-10),HLOOKUP($B21,INDIRECT(ADDRESS(2,11,1,,R$3)):INDIRECT(ADDRESS(25,playercnt+10,1,,R$3)),24),"")</f>
        <v>3</v>
      </c>
      <c r="S21" s="46">
        <f ca="1">IF($D$2&gt;=(COLUMN()-10),HLOOKUP($B21,INDIRECT(ADDRESS(2,11,1,,S$3)):INDIRECT(ADDRESS(25,playercnt+10,1,,S$3)),24),"")</f>
        <v>5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8</v>
      </c>
      <c r="W21" s="46">
        <f ca="1">IF($D$2&gt;=(COLUMN()-10),HLOOKUP($B21,INDIRECT(ADDRESS(2,11,1,,W$3)):INDIRECT(ADDRESS(25,playercnt+10,1,,W$3)),24),"")</f>
        <v>3</v>
      </c>
      <c r="X21" s="14">
        <v>18</v>
      </c>
      <c r="Y21" s="14">
        <f t="shared" si="7"/>
        <v>14</v>
      </c>
    </row>
    <row r="22" spans="1:25" x14ac:dyDescent="0.2">
      <c r="A22" s="83">
        <f>IF(D22=D21,A21,Y22)</f>
        <v>12</v>
      </c>
      <c r="B22" s="39" t="str">
        <f ca="1">INDIRECT(ADDRESS(2,10+INDIRECT(ADDRESS(ROW(),24)),,,"Chart"))</f>
        <v>Moore, Kevin B</v>
      </c>
      <c r="C22" s="40">
        <f ca="1">sumAcrossWkSheets(28,10,X22)</f>
        <v>0</v>
      </c>
      <c r="D22" s="40">
        <f>sumAcrossWkSheets(25,10,X22)</f>
        <v>69</v>
      </c>
      <c r="E22" s="25">
        <f>D22/games_completed</f>
        <v>0.53076923076923077</v>
      </c>
      <c r="F22" s="11">
        <f>$D$8-D22</f>
        <v>6</v>
      </c>
      <c r="G22" s="43">
        <v>19</v>
      </c>
      <c r="H22" s="20">
        <f>G22-A22</f>
        <v>7</v>
      </c>
      <c r="I22" s="17">
        <f ca="1">MAX(K22:W22)</f>
        <v>8</v>
      </c>
      <c r="J22" s="17">
        <f ca="1">MIN(K22:W22)</f>
        <v>2</v>
      </c>
      <c r="K22" s="46">
        <f ca="1">IF($D$2&gt;=(COLUMN()-10),HLOOKUP($B22,INDIRECT(ADDRESS(2,11,1,,K$3)):INDIRECT(ADDRESS(25,playercnt+10,1,,K$3)),24),"")</f>
        <v>2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7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6</v>
      </c>
      <c r="R22" s="46">
        <f ca="1">IF($D$2&gt;=(COLUMN()-10),HLOOKUP($B22,INDIRECT(ADDRESS(2,11,1,,R$3)):INDIRECT(ADDRESS(25,playercnt+10,1,,R$3)),24),"")</f>
        <v>4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4</v>
      </c>
      <c r="V22" s="46">
        <f ca="1">IF($D$2&gt;=(COLUMN()-10),HLOOKUP($B22,INDIRECT(ADDRESS(2,11,1,,V$3)):INDIRECT(ADDRESS(25,playercnt+10,1,,V$3)),24),"")</f>
        <v>8</v>
      </c>
      <c r="W22" s="46">
        <f ca="1">IF($D$2&gt;=(COLUMN()-10),HLOOKUP($B22,INDIRECT(ADDRESS(2,11,1,,W$3)):INDIRECT(ADDRESS(25,playercnt+10,1,,W$3)),24),"")</f>
        <v>7</v>
      </c>
      <c r="X22" s="47">
        <v>29</v>
      </c>
      <c r="Y22" s="14">
        <f t="shared" si="7"/>
        <v>15</v>
      </c>
    </row>
    <row r="23" spans="1:25" x14ac:dyDescent="0.2">
      <c r="A23" s="83">
        <f>IF(D23=D22,A22,Y23)</f>
        <v>12</v>
      </c>
      <c r="B23" s="39" t="str">
        <f ca="1">INDIRECT(ADDRESS(2,10+INDIRECT(ADDRESS(ROW(),24)),,,"Chart"))</f>
        <v>Paul, Wilmaison</v>
      </c>
      <c r="C23" s="40">
        <f ca="1">sumAcrossWkSheets(28,10,X23)</f>
        <v>1</v>
      </c>
      <c r="D23" s="40">
        <f>sumAcrossWkSheets(25,10,X23)</f>
        <v>69</v>
      </c>
      <c r="E23" s="25">
        <f>D23/games_completed</f>
        <v>0.53076923076923077</v>
      </c>
      <c r="F23" s="11">
        <f>$D$8-D23</f>
        <v>6</v>
      </c>
      <c r="G23" s="16">
        <v>10</v>
      </c>
      <c r="H23" s="20">
        <f>G23-A23</f>
        <v>-2</v>
      </c>
      <c r="I23" s="17">
        <f ca="1">MAX(K23:W23)</f>
        <v>9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7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3</v>
      </c>
      <c r="P23" s="46">
        <f ca="1">IF($D$2&gt;=(COLUMN()-10),HLOOKUP($B23,INDIRECT(ADDRESS(2,11,1,,P$3)):INDIRECT(ADDRESS(25,playercnt+10,1,,P$3)),24),"")</f>
        <v>4</v>
      </c>
      <c r="Q23" s="46">
        <f ca="1">IF($D$2&gt;=(COLUMN()-10),HLOOKUP($B23,INDIRECT(ADDRESS(2,11,1,,Q$3)):INDIRECT(ADDRESS(25,playercnt+10,1,,Q$3)),24),"")</f>
        <v>6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3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9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4</v>
      </c>
      <c r="X23" s="14">
        <v>37</v>
      </c>
      <c r="Y23" s="14">
        <f t="shared" si="7"/>
        <v>16</v>
      </c>
    </row>
    <row r="24" spans="1:25" x14ac:dyDescent="0.2">
      <c r="A24" s="83">
        <f>IF(D24=D23,A23,Y24)</f>
        <v>17</v>
      </c>
      <c r="B24" s="39" t="str">
        <f ca="1">INDIRECT(ADDRESS(2,10+INDIRECT(ADDRESS(ROW(),24)),,,"Chart"))</f>
        <v>Edwards, Christopher S</v>
      </c>
      <c r="C24" s="40">
        <f ca="1">sumAcrossWkSheets(28,10,X24)</f>
        <v>0</v>
      </c>
      <c r="D24" s="40">
        <f>sumAcrossWkSheets(25,10,X24)</f>
        <v>68</v>
      </c>
      <c r="E24" s="25">
        <f>D24/games_completed</f>
        <v>0.52307692307692311</v>
      </c>
      <c r="F24" s="11">
        <f>$D$8-D24</f>
        <v>7</v>
      </c>
      <c r="G24" s="43">
        <v>23</v>
      </c>
      <c r="H24" s="20">
        <f>G24-A24</f>
        <v>6</v>
      </c>
      <c r="I24" s="17">
        <f ca="1">MAX(K24:W24)</f>
        <v>7</v>
      </c>
      <c r="J24" s="17">
        <f ca="1">MIN(K24:W24)</f>
        <v>2</v>
      </c>
      <c r="K24" s="46">
        <f ca="1">IF($D$2&gt;=(COLUMN()-10),HLOOKUP($B24,INDIRECT(ADDRESS(2,11,1,,K$3)):INDIRECT(ADDRESS(25,playercnt+10,1,,K$3)),24),"")</f>
        <v>5</v>
      </c>
      <c r="L24" s="46">
        <f ca="1">IF($D$2&gt;=(COLUMN()-10),HLOOKUP($B24,INDIRECT(ADDRESS(2,11,1,,L$3)):INDIRECT(ADDRESS(25,playercnt+10,1,,L$3)),24),"")</f>
        <v>5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7</v>
      </c>
      <c r="O24" s="46">
        <f ca="1">IF($D$2&gt;=(COLUMN()-10),HLOOKUP($B24,INDIRECT(ADDRESS(2,11,1,,O$3)):INDIRECT(ADDRESS(25,playercnt+10,1,,O$3)),24),"")</f>
        <v>4</v>
      </c>
      <c r="P24" s="46">
        <f ca="1">IF($D$2&gt;=(COLUMN()-10),HLOOKUP($B24,INDIRECT(ADDRESS(2,11,1,,P$3)):INDIRECT(ADDRESS(25,playercnt+10,1,,P$3)),24),"")</f>
        <v>6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2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5</v>
      </c>
      <c r="V24" s="46">
        <f ca="1">IF($D$2&gt;=(COLUMN()-10),HLOOKUP($B24,INDIRECT(ADDRESS(2,11,1,,V$3)):INDIRECT(ADDRESS(25,playercnt+10,1,,V$3)),24),"")</f>
        <v>6</v>
      </c>
      <c r="W24" s="46">
        <f ca="1">IF($D$2&gt;=(COLUMN()-10),HLOOKUP($B24,INDIRECT(ADDRESS(2,11,1,,W$3)):INDIRECT(ADDRESS(25,playercnt+10,1,,W$3)),24),"")</f>
        <v>7</v>
      </c>
      <c r="X24" s="47">
        <v>13</v>
      </c>
      <c r="Y24" s="14">
        <f t="shared" si="7"/>
        <v>17</v>
      </c>
    </row>
    <row r="25" spans="1:25" x14ac:dyDescent="0.2">
      <c r="A25" s="83">
        <f>IF(D25=D24,A24,Y25)</f>
        <v>17</v>
      </c>
      <c r="B25" s="39" t="str">
        <f ca="1">INDIRECT(ADDRESS(2,10+INDIRECT(ADDRESS(ROW(),24)),,,"Chart"))</f>
        <v>Neill, Charles H</v>
      </c>
      <c r="C25" s="40">
        <f ca="1">sumAcrossWkSheets(28,10,X25)</f>
        <v>1</v>
      </c>
      <c r="D25" s="40">
        <f>sumAcrossWkSheets(25,10,X25)</f>
        <v>68</v>
      </c>
      <c r="E25" s="25">
        <f>D25/games_completed</f>
        <v>0.52307692307692311</v>
      </c>
      <c r="F25" s="11">
        <f>$D$8-D25</f>
        <v>7</v>
      </c>
      <c r="G25" s="16">
        <v>16</v>
      </c>
      <c r="H25" s="20">
        <f>G25-A25</f>
        <v>-1</v>
      </c>
      <c r="I25" s="17">
        <f ca="1">MAX(K25:W25)</f>
        <v>9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9</v>
      </c>
      <c r="L25" s="46">
        <f ca="1">IF($D$2&gt;=(COLUMN()-10),HLOOKUP($B25,INDIRECT(ADDRESS(2,11,1,,L$3)):INDIRECT(ADDRESS(25,playercnt+10,1,,L$3)),24),"")</f>
        <v>2</v>
      </c>
      <c r="M25" s="46">
        <f ca="1">IF($D$2&gt;=(COLUMN()-10),HLOOKUP($B25,INDIRECT(ADDRESS(2,11,1,,M$3)):INDIRECT(ADDRESS(25,playercnt+10,1,,M$3)),24),"")</f>
        <v>7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5</v>
      </c>
      <c r="R25" s="46">
        <f ca="1">IF($D$2&gt;=(COLUMN()-10),HLOOKUP($B25,INDIRECT(ADDRESS(2,11,1,,R$3)):INDIRECT(ADDRESS(25,playercnt+10,1,,R$3)),24),"")</f>
        <v>6</v>
      </c>
      <c r="S25" s="46">
        <f ca="1">IF($D$2&gt;=(COLUMN()-10),HLOOKUP($B25,INDIRECT(ADDRESS(2,11,1,,S$3)):INDIRECT(ADDRESS(25,playercnt+10,1,,S$3)),24),"")</f>
        <v>4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6</v>
      </c>
      <c r="W25" s="46">
        <f ca="1">IF($D$2&gt;=(COLUMN()-10),HLOOKUP($B25,INDIRECT(ADDRESS(2,11,1,,W$3)):INDIRECT(ADDRESS(25,playercnt+10,1,,W$3)),24),"")</f>
        <v>4</v>
      </c>
      <c r="X25" s="14">
        <v>35</v>
      </c>
      <c r="Y25" s="14">
        <f t="shared" si="7"/>
        <v>18</v>
      </c>
    </row>
    <row r="26" spans="1:25" x14ac:dyDescent="0.2">
      <c r="A26" s="83">
        <f>IF(D26=D25,A25,Y26)</f>
        <v>17</v>
      </c>
      <c r="B26" s="39" t="str">
        <f ca="1">INDIRECT(ADDRESS(2,10+INDIRECT(ADDRESS(ROW(),24)),,,"Chart"))</f>
        <v>Nguyen, Thai</v>
      </c>
      <c r="C26" s="40">
        <f ca="1">sumAcrossWkSheets(28,10,X26)</f>
        <v>1</v>
      </c>
      <c r="D26" s="40">
        <f>sumAcrossWkSheets(25,10,X26)</f>
        <v>68</v>
      </c>
      <c r="E26" s="25">
        <f>D26/games_completed</f>
        <v>0.52307692307692311</v>
      </c>
      <c r="F26" s="11">
        <f>$D$8-D26</f>
        <v>7</v>
      </c>
      <c r="G26" s="43">
        <v>16</v>
      </c>
      <c r="H26" s="20">
        <f>G26-A26</f>
        <v>-1</v>
      </c>
      <c r="I26" s="17">
        <f ca="1">MAX(K26:W26)</f>
        <v>9</v>
      </c>
      <c r="J26" s="17">
        <f ca="1">MIN(K26:W26)</f>
        <v>0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4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0</v>
      </c>
      <c r="Q26" s="46">
        <f ca="1">IF($D$2&gt;=(COLUMN()-10),HLOOKUP($B26,INDIRECT(ADDRESS(2,11,1,,Q$3)):INDIRECT(ADDRESS(25,playercnt+10,1,,Q$3)),24),"")</f>
        <v>6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6</v>
      </c>
      <c r="T26" s="46">
        <f ca="1">IF($D$2&gt;=(COLUMN()-10),HLOOKUP($B26,INDIRECT(ADDRESS(2,11,1,,T$3)):INDIRECT(ADDRESS(25,playercnt+10,1,,T$3)),24),"")</f>
        <v>8</v>
      </c>
      <c r="U26" s="46">
        <f ca="1">IF($D$2&gt;=(COLUMN()-10),HLOOKUP($B26,INDIRECT(ADDRESS(2,11,1,,U$3)):INDIRECT(ADDRESS(25,playercnt+10,1,,U$3)),24),"")</f>
        <v>9</v>
      </c>
      <c r="V26" s="46">
        <f ca="1">IF($D$2&gt;=(COLUMN()-10),HLOOKUP($B26,INDIRECT(ADDRESS(2,11,1,,V$3)):INDIRECT(ADDRESS(25,playercnt+10,1,,V$3)),24),"")</f>
        <v>8</v>
      </c>
      <c r="W26" s="46">
        <f ca="1">IF($D$2&gt;=(COLUMN()-10),HLOOKUP($B26,INDIRECT(ADDRESS(2,11,1,,W$3)):INDIRECT(ADDRESS(25,playercnt+10,1,,W$3)),24),"")</f>
        <v>4</v>
      </c>
      <c r="X26" s="47">
        <v>36</v>
      </c>
      <c r="Y26" s="14">
        <f t="shared" ref="Y26:Y36" si="8">Y25+1</f>
        <v>19</v>
      </c>
    </row>
    <row r="27" spans="1:25" x14ac:dyDescent="0.2">
      <c r="A27" s="83">
        <f>IF(D27=D26,A26,Y27)</f>
        <v>17</v>
      </c>
      <c r="B27" s="39" t="str">
        <f ca="1">INDIRECT(ADDRESS(2,10+INDIRECT(ADDRESS(ROW(),24)),,,"Chart"))</f>
        <v>Powell, LaMar</v>
      </c>
      <c r="C27" s="40">
        <f ca="1">sumAcrossWkSheets(28,10,X27)</f>
        <v>1</v>
      </c>
      <c r="D27" s="40">
        <f>sumAcrossWkSheets(25,10,X27)</f>
        <v>68</v>
      </c>
      <c r="E27" s="25">
        <f>D27/games_completed</f>
        <v>0.52307692307692311</v>
      </c>
      <c r="F27" s="11">
        <f>$D$8-D27</f>
        <v>7</v>
      </c>
      <c r="G27" s="16">
        <v>23</v>
      </c>
      <c r="H27" s="20">
        <f>G27-A27</f>
        <v>6</v>
      </c>
      <c r="I27" s="17">
        <f ca="1">MAX(K27:W27)</f>
        <v>8</v>
      </c>
      <c r="J27" s="17">
        <f ca="1">MIN(K27:W27)</f>
        <v>2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3</v>
      </c>
      <c r="M27" s="46">
        <f ca="1">IF($D$2&gt;=(COLUMN()-10),HLOOKUP($B27,INDIRECT(ADDRESS(2,11,1,,M$3)):INDIRECT(ADDRESS(25,playercnt+10,1,,M$3)),24),"")</f>
        <v>4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7</v>
      </c>
      <c r="P27" s="46">
        <f ca="1">IF($D$2&gt;=(COLUMN()-10),HLOOKUP($B27,INDIRECT(ADDRESS(2,11,1,,P$3)):INDIRECT(ADDRESS(25,playercnt+10,1,,P$3)),24),"")</f>
        <v>5</v>
      </c>
      <c r="Q27" s="46">
        <f ca="1">IF($D$2&gt;=(COLUMN()-10),HLOOKUP($B27,INDIRECT(ADDRESS(2,11,1,,Q$3)):INDIRECT(ADDRESS(25,playercnt+10,1,,Q$3)),24),"")</f>
        <v>8</v>
      </c>
      <c r="R27" s="46">
        <f ca="1">IF($D$2&gt;=(COLUMN()-10),HLOOKUP($B27,INDIRECT(ADDRESS(2,11,1,,R$3)):INDIRECT(ADDRESS(25,playercnt+10,1,,R$3)),24),"")</f>
        <v>7</v>
      </c>
      <c r="S27" s="46">
        <f ca="1">IF($D$2&gt;=(COLUMN()-10),HLOOKUP($B27,INDIRECT(ADDRESS(2,11,1,,S$3)):INDIRECT(ADDRESS(25,playercnt+10,1,,S$3)),24),"")</f>
        <v>2</v>
      </c>
      <c r="T27" s="46">
        <f ca="1">IF($D$2&gt;=(COLUMN()-10),HLOOKUP($B27,INDIRECT(ADDRESS(2,11,1,,T$3)):INDIRECT(ADDRESS(25,playercnt+10,1,,T$3)),24),"")</f>
        <v>6</v>
      </c>
      <c r="U27" s="46">
        <f ca="1">IF($D$2&gt;=(COLUMN()-10),HLOOKUP($B27,INDIRECT(ADDRESS(2,11,1,,U$3)):INDIRECT(ADDRESS(25,playercnt+10,1,,U$3)),24),"")</f>
        <v>6</v>
      </c>
      <c r="V27" s="46">
        <f ca="1">IF($D$2&gt;=(COLUMN()-10),HLOOKUP($B27,INDIRECT(ADDRESS(2,11,1,,V$3)):INDIRECT(ADDRESS(25,playercnt+10,1,,V$3)),24),"")</f>
        <v>5</v>
      </c>
      <c r="W27" s="46">
        <f ca="1">IF($D$2&gt;=(COLUMN()-10),HLOOKUP($B27,INDIRECT(ADDRESS(2,11,1,,W$3)):INDIRECT(ADDRESS(25,playercnt+10,1,,W$3)),24),"")</f>
        <v>7</v>
      </c>
      <c r="X27" s="14">
        <v>39</v>
      </c>
      <c r="Y27" s="14">
        <f t="shared" si="8"/>
        <v>20</v>
      </c>
    </row>
    <row r="28" spans="1:25" x14ac:dyDescent="0.2">
      <c r="A28" s="83">
        <f>IF(D28=D27,A27,Y28)</f>
        <v>17</v>
      </c>
      <c r="B28" s="39" t="str">
        <f ca="1">INDIRECT(ADDRESS(2,10+INDIRECT(ADDRESS(ROW(),24)),,,"Chart"))</f>
        <v>Straw, Adam D</v>
      </c>
      <c r="C28" s="40">
        <f ca="1">sumAcrossWkSheets(28,10,X28)</f>
        <v>1</v>
      </c>
      <c r="D28" s="40">
        <f>sumAcrossWkSheets(25,10,X28)</f>
        <v>68</v>
      </c>
      <c r="E28" s="25">
        <f>D28/games_completed</f>
        <v>0.52307692307692311</v>
      </c>
      <c r="F28" s="11">
        <f>$D$8-D28</f>
        <v>7</v>
      </c>
      <c r="G28" s="43">
        <v>19</v>
      </c>
      <c r="H28" s="20">
        <f>G28-A28</f>
        <v>2</v>
      </c>
      <c r="I28" s="17">
        <f ca="1">MAX(K28:W28)</f>
        <v>8</v>
      </c>
      <c r="J28" s="17">
        <f ca="1">MIN(K28:W28)</f>
        <v>0</v>
      </c>
      <c r="K28" s="46">
        <f ca="1">IF($D$2&gt;=(COLUMN()-10),HLOOKUP($B28,INDIRECT(ADDRESS(2,11,1,,K$3)):INDIRECT(ADDRESS(25,playercnt+10,1,,K$3)),24),"")</f>
        <v>6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3</v>
      </c>
      <c r="O28" s="46">
        <f ca="1">IF($D$2&gt;=(COLUMN()-10),HLOOKUP($B28,INDIRECT(ADDRESS(2,11,1,,O$3)):INDIRECT(ADDRESS(25,playercnt+10,1,,O$3)),24),"")</f>
        <v>6</v>
      </c>
      <c r="P28" s="46">
        <f ca="1">IF($D$2&gt;=(COLUMN()-10),HLOOKUP($B28,INDIRECT(ADDRESS(2,11,1,,P$3)):INDIRECT(ADDRESS(25,playercnt+10,1,,P$3)),24),"")</f>
        <v>4</v>
      </c>
      <c r="Q28" s="46">
        <f ca="1">IF($D$2&gt;=(COLUMN()-10),HLOOKUP($B28,INDIRECT(ADDRESS(2,11,1,,Q$3)):INDIRECT(ADDRESS(25,playercnt+10,1,,Q$3)),24),"")</f>
        <v>7</v>
      </c>
      <c r="R28" s="46">
        <f ca="1">IF($D$2&gt;=(COLUMN()-10),HLOOKUP($B28,INDIRECT(ADDRESS(2,11,1,,R$3)):INDIRECT(ADDRESS(25,playercnt+10,1,,R$3)),24),"")</f>
        <v>8</v>
      </c>
      <c r="S28" s="46">
        <f ca="1">IF($D$2&gt;=(COLUMN()-10),HLOOKUP($B28,INDIRECT(ADDRESS(2,11,1,,S$3)):INDIRECT(ADDRESS(25,playercnt+10,1,,S$3)),24),"")</f>
        <v>0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7</v>
      </c>
      <c r="V28" s="46">
        <f ca="1">IF($D$2&gt;=(COLUMN()-10),HLOOKUP($B28,INDIRECT(ADDRESS(2,11,1,,V$3)):INDIRECT(ADDRESS(25,playercnt+10,1,,V$3)),24),"")</f>
        <v>6</v>
      </c>
      <c r="W28" s="46">
        <f ca="1">IF($D$2&gt;=(COLUMN()-10),HLOOKUP($B28,INDIRECT(ADDRESS(2,11,1,,W$3)):INDIRECT(ADDRESS(25,playercnt+10,1,,W$3)),24),"")</f>
        <v>6</v>
      </c>
      <c r="X28" s="47">
        <v>50</v>
      </c>
      <c r="Y28" s="14">
        <f t="shared" si="8"/>
        <v>21</v>
      </c>
    </row>
    <row r="29" spans="1:25" x14ac:dyDescent="0.2">
      <c r="A29" s="83">
        <f>IF(D29=D28,A28,Y29)</f>
        <v>17</v>
      </c>
      <c r="B29" s="39" t="str">
        <f ca="1">INDIRECT(ADDRESS(2,10+INDIRECT(ADDRESS(ROW(),24)),,,"Chart"))</f>
        <v>Warren, Jason</v>
      </c>
      <c r="C29" s="40">
        <f ca="1">sumAcrossWkSheets(28,10,X29)</f>
        <v>0</v>
      </c>
      <c r="D29" s="40">
        <f>sumAcrossWkSheets(25,10,X29)</f>
        <v>68</v>
      </c>
      <c r="E29" s="25">
        <f>D29/games_completed</f>
        <v>0.52307692307692311</v>
      </c>
      <c r="F29" s="11">
        <f>$D$8-D29</f>
        <v>7</v>
      </c>
      <c r="G29" s="16">
        <v>23</v>
      </c>
      <c r="H29" s="20">
        <f>G29-A29</f>
        <v>6</v>
      </c>
      <c r="I29" s="17">
        <f ca="1">MAX(K29:W29)</f>
        <v>9</v>
      </c>
      <c r="J29" s="17">
        <f ca="1">MIN(K29:W29)</f>
        <v>0</v>
      </c>
      <c r="K29" s="46">
        <f ca="1">IF($D$2&gt;=(COLUMN()-10),HLOOKUP($B29,INDIRECT(ADDRESS(2,11,1,,K$3)):INDIRECT(ADDRESS(25,playercnt+10,1,,K$3)),24),"")</f>
        <v>9</v>
      </c>
      <c r="L29" s="46">
        <f ca="1">IF($D$2&gt;=(COLUMN()-10),HLOOKUP($B29,INDIRECT(ADDRESS(2,11,1,,L$3)):INDIRECT(ADDRESS(25,playercnt+10,1,,L$3)),24),"")</f>
        <v>6</v>
      </c>
      <c r="M29" s="46">
        <f ca="1">IF($D$2&gt;=(COLUMN()-10),HLOOKUP($B29,INDIRECT(ADDRESS(2,11,1,,M$3)):INDIRECT(ADDRESS(25,playercnt+10,1,,M$3)),24),"")</f>
        <v>5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3</v>
      </c>
      <c r="P29" s="46">
        <f ca="1">IF($D$2&gt;=(COLUMN()-10),HLOOKUP($B29,INDIRECT(ADDRESS(2,11,1,,P$3)):INDIRECT(ADDRESS(25,playercnt+10,1,,P$3)),24),"")</f>
        <v>3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0</v>
      </c>
      <c r="S29" s="46">
        <f ca="1">IF($D$2&gt;=(COLUMN()-10),HLOOKUP($B29,INDIRECT(ADDRESS(2,11,1,,S$3)):INDIRECT(ADDRESS(25,playercnt+10,1,,S$3)),24),"")</f>
        <v>6</v>
      </c>
      <c r="T29" s="46">
        <f ca="1">IF($D$2&gt;=(COLUMN()-10),HLOOKUP($B29,INDIRECT(ADDRESS(2,11,1,,T$3)):INDIRECT(ADDRESS(25,playercnt+10,1,,T$3)),24),"")</f>
        <v>6</v>
      </c>
      <c r="U29" s="46">
        <f ca="1">IF($D$2&gt;=(COLUMN()-10),HLOOKUP($B29,INDIRECT(ADDRESS(2,11,1,,U$3)):INDIRECT(ADDRESS(25,playercnt+10,1,,U$3)),24),"")</f>
        <v>5</v>
      </c>
      <c r="V29" s="46">
        <f ca="1">IF($D$2&gt;=(COLUMN()-10),HLOOKUP($B29,INDIRECT(ADDRESS(2,11,1,,V$3)):INDIRECT(ADDRESS(25,playercnt+10,1,,V$3)),24),"")</f>
        <v>6</v>
      </c>
      <c r="W29" s="46">
        <f ca="1">IF($D$2&gt;=(COLUMN()-10),HLOOKUP($B29,INDIRECT(ADDRESS(2,11,1,,W$3)):INDIRECT(ADDRESS(25,playercnt+10,1,,W$3)),24),"")</f>
        <v>7</v>
      </c>
      <c r="X29" s="14">
        <v>51</v>
      </c>
      <c r="Y29" s="14">
        <f t="shared" si="8"/>
        <v>22</v>
      </c>
    </row>
    <row r="30" spans="1:25" x14ac:dyDescent="0.2">
      <c r="A30" s="83">
        <f>IF(D30=D29,A29,Y30)</f>
        <v>23</v>
      </c>
      <c r="B30" s="39" t="str">
        <f ca="1">INDIRECT(ADDRESS(2,10+INDIRECT(ADDRESS(ROW(),24)),,,"Chart"))</f>
        <v>Martin, Douglas C</v>
      </c>
      <c r="C30" s="40">
        <f ca="1">sumAcrossWkSheets(28,10,X30)</f>
        <v>1</v>
      </c>
      <c r="D30" s="40">
        <f>sumAcrossWkSheets(25,10,X30)</f>
        <v>67</v>
      </c>
      <c r="E30" s="25">
        <f>D30/games_completed</f>
        <v>0.51538461538461533</v>
      </c>
      <c r="F30" s="11">
        <f>$D$8-D30</f>
        <v>8</v>
      </c>
      <c r="G30" s="43">
        <v>19</v>
      </c>
      <c r="H30" s="20">
        <f>G30-A30</f>
        <v>-4</v>
      </c>
      <c r="I30" s="17">
        <f ca="1">MAX(K30:W30)</f>
        <v>9</v>
      </c>
      <c r="J30" s="17">
        <f ca="1">MIN(K30:W30)</f>
        <v>0</v>
      </c>
      <c r="K30" s="46">
        <f ca="1">IF($D$2&gt;=(COLUMN()-10),HLOOKUP($B30,INDIRECT(ADDRESS(2,11,1,,K$3)):INDIRECT(ADDRESS(25,playercnt+10,1,,K$3)),24),"")</f>
        <v>5</v>
      </c>
      <c r="L30" s="46">
        <f ca="1">IF($D$2&gt;=(COLUMN()-10),HLOOKUP($B30,INDIRECT(ADDRESS(2,11,1,,L$3)):INDIRECT(ADDRESS(25,playercnt+10,1,,L$3)),24),"")</f>
        <v>7</v>
      </c>
      <c r="M30" s="46">
        <f ca="1">IF($D$2&gt;=(COLUMN()-10),HLOOKUP($B30,INDIRECT(ADDRESS(2,11,1,,M$3)):INDIRECT(ADDRESS(25,playercnt+10,1,,M$3)),24),"")</f>
        <v>0</v>
      </c>
      <c r="N30" s="46">
        <f ca="1">IF($D$2&gt;=(COLUMN()-10),HLOOKUP($B30,INDIRECT(ADDRESS(2,11,1,,N$3)):INDIRECT(ADDRESS(25,playercnt+10,1,,N$3)),24),"")</f>
        <v>5</v>
      </c>
      <c r="O30" s="46">
        <f ca="1">IF($D$2&gt;=(COLUMN()-10),HLOOKUP($B30,INDIRECT(ADDRESS(2,11,1,,O$3)):INDIRECT(ADDRESS(25,playercnt+10,1,,O$3)),24),"")</f>
        <v>4</v>
      </c>
      <c r="P30" s="46">
        <f ca="1">IF($D$2&gt;=(COLUMN()-10),HLOOKUP($B30,INDIRECT(ADDRESS(2,11,1,,P$3)):INDIRECT(ADDRESS(25,playercnt+10,1,,P$3)),24),"")</f>
        <v>5</v>
      </c>
      <c r="Q30" s="46">
        <f ca="1">IF($D$2&gt;=(COLUMN()-10),HLOOKUP($B30,INDIRECT(ADDRESS(2,11,1,,Q$3)):INDIRECT(ADDRESS(25,playercnt+10,1,,Q$3)),24),"")</f>
        <v>7</v>
      </c>
      <c r="R30" s="46">
        <f ca="1">IF($D$2&gt;=(COLUMN()-10),HLOOKUP($B30,INDIRECT(ADDRESS(2,11,1,,R$3)):INDIRECT(ADDRESS(25,playercnt+10,1,,R$3)),24),"")</f>
        <v>6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9</v>
      </c>
      <c r="W30" s="46">
        <f ca="1">IF($D$2&gt;=(COLUMN()-10),HLOOKUP($B30,INDIRECT(ADDRESS(2,11,1,,W$3)):INDIRECT(ADDRESS(25,playercnt+10,1,,W$3)),24),"")</f>
        <v>5</v>
      </c>
      <c r="X30" s="47">
        <v>26</v>
      </c>
      <c r="Y30" s="14">
        <f t="shared" si="8"/>
        <v>23</v>
      </c>
    </row>
    <row r="31" spans="1:25" x14ac:dyDescent="0.2">
      <c r="A31" s="83">
        <f>IF(D31=D30,A30,Y31)</f>
        <v>23</v>
      </c>
      <c r="B31" s="39" t="str">
        <f ca="1">INDIRECT(ADDRESS(2,10+INDIRECT(ADDRESS(ROW(),24)),,,"Chart"))</f>
        <v>Sams, David</v>
      </c>
      <c r="C31" s="40">
        <f ca="1">sumAcrossWkSheets(28,10,X31)</f>
        <v>0</v>
      </c>
      <c r="D31" s="40">
        <f>sumAcrossWkSheets(25,10,X31)</f>
        <v>67</v>
      </c>
      <c r="E31" s="25">
        <f>D31/games_completed</f>
        <v>0.51538461538461533</v>
      </c>
      <c r="F31" s="11">
        <f>$D$8-D31</f>
        <v>8</v>
      </c>
      <c r="G31" s="16">
        <v>10</v>
      </c>
      <c r="H31" s="20">
        <f>G31-A31</f>
        <v>-13</v>
      </c>
      <c r="I31" s="17">
        <f ca="1">MAX(K31:W31)</f>
        <v>7</v>
      </c>
      <c r="J31" s="17">
        <f ca="1">MIN(K31:W31)</f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4</v>
      </c>
      <c r="M31" s="46">
        <f ca="1">IF($D$2&gt;=(COLUMN()-10),HLOOKUP($B31,INDIRECT(ADDRESS(2,11,1,,M$3)):INDIRECT(ADDRESS(25,playercnt+10,1,,M$3)),24),"")</f>
        <v>7</v>
      </c>
      <c r="N31" s="46">
        <f ca="1">IF($D$2&gt;=(COLUMN()-10),HLOOKUP($B31,INDIRECT(ADDRESS(2,11,1,,N$3)):INDIRECT(ADDRESS(25,playercnt+10,1,,N$3)),24),"")</f>
        <v>7</v>
      </c>
      <c r="O31" s="46">
        <f ca="1">IF($D$2&gt;=(COLUMN()-10),HLOOKUP($B31,INDIRECT(ADDRESS(2,11,1,,O$3)):INDIRECT(ADDRESS(25,playercnt+10,1,,O$3)),24),"")</f>
        <v>5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3</v>
      </c>
      <c r="R31" s="46">
        <f ca="1">IF($D$2&gt;=(COLUMN()-10),HLOOKUP($B31,INDIRECT(ADDRESS(2,11,1,,R$3)):INDIRECT(ADDRESS(25,playercnt+10,1,,R$3)),24),"")</f>
        <v>4</v>
      </c>
      <c r="S31" s="46">
        <f ca="1">IF($D$2&gt;=(COLUMN()-10),HLOOKUP($B31,INDIRECT(ADDRESS(2,11,1,,S$3)):INDIRECT(ADDRESS(25,playercnt+10,1,,S$3)),24),"")</f>
        <v>7</v>
      </c>
      <c r="T31" s="46">
        <f ca="1">IF($D$2&gt;=(COLUMN()-10),HLOOKUP($B31,INDIRECT(ADDRESS(2,11,1,,T$3)):INDIRECT(ADDRESS(25,playercnt+10,1,,T$3)),24),"")</f>
        <v>7</v>
      </c>
      <c r="U31" s="46">
        <f ca="1">IF($D$2&gt;=(COLUMN()-10),HLOOKUP($B31,INDIRECT(ADDRESS(2,11,1,,U$3)):INDIRECT(ADDRESS(25,playercnt+10,1,,U$3)),24),"")</f>
        <v>7</v>
      </c>
      <c r="V31" s="46">
        <f ca="1">IF($D$2&gt;=(COLUMN()-10),HLOOKUP($B31,INDIRECT(ADDRESS(2,11,1,,V$3)):INDIRECT(ADDRESS(25,playercnt+10,1,,V$3)),24),"")</f>
        <v>5</v>
      </c>
      <c r="W31" s="46">
        <f ca="1">IF($D$2&gt;=(COLUMN()-10),HLOOKUP($B31,INDIRECT(ADDRESS(2,11,1,,W$3)):INDIRECT(ADDRESS(25,playercnt+10,1,,W$3)),24),"")</f>
        <v>2</v>
      </c>
      <c r="X31" s="14">
        <v>44</v>
      </c>
      <c r="Y31" s="14">
        <f t="shared" si="8"/>
        <v>24</v>
      </c>
    </row>
    <row r="32" spans="1:25" x14ac:dyDescent="0.2">
      <c r="A32" s="83">
        <f>IF(D32=D31,A31,Y32)</f>
        <v>25</v>
      </c>
      <c r="B32" s="39" t="str">
        <f ca="1">INDIRECT(ADDRESS(2,10+INDIRECT(ADDRESS(ROW(),24)),,,"Chart"))</f>
        <v>Emptage, Nick</v>
      </c>
      <c r="C32" s="40">
        <f ca="1">sumAcrossWkSheets(28,10,X32)</f>
        <v>0</v>
      </c>
      <c r="D32" s="40">
        <f>sumAcrossWkSheets(25,10,X32)</f>
        <v>66</v>
      </c>
      <c r="E32" s="25">
        <f>D32/games_completed</f>
        <v>0.50769230769230766</v>
      </c>
      <c r="F32" s="11">
        <f>$D$8-D32</f>
        <v>9</v>
      </c>
      <c r="G32" s="43">
        <v>31</v>
      </c>
      <c r="H32" s="20">
        <f>G32-A32</f>
        <v>6</v>
      </c>
      <c r="I32" s="17">
        <f ca="1">MAX(K32:W32)</f>
        <v>8</v>
      </c>
      <c r="J32" s="17">
        <f ca="1">MIN(K32:W32)</f>
        <v>0</v>
      </c>
      <c r="K32" s="46">
        <f ca="1">IF($D$2&gt;=(COLUMN()-10),HLOOKUP($B32,INDIRECT(ADDRESS(2,11,1,,K$3)):INDIRECT(ADDRESS(25,playercnt+10,1,,K$3)),24),"")</f>
        <v>3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5</v>
      </c>
      <c r="N32" s="46">
        <f ca="1">IF($D$2&gt;=(COLUMN()-10),HLOOKUP($B32,INDIRECT(ADDRESS(2,11,1,,N$3)):INDIRECT(ADDRESS(25,playercnt+10,1,,N$3)),24),"")</f>
        <v>0</v>
      </c>
      <c r="O32" s="46">
        <f ca="1">IF($D$2&gt;=(COLUMN()-10),HLOOKUP($B32,INDIRECT(ADDRESS(2,11,1,,O$3)):INDIRECT(ADDRESS(25,playercnt+10,1,,O$3)),24),"")</f>
        <v>6</v>
      </c>
      <c r="P32" s="46">
        <f ca="1">IF($D$2&gt;=(COLUMN()-10),HLOOKUP($B32,INDIRECT(ADDRESS(2,11,1,,P$3)):INDIRECT(ADDRESS(25,playercnt+10,1,,P$3)),24),"")</f>
        <v>7</v>
      </c>
      <c r="Q32" s="46">
        <f ca="1">IF($D$2&gt;=(COLUMN()-10),HLOOKUP($B32,INDIRECT(ADDRESS(2,11,1,,Q$3)):INDIRECT(ADDRESS(25,playercnt+10,1,,Q$3)),24),"")</f>
        <v>8</v>
      </c>
      <c r="R32" s="46">
        <f ca="1">IF($D$2&gt;=(COLUMN()-10),HLOOKUP($B32,INDIRECT(ADDRESS(2,11,1,,R$3)):INDIRECT(ADDRESS(25,playercnt+10,1,,R$3)),24),"")</f>
        <v>5</v>
      </c>
      <c r="S32" s="46">
        <f ca="1">IF($D$2&gt;=(COLUMN()-10),HLOOKUP($B32,INDIRECT(ADDRESS(2,11,1,,S$3)):INDIRECT(ADDRESS(25,playercnt+10,1,,S$3)),24),"")</f>
        <v>3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6</v>
      </c>
      <c r="V32" s="46">
        <f ca="1">IF($D$2&gt;=(COLUMN()-10),HLOOKUP($B32,INDIRECT(ADDRESS(2,11,1,,V$3)):INDIRECT(ADDRESS(25,playercnt+10,1,,V$3)),24),"")</f>
        <v>6</v>
      </c>
      <c r="W32" s="46">
        <f ca="1">IF($D$2&gt;=(COLUMN()-10),HLOOKUP($B32,INDIRECT(ADDRESS(2,11,1,,W$3)):INDIRECT(ADDRESS(25,playercnt+10,1,,W$3)),24),"")</f>
        <v>7</v>
      </c>
      <c r="X32" s="47">
        <v>14</v>
      </c>
      <c r="Y32" s="14">
        <f t="shared" si="8"/>
        <v>25</v>
      </c>
    </row>
    <row r="33" spans="1:25" x14ac:dyDescent="0.2">
      <c r="A33" s="83">
        <f>IF(D33=D32,A32,Y33)</f>
        <v>26</v>
      </c>
      <c r="B33" s="39" t="str">
        <f ca="1">INDIRECT(ADDRESS(2,10+INDIRECT(ADDRESS(ROW(),24)),,,"Chart"))</f>
        <v>Beasley, Tate</v>
      </c>
      <c r="C33" s="40">
        <f ca="1">sumAcrossWkSheets(28,10,X33)</f>
        <v>0</v>
      </c>
      <c r="D33" s="40">
        <f>sumAcrossWkSheets(25,10,X33)</f>
        <v>65</v>
      </c>
      <c r="E33" s="25">
        <f>D33/games_completed</f>
        <v>0.5</v>
      </c>
      <c r="F33" s="11">
        <f>$D$8-D33</f>
        <v>10</v>
      </c>
      <c r="G33" s="16">
        <v>31</v>
      </c>
      <c r="H33" s="20">
        <f>G33-A33</f>
        <v>5</v>
      </c>
      <c r="I33" s="17">
        <f ca="1">MAX(K33:W33)</f>
        <v>7</v>
      </c>
      <c r="J33" s="17">
        <f ca="1">MIN(K33:W33)</f>
        <v>0</v>
      </c>
      <c r="K33" s="46">
        <f ca="1">IF($D$2&gt;=(COLUMN()-10),HLOOKUP($B33,INDIRECT(ADDRESS(2,11,1,,K$3)):INDIRECT(ADDRESS(25,playercnt+10,1,,K$3)),24),"")</f>
        <v>4</v>
      </c>
      <c r="L33" s="46">
        <f ca="1">IF($D$2&gt;=(COLUMN()-10),HLOOKUP($B33,INDIRECT(ADDRESS(2,11,1,,L$3)):INDIRECT(ADDRESS(25,playercnt+10,1,,L$3)),24),"")</f>
        <v>7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0</v>
      </c>
      <c r="Q33" s="46">
        <f ca="1">IF($D$2&gt;=(COLUMN()-10),HLOOKUP($B33,INDIRECT(ADDRESS(2,11,1,,Q$3)):INDIRECT(ADDRESS(25,playercnt+10,1,,Q$3)),24),"")</f>
        <v>7</v>
      </c>
      <c r="R33" s="46">
        <f ca="1">IF($D$2&gt;=(COLUMN()-10),HLOOKUP($B33,INDIRECT(ADDRESS(2,11,1,,R$3)):INDIRECT(ADDRESS(25,playercnt+10,1,,R$3)),24),"")</f>
        <v>6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6</v>
      </c>
      <c r="W33" s="46">
        <f ca="1">IF($D$2&gt;=(COLUMN()-10),HLOOKUP($B33,INDIRECT(ADDRESS(2,11,1,,W$3)):INDIRECT(ADDRESS(25,playercnt+10,1,,W$3)),24),"")</f>
        <v>6</v>
      </c>
      <c r="X33" s="14">
        <v>3</v>
      </c>
      <c r="Y33" s="14">
        <f t="shared" si="8"/>
        <v>26</v>
      </c>
    </row>
    <row r="34" spans="1:25" x14ac:dyDescent="0.2">
      <c r="A34" s="83">
        <f>IF(D34=D33,A33,Y34)</f>
        <v>26</v>
      </c>
      <c r="B34" s="39" t="str">
        <f ca="1">INDIRECT(ADDRESS(2,10+INDIRECT(ADDRESS(ROW(),24)),,,"Chart"))</f>
        <v>Desetto, Daniel</v>
      </c>
      <c r="C34" s="40">
        <f ca="1">sumAcrossWkSheets(28,10,X34)</f>
        <v>1</v>
      </c>
      <c r="D34" s="40">
        <f>sumAcrossWkSheets(25,10,X34)</f>
        <v>65</v>
      </c>
      <c r="E34" s="25">
        <f>D34/games_completed</f>
        <v>0.5</v>
      </c>
      <c r="F34" s="11">
        <f>$D$8-D34</f>
        <v>10</v>
      </c>
      <c r="G34" s="43">
        <v>38</v>
      </c>
      <c r="H34" s="20">
        <f>G34-A34</f>
        <v>12</v>
      </c>
      <c r="I34" s="17">
        <f ca="1">MAX(K34:W34)</f>
        <v>8</v>
      </c>
      <c r="J34" s="17">
        <f ca="1">MIN(K34:W34)</f>
        <v>3</v>
      </c>
      <c r="K34" s="46">
        <f ca="1">IF($D$2&gt;=(COLUMN()-10),HLOOKUP($B34,INDIRECT(ADDRESS(2,11,1,,K$3)):INDIRECT(ADDRESS(25,playercnt+10,1,,K$3)),24),"")</f>
        <v>3</v>
      </c>
      <c r="L34" s="46">
        <f ca="1">IF($D$2&gt;=(COLUMN()-10),HLOOKUP($B34,INDIRECT(ADDRESS(2,11,1,,L$3)):INDIRECT(ADDRESS(25,playercnt+10,1,,L$3)),24),"")</f>
        <v>4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6</v>
      </c>
      <c r="P34" s="46">
        <f ca="1">IF($D$2&gt;=(COLUMN()-10),HLOOKUP($B34,INDIRECT(ADDRESS(2,11,1,,P$3)):INDIRECT(ADDRESS(25,playercnt+10,1,,P$3)),24),"")</f>
        <v>3</v>
      </c>
      <c r="Q34" s="46">
        <f ca="1">IF($D$2&gt;=(COLUMN()-10),HLOOKUP($B34,INDIRECT(ADDRESS(2,11,1,,Q$3)):INDIRECT(ADDRESS(25,playercnt+10,1,,Q$3)),24),"")</f>
        <v>4</v>
      </c>
      <c r="R34" s="46">
        <f ca="1">IF($D$2&gt;=(COLUMN()-10),HLOOKUP($B34,INDIRECT(ADDRESS(2,11,1,,R$3)):INDIRECT(ADDRESS(25,playercnt+10,1,,R$3)),24),"")</f>
        <v>6</v>
      </c>
      <c r="S34" s="46">
        <f ca="1">IF($D$2&gt;=(COLUMN()-10),HLOOKUP($B34,INDIRECT(ADDRESS(2,11,1,,S$3)):INDIRECT(ADDRESS(25,playercnt+10,1,,S$3)),24),"")</f>
        <v>3</v>
      </c>
      <c r="T34" s="46">
        <f ca="1">IF($D$2&gt;=(COLUMN()-10),HLOOKUP($B34,INDIRECT(ADDRESS(2,11,1,,T$3)):INDIRECT(ADDRESS(25,playercnt+10,1,,T$3)),24),"")</f>
        <v>4</v>
      </c>
      <c r="U34" s="46">
        <f ca="1">IF($D$2&gt;=(COLUMN()-10),HLOOKUP($B34,INDIRECT(ADDRESS(2,11,1,,U$3)):INDIRECT(ADDRESS(25,playercnt+10,1,,U$3)),24),"")</f>
        <v>7</v>
      </c>
      <c r="V34" s="46">
        <f ca="1">IF($D$2&gt;=(COLUMN()-10),HLOOKUP($B34,INDIRECT(ADDRESS(2,11,1,,V$3)):INDIRECT(ADDRESS(25,playercnt+10,1,,V$3)),24),"")</f>
        <v>6</v>
      </c>
      <c r="W34" s="46">
        <f ca="1">IF($D$2&gt;=(COLUMN()-10),HLOOKUP($B34,INDIRECT(ADDRESS(2,11,1,,W$3)):INDIRECT(ADDRESS(25,playercnt+10,1,,W$3)),24),"")</f>
        <v>8</v>
      </c>
      <c r="X34" s="47">
        <v>9</v>
      </c>
      <c r="Y34" s="14">
        <f t="shared" si="8"/>
        <v>27</v>
      </c>
    </row>
    <row r="35" spans="1:25" x14ac:dyDescent="0.2">
      <c r="A35" s="83">
        <f>IF(D35=D34,A34,Y35)</f>
        <v>26</v>
      </c>
      <c r="B35" s="39" t="str">
        <f ca="1">INDIRECT(ADDRESS(2,10+INDIRECT(ADDRESS(ROW(),24)),,,"Chart"))</f>
        <v>Drebin, James</v>
      </c>
      <c r="C35" s="40">
        <f ca="1">sumAcrossWkSheets(28,10,X35)</f>
        <v>0</v>
      </c>
      <c r="D35" s="40">
        <f>sumAcrossWkSheets(25,10,X35)</f>
        <v>65</v>
      </c>
      <c r="E35" s="25">
        <f>D35/games_completed</f>
        <v>0.5</v>
      </c>
      <c r="F35" s="11">
        <f>$D$8-D35</f>
        <v>10</v>
      </c>
      <c r="G35" s="16">
        <v>23</v>
      </c>
      <c r="H35" s="20">
        <f>G35-A35</f>
        <v>-3</v>
      </c>
      <c r="I35" s="17">
        <f ca="1">MAX(K35:W35)</f>
        <v>7</v>
      </c>
      <c r="J35" s="17">
        <f ca="1">MIN(K35:W35)</f>
        <v>3</v>
      </c>
      <c r="K35" s="46">
        <f ca="1">IF($D$2&gt;=(COLUMN()-10),HLOOKUP($B35,INDIRECT(ADDRESS(2,11,1,,K$3)):INDIRECT(ADDRESS(25,playercnt+10,1,,K$3)),24),"")</f>
        <v>6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3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6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4</v>
      </c>
      <c r="T35" s="46">
        <f ca="1">IF($D$2&gt;=(COLUMN()-10),HLOOKUP($B35,INDIRECT(ADDRESS(2,11,1,,T$3)):INDIRECT(ADDRESS(25,playercnt+10,1,,T$3)),24),"")</f>
        <v>4</v>
      </c>
      <c r="U35" s="46">
        <f ca="1">IF($D$2&gt;=(COLUMN()-10),HLOOKUP($B35,INDIRECT(ADDRESS(2,11,1,,U$3)):INDIRECT(ADDRESS(25,playercnt+10,1,,U$3)),24),"")</f>
        <v>5</v>
      </c>
      <c r="V35" s="46">
        <f ca="1">IF($D$2&gt;=(COLUMN()-10),HLOOKUP($B35,INDIRECT(ADDRESS(2,11,1,,V$3)):INDIRECT(ADDRESS(25,playercnt+10,1,,V$3)),24),"")</f>
        <v>7</v>
      </c>
      <c r="W35" s="46">
        <f ca="1">IF($D$2&gt;=(COLUMN()-10),HLOOKUP($B35,INDIRECT(ADDRESS(2,11,1,,W$3)):INDIRECT(ADDRESS(25,playercnt+10,1,,W$3)),24),"")</f>
        <v>4</v>
      </c>
      <c r="X35" s="14">
        <v>12</v>
      </c>
      <c r="Y35" s="14">
        <f t="shared" si="8"/>
        <v>28</v>
      </c>
    </row>
    <row r="36" spans="1:25" x14ac:dyDescent="0.2">
      <c r="A36" s="83">
        <f>IF(D36=D35,A35,Y36)</f>
        <v>26</v>
      </c>
      <c r="B36" s="39" t="str">
        <f ca="1">INDIRECT(ADDRESS(2,10+INDIRECT(ADDRESS(ROW(),24)),,,"Chart"))</f>
        <v>Holden, Brent</v>
      </c>
      <c r="C36" s="40">
        <f ca="1">sumAcrossWkSheets(28,10,X36)</f>
        <v>0</v>
      </c>
      <c r="D36" s="40">
        <f>sumAcrossWkSheets(25,10,X36)</f>
        <v>65</v>
      </c>
      <c r="E36" s="25">
        <f>D36/games_completed</f>
        <v>0.5</v>
      </c>
      <c r="F36" s="11">
        <f>$D$8-D36</f>
        <v>10</v>
      </c>
      <c r="G36" s="43">
        <v>34</v>
      </c>
      <c r="H36" s="20">
        <f>G36-A36</f>
        <v>8</v>
      </c>
      <c r="I36" s="17">
        <f ca="1">MAX(K36:W36)</f>
        <v>7</v>
      </c>
      <c r="J36" s="17">
        <f ca="1">MIN(K36:W36)</f>
        <v>1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7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1</v>
      </c>
      <c r="P36" s="46">
        <f ca="1">IF($D$2&gt;=(COLUMN()-10),HLOOKUP($B36,INDIRECT(ADDRESS(2,11,1,,P$3)):INDIRECT(ADDRESS(25,playercnt+10,1,,P$3)),24),"")</f>
        <v>4</v>
      </c>
      <c r="Q36" s="46">
        <f ca="1">IF($D$2&gt;=(COLUMN()-10),HLOOKUP($B36,INDIRECT(ADDRESS(2,11,1,,Q$3)):INDIRECT(ADDRESS(25,playercnt+10,1,,Q$3)),24),"")</f>
        <v>6</v>
      </c>
      <c r="R36" s="46">
        <f ca="1">IF($D$2&gt;=(COLUMN()-10),HLOOKUP($B36,INDIRECT(ADDRESS(2,11,1,,R$3)):INDIRECT(ADDRESS(25,playercnt+10,1,,R$3)),24),"")</f>
        <v>4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4</v>
      </c>
      <c r="U36" s="46">
        <f ca="1">IF($D$2&gt;=(COLUMN()-10),HLOOKUP($B36,INDIRECT(ADDRESS(2,11,1,,U$3)):INDIRECT(ADDRESS(25,playercnt+10,1,,U$3)),24),"")</f>
        <v>6</v>
      </c>
      <c r="V36" s="46">
        <f ca="1">IF($D$2&gt;=(COLUMN()-10),HLOOKUP($B36,INDIRECT(ADDRESS(2,11,1,,V$3)):INDIRECT(ADDRESS(25,playercnt+10,1,,V$3)),24),"")</f>
        <v>5</v>
      </c>
      <c r="W36" s="46">
        <f ca="1">IF($D$2&gt;=(COLUMN()-10),HLOOKUP($B36,INDIRECT(ADDRESS(2,11,1,,W$3)):INDIRECT(ADDRESS(25,playercnt+10,1,,W$3)),24),"")</f>
        <v>7</v>
      </c>
      <c r="X36" s="47">
        <v>19</v>
      </c>
      <c r="Y36" s="14">
        <f t="shared" si="8"/>
        <v>29</v>
      </c>
    </row>
    <row r="37" spans="1:25" x14ac:dyDescent="0.2">
      <c r="A37" s="83">
        <f>IF(D37=D36,A36,Y37)</f>
        <v>26</v>
      </c>
      <c r="B37" s="39" t="str">
        <f ca="1">INDIRECT(ADDRESS(2,10+INDIRECT(ADDRESS(ROW(),24)),,,"Chart"))</f>
        <v>Marsh, Alexander Remote</v>
      </c>
      <c r="C37" s="40">
        <f ca="1">sumAcrossWkSheets(28,10,X37)</f>
        <v>1</v>
      </c>
      <c r="D37" s="40">
        <f>sumAcrossWkSheets(25,10,X37)</f>
        <v>65</v>
      </c>
      <c r="E37" s="25">
        <f>D37/games_completed</f>
        <v>0.5</v>
      </c>
      <c r="F37" s="11">
        <f>$D$8-D37</f>
        <v>10</v>
      </c>
      <c r="G37" s="16">
        <v>27</v>
      </c>
      <c r="H37" s="20">
        <f>G37-A37</f>
        <v>1</v>
      </c>
      <c r="I37" s="17">
        <f ca="1">MAX(K37:W37)</f>
        <v>9</v>
      </c>
      <c r="J37" s="17">
        <f ca="1">MIN(K37:W37)</f>
        <v>2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2</v>
      </c>
      <c r="M37" s="46">
        <f ca="1">IF($D$2&gt;=(COLUMN()-10),HLOOKUP($B37,INDIRECT(ADDRESS(2,11,1,,M$3)):INDIRECT(ADDRESS(25,playercnt+10,1,,M$3)),24),"")</f>
        <v>6</v>
      </c>
      <c r="N37" s="46">
        <f ca="1">IF($D$2&gt;=(COLUMN()-10),HLOOKUP($B37,INDIRECT(ADDRESS(2,11,1,,N$3)):INDIRECT(ADDRESS(25,playercnt+10,1,,N$3)),24),"")</f>
        <v>9</v>
      </c>
      <c r="O37" s="46">
        <f ca="1">IF($D$2&gt;=(COLUMN()-10),HLOOKUP($B37,INDIRECT(ADDRESS(2,11,1,,O$3)):INDIRECT(ADDRESS(25,playercnt+10,1,,O$3)),24),"")</f>
        <v>6</v>
      </c>
      <c r="P37" s="46">
        <f ca="1">IF($D$2&gt;=(COLUMN()-10),HLOOKUP($B37,INDIRECT(ADDRESS(2,11,1,,P$3)):INDIRECT(ADDRESS(25,playercnt+10,1,,P$3)),24),"")</f>
        <v>2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5</v>
      </c>
      <c r="S37" s="46">
        <f ca="1">IF($D$2&gt;=(COLUMN()-10),HLOOKUP($B37,INDIRECT(ADDRESS(2,11,1,,S$3)):INDIRECT(ADDRESS(25,playercnt+10,1,,S$3)),24),"")</f>
        <v>4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8</v>
      </c>
      <c r="V37" s="46">
        <f ca="1">IF($D$2&gt;=(COLUMN()-10),HLOOKUP($B37,INDIRECT(ADDRESS(2,11,1,,V$3)):INDIRECT(ADDRESS(25,playercnt+10,1,,V$3)),24),"")</f>
        <v>2</v>
      </c>
      <c r="W37" s="46">
        <f ca="1">IF($D$2&gt;=(COLUMN()-10),HLOOKUP($B37,INDIRECT(ADDRESS(2,11,1,,W$3)):INDIRECT(ADDRESS(25,playercnt+10,1,,W$3)),24),"")</f>
        <v>5</v>
      </c>
      <c r="X37" s="14">
        <v>25</v>
      </c>
      <c r="Y37" s="14">
        <f>Y36+1</f>
        <v>30</v>
      </c>
    </row>
    <row r="38" spans="1:25" x14ac:dyDescent="0.2">
      <c r="A38" s="83">
        <f>IF(D38=D37,A37,Y38)</f>
        <v>31</v>
      </c>
      <c r="B38" s="39" t="str">
        <f ca="1">INDIRECT(ADDRESS(2,10+INDIRECT(ADDRESS(ROW(),24)),,,"Chart"))</f>
        <v>Daffron, Christopher</v>
      </c>
      <c r="C38" s="40">
        <f ca="1">sumAcrossWkSheets(28,10,X38)</f>
        <v>0</v>
      </c>
      <c r="D38" s="40">
        <f>sumAcrossWkSheets(25,10,X38)</f>
        <v>64</v>
      </c>
      <c r="E38" s="25">
        <f>D38/games_completed</f>
        <v>0.49230769230769234</v>
      </c>
      <c r="F38" s="11">
        <f>$D$8-D38</f>
        <v>11</v>
      </c>
      <c r="G38" s="43">
        <v>19</v>
      </c>
      <c r="H38" s="20">
        <f>G38-A38</f>
        <v>-12</v>
      </c>
      <c r="I38" s="17">
        <f ca="1">MAX(K38:W38)</f>
        <v>8</v>
      </c>
      <c r="J38" s="17">
        <f ca="1">MIN(K38:W38)</f>
        <v>0</v>
      </c>
      <c r="K38" s="46">
        <f ca="1">IF($D$2&gt;=(COLUMN()-10),HLOOKUP($B38,INDIRECT(ADDRESS(2,11,1,,K$3)):INDIRECT(ADDRESS(25,playercnt+10,1,,K$3)),24),"")</f>
        <v>4</v>
      </c>
      <c r="L38" s="46">
        <f ca="1">IF($D$2&gt;=(COLUMN()-10),HLOOKUP($B38,INDIRECT(ADDRESS(2,11,1,,L$3)):INDIRECT(ADDRESS(25,playercnt+10,1,,L$3)),24),"")</f>
        <v>4</v>
      </c>
      <c r="M38" s="46">
        <f ca="1">IF($D$2&gt;=(COLUMN()-10),HLOOKUP($B38,INDIRECT(ADDRESS(2,11,1,,M$3)):INDIRECT(ADDRESS(25,playercnt+10,1,,M$3)),24),"")</f>
        <v>0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6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6</v>
      </c>
      <c r="R38" s="46">
        <f ca="1">IF($D$2&gt;=(COLUMN()-10),HLOOKUP($B38,INDIRECT(ADDRESS(2,11,1,,R$3)):INDIRECT(ADDRESS(25,playercnt+10,1,,R$3)),24),"")</f>
        <v>8</v>
      </c>
      <c r="S38" s="46">
        <f ca="1">IF($D$2&gt;=(COLUMN()-10),HLOOKUP($B38,INDIRECT(ADDRESS(2,11,1,,S$3)):INDIRECT(ADDRESS(25,playercnt+10,1,,S$3)),24),"")</f>
        <v>3</v>
      </c>
      <c r="T38" s="46">
        <f ca="1">IF($D$2&gt;=(COLUMN()-10),HLOOKUP($B38,INDIRECT(ADDRESS(2,11,1,,T$3)):INDIRECT(ADDRESS(25,playercnt+10,1,,T$3)),24),"")</f>
        <v>8</v>
      </c>
      <c r="U38" s="46">
        <f ca="1">IF($D$2&gt;=(COLUMN()-10),HLOOKUP($B38,INDIRECT(ADDRESS(2,11,1,,U$3)):INDIRECT(ADDRESS(25,playercnt+10,1,,U$3)),24),"")</f>
        <v>7</v>
      </c>
      <c r="V38" s="46">
        <f ca="1">IF($D$2&gt;=(COLUMN()-10),HLOOKUP($B38,INDIRECT(ADDRESS(2,11,1,,V$3)):INDIRECT(ADDRESS(25,playercnt+10,1,,V$3)),24),"")</f>
        <v>7</v>
      </c>
      <c r="W38" s="46">
        <f ca="1">IF($D$2&gt;=(COLUMN()-10),HLOOKUP($B38,INDIRECT(ADDRESS(2,11,1,,W$3)):INDIRECT(ADDRESS(25,playercnt+10,1,,W$3)),24),"")</f>
        <v>2</v>
      </c>
      <c r="X38" s="47">
        <v>7</v>
      </c>
      <c r="Y38" s="14">
        <f>Y37+1</f>
        <v>31</v>
      </c>
    </row>
    <row r="39" spans="1:25" x14ac:dyDescent="0.2">
      <c r="A39" s="83">
        <f>IF(D39=D38,A38,Y39)</f>
        <v>31</v>
      </c>
      <c r="B39" s="39" t="str">
        <f ca="1">INDIRECT(ADDRESS(2,10+INDIRECT(ADDRESS(ROW(),24)),,,"Chart"))</f>
        <v>Ferguson, Scott Remote</v>
      </c>
      <c r="C39" s="40">
        <f ca="1">sumAcrossWkSheets(28,10,X39)</f>
        <v>0</v>
      </c>
      <c r="D39" s="40">
        <f>sumAcrossWkSheets(25,10,X39)</f>
        <v>64</v>
      </c>
      <c r="E39" s="25">
        <f>D39/games_completed</f>
        <v>0.49230769230769234</v>
      </c>
      <c r="F39" s="11">
        <f>$D$8-D39</f>
        <v>11</v>
      </c>
      <c r="G39" s="16">
        <v>27</v>
      </c>
      <c r="H39" s="20">
        <f>G39-A39</f>
        <v>-4</v>
      </c>
      <c r="I39" s="17">
        <f ca="1">MAX(K39:W39)</f>
        <v>7</v>
      </c>
      <c r="J39" s="17">
        <f ca="1">MIN(K39:W39)</f>
        <v>4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6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5</v>
      </c>
      <c r="R39" s="46">
        <f ca="1">IF($D$2&gt;=(COLUMN()-10),HLOOKUP($B39,INDIRECT(ADDRESS(2,11,1,,R$3)):INDIRECT(ADDRESS(25,playercnt+10,1,,R$3)),24),"")</f>
        <v>7</v>
      </c>
      <c r="S39" s="46">
        <f ca="1">IF($D$2&gt;=(COLUMN()-10),HLOOKUP($B39,INDIRECT(ADDRESS(2,11,1,,S$3)):INDIRECT(ADDRESS(25,playercnt+10,1,,S$3)),24),"")</f>
        <v>4</v>
      </c>
      <c r="T39" s="46">
        <f ca="1">IF($D$2&gt;=(COLUMN()-10),HLOOKUP($B39,INDIRECT(ADDRESS(2,11,1,,T$3)):INDIRECT(ADDRESS(25,playercnt+10,1,,T$3)),24),"")</f>
        <v>6</v>
      </c>
      <c r="U39" s="46">
        <f ca="1">IF($D$2&gt;=(COLUMN()-10),HLOOKUP($B39,INDIRECT(ADDRESS(2,11,1,,U$3)):INDIRECT(ADDRESS(25,playercnt+10,1,,U$3)),24),"")</f>
        <v>5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4</v>
      </c>
      <c r="X39" s="14">
        <v>15</v>
      </c>
      <c r="Y39" s="14">
        <f t="shared" ref="Y39:Y44" si="9">Y38+1</f>
        <v>32</v>
      </c>
    </row>
    <row r="40" spans="1:25" x14ac:dyDescent="0.2">
      <c r="A40" s="83">
        <f>IF(D40=D39,A39,Y40)</f>
        <v>31</v>
      </c>
      <c r="B40" s="39" t="str">
        <f ca="1">INDIRECT(ADDRESS(2,10+INDIRECT(ADDRESS(ROW(),24)),,,"Chart"))</f>
        <v>Johnson, Creed D</v>
      </c>
      <c r="C40" s="40">
        <f ca="1">sumAcrossWkSheets(28,10,X40)</f>
        <v>0</v>
      </c>
      <c r="D40" s="40">
        <f>sumAcrossWkSheets(25,10,X40)</f>
        <v>64</v>
      </c>
      <c r="E40" s="25">
        <f>D40/games_completed</f>
        <v>0.49230769230769234</v>
      </c>
      <c r="F40" s="11">
        <f>$D$8-D40</f>
        <v>11</v>
      </c>
      <c r="G40" s="43">
        <v>27</v>
      </c>
      <c r="H40" s="20">
        <f>G40-A40</f>
        <v>-4</v>
      </c>
      <c r="I40" s="17">
        <f ca="1">MAX(K40:W40)</f>
        <v>8</v>
      </c>
      <c r="J40" s="17">
        <f ca="1">MIN(K40:W40)</f>
        <v>0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3</v>
      </c>
      <c r="M40" s="46">
        <f ca="1">IF($D$2&gt;=(COLUMN()-10),HLOOKUP($B40,INDIRECT(ADDRESS(2,11,1,,M$3)):INDIRECT(ADDRESS(25,playercnt+10,1,,M$3)),24),"")</f>
        <v>0</v>
      </c>
      <c r="N40" s="46">
        <f ca="1">IF($D$2&gt;=(COLUMN()-10),HLOOKUP($B40,INDIRECT(ADDRESS(2,11,1,,N$3)):INDIRECT(ADDRESS(25,playercnt+10,1,,N$3)),24),"")</f>
        <v>6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6</v>
      </c>
      <c r="Q40" s="46">
        <f ca="1">IF($D$2&gt;=(COLUMN()-10),HLOOKUP($B40,INDIRECT(ADDRESS(2,11,1,,Q$3)):INDIRECT(ADDRESS(25,playercnt+10,1,,Q$3)),24),"")</f>
        <v>7</v>
      </c>
      <c r="R40" s="46">
        <f ca="1">IF($D$2&gt;=(COLUMN()-10),HLOOKUP($B40,INDIRECT(ADDRESS(2,11,1,,R$3)):INDIRECT(ADDRESS(25,playercnt+10,1,,R$3)),24),"")</f>
        <v>4</v>
      </c>
      <c r="S40" s="46">
        <f ca="1">IF($D$2&gt;=(COLUMN()-10),HLOOKUP($B40,INDIRECT(ADDRESS(2,11,1,,S$3)):INDIRECT(ADDRESS(25,playercnt+10,1,,S$3)),24),"")</f>
        <v>7</v>
      </c>
      <c r="T40" s="46">
        <f ca="1">IF($D$2&gt;=(COLUMN()-10),HLOOKUP($B40,INDIRECT(ADDRESS(2,11,1,,T$3)):INDIRECT(ADDRESS(25,playercnt+10,1,,T$3)),24),"")</f>
        <v>5</v>
      </c>
      <c r="U40" s="46">
        <f ca="1">IF($D$2&gt;=(COLUMN()-10),HLOOKUP($B40,INDIRECT(ADDRESS(2,11,1,,U$3)):INDIRECT(ADDRESS(25,playercnt+10,1,,U$3)),24),"")</f>
        <v>8</v>
      </c>
      <c r="V40" s="46">
        <f ca="1">IF($D$2&gt;=(COLUMN()-10),HLOOKUP($B40,INDIRECT(ADDRESS(2,11,1,,V$3)):INDIRECT(ADDRESS(25,playercnt+10,1,,V$3)),24),"")</f>
        <v>4</v>
      </c>
      <c r="W40" s="46">
        <f ca="1">IF($D$2&gt;=(COLUMN()-10),HLOOKUP($B40,INDIRECT(ADDRESS(2,11,1,,W$3)):INDIRECT(ADDRESS(25,playercnt+10,1,,W$3)),24),"")</f>
        <v>4</v>
      </c>
      <c r="X40" s="47">
        <v>23</v>
      </c>
      <c r="Y40" s="14">
        <f t="shared" si="9"/>
        <v>33</v>
      </c>
    </row>
    <row r="41" spans="1:25" x14ac:dyDescent="0.2">
      <c r="A41" s="83">
        <f>IF(D41=D40,A40,Y41)</f>
        <v>31</v>
      </c>
      <c r="B41" s="39" t="str">
        <f ca="1">INDIRECT(ADDRESS(2,10+INDIRECT(ADDRESS(ROW(),24)),,,"Chart"))</f>
        <v>Murphy, William A</v>
      </c>
      <c r="C41" s="40">
        <f ca="1">sumAcrossWkSheets(28,10,X41)</f>
        <v>0</v>
      </c>
      <c r="D41" s="40">
        <f>sumAcrossWkSheets(25,10,X41)</f>
        <v>64</v>
      </c>
      <c r="E41" s="25">
        <f>D41/games_completed</f>
        <v>0.49230769230769234</v>
      </c>
      <c r="F41" s="11">
        <f>$D$8-D41</f>
        <v>11</v>
      </c>
      <c r="G41" s="16">
        <v>27</v>
      </c>
      <c r="H41" s="20">
        <f>G41-A41</f>
        <v>-4</v>
      </c>
      <c r="I41" s="17">
        <f ca="1">MAX(K41:W41)</f>
        <v>8</v>
      </c>
      <c r="J41" s="17">
        <f ca="1">MIN(K41:W41)</f>
        <v>3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4</v>
      </c>
      <c r="M41" s="46">
        <f ca="1">IF($D$2&gt;=(COLUMN()-10),HLOOKUP($B41,INDIRECT(ADDRESS(2,11,1,,M$3)):INDIRECT(ADDRESS(25,playercnt+10,1,,M$3)),24),"")</f>
        <v>5</v>
      </c>
      <c r="N41" s="46">
        <f ca="1">IF($D$2&gt;=(COLUMN()-10),HLOOKUP($B41,INDIRECT(ADDRESS(2,11,1,,N$3)):INDIRECT(ADDRESS(25,playercnt+10,1,,N$3)),24),"")</f>
        <v>5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3</v>
      </c>
      <c r="R41" s="46">
        <f ca="1">IF($D$2&gt;=(COLUMN()-10),HLOOKUP($B41,INDIRECT(ADDRESS(2,11,1,,R$3)):INDIRECT(ADDRESS(25,playercnt+10,1,,R$3)),24),"")</f>
        <v>7</v>
      </c>
      <c r="S41" s="46">
        <f ca="1">IF($D$2&gt;=(COLUMN()-10),HLOOKUP($B41,INDIRECT(ADDRESS(2,11,1,,S$3)):INDIRECT(ADDRESS(25,playercnt+10,1,,S$3)),24),"")</f>
        <v>6</v>
      </c>
      <c r="T41" s="46">
        <f ca="1">IF($D$2&gt;=(COLUMN()-10),HLOOKUP($B41,INDIRECT(ADDRESS(2,11,1,,T$3)):INDIRECT(ADDRESS(25,playercnt+10,1,,T$3)),24),"")</f>
        <v>4</v>
      </c>
      <c r="U41" s="46">
        <f ca="1">IF($D$2&gt;=(COLUMN()-10),HLOOKUP($B41,INDIRECT(ADDRESS(2,11,1,,U$3)):INDIRECT(ADDRESS(25,playercnt+10,1,,U$3)),24),"")</f>
        <v>8</v>
      </c>
      <c r="V41" s="46">
        <f ca="1">IF($D$2&gt;=(COLUMN()-10),HLOOKUP($B41,INDIRECT(ADDRESS(2,11,1,,V$3)):INDIRECT(ADDRESS(25,playercnt+10,1,,V$3)),24),"")</f>
        <v>5</v>
      </c>
      <c r="W41" s="46">
        <f ca="1">IF($D$2&gt;=(COLUMN()-10),HLOOKUP($B41,INDIRECT(ADDRESS(2,11,1,,W$3)):INDIRECT(ADDRESS(25,playercnt+10,1,,W$3)),24),"")</f>
        <v>4</v>
      </c>
      <c r="X41" s="14">
        <v>31</v>
      </c>
      <c r="Y41" s="14">
        <f t="shared" si="9"/>
        <v>34</v>
      </c>
    </row>
    <row r="42" spans="1:25" x14ac:dyDescent="0.2">
      <c r="A42" s="83">
        <f>IF(D42=D41,A41,Y42)</f>
        <v>35</v>
      </c>
      <c r="B42" s="39" t="str">
        <f ca="1">INDIRECT(ADDRESS(2,10+INDIRECT(ADDRESS(ROW(),24)),,,"Chart"))</f>
        <v>Desing, Scott M</v>
      </c>
      <c r="C42" s="40">
        <f ca="1">sumAcrossWkSheets(28,10,X42)</f>
        <v>0</v>
      </c>
      <c r="D42" s="40">
        <f>sumAcrossWkSheets(25,10,X42)</f>
        <v>63</v>
      </c>
      <c r="E42" s="25">
        <f>D42/games_completed</f>
        <v>0.48461538461538461</v>
      </c>
      <c r="F42" s="11">
        <f>$D$8-D42</f>
        <v>12</v>
      </c>
      <c r="G42" s="43">
        <v>31</v>
      </c>
      <c r="H42" s="20">
        <f>G42-A42</f>
        <v>-4</v>
      </c>
      <c r="I42" s="17">
        <f ca="1">MAX(K42:W42)</f>
        <v>8</v>
      </c>
      <c r="J42" s="17">
        <f ca="1">MIN(K42:W42)</f>
        <v>0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3</v>
      </c>
      <c r="M42" s="46">
        <f ca="1">IF($D$2&gt;=(COLUMN()-10),HLOOKUP($B42,INDIRECT(ADDRESS(2,11,1,,M$3)):INDIRECT(ADDRESS(25,playercnt+10,1,,M$3)),24),"")</f>
        <v>0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7</v>
      </c>
      <c r="R42" s="46">
        <f ca="1">IF($D$2&gt;=(COLUMN()-10),HLOOKUP($B42,INDIRECT(ADDRESS(2,11,1,,R$3)):INDIRECT(ADDRESS(25,playercnt+10,1,,R$3)),24),"")</f>
        <v>6</v>
      </c>
      <c r="S42" s="46">
        <f ca="1">IF($D$2&gt;=(COLUMN()-10),HLOOKUP($B42,INDIRECT(ADDRESS(2,11,1,,S$3)):INDIRECT(ADDRESS(25,playercnt+10,1,,S$3)),24),"")</f>
        <v>3</v>
      </c>
      <c r="T42" s="46">
        <f ca="1">IF($D$2&gt;=(COLUMN()-10),HLOOKUP($B42,INDIRECT(ADDRESS(2,11,1,,T$3)):INDIRECT(ADDRESS(25,playercnt+10,1,,T$3)),24),"")</f>
        <v>6</v>
      </c>
      <c r="U42" s="46">
        <f ca="1">IF($D$2&gt;=(COLUMN()-10),HLOOKUP($B42,INDIRECT(ADDRESS(2,11,1,,U$3)):INDIRECT(ADDRESS(25,playercnt+10,1,,U$3)),24),"")</f>
        <v>8</v>
      </c>
      <c r="V42" s="46">
        <f ca="1">IF($D$2&gt;=(COLUMN()-10),HLOOKUP($B42,INDIRECT(ADDRESS(2,11,1,,V$3)):INDIRECT(ADDRESS(25,playercnt+10,1,,V$3)),24),"")</f>
        <v>6</v>
      </c>
      <c r="W42" s="46">
        <f ca="1">IF($D$2&gt;=(COLUMN()-10),HLOOKUP($B42,INDIRECT(ADDRESS(2,11,1,,W$3)):INDIRECT(ADDRESS(25,playercnt+10,1,,W$3)),24),"")</f>
        <v>4</v>
      </c>
      <c r="X42" s="47">
        <v>11</v>
      </c>
      <c r="Y42" s="14">
        <f t="shared" si="9"/>
        <v>35</v>
      </c>
    </row>
    <row r="43" spans="1:25" x14ac:dyDescent="0.2">
      <c r="A43" s="83">
        <f>IF(D43=D42,A42,Y43)</f>
        <v>35</v>
      </c>
      <c r="B43" s="39" t="str">
        <f ca="1">INDIRECT(ADDRESS(2,10+INDIRECT(ADDRESS(ROW(),24)),,,"Chart"))</f>
        <v>James, Larry C</v>
      </c>
      <c r="C43" s="40">
        <f ca="1">sumAcrossWkSheets(28,10,X43)</f>
        <v>0</v>
      </c>
      <c r="D43" s="40">
        <f>sumAcrossWkSheets(25,10,X43)</f>
        <v>63</v>
      </c>
      <c r="E43" s="25">
        <f>D43/games_completed</f>
        <v>0.48461538461538461</v>
      </c>
      <c r="F43" s="11">
        <f>$D$8-D43</f>
        <v>12</v>
      </c>
      <c r="G43" s="16">
        <v>43</v>
      </c>
      <c r="H43" s="20">
        <f>G43-A43</f>
        <v>8</v>
      </c>
      <c r="I43" s="17">
        <f ca="1">MAX(K43:W43)</f>
        <v>8</v>
      </c>
      <c r="J43" s="17">
        <f ca="1">MIN(K43:W43)</f>
        <v>1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6</v>
      </c>
      <c r="P43" s="46">
        <f ca="1">IF($D$2&gt;=(COLUMN()-10),HLOOKUP($B43,INDIRECT(ADDRESS(2,11,1,,P$3)):INDIRECT(ADDRESS(25,playercnt+10,1,,P$3)),24),"")</f>
        <v>4</v>
      </c>
      <c r="Q43" s="46">
        <f ca="1">IF($D$2&gt;=(COLUMN()-10),HLOOKUP($B43,INDIRECT(ADDRESS(2,11,1,,Q$3)):INDIRECT(ADDRESS(25,playercnt+10,1,,Q$3)),24),"")</f>
        <v>5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1</v>
      </c>
      <c r="T43" s="46">
        <f ca="1">IF($D$2&gt;=(COLUMN()-10),HLOOKUP($B43,INDIRECT(ADDRESS(2,11,1,,T$3)):INDIRECT(ADDRESS(25,playercnt+10,1,,T$3)),24),"")</f>
        <v>5</v>
      </c>
      <c r="U43" s="46">
        <f ca="1">IF($D$2&gt;=(COLUMN()-10),HLOOKUP($B43,INDIRECT(ADDRESS(2,11,1,,U$3)):INDIRECT(ADDRESS(25,playercnt+10,1,,U$3)),24),"")</f>
        <v>4</v>
      </c>
      <c r="V43" s="46">
        <f ca="1">IF($D$2&gt;=(COLUMN()-10),HLOOKUP($B43,INDIRECT(ADDRESS(2,11,1,,V$3)):INDIRECT(ADDRESS(25,playercnt+10,1,,V$3)),24),"")</f>
        <v>4</v>
      </c>
      <c r="W43" s="46">
        <f ca="1">IF($D$2&gt;=(COLUMN()-10),HLOOKUP($B43,INDIRECT(ADDRESS(2,11,1,,W$3)):INDIRECT(ADDRESS(25,playercnt+10,1,,W$3)),24),"")</f>
        <v>8</v>
      </c>
      <c r="X43" s="14">
        <v>22</v>
      </c>
      <c r="Y43" s="14">
        <f t="shared" si="9"/>
        <v>36</v>
      </c>
    </row>
    <row r="44" spans="1:25" x14ac:dyDescent="0.2">
      <c r="A44" s="83">
        <f>IF(D44=D43,A43,Y44)</f>
        <v>35</v>
      </c>
      <c r="B44" s="39" t="str">
        <f ca="1">INDIRECT(ADDRESS(2,10+INDIRECT(ADDRESS(ROW(),24)),,,"Chart"))</f>
        <v>Sapp, Carl G</v>
      </c>
      <c r="C44" s="40">
        <f ca="1">sumAcrossWkSheets(28,10,X44)</f>
        <v>0</v>
      </c>
      <c r="D44" s="40">
        <f>sumAcrossWkSheets(25,10,X44)</f>
        <v>63</v>
      </c>
      <c r="E44" s="25">
        <f>D44/games_completed</f>
        <v>0.48461538461538461</v>
      </c>
      <c r="F44" s="11">
        <f>$D$8-D44</f>
        <v>12</v>
      </c>
      <c r="G44" s="43">
        <v>34</v>
      </c>
      <c r="H44" s="20">
        <f>G44-A44</f>
        <v>-1</v>
      </c>
      <c r="I44" s="17">
        <f ca="1">MAX(K44:W44)</f>
        <v>7</v>
      </c>
      <c r="J44" s="17">
        <f ca="1">MIN(K44:W44)</f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3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7</v>
      </c>
      <c r="W44" s="46">
        <f ca="1">IF($D$2&gt;=(COLUMN()-10),HLOOKUP($B44,INDIRECT(ADDRESS(2,11,1,,W$3)):INDIRECT(ADDRESS(25,playercnt+10,1,,W$3)),24),"")</f>
        <v>5</v>
      </c>
      <c r="X44" s="47">
        <v>45</v>
      </c>
      <c r="Y44" s="14">
        <f t="shared" si="9"/>
        <v>37</v>
      </c>
    </row>
    <row r="45" spans="1:25" x14ac:dyDescent="0.2">
      <c r="A45" s="83">
        <f>IF(D45=D44,A44,Y45)</f>
        <v>35</v>
      </c>
      <c r="B45" s="39" t="str">
        <f ca="1">INDIRECT(ADDRESS(2,10+INDIRECT(ADDRESS(ROW(),24)),,,"Chart"))</f>
        <v>Winburn, Steve A</v>
      </c>
      <c r="C45" s="40">
        <f ca="1">sumAcrossWkSheets(28,10,X45)</f>
        <v>0</v>
      </c>
      <c r="D45" s="40">
        <f>sumAcrossWkSheets(25,10,X45)</f>
        <v>63</v>
      </c>
      <c r="E45" s="25">
        <f>D45/games_completed</f>
        <v>0.48461538461538461</v>
      </c>
      <c r="F45" s="11">
        <f>$D$8-D45</f>
        <v>12</v>
      </c>
      <c r="G45" s="16">
        <v>34</v>
      </c>
      <c r="H45" s="20">
        <f>G45-A45</f>
        <v>-1</v>
      </c>
      <c r="I45" s="17">
        <f ca="1">MAX(K45:W45)</f>
        <v>7</v>
      </c>
      <c r="J45" s="17">
        <f ca="1">MIN(K45:W45)</f>
        <v>2</v>
      </c>
      <c r="K45" s="46">
        <f ca="1">IF($D$2&gt;=(COLUMN()-10),HLOOKUP($B45,INDIRECT(ADDRESS(2,11,1,,K$3)):INDIRECT(ADDRESS(25,playercnt+10,1,,K$3)),24),"")</f>
        <v>7</v>
      </c>
      <c r="L45" s="46">
        <f ca="1">IF($D$2&gt;=(COLUMN()-10),HLOOKUP($B45,INDIRECT(ADDRESS(2,11,1,,L$3)):INDIRECT(ADDRESS(25,playercnt+10,1,,L$3)),24),"")</f>
        <v>4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6</v>
      </c>
      <c r="O45" s="46">
        <f ca="1">IF($D$2&gt;=(COLUMN()-10),HLOOKUP($B45,INDIRECT(ADDRESS(2,11,1,,O$3)):INDIRECT(ADDRESS(25,playercnt+10,1,,O$3)),24),"")</f>
        <v>5</v>
      </c>
      <c r="P45" s="46">
        <f ca="1">IF($D$2&gt;=(COLUMN()-10),HLOOKUP($B45,INDIRECT(ADDRESS(2,11,1,,P$3)):INDIRECT(ADDRESS(25,playercnt+10,1,,P$3)),24),"")</f>
        <v>2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5</v>
      </c>
      <c r="V45" s="46">
        <f ca="1">IF($D$2&gt;=(COLUMN()-10),HLOOKUP($B45,INDIRECT(ADDRESS(2,11,1,,V$3)):INDIRECT(ADDRESS(25,playercnt+10,1,,V$3)),24),"")</f>
        <v>3</v>
      </c>
      <c r="W45" s="46">
        <f ca="1">IF($D$2&gt;=(COLUMN()-10),HLOOKUP($B45,INDIRECT(ADDRESS(2,11,1,,W$3)):INDIRECT(ADDRESS(25,playercnt+10,1,,W$3)),24),"")</f>
        <v>5</v>
      </c>
      <c r="X45" s="14">
        <v>55</v>
      </c>
      <c r="Y45" s="14">
        <f t="shared" ref="Y45:Y50" si="10">Y44+1</f>
        <v>38</v>
      </c>
    </row>
    <row r="46" spans="1:25" x14ac:dyDescent="0.2">
      <c r="A46" s="83">
        <f>IF(D46=D45,A45,Y46)</f>
        <v>39</v>
      </c>
      <c r="B46" s="39" t="str">
        <f ca="1">INDIRECT(ADDRESS(2,10+INDIRECT(ADDRESS(ROW(),24)),,,"Chart"))</f>
        <v>Staub, Ryan</v>
      </c>
      <c r="C46" s="40">
        <f ca="1">sumAcrossWkSheets(28,10,X46)</f>
        <v>0</v>
      </c>
      <c r="D46" s="40">
        <f>sumAcrossWkSheets(25,10,X46)</f>
        <v>61</v>
      </c>
      <c r="E46" s="25">
        <f>D46/games_completed</f>
        <v>0.46923076923076923</v>
      </c>
      <c r="F46" s="11">
        <f>$D$8-D46</f>
        <v>14</v>
      </c>
      <c r="G46" s="43">
        <v>34</v>
      </c>
      <c r="H46" s="20">
        <f>G46-A46</f>
        <v>-5</v>
      </c>
      <c r="I46" s="17">
        <f ca="1">MAX(K46:W46)</f>
        <v>8</v>
      </c>
      <c r="J46" s="17">
        <f ca="1">MIN(K46:W46)</f>
        <v>0</v>
      </c>
      <c r="K46" s="46">
        <f ca="1">IF($D$2&gt;=(COLUMN()-10),HLOOKUP($B46,INDIRECT(ADDRESS(2,11,1,,K$3)):INDIRECT(ADDRESS(25,playercnt+10,1,,K$3)),24),"")</f>
        <v>3</v>
      </c>
      <c r="L46" s="46">
        <f ca="1">IF($D$2&gt;=(COLUMN()-10),HLOOKUP($B46,INDIRECT(ADDRESS(2,11,1,,L$3)):INDIRECT(ADDRESS(25,playercnt+10,1,,L$3)),24),"")</f>
        <v>6</v>
      </c>
      <c r="M46" s="46">
        <f ca="1">IF($D$2&gt;=(COLUMN()-10),HLOOKUP($B46,INDIRECT(ADDRESS(2,11,1,,M$3)):INDIRECT(ADDRESS(25,playercnt+10,1,,M$3)),24),"")</f>
        <v>7</v>
      </c>
      <c r="N46" s="46">
        <f ca="1">IF($D$2&gt;=(COLUMN()-10),HLOOKUP($B46,INDIRECT(ADDRESS(2,11,1,,N$3)):INDIRECT(ADDRESS(25,playercnt+10,1,,N$3)),24),"")</f>
        <v>0</v>
      </c>
      <c r="O46" s="46">
        <f ca="1">IF($D$2&gt;=(COLUMN()-10),HLOOKUP($B46,INDIRECT(ADDRESS(2,11,1,,O$3)):INDIRECT(ADDRESS(25,playercnt+10,1,,O$3)),24),"")</f>
        <v>5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5</v>
      </c>
      <c r="R46" s="46">
        <f ca="1">IF($D$2&gt;=(COLUMN()-10),HLOOKUP($B46,INDIRECT(ADDRESS(2,11,1,,R$3)):INDIRECT(ADDRESS(25,playercnt+10,1,,R$3)),24),"")</f>
        <v>4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8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8</v>
      </c>
      <c r="W46" s="46">
        <f ca="1">IF($D$2&gt;=(COLUMN()-10),HLOOKUP($B46,INDIRECT(ADDRESS(2,11,1,,W$3)):INDIRECT(ADDRESS(25,playercnt+10,1,,W$3)),24),"")</f>
        <v>3</v>
      </c>
      <c r="X46" s="47">
        <v>47</v>
      </c>
      <c r="Y46" s="14">
        <f t="shared" si="10"/>
        <v>39</v>
      </c>
    </row>
    <row r="47" spans="1:25" x14ac:dyDescent="0.2">
      <c r="A47" s="83">
        <f>IF(D47=D46,A46,Y47)</f>
        <v>40</v>
      </c>
      <c r="B47" s="39" t="str">
        <f ca="1">INDIRECT(ADDRESS(2,10+INDIRECT(ADDRESS(ROW(),24)),,,"Chart"))</f>
        <v>Delehanty, Kyle T</v>
      </c>
      <c r="C47" s="40">
        <f ca="1">sumAcrossWkSheets(28,10,X47)</f>
        <v>0</v>
      </c>
      <c r="D47" s="40">
        <f>sumAcrossWkSheets(25,10,X47)</f>
        <v>60</v>
      </c>
      <c r="E47" s="25">
        <f>D47/games_completed</f>
        <v>0.46153846153846156</v>
      </c>
      <c r="F47" s="11">
        <f>$D$8-D47</f>
        <v>15</v>
      </c>
      <c r="G47" s="16">
        <v>40</v>
      </c>
      <c r="H47" s="20">
        <f>G47-A47</f>
        <v>0</v>
      </c>
      <c r="I47" s="17">
        <f ca="1">MAX(K47:W47)</f>
        <v>8</v>
      </c>
      <c r="J47" s="17">
        <f ca="1">MIN(K47:W47)</f>
        <v>0</v>
      </c>
      <c r="K47" s="46">
        <f ca="1">IF($D$2&gt;=(COLUMN()-10),HLOOKUP($B47,INDIRECT(ADDRESS(2,11,1,,K$3)):INDIRECT(ADDRESS(25,playercnt+10,1,,K$3)),24),"")</f>
        <v>0</v>
      </c>
      <c r="L47" s="46">
        <f ca="1">IF($D$2&gt;=(COLUMN()-10),HLOOKUP($B47,INDIRECT(ADDRESS(2,11,1,,L$3)):INDIRECT(ADDRESS(25,playercnt+10,1,,L$3)),24),"")</f>
        <v>5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3</v>
      </c>
      <c r="P47" s="46">
        <f ca="1">IF($D$2&gt;=(COLUMN()-10),HLOOKUP($B47,INDIRECT(ADDRESS(2,11,1,,P$3)):INDIRECT(ADDRESS(25,playercnt+10,1,,P$3)),24),"")</f>
        <v>5</v>
      </c>
      <c r="Q47" s="46">
        <f ca="1">IF($D$2&gt;=(COLUMN()-10),HLOOKUP($B47,INDIRECT(ADDRESS(2,11,1,,Q$3)):INDIRECT(ADDRESS(25,playercnt+10,1,,Q$3)),24),"")</f>
        <v>8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6</v>
      </c>
      <c r="U47" s="46">
        <f ca="1">IF($D$2&gt;=(COLUMN()-10),HLOOKUP($B47,INDIRECT(ADDRESS(2,11,1,,U$3)):INDIRECT(ADDRESS(25,playercnt+10,1,,U$3)),24),"")</f>
        <v>6</v>
      </c>
      <c r="V47" s="46">
        <f ca="1">IF($D$2&gt;=(COLUMN()-10),HLOOKUP($B47,INDIRECT(ADDRESS(2,11,1,,V$3)):INDIRECT(ADDRESS(25,playercnt+10,1,,V$3)),24),"")</f>
        <v>0</v>
      </c>
      <c r="W47" s="46">
        <f ca="1">IF($D$2&gt;=(COLUMN()-10),HLOOKUP($B47,INDIRECT(ADDRESS(2,11,1,,W$3)):INDIRECT(ADDRESS(25,playercnt+10,1,,W$3)),24),"")</f>
        <v>4</v>
      </c>
      <c r="X47" s="14">
        <v>8</v>
      </c>
      <c r="Y47" s="14">
        <f t="shared" si="10"/>
        <v>40</v>
      </c>
    </row>
    <row r="48" spans="1:25" x14ac:dyDescent="0.2">
      <c r="A48" s="83">
        <f>IF(D48=D47,A47,Y48)</f>
        <v>40</v>
      </c>
      <c r="B48" s="39" t="str">
        <f ca="1">INDIRECT(ADDRESS(2,10+INDIRECT(ADDRESS(ROW(),24)),,,"Chart"))</f>
        <v>Neeley, Michael</v>
      </c>
      <c r="C48" s="40">
        <f ca="1">sumAcrossWkSheets(28,10,X48)</f>
        <v>0</v>
      </c>
      <c r="D48" s="40">
        <f>sumAcrossWkSheets(25,10,X48)</f>
        <v>60</v>
      </c>
      <c r="E48" s="25">
        <f>D48/games_completed</f>
        <v>0.46153846153846156</v>
      </c>
      <c r="F48" s="11">
        <f>$D$8-D48</f>
        <v>15</v>
      </c>
      <c r="G48" s="43">
        <v>38</v>
      </c>
      <c r="H48" s="20">
        <f>G48-A48</f>
        <v>-2</v>
      </c>
      <c r="I48" s="17">
        <f ca="1">MAX(K48:W48)</f>
        <v>7</v>
      </c>
      <c r="J48" s="17">
        <f ca="1">MIN(K48:W48)</f>
        <v>2</v>
      </c>
      <c r="K48" s="46">
        <f ca="1">IF($D$2&gt;=(COLUMN()-10),HLOOKUP($B48,INDIRECT(ADDRESS(2,11,1,,K$3)):INDIRECT(ADDRESS(25,playercnt+10,1,,K$3)),24),"")</f>
        <v>3</v>
      </c>
      <c r="L48" s="46">
        <f ca="1">IF($D$2&gt;=(COLUMN()-10),HLOOKUP($B48,INDIRECT(ADDRESS(2,11,1,,L$3)):INDIRECT(ADDRESS(25,playercnt+10,1,,L$3)),24),"")</f>
        <v>6</v>
      </c>
      <c r="M48" s="46">
        <f ca="1">IF($D$2&gt;=(COLUMN()-10),HLOOKUP($B48,INDIRECT(ADDRESS(2,11,1,,M$3)):INDIRECT(ADDRESS(25,playercnt+10,1,,M$3)),24),"")</f>
        <v>7</v>
      </c>
      <c r="N48" s="46">
        <f ca="1">IF($D$2&gt;=(COLUMN()-10),HLOOKUP($B48,INDIRECT(ADDRESS(2,11,1,,N$3)):INDIRECT(ADDRESS(25,playercnt+10,1,,N$3)),24),"")</f>
        <v>3</v>
      </c>
      <c r="O48" s="46">
        <f ca="1">IF($D$2&gt;=(COLUMN()-10),HLOOKUP($B48,INDIRECT(ADDRESS(2,11,1,,O$3)):INDIRECT(ADDRESS(25,playercnt+10,1,,O$3)),24),"")</f>
        <v>6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7</v>
      </c>
      <c r="S48" s="46">
        <f ca="1">IF($D$2&gt;=(COLUMN()-10),HLOOKUP($B48,INDIRECT(ADDRESS(2,11,1,,S$3)):INDIRECT(ADDRESS(25,playercnt+10,1,,S$3)),24),"")</f>
        <v>2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3</v>
      </c>
      <c r="V48" s="46">
        <f ca="1">IF($D$2&gt;=(COLUMN()-10),HLOOKUP($B48,INDIRECT(ADDRESS(2,11,1,,V$3)):INDIRECT(ADDRESS(25,playercnt+10,1,,V$3)),24),"")</f>
        <v>4</v>
      </c>
      <c r="W48" s="46">
        <f ca="1">IF($D$2&gt;=(COLUMN()-10),HLOOKUP($B48,INDIRECT(ADDRESS(2,11,1,,W$3)):INDIRECT(ADDRESS(25,playercnt+10,1,,W$3)),24),"")</f>
        <v>3</v>
      </c>
      <c r="X48" s="47">
        <v>34</v>
      </c>
      <c r="Y48" s="14">
        <f t="shared" si="10"/>
        <v>41</v>
      </c>
    </row>
    <row r="49" spans="1:25" x14ac:dyDescent="0.2">
      <c r="A49" s="83">
        <f>IF(D49=D48,A48,Y49)</f>
        <v>40</v>
      </c>
      <c r="B49" s="39" t="str">
        <f ca="1">INDIRECT(ADDRESS(2,10+INDIRECT(ADDRESS(ROW(),24)),,,"Chart"))</f>
        <v>Penrose, Tim Remote</v>
      </c>
      <c r="C49" s="40">
        <f ca="1">sumAcrossWkSheets(28,10,X49)</f>
        <v>0</v>
      </c>
      <c r="D49" s="40">
        <f>sumAcrossWkSheets(25,10,X49)</f>
        <v>60</v>
      </c>
      <c r="E49" s="25">
        <f>D49/games_completed</f>
        <v>0.46153846153846156</v>
      </c>
      <c r="F49" s="11">
        <f>$D$8-D49</f>
        <v>15</v>
      </c>
      <c r="G49" s="16">
        <v>43</v>
      </c>
      <c r="H49" s="20">
        <f>G49-A49</f>
        <v>3</v>
      </c>
      <c r="I49" s="17">
        <f ca="1">MAX(K49:W49)</f>
        <v>6</v>
      </c>
      <c r="J49" s="17">
        <f ca="1">MIN(K49:W49)</f>
        <v>2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6</v>
      </c>
      <c r="M49" s="46">
        <f ca="1">IF($D$2&gt;=(COLUMN()-10),HLOOKUP($B49,INDIRECT(ADDRESS(2,11,1,,M$3)):INDIRECT(ADDRESS(25,playercnt+10,1,,M$3)),24),"")</f>
        <v>6</v>
      </c>
      <c r="N49" s="46">
        <f ca="1">IF($D$2&gt;=(COLUMN()-10),HLOOKUP($B49,INDIRECT(ADDRESS(2,11,1,,N$3)):INDIRECT(ADDRESS(25,playercnt+10,1,,N$3)),24),"")</f>
        <v>4</v>
      </c>
      <c r="O49" s="46">
        <f ca="1">IF($D$2&gt;=(COLUMN()-10),HLOOKUP($B49,INDIRECT(ADDRESS(2,11,1,,O$3)):INDIRECT(ADDRESS(25,playercnt+10,1,,O$3)),24),"")</f>
        <v>2</v>
      </c>
      <c r="P49" s="46">
        <f ca="1">IF($D$2&gt;=(COLUMN()-10),HLOOKUP($B49,INDIRECT(ADDRESS(2,11,1,,P$3)):INDIRECT(ADDRESS(25,playercnt+10,1,,P$3)),24),"")</f>
        <v>4</v>
      </c>
      <c r="Q49" s="46">
        <f ca="1">IF($D$2&gt;=(COLUMN()-10),HLOOKUP($B49,INDIRECT(ADDRESS(2,11,1,,Q$3)):INDIRECT(ADDRESS(25,playercnt+10,1,,Q$3)),24),"")</f>
        <v>6</v>
      </c>
      <c r="R49" s="46">
        <f ca="1">IF($D$2&gt;=(COLUMN()-10),HLOOKUP($B49,INDIRECT(ADDRESS(2,11,1,,R$3)):INDIRECT(ADDRESS(25,playercnt+10,1,,R$3)),24),"")</f>
        <v>3</v>
      </c>
      <c r="S49" s="46">
        <f ca="1">IF($D$2&gt;=(COLUMN()-10),HLOOKUP($B49,INDIRECT(ADDRESS(2,11,1,,S$3)):INDIRECT(ADDRESS(25,playercnt+10,1,,S$3)),24),"")</f>
        <v>4</v>
      </c>
      <c r="T49" s="46">
        <f ca="1">IF($D$2&gt;=(COLUMN()-10),HLOOKUP($B49,INDIRECT(ADDRESS(2,11,1,,T$3)):INDIRECT(ADDRESS(25,playercnt+10,1,,T$3)),24),"")</f>
        <v>6</v>
      </c>
      <c r="U49" s="46">
        <f ca="1">IF($D$2&gt;=(COLUMN()-10),HLOOKUP($B49,INDIRECT(ADDRESS(2,11,1,,U$3)):INDIRECT(ADDRESS(25,playercnt+10,1,,U$3)),24),"")</f>
        <v>4</v>
      </c>
      <c r="V49" s="46">
        <f ca="1">IF($D$2&gt;=(COLUMN()-10),HLOOKUP($B49,INDIRECT(ADDRESS(2,11,1,,V$3)):INDIRECT(ADDRESS(25,playercnt+10,1,,V$3)),24),"")</f>
        <v>5</v>
      </c>
      <c r="W49" s="46">
        <f ca="1">IF($D$2&gt;=(COLUMN()-10),HLOOKUP($B49,INDIRECT(ADDRESS(2,11,1,,W$3)):INDIRECT(ADDRESS(25,playercnt+10,1,,W$3)),24),"")</f>
        <v>5</v>
      </c>
      <c r="X49" s="14">
        <v>38</v>
      </c>
      <c r="Y49" s="14">
        <f t="shared" si="10"/>
        <v>42</v>
      </c>
    </row>
    <row r="50" spans="1:25" x14ac:dyDescent="0.2">
      <c r="A50" s="83">
        <f>IF(D50=D49,A49,Y50)</f>
        <v>40</v>
      </c>
      <c r="B50" s="39" t="str">
        <f ca="1">INDIRECT(ADDRESS(2,10+INDIRECT(ADDRESS(ROW(),24)),,,"Chart"))</f>
        <v>Robbins, Thomas D</v>
      </c>
      <c r="C50" s="40">
        <f ca="1">sumAcrossWkSheets(28,10,X50)</f>
        <v>0</v>
      </c>
      <c r="D50" s="40">
        <f>sumAcrossWkSheets(25,10,X50)</f>
        <v>60</v>
      </c>
      <c r="E50" s="25">
        <f>D50/games_completed</f>
        <v>0.46153846153846156</v>
      </c>
      <c r="F50" s="11">
        <f>$D$8-D50</f>
        <v>15</v>
      </c>
      <c r="G50" s="43">
        <v>43</v>
      </c>
      <c r="H50" s="20">
        <f>G50-A50</f>
        <v>3</v>
      </c>
      <c r="I50" s="17">
        <f ca="1">MAX(K50:W50)</f>
        <v>8</v>
      </c>
      <c r="J50" s="17">
        <f ca="1">MIN(K50:W50)</f>
        <v>0</v>
      </c>
      <c r="K50" s="46">
        <f ca="1">IF($D$2&gt;=(COLUMN()-10),HLOOKUP($B50,INDIRECT(ADDRESS(2,11,1,,K$3)):INDIRECT(ADDRESS(25,playercnt+10,1,,K$3)),24),"")</f>
        <v>8</v>
      </c>
      <c r="L50" s="46">
        <f ca="1">IF($D$2&gt;=(COLUMN()-10),HLOOKUP($B50,INDIRECT(ADDRESS(2,11,1,,L$3)):INDIRECT(ADDRESS(25,playercnt+10,1,,L$3)),24),"")</f>
        <v>5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4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0</v>
      </c>
      <c r="Q50" s="46">
        <f ca="1">IF($D$2&gt;=(COLUMN()-10),HLOOKUP($B50,INDIRECT(ADDRESS(2,11,1,,Q$3)):INDIRECT(ADDRESS(25,playercnt+10,1,,Q$3)),24),"")</f>
        <v>5</v>
      </c>
      <c r="R50" s="46">
        <f ca="1">IF($D$2&gt;=(COLUMN()-10),HLOOKUP($B50,INDIRECT(ADDRESS(2,11,1,,R$3)):INDIRECT(ADDRESS(25,playercnt+10,1,,R$3)),24),"")</f>
        <v>7</v>
      </c>
      <c r="S50" s="46">
        <f ca="1">IF($D$2&gt;=(COLUMN()-10),HLOOKUP($B50,INDIRECT(ADDRESS(2,11,1,,S$3)):INDIRECT(ADDRESS(25,playercnt+10,1,,S$3)),24),"")</f>
        <v>0</v>
      </c>
      <c r="T50" s="46">
        <f ca="1">IF($D$2&gt;=(COLUMN()-10),HLOOKUP($B50,INDIRECT(ADDRESS(2,11,1,,T$3)):INDIRECT(ADDRESS(25,playercnt+10,1,,T$3)),24),"")</f>
        <v>5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3</v>
      </c>
      <c r="W50" s="46">
        <f ca="1">IF($D$2&gt;=(COLUMN()-10),HLOOKUP($B50,INDIRECT(ADDRESS(2,11,1,,W$3)):INDIRECT(ADDRESS(25,playercnt+10,1,,W$3)),24),"")</f>
        <v>5</v>
      </c>
      <c r="X50" s="47">
        <v>42</v>
      </c>
      <c r="Y50" s="14">
        <f t="shared" si="10"/>
        <v>43</v>
      </c>
    </row>
    <row r="51" spans="1:25" x14ac:dyDescent="0.2">
      <c r="A51" s="83">
        <f>IF(D51=D50,A50,Y51)</f>
        <v>40</v>
      </c>
      <c r="B51" s="39" t="str">
        <f ca="1">INDIRECT(ADDRESS(2,10+INDIRECT(ADDRESS(ROW(),24)),,,"Chart"))</f>
        <v>Stonecypher, David</v>
      </c>
      <c r="C51" s="40">
        <f ca="1">sumAcrossWkSheets(28,10,X51)</f>
        <v>0</v>
      </c>
      <c r="D51" s="40">
        <f>sumAcrossWkSheets(25,10,X51)</f>
        <v>60</v>
      </c>
      <c r="E51" s="25">
        <f>D51/games_completed</f>
        <v>0.46153846153846156</v>
      </c>
      <c r="F51" s="11">
        <f>$D$8-D51</f>
        <v>15</v>
      </c>
      <c r="G51" s="16">
        <v>40</v>
      </c>
      <c r="H51" s="20">
        <f>G51-A51</f>
        <v>0</v>
      </c>
      <c r="I51" s="17">
        <f ca="1">MAX(K51:W51)</f>
        <v>6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2</v>
      </c>
      <c r="M51" s="46">
        <f ca="1">IF($D$2&gt;=(COLUMN()-10),HLOOKUP($B51,INDIRECT(ADDRESS(2,11,1,,M$3)):INDIRECT(ADDRESS(25,playercnt+10,1,,M$3)),24),"")</f>
        <v>0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6</v>
      </c>
      <c r="P51" s="46">
        <f ca="1">IF($D$2&gt;=(COLUMN()-10),HLOOKUP($B51,INDIRECT(ADDRESS(2,11,1,,P$3)):INDIRECT(ADDRESS(25,playercnt+10,1,,P$3)),24),"")</f>
        <v>6</v>
      </c>
      <c r="Q51" s="46">
        <f ca="1">IF($D$2&gt;=(COLUMN()-10),HLOOKUP($B51,INDIRECT(ADDRESS(2,11,1,,Q$3)):INDIRECT(ADDRESS(25,playercnt+10,1,,Q$3)),24),"")</f>
        <v>6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3</v>
      </c>
      <c r="T51" s="46">
        <f ca="1">IF($D$2&gt;=(COLUMN()-10),HLOOKUP($B51,INDIRECT(ADDRESS(2,11,1,,T$3)):INDIRECT(ADDRESS(25,playercnt+10,1,,T$3)),24),"")</f>
        <v>6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5</v>
      </c>
      <c r="W51" s="46">
        <f ca="1">IF($D$2&gt;=(COLUMN()-10),HLOOKUP($B51,INDIRECT(ADDRESS(2,11,1,,W$3)):INDIRECT(ADDRESS(25,playercnt+10,1,,W$3)),24),"")</f>
        <v>4</v>
      </c>
      <c r="X51" s="14">
        <v>49</v>
      </c>
      <c r="Y51" s="14">
        <f t="shared" ref="Y51:Y56" si="11">Y50+1</f>
        <v>44</v>
      </c>
    </row>
    <row r="52" spans="1:25" x14ac:dyDescent="0.2">
      <c r="A52" s="83">
        <f>IF(D52=D51,A51,Y52)</f>
        <v>45</v>
      </c>
      <c r="B52" s="39" t="str">
        <f ca="1">INDIRECT(ADDRESS(2,10+INDIRECT(ADDRESS(ROW(),24)),,,"Chart"))</f>
        <v>White, Jarred</v>
      </c>
      <c r="C52" s="40">
        <f ca="1">sumAcrossWkSheets(28,10,X52)</f>
        <v>0</v>
      </c>
      <c r="D52" s="40">
        <f>sumAcrossWkSheets(25,10,X52)</f>
        <v>58</v>
      </c>
      <c r="E52" s="25">
        <f>D52/games_completed</f>
        <v>0.44615384615384618</v>
      </c>
      <c r="F52" s="11">
        <f>$D$8-D52</f>
        <v>17</v>
      </c>
      <c r="G52" s="43">
        <v>47</v>
      </c>
      <c r="H52" s="20">
        <f>G52-A52</f>
        <v>2</v>
      </c>
      <c r="I52" s="17">
        <f ca="1">MAX(K52:W52)</f>
        <v>7</v>
      </c>
      <c r="J52" s="17">
        <f ca="1">MIN(K52:W52)</f>
        <v>1</v>
      </c>
      <c r="K52" s="46">
        <f ca="1">IF($D$2&gt;=(COLUMN()-10),HLOOKUP($B52,INDIRECT(ADDRESS(2,11,1,,K$3)):INDIRECT(ADDRESS(25,playercnt+10,1,,K$3)),24),"")</f>
        <v>3</v>
      </c>
      <c r="L52" s="46">
        <f ca="1">IF($D$2&gt;=(COLUMN()-10),HLOOKUP($B52,INDIRECT(ADDRESS(2,11,1,,L$3)):INDIRECT(ADDRESS(25,playercnt+10,1,,L$3)),24),"")</f>
        <v>6</v>
      </c>
      <c r="M52" s="46">
        <f ca="1">IF($D$2&gt;=(COLUMN()-10),HLOOKUP($B52,INDIRECT(ADDRESS(2,11,1,,M$3)):INDIRECT(ADDRESS(25,playercnt+10,1,,M$3)),24),"")</f>
        <v>1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4</v>
      </c>
      <c r="P52" s="46">
        <f ca="1">IF($D$2&gt;=(COLUMN()-10),HLOOKUP($B52,INDIRECT(ADDRESS(2,11,1,,P$3)):INDIRECT(ADDRESS(25,playercnt+10,1,,P$3)),24),"")</f>
        <v>4</v>
      </c>
      <c r="Q52" s="46">
        <f ca="1">IF($D$2&gt;=(COLUMN()-10),HLOOKUP($B52,INDIRECT(ADDRESS(2,11,1,,Q$3)):INDIRECT(ADDRESS(25,playercnt+10,1,,Q$3)),24),"")</f>
        <v>5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5</v>
      </c>
      <c r="T52" s="46">
        <f ca="1">IF($D$2&gt;=(COLUMN()-10),HLOOKUP($B52,INDIRECT(ADDRESS(2,11,1,,T$3)):INDIRECT(ADDRESS(25,playercnt+10,1,,T$3)),24),"")</f>
        <v>7</v>
      </c>
      <c r="U52" s="46">
        <f ca="1">IF($D$2&gt;=(COLUMN()-10),HLOOKUP($B52,INDIRECT(ADDRESS(2,11,1,,U$3)):INDIRECT(ADDRESS(25,playercnt+10,1,,U$3)),24),"")</f>
        <v>2</v>
      </c>
      <c r="V52" s="46">
        <f ca="1">IF($D$2&gt;=(COLUMN()-10),HLOOKUP($B52,INDIRECT(ADDRESS(2,11,1,,V$3)):INDIRECT(ADDRESS(25,playercnt+10,1,,V$3)),24),"")</f>
        <v>7</v>
      </c>
      <c r="W52" s="46">
        <f ca="1">IF($D$2&gt;=(COLUMN()-10),HLOOKUP($B52,INDIRECT(ADDRESS(2,11,1,,W$3)):INDIRECT(ADDRESS(25,playercnt+10,1,,W$3)),24),"")</f>
        <v>4</v>
      </c>
      <c r="X52" s="47">
        <v>54</v>
      </c>
      <c r="Y52" s="14">
        <f t="shared" si="11"/>
        <v>45</v>
      </c>
    </row>
    <row r="53" spans="1:25" x14ac:dyDescent="0.2">
      <c r="A53" s="83">
        <f>IF(D53=D52,A52,Y53)</f>
        <v>46</v>
      </c>
      <c r="B53" s="39" t="str">
        <f ca="1">INDIRECT(ADDRESS(2,10+INDIRECT(ADDRESS(ROW(),24)),,,"Chart"))</f>
        <v>Inabinet, Gregory</v>
      </c>
      <c r="C53" s="40">
        <f ca="1">sumAcrossWkSheets(28,10,X53)</f>
        <v>0</v>
      </c>
      <c r="D53" s="40">
        <f>sumAcrossWkSheets(25,10,X53)</f>
        <v>56</v>
      </c>
      <c r="E53" s="25">
        <f>D53/games_completed</f>
        <v>0.43076923076923079</v>
      </c>
      <c r="F53" s="11">
        <f>$D$8-D53</f>
        <v>19</v>
      </c>
      <c r="G53" s="16">
        <v>49</v>
      </c>
      <c r="H53" s="20">
        <f>G53-A53</f>
        <v>3</v>
      </c>
      <c r="I53" s="17">
        <f ca="1">MAX(K53:W53)</f>
        <v>6</v>
      </c>
      <c r="J53" s="17">
        <f ca="1">MIN(K53:W53)</f>
        <v>0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5</v>
      </c>
      <c r="N53" s="46">
        <f ca="1">IF($D$2&gt;=(COLUMN()-10),HLOOKUP($B53,INDIRECT(ADDRESS(2,11,1,,N$3)):INDIRECT(ADDRESS(25,playercnt+10,1,,N$3)),24),"")</f>
        <v>2</v>
      </c>
      <c r="O53" s="46">
        <f ca="1">IF($D$2&gt;=(COLUMN()-10),HLOOKUP($B53,INDIRECT(ADDRESS(2,11,1,,O$3)):INDIRECT(ADDRESS(25,playercnt+10,1,,O$3)),24),"")</f>
        <v>6</v>
      </c>
      <c r="P53" s="46">
        <f ca="1">IF($D$2&gt;=(COLUMN()-10),HLOOKUP($B53,INDIRECT(ADDRESS(2,11,1,,P$3)):INDIRECT(ADDRESS(25,playercnt+10,1,,P$3)),24),"")</f>
        <v>0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5</v>
      </c>
      <c r="S53" s="46">
        <f ca="1">IF($D$2&gt;=(COLUMN()-10),HLOOKUP($B53,INDIRECT(ADDRESS(2,11,1,,S$3)):INDIRECT(ADDRESS(25,playercnt+10,1,,S$3)),24),"")</f>
        <v>4</v>
      </c>
      <c r="T53" s="46">
        <f ca="1">IF($D$2&gt;=(COLUMN()-10),HLOOKUP($B53,INDIRECT(ADDRESS(2,11,1,,T$3)):INDIRECT(ADDRESS(25,playercnt+10,1,,T$3)),24),"")</f>
        <v>6</v>
      </c>
      <c r="U53" s="46">
        <f ca="1">IF($D$2&gt;=(COLUMN()-10),HLOOKUP($B53,INDIRECT(ADDRESS(2,11,1,,U$3)):INDIRECT(ADDRESS(25,playercnt+10,1,,U$3)),24),"")</f>
        <v>5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4</v>
      </c>
      <c r="X53" s="14">
        <v>21</v>
      </c>
      <c r="Y53" s="14">
        <f t="shared" si="11"/>
        <v>46</v>
      </c>
    </row>
    <row r="54" spans="1:25" x14ac:dyDescent="0.2">
      <c r="A54" s="83">
        <f>IF(D54=D53,A53,Y54)</f>
        <v>46</v>
      </c>
      <c r="B54" s="39" t="str">
        <f ca="1">INDIRECT(ADDRESS(2,10+INDIRECT(ADDRESS(ROW(),24)),,,"Chart"))</f>
        <v>Montanez, Johanna</v>
      </c>
      <c r="C54" s="40">
        <f ca="1">sumAcrossWkSheets(28,10,X54)</f>
        <v>0</v>
      </c>
      <c r="D54" s="40">
        <f>sumAcrossWkSheets(25,10,X54)</f>
        <v>56</v>
      </c>
      <c r="E54" s="25">
        <f>D54/games_completed</f>
        <v>0.43076923076923079</v>
      </c>
      <c r="F54" s="11">
        <f>$D$8-D54</f>
        <v>19</v>
      </c>
      <c r="G54" s="43">
        <v>49</v>
      </c>
      <c r="H54" s="20">
        <f>G54-A54</f>
        <v>3</v>
      </c>
      <c r="I54" s="17">
        <f ca="1">MAX(K54:W54)</f>
        <v>7</v>
      </c>
      <c r="J54" s="17">
        <f ca="1">MIN(K54:W54)</f>
        <v>1</v>
      </c>
      <c r="K54" s="46">
        <f ca="1">IF($D$2&gt;=(COLUMN()-10),HLOOKUP($B54,INDIRECT(ADDRESS(2,11,1,,K$3)):INDIRECT(ADDRESS(25,playercnt+10,1,,K$3)),24),"")</f>
        <v>5</v>
      </c>
      <c r="L54" s="46">
        <f ca="1">IF($D$2&gt;=(COLUMN()-10),HLOOKUP($B54,INDIRECT(ADDRESS(2,11,1,,L$3)):INDIRECT(ADDRESS(25,playercnt+10,1,,L$3)),24),"")</f>
        <v>3</v>
      </c>
      <c r="M54" s="46">
        <f ca="1">IF($D$2&gt;=(COLUMN()-10),HLOOKUP($B54,INDIRECT(ADDRESS(2,11,1,,M$3)):INDIRECT(ADDRESS(25,playercnt+10,1,,M$3)),24),"")</f>
        <v>4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2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3</v>
      </c>
      <c r="R54" s="46">
        <f ca="1">IF($D$2&gt;=(COLUMN()-10),HLOOKUP($B54,INDIRECT(ADDRESS(2,11,1,,R$3)):INDIRECT(ADDRESS(25,playercnt+10,1,,R$3)),24),"")</f>
        <v>6</v>
      </c>
      <c r="S54" s="46">
        <f ca="1">IF($D$2&gt;=(COLUMN()-10),HLOOKUP($B54,INDIRECT(ADDRESS(2,11,1,,S$3)):INDIRECT(ADDRESS(25,playercnt+10,1,,S$3)),24),"")</f>
        <v>4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1</v>
      </c>
      <c r="V54" s="46">
        <f ca="1">IF($D$2&gt;=(COLUMN()-10),HLOOKUP($B54,INDIRECT(ADDRESS(2,11,1,,V$3)):INDIRECT(ADDRESS(25,playercnt+10,1,,V$3)),24),"")</f>
        <v>7</v>
      </c>
      <c r="W54" s="46">
        <f ca="1">IF($D$2&gt;=(COLUMN()-10),HLOOKUP($B54,INDIRECT(ADDRESS(2,11,1,,W$3)):INDIRECT(ADDRESS(25,playercnt+10,1,,W$3)),24),"")</f>
        <v>4</v>
      </c>
      <c r="X54" s="47">
        <v>28</v>
      </c>
      <c r="Y54" s="14">
        <f t="shared" si="11"/>
        <v>47</v>
      </c>
    </row>
    <row r="55" spans="1:25" x14ac:dyDescent="0.2">
      <c r="A55" s="83">
        <f>IF(D55=D54,A54,Y55)</f>
        <v>46</v>
      </c>
      <c r="B55" s="39" t="str">
        <f ca="1">INDIRECT(ADDRESS(2,10+INDIRECT(ADDRESS(ROW(),24)),,,"Chart"))</f>
        <v>Steel, Van Remote</v>
      </c>
      <c r="C55" s="40">
        <f ca="1">sumAcrossWkSheets(28,10,X55)</f>
        <v>0</v>
      </c>
      <c r="D55" s="40">
        <f>sumAcrossWkSheets(25,10,X55)</f>
        <v>56</v>
      </c>
      <c r="E55" s="25">
        <f>D55/games_completed</f>
        <v>0.43076923076923079</v>
      </c>
      <c r="F55" s="11">
        <f>$D$8-D55</f>
        <v>19</v>
      </c>
      <c r="G55" s="16">
        <v>40</v>
      </c>
      <c r="H55" s="20">
        <f>G55-A55</f>
        <v>-6</v>
      </c>
      <c r="I55" s="17">
        <f ca="1">MAX(K55:W55)</f>
        <v>7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4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0</v>
      </c>
      <c r="O55" s="46">
        <f ca="1">IF($D$2&gt;=(COLUMN()-10),HLOOKUP($B55,INDIRECT(ADDRESS(2,11,1,,O$3)):INDIRECT(ADDRESS(25,playercnt+10,1,,O$3)),24),"")</f>
        <v>6</v>
      </c>
      <c r="P55" s="46">
        <f ca="1">IF($D$2&gt;=(COLUMN()-10),HLOOKUP($B55,INDIRECT(ADDRESS(2,11,1,,P$3)):INDIRECT(ADDRESS(25,playercnt+10,1,,P$3)),24),"")</f>
        <v>5</v>
      </c>
      <c r="Q55" s="46">
        <f ca="1">IF($D$2&gt;=(COLUMN()-10),HLOOKUP($B55,INDIRECT(ADDRESS(2,11,1,,Q$3)):INDIRECT(ADDRESS(25,playercnt+10,1,,Q$3)),24),"")</f>
        <v>7</v>
      </c>
      <c r="R55" s="46">
        <f ca="1">IF($D$2&gt;=(COLUMN()-10),HLOOKUP($B55,INDIRECT(ADDRESS(2,11,1,,R$3)):INDIRECT(ADDRESS(25,playercnt+10,1,,R$3)),24),"")</f>
        <v>7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5</v>
      </c>
      <c r="V55" s="46">
        <f ca="1">IF($D$2&gt;=(COLUMN()-10),HLOOKUP($B55,INDIRECT(ADDRESS(2,11,1,,V$3)):INDIRECT(ADDRESS(25,playercnt+10,1,,V$3)),24),"")</f>
        <v>5</v>
      </c>
      <c r="W55" s="46">
        <f ca="1">IF($D$2&gt;=(COLUMN()-10),HLOOKUP($B55,INDIRECT(ADDRESS(2,11,1,,W$3)):INDIRECT(ADDRESS(25,playercnt+10,1,,W$3)),24),"")</f>
        <v>0</v>
      </c>
      <c r="X55" s="14">
        <v>48</v>
      </c>
      <c r="Y55" s="14">
        <f t="shared" si="11"/>
        <v>48</v>
      </c>
    </row>
    <row r="56" spans="1:25" x14ac:dyDescent="0.2">
      <c r="A56" s="83">
        <f>IF(D56=D55,A55,Y56)</f>
        <v>49</v>
      </c>
      <c r="B56" s="39" t="str">
        <f ca="1">INDIRECT(ADDRESS(2,10+INDIRECT(ADDRESS(ROW(),24)),,,"Chart"))</f>
        <v>Desetto, Thomas Remote</v>
      </c>
      <c r="C56" s="40">
        <f ca="1">sumAcrossWkSheets(28,10,X56)</f>
        <v>1</v>
      </c>
      <c r="D56" s="40">
        <f>sumAcrossWkSheets(25,10,X56)</f>
        <v>55</v>
      </c>
      <c r="E56" s="25">
        <f>D56/games_completed</f>
        <v>0.42307692307692307</v>
      </c>
      <c r="F56" s="11">
        <f>$D$8-D56</f>
        <v>20</v>
      </c>
      <c r="G56" s="43">
        <v>49</v>
      </c>
      <c r="H56" s="20">
        <f>G56-A56</f>
        <v>0</v>
      </c>
      <c r="I56" s="17">
        <f ca="1">MAX(K56:W56)</f>
        <v>9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2</v>
      </c>
      <c r="M56" s="46">
        <f ca="1">IF($D$2&gt;=(COLUMN()-10),HLOOKUP($B56,INDIRECT(ADDRESS(2,11,1,,M$3)):INDIRECT(ADDRESS(25,playercnt+10,1,,M$3)),24),"")</f>
        <v>5</v>
      </c>
      <c r="N56" s="46">
        <f ca="1">IF($D$2&gt;=(COLUMN()-10),HLOOKUP($B56,INDIRECT(ADDRESS(2,11,1,,N$3)):INDIRECT(ADDRESS(25,playercnt+10,1,,N$3)),24),"")</f>
        <v>2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0</v>
      </c>
      <c r="Q56" s="46">
        <f ca="1">IF($D$2&gt;=(COLUMN()-10),HLOOKUP($B56,INDIRECT(ADDRESS(2,11,1,,Q$3)):INDIRECT(ADDRESS(25,playercnt+10,1,,Q$3)),24),"")</f>
        <v>4</v>
      </c>
      <c r="R56" s="46">
        <f ca="1">IF($D$2&gt;=(COLUMN()-10),HLOOKUP($B56,INDIRECT(ADDRESS(2,11,1,,R$3)):INDIRECT(ADDRESS(25,playercnt+10,1,,R$3)),24),"")</f>
        <v>4</v>
      </c>
      <c r="S56" s="46">
        <f ca="1">IF($D$2&gt;=(COLUMN()-10),HLOOKUP($B56,INDIRECT(ADDRESS(2,11,1,,S$3)):INDIRECT(ADDRESS(25,playercnt+10,1,,S$3)),24),"")</f>
        <v>9</v>
      </c>
      <c r="T56" s="46">
        <f ca="1">IF($D$2&gt;=(COLUMN()-10),HLOOKUP($B56,INDIRECT(ADDRESS(2,11,1,,T$3)):INDIRECT(ADDRESS(25,playercnt+10,1,,T$3)),24),"")</f>
        <v>7</v>
      </c>
      <c r="U56" s="46">
        <f ca="1">IF($D$2&gt;=(COLUMN()-10),HLOOKUP($B56,INDIRECT(ADDRESS(2,11,1,,U$3)):INDIRECT(ADDRESS(25,playercnt+10,1,,U$3)),24),"")</f>
        <v>5</v>
      </c>
      <c r="V56" s="46">
        <f ca="1">IF($D$2&gt;=(COLUMN()-10),HLOOKUP($B56,INDIRECT(ADDRESS(2,11,1,,V$3)):INDIRECT(ADDRESS(25,playercnt+10,1,,V$3)),24),"")</f>
        <v>5</v>
      </c>
      <c r="W56" s="46">
        <f ca="1">IF($D$2&gt;=(COLUMN()-10),HLOOKUP($B56,INDIRECT(ADDRESS(2,11,1,,W$3)):INDIRECT(ADDRESS(25,playercnt+10,1,,W$3)),24),"")</f>
        <v>3</v>
      </c>
      <c r="X56" s="47">
        <v>10</v>
      </c>
      <c r="Y56" s="14">
        <f t="shared" si="11"/>
        <v>49</v>
      </c>
    </row>
    <row r="57" spans="1:25" x14ac:dyDescent="0.2">
      <c r="A57" s="83">
        <f>IF(D57=D56,A56,Y57)</f>
        <v>49</v>
      </c>
      <c r="B57" s="39" t="str">
        <f ca="1">INDIRECT(ADDRESS(2,10+INDIRECT(ADDRESS(ROW(),24)),,,"Chart"))</f>
        <v>Young, Kenneth</v>
      </c>
      <c r="C57" s="40">
        <f ca="1">sumAcrossWkSheets(28,10,X57)</f>
        <v>0</v>
      </c>
      <c r="D57" s="40">
        <f>sumAcrossWkSheets(25,10,X57)</f>
        <v>55</v>
      </c>
      <c r="E57" s="25">
        <f>D57/games_completed</f>
        <v>0.42307692307692307</v>
      </c>
      <c r="F57" s="11">
        <f>$D$8-D57</f>
        <v>20</v>
      </c>
      <c r="G57" s="16">
        <v>43</v>
      </c>
      <c r="H57" s="20">
        <f>G57-A57</f>
        <v>-6</v>
      </c>
      <c r="I57" s="17">
        <f ca="1">MAX(K57:W57)</f>
        <v>7</v>
      </c>
      <c r="J57" s="17">
        <f ca="1">MIN(K57:W57)</f>
        <v>0</v>
      </c>
      <c r="K57" s="46">
        <f ca="1">IF($D$2&gt;=(COLUMN()-10),HLOOKUP($B57,INDIRECT(ADDRESS(2,11,1,,K$3)):INDIRECT(ADDRESS(25,playercnt+10,1,,K$3)),24),"")</f>
        <v>7</v>
      </c>
      <c r="L57" s="46">
        <f ca="1">IF($D$2&gt;=(COLUMN()-10),HLOOKUP($B57,INDIRECT(ADDRESS(2,11,1,,L$3)):INDIRECT(ADDRESS(25,playercnt+10,1,,L$3)),24),"")</f>
        <v>5</v>
      </c>
      <c r="M57" s="46">
        <f ca="1">IF($D$2&gt;=(COLUMN()-10),HLOOKUP($B57,INDIRECT(ADDRESS(2,11,1,,M$3)):INDIRECT(ADDRESS(25,playercnt+10,1,,M$3)),24),"")</f>
        <v>0</v>
      </c>
      <c r="N57" s="46">
        <f ca="1">IF($D$2&gt;=(COLUMN()-10),HLOOKUP($B57,INDIRECT(ADDRESS(2,11,1,,N$3)):INDIRECT(ADDRESS(25,playercnt+10,1,,N$3)),24),"")</f>
        <v>4</v>
      </c>
      <c r="O57" s="46">
        <f ca="1">IF($D$2&gt;=(COLUMN()-10),HLOOKUP($B57,INDIRECT(ADDRESS(2,11,1,,O$3)):INDIRECT(ADDRESS(25,playercnt+10,1,,O$3)),24),"")</f>
        <v>6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7</v>
      </c>
      <c r="S57" s="46">
        <f ca="1">IF($D$2&gt;=(COLUMN()-10),HLOOKUP($B57,INDIRECT(ADDRESS(2,11,1,,S$3)):INDIRECT(ADDRESS(25,playercnt+10,1,,S$3)),24),"")</f>
        <v>3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4</v>
      </c>
      <c r="V57" s="46">
        <f ca="1">IF($D$2&gt;=(COLUMN()-10),HLOOKUP($B57,INDIRECT(ADDRESS(2,11,1,,V$3)):INDIRECT(ADDRESS(25,playercnt+10,1,,V$3)),24),"")</f>
        <v>3</v>
      </c>
      <c r="W57" s="46">
        <f ca="1">IF($D$2&gt;=(COLUMN()-10),HLOOKUP($B57,INDIRECT(ADDRESS(2,11,1,,W$3)):INDIRECT(ADDRESS(25,playercnt+10,1,,W$3)),24),"")</f>
        <v>0</v>
      </c>
      <c r="X57" s="14">
        <v>56</v>
      </c>
      <c r="Y57" s="14">
        <f t="shared" ref="Y57:Y63" si="12">Y56+1</f>
        <v>50</v>
      </c>
    </row>
    <row r="58" spans="1:25" x14ac:dyDescent="0.2">
      <c r="A58" s="83">
        <f>IF(D58=D57,A57,Y58)</f>
        <v>51</v>
      </c>
      <c r="B58" s="39" t="str">
        <f ca="1">INDIRECT(ADDRESS(2,10+INDIRECT(ADDRESS(ROW(),24)),,,"Chart"))</f>
        <v>Gilmer, Justin T</v>
      </c>
      <c r="C58" s="40">
        <f ca="1">sumAcrossWkSheets(28,10,X58)</f>
        <v>0</v>
      </c>
      <c r="D58" s="40">
        <f>sumAcrossWkSheets(25,10,X58)</f>
        <v>54</v>
      </c>
      <c r="E58" s="25">
        <f>D58/games_completed</f>
        <v>0.41538461538461541</v>
      </c>
      <c r="F58" s="11">
        <f>$D$8-D58</f>
        <v>21</v>
      </c>
      <c r="G58" s="43">
        <v>47</v>
      </c>
      <c r="H58" s="20">
        <f>G58-A58</f>
        <v>-4</v>
      </c>
      <c r="I58" s="17">
        <f ca="1">MAX(K58:W58)</f>
        <v>8</v>
      </c>
      <c r="J58" s="17">
        <f ca="1">MIN(K58:W58)</f>
        <v>0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8</v>
      </c>
      <c r="M58" s="46">
        <f ca="1">IF($D$2&gt;=(COLUMN()-10),HLOOKUP($B58,INDIRECT(ADDRESS(2,11,1,,M$3)):INDIRECT(ADDRESS(25,playercnt+10,1,,M$3)),24),"")</f>
        <v>7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0</v>
      </c>
      <c r="P58" s="46">
        <f ca="1">IF($D$2&gt;=(COLUMN()-10),HLOOKUP($B58,INDIRECT(ADDRESS(2,11,1,,P$3)):INDIRECT(ADDRESS(25,playercnt+10,1,,P$3)),24),"")</f>
        <v>5</v>
      </c>
      <c r="Q58" s="46">
        <f ca="1">IF($D$2&gt;=(COLUMN()-10),HLOOKUP($B58,INDIRECT(ADDRESS(2,11,1,,Q$3)):INDIRECT(ADDRESS(25,playercnt+10,1,,Q$3)),24),"")</f>
        <v>7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0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6</v>
      </c>
      <c r="W58" s="46">
        <f ca="1">IF($D$2&gt;=(COLUMN()-10),HLOOKUP($B58,INDIRECT(ADDRESS(2,11,1,,W$3)):INDIRECT(ADDRESS(25,playercnt+10,1,,W$3)),24),"")</f>
        <v>0</v>
      </c>
      <c r="X58" s="47">
        <v>17</v>
      </c>
      <c r="Y58" s="14">
        <f t="shared" si="12"/>
        <v>51</v>
      </c>
    </row>
    <row r="59" spans="1:25" x14ac:dyDescent="0.2">
      <c r="A59" s="83">
        <f>IF(D59=D58,A58,Y59)</f>
        <v>51</v>
      </c>
      <c r="B59" s="39" t="str">
        <f ca="1">INDIRECT(ADDRESS(2,10+INDIRECT(ADDRESS(ROW(),24)),,,"Chart"))</f>
        <v>Wells, Seth Remote</v>
      </c>
      <c r="C59" s="40">
        <f ca="1">sumAcrossWkSheets(28,10,X59)</f>
        <v>0</v>
      </c>
      <c r="D59" s="40">
        <f>sumAcrossWkSheets(25,10,X59)</f>
        <v>54</v>
      </c>
      <c r="E59" s="25">
        <f>D59/games_completed</f>
        <v>0.41538461538461541</v>
      </c>
      <c r="F59" s="11">
        <f>$D$8-D59</f>
        <v>21</v>
      </c>
      <c r="G59" s="43">
        <v>52</v>
      </c>
      <c r="H59" s="20">
        <f>G59-A59</f>
        <v>1</v>
      </c>
      <c r="I59" s="17">
        <f ca="1">MAX(K59:W59)</f>
        <v>7</v>
      </c>
      <c r="J59" s="17">
        <f ca="1">MIN(K59:W59)</f>
        <v>2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4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3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4</v>
      </c>
      <c r="U59" s="46">
        <f ca="1">IF($D$2&gt;=(COLUMN()-10),HLOOKUP($B59,INDIRECT(ADDRESS(2,11,1,,U$3)):INDIRECT(ADDRESS(25,playercnt+10,1,,U$3)),24),"")</f>
        <v>7</v>
      </c>
      <c r="V59" s="46">
        <f ca="1">IF($D$2&gt;=(COLUMN()-10),HLOOKUP($B59,INDIRECT(ADDRESS(2,11,1,,V$3)):INDIRECT(ADDRESS(25,playercnt+10,1,,V$3)),24),"")</f>
        <v>3</v>
      </c>
      <c r="W59" s="46">
        <f ca="1">IF($D$2&gt;=(COLUMN()-10),HLOOKUP($B59,INDIRECT(ADDRESS(2,11,1,,W$3)):INDIRECT(ADDRESS(25,playercnt+10,1,,W$3)),24),"")</f>
        <v>4</v>
      </c>
      <c r="X59" s="47">
        <v>53</v>
      </c>
      <c r="Y59" s="14">
        <f t="shared" si="12"/>
        <v>52</v>
      </c>
    </row>
    <row r="60" spans="1:25" x14ac:dyDescent="0.2">
      <c r="A60" s="83">
        <f>IF(D60=D59,A59,Y60)</f>
        <v>53</v>
      </c>
      <c r="B60" s="39" t="str">
        <f ca="1">INDIRECT(ADDRESS(2,10+INDIRECT(ADDRESS(ROW(),24)),,,"Chart"))</f>
        <v>Barker, Christopher A</v>
      </c>
      <c r="C60" s="40">
        <f ca="1">sumAcrossWkSheets(28,10,X60)</f>
        <v>0</v>
      </c>
      <c r="D60" s="40">
        <f>sumAcrossWkSheets(25,10,X60)</f>
        <v>48</v>
      </c>
      <c r="E60" s="25">
        <f>D60/games_completed</f>
        <v>0.36923076923076925</v>
      </c>
      <c r="F60" s="11">
        <f>$D$8-D60</f>
        <v>27</v>
      </c>
      <c r="G60" s="43">
        <v>53</v>
      </c>
      <c r="H60" s="20">
        <f>G60-A60</f>
        <v>0</v>
      </c>
      <c r="I60" s="17">
        <f ca="1">MAX(K60:W60)</f>
        <v>7</v>
      </c>
      <c r="J60" s="17">
        <f ca="1">MIN(K60:W60)</f>
        <v>0</v>
      </c>
      <c r="K60" s="46">
        <f ca="1">IF($D$2&gt;=(COLUMN()-10),HLOOKUP($B60,INDIRECT(ADDRESS(2,11,1,,K$3)):INDIRECT(ADDRESS(25,playercnt+10,1,,K$3)),24),"")</f>
        <v>0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7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5</v>
      </c>
      <c r="P60" s="46">
        <f ca="1">IF($D$2&gt;=(COLUMN()-10),HLOOKUP($B60,INDIRECT(ADDRESS(2,11,1,,P$3)):INDIRECT(ADDRESS(25,playercnt+10,1,,P$3)),24),"")</f>
        <v>2</v>
      </c>
      <c r="Q60" s="46">
        <f ca="1">IF($D$2&gt;=(COLUMN()-10),HLOOKUP($B60,INDIRECT(ADDRESS(2,11,1,,Q$3)):INDIRECT(ADDRESS(25,playercnt+10,1,,Q$3)),24),"")</f>
        <v>5</v>
      </c>
      <c r="R60" s="46">
        <f ca="1">IF($D$2&gt;=(COLUMN()-10),HLOOKUP($B60,INDIRECT(ADDRESS(2,11,1,,R$3)):INDIRECT(ADDRESS(25,playercnt+10,1,,R$3)),24),"")</f>
        <v>4</v>
      </c>
      <c r="S60" s="46">
        <f ca="1">IF($D$2&gt;=(COLUMN()-10),HLOOKUP($B60,INDIRECT(ADDRESS(2,11,1,,S$3)):INDIRECT(ADDRESS(25,playercnt+10,1,,S$3)),24),"")</f>
        <v>2</v>
      </c>
      <c r="T60" s="46">
        <f ca="1">IF($D$2&gt;=(COLUMN()-10),HLOOKUP($B60,INDIRECT(ADDRESS(2,11,1,,T$3)):INDIRECT(ADDRESS(25,playercnt+10,1,,T$3)),24),"")</f>
        <v>6</v>
      </c>
      <c r="U60" s="46">
        <f ca="1">IF($D$2&gt;=(COLUMN()-10),HLOOKUP($B60,INDIRECT(ADDRESS(2,11,1,,U$3)):INDIRECT(ADDRESS(25,playercnt+10,1,,U$3)),24),"")</f>
        <v>3</v>
      </c>
      <c r="V60" s="46">
        <f ca="1">IF($D$2&gt;=(COLUMN()-10),HLOOKUP($B60,INDIRECT(ADDRESS(2,11,1,,V$3)):INDIRECT(ADDRESS(25,playercnt+10,1,,V$3)),24),"")</f>
        <v>5</v>
      </c>
      <c r="W60" s="46">
        <f ca="1">IF($D$2&gt;=(COLUMN()-10),HLOOKUP($B60,INDIRECT(ADDRESS(2,11,1,,W$3)):INDIRECT(ADDRESS(25,playercnt+10,1,,W$3)),24),"")</f>
        <v>0</v>
      </c>
      <c r="X60" s="47">
        <v>2</v>
      </c>
      <c r="Y60" s="14">
        <f t="shared" si="12"/>
        <v>53</v>
      </c>
    </row>
    <row r="61" spans="1:25" x14ac:dyDescent="0.2">
      <c r="A61" s="83">
        <f>IF(D61=D60,A60,Y61)</f>
        <v>54</v>
      </c>
      <c r="B61" s="39" t="str">
        <f ca="1">INDIRECT(ADDRESS(2,10+INDIRECT(ADDRESS(ROW(),24)),,,"Chart"))</f>
        <v>Mccoy, William M</v>
      </c>
      <c r="C61" s="40">
        <f ca="1">sumAcrossWkSheets(28,10,X61)</f>
        <v>0</v>
      </c>
      <c r="D61" s="40">
        <f>sumAcrossWkSheets(25,10,X61)</f>
        <v>44</v>
      </c>
      <c r="E61" s="25">
        <f>D61/games_completed</f>
        <v>0.33846153846153848</v>
      </c>
      <c r="F61" s="11">
        <f>$D$8-D61</f>
        <v>31</v>
      </c>
      <c r="G61" s="43">
        <v>54</v>
      </c>
      <c r="H61" s="20">
        <f>G61-A61</f>
        <v>0</v>
      </c>
      <c r="I61" s="17">
        <f ca="1">MAX(K61:W61)</f>
        <v>7</v>
      </c>
      <c r="J61" s="17">
        <f ca="1">MIN(K61:W61)</f>
        <v>0</v>
      </c>
      <c r="K61" s="46">
        <f ca="1">IF($D$2&gt;=(COLUMN()-10),HLOOKUP($B61,INDIRECT(ADDRESS(2,11,1,,K$3)):INDIRECT(ADDRESS(25,playercnt+10,1,,K$3)),24),"")</f>
        <v>7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0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7</v>
      </c>
      <c r="S61" s="46">
        <f ca="1">IF($D$2&gt;=(COLUMN()-10),HLOOKUP($B61,INDIRECT(ADDRESS(2,11,1,,S$3)):INDIRECT(ADDRESS(25,playercnt+10,1,,S$3)),24),"")</f>
        <v>2</v>
      </c>
      <c r="T61" s="46">
        <f ca="1">IF($D$2&gt;=(COLUMN()-10),HLOOKUP($B61,INDIRECT(ADDRESS(2,11,1,,T$3)):INDIRECT(ADDRESS(25,playercnt+10,1,,T$3)),24),"")</f>
        <v>0</v>
      </c>
      <c r="U61" s="46">
        <f ca="1">IF($D$2&gt;=(COLUMN()-10),HLOOKUP($B61,INDIRECT(ADDRESS(2,11,1,,U$3)):INDIRECT(ADDRESS(25,playercnt+10,1,,U$3)),24),"")</f>
        <v>3</v>
      </c>
      <c r="V61" s="46">
        <f ca="1">IF($D$2&gt;=(COLUMN()-10),HLOOKUP($B61,INDIRECT(ADDRESS(2,11,1,,V$3)):INDIRECT(ADDRESS(25,playercnt+10,1,,V$3)),24),"")</f>
        <v>3</v>
      </c>
      <c r="W61" s="46">
        <f ca="1">IF($D$2&gt;=(COLUMN()-10),HLOOKUP($B61,INDIRECT(ADDRESS(2,11,1,,W$3)):INDIRECT(ADDRESS(25,playercnt+10,1,,W$3)),24),"")</f>
        <v>4</v>
      </c>
      <c r="X61" s="47">
        <v>27</v>
      </c>
      <c r="Y61" s="14">
        <f t="shared" si="12"/>
        <v>54</v>
      </c>
    </row>
    <row r="62" spans="1:25" x14ac:dyDescent="0.2">
      <c r="A62" s="83">
        <f>IF(D62=D61,A61,Y62)</f>
        <v>55</v>
      </c>
      <c r="B62" s="39" t="str">
        <f ca="1">INDIRECT(ADDRESS(2,10+INDIRECT(ADDRESS(ROW(),24)),,,"Chart"))</f>
        <v>Nance, Rob</v>
      </c>
      <c r="C62" s="40">
        <f ca="1">sumAcrossWkSheets(28,10,X62)</f>
        <v>0</v>
      </c>
      <c r="D62" s="40">
        <f>sumAcrossWkSheets(25,10,X62)</f>
        <v>43</v>
      </c>
      <c r="E62" s="25">
        <f>D62/games_completed</f>
        <v>0.33076923076923076</v>
      </c>
      <c r="F62" s="11">
        <f>$D$8-D62</f>
        <v>32</v>
      </c>
      <c r="G62" s="43">
        <v>56</v>
      </c>
      <c r="H62" s="20">
        <f>G62-A62</f>
        <v>1</v>
      </c>
      <c r="I62" s="17">
        <f ca="1">MAX(K62:W62)</f>
        <v>7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0</v>
      </c>
      <c r="M62" s="46">
        <f ca="1">IF($D$2&gt;=(COLUMN()-10),HLOOKUP($B62,INDIRECT(ADDRESS(2,11,1,,M$3)):INDIRECT(ADDRESS(25,playercnt+10,1,,M$3)),24),"")</f>
        <v>0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4</v>
      </c>
      <c r="P62" s="46">
        <f ca="1">IF($D$2&gt;=(COLUMN()-10),HLOOKUP($B62,INDIRECT(ADDRESS(2,11,1,,P$3)):INDIRECT(ADDRESS(25,playercnt+10,1,,P$3)),24),"")</f>
        <v>5</v>
      </c>
      <c r="Q62" s="46">
        <f ca="1">IF($D$2&gt;=(COLUMN()-10),HLOOKUP($B62,INDIRECT(ADDRESS(2,11,1,,Q$3)):INDIRECT(ADDRESS(25,playercnt+10,1,,Q$3)),24),"")</f>
        <v>6</v>
      </c>
      <c r="R62" s="46">
        <f ca="1">IF($D$2&gt;=(COLUMN()-10),HLOOKUP($B62,INDIRECT(ADDRESS(2,11,1,,R$3)):INDIRECT(ADDRESS(25,playercnt+10,1,,R$3)),24),"")</f>
        <v>5</v>
      </c>
      <c r="S62" s="46">
        <f ca="1">IF($D$2&gt;=(COLUMN()-10),HLOOKUP($B62,INDIRECT(ADDRESS(2,11,1,,S$3)):INDIRECT(ADDRESS(25,playercnt+10,1,,S$3)),24),"")</f>
        <v>4</v>
      </c>
      <c r="T62" s="46">
        <f ca="1">IF($D$2&gt;=(COLUMN()-10),HLOOKUP($B62,INDIRECT(ADDRESS(2,11,1,,T$3)):INDIRECT(ADDRESS(25,playercnt+10,1,,T$3)),24),"")</f>
        <v>0</v>
      </c>
      <c r="U62" s="46">
        <f ca="1">IF($D$2&gt;=(COLUMN()-10),HLOOKUP($B62,INDIRECT(ADDRESS(2,11,1,,U$3)):INDIRECT(ADDRESS(25,playercnt+10,1,,U$3)),24),"")</f>
        <v>0</v>
      </c>
      <c r="V62" s="46">
        <f ca="1">IF($D$2&gt;=(COLUMN()-10),HLOOKUP($B62,INDIRECT(ADDRESS(2,11,1,,V$3)):INDIRECT(ADDRESS(25,playercnt+10,1,,V$3)),24),"")</f>
        <v>0</v>
      </c>
      <c r="W62" s="46">
        <f ca="1">IF($D$2&gt;=(COLUMN()-10),HLOOKUP($B62,INDIRECT(ADDRESS(2,11,1,,W$3)):INDIRECT(ADDRESS(25,playercnt+10,1,,W$3)),24),"")</f>
        <v>7</v>
      </c>
      <c r="X62" s="47">
        <v>32</v>
      </c>
      <c r="Y62" s="14">
        <f t="shared" si="12"/>
        <v>55</v>
      </c>
    </row>
    <row r="63" spans="1:25" x14ac:dyDescent="0.2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 ca="1">sumAcrossWkSheets(28,10,X63)</f>
        <v>0</v>
      </c>
      <c r="D63" s="40">
        <f>sumAcrossWkSheets(25,10,X63)</f>
        <v>41</v>
      </c>
      <c r="E63" s="25">
        <f>D63/games_completed</f>
        <v>0.31538461538461537</v>
      </c>
      <c r="F63" s="11">
        <f>$D$8-D63</f>
        <v>34</v>
      </c>
      <c r="G63" s="43">
        <v>55</v>
      </c>
      <c r="H63" s="20">
        <f>G63-A63</f>
        <v>-1</v>
      </c>
      <c r="I63" s="17">
        <f ca="1">MAX(K63:W63)</f>
        <v>6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>
        <f ca="1">IF($D$2&gt;=(COLUMN()-10),HLOOKUP($B63,INDIRECT(ADDRESS(2,11,1,,Q$3)):INDIRECT(ADDRESS(25,playercnt+10,1,,Q$3)),24),"")</f>
        <v>3</v>
      </c>
      <c r="R63" s="46">
        <f ca="1">IF($D$2&gt;=(COLUMN()-10),HLOOKUP($B63,INDIRECT(ADDRESS(2,11,1,,R$3)):INDIRECT(ADDRESS(25,playercnt+10,1,,R$3)),24),"")</f>
        <v>4</v>
      </c>
      <c r="S63" s="46">
        <f ca="1">IF($D$2&gt;=(COLUMN()-10),HLOOKUP($B63,INDIRECT(ADDRESS(2,11,1,,S$3)):INDIRECT(ADDRESS(25,playercnt+10,1,,S$3)),24),"")</f>
        <v>0</v>
      </c>
      <c r="T63" s="46">
        <f ca="1">IF($D$2&gt;=(COLUMN()-10),HLOOKUP($B63,INDIRECT(ADDRESS(2,11,1,,T$3)):INDIRECT(ADDRESS(25,playercnt+10,1,,T$3)),24),"")</f>
        <v>6</v>
      </c>
      <c r="U63" s="46">
        <f ca="1">IF($D$2&gt;=(COLUMN()-10),HLOOKUP($B63,INDIRECT(ADDRESS(2,11,1,,U$3)):INDIRECT(ADDRESS(25,playercnt+10,1,,U$3)),24),"")</f>
        <v>4</v>
      </c>
      <c r="V63" s="46">
        <f ca="1">IF($D$2&gt;=(COLUMN()-10),HLOOKUP($B63,INDIRECT(ADDRESS(2,11,1,,V$3)):INDIRECT(ADDRESS(25,playercnt+10,1,,V$3)),24),"")</f>
        <v>5</v>
      </c>
      <c r="W63" s="46">
        <f ca="1">IF($D$2&gt;=(COLUMN()-10),HLOOKUP($B63,INDIRECT(ADDRESS(2,11,1,,W$3)):INDIRECT(ADDRESS(25,playercnt+10,1,,W$3)),24),"")</f>
        <v>2</v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5" topLeftCell="A34"/>
      <selection activeCell="AF2" sqref="AF2"/>
      <selection pane="bottomLeft" activeCell="E17" sqref="E17:BN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">
      <c r="A2" s="56">
        <f>weekcnt</f>
        <v>13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297</v>
      </c>
      <c r="M2" s="23" t="s">
        <v>290</v>
      </c>
      <c r="N2" s="4" t="s">
        <v>291</v>
      </c>
      <c r="O2" s="4" t="s">
        <v>313</v>
      </c>
      <c r="P2" s="23" t="s">
        <v>301</v>
      </c>
      <c r="Q2" s="4" t="s">
        <v>311</v>
      </c>
      <c r="R2" s="4" t="s">
        <v>302</v>
      </c>
      <c r="S2" s="23" t="s">
        <v>300</v>
      </c>
      <c r="T2" s="4" t="s">
        <v>303</v>
      </c>
      <c r="U2" s="23" t="s">
        <v>275</v>
      </c>
      <c r="V2" s="4" t="s">
        <v>314</v>
      </c>
      <c r="W2" s="4" t="s">
        <v>131</v>
      </c>
      <c r="X2" s="4" t="s">
        <v>136</v>
      </c>
      <c r="Y2" s="4" t="s">
        <v>133</v>
      </c>
      <c r="Z2" s="4" t="s">
        <v>269</v>
      </c>
      <c r="AA2" s="4" t="s">
        <v>293</v>
      </c>
      <c r="AB2" s="4" t="s">
        <v>125</v>
      </c>
      <c r="AC2" s="4" t="s">
        <v>317</v>
      </c>
      <c r="AD2" s="4" t="s">
        <v>286</v>
      </c>
      <c r="AE2" s="4" t="s">
        <v>304</v>
      </c>
      <c r="AF2" s="4" t="s">
        <v>321</v>
      </c>
      <c r="AG2" s="4" t="s">
        <v>305</v>
      </c>
      <c r="AH2" s="4" t="s">
        <v>296</v>
      </c>
      <c r="AI2" s="4" t="s">
        <v>287</v>
      </c>
      <c r="AJ2" s="23" t="s">
        <v>48</v>
      </c>
      <c r="AK2" s="23" t="s">
        <v>294</v>
      </c>
      <c r="AL2" s="23" t="s">
        <v>306</v>
      </c>
      <c r="AM2" s="23" t="s">
        <v>270</v>
      </c>
      <c r="AN2" s="23" t="s">
        <v>307</v>
      </c>
      <c r="AO2" s="23" t="s">
        <v>49</v>
      </c>
      <c r="AP2" s="23" t="s">
        <v>318</v>
      </c>
      <c r="AQ2" s="23" t="s">
        <v>312</v>
      </c>
      <c r="AR2" s="23" t="s">
        <v>319</v>
      </c>
      <c r="AS2" s="23" t="s">
        <v>276</v>
      </c>
      <c r="AT2" s="23" t="s">
        <v>320</v>
      </c>
      <c r="AU2" s="23" t="s">
        <v>308</v>
      </c>
      <c r="AV2" s="23" t="s">
        <v>132</v>
      </c>
      <c r="AW2" s="23" t="s">
        <v>267</v>
      </c>
      <c r="AX2" s="23" t="s">
        <v>50</v>
      </c>
      <c r="AY2" s="23" t="s">
        <v>43</v>
      </c>
      <c r="AZ2" s="23" t="s">
        <v>309</v>
      </c>
      <c r="BA2" s="23" t="s">
        <v>135</v>
      </c>
      <c r="BB2" s="23" t="s">
        <v>273</v>
      </c>
      <c r="BC2" s="23" t="s">
        <v>272</v>
      </c>
      <c r="BD2" s="23" t="s">
        <v>44</v>
      </c>
      <c r="BE2" s="23" t="s">
        <v>315</v>
      </c>
      <c r="BF2" s="4" t="s">
        <v>265</v>
      </c>
      <c r="BG2" s="23" t="s">
        <v>295</v>
      </c>
      <c r="BH2" s="23" t="s">
        <v>126</v>
      </c>
      <c r="BI2" s="23" t="s">
        <v>316</v>
      </c>
      <c r="BJ2" s="23" t="s">
        <v>292</v>
      </c>
      <c r="BK2" s="23" t="s">
        <v>134</v>
      </c>
      <c r="BL2" s="23" t="s">
        <v>266</v>
      </c>
      <c r="BM2" s="23" t="s">
        <v>277</v>
      </c>
      <c r="BN2" s="4" t="s">
        <v>278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5.5</v>
      </c>
      <c r="J11">
        <f ca="1">IF(($A$2)&gt;=(ROW()-3),J$17*(SUM(J$19:J26)-((ROW()-3)*5)),J10)</f>
        <v>-40</v>
      </c>
      <c r="K11">
        <f ca="1">IF(($A$2)&gt;=(ROW()-3),K$17*(SUM(K$19:K26)-((ROW()-3)*5)),K10)</f>
        <v>1</v>
      </c>
      <c r="L11">
        <f ca="1">IF(($A$2)&gt;=(ROW()-3),L$17*(SUM(L$19:L26)-((ROW()-3)*5)),L10)</f>
        <v>-8</v>
      </c>
      <c r="M11">
        <f ca="1">IF(($A$2)&gt;=(ROW()-3),M$17*(SUM(M$19:M26)-((ROW()-3)*5)),M10)</f>
        <v>0</v>
      </c>
      <c r="N11">
        <f ca="1">IF(($A$2)&gt;=(ROW()-3),N$17*(SUM(N$19:N26)-((ROW()-3)*5)),N10)</f>
        <v>5</v>
      </c>
      <c r="O11">
        <f ca="1">IF(($A$2)&gt;=(ROW()-3),O$17*(SUM(O$19:O26)-((ROW()-3)*5)),O10)</f>
        <v>-16</v>
      </c>
      <c r="P11">
        <f ca="1">IF(($A$2)&gt;=(ROW()-3),P$17*(SUM(P$19:P26)-((ROW()-3)*5)),P10)</f>
        <v>-2</v>
      </c>
      <c r="Q11">
        <f ca="1">IF(($A$2)&gt;=(ROW()-3),Q$17*(SUM(Q$19:Q26)-((ROW()-3)*5)),Q10)</f>
        <v>-3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-4</v>
      </c>
      <c r="V11">
        <f ca="1">IF(($A$2)&gt;=(ROW()-3),V$17*(SUM(V$19:V26)-((ROW()-3)*5)),V10)</f>
        <v>1</v>
      </c>
      <c r="W11">
        <f ca="1">IF(($A$2)&gt;=(ROW()-3),W$17*(SUM(W$19:W26)-((ROW()-3)*5)),W10)</f>
        <v>4</v>
      </c>
      <c r="X11">
        <f ca="1">IF(($A$2)&gt;=(ROW()-3),X$17*(SUM(X$19:X26)-((ROW()-3)*5)),X10)</f>
        <v>-1</v>
      </c>
      <c r="Y11">
        <f ca="1">IF(($A$2)&gt;=(ROW()-3),Y$17*(SUM(Y$19:Y26)-((ROW()-3)*5)),Y10)</f>
        <v>-1</v>
      </c>
      <c r="Z11">
        <f ca="1">IF(($A$2)&gt;=(ROW()-3),Z$17*(SUM(Z$19:Z26)-((ROW()-3)*5)),Z10)</f>
        <v>4</v>
      </c>
      <c r="AA11">
        <f ca="1">IF(($A$2)&gt;=(ROW()-3),AA$17*(SUM(AA$19:AA26)-((ROW()-3)*5)),AA10)</f>
        <v>1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9</v>
      </c>
      <c r="AE11">
        <f ca="1">IF(($A$2)&gt;=(ROW()-3),AE$17*(SUM(AE$19:AE26)-((ROW()-3)*5)),AE10)</f>
        <v>-7</v>
      </c>
      <c r="AF11">
        <f ca="1">IF(($A$2)&gt;=(ROW()-3),AF$17*(SUM(AF$19:AF26)-((ROW()-3)*5)),AF10)</f>
        <v>1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-7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3</v>
      </c>
      <c r="AR11">
        <f ca="1">IF(($A$2)&gt;=(ROW()-3),AR$17*(SUM(AR$19:AR26)-((ROW()-3)*5)),AR10)</f>
        <v>3</v>
      </c>
      <c r="AS11">
        <f ca="1">IF(($A$2)&gt;=(ROW()-3),AS$17*(SUM(AS$19:AS26)-((ROW()-3)*5)),AS10)</f>
        <v>3</v>
      </c>
      <c r="AT11">
        <f ca="1">IF(($A$2)&gt;=(ROW()-3),AT$17*(SUM(AT$19:AT26)-((ROW()-3)*5)),AT10)</f>
        <v>-7</v>
      </c>
      <c r="AU11">
        <f ca="1">IF(($A$2)&gt;=(ROW()-3),AU$17*(SUM(AU$19:AU26)-((ROW()-3)*5)),AU10)</f>
        <v>1</v>
      </c>
      <c r="AV11">
        <f ca="1">IF(($A$2)&gt;=(ROW()-3),AV$17*(SUM(AV$19:AV26)-((ROW()-3)*5)),AV10)</f>
        <v>-4</v>
      </c>
      <c r="AW11">
        <f ca="1">IF(($A$2)&gt;=(ROW()-3),AW$17*(SUM(AW$19:AW26)-((ROW()-3)*5)),AW10)</f>
        <v>2</v>
      </c>
      <c r="AX11">
        <f ca="1">IF(($A$2)&gt;=(ROW()-3),AX$17*(SUM(AX$19:AX26)-((ROW()-3)*5)),AX10)</f>
        <v>2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10</v>
      </c>
      <c r="BB11">
        <f ca="1">IF(($A$2)&gt;=(ROW()-3),BB$17*(SUM(BB$19:BB26)-((ROW()-3)*5)),BB10)</f>
        <v>-1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-4</v>
      </c>
      <c r="BG11">
        <f ca="1">IF(($A$2)&gt;=(ROW()-3),BG$17*(SUM(BG$19:BG26)-((ROW()-3)*5)),BG10)</f>
        <v>-4</v>
      </c>
      <c r="BH11">
        <f ca="1">IF(($A$2)&gt;=(ROW()-3),BH$17*(SUM(BH$19:BH26)-((ROW()-3)*5)),BH10)</f>
        <v>5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-9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3</v>
      </c>
      <c r="H12">
        <f ca="1">IF(($A$2)&gt;=(ROW()-3),H$17*(SUM(H$19:H27)-((ROW()-3)*5)),H11)</f>
        <v>3</v>
      </c>
      <c r="I12">
        <f ca="1">IF(($A$2)&gt;=(ROW()-3),I$17*(SUM(I$19:I27)-((ROW()-3)*5)),I11)</f>
        <v>3.5</v>
      </c>
      <c r="J12">
        <f ca="1">IF(($A$2)&gt;=(ROW()-3),J$17*(SUM(J$19:J27)-((ROW()-3)*5)),J11)</f>
        <v>-45</v>
      </c>
      <c r="K12">
        <f ca="1">IF(($A$2)&gt;=(ROW()-3),K$17*(SUM(K$19:K27)-((ROW()-3)*5)),K11)</f>
        <v>-1</v>
      </c>
      <c r="L12">
        <f ca="1">IF(($A$2)&gt;=(ROW()-3),L$17*(SUM(L$19:L27)-((ROW()-3)*5)),L11)</f>
        <v>-11</v>
      </c>
      <c r="M12">
        <f ca="1">IF(($A$2)&gt;=(ROW()-3),M$17*(SUM(M$19:M27)-((ROW()-3)*5)),M11)</f>
        <v>0</v>
      </c>
      <c r="N12">
        <f ca="1">IF(($A$2)&gt;=(ROW()-3),N$17*(SUM(N$19:N27)-((ROW()-3)*5)),N11)</f>
        <v>3</v>
      </c>
      <c r="O12">
        <f ca="1">IF(($A$2)&gt;=(ROW()-3),O$17*(SUM(O$19:O27)-((ROW()-3)*5)),O11)</f>
        <v>-21</v>
      </c>
      <c r="P12">
        <f ca="1">IF(($A$2)&gt;=(ROW()-3),P$17*(SUM(P$19:P27)-((ROW()-3)*5)),P11)</f>
        <v>0</v>
      </c>
      <c r="Q12">
        <f ca="1">IF(($A$2)&gt;=(ROW()-3),Q$17*(SUM(Q$19:Q27)-((ROW()-3)*5)),Q11)</f>
        <v>-5</v>
      </c>
      <c r="R12">
        <f ca="1">IF(($A$2)&gt;=(ROW()-3),R$17*(SUM(R$19:R27)-((ROW()-3)*5)),R11)</f>
        <v>-1</v>
      </c>
      <c r="S12">
        <f ca="1">IF(($A$2)&gt;=(ROW()-3),S$17*(SUM(S$19:S27)-((ROW()-3)*5)),S11)</f>
        <v>-5</v>
      </c>
      <c r="T12">
        <f ca="1">IF(($A$2)&gt;=(ROW()-3),T$17*(SUM(T$19:T27)-((ROW()-3)*5)),T11)</f>
        <v>-10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1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4</v>
      </c>
      <c r="AA12">
        <f ca="1">IF(($A$2)&gt;=(ROW()-3),AA$17*(SUM(AA$19:AA27)-((ROW()-3)*5)),AA11)</f>
        <v>-4</v>
      </c>
      <c r="AB12">
        <f ca="1">IF(($A$2)&gt;=(ROW()-3),AB$17*(SUM(AB$19:AB27)-((ROW()-3)*5)),AB11)</f>
        <v>2</v>
      </c>
      <c r="AC12">
        <f ca="1">IF(($A$2)&gt;=(ROW()-3),AC$17*(SUM(AC$19:AC27)-((ROW()-3)*5)),AC11)</f>
        <v>-2</v>
      </c>
      <c r="AD12">
        <f ca="1">IF(($A$2)&gt;=(ROW()-3),AD$17*(SUM(AD$19:AD27)-((ROW()-3)*5)),AD11)</f>
        <v>7</v>
      </c>
      <c r="AE12">
        <f ca="1">IF(($A$2)&gt;=(ROW()-3),AE$17*(SUM(AE$19:AE27)-((ROW()-3)*5)),AE11)</f>
        <v>-8</v>
      </c>
      <c r="AF12">
        <f ca="1">IF(($A$2)&gt;=(ROW()-3),AF$17*(SUM(AF$19:AF27)-((ROW()-3)*5)),AF11)</f>
        <v>-3</v>
      </c>
      <c r="AG12">
        <f ca="1">IF(($A$2)&gt;=(ROW()-3),AG$17*(SUM(AG$19:AG27)-((ROW()-3)*5)),AG11)</f>
        <v>-2</v>
      </c>
      <c r="AH12">
        <f ca="1">IF(($A$2)&gt;=(ROW()-3),AH$17*(SUM(AH$19:AH27)-((ROW()-3)*5)),AH11)</f>
        <v>6</v>
      </c>
      <c r="AI12">
        <f ca="1">IF(($A$2)&gt;=(ROW()-3),AI$17*(SUM(AI$19:AI27)-((ROW()-3)*5)),AI11)</f>
        <v>-1</v>
      </c>
      <c r="AJ12">
        <f ca="1">IF(($A$2)&gt;=(ROW()-3),AJ$17*(SUM(AJ$19:AJ27)-((ROW()-3)*5)),AJ11)</f>
        <v>-2</v>
      </c>
      <c r="AK12">
        <f ca="1">IF(($A$2)&gt;=(ROW()-3),AK$17*(SUM(AK$19:AK27)-((ROW()-3)*5)),AK11)</f>
        <v>-11</v>
      </c>
      <c r="AL12">
        <f ca="1">IF(($A$2)&gt;=(ROW()-3),AL$17*(SUM(AL$19:AL27)-((ROW()-3)*5)),AL11)</f>
        <v>-8</v>
      </c>
      <c r="AM12">
        <f ca="1">IF(($A$2)&gt;=(ROW()-3),AM$17*(SUM(AM$19:AM27)-((ROW()-3)*5)),AM11)</f>
        <v>-1</v>
      </c>
      <c r="AN12">
        <f ca="1">IF(($A$2)&gt;=(ROW()-3),AN$17*(SUM(AN$19:AN27)-((ROW()-3)*5)),AN11)</f>
        <v>-1</v>
      </c>
      <c r="AO12">
        <f ca="1">IF(($A$2)&gt;=(ROW()-3),AO$17*(SUM(AO$19:AO27)-((ROW()-3)*5)),AO11)</f>
        <v>-2</v>
      </c>
      <c r="AP12">
        <f ca="1">IF(($A$2)&gt;=(ROW()-3),AP$17*(SUM(AP$19:AP27)-((ROW()-3)*5)),AP11)</f>
        <v>-9</v>
      </c>
      <c r="AQ12">
        <f ca="1">IF(($A$2)&gt;=(ROW()-3),AQ$17*(SUM(AQ$19:AQ27)-((ROW()-3)*5)),AQ11)</f>
        <v>2</v>
      </c>
      <c r="AR12">
        <f ca="1">IF(($A$2)&gt;=(ROW()-3),AR$17*(SUM(AR$19:AR27)-((ROW()-3)*5)),AR11)</f>
        <v>0</v>
      </c>
      <c r="AS12">
        <f ca="1">IF(($A$2)&gt;=(ROW()-3),AS$17*(SUM(AS$19:AS27)-((ROW()-3)*5)),AS11)</f>
        <v>2</v>
      </c>
      <c r="AT12">
        <f ca="1">IF(($A$2)&gt;=(ROW()-3),AT$17*(SUM(AT$19:AT27)-((ROW()-3)*5)),AT11)</f>
        <v>-6</v>
      </c>
      <c r="AU12">
        <f ca="1">IF(($A$2)&gt;=(ROW()-3),AU$17*(SUM(AU$19:AU27)-((ROW()-3)*5)),AU11)</f>
        <v>-1</v>
      </c>
      <c r="AV12">
        <f ca="1">IF(($A$2)&gt;=(ROW()-3),AV$17*(SUM(AV$19:AV27)-((ROW()-3)*5)),AV11)</f>
        <v>-5</v>
      </c>
      <c r="AW12">
        <f ca="1">IF(($A$2)&gt;=(ROW()-3),AW$17*(SUM(AW$19:AW27)-((ROW()-3)*5)),AW11)</f>
        <v>-1</v>
      </c>
      <c r="AX12">
        <f ca="1">IF(($A$2)&gt;=(ROW()-3),AX$17*(SUM(AX$19:AX27)-((ROW()-3)*5)),AX11)</f>
        <v>1</v>
      </c>
      <c r="AY12">
        <f ca="1">IF(($A$2)&gt;=(ROW()-3),AY$17*(SUM(AY$19:AY27)-((ROW()-3)*5)),AY11)</f>
        <v>3</v>
      </c>
      <c r="AZ12">
        <f ca="1">IF(($A$2)&gt;=(ROW()-3),AZ$17*(SUM(AZ$19:AZ27)-((ROW()-3)*5)),AZ11)</f>
        <v>-5</v>
      </c>
      <c r="BA12">
        <f ca="1">IF(($A$2)&gt;=(ROW()-3),BA$17*(SUM(BA$19:BA27)-((ROW()-3)*5)),BA11)</f>
        <v>9</v>
      </c>
      <c r="BB12">
        <f ca="1">IF(($A$2)&gt;=(ROW()-3),BB$17*(SUM(BB$19:BB27)-((ROW()-3)*5)),BB11)</f>
        <v>1</v>
      </c>
      <c r="BC12">
        <f ca="1">IF(($A$2)&gt;=(ROW()-3),BC$17*(SUM(BC$19:BC27)-((ROW()-3)*5)),BC11)</f>
        <v>-3</v>
      </c>
      <c r="BD12">
        <f ca="1">IF(($A$2)&gt;=(ROW()-3),BD$17*(SUM(BD$19:BD27)-((ROW()-3)*5)),BD11)</f>
        <v>7</v>
      </c>
      <c r="BE12">
        <f ca="1">IF(($A$2)&gt;=(ROW()-3),BE$17*(SUM(BE$19:BE27)-((ROW()-3)*5)),BE11)</f>
        <v>-8</v>
      </c>
      <c r="BF12">
        <f ca="1">IF(($A$2)&gt;=(ROW()-3),BF$17*(SUM(BF$19:BF27)-((ROW()-3)*5)),BF11)</f>
        <v>-5</v>
      </c>
      <c r="BG12">
        <f ca="1">IF(($A$2)&gt;=(ROW()-3),BG$17*(SUM(BG$19:BG27)-((ROW()-3)*5)),BG11)</f>
        <v>-6</v>
      </c>
      <c r="BH12">
        <f ca="1">IF(($A$2)&gt;=(ROW()-3),BH$17*(SUM(BH$19:BH27)-((ROW()-3)*5)),BH11)</f>
        <v>0</v>
      </c>
      <c r="BI12">
        <f ca="1">IF(($A$2)&gt;=(ROW()-3),BI$17*(SUM(BI$19:BI27)-((ROW()-3)*5)),BI11)</f>
        <v>-1</v>
      </c>
      <c r="BJ12">
        <f ca="1">IF(($A$2)&gt;=(ROW()-3),BJ$17*(SUM(BJ$19:BJ27)-((ROW()-3)*5)),BJ11)</f>
        <v>4</v>
      </c>
      <c r="BK12">
        <f ca="1">IF(($A$2)&gt;=(ROW()-3),BK$17*(SUM(BK$19:BK27)-((ROW()-3)*5)),BK11)</f>
        <v>-9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4</v>
      </c>
      <c r="H13">
        <f ca="1">IF(($A$2)&gt;=(ROW()-3),H$17*(SUM(H$19:H28)-((ROW()-3)*5)),H12)</f>
        <v>5</v>
      </c>
      <c r="I13">
        <f ca="1">IF(($A$2)&gt;=(ROW()-3),I$17*(SUM(I$19:I28)-((ROW()-3)*5)),I12)</f>
        <v>5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-10</v>
      </c>
      <c r="M13">
        <f ca="1">IF(($A$2)&gt;=(ROW()-3),M$17*(SUM(M$19:M28)-((ROW()-3)*5)),M12)</f>
        <v>0</v>
      </c>
      <c r="N13">
        <f ca="1">IF(($A$2)&gt;=(ROW()-3),N$17*(SUM(N$19:N28)-((ROW()-3)*5)),N12)</f>
        <v>6</v>
      </c>
      <c r="O13">
        <f ca="1">IF(($A$2)&gt;=(ROW()-3),O$17*(SUM(O$19:O28)-((ROW()-3)*5)),O12)</f>
        <v>-20</v>
      </c>
      <c r="P13">
        <f ca="1">IF(($A$2)&gt;=(ROW()-3),P$17*(SUM(P$19:P28)-((ROW()-3)*5)),P12)</f>
        <v>2</v>
      </c>
      <c r="Q13">
        <f ca="1">IF(($A$2)&gt;=(ROW()-3),Q$17*(SUM(Q$19:Q28)-((ROW()-3)*5)),Q12)</f>
        <v>-2</v>
      </c>
      <c r="R13">
        <f ca="1">IF(($A$2)&gt;=(ROW()-3),R$17*(SUM(R$19:R28)-((ROW()-3)*5)),R12)</f>
        <v>0</v>
      </c>
      <c r="S13">
        <f ca="1">IF(($A$2)&gt;=(ROW()-3),S$17*(SUM(S$19:S28)-((ROW()-3)*5)),S12)</f>
        <v>-6</v>
      </c>
      <c r="T13">
        <f ca="1">IF(($A$2)&gt;=(ROW()-3),T$17*(SUM(T$19:T28)-((ROW()-3)*5)),T12)</f>
        <v>-8</v>
      </c>
      <c r="U13">
        <f ca="1">IF(($A$2)&gt;=(ROW()-3),U$17*(SUM(U$19:U28)-((ROW()-3)*5)),U12)</f>
        <v>-5</v>
      </c>
      <c r="V13">
        <f ca="1">IF(($A$2)&gt;=(ROW()-3),V$17*(SUM(V$19:V28)-((ROW()-3)*5)),V12)</f>
        <v>-1</v>
      </c>
      <c r="W13">
        <f ca="1">IF(($A$2)&gt;=(ROW()-3),W$17*(SUM(W$19:W28)-((ROW()-3)*5)),W12)</f>
        <v>0</v>
      </c>
      <c r="X13">
        <f ca="1">IF(($A$2)&gt;=(ROW()-3),X$17*(SUM(X$19:X28)-((ROW()-3)*5)),X12)</f>
        <v>-3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-5</v>
      </c>
      <c r="AB13">
        <f ca="1">IF(($A$2)&gt;=(ROW()-3),AB$17*(SUM(AB$19:AB28)-((ROW()-3)*5)),AB12)</f>
        <v>2</v>
      </c>
      <c r="AC13">
        <f ca="1">IF(($A$2)&gt;=(ROW()-3),AC$17*(SUM(AC$19:AC28)-((ROW()-3)*5)),AC12)</f>
        <v>-3</v>
      </c>
      <c r="AD13">
        <f ca="1">IF(($A$2)&gt;=(ROW()-3),AD$17*(SUM(AD$19:AD28)-((ROW()-3)*5)),AD12)</f>
        <v>8</v>
      </c>
      <c r="AE13">
        <f ca="1">IF(($A$2)&gt;=(ROW()-3),AE$17*(SUM(AE$19:AE28)-((ROW()-3)*5)),AE12)</f>
        <v>-7</v>
      </c>
      <c r="AF13">
        <f ca="1">IF(($A$2)&gt;=(ROW()-3),AF$17*(SUM(AF$19:AF28)-((ROW()-3)*5)),AF12)</f>
        <v>-3</v>
      </c>
      <c r="AG13">
        <f ca="1">IF(($A$2)&gt;=(ROW()-3),AG$17*(SUM(AG$19:AG28)-((ROW()-3)*5)),AG12)</f>
        <v>-2</v>
      </c>
      <c r="AH13">
        <f ca="1">IF(($A$2)&gt;=(ROW()-3),AH$17*(SUM(AH$19:AH28)-((ROW()-3)*5)),AH12)</f>
        <v>9</v>
      </c>
      <c r="AI13">
        <f ca="1">IF(($A$2)&gt;=(ROW()-3),AI$17*(SUM(AI$19:AI28)-((ROW()-3)*5)),AI12)</f>
        <v>0</v>
      </c>
      <c r="AJ13">
        <f ca="1">IF(($A$2)&gt;=(ROW()-3),AJ$17*(SUM(AJ$19:AJ28)-((ROW()-3)*5)),AJ12)</f>
        <v>-1</v>
      </c>
      <c r="AK13">
        <f ca="1">IF(($A$2)&gt;=(ROW()-3),AK$17*(SUM(AK$19:AK28)-((ROW()-3)*5)),AK12)</f>
        <v>-16</v>
      </c>
      <c r="AL13">
        <f ca="1">IF(($A$2)&gt;=(ROW()-3),AL$17*(SUM(AL$19:AL28)-((ROW()-3)*5)),AL12)</f>
        <v>-6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-3</v>
      </c>
      <c r="AP13">
        <f ca="1">IF(($A$2)&gt;=(ROW()-3),AP$17*(SUM(AP$19:AP28)-((ROW()-3)*5)),AP12)</f>
        <v>-14</v>
      </c>
      <c r="AQ13">
        <f ca="1">IF(($A$2)&gt;=(ROW()-3),AQ$17*(SUM(AQ$19:AQ28)-((ROW()-3)*5)),AQ12)</f>
        <v>3</v>
      </c>
      <c r="AR13">
        <f ca="1">IF(($A$2)&gt;=(ROW()-3),AR$17*(SUM(AR$19:AR28)-((ROW()-3)*5)),AR12)</f>
        <v>0</v>
      </c>
      <c r="AS13">
        <f ca="1">IF(($A$2)&gt;=(ROW()-3),AS$17*(SUM(AS$19:AS28)-((ROW()-3)*5)),AS12)</f>
        <v>3</v>
      </c>
      <c r="AT13">
        <f ca="1">IF(($A$2)&gt;=(ROW()-3),AT$17*(SUM(AT$19:AT28)-((ROW()-3)*5)),AT12)</f>
        <v>-3</v>
      </c>
      <c r="AU13">
        <f ca="1">IF(($A$2)&gt;=(ROW()-3),AU$17*(SUM(AU$19:AU28)-((ROW()-3)*5)),AU12)</f>
        <v>0</v>
      </c>
      <c r="AV13">
        <f ca="1">IF(($A$2)&gt;=(ROW()-3),AV$17*(SUM(AV$19:AV28)-((ROW()-3)*5)),AV12)</f>
        <v>-4</v>
      </c>
      <c r="AW13">
        <f ca="1">IF(($A$2)&gt;=(ROW()-3),AW$17*(SUM(AW$19:AW28)-((ROW()-3)*5)),AW12)</f>
        <v>0</v>
      </c>
      <c r="AX13">
        <f ca="1">IF(($A$2)&gt;=(ROW()-3),AX$17*(SUM(AX$19:AX28)-((ROW()-3)*5)),AX12)</f>
        <v>3</v>
      </c>
      <c r="AY13">
        <f ca="1">IF(($A$2)&gt;=(ROW()-3),AY$17*(SUM(AY$19:AY28)-((ROW()-3)*5)),AY12)</f>
        <v>6</v>
      </c>
      <c r="AZ13">
        <f ca="1">IF(($A$2)&gt;=(ROW()-3),AZ$17*(SUM(AZ$19:AZ28)-((ROW()-3)*5)),AZ12)</f>
        <v>-5</v>
      </c>
      <c r="BA13">
        <f ca="1">IF(($A$2)&gt;=(ROW()-3),BA$17*(SUM(BA$19:BA28)-((ROW()-3)*5)),BA12)</f>
        <v>9</v>
      </c>
      <c r="BB13">
        <f ca="1">IF(($A$2)&gt;=(ROW()-3),BB$17*(SUM(BB$19:BB28)-((ROW()-3)*5)),BB12)</f>
        <v>3</v>
      </c>
      <c r="BC13">
        <f ca="1">IF(($A$2)&gt;=(ROW()-3),BC$17*(SUM(BC$19:BC28)-((ROW()-3)*5)),BC12)</f>
        <v>-3</v>
      </c>
      <c r="BD13">
        <f ca="1">IF(($A$2)&gt;=(ROW()-3),BD$17*(SUM(BD$19:BD28)-((ROW()-3)*5)),BD12)</f>
        <v>5</v>
      </c>
      <c r="BE13">
        <f ca="1">IF(($A$2)&gt;=(ROW()-3),BE$17*(SUM(BE$19:BE28)-((ROW()-3)*5)),BE12)</f>
        <v>-5</v>
      </c>
      <c r="BF13">
        <f ca="1">IF(($A$2)&gt;=(ROW()-3),BF$17*(SUM(BF$19:BF28)-((ROW()-3)*5)),BF12)</f>
        <v>-4</v>
      </c>
      <c r="BG13">
        <f ca="1">IF(($A$2)&gt;=(ROW()-3),BG$17*(SUM(BG$19:BG28)-((ROW()-3)*5)),BG12)</f>
        <v>-5</v>
      </c>
      <c r="BH13">
        <f ca="1">IF(($A$2)&gt;=(ROW()-3),BH$17*(SUM(BH$19:BH28)-((ROW()-3)*5)),BH12)</f>
        <v>-1</v>
      </c>
      <c r="BI13">
        <f ca="1">IF(($A$2)&gt;=(ROW()-3),BI$17*(SUM(BI$19:BI28)-((ROW()-3)*5)),BI12)</f>
        <v>0</v>
      </c>
      <c r="BJ13">
        <f ca="1">IF(($A$2)&gt;=(ROW()-3),BJ$17*(SUM(BJ$19:BJ28)-((ROW()-3)*5)),BJ12)</f>
        <v>5</v>
      </c>
      <c r="BK13">
        <f ca="1">IF(($A$2)&gt;=(ROW()-3),BK$17*(SUM(BK$19:BK28)-((ROW()-3)*5)),BK12)</f>
        <v>-10</v>
      </c>
      <c r="BL13">
        <f ca="1">IF(($A$2)&gt;=(ROW()-3),BL$17*(SUM(BL$19:BL28)-((ROW()-3)*5)),BL12)</f>
        <v>-5</v>
      </c>
      <c r="BM13">
        <f ca="1">IF(($A$2)&gt;=(ROW()-3),BM$17*(SUM(BM$19:BM28)-((ROW()-3)*5)),BM12)</f>
        <v>0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3</v>
      </c>
      <c r="H14">
        <f ca="1">IF(($A$2)&gt;=(ROW()-3),H$17*(SUM(H$19:H29)-((ROW()-3)*5)),H13)</f>
        <v>5</v>
      </c>
      <c r="I14">
        <f ca="1">IF(($A$2)&gt;=(ROW()-3),I$17*(SUM(I$19:I29)-((ROW()-3)*5)),I13)</f>
        <v>5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-12</v>
      </c>
      <c r="M14">
        <f ca="1">IF(($A$2)&gt;=(ROW()-3),M$17*(SUM(M$19:M29)-((ROW()-3)*5)),M13)</f>
        <v>-2</v>
      </c>
      <c r="N14">
        <f ca="1">IF(($A$2)&gt;=(ROW()-3),N$17*(SUM(N$19:N29)-((ROW()-3)*5)),N13)</f>
        <v>5</v>
      </c>
      <c r="O14">
        <f ca="1">IF(($A$2)&gt;=(ROW()-3),O$17*(SUM(O$19:O29)-((ROW()-3)*5)),O13)</f>
        <v>-21</v>
      </c>
      <c r="P14">
        <f ca="1">IF(($A$2)&gt;=(ROW()-3),P$17*(SUM(P$19:P29)-((ROW()-3)*5)),P13)</f>
        <v>3</v>
      </c>
      <c r="Q14">
        <f ca="1">IF(($A$2)&gt;=(ROW()-3),Q$17*(SUM(Q$19:Q29)-((ROW()-3)*5)),Q13)</f>
        <v>0</v>
      </c>
      <c r="R14">
        <f ca="1">IF(($A$2)&gt;=(ROW()-3),R$17*(SUM(R$19:R29)-((ROW()-3)*5)),R13)</f>
        <v>1</v>
      </c>
      <c r="S14">
        <f ca="1">IF(($A$2)&gt;=(ROW()-3),S$17*(SUM(S$19:S29)-((ROW()-3)*5)),S13)</f>
        <v>-4</v>
      </c>
      <c r="T14">
        <f ca="1">IF(($A$2)&gt;=(ROW()-3),T$17*(SUM(T$19:T29)-((ROW()-3)*5)),T13)</f>
        <v>-8</v>
      </c>
      <c r="U14">
        <f ca="1">IF(($A$2)&gt;=(ROW()-3),U$17*(SUM(U$19:U29)-((ROW()-3)*5)),U13)</f>
        <v>-2</v>
      </c>
      <c r="V14">
        <f ca="1">IF(($A$2)&gt;=(ROW()-3),V$17*(SUM(V$19:V29)-((ROW()-3)*5)),V13)</f>
        <v>-1</v>
      </c>
      <c r="W14">
        <f ca="1">IF(($A$2)&gt;=(ROW()-3),W$17*(SUM(W$19:W29)-((ROW()-3)*5)),W13)</f>
        <v>0</v>
      </c>
      <c r="X14">
        <f ca="1">IF(($A$2)&gt;=(ROW()-3),X$17*(SUM(X$19:X29)-((ROW()-3)*5)),X13)</f>
        <v>-2</v>
      </c>
      <c r="Y14">
        <f ca="1">IF(($A$2)&gt;=(ROW()-3),Y$17*(SUM(Y$19:Y29)-((ROW()-3)*5)),Y13)</f>
        <v>-1</v>
      </c>
      <c r="Z14">
        <f ca="1">IF(($A$2)&gt;=(ROW()-3),Z$17*(SUM(Z$19:Z29)-((ROW()-3)*5)),Z13)</f>
        <v>5</v>
      </c>
      <c r="AA14">
        <f ca="1">IF(($A$2)&gt;=(ROW()-3),AA$17*(SUM(AA$19:AA29)-((ROW()-3)*5)),AA13)</f>
        <v>-7</v>
      </c>
      <c r="AB14">
        <f ca="1">IF(($A$2)&gt;=(ROW()-3),AB$17*(SUM(AB$19:AB29)-((ROW()-3)*5)),AB13)</f>
        <v>3</v>
      </c>
      <c r="AC14">
        <f ca="1">IF(($A$2)&gt;=(ROW()-3),AC$17*(SUM(AC$19:AC29)-((ROW()-3)*5)),AC13)</f>
        <v>-2</v>
      </c>
      <c r="AD14">
        <f ca="1">IF(($A$2)&gt;=(ROW()-3),AD$17*(SUM(AD$19:AD29)-((ROW()-3)*5)),AD13)</f>
        <v>8</v>
      </c>
      <c r="AE14">
        <f ca="1">IF(($A$2)&gt;=(ROW()-3),AE$17*(SUM(AE$19:AE29)-((ROW()-3)*5)),AE13)</f>
        <v>-7</v>
      </c>
      <c r="AF14">
        <f ca="1">IF(($A$2)&gt;=(ROW()-3),AF$17*(SUM(AF$19:AF29)-((ROW()-3)*5)),AF13)</f>
        <v>-4</v>
      </c>
      <c r="AG14">
        <f ca="1">IF(($A$2)&gt;=(ROW()-3),AG$17*(SUM(AG$19:AG29)-((ROW()-3)*5)),AG13)</f>
        <v>1</v>
      </c>
      <c r="AH14">
        <f ca="1">IF(($A$2)&gt;=(ROW()-3),AH$17*(SUM(AH$19:AH29)-((ROW()-3)*5)),AH13)</f>
        <v>9</v>
      </c>
      <c r="AI14">
        <f ca="1">IF(($A$2)&gt;=(ROW()-3),AI$17*(SUM(AI$19:AI29)-((ROW()-3)*5)),AI13)</f>
        <v>3</v>
      </c>
      <c r="AJ14">
        <f ca="1">IF(($A$2)&gt;=(ROW()-3),AJ$17*(SUM(AJ$19:AJ29)-((ROW()-3)*5)),AJ13)</f>
        <v>-2</v>
      </c>
      <c r="AK14">
        <f ca="1">IF(($A$2)&gt;=(ROW()-3),AK$17*(SUM(AK$19:AK29)-((ROW()-3)*5)),AK13)</f>
        <v>-18</v>
      </c>
      <c r="AL14">
        <f ca="1">IF(($A$2)&gt;=(ROW()-3),AL$17*(SUM(AL$19:AL29)-((ROW()-3)*5)),AL13)</f>
        <v>-10</v>
      </c>
      <c r="AM14">
        <f ca="1">IF(($A$2)&gt;=(ROW()-3),AM$17*(SUM(AM$19:AM29)-((ROW()-3)*5)),AM13)</f>
        <v>-1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-19</v>
      </c>
      <c r="AQ14">
        <f ca="1">IF(($A$2)&gt;=(ROW()-3),AQ$17*(SUM(AQ$19:AQ29)-((ROW()-3)*5)),AQ13)</f>
        <v>5</v>
      </c>
      <c r="AR14">
        <f ca="1">IF(($A$2)&gt;=(ROW()-3),AR$17*(SUM(AR$19:AR29)-((ROW()-3)*5)),AR13)</f>
        <v>-2</v>
      </c>
      <c r="AS14">
        <f ca="1">IF(($A$2)&gt;=(ROW()-3),AS$17*(SUM(AS$19:AS29)-((ROW()-3)*5)),AS13)</f>
        <v>3</v>
      </c>
      <c r="AT14">
        <f ca="1">IF(($A$2)&gt;=(ROW()-3),AT$17*(SUM(AT$19:AT29)-((ROW()-3)*5)),AT13)</f>
        <v>1</v>
      </c>
      <c r="AU14">
        <f ca="1">IF(($A$2)&gt;=(ROW()-3),AU$17*(SUM(AU$19:AU29)-((ROW()-3)*5)),AU13)</f>
        <v>4</v>
      </c>
      <c r="AV14">
        <f ca="1">IF(($A$2)&gt;=(ROW()-3),AV$17*(SUM(AV$19:AV29)-((ROW()-3)*5)),AV13)</f>
        <v>-5</v>
      </c>
      <c r="AW14">
        <f ca="1">IF(($A$2)&gt;=(ROW()-3),AW$17*(SUM(AW$19:AW29)-((ROW()-3)*5)),AW13)</f>
        <v>1</v>
      </c>
      <c r="AX14">
        <f ca="1">IF(($A$2)&gt;=(ROW()-3),AX$17*(SUM(AX$19:AX29)-((ROW()-3)*5)),AX13)</f>
        <v>5</v>
      </c>
      <c r="AY14">
        <f ca="1">IF(($A$2)&gt;=(ROW()-3),AY$17*(SUM(AY$19:AY29)-((ROW()-3)*5)),AY13)</f>
        <v>5</v>
      </c>
      <c r="AZ14">
        <f ca="1">IF(($A$2)&gt;=(ROW()-3),AZ$17*(SUM(AZ$19:AZ29)-((ROW()-3)*5)),AZ13)</f>
        <v>-3</v>
      </c>
      <c r="BA14">
        <f ca="1">IF(($A$2)&gt;=(ROW()-3),BA$17*(SUM(BA$19:BA29)-((ROW()-3)*5)),BA13)</f>
        <v>7</v>
      </c>
      <c r="BB14">
        <f ca="1">IF(($A$2)&gt;=(ROW()-3),BB$17*(SUM(BB$19:BB29)-((ROW()-3)*5)),BB13)</f>
        <v>5</v>
      </c>
      <c r="BC14">
        <f ca="1">IF(($A$2)&gt;=(ROW()-3),BC$17*(SUM(BC$19:BC29)-((ROW()-3)*5)),BC13)</f>
        <v>-4</v>
      </c>
      <c r="BD14">
        <f ca="1">IF(($A$2)&gt;=(ROW()-3),BD$17*(SUM(BD$19:BD29)-((ROW()-3)*5)),BD13)</f>
        <v>6</v>
      </c>
      <c r="BE14">
        <f ca="1">IF(($A$2)&gt;=(ROW()-3),BE$17*(SUM(BE$19:BE29)-((ROW()-3)*5)),BE13)</f>
        <v>-5</v>
      </c>
      <c r="BF14">
        <f ca="1">IF(($A$2)&gt;=(ROW()-3),BF$17*(SUM(BF$19:BF29)-((ROW()-3)*5)),BF13)</f>
        <v>-4</v>
      </c>
      <c r="BG14">
        <f ca="1">IF(($A$2)&gt;=(ROW()-3),BG$17*(SUM(BG$19:BG29)-((ROW()-3)*5)),BG13)</f>
        <v>-4</v>
      </c>
      <c r="BH14">
        <f ca="1">IF(($A$2)&gt;=(ROW()-3),BH$17*(SUM(BH$19:BH29)-((ROW()-3)*5)),BH13)</f>
        <v>1</v>
      </c>
      <c r="BI14">
        <f ca="1">IF(($A$2)&gt;=(ROW()-3),BI$17*(SUM(BI$19:BI29)-((ROW()-3)*5)),BI13)</f>
        <v>0</v>
      </c>
      <c r="BJ14">
        <f ca="1">IF(($A$2)&gt;=(ROW()-3),BJ$17*(SUM(BJ$19:BJ29)-((ROW()-3)*5)),BJ13)</f>
        <v>4</v>
      </c>
      <c r="BK14">
        <f ca="1">IF(($A$2)&gt;=(ROW()-3),BK$17*(SUM(BK$19:BK29)-((ROW()-3)*5)),BK13)</f>
        <v>-8</v>
      </c>
      <c r="BL14">
        <f ca="1">IF(($A$2)&gt;=(ROW()-3),BL$17*(SUM(BL$19:BL29)-((ROW()-3)*5)),BL13)</f>
        <v>-8</v>
      </c>
      <c r="BM14">
        <f ca="1">IF(($A$2)&gt;=(ROW()-3),BM$17*(SUM(BM$19:BM29)-((ROW()-3)*5)),BM13)</f>
        <v>0</v>
      </c>
      <c r="BN14">
        <f ca="1">IF(($A$2)&gt;=(ROW()-3),BN$17*(SUM(BN$19:BN29)-((ROW()-3)*5)),BN13)</f>
        <v>-3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0</v>
      </c>
      <c r="H15">
        <f ca="1">IF(($A$2)&gt;=(ROW()-3),H$17*(SUM(H$19:H30)-((ROW()-3)*5)),H14)</f>
        <v>7</v>
      </c>
      <c r="I15">
        <f ca="1">IF(($A$2)&gt;=(ROW()-3),I$17*(SUM(I$19:I30)-((ROW()-3)*5)),I14)</f>
        <v>7</v>
      </c>
      <c r="J15">
        <f ca="1">IF(($A$2)&gt;=(ROW()-3),J$17*(SUM(J$19:J30)-((ROW()-3)*5)),J14)</f>
        <v>-60</v>
      </c>
      <c r="K15">
        <f ca="1">IF(($A$2)&gt;=(ROW()-3),K$17*(SUM(K$19:K30)-((ROW()-3)*5)),K14)</f>
        <v>3</v>
      </c>
      <c r="L15">
        <f ca="1">IF(($A$2)&gt;=(ROW()-3),L$17*(SUM(L$19:L30)-((ROW()-3)*5)),L14)</f>
        <v>-12</v>
      </c>
      <c r="M15">
        <f ca="1">IF(($A$2)&gt;=(ROW()-3),M$17*(SUM(M$19:M30)-((ROW()-3)*5)),M14)</f>
        <v>-1</v>
      </c>
      <c r="N15">
        <f ca="1">IF(($A$2)&gt;=(ROW()-3),N$17*(SUM(N$19:N30)-((ROW()-3)*5)),N14)</f>
        <v>7</v>
      </c>
      <c r="O15">
        <f ca="1">IF(($A$2)&gt;=(ROW()-3),O$17*(SUM(O$19:O30)-((ROW()-3)*5)),O14)</f>
        <v>-21</v>
      </c>
      <c r="P15">
        <f ca="1">IF(($A$2)&gt;=(ROW()-3),P$17*(SUM(P$19:P30)-((ROW()-3)*5)),P14)</f>
        <v>5</v>
      </c>
      <c r="Q15">
        <f ca="1">IF(($A$2)&gt;=(ROW()-3),Q$17*(SUM(Q$19:Q30)-((ROW()-3)*5)),Q14)</f>
        <v>2</v>
      </c>
      <c r="R15">
        <f ca="1">IF(($A$2)&gt;=(ROW()-3),R$17*(SUM(R$19:R30)-((ROW()-3)*5)),R14)</f>
        <v>-4</v>
      </c>
      <c r="S15">
        <f ca="1">IF(($A$2)&gt;=(ROW()-3),S$17*(SUM(S$19:S30)-((ROW()-3)*5)),S14)</f>
        <v>-3</v>
      </c>
      <c r="T15">
        <f ca="1">IF(($A$2)&gt;=(ROW()-3),T$17*(SUM(T$19:T30)-((ROW()-3)*5)),T14)</f>
        <v>-8</v>
      </c>
      <c r="U15">
        <f ca="1">IF(($A$2)&gt;=(ROW()-3),U$17*(SUM(U$19:U30)-((ROW()-3)*5)),U14)</f>
        <v>-1</v>
      </c>
      <c r="V15">
        <f ca="1">IF(($A$2)&gt;=(ROW()-3),V$17*(SUM(V$19:V30)-((ROW()-3)*5)),V14)</f>
        <v>1</v>
      </c>
      <c r="W15">
        <f ca="1">IF(($A$2)&gt;=(ROW()-3),W$17*(SUM(W$19:W30)-((ROW()-3)*5)),W14)</f>
        <v>1</v>
      </c>
      <c r="X15">
        <f ca="1">IF(($A$2)&gt;=(ROW()-3),X$17*(SUM(X$19:X30)-((ROW()-3)*5)),X14)</f>
        <v>-1</v>
      </c>
      <c r="Y15">
        <f ca="1">IF(($A$2)&gt;=(ROW()-3),Y$17*(SUM(Y$19:Y30)-((ROW()-3)*5)),Y14)</f>
        <v>0</v>
      </c>
      <c r="Z15">
        <f ca="1">IF(($A$2)&gt;=(ROW()-3),Z$17*(SUM(Z$19:Z30)-((ROW()-3)*5)),Z14)</f>
        <v>7</v>
      </c>
      <c r="AA15">
        <f ca="1">IF(($A$2)&gt;=(ROW()-3),AA$17*(SUM(AA$19:AA30)-((ROW()-3)*5)),AA14)</f>
        <v>-6</v>
      </c>
      <c r="AB15">
        <f ca="1">IF(($A$2)&gt;=(ROW()-3),AB$17*(SUM(AB$19:AB30)-((ROW()-3)*5)),AB14)</f>
        <v>6</v>
      </c>
      <c r="AC15">
        <f ca="1">IF(($A$2)&gt;=(ROW()-3),AC$17*(SUM(AC$19:AC30)-((ROW()-3)*5)),AC14)</f>
        <v>-2</v>
      </c>
      <c r="AD15">
        <f ca="1">IF(($A$2)&gt;=(ROW()-3),AD$17*(SUM(AD$19:AD30)-((ROW()-3)*5)),AD14)</f>
        <v>9</v>
      </c>
      <c r="AE15">
        <f ca="1">IF(($A$2)&gt;=(ROW()-3),AE$17*(SUM(AE$19:AE30)-((ROW()-3)*5)),AE14)</f>
        <v>-8</v>
      </c>
      <c r="AF15">
        <f ca="1">IF(($A$2)&gt;=(ROW()-3),AF$17*(SUM(AF$19:AF30)-((ROW()-3)*5)),AF14)</f>
        <v>-5</v>
      </c>
      <c r="AG15">
        <f ca="1">IF(($A$2)&gt;=(ROW()-3),AG$17*(SUM(AG$19:AG30)-((ROW()-3)*5)),AG14)</f>
        <v>0</v>
      </c>
      <c r="AH15">
        <f ca="1">IF(($A$2)&gt;=(ROW()-3),AH$17*(SUM(AH$19:AH30)-((ROW()-3)*5)),AH14)</f>
        <v>8</v>
      </c>
      <c r="AI15">
        <f ca="1">IF(($A$2)&gt;=(ROW()-3),AI$17*(SUM(AI$19:AI30)-((ROW()-3)*5)),AI14)</f>
        <v>0</v>
      </c>
      <c r="AJ15">
        <f ca="1">IF(($A$2)&gt;=(ROW()-3),AJ$17*(SUM(AJ$19:AJ30)-((ROW()-3)*5)),AJ14)</f>
        <v>2</v>
      </c>
      <c r="AK15">
        <f ca="1">IF(($A$2)&gt;=(ROW()-3),AK$17*(SUM(AK$19:AK30)-((ROW()-3)*5)),AK14)</f>
        <v>-20</v>
      </c>
      <c r="AL15">
        <f ca="1">IF(($A$2)&gt;=(ROW()-3),AL$17*(SUM(AL$19:AL30)-((ROW()-3)*5)),AL14)</f>
        <v>-8</v>
      </c>
      <c r="AM15">
        <f ca="1">IF(($A$2)&gt;=(ROW()-3),AM$17*(SUM(AM$19:AM30)-((ROW()-3)*5)),AM14)</f>
        <v>2</v>
      </c>
      <c r="AN15">
        <f ca="1">IF(($A$2)&gt;=(ROW()-3),AN$17*(SUM(AN$19:AN30)-((ROW()-3)*5)),AN14)</f>
        <v>5</v>
      </c>
      <c r="AO15">
        <f ca="1">IF(($A$2)&gt;=(ROW()-3),AO$17*(SUM(AO$19:AO30)-((ROW()-3)*5)),AO14)</f>
        <v>0</v>
      </c>
      <c r="AP15">
        <f ca="1">IF(($A$2)&gt;=(ROW()-3),AP$17*(SUM(AP$19:AP30)-((ROW()-3)*5)),AP14)</f>
        <v>-24</v>
      </c>
      <c r="AQ15">
        <f ca="1">IF(($A$2)&gt;=(ROW()-3),AQ$17*(SUM(AQ$19:AQ30)-((ROW()-3)*5)),AQ14)</f>
        <v>7</v>
      </c>
      <c r="AR15">
        <f ca="1">IF(($A$2)&gt;=(ROW()-3),AR$17*(SUM(AR$19:AR30)-((ROW()-3)*5)),AR14)</f>
        <v>-3</v>
      </c>
      <c r="AS15">
        <f ca="1">IF(($A$2)&gt;=(ROW()-3),AS$17*(SUM(AS$19:AS30)-((ROW()-3)*5)),AS14)</f>
        <v>4</v>
      </c>
      <c r="AT15">
        <f ca="1">IF(($A$2)&gt;=(ROW()-3),AT$17*(SUM(AT$19:AT30)-((ROW()-3)*5)),AT14)</f>
        <v>4</v>
      </c>
      <c r="AU15">
        <f ca="1">IF(($A$2)&gt;=(ROW()-3),AU$17*(SUM(AU$19:AU30)-((ROW()-3)*5)),AU14)</f>
        <v>5</v>
      </c>
      <c r="AV15">
        <f ca="1">IF(($A$2)&gt;=(ROW()-3),AV$17*(SUM(AV$19:AV30)-((ROW()-3)*5)),AV14)</f>
        <v>-5</v>
      </c>
      <c r="AW15">
        <f ca="1">IF(($A$2)&gt;=(ROW()-3),AW$17*(SUM(AW$19:AW30)-((ROW()-3)*5)),AW14)</f>
        <v>1</v>
      </c>
      <c r="AX15">
        <f ca="1">IF(($A$2)&gt;=(ROW()-3),AX$17*(SUM(AX$19:AX30)-((ROW()-3)*5)),AX14)</f>
        <v>5</v>
      </c>
      <c r="AY15">
        <f ca="1">IF(($A$2)&gt;=(ROW()-3),AY$17*(SUM(AY$19:AY30)-((ROW()-3)*5)),AY14)</f>
        <v>8</v>
      </c>
      <c r="AZ15">
        <f ca="1">IF(($A$2)&gt;=(ROW()-3),AZ$17*(SUM(AZ$19:AZ30)-((ROW()-3)*5)),AZ14)</f>
        <v>-5</v>
      </c>
      <c r="BA15">
        <f ca="1">IF(($A$2)&gt;=(ROW()-3),BA$17*(SUM(BA$19:BA30)-((ROW()-3)*5)),BA14)</f>
        <v>5</v>
      </c>
      <c r="BB15">
        <f ca="1">IF(($A$2)&gt;=(ROW()-3),BB$17*(SUM(BB$19:BB30)-((ROW()-3)*5)),BB14)</f>
        <v>5</v>
      </c>
      <c r="BC15">
        <f ca="1">IF(($A$2)&gt;=(ROW()-3),BC$17*(SUM(BC$19:BC30)-((ROW()-3)*5)),BC14)</f>
        <v>-2</v>
      </c>
      <c r="BD15">
        <f ca="1">IF(($A$2)&gt;=(ROW()-3),BD$17*(SUM(BD$19:BD30)-((ROW()-3)*5)),BD14)</f>
        <v>7</v>
      </c>
      <c r="BE15">
        <f ca="1">IF(($A$2)&gt;=(ROW()-3),BE$17*(SUM(BE$19:BE30)-((ROW()-3)*5)),BE14)</f>
        <v>-2</v>
      </c>
      <c r="BF15">
        <f ca="1">IF(($A$2)&gt;=(ROW()-3),BF$17*(SUM(BF$19:BF30)-((ROW()-3)*5)),BF14)</f>
        <v>-4</v>
      </c>
      <c r="BG15">
        <f ca="1">IF(($A$2)&gt;=(ROW()-3),BG$17*(SUM(BG$19:BG30)-((ROW()-3)*5)),BG14)</f>
        <v>-4</v>
      </c>
      <c r="BH15">
        <f ca="1">IF(($A$2)&gt;=(ROW()-3),BH$17*(SUM(BH$19:BH30)-((ROW()-3)*5)),BH14)</f>
        <v>2</v>
      </c>
      <c r="BI15">
        <f ca="1">IF(($A$2)&gt;=(ROW()-3),BI$17*(SUM(BI$19:BI30)-((ROW()-3)*5)),BI14)</f>
        <v>1</v>
      </c>
      <c r="BJ15">
        <f ca="1">IF(($A$2)&gt;=(ROW()-3),BJ$17*(SUM(BJ$19:BJ30)-((ROW()-3)*5)),BJ14)</f>
        <v>7</v>
      </c>
      <c r="BK15">
        <f ca="1">IF(($A$2)&gt;=(ROW()-3),BK$17*(SUM(BK$19:BK30)-((ROW()-3)*5)),BK14)</f>
        <v>-10</v>
      </c>
      <c r="BL15">
        <f ca="1">IF(($A$2)&gt;=(ROW()-3),BL$17*(SUM(BL$19:BL30)-((ROW()-3)*5)),BL14)</f>
        <v>-6</v>
      </c>
      <c r="BM15">
        <f ca="1">IF(($A$2)&gt;=(ROW()-3),BM$17*(SUM(BM$19:BM30)-((ROW()-3)*5)),BM14)</f>
        <v>-2</v>
      </c>
      <c r="BN15">
        <f ca="1">IF(($A$2)&gt;=(ROW()-3),BN$17*(SUM(BN$19:BN30)-((ROW()-3)*5)),BN14)</f>
        <v>-5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-2</v>
      </c>
      <c r="H16">
        <f ca="1">IF(($A$2)&gt;=(ROW()-3),H$17*(SUM(H$19:H31)-((ROW()-3)*5)),H15)</f>
        <v>6</v>
      </c>
      <c r="I16">
        <f ca="1">IF(($A$2)&gt;=(ROW()-3),I$17*(SUM(I$19:I31)-((ROW()-3)*5)),I15)</f>
        <v>6.5</v>
      </c>
      <c r="J16">
        <f ca="1">IF(($A$2)&gt;=(ROW()-3),J$17*(SUM(J$19:J31)-((ROW()-3)*5)),J15)</f>
        <v>-65</v>
      </c>
      <c r="K16">
        <f ca="1">IF(($A$2)&gt;=(ROW()-3),K$17*(SUM(K$19:K31)-((ROW()-3)*5)),K15)</f>
        <v>4</v>
      </c>
      <c r="L16">
        <f ca="1">IF(($A$2)&gt;=(ROW()-3),L$17*(SUM(L$19:L31)-((ROW()-3)*5)),L15)</f>
        <v>-17</v>
      </c>
      <c r="M16">
        <f ca="1">IF(($A$2)&gt;=(ROW()-3),M$17*(SUM(M$19:M31)-((ROW()-3)*5)),M15)</f>
        <v>0</v>
      </c>
      <c r="N16">
        <f ca="1">IF(($A$2)&gt;=(ROW()-3),N$17*(SUM(N$19:N31)-((ROW()-3)*5)),N15)</f>
        <v>5</v>
      </c>
      <c r="O16">
        <f ca="1">IF(($A$2)&gt;=(ROW()-3),O$17*(SUM(O$19:O31)-((ROW()-3)*5)),O15)</f>
        <v>-24</v>
      </c>
      <c r="P16">
        <f ca="1">IF(($A$2)&gt;=(ROW()-3),P$17*(SUM(P$19:P31)-((ROW()-3)*5)),P15)</f>
        <v>6</v>
      </c>
      <c r="Q16">
        <f ca="1">IF(($A$2)&gt;=(ROW()-3),Q$17*(SUM(Q$19:Q31)-((ROW()-3)*5)),Q15)</f>
        <v>-1</v>
      </c>
      <c r="R16">
        <f ca="1">IF(($A$2)&gt;=(ROW()-3),R$17*(SUM(R$19:R31)-((ROW()-3)*5)),R15)</f>
        <v>-5</v>
      </c>
      <c r="S16">
        <f ca="1">IF(($A$2)&gt;=(ROW()-3),S$17*(SUM(S$19:S31)-((ROW()-3)*5)),S15)</f>
        <v>0</v>
      </c>
      <c r="T16">
        <f ca="1">IF(($A$2)&gt;=(ROW()-3),T$17*(SUM(T$19:T31)-((ROW()-3)*5)),T15)</f>
        <v>-10</v>
      </c>
      <c r="U16">
        <f ca="1">IF(($A$2)&gt;=(ROW()-3),U$17*(SUM(U$19:U31)-((ROW()-3)*5)),U15)</f>
        <v>-2</v>
      </c>
      <c r="V16">
        <f ca="1">IF(($A$2)&gt;=(ROW()-3),V$17*(SUM(V$19:V31)-((ROW()-3)*5)),V15)</f>
        <v>0</v>
      </c>
      <c r="W16">
        <f ca="1">IF(($A$2)&gt;=(ROW()-3),W$17*(SUM(W$19:W31)-((ROW()-3)*5)),W15)</f>
        <v>3</v>
      </c>
      <c r="X16">
        <f ca="1">IF(($A$2)&gt;=(ROW()-3),X$17*(SUM(X$19:X31)-((ROW()-3)*5)),X15)</f>
        <v>1</v>
      </c>
      <c r="Y16">
        <f ca="1">IF(($A$2)&gt;=(ROW()-3),Y$17*(SUM(Y$19:Y31)-((ROW()-3)*5)),Y15)</f>
        <v>-1</v>
      </c>
      <c r="Z16">
        <f ca="1">IF(($A$2)&gt;=(ROW()-3),Z$17*(SUM(Z$19:Z31)-((ROW()-3)*5)),Z15)</f>
        <v>4</v>
      </c>
      <c r="AA16">
        <f ca="1">IF(($A$2)&gt;=(ROW()-3),AA$17*(SUM(AA$19:AA31)-((ROW()-3)*5)),AA15)</f>
        <v>-11</v>
      </c>
      <c r="AB16">
        <f ca="1">IF(($A$2)&gt;=(ROW()-3),AB$17*(SUM(AB$19:AB31)-((ROW()-3)*5)),AB15)</f>
        <v>4</v>
      </c>
      <c r="AC16">
        <f ca="1">IF(($A$2)&gt;=(ROW()-3),AC$17*(SUM(AC$19:AC31)-((ROW()-3)*5)),AC15)</f>
        <v>0</v>
      </c>
      <c r="AD16">
        <f ca="1">IF(($A$2)&gt;=(ROW()-3),AD$17*(SUM(AD$19:AD31)-((ROW()-3)*5)),AD15)</f>
        <v>10</v>
      </c>
      <c r="AE16">
        <f ca="1">IF(($A$2)&gt;=(ROW()-3),AE$17*(SUM(AE$19:AE31)-((ROW()-3)*5)),AE15)</f>
        <v>-9</v>
      </c>
      <c r="AF16">
        <f ca="1">IF(($A$2)&gt;=(ROW()-3),AF$17*(SUM(AF$19:AF31)-((ROW()-3)*5)),AF15)</f>
        <v>-2</v>
      </c>
      <c r="AG16">
        <f ca="1">IF(($A$2)&gt;=(ROW()-3),AG$17*(SUM(AG$19:AG31)-((ROW()-3)*5)),AG15)</f>
        <v>-1</v>
      </c>
      <c r="AH16">
        <f ca="1">IF(($A$2)&gt;=(ROW()-3),AH$17*(SUM(AH$19:AH31)-((ROW()-3)*5)),AH15)</f>
        <v>7</v>
      </c>
      <c r="AI16">
        <f ca="1">IF(($A$2)&gt;=(ROW()-3),AI$17*(SUM(AI$19:AI31)-((ROW()-3)*5)),AI15)</f>
        <v>0</v>
      </c>
      <c r="AJ16">
        <f ca="1">IF(($A$2)&gt;=(ROW()-3),AJ$17*(SUM(AJ$19:AJ31)-((ROW()-3)*5)),AJ15)</f>
        <v>2</v>
      </c>
      <c r="AK16">
        <f ca="1">IF(($A$2)&gt;=(ROW()-3),AK$17*(SUM(AK$19:AK31)-((ROW()-3)*5)),AK15)</f>
        <v>-21</v>
      </c>
      <c r="AL16">
        <f ca="1">IF(($A$2)&gt;=(ROW()-3),AL$17*(SUM(AL$19:AL31)-((ROW()-3)*5)),AL15)</f>
        <v>-9</v>
      </c>
      <c r="AM16">
        <f ca="1">IF(($A$2)&gt;=(ROW()-3),AM$17*(SUM(AM$19:AM31)-((ROW()-3)*5)),AM15)</f>
        <v>4</v>
      </c>
      <c r="AN16">
        <f ca="1">IF(($A$2)&gt;=(ROW()-3),AN$17*(SUM(AN$19:AN31)-((ROW()-3)*5)),AN15)</f>
        <v>5</v>
      </c>
      <c r="AO16">
        <f ca="1">IF(($A$2)&gt;=(ROW()-3),AO$17*(SUM(AO$19:AO31)-((ROW()-3)*5)),AO15)</f>
        <v>-1</v>
      </c>
      <c r="AP16">
        <f ca="1">IF(($A$2)&gt;=(ROW()-3),AP$17*(SUM(AP$19:AP31)-((ROW()-3)*5)),AP15)</f>
        <v>-22</v>
      </c>
      <c r="AQ16">
        <f ca="1">IF(($A$2)&gt;=(ROW()-3),AQ$17*(SUM(AQ$19:AQ31)-((ROW()-3)*5)),AQ15)</f>
        <v>8</v>
      </c>
      <c r="AR16">
        <f ca="1">IF(($A$2)&gt;=(ROW()-3),AR$17*(SUM(AR$19:AR31)-((ROW()-3)*5)),AR15)</f>
        <v>-5</v>
      </c>
      <c r="AS16">
        <f ca="1">IF(($A$2)&gt;=(ROW()-3),AS$17*(SUM(AS$19:AS31)-((ROW()-3)*5)),AS15)</f>
        <v>3</v>
      </c>
      <c r="AT16">
        <f ca="1">IF(($A$2)&gt;=(ROW()-3),AT$17*(SUM(AT$19:AT31)-((ROW()-3)*5)),AT15)</f>
        <v>3</v>
      </c>
      <c r="AU16">
        <f ca="1">IF(($A$2)&gt;=(ROW()-3),AU$17*(SUM(AU$19:AU31)-((ROW()-3)*5)),AU15)</f>
        <v>4</v>
      </c>
      <c r="AV16">
        <f ca="1">IF(($A$2)&gt;=(ROW()-3),AV$17*(SUM(AV$19:AV31)-((ROW()-3)*5)),AV15)</f>
        <v>-5</v>
      </c>
      <c r="AW16">
        <f ca="1">IF(($A$2)&gt;=(ROW()-3),AW$17*(SUM(AW$19:AW31)-((ROW()-3)*5)),AW15)</f>
        <v>3</v>
      </c>
      <c r="AX16">
        <f ca="1">IF(($A$2)&gt;=(ROW()-3),AX$17*(SUM(AX$19:AX31)-((ROW()-3)*5)),AX15)</f>
        <v>7</v>
      </c>
      <c r="AY16">
        <f ca="1">IF(($A$2)&gt;=(ROW()-3),AY$17*(SUM(AY$19:AY31)-((ROW()-3)*5)),AY15)</f>
        <v>6</v>
      </c>
      <c r="AZ16">
        <f ca="1">IF(($A$2)&gt;=(ROW()-3),AZ$17*(SUM(AZ$19:AZ31)-((ROW()-3)*5)),AZ15)</f>
        <v>-5</v>
      </c>
      <c r="BA16">
        <f ca="1">IF(($A$2)&gt;=(ROW()-3),BA$17*(SUM(BA$19:BA31)-((ROW()-3)*5)),BA15)</f>
        <v>5</v>
      </c>
      <c r="BB16">
        <f ca="1">IF(($A$2)&gt;=(ROW()-3),BB$17*(SUM(BB$19:BB31)-((ROW()-3)*5)),BB15)</f>
        <v>2</v>
      </c>
      <c r="BC16">
        <f ca="1">IF(($A$2)&gt;=(ROW()-3),BC$17*(SUM(BC$19:BC31)-((ROW()-3)*5)),BC15)</f>
        <v>-2</v>
      </c>
      <c r="BD16">
        <f ca="1">IF(($A$2)&gt;=(ROW()-3),BD$17*(SUM(BD$19:BD31)-((ROW()-3)*5)),BD15)</f>
        <v>6</v>
      </c>
      <c r="BE16">
        <f ca="1">IF(($A$2)&gt;=(ROW()-3),BE$17*(SUM(BE$19:BE31)-((ROW()-3)*5)),BE15)</f>
        <v>-4</v>
      </c>
      <c r="BF16">
        <f ca="1">IF(($A$2)&gt;=(ROW()-3),BF$17*(SUM(BF$19:BF31)-((ROW()-3)*5)),BF15)</f>
        <v>-9</v>
      </c>
      <c r="BG16">
        <f ca="1">IF(($A$2)&gt;=(ROW()-3),BG$17*(SUM(BG$19:BG31)-((ROW()-3)*5)),BG15)</f>
        <v>-5</v>
      </c>
      <c r="BH16">
        <f ca="1">IF(($A$2)&gt;=(ROW()-3),BH$17*(SUM(BH$19:BH31)-((ROW()-3)*5)),BH15)</f>
        <v>3</v>
      </c>
      <c r="BI16">
        <f ca="1">IF(($A$2)&gt;=(ROW()-3),BI$17*(SUM(BI$19:BI31)-((ROW()-3)*5)),BI15)</f>
        <v>3</v>
      </c>
      <c r="BJ16">
        <f ca="1">IF(($A$2)&gt;=(ROW()-3),BJ$17*(SUM(BJ$19:BJ31)-((ROW()-3)*5)),BJ15)</f>
        <v>9</v>
      </c>
      <c r="BK16">
        <f ca="1">IF(($A$2)&gt;=(ROW()-3),BK$17*(SUM(BK$19:BK31)-((ROW()-3)*5)),BK15)</f>
        <v>-11</v>
      </c>
      <c r="BL16">
        <f ca="1">IF(($A$2)&gt;=(ROW()-3),BL$17*(SUM(BL$19:BL31)-((ROW()-3)*5)),BL15)</f>
        <v>-7</v>
      </c>
      <c r="BM16">
        <f ca="1">IF(($A$2)&gt;=(ROW()-3),BM$17*(SUM(BM$19:BM31)-((ROW()-3)*5)),BM15)</f>
        <v>-2</v>
      </c>
      <c r="BN16">
        <f ca="1">IF(($A$2)&gt;=(ROW()-3),BN$17*(SUM(BN$19:BN31)-((ROW()-3)*5)),BN15)</f>
        <v>-10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8</v>
      </c>
      <c r="H27">
        <f t="shared" ca="1" si="0"/>
        <v>3</v>
      </c>
      <c r="I27">
        <f t="shared" ca="1" si="1"/>
        <v>3</v>
      </c>
      <c r="J27">
        <f t="shared" ca="1" si="1"/>
        <v>0</v>
      </c>
      <c r="K27">
        <f t="shared" ca="1" si="1"/>
        <v>3</v>
      </c>
      <c r="L27">
        <f t="shared" ca="1" si="1"/>
        <v>2</v>
      </c>
      <c r="M27">
        <f t="shared" ca="1" si="1"/>
        <v>5</v>
      </c>
      <c r="N27">
        <f t="shared" ca="1" si="1"/>
        <v>3</v>
      </c>
      <c r="O27">
        <f t="shared" ca="1" si="1"/>
        <v>0</v>
      </c>
      <c r="P27">
        <f t="shared" ca="1" si="1"/>
        <v>7</v>
      </c>
      <c r="Q27">
        <f t="shared" ca="1" si="1"/>
        <v>3</v>
      </c>
      <c r="R27">
        <f t="shared" ca="1" si="1"/>
        <v>5</v>
      </c>
      <c r="S27">
        <f t="shared" ca="1" si="1"/>
        <v>3</v>
      </c>
      <c r="T27">
        <f t="shared" ca="1" si="1"/>
        <v>9</v>
      </c>
      <c r="U27">
        <f t="shared" ca="1" si="1"/>
        <v>3</v>
      </c>
      <c r="V27">
        <f t="shared" ca="1" si="1"/>
        <v>4</v>
      </c>
      <c r="W27">
        <f t="shared" ca="1" si="1"/>
        <v>2</v>
      </c>
      <c r="X27">
        <f t="shared" ca="1" si="1"/>
        <v>3</v>
      </c>
      <c r="Y27">
        <f t="shared" ca="1" si="1"/>
        <v>4</v>
      </c>
      <c r="Z27">
        <f t="shared" ca="1" si="1"/>
        <v>5</v>
      </c>
      <c r="AA27">
        <f t="shared" ca="1" si="1"/>
        <v>0</v>
      </c>
      <c r="AB27">
        <f t="shared" ca="1" si="1"/>
        <v>5</v>
      </c>
      <c r="AC27">
        <f t="shared" ca="1" si="1"/>
        <v>4</v>
      </c>
      <c r="AD27">
        <f t="shared" ca="1" si="1"/>
        <v>3</v>
      </c>
      <c r="AE27">
        <f t="shared" ca="1" si="1"/>
        <v>4</v>
      </c>
      <c r="AF27">
        <f t="shared" ca="1" si="1"/>
        <v>1</v>
      </c>
      <c r="AG27">
        <f t="shared" ca="1" si="1"/>
        <v>7</v>
      </c>
      <c r="AH27">
        <f t="shared" ca="1" si="1"/>
        <v>5</v>
      </c>
      <c r="AI27">
        <f t="shared" ca="1" si="1"/>
        <v>4</v>
      </c>
      <c r="AJ27">
        <f t="shared" ca="1" si="1"/>
        <v>4</v>
      </c>
      <c r="AK27">
        <f t="shared" ca="1" si="1"/>
        <v>2</v>
      </c>
      <c r="AL27">
        <f t="shared" ca="1" si="2"/>
        <v>4</v>
      </c>
      <c r="AM27">
        <f t="shared" ca="1" si="2"/>
        <v>4</v>
      </c>
      <c r="AN27">
        <f t="shared" ca="1" si="2"/>
        <v>7</v>
      </c>
      <c r="AO27">
        <f t="shared" ca="1" si="2"/>
        <v>6</v>
      </c>
      <c r="AP27">
        <f t="shared" ca="1" si="2"/>
        <v>4</v>
      </c>
      <c r="AQ27">
        <f t="shared" ca="1" si="2"/>
        <v>4</v>
      </c>
      <c r="AR27">
        <f t="shared" ca="1" si="2"/>
        <v>2</v>
      </c>
      <c r="AS27">
        <f t="shared" ca="1" si="2"/>
        <v>4</v>
      </c>
      <c r="AT27">
        <f t="shared" ca="1" si="2"/>
        <v>6</v>
      </c>
      <c r="AU27">
        <f t="shared" ca="1" si="2"/>
        <v>3</v>
      </c>
      <c r="AV27">
        <f t="shared" ca="1" si="2"/>
        <v>4</v>
      </c>
      <c r="AW27">
        <f t="shared" ca="1" si="2"/>
        <v>2</v>
      </c>
      <c r="AX27">
        <f t="shared" ca="1" si="2"/>
        <v>4</v>
      </c>
      <c r="AY27">
        <f t="shared" ca="1" si="2"/>
        <v>5</v>
      </c>
      <c r="AZ27">
        <f t="shared" ca="1" si="2"/>
        <v>0</v>
      </c>
      <c r="BA27">
        <f t="shared" ca="1" si="2"/>
        <v>4</v>
      </c>
      <c r="BB27">
        <f t="shared" ca="1" si="2"/>
        <v>7</v>
      </c>
      <c r="BC27">
        <f t="shared" ca="1" si="8"/>
        <v>4</v>
      </c>
      <c r="BD27">
        <f t="shared" ca="1" si="3"/>
        <v>4</v>
      </c>
      <c r="BE27">
        <f t="shared" ca="1" si="3"/>
        <v>4</v>
      </c>
      <c r="BF27">
        <f t="shared" ca="1" si="3"/>
        <v>4</v>
      </c>
      <c r="BG27">
        <f t="shared" ca="1" si="3"/>
        <v>3</v>
      </c>
      <c r="BH27">
        <f t="shared" ca="1" si="3"/>
        <v>0</v>
      </c>
      <c r="BI27">
        <f t="shared" ca="1" si="3"/>
        <v>6</v>
      </c>
      <c r="BJ27">
        <f t="shared" ca="1" si="3"/>
        <v>5</v>
      </c>
      <c r="BK27">
        <f t="shared" ca="1" si="3"/>
        <v>5</v>
      </c>
      <c r="BL27">
        <f t="shared" ca="1" si="3"/>
        <v>5</v>
      </c>
      <c r="BM27">
        <f t="shared" ca="1" si="3"/>
        <v>4</v>
      </c>
      <c r="BN27">
        <f t="shared" ca="1" si="4"/>
        <v>3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6</v>
      </c>
      <c r="H28">
        <f t="shared" ca="1" si="0"/>
        <v>7</v>
      </c>
      <c r="I28">
        <f t="shared" ca="1" si="1"/>
        <v>6.5</v>
      </c>
      <c r="J28">
        <f t="shared" ca="1" si="1"/>
        <v>0</v>
      </c>
      <c r="K28">
        <f t="shared" ca="1" si="1"/>
        <v>7</v>
      </c>
      <c r="L28">
        <f t="shared" ca="1" si="1"/>
        <v>6</v>
      </c>
      <c r="M28">
        <f t="shared" ca="1" si="1"/>
        <v>5</v>
      </c>
      <c r="N28">
        <f t="shared" ca="1" si="1"/>
        <v>8</v>
      </c>
      <c r="O28">
        <f t="shared" ca="1" si="1"/>
        <v>6</v>
      </c>
      <c r="P28">
        <f t="shared" ca="1" si="1"/>
        <v>7</v>
      </c>
      <c r="Q28">
        <f t="shared" ca="1" si="1"/>
        <v>8</v>
      </c>
      <c r="R28">
        <f t="shared" ref="I28:AM31" ca="1" si="9">INDIRECT(ADDRESS(25,COLUMN(),1,,$A28))</f>
        <v>6</v>
      </c>
      <c r="S28">
        <f t="shared" ca="1" si="9"/>
        <v>4</v>
      </c>
      <c r="T28">
        <f t="shared" ca="1" si="9"/>
        <v>7</v>
      </c>
      <c r="U28">
        <f t="shared" ca="1" si="9"/>
        <v>6</v>
      </c>
      <c r="V28">
        <f t="shared" ca="1" si="9"/>
        <v>4</v>
      </c>
      <c r="W28">
        <f t="shared" ca="1" si="9"/>
        <v>4</v>
      </c>
      <c r="X28">
        <f t="shared" ca="1" si="9"/>
        <v>5</v>
      </c>
      <c r="Y28">
        <f t="shared" ca="1" si="9"/>
        <v>6</v>
      </c>
      <c r="Z28">
        <f t="shared" ca="1" si="9"/>
        <v>5</v>
      </c>
      <c r="AA28">
        <f t="shared" ca="1" si="9"/>
        <v>4</v>
      </c>
      <c r="AB28">
        <f t="shared" ca="1" si="9"/>
        <v>5</v>
      </c>
      <c r="AC28">
        <f t="shared" ca="1" si="9"/>
        <v>4</v>
      </c>
      <c r="AD28">
        <f t="shared" ca="1" si="9"/>
        <v>6</v>
      </c>
      <c r="AE28">
        <f t="shared" ca="1" si="9"/>
        <v>6</v>
      </c>
      <c r="AF28">
        <f t="shared" ca="1" si="9"/>
        <v>5</v>
      </c>
      <c r="AG28">
        <f t="shared" ca="1" si="9"/>
        <v>5</v>
      </c>
      <c r="AH28">
        <f t="shared" ca="1" si="9"/>
        <v>8</v>
      </c>
      <c r="AI28">
        <f t="shared" ca="1" si="9"/>
        <v>6</v>
      </c>
      <c r="AJ28">
        <f t="shared" ca="1" si="9"/>
        <v>6</v>
      </c>
      <c r="AK28">
        <f t="shared" ca="1" si="9"/>
        <v>0</v>
      </c>
      <c r="AL28">
        <f t="shared" ca="1" si="9"/>
        <v>7</v>
      </c>
      <c r="AM28">
        <f t="shared" ca="1" si="9"/>
        <v>6</v>
      </c>
      <c r="AN28">
        <f t="shared" ca="1" si="2"/>
        <v>6</v>
      </c>
      <c r="AO28">
        <f t="shared" ca="1" si="2"/>
        <v>4</v>
      </c>
      <c r="AP28">
        <f t="shared" ca="1" si="2"/>
        <v>0</v>
      </c>
      <c r="AQ28">
        <f t="shared" ca="1" si="2"/>
        <v>6</v>
      </c>
      <c r="AR28">
        <f t="shared" ca="1" si="2"/>
        <v>5</v>
      </c>
      <c r="AS28">
        <f t="shared" ca="1" si="2"/>
        <v>6</v>
      </c>
      <c r="AT28">
        <f t="shared" ca="1" si="2"/>
        <v>8</v>
      </c>
      <c r="AU28">
        <f t="shared" ca="1" si="2"/>
        <v>6</v>
      </c>
      <c r="AV28">
        <f t="shared" ca="1" si="2"/>
        <v>6</v>
      </c>
      <c r="AW28">
        <f t="shared" ca="1" si="2"/>
        <v>6</v>
      </c>
      <c r="AX28">
        <f t="shared" ca="1" si="2"/>
        <v>7</v>
      </c>
      <c r="AY28">
        <f t="shared" ca="1" si="2"/>
        <v>8</v>
      </c>
      <c r="AZ28">
        <f t="shared" ca="1" si="2"/>
        <v>5</v>
      </c>
      <c r="BA28">
        <f t="shared" ca="1" si="2"/>
        <v>5</v>
      </c>
      <c r="BB28">
        <f t="shared" ca="1" si="2"/>
        <v>7</v>
      </c>
      <c r="BC28">
        <f t="shared" ca="1" si="8"/>
        <v>5</v>
      </c>
      <c r="BD28">
        <f t="shared" ca="1" si="3"/>
        <v>3</v>
      </c>
      <c r="BE28">
        <f t="shared" ca="1" si="3"/>
        <v>8</v>
      </c>
      <c r="BF28">
        <f t="shared" ca="1" si="3"/>
        <v>6</v>
      </c>
      <c r="BG28">
        <f t="shared" ca="1" si="3"/>
        <v>6</v>
      </c>
      <c r="BH28">
        <f t="shared" ca="1" si="3"/>
        <v>4</v>
      </c>
      <c r="BI28">
        <f t="shared" ca="1" si="3"/>
        <v>6</v>
      </c>
      <c r="BJ28">
        <f t="shared" ca="1" si="3"/>
        <v>6</v>
      </c>
      <c r="BK28">
        <f t="shared" ca="1" si="3"/>
        <v>4</v>
      </c>
      <c r="BL28">
        <f t="shared" ca="1" si="3"/>
        <v>7</v>
      </c>
      <c r="BM28">
        <f t="shared" ca="1" si="3"/>
        <v>6</v>
      </c>
      <c r="BN28">
        <f t="shared" ca="1" si="4"/>
        <v>5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4</v>
      </c>
      <c r="H29">
        <f t="shared" ca="1" si="0"/>
        <v>5</v>
      </c>
      <c r="I29">
        <f t="shared" ca="1" si="9"/>
        <v>5</v>
      </c>
      <c r="J29">
        <f t="shared" ca="1" si="9"/>
        <v>0</v>
      </c>
      <c r="K29">
        <f t="shared" ca="1" si="9"/>
        <v>4</v>
      </c>
      <c r="L29">
        <f t="shared" ca="1" si="9"/>
        <v>3</v>
      </c>
      <c r="M29">
        <f t="shared" ca="1" si="9"/>
        <v>3</v>
      </c>
      <c r="N29">
        <f t="shared" ca="1" si="9"/>
        <v>4</v>
      </c>
      <c r="O29">
        <f t="shared" ca="1" si="9"/>
        <v>4</v>
      </c>
      <c r="P29">
        <f t="shared" ca="1" si="9"/>
        <v>6</v>
      </c>
      <c r="Q29">
        <f t="shared" ca="1" si="9"/>
        <v>7</v>
      </c>
      <c r="R29">
        <f t="shared" ca="1" si="9"/>
        <v>6</v>
      </c>
      <c r="S29">
        <f t="shared" ca="1" si="9"/>
        <v>7</v>
      </c>
      <c r="T29">
        <f t="shared" ca="1" si="9"/>
        <v>5</v>
      </c>
      <c r="U29">
        <f t="shared" ca="1" si="9"/>
        <v>8</v>
      </c>
      <c r="V29">
        <f t="shared" ca="1" si="9"/>
        <v>5</v>
      </c>
      <c r="W29">
        <f t="shared" ca="1" si="9"/>
        <v>5</v>
      </c>
      <c r="X29">
        <f t="shared" ca="1" si="9"/>
        <v>6</v>
      </c>
      <c r="Y29">
        <f t="shared" ca="1" si="9"/>
        <v>5</v>
      </c>
      <c r="Z29">
        <f t="shared" ca="1" si="9"/>
        <v>6</v>
      </c>
      <c r="AA29">
        <f t="shared" ca="1" si="9"/>
        <v>3</v>
      </c>
      <c r="AB29">
        <f t="shared" ca="1" si="9"/>
        <v>6</v>
      </c>
      <c r="AC29">
        <f t="shared" ca="1" si="9"/>
        <v>6</v>
      </c>
      <c r="AD29">
        <f t="shared" ca="1" si="9"/>
        <v>5</v>
      </c>
      <c r="AE29">
        <f t="shared" ca="1" si="9"/>
        <v>5</v>
      </c>
      <c r="AF29">
        <f t="shared" ca="1" si="9"/>
        <v>4</v>
      </c>
      <c r="AG29">
        <f t="shared" ca="1" si="9"/>
        <v>8</v>
      </c>
      <c r="AH29">
        <f t="shared" ca="1" si="9"/>
        <v>5</v>
      </c>
      <c r="AI29">
        <f t="shared" ca="1" si="9"/>
        <v>8</v>
      </c>
      <c r="AJ29">
        <f t="shared" ca="1" si="9"/>
        <v>4</v>
      </c>
      <c r="AK29">
        <f t="shared" ca="1" si="9"/>
        <v>3</v>
      </c>
      <c r="AL29">
        <f t="shared" ca="1" si="9"/>
        <v>1</v>
      </c>
      <c r="AM29">
        <f t="shared" ca="1" si="2"/>
        <v>4</v>
      </c>
      <c r="AN29">
        <f t="shared" ca="1" si="2"/>
        <v>7</v>
      </c>
      <c r="AO29">
        <f t="shared" ca="1" si="2"/>
        <v>8</v>
      </c>
      <c r="AP29">
        <f t="shared" ca="1" si="2"/>
        <v>0</v>
      </c>
      <c r="AQ29">
        <f t="shared" ca="1" si="2"/>
        <v>7</v>
      </c>
      <c r="AR29">
        <f t="shared" ca="1" si="2"/>
        <v>3</v>
      </c>
      <c r="AS29">
        <f t="shared" ca="1" si="2"/>
        <v>5</v>
      </c>
      <c r="AT29">
        <f t="shared" ca="1" si="2"/>
        <v>9</v>
      </c>
      <c r="AU29">
        <f t="shared" ca="1" si="2"/>
        <v>9</v>
      </c>
      <c r="AV29">
        <f t="shared" ca="1" si="2"/>
        <v>4</v>
      </c>
      <c r="AW29">
        <f t="shared" ca="1" si="2"/>
        <v>6</v>
      </c>
      <c r="AX29">
        <f t="shared" ca="1" si="2"/>
        <v>7</v>
      </c>
      <c r="AY29">
        <f t="shared" ca="1" si="2"/>
        <v>4</v>
      </c>
      <c r="AZ29">
        <f t="shared" ca="1" si="2"/>
        <v>7</v>
      </c>
      <c r="BA29">
        <f t="shared" ca="1" si="2"/>
        <v>3</v>
      </c>
      <c r="BB29">
        <f t="shared" ca="1" si="2"/>
        <v>7</v>
      </c>
      <c r="BC29">
        <f t="shared" ca="1" si="8"/>
        <v>4</v>
      </c>
      <c r="BD29">
        <f t="shared" ca="1" si="3"/>
        <v>6</v>
      </c>
      <c r="BE29">
        <f t="shared" ca="1" si="3"/>
        <v>5</v>
      </c>
      <c r="BF29">
        <f t="shared" ca="1" si="3"/>
        <v>5</v>
      </c>
      <c r="BG29">
        <f t="shared" ca="1" si="3"/>
        <v>6</v>
      </c>
      <c r="BH29">
        <f t="shared" ca="1" si="3"/>
        <v>7</v>
      </c>
      <c r="BI29">
        <f t="shared" ca="1" si="3"/>
        <v>5</v>
      </c>
      <c r="BJ29">
        <f t="shared" ca="1" si="3"/>
        <v>4</v>
      </c>
      <c r="BK29">
        <f t="shared" ca="1" si="3"/>
        <v>7</v>
      </c>
      <c r="BL29">
        <f t="shared" ca="1" si="3"/>
        <v>2</v>
      </c>
      <c r="BM29">
        <f t="shared" ca="1" si="3"/>
        <v>5</v>
      </c>
      <c r="BN29">
        <f t="shared" ca="1" si="4"/>
        <v>4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2</v>
      </c>
      <c r="H30">
        <f t="shared" ca="1" si="0"/>
        <v>7</v>
      </c>
      <c r="I30">
        <f t="shared" ca="1" si="9"/>
        <v>7</v>
      </c>
      <c r="J30">
        <f t="shared" ca="1" si="9"/>
        <v>0</v>
      </c>
      <c r="K30">
        <f t="shared" ca="1" si="9"/>
        <v>8</v>
      </c>
      <c r="L30">
        <f t="shared" ca="1" si="9"/>
        <v>5</v>
      </c>
      <c r="M30">
        <f t="shared" ca="1" si="9"/>
        <v>6</v>
      </c>
      <c r="N30">
        <f t="shared" ca="1" si="9"/>
        <v>7</v>
      </c>
      <c r="O30">
        <f t="shared" ca="1" si="9"/>
        <v>5</v>
      </c>
      <c r="P30">
        <f t="shared" ca="1" si="9"/>
        <v>7</v>
      </c>
      <c r="Q30">
        <f t="shared" ca="1" si="9"/>
        <v>7</v>
      </c>
      <c r="R30">
        <f t="shared" ca="1" si="9"/>
        <v>0</v>
      </c>
      <c r="S30">
        <f t="shared" ca="1" si="9"/>
        <v>6</v>
      </c>
      <c r="T30">
        <f t="shared" ca="1" si="9"/>
        <v>5</v>
      </c>
      <c r="U30">
        <f t="shared" ca="1" si="9"/>
        <v>6</v>
      </c>
      <c r="V30">
        <f t="shared" ca="1" si="9"/>
        <v>7</v>
      </c>
      <c r="W30">
        <f t="shared" ca="1" si="9"/>
        <v>6</v>
      </c>
      <c r="X30">
        <f t="shared" ca="1" si="9"/>
        <v>6</v>
      </c>
      <c r="Y30">
        <f t="shared" ca="1" si="9"/>
        <v>6</v>
      </c>
      <c r="Z30">
        <f t="shared" ca="1" si="9"/>
        <v>7</v>
      </c>
      <c r="AA30">
        <f t="shared" ca="1" si="9"/>
        <v>6</v>
      </c>
      <c r="AB30">
        <f t="shared" ca="1" si="9"/>
        <v>8</v>
      </c>
      <c r="AC30">
        <f t="shared" ca="1" si="9"/>
        <v>5</v>
      </c>
      <c r="AD30">
        <f t="shared" ca="1" si="9"/>
        <v>6</v>
      </c>
      <c r="AE30">
        <f t="shared" ca="1" si="9"/>
        <v>4</v>
      </c>
      <c r="AF30">
        <f t="shared" ca="1" si="9"/>
        <v>4</v>
      </c>
      <c r="AG30">
        <f t="shared" ca="1" si="9"/>
        <v>4</v>
      </c>
      <c r="AH30">
        <f t="shared" ca="1" si="9"/>
        <v>4</v>
      </c>
      <c r="AI30">
        <f t="shared" ca="1" si="9"/>
        <v>2</v>
      </c>
      <c r="AJ30">
        <f t="shared" ca="1" si="9"/>
        <v>9</v>
      </c>
      <c r="AK30">
        <f t="shared" ca="1" si="9"/>
        <v>3</v>
      </c>
      <c r="AL30">
        <f t="shared" ca="1" si="9"/>
        <v>7</v>
      </c>
      <c r="AM30">
        <f t="shared" ca="1" si="2"/>
        <v>8</v>
      </c>
      <c r="AN30">
        <f t="shared" ca="1" si="2"/>
        <v>8</v>
      </c>
      <c r="AO30">
        <f t="shared" ca="1" si="2"/>
        <v>5</v>
      </c>
      <c r="AP30">
        <f t="shared" ca="1" si="2"/>
        <v>0</v>
      </c>
      <c r="AQ30">
        <f t="shared" ca="1" si="2"/>
        <v>7</v>
      </c>
      <c r="AR30">
        <f t="shared" ca="1" si="2"/>
        <v>4</v>
      </c>
      <c r="AS30">
        <f t="shared" ca="1" si="2"/>
        <v>6</v>
      </c>
      <c r="AT30">
        <f t="shared" ca="1" si="2"/>
        <v>8</v>
      </c>
      <c r="AU30">
        <f t="shared" ca="1" si="2"/>
        <v>6</v>
      </c>
      <c r="AV30">
        <f t="shared" ca="1" si="2"/>
        <v>5</v>
      </c>
      <c r="AW30">
        <f t="shared" ca="1" si="2"/>
        <v>5</v>
      </c>
      <c r="AX30">
        <f t="shared" ca="1" si="2"/>
        <v>5</v>
      </c>
      <c r="AY30">
        <f t="shared" ca="1" si="2"/>
        <v>8</v>
      </c>
      <c r="AZ30">
        <f t="shared" ca="1" si="2"/>
        <v>3</v>
      </c>
      <c r="BA30">
        <f t="shared" ca="1" si="2"/>
        <v>3</v>
      </c>
      <c r="BB30">
        <f t="shared" ca="1" si="2"/>
        <v>5</v>
      </c>
      <c r="BC30">
        <f t="shared" ca="1" si="8"/>
        <v>7</v>
      </c>
      <c r="BD30">
        <f t="shared" ca="1" si="3"/>
        <v>6</v>
      </c>
      <c r="BE30">
        <f t="shared" ca="1" si="3"/>
        <v>8</v>
      </c>
      <c r="BF30">
        <f t="shared" ca="1" si="3"/>
        <v>5</v>
      </c>
      <c r="BG30">
        <f t="shared" ca="1" si="3"/>
        <v>5</v>
      </c>
      <c r="BH30">
        <f t="shared" ca="1" si="3"/>
        <v>6</v>
      </c>
      <c r="BI30">
        <f t="shared" ca="1" si="3"/>
        <v>6</v>
      </c>
      <c r="BJ30">
        <f t="shared" ca="1" si="3"/>
        <v>8</v>
      </c>
      <c r="BK30">
        <f t="shared" ca="1" si="3"/>
        <v>3</v>
      </c>
      <c r="BL30">
        <f t="shared" ca="1" si="3"/>
        <v>7</v>
      </c>
      <c r="BM30">
        <f t="shared" ca="1" si="3"/>
        <v>3</v>
      </c>
      <c r="BN30">
        <f t="shared" ca="1" si="4"/>
        <v>3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3</v>
      </c>
      <c r="H31">
        <f t="shared" ca="1" si="0"/>
        <v>4</v>
      </c>
      <c r="I31">
        <f t="shared" ca="1" si="9"/>
        <v>4.5</v>
      </c>
      <c r="J31">
        <f t="shared" ca="1" si="9"/>
        <v>0</v>
      </c>
      <c r="K31">
        <f t="shared" ca="1" si="9"/>
        <v>6</v>
      </c>
      <c r="L31">
        <f t="shared" ca="1" si="9"/>
        <v>0</v>
      </c>
      <c r="M31">
        <f t="shared" ca="1" si="9"/>
        <v>6</v>
      </c>
      <c r="N31">
        <f t="shared" ca="1" si="9"/>
        <v>3</v>
      </c>
      <c r="O31">
        <f t="shared" ca="1" si="9"/>
        <v>2</v>
      </c>
      <c r="P31">
        <f t="shared" ca="1" si="9"/>
        <v>6</v>
      </c>
      <c r="Q31">
        <f t="shared" ca="1" si="9"/>
        <v>2</v>
      </c>
      <c r="R31">
        <f t="shared" ca="1" si="9"/>
        <v>4</v>
      </c>
      <c r="S31">
        <f t="shared" ca="1" si="9"/>
        <v>8</v>
      </c>
      <c r="T31">
        <f t="shared" ca="1" si="9"/>
        <v>3</v>
      </c>
      <c r="U31">
        <f t="shared" ca="1" si="9"/>
        <v>4</v>
      </c>
      <c r="V31">
        <f t="shared" ca="1" si="9"/>
        <v>4</v>
      </c>
      <c r="W31">
        <f t="shared" ca="1" si="9"/>
        <v>7</v>
      </c>
      <c r="X31">
        <f t="shared" ca="1" si="9"/>
        <v>7</v>
      </c>
      <c r="Y31">
        <f t="shared" ca="1" si="9"/>
        <v>4</v>
      </c>
      <c r="Z31">
        <f t="shared" ca="1" si="9"/>
        <v>2</v>
      </c>
      <c r="AA31">
        <f t="shared" ca="1" si="9"/>
        <v>0</v>
      </c>
      <c r="AB31">
        <f t="shared" ca="1" si="9"/>
        <v>3</v>
      </c>
      <c r="AC31">
        <f t="shared" ca="1" si="9"/>
        <v>7</v>
      </c>
      <c r="AD31">
        <f t="shared" ca="1" si="9"/>
        <v>6</v>
      </c>
      <c r="AE31">
        <f t="shared" ca="1" si="9"/>
        <v>4</v>
      </c>
      <c r="AF31">
        <f t="shared" ca="1" si="9"/>
        <v>8</v>
      </c>
      <c r="AG31">
        <f t="shared" ca="1" si="9"/>
        <v>4</v>
      </c>
      <c r="AH31">
        <f t="shared" ca="1" si="9"/>
        <v>4</v>
      </c>
      <c r="AI31">
        <f t="shared" ca="1" si="9"/>
        <v>5</v>
      </c>
      <c r="AJ31">
        <f t="shared" ca="1" si="9"/>
        <v>5</v>
      </c>
      <c r="AK31">
        <f t="shared" ca="1" si="9"/>
        <v>4</v>
      </c>
      <c r="AL31">
        <f t="shared" ca="1" si="9"/>
        <v>4</v>
      </c>
      <c r="AM31">
        <f t="shared" ca="1" si="2"/>
        <v>7</v>
      </c>
      <c r="AN31">
        <f t="shared" ca="1" si="2"/>
        <v>5</v>
      </c>
      <c r="AO31">
        <f t="shared" ca="1" si="2"/>
        <v>4</v>
      </c>
      <c r="AP31">
        <f t="shared" ca="1" si="2"/>
        <v>7</v>
      </c>
      <c r="AQ31">
        <f t="shared" ca="1" si="2"/>
        <v>6</v>
      </c>
      <c r="AR31">
        <f t="shared" ca="1" si="2"/>
        <v>3</v>
      </c>
      <c r="AS31">
        <f t="shared" ca="1" si="2"/>
        <v>4</v>
      </c>
      <c r="AT31">
        <f t="shared" ca="1" si="2"/>
        <v>4</v>
      </c>
      <c r="AU31">
        <f t="shared" ca="1" si="2"/>
        <v>4</v>
      </c>
      <c r="AV31">
        <f t="shared" ca="1" si="2"/>
        <v>5</v>
      </c>
      <c r="AW31">
        <f t="shared" ca="1" si="2"/>
        <v>7</v>
      </c>
      <c r="AX31">
        <f t="shared" ca="1" si="2"/>
        <v>7</v>
      </c>
      <c r="AY31">
        <f t="shared" ca="1" si="2"/>
        <v>3</v>
      </c>
      <c r="AZ31">
        <f t="shared" ca="1" si="2"/>
        <v>5</v>
      </c>
      <c r="BA31">
        <f t="shared" ca="1" si="2"/>
        <v>5</v>
      </c>
      <c r="BB31">
        <f t="shared" ca="1" si="2"/>
        <v>2</v>
      </c>
      <c r="BC31">
        <f t="shared" ca="1" si="8"/>
        <v>5</v>
      </c>
      <c r="BD31">
        <f t="shared" ca="1" si="3"/>
        <v>4</v>
      </c>
      <c r="BE31">
        <f t="shared" ca="1" si="3"/>
        <v>3</v>
      </c>
      <c r="BF31">
        <f t="shared" ca="1" si="3"/>
        <v>0</v>
      </c>
      <c r="BG31">
        <f t="shared" ca="1" si="3"/>
        <v>4</v>
      </c>
      <c r="BH31">
        <f t="shared" ca="1" si="3"/>
        <v>6</v>
      </c>
      <c r="BI31">
        <f t="shared" ca="1" si="3"/>
        <v>7</v>
      </c>
      <c r="BJ31">
        <f t="shared" ca="1" si="3"/>
        <v>7</v>
      </c>
      <c r="BK31">
        <f t="shared" ca="1" si="3"/>
        <v>4</v>
      </c>
      <c r="BL31">
        <f t="shared" ca="1" si="3"/>
        <v>4</v>
      </c>
      <c r="BM31">
        <f t="shared" ca="1" si="3"/>
        <v>5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4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4</v>
      </c>
    </row>
    <row r="8" spans="1:2" x14ac:dyDescent="0.2">
      <c r="A8" s="74">
        <v>3</v>
      </c>
      <c r="B8" s="75">
        <f ca="1">histoBin(INDIRECT($A$1&amp;"!R25C11:R25C"&amp;11+[0]!playercnt-1,FALSE),A8-0.5,A8+0.5)</f>
        <v>6</v>
      </c>
    </row>
    <row r="9" spans="1:2" x14ac:dyDescent="0.2">
      <c r="A9" s="74">
        <v>4</v>
      </c>
      <c r="B9" s="75">
        <f ca="1">histoBin(INDIRECT($A$1&amp;"!R25C11:R25C"&amp;11+[0]!playercnt-1,FALSE),A9-0.5,A9+0.5)</f>
        <v>17</v>
      </c>
    </row>
    <row r="10" spans="1:2" x14ac:dyDescent="0.2">
      <c r="A10" s="74">
        <v>5</v>
      </c>
      <c r="B10" s="75">
        <f ca="1">histoBin(INDIRECT($A$1&amp;"!R25C11:R25C"&amp;11+[0]!playercnt-1,FALSE),A10-0.5,A10+0.5)</f>
        <v>8</v>
      </c>
    </row>
    <row r="11" spans="1:2" x14ac:dyDescent="0.2">
      <c r="A11" s="74">
        <v>6</v>
      </c>
      <c r="B11" s="75">
        <f ca="1">histoBin(INDIRECT($A$1&amp;"!R25C11:R25C"&amp;11+[0]!playercnt-1,FALSE),A11-0.5,A11+0.5)</f>
        <v>6</v>
      </c>
    </row>
    <row r="12" spans="1:2" x14ac:dyDescent="0.2">
      <c r="A12" s="74">
        <v>7</v>
      </c>
      <c r="B12" s="75">
        <f ca="1">histoBin(INDIRECT($A$1&amp;"!R25C11:R25C"&amp;11+[0]!playercnt-1,FALSE),A12-0.5,A12+0.5)</f>
        <v>9</v>
      </c>
    </row>
    <row r="13" spans="1:2" x14ac:dyDescent="0.2">
      <c r="A13" s="74">
        <v>8</v>
      </c>
      <c r="B13" s="75">
        <f ca="1">histoBin(INDIRECT($A$1&amp;"!R25C11:R25C"&amp;11+[0]!playercnt-1,FALSE),A13-0.5,A13+0.5)</f>
        <v>2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41</v>
      </c>
    </row>
    <row r="30" spans="1:2" x14ac:dyDescent="0.2">
      <c r="A30" t="s">
        <v>112</v>
      </c>
      <c r="B30" s="74">
        <f ca="1">MAX(INDIRECT("Standings!R8C4:R"&amp;8+playercnt-1&amp;"C4",FALSE))</f>
        <v>75</v>
      </c>
    </row>
    <row r="31" spans="1:2" ht="13.5" thickBot="1" x14ac:dyDescent="0.25">
      <c r="A31" t="s">
        <v>113</v>
      </c>
      <c r="B31">
        <f ca="1">IF((B30-B29)&lt;=10,1,(((B30-B29)/10)))</f>
        <v>3.4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41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44.4</v>
      </c>
      <c r="B34" s="75">
        <f t="shared" ref="B34:B43" ca="1" si="0">histoBin(INDIRECT("Standings!R8C4:R"&amp;8+playercnt-1&amp;"C4",FALSE),A34-($B$31/2),A34+($B$31/2))</f>
        <v>2</v>
      </c>
    </row>
    <row r="35" spans="1:2" x14ac:dyDescent="0.2">
      <c r="A35" s="74">
        <f t="shared" ref="A35:A42" ca="1" si="1">A34+$B$31</f>
        <v>47.8</v>
      </c>
      <c r="B35" s="75">
        <f t="shared" ca="1" si="0"/>
        <v>1</v>
      </c>
    </row>
    <row r="36" spans="1:2" x14ac:dyDescent="0.2">
      <c r="A36" s="74">
        <f t="shared" ca="1" si="1"/>
        <v>51.199999999999996</v>
      </c>
      <c r="B36" s="75">
        <f t="shared" ca="1" si="0"/>
        <v>0</v>
      </c>
    </row>
    <row r="37" spans="1:2" x14ac:dyDescent="0.2">
      <c r="A37" s="74">
        <f t="shared" ca="1" si="1"/>
        <v>54.599999999999994</v>
      </c>
      <c r="B37" s="75">
        <f t="shared" ca="1" si="0"/>
        <v>7</v>
      </c>
    </row>
    <row r="38" spans="1:2" x14ac:dyDescent="0.2">
      <c r="A38" s="74">
        <f t="shared" ca="1" si="1"/>
        <v>57.999999999999993</v>
      </c>
      <c r="B38" s="75">
        <f t="shared" ca="1" si="0"/>
        <v>1</v>
      </c>
    </row>
    <row r="39" spans="1:2" x14ac:dyDescent="0.2">
      <c r="A39" s="74">
        <f t="shared" ca="1" si="1"/>
        <v>61.399999999999991</v>
      </c>
      <c r="B39" s="75">
        <f t="shared" ca="1" si="0"/>
        <v>10</v>
      </c>
    </row>
    <row r="40" spans="1:2" x14ac:dyDescent="0.2">
      <c r="A40" s="74">
        <f t="shared" ca="1" si="1"/>
        <v>64.8</v>
      </c>
      <c r="B40" s="75">
        <f t="shared" ca="1" si="0"/>
        <v>10</v>
      </c>
    </row>
    <row r="41" spans="1:2" x14ac:dyDescent="0.2">
      <c r="A41" s="74">
        <f t="shared" ca="1" si="1"/>
        <v>68.2</v>
      </c>
      <c r="B41" s="75">
        <f t="shared" ca="1" si="0"/>
        <v>13</v>
      </c>
    </row>
    <row r="42" spans="1:2" x14ac:dyDescent="0.2">
      <c r="A42" s="74">
        <f t="shared" ca="1" si="1"/>
        <v>71.600000000000009</v>
      </c>
      <c r="B42" s="75">
        <f t="shared" ca="1" si="0"/>
        <v>9</v>
      </c>
    </row>
    <row r="43" spans="1:2" x14ac:dyDescent="0.2">
      <c r="A43" s="74">
        <f ca="1">A42+$B$31</f>
        <v>75.000000000000014</v>
      </c>
      <c r="B43" s="75">
        <f t="shared" ca="1" si="0"/>
        <v>2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5" topLeftCell="A36" activePane="bottomLeft"/>
      <selection activeCell="CA1" sqref="BO1:CA1048576"/>
      <selection pane="bottomLeft" activeCell="G38" sqref="G38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6" width="3.28515625" customWidth="1"/>
  </cols>
  <sheetData>
    <row r="2" spans="4:66" ht="117.75" x14ac:dyDescent="0.2">
      <c r="D2" s="2"/>
      <c r="E2" s="2"/>
      <c r="F2" s="2"/>
      <c r="G2" s="2" t="e">
        <f t="shared" ref="G2:BN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</row>
    <row r="3" spans="4:66" x14ac:dyDescent="0.2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N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</row>
    <row r="4" spans="4:66" x14ac:dyDescent="0.2">
      <c r="G4">
        <f t="shared" ca="1" si="1"/>
        <v>1</v>
      </c>
      <c r="H4" t="e">
        <f t="shared" ref="H4:H22" ca="1" si="5">(INDIRECT(ADDRESS(ROW(),COLUMN(),,,$A$33)))</f>
        <v>#REF!</v>
      </c>
      <c r="I4" t="e">
        <f t="shared" ref="I4:I22" ca="1" si="6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7">COUNTA(INDIRECT(ADDRESS(ROW(),COLUMN(),,,$A$33)))</f>
        <v>1</v>
      </c>
      <c r="AQ4">
        <f t="shared" ca="1" si="7"/>
        <v>1</v>
      </c>
      <c r="AR4">
        <f t="shared" ca="1" si="7"/>
        <v>1</v>
      </c>
      <c r="AS4">
        <f t="shared" ca="1" si="7"/>
        <v>1</v>
      </c>
      <c r="AT4">
        <f t="shared" ca="1" si="7"/>
        <v>1</v>
      </c>
      <c r="AU4">
        <f t="shared" ca="1" si="7"/>
        <v>1</v>
      </c>
      <c r="AV4">
        <f t="shared" ca="1" si="7"/>
        <v>1</v>
      </c>
      <c r="AW4">
        <f t="shared" ca="1" si="7"/>
        <v>1</v>
      </c>
      <c r="AX4">
        <f t="shared" ca="1" si="7"/>
        <v>1</v>
      </c>
      <c r="AY4">
        <f t="shared" ca="1" si="7"/>
        <v>1</v>
      </c>
      <c r="AZ4">
        <f t="shared" ca="1" si="7"/>
        <v>1</v>
      </c>
      <c r="BA4">
        <f t="shared" ca="1" si="7"/>
        <v>1</v>
      </c>
      <c r="BB4">
        <f t="shared" ca="1" si="7"/>
        <v>1</v>
      </c>
      <c r="BC4">
        <f t="shared" ca="1" si="7"/>
        <v>1</v>
      </c>
      <c r="BD4">
        <f t="shared" ca="1" si="7"/>
        <v>1</v>
      </c>
      <c r="BE4">
        <f t="shared" ca="1" si="7"/>
        <v>1</v>
      </c>
      <c r="BF4">
        <f t="shared" ca="1" si="7"/>
        <v>1</v>
      </c>
      <c r="BG4">
        <f t="shared" ca="1" si="7"/>
        <v>1</v>
      </c>
      <c r="BH4">
        <f t="shared" ca="1" si="7"/>
        <v>1</v>
      </c>
      <c r="BI4">
        <f t="shared" ca="1" si="7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</row>
    <row r="5" spans="4:66" x14ac:dyDescent="0.2">
      <c r="G5">
        <f t="shared" ca="1" si="1"/>
        <v>1</v>
      </c>
      <c r="H5" t="e">
        <f t="shared" ca="1" si="5"/>
        <v>#REF!</v>
      </c>
      <c r="I5" t="e">
        <f t="shared" ca="1" si="6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7"/>
        <v>1</v>
      </c>
      <c r="AQ5">
        <f t="shared" ca="1" si="7"/>
        <v>1</v>
      </c>
      <c r="AR5">
        <f t="shared" ca="1" si="7"/>
        <v>1</v>
      </c>
      <c r="AS5">
        <f t="shared" ca="1" si="7"/>
        <v>1</v>
      </c>
      <c r="AT5">
        <f t="shared" ca="1" si="7"/>
        <v>1</v>
      </c>
      <c r="AU5">
        <f t="shared" ca="1" si="7"/>
        <v>1</v>
      </c>
      <c r="AV5">
        <f t="shared" ca="1" si="7"/>
        <v>1</v>
      </c>
      <c r="AW5">
        <f t="shared" ca="1" si="7"/>
        <v>1</v>
      </c>
      <c r="AX5">
        <f t="shared" ca="1" si="7"/>
        <v>1</v>
      </c>
      <c r="AY5">
        <f t="shared" ca="1" si="7"/>
        <v>1</v>
      </c>
      <c r="AZ5">
        <f t="shared" ca="1" si="7"/>
        <v>1</v>
      </c>
      <c r="BA5">
        <f t="shared" ca="1" si="7"/>
        <v>1</v>
      </c>
      <c r="BB5">
        <f t="shared" ca="1" si="7"/>
        <v>1</v>
      </c>
      <c r="BC5">
        <f t="shared" ref="BC5:BN18" ca="1" si="8">COUNTA(INDIRECT(ADDRESS(ROW(),COLUMN(),,,$A$33)))</f>
        <v>1</v>
      </c>
      <c r="BD5">
        <f t="shared" ca="1" si="8"/>
        <v>1</v>
      </c>
      <c r="BE5">
        <f t="shared" ca="1" si="8"/>
        <v>1</v>
      </c>
      <c r="BF5">
        <f t="shared" ca="1" si="8"/>
        <v>1</v>
      </c>
      <c r="BG5">
        <f t="shared" ca="1" si="8"/>
        <v>1</v>
      </c>
      <c r="BH5">
        <f t="shared" ca="1" si="8"/>
        <v>1</v>
      </c>
      <c r="BI5">
        <f t="shared" ca="1" si="8"/>
        <v>1</v>
      </c>
      <c r="BJ5">
        <f t="shared" ca="1" si="8"/>
        <v>1</v>
      </c>
      <c r="BK5">
        <f t="shared" ca="1" si="8"/>
        <v>1</v>
      </c>
      <c r="BL5">
        <f t="shared" ca="1" si="8"/>
        <v>1</v>
      </c>
      <c r="BM5">
        <f t="shared" ca="1" si="8"/>
        <v>1</v>
      </c>
      <c r="BN5">
        <f t="shared" ca="1" si="8"/>
        <v>1</v>
      </c>
    </row>
    <row r="6" spans="4:66" x14ac:dyDescent="0.2">
      <c r="G6">
        <f t="shared" ca="1" si="1"/>
        <v>1</v>
      </c>
      <c r="H6" t="e">
        <f t="shared" ca="1" si="5"/>
        <v>#REF!</v>
      </c>
      <c r="I6" t="e">
        <f t="shared" ca="1" si="6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7"/>
        <v>1</v>
      </c>
      <c r="AQ6">
        <f t="shared" ca="1" si="7"/>
        <v>1</v>
      </c>
      <c r="AR6">
        <f t="shared" ca="1" si="7"/>
        <v>1</v>
      </c>
      <c r="AS6">
        <f t="shared" ca="1" si="7"/>
        <v>1</v>
      </c>
      <c r="AT6">
        <f t="shared" ca="1" si="7"/>
        <v>1</v>
      </c>
      <c r="AU6">
        <f t="shared" ca="1" si="7"/>
        <v>1</v>
      </c>
      <c r="AV6">
        <f t="shared" ca="1" si="7"/>
        <v>1</v>
      </c>
      <c r="AW6">
        <f t="shared" ca="1" si="7"/>
        <v>1</v>
      </c>
      <c r="AX6">
        <f t="shared" ca="1" si="7"/>
        <v>1</v>
      </c>
      <c r="AY6">
        <f t="shared" ca="1" si="7"/>
        <v>1</v>
      </c>
      <c r="AZ6">
        <f t="shared" ca="1" si="7"/>
        <v>1</v>
      </c>
      <c r="BA6">
        <f t="shared" ca="1" si="7"/>
        <v>1</v>
      </c>
      <c r="BB6">
        <f t="shared" ca="1" si="7"/>
        <v>1</v>
      </c>
      <c r="BC6">
        <f t="shared" ca="1" si="8"/>
        <v>1</v>
      </c>
      <c r="BD6">
        <f t="shared" ca="1" si="8"/>
        <v>1</v>
      </c>
      <c r="BE6">
        <f t="shared" ca="1" si="8"/>
        <v>1</v>
      </c>
      <c r="BF6">
        <f t="shared" ca="1" si="8"/>
        <v>1</v>
      </c>
      <c r="BG6">
        <f t="shared" ca="1" si="8"/>
        <v>1</v>
      </c>
      <c r="BH6">
        <f t="shared" ca="1" si="8"/>
        <v>1</v>
      </c>
      <c r="BI6">
        <f t="shared" ca="1" si="8"/>
        <v>1</v>
      </c>
      <c r="BJ6">
        <f t="shared" ca="1" si="8"/>
        <v>1</v>
      </c>
      <c r="BK6">
        <f t="shared" ca="1" si="8"/>
        <v>1</v>
      </c>
      <c r="BL6">
        <f t="shared" ca="1" si="8"/>
        <v>1</v>
      </c>
      <c r="BM6">
        <f t="shared" ca="1" si="8"/>
        <v>1</v>
      </c>
      <c r="BN6">
        <f t="shared" ca="1" si="8"/>
        <v>1</v>
      </c>
    </row>
    <row r="7" spans="4:66" x14ac:dyDescent="0.2">
      <c r="G7">
        <f t="shared" ca="1" si="1"/>
        <v>1</v>
      </c>
      <c r="H7" t="e">
        <f t="shared" ca="1" si="5"/>
        <v>#REF!</v>
      </c>
      <c r="I7" t="e">
        <f t="shared" ca="1" si="6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7"/>
        <v>1</v>
      </c>
      <c r="AQ7">
        <f t="shared" ca="1" si="7"/>
        <v>1</v>
      </c>
      <c r="AR7">
        <f t="shared" ca="1" si="7"/>
        <v>1</v>
      </c>
      <c r="AS7">
        <f t="shared" ca="1" si="7"/>
        <v>1</v>
      </c>
      <c r="AT7">
        <f t="shared" ca="1" si="7"/>
        <v>1</v>
      </c>
      <c r="AU7">
        <f t="shared" ca="1" si="7"/>
        <v>1</v>
      </c>
      <c r="AV7">
        <f t="shared" ca="1" si="7"/>
        <v>1</v>
      </c>
      <c r="AW7">
        <f t="shared" ca="1" si="7"/>
        <v>1</v>
      </c>
      <c r="AX7">
        <f t="shared" ca="1" si="7"/>
        <v>1</v>
      </c>
      <c r="AY7">
        <f t="shared" ca="1" si="7"/>
        <v>1</v>
      </c>
      <c r="AZ7">
        <f t="shared" ca="1" si="7"/>
        <v>1</v>
      </c>
      <c r="BA7">
        <f t="shared" ca="1" si="7"/>
        <v>1</v>
      </c>
      <c r="BB7">
        <f t="shared" ca="1" si="7"/>
        <v>1</v>
      </c>
      <c r="BC7">
        <f t="shared" ca="1" si="8"/>
        <v>1</v>
      </c>
      <c r="BD7">
        <f t="shared" ca="1" si="8"/>
        <v>1</v>
      </c>
      <c r="BE7">
        <f t="shared" ca="1" si="8"/>
        <v>1</v>
      </c>
      <c r="BF7">
        <f t="shared" ca="1" si="8"/>
        <v>1</v>
      </c>
      <c r="BG7">
        <f t="shared" ca="1" si="8"/>
        <v>1</v>
      </c>
      <c r="BH7">
        <f t="shared" ca="1" si="8"/>
        <v>1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1</v>
      </c>
    </row>
    <row r="8" spans="4:66" x14ac:dyDescent="0.2">
      <c r="G8">
        <f t="shared" ca="1" si="1"/>
        <v>1</v>
      </c>
      <c r="H8" t="e">
        <f t="shared" ca="1" si="5"/>
        <v>#REF!</v>
      </c>
      <c r="I8" t="e">
        <f t="shared" ca="1" si="6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7"/>
        <v>1</v>
      </c>
      <c r="AQ8">
        <f t="shared" ca="1" si="7"/>
        <v>1</v>
      </c>
      <c r="AR8">
        <f t="shared" ca="1" si="7"/>
        <v>1</v>
      </c>
      <c r="AS8">
        <f t="shared" ca="1" si="7"/>
        <v>1</v>
      </c>
      <c r="AT8">
        <f t="shared" ca="1" si="7"/>
        <v>1</v>
      </c>
      <c r="AU8">
        <f t="shared" ca="1" si="7"/>
        <v>1</v>
      </c>
      <c r="AV8">
        <f t="shared" ca="1" si="7"/>
        <v>1</v>
      </c>
      <c r="AW8">
        <f t="shared" ca="1" si="7"/>
        <v>1</v>
      </c>
      <c r="AX8">
        <f t="shared" ca="1" si="7"/>
        <v>1</v>
      </c>
      <c r="AY8">
        <f t="shared" ca="1" si="7"/>
        <v>1</v>
      </c>
      <c r="AZ8">
        <f t="shared" ca="1" si="7"/>
        <v>1</v>
      </c>
      <c r="BA8">
        <f t="shared" ca="1" si="7"/>
        <v>1</v>
      </c>
      <c r="BB8">
        <f t="shared" ca="1" si="7"/>
        <v>1</v>
      </c>
      <c r="BC8">
        <f t="shared" ca="1" si="8"/>
        <v>1</v>
      </c>
      <c r="BD8">
        <f t="shared" ca="1" si="8"/>
        <v>1</v>
      </c>
      <c r="BE8">
        <f t="shared" ca="1" si="8"/>
        <v>1</v>
      </c>
      <c r="BF8">
        <f t="shared" ca="1" si="8"/>
        <v>1</v>
      </c>
      <c r="BG8">
        <f t="shared" ca="1" si="8"/>
        <v>1</v>
      </c>
      <c r="BH8">
        <f t="shared" ca="1" si="8"/>
        <v>1</v>
      </c>
      <c r="BI8">
        <f t="shared" ca="1" si="8"/>
        <v>1</v>
      </c>
      <c r="BJ8">
        <f t="shared" ca="1" si="8"/>
        <v>1</v>
      </c>
      <c r="BK8">
        <f t="shared" ca="1" si="8"/>
        <v>1</v>
      </c>
      <c r="BL8">
        <f t="shared" ca="1" si="8"/>
        <v>1</v>
      </c>
      <c r="BM8">
        <f t="shared" ca="1" si="8"/>
        <v>1</v>
      </c>
      <c r="BN8">
        <f t="shared" ca="1" si="8"/>
        <v>1</v>
      </c>
    </row>
    <row r="9" spans="4:66" x14ac:dyDescent="0.2">
      <c r="G9">
        <f t="shared" ca="1" si="1"/>
        <v>1</v>
      </c>
      <c r="H9" t="e">
        <f t="shared" ca="1" si="5"/>
        <v>#REF!</v>
      </c>
      <c r="I9" t="e">
        <f t="shared" ca="1" si="6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7"/>
        <v>1</v>
      </c>
      <c r="AQ9">
        <f t="shared" ca="1" si="7"/>
        <v>1</v>
      </c>
      <c r="AR9">
        <f t="shared" ca="1" si="7"/>
        <v>1</v>
      </c>
      <c r="AS9">
        <f t="shared" ca="1" si="7"/>
        <v>1</v>
      </c>
      <c r="AT9">
        <f t="shared" ca="1" si="7"/>
        <v>1</v>
      </c>
      <c r="AU9">
        <f t="shared" ca="1" si="7"/>
        <v>1</v>
      </c>
      <c r="AV9">
        <f t="shared" ca="1" si="7"/>
        <v>1</v>
      </c>
      <c r="AW9">
        <f t="shared" ca="1" si="7"/>
        <v>1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1</v>
      </c>
      <c r="BB9">
        <f t="shared" ca="1" si="7"/>
        <v>1</v>
      </c>
      <c r="BC9">
        <f t="shared" ca="1" si="8"/>
        <v>1</v>
      </c>
      <c r="BD9">
        <f t="shared" ca="1" si="8"/>
        <v>1</v>
      </c>
      <c r="BE9">
        <f t="shared" ca="1" si="8"/>
        <v>1</v>
      </c>
      <c r="BF9">
        <f t="shared" ca="1" si="8"/>
        <v>1</v>
      </c>
      <c r="BG9">
        <f t="shared" ca="1" si="8"/>
        <v>1</v>
      </c>
      <c r="BH9">
        <f t="shared" ca="1" si="8"/>
        <v>1</v>
      </c>
      <c r="BI9">
        <f t="shared" ca="1" si="8"/>
        <v>1</v>
      </c>
      <c r="BJ9">
        <f t="shared" ca="1" si="8"/>
        <v>1</v>
      </c>
      <c r="BK9">
        <f t="shared" ca="1" si="8"/>
        <v>1</v>
      </c>
      <c r="BL9">
        <f t="shared" ca="1" si="8"/>
        <v>1</v>
      </c>
      <c r="BM9">
        <f t="shared" ca="1" si="8"/>
        <v>1</v>
      </c>
      <c r="BN9">
        <f t="shared" ca="1" si="8"/>
        <v>1</v>
      </c>
    </row>
    <row r="10" spans="4:66" x14ac:dyDescent="0.2">
      <c r="G10">
        <f t="shared" ca="1" si="1"/>
        <v>1</v>
      </c>
      <c r="H10" t="e">
        <f t="shared" ca="1" si="5"/>
        <v>#REF!</v>
      </c>
      <c r="I10" t="e">
        <f t="shared" ca="1" si="6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7"/>
        <v>1</v>
      </c>
      <c r="AQ10">
        <f t="shared" ca="1" si="7"/>
        <v>1</v>
      </c>
      <c r="AR10">
        <f t="shared" ca="1" si="7"/>
        <v>1</v>
      </c>
      <c r="AS10">
        <f t="shared" ca="1" si="7"/>
        <v>1</v>
      </c>
      <c r="AT10">
        <f t="shared" ca="1" si="7"/>
        <v>1</v>
      </c>
      <c r="AU10">
        <f t="shared" ca="1" si="7"/>
        <v>1</v>
      </c>
      <c r="AV10">
        <f t="shared" ca="1" si="7"/>
        <v>1</v>
      </c>
      <c r="AW10">
        <f t="shared" ca="1" si="7"/>
        <v>1</v>
      </c>
      <c r="AX10">
        <f t="shared" ca="1" si="7"/>
        <v>1</v>
      </c>
      <c r="AY10">
        <f t="shared" ca="1" si="7"/>
        <v>1</v>
      </c>
      <c r="AZ10">
        <f t="shared" ca="1" si="7"/>
        <v>1</v>
      </c>
      <c r="BA10">
        <f t="shared" ca="1" si="7"/>
        <v>1</v>
      </c>
      <c r="BB10">
        <f t="shared" ca="1" si="7"/>
        <v>1</v>
      </c>
      <c r="BC10">
        <f t="shared" ca="1" si="8"/>
        <v>1</v>
      </c>
      <c r="BD10">
        <f t="shared" ca="1" si="8"/>
        <v>1</v>
      </c>
      <c r="BE10">
        <f t="shared" ca="1" si="8"/>
        <v>1</v>
      </c>
      <c r="BF10">
        <f t="shared" ca="1" si="8"/>
        <v>1</v>
      </c>
      <c r="BG10">
        <f t="shared" ca="1" si="8"/>
        <v>1</v>
      </c>
      <c r="BH10">
        <f t="shared" ca="1" si="8"/>
        <v>1</v>
      </c>
      <c r="BI10">
        <f t="shared" ca="1" si="8"/>
        <v>1</v>
      </c>
      <c r="BJ10">
        <f t="shared" ca="1" si="8"/>
        <v>1</v>
      </c>
      <c r="BK10">
        <f t="shared" ca="1" si="8"/>
        <v>1</v>
      </c>
      <c r="BL10">
        <f t="shared" ca="1" si="8"/>
        <v>1</v>
      </c>
      <c r="BM10">
        <f t="shared" ca="1" si="8"/>
        <v>1</v>
      </c>
      <c r="BN10">
        <f t="shared" ca="1" si="8"/>
        <v>1</v>
      </c>
    </row>
    <row r="11" spans="4:66" x14ac:dyDescent="0.2">
      <c r="G11">
        <f t="shared" ca="1" si="1"/>
        <v>1</v>
      </c>
      <c r="H11" t="e">
        <f t="shared" ca="1" si="5"/>
        <v>#REF!</v>
      </c>
      <c r="I11" t="e">
        <f t="shared" ca="1" si="6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7"/>
        <v>1</v>
      </c>
      <c r="AQ11">
        <f t="shared" ca="1" si="7"/>
        <v>1</v>
      </c>
      <c r="AR11">
        <f t="shared" ca="1" si="7"/>
        <v>1</v>
      </c>
      <c r="AS11">
        <f t="shared" ca="1" si="7"/>
        <v>1</v>
      </c>
      <c r="AT11">
        <f t="shared" ca="1" si="7"/>
        <v>1</v>
      </c>
      <c r="AU11">
        <f t="shared" ca="1" si="7"/>
        <v>1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1</v>
      </c>
      <c r="AZ11">
        <f t="shared" ca="1" si="7"/>
        <v>1</v>
      </c>
      <c r="BA11">
        <f t="shared" ca="1" si="7"/>
        <v>1</v>
      </c>
      <c r="BB11">
        <f t="shared" ca="1" si="7"/>
        <v>1</v>
      </c>
      <c r="BC11">
        <f t="shared" ca="1" si="8"/>
        <v>1</v>
      </c>
      <c r="BD11">
        <f t="shared" ca="1" si="8"/>
        <v>1</v>
      </c>
      <c r="BE11">
        <f t="shared" ca="1" si="8"/>
        <v>1</v>
      </c>
      <c r="BF11">
        <f t="shared" ca="1" si="8"/>
        <v>1</v>
      </c>
      <c r="BG11">
        <f t="shared" ca="1" si="8"/>
        <v>1</v>
      </c>
      <c r="BH11">
        <f t="shared" ca="1" si="8"/>
        <v>1</v>
      </c>
      <c r="BI11">
        <f t="shared" ca="1" si="8"/>
        <v>1</v>
      </c>
      <c r="BJ11">
        <f t="shared" ca="1" si="8"/>
        <v>1</v>
      </c>
      <c r="BK11">
        <f t="shared" ca="1" si="8"/>
        <v>1</v>
      </c>
      <c r="BL11">
        <f t="shared" ca="1" si="8"/>
        <v>1</v>
      </c>
      <c r="BM11">
        <f t="shared" ca="1" si="8"/>
        <v>1</v>
      </c>
      <c r="BN11">
        <f t="shared" ca="1" si="8"/>
        <v>1</v>
      </c>
    </row>
    <row r="12" spans="4:66" x14ac:dyDescent="0.2">
      <c r="G12">
        <f t="shared" ca="1" si="1"/>
        <v>1</v>
      </c>
      <c r="H12" t="e">
        <f t="shared" ca="1" si="5"/>
        <v>#REF!</v>
      </c>
      <c r="I12" t="e">
        <f t="shared" ca="1" si="6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7"/>
        <v>1</v>
      </c>
      <c r="AQ12">
        <f t="shared" ca="1" si="7"/>
        <v>1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1</v>
      </c>
      <c r="AX12">
        <f t="shared" ca="1" si="7"/>
        <v>1</v>
      </c>
      <c r="AY12">
        <f t="shared" ca="1" si="7"/>
        <v>1</v>
      </c>
      <c r="AZ12">
        <f t="shared" ca="1" si="7"/>
        <v>1</v>
      </c>
      <c r="BA12">
        <f t="shared" ca="1" si="7"/>
        <v>1</v>
      </c>
      <c r="BB12">
        <f t="shared" ca="1" si="7"/>
        <v>1</v>
      </c>
      <c r="BC12">
        <f t="shared" ca="1" si="8"/>
        <v>1</v>
      </c>
      <c r="BD12">
        <f t="shared" ca="1" si="8"/>
        <v>1</v>
      </c>
      <c r="BE12">
        <f t="shared" ca="1" si="8"/>
        <v>1</v>
      </c>
      <c r="BF12">
        <f t="shared" ca="1" si="8"/>
        <v>1</v>
      </c>
      <c r="BG12">
        <f t="shared" ca="1" si="8"/>
        <v>1</v>
      </c>
      <c r="BH12">
        <f t="shared" ca="1" si="8"/>
        <v>1</v>
      </c>
      <c r="BI12">
        <f t="shared" ca="1" si="8"/>
        <v>1</v>
      </c>
      <c r="BJ12">
        <f t="shared" ca="1" si="8"/>
        <v>1</v>
      </c>
      <c r="BK12">
        <f t="shared" ca="1" si="8"/>
        <v>1</v>
      </c>
      <c r="BL12">
        <f t="shared" ca="1" si="8"/>
        <v>1</v>
      </c>
      <c r="BM12">
        <f t="shared" ca="1" si="8"/>
        <v>1</v>
      </c>
      <c r="BN12">
        <f t="shared" ca="1" si="8"/>
        <v>1</v>
      </c>
    </row>
    <row r="13" spans="4:66" x14ac:dyDescent="0.2">
      <c r="G13">
        <f t="shared" ca="1" si="1"/>
        <v>1</v>
      </c>
      <c r="H13" t="e">
        <f t="shared" ca="1" si="5"/>
        <v>#REF!</v>
      </c>
      <c r="I13" t="e">
        <f t="shared" ca="1" si="6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7"/>
        <v>1</v>
      </c>
      <c r="AQ13">
        <f t="shared" ca="1" si="7"/>
        <v>1</v>
      </c>
      <c r="AR13">
        <f t="shared" ca="1" si="7"/>
        <v>1</v>
      </c>
      <c r="AS13">
        <f t="shared" ca="1" si="7"/>
        <v>1</v>
      </c>
      <c r="AT13">
        <f t="shared" ca="1" si="7"/>
        <v>1</v>
      </c>
      <c r="AU13">
        <f t="shared" ca="1" si="7"/>
        <v>1</v>
      </c>
      <c r="AV13">
        <f t="shared" ca="1" si="7"/>
        <v>1</v>
      </c>
      <c r="AW13">
        <f t="shared" ca="1" si="7"/>
        <v>1</v>
      </c>
      <c r="AX13">
        <f t="shared" ca="1" si="7"/>
        <v>1</v>
      </c>
      <c r="AY13">
        <f t="shared" ca="1" si="7"/>
        <v>1</v>
      </c>
      <c r="AZ13">
        <f t="shared" ca="1" si="7"/>
        <v>1</v>
      </c>
      <c r="BA13">
        <f t="shared" ca="1" si="7"/>
        <v>1</v>
      </c>
      <c r="BB13">
        <f t="shared" ca="1" si="7"/>
        <v>1</v>
      </c>
      <c r="BC13">
        <f t="shared" ca="1" si="8"/>
        <v>1</v>
      </c>
      <c r="BD13">
        <f t="shared" ca="1" si="8"/>
        <v>1</v>
      </c>
      <c r="BE13">
        <f t="shared" ca="1" si="8"/>
        <v>1</v>
      </c>
      <c r="BF13">
        <f t="shared" ca="1" si="8"/>
        <v>1</v>
      </c>
      <c r="BG13">
        <f t="shared" ca="1" si="8"/>
        <v>1</v>
      </c>
      <c r="BH13">
        <f t="shared" ca="1" si="8"/>
        <v>1</v>
      </c>
      <c r="BI13">
        <f t="shared" ca="1" si="8"/>
        <v>1</v>
      </c>
      <c r="BJ13">
        <f t="shared" ca="1" si="8"/>
        <v>1</v>
      </c>
      <c r="BK13">
        <f t="shared" ca="1" si="8"/>
        <v>1</v>
      </c>
      <c r="BL13">
        <f t="shared" ca="1" si="8"/>
        <v>1</v>
      </c>
      <c r="BM13">
        <f t="shared" ca="1" si="8"/>
        <v>1</v>
      </c>
      <c r="BN13">
        <f t="shared" ca="1" si="8"/>
        <v>1</v>
      </c>
    </row>
    <row r="14" spans="4:66" x14ac:dyDescent="0.2">
      <c r="G14">
        <f t="shared" ca="1" si="1"/>
        <v>1</v>
      </c>
      <c r="H14" t="e">
        <f t="shared" ca="1" si="5"/>
        <v>#REF!</v>
      </c>
      <c r="I14" t="e">
        <f t="shared" ca="1" si="6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7"/>
        <v>1</v>
      </c>
      <c r="AQ14">
        <f t="shared" ca="1" si="7"/>
        <v>1</v>
      </c>
      <c r="AR14">
        <f t="shared" ca="1" si="7"/>
        <v>1</v>
      </c>
      <c r="AS14">
        <f t="shared" ca="1" si="7"/>
        <v>1</v>
      </c>
      <c r="AT14">
        <f t="shared" ca="1" si="7"/>
        <v>1</v>
      </c>
      <c r="AU14">
        <f t="shared" ca="1" si="7"/>
        <v>1</v>
      </c>
      <c r="AV14">
        <f t="shared" ca="1" si="7"/>
        <v>1</v>
      </c>
      <c r="AW14">
        <f t="shared" ca="1" si="7"/>
        <v>1</v>
      </c>
      <c r="AX14">
        <f t="shared" ca="1" si="7"/>
        <v>1</v>
      </c>
      <c r="AY14">
        <f t="shared" ca="1" si="7"/>
        <v>1</v>
      </c>
      <c r="AZ14">
        <f t="shared" ca="1" si="7"/>
        <v>1</v>
      </c>
      <c r="BA14">
        <f t="shared" ca="1" si="7"/>
        <v>1</v>
      </c>
      <c r="BB14">
        <f t="shared" ca="1" si="7"/>
        <v>1</v>
      </c>
      <c r="BC14">
        <f t="shared" ca="1" si="8"/>
        <v>1</v>
      </c>
      <c r="BD14">
        <f t="shared" ca="1" si="8"/>
        <v>1</v>
      </c>
      <c r="BE14">
        <f t="shared" ca="1" si="8"/>
        <v>1</v>
      </c>
      <c r="BF14">
        <f t="shared" ca="1" si="8"/>
        <v>1</v>
      </c>
      <c r="BG14">
        <f t="shared" ca="1" si="8"/>
        <v>1</v>
      </c>
      <c r="BH14">
        <f t="shared" ca="1" si="8"/>
        <v>1</v>
      </c>
      <c r="BI14">
        <f t="shared" ca="1" si="8"/>
        <v>1</v>
      </c>
      <c r="BJ14">
        <f t="shared" ca="1" si="8"/>
        <v>1</v>
      </c>
      <c r="BK14">
        <f t="shared" ca="1" si="8"/>
        <v>1</v>
      </c>
      <c r="BL14">
        <f t="shared" ca="1" si="8"/>
        <v>1</v>
      </c>
      <c r="BM14">
        <f t="shared" ca="1" si="8"/>
        <v>1</v>
      </c>
      <c r="BN14">
        <f t="shared" ca="1" si="8"/>
        <v>1</v>
      </c>
    </row>
    <row r="15" spans="4:66" x14ac:dyDescent="0.2">
      <c r="G15">
        <f t="shared" ca="1" si="1"/>
        <v>1</v>
      </c>
      <c r="H15" t="e">
        <f t="shared" ca="1" si="5"/>
        <v>#REF!</v>
      </c>
      <c r="I15" t="e">
        <f t="shared" ca="1" si="6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7"/>
        <v>1</v>
      </c>
      <c r="AQ15">
        <f t="shared" ca="1" si="7"/>
        <v>1</v>
      </c>
      <c r="AR15">
        <f t="shared" ca="1" si="7"/>
        <v>1</v>
      </c>
      <c r="AS15">
        <f t="shared" ca="1" si="7"/>
        <v>1</v>
      </c>
      <c r="AT15">
        <f t="shared" ca="1" si="7"/>
        <v>1</v>
      </c>
      <c r="AU15">
        <f t="shared" ca="1" si="7"/>
        <v>1</v>
      </c>
      <c r="AV15">
        <f t="shared" ca="1" si="7"/>
        <v>1</v>
      </c>
      <c r="AW15">
        <f t="shared" ca="1" si="7"/>
        <v>1</v>
      </c>
      <c r="AX15">
        <f t="shared" ca="1" si="7"/>
        <v>1</v>
      </c>
      <c r="AY15">
        <f t="shared" ca="1" si="7"/>
        <v>1</v>
      </c>
      <c r="AZ15">
        <f t="shared" ca="1" si="7"/>
        <v>1</v>
      </c>
      <c r="BA15">
        <f t="shared" ca="1" si="7"/>
        <v>1</v>
      </c>
      <c r="BB15">
        <f t="shared" ca="1" si="7"/>
        <v>1</v>
      </c>
      <c r="BC15">
        <f t="shared" ca="1" si="8"/>
        <v>1</v>
      </c>
      <c r="BD15">
        <f t="shared" ca="1" si="8"/>
        <v>1</v>
      </c>
      <c r="BE15">
        <f t="shared" ca="1" si="8"/>
        <v>1</v>
      </c>
      <c r="BF15">
        <f t="shared" ca="1" si="8"/>
        <v>1</v>
      </c>
      <c r="BG15">
        <f t="shared" ca="1" si="8"/>
        <v>1</v>
      </c>
      <c r="BH15">
        <f t="shared" ca="1" si="8"/>
        <v>1</v>
      </c>
      <c r="BI15">
        <f t="shared" ca="1" si="8"/>
        <v>1</v>
      </c>
      <c r="BJ15">
        <f t="shared" ca="1" si="8"/>
        <v>1</v>
      </c>
      <c r="BK15">
        <f t="shared" ca="1" si="8"/>
        <v>1</v>
      </c>
      <c r="BL15">
        <f t="shared" ca="1" si="8"/>
        <v>1</v>
      </c>
      <c r="BM15">
        <f t="shared" ca="1" si="8"/>
        <v>1</v>
      </c>
      <c r="BN15">
        <f t="shared" ca="1" si="8"/>
        <v>1</v>
      </c>
    </row>
    <row r="16" spans="4:66" x14ac:dyDescent="0.2">
      <c r="G16">
        <f t="shared" ca="1" si="1"/>
        <v>1</v>
      </c>
      <c r="H16" t="e">
        <f t="shared" ca="1" si="5"/>
        <v>#REF!</v>
      </c>
      <c r="I16" t="e">
        <f t="shared" ca="1" si="6"/>
        <v>#REF!</v>
      </c>
      <c r="J16">
        <f t="shared" ref="J16:Y22" ca="1" si="9">COUNTA(INDIRECT(ADDRESS(ROW(),COLUMN(),,,$A$33)))</f>
        <v>1</v>
      </c>
      <c r="K16">
        <f t="shared" ca="1" si="9"/>
        <v>1</v>
      </c>
      <c r="L16">
        <f t="shared" ca="1" si="9"/>
        <v>1</v>
      </c>
      <c r="M16">
        <f t="shared" ca="1" si="9"/>
        <v>1</v>
      </c>
      <c r="N16">
        <f t="shared" ca="1" si="9"/>
        <v>1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1</v>
      </c>
      <c r="T16">
        <f t="shared" ca="1" si="9"/>
        <v>1</v>
      </c>
      <c r="U16">
        <f t="shared" ca="1" si="9"/>
        <v>1</v>
      </c>
      <c r="V16">
        <f t="shared" ca="1" si="9"/>
        <v>1</v>
      </c>
      <c r="W16">
        <f t="shared" ca="1" si="9"/>
        <v>1</v>
      </c>
      <c r="X16">
        <f t="shared" ca="1" si="9"/>
        <v>1</v>
      </c>
      <c r="Y16">
        <f t="shared" ca="1" si="9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7"/>
        <v>1</v>
      </c>
      <c r="AQ16">
        <f t="shared" ca="1" si="7"/>
        <v>1</v>
      </c>
      <c r="AR16">
        <f t="shared" ca="1" si="7"/>
        <v>1</v>
      </c>
      <c r="AS16">
        <f t="shared" ca="1" si="7"/>
        <v>1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1</v>
      </c>
      <c r="AX16">
        <f t="shared" ca="1" si="7"/>
        <v>1</v>
      </c>
      <c r="AY16">
        <f t="shared" ca="1" si="7"/>
        <v>1</v>
      </c>
      <c r="AZ16">
        <f t="shared" ca="1" si="7"/>
        <v>1</v>
      </c>
      <c r="BA16">
        <f t="shared" ca="1" si="7"/>
        <v>1</v>
      </c>
      <c r="BB16">
        <f t="shared" ca="1" si="7"/>
        <v>1</v>
      </c>
      <c r="BC16">
        <f t="shared" ca="1" si="8"/>
        <v>1</v>
      </c>
      <c r="BD16">
        <f t="shared" ca="1" si="8"/>
        <v>1</v>
      </c>
      <c r="BE16">
        <f t="shared" ca="1" si="8"/>
        <v>1</v>
      </c>
      <c r="BF16">
        <f t="shared" ca="1" si="8"/>
        <v>1</v>
      </c>
      <c r="BG16">
        <f t="shared" ca="1" si="8"/>
        <v>1</v>
      </c>
      <c r="BH16">
        <f t="shared" ca="1" si="8"/>
        <v>1</v>
      </c>
      <c r="BI16">
        <f t="shared" ca="1" si="8"/>
        <v>1</v>
      </c>
      <c r="BJ16">
        <f t="shared" ca="1" si="8"/>
        <v>1</v>
      </c>
      <c r="BK16">
        <f t="shared" ca="1" si="8"/>
        <v>1</v>
      </c>
      <c r="BL16">
        <f t="shared" ca="1" si="8"/>
        <v>1</v>
      </c>
      <c r="BM16">
        <f t="shared" ca="1" si="8"/>
        <v>1</v>
      </c>
      <c r="BN16">
        <f t="shared" ca="1" si="8"/>
        <v>1</v>
      </c>
    </row>
    <row r="17" spans="3:66" x14ac:dyDescent="0.2">
      <c r="G17">
        <f t="shared" ref="G17:G22" ca="1" si="10">COUNTA(INDIRECT(ADDRESS(ROW(),COLUMN(),,,$A$33)))</f>
        <v>1</v>
      </c>
      <c r="H17" t="e">
        <f t="shared" ca="1" si="5"/>
        <v>#REF!</v>
      </c>
      <c r="I17" t="e">
        <f t="shared" ca="1" si="6"/>
        <v>#REF!</v>
      </c>
      <c r="J17">
        <f t="shared" ca="1" si="9"/>
        <v>1</v>
      </c>
      <c r="K17">
        <f t="shared" ca="1" si="9"/>
        <v>1</v>
      </c>
      <c r="L17">
        <f t="shared" ca="1" si="9"/>
        <v>1</v>
      </c>
      <c r="M17">
        <f t="shared" ca="1" si="9"/>
        <v>1</v>
      </c>
      <c r="N17">
        <f t="shared" ca="1" si="9"/>
        <v>1</v>
      </c>
      <c r="O17">
        <f t="shared" ca="1" si="9"/>
        <v>1</v>
      </c>
      <c r="P17">
        <f t="shared" ca="1" si="9"/>
        <v>1</v>
      </c>
      <c r="Q17">
        <f t="shared" ca="1" si="9"/>
        <v>1</v>
      </c>
      <c r="R17">
        <f t="shared" ca="1" si="9"/>
        <v>1</v>
      </c>
      <c r="S17">
        <f t="shared" ca="1" si="9"/>
        <v>1</v>
      </c>
      <c r="T17">
        <f t="shared" ca="1" si="9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7"/>
        <v>1</v>
      </c>
      <c r="AQ17">
        <f t="shared" ca="1" si="7"/>
        <v>1</v>
      </c>
      <c r="AR17">
        <f t="shared" ca="1" si="7"/>
        <v>1</v>
      </c>
      <c r="AS17">
        <f t="shared" ca="1" si="7"/>
        <v>1</v>
      </c>
      <c r="AT17">
        <f t="shared" ca="1" si="7"/>
        <v>1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1</v>
      </c>
      <c r="AY17">
        <f t="shared" ca="1" si="7"/>
        <v>1</v>
      </c>
      <c r="AZ17">
        <f t="shared" ca="1" si="7"/>
        <v>1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1</v>
      </c>
      <c r="BN17">
        <f t="shared" ca="1" si="8"/>
        <v>1</v>
      </c>
    </row>
    <row r="18" spans="3:66" x14ac:dyDescent="0.2">
      <c r="G18">
        <f t="shared" ca="1" si="10"/>
        <v>1</v>
      </c>
      <c r="H18" t="e">
        <f t="shared" ca="1" si="5"/>
        <v>#REF!</v>
      </c>
      <c r="I18" t="e">
        <f t="shared" ca="1" si="6"/>
        <v>#REF!</v>
      </c>
      <c r="J18">
        <f t="shared" ca="1" si="9"/>
        <v>1</v>
      </c>
      <c r="K18">
        <f t="shared" ca="1" si="9"/>
        <v>1</v>
      </c>
      <c r="L18">
        <f t="shared" ca="1" si="9"/>
        <v>1</v>
      </c>
      <c r="M18">
        <f t="shared" ca="1" si="9"/>
        <v>1</v>
      </c>
      <c r="N18">
        <f t="shared" ca="1" si="9"/>
        <v>1</v>
      </c>
      <c r="O18">
        <f t="shared" ca="1" si="9"/>
        <v>1</v>
      </c>
      <c r="P18">
        <f t="shared" ca="1" si="9"/>
        <v>1</v>
      </c>
      <c r="Q18">
        <f t="shared" ca="1" si="9"/>
        <v>1</v>
      </c>
      <c r="R18">
        <f t="shared" ca="1" si="9"/>
        <v>1</v>
      </c>
      <c r="S18">
        <f t="shared" ca="1" si="9"/>
        <v>1</v>
      </c>
      <c r="T18">
        <f t="shared" ca="1" si="9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7"/>
        <v>1</v>
      </c>
      <c r="AQ18">
        <f t="shared" ca="1" si="7"/>
        <v>1</v>
      </c>
      <c r="AR18">
        <f t="shared" ca="1" si="7"/>
        <v>1</v>
      </c>
      <c r="AS18">
        <f t="shared" ca="1" si="7"/>
        <v>1</v>
      </c>
      <c r="AT18">
        <f t="shared" ca="1" si="7"/>
        <v>1</v>
      </c>
      <c r="AU18">
        <f t="shared" ca="1" si="7"/>
        <v>1</v>
      </c>
      <c r="AV18">
        <f t="shared" ca="1" si="7"/>
        <v>1</v>
      </c>
      <c r="AW18">
        <f t="shared" ca="1" si="7"/>
        <v>1</v>
      </c>
      <c r="AX18">
        <f t="shared" ca="1" si="7"/>
        <v>1</v>
      </c>
      <c r="AY18">
        <f t="shared" ca="1" si="7"/>
        <v>1</v>
      </c>
      <c r="AZ18">
        <f t="shared" ca="1" si="7"/>
        <v>1</v>
      </c>
      <c r="BA18">
        <f t="shared" ca="1" si="7"/>
        <v>1</v>
      </c>
      <c r="BB18">
        <f t="shared" ca="1" si="7"/>
        <v>1</v>
      </c>
      <c r="BC18">
        <f t="shared" ca="1" si="8"/>
        <v>1</v>
      </c>
      <c r="BD18">
        <f t="shared" ca="1" si="8"/>
        <v>1</v>
      </c>
      <c r="BE18">
        <f t="shared" ca="1" si="8"/>
        <v>1</v>
      </c>
      <c r="BF18">
        <f t="shared" ca="1" si="8"/>
        <v>1</v>
      </c>
      <c r="BG18">
        <f t="shared" ca="1" si="8"/>
        <v>1</v>
      </c>
      <c r="BH18">
        <f t="shared" ca="1" si="8"/>
        <v>1</v>
      </c>
      <c r="BI18">
        <f t="shared" ca="1" si="8"/>
        <v>1</v>
      </c>
      <c r="BJ18">
        <f t="shared" ca="1" si="8"/>
        <v>1</v>
      </c>
      <c r="BK18">
        <f t="shared" ca="1" si="8"/>
        <v>1</v>
      </c>
      <c r="BL18">
        <f t="shared" ca="1" si="8"/>
        <v>1</v>
      </c>
      <c r="BM18">
        <f t="shared" ca="1" si="8"/>
        <v>1</v>
      </c>
      <c r="BN18">
        <f t="shared" ca="1" si="8"/>
        <v>1</v>
      </c>
    </row>
    <row r="19" spans="3:66" x14ac:dyDescent="0.2">
      <c r="G19">
        <f t="shared" ca="1" si="10"/>
        <v>1</v>
      </c>
      <c r="H19" t="e">
        <f t="shared" ca="1" si="5"/>
        <v>#REF!</v>
      </c>
      <c r="I19" t="e">
        <f t="shared" ca="1" si="6"/>
        <v>#REF!</v>
      </c>
      <c r="J19">
        <f t="shared" ca="1" si="9"/>
        <v>1</v>
      </c>
      <c r="K19">
        <f t="shared" ca="1" si="9"/>
        <v>1</v>
      </c>
      <c r="L19">
        <f t="shared" ca="1" si="9"/>
        <v>1</v>
      </c>
      <c r="M19">
        <f t="shared" ca="1" si="9"/>
        <v>1</v>
      </c>
      <c r="N19">
        <f t="shared" ca="1" si="9"/>
        <v>1</v>
      </c>
      <c r="O19">
        <f t="shared" ca="1" si="9"/>
        <v>1</v>
      </c>
      <c r="P19">
        <f t="shared" ca="1" si="9"/>
        <v>1</v>
      </c>
      <c r="Q19">
        <f t="shared" ca="1" si="9"/>
        <v>1</v>
      </c>
      <c r="R19">
        <f t="shared" ca="1" si="9"/>
        <v>1</v>
      </c>
      <c r="S19">
        <f t="shared" ca="1" si="9"/>
        <v>1</v>
      </c>
      <c r="T19">
        <f t="shared" ca="1" si="9"/>
        <v>1</v>
      </c>
      <c r="U19">
        <f t="shared" ref="U19:AJ22" ca="1" si="11">COUNTA(INDIRECT(ADDRESS(ROW(),COLUMN(),,,$A$33)))</f>
        <v>1</v>
      </c>
      <c r="V19">
        <f t="shared" ca="1" si="11"/>
        <v>1</v>
      </c>
      <c r="W19">
        <f t="shared" ca="1" si="11"/>
        <v>1</v>
      </c>
      <c r="X19">
        <f t="shared" ca="1" si="11"/>
        <v>1</v>
      </c>
      <c r="Y19">
        <f t="shared" ca="1" si="11"/>
        <v>1</v>
      </c>
      <c r="Z19">
        <f t="shared" ca="1" si="11"/>
        <v>1</v>
      </c>
      <c r="AA19">
        <f t="shared" ca="1" si="11"/>
        <v>1</v>
      </c>
      <c r="AB19">
        <f t="shared" ca="1" si="11"/>
        <v>1</v>
      </c>
      <c r="AC19">
        <f t="shared" ca="1" si="11"/>
        <v>1</v>
      </c>
      <c r="AD19">
        <f t="shared" ca="1" si="11"/>
        <v>1</v>
      </c>
      <c r="AE19">
        <f t="shared" ca="1" si="11"/>
        <v>1</v>
      </c>
      <c r="AF19">
        <f t="shared" ca="1" si="11"/>
        <v>1</v>
      </c>
      <c r="AG19">
        <f t="shared" ca="1" si="11"/>
        <v>1</v>
      </c>
      <c r="AH19">
        <f t="shared" ca="1" si="11"/>
        <v>1</v>
      </c>
      <c r="AI19">
        <f t="shared" ca="1" si="11"/>
        <v>1</v>
      </c>
      <c r="AJ19">
        <f t="shared" ca="1" si="11"/>
        <v>1</v>
      </c>
      <c r="AK19">
        <f t="shared" ref="AG19:AV22" ca="1" si="12">COUNTA(INDIRECT(ADDRESS(ROW(),COLUMN(),,,$A$33)))</f>
        <v>1</v>
      </c>
      <c r="AL19">
        <f t="shared" ca="1" si="12"/>
        <v>1</v>
      </c>
      <c r="AM19">
        <f t="shared" ca="1" si="12"/>
        <v>1</v>
      </c>
      <c r="AN19">
        <f t="shared" ca="1" si="12"/>
        <v>1</v>
      </c>
      <c r="AO19">
        <f t="shared" ca="1" si="12"/>
        <v>1</v>
      </c>
      <c r="AP19">
        <f t="shared" ca="1" si="12"/>
        <v>1</v>
      </c>
      <c r="AQ19">
        <f t="shared" ca="1" si="12"/>
        <v>1</v>
      </c>
      <c r="AR19">
        <f t="shared" ca="1" si="12"/>
        <v>1</v>
      </c>
      <c r="AS19">
        <f t="shared" ca="1" si="12"/>
        <v>1</v>
      </c>
      <c r="AT19">
        <f t="shared" ca="1" si="12"/>
        <v>1</v>
      </c>
      <c r="AU19">
        <f t="shared" ca="1" si="12"/>
        <v>1</v>
      </c>
      <c r="AV19">
        <f t="shared" ca="1" si="12"/>
        <v>1</v>
      </c>
      <c r="AW19">
        <f t="shared" ca="1" si="7"/>
        <v>1</v>
      </c>
      <c r="AX19">
        <f t="shared" ca="1" si="7"/>
        <v>1</v>
      </c>
      <c r="AY19">
        <f t="shared" ca="1" si="7"/>
        <v>1</v>
      </c>
      <c r="AZ19">
        <f t="shared" ca="1" si="7"/>
        <v>1</v>
      </c>
      <c r="BA19">
        <f t="shared" ca="1" si="7"/>
        <v>1</v>
      </c>
      <c r="BB19">
        <f t="shared" ca="1" si="7"/>
        <v>1</v>
      </c>
      <c r="BC19">
        <f t="shared" ref="BC19:BN20" ca="1" si="13">COUNTA(INDIRECT(ADDRESS(ROW(),COLUMN(),,,$A$33)))</f>
        <v>1</v>
      </c>
      <c r="BD19">
        <f t="shared" ca="1" si="13"/>
        <v>1</v>
      </c>
      <c r="BE19">
        <f t="shared" ca="1" si="13"/>
        <v>1</v>
      </c>
      <c r="BF19">
        <f t="shared" ca="1" si="13"/>
        <v>1</v>
      </c>
      <c r="BG19">
        <f t="shared" ca="1" si="13"/>
        <v>1</v>
      </c>
      <c r="BH19">
        <f t="shared" ca="1" si="13"/>
        <v>1</v>
      </c>
      <c r="BI19">
        <f t="shared" ca="1" si="13"/>
        <v>1</v>
      </c>
      <c r="BJ19">
        <f t="shared" ca="1" si="13"/>
        <v>1</v>
      </c>
      <c r="BK19">
        <f t="shared" ca="1" si="13"/>
        <v>1</v>
      </c>
      <c r="BL19">
        <f t="shared" ca="1" si="13"/>
        <v>1</v>
      </c>
      <c r="BM19">
        <f t="shared" ca="1" si="13"/>
        <v>1</v>
      </c>
      <c r="BN19">
        <f t="shared" ca="1" si="13"/>
        <v>1</v>
      </c>
    </row>
    <row r="20" spans="3:66" x14ac:dyDescent="0.2">
      <c r="G20">
        <f t="shared" ca="1" si="10"/>
        <v>1</v>
      </c>
      <c r="H20" t="e">
        <f t="shared" ca="1" si="5"/>
        <v>#REF!</v>
      </c>
      <c r="I20" t="e">
        <f t="shared" ca="1" si="6"/>
        <v>#REF!</v>
      </c>
      <c r="J20">
        <f t="shared" ca="1" si="9"/>
        <v>1</v>
      </c>
      <c r="K20">
        <f t="shared" ca="1" si="9"/>
        <v>1</v>
      </c>
      <c r="L20">
        <f t="shared" ca="1" si="9"/>
        <v>1</v>
      </c>
      <c r="M20">
        <f t="shared" ca="1" si="9"/>
        <v>1</v>
      </c>
      <c r="N20">
        <f t="shared" ca="1" si="9"/>
        <v>1</v>
      </c>
      <c r="O20">
        <f t="shared" ca="1" si="9"/>
        <v>1</v>
      </c>
      <c r="P20">
        <f t="shared" ca="1" si="9"/>
        <v>1</v>
      </c>
      <c r="Q20">
        <f t="shared" ca="1" si="9"/>
        <v>1</v>
      </c>
      <c r="R20">
        <f t="shared" ca="1" si="9"/>
        <v>1</v>
      </c>
      <c r="S20">
        <f t="shared" ca="1" si="9"/>
        <v>1</v>
      </c>
      <c r="T20">
        <f t="shared" ca="1" si="9"/>
        <v>1</v>
      </c>
      <c r="U20">
        <f t="shared" ca="1" si="11"/>
        <v>1</v>
      </c>
      <c r="V20">
        <f t="shared" ca="1" si="11"/>
        <v>1</v>
      </c>
      <c r="W20">
        <f t="shared" ca="1" si="11"/>
        <v>1</v>
      </c>
      <c r="X20">
        <f t="shared" ca="1" si="11"/>
        <v>1</v>
      </c>
      <c r="Y20">
        <f t="shared" ca="1" si="11"/>
        <v>1</v>
      </c>
      <c r="Z20">
        <f t="shared" ca="1" si="11"/>
        <v>1</v>
      </c>
      <c r="AA20">
        <f t="shared" ca="1" si="11"/>
        <v>1</v>
      </c>
      <c r="AB20">
        <f t="shared" ca="1" si="11"/>
        <v>1</v>
      </c>
      <c r="AC20">
        <f t="shared" ca="1" si="11"/>
        <v>1</v>
      </c>
      <c r="AD20">
        <f t="shared" ca="1" si="11"/>
        <v>1</v>
      </c>
      <c r="AE20">
        <f t="shared" ca="1" si="11"/>
        <v>1</v>
      </c>
      <c r="AF20">
        <f t="shared" ca="1" si="11"/>
        <v>1</v>
      </c>
      <c r="AG20">
        <f t="shared" ca="1" si="12"/>
        <v>1</v>
      </c>
      <c r="AH20">
        <f t="shared" ca="1" si="12"/>
        <v>1</v>
      </c>
      <c r="AI20">
        <f t="shared" ca="1" si="12"/>
        <v>1</v>
      </c>
      <c r="AJ20">
        <f t="shared" ca="1" si="12"/>
        <v>1</v>
      </c>
      <c r="AK20">
        <f t="shared" ca="1" si="12"/>
        <v>1</v>
      </c>
      <c r="AL20">
        <f t="shared" ca="1" si="12"/>
        <v>1</v>
      </c>
      <c r="AM20">
        <f t="shared" ca="1" si="12"/>
        <v>1</v>
      </c>
      <c r="AN20">
        <f t="shared" ca="1" si="12"/>
        <v>1</v>
      </c>
      <c r="AO20">
        <f t="shared" ca="1" si="12"/>
        <v>1</v>
      </c>
      <c r="AP20">
        <f t="shared" ref="AP20:BI22" ca="1" si="14">COUNTA(INDIRECT(ADDRESS(ROW(),COLUMN(),,,$A$33)))</f>
        <v>1</v>
      </c>
      <c r="AQ20">
        <f t="shared" ca="1" si="14"/>
        <v>1</v>
      </c>
      <c r="AR20">
        <f t="shared" ca="1" si="14"/>
        <v>1</v>
      </c>
      <c r="AS20">
        <f t="shared" ca="1" si="14"/>
        <v>1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1</v>
      </c>
      <c r="BC20">
        <f t="shared" ca="1" si="14"/>
        <v>1</v>
      </c>
      <c r="BD20">
        <f t="shared" ca="1" si="14"/>
        <v>1</v>
      </c>
      <c r="BE20">
        <f t="shared" ca="1" si="14"/>
        <v>1</v>
      </c>
      <c r="BF20">
        <f t="shared" ca="1" si="14"/>
        <v>1</v>
      </c>
      <c r="BG20">
        <f t="shared" ca="1" si="14"/>
        <v>1</v>
      </c>
      <c r="BH20">
        <f t="shared" ca="1" si="14"/>
        <v>1</v>
      </c>
      <c r="BI20">
        <f t="shared" ca="1" si="14"/>
        <v>1</v>
      </c>
      <c r="BJ20">
        <f t="shared" ca="1" si="13"/>
        <v>1</v>
      </c>
      <c r="BK20">
        <f t="shared" ca="1" si="13"/>
        <v>1</v>
      </c>
      <c r="BL20">
        <f t="shared" ca="1" si="13"/>
        <v>1</v>
      </c>
      <c r="BM20">
        <f t="shared" ca="1" si="13"/>
        <v>1</v>
      </c>
      <c r="BN20">
        <f t="shared" ca="1" si="13"/>
        <v>1</v>
      </c>
    </row>
    <row r="21" spans="3:66" x14ac:dyDescent="0.2">
      <c r="G21">
        <f t="shared" ca="1" si="10"/>
        <v>1</v>
      </c>
      <c r="H21" t="e">
        <f t="shared" ca="1" si="5"/>
        <v>#REF!</v>
      </c>
      <c r="I21" t="e">
        <f t="shared" ca="1" si="6"/>
        <v>#REF!</v>
      </c>
      <c r="J21">
        <f t="shared" ca="1" si="9"/>
        <v>1</v>
      </c>
      <c r="K21">
        <f t="shared" ca="1" si="9"/>
        <v>1</v>
      </c>
      <c r="L21">
        <f t="shared" ca="1" si="9"/>
        <v>1</v>
      </c>
      <c r="M21">
        <f t="shared" ca="1" si="9"/>
        <v>1</v>
      </c>
      <c r="N21">
        <f t="shared" ca="1" si="9"/>
        <v>1</v>
      </c>
      <c r="O21">
        <f t="shared" ca="1" si="9"/>
        <v>1</v>
      </c>
      <c r="P21">
        <f t="shared" ca="1" si="9"/>
        <v>1</v>
      </c>
      <c r="Q21">
        <f t="shared" ca="1" si="9"/>
        <v>1</v>
      </c>
      <c r="R21">
        <f t="shared" ca="1" si="9"/>
        <v>1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1</v>
      </c>
      <c r="W21">
        <f t="shared" ca="1" si="11"/>
        <v>1</v>
      </c>
      <c r="X21">
        <f t="shared" ca="1" si="11"/>
        <v>1</v>
      </c>
      <c r="Y21">
        <f t="shared" ca="1" si="11"/>
        <v>1</v>
      </c>
      <c r="Z21">
        <f t="shared" ca="1" si="11"/>
        <v>1</v>
      </c>
      <c r="AA21">
        <f t="shared" ca="1" si="11"/>
        <v>1</v>
      </c>
      <c r="AB21">
        <f t="shared" ca="1" si="11"/>
        <v>1</v>
      </c>
      <c r="AC21">
        <f t="shared" ca="1" si="11"/>
        <v>1</v>
      </c>
      <c r="AD21">
        <f t="shared" ca="1" si="11"/>
        <v>1</v>
      </c>
      <c r="AE21">
        <f t="shared" ca="1" si="11"/>
        <v>1</v>
      </c>
      <c r="AF21">
        <f t="shared" ca="1" si="11"/>
        <v>1</v>
      </c>
      <c r="AG21">
        <f t="shared" ca="1" si="12"/>
        <v>1</v>
      </c>
      <c r="AH21">
        <f t="shared" ca="1" si="12"/>
        <v>1</v>
      </c>
      <c r="AI21">
        <f t="shared" ca="1" si="12"/>
        <v>1</v>
      </c>
      <c r="AJ21">
        <f t="shared" ca="1" si="12"/>
        <v>1</v>
      </c>
      <c r="AK21">
        <f t="shared" ca="1" si="12"/>
        <v>1</v>
      </c>
      <c r="AL21">
        <f t="shared" ca="1" si="12"/>
        <v>1</v>
      </c>
      <c r="AM21">
        <f t="shared" ca="1" si="12"/>
        <v>1</v>
      </c>
      <c r="AN21">
        <f t="shared" ca="1" si="12"/>
        <v>1</v>
      </c>
      <c r="AO21">
        <f t="shared" ca="1" si="12"/>
        <v>1</v>
      </c>
      <c r="AP21">
        <f t="shared" ca="1" si="14"/>
        <v>1</v>
      </c>
      <c r="AQ21">
        <f t="shared" ca="1" si="14"/>
        <v>1</v>
      </c>
      <c r="AR21">
        <f t="shared" ca="1" si="14"/>
        <v>1</v>
      </c>
      <c r="AS21">
        <f t="shared" ca="1" si="14"/>
        <v>1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1</v>
      </c>
      <c r="AX21">
        <f t="shared" ca="1" si="14"/>
        <v>1</v>
      </c>
      <c r="AY21">
        <f t="shared" ca="1" si="14"/>
        <v>1</v>
      </c>
      <c r="AZ21">
        <f t="shared" ca="1" si="14"/>
        <v>1</v>
      </c>
      <c r="BA21">
        <f t="shared" ca="1" si="14"/>
        <v>1</v>
      </c>
      <c r="BB21">
        <f t="shared" ca="1" si="14"/>
        <v>1</v>
      </c>
      <c r="BC21">
        <f t="shared" ref="BC21:BN22" ca="1" si="15">COUNTA(INDIRECT(ADDRESS(ROW(),COLUMN(),,,$A$33)))</f>
        <v>1</v>
      </c>
      <c r="BD21">
        <f t="shared" ca="1" si="15"/>
        <v>1</v>
      </c>
      <c r="BE21">
        <f t="shared" ca="1" si="15"/>
        <v>1</v>
      </c>
      <c r="BF21">
        <f t="shared" ca="1" si="15"/>
        <v>1</v>
      </c>
      <c r="BG21">
        <f t="shared" ca="1" si="15"/>
        <v>1</v>
      </c>
      <c r="BH21">
        <f t="shared" ca="1" si="15"/>
        <v>1</v>
      </c>
      <c r="BI21">
        <f t="shared" ca="1" si="15"/>
        <v>1</v>
      </c>
      <c r="BJ21">
        <f t="shared" ca="1" si="15"/>
        <v>1</v>
      </c>
      <c r="BK21">
        <f t="shared" ca="1" si="15"/>
        <v>1</v>
      </c>
      <c r="BL21">
        <f t="shared" ca="1" si="15"/>
        <v>1</v>
      </c>
      <c r="BM21">
        <f t="shared" ca="1" si="15"/>
        <v>1</v>
      </c>
      <c r="BN21">
        <f t="shared" ca="1" si="15"/>
        <v>1</v>
      </c>
    </row>
    <row r="22" spans="3:66" x14ac:dyDescent="0.2">
      <c r="G22">
        <f t="shared" ca="1" si="10"/>
        <v>1</v>
      </c>
      <c r="H22" t="e">
        <f t="shared" ca="1" si="5"/>
        <v>#REF!</v>
      </c>
      <c r="I22" t="e">
        <f t="shared" ca="1" si="6"/>
        <v>#REF!</v>
      </c>
      <c r="J22">
        <f t="shared" ca="1" si="9"/>
        <v>1</v>
      </c>
      <c r="K22">
        <f t="shared" ca="1" si="9"/>
        <v>1</v>
      </c>
      <c r="L22">
        <f t="shared" ca="1" si="9"/>
        <v>1</v>
      </c>
      <c r="M22">
        <f t="shared" ca="1" si="9"/>
        <v>1</v>
      </c>
      <c r="N22">
        <f t="shared" ca="1" si="9"/>
        <v>1</v>
      </c>
      <c r="O22">
        <f t="shared" ca="1" si="9"/>
        <v>1</v>
      </c>
      <c r="P22">
        <f t="shared" ca="1" si="9"/>
        <v>1</v>
      </c>
      <c r="Q22">
        <f t="shared" ca="1" si="9"/>
        <v>1</v>
      </c>
      <c r="R22">
        <f t="shared" ca="1" si="9"/>
        <v>1</v>
      </c>
      <c r="S22">
        <f t="shared" ca="1" si="9"/>
        <v>1</v>
      </c>
      <c r="T22">
        <f t="shared" ca="1" si="9"/>
        <v>1</v>
      </c>
      <c r="U22">
        <f t="shared" ca="1" si="11"/>
        <v>1</v>
      </c>
      <c r="V22">
        <f t="shared" ca="1" si="11"/>
        <v>1</v>
      </c>
      <c r="W22">
        <f t="shared" ca="1" si="11"/>
        <v>1</v>
      </c>
      <c r="X22">
        <f t="shared" ca="1" si="11"/>
        <v>1</v>
      </c>
      <c r="Y22">
        <f t="shared" ca="1" si="11"/>
        <v>1</v>
      </c>
      <c r="Z22">
        <f t="shared" ca="1" si="11"/>
        <v>1</v>
      </c>
      <c r="AA22">
        <f t="shared" ca="1" si="11"/>
        <v>1</v>
      </c>
      <c r="AB22">
        <f t="shared" ca="1" si="11"/>
        <v>1</v>
      </c>
      <c r="AC22">
        <f t="shared" ca="1" si="11"/>
        <v>1</v>
      </c>
      <c r="AD22">
        <f t="shared" ca="1" si="11"/>
        <v>1</v>
      </c>
      <c r="AE22">
        <f t="shared" ca="1" si="11"/>
        <v>1</v>
      </c>
      <c r="AF22">
        <f t="shared" ca="1" si="11"/>
        <v>1</v>
      </c>
      <c r="AG22">
        <f t="shared" ca="1" si="12"/>
        <v>1</v>
      </c>
      <c r="AH22">
        <f t="shared" ca="1" si="12"/>
        <v>1</v>
      </c>
      <c r="AI22">
        <f t="shared" ca="1" si="12"/>
        <v>1</v>
      </c>
      <c r="AJ22">
        <f t="shared" ca="1" si="12"/>
        <v>1</v>
      </c>
      <c r="AK22">
        <f t="shared" ca="1" si="12"/>
        <v>1</v>
      </c>
      <c r="AL22">
        <f t="shared" ca="1" si="12"/>
        <v>1</v>
      </c>
      <c r="AM22">
        <f t="shared" ca="1" si="12"/>
        <v>1</v>
      </c>
      <c r="AN22">
        <f t="shared" ca="1" si="12"/>
        <v>1</v>
      </c>
      <c r="AO22">
        <f t="shared" ca="1" si="12"/>
        <v>1</v>
      </c>
      <c r="AP22">
        <f t="shared" ca="1" si="14"/>
        <v>1</v>
      </c>
      <c r="AQ22">
        <f t="shared" ca="1" si="14"/>
        <v>1</v>
      </c>
      <c r="AR22">
        <f t="shared" ca="1" si="14"/>
        <v>1</v>
      </c>
      <c r="AS22">
        <f t="shared" ca="1" si="14"/>
        <v>1</v>
      </c>
      <c r="AT22">
        <f t="shared" ca="1" si="14"/>
        <v>1</v>
      </c>
      <c r="AU22">
        <f t="shared" ca="1" si="14"/>
        <v>1</v>
      </c>
      <c r="AV22">
        <f t="shared" ca="1" si="14"/>
        <v>1</v>
      </c>
      <c r="AW22">
        <f t="shared" ca="1" si="14"/>
        <v>1</v>
      </c>
      <c r="AX22">
        <f t="shared" ca="1" si="14"/>
        <v>1</v>
      </c>
      <c r="AY22">
        <f t="shared" ca="1" si="14"/>
        <v>1</v>
      </c>
      <c r="AZ22">
        <f t="shared" ca="1" si="14"/>
        <v>1</v>
      </c>
      <c r="BA22">
        <f t="shared" ca="1" si="14"/>
        <v>1</v>
      </c>
      <c r="BB22">
        <f t="shared" ca="1" si="14"/>
        <v>1</v>
      </c>
      <c r="BC22">
        <f t="shared" ca="1" si="15"/>
        <v>1</v>
      </c>
      <c r="BD22">
        <f t="shared" ca="1" si="15"/>
        <v>1</v>
      </c>
      <c r="BE22">
        <f t="shared" ca="1" si="15"/>
        <v>1</v>
      </c>
      <c r="BF22">
        <f t="shared" ca="1" si="15"/>
        <v>1</v>
      </c>
      <c r="BG22">
        <f t="shared" ca="1" si="15"/>
        <v>1</v>
      </c>
      <c r="BH22">
        <f t="shared" ca="1" si="15"/>
        <v>1</v>
      </c>
      <c r="BI22">
        <f t="shared" ca="1" si="15"/>
        <v>1</v>
      </c>
      <c r="BJ22">
        <f t="shared" ca="1" si="15"/>
        <v>1</v>
      </c>
      <c r="BK22">
        <f t="shared" ca="1" si="15"/>
        <v>1</v>
      </c>
      <c r="BL22">
        <f t="shared" ca="1" si="15"/>
        <v>1</v>
      </c>
      <c r="BM22">
        <f t="shared" ca="1" si="15"/>
        <v>1</v>
      </c>
      <c r="BN22">
        <f t="shared" ca="1" si="15"/>
        <v>1</v>
      </c>
    </row>
    <row r="25" spans="3:66" x14ac:dyDescent="0.2">
      <c r="C25">
        <f ca="1">SUM(INDIRECT("RC11:RC"&amp;11+playercnt-1,FALSE))</f>
        <v>56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1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1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</row>
    <row r="33" spans="1:66" x14ac:dyDescent="0.2">
      <c r="A33" s="26" t="str">
        <f>IF(ISBLANK(B33),IF((weekcnt+1)&lt;10,("Wk0"&amp;(weekcnt+1)),("Wk"&amp;(weekcnt+1))),B33)</f>
        <v>Wk14</v>
      </c>
    </row>
    <row r="34" spans="1:66" ht="111" customHeight="1" x14ac:dyDescent="0.2">
      <c r="B34" s="22">
        <f ca="1">(SUM(INDIRECT("R42C11:R"&amp;42+playercnt-1&amp;"C"&amp;11+playercnt-1,FALSE))-(10*picks_entered))/((picks_entered^2)-picks_entered)</f>
        <v>20.181818181818183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N34" ca="1" si="21">IF((COLUMN()-10)&lt;=playercnt,INDIRECT(ADDRESS(2,COLUMN(),,,$A$33)),"")</f>
        <v>#REF!</v>
      </c>
      <c r="H34" s="2" t="e">
        <f t="shared" ca="1" si="21"/>
        <v>#REF!</v>
      </c>
      <c r="I34" s="2" t="e">
        <f t="shared" ca="1" si="21"/>
        <v>#REF!</v>
      </c>
      <c r="J34" s="2" t="e">
        <f t="shared" ca="1" si="21"/>
        <v>#REF!</v>
      </c>
      <c r="K34" s="2" t="e">
        <f t="shared" ca="1" si="21"/>
        <v>#REF!</v>
      </c>
      <c r="L34" s="2" t="e">
        <f t="shared" ca="1" si="21"/>
        <v>#REF!</v>
      </c>
      <c r="M34" s="2" t="e">
        <f t="shared" ca="1" si="21"/>
        <v>#REF!</v>
      </c>
      <c r="N34" s="2" t="e">
        <f t="shared" ca="1" si="21"/>
        <v>#REF!</v>
      </c>
      <c r="O34" s="2" t="e">
        <f t="shared" ca="1" si="21"/>
        <v>#REF!</v>
      </c>
      <c r="P34" s="2" t="e">
        <f t="shared" ca="1" si="21"/>
        <v>#REF!</v>
      </c>
      <c r="Q34" s="2" t="e">
        <f t="shared" ca="1" si="21"/>
        <v>#REF!</v>
      </c>
      <c r="R34" s="2" t="e">
        <f t="shared" ca="1" si="21"/>
        <v>#REF!</v>
      </c>
      <c r="S34" s="2" t="e">
        <f t="shared" ca="1" si="21"/>
        <v>#REF!</v>
      </c>
      <c r="T34" s="2" t="e">
        <f t="shared" ca="1" si="21"/>
        <v>#REF!</v>
      </c>
      <c r="U34" s="2" t="e">
        <f t="shared" ca="1" si="21"/>
        <v>#REF!</v>
      </c>
      <c r="V34" s="2" t="e">
        <f t="shared" ca="1" si="21"/>
        <v>#REF!</v>
      </c>
      <c r="W34" s="2" t="e">
        <f t="shared" ca="1" si="21"/>
        <v>#REF!</v>
      </c>
      <c r="X34" s="2" t="e">
        <f t="shared" ca="1" si="21"/>
        <v>#REF!</v>
      </c>
      <c r="Y34" s="2" t="e">
        <f t="shared" ca="1" si="21"/>
        <v>#REF!</v>
      </c>
      <c r="Z34" s="2" t="e">
        <f t="shared" ca="1" si="21"/>
        <v>#REF!</v>
      </c>
      <c r="AA34" s="2" t="e">
        <f t="shared" ca="1" si="21"/>
        <v>#REF!</v>
      </c>
      <c r="AB34" s="2" t="e">
        <f t="shared" ca="1" si="21"/>
        <v>#REF!</v>
      </c>
      <c r="AC34" s="2" t="e">
        <f t="shared" ca="1" si="21"/>
        <v>#REF!</v>
      </c>
      <c r="AD34" s="2" t="e">
        <f t="shared" ca="1" si="21"/>
        <v>#REF!</v>
      </c>
      <c r="AE34" s="2" t="e">
        <f t="shared" ca="1" si="21"/>
        <v>#REF!</v>
      </c>
      <c r="AF34" s="2" t="e">
        <f t="shared" ca="1" si="21"/>
        <v>#REF!</v>
      </c>
      <c r="AG34" s="2" t="e">
        <f t="shared" ca="1" si="21"/>
        <v>#REF!</v>
      </c>
      <c r="AH34" s="2" t="e">
        <f t="shared" ca="1" si="21"/>
        <v>#REF!</v>
      </c>
      <c r="AI34" s="2" t="e">
        <f t="shared" ca="1" si="21"/>
        <v>#REF!</v>
      </c>
      <c r="AJ34" s="2" t="e">
        <f t="shared" ca="1" si="21"/>
        <v>#REF!</v>
      </c>
      <c r="AK34" s="2" t="e">
        <f t="shared" ca="1" si="21"/>
        <v>#REF!</v>
      </c>
      <c r="AL34" s="2" t="e">
        <f t="shared" ca="1" si="21"/>
        <v>#REF!</v>
      </c>
      <c r="AM34" s="2" t="e">
        <f t="shared" ca="1" si="21"/>
        <v>#REF!</v>
      </c>
      <c r="AN34" s="2" t="e">
        <f t="shared" ca="1" si="21"/>
        <v>#REF!</v>
      </c>
      <c r="AO34" s="2" t="e">
        <f t="shared" ca="1" si="21"/>
        <v>#REF!</v>
      </c>
      <c r="AP34" s="2" t="e">
        <f t="shared" ca="1" si="21"/>
        <v>#REF!</v>
      </c>
      <c r="AQ34" s="2" t="e">
        <f t="shared" ca="1" si="21"/>
        <v>#REF!</v>
      </c>
      <c r="AR34" s="2" t="e">
        <f t="shared" ca="1" si="21"/>
        <v>#REF!</v>
      </c>
      <c r="AS34" s="2" t="e">
        <f t="shared" ca="1" si="21"/>
        <v>#REF!</v>
      </c>
      <c r="AT34" s="2" t="e">
        <f t="shared" ca="1" si="21"/>
        <v>#REF!</v>
      </c>
      <c r="AU34" s="2" t="e">
        <f t="shared" ca="1" si="21"/>
        <v>#REF!</v>
      </c>
      <c r="AV34" s="2" t="e">
        <f t="shared" ca="1" si="21"/>
        <v>#REF!</v>
      </c>
      <c r="AW34" s="2" t="e">
        <f t="shared" ca="1" si="21"/>
        <v>#REF!</v>
      </c>
      <c r="AX34" s="2" t="e">
        <f t="shared" ca="1" si="21"/>
        <v>#REF!</v>
      </c>
      <c r="AY34" s="2" t="e">
        <f t="shared" ca="1" si="21"/>
        <v>#REF!</v>
      </c>
      <c r="AZ34" s="2" t="e">
        <f t="shared" ca="1" si="21"/>
        <v>#REF!</v>
      </c>
      <c r="BA34" s="2" t="e">
        <f t="shared" ca="1" si="21"/>
        <v>#REF!</v>
      </c>
      <c r="BB34" s="2" t="e">
        <f t="shared" ca="1" si="21"/>
        <v>#REF!</v>
      </c>
      <c r="BC34" s="2" t="e">
        <f t="shared" ca="1" si="21"/>
        <v>#REF!</v>
      </c>
      <c r="BD34" s="2" t="e">
        <f t="shared" ca="1" si="21"/>
        <v>#REF!</v>
      </c>
      <c r="BE34" s="2" t="e">
        <f t="shared" ca="1" si="21"/>
        <v>#REF!</v>
      </c>
      <c r="BF34" s="2" t="e">
        <f t="shared" ca="1" si="21"/>
        <v>#REF!</v>
      </c>
      <c r="BG34" s="2" t="e">
        <f t="shared" ca="1" si="21"/>
        <v>#REF!</v>
      </c>
      <c r="BH34" s="2" t="e">
        <f t="shared" ca="1" si="21"/>
        <v>#REF!</v>
      </c>
      <c r="BI34" s="2" t="e">
        <f t="shared" ca="1" si="21"/>
        <v>#REF!</v>
      </c>
      <c r="BJ34" s="2" t="e">
        <f t="shared" ca="1" si="21"/>
        <v>#REF!</v>
      </c>
      <c r="BK34" s="2" t="e">
        <f t="shared" ca="1" si="21"/>
        <v>#REF!</v>
      </c>
      <c r="BL34" s="2" t="e">
        <f t="shared" ca="1" si="21"/>
        <v>#REF!</v>
      </c>
      <c r="BM34" s="2" t="e">
        <f t="shared" ca="1" si="21"/>
        <v>#REF!</v>
      </c>
      <c r="BN34" s="2" t="e">
        <f t="shared" ca="1" si="21"/>
        <v>#REF!</v>
      </c>
    </row>
    <row r="35" spans="1:66" ht="3" customHeight="1" x14ac:dyDescent="0.2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">
      <c r="B37" s="27" t="str">
        <f ca="1">IF(INDIRECT(ADDRESS(ROW(),COLUMN()+(ROW()-33)))=10,(SUM(D37:AW37)-10)/(playercnt-1),"")</f>
        <v/>
      </c>
    </row>
    <row r="38" spans="1:6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2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</row>
    <row r="39" spans="1:6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2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</row>
    <row r="40" spans="1:66" x14ac:dyDescent="0.2">
      <c r="B40" s="27" t="e">
        <f t="shared" ref="B40:B97" ca="1" si="23">IF(INDIRECT(ADDRESS(ROW(),COLUMN()+(ROW()-33)))=10,(SUM(INDIRECT("RC11:RC"&amp;11+playercnt-1,FALSE))-10)/(picks_entered-1),"")</f>
        <v>#REF!</v>
      </c>
      <c r="C40" t="e">
        <f t="shared" ca="1" si="22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</row>
    <row r="41" spans="1:66" x14ac:dyDescent="0.2">
      <c r="B41" s="27" t="str">
        <f t="shared" ca="1" si="23"/>
        <v/>
      </c>
      <c r="C41" t="e">
        <f t="shared" ca="1" si="22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</row>
    <row r="42" spans="1:66" x14ac:dyDescent="0.2">
      <c r="A42" s="22">
        <f ca="1">MAX(INDIRECT("RC2:R["&amp;playercnt-1&amp;"]C2",FALSE))</f>
        <v>0</v>
      </c>
      <c r="B42" s="27" t="str">
        <f t="shared" ca="1" si="23"/>
        <v/>
      </c>
      <c r="C42" t="e">
        <f t="shared" ca="1" si="22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</row>
    <row r="43" spans="1:66" x14ac:dyDescent="0.2">
      <c r="A43" s="22">
        <f ca="1">MIN(INDIRECT("R[-1]C2:R["&amp;playercnt-2&amp;"]C2",FALSE))</f>
        <v>0</v>
      </c>
      <c r="B43" s="27" t="str">
        <f t="shared" ca="1" si="23"/>
        <v/>
      </c>
      <c r="C43" t="e">
        <f t="shared" ca="1" si="22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</row>
    <row r="44" spans="1:66" s="3" customFormat="1" x14ac:dyDescent="0.2">
      <c r="A44" s="3">
        <f ca="1">(A42-A43)*0.1</f>
        <v>0</v>
      </c>
      <c r="B44" s="109" t="str">
        <f t="shared" ca="1" si="23"/>
        <v/>
      </c>
      <c r="C44" s="3" t="e">
        <f t="shared" ca="1" si="22"/>
        <v>#REF!</v>
      </c>
      <c r="G44" s="3">
        <f ca="1">IF(AND(((COLUMN()-10)&lt;=playercnt),((ROW()-41)&lt;=playercnt)),SUMPRODUCT(INDIRECT(ADDRESS(3,ROW()-31,1)):INDIRECT(ADDRESS(22,ROW()-31,1)),G$3:G$22),"")</f>
        <v>20</v>
      </c>
      <c r="H44" s="3" t="e">
        <f ca="1">IF(AND(((COLUMN()-10)&lt;=playercnt),((ROW()-41)&lt;=playercnt)),SUMPRODUCT(INDIRECT(ADDRESS(3,ROW()-31,1)):INDIRECT(ADDRESS(22,ROW()-31,1)),H$3:H$22),"")</f>
        <v>#REF!</v>
      </c>
      <c r="I44" s="3" t="e">
        <f ca="1">IF(AND(((COLUMN()-10)&lt;=playercnt),((ROW()-41)&lt;=playercnt)),SUMPRODUCT(INDIRECT(ADDRESS(3,ROW()-31,1)):INDIRECT(ADDRESS(22,ROW()-31,1)),I$3:I$22),"")</f>
        <v>#REF!</v>
      </c>
      <c r="J44" s="3">
        <f ca="1">IF(AND(((COLUMN()-10)&lt;=playercnt),((ROW()-41)&lt;=playercnt)),SUMPRODUCT(INDIRECT(ADDRESS(3,ROW()-31,1)):INDIRECT(ADDRESS(22,ROW()-31,1)),J$3:J$22),"")</f>
        <v>20</v>
      </c>
      <c r="K44" s="3">
        <f ca="1">IF(AND(((COLUMN()-10)&lt;=playercnt),((ROW()-41)&lt;=playercnt)),SUMPRODUCT(INDIRECT(ADDRESS(3,ROW()-31,1)):INDIRECT(ADDRESS(22,ROW()-31,1)),K$3:K$22),"")</f>
        <v>20</v>
      </c>
      <c r="L44" s="3">
        <f ca="1">IF(AND(((COLUMN()-10)&lt;=playercnt),((ROW()-41)&lt;=playercnt)),SUMPRODUCT(INDIRECT(ADDRESS(3,ROW()-31,1)):INDIRECT(ADDRESS(22,ROW()-31,1)),L$3:L$22),"")</f>
        <v>20</v>
      </c>
      <c r="M44" s="3">
        <f ca="1">IF(AND(((COLUMN()-10)&lt;=playercnt),((ROW()-41)&lt;=playercnt)),SUMPRODUCT(INDIRECT(ADDRESS(3,ROW()-31,1)):INDIRECT(ADDRESS(22,ROW()-31,1)),M$3:M$22),"")</f>
        <v>20</v>
      </c>
      <c r="N44" s="3">
        <f ca="1">IF(AND(((COLUMN()-10)&lt;=playercnt),((ROW()-41)&lt;=playercnt)),SUMPRODUCT(INDIRECT(ADDRESS(3,ROW()-31,1)):INDIRECT(ADDRESS(22,ROW()-31,1)),N$3:N$22),"")</f>
        <v>20</v>
      </c>
      <c r="O44" s="3">
        <f ca="1">IF(AND(((COLUMN()-10)&lt;=playercnt),((ROW()-41)&lt;=playercnt)),SUMPRODUCT(INDIRECT(ADDRESS(3,ROW()-31,1)):INDIRECT(ADDRESS(22,ROW()-31,1)),O$3:O$22),"")</f>
        <v>20</v>
      </c>
      <c r="P44" s="3">
        <f ca="1">IF(AND(((COLUMN()-10)&lt;=playercnt),((ROW()-41)&lt;=playercnt)),SUMPRODUCT(INDIRECT(ADDRESS(3,ROW()-31,1)):INDIRECT(ADDRESS(22,ROW()-31,1)),P$3:P$22),"")</f>
        <v>20</v>
      </c>
      <c r="Q44" s="3">
        <f ca="1">IF(AND(((COLUMN()-10)&lt;=playercnt),((ROW()-41)&lt;=playercnt)),SUMPRODUCT(INDIRECT(ADDRESS(3,ROW()-31,1)):INDIRECT(ADDRESS(22,ROW()-31,1)),Q$3:Q$22),"")</f>
        <v>20</v>
      </c>
      <c r="R44" s="3">
        <f ca="1">IF(AND(((COLUMN()-10)&lt;=playercnt),((ROW()-41)&lt;=playercnt)),SUMPRODUCT(INDIRECT(ADDRESS(3,ROW()-31,1)):INDIRECT(ADDRESS(22,ROW()-31,1)),R$3:R$22),"")</f>
        <v>20</v>
      </c>
      <c r="S44" s="3">
        <f ca="1">IF(AND(((COLUMN()-10)&lt;=playercnt),((ROW()-41)&lt;=playercnt)),SUMPRODUCT(INDIRECT(ADDRESS(3,ROW()-31,1)):INDIRECT(ADDRESS(22,ROW()-31,1)),S$3:S$22),"")</f>
        <v>20</v>
      </c>
      <c r="T44" s="3">
        <f ca="1">IF(AND(((COLUMN()-10)&lt;=playercnt),((ROW()-41)&lt;=playercnt)),SUMPRODUCT(INDIRECT(ADDRESS(3,ROW()-31,1)):INDIRECT(ADDRESS(22,ROW()-31,1)),T$3:T$22),"")</f>
        <v>20</v>
      </c>
      <c r="U44" s="3">
        <f ca="1">IF(AND(((COLUMN()-10)&lt;=playercnt),((ROW()-41)&lt;=playercnt)),SUMPRODUCT(INDIRECT(ADDRESS(3,ROW()-31,1)):INDIRECT(ADDRESS(22,ROW()-31,1)),U$3:U$22),"")</f>
        <v>20</v>
      </c>
      <c r="V44" s="3">
        <f ca="1">IF(AND(((COLUMN()-10)&lt;=playercnt),((ROW()-41)&lt;=playercnt)),SUMPRODUCT(INDIRECT(ADDRESS(3,ROW()-31,1)):INDIRECT(ADDRESS(22,ROW()-31,1)),V$3:V$22),"")</f>
        <v>20</v>
      </c>
      <c r="W44" s="3">
        <f ca="1">IF(AND(((COLUMN()-10)&lt;=playercnt),((ROW()-41)&lt;=playercnt)),SUMPRODUCT(INDIRECT(ADDRESS(3,ROW()-31,1)):INDIRECT(ADDRESS(22,ROW()-31,1)),W$3:W$22),"")</f>
        <v>20</v>
      </c>
      <c r="X44" s="3">
        <f ca="1">IF(AND(((COLUMN()-10)&lt;=playercnt),((ROW()-41)&lt;=playercnt)),SUMPRODUCT(INDIRECT(ADDRESS(3,ROW()-31,1)):INDIRECT(ADDRESS(22,ROW()-31,1)),X$3:X$22),"")</f>
        <v>20</v>
      </c>
      <c r="Y44" s="3">
        <f ca="1">IF(AND(((COLUMN()-10)&lt;=playercnt),((ROW()-41)&lt;=playercnt)),SUMPRODUCT(INDIRECT(ADDRESS(3,ROW()-31,1)):INDIRECT(ADDRESS(22,ROW()-31,1)),Y$3:Y$22),"")</f>
        <v>20</v>
      </c>
      <c r="Z44" s="3">
        <f ca="1">IF(AND(((COLUMN()-10)&lt;=playercnt),((ROW()-41)&lt;=playercnt)),SUMPRODUCT(INDIRECT(ADDRESS(3,ROW()-31,1)):INDIRECT(ADDRESS(22,ROW()-31,1)),Z$3:Z$22),"")</f>
        <v>20</v>
      </c>
      <c r="AA44" s="3">
        <f ca="1">IF(AND(((COLUMN()-10)&lt;=playercnt),((ROW()-41)&lt;=playercnt)),SUMPRODUCT(INDIRECT(ADDRESS(3,ROW()-31,1)):INDIRECT(ADDRESS(22,ROW()-31,1)),AA$3:AA$22),"")</f>
        <v>20</v>
      </c>
      <c r="AB44" s="3">
        <f ca="1">IF(AND(((COLUMN()-10)&lt;=playercnt),((ROW()-41)&lt;=playercnt)),SUMPRODUCT(INDIRECT(ADDRESS(3,ROW()-31,1)):INDIRECT(ADDRESS(22,ROW()-31,1)),AB$3:AB$22),"")</f>
        <v>20</v>
      </c>
      <c r="AC44" s="3">
        <f ca="1">IF(AND(((COLUMN()-10)&lt;=playercnt),((ROW()-41)&lt;=playercnt)),SUMPRODUCT(INDIRECT(ADDRESS(3,ROW()-31,1)):INDIRECT(ADDRESS(22,ROW()-31,1)),AC$3:AC$22),"")</f>
        <v>20</v>
      </c>
      <c r="AD44" s="3">
        <f ca="1">IF(AND(((COLUMN()-10)&lt;=playercnt),((ROW()-41)&lt;=playercnt)),SUMPRODUCT(INDIRECT(ADDRESS(3,ROW()-31,1)):INDIRECT(ADDRESS(22,ROW()-31,1)),AD$3:AD$22),"")</f>
        <v>20</v>
      </c>
      <c r="AE44" s="3">
        <f ca="1">IF(AND(((COLUMN()-10)&lt;=playercnt),((ROW()-41)&lt;=playercnt)),SUMPRODUCT(INDIRECT(ADDRESS(3,ROW()-31,1)):INDIRECT(ADDRESS(22,ROW()-31,1)),AE$3:AE$22),"")</f>
        <v>20</v>
      </c>
      <c r="AF44" s="3">
        <f ca="1">IF(AND(((COLUMN()-10)&lt;=playercnt),((ROW()-41)&lt;=playercnt)),SUMPRODUCT(INDIRECT(ADDRESS(3,ROW()-31,1)):INDIRECT(ADDRESS(22,ROW()-31,1)),AF$3:AF$22),"")</f>
        <v>20</v>
      </c>
      <c r="AG44" s="3">
        <f ca="1">IF(AND(((COLUMN()-10)&lt;=playercnt),((ROW()-41)&lt;=playercnt)),SUMPRODUCT(INDIRECT(ADDRESS(3,ROW()-31,1)):INDIRECT(ADDRESS(22,ROW()-31,1)),AG$3:AG$22),"")</f>
        <v>20</v>
      </c>
      <c r="AH44" s="3">
        <f ca="1">IF(AND(((COLUMN()-10)&lt;=playercnt),((ROW()-41)&lt;=playercnt)),SUMPRODUCT(INDIRECT(ADDRESS(3,ROW()-31,1)):INDIRECT(ADDRESS(22,ROW()-31,1)),AH$3:AH$22),"")</f>
        <v>20</v>
      </c>
      <c r="AI44" s="3">
        <f ca="1">IF(AND(((COLUMN()-10)&lt;=playercnt),((ROW()-41)&lt;=playercnt)),SUMPRODUCT(INDIRECT(ADDRESS(3,ROW()-31,1)):INDIRECT(ADDRESS(22,ROW()-31,1)),AI$3:AI$22),"")</f>
        <v>20</v>
      </c>
      <c r="AJ44" s="3">
        <f ca="1">IF(AND(((COLUMN()-10)&lt;=playercnt),((ROW()-41)&lt;=playercnt)),SUMPRODUCT(INDIRECT(ADDRESS(3,ROW()-31,1)):INDIRECT(ADDRESS(22,ROW()-31,1)),AJ$3:AJ$22),"")</f>
        <v>20</v>
      </c>
      <c r="AK44" s="3">
        <f ca="1">IF(AND(((COLUMN()-10)&lt;=playercnt),((ROW()-41)&lt;=playercnt)),SUMPRODUCT(INDIRECT(ADDRESS(3,ROW()-31,1)):INDIRECT(ADDRESS(22,ROW()-31,1)),AK$3:AK$22),"")</f>
        <v>20</v>
      </c>
      <c r="AL44" s="3">
        <f ca="1">IF(AND(((COLUMN()-10)&lt;=playercnt),((ROW()-41)&lt;=playercnt)),SUMPRODUCT(INDIRECT(ADDRESS(3,ROW()-31,1)):INDIRECT(ADDRESS(22,ROW()-31,1)),AL$3:AL$22),"")</f>
        <v>20</v>
      </c>
      <c r="AM44" s="3">
        <f ca="1">IF(AND(((COLUMN()-10)&lt;=playercnt),((ROW()-41)&lt;=playercnt)),SUMPRODUCT(INDIRECT(ADDRESS(3,ROW()-31,1)):INDIRECT(ADDRESS(22,ROW()-31,1)),AM$3:AM$22),"")</f>
        <v>20</v>
      </c>
      <c r="AN44" s="3">
        <f ca="1">IF(AND(((COLUMN()-10)&lt;=playercnt),((ROW()-41)&lt;=playercnt)),SUMPRODUCT(INDIRECT(ADDRESS(3,ROW()-31,1)):INDIRECT(ADDRESS(22,ROW()-31,1)),AN$3:AN$22),"")</f>
        <v>20</v>
      </c>
      <c r="AO44" s="3">
        <f ca="1">IF(AND(((COLUMN()-10)&lt;=playercnt),((ROW()-41)&lt;=playercnt)),SUMPRODUCT(INDIRECT(ADDRESS(3,ROW()-31,1)):INDIRECT(ADDRESS(22,ROW()-31,1)),AO$3:AO$22),"")</f>
        <v>20</v>
      </c>
      <c r="AP44" s="3">
        <f ca="1">IF(AND(((COLUMN()-10)&lt;=playercnt),((ROW()-41)&lt;=playercnt)),SUMPRODUCT(INDIRECT(ADDRESS(3,ROW()-31,1)):INDIRECT(ADDRESS(22,ROW()-31,1)),AP$3:AP$22),"")</f>
        <v>20</v>
      </c>
      <c r="AQ44" s="3">
        <f ca="1">IF(AND(((COLUMN()-10)&lt;=playercnt),((ROW()-41)&lt;=playercnt)),SUMPRODUCT(INDIRECT(ADDRESS(3,ROW()-31,1)):INDIRECT(ADDRESS(22,ROW()-31,1)),AQ$3:AQ$22),"")</f>
        <v>20</v>
      </c>
      <c r="AR44" s="3">
        <f ca="1">IF(AND(((COLUMN()-10)&lt;=playercnt),((ROW()-41)&lt;=playercnt)),SUMPRODUCT(INDIRECT(ADDRESS(3,ROW()-31,1)):INDIRECT(ADDRESS(22,ROW()-31,1)),AR$3:AR$22),"")</f>
        <v>20</v>
      </c>
      <c r="AS44" s="3">
        <f ca="1">IF(AND(((COLUMN()-10)&lt;=playercnt),((ROW()-41)&lt;=playercnt)),SUMPRODUCT(INDIRECT(ADDRESS(3,ROW()-31,1)):INDIRECT(ADDRESS(22,ROW()-31,1)),AS$3:AS$22),"")</f>
        <v>20</v>
      </c>
      <c r="AT44" s="3">
        <f ca="1">IF(AND(((COLUMN()-10)&lt;=playercnt),((ROW()-41)&lt;=playercnt)),SUMPRODUCT(INDIRECT(ADDRESS(3,ROW()-31,1)):INDIRECT(ADDRESS(22,ROW()-31,1)),AT$3:AT$22),"")</f>
        <v>20</v>
      </c>
      <c r="AU44" s="3">
        <f ca="1">IF(AND(((COLUMN()-10)&lt;=playercnt),((ROW()-41)&lt;=playercnt)),SUMPRODUCT(INDIRECT(ADDRESS(3,ROW()-31,1)):INDIRECT(ADDRESS(22,ROW()-31,1)),AU$3:AU$22),"")</f>
        <v>20</v>
      </c>
      <c r="AV44" s="3">
        <f ca="1">IF(AND(((COLUMN()-10)&lt;=playercnt),((ROW()-41)&lt;=playercnt)),SUMPRODUCT(INDIRECT(ADDRESS(3,ROW()-31,1)):INDIRECT(ADDRESS(22,ROW()-31,1)),AV$3:AV$22),"")</f>
        <v>20</v>
      </c>
      <c r="AW44" s="3">
        <f ca="1">IF(AND(((COLUMN()-10)&lt;=playercnt),((ROW()-41)&lt;=playercnt)),SUMPRODUCT(INDIRECT(ADDRESS(3,ROW()-31,1)):INDIRECT(ADDRESS(22,ROW()-31,1)),AW$3:AW$22),"")</f>
        <v>20</v>
      </c>
      <c r="AX44" s="3">
        <f ca="1">IF(AND(((COLUMN()-10)&lt;=playercnt),((ROW()-41)&lt;=playercnt)),SUMPRODUCT(INDIRECT(ADDRESS(3,ROW()-31,1)):INDIRECT(ADDRESS(22,ROW()-31,1)),AX$3:AX$22),"")</f>
        <v>20</v>
      </c>
      <c r="AY44" s="3">
        <f ca="1">IF(AND(((COLUMN()-10)&lt;=playercnt),((ROW()-41)&lt;=playercnt)),SUMPRODUCT(INDIRECT(ADDRESS(3,ROW()-31,1)):INDIRECT(ADDRESS(22,ROW()-31,1)),AY$3:AY$22),"")</f>
        <v>20</v>
      </c>
      <c r="AZ44" s="3">
        <f ca="1">IF(AND(((COLUMN()-10)&lt;=playercnt),((ROW()-41)&lt;=playercnt)),SUMPRODUCT(INDIRECT(ADDRESS(3,ROW()-31,1)):INDIRECT(ADDRESS(22,ROW()-31,1)),AZ$3:AZ$22),"")</f>
        <v>20</v>
      </c>
      <c r="BA44" s="3">
        <f ca="1">IF(AND(((COLUMN()-10)&lt;=playercnt),((ROW()-41)&lt;=playercnt)),SUMPRODUCT(INDIRECT(ADDRESS(3,ROW()-31,1)):INDIRECT(ADDRESS(22,ROW()-31,1)),BA$3:BA$22),"")</f>
        <v>20</v>
      </c>
      <c r="BB44" s="3">
        <f ca="1">IF(AND(((COLUMN()-10)&lt;=playercnt),((ROW()-41)&lt;=playercnt)),SUMPRODUCT(INDIRECT(ADDRESS(3,ROW()-31,1)):INDIRECT(ADDRESS(22,ROW()-31,1)),BB$3:BB$22),"")</f>
        <v>20</v>
      </c>
      <c r="BC44" s="3">
        <f ca="1">IF(AND(((COLUMN()-10)&lt;=playercnt),((ROW()-41)&lt;=playercnt)),SUMPRODUCT(INDIRECT(ADDRESS(3,ROW()-31,1)):INDIRECT(ADDRESS(22,ROW()-31,1)),BC$3:BC$22),"")</f>
        <v>20</v>
      </c>
      <c r="BD44" s="3">
        <f ca="1">IF(AND(((COLUMN()-10)&lt;=playercnt),((ROW()-41)&lt;=playercnt)),SUMPRODUCT(INDIRECT(ADDRESS(3,ROW()-31,1)):INDIRECT(ADDRESS(22,ROW()-31,1)),BD$3:BD$22),"")</f>
        <v>20</v>
      </c>
      <c r="BE44" s="3">
        <f ca="1">IF(AND(((COLUMN()-10)&lt;=playercnt),((ROW()-41)&lt;=playercnt)),SUMPRODUCT(INDIRECT(ADDRESS(3,ROW()-31,1)):INDIRECT(ADDRESS(22,ROW()-31,1)),BE$3:BE$22),"")</f>
        <v>20</v>
      </c>
      <c r="BF44" s="3">
        <f ca="1">IF(AND(((COLUMN()-10)&lt;=playercnt),((ROW()-41)&lt;=playercnt)),SUMPRODUCT(INDIRECT(ADDRESS(3,ROW()-31,1)):INDIRECT(ADDRESS(22,ROW()-31,1)),BF$3:BF$22),"")</f>
        <v>20</v>
      </c>
      <c r="BG44" s="3">
        <f ca="1">IF(AND(((COLUMN()-10)&lt;=playercnt),((ROW()-41)&lt;=playercnt)),SUMPRODUCT(INDIRECT(ADDRESS(3,ROW()-31,1)):INDIRECT(ADDRESS(22,ROW()-31,1)),BG$3:BG$22),"")</f>
        <v>20</v>
      </c>
      <c r="BH44" s="3">
        <f ca="1">IF(AND(((COLUMN()-10)&lt;=playercnt),((ROW()-41)&lt;=playercnt)),SUMPRODUCT(INDIRECT(ADDRESS(3,ROW()-31,1)):INDIRECT(ADDRESS(22,ROW()-31,1)),BH$3:BH$22),"")</f>
        <v>20</v>
      </c>
      <c r="BI44" s="3">
        <f ca="1">IF(AND(((COLUMN()-10)&lt;=playercnt),((ROW()-41)&lt;=playercnt)),SUMPRODUCT(INDIRECT(ADDRESS(3,ROW()-31,1)):INDIRECT(ADDRESS(22,ROW()-31,1)),BI$3:BI$22),"")</f>
        <v>20</v>
      </c>
      <c r="BJ44" s="3">
        <f ca="1">IF(AND(((COLUMN()-10)&lt;=playercnt),((ROW()-41)&lt;=playercnt)),SUMPRODUCT(INDIRECT(ADDRESS(3,ROW()-31,1)):INDIRECT(ADDRESS(22,ROW()-31,1)),BJ$3:BJ$22),"")</f>
        <v>20</v>
      </c>
      <c r="BK44" s="3">
        <f ca="1">IF(AND(((COLUMN()-10)&lt;=playercnt),((ROW()-41)&lt;=playercnt)),SUMPRODUCT(INDIRECT(ADDRESS(3,ROW()-31,1)):INDIRECT(ADDRESS(22,ROW()-31,1)),BK$3:BK$22),"")</f>
        <v>20</v>
      </c>
      <c r="BL44" s="3">
        <f ca="1">IF(AND(((COLUMN()-10)&lt;=playercnt),((ROW()-41)&lt;=playercnt)),SUMPRODUCT(INDIRECT(ADDRESS(3,ROW()-31,1)):INDIRECT(ADDRESS(22,ROW()-31,1)),BL$3:BL$22),"")</f>
        <v>20</v>
      </c>
      <c r="BM44" s="3">
        <f ca="1">IF(AND(((COLUMN()-10)&lt;=playercnt),((ROW()-41)&lt;=playercnt)),SUMPRODUCT(INDIRECT(ADDRESS(3,ROW()-31,1)):INDIRECT(ADDRESS(22,ROW()-31,1)),BM$3:BM$22),"")</f>
        <v>20</v>
      </c>
      <c r="BN44" s="3">
        <f ca="1">IF(AND(((COLUMN()-10)&lt;=playercnt),((ROW()-41)&lt;=playercnt)),SUMPRODUCT(INDIRECT(ADDRESS(3,ROW()-31,1)):INDIRECT(ADDRESS(22,ROW()-31,1)),BN$3:BN$22),"")</f>
        <v>20</v>
      </c>
    </row>
    <row r="45" spans="1:66" x14ac:dyDescent="0.2">
      <c r="B45" s="27" t="str">
        <f t="shared" ca="1" si="23"/>
        <v/>
      </c>
      <c r="C45" t="e">
        <f t="shared" ca="1" si="22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</row>
    <row r="46" spans="1:66" x14ac:dyDescent="0.2">
      <c r="B46" s="27" t="str">
        <f t="shared" ca="1" si="23"/>
        <v/>
      </c>
      <c r="C46" t="e">
        <f t="shared" ca="1" si="22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</row>
    <row r="47" spans="1:66" x14ac:dyDescent="0.2">
      <c r="B47" s="27" t="str">
        <f t="shared" ca="1" si="23"/>
        <v/>
      </c>
      <c r="C47" t="e">
        <f t="shared" ca="1" si="22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</row>
    <row r="48" spans="1:66" x14ac:dyDescent="0.2">
      <c r="B48" s="27" t="str">
        <f t="shared" ca="1" si="23"/>
        <v/>
      </c>
      <c r="C48" t="e">
        <f t="shared" ca="1" si="22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</row>
    <row r="49" spans="1:66" x14ac:dyDescent="0.2">
      <c r="B49" s="27" t="str">
        <f t="shared" ca="1" si="23"/>
        <v/>
      </c>
      <c r="C49" t="e">
        <f t="shared" ca="1" si="22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</row>
    <row r="50" spans="1:66" x14ac:dyDescent="0.2">
      <c r="B50" s="27" t="str">
        <f t="shared" ca="1" si="23"/>
        <v/>
      </c>
      <c r="C50" t="e">
        <f t="shared" ca="1" si="22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</row>
    <row r="51" spans="1:66" x14ac:dyDescent="0.2">
      <c r="B51" s="27" t="str">
        <f t="shared" ca="1" si="23"/>
        <v/>
      </c>
      <c r="C51" t="e">
        <f t="shared" ca="1" si="22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</row>
    <row r="52" spans="1:66" x14ac:dyDescent="0.2">
      <c r="B52" s="27" t="str">
        <f t="shared" ca="1" si="23"/>
        <v/>
      </c>
      <c r="C52" t="e">
        <f t="shared" ca="1" si="22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</row>
    <row r="53" spans="1:66" x14ac:dyDescent="0.2">
      <c r="B53" s="27" t="str">
        <f t="shared" ca="1" si="23"/>
        <v/>
      </c>
      <c r="C53" t="e">
        <f t="shared" ca="1" si="22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</row>
    <row r="54" spans="1:66" x14ac:dyDescent="0.2">
      <c r="A54" s="22"/>
      <c r="B54" s="27" t="str">
        <f t="shared" ca="1" si="23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</row>
    <row r="55" spans="1:66" x14ac:dyDescent="0.2">
      <c r="B55" s="27" t="str">
        <f t="shared" ca="1" si="23"/>
        <v/>
      </c>
      <c r="C55" t="e">
        <f t="shared" ref="C55:C97" ca="1" si="24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</row>
    <row r="56" spans="1:66" x14ac:dyDescent="0.2">
      <c r="B56" s="27" t="str">
        <f t="shared" ca="1" si="23"/>
        <v/>
      </c>
      <c r="C56" t="e">
        <f t="shared" ca="1" si="24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</row>
    <row r="57" spans="1:66" x14ac:dyDescent="0.2">
      <c r="B57" s="27" t="str">
        <f t="shared" ca="1" si="23"/>
        <v/>
      </c>
      <c r="C57" t="e">
        <f t="shared" ca="1" si="24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</row>
    <row r="58" spans="1:66" x14ac:dyDescent="0.2">
      <c r="B58" s="27" t="str">
        <f t="shared" ca="1" si="23"/>
        <v/>
      </c>
      <c r="C58" t="e">
        <f t="shared" ca="1" si="24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</row>
    <row r="59" spans="1:66" x14ac:dyDescent="0.2">
      <c r="B59" s="27" t="str">
        <f t="shared" ca="1" si="23"/>
        <v/>
      </c>
      <c r="C59" t="e">
        <f t="shared" ca="1" si="24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</row>
    <row r="60" spans="1:66" x14ac:dyDescent="0.2">
      <c r="B60" s="27" t="str">
        <f t="shared" ca="1" si="23"/>
        <v/>
      </c>
      <c r="C60" t="e">
        <f t="shared" ca="1" si="24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</row>
    <row r="61" spans="1:66" x14ac:dyDescent="0.2">
      <c r="B61" s="27" t="str">
        <f t="shared" ca="1" si="23"/>
        <v/>
      </c>
      <c r="C61" t="e">
        <f t="shared" ca="1" si="24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</row>
    <row r="62" spans="1:66" x14ac:dyDescent="0.2">
      <c r="B62" s="27" t="str">
        <f t="shared" ca="1" si="23"/>
        <v/>
      </c>
      <c r="C62" t="e">
        <f t="shared" ca="1" si="24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</row>
    <row r="63" spans="1:66" x14ac:dyDescent="0.2">
      <c r="B63" s="27" t="str">
        <f t="shared" ca="1" si="23"/>
        <v/>
      </c>
      <c r="C63" t="e">
        <f t="shared" ca="1" si="24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</row>
    <row r="64" spans="1:66" x14ac:dyDescent="0.2">
      <c r="B64" s="27" t="str">
        <f t="shared" ca="1" si="23"/>
        <v/>
      </c>
      <c r="C64" t="e">
        <f t="shared" ca="1" si="24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</row>
    <row r="65" spans="2:66" x14ac:dyDescent="0.2">
      <c r="B65" s="27" t="str">
        <f t="shared" ca="1" si="23"/>
        <v/>
      </c>
      <c r="C65" t="e">
        <f t="shared" ca="1" si="24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</row>
    <row r="66" spans="2:66" x14ac:dyDescent="0.2">
      <c r="B66" s="27" t="str">
        <f t="shared" ca="1" si="23"/>
        <v/>
      </c>
      <c r="C66" t="e">
        <f t="shared" ca="1" si="24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</row>
    <row r="67" spans="2:66" x14ac:dyDescent="0.2">
      <c r="B67" s="27" t="str">
        <f t="shared" ca="1" si="23"/>
        <v/>
      </c>
      <c r="C67" t="e">
        <f t="shared" ca="1" si="24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</row>
    <row r="68" spans="2:66" x14ac:dyDescent="0.2">
      <c r="B68" s="27" t="str">
        <f t="shared" ca="1" si="23"/>
        <v/>
      </c>
      <c r="C68" t="e">
        <f t="shared" ca="1" si="24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</row>
    <row r="69" spans="2:66" x14ac:dyDescent="0.2">
      <c r="B69" s="27" t="str">
        <f t="shared" ca="1" si="23"/>
        <v/>
      </c>
      <c r="C69" t="e">
        <f t="shared" ca="1" si="24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</row>
    <row r="70" spans="2:66" x14ac:dyDescent="0.2">
      <c r="B70" s="27" t="str">
        <f t="shared" ca="1" si="23"/>
        <v/>
      </c>
      <c r="C70" t="e">
        <f t="shared" ca="1" si="24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</row>
    <row r="71" spans="2:66" x14ac:dyDescent="0.2">
      <c r="B71" s="27" t="str">
        <f t="shared" ca="1" si="23"/>
        <v/>
      </c>
      <c r="C71" t="e">
        <f t="shared" ca="1" si="24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</row>
    <row r="72" spans="2:66" x14ac:dyDescent="0.2">
      <c r="B72" s="27" t="str">
        <f t="shared" ca="1" si="23"/>
        <v/>
      </c>
      <c r="C72" t="e">
        <f t="shared" ca="1" si="24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</row>
    <row r="73" spans="2:66" x14ac:dyDescent="0.2">
      <c r="B73" s="27" t="str">
        <f t="shared" ca="1" si="23"/>
        <v/>
      </c>
      <c r="C73" t="e">
        <f t="shared" ca="1" si="24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</row>
    <row r="74" spans="2:66" x14ac:dyDescent="0.2">
      <c r="B74" s="27" t="str">
        <f t="shared" ca="1" si="23"/>
        <v/>
      </c>
      <c r="C74" t="e">
        <f t="shared" ca="1" si="24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</row>
    <row r="75" spans="2:66" x14ac:dyDescent="0.2">
      <c r="B75" s="27" t="str">
        <f t="shared" ca="1" si="23"/>
        <v/>
      </c>
      <c r="C75" t="e">
        <f t="shared" ca="1" si="24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</row>
    <row r="76" spans="2:66" x14ac:dyDescent="0.2">
      <c r="B76" s="27" t="str">
        <f t="shared" ca="1" si="23"/>
        <v/>
      </c>
      <c r="C76" t="e">
        <f t="shared" ca="1" si="24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</row>
    <row r="77" spans="2:66" x14ac:dyDescent="0.2">
      <c r="B77" s="27" t="str">
        <f t="shared" ca="1" si="23"/>
        <v/>
      </c>
      <c r="C77" t="e">
        <f t="shared" ca="1" si="24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</row>
    <row r="78" spans="2:66" x14ac:dyDescent="0.2">
      <c r="B78" s="27" t="str">
        <f t="shared" ca="1" si="23"/>
        <v/>
      </c>
      <c r="C78" t="e">
        <f t="shared" ca="1" si="24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</row>
    <row r="79" spans="2:66" x14ac:dyDescent="0.2">
      <c r="B79" s="27" t="str">
        <f t="shared" ca="1" si="23"/>
        <v/>
      </c>
      <c r="C79" t="e">
        <f t="shared" ca="1" si="24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</row>
    <row r="80" spans="2:66" x14ac:dyDescent="0.2">
      <c r="B80" s="27" t="str">
        <f t="shared" ca="1" si="23"/>
        <v/>
      </c>
      <c r="C80" t="e">
        <f t="shared" ca="1" si="24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</row>
    <row r="81" spans="2:66" x14ac:dyDescent="0.2">
      <c r="B81" s="27" t="str">
        <f t="shared" ca="1" si="23"/>
        <v/>
      </c>
      <c r="C81" t="e">
        <f t="shared" ca="1" si="24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</row>
    <row r="82" spans="2:66" x14ac:dyDescent="0.2">
      <c r="B82" s="27" t="str">
        <f t="shared" ca="1" si="23"/>
        <v/>
      </c>
      <c r="C82" t="e">
        <f t="shared" ca="1" si="24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</row>
    <row r="83" spans="2:66" x14ac:dyDescent="0.2">
      <c r="B83" s="27" t="str">
        <f t="shared" ca="1" si="23"/>
        <v/>
      </c>
      <c r="C83" t="e">
        <f t="shared" ca="1" si="24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</row>
    <row r="84" spans="2:66" x14ac:dyDescent="0.2">
      <c r="B84" s="27" t="str">
        <f t="shared" ca="1" si="23"/>
        <v/>
      </c>
      <c r="C84" t="e">
        <f t="shared" ca="1" si="24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</row>
    <row r="85" spans="2:66" x14ac:dyDescent="0.2">
      <c r="B85" s="27" t="str">
        <f t="shared" ca="1" si="23"/>
        <v/>
      </c>
      <c r="C85" t="e">
        <f t="shared" ca="1" si="24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</row>
    <row r="86" spans="2:66" ht="13.5" customHeight="1" x14ac:dyDescent="0.2">
      <c r="B86" s="27" t="str">
        <f t="shared" ca="1" si="23"/>
        <v/>
      </c>
      <c r="C86" t="e">
        <f t="shared" ca="1" si="24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</row>
    <row r="87" spans="2:66" x14ac:dyDescent="0.2">
      <c r="B87" s="27" t="str">
        <f t="shared" ca="1" si="23"/>
        <v/>
      </c>
      <c r="C87" t="e">
        <f t="shared" ca="1" si="24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</row>
    <row r="88" spans="2:66" x14ac:dyDescent="0.2">
      <c r="B88" s="27" t="str">
        <f t="shared" ca="1" si="23"/>
        <v/>
      </c>
      <c r="C88" t="e">
        <f t="shared" ca="1" si="24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</row>
    <row r="89" spans="2:66" x14ac:dyDescent="0.2">
      <c r="B89" s="27" t="str">
        <f t="shared" ca="1" si="23"/>
        <v/>
      </c>
      <c r="C89" t="e">
        <f t="shared" ca="1" si="24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</row>
    <row r="90" spans="2:66" x14ac:dyDescent="0.2">
      <c r="B90" s="27" t="str">
        <f t="shared" ca="1" si="23"/>
        <v/>
      </c>
      <c r="C90" t="e">
        <f t="shared" ca="1" si="24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</row>
    <row r="91" spans="2:66" x14ac:dyDescent="0.2">
      <c r="B91" s="27" t="str">
        <f t="shared" ca="1" si="23"/>
        <v/>
      </c>
      <c r="C91" t="e">
        <f t="shared" ca="1" si="24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</row>
    <row r="92" spans="2:66" x14ac:dyDescent="0.2">
      <c r="B92" s="27" t="str">
        <f t="shared" ca="1" si="23"/>
        <v/>
      </c>
      <c r="C92" t="e">
        <f t="shared" ca="1" si="24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</row>
    <row r="93" spans="2:66" x14ac:dyDescent="0.2">
      <c r="B93" s="27" t="str">
        <f t="shared" ca="1" si="23"/>
        <v/>
      </c>
      <c r="C93" t="e">
        <f t="shared" ca="1" si="24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</row>
    <row r="94" spans="2:66" x14ac:dyDescent="0.2">
      <c r="B94" s="27" t="str">
        <f t="shared" ca="1" si="23"/>
        <v/>
      </c>
      <c r="C94" t="e">
        <f t="shared" ca="1" si="24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</row>
    <row r="95" spans="2:66" x14ac:dyDescent="0.2">
      <c r="B95" s="27" t="str">
        <f t="shared" ca="1" si="23"/>
        <v/>
      </c>
      <c r="C95" t="e">
        <f t="shared" ca="1" si="24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</row>
    <row r="96" spans="2:66" x14ac:dyDescent="0.2">
      <c r="B96" s="27" t="str">
        <f t="shared" ca="1" si="23"/>
        <v/>
      </c>
      <c r="C96" t="e">
        <f t="shared" ca="1" si="24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</row>
    <row r="97" spans="2:66" x14ac:dyDescent="0.2">
      <c r="B97" s="27" t="str">
        <f t="shared" ca="1" si="23"/>
        <v/>
      </c>
      <c r="C97" t="e">
        <f t="shared" ca="1" si="24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</row>
    <row r="110" spans="2:66" x14ac:dyDescent="0.2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/>
      <c r="N3" s="69" t="s">
        <v>310</v>
      </c>
      <c r="O3" s="69" t="s">
        <v>310</v>
      </c>
      <c r="P3" s="69"/>
      <c r="Q3" s="69"/>
      <c r="R3" s="69"/>
      <c r="S3" s="69" t="s">
        <v>310</v>
      </c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/>
      <c r="AG3" s="69"/>
      <c r="AH3" s="69" t="s">
        <v>310</v>
      </c>
      <c r="AI3" s="69"/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 t="s">
        <v>310</v>
      </c>
      <c r="AP3" s="69"/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/>
      <c r="BI3" s="69" t="s">
        <v>310</v>
      </c>
      <c r="BJ3" s="69"/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 t="s">
        <v>310</v>
      </c>
      <c r="Q4" s="70" t="s">
        <v>310</v>
      </c>
      <c r="R4" s="70"/>
      <c r="S4" s="70"/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 t="s">
        <v>310</v>
      </c>
      <c r="AB4" s="70" t="s">
        <v>310</v>
      </c>
      <c r="AC4" s="70"/>
      <c r="AD4" s="70" t="s">
        <v>310</v>
      </c>
      <c r="AE4" s="70"/>
      <c r="AF4" s="70" t="s">
        <v>310</v>
      </c>
      <c r="AG4" s="70" t="s">
        <v>310</v>
      </c>
      <c r="AH4" s="70"/>
      <c r="AI4" s="70" t="s">
        <v>310</v>
      </c>
      <c r="AJ4" s="70"/>
      <c r="AK4" s="70"/>
      <c r="AL4" s="70"/>
      <c r="AM4" s="70"/>
      <c r="AN4" s="70"/>
      <c r="AO4" s="70"/>
      <c r="AP4" s="70" t="s">
        <v>310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/>
      <c r="BM4" s="70"/>
      <c r="BN4" s="70"/>
    </row>
    <row r="5" spans="1:66" x14ac:dyDescent="0.2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 t="s">
        <v>310</v>
      </c>
      <c r="O5" s="69" t="s">
        <v>310</v>
      </c>
      <c r="P5" s="69" t="s">
        <v>310</v>
      </c>
      <c r="Q5" s="69"/>
      <c r="R5" s="69"/>
      <c r="S5" s="69" t="s">
        <v>310</v>
      </c>
      <c r="T5" s="69" t="s">
        <v>310</v>
      </c>
      <c r="U5" s="96" t="s">
        <v>310</v>
      </c>
      <c r="V5" s="69"/>
      <c r="W5" s="69" t="s">
        <v>310</v>
      </c>
      <c r="X5" s="69" t="s">
        <v>310</v>
      </c>
      <c r="Y5" s="69" t="s">
        <v>310</v>
      </c>
      <c r="Z5" s="69" t="s">
        <v>310</v>
      </c>
      <c r="AA5" s="69" t="s">
        <v>310</v>
      </c>
      <c r="AB5" s="69"/>
      <c r="AC5" s="69" t="s">
        <v>310</v>
      </c>
      <c r="AD5" s="69" t="s">
        <v>310</v>
      </c>
      <c r="AE5" s="69" t="s">
        <v>310</v>
      </c>
      <c r="AF5" s="69" t="s">
        <v>310</v>
      </c>
      <c r="AG5" s="69" t="s">
        <v>310</v>
      </c>
      <c r="AH5" s="69"/>
      <c r="AI5" s="69" t="s">
        <v>310</v>
      </c>
      <c r="AJ5" s="69" t="s">
        <v>310</v>
      </c>
      <c r="AK5" s="69"/>
      <c r="AL5" s="69" t="s">
        <v>310</v>
      </c>
      <c r="AM5" s="69" t="s">
        <v>310</v>
      </c>
      <c r="AN5" s="69" t="s">
        <v>310</v>
      </c>
      <c r="AO5" s="69"/>
      <c r="AP5" s="69"/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/>
      <c r="BA5" s="69"/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310</v>
      </c>
      <c r="R6" s="70"/>
      <c r="S6" s="70"/>
      <c r="T6" s="70"/>
      <c r="U6" s="70"/>
      <c r="V6" s="70" t="s">
        <v>310</v>
      </c>
      <c r="W6" s="70"/>
      <c r="X6" s="70"/>
      <c r="Y6" s="70"/>
      <c r="Z6" s="70"/>
      <c r="AA6" s="70"/>
      <c r="AB6" s="70" t="s">
        <v>310</v>
      </c>
      <c r="AC6" s="70"/>
      <c r="AD6" s="70"/>
      <c r="AE6" s="70"/>
      <c r="AF6" s="70"/>
      <c r="AG6" s="70"/>
      <c r="AH6" s="70" t="s">
        <v>310</v>
      </c>
      <c r="AI6" s="70"/>
      <c r="AJ6" s="70"/>
      <c r="AK6" s="70" t="s">
        <v>310</v>
      </c>
      <c r="AL6" s="70"/>
      <c r="AM6" s="70"/>
      <c r="AN6" s="70"/>
      <c r="AO6" s="70" t="s">
        <v>310</v>
      </c>
      <c r="AP6" s="70" t="s">
        <v>310</v>
      </c>
      <c r="AQ6" s="70"/>
      <c r="AR6" s="70"/>
      <c r="AS6" s="70" t="s">
        <v>310</v>
      </c>
      <c r="AT6" s="70"/>
      <c r="AU6" s="70"/>
      <c r="AV6" s="70"/>
      <c r="AW6" s="70"/>
      <c r="AX6" s="70"/>
      <c r="AY6" s="70"/>
      <c r="AZ6" s="70" t="s">
        <v>310</v>
      </c>
      <c r="BA6" s="70" t="s">
        <v>310</v>
      </c>
      <c r="BB6" s="70"/>
      <c r="BC6" s="70"/>
      <c r="BD6" s="70"/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310</v>
      </c>
      <c r="P7" s="69"/>
      <c r="Q7" s="69" t="s">
        <v>310</v>
      </c>
      <c r="R7" s="96"/>
      <c r="S7" s="96" t="s">
        <v>310</v>
      </c>
      <c r="T7" s="96"/>
      <c r="U7" s="96" t="s">
        <v>310</v>
      </c>
      <c r="V7" s="69"/>
      <c r="W7" s="69"/>
      <c r="X7" s="69" t="s">
        <v>310</v>
      </c>
      <c r="Y7" s="69" t="s">
        <v>310</v>
      </c>
      <c r="Z7" s="69"/>
      <c r="AA7" s="69" t="s">
        <v>310</v>
      </c>
      <c r="AB7" s="69" t="s">
        <v>310</v>
      </c>
      <c r="AC7" s="69" t="s">
        <v>310</v>
      </c>
      <c r="AD7" s="69"/>
      <c r="AE7" s="69"/>
      <c r="AF7" s="69" t="s">
        <v>310</v>
      </c>
      <c r="AG7" s="69"/>
      <c r="AH7" s="69" t="s">
        <v>310</v>
      </c>
      <c r="AI7" s="69" t="s">
        <v>310</v>
      </c>
      <c r="AJ7" s="69"/>
      <c r="AK7" s="69"/>
      <c r="AL7" s="69" t="s">
        <v>310</v>
      </c>
      <c r="AM7" s="69" t="s">
        <v>310</v>
      </c>
      <c r="AN7" s="69" t="s">
        <v>310</v>
      </c>
      <c r="AO7" s="69"/>
      <c r="AP7" s="69" t="s">
        <v>310</v>
      </c>
      <c r="AQ7" s="69" t="s">
        <v>310</v>
      </c>
      <c r="AR7" s="96" t="s">
        <v>310</v>
      </c>
      <c r="AS7" s="69"/>
      <c r="AT7" s="69"/>
      <c r="AU7" s="69"/>
      <c r="AV7" s="69" t="s">
        <v>310</v>
      </c>
      <c r="AW7" s="69" t="s">
        <v>310</v>
      </c>
      <c r="AX7" s="69"/>
      <c r="AY7" s="69"/>
      <c r="AZ7" s="69" t="s">
        <v>310</v>
      </c>
      <c r="BA7" s="69"/>
      <c r="BB7" s="69" t="s">
        <v>310</v>
      </c>
      <c r="BC7" s="69" t="s">
        <v>310</v>
      </c>
      <c r="BD7" s="69"/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/>
      <c r="BL7" s="69" t="s">
        <v>310</v>
      </c>
      <c r="BM7" s="69"/>
      <c r="BN7" s="69" t="s">
        <v>310</v>
      </c>
    </row>
    <row r="8" spans="1:66" x14ac:dyDescent="0.2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/>
      <c r="M8" s="70" t="s">
        <v>310</v>
      </c>
      <c r="N8" s="70" t="s">
        <v>310</v>
      </c>
      <c r="O8" s="70"/>
      <c r="P8" s="70" t="s">
        <v>310</v>
      </c>
      <c r="Q8" s="70"/>
      <c r="R8" s="97"/>
      <c r="S8" s="97"/>
      <c r="T8" s="97" t="s">
        <v>310</v>
      </c>
      <c r="U8" s="97"/>
      <c r="V8" s="70" t="s">
        <v>310</v>
      </c>
      <c r="W8" s="70" t="s">
        <v>310</v>
      </c>
      <c r="X8" s="70"/>
      <c r="Y8" s="70"/>
      <c r="Z8" s="70" t="s">
        <v>310</v>
      </c>
      <c r="AA8" s="70"/>
      <c r="AB8" s="70"/>
      <c r="AC8" s="70"/>
      <c r="AD8" s="70" t="s">
        <v>310</v>
      </c>
      <c r="AE8" s="70" t="s">
        <v>310</v>
      </c>
      <c r="AF8" s="70"/>
      <c r="AG8" s="70" t="s">
        <v>310</v>
      </c>
      <c r="AH8" s="70"/>
      <c r="AI8" s="70"/>
      <c r="AJ8" s="70" t="s">
        <v>310</v>
      </c>
      <c r="AK8" s="70" t="s">
        <v>310</v>
      </c>
      <c r="AL8" s="70"/>
      <c r="AM8" s="70"/>
      <c r="AN8" s="70"/>
      <c r="AO8" s="70" t="s">
        <v>310</v>
      </c>
      <c r="AP8" s="70"/>
      <c r="AQ8" s="70"/>
      <c r="AR8" s="70"/>
      <c r="AS8" s="70" t="s">
        <v>310</v>
      </c>
      <c r="AT8" s="70" t="s">
        <v>310</v>
      </c>
      <c r="AU8" s="70" t="s">
        <v>310</v>
      </c>
      <c r="AV8" s="70"/>
      <c r="AW8" s="70"/>
      <c r="AX8" s="70" t="s">
        <v>310</v>
      </c>
      <c r="AY8" s="70" t="s">
        <v>310</v>
      </c>
      <c r="AZ8" s="70"/>
      <c r="BA8" s="70" t="s">
        <v>310</v>
      </c>
      <c r="BB8" s="70"/>
      <c r="BC8" s="70"/>
      <c r="BD8" s="70" t="s">
        <v>310</v>
      </c>
      <c r="BE8" s="70"/>
      <c r="BF8" s="70"/>
      <c r="BG8" s="70"/>
      <c r="BH8" s="70"/>
      <c r="BI8" s="70" t="s">
        <v>310</v>
      </c>
      <c r="BJ8" s="70"/>
      <c r="BK8" s="70" t="s">
        <v>310</v>
      </c>
      <c r="BL8" s="70"/>
      <c r="BM8" s="70" t="s">
        <v>310</v>
      </c>
      <c r="BN8" s="70"/>
    </row>
    <row r="9" spans="1:66" x14ac:dyDescent="0.2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/>
      <c r="S9" s="96" t="s">
        <v>310</v>
      </c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 t="s">
        <v>310</v>
      </c>
      <c r="AC9" s="69"/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 t="s">
        <v>310</v>
      </c>
      <c r="AK9" s="69" t="s">
        <v>310</v>
      </c>
      <c r="AL9" s="69" t="s">
        <v>310</v>
      </c>
      <c r="AM9" s="69" t="s">
        <v>310</v>
      </c>
      <c r="AN9" s="69" t="s">
        <v>310</v>
      </c>
      <c r="AO9" s="69"/>
      <c r="AP9" s="69" t="s">
        <v>310</v>
      </c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 t="s">
        <v>310</v>
      </c>
      <c r="AW9" s="69" t="s">
        <v>310</v>
      </c>
      <c r="AX9" s="69"/>
      <c r="AY9" s="69"/>
      <c r="AZ9" s="69" t="s">
        <v>310</v>
      </c>
      <c r="BA9" s="69" t="s">
        <v>310</v>
      </c>
      <c r="BB9" s="69" t="s">
        <v>310</v>
      </c>
      <c r="BC9" s="69" t="s">
        <v>310</v>
      </c>
      <c r="BD9" s="69"/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/>
      <c r="BL9" s="69" t="s">
        <v>310</v>
      </c>
      <c r="BM9" s="69"/>
      <c r="BN9" s="69"/>
    </row>
    <row r="10" spans="1:66" x14ac:dyDescent="0.2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 t="s">
        <v>310</v>
      </c>
      <c r="AD10" s="70" t="s">
        <v>310</v>
      </c>
      <c r="AE10" s="70"/>
      <c r="AF10" s="70"/>
      <c r="AG10" s="70" t="s">
        <v>310</v>
      </c>
      <c r="AH10" s="70" t="s">
        <v>310</v>
      </c>
      <c r="AI10" s="70"/>
      <c r="AJ10" s="70"/>
      <c r="AK10" s="70"/>
      <c r="AL10" s="70"/>
      <c r="AM10" s="70"/>
      <c r="AN10" s="70"/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/>
      <c r="AW10" s="70"/>
      <c r="AX10" s="70" t="s">
        <v>310</v>
      </c>
      <c r="AY10" s="70" t="s">
        <v>310</v>
      </c>
      <c r="AZ10" s="70"/>
      <c r="BA10" s="70"/>
      <c r="BB10" s="70"/>
      <c r="BC10" s="70"/>
      <c r="BD10" s="70" t="s">
        <v>310</v>
      </c>
      <c r="BE10" s="70"/>
      <c r="BF10" s="70"/>
      <c r="BG10" s="70" t="s">
        <v>310</v>
      </c>
      <c r="BH10" s="70"/>
      <c r="BI10" s="70" t="s">
        <v>310</v>
      </c>
      <c r="BJ10" s="70"/>
      <c r="BK10" s="70" t="s">
        <v>310</v>
      </c>
      <c r="BL10" s="70"/>
      <c r="BM10" s="70" t="s">
        <v>310</v>
      </c>
      <c r="BN10" s="70" t="s">
        <v>310</v>
      </c>
    </row>
    <row r="11" spans="1:66" x14ac:dyDescent="0.2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 t="s">
        <v>310</v>
      </c>
      <c r="U11" s="69" t="s">
        <v>310</v>
      </c>
      <c r="V11" s="69"/>
      <c r="W11" s="69"/>
      <c r="X11" s="69" t="s">
        <v>310</v>
      </c>
      <c r="Y11" s="69"/>
      <c r="Z11" s="69"/>
      <c r="AA11" s="69"/>
      <c r="AB11" s="69" t="s">
        <v>310</v>
      </c>
      <c r="AC11" s="69"/>
      <c r="AD11" s="69"/>
      <c r="AE11" s="69"/>
      <c r="AF11" s="69"/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 t="s">
        <v>310</v>
      </c>
      <c r="AP11" s="69"/>
      <c r="AQ11" s="69"/>
      <c r="AR11" s="69" t="s">
        <v>310</v>
      </c>
      <c r="AS11" s="69"/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/>
      <c r="BA11" s="69"/>
      <c r="BB11" s="69" t="s">
        <v>310</v>
      </c>
      <c r="BC11" s="69"/>
      <c r="BD11" s="69"/>
      <c r="BE11" s="96" t="s">
        <v>310</v>
      </c>
      <c r="BF11" s="69"/>
      <c r="BG11" s="69"/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/>
      <c r="M12" s="70"/>
      <c r="N12" s="70" t="s">
        <v>310</v>
      </c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/>
      <c r="V12" s="70" t="s">
        <v>310</v>
      </c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/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/>
      <c r="AI12" s="70" t="s">
        <v>310</v>
      </c>
      <c r="AJ12" s="70"/>
      <c r="AK12" s="70" t="s">
        <v>310</v>
      </c>
      <c r="AL12" s="70" t="s">
        <v>310</v>
      </c>
      <c r="AM12" s="70"/>
      <c r="AN12" s="70"/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/>
      <c r="AV12" s="70"/>
      <c r="AW12" s="70"/>
      <c r="AX12" s="70"/>
      <c r="AY12" s="70" t="s">
        <v>310</v>
      </c>
      <c r="AZ12" s="70" t="s">
        <v>310</v>
      </c>
      <c r="BA12" s="70" t="s">
        <v>310</v>
      </c>
      <c r="BB12" s="70"/>
      <c r="BC12" s="70" t="s">
        <v>310</v>
      </c>
      <c r="BD12" s="70" t="s">
        <v>310</v>
      </c>
      <c r="BE12" s="70"/>
      <c r="BF12" s="70" t="s">
        <v>310</v>
      </c>
      <c r="BG12" s="70" t="s">
        <v>310</v>
      </c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 t="s">
        <v>310</v>
      </c>
      <c r="N13" s="69" t="s">
        <v>310</v>
      </c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/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 t="s">
        <v>310</v>
      </c>
      <c r="AC13" s="69"/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/>
      <c r="AM13" s="69"/>
      <c r="AN13" s="69" t="s">
        <v>310</v>
      </c>
      <c r="AO13" s="69"/>
      <c r="AP13" s="69" t="s">
        <v>310</v>
      </c>
      <c r="AQ13" s="69" t="s">
        <v>310</v>
      </c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310</v>
      </c>
      <c r="T14" s="97"/>
      <c r="U14" s="97" t="s">
        <v>310</v>
      </c>
      <c r="V14" s="70" t="s">
        <v>310</v>
      </c>
      <c r="W14" s="70"/>
      <c r="X14" s="70"/>
      <c r="Y14" s="70" t="s">
        <v>310</v>
      </c>
      <c r="Z14" s="70"/>
      <c r="AA14" s="70"/>
      <c r="AB14" s="70"/>
      <c r="AC14" s="70" t="s">
        <v>310</v>
      </c>
      <c r="AD14" s="70"/>
      <c r="AE14" s="70"/>
      <c r="AF14" s="70" t="s">
        <v>310</v>
      </c>
      <c r="AG14" s="70"/>
      <c r="AH14" s="70"/>
      <c r="AI14" s="70"/>
      <c r="AJ14" s="70"/>
      <c r="AK14" s="70"/>
      <c r="AL14" s="70" t="s">
        <v>310</v>
      </c>
      <c r="AM14" s="70" t="s">
        <v>310</v>
      </c>
      <c r="AN14" s="70"/>
      <c r="AO14" s="70" t="s">
        <v>310</v>
      </c>
      <c r="AP14" s="70"/>
      <c r="AQ14" s="70"/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/>
      <c r="AY14" s="70"/>
      <c r="AZ14" s="70"/>
      <c r="BA14" s="70"/>
      <c r="BB14" s="70"/>
      <c r="BC14" s="70"/>
      <c r="BD14" s="70" t="s">
        <v>310</v>
      </c>
      <c r="BE14" s="70"/>
      <c r="BF14" s="70"/>
      <c r="BG14" s="70"/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310</v>
      </c>
      <c r="R15" s="96"/>
      <c r="S15" s="96"/>
      <c r="T15" s="96"/>
      <c r="U15" s="96"/>
      <c r="V15" s="69"/>
      <c r="W15" s="69"/>
      <c r="X15" s="69" t="s">
        <v>310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310</v>
      </c>
      <c r="AI15" s="69" t="s">
        <v>310</v>
      </c>
      <c r="AJ15" s="69"/>
      <c r="AK15" s="69"/>
      <c r="AL15" s="69"/>
      <c r="AM15" s="69" t="s">
        <v>310</v>
      </c>
      <c r="AN15" s="69"/>
      <c r="AO15" s="69" t="s">
        <v>310</v>
      </c>
      <c r="AP15" s="69"/>
      <c r="AQ15" s="69"/>
      <c r="AR15" s="69"/>
      <c r="AS15" s="69"/>
      <c r="AT15" s="69"/>
      <c r="AU15" s="69"/>
      <c r="AV15" s="69" t="s">
        <v>310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/>
      <c r="BN15" s="69"/>
    </row>
    <row r="16" spans="1:66" x14ac:dyDescent="0.2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 t="s">
        <v>310</v>
      </c>
      <c r="N16" s="70" t="s">
        <v>310</v>
      </c>
      <c r="O16" s="70" t="s">
        <v>310</v>
      </c>
      <c r="P16" s="70" t="s">
        <v>310</v>
      </c>
      <c r="Q16" s="70"/>
      <c r="R16" s="70"/>
      <c r="S16" s="70" t="s">
        <v>310</v>
      </c>
      <c r="T16" s="70" t="s">
        <v>310</v>
      </c>
      <c r="U16" s="70" t="s">
        <v>310</v>
      </c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/>
      <c r="AJ16" s="70" t="s">
        <v>310</v>
      </c>
      <c r="AK16" s="70" t="s">
        <v>310</v>
      </c>
      <c r="AL16" s="70" t="s">
        <v>310</v>
      </c>
      <c r="AM16" s="70"/>
      <c r="AN16" s="70" t="s">
        <v>310</v>
      </c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 t="s">
        <v>310</v>
      </c>
      <c r="AV16" s="70"/>
      <c r="AW16" s="70" t="s">
        <v>310</v>
      </c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 t="s">
        <v>310</v>
      </c>
      <c r="BN16" s="70" t="s">
        <v>310</v>
      </c>
    </row>
    <row r="17" spans="1:66" x14ac:dyDescent="0.2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/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/>
      <c r="AW17" s="69" t="s">
        <v>310</v>
      </c>
      <c r="AX17" s="69"/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/>
    </row>
    <row r="18" spans="1:66" x14ac:dyDescent="0.2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310</v>
      </c>
      <c r="Z18" s="70"/>
      <c r="AA18" s="70"/>
      <c r="AB18" s="70"/>
      <c r="AC18" s="70" t="s">
        <v>310</v>
      </c>
      <c r="AD18" s="70"/>
      <c r="AE18" s="70" t="s">
        <v>310</v>
      </c>
      <c r="AF18" s="70"/>
      <c r="AG18" s="70"/>
      <c r="AH18" s="70"/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/>
      <c r="AV18" s="70" t="s">
        <v>310</v>
      </c>
      <c r="AW18" s="70"/>
      <c r="AX18" s="70" t="s">
        <v>310</v>
      </c>
      <c r="AY18" s="70"/>
      <c r="AZ18" s="70" t="s">
        <v>310</v>
      </c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 t="s">
        <v>310</v>
      </c>
    </row>
    <row r="19" spans="1:66" x14ac:dyDescent="0.2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/>
      <c r="S19" s="69" t="s">
        <v>310</v>
      </c>
      <c r="T19" s="69" t="s">
        <v>310</v>
      </c>
      <c r="U19" s="96" t="s">
        <v>310</v>
      </c>
      <c r="V19" s="69"/>
      <c r="W19" s="69" t="s">
        <v>310</v>
      </c>
      <c r="X19" s="69"/>
      <c r="Y19" s="69" t="s">
        <v>310</v>
      </c>
      <c r="Z19" s="69"/>
      <c r="AA19" s="69"/>
      <c r="AB19" s="69"/>
      <c r="AC19" s="69"/>
      <c r="AD19" s="69" t="s">
        <v>310</v>
      </c>
      <c r="AE19" s="69" t="s">
        <v>310</v>
      </c>
      <c r="AF19" s="69"/>
      <c r="AG19" s="69" t="s">
        <v>310</v>
      </c>
      <c r="AH19" s="69"/>
      <c r="AI19" s="69"/>
      <c r="AJ19" s="69" t="s">
        <v>310</v>
      </c>
      <c r="AK19" s="69" t="s">
        <v>310</v>
      </c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 t="s">
        <v>310</v>
      </c>
      <c r="AU19" s="69" t="s">
        <v>310</v>
      </c>
      <c r="AV19" s="69"/>
      <c r="AW19" s="69"/>
      <c r="AX19" s="69"/>
      <c r="AY19" s="69" t="s">
        <v>310</v>
      </c>
      <c r="AZ19" s="69"/>
      <c r="BA19" s="69"/>
      <c r="BB19" s="69"/>
      <c r="BC19" s="69" t="s">
        <v>310</v>
      </c>
      <c r="BD19" s="69" t="s">
        <v>310</v>
      </c>
      <c r="BE19" s="69" t="s">
        <v>310</v>
      </c>
      <c r="BF19" s="69" t="s">
        <v>310</v>
      </c>
      <c r="BG19" s="69"/>
      <c r="BH19" s="69"/>
      <c r="BI19" s="69"/>
      <c r="BJ19" s="69" t="s">
        <v>310</v>
      </c>
      <c r="BK19" s="69"/>
      <c r="BL19" s="69" t="s">
        <v>310</v>
      </c>
      <c r="BM19" s="69" t="s">
        <v>310</v>
      </c>
      <c r="BN19" s="69" t="s">
        <v>310</v>
      </c>
    </row>
    <row r="20" spans="1:66" x14ac:dyDescent="0.2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 t="s">
        <v>310</v>
      </c>
      <c r="R20" s="70"/>
      <c r="S20" s="70"/>
      <c r="T20" s="70"/>
      <c r="U20" s="70"/>
      <c r="V20" s="70" t="s">
        <v>310</v>
      </c>
      <c r="W20" s="70"/>
      <c r="X20" s="70" t="s">
        <v>310</v>
      </c>
      <c r="Y20" s="70"/>
      <c r="Z20" s="70" t="s">
        <v>310</v>
      </c>
      <c r="AA20" s="70" t="s">
        <v>310</v>
      </c>
      <c r="AB20" s="70" t="s">
        <v>310</v>
      </c>
      <c r="AC20" s="70" t="s">
        <v>310</v>
      </c>
      <c r="AD20" s="70"/>
      <c r="AE20" s="70"/>
      <c r="AF20" s="70" t="s">
        <v>310</v>
      </c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/>
      <c r="AU20" s="70"/>
      <c r="AV20" s="70" t="s">
        <v>310</v>
      </c>
      <c r="AW20" s="70" t="s">
        <v>310</v>
      </c>
      <c r="AX20" s="70" t="s">
        <v>310</v>
      </c>
      <c r="AY20" s="70"/>
      <c r="AZ20" s="70" t="s">
        <v>310</v>
      </c>
      <c r="BA20" s="70" t="s">
        <v>310</v>
      </c>
      <c r="BB20" s="70" t="s">
        <v>310</v>
      </c>
      <c r="BC20" s="70"/>
      <c r="BD20" s="70"/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 t="s">
        <v>310</v>
      </c>
      <c r="BL20" s="70"/>
      <c r="BM20" s="70"/>
      <c r="BN20" s="70"/>
    </row>
    <row r="21" spans="1:66" x14ac:dyDescent="0.2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/>
      <c r="V21" s="69"/>
      <c r="W21" s="69"/>
      <c r="X21" s="69"/>
      <c r="Y21" s="69"/>
      <c r="Z21" s="69"/>
      <c r="AA21" s="69"/>
      <c r="AB21" s="69" t="s">
        <v>310</v>
      </c>
      <c r="AC21" s="69" t="s">
        <v>310</v>
      </c>
      <c r="AD21" s="69"/>
      <c r="AE21" s="69" t="s">
        <v>310</v>
      </c>
      <c r="AF21" s="69"/>
      <c r="AG21" s="69"/>
      <c r="AH21" s="69"/>
      <c r="AI21" s="69" t="s">
        <v>310</v>
      </c>
      <c r="AJ21" s="69"/>
      <c r="AK21" s="69"/>
      <c r="AL21" s="69"/>
      <c r="AM21" s="69"/>
      <c r="AN21" s="69" t="s">
        <v>310</v>
      </c>
      <c r="AO21" s="69"/>
      <c r="AP21" s="69"/>
      <c r="AQ21" s="69"/>
      <c r="AR21" s="96" t="s">
        <v>310</v>
      </c>
      <c r="AS21" s="69"/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 t="s">
        <v>310</v>
      </c>
      <c r="BB21" s="69"/>
      <c r="BC21" s="69" t="s">
        <v>310</v>
      </c>
      <c r="BD21" s="69"/>
      <c r="BE21" s="96" t="s">
        <v>310</v>
      </c>
      <c r="BF21" s="69"/>
      <c r="BG21" s="69" t="s">
        <v>310</v>
      </c>
      <c r="BH21" s="69"/>
      <c r="BI21" s="69"/>
      <c r="BJ21" s="69"/>
      <c r="BK21" s="69" t="s">
        <v>310</v>
      </c>
      <c r="BL21" s="69"/>
      <c r="BM21" s="69"/>
      <c r="BN21" s="69"/>
    </row>
    <row r="22" spans="1:66" x14ac:dyDescent="0.2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/>
      <c r="S22" s="70"/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 t="s">
        <v>310</v>
      </c>
      <c r="Z22" s="70" t="s">
        <v>310</v>
      </c>
      <c r="AA22" s="70" t="s">
        <v>310</v>
      </c>
      <c r="AB22" s="70"/>
      <c r="AC22" s="70"/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 t="s">
        <v>310</v>
      </c>
      <c r="AQ22" s="70" t="s">
        <v>310</v>
      </c>
      <c r="AR22" s="70"/>
      <c r="AS22" s="70" t="s">
        <v>310</v>
      </c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 t="s">
        <v>310</v>
      </c>
      <c r="BA22" s="70"/>
      <c r="BB22" s="70" t="s">
        <v>310</v>
      </c>
      <c r="BC22" s="70"/>
      <c r="BD22" s="70" t="s">
        <v>310</v>
      </c>
      <c r="BE22" s="70"/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C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</v>
      </c>
      <c r="AQ40" s="3" t="str">
        <f t="shared" ca="1" si="29"/>
        <v>Neeley, Amber Remote</v>
      </c>
      <c r="AR40" s="3" t="str">
        <f t="shared" ca="1" si="29"/>
        <v>Neeley, Michael</v>
      </c>
      <c r="AS40" s="3" t="str">
        <f t="shared" ca="1" si="29"/>
        <v>Neill, Charles H</v>
      </c>
      <c r="AT40" s="3" t="str">
        <f t="shared" ca="1" si="29"/>
        <v>Nguyen, Thai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/>
      <c r="Q3" s="69" t="s">
        <v>310</v>
      </c>
      <c r="R3" s="69" t="s">
        <v>310</v>
      </c>
      <c r="S3" s="69"/>
      <c r="T3" s="69"/>
      <c r="U3" s="69"/>
      <c r="V3" s="69"/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/>
      <c r="AX3" s="69"/>
      <c r="AY3" s="69" t="s">
        <v>310</v>
      </c>
      <c r="AZ3" s="69"/>
      <c r="BA3" s="69"/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/>
      <c r="BJ3" s="69" t="s">
        <v>310</v>
      </c>
      <c r="BK3" s="69"/>
      <c r="BL3" s="69" t="s">
        <v>310</v>
      </c>
      <c r="BM3" s="69" t="s">
        <v>310</v>
      </c>
      <c r="BN3" s="69"/>
    </row>
    <row r="4" spans="1:66" x14ac:dyDescent="0.2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310</v>
      </c>
      <c r="Q4" s="70"/>
      <c r="R4" s="70"/>
      <c r="S4" s="70" t="s">
        <v>310</v>
      </c>
      <c r="T4" s="70" t="s">
        <v>310</v>
      </c>
      <c r="U4" s="97" t="s">
        <v>310</v>
      </c>
      <c r="V4" s="70" t="s">
        <v>310</v>
      </c>
      <c r="W4" s="70"/>
      <c r="X4" s="70"/>
      <c r="Y4" s="70"/>
      <c r="Z4" s="70" t="s">
        <v>310</v>
      </c>
      <c r="AA4" s="70"/>
      <c r="AB4" s="70"/>
      <c r="AC4" s="70"/>
      <c r="AD4" s="70"/>
      <c r="AE4" s="70"/>
      <c r="AF4" s="70"/>
      <c r="AG4" s="70" t="s">
        <v>310</v>
      </c>
      <c r="AH4" s="70"/>
      <c r="AI4" s="70"/>
      <c r="AJ4" s="70"/>
      <c r="AK4" s="70" t="s">
        <v>310</v>
      </c>
      <c r="AL4" s="70" t="s">
        <v>310</v>
      </c>
      <c r="AM4" s="70"/>
      <c r="AN4" s="70" t="s">
        <v>310</v>
      </c>
      <c r="AO4" s="70" t="s">
        <v>310</v>
      </c>
      <c r="AP4" s="70"/>
      <c r="AQ4" s="70"/>
      <c r="AR4" s="70"/>
      <c r="AS4" s="70" t="s">
        <v>310</v>
      </c>
      <c r="AT4" s="70" t="s">
        <v>310</v>
      </c>
      <c r="AU4" s="70"/>
      <c r="AV4" s="70"/>
      <c r="AW4" s="70" t="s">
        <v>310</v>
      </c>
      <c r="AX4" s="70" t="s">
        <v>310</v>
      </c>
      <c r="AY4" s="70"/>
      <c r="AZ4" s="70" t="s">
        <v>310</v>
      </c>
      <c r="BA4" s="70" t="s">
        <v>310</v>
      </c>
      <c r="BB4" s="70"/>
      <c r="BC4" s="70"/>
      <c r="BD4" s="70"/>
      <c r="BE4" s="70"/>
      <c r="BF4" s="70" t="s">
        <v>310</v>
      </c>
      <c r="BG4" s="70" t="s">
        <v>310</v>
      </c>
      <c r="BH4" s="70"/>
      <c r="BI4" s="70" t="s">
        <v>310</v>
      </c>
      <c r="BJ4" s="70"/>
      <c r="BK4" s="70" t="s">
        <v>310</v>
      </c>
      <c r="BL4" s="70"/>
      <c r="BM4" s="70"/>
      <c r="BN4" s="70" t="s">
        <v>310</v>
      </c>
    </row>
    <row r="5" spans="1:66" x14ac:dyDescent="0.2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/>
      <c r="Q5" s="69" t="s">
        <v>310</v>
      </c>
      <c r="R5" s="69" t="s">
        <v>310</v>
      </c>
      <c r="S5" s="69"/>
      <c r="T5" s="69"/>
      <c r="U5" s="96"/>
      <c r="V5" s="69"/>
      <c r="W5" s="69"/>
      <c r="X5" s="69" t="s">
        <v>310</v>
      </c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/>
      <c r="AF5" s="69" t="s">
        <v>310</v>
      </c>
      <c r="AG5" s="69" t="s">
        <v>310</v>
      </c>
      <c r="AH5" s="69" t="s">
        <v>310</v>
      </c>
      <c r="AI5" s="69"/>
      <c r="AJ5" s="69"/>
      <c r="AK5" s="69"/>
      <c r="AL5" s="69"/>
      <c r="AM5" s="69" t="s">
        <v>310</v>
      </c>
      <c r="AN5" s="69"/>
      <c r="AO5" s="69"/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/>
      <c r="AX5" s="69"/>
      <c r="AY5" s="69" t="s">
        <v>310</v>
      </c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 t="s">
        <v>310</v>
      </c>
      <c r="BL5" s="69" t="s">
        <v>310</v>
      </c>
      <c r="BM5" s="69"/>
      <c r="BN5" s="69" t="s">
        <v>310</v>
      </c>
    </row>
    <row r="6" spans="1:66" x14ac:dyDescent="0.2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 t="s">
        <v>310</v>
      </c>
      <c r="Q6" s="70"/>
      <c r="R6" s="70"/>
      <c r="S6" s="70" t="s">
        <v>310</v>
      </c>
      <c r="T6" s="70" t="s">
        <v>310</v>
      </c>
      <c r="U6" s="70" t="s">
        <v>310</v>
      </c>
      <c r="V6" s="70" t="s">
        <v>310</v>
      </c>
      <c r="W6" s="70" t="s">
        <v>310</v>
      </c>
      <c r="X6" s="70"/>
      <c r="Y6" s="70"/>
      <c r="Z6" s="70"/>
      <c r="AA6" s="70" t="s">
        <v>310</v>
      </c>
      <c r="AB6" s="70"/>
      <c r="AC6" s="70"/>
      <c r="AD6" s="70" t="s">
        <v>310</v>
      </c>
      <c r="AE6" s="70" t="s">
        <v>310</v>
      </c>
      <c r="AF6" s="70"/>
      <c r="AG6" s="70"/>
      <c r="AH6" s="70"/>
      <c r="AI6" s="70" t="s">
        <v>310</v>
      </c>
      <c r="AJ6" s="70" t="s">
        <v>310</v>
      </c>
      <c r="AK6" s="70" t="s">
        <v>310</v>
      </c>
      <c r="AL6" s="70" t="s">
        <v>310</v>
      </c>
      <c r="AM6" s="70"/>
      <c r="AN6" s="70" t="s">
        <v>310</v>
      </c>
      <c r="AO6" s="70" t="s">
        <v>310</v>
      </c>
      <c r="AP6" s="70"/>
      <c r="AQ6" s="70"/>
      <c r="AR6" s="70" t="s">
        <v>310</v>
      </c>
      <c r="AS6" s="70"/>
      <c r="AT6" s="70"/>
      <c r="AU6" s="70"/>
      <c r="AV6" s="70"/>
      <c r="AW6" s="70" t="s">
        <v>310</v>
      </c>
      <c r="AX6" s="70" t="s">
        <v>310</v>
      </c>
      <c r="AY6" s="70"/>
      <c r="AZ6" s="70"/>
      <c r="BA6" s="70"/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/>
      <c r="BL6" s="70"/>
      <c r="BM6" s="70" t="s">
        <v>310</v>
      </c>
      <c r="BN6" s="70"/>
    </row>
    <row r="7" spans="1:66" x14ac:dyDescent="0.2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/>
      <c r="M7" s="69" t="s">
        <v>310</v>
      </c>
      <c r="N7" s="69"/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/>
      <c r="AH7" s="69"/>
      <c r="AI7" s="69"/>
      <c r="AJ7" s="69" t="s">
        <v>310</v>
      </c>
      <c r="AK7" s="69"/>
      <c r="AL7" s="69"/>
      <c r="AM7" s="69"/>
      <c r="AN7" s="69" t="s">
        <v>310</v>
      </c>
      <c r="AO7" s="69"/>
      <c r="AP7" s="69"/>
      <c r="AQ7" s="69"/>
      <c r="AR7" s="96" t="s">
        <v>310</v>
      </c>
      <c r="AS7" s="69"/>
      <c r="AT7" s="69" t="s">
        <v>310</v>
      </c>
      <c r="AU7" s="69" t="s">
        <v>310</v>
      </c>
      <c r="AV7" s="69"/>
      <c r="AW7" s="69"/>
      <c r="AX7" s="69"/>
      <c r="AY7" s="69"/>
      <c r="AZ7" s="69" t="s">
        <v>310</v>
      </c>
      <c r="BA7" s="69" t="s">
        <v>310</v>
      </c>
      <c r="BB7" s="69"/>
      <c r="BC7" s="69"/>
      <c r="BD7" s="69" t="s">
        <v>310</v>
      </c>
      <c r="BE7" s="96"/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/>
      <c r="BN7" s="69"/>
    </row>
    <row r="8" spans="1:66" x14ac:dyDescent="0.2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310</v>
      </c>
      <c r="M8" s="70"/>
      <c r="N8" s="70" t="s">
        <v>310</v>
      </c>
      <c r="O8" s="70" t="s">
        <v>310</v>
      </c>
      <c r="P8" s="70"/>
      <c r="Q8" s="70" t="s">
        <v>310</v>
      </c>
      <c r="R8" s="97"/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 t="s">
        <v>310</v>
      </c>
      <c r="AC8" s="70"/>
      <c r="AD8" s="70" t="s">
        <v>310</v>
      </c>
      <c r="AE8" s="70"/>
      <c r="AF8" s="70"/>
      <c r="AG8" s="70" t="s">
        <v>310</v>
      </c>
      <c r="AH8" s="70" t="s">
        <v>310</v>
      </c>
      <c r="AI8" s="70" t="s">
        <v>310</v>
      </c>
      <c r="AJ8" s="70"/>
      <c r="AK8" s="70" t="s">
        <v>310</v>
      </c>
      <c r="AL8" s="70" t="s">
        <v>310</v>
      </c>
      <c r="AM8" s="70" t="s">
        <v>310</v>
      </c>
      <c r="AN8" s="70"/>
      <c r="AO8" s="70" t="s">
        <v>310</v>
      </c>
      <c r="AP8" s="70"/>
      <c r="AQ8" s="70" t="s">
        <v>310</v>
      </c>
      <c r="AR8" s="70"/>
      <c r="AS8" s="70" t="s">
        <v>310</v>
      </c>
      <c r="AT8" s="70"/>
      <c r="AU8" s="70"/>
      <c r="AV8" s="70" t="s">
        <v>310</v>
      </c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 t="s">
        <v>310</v>
      </c>
      <c r="BD8" s="70"/>
      <c r="BE8" s="70" t="s">
        <v>310</v>
      </c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 t="s">
        <v>310</v>
      </c>
      <c r="BN8" s="70" t="s">
        <v>310</v>
      </c>
    </row>
    <row r="9" spans="1:66" x14ac:dyDescent="0.2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/>
      <c r="N9" s="69" t="s">
        <v>310</v>
      </c>
      <c r="O9" s="69" t="s">
        <v>310</v>
      </c>
      <c r="P9" s="69"/>
      <c r="Q9" s="69" t="s">
        <v>310</v>
      </c>
      <c r="R9" s="96" t="s">
        <v>310</v>
      </c>
      <c r="S9" s="96"/>
      <c r="T9" s="96" t="s">
        <v>310</v>
      </c>
      <c r="U9" s="96" t="s">
        <v>310</v>
      </c>
      <c r="V9" s="69" t="s">
        <v>310</v>
      </c>
      <c r="W9" s="69" t="s">
        <v>310</v>
      </c>
      <c r="X9" s="69"/>
      <c r="Y9" s="69" t="s">
        <v>310</v>
      </c>
      <c r="Z9" s="69"/>
      <c r="AA9" s="69"/>
      <c r="AB9" s="69"/>
      <c r="AC9" s="69" t="s">
        <v>310</v>
      </c>
      <c r="AD9" s="69"/>
      <c r="AE9" s="69" t="s">
        <v>310</v>
      </c>
      <c r="AF9" s="69"/>
      <c r="AG9" s="69"/>
      <c r="AH9" s="69"/>
      <c r="AI9" s="69" t="s">
        <v>310</v>
      </c>
      <c r="AJ9" s="69"/>
      <c r="AK9" s="69"/>
      <c r="AL9" s="69"/>
      <c r="AM9" s="69" t="s">
        <v>310</v>
      </c>
      <c r="AN9" s="69" t="s">
        <v>310</v>
      </c>
      <c r="AO9" s="69" t="s">
        <v>310</v>
      </c>
      <c r="AP9" s="69"/>
      <c r="AQ9" s="69"/>
      <c r="AR9" s="96"/>
      <c r="AS9" s="69" t="s">
        <v>310</v>
      </c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/>
      <c r="BA9" s="69"/>
      <c r="BB9" s="69"/>
      <c r="BC9" s="69" t="s">
        <v>310</v>
      </c>
      <c r="BD9" s="69" t="s">
        <v>310</v>
      </c>
      <c r="BE9" s="96" t="s">
        <v>310</v>
      </c>
      <c r="BF9" s="69"/>
      <c r="BG9" s="69"/>
      <c r="BH9" s="69" t="s">
        <v>310</v>
      </c>
      <c r="BI9" s="69"/>
      <c r="BJ9" s="69"/>
      <c r="BK9" s="69" t="s">
        <v>310</v>
      </c>
      <c r="BL9" s="69" t="s">
        <v>310</v>
      </c>
      <c r="BM9" s="69" t="s">
        <v>310</v>
      </c>
      <c r="BN9" s="69"/>
    </row>
    <row r="10" spans="1:66" x14ac:dyDescent="0.2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310</v>
      </c>
      <c r="N10" s="70"/>
      <c r="O10" s="70"/>
      <c r="P10" s="70" t="s">
        <v>310</v>
      </c>
      <c r="Q10" s="70"/>
      <c r="R10" s="97"/>
      <c r="S10" s="97" t="s">
        <v>310</v>
      </c>
      <c r="T10" s="97"/>
      <c r="U10" s="70"/>
      <c r="V10" s="70"/>
      <c r="W10" s="70"/>
      <c r="X10" s="70" t="s">
        <v>310</v>
      </c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 t="s">
        <v>310</v>
      </c>
      <c r="AX10" s="70"/>
      <c r="AY10" s="70"/>
      <c r="AZ10" s="70" t="s">
        <v>310</v>
      </c>
      <c r="BA10" s="70" t="s">
        <v>310</v>
      </c>
      <c r="BB10" s="70" t="s">
        <v>310</v>
      </c>
      <c r="BC10" s="70"/>
      <c r="BD10" s="70"/>
      <c r="BE10" s="70"/>
      <c r="BF10" s="70" t="s">
        <v>310</v>
      </c>
      <c r="BG10" s="70" t="s">
        <v>310</v>
      </c>
      <c r="BH10" s="70"/>
      <c r="BI10" s="70" t="s">
        <v>310</v>
      </c>
      <c r="BJ10" s="70" t="s">
        <v>310</v>
      </c>
      <c r="BK10" s="70"/>
      <c r="BL10" s="70"/>
      <c r="BM10" s="70"/>
      <c r="BN10" s="70" t="s">
        <v>310</v>
      </c>
    </row>
    <row r="11" spans="1:66" x14ac:dyDescent="0.2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/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/>
      <c r="AF11" s="69" t="s">
        <v>310</v>
      </c>
      <c r="AG11" s="69" t="s">
        <v>310</v>
      </c>
      <c r="AH11" s="69"/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/>
      <c r="AO11" s="69" t="s">
        <v>310</v>
      </c>
      <c r="AP11" s="69"/>
      <c r="AQ11" s="69" t="s">
        <v>310</v>
      </c>
      <c r="AR11" s="69" t="s">
        <v>310</v>
      </c>
      <c r="AS11" s="69"/>
      <c r="AT11" s="69"/>
      <c r="AU11" s="69"/>
      <c r="AV11" s="69"/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/>
      <c r="U12" s="97"/>
      <c r="V12" s="70" t="s">
        <v>310</v>
      </c>
      <c r="W12" s="70"/>
      <c r="X12" s="70"/>
      <c r="Y12" s="70"/>
      <c r="Z12" s="70"/>
      <c r="AA12" s="70" t="s">
        <v>310</v>
      </c>
      <c r="AB12" s="70"/>
      <c r="AC12" s="70"/>
      <c r="AD12" s="70" t="s">
        <v>310</v>
      </c>
      <c r="AE12" s="70" t="s">
        <v>310</v>
      </c>
      <c r="AF12" s="70"/>
      <c r="AG12" s="70"/>
      <c r="AH12" s="70" t="s">
        <v>310</v>
      </c>
      <c r="AI12" s="70"/>
      <c r="AJ12" s="70"/>
      <c r="AK12" s="70"/>
      <c r="AL12" s="70"/>
      <c r="AM12" s="70"/>
      <c r="AN12" s="70" t="s">
        <v>310</v>
      </c>
      <c r="AO12" s="70"/>
      <c r="AP12" s="70"/>
      <c r="AQ12" s="70"/>
      <c r="AR12" s="97"/>
      <c r="AS12" s="70" t="s">
        <v>310</v>
      </c>
      <c r="AT12" s="70" t="s">
        <v>310</v>
      </c>
      <c r="AU12" s="70" t="s">
        <v>310</v>
      </c>
      <c r="AV12" s="70" t="s">
        <v>310</v>
      </c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310</v>
      </c>
      <c r="M13" s="69" t="s">
        <v>310</v>
      </c>
      <c r="N13" s="69" t="s">
        <v>310</v>
      </c>
      <c r="O13" s="69" t="s">
        <v>310</v>
      </c>
      <c r="P13" s="69" t="s">
        <v>310</v>
      </c>
      <c r="Q13" s="69"/>
      <c r="R13" s="96" t="s">
        <v>310</v>
      </c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/>
      <c r="Z13" s="69" t="s">
        <v>310</v>
      </c>
      <c r="AA13" s="69" t="s">
        <v>310</v>
      </c>
      <c r="AB13" s="69" t="s">
        <v>310</v>
      </c>
      <c r="AC13" s="69" t="s">
        <v>310</v>
      </c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/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/>
      <c r="AZ13" s="69"/>
      <c r="BA13" s="69" t="s">
        <v>310</v>
      </c>
      <c r="BB13" s="69"/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/>
      <c r="M14" s="70"/>
      <c r="N14" s="70"/>
      <c r="O14" s="70"/>
      <c r="P14" s="70"/>
      <c r="Q14" s="70" t="s">
        <v>310</v>
      </c>
      <c r="R14" s="97"/>
      <c r="S14" s="97"/>
      <c r="T14" s="97"/>
      <c r="U14" s="97"/>
      <c r="V14" s="70"/>
      <c r="W14" s="70"/>
      <c r="X14" s="70" t="s">
        <v>310</v>
      </c>
      <c r="Y14" s="70" t="s">
        <v>310</v>
      </c>
      <c r="Z14" s="70"/>
      <c r="AA14" s="70"/>
      <c r="AB14" s="70"/>
      <c r="AC14" s="70"/>
      <c r="AD14" s="70"/>
      <c r="AE14" s="70"/>
      <c r="AF14" s="70" t="s">
        <v>310</v>
      </c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/>
      <c r="AO14" s="70"/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 t="s">
        <v>310</v>
      </c>
      <c r="AX14" s="70"/>
      <c r="AY14" s="70" t="s">
        <v>310</v>
      </c>
      <c r="AZ14" s="70" t="s">
        <v>310</v>
      </c>
      <c r="BA14" s="70"/>
      <c r="BB14" s="70" t="s">
        <v>310</v>
      </c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 t="s">
        <v>310</v>
      </c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 t="s">
        <v>310</v>
      </c>
      <c r="AF15" s="69"/>
      <c r="AG15" s="69" t="s">
        <v>310</v>
      </c>
      <c r="AH15" s="69"/>
      <c r="AI15" s="69" t="s">
        <v>310</v>
      </c>
      <c r="AJ15" s="69"/>
      <c r="AK15" s="69"/>
      <c r="AL15" s="69" t="s">
        <v>310</v>
      </c>
      <c r="AM15" s="69" t="s">
        <v>310</v>
      </c>
      <c r="AN15" s="69"/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 t="s">
        <v>310</v>
      </c>
      <c r="AW15" s="69" t="s">
        <v>310</v>
      </c>
      <c r="AX15" s="69" t="s">
        <v>310</v>
      </c>
      <c r="AY15" s="69"/>
      <c r="AZ15" s="69" t="s">
        <v>310</v>
      </c>
      <c r="BA15" s="69"/>
      <c r="BB15" s="69"/>
      <c r="BC15" s="69" t="s">
        <v>310</v>
      </c>
      <c r="BD15" s="69"/>
      <c r="BE15" s="96"/>
      <c r="BF15" s="69"/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/>
      <c r="Y16" s="70"/>
      <c r="Z16" s="70"/>
      <c r="AA16" s="70" t="s">
        <v>310</v>
      </c>
      <c r="AB16" s="70" t="s">
        <v>310</v>
      </c>
      <c r="AC16" s="70"/>
      <c r="AD16" s="70"/>
      <c r="AE16" s="70"/>
      <c r="AF16" s="70" t="s">
        <v>310</v>
      </c>
      <c r="AG16" s="70"/>
      <c r="AH16" s="70" t="s">
        <v>310</v>
      </c>
      <c r="AI16" s="70"/>
      <c r="AJ16" s="70" t="s">
        <v>310</v>
      </c>
      <c r="AK16" s="70" t="s">
        <v>310</v>
      </c>
      <c r="AL16" s="70"/>
      <c r="AM16" s="70"/>
      <c r="AN16" s="70" t="s">
        <v>310</v>
      </c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/>
      <c r="AW16" s="70"/>
      <c r="AX16" s="70"/>
      <c r="AY16" s="70" t="s">
        <v>310</v>
      </c>
      <c r="AZ16" s="70"/>
      <c r="BA16" s="70" t="s">
        <v>310</v>
      </c>
      <c r="BB16" s="70" t="s">
        <v>310</v>
      </c>
      <c r="BC16" s="70"/>
      <c r="BD16" s="70" t="s">
        <v>310</v>
      </c>
      <c r="BE16" s="70" t="s">
        <v>310</v>
      </c>
      <c r="BF16" s="70" t="s">
        <v>310</v>
      </c>
      <c r="BG16" s="70"/>
      <c r="BH16" s="70" t="s">
        <v>310</v>
      </c>
      <c r="BI16" s="70"/>
      <c r="BJ16" s="70"/>
      <c r="BK16" s="70"/>
      <c r="BL16" s="70"/>
      <c r="BM16" s="70" t="s">
        <v>310</v>
      </c>
      <c r="BN16" s="70"/>
    </row>
    <row r="17" spans="1:66" x14ac:dyDescent="0.2">
      <c r="A17" s="59">
        <v>8</v>
      </c>
      <c r="B17" s="67" t="s">
        <v>271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310</v>
      </c>
      <c r="N17" s="69"/>
      <c r="O17" s="69"/>
      <c r="P17" s="69"/>
      <c r="Q17" s="69"/>
      <c r="R17" s="69"/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 t="s">
        <v>310</v>
      </c>
      <c r="AG17" s="69"/>
      <c r="AH17" s="69"/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/>
      <c r="AT17" s="69"/>
      <c r="AU17" s="69"/>
      <c r="AV17" s="69"/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 t="s">
        <v>310</v>
      </c>
      <c r="T18" s="70" t="s">
        <v>310</v>
      </c>
      <c r="U18" s="97"/>
      <c r="V18" s="70"/>
      <c r="W18" s="70"/>
      <c r="X18" s="70"/>
      <c r="Y18" s="70" t="s">
        <v>310</v>
      </c>
      <c r="Z18" s="70"/>
      <c r="AA18" s="70"/>
      <c r="AB18" s="70"/>
      <c r="AC18" s="70"/>
      <c r="AD18" s="70" t="s">
        <v>310</v>
      </c>
      <c r="AE18" s="70" t="s">
        <v>310</v>
      </c>
      <c r="AF18" s="70"/>
      <c r="AG18" s="70" t="s">
        <v>310</v>
      </c>
      <c r="AH18" s="70" t="s">
        <v>310</v>
      </c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 t="s">
        <v>310</v>
      </c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/>
      <c r="M19" s="69" t="s">
        <v>310</v>
      </c>
      <c r="N19" s="69" t="s">
        <v>310</v>
      </c>
      <c r="O19" s="69"/>
      <c r="P19" s="69"/>
      <c r="Q19" s="69" t="s">
        <v>310</v>
      </c>
      <c r="R19" s="69" t="s">
        <v>310</v>
      </c>
      <c r="S19" s="69" t="s">
        <v>310</v>
      </c>
      <c r="T19" s="69" t="s">
        <v>310</v>
      </c>
      <c r="U19" s="96" t="s">
        <v>310</v>
      </c>
      <c r="V19" s="69"/>
      <c r="W19" s="69"/>
      <c r="X19" s="69"/>
      <c r="Y19" s="69"/>
      <c r="Z19" s="69" t="s">
        <v>310</v>
      </c>
      <c r="AA19" s="69"/>
      <c r="AB19" s="69" t="s">
        <v>310</v>
      </c>
      <c r="AC19" s="69" t="s">
        <v>310</v>
      </c>
      <c r="AD19" s="69"/>
      <c r="AE19" s="69" t="s">
        <v>310</v>
      </c>
      <c r="AF19" s="69" t="s">
        <v>310</v>
      </c>
      <c r="AG19" s="69" t="s">
        <v>310</v>
      </c>
      <c r="AH19" s="69" t="s">
        <v>310</v>
      </c>
      <c r="AI19" s="69"/>
      <c r="AJ19" s="69"/>
      <c r="AK19" s="69" t="s">
        <v>310</v>
      </c>
      <c r="AL19" s="69"/>
      <c r="AM19" s="69" t="s">
        <v>310</v>
      </c>
      <c r="AN19" s="69"/>
      <c r="AO19" s="69"/>
      <c r="AP19" s="69"/>
      <c r="AQ19" s="69"/>
      <c r="AR19" s="69" t="s">
        <v>310</v>
      </c>
      <c r="AS19" s="69" t="s">
        <v>310</v>
      </c>
      <c r="AT19" s="69" t="s">
        <v>310</v>
      </c>
      <c r="AU19" s="69"/>
      <c r="AV19" s="69"/>
      <c r="AW19" s="69"/>
      <c r="AX19" s="69"/>
      <c r="AY19" s="69" t="s">
        <v>310</v>
      </c>
      <c r="AZ19" s="69" t="s">
        <v>310</v>
      </c>
      <c r="BA19" s="69" t="s">
        <v>310</v>
      </c>
      <c r="BB19" s="69"/>
      <c r="BC19" s="69"/>
      <c r="BD19" s="69"/>
      <c r="BE19" s="69"/>
      <c r="BF19" s="69" t="s">
        <v>310</v>
      </c>
      <c r="BG19" s="69" t="s">
        <v>310</v>
      </c>
      <c r="BH19" s="69" t="s">
        <v>310</v>
      </c>
      <c r="BI19" s="69"/>
      <c r="BJ19" s="69"/>
      <c r="BK19" s="69" t="s">
        <v>310</v>
      </c>
      <c r="BL19" s="69"/>
      <c r="BM19" s="69" t="s">
        <v>310</v>
      </c>
      <c r="BN19" s="69" t="s">
        <v>310</v>
      </c>
    </row>
    <row r="20" spans="1:66" x14ac:dyDescent="0.2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310</v>
      </c>
      <c r="M20" s="70"/>
      <c r="N20" s="70"/>
      <c r="O20" s="70" t="s">
        <v>310</v>
      </c>
      <c r="P20" s="70" t="s">
        <v>310</v>
      </c>
      <c r="Q20" s="70"/>
      <c r="R20" s="70"/>
      <c r="S20" s="70"/>
      <c r="T20" s="70"/>
      <c r="U20" s="70"/>
      <c r="V20" s="70" t="s">
        <v>310</v>
      </c>
      <c r="W20" s="70" t="s">
        <v>310</v>
      </c>
      <c r="X20" s="70" t="s">
        <v>310</v>
      </c>
      <c r="Y20" s="70" t="s">
        <v>310</v>
      </c>
      <c r="Z20" s="70"/>
      <c r="AA20" s="70" t="s">
        <v>310</v>
      </c>
      <c r="AB20" s="70"/>
      <c r="AC20" s="70"/>
      <c r="AD20" s="70" t="s">
        <v>310</v>
      </c>
      <c r="AE20" s="70"/>
      <c r="AF20" s="70"/>
      <c r="AG20" s="70"/>
      <c r="AH20" s="70"/>
      <c r="AI20" s="70" t="s">
        <v>310</v>
      </c>
      <c r="AJ20" s="70" t="s">
        <v>310</v>
      </c>
      <c r="AK20" s="70"/>
      <c r="AL20" s="70" t="s">
        <v>310</v>
      </c>
      <c r="AM20" s="70"/>
      <c r="AN20" s="70" t="s">
        <v>310</v>
      </c>
      <c r="AO20" s="70" t="s">
        <v>310</v>
      </c>
      <c r="AP20" s="70"/>
      <c r="AQ20" s="70" t="s">
        <v>310</v>
      </c>
      <c r="AR20" s="97"/>
      <c r="AS20" s="70"/>
      <c r="AT20" s="70"/>
      <c r="AU20" s="70" t="s">
        <v>310</v>
      </c>
      <c r="AV20" s="70" t="s">
        <v>310</v>
      </c>
      <c r="AW20" s="70" t="s">
        <v>310</v>
      </c>
      <c r="AX20" s="70" t="s">
        <v>310</v>
      </c>
      <c r="AY20" s="70"/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/>
      <c r="BH20" s="70"/>
      <c r="BI20" s="70" t="s">
        <v>310</v>
      </c>
      <c r="BJ20" s="70" t="s">
        <v>310</v>
      </c>
      <c r="BK20" s="70"/>
      <c r="BL20" s="70" t="s">
        <v>310</v>
      </c>
      <c r="BM20" s="70"/>
      <c r="BN20" s="70"/>
    </row>
    <row r="21" spans="1:66" x14ac:dyDescent="0.2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/>
      <c r="Q21" s="69" t="s">
        <v>310</v>
      </c>
      <c r="R21" s="69"/>
      <c r="S21" s="69" t="s">
        <v>310</v>
      </c>
      <c r="T21" s="69"/>
      <c r="U21" s="96"/>
      <c r="V21" s="69" t="s">
        <v>310</v>
      </c>
      <c r="W21" s="69"/>
      <c r="X21" s="69"/>
      <c r="Y21" s="69" t="s">
        <v>310</v>
      </c>
      <c r="Z21" s="69"/>
      <c r="AA21" s="69"/>
      <c r="AB21" s="69"/>
      <c r="AC21" s="69"/>
      <c r="AD21" s="69" t="s">
        <v>310</v>
      </c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/>
      <c r="AU21" s="69"/>
      <c r="AV21" s="69"/>
      <c r="AW21" s="69"/>
      <c r="AX21" s="69"/>
      <c r="AY21" s="69" t="s">
        <v>310</v>
      </c>
      <c r="AZ21" s="69"/>
      <c r="BA21" s="69" t="s">
        <v>310</v>
      </c>
      <c r="BB21" s="69"/>
      <c r="BC21" s="69"/>
      <c r="BD21" s="69"/>
      <c r="BE21" s="96"/>
      <c r="BF21" s="69"/>
      <c r="BG21" s="69" t="s">
        <v>310</v>
      </c>
      <c r="BH21" s="69" t="s">
        <v>310</v>
      </c>
      <c r="BI21" s="69" t="s">
        <v>310</v>
      </c>
      <c r="BJ21" s="69"/>
      <c r="BK21" s="69"/>
      <c r="BL21" s="69" t="s">
        <v>310</v>
      </c>
      <c r="BM21" s="69"/>
      <c r="BN21" s="69" t="s">
        <v>310</v>
      </c>
    </row>
    <row r="22" spans="1:66" x14ac:dyDescent="0.2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 t="s">
        <v>310</v>
      </c>
      <c r="Q22" s="70"/>
      <c r="R22" s="70" t="s">
        <v>310</v>
      </c>
      <c r="S22" s="70"/>
      <c r="T22" s="70" t="s">
        <v>310</v>
      </c>
      <c r="U22" s="70" t="s">
        <v>310</v>
      </c>
      <c r="V22" s="70"/>
      <c r="W22" s="70" t="s">
        <v>310</v>
      </c>
      <c r="X22" s="70" t="s">
        <v>310</v>
      </c>
      <c r="Y22" s="70"/>
      <c r="Z22" s="70" t="s">
        <v>310</v>
      </c>
      <c r="AA22" s="70" t="s">
        <v>310</v>
      </c>
      <c r="AB22" s="70" t="s">
        <v>310</v>
      </c>
      <c r="AC22" s="70" t="s">
        <v>310</v>
      </c>
      <c r="AD22" s="70"/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/>
      <c r="AQ22" s="70"/>
      <c r="AR22" s="70"/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/>
      <c r="AZ22" s="70" t="s">
        <v>310</v>
      </c>
      <c r="BA22" s="70"/>
      <c r="BB22" s="70" t="s">
        <v>310</v>
      </c>
      <c r="BC22" s="70" t="s">
        <v>310</v>
      </c>
      <c r="BD22" s="70" t="s">
        <v>310</v>
      </c>
      <c r="BE22" s="70" t="s">
        <v>310</v>
      </c>
      <c r="BF22" s="70" t="s">
        <v>310</v>
      </c>
      <c r="BG22" s="70"/>
      <c r="BH22" s="70"/>
      <c r="BI22" s="70"/>
      <c r="BJ22" s="70" t="s">
        <v>310</v>
      </c>
      <c r="BK22" s="70" t="s">
        <v>310</v>
      </c>
      <c r="BL22" s="70"/>
      <c r="BM22" s="70" t="s">
        <v>310</v>
      </c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/>
      <c r="R3" s="69" t="s">
        <v>310</v>
      </c>
      <c r="S3" s="69" t="s">
        <v>310</v>
      </c>
      <c r="T3" s="69"/>
      <c r="U3" s="69"/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 t="s">
        <v>310</v>
      </c>
      <c r="AG3" s="69"/>
      <c r="AH3" s="69" t="s">
        <v>310</v>
      </c>
      <c r="AI3" s="69"/>
      <c r="AJ3" s="69"/>
      <c r="AK3" s="69"/>
      <c r="AL3" s="69" t="s">
        <v>310</v>
      </c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/>
      <c r="AX3" s="69" t="s">
        <v>310</v>
      </c>
      <c r="AY3" s="69" t="s">
        <v>310</v>
      </c>
      <c r="AZ3" s="69"/>
      <c r="BA3" s="69" t="s">
        <v>310</v>
      </c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/>
      <c r="P4" s="70" t="s">
        <v>310</v>
      </c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310</v>
      </c>
      <c r="AF4" s="70"/>
      <c r="AG4" s="70"/>
      <c r="AH4" s="70"/>
      <c r="AI4" s="70" t="s">
        <v>310</v>
      </c>
      <c r="AJ4" s="70"/>
      <c r="AK4" s="70"/>
      <c r="AL4" s="70"/>
      <c r="AM4" s="70"/>
      <c r="AN4" s="70" t="s">
        <v>310</v>
      </c>
      <c r="AO4" s="70" t="s">
        <v>310</v>
      </c>
      <c r="AP4" s="70"/>
      <c r="AQ4" s="70"/>
      <c r="AR4" s="70"/>
      <c r="AS4" s="70"/>
      <c r="AT4" s="70" t="s">
        <v>310</v>
      </c>
      <c r="AU4" s="70"/>
      <c r="AV4" s="70"/>
      <c r="AW4" s="70" t="s">
        <v>310</v>
      </c>
      <c r="AX4" s="70"/>
      <c r="AY4" s="70"/>
      <c r="AZ4" s="70" t="s">
        <v>310</v>
      </c>
      <c r="BA4" s="70"/>
      <c r="BB4" s="70"/>
      <c r="BC4" s="70" t="s">
        <v>310</v>
      </c>
      <c r="BD4" s="70" t="s">
        <v>310</v>
      </c>
      <c r="BE4" s="70"/>
      <c r="BF4" s="70"/>
      <c r="BG4" s="70"/>
      <c r="BH4" s="70"/>
      <c r="BI4" s="70"/>
      <c r="BJ4" s="70"/>
      <c r="BK4" s="70" t="s">
        <v>310</v>
      </c>
      <c r="BL4" s="70" t="s">
        <v>310</v>
      </c>
      <c r="BM4" s="70"/>
      <c r="BN4" s="70"/>
    </row>
    <row r="5" spans="1:66" x14ac:dyDescent="0.2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/>
      <c r="O5" s="69"/>
      <c r="P5" s="69" t="s">
        <v>310</v>
      </c>
      <c r="Q5" s="69"/>
      <c r="R5" s="69"/>
      <c r="S5" s="69" t="s">
        <v>310</v>
      </c>
      <c r="T5" s="69"/>
      <c r="U5" s="96"/>
      <c r="V5" s="69"/>
      <c r="W5" s="69" t="s">
        <v>310</v>
      </c>
      <c r="X5" s="69"/>
      <c r="Y5" s="69" t="s">
        <v>310</v>
      </c>
      <c r="Z5" s="69"/>
      <c r="AA5" s="69" t="s">
        <v>310</v>
      </c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/>
      <c r="AK5" s="69"/>
      <c r="AL5" s="69" t="s">
        <v>310</v>
      </c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 t="s">
        <v>310</v>
      </c>
      <c r="AZ5" s="69" t="s">
        <v>310</v>
      </c>
      <c r="BA5" s="69" t="s">
        <v>310</v>
      </c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 t="s">
        <v>310</v>
      </c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 t="s">
        <v>310</v>
      </c>
      <c r="AA6" s="70"/>
      <c r="AB6" s="70"/>
      <c r="AC6" s="70" t="s">
        <v>310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310</v>
      </c>
      <c r="AS6" s="70" t="s">
        <v>310</v>
      </c>
      <c r="AT6" s="70"/>
      <c r="AU6" s="70"/>
      <c r="AV6" s="70"/>
      <c r="AW6" s="70"/>
      <c r="AX6" s="70" t="s">
        <v>310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310</v>
      </c>
      <c r="BK6" s="70"/>
      <c r="BL6" s="70"/>
      <c r="BM6" s="70"/>
      <c r="BN6" s="70"/>
    </row>
    <row r="7" spans="1:66" x14ac:dyDescent="0.2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 t="s">
        <v>310</v>
      </c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/>
      <c r="AE7" s="69" t="s">
        <v>310</v>
      </c>
      <c r="AF7" s="69" t="s">
        <v>310</v>
      </c>
      <c r="AG7" s="69"/>
      <c r="AH7" s="69" t="s">
        <v>310</v>
      </c>
      <c r="AI7" s="69"/>
      <c r="AJ7" s="69"/>
      <c r="AK7" s="69"/>
      <c r="AL7" s="69" t="s">
        <v>310</v>
      </c>
      <c r="AM7" s="69"/>
      <c r="AN7" s="69"/>
      <c r="AO7" s="69"/>
      <c r="AP7" s="69"/>
      <c r="AQ7" s="69" t="s">
        <v>310</v>
      </c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 t="s">
        <v>310</v>
      </c>
      <c r="BC7" s="69"/>
      <c r="BD7" s="69"/>
      <c r="BE7" s="96"/>
      <c r="BF7" s="69" t="s">
        <v>310</v>
      </c>
      <c r="BG7" s="69"/>
      <c r="BH7" s="69"/>
      <c r="BI7" s="69" t="s">
        <v>310</v>
      </c>
      <c r="BJ7" s="69" t="s">
        <v>310</v>
      </c>
      <c r="BK7" s="69" t="s">
        <v>310</v>
      </c>
      <c r="BL7" s="69" t="s">
        <v>310</v>
      </c>
      <c r="BM7" s="69"/>
      <c r="BN7" s="69"/>
    </row>
    <row r="8" spans="1:66" x14ac:dyDescent="0.2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 t="s">
        <v>310</v>
      </c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 t="s">
        <v>310</v>
      </c>
      <c r="BB8" s="70"/>
      <c r="BC8" s="70" t="s">
        <v>310</v>
      </c>
      <c r="BD8" s="70" t="s">
        <v>310</v>
      </c>
      <c r="BE8" s="70" t="s">
        <v>310</v>
      </c>
      <c r="BF8" s="70"/>
      <c r="BG8" s="70"/>
      <c r="BH8" s="70" t="s">
        <v>310</v>
      </c>
      <c r="BI8" s="70"/>
      <c r="BJ8" s="70"/>
      <c r="BK8" s="70"/>
      <c r="BL8" s="70"/>
      <c r="BM8" s="70" t="s">
        <v>310</v>
      </c>
      <c r="BN8" s="70"/>
    </row>
    <row r="9" spans="1:66" x14ac:dyDescent="0.2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 t="s">
        <v>310</v>
      </c>
      <c r="N9" s="69" t="s">
        <v>310</v>
      </c>
      <c r="O9" s="69"/>
      <c r="P9" s="69" t="s">
        <v>310</v>
      </c>
      <c r="Q9" s="69"/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 t="s">
        <v>310</v>
      </c>
      <c r="AB9" s="69" t="s">
        <v>310</v>
      </c>
      <c r="AC9" s="69" t="s">
        <v>310</v>
      </c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/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 t="s">
        <v>310</v>
      </c>
      <c r="AY9" s="69" t="s">
        <v>310</v>
      </c>
      <c r="AZ9" s="69"/>
      <c r="BA9" s="69"/>
      <c r="BB9" s="69" t="s">
        <v>310</v>
      </c>
      <c r="BC9" s="69" t="s">
        <v>310</v>
      </c>
      <c r="BD9" s="69" t="s">
        <v>310</v>
      </c>
      <c r="BE9" s="96" t="s">
        <v>310</v>
      </c>
      <c r="BF9" s="69"/>
      <c r="BG9" s="69"/>
      <c r="BH9" s="69"/>
      <c r="BI9" s="69" t="s">
        <v>310</v>
      </c>
      <c r="BJ9" s="69"/>
      <c r="BK9" s="69"/>
      <c r="BL9" s="69"/>
      <c r="BM9" s="69" t="s">
        <v>310</v>
      </c>
      <c r="BN9" s="69"/>
    </row>
    <row r="10" spans="1:66" x14ac:dyDescent="0.2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310</v>
      </c>
      <c r="T10" s="97"/>
      <c r="U10" s="70"/>
      <c r="V10" s="70"/>
      <c r="W10" s="70"/>
      <c r="X10" s="70"/>
      <c r="Y10" s="70"/>
      <c r="Z10" s="70" t="s">
        <v>310</v>
      </c>
      <c r="AA10" s="70"/>
      <c r="AB10" s="70"/>
      <c r="AC10" s="70"/>
      <c r="AD10" s="70" t="s">
        <v>310</v>
      </c>
      <c r="AE10" s="70"/>
      <c r="AF10" s="70"/>
      <c r="AG10" s="70"/>
      <c r="AH10" s="70" t="s">
        <v>310</v>
      </c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/>
      <c r="AT10" s="70"/>
      <c r="AU10" s="70" t="s">
        <v>310</v>
      </c>
      <c r="AV10" s="70"/>
      <c r="AW10" s="70"/>
      <c r="AX10" s="70"/>
      <c r="AY10" s="70"/>
      <c r="AZ10" s="70" t="s">
        <v>310</v>
      </c>
      <c r="BA10" s="70" t="s">
        <v>310</v>
      </c>
      <c r="BB10" s="70"/>
      <c r="BC10" s="70"/>
      <c r="BD10" s="70"/>
      <c r="BE10" s="70"/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310</v>
      </c>
      <c r="W11" s="69"/>
      <c r="X11" s="69" t="s">
        <v>310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310</v>
      </c>
      <c r="AO11" s="69"/>
      <c r="AP11" s="69"/>
      <c r="AQ11" s="69"/>
      <c r="AR11" s="69"/>
      <c r="AS11" s="69" t="s">
        <v>310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310</v>
      </c>
      <c r="BG11" s="69"/>
      <c r="BH11" s="69"/>
      <c r="BI11" s="69" t="s">
        <v>310</v>
      </c>
      <c r="BJ11" s="69"/>
      <c r="BK11" s="69" t="s">
        <v>310</v>
      </c>
      <c r="BL11" s="69"/>
      <c r="BM11" s="69"/>
      <c r="BN11" s="69"/>
    </row>
    <row r="12" spans="1:66" x14ac:dyDescent="0.2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 t="s">
        <v>310</v>
      </c>
      <c r="N12" s="70" t="s">
        <v>310</v>
      </c>
      <c r="O12" s="70"/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/>
      <c r="V12" s="70"/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 t="s">
        <v>310</v>
      </c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 t="s">
        <v>310</v>
      </c>
      <c r="AM12" s="70" t="s">
        <v>310</v>
      </c>
      <c r="AN12" s="70"/>
      <c r="AO12" s="70" t="s">
        <v>310</v>
      </c>
      <c r="AP12" s="70"/>
      <c r="AQ12" s="70" t="s">
        <v>310</v>
      </c>
      <c r="AR12" s="97" t="s">
        <v>310</v>
      </c>
      <c r="AS12" s="70"/>
      <c r="AT12" s="70" t="s">
        <v>310</v>
      </c>
      <c r="AU12" s="70" t="s">
        <v>310</v>
      </c>
      <c r="AV12" s="70" t="s">
        <v>310</v>
      </c>
      <c r="AW12" s="70" t="s">
        <v>310</v>
      </c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 t="s">
        <v>310</v>
      </c>
      <c r="BE12" s="70" t="s">
        <v>310</v>
      </c>
      <c r="BF12" s="70"/>
      <c r="BG12" s="70"/>
      <c r="BH12" s="70" t="s">
        <v>310</v>
      </c>
      <c r="BI12" s="70"/>
      <c r="BJ12" s="70" t="s">
        <v>310</v>
      </c>
      <c r="BK12" s="70"/>
      <c r="BL12" s="70" t="s">
        <v>310</v>
      </c>
      <c r="BM12" s="70" t="s">
        <v>310</v>
      </c>
      <c r="BN12" s="70"/>
    </row>
    <row r="13" spans="1:66" x14ac:dyDescent="0.2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310</v>
      </c>
      <c r="Z13" s="69" t="s">
        <v>310</v>
      </c>
      <c r="AA13" s="69" t="s">
        <v>310</v>
      </c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 t="s">
        <v>310</v>
      </c>
      <c r="AV13" s="69" t="s">
        <v>310</v>
      </c>
      <c r="AW13" s="69"/>
      <c r="AX13" s="69"/>
      <c r="AY13" s="69"/>
      <c r="AZ13" s="69" t="s">
        <v>310</v>
      </c>
      <c r="BA13" s="69" t="s">
        <v>310</v>
      </c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/>
      <c r="P14" s="70" t="s">
        <v>310</v>
      </c>
      <c r="Q14" s="70"/>
      <c r="R14" s="97" t="s">
        <v>310</v>
      </c>
      <c r="S14" s="97" t="s">
        <v>310</v>
      </c>
      <c r="T14" s="97" t="s">
        <v>310</v>
      </c>
      <c r="U14" s="97"/>
      <c r="V14" s="70" t="s">
        <v>310</v>
      </c>
      <c r="W14" s="70" t="s">
        <v>310</v>
      </c>
      <c r="X14" s="70" t="s">
        <v>310</v>
      </c>
      <c r="Y14" s="70"/>
      <c r="Z14" s="70"/>
      <c r="AA14" s="70"/>
      <c r="AB14" s="70"/>
      <c r="AC14" s="70"/>
      <c r="AD14" s="70" t="s">
        <v>310</v>
      </c>
      <c r="AE14" s="70"/>
      <c r="AF14" s="70"/>
      <c r="AG14" s="70"/>
      <c r="AH14" s="70"/>
      <c r="AI14" s="70" t="s">
        <v>310</v>
      </c>
      <c r="AJ14" s="70"/>
      <c r="AK14" s="70"/>
      <c r="AL14" s="70" t="s">
        <v>310</v>
      </c>
      <c r="AM14" s="70" t="s">
        <v>310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310</v>
      </c>
      <c r="AX14" s="70" t="s">
        <v>310</v>
      </c>
      <c r="AY14" s="70" t="s">
        <v>310</v>
      </c>
      <c r="AZ14" s="70"/>
      <c r="BA14" s="70"/>
      <c r="BB14" s="70"/>
      <c r="BC14" s="70"/>
      <c r="BD14" s="70"/>
      <c r="BE14" s="70"/>
      <c r="BF14" s="70"/>
      <c r="BG14" s="70"/>
      <c r="BH14" s="70" t="s">
        <v>310</v>
      </c>
      <c r="BI14" s="70" t="s">
        <v>310</v>
      </c>
      <c r="BJ14" s="70"/>
      <c r="BK14" s="70"/>
      <c r="BL14" s="70" t="s">
        <v>310</v>
      </c>
      <c r="BM14" s="70" t="s">
        <v>310</v>
      </c>
      <c r="BN14" s="70"/>
    </row>
    <row r="15" spans="1:66" x14ac:dyDescent="0.2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/>
      <c r="P15" s="69"/>
      <c r="Q15" s="69"/>
      <c r="R15" s="96"/>
      <c r="S15" s="96"/>
      <c r="T15" s="96"/>
      <c r="U15" s="96"/>
      <c r="V15" s="69" t="s">
        <v>310</v>
      </c>
      <c r="W15" s="69"/>
      <c r="X15" s="69"/>
      <c r="Y15" s="69"/>
      <c r="Z15" s="69"/>
      <c r="AA15" s="69" t="s">
        <v>310</v>
      </c>
      <c r="AB15" s="69" t="s">
        <v>310</v>
      </c>
      <c r="AC15" s="69" t="s">
        <v>310</v>
      </c>
      <c r="AD15" s="69" t="s">
        <v>310</v>
      </c>
      <c r="AE15" s="69"/>
      <c r="AF15" s="69" t="s">
        <v>310</v>
      </c>
      <c r="AG15" s="69"/>
      <c r="AH15" s="69"/>
      <c r="AI15" s="69"/>
      <c r="AJ15" s="69"/>
      <c r="AK15" s="69"/>
      <c r="AL15" s="69"/>
      <c r="AM15" s="69" t="s">
        <v>310</v>
      </c>
      <c r="AN15" s="69" t="s">
        <v>310</v>
      </c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/>
      <c r="AW15" s="69"/>
      <c r="AX15" s="69" t="s">
        <v>310</v>
      </c>
      <c r="AY15" s="69" t="s">
        <v>310</v>
      </c>
      <c r="AZ15" s="69" t="s">
        <v>310</v>
      </c>
      <c r="BA15" s="69" t="s">
        <v>310</v>
      </c>
      <c r="BB15" s="69" t="s">
        <v>310</v>
      </c>
      <c r="BC15" s="69" t="s">
        <v>310</v>
      </c>
      <c r="BD15" s="69" t="s">
        <v>310</v>
      </c>
      <c r="BE15" s="96" t="s">
        <v>310</v>
      </c>
      <c r="BF15" s="69" t="s">
        <v>310</v>
      </c>
      <c r="BG15" s="69"/>
      <c r="BH15" s="69" t="s">
        <v>310</v>
      </c>
      <c r="BI15" s="69" t="s">
        <v>310</v>
      </c>
      <c r="BJ15" s="69" t="s">
        <v>310</v>
      </c>
      <c r="BK15" s="69" t="s">
        <v>310</v>
      </c>
      <c r="BL15" s="69"/>
      <c r="BM15" s="69"/>
      <c r="BN15" s="69"/>
    </row>
    <row r="16" spans="1:66" x14ac:dyDescent="0.2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 t="s">
        <v>310</v>
      </c>
      <c r="Q16" s="70"/>
      <c r="R16" s="70" t="s">
        <v>310</v>
      </c>
      <c r="S16" s="70" t="s">
        <v>310</v>
      </c>
      <c r="T16" s="70" t="s">
        <v>310</v>
      </c>
      <c r="U16" s="70"/>
      <c r="V16" s="70"/>
      <c r="W16" s="70" t="s">
        <v>310</v>
      </c>
      <c r="X16" s="70" t="s">
        <v>310</v>
      </c>
      <c r="Y16" s="70" t="s">
        <v>310</v>
      </c>
      <c r="Z16" s="70" t="s">
        <v>310</v>
      </c>
      <c r="AA16" s="70"/>
      <c r="AB16" s="70"/>
      <c r="AC16" s="70"/>
      <c r="AD16" s="70"/>
      <c r="AE16" s="70" t="s">
        <v>310</v>
      </c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/>
      <c r="AN16" s="70"/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 t="s">
        <v>310</v>
      </c>
      <c r="AW16" s="70" t="s">
        <v>310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310</v>
      </c>
      <c r="BM16" s="70" t="s">
        <v>310</v>
      </c>
      <c r="BN16" s="70"/>
    </row>
    <row r="17" spans="1:66" x14ac:dyDescent="0.2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 t="s">
        <v>310</v>
      </c>
      <c r="Q17" s="69"/>
      <c r="R17" s="69"/>
      <c r="S17" s="69" t="s">
        <v>310</v>
      </c>
      <c r="T17" s="69" t="s">
        <v>310</v>
      </c>
      <c r="U17" s="69"/>
      <c r="V17" s="69"/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/>
      <c r="AC17" s="69"/>
      <c r="AD17" s="69"/>
      <c r="AE17" s="69" t="s">
        <v>310</v>
      </c>
      <c r="AF17" s="69" t="s">
        <v>310</v>
      </c>
      <c r="AG17" s="69"/>
      <c r="AH17" s="69" t="s">
        <v>310</v>
      </c>
      <c r="AI17" s="69" t="s">
        <v>310</v>
      </c>
      <c r="AJ17" s="69"/>
      <c r="AK17" s="69"/>
      <c r="AL17" s="69"/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 t="s">
        <v>310</v>
      </c>
      <c r="AT17" s="69" t="s">
        <v>310</v>
      </c>
      <c r="AU17" s="69"/>
      <c r="AV17" s="69" t="s">
        <v>310</v>
      </c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/>
    </row>
    <row r="18" spans="1:66" x14ac:dyDescent="0.2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310</v>
      </c>
      <c r="S18" s="70"/>
      <c r="T18" s="70"/>
      <c r="U18" s="97"/>
      <c r="V18" s="70" t="s">
        <v>310</v>
      </c>
      <c r="W18" s="70"/>
      <c r="X18" s="70"/>
      <c r="Y18" s="70" t="s">
        <v>310</v>
      </c>
      <c r="Z18" s="70"/>
      <c r="AA18" s="70"/>
      <c r="AB18" s="70" t="s">
        <v>310</v>
      </c>
      <c r="AC18" s="70" t="s">
        <v>310</v>
      </c>
      <c r="AD18" s="70" t="s">
        <v>310</v>
      </c>
      <c r="AE18" s="70"/>
      <c r="AF18" s="70"/>
      <c r="AG18" s="70"/>
      <c r="AH18" s="70"/>
      <c r="AI18" s="70"/>
      <c r="AJ18" s="70"/>
      <c r="AK18" s="70"/>
      <c r="AL18" s="70" t="s">
        <v>310</v>
      </c>
      <c r="AM18" s="70"/>
      <c r="AN18" s="70"/>
      <c r="AO18" s="70"/>
      <c r="AP18" s="70"/>
      <c r="AQ18" s="70"/>
      <c r="AR18" s="70"/>
      <c r="AS18" s="70"/>
      <c r="AT18" s="70"/>
      <c r="AU18" s="70" t="s">
        <v>310</v>
      </c>
      <c r="AV18" s="70"/>
      <c r="AW18" s="70"/>
      <c r="AX18" s="70"/>
      <c r="AY18" s="70"/>
      <c r="AZ18" s="70"/>
      <c r="BA18" s="70"/>
      <c r="BB18" s="70"/>
      <c r="BC18" s="70" t="s">
        <v>310</v>
      </c>
      <c r="BD18" s="70"/>
      <c r="BE18" s="97"/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/>
      <c r="P19" s="69" t="s">
        <v>310</v>
      </c>
      <c r="Q19" s="69"/>
      <c r="R19" s="69"/>
      <c r="S19" s="69" t="s">
        <v>310</v>
      </c>
      <c r="T19" s="69"/>
      <c r="U19" s="96"/>
      <c r="V19" s="69"/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/>
      <c r="AF19" s="69" t="s">
        <v>310</v>
      </c>
      <c r="AG19" s="69"/>
      <c r="AH19" s="69"/>
      <c r="AI19" s="69"/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/>
      <c r="AV19" s="69"/>
      <c r="AW19" s="69"/>
      <c r="AX19" s="69" t="s">
        <v>310</v>
      </c>
      <c r="AY19" s="69" t="s">
        <v>310</v>
      </c>
      <c r="AZ19" s="69" t="s">
        <v>310</v>
      </c>
      <c r="BA19" s="69"/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 t="s">
        <v>310</v>
      </c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/>
      <c r="V20" s="70" t="s">
        <v>310</v>
      </c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 t="s">
        <v>310</v>
      </c>
      <c r="AF20" s="70"/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/>
      <c r="AQ20" s="70"/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/>
      <c r="AZ20" s="70"/>
      <c r="BA20" s="70" t="s">
        <v>310</v>
      </c>
      <c r="BB20" s="70" t="s">
        <v>310</v>
      </c>
      <c r="BC20" s="70"/>
      <c r="BD20" s="70" t="s">
        <v>310</v>
      </c>
      <c r="BE20" s="97"/>
      <c r="BF20" s="70"/>
      <c r="BG20" s="70"/>
      <c r="BH20" s="70"/>
      <c r="BI20" s="70" t="s">
        <v>310</v>
      </c>
      <c r="BJ20" s="70"/>
      <c r="BK20" s="70"/>
      <c r="BL20" s="70"/>
      <c r="BM20" s="70"/>
      <c r="BN20" s="70"/>
    </row>
    <row r="21" spans="1:66" x14ac:dyDescent="0.2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 t="s">
        <v>310</v>
      </c>
      <c r="O21" s="69"/>
      <c r="P21" s="69" t="s">
        <v>310</v>
      </c>
      <c r="Q21" s="69"/>
      <c r="R21" s="69"/>
      <c r="S21" s="69"/>
      <c r="T21" s="69" t="s">
        <v>310</v>
      </c>
      <c r="U21" s="96"/>
      <c r="V21" s="69" t="s">
        <v>310</v>
      </c>
      <c r="W21" s="69"/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/>
      <c r="AD21" s="69" t="s">
        <v>310</v>
      </c>
      <c r="AE21" s="69" t="s">
        <v>310</v>
      </c>
      <c r="AF21" s="69" t="s">
        <v>310</v>
      </c>
      <c r="AG21" s="69"/>
      <c r="AH21" s="69" t="s">
        <v>310</v>
      </c>
      <c r="AI21" s="69"/>
      <c r="AJ21" s="69"/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 t="s">
        <v>310</v>
      </c>
      <c r="AU21" s="69"/>
      <c r="AV21" s="69" t="s">
        <v>310</v>
      </c>
      <c r="AW21" s="69" t="s">
        <v>310</v>
      </c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 t="s">
        <v>310</v>
      </c>
      <c r="BJ21" s="69" t="s">
        <v>310</v>
      </c>
      <c r="BK21" s="69"/>
      <c r="BL21" s="69" t="s">
        <v>310</v>
      </c>
      <c r="BM21" s="69" t="s">
        <v>310</v>
      </c>
      <c r="BN21" s="69"/>
    </row>
    <row r="22" spans="1:66" x14ac:dyDescent="0.2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/>
      <c r="O22" s="70"/>
      <c r="P22" s="70"/>
      <c r="Q22" s="70"/>
      <c r="R22" s="70" t="s">
        <v>310</v>
      </c>
      <c r="S22" s="70" t="s">
        <v>310</v>
      </c>
      <c r="T22" s="70"/>
      <c r="U22" s="70"/>
      <c r="V22" s="70"/>
      <c r="W22" s="70" t="s">
        <v>310</v>
      </c>
      <c r="X22" s="70"/>
      <c r="Y22" s="70"/>
      <c r="Z22" s="70"/>
      <c r="AA22" s="70"/>
      <c r="AB22" s="70" t="s">
        <v>310</v>
      </c>
      <c r="AC22" s="70" t="s">
        <v>310</v>
      </c>
      <c r="AD22" s="70"/>
      <c r="AE22" s="70"/>
      <c r="AF22" s="70"/>
      <c r="AG22" s="70"/>
      <c r="AH22" s="70"/>
      <c r="AI22" s="70" t="s">
        <v>310</v>
      </c>
      <c r="AJ22" s="70"/>
      <c r="AK22" s="70"/>
      <c r="AL22" s="70"/>
      <c r="AM22" s="70"/>
      <c r="AN22" s="70"/>
      <c r="AO22" s="70" t="s">
        <v>310</v>
      </c>
      <c r="AP22" s="70"/>
      <c r="AQ22" s="70" t="s">
        <v>310</v>
      </c>
      <c r="AR22" s="70"/>
      <c r="AS22" s="70"/>
      <c r="AT22" s="70"/>
      <c r="AU22" s="70" t="s">
        <v>310</v>
      </c>
      <c r="AV22" s="70"/>
      <c r="AW22" s="70"/>
      <c r="AX22" s="70"/>
      <c r="AY22" s="70"/>
      <c r="AZ22" s="70" t="s">
        <v>310</v>
      </c>
      <c r="BA22" s="70"/>
      <c r="BB22" s="70"/>
      <c r="BC22" s="70"/>
      <c r="BD22" s="70"/>
      <c r="BE22" s="70"/>
      <c r="BF22" s="70"/>
      <c r="BG22" s="70"/>
      <c r="BH22" s="70" t="s">
        <v>310</v>
      </c>
      <c r="BI22" s="70"/>
      <c r="BJ22" s="70"/>
      <c r="BK22" s="70" t="s">
        <v>310</v>
      </c>
      <c r="BL22" s="70"/>
      <c r="BM22" s="70"/>
      <c r="BN22" s="70"/>
    </row>
    <row r="23" spans="1:66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310</v>
      </c>
      <c r="N3" s="69" t="s">
        <v>310</v>
      </c>
      <c r="O3" s="69"/>
      <c r="P3" s="69" t="s">
        <v>310</v>
      </c>
      <c r="Q3" s="69" t="s">
        <v>310</v>
      </c>
      <c r="R3" s="69"/>
      <c r="S3" s="69" t="s">
        <v>310</v>
      </c>
      <c r="T3" s="69"/>
      <c r="U3" s="69"/>
      <c r="V3" s="69" t="s">
        <v>310</v>
      </c>
      <c r="W3" s="69" t="s">
        <v>310</v>
      </c>
      <c r="X3" s="69"/>
      <c r="Y3" s="69"/>
      <c r="Z3" s="69" t="s">
        <v>310</v>
      </c>
      <c r="AA3" s="69"/>
      <c r="AB3" s="69" t="s">
        <v>310</v>
      </c>
      <c r="AC3" s="69"/>
      <c r="AD3" s="69" t="s">
        <v>310</v>
      </c>
      <c r="AE3" s="69"/>
      <c r="AF3" s="69"/>
      <c r="AG3" s="69"/>
      <c r="AH3" s="69" t="s">
        <v>310</v>
      </c>
      <c r="AI3" s="69" t="s">
        <v>310</v>
      </c>
      <c r="AJ3" s="69" t="s">
        <v>310</v>
      </c>
      <c r="AK3" s="69" t="s">
        <v>310</v>
      </c>
      <c r="AL3" s="69"/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/>
      <c r="BE3" s="96"/>
      <c r="BF3" s="69"/>
      <c r="BG3" s="69"/>
      <c r="BH3" s="69"/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 t="s">
        <v>310</v>
      </c>
      <c r="M4" s="70"/>
      <c r="N4" s="70"/>
      <c r="O4" s="70" t="s">
        <v>310</v>
      </c>
      <c r="P4" s="70"/>
      <c r="Q4" s="70"/>
      <c r="R4" s="70" t="s">
        <v>310</v>
      </c>
      <c r="S4" s="70"/>
      <c r="T4" s="70" t="s">
        <v>310</v>
      </c>
      <c r="U4" s="97" t="s">
        <v>310</v>
      </c>
      <c r="V4" s="70"/>
      <c r="W4" s="70"/>
      <c r="X4" s="70"/>
      <c r="Y4" s="70" t="s">
        <v>310</v>
      </c>
      <c r="Z4" s="70"/>
      <c r="AA4" s="70" t="s">
        <v>310</v>
      </c>
      <c r="AB4" s="70"/>
      <c r="AC4" s="70" t="s">
        <v>310</v>
      </c>
      <c r="AD4" s="70"/>
      <c r="AE4" s="70" t="s">
        <v>310</v>
      </c>
      <c r="AF4" s="70" t="s">
        <v>310</v>
      </c>
      <c r="AG4" s="70" t="s">
        <v>310</v>
      </c>
      <c r="AH4" s="70"/>
      <c r="AI4" s="70"/>
      <c r="AJ4" s="70"/>
      <c r="AK4" s="70"/>
      <c r="AL4" s="70" t="s">
        <v>310</v>
      </c>
      <c r="AM4" s="70"/>
      <c r="AN4" s="70"/>
      <c r="AO4" s="70"/>
      <c r="AP4" s="70"/>
      <c r="AQ4" s="70"/>
      <c r="AR4" s="70"/>
      <c r="AS4" s="70" t="s">
        <v>310</v>
      </c>
      <c r="AT4" s="70" t="s">
        <v>310</v>
      </c>
      <c r="AU4" s="70"/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/>
      <c r="BK4" s="70" t="s">
        <v>310</v>
      </c>
      <c r="BL4" s="70" t="s">
        <v>310</v>
      </c>
      <c r="BM4" s="70"/>
      <c r="BN4" s="70" t="s">
        <v>310</v>
      </c>
    </row>
    <row r="5" spans="1:66" x14ac:dyDescent="0.2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310</v>
      </c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/>
      <c r="T5" s="69" t="s">
        <v>310</v>
      </c>
      <c r="U5" s="96" t="s">
        <v>310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310</v>
      </c>
      <c r="AH5" s="69"/>
      <c r="AI5" s="69"/>
      <c r="AJ5" s="69" t="s">
        <v>310</v>
      </c>
      <c r="AK5" s="69"/>
      <c r="AL5" s="69"/>
      <c r="AM5" s="69"/>
      <c r="AN5" s="69"/>
      <c r="AO5" s="69" t="s">
        <v>310</v>
      </c>
      <c r="AP5" s="69" t="s">
        <v>310</v>
      </c>
      <c r="AQ5" s="69"/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/>
      <c r="AZ5" s="69" t="s">
        <v>310</v>
      </c>
      <c r="BA5" s="69"/>
      <c r="BB5" s="69"/>
      <c r="BC5" s="69"/>
      <c r="BD5" s="69" t="s">
        <v>310</v>
      </c>
      <c r="BE5" s="69"/>
      <c r="BF5" s="69"/>
      <c r="BG5" s="69" t="s">
        <v>310</v>
      </c>
      <c r="BH5" s="69" t="s">
        <v>310</v>
      </c>
      <c r="BI5" s="69"/>
      <c r="BJ5" s="69"/>
      <c r="BK5" s="69" t="s">
        <v>310</v>
      </c>
      <c r="BL5" s="69"/>
      <c r="BM5" s="69"/>
      <c r="BN5" s="69" t="s">
        <v>310</v>
      </c>
    </row>
    <row r="6" spans="1:66" x14ac:dyDescent="0.2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 t="s">
        <v>310</v>
      </c>
      <c r="T6" s="70"/>
      <c r="U6" s="70"/>
      <c r="V6" s="70" t="s">
        <v>310</v>
      </c>
      <c r="W6" s="70" t="s">
        <v>310</v>
      </c>
      <c r="X6" s="70"/>
      <c r="Y6" s="70" t="s">
        <v>310</v>
      </c>
      <c r="Z6" s="70" t="s">
        <v>310</v>
      </c>
      <c r="AA6" s="70" t="s">
        <v>310</v>
      </c>
      <c r="AB6" s="70" t="s">
        <v>310</v>
      </c>
      <c r="AC6" s="70" t="s">
        <v>310</v>
      </c>
      <c r="AD6" s="70" t="s">
        <v>310</v>
      </c>
      <c r="AE6" s="70" t="s">
        <v>310</v>
      </c>
      <c r="AF6" s="70" t="s">
        <v>310</v>
      </c>
      <c r="AG6" s="70"/>
      <c r="AH6" s="70" t="s">
        <v>310</v>
      </c>
      <c r="AI6" s="70" t="s">
        <v>310</v>
      </c>
      <c r="AJ6" s="70"/>
      <c r="AK6" s="70" t="s">
        <v>310</v>
      </c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 t="s">
        <v>310</v>
      </c>
      <c r="AT6" s="70"/>
      <c r="AU6" s="70"/>
      <c r="AV6" s="70"/>
      <c r="AW6" s="70"/>
      <c r="AX6" s="70" t="s">
        <v>310</v>
      </c>
      <c r="AY6" s="70" t="s">
        <v>310</v>
      </c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 t="s">
        <v>310</v>
      </c>
      <c r="BM6" s="70" t="s">
        <v>310</v>
      </c>
      <c r="BN6" s="70"/>
    </row>
    <row r="7" spans="1:66" x14ac:dyDescent="0.2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/>
      <c r="R7" s="96" t="s">
        <v>310</v>
      </c>
      <c r="S7" s="96"/>
      <c r="T7" s="96"/>
      <c r="U7" s="96"/>
      <c r="V7" s="69" t="s">
        <v>310</v>
      </c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 t="s">
        <v>310</v>
      </c>
      <c r="AE7" s="69"/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 t="s">
        <v>310</v>
      </c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/>
      <c r="BF7" s="69"/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 t="s">
        <v>310</v>
      </c>
      <c r="R8" s="97"/>
      <c r="S8" s="97" t="s">
        <v>310</v>
      </c>
      <c r="T8" s="97" t="s">
        <v>310</v>
      </c>
      <c r="U8" s="97" t="s">
        <v>310</v>
      </c>
      <c r="V8" s="70"/>
      <c r="W8" s="70" t="s">
        <v>310</v>
      </c>
      <c r="X8" s="70"/>
      <c r="Y8" s="70" t="s">
        <v>310</v>
      </c>
      <c r="Z8" s="70"/>
      <c r="AA8" s="70"/>
      <c r="AB8" s="70" t="s">
        <v>310</v>
      </c>
      <c r="AC8" s="70"/>
      <c r="AD8" s="70"/>
      <c r="AE8" s="70" t="s">
        <v>310</v>
      </c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 t="s">
        <v>310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/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/>
      <c r="U9" s="96" t="s">
        <v>310</v>
      </c>
      <c r="V9" s="69" t="s">
        <v>310</v>
      </c>
      <c r="W9" s="69"/>
      <c r="X9" s="69"/>
      <c r="Y9" s="69" t="s">
        <v>310</v>
      </c>
      <c r="Z9" s="69"/>
      <c r="AA9" s="69"/>
      <c r="AB9" s="69"/>
      <c r="AC9" s="69" t="s">
        <v>310</v>
      </c>
      <c r="AD9" s="69"/>
      <c r="AE9" s="69"/>
      <c r="AF9" s="69"/>
      <c r="AG9" s="69" t="s">
        <v>310</v>
      </c>
      <c r="AH9" s="69"/>
      <c r="AI9" s="69" t="s">
        <v>310</v>
      </c>
      <c r="AJ9" s="69"/>
      <c r="AK9" s="69"/>
      <c r="AL9" s="69"/>
      <c r="AM9" s="69" t="s">
        <v>310</v>
      </c>
      <c r="AN9" s="69"/>
      <c r="AO9" s="69" t="s">
        <v>310</v>
      </c>
      <c r="AP9" s="69" t="s">
        <v>310</v>
      </c>
      <c r="AQ9" s="69"/>
      <c r="AR9" s="96"/>
      <c r="AS9" s="69" t="s">
        <v>310</v>
      </c>
      <c r="AT9" s="69" t="s">
        <v>310</v>
      </c>
      <c r="AU9" s="69"/>
      <c r="AV9" s="69" t="s">
        <v>310</v>
      </c>
      <c r="AW9" s="69"/>
      <c r="AX9" s="69" t="s">
        <v>310</v>
      </c>
      <c r="AY9" s="69"/>
      <c r="AZ9" s="69" t="s">
        <v>310</v>
      </c>
      <c r="BA9" s="69"/>
      <c r="BB9" s="69"/>
      <c r="BC9" s="69"/>
      <c r="BD9" s="69" t="s">
        <v>310</v>
      </c>
      <c r="BE9" s="96"/>
      <c r="BF9" s="69"/>
      <c r="BG9" s="69"/>
      <c r="BH9" s="69" t="s">
        <v>310</v>
      </c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 t="s">
        <v>310</v>
      </c>
      <c r="O10" s="70"/>
      <c r="P10" s="70"/>
      <c r="Q10" s="70"/>
      <c r="R10" s="97"/>
      <c r="S10" s="97" t="s">
        <v>310</v>
      </c>
      <c r="T10" s="97" t="s">
        <v>310</v>
      </c>
      <c r="U10" s="70"/>
      <c r="V10" s="70"/>
      <c r="W10" s="70" t="s">
        <v>310</v>
      </c>
      <c r="X10" s="70"/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 t="s">
        <v>310</v>
      </c>
      <c r="AF10" s="70" t="s">
        <v>310</v>
      </c>
      <c r="AG10" s="70"/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 t="s">
        <v>310</v>
      </c>
      <c r="AO10" s="70"/>
      <c r="AP10" s="70"/>
      <c r="AQ10" s="70" t="s">
        <v>310</v>
      </c>
      <c r="AR10" s="70" t="s">
        <v>310</v>
      </c>
      <c r="AS10" s="70"/>
      <c r="AT10" s="70"/>
      <c r="AU10" s="70" t="s">
        <v>310</v>
      </c>
      <c r="AV10" s="70"/>
      <c r="AW10" s="70" t="s">
        <v>310</v>
      </c>
      <c r="AX10" s="70"/>
      <c r="AY10" s="70" t="s">
        <v>310</v>
      </c>
      <c r="AZ10" s="70"/>
      <c r="BA10" s="70" t="s">
        <v>310</v>
      </c>
      <c r="BB10" s="70" t="s">
        <v>310</v>
      </c>
      <c r="BC10" s="70" t="s">
        <v>310</v>
      </c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/>
      <c r="U11" s="69" t="s">
        <v>310</v>
      </c>
      <c r="V11" s="69"/>
      <c r="W11" s="69" t="s">
        <v>310</v>
      </c>
      <c r="X11" s="69"/>
      <c r="Y11" s="69"/>
      <c r="Z11" s="69" t="s">
        <v>310</v>
      </c>
      <c r="AA11" s="69" t="s">
        <v>310</v>
      </c>
      <c r="AB11" s="69" t="s">
        <v>310</v>
      </c>
      <c r="AC11" s="69" t="s">
        <v>310</v>
      </c>
      <c r="AD11" s="69" t="s">
        <v>310</v>
      </c>
      <c r="AE11" s="69"/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/>
      <c r="BE11" s="96"/>
      <c r="BF11" s="69"/>
      <c r="BG11" s="69" t="s">
        <v>310</v>
      </c>
      <c r="BH11" s="69"/>
      <c r="BI11" s="69"/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/>
      <c r="N12" s="70"/>
      <c r="O12" s="70"/>
      <c r="P12" s="70"/>
      <c r="Q12" s="70"/>
      <c r="R12" s="97"/>
      <c r="S12" s="97"/>
      <c r="T12" s="97" t="s">
        <v>310</v>
      </c>
      <c r="U12" s="97"/>
      <c r="V12" s="70" t="s">
        <v>310</v>
      </c>
      <c r="W12" s="70"/>
      <c r="X12" s="70"/>
      <c r="Y12" s="70" t="s">
        <v>310</v>
      </c>
      <c r="Z12" s="70"/>
      <c r="AA12" s="70"/>
      <c r="AB12" s="70"/>
      <c r="AC12" s="70"/>
      <c r="AD12" s="70"/>
      <c r="AE12" s="70" t="s">
        <v>310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 t="s">
        <v>310</v>
      </c>
      <c r="BJ12" s="70"/>
      <c r="BK12" s="70" t="s">
        <v>310</v>
      </c>
      <c r="BL12" s="70"/>
      <c r="BM12" s="70"/>
      <c r="BN12" s="70"/>
    </row>
    <row r="13" spans="1:66" x14ac:dyDescent="0.2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 t="s">
        <v>310</v>
      </c>
      <c r="N13" s="69"/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 t="s">
        <v>310</v>
      </c>
      <c r="W13" s="69"/>
      <c r="X13" s="69"/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 t="s">
        <v>310</v>
      </c>
      <c r="AG13" s="69"/>
      <c r="AH13" s="69"/>
      <c r="AI13" s="69" t="s">
        <v>310</v>
      </c>
      <c r="AJ13" s="69"/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310</v>
      </c>
      <c r="BI13" s="69"/>
      <c r="BJ13" s="69"/>
      <c r="BK13" s="69" t="s">
        <v>310</v>
      </c>
      <c r="BL13" s="69"/>
      <c r="BM13" s="69" t="s">
        <v>310</v>
      </c>
      <c r="BN13" s="69"/>
    </row>
    <row r="14" spans="1:66" x14ac:dyDescent="0.2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/>
      <c r="N14" s="70" t="s">
        <v>310</v>
      </c>
      <c r="O14" s="70"/>
      <c r="P14" s="70"/>
      <c r="Q14" s="70"/>
      <c r="R14" s="97" t="s">
        <v>310</v>
      </c>
      <c r="S14" s="97" t="s">
        <v>310</v>
      </c>
      <c r="T14" s="97"/>
      <c r="U14" s="97" t="s">
        <v>310</v>
      </c>
      <c r="V14" s="70"/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/>
      <c r="AG14" s="70" t="s">
        <v>310</v>
      </c>
      <c r="AH14" s="70" t="s">
        <v>310</v>
      </c>
      <c r="AI14" s="70"/>
      <c r="AJ14" s="70" t="s">
        <v>310</v>
      </c>
      <c r="AK14" s="70"/>
      <c r="AL14" s="70" t="s">
        <v>310</v>
      </c>
      <c r="AM14" s="70"/>
      <c r="AN14" s="70"/>
      <c r="AO14" s="70"/>
      <c r="AP14" s="70" t="s">
        <v>310</v>
      </c>
      <c r="AQ14" s="70"/>
      <c r="AR14" s="70"/>
      <c r="AS14" s="70"/>
      <c r="AT14" s="70"/>
      <c r="AU14" s="70" t="s">
        <v>310</v>
      </c>
      <c r="AV14" s="70" t="s">
        <v>310</v>
      </c>
      <c r="AW14" s="70"/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/>
      <c r="BF14" s="70"/>
      <c r="BG14" s="70" t="s">
        <v>310</v>
      </c>
      <c r="BH14" s="70"/>
      <c r="BI14" s="70" t="s">
        <v>310</v>
      </c>
      <c r="BJ14" s="70" t="s">
        <v>310</v>
      </c>
      <c r="BK14" s="70"/>
      <c r="BL14" s="70" t="s">
        <v>310</v>
      </c>
      <c r="BM14" s="70"/>
      <c r="BN14" s="70" t="s">
        <v>310</v>
      </c>
    </row>
    <row r="15" spans="1:66" x14ac:dyDescent="0.2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 t="s">
        <v>310</v>
      </c>
      <c r="P15" s="69" t="s">
        <v>310</v>
      </c>
      <c r="Q15" s="69" t="s">
        <v>310</v>
      </c>
      <c r="R15" s="96" t="s">
        <v>310</v>
      </c>
      <c r="S15" s="96"/>
      <c r="T15" s="96" t="s">
        <v>310</v>
      </c>
      <c r="U15" s="96" t="s">
        <v>310</v>
      </c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 t="s">
        <v>310</v>
      </c>
      <c r="AM15" s="69"/>
      <c r="AN15" s="69" t="s">
        <v>310</v>
      </c>
      <c r="AO15" s="69"/>
      <c r="AP15" s="69" t="s">
        <v>310</v>
      </c>
      <c r="AQ15" s="69" t="s">
        <v>310</v>
      </c>
      <c r="AR15" s="69"/>
      <c r="AS15" s="69" t="s">
        <v>310</v>
      </c>
      <c r="AT15" s="69" t="s">
        <v>310</v>
      </c>
      <c r="AU15" s="69" t="s">
        <v>310</v>
      </c>
      <c r="AV15" s="69" t="s">
        <v>310</v>
      </c>
      <c r="AW15" s="69"/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 t="s">
        <v>310</v>
      </c>
      <c r="BD15" s="69"/>
      <c r="BE15" s="96"/>
      <c r="BF15" s="69"/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 t="s">
        <v>310</v>
      </c>
      <c r="BN15" s="69"/>
    </row>
    <row r="16" spans="1:66" x14ac:dyDescent="0.2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/>
      <c r="Q16" s="70"/>
      <c r="R16" s="70"/>
      <c r="S16" s="70" t="s">
        <v>310</v>
      </c>
      <c r="T16" s="70"/>
      <c r="U16" s="70"/>
      <c r="V16" s="70"/>
      <c r="W16" s="70"/>
      <c r="X16" s="70"/>
      <c r="Y16" s="70" t="s">
        <v>310</v>
      </c>
      <c r="Z16" s="70"/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/>
      <c r="AM16" s="70" t="s">
        <v>310</v>
      </c>
      <c r="AN16" s="70"/>
      <c r="AO16" s="70" t="s">
        <v>310</v>
      </c>
      <c r="AP16" s="70"/>
      <c r="AQ16" s="70"/>
      <c r="AR16" s="97" t="s">
        <v>310</v>
      </c>
      <c r="AS16" s="70"/>
      <c r="AT16" s="70"/>
      <c r="AU16" s="70"/>
      <c r="AV16" s="70"/>
      <c r="AW16" s="70" t="s">
        <v>310</v>
      </c>
      <c r="AX16" s="70"/>
      <c r="AY16" s="70"/>
      <c r="AZ16" s="70" t="s">
        <v>310</v>
      </c>
      <c r="BA16" s="70"/>
      <c r="BB16" s="70"/>
      <c r="BC16" s="70"/>
      <c r="BD16" s="70" t="s">
        <v>310</v>
      </c>
      <c r="BE16" s="70"/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/>
      <c r="BN16" s="70" t="s">
        <v>310</v>
      </c>
    </row>
    <row r="17" spans="1:66" x14ac:dyDescent="0.2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 t="s">
        <v>310</v>
      </c>
      <c r="S17" s="69" t="s">
        <v>310</v>
      </c>
      <c r="T17" s="69"/>
      <c r="U17" s="69" t="s">
        <v>310</v>
      </c>
      <c r="V17" s="69"/>
      <c r="W17" s="69" t="s">
        <v>310</v>
      </c>
      <c r="X17" s="69"/>
      <c r="Y17" s="69" t="s">
        <v>310</v>
      </c>
      <c r="Z17" s="69"/>
      <c r="AA17" s="69" t="s">
        <v>310</v>
      </c>
      <c r="AB17" s="69" t="s">
        <v>310</v>
      </c>
      <c r="AC17" s="69" t="s">
        <v>310</v>
      </c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/>
      <c r="BE17" s="69"/>
      <c r="BF17" s="69"/>
      <c r="BG17" s="69" t="s">
        <v>310</v>
      </c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/>
      <c r="O18" s="70"/>
      <c r="P18" s="70"/>
      <c r="Q18" s="70"/>
      <c r="R18" s="70"/>
      <c r="S18" s="70"/>
      <c r="T18" s="70" t="s">
        <v>310</v>
      </c>
      <c r="U18" s="97"/>
      <c r="V18" s="70" t="s">
        <v>310</v>
      </c>
      <c r="W18" s="70"/>
      <c r="X18" s="70"/>
      <c r="Y18" s="70"/>
      <c r="Z18" s="70" t="s">
        <v>310</v>
      </c>
      <c r="AA18" s="70"/>
      <c r="AB18" s="70"/>
      <c r="AC18" s="70"/>
      <c r="AD18" s="70"/>
      <c r="AE18" s="70" t="s">
        <v>310</v>
      </c>
      <c r="AF18" s="70"/>
      <c r="AG18" s="70"/>
      <c r="AH18" s="70"/>
      <c r="AI18" s="70"/>
      <c r="AJ18" s="70"/>
      <c r="AK18" s="70" t="s">
        <v>310</v>
      </c>
      <c r="AL18" s="70"/>
      <c r="AM18" s="70"/>
      <c r="AN18" s="70" t="s">
        <v>310</v>
      </c>
      <c r="AO18" s="70"/>
      <c r="AP18" s="70" t="s">
        <v>310</v>
      </c>
      <c r="AQ18" s="70"/>
      <c r="AR18" s="70"/>
      <c r="AS18" s="70" t="s">
        <v>310</v>
      </c>
      <c r="AT18" s="70"/>
      <c r="AU18" s="70"/>
      <c r="AV18" s="70" t="s">
        <v>310</v>
      </c>
      <c r="AW18" s="70"/>
      <c r="AX18" s="70"/>
      <c r="AY18" s="70"/>
      <c r="AZ18" s="70" t="s">
        <v>310</v>
      </c>
      <c r="BA18" s="70" t="s">
        <v>310</v>
      </c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/>
    </row>
    <row r="19" spans="1:66" x14ac:dyDescent="0.2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/>
      <c r="X19" s="69"/>
      <c r="Y19" s="69"/>
      <c r="Z19" s="69"/>
      <c r="AA19" s="69"/>
      <c r="AB19" s="69" t="s">
        <v>310</v>
      </c>
      <c r="AC19" s="69"/>
      <c r="AD19" s="69"/>
      <c r="AE19" s="69" t="s">
        <v>310</v>
      </c>
      <c r="AF19" s="69" t="s">
        <v>310</v>
      </c>
      <c r="AG19" s="69"/>
      <c r="AH19" s="69"/>
      <c r="AI19" s="69"/>
      <c r="AJ19" s="69"/>
      <c r="AK19" s="69" t="s">
        <v>310</v>
      </c>
      <c r="AL19" s="69"/>
      <c r="AM19" s="69"/>
      <c r="AN19" s="69"/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/>
      <c r="BN19" s="69" t="s">
        <v>310</v>
      </c>
    </row>
    <row r="20" spans="1:66" x14ac:dyDescent="0.2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 t="s">
        <v>310</v>
      </c>
      <c r="AB20" s="70"/>
      <c r="AC20" s="70" t="s">
        <v>310</v>
      </c>
      <c r="AD20" s="70" t="s">
        <v>310</v>
      </c>
      <c r="AE20" s="70"/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 t="s">
        <v>310</v>
      </c>
      <c r="AM20" s="70" t="s">
        <v>310</v>
      </c>
      <c r="AN20" s="70" t="s">
        <v>310</v>
      </c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/>
    </row>
    <row r="21" spans="1:66" x14ac:dyDescent="0.2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/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310</v>
      </c>
      <c r="AI21" s="69" t="s">
        <v>310</v>
      </c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310</v>
      </c>
      <c r="BD21" s="69"/>
      <c r="BE21" s="96"/>
      <c r="BF21" s="69"/>
      <c r="BG21" s="69"/>
      <c r="BH21" s="69"/>
      <c r="BI21" s="69" t="s">
        <v>310</v>
      </c>
      <c r="BJ21" s="69"/>
      <c r="BK21" s="69" t="s">
        <v>310</v>
      </c>
      <c r="BL21" s="69"/>
      <c r="BM21" s="69"/>
      <c r="BN21" s="69"/>
    </row>
    <row r="22" spans="1:66" x14ac:dyDescent="0.2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 t="s">
        <v>310</v>
      </c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 t="s">
        <v>310</v>
      </c>
      <c r="AQ22" s="70" t="s">
        <v>310</v>
      </c>
      <c r="AR22" s="70" t="s">
        <v>310</v>
      </c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 t="s">
        <v>310</v>
      </c>
      <c r="BE22" s="70"/>
      <c r="BF22" s="70"/>
      <c r="BG22" s="70" t="s">
        <v>310</v>
      </c>
      <c r="BH22" s="70" t="s">
        <v>310</v>
      </c>
      <c r="BI22" s="70"/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/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/>
      <c r="BC3" s="69"/>
      <c r="BD3" s="69"/>
      <c r="BE3" s="96"/>
      <c r="BF3" s="69"/>
      <c r="BG3" s="69"/>
      <c r="BH3" s="69"/>
      <c r="BI3" s="69" t="s">
        <v>310</v>
      </c>
      <c r="BJ3" s="69" t="s">
        <v>310</v>
      </c>
      <c r="BK3" s="69" t="s">
        <v>310</v>
      </c>
      <c r="BL3" s="69"/>
      <c r="BM3" s="69" t="s">
        <v>310</v>
      </c>
      <c r="BN3" s="69"/>
    </row>
    <row r="4" spans="1:66" x14ac:dyDescent="0.2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310</v>
      </c>
      <c r="BC4" s="70" t="s">
        <v>310</v>
      </c>
      <c r="BD4" s="70" t="s">
        <v>310</v>
      </c>
      <c r="BE4" s="70" t="s">
        <v>310</v>
      </c>
      <c r="BF4" s="70" t="s">
        <v>310</v>
      </c>
      <c r="BG4" s="70" t="s">
        <v>310</v>
      </c>
      <c r="BH4" s="70" t="s">
        <v>310</v>
      </c>
      <c r="BI4" s="70"/>
      <c r="BJ4" s="70"/>
      <c r="BK4" s="70"/>
      <c r="BL4" s="70" t="s">
        <v>310</v>
      </c>
      <c r="BM4" s="70"/>
      <c r="BN4" s="70" t="s">
        <v>310</v>
      </c>
    </row>
    <row r="5" spans="1:66" x14ac:dyDescent="0.2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 t="s">
        <v>310</v>
      </c>
      <c r="O5" s="69"/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/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 t="s">
        <v>310</v>
      </c>
      <c r="AS5" s="69"/>
      <c r="AT5" s="69"/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 t="s">
        <v>310</v>
      </c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/>
      <c r="BL5" s="69" t="s">
        <v>310</v>
      </c>
      <c r="BM5" s="69" t="s">
        <v>310</v>
      </c>
      <c r="BN5" s="69"/>
    </row>
    <row r="6" spans="1:66" x14ac:dyDescent="0.2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/>
      <c r="O6" s="70" t="s">
        <v>310</v>
      </c>
      <c r="P6" s="70"/>
      <c r="Q6" s="70"/>
      <c r="R6" s="70" t="s">
        <v>310</v>
      </c>
      <c r="S6" s="70"/>
      <c r="T6" s="70"/>
      <c r="U6" s="70" t="s">
        <v>310</v>
      </c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 t="s">
        <v>310</v>
      </c>
      <c r="AE6" s="70"/>
      <c r="AF6" s="70"/>
      <c r="AG6" s="70" t="s">
        <v>310</v>
      </c>
      <c r="AH6" s="70"/>
      <c r="AI6" s="70"/>
      <c r="AJ6" s="70"/>
      <c r="AK6" s="70" t="s">
        <v>310</v>
      </c>
      <c r="AL6" s="70" t="s">
        <v>310</v>
      </c>
      <c r="AM6" s="70"/>
      <c r="AN6" s="70"/>
      <c r="AO6" s="70"/>
      <c r="AP6" s="70" t="s">
        <v>310</v>
      </c>
      <c r="AQ6" s="70"/>
      <c r="AR6" s="70"/>
      <c r="AS6" s="70" t="s">
        <v>310</v>
      </c>
      <c r="AT6" s="70" t="s">
        <v>310</v>
      </c>
      <c r="AU6" s="70"/>
      <c r="AV6" s="70"/>
      <c r="AW6" s="70"/>
      <c r="AX6" s="70"/>
      <c r="AY6" s="70"/>
      <c r="AZ6" s="70"/>
      <c r="BA6" s="70"/>
      <c r="BB6" s="70"/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 t="s">
        <v>310</v>
      </c>
      <c r="BL6" s="70"/>
      <c r="BM6" s="70"/>
      <c r="BN6" s="70" t="s">
        <v>310</v>
      </c>
    </row>
    <row r="7" spans="1:66" x14ac:dyDescent="0.2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/>
      <c r="N7" s="69" t="s">
        <v>310</v>
      </c>
      <c r="O7" s="69"/>
      <c r="P7" s="69" t="s">
        <v>310</v>
      </c>
      <c r="Q7" s="69"/>
      <c r="R7" s="96" t="s">
        <v>310</v>
      </c>
      <c r="S7" s="96"/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 t="s">
        <v>310</v>
      </c>
      <c r="AC7" s="69" t="s">
        <v>310</v>
      </c>
      <c r="AD7" s="69"/>
      <c r="AE7" s="69"/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/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/>
      <c r="BG7" s="69"/>
      <c r="BH7" s="69" t="s">
        <v>310</v>
      </c>
      <c r="BI7" s="69" t="s">
        <v>310</v>
      </c>
      <c r="BJ7" s="69"/>
      <c r="BK7" s="69" t="s">
        <v>310</v>
      </c>
      <c r="BL7" s="69" t="s">
        <v>310</v>
      </c>
      <c r="BM7" s="69" t="s">
        <v>310</v>
      </c>
      <c r="BN7" s="69"/>
    </row>
    <row r="8" spans="1:66" x14ac:dyDescent="0.2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 t="s">
        <v>310</v>
      </c>
      <c r="N8" s="70"/>
      <c r="O8" s="70" t="s">
        <v>310</v>
      </c>
      <c r="P8" s="70"/>
      <c r="Q8" s="70" t="s">
        <v>310</v>
      </c>
      <c r="R8" s="97"/>
      <c r="S8" s="97" t="s">
        <v>310</v>
      </c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/>
      <c r="AC8" s="70"/>
      <c r="AD8" s="70" t="s">
        <v>310</v>
      </c>
      <c r="AE8" s="70" t="s">
        <v>310</v>
      </c>
      <c r="AF8" s="70"/>
      <c r="AG8" s="70"/>
      <c r="AH8" s="70"/>
      <c r="AI8" s="70"/>
      <c r="AJ8" s="70"/>
      <c r="AK8" s="70" t="s">
        <v>310</v>
      </c>
      <c r="AL8" s="70"/>
      <c r="AM8" s="70"/>
      <c r="AN8" s="70"/>
      <c r="AO8" s="70"/>
      <c r="AP8" s="70"/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310</v>
      </c>
      <c r="BG8" s="70" t="s">
        <v>310</v>
      </c>
      <c r="BH8" s="70"/>
      <c r="BI8" s="70"/>
      <c r="BJ8" s="70" t="s">
        <v>310</v>
      </c>
      <c r="BK8" s="70"/>
      <c r="BL8" s="70"/>
      <c r="BM8" s="70"/>
      <c r="BN8" s="70" t="s">
        <v>310</v>
      </c>
    </row>
    <row r="9" spans="1:66" x14ac:dyDescent="0.2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/>
      <c r="AB9" s="69" t="s">
        <v>310</v>
      </c>
      <c r="AC9" s="69" t="s">
        <v>310</v>
      </c>
      <c r="AD9" s="69" t="s">
        <v>310</v>
      </c>
      <c r="AE9" s="69" t="s">
        <v>310</v>
      </c>
      <c r="AF9" s="69" t="s">
        <v>310</v>
      </c>
      <c r="AG9" s="69" t="s">
        <v>310</v>
      </c>
      <c r="AH9" s="69" t="s">
        <v>310</v>
      </c>
      <c r="AI9" s="69" t="s">
        <v>310</v>
      </c>
      <c r="AJ9" s="69"/>
      <c r="AK9" s="69" t="s">
        <v>310</v>
      </c>
      <c r="AL9" s="69"/>
      <c r="AM9" s="69" t="s">
        <v>310</v>
      </c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/>
      <c r="AY9" s="69" t="s">
        <v>310</v>
      </c>
      <c r="AZ9" s="69" t="s">
        <v>310</v>
      </c>
      <c r="BA9" s="69"/>
      <c r="BB9" s="69" t="s">
        <v>310</v>
      </c>
      <c r="BC9" s="69"/>
      <c r="BD9" s="69" t="s">
        <v>310</v>
      </c>
      <c r="BE9" s="96" t="s">
        <v>310</v>
      </c>
      <c r="BF9" s="69" t="s">
        <v>310</v>
      </c>
      <c r="BG9" s="69"/>
      <c r="BH9" s="69"/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/>
      <c r="P10" s="70"/>
      <c r="Q10" s="70"/>
      <c r="R10" s="97"/>
      <c r="S10" s="97" t="s">
        <v>310</v>
      </c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310</v>
      </c>
      <c r="AK10" s="70"/>
      <c r="AL10" s="70" t="s">
        <v>310</v>
      </c>
      <c r="AM10" s="70"/>
      <c r="AN10" s="70" t="s">
        <v>310</v>
      </c>
      <c r="AO10" s="70"/>
      <c r="AP10" s="70"/>
      <c r="AQ10" s="70"/>
      <c r="AR10" s="70"/>
      <c r="AS10" s="70"/>
      <c r="AT10" s="70"/>
      <c r="AU10" s="70" t="s">
        <v>310</v>
      </c>
      <c r="AV10" s="70"/>
      <c r="AW10" s="70"/>
      <c r="AX10" s="70" t="s">
        <v>310</v>
      </c>
      <c r="AY10" s="70"/>
      <c r="AZ10" s="70"/>
      <c r="BA10" s="70" t="s">
        <v>310</v>
      </c>
      <c r="BB10" s="70"/>
      <c r="BC10" s="70" t="s">
        <v>310</v>
      </c>
      <c r="BD10" s="70"/>
      <c r="BE10" s="70"/>
      <c r="BF10" s="70"/>
      <c r="BG10" s="70" t="s">
        <v>310</v>
      </c>
      <c r="BH10" s="70" t="s">
        <v>310</v>
      </c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/>
      <c r="R11" s="96"/>
      <c r="S11" s="96"/>
      <c r="T11" s="96"/>
      <c r="U11" s="69" t="s">
        <v>310</v>
      </c>
      <c r="V11" s="69"/>
      <c r="W11" s="69"/>
      <c r="X11" s="69"/>
      <c r="Y11" s="69"/>
      <c r="Z11" s="69" t="s">
        <v>310</v>
      </c>
      <c r="AA11" s="69"/>
      <c r="AB11" s="69"/>
      <c r="AC11" s="69"/>
      <c r="AD11" s="69"/>
      <c r="AE11" s="69"/>
      <c r="AF11" s="69" t="s">
        <v>310</v>
      </c>
      <c r="AG11" s="69" t="s">
        <v>310</v>
      </c>
      <c r="AH11" s="69" t="s">
        <v>310</v>
      </c>
      <c r="AI11" s="69"/>
      <c r="AJ11" s="69"/>
      <c r="AK11" s="69" t="s">
        <v>310</v>
      </c>
      <c r="AL11" s="69"/>
      <c r="AM11" s="69" t="s">
        <v>310</v>
      </c>
      <c r="AN11" s="69"/>
      <c r="AO11" s="69" t="s">
        <v>310</v>
      </c>
      <c r="AP11" s="69"/>
      <c r="AQ11" s="69"/>
      <c r="AR11" s="69"/>
      <c r="AS11" s="69" t="s">
        <v>310</v>
      </c>
      <c r="AT11" s="69" t="s">
        <v>310</v>
      </c>
      <c r="AU11" s="69"/>
      <c r="AV11" s="69"/>
      <c r="AW11" s="69" t="s">
        <v>310</v>
      </c>
      <c r="AX11" s="69"/>
      <c r="AY11" s="69"/>
      <c r="AZ11" s="69"/>
      <c r="BA11" s="69"/>
      <c r="BB11" s="69"/>
      <c r="BC11" s="69"/>
      <c r="BD11" s="69" t="s">
        <v>310</v>
      </c>
      <c r="BE11" s="96"/>
      <c r="BF11" s="69"/>
      <c r="BG11" s="69"/>
      <c r="BH11" s="69" t="s">
        <v>310</v>
      </c>
      <c r="BI11" s="69" t="s">
        <v>310</v>
      </c>
      <c r="BJ11" s="69"/>
      <c r="BK11" s="69" t="s">
        <v>310</v>
      </c>
      <c r="BL11" s="69"/>
      <c r="BM11" s="69" t="s">
        <v>310</v>
      </c>
      <c r="BN11" s="69"/>
    </row>
    <row r="12" spans="1:66" x14ac:dyDescent="0.2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310</v>
      </c>
      <c r="N12" s="70"/>
      <c r="O12" s="70"/>
      <c r="P12" s="70"/>
      <c r="Q12" s="70" t="s">
        <v>310</v>
      </c>
      <c r="R12" s="97" t="s">
        <v>310</v>
      </c>
      <c r="S12" s="97" t="s">
        <v>310</v>
      </c>
      <c r="T12" s="97" t="s">
        <v>310</v>
      </c>
      <c r="U12" s="97"/>
      <c r="V12" s="70" t="s">
        <v>310</v>
      </c>
      <c r="W12" s="70" t="s">
        <v>310</v>
      </c>
      <c r="X12" s="70" t="s">
        <v>310</v>
      </c>
      <c r="Y12" s="70" t="s">
        <v>310</v>
      </c>
      <c r="Z12" s="70"/>
      <c r="AA12" s="70"/>
      <c r="AB12" s="70" t="s">
        <v>310</v>
      </c>
      <c r="AC12" s="70" t="s">
        <v>310</v>
      </c>
      <c r="AD12" s="70" t="s">
        <v>310</v>
      </c>
      <c r="AE12" s="70" t="s">
        <v>310</v>
      </c>
      <c r="AF12" s="70"/>
      <c r="AG12" s="70"/>
      <c r="AH12" s="70"/>
      <c r="AI12" s="70" t="s">
        <v>310</v>
      </c>
      <c r="AJ12" s="70" t="s">
        <v>310</v>
      </c>
      <c r="AK12" s="70"/>
      <c r="AL12" s="70" t="s">
        <v>310</v>
      </c>
      <c r="AM12" s="70"/>
      <c r="AN12" s="70" t="s">
        <v>310</v>
      </c>
      <c r="AO12" s="70"/>
      <c r="AP12" s="70" t="s">
        <v>310</v>
      </c>
      <c r="AQ12" s="70" t="s">
        <v>310</v>
      </c>
      <c r="AR12" s="97" t="s">
        <v>310</v>
      </c>
      <c r="AS12" s="70"/>
      <c r="AT12" s="70"/>
      <c r="AU12" s="70" t="s">
        <v>310</v>
      </c>
      <c r="AV12" s="70" t="s">
        <v>310</v>
      </c>
      <c r="AW12" s="70"/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/>
      <c r="BE12" s="70" t="s">
        <v>310</v>
      </c>
      <c r="BF12" s="70" t="s">
        <v>310</v>
      </c>
      <c r="BG12" s="70" t="s">
        <v>310</v>
      </c>
      <c r="BH12" s="70"/>
      <c r="BI12" s="70"/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310</v>
      </c>
      <c r="O13" s="69"/>
      <c r="P13" s="69" t="s">
        <v>310</v>
      </c>
      <c r="Q13" s="69" t="s">
        <v>310</v>
      </c>
      <c r="R13" s="96"/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 t="s">
        <v>310</v>
      </c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 t="s">
        <v>310</v>
      </c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/>
      <c r="BA13" s="69"/>
      <c r="BB13" s="69" t="s">
        <v>310</v>
      </c>
      <c r="BC13" s="69" t="s">
        <v>310</v>
      </c>
      <c r="BD13" s="69"/>
      <c r="BE13" s="96" t="s">
        <v>310</v>
      </c>
      <c r="BF13" s="69"/>
      <c r="BG13" s="69"/>
      <c r="BH13" s="69" t="s">
        <v>310</v>
      </c>
      <c r="BI13" s="69" t="s">
        <v>310</v>
      </c>
      <c r="BJ13" s="69"/>
      <c r="BK13" s="69"/>
      <c r="BL13" s="69"/>
      <c r="BM13" s="69" t="s">
        <v>310</v>
      </c>
      <c r="BN13" s="69"/>
    </row>
    <row r="14" spans="1:66" x14ac:dyDescent="0.2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 t="s">
        <v>310</v>
      </c>
      <c r="M14" s="70" t="s">
        <v>310</v>
      </c>
      <c r="N14" s="70"/>
      <c r="O14" s="70" t="s">
        <v>310</v>
      </c>
      <c r="P14" s="70"/>
      <c r="Q14" s="70"/>
      <c r="R14" s="97" t="s">
        <v>310</v>
      </c>
      <c r="S14" s="97"/>
      <c r="T14" s="97"/>
      <c r="U14" s="97"/>
      <c r="V14" s="70"/>
      <c r="W14" s="70"/>
      <c r="X14" s="70" t="s">
        <v>310</v>
      </c>
      <c r="Y14" s="70"/>
      <c r="Z14" s="70" t="s">
        <v>310</v>
      </c>
      <c r="AA14" s="70"/>
      <c r="AB14" s="70"/>
      <c r="AC14" s="70"/>
      <c r="AD14" s="70" t="s">
        <v>310</v>
      </c>
      <c r="AE14" s="70"/>
      <c r="AF14" s="70"/>
      <c r="AG14" s="70" t="s">
        <v>310</v>
      </c>
      <c r="AH14" s="70"/>
      <c r="AI14" s="70" t="s">
        <v>310</v>
      </c>
      <c r="AJ14" s="70"/>
      <c r="AK14" s="70"/>
      <c r="AL14" s="70" t="s">
        <v>310</v>
      </c>
      <c r="AM14" s="70"/>
      <c r="AN14" s="70"/>
      <c r="AO14" s="70"/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 t="s">
        <v>310</v>
      </c>
      <c r="BA14" s="70" t="s">
        <v>310</v>
      </c>
      <c r="BB14" s="70"/>
      <c r="BC14" s="70"/>
      <c r="BD14" s="70" t="s">
        <v>310</v>
      </c>
      <c r="BE14" s="70"/>
      <c r="BF14" s="70" t="s">
        <v>310</v>
      </c>
      <c r="BG14" s="70" t="s">
        <v>310</v>
      </c>
      <c r="BH14" s="70"/>
      <c r="BI14" s="70"/>
      <c r="BJ14" s="70" t="s">
        <v>310</v>
      </c>
      <c r="BK14" s="70" t="s">
        <v>310</v>
      </c>
      <c r="BL14" s="70" t="s">
        <v>310</v>
      </c>
      <c r="BM14" s="70"/>
      <c r="BN14" s="70" t="s">
        <v>310</v>
      </c>
    </row>
    <row r="15" spans="1:66" x14ac:dyDescent="0.2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 t="s">
        <v>310</v>
      </c>
      <c r="N15" s="69" t="s">
        <v>310</v>
      </c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 t="s">
        <v>310</v>
      </c>
      <c r="U15" s="96" t="s">
        <v>310</v>
      </c>
      <c r="V15" s="69" t="s">
        <v>310</v>
      </c>
      <c r="W15" s="69"/>
      <c r="X15" s="69" t="s">
        <v>310</v>
      </c>
      <c r="Y15" s="69"/>
      <c r="Z15" s="69" t="s">
        <v>310</v>
      </c>
      <c r="AA15" s="69"/>
      <c r="AB15" s="69" t="s">
        <v>310</v>
      </c>
      <c r="AC15" s="69"/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 t="s">
        <v>310</v>
      </c>
      <c r="AR15" s="69" t="s">
        <v>310</v>
      </c>
      <c r="AS15" s="69" t="s">
        <v>310</v>
      </c>
      <c r="AT15" s="69"/>
      <c r="AU15" s="69" t="s">
        <v>310</v>
      </c>
      <c r="AV15" s="69"/>
      <c r="AW15" s="69" t="s">
        <v>310</v>
      </c>
      <c r="AX15" s="69"/>
      <c r="AY15" s="69" t="s">
        <v>310</v>
      </c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 t="s">
        <v>310</v>
      </c>
      <c r="BG15" s="69" t="s">
        <v>310</v>
      </c>
      <c r="BH15" s="69" t="s">
        <v>310</v>
      </c>
      <c r="BI15" s="69"/>
      <c r="BJ15" s="69"/>
      <c r="BK15" s="69"/>
      <c r="BL15" s="69" t="s">
        <v>310</v>
      </c>
      <c r="BM15" s="69" t="s">
        <v>310</v>
      </c>
      <c r="BN15" s="69" t="s">
        <v>310</v>
      </c>
    </row>
    <row r="16" spans="1:66" x14ac:dyDescent="0.2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/>
      <c r="N16" s="70"/>
      <c r="O16" s="70" t="s">
        <v>310</v>
      </c>
      <c r="P16" s="70"/>
      <c r="Q16" s="70"/>
      <c r="R16" s="70"/>
      <c r="S16" s="70"/>
      <c r="T16" s="70"/>
      <c r="U16" s="70"/>
      <c r="V16" s="70"/>
      <c r="W16" s="70" t="s">
        <v>310</v>
      </c>
      <c r="X16" s="70"/>
      <c r="Y16" s="70" t="s">
        <v>310</v>
      </c>
      <c r="Z16" s="70"/>
      <c r="AA16" s="70"/>
      <c r="AB16" s="70"/>
      <c r="AC16" s="70" t="s">
        <v>310</v>
      </c>
      <c r="AD16" s="70"/>
      <c r="AE16" s="70" t="s">
        <v>310</v>
      </c>
      <c r="AF16" s="70"/>
      <c r="AG16" s="70" t="s">
        <v>310</v>
      </c>
      <c r="AH16" s="70"/>
      <c r="AI16" s="70"/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 t="s">
        <v>310</v>
      </c>
      <c r="AQ16" s="70"/>
      <c r="AR16" s="97"/>
      <c r="AS16" s="70"/>
      <c r="AT16" s="70" t="s">
        <v>310</v>
      </c>
      <c r="AU16" s="70"/>
      <c r="AV16" s="70" t="s">
        <v>310</v>
      </c>
      <c r="AW16" s="70"/>
      <c r="AX16" s="70" t="s">
        <v>310</v>
      </c>
      <c r="AY16" s="70"/>
      <c r="AZ16" s="70"/>
      <c r="BA16" s="70"/>
      <c r="BB16" s="70"/>
      <c r="BC16" s="70" t="s">
        <v>310</v>
      </c>
      <c r="BD16" s="70"/>
      <c r="BE16" s="70" t="s">
        <v>310</v>
      </c>
      <c r="BF16" s="70"/>
      <c r="BG16" s="70"/>
      <c r="BH16" s="70"/>
      <c r="BI16" s="70" t="s">
        <v>310</v>
      </c>
      <c r="BJ16" s="70" t="s">
        <v>310</v>
      </c>
      <c r="BK16" s="70" t="s">
        <v>310</v>
      </c>
      <c r="BL16" s="70"/>
      <c r="BM16" s="70"/>
      <c r="BN16" s="70"/>
    </row>
    <row r="17" spans="1:66" x14ac:dyDescent="0.2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310</v>
      </c>
      <c r="T17" s="69" t="s">
        <v>310</v>
      </c>
      <c r="U17" s="69"/>
      <c r="V17" s="69" t="s">
        <v>310</v>
      </c>
      <c r="W17" s="69"/>
      <c r="X17" s="69"/>
      <c r="Y17" s="69" t="s">
        <v>310</v>
      </c>
      <c r="Z17" s="69"/>
      <c r="AA17" s="69"/>
      <c r="AB17" s="69" t="s">
        <v>310</v>
      </c>
      <c r="AC17" s="69"/>
      <c r="AD17" s="69"/>
      <c r="AE17" s="69" t="s">
        <v>310</v>
      </c>
      <c r="AF17" s="69" t="s">
        <v>310</v>
      </c>
      <c r="AG17" s="69"/>
      <c r="AH17" s="69"/>
      <c r="AI17" s="69" t="s">
        <v>310</v>
      </c>
      <c r="AJ17" s="69"/>
      <c r="AK17" s="69"/>
      <c r="AL17" s="69" t="s">
        <v>310</v>
      </c>
      <c r="AM17" s="69"/>
      <c r="AN17" s="69"/>
      <c r="AO17" s="69" t="s">
        <v>310</v>
      </c>
      <c r="AP17" s="69" t="s">
        <v>310</v>
      </c>
      <c r="AQ17" s="69"/>
      <c r="AR17" s="96" t="s">
        <v>310</v>
      </c>
      <c r="AS17" s="69" t="s">
        <v>310</v>
      </c>
      <c r="AT17" s="69" t="s">
        <v>310</v>
      </c>
      <c r="AU17" s="69"/>
      <c r="AV17" s="69"/>
      <c r="AW17" s="69" t="s">
        <v>310</v>
      </c>
      <c r="AX17" s="69"/>
      <c r="AY17" s="69"/>
      <c r="AZ17" s="69"/>
      <c r="BA17" s="69"/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/>
      <c r="BJ17" s="69"/>
      <c r="BK17" s="69" t="s">
        <v>310</v>
      </c>
      <c r="BL17" s="69"/>
      <c r="BM17" s="69"/>
      <c r="BN17" s="69" t="s">
        <v>310</v>
      </c>
    </row>
    <row r="18" spans="1:66" x14ac:dyDescent="0.2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310</v>
      </c>
      <c r="L18" s="70" t="s">
        <v>310</v>
      </c>
      <c r="M18" s="70" t="s">
        <v>310</v>
      </c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/>
      <c r="T18" s="70"/>
      <c r="U18" s="97" t="s">
        <v>310</v>
      </c>
      <c r="V18" s="70"/>
      <c r="W18" s="70" t="s">
        <v>310</v>
      </c>
      <c r="X18" s="70" t="s">
        <v>310</v>
      </c>
      <c r="Y18" s="70"/>
      <c r="Z18" s="70" t="s">
        <v>310</v>
      </c>
      <c r="AA18" s="70"/>
      <c r="AB18" s="70"/>
      <c r="AC18" s="70" t="s">
        <v>310</v>
      </c>
      <c r="AD18" s="70" t="s">
        <v>310</v>
      </c>
      <c r="AE18" s="70"/>
      <c r="AF18" s="70"/>
      <c r="AG18" s="70" t="s">
        <v>310</v>
      </c>
      <c r="AH18" s="70" t="s">
        <v>310</v>
      </c>
      <c r="AI18" s="70"/>
      <c r="AJ18" s="70" t="s">
        <v>310</v>
      </c>
      <c r="AK18" s="70" t="s">
        <v>310</v>
      </c>
      <c r="AL18" s="70"/>
      <c r="AM18" s="70" t="s">
        <v>310</v>
      </c>
      <c r="AN18" s="70" t="s">
        <v>310</v>
      </c>
      <c r="AO18" s="70"/>
      <c r="AP18" s="70"/>
      <c r="AQ18" s="70" t="s">
        <v>310</v>
      </c>
      <c r="AR18" s="70"/>
      <c r="AS18" s="70"/>
      <c r="AT18" s="70"/>
      <c r="AU18" s="70" t="s">
        <v>310</v>
      </c>
      <c r="AV18" s="70" t="s">
        <v>310</v>
      </c>
      <c r="AW18" s="70"/>
      <c r="AX18" s="70" t="s">
        <v>310</v>
      </c>
      <c r="AY18" s="70" t="s">
        <v>310</v>
      </c>
      <c r="AZ18" s="70" t="s">
        <v>310</v>
      </c>
      <c r="BA18" s="70" t="s">
        <v>310</v>
      </c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 t="s">
        <v>310</v>
      </c>
      <c r="BJ18" s="70" t="s">
        <v>310</v>
      </c>
      <c r="BK18" s="70"/>
      <c r="BL18" s="70" t="s">
        <v>310</v>
      </c>
      <c r="BM18" s="70" t="s">
        <v>310</v>
      </c>
      <c r="BN18" s="70"/>
    </row>
    <row r="19" spans="1:66" x14ac:dyDescent="0.2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 t="s">
        <v>310</v>
      </c>
      <c r="S19" s="69"/>
      <c r="T19" s="69" t="s">
        <v>310</v>
      </c>
      <c r="U19" s="96"/>
      <c r="V19" s="69" t="s">
        <v>310</v>
      </c>
      <c r="W19" s="69" t="s">
        <v>310</v>
      </c>
      <c r="X19" s="69"/>
      <c r="Y19" s="69" t="s">
        <v>310</v>
      </c>
      <c r="Z19" s="69"/>
      <c r="AA19" s="69"/>
      <c r="AB19" s="69"/>
      <c r="AC19" s="69" t="s">
        <v>310</v>
      </c>
      <c r="AD19" s="69"/>
      <c r="AE19" s="69"/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 t="s">
        <v>310</v>
      </c>
      <c r="AW19" s="69" t="s">
        <v>310</v>
      </c>
      <c r="AX19" s="69"/>
      <c r="AY19" s="69" t="s">
        <v>310</v>
      </c>
      <c r="AZ19" s="69"/>
      <c r="BA19" s="69" t="s">
        <v>310</v>
      </c>
      <c r="BB19" s="69"/>
      <c r="BC19" s="69"/>
      <c r="BD19" s="69"/>
      <c r="BE19" s="69"/>
      <c r="BF19" s="69" t="s">
        <v>310</v>
      </c>
      <c r="BG19" s="69"/>
      <c r="BH19" s="69"/>
      <c r="BI19" s="69"/>
      <c r="BJ19" s="69"/>
      <c r="BK19" s="69" t="s">
        <v>310</v>
      </c>
      <c r="BL19" s="69" t="s">
        <v>310</v>
      </c>
      <c r="BM19" s="69" t="s">
        <v>310</v>
      </c>
      <c r="BN19" s="69"/>
    </row>
    <row r="20" spans="1:66" x14ac:dyDescent="0.2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 t="s">
        <v>310</v>
      </c>
      <c r="R20" s="70"/>
      <c r="S20" s="70" t="s">
        <v>310</v>
      </c>
      <c r="T20" s="70"/>
      <c r="U20" s="70" t="s">
        <v>310</v>
      </c>
      <c r="V20" s="70"/>
      <c r="W20" s="70"/>
      <c r="X20" s="70" t="s">
        <v>310</v>
      </c>
      <c r="Y20" s="70"/>
      <c r="Z20" s="70" t="s">
        <v>310</v>
      </c>
      <c r="AA20" s="70"/>
      <c r="AB20" s="70" t="s">
        <v>310</v>
      </c>
      <c r="AC20" s="70"/>
      <c r="AD20" s="70" t="s">
        <v>310</v>
      </c>
      <c r="AE20" s="70" t="s">
        <v>310</v>
      </c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 t="s">
        <v>310</v>
      </c>
      <c r="AO20" s="70"/>
      <c r="AP20" s="70" t="s">
        <v>310</v>
      </c>
      <c r="AQ20" s="70"/>
      <c r="AR20" s="97"/>
      <c r="AS20" s="70"/>
      <c r="AT20" s="70" t="s">
        <v>310</v>
      </c>
      <c r="AU20" s="70"/>
      <c r="AV20" s="70"/>
      <c r="AW20" s="70"/>
      <c r="AX20" s="70" t="s">
        <v>310</v>
      </c>
      <c r="AY20" s="70"/>
      <c r="AZ20" s="70" t="s">
        <v>310</v>
      </c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 t="s">
        <v>310</v>
      </c>
      <c r="BH20" s="70" t="s">
        <v>310</v>
      </c>
      <c r="BI20" s="70" t="s">
        <v>310</v>
      </c>
      <c r="BJ20" s="70" t="s">
        <v>310</v>
      </c>
      <c r="BK20" s="70"/>
      <c r="BL20" s="70"/>
      <c r="BM20" s="70"/>
      <c r="BN20" s="70" t="s">
        <v>310</v>
      </c>
    </row>
    <row r="21" spans="1:66" x14ac:dyDescent="0.2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 t="s">
        <v>310</v>
      </c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 t="s">
        <v>310</v>
      </c>
      <c r="AE21" s="69"/>
      <c r="AF21" s="69"/>
      <c r="AG21" s="69"/>
      <c r="AH21" s="69" t="s">
        <v>310</v>
      </c>
      <c r="AI21" s="69" t="s">
        <v>310</v>
      </c>
      <c r="AJ21" s="69"/>
      <c r="AK21" s="69" t="s">
        <v>310</v>
      </c>
      <c r="AL21" s="69" t="s">
        <v>310</v>
      </c>
      <c r="AM21" s="69"/>
      <c r="AN21" s="69"/>
      <c r="AO21" s="69" t="s">
        <v>310</v>
      </c>
      <c r="AP21" s="69"/>
      <c r="AQ21" s="69"/>
      <c r="AR21" s="96"/>
      <c r="AS21" s="69" t="s">
        <v>310</v>
      </c>
      <c r="AT21" s="69"/>
      <c r="AU21" s="69" t="s">
        <v>310</v>
      </c>
      <c r="AV21" s="69" t="s">
        <v>310</v>
      </c>
      <c r="AW21" s="69"/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/>
      <c r="BD21" s="69"/>
      <c r="BE21" s="96" t="s">
        <v>310</v>
      </c>
      <c r="BF21" s="69" t="s">
        <v>310</v>
      </c>
      <c r="BG21" s="69"/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/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/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/>
      <c r="AL22" s="70"/>
      <c r="AM22" s="70" t="s">
        <v>310</v>
      </c>
      <c r="AN22" s="70" t="s">
        <v>310</v>
      </c>
      <c r="AO22" s="70"/>
      <c r="AP22" s="70" t="s">
        <v>310</v>
      </c>
      <c r="AQ22" s="70" t="s">
        <v>310</v>
      </c>
      <c r="AR22" s="70" t="s">
        <v>310</v>
      </c>
      <c r="AS22" s="70"/>
      <c r="AT22" s="70" t="s">
        <v>310</v>
      </c>
      <c r="AU22" s="70"/>
      <c r="AV22" s="70"/>
      <c r="AW22" s="70" t="s">
        <v>310</v>
      </c>
      <c r="AX22" s="70"/>
      <c r="AY22" s="70"/>
      <c r="AZ22" s="70" t="s">
        <v>310</v>
      </c>
      <c r="BA22" s="70"/>
      <c r="BB22" s="70"/>
      <c r="BC22" s="70" t="s">
        <v>310</v>
      </c>
      <c r="BD22" s="70" t="s">
        <v>310</v>
      </c>
      <c r="BE22" s="70"/>
      <c r="BF22" s="70"/>
      <c r="BG22" s="70" t="s">
        <v>310</v>
      </c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310</v>
      </c>
      <c r="L3" s="69"/>
      <c r="M3" s="69"/>
      <c r="N3" s="69"/>
      <c r="O3" s="69" t="s">
        <v>310</v>
      </c>
      <c r="P3" s="69"/>
      <c r="Q3" s="69"/>
      <c r="R3" s="69"/>
      <c r="S3" s="69" t="s">
        <v>310</v>
      </c>
      <c r="T3" s="69"/>
      <c r="U3" s="69"/>
      <c r="V3" s="69" t="s">
        <v>310</v>
      </c>
      <c r="W3" s="69"/>
      <c r="X3" s="69" t="s">
        <v>310</v>
      </c>
      <c r="Y3" s="69" t="s">
        <v>310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310</v>
      </c>
      <c r="AJ3" s="69"/>
      <c r="AK3" s="69" t="s">
        <v>310</v>
      </c>
      <c r="AL3" s="69" t="s">
        <v>310</v>
      </c>
      <c r="AM3" s="69"/>
      <c r="AN3" s="69" t="s">
        <v>310</v>
      </c>
      <c r="AO3" s="69" t="s">
        <v>310</v>
      </c>
      <c r="AP3" s="69" t="s">
        <v>310</v>
      </c>
      <c r="AQ3" s="69"/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/>
      <c r="AY3" s="69"/>
      <c r="AZ3" s="69"/>
      <c r="BA3" s="69"/>
      <c r="BB3" s="69"/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/>
      <c r="BK3" s="69" t="s">
        <v>310</v>
      </c>
      <c r="BL3" s="69"/>
      <c r="BM3" s="69" t="s">
        <v>310</v>
      </c>
      <c r="BN3" s="69"/>
    </row>
    <row r="4" spans="1:66" x14ac:dyDescent="0.2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310</v>
      </c>
      <c r="M4" s="70"/>
      <c r="N4" s="70" t="s">
        <v>310</v>
      </c>
      <c r="O4" s="70"/>
      <c r="P4" s="70" t="s">
        <v>310</v>
      </c>
      <c r="Q4" s="70" t="s">
        <v>310</v>
      </c>
      <c r="R4" s="70" t="s">
        <v>310</v>
      </c>
      <c r="S4" s="70"/>
      <c r="T4" s="70"/>
      <c r="U4" s="97" t="s">
        <v>310</v>
      </c>
      <c r="V4" s="70"/>
      <c r="W4" s="70" t="s">
        <v>310</v>
      </c>
      <c r="X4" s="70"/>
      <c r="Y4" s="70"/>
      <c r="Z4" s="70" t="s">
        <v>310</v>
      </c>
      <c r="AA4" s="70" t="s">
        <v>310</v>
      </c>
      <c r="AB4" s="70" t="s">
        <v>310</v>
      </c>
      <c r="AC4" s="70" t="s">
        <v>310</v>
      </c>
      <c r="AD4" s="70" t="s">
        <v>310</v>
      </c>
      <c r="AE4" s="70"/>
      <c r="AF4" s="70" t="s">
        <v>310</v>
      </c>
      <c r="AG4" s="70" t="s">
        <v>310</v>
      </c>
      <c r="AH4" s="70" t="s">
        <v>310</v>
      </c>
      <c r="AI4" s="70"/>
      <c r="AJ4" s="70" t="s">
        <v>310</v>
      </c>
      <c r="AK4" s="70"/>
      <c r="AL4" s="70"/>
      <c r="AM4" s="70" t="s">
        <v>310</v>
      </c>
      <c r="AN4" s="70"/>
      <c r="AO4" s="70"/>
      <c r="AP4" s="70"/>
      <c r="AQ4" s="70" t="s">
        <v>310</v>
      </c>
      <c r="AR4" s="70"/>
      <c r="AS4" s="70" t="s">
        <v>310</v>
      </c>
      <c r="AT4" s="70"/>
      <c r="AU4" s="70"/>
      <c r="AV4" s="70"/>
      <c r="AW4" s="70"/>
      <c r="AX4" s="70" t="s">
        <v>310</v>
      </c>
      <c r="AY4" s="70" t="s">
        <v>310</v>
      </c>
      <c r="AZ4" s="70"/>
      <c r="BA4" s="70" t="s">
        <v>310</v>
      </c>
      <c r="BB4" s="70" t="s">
        <v>310</v>
      </c>
      <c r="BC4" s="70"/>
      <c r="BD4" s="70"/>
      <c r="BE4" s="70"/>
      <c r="BF4" s="70" t="s">
        <v>310</v>
      </c>
      <c r="BG4" s="70" t="s">
        <v>310</v>
      </c>
      <c r="BH4" s="70"/>
      <c r="BI4" s="70"/>
      <c r="BJ4" s="70" t="s">
        <v>310</v>
      </c>
      <c r="BK4" s="70"/>
      <c r="BL4" s="70" t="s">
        <v>310</v>
      </c>
      <c r="BM4" s="70"/>
      <c r="BN4" s="70" t="s">
        <v>310</v>
      </c>
    </row>
    <row r="5" spans="1:66" x14ac:dyDescent="0.2">
      <c r="A5" s="59">
        <v>2</v>
      </c>
      <c r="B5" s="67" t="s">
        <v>137</v>
      </c>
      <c r="C5" s="65">
        <v>2.5</v>
      </c>
      <c r="D5" s="64">
        <v>10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 t="s">
        <v>245</v>
      </c>
      <c r="C6" s="66"/>
      <c r="D6" s="64">
        <v>16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 t="s">
        <v>310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310</v>
      </c>
      <c r="X7" s="69" t="s">
        <v>310</v>
      </c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310</v>
      </c>
      <c r="AO7" s="69" t="s">
        <v>310</v>
      </c>
      <c r="AP7" s="69"/>
      <c r="AQ7" s="69"/>
      <c r="AR7" s="96"/>
      <c r="AS7" s="69"/>
      <c r="AT7" s="69"/>
      <c r="AU7" s="69"/>
      <c r="AV7" s="69" t="s">
        <v>310</v>
      </c>
      <c r="AW7" s="69"/>
      <c r="AX7" s="69"/>
      <c r="AY7" s="69"/>
      <c r="AZ7" s="69"/>
      <c r="BA7" s="69" t="s">
        <v>310</v>
      </c>
      <c r="BB7" s="69"/>
      <c r="BC7" s="69" t="s">
        <v>310</v>
      </c>
      <c r="BD7" s="69"/>
      <c r="BE7" s="96"/>
      <c r="BF7" s="69"/>
      <c r="BG7" s="69" t="s">
        <v>310</v>
      </c>
      <c r="BH7" s="69" t="s">
        <v>310</v>
      </c>
      <c r="BI7" s="69"/>
      <c r="BJ7" s="69"/>
      <c r="BK7" s="69" t="s">
        <v>310</v>
      </c>
      <c r="BL7" s="69"/>
      <c r="BM7" s="69"/>
      <c r="BN7" s="69" t="s">
        <v>310</v>
      </c>
    </row>
    <row r="8" spans="1:66" x14ac:dyDescent="0.2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 t="s">
        <v>310</v>
      </c>
      <c r="S8" s="97" t="s">
        <v>310</v>
      </c>
      <c r="T8" s="97"/>
      <c r="U8" s="97" t="s">
        <v>310</v>
      </c>
      <c r="V8" s="70" t="s">
        <v>310</v>
      </c>
      <c r="W8" s="70"/>
      <c r="X8" s="70"/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/>
      <c r="AF8" s="70" t="s">
        <v>310</v>
      </c>
      <c r="AG8" s="70" t="s">
        <v>310</v>
      </c>
      <c r="AH8" s="70" t="s">
        <v>310</v>
      </c>
      <c r="AI8" s="70" t="s">
        <v>310</v>
      </c>
      <c r="AJ8" s="70" t="s">
        <v>310</v>
      </c>
      <c r="AK8" s="70" t="s">
        <v>310</v>
      </c>
      <c r="AL8" s="70" t="s">
        <v>310</v>
      </c>
      <c r="AM8" s="70" t="s">
        <v>310</v>
      </c>
      <c r="AN8" s="70"/>
      <c r="AO8" s="70"/>
      <c r="AP8" s="70" t="s">
        <v>310</v>
      </c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/>
      <c r="BD8" s="70" t="s">
        <v>310</v>
      </c>
      <c r="BE8" s="70" t="s">
        <v>310</v>
      </c>
      <c r="BF8" s="70" t="s">
        <v>310</v>
      </c>
      <c r="BG8" s="70"/>
      <c r="BH8" s="70"/>
      <c r="BI8" s="70" t="s">
        <v>310</v>
      </c>
      <c r="BJ8" s="70" t="s">
        <v>310</v>
      </c>
      <c r="BK8" s="70"/>
      <c r="BL8" s="70" t="s">
        <v>310</v>
      </c>
      <c r="BM8" s="70" t="s">
        <v>310</v>
      </c>
      <c r="BN8" s="70"/>
    </row>
    <row r="9" spans="1:66" x14ac:dyDescent="0.2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/>
      <c r="N9" s="69" t="s">
        <v>310</v>
      </c>
      <c r="O9" s="69"/>
      <c r="P9" s="69" t="s">
        <v>310</v>
      </c>
      <c r="Q9" s="69"/>
      <c r="R9" s="96"/>
      <c r="S9" s="96"/>
      <c r="T9" s="96"/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/>
      <c r="AC9" s="69" t="s">
        <v>310</v>
      </c>
      <c r="AD9" s="69"/>
      <c r="AE9" s="69"/>
      <c r="AF9" s="69"/>
      <c r="AG9" s="69" t="s">
        <v>310</v>
      </c>
      <c r="AH9" s="69" t="s">
        <v>310</v>
      </c>
      <c r="AI9" s="69"/>
      <c r="AJ9" s="69"/>
      <c r="AK9" s="69" t="s">
        <v>310</v>
      </c>
      <c r="AL9" s="69" t="s">
        <v>310</v>
      </c>
      <c r="AM9" s="69" t="s">
        <v>310</v>
      </c>
      <c r="AN9" s="69" t="s">
        <v>310</v>
      </c>
      <c r="AO9" s="69" t="s">
        <v>310</v>
      </c>
      <c r="AP9" s="69" t="s">
        <v>310</v>
      </c>
      <c r="AQ9" s="69"/>
      <c r="AR9" s="96"/>
      <c r="AS9" s="69" t="s">
        <v>310</v>
      </c>
      <c r="AT9" s="69"/>
      <c r="AU9" s="69" t="s">
        <v>310</v>
      </c>
      <c r="AV9" s="69"/>
      <c r="AW9" s="69" t="s">
        <v>310</v>
      </c>
      <c r="AX9" s="69"/>
      <c r="AY9" s="69" t="s">
        <v>310</v>
      </c>
      <c r="AZ9" s="69"/>
      <c r="BA9" s="69" t="s">
        <v>310</v>
      </c>
      <c r="BB9" s="69" t="s">
        <v>310</v>
      </c>
      <c r="BC9" s="69"/>
      <c r="BD9" s="69"/>
      <c r="BE9" s="96"/>
      <c r="BF9" s="69" t="s">
        <v>310</v>
      </c>
      <c r="BG9" s="69" t="s">
        <v>310</v>
      </c>
      <c r="BH9" s="69"/>
      <c r="BI9" s="69"/>
      <c r="BJ9" s="69" t="s">
        <v>310</v>
      </c>
      <c r="BK9" s="69" t="s">
        <v>310</v>
      </c>
      <c r="BL9" s="69"/>
      <c r="BM9" s="69"/>
      <c r="BN9" s="69" t="s">
        <v>310</v>
      </c>
    </row>
    <row r="10" spans="1:66" x14ac:dyDescent="0.2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 t="s">
        <v>310</v>
      </c>
      <c r="P10" s="70"/>
      <c r="Q10" s="70" t="s">
        <v>310</v>
      </c>
      <c r="R10" s="97" t="s">
        <v>310</v>
      </c>
      <c r="S10" s="97" t="s">
        <v>310</v>
      </c>
      <c r="T10" s="97"/>
      <c r="U10" s="70"/>
      <c r="V10" s="70"/>
      <c r="W10" s="70"/>
      <c r="X10" s="70"/>
      <c r="Y10" s="70"/>
      <c r="Z10" s="70"/>
      <c r="AA10" s="70"/>
      <c r="AB10" s="70" t="s">
        <v>310</v>
      </c>
      <c r="AC10" s="70"/>
      <c r="AD10" s="70" t="s">
        <v>310</v>
      </c>
      <c r="AE10" s="70"/>
      <c r="AF10" s="70" t="s">
        <v>310</v>
      </c>
      <c r="AG10" s="70"/>
      <c r="AH10" s="70"/>
      <c r="AI10" s="70" t="s">
        <v>310</v>
      </c>
      <c r="AJ10" s="70" t="s">
        <v>310</v>
      </c>
      <c r="AK10" s="70"/>
      <c r="AL10" s="70"/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/>
      <c r="AX10" s="70" t="s">
        <v>310</v>
      </c>
      <c r="AY10" s="70"/>
      <c r="AZ10" s="70"/>
      <c r="BA10" s="70"/>
      <c r="BB10" s="70"/>
      <c r="BC10" s="70" t="s">
        <v>310</v>
      </c>
      <c r="BD10" s="70" t="s">
        <v>310</v>
      </c>
      <c r="BE10" s="70" t="s">
        <v>310</v>
      </c>
      <c r="BF10" s="70"/>
      <c r="BG10" s="70"/>
      <c r="BH10" s="70" t="s">
        <v>310</v>
      </c>
      <c r="BI10" s="70" t="s">
        <v>310</v>
      </c>
      <c r="BJ10" s="70"/>
      <c r="BK10" s="70"/>
      <c r="BL10" s="70" t="s">
        <v>310</v>
      </c>
      <c r="BM10" s="70" t="s">
        <v>310</v>
      </c>
      <c r="BN10" s="70"/>
    </row>
    <row r="11" spans="1:66" x14ac:dyDescent="0.2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310</v>
      </c>
      <c r="O11" s="69"/>
      <c r="P11" s="69"/>
      <c r="Q11" s="69" t="s">
        <v>310</v>
      </c>
      <c r="R11" s="96" t="s">
        <v>310</v>
      </c>
      <c r="S11" s="96"/>
      <c r="T11" s="96"/>
      <c r="U11" s="69"/>
      <c r="V11" s="69"/>
      <c r="W11" s="69" t="s">
        <v>310</v>
      </c>
      <c r="X11" s="69" t="s">
        <v>310</v>
      </c>
      <c r="Y11" s="69"/>
      <c r="Z11" s="69" t="s">
        <v>310</v>
      </c>
      <c r="AA11" s="69"/>
      <c r="AB11" s="69" t="s">
        <v>310</v>
      </c>
      <c r="AC11" s="69" t="s">
        <v>310</v>
      </c>
      <c r="AD11" s="69" t="s">
        <v>310</v>
      </c>
      <c r="AE11" s="69"/>
      <c r="AF11" s="69"/>
      <c r="AG11" s="69" t="s">
        <v>310</v>
      </c>
      <c r="AH11" s="69"/>
      <c r="AI11" s="69"/>
      <c r="AJ11" s="69"/>
      <c r="AK11" s="69"/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/>
      <c r="AT11" s="69"/>
      <c r="AU11" s="69"/>
      <c r="AV11" s="69" t="s">
        <v>310</v>
      </c>
      <c r="AW11" s="69"/>
      <c r="AX11" s="69" t="s">
        <v>310</v>
      </c>
      <c r="AY11" s="69" t="s">
        <v>310</v>
      </c>
      <c r="AZ11" s="69"/>
      <c r="BA11" s="69" t="s">
        <v>310</v>
      </c>
      <c r="BB11" s="69"/>
      <c r="BC11" s="69"/>
      <c r="BD11" s="69" t="s">
        <v>310</v>
      </c>
      <c r="BE11" s="96" t="s">
        <v>310</v>
      </c>
      <c r="BF11" s="69"/>
      <c r="BG11" s="69" t="s">
        <v>310</v>
      </c>
      <c r="BH11" s="69" t="s">
        <v>310</v>
      </c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/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 t="s">
        <v>310</v>
      </c>
      <c r="V12" s="70" t="s">
        <v>310</v>
      </c>
      <c r="W12" s="70"/>
      <c r="X12" s="70"/>
      <c r="Y12" s="70" t="s">
        <v>310</v>
      </c>
      <c r="Z12" s="70"/>
      <c r="AA12" s="70" t="s">
        <v>310</v>
      </c>
      <c r="AB12" s="70"/>
      <c r="AC12" s="70"/>
      <c r="AD12" s="70"/>
      <c r="AE12" s="70"/>
      <c r="AF12" s="70" t="s">
        <v>310</v>
      </c>
      <c r="AG12" s="70"/>
      <c r="AH12" s="70" t="s">
        <v>310</v>
      </c>
      <c r="AI12" s="70" t="s">
        <v>310</v>
      </c>
      <c r="AJ12" s="70" t="s">
        <v>310</v>
      </c>
      <c r="AK12" s="70" t="s">
        <v>310</v>
      </c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 t="s">
        <v>310</v>
      </c>
      <c r="AV12" s="70"/>
      <c r="AW12" s="70" t="s">
        <v>310</v>
      </c>
      <c r="AX12" s="70"/>
      <c r="AY12" s="70"/>
      <c r="AZ12" s="70"/>
      <c r="BA12" s="70"/>
      <c r="BB12" s="70" t="s">
        <v>310</v>
      </c>
      <c r="BC12" s="70" t="s">
        <v>310</v>
      </c>
      <c r="BD12" s="70"/>
      <c r="BE12" s="70"/>
      <c r="BF12" s="70" t="s">
        <v>310</v>
      </c>
      <c r="BG12" s="70"/>
      <c r="BH12" s="70"/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/>
      <c r="N13" s="69" t="s">
        <v>310</v>
      </c>
      <c r="O13" s="69"/>
      <c r="P13" s="69" t="s">
        <v>310</v>
      </c>
      <c r="Q13" s="69"/>
      <c r="R13" s="96" t="s">
        <v>310</v>
      </c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 t="s">
        <v>310</v>
      </c>
      <c r="Y13" s="69" t="s">
        <v>310</v>
      </c>
      <c r="Z13" s="69"/>
      <c r="AA13" s="69" t="s">
        <v>310</v>
      </c>
      <c r="AB13" s="69"/>
      <c r="AC13" s="69" t="s">
        <v>310</v>
      </c>
      <c r="AD13" s="69" t="s">
        <v>310</v>
      </c>
      <c r="AE13" s="69"/>
      <c r="AF13" s="69" t="s">
        <v>310</v>
      </c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/>
      <c r="AP13" s="69" t="s">
        <v>310</v>
      </c>
      <c r="AQ13" s="69" t="s">
        <v>310</v>
      </c>
      <c r="AR13" s="96"/>
      <c r="AS13" s="69"/>
      <c r="AT13" s="69"/>
      <c r="AU13" s="69" t="s">
        <v>310</v>
      </c>
      <c r="AV13" s="69" t="s">
        <v>310</v>
      </c>
      <c r="AW13" s="69" t="s">
        <v>310</v>
      </c>
      <c r="AX13" s="69" t="s">
        <v>310</v>
      </c>
      <c r="AY13" s="69"/>
      <c r="AZ13" s="69"/>
      <c r="BA13" s="69" t="s">
        <v>310</v>
      </c>
      <c r="BB13" s="69" t="s">
        <v>310</v>
      </c>
      <c r="BC13" s="69" t="s">
        <v>310</v>
      </c>
      <c r="BD13" s="69" t="s">
        <v>310</v>
      </c>
      <c r="BE13" s="96"/>
      <c r="BF13" s="69" t="s">
        <v>310</v>
      </c>
      <c r="BG13" s="69" t="s">
        <v>310</v>
      </c>
      <c r="BH13" s="69" t="s">
        <v>310</v>
      </c>
      <c r="BI13" s="69" t="s">
        <v>310</v>
      </c>
      <c r="BJ13" s="69"/>
      <c r="BK13" s="69"/>
      <c r="BL13" s="69" t="s">
        <v>310</v>
      </c>
      <c r="BM13" s="69"/>
      <c r="BN13" s="69"/>
    </row>
    <row r="14" spans="1:66" x14ac:dyDescent="0.2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310</v>
      </c>
      <c r="M14" s="70"/>
      <c r="N14" s="70"/>
      <c r="O14" s="70" t="s">
        <v>310</v>
      </c>
      <c r="P14" s="70"/>
      <c r="Q14" s="70" t="s">
        <v>310</v>
      </c>
      <c r="R14" s="97"/>
      <c r="S14" s="97"/>
      <c r="T14" s="97"/>
      <c r="U14" s="97"/>
      <c r="V14" s="70"/>
      <c r="W14" s="70"/>
      <c r="X14" s="70"/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310</v>
      </c>
      <c r="AO14" s="70" t="s">
        <v>310</v>
      </c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/>
      <c r="AX14" s="70"/>
      <c r="AY14" s="70" t="s">
        <v>310</v>
      </c>
      <c r="AZ14" s="70"/>
      <c r="BA14" s="70"/>
      <c r="BB14" s="70"/>
      <c r="BC14" s="70"/>
      <c r="BD14" s="70"/>
      <c r="BE14" s="70" t="s">
        <v>310</v>
      </c>
      <c r="BF14" s="70"/>
      <c r="BG14" s="70"/>
      <c r="BH14" s="70"/>
      <c r="BI14" s="70"/>
      <c r="BJ14" s="70" t="s">
        <v>310</v>
      </c>
      <c r="BK14" s="70" t="s">
        <v>310</v>
      </c>
      <c r="BL14" s="70"/>
      <c r="BM14" s="70" t="s">
        <v>310</v>
      </c>
      <c r="BN14" s="70" t="s">
        <v>310</v>
      </c>
    </row>
    <row r="15" spans="1:66" x14ac:dyDescent="0.2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/>
      <c r="M15" s="69"/>
      <c r="N15" s="69"/>
      <c r="O15" s="69"/>
      <c r="P15" s="69" t="s">
        <v>310</v>
      </c>
      <c r="Q15" s="69" t="s">
        <v>310</v>
      </c>
      <c r="R15" s="96"/>
      <c r="S15" s="96" t="s">
        <v>310</v>
      </c>
      <c r="T15" s="96"/>
      <c r="U15" s="96" t="s">
        <v>310</v>
      </c>
      <c r="V15" s="69"/>
      <c r="W15" s="69"/>
      <c r="X15" s="69" t="s">
        <v>310</v>
      </c>
      <c r="Y15" s="69" t="s">
        <v>310</v>
      </c>
      <c r="Z15" s="69" t="s">
        <v>310</v>
      </c>
      <c r="AA15" s="69" t="s">
        <v>310</v>
      </c>
      <c r="AB15" s="69"/>
      <c r="AC15" s="69"/>
      <c r="AD15" s="69" t="s">
        <v>310</v>
      </c>
      <c r="AE15" s="69"/>
      <c r="AF15" s="69" t="s">
        <v>310</v>
      </c>
      <c r="AG15" s="69" t="s">
        <v>310</v>
      </c>
      <c r="AH15" s="69" t="s">
        <v>310</v>
      </c>
      <c r="AI15" s="69"/>
      <c r="AJ15" s="69" t="s">
        <v>310</v>
      </c>
      <c r="AK15" s="69"/>
      <c r="AL15" s="69"/>
      <c r="AM15" s="69" t="s">
        <v>310</v>
      </c>
      <c r="AN15" s="69"/>
      <c r="AO15" s="69"/>
      <c r="AP15" s="69" t="s">
        <v>310</v>
      </c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 t="s">
        <v>310</v>
      </c>
      <c r="AZ15" s="69"/>
      <c r="BA15" s="69" t="s">
        <v>310</v>
      </c>
      <c r="BB15" s="69"/>
      <c r="BC15" s="69"/>
      <c r="BD15" s="69"/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/>
      <c r="BN15" s="69" t="s">
        <v>310</v>
      </c>
    </row>
    <row r="16" spans="1:66" x14ac:dyDescent="0.2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310</v>
      </c>
      <c r="M16" s="70"/>
      <c r="N16" s="70" t="s">
        <v>310</v>
      </c>
      <c r="O16" s="70" t="s">
        <v>310</v>
      </c>
      <c r="P16" s="70"/>
      <c r="Q16" s="70"/>
      <c r="R16" s="70" t="s">
        <v>310</v>
      </c>
      <c r="S16" s="70"/>
      <c r="T16" s="70"/>
      <c r="U16" s="70"/>
      <c r="V16" s="70" t="s">
        <v>310</v>
      </c>
      <c r="W16" s="70" t="s">
        <v>310</v>
      </c>
      <c r="X16" s="70"/>
      <c r="Y16" s="70"/>
      <c r="Z16" s="70"/>
      <c r="AA16" s="70"/>
      <c r="AB16" s="70" t="s">
        <v>310</v>
      </c>
      <c r="AC16" s="70" t="s">
        <v>310</v>
      </c>
      <c r="AD16" s="70"/>
      <c r="AE16" s="70"/>
      <c r="AF16" s="70"/>
      <c r="AG16" s="70"/>
      <c r="AH16" s="70"/>
      <c r="AI16" s="70" t="s">
        <v>310</v>
      </c>
      <c r="AJ16" s="70"/>
      <c r="AK16" s="70" t="s">
        <v>310</v>
      </c>
      <c r="AL16" s="70" t="s">
        <v>310</v>
      </c>
      <c r="AM16" s="70"/>
      <c r="AN16" s="70" t="s">
        <v>310</v>
      </c>
      <c r="AO16" s="70" t="s">
        <v>310</v>
      </c>
      <c r="AP16" s="70"/>
      <c r="AQ16" s="70"/>
      <c r="AR16" s="97"/>
      <c r="AS16" s="70"/>
      <c r="AT16" s="70"/>
      <c r="AU16" s="70" t="s">
        <v>310</v>
      </c>
      <c r="AV16" s="70" t="s">
        <v>310</v>
      </c>
      <c r="AW16" s="70"/>
      <c r="AX16" s="70" t="s">
        <v>310</v>
      </c>
      <c r="AY16" s="70"/>
      <c r="AZ16" s="70"/>
      <c r="BA16" s="70"/>
      <c r="BB16" s="70" t="s">
        <v>310</v>
      </c>
      <c r="BC16" s="70" t="s">
        <v>310</v>
      </c>
      <c r="BD16" s="70" t="s">
        <v>310</v>
      </c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 t="s">
        <v>310</v>
      </c>
      <c r="BN16" s="70"/>
    </row>
    <row r="17" spans="1:66" x14ac:dyDescent="0.2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310</v>
      </c>
      <c r="P17" s="69"/>
      <c r="Q17" s="69" t="s">
        <v>310</v>
      </c>
      <c r="R17" s="69" t="s">
        <v>310</v>
      </c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/>
      <c r="AA17" s="69"/>
      <c r="AB17" s="69" t="s">
        <v>310</v>
      </c>
      <c r="AC17" s="69"/>
      <c r="AD17" s="69"/>
      <c r="AE17" s="69"/>
      <c r="AF17" s="69"/>
      <c r="AG17" s="69"/>
      <c r="AH17" s="69" t="s">
        <v>310</v>
      </c>
      <c r="AI17" s="69"/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/>
      <c r="AP17" s="69"/>
      <c r="AQ17" s="69" t="s">
        <v>310</v>
      </c>
      <c r="AR17" s="96" t="s">
        <v>310</v>
      </c>
      <c r="AS17" s="69" t="s">
        <v>310</v>
      </c>
      <c r="AT17" s="69"/>
      <c r="AU17" s="69" t="s">
        <v>310</v>
      </c>
      <c r="AV17" s="69" t="s">
        <v>310</v>
      </c>
      <c r="AW17" s="69"/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 t="s">
        <v>310</v>
      </c>
      <c r="BI17" s="69" t="s">
        <v>310</v>
      </c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 t="s">
        <v>310</v>
      </c>
      <c r="T18" s="70"/>
      <c r="U18" s="97"/>
      <c r="V18" s="70"/>
      <c r="W18" s="70"/>
      <c r="X18" s="70"/>
      <c r="Y18" s="70"/>
      <c r="Z18" s="70" t="s">
        <v>310</v>
      </c>
      <c r="AA18" s="70" t="s">
        <v>310</v>
      </c>
      <c r="AB18" s="70"/>
      <c r="AC18" s="70" t="s">
        <v>310</v>
      </c>
      <c r="AD18" s="70" t="s">
        <v>310</v>
      </c>
      <c r="AE18" s="70"/>
      <c r="AF18" s="70" t="s">
        <v>310</v>
      </c>
      <c r="AG18" s="70" t="s">
        <v>310</v>
      </c>
      <c r="AH18" s="70"/>
      <c r="AI18" s="70" t="s">
        <v>310</v>
      </c>
      <c r="AJ18" s="70"/>
      <c r="AK18" s="70" t="s">
        <v>310</v>
      </c>
      <c r="AL18" s="70"/>
      <c r="AM18" s="70"/>
      <c r="AN18" s="70"/>
      <c r="AO18" s="70" t="s">
        <v>310</v>
      </c>
      <c r="AP18" s="70" t="s">
        <v>310</v>
      </c>
      <c r="AQ18" s="70"/>
      <c r="AR18" s="70"/>
      <c r="AS18" s="70"/>
      <c r="AT18" s="70"/>
      <c r="AU18" s="70"/>
      <c r="AV18" s="70"/>
      <c r="AW18" s="70" t="s">
        <v>310</v>
      </c>
      <c r="AX18" s="70"/>
      <c r="AY18" s="70"/>
      <c r="AZ18" s="70"/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/>
      <c r="BI18" s="70"/>
      <c r="BJ18" s="70"/>
      <c r="BK18" s="70" t="s">
        <v>310</v>
      </c>
      <c r="BL18" s="70"/>
      <c r="BM18" s="70"/>
      <c r="BN18" s="70"/>
    </row>
    <row r="19" spans="1:66" x14ac:dyDescent="0.2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310</v>
      </c>
      <c r="S19" s="69" t="s">
        <v>310</v>
      </c>
      <c r="T19" s="69"/>
      <c r="U19" s="96"/>
      <c r="V19" s="69" t="s">
        <v>310</v>
      </c>
      <c r="W19" s="69"/>
      <c r="X19" s="69" t="s">
        <v>310</v>
      </c>
      <c r="Y19" s="69"/>
      <c r="Z19" s="69"/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 t="s">
        <v>310</v>
      </c>
      <c r="AI19" s="69"/>
      <c r="AJ19" s="69" t="s">
        <v>310</v>
      </c>
      <c r="AK19" s="69"/>
      <c r="AL19" s="69" t="s">
        <v>310</v>
      </c>
      <c r="AM19" s="69" t="s">
        <v>310</v>
      </c>
      <c r="AN19" s="69" t="s">
        <v>310</v>
      </c>
      <c r="AO19" s="69"/>
      <c r="AP19" s="69" t="s">
        <v>310</v>
      </c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 t="s">
        <v>310</v>
      </c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 t="s">
        <v>310</v>
      </c>
      <c r="BN19" s="69" t="s">
        <v>310</v>
      </c>
    </row>
    <row r="20" spans="1:66" x14ac:dyDescent="0.2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/>
      <c r="S20" s="70"/>
      <c r="T20" s="70"/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/>
      <c r="AB20" s="70"/>
      <c r="AC20" s="70" t="s">
        <v>310</v>
      </c>
      <c r="AD20" s="70"/>
      <c r="AE20" s="70"/>
      <c r="AF20" s="70"/>
      <c r="AG20" s="70"/>
      <c r="AH20" s="70"/>
      <c r="AI20" s="70" t="s">
        <v>310</v>
      </c>
      <c r="AJ20" s="70"/>
      <c r="AK20" s="70" t="s">
        <v>310</v>
      </c>
      <c r="AL20" s="70"/>
      <c r="AM20" s="70"/>
      <c r="AN20" s="70"/>
      <c r="AO20" s="70" t="s">
        <v>310</v>
      </c>
      <c r="AP20" s="70"/>
      <c r="AQ20" s="70"/>
      <c r="AR20" s="97"/>
      <c r="AS20" s="70"/>
      <c r="AT20" s="70"/>
      <c r="AU20" s="70"/>
      <c r="AV20" s="70" t="s">
        <v>310</v>
      </c>
      <c r="AW20" s="70"/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 t="s">
        <v>310</v>
      </c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/>
      <c r="BN20" s="70"/>
    </row>
    <row r="21" spans="1:66" x14ac:dyDescent="0.2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/>
      <c r="N21" s="69" t="s">
        <v>310</v>
      </c>
      <c r="O21" s="69" t="s">
        <v>310</v>
      </c>
      <c r="P21" s="69"/>
      <c r="Q21" s="69" t="s">
        <v>310</v>
      </c>
      <c r="R21" s="69" t="s">
        <v>310</v>
      </c>
      <c r="S21" s="69" t="s">
        <v>310</v>
      </c>
      <c r="T21" s="69"/>
      <c r="U21" s="96" t="s">
        <v>310</v>
      </c>
      <c r="V21" s="69"/>
      <c r="W21" s="69" t="s">
        <v>310</v>
      </c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 t="s">
        <v>310</v>
      </c>
      <c r="AI21" s="69"/>
      <c r="AJ21" s="69" t="s">
        <v>310</v>
      </c>
      <c r="AK21" s="69" t="s">
        <v>310</v>
      </c>
      <c r="AL21" s="69"/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/>
      <c r="AU21" s="69" t="s">
        <v>310</v>
      </c>
      <c r="AV21" s="69" t="s">
        <v>310</v>
      </c>
      <c r="AW21" s="69"/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/>
      <c r="BE21" s="96" t="s">
        <v>310</v>
      </c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/>
      <c r="S22" s="70"/>
      <c r="T22" s="70"/>
      <c r="U22" s="70"/>
      <c r="V22" s="70" t="s">
        <v>310</v>
      </c>
      <c r="W22" s="70"/>
      <c r="X22" s="70"/>
      <c r="Y22" s="70"/>
      <c r="Z22" s="70"/>
      <c r="AA22" s="70"/>
      <c r="AB22" s="70" t="s">
        <v>310</v>
      </c>
      <c r="AC22" s="70"/>
      <c r="AD22" s="70" t="s">
        <v>310</v>
      </c>
      <c r="AE22" s="70"/>
      <c r="AF22" s="70"/>
      <c r="AG22" s="70"/>
      <c r="AH22" s="70"/>
      <c r="AI22" s="70" t="s">
        <v>310</v>
      </c>
      <c r="AJ22" s="70"/>
      <c r="AK22" s="70"/>
      <c r="AL22" s="70" t="s">
        <v>310</v>
      </c>
      <c r="AM22" s="70"/>
      <c r="AN22" s="70"/>
      <c r="AO22" s="70" t="s">
        <v>310</v>
      </c>
      <c r="AP22" s="70" t="s">
        <v>310</v>
      </c>
      <c r="AQ22" s="70" t="s">
        <v>310</v>
      </c>
      <c r="AR22" s="70"/>
      <c r="AS22" s="70"/>
      <c r="AT22" s="70"/>
      <c r="AU22" s="70"/>
      <c r="AV22" s="70"/>
      <c r="AW22" s="70" t="s">
        <v>310</v>
      </c>
      <c r="AX22" s="70" t="s">
        <v>310</v>
      </c>
      <c r="AY22" s="70"/>
      <c r="AZ22" s="70"/>
      <c r="BA22" s="70" t="s">
        <v>310</v>
      </c>
      <c r="BB22" s="70"/>
      <c r="BC22" s="70"/>
      <c r="BD22" s="70" t="s">
        <v>310</v>
      </c>
      <c r="BE22" s="70"/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/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C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</v>
      </c>
      <c r="AQ39" s="3" t="str">
        <f t="shared" ca="1" si="13"/>
        <v>Neeley, Amber Remote</v>
      </c>
      <c r="AR39" s="3" t="str">
        <f t="shared" ca="1" si="13"/>
        <v>Neeley, Michael</v>
      </c>
      <c r="AS39" s="3" t="str">
        <f t="shared" ca="1" si="13"/>
        <v>Neill, Charles H</v>
      </c>
      <c r="AT39" s="3" t="str">
        <f t="shared" ca="1" si="13"/>
        <v>Nguyen, Thai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/>
      <c r="W3" s="69"/>
      <c r="X3" s="69" t="s">
        <v>310</v>
      </c>
      <c r="Y3" s="69"/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/>
      <c r="AG3" s="69" t="s">
        <v>310</v>
      </c>
      <c r="AH3" s="69"/>
      <c r="AI3" s="69"/>
      <c r="AJ3" s="69"/>
      <c r="AK3" s="69" t="s">
        <v>310</v>
      </c>
      <c r="AL3" s="69"/>
      <c r="AM3" s="69"/>
      <c r="AN3" s="69"/>
      <c r="AO3" s="69"/>
      <c r="AP3" s="69" t="s">
        <v>310</v>
      </c>
      <c r="AQ3" s="69"/>
      <c r="AR3" s="96"/>
      <c r="AS3" s="69"/>
      <c r="AT3" s="69" t="s">
        <v>310</v>
      </c>
      <c r="AU3" s="69"/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 t="s">
        <v>310</v>
      </c>
      <c r="BH3" s="69" t="s">
        <v>310</v>
      </c>
      <c r="BI3" s="69"/>
      <c r="BJ3" s="69"/>
      <c r="BK3" s="69" t="s">
        <v>310</v>
      </c>
      <c r="BL3" s="69"/>
      <c r="BM3" s="69"/>
      <c r="BN3" s="69" t="s">
        <v>310</v>
      </c>
    </row>
    <row r="4" spans="1:66" x14ac:dyDescent="0.2">
      <c r="A4" s="61" t="s">
        <v>3</v>
      </c>
      <c r="B4" s="68" t="s">
        <v>271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 t="s">
        <v>310</v>
      </c>
      <c r="P4" s="70" t="s">
        <v>310</v>
      </c>
      <c r="Q4" s="70"/>
      <c r="R4" s="70"/>
      <c r="S4" s="70"/>
      <c r="T4" s="70"/>
      <c r="U4" s="97"/>
      <c r="V4" s="70" t="s">
        <v>310</v>
      </c>
      <c r="W4" s="70" t="s">
        <v>310</v>
      </c>
      <c r="X4" s="70"/>
      <c r="Y4" s="70" t="s">
        <v>310</v>
      </c>
      <c r="Z4" s="70" t="s">
        <v>310</v>
      </c>
      <c r="AA4" s="70"/>
      <c r="AB4" s="70"/>
      <c r="AC4" s="70"/>
      <c r="AD4" s="70"/>
      <c r="AE4" s="70" t="s">
        <v>310</v>
      </c>
      <c r="AF4" s="70" t="s">
        <v>310</v>
      </c>
      <c r="AG4" s="70"/>
      <c r="AH4" s="70" t="s">
        <v>310</v>
      </c>
      <c r="AI4" s="70" t="s">
        <v>310</v>
      </c>
      <c r="AJ4" s="70" t="s">
        <v>310</v>
      </c>
      <c r="AK4" s="70"/>
      <c r="AL4" s="70" t="s">
        <v>310</v>
      </c>
      <c r="AM4" s="70" t="s">
        <v>310</v>
      </c>
      <c r="AN4" s="70" t="s">
        <v>310</v>
      </c>
      <c r="AO4" s="70" t="s">
        <v>310</v>
      </c>
      <c r="AP4" s="70"/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/>
      <c r="BE4" s="70"/>
      <c r="BF4" s="70"/>
      <c r="BG4" s="70"/>
      <c r="BH4" s="70"/>
      <c r="BI4" s="70" t="s">
        <v>310</v>
      </c>
      <c r="BJ4" s="70" t="s">
        <v>310</v>
      </c>
      <c r="BK4" s="70"/>
      <c r="BL4" s="70" t="s">
        <v>310</v>
      </c>
      <c r="BM4" s="70" t="s">
        <v>310</v>
      </c>
      <c r="BN4" s="70"/>
    </row>
    <row r="5" spans="1:66" x14ac:dyDescent="0.2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 t="s">
        <v>310</v>
      </c>
      <c r="Q5" s="69" t="s">
        <v>310</v>
      </c>
      <c r="R5" s="69" t="s">
        <v>310</v>
      </c>
      <c r="S5" s="69"/>
      <c r="T5" s="69"/>
      <c r="U5" s="96" t="s">
        <v>310</v>
      </c>
      <c r="V5" s="69"/>
      <c r="W5" s="69"/>
      <c r="X5" s="69"/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 t="s">
        <v>310</v>
      </c>
      <c r="AF5" s="69"/>
      <c r="AG5" s="69" t="s">
        <v>310</v>
      </c>
      <c r="AH5" s="69" t="s">
        <v>310</v>
      </c>
      <c r="AI5" s="69" t="s">
        <v>310</v>
      </c>
      <c r="AJ5" s="69" t="s">
        <v>310</v>
      </c>
      <c r="AK5" s="69" t="s">
        <v>310</v>
      </c>
      <c r="AL5" s="69" t="s">
        <v>310</v>
      </c>
      <c r="AM5" s="69" t="s">
        <v>310</v>
      </c>
      <c r="AN5" s="69" t="s">
        <v>310</v>
      </c>
      <c r="AO5" s="69" t="s">
        <v>310</v>
      </c>
      <c r="AP5" s="69" t="s">
        <v>310</v>
      </c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 t="s">
        <v>310</v>
      </c>
      <c r="BB5" s="69" t="s">
        <v>310</v>
      </c>
      <c r="BC5" s="69"/>
      <c r="BD5" s="69"/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/>
      <c r="Q6" s="70"/>
      <c r="R6" s="70"/>
      <c r="S6" s="70" t="s">
        <v>310</v>
      </c>
      <c r="T6" s="70" t="s">
        <v>310</v>
      </c>
      <c r="U6" s="70"/>
      <c r="V6" s="70" t="s">
        <v>310</v>
      </c>
      <c r="W6" s="70" t="s">
        <v>310</v>
      </c>
      <c r="X6" s="70" t="s">
        <v>310</v>
      </c>
      <c r="Y6" s="70"/>
      <c r="Z6" s="70"/>
      <c r="AA6" s="70" t="s">
        <v>310</v>
      </c>
      <c r="AB6" s="70"/>
      <c r="AC6" s="70"/>
      <c r="AD6" s="70" t="s">
        <v>310</v>
      </c>
      <c r="AE6" s="70"/>
      <c r="AF6" s="70" t="s">
        <v>310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310</v>
      </c>
      <c r="AT6" s="70"/>
      <c r="AU6" s="70"/>
      <c r="AV6" s="70"/>
      <c r="AW6" s="70" t="s">
        <v>310</v>
      </c>
      <c r="AX6" s="70"/>
      <c r="AY6" s="70"/>
      <c r="AZ6" s="70" t="s">
        <v>310</v>
      </c>
      <c r="BA6" s="70"/>
      <c r="BB6" s="70"/>
      <c r="BC6" s="70" t="s">
        <v>310</v>
      </c>
      <c r="BD6" s="70" t="s">
        <v>310</v>
      </c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310</v>
      </c>
      <c r="Q7" s="69"/>
      <c r="R7" s="96"/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310</v>
      </c>
      <c r="AK7" s="69" t="s">
        <v>310</v>
      </c>
      <c r="AL7" s="69" t="s">
        <v>310</v>
      </c>
      <c r="AM7" s="69"/>
      <c r="AN7" s="69"/>
      <c r="AO7" s="69" t="s">
        <v>310</v>
      </c>
      <c r="AP7" s="69" t="s">
        <v>310</v>
      </c>
      <c r="AQ7" s="69" t="s">
        <v>310</v>
      </c>
      <c r="AR7" s="96"/>
      <c r="AS7" s="69"/>
      <c r="AT7" s="69" t="s">
        <v>310</v>
      </c>
      <c r="AU7" s="69"/>
      <c r="AV7" s="69"/>
      <c r="AW7" s="69"/>
      <c r="AX7" s="69" t="s">
        <v>310</v>
      </c>
      <c r="AY7" s="69"/>
      <c r="AZ7" s="69"/>
      <c r="BA7" s="69" t="s">
        <v>310</v>
      </c>
      <c r="BB7" s="69" t="s">
        <v>310</v>
      </c>
      <c r="BC7" s="69" t="s">
        <v>310</v>
      </c>
      <c r="BD7" s="69"/>
      <c r="BE7" s="96" t="s">
        <v>310</v>
      </c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 t="s">
        <v>310</v>
      </c>
      <c r="M8" s="70" t="s">
        <v>310</v>
      </c>
      <c r="N8" s="70" t="s">
        <v>310</v>
      </c>
      <c r="O8" s="70" t="s">
        <v>310</v>
      </c>
      <c r="P8" s="70"/>
      <c r="Q8" s="70" t="s">
        <v>310</v>
      </c>
      <c r="R8" s="97" t="s">
        <v>310</v>
      </c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 t="s">
        <v>310</v>
      </c>
      <c r="AF8" s="70" t="s">
        <v>310</v>
      </c>
      <c r="AG8" s="70" t="s">
        <v>310</v>
      </c>
      <c r="AH8" s="70" t="s">
        <v>310</v>
      </c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/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 t="s">
        <v>310</v>
      </c>
      <c r="AW8" s="70" t="s">
        <v>310</v>
      </c>
      <c r="AX8" s="70"/>
      <c r="AY8" s="70" t="s">
        <v>310</v>
      </c>
      <c r="AZ8" s="70" t="s">
        <v>310</v>
      </c>
      <c r="BA8" s="70"/>
      <c r="BB8" s="70"/>
      <c r="BC8" s="70"/>
      <c r="BD8" s="70" t="s">
        <v>310</v>
      </c>
      <c r="BE8" s="70"/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/>
      <c r="BN8" s="70"/>
    </row>
    <row r="9" spans="1:66" x14ac:dyDescent="0.2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 t="s">
        <v>310</v>
      </c>
      <c r="P9" s="69"/>
      <c r="Q9" s="69" t="s">
        <v>310</v>
      </c>
      <c r="R9" s="96" t="s">
        <v>310</v>
      </c>
      <c r="S9" s="96" t="s">
        <v>310</v>
      </c>
      <c r="T9" s="96" t="s">
        <v>310</v>
      </c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/>
      <c r="AG9" s="69" t="s">
        <v>310</v>
      </c>
      <c r="AH9" s="69" t="s">
        <v>310</v>
      </c>
      <c r="AI9" s="69"/>
      <c r="AJ9" s="69" t="s">
        <v>310</v>
      </c>
      <c r="AK9" s="69" t="s">
        <v>310</v>
      </c>
      <c r="AL9" s="69"/>
      <c r="AM9" s="69" t="s">
        <v>310</v>
      </c>
      <c r="AN9" s="69"/>
      <c r="AO9" s="69"/>
      <c r="AP9" s="69" t="s">
        <v>310</v>
      </c>
      <c r="AQ9" s="69"/>
      <c r="AR9" s="96" t="s">
        <v>310</v>
      </c>
      <c r="AS9" s="69" t="s">
        <v>310</v>
      </c>
      <c r="AT9" s="69" t="s">
        <v>310</v>
      </c>
      <c r="AU9" s="69"/>
      <c r="AV9" s="69"/>
      <c r="AW9" s="69" t="s">
        <v>310</v>
      </c>
      <c r="AX9" s="69" t="s">
        <v>310</v>
      </c>
      <c r="AY9" s="69" t="s">
        <v>310</v>
      </c>
      <c r="AZ9" s="69" t="s">
        <v>310</v>
      </c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 t="s">
        <v>310</v>
      </c>
      <c r="BL9" s="69" t="s">
        <v>310</v>
      </c>
      <c r="BM9" s="69" t="s">
        <v>310</v>
      </c>
      <c r="BN9" s="69"/>
    </row>
    <row r="10" spans="1:66" x14ac:dyDescent="0.2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/>
      <c r="P10" s="70" t="s">
        <v>310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310</v>
      </c>
      <c r="AA10" s="70" t="s">
        <v>310</v>
      </c>
      <c r="AB10" s="70"/>
      <c r="AC10" s="70"/>
      <c r="AD10" s="70"/>
      <c r="AE10" s="70" t="s">
        <v>310</v>
      </c>
      <c r="AF10" s="70" t="s">
        <v>310</v>
      </c>
      <c r="AG10" s="70"/>
      <c r="AH10" s="70"/>
      <c r="AI10" s="70" t="s">
        <v>310</v>
      </c>
      <c r="AJ10" s="70"/>
      <c r="AK10" s="70"/>
      <c r="AL10" s="70" t="s">
        <v>310</v>
      </c>
      <c r="AM10" s="70"/>
      <c r="AN10" s="70" t="s">
        <v>310</v>
      </c>
      <c r="AO10" s="70" t="s">
        <v>310</v>
      </c>
      <c r="AP10" s="70"/>
      <c r="AQ10" s="70" t="s">
        <v>310</v>
      </c>
      <c r="AR10" s="70"/>
      <c r="AS10" s="70"/>
      <c r="AT10" s="70"/>
      <c r="AU10" s="70" t="s">
        <v>310</v>
      </c>
      <c r="AV10" s="70" t="s">
        <v>310</v>
      </c>
      <c r="AW10" s="70"/>
      <c r="AX10" s="70"/>
      <c r="AY10" s="70"/>
      <c r="AZ10" s="70"/>
      <c r="BA10" s="70"/>
      <c r="BB10" s="70" t="s">
        <v>310</v>
      </c>
      <c r="BC10" s="70"/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/>
      <c r="BM10" s="70"/>
      <c r="BN10" s="70" t="s">
        <v>310</v>
      </c>
    </row>
    <row r="11" spans="1:66" x14ac:dyDescent="0.2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/>
      <c r="Q11" s="69"/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/>
      <c r="AA11" s="69"/>
      <c r="AB11" s="69"/>
      <c r="AC11" s="69" t="s">
        <v>310</v>
      </c>
      <c r="AD11" s="69"/>
      <c r="AE11" s="69" t="s">
        <v>310</v>
      </c>
      <c r="AF11" s="69"/>
      <c r="AG11" s="69" t="s">
        <v>310</v>
      </c>
      <c r="AH11" s="69"/>
      <c r="AI11" s="69"/>
      <c r="AJ11" s="69" t="s">
        <v>310</v>
      </c>
      <c r="AK11" s="69" t="s">
        <v>310</v>
      </c>
      <c r="AL11" s="69" t="s">
        <v>310</v>
      </c>
      <c r="AM11" s="69"/>
      <c r="AN11" s="69" t="s">
        <v>310</v>
      </c>
      <c r="AO11" s="69" t="s">
        <v>310</v>
      </c>
      <c r="AP11" s="69"/>
      <c r="AQ11" s="69" t="s">
        <v>310</v>
      </c>
      <c r="AR11" s="69"/>
      <c r="AS11" s="69"/>
      <c r="AT11" s="69"/>
      <c r="AU11" s="69"/>
      <c r="AV11" s="69" t="s">
        <v>310</v>
      </c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/>
      <c r="BE11" s="96" t="s">
        <v>310</v>
      </c>
      <c r="BF11" s="69"/>
      <c r="BG11" s="69" t="s">
        <v>310</v>
      </c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 t="s">
        <v>310</v>
      </c>
      <c r="Q12" s="70" t="s">
        <v>310</v>
      </c>
      <c r="R12" s="97" t="s">
        <v>310</v>
      </c>
      <c r="S12" s="97"/>
      <c r="T12" s="97"/>
      <c r="U12" s="97"/>
      <c r="V12" s="70"/>
      <c r="W12" s="70"/>
      <c r="X12" s="70" t="s">
        <v>310</v>
      </c>
      <c r="Y12" s="70"/>
      <c r="Z12" s="70" t="s">
        <v>310</v>
      </c>
      <c r="AA12" s="70" t="s">
        <v>310</v>
      </c>
      <c r="AB12" s="70" t="s">
        <v>310</v>
      </c>
      <c r="AC12" s="70"/>
      <c r="AD12" s="70" t="s">
        <v>310</v>
      </c>
      <c r="AE12" s="70"/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/>
      <c r="AM12" s="70" t="s">
        <v>310</v>
      </c>
      <c r="AN12" s="70"/>
      <c r="AO12" s="70"/>
      <c r="AP12" s="70" t="s">
        <v>310</v>
      </c>
      <c r="AQ12" s="70"/>
      <c r="AR12" s="97" t="s">
        <v>310</v>
      </c>
      <c r="AS12" s="70" t="s">
        <v>310</v>
      </c>
      <c r="AT12" s="70" t="s">
        <v>310</v>
      </c>
      <c r="AU12" s="70" t="s">
        <v>310</v>
      </c>
      <c r="AV12" s="70"/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 t="s">
        <v>310</v>
      </c>
      <c r="BE12" s="70"/>
      <c r="BF12" s="70" t="s">
        <v>310</v>
      </c>
      <c r="BG12" s="70"/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 t="s">
        <v>310</v>
      </c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/>
      <c r="AC13" s="69"/>
      <c r="AD13" s="69"/>
      <c r="AE13" s="69"/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/>
      <c r="AO13" s="69"/>
      <c r="AP13" s="69"/>
      <c r="AQ13" s="69"/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/>
      <c r="AY13" s="69"/>
      <c r="AZ13" s="69"/>
      <c r="BA13" s="69" t="s">
        <v>310</v>
      </c>
      <c r="BB13" s="69"/>
      <c r="BC13" s="69" t="s">
        <v>310</v>
      </c>
      <c r="BD13" s="69"/>
      <c r="BE13" s="96"/>
      <c r="BF13" s="69"/>
      <c r="BG13" s="69" t="s">
        <v>310</v>
      </c>
      <c r="BH13" s="69"/>
      <c r="BI13" s="69" t="s">
        <v>310</v>
      </c>
      <c r="BJ13" s="69"/>
      <c r="BK13" s="69"/>
      <c r="BL13" s="69"/>
      <c r="BM13" s="69" t="s">
        <v>310</v>
      </c>
      <c r="BN13" s="69" t="s">
        <v>310</v>
      </c>
    </row>
    <row r="14" spans="1:66" x14ac:dyDescent="0.2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/>
      <c r="W14" s="70"/>
      <c r="X14" s="70"/>
      <c r="Y14" s="70" t="s">
        <v>310</v>
      </c>
      <c r="Z14" s="70"/>
      <c r="AA14" s="70"/>
      <c r="AB14" s="70" t="s">
        <v>310</v>
      </c>
      <c r="AC14" s="70" t="s">
        <v>310</v>
      </c>
      <c r="AD14" s="70" t="s">
        <v>310</v>
      </c>
      <c r="AE14" s="70" t="s">
        <v>310</v>
      </c>
      <c r="AF14" s="70"/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 t="s">
        <v>310</v>
      </c>
      <c r="AO14" s="70" t="s">
        <v>310</v>
      </c>
      <c r="AP14" s="70" t="s">
        <v>310</v>
      </c>
      <c r="AQ14" s="70" t="s">
        <v>310</v>
      </c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 t="s">
        <v>310</v>
      </c>
      <c r="AY14" s="70" t="s">
        <v>310</v>
      </c>
      <c r="AZ14" s="70" t="s">
        <v>310</v>
      </c>
      <c r="BA14" s="70"/>
      <c r="BB14" s="70" t="s">
        <v>310</v>
      </c>
      <c r="BC14" s="70"/>
      <c r="BD14" s="70" t="s">
        <v>310</v>
      </c>
      <c r="BE14" s="70" t="s">
        <v>310</v>
      </c>
      <c r="BF14" s="70" t="s">
        <v>310</v>
      </c>
      <c r="BG14" s="70"/>
      <c r="BH14" s="70" t="s">
        <v>310</v>
      </c>
      <c r="BI14" s="70"/>
      <c r="BJ14" s="70" t="s">
        <v>310</v>
      </c>
      <c r="BK14" s="70" t="s">
        <v>310</v>
      </c>
      <c r="BL14" s="70" t="s">
        <v>310</v>
      </c>
      <c r="BM14" s="70"/>
      <c r="BN14" s="70"/>
    </row>
    <row r="15" spans="1:66" x14ac:dyDescent="0.2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310</v>
      </c>
      <c r="L15" s="69"/>
      <c r="M15" s="69"/>
      <c r="N15" s="69" t="s">
        <v>310</v>
      </c>
      <c r="O15" s="69"/>
      <c r="P15" s="69"/>
      <c r="Q15" s="69"/>
      <c r="R15" s="96"/>
      <c r="S15" s="96"/>
      <c r="T15" s="96"/>
      <c r="U15" s="96" t="s">
        <v>310</v>
      </c>
      <c r="V15" s="69"/>
      <c r="W15" s="69"/>
      <c r="X15" s="69"/>
      <c r="Y15" s="69" t="s">
        <v>310</v>
      </c>
      <c r="Z15" s="69"/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/>
      <c r="AI15" s="69" t="s">
        <v>310</v>
      </c>
      <c r="AJ15" s="69" t="s">
        <v>310</v>
      </c>
      <c r="AK15" s="69"/>
      <c r="AL15" s="69"/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 t="s">
        <v>310</v>
      </c>
      <c r="BH15" s="69" t="s">
        <v>310</v>
      </c>
      <c r="BI15" s="69"/>
      <c r="BJ15" s="69" t="s">
        <v>310</v>
      </c>
      <c r="BK15" s="69"/>
      <c r="BL15" s="69"/>
      <c r="BM15" s="69" t="s">
        <v>310</v>
      </c>
      <c r="BN15" s="69"/>
    </row>
    <row r="16" spans="1:66" x14ac:dyDescent="0.2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310</v>
      </c>
      <c r="M16" s="70" t="s">
        <v>310</v>
      </c>
      <c r="N16" s="70"/>
      <c r="O16" s="70" t="s">
        <v>310</v>
      </c>
      <c r="P16" s="70" t="s">
        <v>310</v>
      </c>
      <c r="Q16" s="70" t="s">
        <v>310</v>
      </c>
      <c r="R16" s="70" t="s">
        <v>310</v>
      </c>
      <c r="S16" s="70" t="s">
        <v>310</v>
      </c>
      <c r="T16" s="70" t="s">
        <v>310</v>
      </c>
      <c r="U16" s="70"/>
      <c r="V16" s="70" t="s">
        <v>310</v>
      </c>
      <c r="W16" s="70" t="s">
        <v>310</v>
      </c>
      <c r="X16" s="70" t="s">
        <v>310</v>
      </c>
      <c r="Y16" s="70"/>
      <c r="Z16" s="70" t="s">
        <v>310</v>
      </c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 t="s">
        <v>310</v>
      </c>
      <c r="AI16" s="70"/>
      <c r="AJ16" s="70"/>
      <c r="AK16" s="70" t="s">
        <v>310</v>
      </c>
      <c r="AL16" s="70" t="s">
        <v>310</v>
      </c>
      <c r="AM16" s="70"/>
      <c r="AN16" s="70"/>
      <c r="AO16" s="70"/>
      <c r="AP16" s="70" t="s">
        <v>310</v>
      </c>
      <c r="AQ16" s="70"/>
      <c r="AR16" s="97"/>
      <c r="AS16" s="70"/>
      <c r="AT16" s="70" t="s">
        <v>310</v>
      </c>
      <c r="AU16" s="70" t="s">
        <v>310</v>
      </c>
      <c r="AV16" s="70" t="s">
        <v>310</v>
      </c>
      <c r="AW16" s="70"/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/>
      <c r="BH16" s="70"/>
      <c r="BI16" s="70" t="s">
        <v>310</v>
      </c>
      <c r="BJ16" s="70"/>
      <c r="BK16" s="70" t="s">
        <v>310</v>
      </c>
      <c r="BL16" s="70" t="s">
        <v>310</v>
      </c>
      <c r="BM16" s="70"/>
      <c r="BN16" s="70" t="s">
        <v>310</v>
      </c>
    </row>
    <row r="17" spans="1:66" x14ac:dyDescent="0.2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/>
      <c r="N17" s="69" t="s">
        <v>310</v>
      </c>
      <c r="O17" s="69"/>
      <c r="P17" s="69" t="s">
        <v>310</v>
      </c>
      <c r="Q17" s="69"/>
      <c r="R17" s="69" t="s">
        <v>310</v>
      </c>
      <c r="S17" s="69" t="s">
        <v>310</v>
      </c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/>
      <c r="AA17" s="69" t="s">
        <v>310</v>
      </c>
      <c r="AB17" s="69" t="s">
        <v>310</v>
      </c>
      <c r="AC17" s="69"/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 t="s">
        <v>310</v>
      </c>
      <c r="AL17" s="69" t="s">
        <v>310</v>
      </c>
      <c r="AM17" s="69"/>
      <c r="AN17" s="69" t="s">
        <v>310</v>
      </c>
      <c r="AO17" s="69"/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/>
      <c r="BN17" s="69"/>
    </row>
    <row r="18" spans="1:66" x14ac:dyDescent="0.2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 t="s">
        <v>310</v>
      </c>
      <c r="N18" s="70"/>
      <c r="O18" s="70" t="s">
        <v>310</v>
      </c>
      <c r="P18" s="70"/>
      <c r="Q18" s="70" t="s">
        <v>310</v>
      </c>
      <c r="R18" s="70"/>
      <c r="S18" s="70"/>
      <c r="T18" s="70" t="s">
        <v>310</v>
      </c>
      <c r="U18" s="97"/>
      <c r="V18" s="70"/>
      <c r="W18" s="70"/>
      <c r="X18" s="70"/>
      <c r="Y18" s="70" t="s">
        <v>310</v>
      </c>
      <c r="Z18" s="70" t="s">
        <v>310</v>
      </c>
      <c r="AA18" s="70"/>
      <c r="AB18" s="70"/>
      <c r="AC18" s="70" t="s">
        <v>310</v>
      </c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 t="s">
        <v>310</v>
      </c>
      <c r="AN18" s="70"/>
      <c r="AO18" s="70" t="s">
        <v>310</v>
      </c>
      <c r="AP18" s="70"/>
      <c r="AQ18" s="70"/>
      <c r="AR18" s="70"/>
      <c r="AS18" s="70" t="s">
        <v>310</v>
      </c>
      <c r="AT18" s="70" t="s">
        <v>310</v>
      </c>
      <c r="AU18" s="70"/>
      <c r="AV18" s="70"/>
      <c r="AW18" s="70"/>
      <c r="AX18" s="70"/>
      <c r="AY18" s="70"/>
      <c r="AZ18" s="70" t="s">
        <v>310</v>
      </c>
      <c r="BA18" s="70"/>
      <c r="BB18" s="70"/>
      <c r="BC18" s="70" t="s">
        <v>310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310</v>
      </c>
      <c r="BN18" s="70" t="s">
        <v>310</v>
      </c>
    </row>
    <row r="19" spans="1:66" x14ac:dyDescent="0.2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/>
      <c r="Q19" s="69" t="s">
        <v>310</v>
      </c>
      <c r="R19" s="69"/>
      <c r="S19" s="69" t="s">
        <v>310</v>
      </c>
      <c r="T19" s="69"/>
      <c r="U19" s="96"/>
      <c r="V19" s="69"/>
      <c r="W19" s="69"/>
      <c r="X19" s="69"/>
      <c r="Y19" s="69" t="s">
        <v>310</v>
      </c>
      <c r="Z19" s="69" t="s">
        <v>310</v>
      </c>
      <c r="AA19" s="69"/>
      <c r="AB19" s="69" t="s">
        <v>310</v>
      </c>
      <c r="AC19" s="69" t="s">
        <v>310</v>
      </c>
      <c r="AD19" s="69"/>
      <c r="AE19" s="69"/>
      <c r="AF19" s="69" t="s">
        <v>310</v>
      </c>
      <c r="AG19" s="69" t="s">
        <v>310</v>
      </c>
      <c r="AH19" s="69"/>
      <c r="AI19" s="69" t="s">
        <v>310</v>
      </c>
      <c r="AJ19" s="69"/>
      <c r="AK19" s="69" t="s">
        <v>310</v>
      </c>
      <c r="AL19" s="69"/>
      <c r="AM19" s="69" t="s">
        <v>310</v>
      </c>
      <c r="AN19" s="69" t="s">
        <v>310</v>
      </c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 t="s">
        <v>310</v>
      </c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 t="s">
        <v>310</v>
      </c>
      <c r="BK19" s="69" t="s">
        <v>310</v>
      </c>
      <c r="BL19" s="69"/>
      <c r="BM19" s="69"/>
      <c r="BN19" s="69"/>
    </row>
    <row r="20" spans="1:66" x14ac:dyDescent="0.2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 t="s">
        <v>310</v>
      </c>
      <c r="W20" s="70" t="s">
        <v>310</v>
      </c>
      <c r="X20" s="70" t="s">
        <v>310</v>
      </c>
      <c r="Y20" s="70"/>
      <c r="Z20" s="70"/>
      <c r="AA20" s="70" t="s">
        <v>310</v>
      </c>
      <c r="AB20" s="70"/>
      <c r="AC20" s="70"/>
      <c r="AD20" s="70" t="s">
        <v>310</v>
      </c>
      <c r="AE20" s="70" t="s">
        <v>310</v>
      </c>
      <c r="AF20" s="70"/>
      <c r="AG20" s="70"/>
      <c r="AH20" s="70" t="s">
        <v>310</v>
      </c>
      <c r="AI20" s="70"/>
      <c r="AJ20" s="70" t="s">
        <v>310</v>
      </c>
      <c r="AK20" s="70"/>
      <c r="AL20" s="70" t="s">
        <v>310</v>
      </c>
      <c r="AM20" s="70"/>
      <c r="AN20" s="70"/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/>
      <c r="BC20" s="70" t="s">
        <v>310</v>
      </c>
      <c r="BD20" s="70" t="s">
        <v>310</v>
      </c>
      <c r="BE20" s="97"/>
      <c r="BF20" s="70"/>
      <c r="BG20" s="70"/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 t="s">
        <v>310</v>
      </c>
    </row>
    <row r="21" spans="1:66" x14ac:dyDescent="0.2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 t="s">
        <v>310</v>
      </c>
      <c r="Q21" s="69"/>
      <c r="R21" s="69"/>
      <c r="S21" s="69" t="s">
        <v>310</v>
      </c>
      <c r="T21" s="69" t="s">
        <v>310</v>
      </c>
      <c r="U21" s="96" t="s">
        <v>310</v>
      </c>
      <c r="V21" s="69"/>
      <c r="W21" s="69"/>
      <c r="X21" s="69"/>
      <c r="Y21" s="69"/>
      <c r="Z21" s="69" t="s">
        <v>310</v>
      </c>
      <c r="AA21" s="69" t="s">
        <v>310</v>
      </c>
      <c r="AB21" s="69" t="s">
        <v>310</v>
      </c>
      <c r="AC21" s="69"/>
      <c r="AD21" s="69"/>
      <c r="AE21" s="69" t="s">
        <v>310</v>
      </c>
      <c r="AF21" s="69"/>
      <c r="AG21" s="69"/>
      <c r="AH21" s="69"/>
      <c r="AI21" s="69"/>
      <c r="AJ21" s="69"/>
      <c r="AK21" s="69"/>
      <c r="AL21" s="69" t="s">
        <v>310</v>
      </c>
      <c r="AM21" s="69" t="s">
        <v>310</v>
      </c>
      <c r="AN21" s="69"/>
      <c r="AO21" s="69"/>
      <c r="AP21" s="69" t="s">
        <v>310</v>
      </c>
      <c r="AQ21" s="69" t="s">
        <v>310</v>
      </c>
      <c r="AR21" s="96"/>
      <c r="AS21" s="69" t="s">
        <v>310</v>
      </c>
      <c r="AT21" s="69"/>
      <c r="AU21" s="69"/>
      <c r="AV21" s="69" t="s">
        <v>310</v>
      </c>
      <c r="AW21" s="69"/>
      <c r="AX21" s="69"/>
      <c r="AY21" s="69"/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/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/>
      <c r="Q22" s="70" t="s">
        <v>310</v>
      </c>
      <c r="R22" s="70" t="s">
        <v>310</v>
      </c>
      <c r="S22" s="70"/>
      <c r="T22" s="70"/>
      <c r="U22" s="70"/>
      <c r="V22" s="70" t="s">
        <v>310</v>
      </c>
      <c r="W22" s="70" t="s">
        <v>310</v>
      </c>
      <c r="X22" s="70" t="s">
        <v>310</v>
      </c>
      <c r="Y22" s="70" t="s">
        <v>310</v>
      </c>
      <c r="Z22" s="70"/>
      <c r="AA22" s="70"/>
      <c r="AB22" s="70"/>
      <c r="AC22" s="70" t="s">
        <v>310</v>
      </c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 t="s">
        <v>310</v>
      </c>
      <c r="AJ22" s="70" t="s">
        <v>310</v>
      </c>
      <c r="AK22" s="70" t="s">
        <v>310</v>
      </c>
      <c r="AL22" s="70"/>
      <c r="AM22" s="70"/>
      <c r="AN22" s="70" t="s">
        <v>310</v>
      </c>
      <c r="AO22" s="70" t="s">
        <v>310</v>
      </c>
      <c r="AP22" s="70"/>
      <c r="AQ22" s="70"/>
      <c r="AR22" s="70" t="s">
        <v>310</v>
      </c>
      <c r="AS22" s="70"/>
      <c r="AT22" s="70" t="s">
        <v>310</v>
      </c>
      <c r="AU22" s="70" t="s">
        <v>310</v>
      </c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/>
      <c r="BB22" s="70"/>
      <c r="BC22" s="70"/>
      <c r="BD22" s="70"/>
      <c r="BE22" s="70" t="s">
        <v>310</v>
      </c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BG25" sqref="BG2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310</v>
      </c>
      <c r="O3" s="69" t="s">
        <v>310</v>
      </c>
      <c r="P3" s="69"/>
      <c r="Q3" s="69"/>
      <c r="R3" s="69"/>
      <c r="S3" s="69"/>
      <c r="T3" s="69"/>
      <c r="U3" s="69" t="s">
        <v>310</v>
      </c>
      <c r="V3" s="69" t="s">
        <v>310</v>
      </c>
      <c r="W3" s="69"/>
      <c r="X3" s="69"/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 t="s">
        <v>310</v>
      </c>
      <c r="AO3" s="69" t="s">
        <v>310</v>
      </c>
      <c r="AP3" s="69"/>
      <c r="AQ3" s="69"/>
      <c r="AR3" s="96"/>
      <c r="AS3" s="69"/>
      <c r="AT3" s="69" t="s">
        <v>310</v>
      </c>
      <c r="AU3" s="69"/>
      <c r="AV3" s="69"/>
      <c r="AW3" s="69"/>
      <c r="AX3" s="69"/>
      <c r="AY3" s="69"/>
      <c r="AZ3" s="69"/>
      <c r="BA3" s="69"/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/>
      <c r="BI3" s="69"/>
      <c r="BJ3" s="69"/>
      <c r="BK3" s="69" t="s">
        <v>310</v>
      </c>
      <c r="BL3" s="69"/>
      <c r="BM3" s="69"/>
      <c r="BN3" s="69"/>
    </row>
    <row r="4" spans="1:66" x14ac:dyDescent="0.2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310</v>
      </c>
      <c r="L4" s="70" t="s">
        <v>310</v>
      </c>
      <c r="M4" s="70" t="s">
        <v>310</v>
      </c>
      <c r="N4" s="70"/>
      <c r="O4" s="70"/>
      <c r="P4" s="70" t="s">
        <v>310</v>
      </c>
      <c r="Q4" s="70" t="s">
        <v>310</v>
      </c>
      <c r="R4" s="70" t="s">
        <v>310</v>
      </c>
      <c r="S4" s="70" t="s">
        <v>310</v>
      </c>
      <c r="T4" s="70" t="s">
        <v>310</v>
      </c>
      <c r="U4" s="97"/>
      <c r="V4" s="70"/>
      <c r="W4" s="70" t="s">
        <v>310</v>
      </c>
      <c r="X4" s="70" t="s">
        <v>310</v>
      </c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 t="s">
        <v>310</v>
      </c>
      <c r="AM4" s="70"/>
      <c r="AN4" s="70"/>
      <c r="AO4" s="70"/>
      <c r="AP4" s="70" t="s">
        <v>310</v>
      </c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 t="s">
        <v>310</v>
      </c>
      <c r="AW4" s="70" t="s">
        <v>310</v>
      </c>
      <c r="AX4" s="70" t="s">
        <v>310</v>
      </c>
      <c r="AY4" s="70" t="s">
        <v>310</v>
      </c>
      <c r="AZ4" s="70" t="s">
        <v>310</v>
      </c>
      <c r="BA4" s="70" t="s">
        <v>310</v>
      </c>
      <c r="BB4" s="70"/>
      <c r="BC4" s="70" t="s">
        <v>310</v>
      </c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 t="s">
        <v>310</v>
      </c>
      <c r="BM4" s="70" t="s">
        <v>310</v>
      </c>
      <c r="BN4" s="70" t="s">
        <v>310</v>
      </c>
    </row>
    <row r="5" spans="1:66" x14ac:dyDescent="0.2">
      <c r="A5" s="59">
        <v>2</v>
      </c>
      <c r="B5" s="67" t="s">
        <v>271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310</v>
      </c>
      <c r="O5" s="69" t="s">
        <v>310</v>
      </c>
      <c r="P5" s="69" t="s">
        <v>310</v>
      </c>
      <c r="Q5" s="69" t="s">
        <v>310</v>
      </c>
      <c r="R5" s="69"/>
      <c r="S5" s="69"/>
      <c r="T5" s="69"/>
      <c r="U5" s="96"/>
      <c r="V5" s="69" t="s">
        <v>310</v>
      </c>
      <c r="W5" s="69"/>
      <c r="X5" s="69"/>
      <c r="Y5" s="69"/>
      <c r="Z5" s="69" t="s">
        <v>310</v>
      </c>
      <c r="AA5" s="69" t="s">
        <v>310</v>
      </c>
      <c r="AB5" s="69"/>
      <c r="AC5" s="69" t="s">
        <v>310</v>
      </c>
      <c r="AD5" s="69"/>
      <c r="AE5" s="69"/>
      <c r="AF5" s="69" t="s">
        <v>310</v>
      </c>
      <c r="AG5" s="69" t="s">
        <v>310</v>
      </c>
      <c r="AH5" s="69"/>
      <c r="AI5" s="69"/>
      <c r="AJ5" s="69"/>
      <c r="AK5" s="69" t="s">
        <v>310</v>
      </c>
      <c r="AL5" s="69" t="s">
        <v>310</v>
      </c>
      <c r="AM5" s="69" t="s">
        <v>310</v>
      </c>
      <c r="AN5" s="69"/>
      <c r="AO5" s="69" t="s">
        <v>310</v>
      </c>
      <c r="AP5" s="69" t="s">
        <v>310</v>
      </c>
      <c r="AQ5" s="69"/>
      <c r="AR5" s="96"/>
      <c r="AS5" s="69"/>
      <c r="AT5" s="69"/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/>
      <c r="BB5" s="69"/>
      <c r="BC5" s="69" t="s">
        <v>310</v>
      </c>
      <c r="BD5" s="69"/>
      <c r="BE5" s="69"/>
      <c r="BF5" s="69" t="s">
        <v>310</v>
      </c>
      <c r="BG5" s="69"/>
      <c r="BH5" s="69"/>
      <c r="BI5" s="69"/>
      <c r="BJ5" s="69" t="s">
        <v>310</v>
      </c>
      <c r="BK5" s="69"/>
      <c r="BL5" s="69"/>
      <c r="BM5" s="69" t="s">
        <v>310</v>
      </c>
      <c r="BN5" s="69" t="s">
        <v>310</v>
      </c>
    </row>
    <row r="6" spans="1:66" x14ac:dyDescent="0.2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 t="s">
        <v>310</v>
      </c>
      <c r="M6" s="70" t="s">
        <v>310</v>
      </c>
      <c r="N6" s="70"/>
      <c r="O6" s="70"/>
      <c r="P6" s="70"/>
      <c r="Q6" s="70"/>
      <c r="R6" s="70" t="s">
        <v>310</v>
      </c>
      <c r="S6" s="70" t="s">
        <v>310</v>
      </c>
      <c r="T6" s="70" t="s">
        <v>310</v>
      </c>
      <c r="U6" s="70" t="s">
        <v>310</v>
      </c>
      <c r="V6" s="70"/>
      <c r="W6" s="70" t="s">
        <v>310</v>
      </c>
      <c r="X6" s="70" t="s">
        <v>310</v>
      </c>
      <c r="Y6" s="70" t="s">
        <v>310</v>
      </c>
      <c r="Z6" s="70"/>
      <c r="AA6" s="70"/>
      <c r="AB6" s="70" t="s">
        <v>310</v>
      </c>
      <c r="AC6" s="70"/>
      <c r="AD6" s="70" t="s">
        <v>310</v>
      </c>
      <c r="AE6" s="70" t="s">
        <v>310</v>
      </c>
      <c r="AF6" s="70"/>
      <c r="AG6" s="70"/>
      <c r="AH6" s="70" t="s">
        <v>310</v>
      </c>
      <c r="AI6" s="70" t="s">
        <v>310</v>
      </c>
      <c r="AJ6" s="70" t="s">
        <v>310</v>
      </c>
      <c r="AK6" s="70"/>
      <c r="AL6" s="70"/>
      <c r="AM6" s="70"/>
      <c r="AN6" s="70" t="s">
        <v>310</v>
      </c>
      <c r="AO6" s="70"/>
      <c r="AP6" s="70"/>
      <c r="AQ6" s="70" t="s">
        <v>310</v>
      </c>
      <c r="AR6" s="70" t="s">
        <v>310</v>
      </c>
      <c r="AS6" s="70" t="s">
        <v>310</v>
      </c>
      <c r="AT6" s="70" t="s">
        <v>310</v>
      </c>
      <c r="AU6" s="70"/>
      <c r="AV6" s="70"/>
      <c r="AW6" s="70" t="s">
        <v>310</v>
      </c>
      <c r="AX6" s="70"/>
      <c r="AY6" s="70"/>
      <c r="AZ6" s="70" t="s">
        <v>310</v>
      </c>
      <c r="BA6" s="70" t="s">
        <v>310</v>
      </c>
      <c r="BB6" s="70" t="s">
        <v>310</v>
      </c>
      <c r="BC6" s="70"/>
      <c r="BD6" s="70" t="s">
        <v>310</v>
      </c>
      <c r="BE6" s="97" t="s">
        <v>310</v>
      </c>
      <c r="BF6" s="70"/>
      <c r="BG6" s="70" t="s">
        <v>310</v>
      </c>
      <c r="BH6" s="70" t="s">
        <v>310</v>
      </c>
      <c r="BI6" s="70"/>
      <c r="BJ6" s="70"/>
      <c r="BK6" s="70" t="s">
        <v>310</v>
      </c>
      <c r="BL6" s="70" t="s">
        <v>310</v>
      </c>
      <c r="BM6" s="70"/>
      <c r="BN6" s="70"/>
    </row>
    <row r="7" spans="1:66" x14ac:dyDescent="0.2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 t="s">
        <v>310</v>
      </c>
      <c r="U7" s="96" t="s">
        <v>310</v>
      </c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 t="s">
        <v>310</v>
      </c>
      <c r="AR7" s="96" t="s">
        <v>310</v>
      </c>
      <c r="AS7" s="69" t="s">
        <v>310</v>
      </c>
      <c r="AT7" s="69" t="s">
        <v>310</v>
      </c>
      <c r="AU7" s="69"/>
      <c r="AV7" s="69"/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310</v>
      </c>
      <c r="AV8" s="70" t="s">
        <v>310</v>
      </c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310</v>
      </c>
      <c r="M9" s="69"/>
      <c r="N9" s="69"/>
      <c r="O9" s="69"/>
      <c r="P9" s="69"/>
      <c r="Q9" s="69"/>
      <c r="R9" s="96" t="s">
        <v>310</v>
      </c>
      <c r="S9" s="96"/>
      <c r="T9" s="96" t="s">
        <v>310</v>
      </c>
      <c r="U9" s="96"/>
      <c r="V9" s="69" t="s">
        <v>310</v>
      </c>
      <c r="W9" s="69"/>
      <c r="X9" s="69"/>
      <c r="Y9" s="69"/>
      <c r="Z9" s="69"/>
      <c r="AA9" s="69" t="s">
        <v>310</v>
      </c>
      <c r="AB9" s="69"/>
      <c r="AC9" s="69"/>
      <c r="AD9" s="69"/>
      <c r="AE9" s="69" t="s">
        <v>310</v>
      </c>
      <c r="AF9" s="69"/>
      <c r="AG9" s="69" t="s">
        <v>310</v>
      </c>
      <c r="AH9" s="69"/>
      <c r="AI9" s="69"/>
      <c r="AJ9" s="69"/>
      <c r="AK9" s="69"/>
      <c r="AL9" s="69"/>
      <c r="AM9" s="69"/>
      <c r="AN9" s="69" t="s">
        <v>310</v>
      </c>
      <c r="AO9" s="69"/>
      <c r="AP9" s="69" t="s">
        <v>310</v>
      </c>
      <c r="AQ9" s="69"/>
      <c r="AR9" s="96"/>
      <c r="AS9" s="69" t="s">
        <v>310</v>
      </c>
      <c r="AT9" s="69"/>
      <c r="AU9" s="69"/>
      <c r="AV9" s="69" t="s">
        <v>310</v>
      </c>
      <c r="AW9" s="69"/>
      <c r="AX9" s="69"/>
      <c r="AY9" s="69"/>
      <c r="AZ9" s="69"/>
      <c r="BA9" s="69"/>
      <c r="BB9" s="69" t="s">
        <v>310</v>
      </c>
      <c r="BC9" s="69"/>
      <c r="BD9" s="69"/>
      <c r="BE9" s="96"/>
      <c r="BF9" s="69"/>
      <c r="BG9" s="69" t="s">
        <v>310</v>
      </c>
      <c r="BH9" s="69"/>
      <c r="BI9" s="69"/>
      <c r="BJ9" s="69"/>
      <c r="BK9" s="69"/>
      <c r="BL9" s="69"/>
      <c r="BM9" s="69" t="s">
        <v>310</v>
      </c>
      <c r="BN9" s="69" t="s">
        <v>310</v>
      </c>
    </row>
    <row r="10" spans="1:66" x14ac:dyDescent="0.2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/>
      <c r="S10" s="97" t="s">
        <v>310</v>
      </c>
      <c r="T10" s="97"/>
      <c r="U10" s="70" t="s">
        <v>310</v>
      </c>
      <c r="V10" s="70"/>
      <c r="W10" s="70" t="s">
        <v>310</v>
      </c>
      <c r="X10" s="70" t="s">
        <v>310</v>
      </c>
      <c r="Y10" s="70" t="s">
        <v>310</v>
      </c>
      <c r="Z10" s="70" t="s">
        <v>310</v>
      </c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/>
      <c r="AH10" s="70" t="s">
        <v>310</v>
      </c>
      <c r="AI10" s="70" t="s">
        <v>310</v>
      </c>
      <c r="AJ10" s="70" t="s">
        <v>310</v>
      </c>
      <c r="AK10" s="70" t="s">
        <v>310</v>
      </c>
      <c r="AL10" s="70" t="s">
        <v>310</v>
      </c>
      <c r="AM10" s="70" t="s">
        <v>310</v>
      </c>
      <c r="AN10" s="70"/>
      <c r="AO10" s="70" t="s">
        <v>310</v>
      </c>
      <c r="AP10" s="70"/>
      <c r="AQ10" s="70" t="s">
        <v>310</v>
      </c>
      <c r="AR10" s="70" t="s">
        <v>310</v>
      </c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 t="s">
        <v>310</v>
      </c>
      <c r="AZ10" s="70" t="s">
        <v>310</v>
      </c>
      <c r="BA10" s="70" t="s">
        <v>310</v>
      </c>
      <c r="BB10" s="70"/>
      <c r="BC10" s="70" t="s">
        <v>310</v>
      </c>
      <c r="BD10" s="70" t="s">
        <v>310</v>
      </c>
      <c r="BE10" s="70" t="s">
        <v>310</v>
      </c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/>
      <c r="U11" s="69"/>
      <c r="V11" s="69" t="s">
        <v>310</v>
      </c>
      <c r="W11" s="69" t="s">
        <v>310</v>
      </c>
      <c r="X11" s="69"/>
      <c r="Y11" s="69" t="s">
        <v>310</v>
      </c>
      <c r="Z11" s="69"/>
      <c r="AA11" s="69" t="s">
        <v>310</v>
      </c>
      <c r="AB11" s="69"/>
      <c r="AC11" s="69"/>
      <c r="AD11" s="69" t="s">
        <v>310</v>
      </c>
      <c r="AE11" s="69"/>
      <c r="AF11" s="69" t="s">
        <v>310</v>
      </c>
      <c r="AG11" s="69"/>
      <c r="AH11" s="69"/>
      <c r="AI11" s="69"/>
      <c r="AJ11" s="69"/>
      <c r="AK11" s="69" t="s">
        <v>310</v>
      </c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 t="s">
        <v>310</v>
      </c>
      <c r="AT11" s="69"/>
      <c r="AU11" s="69"/>
      <c r="AV11" s="69"/>
      <c r="AW11" s="69" t="s">
        <v>310</v>
      </c>
      <c r="AX11" s="69" t="s">
        <v>310</v>
      </c>
      <c r="AY11" s="69"/>
      <c r="AZ11" s="69"/>
      <c r="BA11" s="69"/>
      <c r="BB11" s="69"/>
      <c r="BC11" s="69" t="s">
        <v>310</v>
      </c>
      <c r="BD11" s="69" t="s">
        <v>310</v>
      </c>
      <c r="BE11" s="96" t="s">
        <v>310</v>
      </c>
      <c r="BF11" s="69" t="s">
        <v>310</v>
      </c>
      <c r="BG11" s="69"/>
      <c r="BH11" s="69"/>
      <c r="BI11" s="69"/>
      <c r="BJ11" s="69"/>
      <c r="BK11" s="69"/>
      <c r="BL11" s="69"/>
      <c r="BM11" s="69"/>
      <c r="BN11" s="69" t="s">
        <v>310</v>
      </c>
    </row>
    <row r="12" spans="1:66" x14ac:dyDescent="0.2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 t="s">
        <v>310</v>
      </c>
      <c r="O12" s="70" t="s">
        <v>310</v>
      </c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 t="s">
        <v>310</v>
      </c>
      <c r="V12" s="70"/>
      <c r="W12" s="70"/>
      <c r="X12" s="70" t="s">
        <v>310</v>
      </c>
      <c r="Y12" s="70"/>
      <c r="Z12" s="70" t="s">
        <v>310</v>
      </c>
      <c r="AA12" s="70"/>
      <c r="AB12" s="70" t="s">
        <v>310</v>
      </c>
      <c r="AC12" s="70" t="s">
        <v>310</v>
      </c>
      <c r="AD12" s="70"/>
      <c r="AE12" s="70" t="s">
        <v>310</v>
      </c>
      <c r="AF12" s="70"/>
      <c r="AG12" s="70" t="s">
        <v>310</v>
      </c>
      <c r="AH12" s="70" t="s">
        <v>310</v>
      </c>
      <c r="AI12" s="70" t="s">
        <v>310</v>
      </c>
      <c r="AJ12" s="70" t="s">
        <v>310</v>
      </c>
      <c r="AK12" s="70"/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/>
      <c r="AT12" s="70" t="s">
        <v>310</v>
      </c>
      <c r="AU12" s="70" t="s">
        <v>310</v>
      </c>
      <c r="AV12" s="70" t="s">
        <v>310</v>
      </c>
      <c r="AW12" s="70"/>
      <c r="AX12" s="70"/>
      <c r="AY12" s="70" t="s">
        <v>310</v>
      </c>
      <c r="AZ12" s="70" t="s">
        <v>310</v>
      </c>
      <c r="BA12" s="70" t="s">
        <v>310</v>
      </c>
      <c r="BB12" s="70" t="s">
        <v>310</v>
      </c>
      <c r="BC12" s="70"/>
      <c r="BD12" s="70"/>
      <c r="BE12" s="70"/>
      <c r="BF12" s="70"/>
      <c r="BG12" s="70" t="s">
        <v>310</v>
      </c>
      <c r="BH12" s="70" t="s">
        <v>310</v>
      </c>
      <c r="BI12" s="70"/>
      <c r="BJ12" s="70" t="s">
        <v>310</v>
      </c>
      <c r="BK12" s="70" t="s">
        <v>310</v>
      </c>
      <c r="BL12" s="70" t="s">
        <v>310</v>
      </c>
      <c r="BM12" s="70" t="s">
        <v>310</v>
      </c>
      <c r="BN12" s="70"/>
    </row>
    <row r="13" spans="1:66" x14ac:dyDescent="0.2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310</v>
      </c>
      <c r="W13" s="69"/>
      <c r="X13" s="69" t="s">
        <v>310</v>
      </c>
      <c r="Y13" s="69"/>
      <c r="Z13" s="69"/>
      <c r="AA13" s="69"/>
      <c r="AB13" s="69" t="s">
        <v>310</v>
      </c>
      <c r="AC13" s="69"/>
      <c r="AD13" s="69"/>
      <c r="AE13" s="69"/>
      <c r="AF13" s="69"/>
      <c r="AG13" s="69" t="s">
        <v>310</v>
      </c>
      <c r="AH13" s="69"/>
      <c r="AI13" s="69"/>
      <c r="AJ13" s="69"/>
      <c r="AK13" s="69" t="s">
        <v>310</v>
      </c>
      <c r="AL13" s="69"/>
      <c r="AM13" s="69"/>
      <c r="AN13" s="69"/>
      <c r="AO13" s="69"/>
      <c r="AP13" s="69" t="s">
        <v>310</v>
      </c>
      <c r="AQ13" s="69"/>
      <c r="AR13" s="96"/>
      <c r="AS13" s="69"/>
      <c r="AT13" s="69"/>
      <c r="AU13" s="69"/>
      <c r="AV13" s="69" t="s">
        <v>310</v>
      </c>
      <c r="AW13" s="69"/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310</v>
      </c>
      <c r="BK13" s="69"/>
      <c r="BL13" s="69"/>
      <c r="BM13" s="69"/>
      <c r="BN13" s="69"/>
    </row>
    <row r="14" spans="1:66" x14ac:dyDescent="0.2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 t="s">
        <v>310</v>
      </c>
      <c r="V14" s="70"/>
      <c r="W14" s="70" t="s">
        <v>310</v>
      </c>
      <c r="X14" s="70"/>
      <c r="Y14" s="70" t="s">
        <v>310</v>
      </c>
      <c r="Z14" s="70" t="s">
        <v>310</v>
      </c>
      <c r="AA14" s="70" t="s">
        <v>310</v>
      </c>
      <c r="AB14" s="70"/>
      <c r="AC14" s="70" t="s">
        <v>310</v>
      </c>
      <c r="AD14" s="70" t="s">
        <v>310</v>
      </c>
      <c r="AE14" s="70" t="s">
        <v>310</v>
      </c>
      <c r="AF14" s="70" t="s">
        <v>310</v>
      </c>
      <c r="AG14" s="70"/>
      <c r="AH14" s="70" t="s">
        <v>310</v>
      </c>
      <c r="AI14" s="70" t="s">
        <v>310</v>
      </c>
      <c r="AJ14" s="70" t="s">
        <v>310</v>
      </c>
      <c r="AK14" s="70"/>
      <c r="AL14" s="70" t="s">
        <v>310</v>
      </c>
      <c r="AM14" s="70" t="s">
        <v>310</v>
      </c>
      <c r="AN14" s="70" t="s">
        <v>310</v>
      </c>
      <c r="AO14" s="70" t="s">
        <v>310</v>
      </c>
      <c r="AP14" s="70"/>
      <c r="AQ14" s="70" t="s">
        <v>310</v>
      </c>
      <c r="AR14" s="70" t="s">
        <v>310</v>
      </c>
      <c r="AS14" s="70" t="s">
        <v>310</v>
      </c>
      <c r="AT14" s="70" t="s">
        <v>310</v>
      </c>
      <c r="AU14" s="70" t="s">
        <v>310</v>
      </c>
      <c r="AV14" s="70"/>
      <c r="AW14" s="70" t="s">
        <v>310</v>
      </c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 t="s">
        <v>310</v>
      </c>
      <c r="BF14" s="70" t="s">
        <v>310</v>
      </c>
      <c r="BG14" s="70" t="s">
        <v>310</v>
      </c>
      <c r="BH14" s="70" t="s">
        <v>310</v>
      </c>
      <c r="BI14" s="70"/>
      <c r="BJ14" s="70"/>
      <c r="BK14" s="70" t="s">
        <v>310</v>
      </c>
      <c r="BL14" s="70" t="s">
        <v>310</v>
      </c>
      <c r="BM14" s="70" t="s">
        <v>310</v>
      </c>
      <c r="BN14" s="70" t="s">
        <v>310</v>
      </c>
    </row>
    <row r="15" spans="1:66" x14ac:dyDescent="0.2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 t="s">
        <v>310</v>
      </c>
      <c r="V15" s="69"/>
      <c r="W15" s="69"/>
      <c r="X15" s="69" t="s">
        <v>310</v>
      </c>
      <c r="Y15" s="69" t="s">
        <v>310</v>
      </c>
      <c r="Z15" s="69"/>
      <c r="AA15" s="69"/>
      <c r="AB15" s="69"/>
      <c r="AC15" s="69"/>
      <c r="AD15" s="69"/>
      <c r="AE15" s="69" t="s">
        <v>310</v>
      </c>
      <c r="AF15" s="69"/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 t="s">
        <v>310</v>
      </c>
      <c r="AO15" s="69" t="s">
        <v>310</v>
      </c>
      <c r="AP15" s="69"/>
      <c r="AQ15" s="69"/>
      <c r="AR15" s="69"/>
      <c r="AS15" s="69"/>
      <c r="AT15" s="69"/>
      <c r="AU15" s="69" t="s">
        <v>310</v>
      </c>
      <c r="AV15" s="69"/>
      <c r="AW15" s="69"/>
      <c r="AX15" s="69"/>
      <c r="AY15" s="69"/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/>
      <c r="BG15" s="69"/>
      <c r="BH15" s="69" t="s">
        <v>310</v>
      </c>
      <c r="BI15" s="69"/>
      <c r="BJ15" s="69"/>
      <c r="BK15" s="69"/>
      <c r="BL15" s="69"/>
      <c r="BM15" s="69"/>
      <c r="BN15" s="69" t="s">
        <v>310</v>
      </c>
    </row>
    <row r="16" spans="1:66" x14ac:dyDescent="0.2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 t="s">
        <v>310</v>
      </c>
      <c r="N16" s="70" t="s">
        <v>310</v>
      </c>
      <c r="O16" s="70" t="s">
        <v>310</v>
      </c>
      <c r="P16" s="70"/>
      <c r="Q16" s="70" t="s">
        <v>310</v>
      </c>
      <c r="R16" s="70"/>
      <c r="S16" s="70"/>
      <c r="T16" s="70"/>
      <c r="U16" s="70"/>
      <c r="V16" s="70" t="s">
        <v>310</v>
      </c>
      <c r="W16" s="70" t="s">
        <v>310</v>
      </c>
      <c r="X16" s="70"/>
      <c r="Y16" s="70"/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/>
      <c r="AF16" s="70" t="s">
        <v>310</v>
      </c>
      <c r="AG16" s="70"/>
      <c r="AH16" s="70" t="s">
        <v>310</v>
      </c>
      <c r="AI16" s="70" t="s">
        <v>310</v>
      </c>
      <c r="AJ16" s="70"/>
      <c r="AK16" s="70" t="s">
        <v>310</v>
      </c>
      <c r="AL16" s="70" t="s">
        <v>310</v>
      </c>
      <c r="AM16" s="70" t="s">
        <v>310</v>
      </c>
      <c r="AN16" s="70"/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/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/>
      <c r="BC16" s="70" t="s">
        <v>310</v>
      </c>
      <c r="BD16" s="70"/>
      <c r="BE16" s="70" t="s">
        <v>310</v>
      </c>
      <c r="BF16" s="70" t="s">
        <v>310</v>
      </c>
      <c r="BG16" s="70" t="s">
        <v>310</v>
      </c>
      <c r="BH16" s="70"/>
      <c r="BI16" s="70"/>
      <c r="BJ16" s="70" t="s">
        <v>310</v>
      </c>
      <c r="BK16" s="70" t="s">
        <v>310</v>
      </c>
      <c r="BL16" s="70" t="s">
        <v>310</v>
      </c>
      <c r="BM16" s="70" t="s">
        <v>310</v>
      </c>
      <c r="BN16" s="70"/>
    </row>
    <row r="17" spans="1:66" x14ac:dyDescent="0.2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/>
      <c r="O17" s="69" t="s">
        <v>310</v>
      </c>
      <c r="P17" s="69"/>
      <c r="Q17" s="69" t="s">
        <v>310</v>
      </c>
      <c r="R17" s="69" t="s">
        <v>310</v>
      </c>
      <c r="S17" s="69" t="s">
        <v>310</v>
      </c>
      <c r="T17" s="69" t="s">
        <v>310</v>
      </c>
      <c r="U17" s="69" t="s">
        <v>310</v>
      </c>
      <c r="V17" s="69"/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/>
      <c r="AG17" s="69" t="s">
        <v>310</v>
      </c>
      <c r="AH17" s="69" t="s">
        <v>310</v>
      </c>
      <c r="AI17" s="69"/>
      <c r="AJ17" s="69"/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/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/>
      <c r="BA17" s="69" t="s">
        <v>310</v>
      </c>
      <c r="BB17" s="69" t="s">
        <v>310</v>
      </c>
      <c r="BC17" s="69" t="s">
        <v>310</v>
      </c>
      <c r="BD17" s="69"/>
      <c r="BE17" s="69" t="s">
        <v>310</v>
      </c>
      <c r="BF17" s="69" t="s">
        <v>310</v>
      </c>
      <c r="BG17" s="69" t="s">
        <v>310</v>
      </c>
      <c r="BH17" s="69"/>
      <c r="BI17" s="69"/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/>
      <c r="T18" s="70"/>
      <c r="U18" s="97"/>
      <c r="V18" s="70" t="s">
        <v>310</v>
      </c>
      <c r="W18" s="70"/>
      <c r="X18" s="70"/>
      <c r="Y18" s="70"/>
      <c r="Z18" s="70"/>
      <c r="AA18" s="70"/>
      <c r="AB18" s="70"/>
      <c r="AC18" s="70"/>
      <c r="AD18" s="70" t="s">
        <v>310</v>
      </c>
      <c r="AE18" s="70" t="s">
        <v>310</v>
      </c>
      <c r="AF18" s="70" t="s">
        <v>310</v>
      </c>
      <c r="AG18" s="70"/>
      <c r="AH18" s="70"/>
      <c r="AI18" s="70" t="s">
        <v>310</v>
      </c>
      <c r="AJ18" s="70" t="s">
        <v>310</v>
      </c>
      <c r="AK18" s="70"/>
      <c r="AL18" s="70"/>
      <c r="AM18" s="70"/>
      <c r="AN18" s="70"/>
      <c r="AO18" s="70"/>
      <c r="AP18" s="70"/>
      <c r="AQ18" s="70"/>
      <c r="AR18" s="70" t="s">
        <v>310</v>
      </c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 t="s">
        <v>310</v>
      </c>
      <c r="BA18" s="70"/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310</v>
      </c>
      <c r="O19" s="69" t="s">
        <v>310</v>
      </c>
      <c r="P19" s="69"/>
      <c r="Q19" s="69"/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 t="s">
        <v>310</v>
      </c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/>
      <c r="AU19" s="69"/>
      <c r="AV19" s="69"/>
      <c r="AW19" s="69"/>
      <c r="AX19" s="69" t="s">
        <v>310</v>
      </c>
      <c r="AY19" s="69"/>
      <c r="AZ19" s="69" t="s">
        <v>310</v>
      </c>
      <c r="BA19" s="69" t="s">
        <v>310</v>
      </c>
      <c r="BB19" s="69"/>
      <c r="BC19" s="69"/>
      <c r="BD19" s="69" t="s">
        <v>310</v>
      </c>
      <c r="BE19" s="69" t="s">
        <v>310</v>
      </c>
      <c r="BF19" s="69"/>
      <c r="BG19" s="69"/>
      <c r="BH19" s="69"/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/>
      <c r="O20" s="70"/>
      <c r="P20" s="70" t="s">
        <v>310</v>
      </c>
      <c r="Q20" s="70" t="s">
        <v>310</v>
      </c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/>
      <c r="AF20" s="70"/>
      <c r="AG20" s="70" t="s">
        <v>310</v>
      </c>
      <c r="AH20" s="70"/>
      <c r="AI20" s="70"/>
      <c r="AJ20" s="70" t="s">
        <v>310</v>
      </c>
      <c r="AK20" s="70" t="s">
        <v>310</v>
      </c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/>
      <c r="BE20" s="97"/>
      <c r="BF20" s="70" t="s">
        <v>310</v>
      </c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 t="s">
        <v>310</v>
      </c>
      <c r="N21" s="69"/>
      <c r="O21" s="69" t="s">
        <v>310</v>
      </c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 t="s">
        <v>310</v>
      </c>
      <c r="Y21" s="69"/>
      <c r="Z21" s="69"/>
      <c r="AA21" s="69"/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/>
      <c r="AI21" s="69"/>
      <c r="AJ21" s="69" t="s">
        <v>310</v>
      </c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 t="s">
        <v>310</v>
      </c>
      <c r="AU21" s="69" t="s">
        <v>310</v>
      </c>
      <c r="AV21" s="69" t="s">
        <v>310</v>
      </c>
      <c r="AW21" s="69"/>
      <c r="AX21" s="69" t="s">
        <v>310</v>
      </c>
      <c r="AY21" s="69"/>
      <c r="AZ21" s="69"/>
      <c r="BA21" s="69"/>
      <c r="BB21" s="69"/>
      <c r="BC21" s="69" t="s">
        <v>310</v>
      </c>
      <c r="BD21" s="69" t="s">
        <v>310</v>
      </c>
      <c r="BE21" s="96" t="s">
        <v>310</v>
      </c>
      <c r="BF21" s="69"/>
      <c r="BG21" s="69" t="s">
        <v>310</v>
      </c>
      <c r="BH21" s="69"/>
      <c r="BI21" s="69"/>
      <c r="BJ21" s="69" t="s">
        <v>310</v>
      </c>
      <c r="BK21" s="69"/>
      <c r="BL21" s="69"/>
      <c r="BM21" s="69" t="s">
        <v>310</v>
      </c>
      <c r="BN21" s="69" t="s">
        <v>310</v>
      </c>
    </row>
    <row r="22" spans="1:66" x14ac:dyDescent="0.2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310</v>
      </c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/>
      <c r="AD22" s="70" t="s">
        <v>310</v>
      </c>
      <c r="AE22" s="70" t="s">
        <v>310</v>
      </c>
      <c r="AF22" s="70"/>
      <c r="AG22" s="70"/>
      <c r="AH22" s="70" t="s">
        <v>310</v>
      </c>
      <c r="AI22" s="70" t="s">
        <v>310</v>
      </c>
      <c r="AJ22" s="70"/>
      <c r="AK22" s="70" t="s">
        <v>310</v>
      </c>
      <c r="AL22" s="70"/>
      <c r="AM22" s="70"/>
      <c r="AN22" s="70"/>
      <c r="AO22" s="70" t="s">
        <v>310</v>
      </c>
      <c r="AP22" s="70" t="s">
        <v>310</v>
      </c>
      <c r="AQ22" s="70"/>
      <c r="AR22" s="70"/>
      <c r="AS22" s="70" t="s">
        <v>310</v>
      </c>
      <c r="AT22" s="70"/>
      <c r="AU22" s="70"/>
      <c r="AV22" s="70"/>
      <c r="AW22" s="70" t="s">
        <v>310</v>
      </c>
      <c r="AX22" s="70"/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/>
      <c r="BE22" s="70"/>
      <c r="BF22" s="70" t="s">
        <v>310</v>
      </c>
      <c r="BG22" s="70"/>
      <c r="BH22" s="70" t="s">
        <v>310</v>
      </c>
      <c r="BI22" s="70"/>
      <c r="BJ22" s="70"/>
      <c r="BK22" s="70" t="s">
        <v>310</v>
      </c>
      <c r="BL22" s="70" t="s">
        <v>310</v>
      </c>
      <c r="BM22" s="70"/>
      <c r="BN22" s="70"/>
    </row>
    <row r="23" spans="1:66" x14ac:dyDescent="0.2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/>
      <c r="O3" s="69"/>
      <c r="P3" s="69"/>
      <c r="Q3" s="69" t="s">
        <v>310</v>
      </c>
      <c r="R3" s="69" t="s">
        <v>310</v>
      </c>
      <c r="S3" s="69"/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/>
      <c r="AK3" s="69" t="s">
        <v>310</v>
      </c>
      <c r="AL3" s="69" t="s">
        <v>310</v>
      </c>
      <c r="AM3" s="69" t="s">
        <v>310</v>
      </c>
      <c r="AN3" s="69"/>
      <c r="AO3" s="69" t="s">
        <v>310</v>
      </c>
      <c r="AP3" s="69"/>
      <c r="AQ3" s="69"/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/>
      <c r="BC3" s="69" t="s">
        <v>310</v>
      </c>
      <c r="BD3" s="69"/>
      <c r="BE3" s="96"/>
      <c r="BF3" s="69"/>
      <c r="BG3" s="69" t="s">
        <v>310</v>
      </c>
      <c r="BH3" s="69"/>
      <c r="BI3" s="69"/>
      <c r="BJ3" s="69"/>
      <c r="BK3" s="69"/>
      <c r="BL3" s="69"/>
      <c r="BM3" s="69" t="s">
        <v>310</v>
      </c>
      <c r="BN3" s="69" t="s">
        <v>310</v>
      </c>
    </row>
    <row r="4" spans="1:66" x14ac:dyDescent="0.2">
      <c r="A4" s="61" t="s">
        <v>3</v>
      </c>
      <c r="B4" s="68" t="s">
        <v>241</v>
      </c>
      <c r="C4" s="66">
        <v>14.5</v>
      </c>
      <c r="D4" s="64">
        <v>45</v>
      </c>
      <c r="E4" s="64">
        <f>IF(ISBLANK($D4),"0",IF(($D4-$D3)&gt;($C4-$C3),1,0))</f>
        <v>1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310</v>
      </c>
      <c r="O4" s="70"/>
      <c r="P4" s="70" t="s">
        <v>310</v>
      </c>
      <c r="Q4" s="70"/>
      <c r="R4" s="70"/>
      <c r="S4" s="70" t="s">
        <v>310</v>
      </c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/>
      <c r="AB4" s="70" t="s">
        <v>310</v>
      </c>
      <c r="AC4" s="70"/>
      <c r="AD4" s="70" t="s">
        <v>310</v>
      </c>
      <c r="AE4" s="70"/>
      <c r="AF4" s="70"/>
      <c r="AG4" s="70" t="s">
        <v>310</v>
      </c>
      <c r="AH4" s="70"/>
      <c r="AI4" s="70"/>
      <c r="AJ4" s="70" t="s">
        <v>310</v>
      </c>
      <c r="AK4" s="70"/>
      <c r="AL4" s="70"/>
      <c r="AM4" s="70"/>
      <c r="AN4" s="70" t="s">
        <v>310</v>
      </c>
      <c r="AO4" s="70"/>
      <c r="AP4" s="70" t="s">
        <v>310</v>
      </c>
      <c r="AQ4" s="70" t="s">
        <v>310</v>
      </c>
      <c r="AR4" s="70"/>
      <c r="AS4" s="70"/>
      <c r="AT4" s="70" t="s">
        <v>310</v>
      </c>
      <c r="AU4" s="70"/>
      <c r="AV4" s="70"/>
      <c r="AW4" s="70"/>
      <c r="AX4" s="70"/>
      <c r="AY4" s="70" t="s">
        <v>310</v>
      </c>
      <c r="AZ4" s="70"/>
      <c r="BA4" s="70"/>
      <c r="BB4" s="70" t="s">
        <v>310</v>
      </c>
      <c r="BC4" s="70"/>
      <c r="BD4" s="70" t="s">
        <v>310</v>
      </c>
      <c r="BE4" s="70" t="s">
        <v>310</v>
      </c>
      <c r="BF4" s="70" t="s">
        <v>310</v>
      </c>
      <c r="BG4" s="70"/>
      <c r="BH4" s="70"/>
      <c r="BI4" s="70" t="s">
        <v>310</v>
      </c>
      <c r="BJ4" s="70" t="s">
        <v>310</v>
      </c>
      <c r="BK4" s="70" t="s">
        <v>310</v>
      </c>
      <c r="BL4" s="70" t="s">
        <v>310</v>
      </c>
      <c r="BM4" s="70"/>
      <c r="BN4" s="70"/>
    </row>
    <row r="5" spans="1:66" x14ac:dyDescent="0.2">
      <c r="A5" s="59">
        <v>2</v>
      </c>
      <c r="B5" s="67" t="s">
        <v>145</v>
      </c>
      <c r="C5" s="65">
        <v>10.5</v>
      </c>
      <c r="D5" s="64">
        <v>31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/>
      <c r="N5" s="69" t="s">
        <v>310</v>
      </c>
      <c r="O5" s="69"/>
      <c r="P5" s="69"/>
      <c r="Q5" s="69" t="s">
        <v>310</v>
      </c>
      <c r="R5" s="69" t="s">
        <v>310</v>
      </c>
      <c r="S5" s="69" t="s">
        <v>310</v>
      </c>
      <c r="T5" s="69"/>
      <c r="U5" s="96" t="s">
        <v>310</v>
      </c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 t="s">
        <v>310</v>
      </c>
      <c r="AL5" s="69"/>
      <c r="AM5" s="69" t="s">
        <v>310</v>
      </c>
      <c r="AN5" s="69" t="s">
        <v>310</v>
      </c>
      <c r="AO5" s="69"/>
      <c r="AP5" s="69" t="s">
        <v>310</v>
      </c>
      <c r="AQ5" s="69"/>
      <c r="AR5" s="96" t="s">
        <v>310</v>
      </c>
      <c r="AS5" s="69" t="s">
        <v>310</v>
      </c>
      <c r="AT5" s="69" t="s">
        <v>310</v>
      </c>
      <c r="AU5" s="69" t="s">
        <v>310</v>
      </c>
      <c r="AV5" s="69"/>
      <c r="AW5" s="69" t="s">
        <v>310</v>
      </c>
      <c r="AX5" s="69" t="s">
        <v>310</v>
      </c>
      <c r="AY5" s="69" t="s">
        <v>310</v>
      </c>
      <c r="AZ5" s="69"/>
      <c r="BA5" s="69"/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/>
      <c r="BI5" s="69"/>
      <c r="BJ5" s="69"/>
      <c r="BK5" s="69" t="s">
        <v>310</v>
      </c>
      <c r="BL5" s="69"/>
      <c r="BM5" s="69" t="s">
        <v>310</v>
      </c>
      <c r="BN5" s="69" t="s">
        <v>310</v>
      </c>
    </row>
    <row r="6" spans="1:66" x14ac:dyDescent="0.2">
      <c r="A6" s="61" t="s">
        <v>3</v>
      </c>
      <c r="B6" s="68" t="s">
        <v>236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19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 t="s">
        <v>310</v>
      </c>
      <c r="N6" s="70"/>
      <c r="O6" s="70"/>
      <c r="P6" s="70" t="s">
        <v>310</v>
      </c>
      <c r="Q6" s="70"/>
      <c r="R6" s="70"/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/>
      <c r="AE6" s="70"/>
      <c r="AF6" s="70"/>
      <c r="AG6" s="70" t="s">
        <v>310</v>
      </c>
      <c r="AH6" s="70"/>
      <c r="AI6" s="70"/>
      <c r="AJ6" s="70"/>
      <c r="AK6" s="70"/>
      <c r="AL6" s="70" t="s">
        <v>310</v>
      </c>
      <c r="AM6" s="70"/>
      <c r="AN6" s="70"/>
      <c r="AO6" s="70" t="s">
        <v>310</v>
      </c>
      <c r="AP6" s="70"/>
      <c r="AQ6" s="70" t="s">
        <v>310</v>
      </c>
      <c r="AR6" s="70"/>
      <c r="AS6" s="70"/>
      <c r="AT6" s="70"/>
      <c r="AU6" s="70"/>
      <c r="AV6" s="70" t="s">
        <v>310</v>
      </c>
      <c r="AW6" s="70"/>
      <c r="AX6" s="70"/>
      <c r="AY6" s="70"/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 t="s">
        <v>310</v>
      </c>
      <c r="BK6" s="70"/>
      <c r="BL6" s="70" t="s">
        <v>310</v>
      </c>
      <c r="BM6" s="70"/>
      <c r="BN6" s="70"/>
    </row>
    <row r="7" spans="1:66" x14ac:dyDescent="0.2">
      <c r="A7" s="59">
        <v>3</v>
      </c>
      <c r="B7" s="67" t="s">
        <v>152</v>
      </c>
      <c r="C7" s="65">
        <v>2.5</v>
      </c>
      <c r="D7" s="64">
        <v>40</v>
      </c>
      <c r="E7" s="64">
        <f>IF(ISBLANK($D7),"0",IF(($D8-$D7)&lt;($C8-$C7),1,0))</f>
        <v>1</v>
      </c>
      <c r="F7" s="64">
        <f t="shared" ca="1" si="1"/>
        <v>34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/>
      <c r="O7" s="69"/>
      <c r="P7" s="69" t="s">
        <v>310</v>
      </c>
      <c r="Q7" s="69" t="s">
        <v>310</v>
      </c>
      <c r="R7" s="96"/>
      <c r="S7" s="96" t="s">
        <v>310</v>
      </c>
      <c r="T7" s="96" t="s">
        <v>310</v>
      </c>
      <c r="U7" s="96" t="s">
        <v>310</v>
      </c>
      <c r="V7" s="69"/>
      <c r="W7" s="69"/>
      <c r="X7" s="69"/>
      <c r="Y7" s="69" t="s">
        <v>310</v>
      </c>
      <c r="Z7" s="69" t="s">
        <v>310</v>
      </c>
      <c r="AA7" s="69"/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 t="s">
        <v>310</v>
      </c>
      <c r="AS7" s="69" t="s">
        <v>310</v>
      </c>
      <c r="AT7" s="69" t="s">
        <v>310</v>
      </c>
      <c r="AU7" s="69" t="s">
        <v>310</v>
      </c>
      <c r="AV7" s="69"/>
      <c r="AW7" s="69" t="s">
        <v>310</v>
      </c>
      <c r="AX7" s="69" t="s">
        <v>310</v>
      </c>
      <c r="AY7" s="69" t="s">
        <v>310</v>
      </c>
      <c r="AZ7" s="69"/>
      <c r="BA7" s="69" t="s">
        <v>310</v>
      </c>
      <c r="BB7" s="69"/>
      <c r="BC7" s="69"/>
      <c r="BD7" s="69"/>
      <c r="BE7" s="96"/>
      <c r="BF7" s="69" t="s">
        <v>310</v>
      </c>
      <c r="BG7" s="69" t="s">
        <v>310</v>
      </c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/>
    </row>
    <row r="8" spans="1:66" x14ac:dyDescent="0.2">
      <c r="A8" s="61" t="s">
        <v>3</v>
      </c>
      <c r="B8" s="68" t="s">
        <v>248</v>
      </c>
      <c r="C8" s="66"/>
      <c r="D8" s="64">
        <v>29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 t="s">
        <v>310</v>
      </c>
      <c r="O8" s="70"/>
      <c r="P8" s="70"/>
      <c r="Q8" s="70"/>
      <c r="R8" s="97" t="s">
        <v>310</v>
      </c>
      <c r="S8" s="97"/>
      <c r="T8" s="97"/>
      <c r="U8" s="97"/>
      <c r="V8" s="70" t="s">
        <v>310</v>
      </c>
      <c r="W8" s="70" t="s">
        <v>310</v>
      </c>
      <c r="X8" s="70" t="s">
        <v>310</v>
      </c>
      <c r="Y8" s="70"/>
      <c r="Z8" s="70"/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/>
      <c r="AQ8" s="70" t="s">
        <v>310</v>
      </c>
      <c r="AR8" s="70"/>
      <c r="AS8" s="70"/>
      <c r="AT8" s="70"/>
      <c r="AU8" s="70"/>
      <c r="AV8" s="70" t="s">
        <v>310</v>
      </c>
      <c r="AW8" s="70"/>
      <c r="AX8" s="70"/>
      <c r="AY8" s="70"/>
      <c r="AZ8" s="70"/>
      <c r="BA8" s="70"/>
      <c r="BB8" s="70" t="s">
        <v>310</v>
      </c>
      <c r="BC8" s="70" t="s">
        <v>310</v>
      </c>
      <c r="BD8" s="70" t="s">
        <v>310</v>
      </c>
      <c r="BE8" s="70" t="s">
        <v>310</v>
      </c>
      <c r="BF8" s="70"/>
      <c r="BG8" s="70"/>
      <c r="BH8" s="70"/>
      <c r="BI8" s="70"/>
      <c r="BJ8" s="70"/>
      <c r="BK8" s="70"/>
      <c r="BL8" s="70" t="s">
        <v>310</v>
      </c>
      <c r="BM8" s="70"/>
      <c r="BN8" s="70" t="s">
        <v>310</v>
      </c>
    </row>
    <row r="9" spans="1:66" x14ac:dyDescent="0.2">
      <c r="A9" s="59">
        <v>4</v>
      </c>
      <c r="B9" s="108" t="s">
        <v>153</v>
      </c>
      <c r="C9" s="65">
        <v>13.5</v>
      </c>
      <c r="D9" s="81">
        <v>21</v>
      </c>
      <c r="E9" s="64">
        <f>IF(ISBLANK($D9),"0",IF(($D10-$D9)&lt;($C10-$C9),1,0))</f>
        <v>0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310</v>
      </c>
      <c r="M9" s="69" t="s">
        <v>310</v>
      </c>
      <c r="N9" s="69"/>
      <c r="O9" s="69"/>
      <c r="P9" s="69" t="s">
        <v>310</v>
      </c>
      <c r="Q9" s="69" t="s">
        <v>310</v>
      </c>
      <c r="R9" s="96"/>
      <c r="S9" s="96" t="s">
        <v>310</v>
      </c>
      <c r="T9" s="96"/>
      <c r="U9" s="96" t="s">
        <v>310</v>
      </c>
      <c r="V9" s="69"/>
      <c r="W9" s="69" t="s">
        <v>310</v>
      </c>
      <c r="X9" s="69" t="s">
        <v>310</v>
      </c>
      <c r="Y9" s="69"/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 t="s">
        <v>310</v>
      </c>
      <c r="AG9" s="69"/>
      <c r="AH9" s="69"/>
      <c r="AI9" s="69"/>
      <c r="AJ9" s="69" t="s">
        <v>310</v>
      </c>
      <c r="AK9" s="69" t="s">
        <v>310</v>
      </c>
      <c r="AL9" s="69"/>
      <c r="AM9" s="69"/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/>
      <c r="AT9" s="69"/>
      <c r="AU9" s="69"/>
      <c r="AV9" s="69" t="s">
        <v>310</v>
      </c>
      <c r="AW9" s="69" t="s">
        <v>310</v>
      </c>
      <c r="AX9" s="69"/>
      <c r="AY9" s="69" t="s">
        <v>310</v>
      </c>
      <c r="AZ9" s="69"/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/>
      <c r="BG9" s="69" t="s">
        <v>310</v>
      </c>
      <c r="BH9" s="69"/>
      <c r="BI9" s="69"/>
      <c r="BJ9" s="69" t="s">
        <v>310</v>
      </c>
      <c r="BK9" s="69"/>
      <c r="BL9" s="69" t="s">
        <v>310</v>
      </c>
      <c r="BM9" s="69" t="s">
        <v>310</v>
      </c>
      <c r="BN9" s="69" t="s">
        <v>310</v>
      </c>
    </row>
    <row r="10" spans="1:66" x14ac:dyDescent="0.2">
      <c r="A10" s="61" t="s">
        <v>3</v>
      </c>
      <c r="B10" s="68" t="s">
        <v>150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310</v>
      </c>
      <c r="L10" s="70"/>
      <c r="M10" s="70"/>
      <c r="N10" s="70" t="s">
        <v>310</v>
      </c>
      <c r="O10" s="70"/>
      <c r="P10" s="70"/>
      <c r="Q10" s="70"/>
      <c r="R10" s="97" t="s">
        <v>310</v>
      </c>
      <c r="S10" s="97"/>
      <c r="T10" s="97" t="s">
        <v>310</v>
      </c>
      <c r="U10" s="70"/>
      <c r="V10" s="70" t="s">
        <v>310</v>
      </c>
      <c r="W10" s="70"/>
      <c r="X10" s="70"/>
      <c r="Y10" s="70" t="s">
        <v>310</v>
      </c>
      <c r="Z10" s="70" t="s">
        <v>310</v>
      </c>
      <c r="AA10" s="70"/>
      <c r="AB10" s="70"/>
      <c r="AC10" s="70"/>
      <c r="AD10" s="70"/>
      <c r="AE10" s="70" t="s">
        <v>310</v>
      </c>
      <c r="AF10" s="70"/>
      <c r="AG10" s="70" t="s">
        <v>310</v>
      </c>
      <c r="AH10" s="70" t="s">
        <v>310</v>
      </c>
      <c r="AI10" s="70" t="s">
        <v>310</v>
      </c>
      <c r="AJ10" s="70"/>
      <c r="AK10" s="70"/>
      <c r="AL10" s="70" t="s">
        <v>310</v>
      </c>
      <c r="AM10" s="70" t="s">
        <v>310</v>
      </c>
      <c r="AN10" s="70" t="s">
        <v>310</v>
      </c>
      <c r="AO10" s="70"/>
      <c r="AP10" s="70"/>
      <c r="AQ10" s="70"/>
      <c r="AR10" s="70"/>
      <c r="AS10" s="70" t="s">
        <v>310</v>
      </c>
      <c r="AT10" s="70" t="s">
        <v>310</v>
      </c>
      <c r="AU10" s="70" t="s">
        <v>310</v>
      </c>
      <c r="AV10" s="70"/>
      <c r="AW10" s="70"/>
      <c r="AX10" s="70" t="s">
        <v>310</v>
      </c>
      <c r="AY10" s="70"/>
      <c r="AZ10" s="70"/>
      <c r="BA10" s="70"/>
      <c r="BB10" s="70" t="s">
        <v>310</v>
      </c>
      <c r="BC10" s="70"/>
      <c r="BD10" s="70"/>
      <c r="BE10" s="70"/>
      <c r="BF10" s="70" t="s">
        <v>310</v>
      </c>
      <c r="BG10" s="70"/>
      <c r="BH10" s="70"/>
      <c r="BI10" s="70" t="s">
        <v>310</v>
      </c>
      <c r="BJ10" s="70"/>
      <c r="BK10" s="70" t="s">
        <v>310</v>
      </c>
      <c r="BL10" s="70"/>
      <c r="BM10" s="70"/>
      <c r="BN10" s="70"/>
    </row>
    <row r="11" spans="1:66" x14ac:dyDescent="0.2">
      <c r="A11" s="59">
        <v>5</v>
      </c>
      <c r="B11" s="67" t="s">
        <v>156</v>
      </c>
      <c r="C11" s="65">
        <v>3.5</v>
      </c>
      <c r="D11" s="64">
        <v>37</v>
      </c>
      <c r="E11" s="64">
        <f>IF(ISBLANK($D11),"0",IF(($D12-$D11)&lt;($C12-$C11),1,0))</f>
        <v>0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/>
      <c r="U11" s="69" t="s">
        <v>310</v>
      </c>
      <c r="V11" s="69" t="s">
        <v>310</v>
      </c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 t="s">
        <v>310</v>
      </c>
      <c r="AS11" s="69" t="s">
        <v>310</v>
      </c>
      <c r="AT11" s="69"/>
      <c r="AU11" s="69" t="s">
        <v>310</v>
      </c>
      <c r="AV11" s="69" t="s">
        <v>310</v>
      </c>
      <c r="AW11" s="69" t="s">
        <v>310</v>
      </c>
      <c r="AX11" s="69"/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 t="s">
        <v>310</v>
      </c>
      <c r="BE11" s="96"/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">
      <c r="A12" s="61" t="s">
        <v>3</v>
      </c>
      <c r="B12" s="68" t="s">
        <v>155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 t="s">
        <v>310</v>
      </c>
      <c r="U12" s="97"/>
      <c r="V12" s="70"/>
      <c r="W12" s="70"/>
      <c r="X12" s="70"/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/>
      <c r="AS12" s="70"/>
      <c r="AT12" s="70" t="s">
        <v>310</v>
      </c>
      <c r="AU12" s="70"/>
      <c r="AV12" s="70"/>
      <c r="AW12" s="70"/>
      <c r="AX12" s="70" t="s">
        <v>310</v>
      </c>
      <c r="AY12" s="70"/>
      <c r="AZ12" s="70"/>
      <c r="BA12" s="70"/>
      <c r="BB12" s="70"/>
      <c r="BC12" s="70"/>
      <c r="BD12" s="70"/>
      <c r="BE12" s="70" t="s">
        <v>310</v>
      </c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32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 t="s">
        <v>310</v>
      </c>
      <c r="N13" s="69" t="s">
        <v>310</v>
      </c>
      <c r="O13" s="69"/>
      <c r="P13" s="69"/>
      <c r="Q13" s="69"/>
      <c r="R13" s="96"/>
      <c r="S13" s="96"/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/>
      <c r="AC13" s="69" t="s">
        <v>310</v>
      </c>
      <c r="AD13" s="69" t="s">
        <v>310</v>
      </c>
      <c r="AE13" s="69" t="s">
        <v>310</v>
      </c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 t="s">
        <v>310</v>
      </c>
      <c r="AP13" s="69" t="s">
        <v>310</v>
      </c>
      <c r="AQ13" s="69"/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/>
      <c r="AY13" s="69"/>
      <c r="AZ13" s="69"/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/>
      <c r="V14" s="70"/>
      <c r="W14" s="70"/>
      <c r="X14" s="70" t="s">
        <v>310</v>
      </c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 t="s">
        <v>310</v>
      </c>
      <c r="AJ14" s="70"/>
      <c r="AK14" s="70"/>
      <c r="AL14" s="70"/>
      <c r="AM14" s="70"/>
      <c r="AN14" s="70" t="s">
        <v>310</v>
      </c>
      <c r="AO14" s="70"/>
      <c r="AP14" s="70"/>
      <c r="AQ14" s="70" t="s">
        <v>310</v>
      </c>
      <c r="AR14" s="70"/>
      <c r="AS14" s="70"/>
      <c r="AT14" s="70"/>
      <c r="AU14" s="70" t="s">
        <v>310</v>
      </c>
      <c r="AV14" s="70" t="s">
        <v>310</v>
      </c>
      <c r="AW14" s="70"/>
      <c r="AX14" s="70" t="s">
        <v>310</v>
      </c>
      <c r="AY14" s="70" t="s">
        <v>310</v>
      </c>
      <c r="AZ14" s="70"/>
      <c r="BA14" s="70"/>
      <c r="BB14" s="70"/>
      <c r="BC14" s="70"/>
      <c r="BD14" s="70" t="s">
        <v>310</v>
      </c>
      <c r="BE14" s="70"/>
      <c r="BF14" s="70"/>
      <c r="BG14" s="70"/>
      <c r="BH14" s="70"/>
      <c r="BI14" s="70" t="s">
        <v>310</v>
      </c>
      <c r="BJ14" s="70"/>
      <c r="BK14" s="70"/>
      <c r="BL14" s="70" t="s">
        <v>310</v>
      </c>
      <c r="BM14" s="70" t="s">
        <v>310</v>
      </c>
      <c r="BN14" s="70" t="s">
        <v>310</v>
      </c>
    </row>
    <row r="15" spans="1:66" x14ac:dyDescent="0.2">
      <c r="A15" s="59">
        <v>7</v>
      </c>
      <c r="B15" s="67" t="s">
        <v>186</v>
      </c>
      <c r="C15" s="65">
        <v>3.5</v>
      </c>
      <c r="D15" s="64">
        <v>34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/>
      <c r="U15" s="96"/>
      <c r="V15" s="69"/>
      <c r="W15" s="69" t="s">
        <v>310</v>
      </c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/>
      <c r="AK15" s="69"/>
      <c r="AL15" s="69" t="s">
        <v>310</v>
      </c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 t="s">
        <v>310</v>
      </c>
      <c r="AU15" s="69" t="s">
        <v>310</v>
      </c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/>
      <c r="BB15" s="69"/>
      <c r="BC15" s="69" t="s">
        <v>310</v>
      </c>
      <c r="BD15" s="69" t="s">
        <v>310</v>
      </c>
      <c r="BE15" s="96"/>
      <c r="BF15" s="69" t="s">
        <v>310</v>
      </c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">
      <c r="A16" s="61" t="s">
        <v>3</v>
      </c>
      <c r="B16" s="68" t="s">
        <v>187</v>
      </c>
      <c r="C16" s="66"/>
      <c r="D16" s="64">
        <v>35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/>
      <c r="R16" s="70"/>
      <c r="S16" s="70"/>
      <c r="T16" s="70" t="s">
        <v>310</v>
      </c>
      <c r="U16" s="70" t="s">
        <v>310</v>
      </c>
      <c r="V16" s="70" t="s">
        <v>310</v>
      </c>
      <c r="W16" s="70"/>
      <c r="X16" s="70"/>
      <c r="Y16" s="70"/>
      <c r="Z16" s="70"/>
      <c r="AA16" s="70"/>
      <c r="AB16" s="70" t="s">
        <v>310</v>
      </c>
      <c r="AC16" s="70"/>
      <c r="AD16" s="70"/>
      <c r="AE16" s="70" t="s">
        <v>310</v>
      </c>
      <c r="AF16" s="70"/>
      <c r="AG16" s="70" t="s">
        <v>310</v>
      </c>
      <c r="AH16" s="70"/>
      <c r="AI16" s="70"/>
      <c r="AJ16" s="70" t="s">
        <v>310</v>
      </c>
      <c r="AK16" s="70" t="s">
        <v>310</v>
      </c>
      <c r="AL16" s="70"/>
      <c r="AM16" s="70"/>
      <c r="AN16" s="70"/>
      <c r="AO16" s="70"/>
      <c r="AP16" s="70" t="s">
        <v>310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310</v>
      </c>
      <c r="BB16" s="70" t="s">
        <v>310</v>
      </c>
      <c r="BC16" s="70"/>
      <c r="BD16" s="70"/>
      <c r="BE16" s="70" t="s">
        <v>310</v>
      </c>
      <c r="BF16" s="70"/>
      <c r="BG16" s="70"/>
      <c r="BH16" s="70"/>
      <c r="BI16" s="70"/>
      <c r="BJ16" s="70"/>
      <c r="BK16" s="70"/>
      <c r="BL16" s="70"/>
      <c r="BM16" s="70" t="s">
        <v>310</v>
      </c>
      <c r="BN16" s="70"/>
    </row>
    <row r="17" spans="1:66" x14ac:dyDescent="0.2">
      <c r="A17" s="59">
        <v>8</v>
      </c>
      <c r="B17" s="67" t="s">
        <v>195</v>
      </c>
      <c r="C17" s="65">
        <v>3.5</v>
      </c>
      <c r="D17" s="64">
        <v>20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/>
      <c r="Q17" s="69"/>
      <c r="R17" s="69" t="s">
        <v>310</v>
      </c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 t="s">
        <v>310</v>
      </c>
      <c r="Y17" s="69" t="s">
        <v>310</v>
      </c>
      <c r="Z17" s="69" t="s">
        <v>310</v>
      </c>
      <c r="AA17" s="69"/>
      <c r="AB17" s="69"/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/>
      <c r="AJ17" s="69" t="s">
        <v>310</v>
      </c>
      <c r="AK17" s="69" t="s">
        <v>310</v>
      </c>
      <c r="AL17" s="69"/>
      <c r="AM17" s="69" t="s">
        <v>310</v>
      </c>
      <c r="AN17" s="69"/>
      <c r="AO17" s="69"/>
      <c r="AP17" s="69" t="s">
        <v>310</v>
      </c>
      <c r="AQ17" s="69" t="s">
        <v>310</v>
      </c>
      <c r="AR17" s="96" t="s">
        <v>310</v>
      </c>
      <c r="AS17" s="69" t="s">
        <v>310</v>
      </c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/>
      <c r="BC17" s="69"/>
      <c r="BD17" s="69" t="s">
        <v>310</v>
      </c>
      <c r="BE17" s="69" t="s">
        <v>310</v>
      </c>
      <c r="BF17" s="69" t="s">
        <v>310</v>
      </c>
      <c r="BG17" s="69"/>
      <c r="BH17" s="69"/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147</v>
      </c>
      <c r="C18" s="66"/>
      <c r="D18" s="64">
        <v>37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 t="s">
        <v>310</v>
      </c>
      <c r="Q18" s="70" t="s">
        <v>310</v>
      </c>
      <c r="R18" s="70"/>
      <c r="S18" s="70"/>
      <c r="T18" s="70"/>
      <c r="U18" s="97"/>
      <c r="V18" s="70"/>
      <c r="W18" s="70" t="s">
        <v>310</v>
      </c>
      <c r="X18" s="70"/>
      <c r="Y18" s="70"/>
      <c r="Z18" s="70"/>
      <c r="AA18" s="70"/>
      <c r="AB18" s="70" t="s">
        <v>310</v>
      </c>
      <c r="AC18" s="70"/>
      <c r="AD18" s="70"/>
      <c r="AE18" s="70"/>
      <c r="AF18" s="70"/>
      <c r="AG18" s="70"/>
      <c r="AH18" s="70" t="s">
        <v>310</v>
      </c>
      <c r="AI18" s="70" t="s">
        <v>310</v>
      </c>
      <c r="AJ18" s="70"/>
      <c r="AK18" s="70"/>
      <c r="AL18" s="70" t="s">
        <v>310</v>
      </c>
      <c r="AM18" s="70"/>
      <c r="AN18" s="70" t="s">
        <v>310</v>
      </c>
      <c r="AO18" s="70" t="s">
        <v>310</v>
      </c>
      <c r="AP18" s="70"/>
      <c r="AQ18" s="70"/>
      <c r="AR18" s="70"/>
      <c r="AS18" s="70"/>
      <c r="AT18" s="70"/>
      <c r="AU18" s="70"/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/>
      <c r="BE18" s="97"/>
      <c r="BF18" s="70"/>
      <c r="BG18" s="70" t="s">
        <v>310</v>
      </c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">
      <c r="A19" s="59">
        <v>9</v>
      </c>
      <c r="B19" s="67" t="s">
        <v>162</v>
      </c>
      <c r="C19" s="65">
        <v>21.5</v>
      </c>
      <c r="D19" s="64">
        <v>32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310</v>
      </c>
      <c r="M19" s="69"/>
      <c r="N19" s="69" t="s">
        <v>310</v>
      </c>
      <c r="O19" s="69"/>
      <c r="P19" s="69"/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 t="s">
        <v>310</v>
      </c>
      <c r="X19" s="69" t="s">
        <v>310</v>
      </c>
      <c r="Y19" s="69" t="s">
        <v>310</v>
      </c>
      <c r="Z19" s="69"/>
      <c r="AA19" s="69"/>
      <c r="AB19" s="69" t="s">
        <v>310</v>
      </c>
      <c r="AC19" s="69"/>
      <c r="AD19" s="69"/>
      <c r="AE19" s="69"/>
      <c r="AF19" s="69" t="s">
        <v>310</v>
      </c>
      <c r="AG19" s="69"/>
      <c r="AH19" s="69"/>
      <c r="AI19" s="69"/>
      <c r="AJ19" s="69"/>
      <c r="AK19" s="69" t="s">
        <v>310</v>
      </c>
      <c r="AL19" s="69" t="s">
        <v>310</v>
      </c>
      <c r="AM19" s="69"/>
      <c r="AN19" s="69"/>
      <c r="AO19" s="69"/>
      <c r="AP19" s="69"/>
      <c r="AQ19" s="69" t="s">
        <v>310</v>
      </c>
      <c r="AR19" s="69" t="s">
        <v>310</v>
      </c>
      <c r="AS19" s="69"/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/>
      <c r="BB19" s="69"/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 t="s">
        <v>199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/>
      <c r="M20" s="70" t="s">
        <v>310</v>
      </c>
      <c r="N20" s="70"/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/>
      <c r="X20" s="70"/>
      <c r="Y20" s="70"/>
      <c r="Z20" s="70" t="s">
        <v>310</v>
      </c>
      <c r="AA20" s="70"/>
      <c r="AB20" s="70"/>
      <c r="AC20" s="70" t="s">
        <v>310</v>
      </c>
      <c r="AD20" s="70" t="s">
        <v>310</v>
      </c>
      <c r="AE20" s="70" t="s">
        <v>310</v>
      </c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/>
      <c r="AM20" s="70" t="s">
        <v>310</v>
      </c>
      <c r="AN20" s="70" t="s">
        <v>310</v>
      </c>
      <c r="AO20" s="70" t="s">
        <v>310</v>
      </c>
      <c r="AP20" s="70" t="s">
        <v>310</v>
      </c>
      <c r="AQ20" s="70"/>
      <c r="AR20" s="97"/>
      <c r="AS20" s="70" t="s">
        <v>310</v>
      </c>
      <c r="AT20" s="70" t="s">
        <v>310</v>
      </c>
      <c r="AU20" s="70"/>
      <c r="AV20" s="70" t="s">
        <v>310</v>
      </c>
      <c r="AW20" s="70"/>
      <c r="AX20" s="70"/>
      <c r="AY20" s="70" t="s">
        <v>310</v>
      </c>
      <c r="AZ20" s="70"/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/>
      <c r="BH20" s="70"/>
      <c r="BI20" s="70" t="s">
        <v>310</v>
      </c>
      <c r="BJ20" s="70" t="s">
        <v>310</v>
      </c>
      <c r="BK20" s="70" t="s">
        <v>310</v>
      </c>
      <c r="BL20" s="70" t="s">
        <v>310</v>
      </c>
      <c r="BM20" s="70" t="s">
        <v>310</v>
      </c>
      <c r="BN20" s="70" t="s">
        <v>310</v>
      </c>
    </row>
    <row r="21" spans="1:66" x14ac:dyDescent="0.2">
      <c r="A21" s="59">
        <v>10</v>
      </c>
      <c r="B21" s="67" t="s">
        <v>185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/>
      <c r="O21" s="69"/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/>
      <c r="AE21" s="69"/>
      <c r="AF21" s="69"/>
      <c r="AG21" s="69" t="s">
        <v>310</v>
      </c>
      <c r="AH21" s="69" t="s">
        <v>310</v>
      </c>
      <c r="AI21" s="69"/>
      <c r="AJ21" s="69"/>
      <c r="AK21" s="69"/>
      <c r="AL21" s="69"/>
      <c r="AM21" s="69" t="s">
        <v>310</v>
      </c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/>
      <c r="BJ21" s="69" t="s">
        <v>310</v>
      </c>
      <c r="BK21" s="69"/>
      <c r="BL21" s="69"/>
      <c r="BM21" s="69"/>
      <c r="BN21" s="69" t="s">
        <v>310</v>
      </c>
    </row>
    <row r="22" spans="1:66" x14ac:dyDescent="0.2">
      <c r="A22" s="61" t="s">
        <v>3</v>
      </c>
      <c r="B22" s="68" t="s">
        <v>205</v>
      </c>
      <c r="C22" s="66">
        <v>7.5</v>
      </c>
      <c r="D22" s="64">
        <v>23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 t="s">
        <v>310</v>
      </c>
      <c r="AE22" s="70" t="s">
        <v>310</v>
      </c>
      <c r="AF22" s="70" t="s">
        <v>310</v>
      </c>
      <c r="AG22" s="70"/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/>
      <c r="AN22" s="70"/>
      <c r="AO22" s="70"/>
      <c r="AP22" s="70" t="s">
        <v>310</v>
      </c>
      <c r="AQ22" s="70"/>
      <c r="AR22" s="70"/>
      <c r="AS22" s="70"/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/>
      <c r="BA22" s="70" t="s">
        <v>310</v>
      </c>
      <c r="BB22" s="70"/>
      <c r="BC22" s="70"/>
      <c r="BD22" s="70"/>
      <c r="BE22" s="70"/>
      <c r="BF22" s="70"/>
      <c r="BG22" s="70" t="s">
        <v>310</v>
      </c>
      <c r="BH22" s="70"/>
      <c r="BI22" s="70" t="s">
        <v>310</v>
      </c>
      <c r="BJ22" s="70"/>
      <c r="BK22" s="70" t="s">
        <v>310</v>
      </c>
      <c r="BL22" s="70" t="s">
        <v>310</v>
      </c>
      <c r="BM22" s="70" t="s">
        <v>310</v>
      </c>
      <c r="BN22" s="70"/>
    </row>
    <row r="23" spans="1:66" x14ac:dyDescent="0.2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45</v>
      </c>
      <c r="M23" s="78">
        <v>21</v>
      </c>
      <c r="N23" s="80">
        <v>21</v>
      </c>
      <c r="O23" s="78"/>
      <c r="P23" s="78">
        <v>28</v>
      </c>
      <c r="Q23" s="78">
        <v>24</v>
      </c>
      <c r="R23" s="78">
        <v>20</v>
      </c>
      <c r="S23" s="78">
        <v>17</v>
      </c>
      <c r="T23" s="78">
        <v>21</v>
      </c>
      <c r="U23" s="78">
        <v>14</v>
      </c>
      <c r="V23" s="78">
        <v>15</v>
      </c>
      <c r="W23" s="78">
        <v>14</v>
      </c>
      <c r="X23" s="78">
        <v>20</v>
      </c>
      <c r="Y23" s="78">
        <v>21</v>
      </c>
      <c r="Z23" s="78">
        <v>21</v>
      </c>
      <c r="AA23" s="78"/>
      <c r="AB23" s="78">
        <v>21</v>
      </c>
      <c r="AC23" s="78">
        <v>33</v>
      </c>
      <c r="AD23" s="78">
        <v>10</v>
      </c>
      <c r="AE23" s="78">
        <v>31</v>
      </c>
      <c r="AF23" s="78">
        <v>31</v>
      </c>
      <c r="AG23" s="78">
        <v>24</v>
      </c>
      <c r="AH23" s="78">
        <v>20</v>
      </c>
      <c r="AI23" s="78">
        <v>20</v>
      </c>
      <c r="AJ23" s="78">
        <v>17</v>
      </c>
      <c r="AK23" s="78">
        <v>22</v>
      </c>
      <c r="AL23" s="78">
        <v>23</v>
      </c>
      <c r="AM23" s="78">
        <v>18</v>
      </c>
      <c r="AN23" s="78">
        <v>28</v>
      </c>
      <c r="AO23" s="78">
        <v>13</v>
      </c>
      <c r="AP23" s="78">
        <v>17</v>
      </c>
      <c r="AQ23" s="78">
        <v>33</v>
      </c>
      <c r="AR23" s="78">
        <v>18</v>
      </c>
      <c r="AS23" s="78">
        <v>18</v>
      </c>
      <c r="AT23" s="78">
        <v>17</v>
      </c>
      <c r="AU23" s="78">
        <v>7</v>
      </c>
      <c r="AV23" s="78">
        <v>21</v>
      </c>
      <c r="AW23" s="78">
        <v>45</v>
      </c>
      <c r="AX23" s="78">
        <v>13</v>
      </c>
      <c r="AY23" s="78">
        <v>17</v>
      </c>
      <c r="AZ23" s="78"/>
      <c r="BA23" s="78">
        <v>21</v>
      </c>
      <c r="BB23" s="78">
        <v>21</v>
      </c>
      <c r="BC23" s="78">
        <v>37</v>
      </c>
      <c r="BD23" s="78">
        <v>21</v>
      </c>
      <c r="BE23" s="78">
        <v>37</v>
      </c>
      <c r="BF23" s="78">
        <v>41</v>
      </c>
      <c r="BG23" s="78">
        <v>17</v>
      </c>
      <c r="BH23" s="78"/>
      <c r="BI23" s="78">
        <v>14</v>
      </c>
      <c r="BJ23" s="78">
        <v>20</v>
      </c>
      <c r="BK23" s="78">
        <v>21</v>
      </c>
      <c r="BL23" s="78">
        <v>17</v>
      </c>
      <c r="BM23" s="78">
        <v>20</v>
      </c>
      <c r="BN23" s="78">
        <v>21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52</v>
      </c>
      <c r="M24" s="79">
        <v>24</v>
      </c>
      <c r="N24" s="79">
        <v>35</v>
      </c>
      <c r="O24" s="79"/>
      <c r="P24" s="79">
        <v>31</v>
      </c>
      <c r="Q24" s="79">
        <v>34</v>
      </c>
      <c r="R24" s="79">
        <v>24</v>
      </c>
      <c r="S24" s="79">
        <v>27</v>
      </c>
      <c r="T24" s="79">
        <v>16</v>
      </c>
      <c r="U24" s="79">
        <v>28</v>
      </c>
      <c r="V24" s="79">
        <v>34</v>
      </c>
      <c r="W24" s="79">
        <v>24</v>
      </c>
      <c r="X24" s="79">
        <v>30</v>
      </c>
      <c r="Y24" s="79">
        <v>28</v>
      </c>
      <c r="Z24" s="79">
        <v>24</v>
      </c>
      <c r="AA24" s="79"/>
      <c r="AB24" s="79">
        <v>24</v>
      </c>
      <c r="AC24" s="79">
        <v>21</v>
      </c>
      <c r="AD24" s="79">
        <v>24</v>
      </c>
      <c r="AE24" s="79">
        <v>44</v>
      </c>
      <c r="AF24" s="79">
        <v>40</v>
      </c>
      <c r="AG24" s="79">
        <v>30</v>
      </c>
      <c r="AH24" s="79">
        <v>24</v>
      </c>
      <c r="AI24" s="79">
        <v>38</v>
      </c>
      <c r="AJ24" s="79">
        <v>27</v>
      </c>
      <c r="AK24" s="79">
        <v>45</v>
      </c>
      <c r="AL24" s="79">
        <v>69</v>
      </c>
      <c r="AM24" s="79">
        <v>21</v>
      </c>
      <c r="AN24" s="79">
        <v>21</v>
      </c>
      <c r="AO24" s="79">
        <v>20</v>
      </c>
      <c r="AP24" s="79">
        <v>31</v>
      </c>
      <c r="AQ24" s="79">
        <v>35</v>
      </c>
      <c r="AR24" s="79">
        <v>25</v>
      </c>
      <c r="AS24" s="79">
        <v>24</v>
      </c>
      <c r="AT24" s="79">
        <v>24</v>
      </c>
      <c r="AU24" s="79">
        <v>29</v>
      </c>
      <c r="AV24" s="79">
        <v>35</v>
      </c>
      <c r="AW24" s="79">
        <v>34</v>
      </c>
      <c r="AX24" s="79">
        <v>24</v>
      </c>
      <c r="AY24" s="79">
        <v>24</v>
      </c>
      <c r="AZ24" s="79"/>
      <c r="BA24" s="79">
        <v>35</v>
      </c>
      <c r="BB24" s="79">
        <v>28</v>
      </c>
      <c r="BC24" s="79">
        <v>42</v>
      </c>
      <c r="BD24" s="79">
        <v>28</v>
      </c>
      <c r="BE24" s="79">
        <v>39</v>
      </c>
      <c r="BF24" s="79">
        <v>38</v>
      </c>
      <c r="BG24" s="79">
        <v>30</v>
      </c>
      <c r="BH24" s="79"/>
      <c r="BI24" s="79">
        <v>36</v>
      </c>
      <c r="BJ24" s="79">
        <v>24</v>
      </c>
      <c r="BK24" s="79">
        <v>31</v>
      </c>
      <c r="BL24" s="79">
        <v>31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0</v>
      </c>
      <c r="P25" s="36">
        <f t="shared" si="3"/>
        <v>7</v>
      </c>
      <c r="Q25" s="36">
        <f t="shared" si="3"/>
        <v>3</v>
      </c>
      <c r="R25" s="36">
        <f t="shared" si="3"/>
        <v>5</v>
      </c>
      <c r="S25" s="36">
        <f t="shared" si="3"/>
        <v>3</v>
      </c>
      <c r="T25" s="36">
        <f t="shared" si="3"/>
        <v>9</v>
      </c>
      <c r="U25" s="36">
        <f t="shared" si="3"/>
        <v>3</v>
      </c>
      <c r="V25" s="36">
        <f t="shared" si="3"/>
        <v>4</v>
      </c>
      <c r="W25" s="36">
        <f t="shared" si="3"/>
        <v>2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0</v>
      </c>
      <c r="AB25" s="36">
        <f t="shared" si="3"/>
        <v>5</v>
      </c>
      <c r="AC25" s="36">
        <f t="shared" si="3"/>
        <v>4</v>
      </c>
      <c r="AD25" s="36">
        <f t="shared" si="3"/>
        <v>3</v>
      </c>
      <c r="AE25" s="36">
        <f t="shared" si="3"/>
        <v>4</v>
      </c>
      <c r="AF25" s="36">
        <f t="shared" si="3"/>
        <v>1</v>
      </c>
      <c r="AG25" s="36">
        <f t="shared" si="3"/>
        <v>7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2</v>
      </c>
      <c r="AL25" s="36">
        <f t="shared" si="3"/>
        <v>4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2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2</v>
      </c>
      <c r="AX25" s="36">
        <f t="shared" si="3"/>
        <v>4</v>
      </c>
      <c r="AY25" s="36">
        <f t="shared" si="3"/>
        <v>5</v>
      </c>
      <c r="AZ25" s="36">
        <f t="shared" si="3"/>
        <v>0</v>
      </c>
      <c r="BA25" s="36">
        <f t="shared" si="3"/>
        <v>4</v>
      </c>
      <c r="BB25" s="36">
        <f t="shared" si="3"/>
        <v>7</v>
      </c>
      <c r="BC25" s="36">
        <f t="shared" si="3"/>
        <v>4</v>
      </c>
      <c r="BD25" s="36">
        <f t="shared" si="3"/>
        <v>4</v>
      </c>
      <c r="BE25" s="36">
        <f t="shared" si="3"/>
        <v>4</v>
      </c>
      <c r="BF25" s="36">
        <f t="shared" si="3"/>
        <v>4</v>
      </c>
      <c r="BG25" s="36">
        <f t="shared" si="3"/>
        <v>3</v>
      </c>
      <c r="BH25" s="36">
        <f t="shared" si="3"/>
        <v>0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5</v>
      </c>
      <c r="BM25" s="36">
        <f t="shared" si="3"/>
        <v>4</v>
      </c>
      <c r="BN25" s="36">
        <f t="shared" si="3"/>
        <v>3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</v>
      </c>
      <c r="M26" s="71">
        <f t="shared" si="4"/>
        <v>3</v>
      </c>
      <c r="N26" s="71">
        <f t="shared" si="4"/>
        <v>8</v>
      </c>
      <c r="O26" s="71">
        <f t="shared" si="4"/>
        <v>6</v>
      </c>
      <c r="P26" s="71">
        <f t="shared" si="4"/>
        <v>3</v>
      </c>
      <c r="Q26" s="71">
        <f t="shared" si="4"/>
        <v>4</v>
      </c>
      <c r="R26" s="71">
        <f t="shared" si="4"/>
        <v>2</v>
      </c>
      <c r="S26" s="71">
        <f t="shared" si="4"/>
        <v>4</v>
      </c>
      <c r="T26" s="71">
        <f t="shared" si="4"/>
        <v>11</v>
      </c>
      <c r="U26" s="71">
        <f t="shared" si="4"/>
        <v>8</v>
      </c>
      <c r="V26" s="71">
        <f t="shared" si="4"/>
        <v>13</v>
      </c>
      <c r="W26" s="71">
        <f t="shared" si="4"/>
        <v>4</v>
      </c>
      <c r="X26" s="71">
        <f t="shared" si="4"/>
        <v>4</v>
      </c>
      <c r="Y26" s="71">
        <f t="shared" si="4"/>
        <v>1</v>
      </c>
      <c r="Z26" s="71">
        <f t="shared" si="4"/>
        <v>3</v>
      </c>
      <c r="AA26" s="71">
        <f t="shared" si="4"/>
        <v>6</v>
      </c>
      <c r="AB26" s="71">
        <f t="shared" si="4"/>
        <v>3</v>
      </c>
      <c r="AC26" s="71">
        <f t="shared" si="4"/>
        <v>18</v>
      </c>
      <c r="AD26" s="71">
        <f t="shared" si="4"/>
        <v>8</v>
      </c>
      <c r="AE26" s="71">
        <f t="shared" si="4"/>
        <v>7</v>
      </c>
      <c r="AF26" s="71">
        <f t="shared" si="4"/>
        <v>3</v>
      </c>
      <c r="AG26" s="71">
        <f t="shared" si="4"/>
        <v>0</v>
      </c>
      <c r="AH26" s="71">
        <f t="shared" si="4"/>
        <v>2</v>
      </c>
      <c r="AI26" s="71">
        <f t="shared" si="4"/>
        <v>12</v>
      </c>
      <c r="AJ26" s="71">
        <f t="shared" si="4"/>
        <v>4</v>
      </c>
      <c r="AK26" s="71">
        <f t="shared" si="4"/>
        <v>17</v>
      </c>
      <c r="AL26" s="71">
        <f t="shared" si="4"/>
        <v>40</v>
      </c>
      <c r="AM26" s="71">
        <f t="shared" si="4"/>
        <v>3</v>
      </c>
      <c r="AN26" s="71">
        <f t="shared" si="4"/>
        <v>13</v>
      </c>
      <c r="AO26" s="71">
        <f t="shared" si="4"/>
        <v>1</v>
      </c>
      <c r="AP26" s="71">
        <f t="shared" si="4"/>
        <v>8</v>
      </c>
      <c r="AQ26" s="71">
        <f t="shared" si="4"/>
        <v>4</v>
      </c>
      <c r="AR26" s="71">
        <f t="shared" si="4"/>
        <v>1</v>
      </c>
      <c r="AS26" s="71">
        <f t="shared" si="4"/>
        <v>0</v>
      </c>
      <c r="AT26" s="71">
        <f t="shared" si="4"/>
        <v>1</v>
      </c>
      <c r="AU26" s="71">
        <f t="shared" si="4"/>
        <v>16</v>
      </c>
      <c r="AV26" s="71">
        <f t="shared" si="4"/>
        <v>8</v>
      </c>
      <c r="AW26" s="71">
        <f t="shared" si="4"/>
        <v>17</v>
      </c>
      <c r="AX26" s="71">
        <f t="shared" si="4"/>
        <v>5</v>
      </c>
      <c r="AY26" s="71">
        <f t="shared" si="4"/>
        <v>1</v>
      </c>
      <c r="AZ26" s="71">
        <f t="shared" si="4"/>
        <v>6</v>
      </c>
      <c r="BA26" s="71">
        <f t="shared" si="4"/>
        <v>8</v>
      </c>
      <c r="BB26" s="71">
        <f t="shared" si="4"/>
        <v>1</v>
      </c>
      <c r="BC26" s="71">
        <f t="shared" si="4"/>
        <v>1</v>
      </c>
      <c r="BD26" s="71">
        <f t="shared" si="4"/>
        <v>1</v>
      </c>
      <c r="BE26" s="71">
        <f t="shared" si="4"/>
        <v>4</v>
      </c>
      <c r="BF26" s="71">
        <f t="shared" si="4"/>
        <v>9</v>
      </c>
      <c r="BG26" s="71">
        <f t="shared" si="4"/>
        <v>7</v>
      </c>
      <c r="BH26" s="71">
        <f t="shared" si="4"/>
        <v>6</v>
      </c>
      <c r="BI26" s="71">
        <f t="shared" si="4"/>
        <v>16</v>
      </c>
      <c r="BJ26" s="71">
        <f t="shared" si="4"/>
        <v>2</v>
      </c>
      <c r="BK26" s="71">
        <f t="shared" si="4"/>
        <v>4</v>
      </c>
      <c r="BL26" s="71">
        <f t="shared" si="4"/>
        <v>8</v>
      </c>
      <c r="BM26" s="71">
        <f t="shared" si="4"/>
        <v>4</v>
      </c>
      <c r="BN26" s="71">
        <f t="shared" si="4"/>
        <v>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57</v>
      </c>
      <c r="M27" s="71">
        <f t="shared" si="5"/>
        <v>5</v>
      </c>
      <c r="N27" s="71">
        <f t="shared" si="5"/>
        <v>16</v>
      </c>
      <c r="O27" s="71">
        <f t="shared" si="5"/>
        <v>40</v>
      </c>
      <c r="P27" s="71">
        <f t="shared" si="5"/>
        <v>19</v>
      </c>
      <c r="Q27" s="71">
        <f t="shared" si="5"/>
        <v>18</v>
      </c>
      <c r="R27" s="71">
        <f t="shared" si="5"/>
        <v>4</v>
      </c>
      <c r="S27" s="71">
        <f t="shared" si="5"/>
        <v>4</v>
      </c>
      <c r="T27" s="71">
        <f t="shared" si="5"/>
        <v>3</v>
      </c>
      <c r="U27" s="71">
        <f t="shared" si="5"/>
        <v>2</v>
      </c>
      <c r="V27" s="71">
        <f t="shared" si="5"/>
        <v>9</v>
      </c>
      <c r="W27" s="71">
        <f t="shared" si="5"/>
        <v>2</v>
      </c>
      <c r="X27" s="71">
        <f t="shared" si="5"/>
        <v>10</v>
      </c>
      <c r="Y27" s="71">
        <f t="shared" si="5"/>
        <v>9</v>
      </c>
      <c r="Z27" s="71">
        <f t="shared" si="5"/>
        <v>5</v>
      </c>
      <c r="AA27" s="71">
        <f t="shared" si="5"/>
        <v>40</v>
      </c>
      <c r="AB27" s="71">
        <f t="shared" si="5"/>
        <v>5</v>
      </c>
      <c r="AC27" s="71">
        <f t="shared" si="5"/>
        <v>14</v>
      </c>
      <c r="AD27" s="71">
        <f t="shared" si="5"/>
        <v>6</v>
      </c>
      <c r="AE27" s="71">
        <f t="shared" si="5"/>
        <v>35</v>
      </c>
      <c r="AF27" s="71">
        <f t="shared" si="5"/>
        <v>31</v>
      </c>
      <c r="AG27" s="71">
        <f t="shared" si="5"/>
        <v>14</v>
      </c>
      <c r="AH27" s="71">
        <f t="shared" si="5"/>
        <v>4</v>
      </c>
      <c r="AI27" s="71">
        <f t="shared" si="5"/>
        <v>18</v>
      </c>
      <c r="AJ27" s="71">
        <f t="shared" si="5"/>
        <v>4</v>
      </c>
      <c r="AK27" s="71">
        <f t="shared" si="5"/>
        <v>27</v>
      </c>
      <c r="AL27" s="71">
        <f t="shared" si="5"/>
        <v>52</v>
      </c>
      <c r="AM27" s="71">
        <f t="shared" si="5"/>
        <v>1</v>
      </c>
      <c r="AN27" s="71">
        <f t="shared" si="5"/>
        <v>9</v>
      </c>
      <c r="AO27" s="71">
        <f t="shared" si="5"/>
        <v>7</v>
      </c>
      <c r="AP27" s="71">
        <f t="shared" si="5"/>
        <v>8</v>
      </c>
      <c r="AQ27" s="71">
        <f t="shared" si="5"/>
        <v>28</v>
      </c>
      <c r="AR27" s="71">
        <f t="shared" si="5"/>
        <v>3</v>
      </c>
      <c r="AS27" s="71">
        <f t="shared" si="5"/>
        <v>2</v>
      </c>
      <c r="AT27" s="71">
        <f t="shared" si="5"/>
        <v>1</v>
      </c>
      <c r="AU27" s="71">
        <f t="shared" si="5"/>
        <v>4</v>
      </c>
      <c r="AV27" s="71">
        <f t="shared" si="5"/>
        <v>16</v>
      </c>
      <c r="AW27" s="71">
        <f t="shared" si="5"/>
        <v>39</v>
      </c>
      <c r="AX27" s="71">
        <f t="shared" si="5"/>
        <v>3</v>
      </c>
      <c r="AY27" s="71">
        <f t="shared" si="5"/>
        <v>1</v>
      </c>
      <c r="AZ27" s="71">
        <f t="shared" si="5"/>
        <v>40</v>
      </c>
      <c r="BA27" s="71">
        <f t="shared" si="5"/>
        <v>16</v>
      </c>
      <c r="BB27" s="71">
        <f t="shared" si="5"/>
        <v>9</v>
      </c>
      <c r="BC27" s="71">
        <f t="shared" si="5"/>
        <v>39</v>
      </c>
      <c r="BD27" s="71">
        <f t="shared" si="5"/>
        <v>9</v>
      </c>
      <c r="BE27" s="71">
        <f t="shared" si="5"/>
        <v>36</v>
      </c>
      <c r="BF27" s="71">
        <f t="shared" si="5"/>
        <v>39</v>
      </c>
      <c r="BG27" s="71">
        <f t="shared" si="5"/>
        <v>7</v>
      </c>
      <c r="BH27" s="71">
        <f t="shared" si="5"/>
        <v>40</v>
      </c>
      <c r="BI27" s="71">
        <f t="shared" si="5"/>
        <v>10</v>
      </c>
      <c r="BJ27" s="71">
        <f t="shared" si="5"/>
        <v>4</v>
      </c>
      <c r="BK27" s="71">
        <f t="shared" si="5"/>
        <v>12</v>
      </c>
      <c r="BL27" s="71">
        <f t="shared" si="5"/>
        <v>8</v>
      </c>
      <c r="BM27" s="71">
        <f t="shared" si="5"/>
        <v>10</v>
      </c>
      <c r="BN27" s="71">
        <f t="shared" si="5"/>
        <v>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0.38750000000000001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0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7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8</v>
      </c>
      <c r="Z29" s="71">
        <f t="shared" si="7"/>
        <v>7</v>
      </c>
      <c r="AA29" s="71">
        <f t="shared" si="7"/>
        <v>0</v>
      </c>
      <c r="AB29" s="71">
        <f t="shared" si="7"/>
        <v>5</v>
      </c>
      <c r="AC29" s="71">
        <f t="shared" si="7"/>
        <v>8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6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10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4</v>
      </c>
      <c r="AW29" s="71">
        <f t="shared" si="7"/>
        <v>10</v>
      </c>
      <c r="AX29" s="71">
        <f t="shared" si="7"/>
        <v>6</v>
      </c>
      <c r="AY29" s="71">
        <f t="shared" si="7"/>
        <v>7</v>
      </c>
      <c r="AZ29" s="71">
        <f t="shared" si="7"/>
        <v>0</v>
      </c>
      <c r="BA29" s="71">
        <f t="shared" si="7"/>
        <v>6</v>
      </c>
      <c r="BB29" s="71">
        <f t="shared" si="7"/>
        <v>3</v>
      </c>
      <c r="BC29" s="71">
        <f t="shared" si="7"/>
        <v>6</v>
      </c>
      <c r="BD29" s="71">
        <f t="shared" si="7"/>
        <v>6</v>
      </c>
      <c r="BE29" s="71">
        <f t="shared" si="7"/>
        <v>6</v>
      </c>
      <c r="BF29" s="71">
        <f t="shared" si="7"/>
        <v>8</v>
      </c>
      <c r="BG29" s="71">
        <f t="shared" si="7"/>
        <v>7</v>
      </c>
      <c r="BH29" s="71">
        <f t="shared" si="7"/>
        <v>0</v>
      </c>
      <c r="BI29" s="71">
        <f t="shared" si="7"/>
        <v>4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-63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6</v>
      </c>
      <c r="N30" s="73">
        <f t="shared" si="8"/>
        <v>4</v>
      </c>
      <c r="O30" s="73">
        <f t="shared" si="8"/>
        <v>10</v>
      </c>
      <c r="P30" s="73">
        <f t="shared" si="8"/>
        <v>4</v>
      </c>
      <c r="Q30" s="73">
        <f t="shared" si="8"/>
        <v>2</v>
      </c>
      <c r="R30" s="73">
        <f t="shared" si="8"/>
        <v>6</v>
      </c>
      <c r="S30" s="73">
        <f t="shared" si="8"/>
        <v>0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3</v>
      </c>
      <c r="X30" s="73">
        <f t="shared" si="8"/>
        <v>2</v>
      </c>
      <c r="Y30" s="73">
        <f t="shared" si="8"/>
        <v>3</v>
      </c>
      <c r="Z30" s="73">
        <f t="shared" si="8"/>
        <v>4</v>
      </c>
      <c r="AA30" s="73">
        <f t="shared" si="8"/>
        <v>10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5</v>
      </c>
      <c r="AF30" s="73">
        <f t="shared" si="8"/>
        <v>2</v>
      </c>
      <c r="AG30" s="73">
        <f t="shared" si="8"/>
        <v>6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3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7</v>
      </c>
      <c r="AP30" s="73">
        <f t="shared" si="8"/>
        <v>3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5</v>
      </c>
      <c r="AU30" s="73">
        <f t="shared" si="8"/>
        <v>2</v>
      </c>
      <c r="AV30" s="73">
        <f t="shared" si="8"/>
        <v>5</v>
      </c>
      <c r="AW30" s="73">
        <f t="shared" si="8"/>
        <v>3</v>
      </c>
      <c r="AX30" s="73">
        <f t="shared" si="8"/>
        <v>3</v>
      </c>
      <c r="AY30" s="73">
        <f t="shared" si="8"/>
        <v>2</v>
      </c>
      <c r="AZ30" s="73">
        <f t="shared" si="8"/>
        <v>10</v>
      </c>
      <c r="BA30" s="73">
        <f t="shared" si="8"/>
        <v>5</v>
      </c>
      <c r="BB30" s="73">
        <f t="shared" si="8"/>
        <v>8</v>
      </c>
      <c r="BC30" s="73">
        <f t="shared" si="8"/>
        <v>7</v>
      </c>
      <c r="BD30" s="73">
        <f t="shared" si="8"/>
        <v>3</v>
      </c>
      <c r="BE30" s="73">
        <f t="shared" si="8"/>
        <v>5</v>
      </c>
      <c r="BF30" s="73">
        <f t="shared" si="8"/>
        <v>3</v>
      </c>
      <c r="BG30" s="73">
        <f t="shared" si="8"/>
        <v>4</v>
      </c>
      <c r="BH30" s="73">
        <f t="shared" si="8"/>
        <v>10</v>
      </c>
      <c r="BI30" s="73">
        <f t="shared" si="8"/>
        <v>3</v>
      </c>
      <c r="BJ30" s="73">
        <f t="shared" si="8"/>
        <v>4</v>
      </c>
      <c r="BK30" s="73">
        <f t="shared" si="8"/>
        <v>4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6</v>
      </c>
      <c r="O31" s="71">
        <f t="shared" ca="1" si="9"/>
        <v>10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6</v>
      </c>
      <c r="U31" s="71">
        <f t="shared" ca="1" si="9"/>
        <v>2</v>
      </c>
      <c r="V31" s="71">
        <f t="shared" ca="1" si="9"/>
        <v>7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2</v>
      </c>
      <c r="AA31" s="71">
        <f t="shared" ca="1" si="9"/>
        <v>10</v>
      </c>
      <c r="AB31" s="71">
        <f t="shared" ca="1" si="9"/>
        <v>6</v>
      </c>
      <c r="AC31" s="71">
        <f t="shared" ca="1" si="9"/>
        <v>1</v>
      </c>
      <c r="AD31" s="71">
        <f t="shared" ca="1" si="9"/>
        <v>4</v>
      </c>
      <c r="AE31" s="71">
        <f t="shared" ca="1" si="9"/>
        <v>3</v>
      </c>
      <c r="AF31" s="71">
        <f t="shared" ca="1" si="9"/>
        <v>2</v>
      </c>
      <c r="AG31" s="71">
        <f t="shared" ca="1" si="9"/>
        <v>4</v>
      </c>
      <c r="AH31" s="71">
        <f t="shared" ca="1" si="9"/>
        <v>2</v>
      </c>
      <c r="AI31" s="71">
        <f t="shared" ca="1" si="9"/>
        <v>5</v>
      </c>
      <c r="AJ31" s="71">
        <f t="shared" ca="1" si="9"/>
        <v>3</v>
      </c>
      <c r="AK31" s="71">
        <f t="shared" ca="1" si="9"/>
        <v>3</v>
      </c>
      <c r="AL31" s="71">
        <f t="shared" ca="1" si="9"/>
        <v>5</v>
      </c>
      <c r="AM31" s="71">
        <f t="shared" ca="1" si="9"/>
        <v>1</v>
      </c>
      <c r="AN31" s="71">
        <f t="shared" ca="1" si="9"/>
        <v>4</v>
      </c>
      <c r="AO31" s="71">
        <f t="shared" ca="1" si="9"/>
        <v>3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1</v>
      </c>
      <c r="AT31" s="71">
        <f t="shared" ca="1" si="9"/>
        <v>3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10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3</v>
      </c>
      <c r="BE31" s="71">
        <f t="shared" ca="1" si="9"/>
        <v>5</v>
      </c>
      <c r="BF31" s="71">
        <f t="shared" ca="1" si="9"/>
        <v>3</v>
      </c>
      <c r="BG31" s="71">
        <f t="shared" ca="1" si="9"/>
        <v>4</v>
      </c>
      <c r="BH31" s="71">
        <f t="shared" ca="1" si="9"/>
        <v>10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6</v>
      </c>
      <c r="BM31" s="71">
        <f t="shared" ca="1" si="9"/>
        <v>3</v>
      </c>
      <c r="BN31" s="71">
        <f t="shared" ca="1" si="9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59979924</v>
      </c>
      <c r="L36" s="32">
        <f t="shared" si="12"/>
        <v>41995772</v>
      </c>
      <c r="M36" s="32">
        <f t="shared" si="12"/>
        <v>101987980</v>
      </c>
      <c r="N36" s="32">
        <f t="shared" si="12"/>
        <v>59967936</v>
      </c>
      <c r="O36" s="32">
        <f t="shared" si="12"/>
        <v>0</v>
      </c>
      <c r="P36" s="32">
        <f t="shared" si="12"/>
        <v>141987924</v>
      </c>
      <c r="Q36" s="32">
        <f t="shared" si="12"/>
        <v>59983928</v>
      </c>
      <c r="R36" s="32">
        <f t="shared" si="12"/>
        <v>101991984</v>
      </c>
      <c r="S36" s="32">
        <f t="shared" si="12"/>
        <v>59983984</v>
      </c>
      <c r="T36" s="32">
        <f t="shared" si="12"/>
        <v>181955988</v>
      </c>
      <c r="U36" s="32">
        <f t="shared" si="12"/>
        <v>59967992</v>
      </c>
      <c r="V36" s="32">
        <f t="shared" si="12"/>
        <v>79947964</v>
      </c>
      <c r="W36" s="32">
        <f t="shared" si="12"/>
        <v>39983992</v>
      </c>
      <c r="X36" s="32">
        <f t="shared" si="12"/>
        <v>59983960</v>
      </c>
      <c r="Y36" s="32">
        <f t="shared" si="12"/>
        <v>81995964</v>
      </c>
      <c r="Z36" s="32">
        <f t="shared" si="12"/>
        <v>101987980</v>
      </c>
      <c r="AA36" s="32">
        <f t="shared" si="12"/>
        <v>0</v>
      </c>
      <c r="AB36" s="32">
        <f t="shared" si="12"/>
        <v>101987980</v>
      </c>
      <c r="AC36" s="32">
        <f t="shared" si="12"/>
        <v>81927944</v>
      </c>
      <c r="AD36" s="32">
        <f t="shared" si="12"/>
        <v>59967976</v>
      </c>
      <c r="AE36" s="32">
        <f t="shared" si="12"/>
        <v>79971860</v>
      </c>
      <c r="AF36" s="32">
        <f t="shared" si="12"/>
        <v>19987876</v>
      </c>
      <c r="AG36" s="32">
        <f t="shared" si="12"/>
        <v>141999944</v>
      </c>
      <c r="AH36" s="32">
        <f t="shared" si="12"/>
        <v>101991984</v>
      </c>
      <c r="AI36" s="32">
        <f t="shared" si="12"/>
        <v>79951928</v>
      </c>
      <c r="AJ36" s="32">
        <f t="shared" si="12"/>
        <v>79983984</v>
      </c>
      <c r="AK36" s="32">
        <f t="shared" si="12"/>
        <v>39931892</v>
      </c>
      <c r="AL36" s="32">
        <f t="shared" si="12"/>
        <v>79839792</v>
      </c>
      <c r="AM36" s="32">
        <f t="shared" si="12"/>
        <v>81987996</v>
      </c>
      <c r="AN36" s="32">
        <f t="shared" si="12"/>
        <v>141947964</v>
      </c>
      <c r="AO36" s="32">
        <f t="shared" si="12"/>
        <v>121995972</v>
      </c>
      <c r="AP36" s="32">
        <f t="shared" si="12"/>
        <v>79967968</v>
      </c>
      <c r="AQ36" s="32">
        <f t="shared" si="12"/>
        <v>81983888</v>
      </c>
      <c r="AR36" s="32">
        <f t="shared" si="12"/>
        <v>41995988</v>
      </c>
      <c r="AS36" s="32">
        <f t="shared" si="12"/>
        <v>81999992</v>
      </c>
      <c r="AT36" s="32">
        <f t="shared" si="12"/>
        <v>121995996</v>
      </c>
      <c r="AU36" s="32">
        <f t="shared" si="12"/>
        <v>59935984</v>
      </c>
      <c r="AV36" s="32">
        <f t="shared" si="12"/>
        <v>79967936</v>
      </c>
      <c r="AW36" s="32">
        <f t="shared" si="12"/>
        <v>41931844</v>
      </c>
      <c r="AX36" s="32">
        <f t="shared" si="12"/>
        <v>79979988</v>
      </c>
      <c r="AY36" s="32">
        <f t="shared" si="12"/>
        <v>101995996</v>
      </c>
      <c r="AZ36" s="32">
        <f t="shared" si="12"/>
        <v>0</v>
      </c>
      <c r="BA36" s="32">
        <f t="shared" si="12"/>
        <v>79967936</v>
      </c>
      <c r="BB36" s="32">
        <f t="shared" si="12"/>
        <v>141995964</v>
      </c>
      <c r="BC36" s="32">
        <f t="shared" si="12"/>
        <v>81995844</v>
      </c>
      <c r="BD36" s="32">
        <f t="shared" si="12"/>
        <v>81995964</v>
      </c>
      <c r="BE36" s="32">
        <f t="shared" si="12"/>
        <v>81983856</v>
      </c>
      <c r="BF36" s="32">
        <f t="shared" si="12"/>
        <v>81963844</v>
      </c>
      <c r="BG36" s="32">
        <f t="shared" si="12"/>
        <v>59971972</v>
      </c>
      <c r="BH36" s="32">
        <f t="shared" si="12"/>
        <v>0</v>
      </c>
      <c r="BI36" s="32">
        <f t="shared" si="12"/>
        <v>119935960</v>
      </c>
      <c r="BJ36" s="32">
        <f t="shared" si="12"/>
        <v>101991984</v>
      </c>
      <c r="BK36" s="32">
        <f t="shared" si="12"/>
        <v>99983952</v>
      </c>
      <c r="BL36" s="32">
        <f t="shared" si="12"/>
        <v>99967968</v>
      </c>
      <c r="BM36" s="32">
        <f t="shared" si="12"/>
        <v>79983960</v>
      </c>
      <c r="BN36" s="32">
        <f t="shared" si="12"/>
        <v>61995964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Straw, Adam D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W;Gilmer, Justin T;Robbins, Thomas D;Straw, Adam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K3" sqref="K3:BN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205</v>
      </c>
      <c r="C3" s="65">
        <v>6.5</v>
      </c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/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">
      <c r="A4" s="61" t="s">
        <v>3</v>
      </c>
      <c r="B4" s="68" t="s">
        <v>201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 t="s">
        <v>193</v>
      </c>
      <c r="C5" s="65"/>
      <c r="D5" s="64">
        <v>28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 t="s">
        <v>310</v>
      </c>
      <c r="W5" s="69" t="s">
        <v>310</v>
      </c>
      <c r="X5" s="69" t="s">
        <v>310</v>
      </c>
      <c r="Y5" s="69"/>
      <c r="Z5" s="69" t="s">
        <v>310</v>
      </c>
      <c r="AA5" s="69" t="s">
        <v>310</v>
      </c>
      <c r="AB5" s="69"/>
      <c r="AC5" s="69"/>
      <c r="AD5" s="69"/>
      <c r="AE5" s="69"/>
      <c r="AF5" s="69" t="s">
        <v>310</v>
      </c>
      <c r="AG5" s="69"/>
      <c r="AH5" s="69"/>
      <c r="AI5" s="69" t="s">
        <v>310</v>
      </c>
      <c r="AJ5" s="69"/>
      <c r="AK5" s="69"/>
      <c r="AL5" s="69"/>
      <c r="AM5" s="69"/>
      <c r="AN5" s="69"/>
      <c r="AO5" s="69" t="s">
        <v>310</v>
      </c>
      <c r="AP5" s="69"/>
      <c r="AQ5" s="69"/>
      <c r="AR5" s="96" t="s">
        <v>310</v>
      </c>
      <c r="AS5" s="69" t="s">
        <v>310</v>
      </c>
      <c r="AT5" s="69"/>
      <c r="AU5" s="69" t="s">
        <v>310</v>
      </c>
      <c r="AV5" s="69"/>
      <c r="AW5" s="69" t="s">
        <v>310</v>
      </c>
      <c r="AX5" s="69" t="s">
        <v>310</v>
      </c>
      <c r="AY5" s="69"/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/>
      <c r="BG5" s="69" t="s">
        <v>310</v>
      </c>
      <c r="BH5" s="69"/>
      <c r="BI5" s="69"/>
      <c r="BJ5" s="69" t="s">
        <v>310</v>
      </c>
      <c r="BK5" s="69" t="s">
        <v>310</v>
      </c>
      <c r="BL5" s="69" t="s">
        <v>310</v>
      </c>
      <c r="BM5" s="69"/>
      <c r="BN5" s="69"/>
    </row>
    <row r="6" spans="1:66" x14ac:dyDescent="0.2">
      <c r="A6" s="61" t="s">
        <v>3</v>
      </c>
      <c r="B6" s="68" t="s">
        <v>157</v>
      </c>
      <c r="C6" s="66">
        <v>3.5</v>
      </c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/>
      <c r="U6" s="70" t="s">
        <v>310</v>
      </c>
      <c r="V6" s="70"/>
      <c r="W6" s="70"/>
      <c r="X6" s="70"/>
      <c r="Y6" s="70" t="s">
        <v>310</v>
      </c>
      <c r="Z6" s="70"/>
      <c r="AA6" s="70"/>
      <c r="AB6" s="70" t="s">
        <v>310</v>
      </c>
      <c r="AC6" s="70" t="s">
        <v>310</v>
      </c>
      <c r="AD6" s="70" t="s">
        <v>310</v>
      </c>
      <c r="AE6" s="70" t="s">
        <v>310</v>
      </c>
      <c r="AF6" s="70"/>
      <c r="AG6" s="70" t="s">
        <v>310</v>
      </c>
      <c r="AH6" s="70" t="s">
        <v>310</v>
      </c>
      <c r="AI6" s="70"/>
      <c r="AJ6" s="70" t="s">
        <v>310</v>
      </c>
      <c r="AK6" s="70"/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/>
      <c r="AT6" s="70" t="s">
        <v>310</v>
      </c>
      <c r="AU6" s="70"/>
      <c r="AV6" s="70" t="s">
        <v>310</v>
      </c>
      <c r="AW6" s="70"/>
      <c r="AX6" s="70"/>
      <c r="AY6" s="70" t="s">
        <v>310</v>
      </c>
      <c r="AZ6" s="70"/>
      <c r="BA6" s="70"/>
      <c r="BB6" s="70" t="s">
        <v>310</v>
      </c>
      <c r="BC6" s="70" t="s">
        <v>310</v>
      </c>
      <c r="BD6" s="70"/>
      <c r="BE6" s="97"/>
      <c r="BF6" s="70" t="s">
        <v>310</v>
      </c>
      <c r="BG6" s="70"/>
      <c r="BH6" s="70" t="s">
        <v>310</v>
      </c>
      <c r="BI6" s="70" t="s">
        <v>310</v>
      </c>
      <c r="BJ6" s="70"/>
      <c r="BK6" s="70"/>
      <c r="BL6" s="70"/>
      <c r="BM6" s="70" t="s">
        <v>310</v>
      </c>
      <c r="BN6" s="70" t="s">
        <v>310</v>
      </c>
    </row>
    <row r="7" spans="1:66" x14ac:dyDescent="0.2">
      <c r="A7" s="59">
        <v>3</v>
      </c>
      <c r="B7" s="67" t="s">
        <v>139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/>
      <c r="O7" s="69"/>
      <c r="P7" s="69"/>
      <c r="Q7" s="69"/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/>
      <c r="Z7" s="69"/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/>
      <c r="AK7" s="69"/>
      <c r="AL7" s="69"/>
      <c r="AM7" s="69" t="s">
        <v>310</v>
      </c>
      <c r="AN7" s="69" t="s">
        <v>310</v>
      </c>
      <c r="AO7" s="69"/>
      <c r="AP7" s="69"/>
      <c r="AQ7" s="69"/>
      <c r="AR7" s="96" t="s">
        <v>310</v>
      </c>
      <c r="AS7" s="69" t="s">
        <v>310</v>
      </c>
      <c r="AT7" s="69"/>
      <c r="AU7" s="69"/>
      <c r="AV7" s="69" t="s">
        <v>310</v>
      </c>
      <c r="AW7" s="69" t="s">
        <v>310</v>
      </c>
      <c r="AX7" s="69" t="s">
        <v>310</v>
      </c>
      <c r="AY7" s="69"/>
      <c r="AZ7" s="69" t="s">
        <v>310</v>
      </c>
      <c r="BA7" s="69"/>
      <c r="BB7" s="69"/>
      <c r="BC7" s="69"/>
      <c r="BD7" s="69"/>
      <c r="BE7" s="96"/>
      <c r="BF7" s="69"/>
      <c r="BG7" s="69" t="s">
        <v>310</v>
      </c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">
      <c r="A8" s="61" t="s">
        <v>3</v>
      </c>
      <c r="B8" s="68" t="s">
        <v>164</v>
      </c>
      <c r="C8" s="66">
        <v>10.5</v>
      </c>
      <c r="D8" s="64">
        <v>48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/>
      <c r="S8" s="97"/>
      <c r="T8" s="97" t="s">
        <v>310</v>
      </c>
      <c r="U8" s="97"/>
      <c r="V8" s="70" t="s">
        <v>310</v>
      </c>
      <c r="W8" s="70"/>
      <c r="X8" s="70"/>
      <c r="Y8" s="70" t="s">
        <v>310</v>
      </c>
      <c r="Z8" s="70" t="s">
        <v>310</v>
      </c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 t="s">
        <v>310</v>
      </c>
      <c r="AK8" s="70"/>
      <c r="AL8" s="70" t="s">
        <v>310</v>
      </c>
      <c r="AM8" s="70"/>
      <c r="AN8" s="70"/>
      <c r="AO8" s="70" t="s">
        <v>310</v>
      </c>
      <c r="AP8" s="70"/>
      <c r="AQ8" s="70" t="s">
        <v>310</v>
      </c>
      <c r="AR8" s="70"/>
      <c r="AS8" s="70"/>
      <c r="AT8" s="70" t="s">
        <v>310</v>
      </c>
      <c r="AU8" s="70" t="s">
        <v>310</v>
      </c>
      <c r="AV8" s="70"/>
      <c r="AW8" s="70"/>
      <c r="AX8" s="70"/>
      <c r="AY8" s="70" t="s">
        <v>310</v>
      </c>
      <c r="AZ8" s="70"/>
      <c r="BA8" s="70" t="s">
        <v>310</v>
      </c>
      <c r="BB8" s="70" t="s">
        <v>310</v>
      </c>
      <c r="BC8" s="70" t="s">
        <v>310</v>
      </c>
      <c r="BD8" s="70" t="s">
        <v>310</v>
      </c>
      <c r="BE8" s="70" t="s">
        <v>310</v>
      </c>
      <c r="BF8" s="70" t="s">
        <v>310</v>
      </c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147</v>
      </c>
      <c r="C9" s="65"/>
      <c r="D9" s="81">
        <v>43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/>
      <c r="P9" s="69" t="s">
        <v>310</v>
      </c>
      <c r="Q9" s="69" t="s">
        <v>310</v>
      </c>
      <c r="R9" s="96"/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/>
      <c r="Z9" s="69" t="s">
        <v>310</v>
      </c>
      <c r="AA9" s="69" t="s">
        <v>310</v>
      </c>
      <c r="AB9" s="69" t="s">
        <v>310</v>
      </c>
      <c r="AC9" s="69"/>
      <c r="AD9" s="69"/>
      <c r="AE9" s="69"/>
      <c r="AF9" s="69" t="s">
        <v>310</v>
      </c>
      <c r="AG9" s="69" t="s">
        <v>310</v>
      </c>
      <c r="AH9" s="69" t="s">
        <v>310</v>
      </c>
      <c r="AI9" s="69" t="s">
        <v>310</v>
      </c>
      <c r="AJ9" s="69" t="s">
        <v>310</v>
      </c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 t="s">
        <v>310</v>
      </c>
      <c r="BA9" s="69"/>
      <c r="BB9" s="69"/>
      <c r="BC9" s="69"/>
      <c r="BD9" s="69"/>
      <c r="BE9" s="96" t="s">
        <v>310</v>
      </c>
      <c r="BF9" s="69" t="s">
        <v>310</v>
      </c>
      <c r="BG9" s="69" t="s">
        <v>310</v>
      </c>
      <c r="BH9" s="69" t="s">
        <v>310</v>
      </c>
      <c r="BI9" s="69"/>
      <c r="BJ9" s="69" t="s">
        <v>310</v>
      </c>
      <c r="BK9" s="69"/>
      <c r="BL9" s="69"/>
      <c r="BM9" s="69" t="s">
        <v>310</v>
      </c>
      <c r="BN9" s="69"/>
    </row>
    <row r="10" spans="1:66" x14ac:dyDescent="0.2">
      <c r="A10" s="61" t="s">
        <v>3</v>
      </c>
      <c r="B10" s="68" t="s">
        <v>151</v>
      </c>
      <c r="C10" s="66">
        <v>2.5</v>
      </c>
      <c r="D10" s="64">
        <v>37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 t="s">
        <v>310</v>
      </c>
      <c r="P10" s="70"/>
      <c r="Q10" s="70"/>
      <c r="R10" s="97" t="s">
        <v>310</v>
      </c>
      <c r="S10" s="97" t="s">
        <v>310</v>
      </c>
      <c r="T10" s="97"/>
      <c r="U10" s="70" t="s">
        <v>310</v>
      </c>
      <c r="V10" s="70"/>
      <c r="W10" s="70"/>
      <c r="X10" s="70"/>
      <c r="Y10" s="70" t="s">
        <v>310</v>
      </c>
      <c r="Z10" s="70"/>
      <c r="AA10" s="70"/>
      <c r="AB10" s="70"/>
      <c r="AC10" s="70" t="s">
        <v>310</v>
      </c>
      <c r="AD10" s="70" t="s">
        <v>310</v>
      </c>
      <c r="AE10" s="70" t="s">
        <v>310</v>
      </c>
      <c r="AF10" s="70"/>
      <c r="AG10" s="70"/>
      <c r="AH10" s="70"/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 t="s">
        <v>310</v>
      </c>
      <c r="AW10" s="70" t="s">
        <v>310</v>
      </c>
      <c r="AX10" s="70"/>
      <c r="AY10" s="70"/>
      <c r="AZ10" s="70"/>
      <c r="BA10" s="70" t="s">
        <v>310</v>
      </c>
      <c r="BB10" s="70" t="s">
        <v>310</v>
      </c>
      <c r="BC10" s="70" t="s">
        <v>310</v>
      </c>
      <c r="BD10" s="70" t="s">
        <v>310</v>
      </c>
      <c r="BE10" s="70"/>
      <c r="BF10" s="70"/>
      <c r="BG10" s="70"/>
      <c r="BH10" s="70"/>
      <c r="BI10" s="70" t="s">
        <v>310</v>
      </c>
      <c r="BJ10" s="70"/>
      <c r="BK10" s="70" t="s">
        <v>310</v>
      </c>
      <c r="BL10" s="70" t="s">
        <v>310</v>
      </c>
      <c r="BM10" s="70"/>
      <c r="BN10" s="70" t="s">
        <v>310</v>
      </c>
    </row>
    <row r="11" spans="1:66" x14ac:dyDescent="0.2">
      <c r="A11" s="59">
        <v>5</v>
      </c>
      <c r="B11" s="67" t="s">
        <v>148</v>
      </c>
      <c r="C11" s="65">
        <v>2.5</v>
      </c>
      <c r="D11" s="64">
        <v>27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/>
      <c r="X11" s="69" t="s">
        <v>310</v>
      </c>
      <c r="Y11" s="69"/>
      <c r="Z11" s="69" t="s">
        <v>310</v>
      </c>
      <c r="AA11" s="69"/>
      <c r="AB11" s="69"/>
      <c r="AC11" s="69"/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/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 t="s">
        <v>310</v>
      </c>
      <c r="BA11" s="69" t="s">
        <v>310</v>
      </c>
      <c r="BB11" s="69" t="s">
        <v>310</v>
      </c>
      <c r="BC11" s="69" t="s">
        <v>310</v>
      </c>
      <c r="BD11" s="69"/>
      <c r="BE11" s="96" t="s">
        <v>310</v>
      </c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 t="s">
        <v>310</v>
      </c>
      <c r="BL11" s="69" t="s">
        <v>310</v>
      </c>
      <c r="BM11" s="69" t="s">
        <v>310</v>
      </c>
      <c r="BN11" s="69" t="s">
        <v>310</v>
      </c>
    </row>
    <row r="12" spans="1:66" x14ac:dyDescent="0.2">
      <c r="A12" s="61" t="s">
        <v>3</v>
      </c>
      <c r="B12" s="68" t="s">
        <v>246</v>
      </c>
      <c r="C12" s="66"/>
      <c r="D12" s="64">
        <v>24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310</v>
      </c>
      <c r="P12" s="70"/>
      <c r="Q12" s="70"/>
      <c r="R12" s="97" t="s">
        <v>310</v>
      </c>
      <c r="S12" s="97"/>
      <c r="T12" s="97"/>
      <c r="U12" s="97"/>
      <c r="V12" s="70"/>
      <c r="W12" s="70" t="s">
        <v>310</v>
      </c>
      <c r="X12" s="70"/>
      <c r="Y12" s="70" t="s">
        <v>310</v>
      </c>
      <c r="Z12" s="70"/>
      <c r="AA12" s="70" t="s">
        <v>310</v>
      </c>
      <c r="AB12" s="70" t="s">
        <v>310</v>
      </c>
      <c r="AC12" s="70" t="s">
        <v>310</v>
      </c>
      <c r="AD12" s="70" t="s">
        <v>310</v>
      </c>
      <c r="AE12" s="70"/>
      <c r="AF12" s="70"/>
      <c r="AG12" s="70"/>
      <c r="AH12" s="70"/>
      <c r="AI12" s="70" t="s">
        <v>310</v>
      </c>
      <c r="AJ12" s="70"/>
      <c r="AK12" s="70"/>
      <c r="AL12" s="70" t="s">
        <v>310</v>
      </c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/>
      <c r="AW12" s="70"/>
      <c r="AX12" s="70"/>
      <c r="AY12" s="70" t="s">
        <v>310</v>
      </c>
      <c r="AZ12" s="70"/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 t="s">
        <v>245</v>
      </c>
      <c r="C13" s="65">
        <v>3.5</v>
      </c>
      <c r="D13" s="64">
        <v>10</v>
      </c>
      <c r="E13" s="64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 t="s">
        <v>310</v>
      </c>
      <c r="Q13" s="69"/>
      <c r="R13" s="96"/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 t="s">
        <v>310</v>
      </c>
      <c r="AA13" s="69"/>
      <c r="AB13" s="69" t="s">
        <v>310</v>
      </c>
      <c r="AC13" s="69" t="s">
        <v>310</v>
      </c>
      <c r="AD13" s="69"/>
      <c r="AE13" s="69"/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 t="s">
        <v>310</v>
      </c>
      <c r="AM13" s="69" t="s">
        <v>310</v>
      </c>
      <c r="AN13" s="69" t="s">
        <v>310</v>
      </c>
      <c r="AO13" s="69"/>
      <c r="AP13" s="69"/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/>
      <c r="BF13" s="69" t="s">
        <v>310</v>
      </c>
      <c r="BG13" s="69"/>
      <c r="BH13" s="69" t="s">
        <v>310</v>
      </c>
      <c r="BI13" s="69" t="s">
        <v>310</v>
      </c>
      <c r="BJ13" s="69"/>
      <c r="BK13" s="69" t="s">
        <v>310</v>
      </c>
      <c r="BL13" s="69"/>
      <c r="BM13" s="69" t="s">
        <v>310</v>
      </c>
      <c r="BN13" s="69" t="s">
        <v>310</v>
      </c>
    </row>
    <row r="14" spans="1:66" x14ac:dyDescent="0.2">
      <c r="A14" s="61" t="s">
        <v>3</v>
      </c>
      <c r="B14" s="68" t="s">
        <v>247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 t="s">
        <v>310</v>
      </c>
      <c r="P14" s="70"/>
      <c r="Q14" s="70" t="s">
        <v>310</v>
      </c>
      <c r="R14" s="97" t="s">
        <v>310</v>
      </c>
      <c r="S14" s="97"/>
      <c r="T14" s="97" t="s">
        <v>310</v>
      </c>
      <c r="U14" s="97"/>
      <c r="V14" s="70"/>
      <c r="W14" s="70"/>
      <c r="X14" s="70" t="s">
        <v>310</v>
      </c>
      <c r="Y14" s="70"/>
      <c r="Z14" s="70"/>
      <c r="AA14" s="70" t="s">
        <v>310</v>
      </c>
      <c r="AB14" s="70"/>
      <c r="AC14" s="70"/>
      <c r="AD14" s="70" t="s">
        <v>310</v>
      </c>
      <c r="AE14" s="70" t="s">
        <v>310</v>
      </c>
      <c r="AF14" s="70" t="s">
        <v>310</v>
      </c>
      <c r="AG14" s="70"/>
      <c r="AH14" s="70"/>
      <c r="AI14" s="70" t="s">
        <v>310</v>
      </c>
      <c r="AJ14" s="70"/>
      <c r="AK14" s="70"/>
      <c r="AL14" s="70"/>
      <c r="AM14" s="70"/>
      <c r="AN14" s="70"/>
      <c r="AO14" s="70" t="s">
        <v>310</v>
      </c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/>
      <c r="BA14" s="70"/>
      <c r="BB14" s="70"/>
      <c r="BC14" s="70"/>
      <c r="BD14" s="70" t="s">
        <v>310</v>
      </c>
      <c r="BE14" s="70" t="s">
        <v>310</v>
      </c>
      <c r="BF14" s="70"/>
      <c r="BG14" s="70" t="s">
        <v>310</v>
      </c>
      <c r="BH14" s="70"/>
      <c r="BI14" s="70"/>
      <c r="BJ14" s="70" t="s">
        <v>310</v>
      </c>
      <c r="BK14" s="70"/>
      <c r="BL14" s="70" t="s">
        <v>310</v>
      </c>
      <c r="BM14" s="70"/>
      <c r="BN14" s="70"/>
    </row>
    <row r="15" spans="1:66" x14ac:dyDescent="0.2">
      <c r="A15" s="59">
        <v>7</v>
      </c>
      <c r="B15" s="67" t="s">
        <v>184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310</v>
      </c>
      <c r="N15" s="69"/>
      <c r="O15" s="69"/>
      <c r="P15" s="69"/>
      <c r="Q15" s="69"/>
      <c r="R15" s="96"/>
      <c r="S15" s="96" t="s">
        <v>310</v>
      </c>
      <c r="T15" s="96"/>
      <c r="U15" s="96"/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/>
      <c r="AC15" s="69" t="s">
        <v>310</v>
      </c>
      <c r="AD15" s="69"/>
      <c r="AE15" s="69" t="s">
        <v>310</v>
      </c>
      <c r="AF15" s="69" t="s">
        <v>310</v>
      </c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/>
      <c r="AO15" s="69" t="s">
        <v>310</v>
      </c>
      <c r="AP15" s="69"/>
      <c r="AQ15" s="69" t="s">
        <v>310</v>
      </c>
      <c r="AR15" s="69"/>
      <c r="AS15" s="69"/>
      <c r="AT15" s="69"/>
      <c r="AU15" s="69"/>
      <c r="AV15" s="69"/>
      <c r="AW15" s="69"/>
      <c r="AX15" s="69"/>
      <c r="AY15" s="69"/>
      <c r="AZ15" s="69" t="s">
        <v>310</v>
      </c>
      <c r="BA15" s="69" t="s">
        <v>310</v>
      </c>
      <c r="BB15" s="69"/>
      <c r="BC15" s="69" t="s">
        <v>310</v>
      </c>
      <c r="BD15" s="69" t="s">
        <v>310</v>
      </c>
      <c r="BE15" s="96"/>
      <c r="BF15" s="69" t="s">
        <v>310</v>
      </c>
      <c r="BG15" s="69"/>
      <c r="BH15" s="69" t="s">
        <v>310</v>
      </c>
      <c r="BI15" s="69"/>
      <c r="BJ15" s="69" t="s">
        <v>310</v>
      </c>
      <c r="BK15" s="69" t="s">
        <v>310</v>
      </c>
      <c r="BL15" s="69"/>
      <c r="BM15" s="69" t="s">
        <v>310</v>
      </c>
      <c r="BN15" s="69" t="s">
        <v>310</v>
      </c>
    </row>
    <row r="16" spans="1:66" x14ac:dyDescent="0.2">
      <c r="A16" s="61" t="s">
        <v>3</v>
      </c>
      <c r="B16" s="68" t="s">
        <v>150</v>
      </c>
      <c r="C16" s="66">
        <v>7.5</v>
      </c>
      <c r="D16" s="64">
        <v>31</v>
      </c>
      <c r="E16" s="64">
        <f>IF(ISBLANK($D16),"0",IF(($D16-$D15)&gt;($C16-$C15),1,0))</f>
        <v>1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/>
      <c r="N16" s="70" t="s">
        <v>310</v>
      </c>
      <c r="O16" s="70" t="s">
        <v>310</v>
      </c>
      <c r="P16" s="70" t="s">
        <v>310</v>
      </c>
      <c r="Q16" s="70" t="s">
        <v>310</v>
      </c>
      <c r="R16" s="70" t="s">
        <v>310</v>
      </c>
      <c r="S16" s="70"/>
      <c r="T16" s="70" t="s">
        <v>310</v>
      </c>
      <c r="U16" s="70" t="s">
        <v>310</v>
      </c>
      <c r="V16" s="70"/>
      <c r="W16" s="70"/>
      <c r="X16" s="70" t="s">
        <v>310</v>
      </c>
      <c r="Y16" s="70" t="s">
        <v>310</v>
      </c>
      <c r="Z16" s="70"/>
      <c r="AA16" s="70"/>
      <c r="AB16" s="70" t="s">
        <v>310</v>
      </c>
      <c r="AC16" s="70"/>
      <c r="AD16" s="70" t="s">
        <v>310</v>
      </c>
      <c r="AE16" s="70"/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 t="s">
        <v>310</v>
      </c>
      <c r="AN16" s="70" t="s">
        <v>310</v>
      </c>
      <c r="AO16" s="70"/>
      <c r="AP16" s="70"/>
      <c r="AQ16" s="70"/>
      <c r="AR16" s="97" t="s">
        <v>310</v>
      </c>
      <c r="AS16" s="70" t="s">
        <v>310</v>
      </c>
      <c r="AT16" s="70" t="s">
        <v>310</v>
      </c>
      <c r="AU16" s="70" t="s">
        <v>310</v>
      </c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 t="s">
        <v>310</v>
      </c>
      <c r="BC16" s="70"/>
      <c r="BD16" s="70"/>
      <c r="BE16" s="70" t="s">
        <v>310</v>
      </c>
      <c r="BF16" s="70"/>
      <c r="BG16" s="70" t="s">
        <v>310</v>
      </c>
      <c r="BH16" s="70"/>
      <c r="BI16" s="70" t="s">
        <v>310</v>
      </c>
      <c r="BJ16" s="70"/>
      <c r="BK16" s="70"/>
      <c r="BL16" s="70" t="s">
        <v>310</v>
      </c>
      <c r="BM16" s="70"/>
      <c r="BN16" s="70"/>
    </row>
    <row r="17" spans="1:66" x14ac:dyDescent="0.2">
      <c r="A17" s="59">
        <v>8</v>
      </c>
      <c r="B17" s="67" t="s">
        <v>155</v>
      </c>
      <c r="C17" s="65">
        <v>5.5</v>
      </c>
      <c r="D17" s="64">
        <v>24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 t="s">
        <v>310</v>
      </c>
      <c r="N17" s="69"/>
      <c r="O17" s="69" t="s">
        <v>310</v>
      </c>
      <c r="P17" s="69"/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/>
      <c r="AS17" s="69" t="s">
        <v>310</v>
      </c>
      <c r="AT17" s="69"/>
      <c r="AU17" s="69" t="s">
        <v>310</v>
      </c>
      <c r="AV17" s="69" t="s">
        <v>310</v>
      </c>
      <c r="AW17" s="69" t="s">
        <v>310</v>
      </c>
      <c r="AX17" s="69"/>
      <c r="AY17" s="69"/>
      <c r="AZ17" s="69" t="s">
        <v>310</v>
      </c>
      <c r="BA17" s="69" t="s">
        <v>310</v>
      </c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/>
      <c r="BL17" s="69"/>
      <c r="BM17" s="69" t="s">
        <v>310</v>
      </c>
      <c r="BN17" s="69"/>
    </row>
    <row r="18" spans="1:66" x14ac:dyDescent="0.2">
      <c r="A18" s="61" t="s">
        <v>3</v>
      </c>
      <c r="B18" s="68" t="s">
        <v>169</v>
      </c>
      <c r="C18" s="66"/>
      <c r="D18" s="64">
        <v>20</v>
      </c>
      <c r="E18" s="64">
        <f>IF(ISBLANK($D18),"0",IF(($D18-$D17)&gt;($C18-$C17),1,0))</f>
        <v>1</v>
      </c>
      <c r="F18" s="64">
        <f t="shared" ca="1" si="1"/>
        <v>12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 t="s">
        <v>310</v>
      </c>
      <c r="O18" s="70"/>
      <c r="P18" s="70" t="s">
        <v>310</v>
      </c>
      <c r="Q18" s="70"/>
      <c r="R18" s="70" t="s">
        <v>310</v>
      </c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310</v>
      </c>
      <c r="AS18" s="70"/>
      <c r="AT18" s="70" t="s">
        <v>310</v>
      </c>
      <c r="AU18" s="70"/>
      <c r="AV18" s="70"/>
      <c r="AW18" s="70"/>
      <c r="AX18" s="70" t="s">
        <v>310</v>
      </c>
      <c r="AY18" s="70" t="s">
        <v>310</v>
      </c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 t="s">
        <v>310</v>
      </c>
      <c r="BL18" s="70" t="s">
        <v>310</v>
      </c>
      <c r="BM18" s="70"/>
      <c r="BN18" s="70" t="s">
        <v>310</v>
      </c>
    </row>
    <row r="19" spans="1:66" x14ac:dyDescent="0.2">
      <c r="A19" s="59">
        <v>9</v>
      </c>
      <c r="B19" s="67" t="s">
        <v>198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310</v>
      </c>
      <c r="L19" s="69"/>
      <c r="M19" s="69" t="s">
        <v>310</v>
      </c>
      <c r="N19" s="69"/>
      <c r="O19" s="69"/>
      <c r="P19" s="69"/>
      <c r="Q19" s="69"/>
      <c r="R19" s="69"/>
      <c r="S19" s="69"/>
      <c r="T19" s="69"/>
      <c r="U19" s="96"/>
      <c r="V19" s="69" t="s">
        <v>310</v>
      </c>
      <c r="W19" s="69"/>
      <c r="X19" s="69" t="s">
        <v>310</v>
      </c>
      <c r="Y19" s="69"/>
      <c r="Z19" s="69" t="s">
        <v>310</v>
      </c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/>
      <c r="AI19" s="69" t="s">
        <v>310</v>
      </c>
      <c r="AJ19" s="69" t="s">
        <v>310</v>
      </c>
      <c r="AK19" s="69"/>
      <c r="AL19" s="69"/>
      <c r="AM19" s="69"/>
      <c r="AN19" s="69"/>
      <c r="AO19" s="69"/>
      <c r="AP19" s="69"/>
      <c r="AQ19" s="69" t="s">
        <v>310</v>
      </c>
      <c r="AR19" s="69"/>
      <c r="AS19" s="69"/>
      <c r="AT19" s="69" t="s">
        <v>310</v>
      </c>
      <c r="AU19" s="69" t="s">
        <v>310</v>
      </c>
      <c r="AV19" s="69"/>
      <c r="AW19" s="69"/>
      <c r="AX19" s="69"/>
      <c r="AY19" s="69"/>
      <c r="AZ19" s="69"/>
      <c r="BA19" s="69"/>
      <c r="BB19" s="69"/>
      <c r="BC19" s="69" t="s">
        <v>310</v>
      </c>
      <c r="BD19" s="69" t="s">
        <v>310</v>
      </c>
      <c r="BE19" s="69"/>
      <c r="BF19" s="69"/>
      <c r="BG19" s="69"/>
      <c r="BH19" s="69" t="s">
        <v>310</v>
      </c>
      <c r="BI19" s="69"/>
      <c r="BJ19" s="69"/>
      <c r="BK19" s="69" t="s">
        <v>310</v>
      </c>
      <c r="BL19" s="69"/>
      <c r="BM19" s="69"/>
      <c r="BN19" s="69" t="s">
        <v>310</v>
      </c>
    </row>
    <row r="20" spans="1:66" x14ac:dyDescent="0.2">
      <c r="A20" s="61" t="s">
        <v>3</v>
      </c>
      <c r="B20" s="68" t="s">
        <v>203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 t="s">
        <v>310</v>
      </c>
      <c r="S20" s="70" t="s">
        <v>310</v>
      </c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/>
      <c r="AA20" s="70"/>
      <c r="AB20" s="70"/>
      <c r="AC20" s="70" t="s">
        <v>310</v>
      </c>
      <c r="AD20" s="70"/>
      <c r="AE20" s="70" t="s">
        <v>310</v>
      </c>
      <c r="AF20" s="70"/>
      <c r="AG20" s="70"/>
      <c r="AH20" s="70" t="s">
        <v>310</v>
      </c>
      <c r="AI20" s="70"/>
      <c r="AJ20" s="70"/>
      <c r="AK20" s="70"/>
      <c r="AL20" s="70" t="s">
        <v>310</v>
      </c>
      <c r="AM20" s="70" t="s">
        <v>310</v>
      </c>
      <c r="AN20" s="70" t="s">
        <v>310</v>
      </c>
      <c r="AO20" s="70" t="s">
        <v>310</v>
      </c>
      <c r="AP20" s="70"/>
      <c r="AQ20" s="70"/>
      <c r="AR20" s="97" t="s">
        <v>310</v>
      </c>
      <c r="AS20" s="70" t="s">
        <v>310</v>
      </c>
      <c r="AT20" s="70"/>
      <c r="AU20" s="70"/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/>
      <c r="BD20" s="70"/>
      <c r="BE20" s="97" t="s">
        <v>310</v>
      </c>
      <c r="BF20" s="70" t="s">
        <v>310</v>
      </c>
      <c r="BG20" s="70" t="s">
        <v>310</v>
      </c>
      <c r="BH20" s="70"/>
      <c r="BI20" s="70" t="s">
        <v>310</v>
      </c>
      <c r="BJ20" s="70" t="s">
        <v>310</v>
      </c>
      <c r="BK20" s="70"/>
      <c r="BL20" s="70" t="s">
        <v>310</v>
      </c>
      <c r="BM20" s="70" t="s">
        <v>310</v>
      </c>
      <c r="BN20" s="70"/>
    </row>
    <row r="21" spans="1:66" x14ac:dyDescent="0.2">
      <c r="A21" s="59">
        <v>10</v>
      </c>
      <c r="B21" s="67" t="s">
        <v>159</v>
      </c>
      <c r="C21" s="65">
        <v>7.5</v>
      </c>
      <c r="D21" s="64">
        <v>10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 t="s">
        <v>310</v>
      </c>
      <c r="N21" s="69" t="s">
        <v>310</v>
      </c>
      <c r="O21" s="69" t="s">
        <v>310</v>
      </c>
      <c r="P21" s="69"/>
      <c r="Q21" s="69" t="s">
        <v>310</v>
      </c>
      <c r="R21" s="69"/>
      <c r="S21" s="69" t="s">
        <v>310</v>
      </c>
      <c r="T21" s="69" t="s">
        <v>310</v>
      </c>
      <c r="U21" s="96" t="s">
        <v>310</v>
      </c>
      <c r="V21" s="69"/>
      <c r="W21" s="69" t="s">
        <v>310</v>
      </c>
      <c r="X21" s="69"/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 t="s">
        <v>310</v>
      </c>
      <c r="AE21" s="69" t="s">
        <v>310</v>
      </c>
      <c r="AF21" s="69" t="s">
        <v>310</v>
      </c>
      <c r="AG21" s="69" t="s">
        <v>310</v>
      </c>
      <c r="AH21" s="69" t="s">
        <v>310</v>
      </c>
      <c r="AI21" s="69" t="s">
        <v>310</v>
      </c>
      <c r="AJ21" s="69" t="s">
        <v>310</v>
      </c>
      <c r="AK21" s="69"/>
      <c r="AL21" s="69" t="s">
        <v>310</v>
      </c>
      <c r="AM21" s="69"/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 t="s">
        <v>310</v>
      </c>
      <c r="AV21" s="69" t="s">
        <v>310</v>
      </c>
      <c r="AW21" s="69" t="s">
        <v>310</v>
      </c>
      <c r="AX21" s="69" t="s">
        <v>310</v>
      </c>
      <c r="AY21" s="69" t="s">
        <v>310</v>
      </c>
      <c r="AZ21" s="69" t="s">
        <v>310</v>
      </c>
      <c r="BA21" s="69" t="s">
        <v>310</v>
      </c>
      <c r="BB21" s="69" t="s">
        <v>310</v>
      </c>
      <c r="BC21" s="69" t="s">
        <v>310</v>
      </c>
      <c r="BD21" s="69"/>
      <c r="BE21" s="96" t="s">
        <v>310</v>
      </c>
      <c r="BF21" s="69"/>
      <c r="BG21" s="69" t="s">
        <v>310</v>
      </c>
      <c r="BH21" s="69" t="s">
        <v>310</v>
      </c>
      <c r="BI21" s="69" t="s">
        <v>310</v>
      </c>
      <c r="BJ21" s="69" t="s">
        <v>310</v>
      </c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">
      <c r="A22" s="61" t="s">
        <v>3</v>
      </c>
      <c r="B22" s="68" t="s">
        <v>137</v>
      </c>
      <c r="C22" s="66"/>
      <c r="D22" s="64">
        <v>0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 t="s">
        <v>310</v>
      </c>
      <c r="S22" s="70"/>
      <c r="T22" s="70"/>
      <c r="U22" s="70"/>
      <c r="V22" s="70" t="s">
        <v>310</v>
      </c>
      <c r="W22" s="70"/>
      <c r="X22" s="70" t="s">
        <v>310</v>
      </c>
      <c r="Y22" s="70"/>
      <c r="Z22" s="70"/>
      <c r="AA22" s="70"/>
      <c r="AB22" s="70" t="s">
        <v>310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310</v>
      </c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310</v>
      </c>
      <c r="BE22" s="70"/>
      <c r="BF22" s="70" t="s">
        <v>310</v>
      </c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34</v>
      </c>
      <c r="L23" s="78">
        <v>38</v>
      </c>
      <c r="M23" s="78">
        <v>35</v>
      </c>
      <c r="N23" s="80">
        <v>42</v>
      </c>
      <c r="O23" s="78">
        <v>33</v>
      </c>
      <c r="P23" s="78">
        <v>34</v>
      </c>
      <c r="Q23" s="78">
        <v>35</v>
      </c>
      <c r="R23" s="78">
        <v>10</v>
      </c>
      <c r="S23" s="78">
        <v>17</v>
      </c>
      <c r="T23" s="78">
        <v>27</v>
      </c>
      <c r="U23" s="78">
        <v>49</v>
      </c>
      <c r="V23" s="78">
        <v>27</v>
      </c>
      <c r="W23" s="78">
        <v>27</v>
      </c>
      <c r="X23" s="78">
        <v>23</v>
      </c>
      <c r="Y23" s="78">
        <v>42</v>
      </c>
      <c r="Z23" s="78">
        <v>35</v>
      </c>
      <c r="AA23" s="78">
        <v>35</v>
      </c>
      <c r="AB23" s="78">
        <v>24</v>
      </c>
      <c r="AC23" s="78">
        <v>34</v>
      </c>
      <c r="AD23" s="78">
        <v>33</v>
      </c>
      <c r="AE23" s="78">
        <v>45</v>
      </c>
      <c r="AF23" s="78">
        <v>41</v>
      </c>
      <c r="AG23" s="78">
        <v>38</v>
      </c>
      <c r="AH23" s="78">
        <v>47</v>
      </c>
      <c r="AI23" s="78">
        <v>27</v>
      </c>
      <c r="AJ23" s="78">
        <v>35</v>
      </c>
      <c r="AK23" s="78"/>
      <c r="AL23" s="78">
        <v>32</v>
      </c>
      <c r="AM23" s="78">
        <v>28</v>
      </c>
      <c r="AN23" s="78">
        <v>28</v>
      </c>
      <c r="AO23" s="78">
        <v>30</v>
      </c>
      <c r="AP23" s="78"/>
      <c r="AQ23" s="78">
        <v>40</v>
      </c>
      <c r="AR23" s="78">
        <v>28</v>
      </c>
      <c r="AS23" s="78">
        <v>38</v>
      </c>
      <c r="AT23" s="78">
        <v>34</v>
      </c>
      <c r="AU23" s="78">
        <v>32</v>
      </c>
      <c r="AV23" s="78">
        <v>21</v>
      </c>
      <c r="AW23" s="78">
        <v>24</v>
      </c>
      <c r="AX23" s="78">
        <v>41</v>
      </c>
      <c r="AY23" s="78">
        <v>38</v>
      </c>
      <c r="AZ23" s="78">
        <v>38</v>
      </c>
      <c r="BA23" s="78">
        <v>35</v>
      </c>
      <c r="BB23" s="78">
        <v>24</v>
      </c>
      <c r="BC23" s="78">
        <v>24</v>
      </c>
      <c r="BD23" s="78">
        <v>28</v>
      </c>
      <c r="BE23" s="78">
        <v>36</v>
      </c>
      <c r="BF23" s="78">
        <v>38</v>
      </c>
      <c r="BG23" s="78">
        <v>59</v>
      </c>
      <c r="BH23" s="78">
        <v>31</v>
      </c>
      <c r="BI23" s="78">
        <v>54</v>
      </c>
      <c r="BJ23" s="78">
        <v>27</v>
      </c>
      <c r="BK23" s="78">
        <v>41</v>
      </c>
      <c r="BL23" s="78">
        <v>34</v>
      </c>
      <c r="BM23" s="78">
        <v>40</v>
      </c>
      <c r="BN23" s="78">
        <v>15</v>
      </c>
    </row>
    <row r="24" spans="1:66" x14ac:dyDescent="0.2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28</v>
      </c>
      <c r="M24" s="79">
        <v>17</v>
      </c>
      <c r="N24" s="79">
        <v>17</v>
      </c>
      <c r="O24" s="79">
        <v>16</v>
      </c>
      <c r="P24" s="79">
        <v>28</v>
      </c>
      <c r="Q24" s="79">
        <v>14</v>
      </c>
      <c r="R24" s="79">
        <v>13</v>
      </c>
      <c r="S24" s="79">
        <v>9</v>
      </c>
      <c r="T24" s="79">
        <v>16</v>
      </c>
      <c r="U24" s="79">
        <v>21</v>
      </c>
      <c r="V24" s="79">
        <v>21</v>
      </c>
      <c r="W24" s="79">
        <v>17</v>
      </c>
      <c r="X24" s="79">
        <v>17</v>
      </c>
      <c r="Y24" s="79">
        <v>21</v>
      </c>
      <c r="Z24" s="79">
        <v>24</v>
      </c>
      <c r="AA24" s="79">
        <v>14</v>
      </c>
      <c r="AB24" s="79">
        <v>21</v>
      </c>
      <c r="AC24" s="79">
        <v>24</v>
      </c>
      <c r="AD24" s="79">
        <v>17</v>
      </c>
      <c r="AE24" s="79">
        <v>17</v>
      </c>
      <c r="AF24" s="79">
        <v>31</v>
      </c>
      <c r="AG24" s="79">
        <v>20</v>
      </c>
      <c r="AH24" s="79">
        <v>22</v>
      </c>
      <c r="AI24" s="79">
        <v>17</v>
      </c>
      <c r="AJ24" s="79">
        <v>21</v>
      </c>
      <c r="AK24" s="79"/>
      <c r="AL24" s="79">
        <v>9</v>
      </c>
      <c r="AM24" s="79">
        <v>24</v>
      </c>
      <c r="AN24" s="79">
        <v>20</v>
      </c>
      <c r="AO24" s="79">
        <v>17</v>
      </c>
      <c r="AP24" s="79"/>
      <c r="AQ24" s="79">
        <v>23</v>
      </c>
      <c r="AR24" s="79">
        <v>20</v>
      </c>
      <c r="AS24" s="79">
        <v>24</v>
      </c>
      <c r="AT24" s="79">
        <v>23</v>
      </c>
      <c r="AU24" s="79">
        <v>21</v>
      </c>
      <c r="AV24" s="79">
        <v>10</v>
      </c>
      <c r="AW24" s="79">
        <v>7</v>
      </c>
      <c r="AX24" s="79">
        <v>30</v>
      </c>
      <c r="AY24" s="79">
        <v>20</v>
      </c>
      <c r="AZ24" s="79">
        <v>21</v>
      </c>
      <c r="BA24" s="79">
        <v>21</v>
      </c>
      <c r="BB24" s="79">
        <v>10</v>
      </c>
      <c r="BC24" s="79">
        <v>9</v>
      </c>
      <c r="BD24" s="79">
        <v>21</v>
      </c>
      <c r="BE24" s="79">
        <v>28</v>
      </c>
      <c r="BF24" s="79">
        <v>31</v>
      </c>
      <c r="BG24" s="79">
        <v>33</v>
      </c>
      <c r="BH24" s="79">
        <v>14</v>
      </c>
      <c r="BI24" s="79">
        <v>36</v>
      </c>
      <c r="BJ24" s="79">
        <v>17</v>
      </c>
      <c r="BK24" s="79">
        <v>21</v>
      </c>
      <c r="BL24" s="79">
        <v>24</v>
      </c>
      <c r="BM24" s="79">
        <v>24</v>
      </c>
      <c r="BN24" s="79">
        <v>3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6</v>
      </c>
      <c r="P25" s="36">
        <f t="shared" si="3"/>
        <v>7</v>
      </c>
      <c r="Q25" s="36">
        <f t="shared" si="3"/>
        <v>8</v>
      </c>
      <c r="R25" s="36">
        <f t="shared" si="3"/>
        <v>6</v>
      </c>
      <c r="S25" s="36">
        <f t="shared" si="3"/>
        <v>4</v>
      </c>
      <c r="T25" s="36">
        <f t="shared" si="3"/>
        <v>7</v>
      </c>
      <c r="U25" s="36">
        <f t="shared" si="3"/>
        <v>6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4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6</v>
      </c>
      <c r="AF25" s="36">
        <f t="shared" si="3"/>
        <v>5</v>
      </c>
      <c r="AG25" s="36">
        <f t="shared" si="3"/>
        <v>5</v>
      </c>
      <c r="AH25" s="36">
        <f t="shared" si="3"/>
        <v>8</v>
      </c>
      <c r="AI25" s="36">
        <f t="shared" si="3"/>
        <v>6</v>
      </c>
      <c r="AJ25" s="36">
        <f t="shared" si="3"/>
        <v>6</v>
      </c>
      <c r="AK25" s="36">
        <f t="shared" si="3"/>
        <v>0</v>
      </c>
      <c r="AL25" s="36">
        <f t="shared" si="3"/>
        <v>7</v>
      </c>
      <c r="AM25" s="36">
        <f t="shared" si="3"/>
        <v>6</v>
      </c>
      <c r="AN25" s="36">
        <f t="shared" si="3"/>
        <v>6</v>
      </c>
      <c r="AO25" s="36">
        <f t="shared" si="3"/>
        <v>4</v>
      </c>
      <c r="AP25" s="36">
        <f t="shared" si="3"/>
        <v>0</v>
      </c>
      <c r="AQ25" s="36">
        <f t="shared" si="3"/>
        <v>6</v>
      </c>
      <c r="AR25" s="36">
        <f t="shared" si="3"/>
        <v>5</v>
      </c>
      <c r="AS25" s="36">
        <f t="shared" si="3"/>
        <v>6</v>
      </c>
      <c r="AT25" s="36">
        <f t="shared" si="3"/>
        <v>8</v>
      </c>
      <c r="AU25" s="36">
        <f t="shared" si="3"/>
        <v>6</v>
      </c>
      <c r="AV25" s="36">
        <f t="shared" si="3"/>
        <v>6</v>
      </c>
      <c r="AW25" s="36">
        <f t="shared" si="3"/>
        <v>6</v>
      </c>
      <c r="AX25" s="36">
        <f t="shared" si="3"/>
        <v>7</v>
      </c>
      <c r="AY25" s="36">
        <f t="shared" si="3"/>
        <v>8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5</v>
      </c>
      <c r="BD25" s="36">
        <f t="shared" si="3"/>
        <v>3</v>
      </c>
      <c r="BE25" s="36">
        <f t="shared" si="3"/>
        <v>8</v>
      </c>
      <c r="BF25" s="36">
        <f t="shared" si="3"/>
        <v>6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6</v>
      </c>
      <c r="BK25" s="36">
        <f t="shared" si="3"/>
        <v>4</v>
      </c>
      <c r="BL25" s="36">
        <f t="shared" si="3"/>
        <v>7</v>
      </c>
      <c r="BM25" s="36">
        <f t="shared" si="3"/>
        <v>6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0</v>
      </c>
      <c r="M26" s="71">
        <f t="shared" si="4"/>
        <v>8</v>
      </c>
      <c r="N26" s="71">
        <f t="shared" si="4"/>
        <v>15</v>
      </c>
      <c r="O26" s="71">
        <f t="shared" si="4"/>
        <v>7</v>
      </c>
      <c r="P26" s="71">
        <f t="shared" si="4"/>
        <v>4</v>
      </c>
      <c r="Q26" s="71">
        <f t="shared" si="4"/>
        <v>11</v>
      </c>
      <c r="R26" s="71">
        <f t="shared" si="4"/>
        <v>13</v>
      </c>
      <c r="S26" s="71">
        <f t="shared" si="4"/>
        <v>2</v>
      </c>
      <c r="T26" s="71">
        <f t="shared" si="4"/>
        <v>1</v>
      </c>
      <c r="U26" s="71">
        <f t="shared" si="4"/>
        <v>18</v>
      </c>
      <c r="V26" s="71">
        <f t="shared" si="4"/>
        <v>4</v>
      </c>
      <c r="W26" s="71">
        <f t="shared" si="4"/>
        <v>0</v>
      </c>
      <c r="X26" s="71">
        <f t="shared" si="4"/>
        <v>4</v>
      </c>
      <c r="Y26" s="71">
        <f t="shared" si="4"/>
        <v>11</v>
      </c>
      <c r="Z26" s="71">
        <f t="shared" si="4"/>
        <v>1</v>
      </c>
      <c r="AA26" s="71">
        <f t="shared" si="4"/>
        <v>11</v>
      </c>
      <c r="AB26" s="71">
        <f t="shared" si="4"/>
        <v>7</v>
      </c>
      <c r="AC26" s="71">
        <f t="shared" si="4"/>
        <v>0</v>
      </c>
      <c r="AD26" s="71">
        <f t="shared" si="4"/>
        <v>6</v>
      </c>
      <c r="AE26" s="71">
        <f t="shared" si="4"/>
        <v>18</v>
      </c>
      <c r="AF26" s="71">
        <f t="shared" si="4"/>
        <v>0</v>
      </c>
      <c r="AG26" s="71">
        <f t="shared" si="4"/>
        <v>8</v>
      </c>
      <c r="AH26" s="71">
        <f t="shared" si="4"/>
        <v>15</v>
      </c>
      <c r="AI26" s="71">
        <f t="shared" si="4"/>
        <v>0</v>
      </c>
      <c r="AJ26" s="71">
        <f t="shared" si="4"/>
        <v>4</v>
      </c>
      <c r="AK26" s="71">
        <f t="shared" si="4"/>
        <v>10</v>
      </c>
      <c r="AL26" s="71">
        <f t="shared" si="4"/>
        <v>13</v>
      </c>
      <c r="AM26" s="71">
        <f t="shared" si="4"/>
        <v>6</v>
      </c>
      <c r="AN26" s="71">
        <f t="shared" si="4"/>
        <v>2</v>
      </c>
      <c r="AO26" s="71">
        <f t="shared" si="4"/>
        <v>3</v>
      </c>
      <c r="AP26" s="71">
        <f t="shared" si="4"/>
        <v>10</v>
      </c>
      <c r="AQ26" s="71">
        <f t="shared" si="4"/>
        <v>7</v>
      </c>
      <c r="AR26" s="71">
        <f t="shared" si="4"/>
        <v>2</v>
      </c>
      <c r="AS26" s="71">
        <f t="shared" si="4"/>
        <v>4</v>
      </c>
      <c r="AT26" s="71">
        <f t="shared" si="4"/>
        <v>1</v>
      </c>
      <c r="AU26" s="71">
        <f t="shared" si="4"/>
        <v>1</v>
      </c>
      <c r="AV26" s="71">
        <f t="shared" si="4"/>
        <v>1</v>
      </c>
      <c r="AW26" s="71">
        <f t="shared" si="4"/>
        <v>7</v>
      </c>
      <c r="AX26" s="71">
        <f t="shared" si="4"/>
        <v>1</v>
      </c>
      <c r="AY26" s="71">
        <f t="shared" si="4"/>
        <v>8</v>
      </c>
      <c r="AZ26" s="71">
        <f t="shared" si="4"/>
        <v>7</v>
      </c>
      <c r="BA26" s="71">
        <f t="shared" si="4"/>
        <v>4</v>
      </c>
      <c r="BB26" s="71">
        <f t="shared" si="4"/>
        <v>4</v>
      </c>
      <c r="BC26" s="71">
        <f t="shared" si="4"/>
        <v>5</v>
      </c>
      <c r="BD26" s="71">
        <f t="shared" si="4"/>
        <v>3</v>
      </c>
      <c r="BE26" s="71">
        <f t="shared" si="4"/>
        <v>2</v>
      </c>
      <c r="BF26" s="71">
        <f t="shared" si="4"/>
        <v>3</v>
      </c>
      <c r="BG26" s="71">
        <f t="shared" si="4"/>
        <v>16</v>
      </c>
      <c r="BH26" s="71">
        <f t="shared" si="4"/>
        <v>7</v>
      </c>
      <c r="BI26" s="71">
        <f t="shared" si="4"/>
        <v>8</v>
      </c>
      <c r="BJ26" s="71">
        <f t="shared" si="4"/>
        <v>0</v>
      </c>
      <c r="BK26" s="71">
        <f t="shared" si="4"/>
        <v>10</v>
      </c>
      <c r="BL26" s="71">
        <f t="shared" si="4"/>
        <v>0</v>
      </c>
      <c r="BM26" s="71">
        <f t="shared" si="4"/>
        <v>6</v>
      </c>
      <c r="BN26" s="71">
        <f t="shared" si="4"/>
        <v>2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45</v>
      </c>
      <c r="L27" s="71">
        <f t="shared" si="5"/>
        <v>56</v>
      </c>
      <c r="M27" s="71">
        <f t="shared" si="5"/>
        <v>42</v>
      </c>
      <c r="N27" s="71">
        <f t="shared" si="5"/>
        <v>49</v>
      </c>
      <c r="O27" s="71">
        <f t="shared" si="5"/>
        <v>39</v>
      </c>
      <c r="P27" s="71">
        <f t="shared" si="5"/>
        <v>52</v>
      </c>
      <c r="Q27" s="71">
        <f t="shared" si="5"/>
        <v>39</v>
      </c>
      <c r="R27" s="71">
        <f t="shared" si="5"/>
        <v>13</v>
      </c>
      <c r="S27" s="71">
        <f t="shared" si="5"/>
        <v>16</v>
      </c>
      <c r="T27" s="71">
        <f t="shared" si="5"/>
        <v>33</v>
      </c>
      <c r="U27" s="71">
        <f t="shared" si="5"/>
        <v>60</v>
      </c>
      <c r="V27" s="71">
        <f t="shared" si="5"/>
        <v>38</v>
      </c>
      <c r="W27" s="71">
        <f t="shared" si="5"/>
        <v>34</v>
      </c>
      <c r="X27" s="71">
        <f t="shared" si="5"/>
        <v>30</v>
      </c>
      <c r="Y27" s="71">
        <f t="shared" si="5"/>
        <v>53</v>
      </c>
      <c r="Z27" s="71">
        <f t="shared" si="5"/>
        <v>49</v>
      </c>
      <c r="AA27" s="71">
        <f t="shared" si="5"/>
        <v>39</v>
      </c>
      <c r="AB27" s="71">
        <f t="shared" si="5"/>
        <v>35</v>
      </c>
      <c r="AC27" s="71">
        <f t="shared" si="5"/>
        <v>48</v>
      </c>
      <c r="AD27" s="71">
        <f t="shared" si="5"/>
        <v>40</v>
      </c>
      <c r="AE27" s="71">
        <f t="shared" si="5"/>
        <v>52</v>
      </c>
      <c r="AF27" s="71">
        <f t="shared" si="5"/>
        <v>62</v>
      </c>
      <c r="AG27" s="71">
        <f t="shared" si="5"/>
        <v>48</v>
      </c>
      <c r="AH27" s="71">
        <f t="shared" si="5"/>
        <v>59</v>
      </c>
      <c r="AI27" s="71">
        <f t="shared" si="5"/>
        <v>34</v>
      </c>
      <c r="AJ27" s="71">
        <f t="shared" si="5"/>
        <v>46</v>
      </c>
      <c r="AK27" s="71">
        <f t="shared" si="5"/>
        <v>10</v>
      </c>
      <c r="AL27" s="71">
        <f t="shared" si="5"/>
        <v>31</v>
      </c>
      <c r="AM27" s="71">
        <f t="shared" si="5"/>
        <v>42</v>
      </c>
      <c r="AN27" s="71">
        <f t="shared" si="5"/>
        <v>38</v>
      </c>
      <c r="AO27" s="71">
        <f t="shared" si="5"/>
        <v>37</v>
      </c>
      <c r="AP27" s="71">
        <f t="shared" si="5"/>
        <v>10</v>
      </c>
      <c r="AQ27" s="71">
        <f t="shared" si="5"/>
        <v>53</v>
      </c>
      <c r="AR27" s="71">
        <f t="shared" si="5"/>
        <v>38</v>
      </c>
      <c r="AS27" s="71">
        <f t="shared" si="5"/>
        <v>52</v>
      </c>
      <c r="AT27" s="71">
        <f t="shared" si="5"/>
        <v>47</v>
      </c>
      <c r="AU27" s="71">
        <f t="shared" si="5"/>
        <v>43</v>
      </c>
      <c r="AV27" s="71">
        <f t="shared" si="5"/>
        <v>21</v>
      </c>
      <c r="AW27" s="71">
        <f t="shared" si="5"/>
        <v>21</v>
      </c>
      <c r="AX27" s="71">
        <f t="shared" si="5"/>
        <v>61</v>
      </c>
      <c r="AY27" s="71">
        <f t="shared" si="5"/>
        <v>48</v>
      </c>
      <c r="AZ27" s="71">
        <f t="shared" si="5"/>
        <v>49</v>
      </c>
      <c r="BA27" s="71">
        <f t="shared" si="5"/>
        <v>46</v>
      </c>
      <c r="BB27" s="71">
        <f t="shared" si="5"/>
        <v>24</v>
      </c>
      <c r="BC27" s="71">
        <f t="shared" si="5"/>
        <v>23</v>
      </c>
      <c r="BD27" s="71">
        <f t="shared" si="5"/>
        <v>39</v>
      </c>
      <c r="BE27" s="71">
        <f t="shared" si="5"/>
        <v>54</v>
      </c>
      <c r="BF27" s="71">
        <f t="shared" si="5"/>
        <v>59</v>
      </c>
      <c r="BG27" s="71">
        <f t="shared" si="5"/>
        <v>82</v>
      </c>
      <c r="BH27" s="71">
        <f t="shared" si="5"/>
        <v>35</v>
      </c>
      <c r="BI27" s="71">
        <f t="shared" si="5"/>
        <v>80</v>
      </c>
      <c r="BJ27" s="71">
        <f t="shared" si="5"/>
        <v>34</v>
      </c>
      <c r="BK27" s="71">
        <f t="shared" si="5"/>
        <v>52</v>
      </c>
      <c r="BL27" s="71">
        <f t="shared" si="5"/>
        <v>48</v>
      </c>
      <c r="BM27" s="71">
        <f t="shared" si="5"/>
        <v>54</v>
      </c>
      <c r="BN27" s="71">
        <f t="shared" si="5"/>
        <v>8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>
        <f t="shared" ca="1" si="6"/>
        <v>1</v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0.55892857142857144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9</v>
      </c>
      <c r="N29" s="71">
        <f t="shared" si="7"/>
        <v>4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2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8</v>
      </c>
      <c r="W29" s="71">
        <f t="shared" si="7"/>
        <v>8</v>
      </c>
      <c r="X29" s="71">
        <f t="shared" si="7"/>
        <v>7</v>
      </c>
      <c r="Y29" s="71">
        <f t="shared" si="7"/>
        <v>4</v>
      </c>
      <c r="Z29" s="71">
        <f t="shared" si="7"/>
        <v>9</v>
      </c>
      <c r="AA29" s="71">
        <f t="shared" si="7"/>
        <v>8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6</v>
      </c>
      <c r="AF29" s="71">
        <f t="shared" si="7"/>
        <v>9</v>
      </c>
      <c r="AG29" s="71">
        <f t="shared" si="7"/>
        <v>9</v>
      </c>
      <c r="AH29" s="71">
        <f t="shared" si="7"/>
        <v>6</v>
      </c>
      <c r="AI29" s="71">
        <f t="shared" si="7"/>
        <v>6</v>
      </c>
      <c r="AJ29" s="71">
        <f t="shared" si="7"/>
        <v>8</v>
      </c>
      <c r="AK29" s="71">
        <f t="shared" si="7"/>
        <v>0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8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8</v>
      </c>
      <c r="AV29" s="71">
        <f t="shared" si="7"/>
        <v>6</v>
      </c>
      <c r="AW29" s="71">
        <f t="shared" si="7"/>
        <v>6</v>
      </c>
      <c r="AX29" s="71">
        <f t="shared" si="7"/>
        <v>7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7</v>
      </c>
      <c r="BD29" s="71">
        <f t="shared" si="7"/>
        <v>5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6</v>
      </c>
      <c r="BJ29" s="71">
        <f t="shared" si="7"/>
        <v>8</v>
      </c>
      <c r="BK29" s="71">
        <f t="shared" si="7"/>
        <v>8</v>
      </c>
      <c r="BL29" s="71">
        <f t="shared" si="7"/>
        <v>5</v>
      </c>
      <c r="BM29" s="71">
        <f t="shared" si="7"/>
        <v>8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33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6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1</v>
      </c>
      <c r="V30" s="73">
        <f t="shared" si="8"/>
        <v>5</v>
      </c>
      <c r="W30" s="73">
        <f t="shared" si="8"/>
        <v>5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7</v>
      </c>
      <c r="AB30" s="73">
        <f t="shared" si="8"/>
        <v>4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5</v>
      </c>
      <c r="AJ30" s="73">
        <f t="shared" si="8"/>
        <v>3</v>
      </c>
      <c r="AK30" s="73">
        <f t="shared" si="8"/>
        <v>10</v>
      </c>
      <c r="AL30" s="73">
        <f t="shared" si="8"/>
        <v>2</v>
      </c>
      <c r="AM30" s="73">
        <f t="shared" si="8"/>
        <v>3</v>
      </c>
      <c r="AN30" s="73">
        <f t="shared" si="8"/>
        <v>1</v>
      </c>
      <c r="AO30" s="73">
        <f t="shared" si="8"/>
        <v>5</v>
      </c>
      <c r="AP30" s="73">
        <f t="shared" si="8"/>
        <v>10</v>
      </c>
      <c r="AQ30" s="73">
        <f t="shared" si="8"/>
        <v>3</v>
      </c>
      <c r="AR30" s="73">
        <f t="shared" si="8"/>
        <v>6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2</v>
      </c>
      <c r="BB30" s="73">
        <f t="shared" si="8"/>
        <v>0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1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3.5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2.5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2.5</v>
      </c>
      <c r="X31" s="71">
        <f t="shared" ca="1" si="9"/>
        <v>3.5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3.5</v>
      </c>
      <c r="AD31" s="71">
        <f t="shared" ca="1" si="9"/>
        <v>5.5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2.5</v>
      </c>
      <c r="AH31" s="71">
        <f t="shared" ca="1" si="9"/>
        <v>1.5</v>
      </c>
      <c r="AI31" s="71">
        <f t="shared" ca="1" si="9"/>
        <v>4.5</v>
      </c>
      <c r="AJ31" s="71">
        <f t="shared" ca="1" si="9"/>
        <v>3.5</v>
      </c>
      <c r="AK31" s="71">
        <f t="shared" ca="1" si="9"/>
        <v>10</v>
      </c>
      <c r="AL31" s="71">
        <f t="shared" ca="1" si="9"/>
        <v>2.5</v>
      </c>
      <c r="AM31" s="71">
        <f t="shared" ca="1" si="9"/>
        <v>1.5</v>
      </c>
      <c r="AN31" s="71">
        <f t="shared" ca="1" si="9"/>
        <v>1.5</v>
      </c>
      <c r="AO31" s="71">
        <f t="shared" ca="1" si="9"/>
        <v>6.5</v>
      </c>
      <c r="AP31" s="71">
        <f t="shared" ca="1" si="9"/>
        <v>10</v>
      </c>
      <c r="AQ31" s="71">
        <f t="shared" ca="1" si="9"/>
        <v>3.5</v>
      </c>
      <c r="AR31" s="71">
        <f t="shared" ca="1" si="9"/>
        <v>3.5</v>
      </c>
      <c r="AS31" s="71">
        <f t="shared" ca="1" si="9"/>
        <v>2.5</v>
      </c>
      <c r="AT31" s="71">
        <f t="shared" ca="1" si="9"/>
        <v>3.5</v>
      </c>
      <c r="AU31" s="71">
        <f t="shared" ca="1" si="9"/>
        <v>2.5</v>
      </c>
      <c r="AV31" s="71">
        <f t="shared" ca="1" si="9"/>
        <v>1.5</v>
      </c>
      <c r="AW31" s="71">
        <f t="shared" ca="1" si="9"/>
        <v>2.5</v>
      </c>
      <c r="AX31" s="71">
        <f t="shared" ca="1" si="9"/>
        <v>1.5</v>
      </c>
      <c r="AY31" s="71">
        <f t="shared" ca="1" si="9"/>
        <v>3.5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4.5</v>
      </c>
      <c r="BD31" s="71">
        <f t="shared" ca="1" si="9"/>
        <v>7.5</v>
      </c>
      <c r="BE31" s="71">
        <f t="shared" ca="1" si="9"/>
        <v>2.5</v>
      </c>
      <c r="BF31" s="71">
        <f t="shared" ca="1" si="9"/>
        <v>3.5</v>
      </c>
      <c r="BG31" s="71">
        <f t="shared" ca="1" si="9"/>
        <v>2.5</v>
      </c>
      <c r="BH31" s="71">
        <f t="shared" ca="1" si="9"/>
        <v>3.5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4.5</v>
      </c>
      <c r="BL31" s="71">
        <f t="shared" ca="1" si="9"/>
        <v>3.5</v>
      </c>
      <c r="BM31" s="71">
        <f t="shared" ca="1" si="9"/>
        <v>1.5</v>
      </c>
      <c r="BN31" s="71">
        <f t="shared" ca="1" si="9"/>
        <v>4.5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141987820</v>
      </c>
      <c r="L36" s="32">
        <f t="shared" si="12"/>
        <v>121999776</v>
      </c>
      <c r="M36" s="32">
        <f t="shared" si="12"/>
        <v>101967832</v>
      </c>
      <c r="N36" s="32">
        <f t="shared" si="12"/>
        <v>161939804</v>
      </c>
      <c r="O36" s="32">
        <f t="shared" si="12"/>
        <v>121971844</v>
      </c>
      <c r="P36" s="32">
        <f t="shared" si="12"/>
        <v>139983792</v>
      </c>
      <c r="Q36" s="32">
        <f t="shared" si="12"/>
        <v>161955844</v>
      </c>
      <c r="R36" s="32">
        <f t="shared" si="12"/>
        <v>119947948</v>
      </c>
      <c r="S36" s="32">
        <f t="shared" si="12"/>
        <v>81991936</v>
      </c>
      <c r="T36" s="32">
        <f t="shared" si="12"/>
        <v>141995868</v>
      </c>
      <c r="U36" s="32">
        <f t="shared" si="12"/>
        <v>121927760</v>
      </c>
      <c r="V36" s="32">
        <f t="shared" si="12"/>
        <v>79983848</v>
      </c>
      <c r="W36" s="32">
        <f t="shared" si="12"/>
        <v>81999864</v>
      </c>
      <c r="X36" s="32">
        <f t="shared" si="12"/>
        <v>99983880</v>
      </c>
      <c r="Y36" s="32">
        <f t="shared" si="12"/>
        <v>121955788</v>
      </c>
      <c r="Z36" s="32">
        <f t="shared" si="12"/>
        <v>101995804</v>
      </c>
      <c r="AA36" s="32">
        <f t="shared" si="12"/>
        <v>81955844</v>
      </c>
      <c r="AB36" s="32">
        <f t="shared" si="12"/>
        <v>99971860</v>
      </c>
      <c r="AC36" s="32">
        <f t="shared" si="12"/>
        <v>81999808</v>
      </c>
      <c r="AD36" s="32">
        <f t="shared" si="12"/>
        <v>121975840</v>
      </c>
      <c r="AE36" s="32">
        <f t="shared" si="12"/>
        <v>121927792</v>
      </c>
      <c r="AF36" s="32">
        <f t="shared" si="12"/>
        <v>101999752</v>
      </c>
      <c r="AG36" s="32">
        <f t="shared" si="12"/>
        <v>101967808</v>
      </c>
      <c r="AH36" s="32">
        <f t="shared" si="12"/>
        <v>161939764</v>
      </c>
      <c r="AI36" s="32">
        <f t="shared" si="12"/>
        <v>121999864</v>
      </c>
      <c r="AJ36" s="32">
        <f t="shared" si="12"/>
        <v>121983816</v>
      </c>
      <c r="AK36" s="32">
        <f t="shared" si="12"/>
        <v>0</v>
      </c>
      <c r="AL36" s="32">
        <f t="shared" si="12"/>
        <v>141947876</v>
      </c>
      <c r="AM36" s="32">
        <f t="shared" si="12"/>
        <v>119975832</v>
      </c>
      <c r="AN36" s="32">
        <f t="shared" si="12"/>
        <v>121991848</v>
      </c>
      <c r="AO36" s="32">
        <f t="shared" si="12"/>
        <v>81987852</v>
      </c>
      <c r="AP36" s="32">
        <f t="shared" si="12"/>
        <v>0</v>
      </c>
      <c r="AQ36" s="32">
        <f t="shared" si="12"/>
        <v>121971788</v>
      </c>
      <c r="AR36" s="32">
        <f t="shared" si="12"/>
        <v>101991848</v>
      </c>
      <c r="AS36" s="32">
        <f t="shared" si="12"/>
        <v>121983792</v>
      </c>
      <c r="AT36" s="32">
        <f t="shared" si="12"/>
        <v>161995812</v>
      </c>
      <c r="AU36" s="32">
        <f t="shared" si="12"/>
        <v>121995828</v>
      </c>
      <c r="AV36" s="32">
        <f t="shared" si="12"/>
        <v>121995916</v>
      </c>
      <c r="AW36" s="32">
        <f t="shared" si="12"/>
        <v>121971916</v>
      </c>
      <c r="AX36" s="32">
        <f t="shared" si="12"/>
        <v>141995756</v>
      </c>
      <c r="AY36" s="32">
        <f t="shared" si="12"/>
        <v>161967808</v>
      </c>
      <c r="AZ36" s="32">
        <f t="shared" si="12"/>
        <v>101971804</v>
      </c>
      <c r="BA36" s="32">
        <f t="shared" si="12"/>
        <v>101983816</v>
      </c>
      <c r="BB36" s="32">
        <f t="shared" si="12"/>
        <v>141983904</v>
      </c>
      <c r="BC36" s="32">
        <f t="shared" si="12"/>
        <v>101979908</v>
      </c>
      <c r="BD36" s="32">
        <f t="shared" si="12"/>
        <v>59987844</v>
      </c>
      <c r="BE36" s="32">
        <f t="shared" si="12"/>
        <v>161991784</v>
      </c>
      <c r="BF36" s="32">
        <f t="shared" si="12"/>
        <v>119987764</v>
      </c>
      <c r="BG36" s="32">
        <f t="shared" si="12"/>
        <v>121935672</v>
      </c>
      <c r="BH36" s="32">
        <f t="shared" si="12"/>
        <v>81971860</v>
      </c>
      <c r="BI36" s="32">
        <f t="shared" si="12"/>
        <v>121967680</v>
      </c>
      <c r="BJ36" s="32">
        <f t="shared" si="12"/>
        <v>121999864</v>
      </c>
      <c r="BK36" s="32">
        <f t="shared" si="12"/>
        <v>81959792</v>
      </c>
      <c r="BL36" s="32">
        <f t="shared" si="12"/>
        <v>141999808</v>
      </c>
      <c r="BM36" s="32">
        <f t="shared" si="12"/>
        <v>121975784</v>
      </c>
      <c r="BN36" s="32">
        <f t="shared" si="12"/>
        <v>101991968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Mccoy, William M;Nance,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164</v>
      </c>
      <c r="C3" s="65">
        <v>11.5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/>
      <c r="N3" s="69" t="s">
        <v>310</v>
      </c>
      <c r="O3" s="69" t="s">
        <v>310</v>
      </c>
      <c r="P3" s="69" t="s">
        <v>310</v>
      </c>
      <c r="Q3" s="69"/>
      <c r="R3" s="69"/>
      <c r="S3" s="69"/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/>
      <c r="AH3" s="69"/>
      <c r="AI3" s="69" t="s">
        <v>310</v>
      </c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/>
      <c r="AY3" s="69" t="s">
        <v>310</v>
      </c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 t="s">
        <v>310</v>
      </c>
      <c r="BK3" s="69"/>
      <c r="BL3" s="69" t="s">
        <v>310</v>
      </c>
      <c r="BM3" s="69" t="s">
        <v>310</v>
      </c>
      <c r="BN3" s="69" t="s">
        <v>310</v>
      </c>
    </row>
    <row r="4" spans="1:66" x14ac:dyDescent="0.2">
      <c r="A4" s="61" t="s">
        <v>3</v>
      </c>
      <c r="B4" s="68" t="s">
        <v>180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/>
      <c r="Q4" s="70" t="s">
        <v>310</v>
      </c>
      <c r="R4" s="70" t="s">
        <v>310</v>
      </c>
      <c r="S4" s="70" t="s">
        <v>310</v>
      </c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 t="s">
        <v>310</v>
      </c>
      <c r="AH4" s="70" t="s">
        <v>310</v>
      </c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 t="s">
        <v>310</v>
      </c>
      <c r="AU4" s="70"/>
      <c r="AV4" s="70"/>
      <c r="AW4" s="70"/>
      <c r="AX4" s="70" t="s">
        <v>310</v>
      </c>
      <c r="AY4" s="70"/>
      <c r="AZ4" s="70" t="s">
        <v>310</v>
      </c>
      <c r="BA4" s="70"/>
      <c r="BB4" s="70"/>
      <c r="BC4" s="70"/>
      <c r="BD4" s="70"/>
      <c r="BE4" s="70"/>
      <c r="BF4" s="70" t="s">
        <v>310</v>
      </c>
      <c r="BG4" s="70" t="s">
        <v>310</v>
      </c>
      <c r="BH4" s="70"/>
      <c r="BI4" s="70"/>
      <c r="BJ4" s="70"/>
      <c r="BK4" s="70" t="s">
        <v>310</v>
      </c>
      <c r="BL4" s="70"/>
      <c r="BM4" s="70"/>
      <c r="BN4" s="70"/>
    </row>
    <row r="5" spans="1:66" x14ac:dyDescent="0.2">
      <c r="A5" s="59">
        <v>2</v>
      </c>
      <c r="B5" s="67" t="s">
        <v>236</v>
      </c>
      <c r="C5" s="65">
        <v>2.5</v>
      </c>
      <c r="D5" s="64">
        <v>49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 t="s">
        <v>310</v>
      </c>
      <c r="S5" s="69" t="s">
        <v>310</v>
      </c>
      <c r="T5" s="69" t="s">
        <v>310</v>
      </c>
      <c r="U5" s="96" t="s">
        <v>310</v>
      </c>
      <c r="V5" s="69" t="s">
        <v>310</v>
      </c>
      <c r="W5" s="69" t="s">
        <v>310</v>
      </c>
      <c r="X5" s="69" t="s">
        <v>310</v>
      </c>
      <c r="Y5" s="69"/>
      <c r="Z5" s="69"/>
      <c r="AA5" s="69" t="s">
        <v>310</v>
      </c>
      <c r="AB5" s="69" t="s">
        <v>310</v>
      </c>
      <c r="AC5" s="69" t="s">
        <v>310</v>
      </c>
      <c r="AD5" s="69" t="s">
        <v>310</v>
      </c>
      <c r="AE5" s="69"/>
      <c r="AF5" s="69"/>
      <c r="AG5" s="69" t="s">
        <v>310</v>
      </c>
      <c r="AH5" s="69"/>
      <c r="AI5" s="69" t="s">
        <v>310</v>
      </c>
      <c r="AJ5" s="69"/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/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 t="s">
        <v>310</v>
      </c>
      <c r="BH5" s="69" t="s">
        <v>310</v>
      </c>
      <c r="BI5" s="69"/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">
      <c r="A6" s="61" t="s">
        <v>3</v>
      </c>
      <c r="B6" s="68" t="s">
        <v>238</v>
      </c>
      <c r="C6" s="66"/>
      <c r="D6" s="64">
        <v>26</v>
      </c>
      <c r="E6" s="64">
        <f>IF(ISBLANK($D6),"0",IF(($D6-$D5)&gt;($C6-$C5),1,0))</f>
        <v>0</v>
      </c>
      <c r="F6" s="64">
        <f t="shared" ca="1" si="1"/>
        <v>17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/>
      <c r="S6" s="70"/>
      <c r="T6" s="70"/>
      <c r="U6" s="70"/>
      <c r="V6" s="70"/>
      <c r="W6" s="70"/>
      <c r="X6" s="70"/>
      <c r="Y6" s="70" t="s">
        <v>310</v>
      </c>
      <c r="Z6" s="70" t="s">
        <v>310</v>
      </c>
      <c r="AA6" s="70"/>
      <c r="AB6" s="70"/>
      <c r="AC6" s="70"/>
      <c r="AD6" s="70"/>
      <c r="AE6" s="70" t="s">
        <v>310</v>
      </c>
      <c r="AF6" s="70" t="s">
        <v>310</v>
      </c>
      <c r="AG6" s="70"/>
      <c r="AH6" s="70" t="s">
        <v>310</v>
      </c>
      <c r="AI6" s="70"/>
      <c r="AJ6" s="70" t="s">
        <v>310</v>
      </c>
      <c r="AK6" s="70" t="s">
        <v>310</v>
      </c>
      <c r="AL6" s="70" t="s">
        <v>310</v>
      </c>
      <c r="AM6" s="70"/>
      <c r="AN6" s="70"/>
      <c r="AO6" s="70"/>
      <c r="AP6" s="70"/>
      <c r="AQ6" s="70"/>
      <c r="AR6" s="70" t="s">
        <v>310</v>
      </c>
      <c r="AS6" s="70"/>
      <c r="AT6" s="70"/>
      <c r="AU6" s="70"/>
      <c r="AV6" s="70"/>
      <c r="AW6" s="70"/>
      <c r="AX6" s="70"/>
      <c r="AY6" s="70"/>
      <c r="AZ6" s="70"/>
      <c r="BA6" s="70" t="s">
        <v>310</v>
      </c>
      <c r="BB6" s="70"/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/>
      <c r="BM6" s="70"/>
      <c r="BN6" s="70" t="s">
        <v>310</v>
      </c>
    </row>
    <row r="7" spans="1:66" x14ac:dyDescent="0.2">
      <c r="A7" s="59">
        <v>3</v>
      </c>
      <c r="B7" s="67" t="s">
        <v>203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/>
      <c r="AH7" s="69" t="s">
        <v>310</v>
      </c>
      <c r="AI7" s="69" t="s">
        <v>310</v>
      </c>
      <c r="AJ7" s="69" t="s">
        <v>310</v>
      </c>
      <c r="AK7" s="69" t="s">
        <v>310</v>
      </c>
      <c r="AL7" s="69"/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/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 t="s">
        <v>310</v>
      </c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">
      <c r="A8" s="61" t="s">
        <v>3</v>
      </c>
      <c r="B8" s="68" t="s">
        <v>197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10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/>
      <c r="R8" s="97"/>
      <c r="S8" s="97"/>
      <c r="T8" s="97" t="s">
        <v>310</v>
      </c>
      <c r="U8" s="97"/>
      <c r="V8" s="70" t="s">
        <v>310</v>
      </c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 t="s">
        <v>310</v>
      </c>
      <c r="AH8" s="70"/>
      <c r="AI8" s="70"/>
      <c r="AJ8" s="70"/>
      <c r="AK8" s="70"/>
      <c r="AL8" s="70" t="s">
        <v>310</v>
      </c>
      <c r="AM8" s="70"/>
      <c r="AN8" s="70"/>
      <c r="AO8" s="70"/>
      <c r="AP8" s="70"/>
      <c r="AQ8" s="70"/>
      <c r="AR8" s="70" t="s">
        <v>310</v>
      </c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 t="s">
        <v>310</v>
      </c>
      <c r="BM8" s="70"/>
      <c r="BN8" s="70"/>
    </row>
    <row r="9" spans="1:66" x14ac:dyDescent="0.2">
      <c r="A9" s="59">
        <v>4</v>
      </c>
      <c r="B9" s="108" t="s">
        <v>246</v>
      </c>
      <c r="C9" s="65"/>
      <c r="D9" s="81">
        <v>36</v>
      </c>
      <c r="E9" s="64">
        <f>IF(ISBLANK($D9),"0",IF(($D10-$D9)&lt;($C10-$C9),1,0))</f>
        <v>0</v>
      </c>
      <c r="F9" s="64">
        <f t="shared" ca="1" si="1"/>
        <v>25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 t="s">
        <v>310</v>
      </c>
      <c r="O9" s="69"/>
      <c r="P9" s="69"/>
      <c r="Q9" s="69"/>
      <c r="R9" s="96"/>
      <c r="S9" s="96" t="s">
        <v>310</v>
      </c>
      <c r="T9" s="96"/>
      <c r="U9" s="96"/>
      <c r="V9" s="69" t="s">
        <v>310</v>
      </c>
      <c r="W9" s="69"/>
      <c r="X9" s="69"/>
      <c r="Y9" s="69" t="s">
        <v>310</v>
      </c>
      <c r="Z9" s="69" t="s">
        <v>310</v>
      </c>
      <c r="AA9" s="69" t="s">
        <v>310</v>
      </c>
      <c r="AB9" s="69"/>
      <c r="AC9" s="69"/>
      <c r="AD9" s="69"/>
      <c r="AE9" s="69" t="s">
        <v>310</v>
      </c>
      <c r="AF9" s="69"/>
      <c r="AG9" s="69"/>
      <c r="AH9" s="69"/>
      <c r="AI9" s="69"/>
      <c r="AJ9" s="69"/>
      <c r="AK9" s="69" t="s">
        <v>310</v>
      </c>
      <c r="AL9" s="69" t="s">
        <v>310</v>
      </c>
      <c r="AM9" s="69" t="s">
        <v>310</v>
      </c>
      <c r="AN9" s="69"/>
      <c r="AO9" s="69" t="s">
        <v>310</v>
      </c>
      <c r="AP9" s="69"/>
      <c r="AQ9" s="69"/>
      <c r="AR9" s="96" t="s">
        <v>310</v>
      </c>
      <c r="AS9" s="69" t="s">
        <v>310</v>
      </c>
      <c r="AT9" s="69"/>
      <c r="AU9" s="69"/>
      <c r="AV9" s="69" t="s">
        <v>310</v>
      </c>
      <c r="AW9" s="69"/>
      <c r="AX9" s="69"/>
      <c r="AY9" s="69" t="s">
        <v>310</v>
      </c>
      <c r="AZ9" s="69" t="s">
        <v>310</v>
      </c>
      <c r="BA9" s="69"/>
      <c r="BB9" s="69"/>
      <c r="BC9" s="69" t="s">
        <v>310</v>
      </c>
      <c r="BD9" s="69" t="s">
        <v>310</v>
      </c>
      <c r="BE9" s="96"/>
      <c r="BF9" s="69" t="s">
        <v>310</v>
      </c>
      <c r="BG9" s="69" t="s">
        <v>310</v>
      </c>
      <c r="BH9" s="69"/>
      <c r="BI9" s="69"/>
      <c r="BJ9" s="69"/>
      <c r="BK9" s="69" t="s">
        <v>310</v>
      </c>
      <c r="BL9" s="69" t="s">
        <v>310</v>
      </c>
      <c r="BM9" s="69" t="s">
        <v>310</v>
      </c>
      <c r="BN9" s="69" t="s">
        <v>310</v>
      </c>
    </row>
    <row r="10" spans="1:66" x14ac:dyDescent="0.2">
      <c r="A10" s="61" t="s">
        <v>3</v>
      </c>
      <c r="B10" s="68" t="s">
        <v>153</v>
      </c>
      <c r="C10" s="66">
        <v>12.5</v>
      </c>
      <c r="D10" s="64">
        <v>49</v>
      </c>
      <c r="E10" s="64">
        <f>IF(ISBLANK($D10),"0",IF(($D10-$D9)&gt;($C10-$C9),1,0))</f>
        <v>1</v>
      </c>
      <c r="F10" s="64">
        <f t="shared" ca="1" si="1"/>
        <v>30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/>
      <c r="O10" s="70" t="s">
        <v>310</v>
      </c>
      <c r="P10" s="70" t="s">
        <v>310</v>
      </c>
      <c r="Q10" s="70" t="s">
        <v>310</v>
      </c>
      <c r="R10" s="97" t="s">
        <v>310</v>
      </c>
      <c r="S10" s="97"/>
      <c r="T10" s="97" t="s">
        <v>310</v>
      </c>
      <c r="U10" s="70" t="s">
        <v>310</v>
      </c>
      <c r="V10" s="70"/>
      <c r="W10" s="70" t="s">
        <v>310</v>
      </c>
      <c r="X10" s="70" t="s">
        <v>310</v>
      </c>
      <c r="Y10" s="70"/>
      <c r="Z10" s="70"/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 t="s">
        <v>310</v>
      </c>
      <c r="AJ10" s="70" t="s">
        <v>310</v>
      </c>
      <c r="AK10" s="70"/>
      <c r="AL10" s="70"/>
      <c r="AM10" s="70"/>
      <c r="AN10" s="70" t="s">
        <v>310</v>
      </c>
      <c r="AO10" s="70"/>
      <c r="AP10" s="70"/>
      <c r="AQ10" s="70" t="s">
        <v>310</v>
      </c>
      <c r="AR10" s="70"/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/>
      <c r="AZ10" s="70"/>
      <c r="BA10" s="70" t="s">
        <v>310</v>
      </c>
      <c r="BB10" s="70" t="s">
        <v>310</v>
      </c>
      <c r="BC10" s="70"/>
      <c r="BD10" s="70"/>
      <c r="BE10" s="70" t="s">
        <v>310</v>
      </c>
      <c r="BF10" s="70"/>
      <c r="BG10" s="70"/>
      <c r="BH10" s="70" t="s">
        <v>310</v>
      </c>
      <c r="BI10" s="70" t="s">
        <v>310</v>
      </c>
      <c r="BJ10" s="70" t="s">
        <v>310</v>
      </c>
      <c r="BK10" s="70"/>
      <c r="BL10" s="70"/>
      <c r="BM10" s="70"/>
      <c r="BN10" s="70"/>
    </row>
    <row r="11" spans="1:66" x14ac:dyDescent="0.2">
      <c r="A11" s="59">
        <v>5</v>
      </c>
      <c r="B11" s="67" t="s">
        <v>150</v>
      </c>
      <c r="C11" s="65"/>
      <c r="D11" s="64">
        <v>7</v>
      </c>
      <c r="E11" s="64">
        <f>IF(ISBLANK($D11),"0",IF(($D12-$D11)&lt;($C12-$C11),1,0))</f>
        <v>1</v>
      </c>
      <c r="F11" s="64">
        <f t="shared" ca="1" si="1"/>
        <v>42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 t="s">
        <v>310</v>
      </c>
      <c r="AA11" s="69" t="s">
        <v>310</v>
      </c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/>
      <c r="AM11" s="69" t="s">
        <v>310</v>
      </c>
      <c r="AN11" s="69" t="s">
        <v>310</v>
      </c>
      <c r="AO11" s="69" t="s">
        <v>310</v>
      </c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/>
      <c r="BJ11" s="69"/>
      <c r="BK11" s="69" t="s">
        <v>310</v>
      </c>
      <c r="BL11" s="69"/>
      <c r="BM11" s="69" t="s">
        <v>310</v>
      </c>
      <c r="BN11" s="69"/>
    </row>
    <row r="12" spans="1:66" x14ac:dyDescent="0.2">
      <c r="A12" s="61" t="s">
        <v>3</v>
      </c>
      <c r="B12" s="68" t="s">
        <v>245</v>
      </c>
      <c r="C12" s="66">
        <v>14.5</v>
      </c>
      <c r="D12" s="64">
        <v>20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 t="s">
        <v>310</v>
      </c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 t="s">
        <v>310</v>
      </c>
      <c r="AM12" s="70"/>
      <c r="AN12" s="70"/>
      <c r="AO12" s="70"/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 t="s">
        <v>310</v>
      </c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">
      <c r="A13" s="59">
        <v>6</v>
      </c>
      <c r="B13" s="67" t="s">
        <v>195</v>
      </c>
      <c r="C13" s="65">
        <v>1.5</v>
      </c>
      <c r="D13" s="64">
        <v>24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/>
      <c r="W13" s="69"/>
      <c r="X13" s="69" t="s">
        <v>310</v>
      </c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/>
      <c r="AG13" s="69" t="s">
        <v>310</v>
      </c>
      <c r="AH13" s="69"/>
      <c r="AI13" s="69" t="s">
        <v>310</v>
      </c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/>
      <c r="AR13" s="96" t="s">
        <v>310</v>
      </c>
      <c r="AS13" s="69" t="s">
        <v>310</v>
      </c>
      <c r="AT13" s="69"/>
      <c r="AU13" s="69" t="s">
        <v>310</v>
      </c>
      <c r="AV13" s="69"/>
      <c r="AW13" s="69" t="s">
        <v>310</v>
      </c>
      <c r="AX13" s="69" t="s">
        <v>310</v>
      </c>
      <c r="AY13" s="69" t="s">
        <v>310</v>
      </c>
      <c r="AZ13" s="69" t="s">
        <v>310</v>
      </c>
      <c r="BA13" s="69"/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 t="s">
        <v>310</v>
      </c>
      <c r="BL13" s="69"/>
      <c r="BM13" s="69" t="s">
        <v>310</v>
      </c>
      <c r="BN13" s="69"/>
    </row>
    <row r="14" spans="1:66" x14ac:dyDescent="0.2">
      <c r="A14" s="61" t="s">
        <v>3</v>
      </c>
      <c r="B14" s="68" t="s">
        <v>187</v>
      </c>
      <c r="C14" s="66"/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 t="s">
        <v>310</v>
      </c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 t="s">
        <v>310</v>
      </c>
      <c r="AG14" s="70"/>
      <c r="AH14" s="70" t="s">
        <v>310</v>
      </c>
      <c r="AI14" s="70"/>
      <c r="AJ14" s="70" t="s">
        <v>310</v>
      </c>
      <c r="AK14" s="70" t="s">
        <v>310</v>
      </c>
      <c r="AL14" s="70" t="s">
        <v>310</v>
      </c>
      <c r="AM14" s="70" t="s">
        <v>310</v>
      </c>
      <c r="AN14" s="70"/>
      <c r="AO14" s="70"/>
      <c r="AP14" s="70"/>
      <c r="AQ14" s="70" t="s">
        <v>310</v>
      </c>
      <c r="AR14" s="70"/>
      <c r="AS14" s="70"/>
      <c r="AT14" s="70" t="s">
        <v>310</v>
      </c>
      <c r="AU14" s="70"/>
      <c r="AV14" s="70" t="s">
        <v>310</v>
      </c>
      <c r="AW14" s="70"/>
      <c r="AX14" s="70"/>
      <c r="AY14" s="70"/>
      <c r="AZ14" s="70"/>
      <c r="BA14" s="70" t="s">
        <v>310</v>
      </c>
      <c r="BB14" s="70"/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/>
      <c r="BL14" s="70" t="s">
        <v>310</v>
      </c>
      <c r="BM14" s="70"/>
      <c r="BN14" s="70" t="s">
        <v>310</v>
      </c>
    </row>
    <row r="15" spans="1:66" x14ac:dyDescent="0.2">
      <c r="A15" s="59">
        <v>7</v>
      </c>
      <c r="B15" s="67" t="s">
        <v>186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 t="s">
        <v>310</v>
      </c>
      <c r="N15" s="69"/>
      <c r="O15" s="69" t="s">
        <v>310</v>
      </c>
      <c r="P15" s="69"/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/>
      <c r="Y15" s="69"/>
      <c r="Z15" s="69" t="s">
        <v>310</v>
      </c>
      <c r="AA15" s="69"/>
      <c r="AB15" s="69" t="s">
        <v>310</v>
      </c>
      <c r="AC15" s="69"/>
      <c r="AD15" s="69"/>
      <c r="AE15" s="69"/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/>
      <c r="AR15" s="69" t="s">
        <v>310</v>
      </c>
      <c r="AS15" s="69" t="s">
        <v>310</v>
      </c>
      <c r="AT15" s="69"/>
      <c r="AU15" s="69"/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/>
      <c r="BD15" s="69" t="s">
        <v>310</v>
      </c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 t="s">
        <v>310</v>
      </c>
      <c r="BN15" s="69" t="s">
        <v>310</v>
      </c>
    </row>
    <row r="16" spans="1:66" x14ac:dyDescent="0.2">
      <c r="A16" s="61" t="s">
        <v>3</v>
      </c>
      <c r="B16" s="68" t="s">
        <v>158</v>
      </c>
      <c r="C16" s="66">
        <v>14.5</v>
      </c>
      <c r="D16" s="64">
        <v>45</v>
      </c>
      <c r="E16" s="64">
        <f>IF(ISBLANK($D16),"0",IF(($D16-$D15)&gt;($C16-$C15),1,0))</f>
        <v>1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310</v>
      </c>
      <c r="O16" s="70"/>
      <c r="P16" s="70" t="s">
        <v>310</v>
      </c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 t="s">
        <v>310</v>
      </c>
      <c r="Y16" s="70" t="s">
        <v>310</v>
      </c>
      <c r="Z16" s="70"/>
      <c r="AA16" s="70" t="s">
        <v>310</v>
      </c>
      <c r="AB16" s="70"/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/>
      <c r="AQ16" s="70" t="s">
        <v>310</v>
      </c>
      <c r="AR16" s="97"/>
      <c r="AS16" s="70"/>
      <c r="AT16" s="70" t="s">
        <v>310</v>
      </c>
      <c r="AU16" s="70" t="s">
        <v>310</v>
      </c>
      <c r="AV16" s="70"/>
      <c r="AW16" s="70"/>
      <c r="AX16" s="70"/>
      <c r="AY16" s="70"/>
      <c r="AZ16" s="70" t="s">
        <v>310</v>
      </c>
      <c r="BA16" s="70"/>
      <c r="BB16" s="70"/>
      <c r="BC16" s="70" t="s">
        <v>310</v>
      </c>
      <c r="BD16" s="70"/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/>
      <c r="BN16" s="70"/>
    </row>
    <row r="17" spans="1:66" x14ac:dyDescent="0.2">
      <c r="A17" s="59">
        <v>8</v>
      </c>
      <c r="B17" s="67" t="s">
        <v>139</v>
      </c>
      <c r="C17" s="65"/>
      <c r="D17" s="64">
        <v>30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/>
      <c r="N17" s="69"/>
      <c r="O17" s="69"/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/>
      <c r="Y17" s="69"/>
      <c r="Z17" s="69"/>
      <c r="AA17" s="69"/>
      <c r="AB17" s="69" t="s">
        <v>310</v>
      </c>
      <c r="AC17" s="69" t="s">
        <v>310</v>
      </c>
      <c r="AD17" s="69"/>
      <c r="AE17" s="69" t="s">
        <v>310</v>
      </c>
      <c r="AF17" s="69"/>
      <c r="AG17" s="69" t="s">
        <v>310</v>
      </c>
      <c r="AH17" s="69"/>
      <c r="AI17" s="69" t="s">
        <v>310</v>
      </c>
      <c r="AJ17" s="69"/>
      <c r="AK17" s="69" t="s">
        <v>310</v>
      </c>
      <c r="AL17" s="69"/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 t="s">
        <v>310</v>
      </c>
      <c r="BA17" s="69"/>
      <c r="BB17" s="69"/>
      <c r="BC17" s="69"/>
      <c r="BD17" s="69"/>
      <c r="BE17" s="69"/>
      <c r="BF17" s="69"/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">
      <c r="A18" s="61" t="s">
        <v>3</v>
      </c>
      <c r="B18" s="68" t="s">
        <v>167</v>
      </c>
      <c r="C18" s="66">
        <v>13.5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310</v>
      </c>
      <c r="N18" s="70" t="s">
        <v>310</v>
      </c>
      <c r="O18" s="70" t="s">
        <v>310</v>
      </c>
      <c r="P18" s="70"/>
      <c r="Q18" s="70"/>
      <c r="R18" s="70" t="s">
        <v>310</v>
      </c>
      <c r="S18" s="70"/>
      <c r="T18" s="70"/>
      <c r="U18" s="97"/>
      <c r="V18" s="70"/>
      <c r="W18" s="70" t="s">
        <v>310</v>
      </c>
      <c r="X18" s="70" t="s">
        <v>310</v>
      </c>
      <c r="Y18" s="70" t="s">
        <v>310</v>
      </c>
      <c r="Z18" s="70" t="s">
        <v>310</v>
      </c>
      <c r="AA18" s="70" t="s">
        <v>310</v>
      </c>
      <c r="AB18" s="70"/>
      <c r="AC18" s="70"/>
      <c r="AD18" s="70" t="s">
        <v>310</v>
      </c>
      <c r="AE18" s="70"/>
      <c r="AF18" s="70" t="s">
        <v>310</v>
      </c>
      <c r="AG18" s="70"/>
      <c r="AH18" s="70" t="s">
        <v>310</v>
      </c>
      <c r="AI18" s="70"/>
      <c r="AJ18" s="70" t="s">
        <v>310</v>
      </c>
      <c r="AK18" s="70"/>
      <c r="AL18" s="70" t="s">
        <v>310</v>
      </c>
      <c r="AM18" s="70"/>
      <c r="AN18" s="70" t="s">
        <v>310</v>
      </c>
      <c r="AO18" s="70"/>
      <c r="AP18" s="70"/>
      <c r="AQ18" s="70"/>
      <c r="AR18" s="70"/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/>
      <c r="BA18" s="70" t="s">
        <v>310</v>
      </c>
      <c r="BB18" s="70" t="s">
        <v>310</v>
      </c>
      <c r="BC18" s="70" t="s">
        <v>310</v>
      </c>
      <c r="BD18" s="70" t="s">
        <v>310</v>
      </c>
      <c r="BE18" s="97" t="s">
        <v>310</v>
      </c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">
      <c r="A19" s="59">
        <v>9</v>
      </c>
      <c r="B19" s="67" t="s">
        <v>152</v>
      </c>
      <c r="C19" s="65">
        <v>9.5</v>
      </c>
      <c r="D19" s="64">
        <v>7</v>
      </c>
      <c r="E19" s="64">
        <f>IF(ISBLANK($D19),"0",IF(($D20-$D19)&lt;($C20-$C19),1,0))</f>
        <v>0</v>
      </c>
      <c r="F19" s="64">
        <f t="shared" ca="1" si="1"/>
        <v>34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310</v>
      </c>
      <c r="M19" s="69" t="s">
        <v>310</v>
      </c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/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 t="s">
        <v>310</v>
      </c>
      <c r="AO19" s="69" t="s">
        <v>310</v>
      </c>
      <c r="AP19" s="69"/>
      <c r="AQ19" s="69" t="s">
        <v>310</v>
      </c>
      <c r="AR19" s="69" t="s">
        <v>310</v>
      </c>
      <c r="AS19" s="69"/>
      <c r="AT19" s="69"/>
      <c r="AU19" s="69"/>
      <c r="AV19" s="69" t="s">
        <v>310</v>
      </c>
      <c r="AW19" s="69"/>
      <c r="AX19" s="69" t="s">
        <v>310</v>
      </c>
      <c r="AY19" s="69" t="s">
        <v>310</v>
      </c>
      <c r="AZ19" s="69"/>
      <c r="BA19" s="69" t="s">
        <v>310</v>
      </c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/>
      <c r="BI19" s="69" t="s">
        <v>310</v>
      </c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">
      <c r="A20" s="61" t="s">
        <v>3</v>
      </c>
      <c r="B20" s="68" t="s">
        <v>148</v>
      </c>
      <c r="C20" s="66"/>
      <c r="D20" s="64">
        <v>13</v>
      </c>
      <c r="E20" s="64">
        <f>IF(ISBLANK($D20),"0",IF(($D20-$D19)&gt;($C20-$C19),1,0))</f>
        <v>1</v>
      </c>
      <c r="F20" s="64">
        <f t="shared" ca="1" si="1"/>
        <v>21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/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 t="s">
        <v>310</v>
      </c>
      <c r="AC20" s="70"/>
      <c r="AD20" s="70"/>
      <c r="AE20" s="70"/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/>
      <c r="AO20" s="70"/>
      <c r="AP20" s="70"/>
      <c r="AQ20" s="70"/>
      <c r="AR20" s="97"/>
      <c r="AS20" s="70" t="s">
        <v>310</v>
      </c>
      <c r="AT20" s="70" t="s">
        <v>310</v>
      </c>
      <c r="AU20" s="70" t="s">
        <v>310</v>
      </c>
      <c r="AV20" s="70"/>
      <c r="AW20" s="70" t="s">
        <v>310</v>
      </c>
      <c r="AX20" s="70"/>
      <c r="AY20" s="70"/>
      <c r="AZ20" s="70" t="s">
        <v>310</v>
      </c>
      <c r="BA20" s="70"/>
      <c r="BB20" s="70" t="s">
        <v>310</v>
      </c>
      <c r="BC20" s="70"/>
      <c r="BD20" s="70" t="s">
        <v>310</v>
      </c>
      <c r="BE20" s="97"/>
      <c r="BF20" s="70"/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">
      <c r="A21" s="59">
        <v>10</v>
      </c>
      <c r="B21" s="67" t="s">
        <v>241</v>
      </c>
      <c r="C21" s="65"/>
      <c r="D21" s="64">
        <v>26</v>
      </c>
      <c r="E21" s="64">
        <f>IF(ISBLANK($D21),"0",IF(($D22-$D21)&lt;($C22-$C21),1,0))</f>
        <v>1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 t="s">
        <v>310</v>
      </c>
      <c r="V21" s="69" t="s">
        <v>310</v>
      </c>
      <c r="W21" s="69"/>
      <c r="X21" s="69"/>
      <c r="Y21" s="69"/>
      <c r="Z21" s="69" t="s">
        <v>310</v>
      </c>
      <c r="AA21" s="69"/>
      <c r="AB21" s="69"/>
      <c r="AC21" s="69"/>
      <c r="AD21" s="69"/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 t="s">
        <v>310</v>
      </c>
      <c r="AR21" s="96"/>
      <c r="AS21" s="69"/>
      <c r="AT21" s="69" t="s">
        <v>310</v>
      </c>
      <c r="AU21" s="69" t="s">
        <v>310</v>
      </c>
      <c r="AV21" s="69" t="s">
        <v>310</v>
      </c>
      <c r="AW21" s="69"/>
      <c r="AX21" s="69"/>
      <c r="AY21" s="69"/>
      <c r="AZ21" s="69"/>
      <c r="BA21" s="69"/>
      <c r="BB21" s="69" t="s">
        <v>310</v>
      </c>
      <c r="BC21" s="69" t="s">
        <v>310</v>
      </c>
      <c r="BD21" s="69" t="s">
        <v>310</v>
      </c>
      <c r="BE21" s="96"/>
      <c r="BF21" s="69"/>
      <c r="BG21" s="69" t="s">
        <v>310</v>
      </c>
      <c r="BH21" s="69"/>
      <c r="BI21" s="69"/>
      <c r="BJ21" s="69"/>
      <c r="BK21" s="69"/>
      <c r="BL21" s="69"/>
      <c r="BM21" s="69"/>
      <c r="BN21" s="69" t="s">
        <v>310</v>
      </c>
    </row>
    <row r="22" spans="1:66" x14ac:dyDescent="0.2">
      <c r="A22" s="61" t="s">
        <v>3</v>
      </c>
      <c r="B22" s="68" t="s">
        <v>145</v>
      </c>
      <c r="C22" s="66">
        <v>7.5</v>
      </c>
      <c r="D22" s="64">
        <v>13</v>
      </c>
      <c r="E22" s="64">
        <f>IF(ISBLANK($D22),"0",IF(($D22-$D21)&gt;($C22-$C21),1,0))</f>
        <v>0</v>
      </c>
      <c r="F22" s="64">
        <f t="shared" ca="1" si="1"/>
        <v>39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 t="s">
        <v>310</v>
      </c>
      <c r="S22" s="70"/>
      <c r="T22" s="70" t="s">
        <v>310</v>
      </c>
      <c r="U22" s="70"/>
      <c r="V22" s="70"/>
      <c r="W22" s="70" t="s">
        <v>310</v>
      </c>
      <c r="X22" s="70" t="s">
        <v>310</v>
      </c>
      <c r="Y22" s="70" t="s">
        <v>310</v>
      </c>
      <c r="Z22" s="70"/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/>
      <c r="AQ22" s="70"/>
      <c r="AR22" s="70" t="s">
        <v>310</v>
      </c>
      <c r="AS22" s="70" t="s">
        <v>310</v>
      </c>
      <c r="AT22" s="70"/>
      <c r="AU22" s="70"/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/>
      <c r="BC22" s="70"/>
      <c r="BD22" s="70"/>
      <c r="BE22" s="70" t="s">
        <v>310</v>
      </c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 t="s">
        <v>310</v>
      </c>
      <c r="BL22" s="70" t="s">
        <v>310</v>
      </c>
      <c r="BM22" s="70" t="s">
        <v>310</v>
      </c>
      <c r="BN22" s="70"/>
    </row>
    <row r="23" spans="1:66" x14ac:dyDescent="0.2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17</v>
      </c>
      <c r="L23" s="78">
        <v>24</v>
      </c>
      <c r="M23" s="78">
        <v>24</v>
      </c>
      <c r="N23" s="80">
        <v>21</v>
      </c>
      <c r="O23" s="78">
        <v>12</v>
      </c>
      <c r="P23" s="78">
        <v>18</v>
      </c>
      <c r="Q23" s="78">
        <v>21</v>
      </c>
      <c r="R23" s="78">
        <v>17</v>
      </c>
      <c r="S23" s="78">
        <v>32</v>
      </c>
      <c r="T23" s="78">
        <v>21</v>
      </c>
      <c r="U23" s="78">
        <v>28</v>
      </c>
      <c r="V23" s="78">
        <v>16</v>
      </c>
      <c r="W23" s="78">
        <v>21</v>
      </c>
      <c r="X23" s="78">
        <v>10</v>
      </c>
      <c r="Y23" s="78">
        <v>14</v>
      </c>
      <c r="Z23" s="78">
        <v>28</v>
      </c>
      <c r="AA23" s="78">
        <v>14</v>
      </c>
      <c r="AB23" s="78">
        <v>21</v>
      </c>
      <c r="AC23" s="78">
        <v>17</v>
      </c>
      <c r="AD23" s="78">
        <v>36</v>
      </c>
      <c r="AE23" s="78">
        <v>21</v>
      </c>
      <c r="AF23" s="78">
        <v>24</v>
      </c>
      <c r="AG23" s="78">
        <v>24</v>
      </c>
      <c r="AH23" s="78">
        <v>21</v>
      </c>
      <c r="AI23" s="78">
        <v>24</v>
      </c>
      <c r="AJ23" s="78">
        <v>17</v>
      </c>
      <c r="AK23" s="78">
        <v>43</v>
      </c>
      <c r="AL23" s="78">
        <v>47</v>
      </c>
      <c r="AM23" s="78">
        <v>17</v>
      </c>
      <c r="AN23" s="78">
        <v>21</v>
      </c>
      <c r="AO23" s="78">
        <v>24</v>
      </c>
      <c r="AP23" s="78"/>
      <c r="AQ23" s="78">
        <v>36</v>
      </c>
      <c r="AR23" s="78">
        <v>4</v>
      </c>
      <c r="AS23" s="78">
        <v>24</v>
      </c>
      <c r="AT23" s="78">
        <v>28</v>
      </c>
      <c r="AU23" s="78">
        <v>40</v>
      </c>
      <c r="AV23" s="78">
        <v>35</v>
      </c>
      <c r="AW23" s="78">
        <v>21</v>
      </c>
      <c r="AX23" s="78">
        <v>17</v>
      </c>
      <c r="AY23" s="78">
        <v>14</v>
      </c>
      <c r="AZ23" s="78">
        <v>25</v>
      </c>
      <c r="BA23" s="78">
        <v>7</v>
      </c>
      <c r="BB23" s="78">
        <v>21</v>
      </c>
      <c r="BC23" s="78">
        <v>51</v>
      </c>
      <c r="BD23" s="78">
        <v>21</v>
      </c>
      <c r="BE23" s="78">
        <v>17</v>
      </c>
      <c r="BF23" s="78">
        <v>14</v>
      </c>
      <c r="BG23" s="78">
        <v>50</v>
      </c>
      <c r="BH23" s="78">
        <v>24</v>
      </c>
      <c r="BI23" s="78">
        <v>14</v>
      </c>
      <c r="BJ23" s="78">
        <v>31</v>
      </c>
      <c r="BK23" s="78">
        <v>18</v>
      </c>
      <c r="BL23" s="78">
        <v>22</v>
      </c>
      <c r="BM23" s="78">
        <v>20</v>
      </c>
      <c r="BN23" s="78">
        <v>21</v>
      </c>
    </row>
    <row r="24" spans="1:66" x14ac:dyDescent="0.2">
      <c r="A24" s="61"/>
      <c r="B24" s="68" t="str">
        <f>B22&amp; " - score"</f>
        <v>Washington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36</v>
      </c>
      <c r="G24" s="61"/>
      <c r="H24" s="62"/>
      <c r="I24" s="63"/>
      <c r="J24" s="79"/>
      <c r="K24" s="79">
        <v>28</v>
      </c>
      <c r="L24" s="79">
        <v>35</v>
      </c>
      <c r="M24" s="79">
        <v>35</v>
      </c>
      <c r="N24" s="79">
        <v>34</v>
      </c>
      <c r="O24" s="79">
        <v>27</v>
      </c>
      <c r="P24" s="79">
        <v>34</v>
      </c>
      <c r="Q24" s="79">
        <v>35</v>
      </c>
      <c r="R24" s="79">
        <v>38</v>
      </c>
      <c r="S24" s="79">
        <v>38</v>
      </c>
      <c r="T24" s="79">
        <v>35</v>
      </c>
      <c r="U24" s="79">
        <v>21</v>
      </c>
      <c r="V24" s="79">
        <v>21</v>
      </c>
      <c r="W24" s="79">
        <v>49</v>
      </c>
      <c r="X24" s="79">
        <v>33</v>
      </c>
      <c r="Y24" s="79">
        <v>28</v>
      </c>
      <c r="Z24" s="79">
        <v>31</v>
      </c>
      <c r="AA24" s="79">
        <v>24</v>
      </c>
      <c r="AB24" s="79">
        <v>48</v>
      </c>
      <c r="AC24" s="79">
        <v>41</v>
      </c>
      <c r="AD24" s="79">
        <v>44</v>
      </c>
      <c r="AE24" s="79">
        <v>45</v>
      </c>
      <c r="AF24" s="79">
        <v>35</v>
      </c>
      <c r="AG24" s="79">
        <v>33</v>
      </c>
      <c r="AH24" s="79">
        <v>24</v>
      </c>
      <c r="AI24" s="79">
        <v>38</v>
      </c>
      <c r="AJ24" s="79">
        <v>27</v>
      </c>
      <c r="AK24" s="79">
        <v>69</v>
      </c>
      <c r="AL24" s="79">
        <v>67</v>
      </c>
      <c r="AM24" s="79">
        <v>31</v>
      </c>
      <c r="AN24" s="79">
        <v>28</v>
      </c>
      <c r="AO24" s="79">
        <v>27</v>
      </c>
      <c r="AP24" s="79"/>
      <c r="AQ24" s="79">
        <v>43</v>
      </c>
      <c r="AR24" s="79">
        <v>61</v>
      </c>
      <c r="AS24" s="79">
        <v>38</v>
      </c>
      <c r="AT24" s="79">
        <v>34</v>
      </c>
      <c r="AU24" s="79">
        <v>45</v>
      </c>
      <c r="AV24" s="79">
        <v>31</v>
      </c>
      <c r="AW24" s="79">
        <v>34</v>
      </c>
      <c r="AX24" s="79">
        <v>31</v>
      </c>
      <c r="AY24" s="79">
        <v>35</v>
      </c>
      <c r="AZ24" s="79">
        <v>57</v>
      </c>
      <c r="BA24" s="79">
        <v>21</v>
      </c>
      <c r="BB24" s="79">
        <v>7</v>
      </c>
      <c r="BC24" s="79">
        <v>12</v>
      </c>
      <c r="BD24" s="79">
        <v>28</v>
      </c>
      <c r="BE24" s="79">
        <v>31</v>
      </c>
      <c r="BF24" s="79">
        <v>43</v>
      </c>
      <c r="BG24" s="79">
        <v>55</v>
      </c>
      <c r="BH24" s="79">
        <v>41</v>
      </c>
      <c r="BI24" s="79">
        <v>44</v>
      </c>
      <c r="BJ24" s="79">
        <v>42</v>
      </c>
      <c r="BK24" s="79">
        <v>35</v>
      </c>
      <c r="BL24" s="79">
        <v>56</v>
      </c>
      <c r="BM24" s="79">
        <v>33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8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3</v>
      </c>
      <c r="AB25" s="36">
        <f t="shared" si="3"/>
        <v>6</v>
      </c>
      <c r="AC25" s="36">
        <f t="shared" si="3"/>
        <v>6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8</v>
      </c>
      <c r="AH25" s="36">
        <f t="shared" si="3"/>
        <v>5</v>
      </c>
      <c r="AI25" s="36">
        <f t="shared" si="3"/>
        <v>8</v>
      </c>
      <c r="AJ25" s="36">
        <f t="shared" si="3"/>
        <v>4</v>
      </c>
      <c r="AK25" s="36">
        <f t="shared" si="3"/>
        <v>3</v>
      </c>
      <c r="AL25" s="36">
        <f t="shared" si="3"/>
        <v>1</v>
      </c>
      <c r="AM25" s="36">
        <f t="shared" si="3"/>
        <v>4</v>
      </c>
      <c r="AN25" s="36">
        <f t="shared" si="3"/>
        <v>7</v>
      </c>
      <c r="AO25" s="36">
        <f t="shared" si="3"/>
        <v>8</v>
      </c>
      <c r="AP25" s="36">
        <f t="shared" si="3"/>
        <v>0</v>
      </c>
      <c r="AQ25" s="36">
        <f t="shared" si="3"/>
        <v>7</v>
      </c>
      <c r="AR25" s="36">
        <f t="shared" si="3"/>
        <v>3</v>
      </c>
      <c r="AS25" s="36">
        <f t="shared" si="3"/>
        <v>5</v>
      </c>
      <c r="AT25" s="36">
        <f t="shared" si="3"/>
        <v>9</v>
      </c>
      <c r="AU25" s="36">
        <f t="shared" si="3"/>
        <v>9</v>
      </c>
      <c r="AV25" s="36">
        <f t="shared" si="3"/>
        <v>4</v>
      </c>
      <c r="AW25" s="36">
        <f t="shared" si="3"/>
        <v>6</v>
      </c>
      <c r="AX25" s="36">
        <f t="shared" si="3"/>
        <v>7</v>
      </c>
      <c r="AY25" s="36">
        <f t="shared" si="3"/>
        <v>4</v>
      </c>
      <c r="AZ25" s="36">
        <f t="shared" si="3"/>
        <v>7</v>
      </c>
      <c r="BA25" s="36">
        <f t="shared" si="3"/>
        <v>3</v>
      </c>
      <c r="BB25" s="36">
        <f t="shared" si="3"/>
        <v>7</v>
      </c>
      <c r="BC25" s="36">
        <f t="shared" si="3"/>
        <v>4</v>
      </c>
      <c r="BD25" s="36">
        <f t="shared" si="3"/>
        <v>6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7</v>
      </c>
      <c r="BI25" s="36">
        <f t="shared" si="3"/>
        <v>5</v>
      </c>
      <c r="BJ25" s="36">
        <f t="shared" si="3"/>
        <v>4</v>
      </c>
      <c r="BK25" s="36">
        <f t="shared" si="3"/>
        <v>7</v>
      </c>
      <c r="BL25" s="36">
        <f t="shared" si="3"/>
        <v>2</v>
      </c>
      <c r="BM25" s="36">
        <f t="shared" si="3"/>
        <v>5</v>
      </c>
      <c r="BN25" s="36">
        <f t="shared" si="3"/>
        <v>4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24</v>
      </c>
      <c r="L26" s="71">
        <f t="shared" si="4"/>
        <v>24</v>
      </c>
      <c r="M26" s="71">
        <f t="shared" si="4"/>
        <v>24</v>
      </c>
      <c r="N26" s="71">
        <f t="shared" si="4"/>
        <v>26</v>
      </c>
      <c r="O26" s="71">
        <f t="shared" si="4"/>
        <v>28</v>
      </c>
      <c r="P26" s="71">
        <f t="shared" si="4"/>
        <v>29</v>
      </c>
      <c r="Q26" s="71">
        <f t="shared" si="4"/>
        <v>27</v>
      </c>
      <c r="R26" s="71">
        <f t="shared" si="4"/>
        <v>34</v>
      </c>
      <c r="S26" s="71">
        <f t="shared" si="4"/>
        <v>19</v>
      </c>
      <c r="T26" s="71">
        <f t="shared" si="4"/>
        <v>27</v>
      </c>
      <c r="U26" s="71">
        <f t="shared" si="4"/>
        <v>6</v>
      </c>
      <c r="V26" s="71">
        <f t="shared" si="4"/>
        <v>18</v>
      </c>
      <c r="W26" s="71">
        <f t="shared" si="4"/>
        <v>41</v>
      </c>
      <c r="X26" s="71">
        <f t="shared" si="4"/>
        <v>36</v>
      </c>
      <c r="Y26" s="71">
        <f t="shared" si="4"/>
        <v>27</v>
      </c>
      <c r="Z26" s="71">
        <f t="shared" si="4"/>
        <v>16</v>
      </c>
      <c r="AA26" s="71">
        <f t="shared" si="4"/>
        <v>23</v>
      </c>
      <c r="AB26" s="71">
        <f t="shared" si="4"/>
        <v>40</v>
      </c>
      <c r="AC26" s="71">
        <f t="shared" si="4"/>
        <v>37</v>
      </c>
      <c r="AD26" s="71">
        <f t="shared" si="4"/>
        <v>21</v>
      </c>
      <c r="AE26" s="71">
        <f t="shared" si="4"/>
        <v>37</v>
      </c>
      <c r="AF26" s="71">
        <f t="shared" si="4"/>
        <v>24</v>
      </c>
      <c r="AG26" s="71">
        <f t="shared" si="4"/>
        <v>22</v>
      </c>
      <c r="AH26" s="71">
        <f t="shared" si="4"/>
        <v>16</v>
      </c>
      <c r="AI26" s="71">
        <f t="shared" si="4"/>
        <v>27</v>
      </c>
      <c r="AJ26" s="71">
        <f t="shared" si="4"/>
        <v>23</v>
      </c>
      <c r="AK26" s="71">
        <f t="shared" si="4"/>
        <v>39</v>
      </c>
      <c r="AL26" s="71">
        <f t="shared" si="4"/>
        <v>33</v>
      </c>
      <c r="AM26" s="71">
        <f t="shared" si="4"/>
        <v>27</v>
      </c>
      <c r="AN26" s="71">
        <f t="shared" si="4"/>
        <v>20</v>
      </c>
      <c r="AO26" s="71">
        <f t="shared" si="4"/>
        <v>16</v>
      </c>
      <c r="AP26" s="71">
        <f t="shared" si="4"/>
        <v>13</v>
      </c>
      <c r="AQ26" s="71">
        <f t="shared" si="4"/>
        <v>20</v>
      </c>
      <c r="AR26" s="71">
        <f t="shared" si="4"/>
        <v>70</v>
      </c>
      <c r="AS26" s="71">
        <f t="shared" si="4"/>
        <v>27</v>
      </c>
      <c r="AT26" s="71">
        <f t="shared" si="4"/>
        <v>19</v>
      </c>
      <c r="AU26" s="71">
        <f t="shared" si="4"/>
        <v>18</v>
      </c>
      <c r="AV26" s="71">
        <f t="shared" si="4"/>
        <v>9</v>
      </c>
      <c r="AW26" s="71">
        <f t="shared" si="4"/>
        <v>26</v>
      </c>
      <c r="AX26" s="71">
        <f t="shared" si="4"/>
        <v>27</v>
      </c>
      <c r="AY26" s="71">
        <f t="shared" si="4"/>
        <v>34</v>
      </c>
      <c r="AZ26" s="71">
        <f t="shared" si="4"/>
        <v>45</v>
      </c>
      <c r="BA26" s="71">
        <f t="shared" si="4"/>
        <v>27</v>
      </c>
      <c r="BB26" s="71">
        <f t="shared" si="4"/>
        <v>1</v>
      </c>
      <c r="BC26" s="71">
        <f t="shared" si="4"/>
        <v>26</v>
      </c>
      <c r="BD26" s="71">
        <f t="shared" si="4"/>
        <v>20</v>
      </c>
      <c r="BE26" s="71">
        <f t="shared" si="4"/>
        <v>27</v>
      </c>
      <c r="BF26" s="71">
        <f t="shared" si="4"/>
        <v>42</v>
      </c>
      <c r="BG26" s="71">
        <f t="shared" si="4"/>
        <v>18</v>
      </c>
      <c r="BH26" s="71">
        <f t="shared" si="4"/>
        <v>30</v>
      </c>
      <c r="BI26" s="71">
        <f t="shared" si="4"/>
        <v>43</v>
      </c>
      <c r="BJ26" s="71">
        <f t="shared" si="4"/>
        <v>24</v>
      </c>
      <c r="BK26" s="71">
        <f t="shared" si="4"/>
        <v>30</v>
      </c>
      <c r="BL26" s="71">
        <f t="shared" si="4"/>
        <v>47</v>
      </c>
      <c r="BM26" s="71">
        <f t="shared" si="4"/>
        <v>26</v>
      </c>
      <c r="BN26" s="71">
        <f t="shared" si="4"/>
        <v>20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6</v>
      </c>
      <c r="L27" s="71">
        <f t="shared" si="5"/>
        <v>20</v>
      </c>
      <c r="M27" s="71">
        <f t="shared" si="5"/>
        <v>20</v>
      </c>
      <c r="N27" s="71">
        <f t="shared" si="5"/>
        <v>16</v>
      </c>
      <c r="O27" s="71">
        <f t="shared" si="5"/>
        <v>0</v>
      </c>
      <c r="P27" s="71">
        <f t="shared" si="5"/>
        <v>13</v>
      </c>
      <c r="Q27" s="71">
        <f t="shared" si="5"/>
        <v>17</v>
      </c>
      <c r="R27" s="71">
        <f t="shared" si="5"/>
        <v>16</v>
      </c>
      <c r="S27" s="71">
        <f t="shared" si="5"/>
        <v>31</v>
      </c>
      <c r="T27" s="71">
        <f t="shared" si="5"/>
        <v>17</v>
      </c>
      <c r="U27" s="71">
        <f t="shared" si="5"/>
        <v>10</v>
      </c>
      <c r="V27" s="71">
        <f t="shared" si="5"/>
        <v>2</v>
      </c>
      <c r="W27" s="71">
        <f t="shared" si="5"/>
        <v>31</v>
      </c>
      <c r="X27" s="71">
        <f t="shared" si="5"/>
        <v>4</v>
      </c>
      <c r="Y27" s="71">
        <f t="shared" si="5"/>
        <v>3</v>
      </c>
      <c r="Z27" s="71">
        <f t="shared" si="5"/>
        <v>20</v>
      </c>
      <c r="AA27" s="71">
        <f t="shared" si="5"/>
        <v>1</v>
      </c>
      <c r="AB27" s="71">
        <f t="shared" si="5"/>
        <v>30</v>
      </c>
      <c r="AC27" s="71">
        <f t="shared" si="5"/>
        <v>19</v>
      </c>
      <c r="AD27" s="71">
        <f t="shared" si="5"/>
        <v>41</v>
      </c>
      <c r="AE27" s="71">
        <f t="shared" si="5"/>
        <v>27</v>
      </c>
      <c r="AF27" s="71">
        <f t="shared" si="5"/>
        <v>20</v>
      </c>
      <c r="AG27" s="71">
        <f t="shared" si="5"/>
        <v>18</v>
      </c>
      <c r="AH27" s="71">
        <f t="shared" si="5"/>
        <v>6</v>
      </c>
      <c r="AI27" s="71">
        <f t="shared" si="5"/>
        <v>23</v>
      </c>
      <c r="AJ27" s="71">
        <f t="shared" si="5"/>
        <v>5</v>
      </c>
      <c r="AK27" s="71">
        <f t="shared" si="5"/>
        <v>73</v>
      </c>
      <c r="AL27" s="71">
        <f t="shared" si="5"/>
        <v>75</v>
      </c>
      <c r="AM27" s="71">
        <f t="shared" si="5"/>
        <v>9</v>
      </c>
      <c r="AN27" s="71">
        <f t="shared" si="5"/>
        <v>10</v>
      </c>
      <c r="AO27" s="71">
        <f t="shared" si="5"/>
        <v>12</v>
      </c>
      <c r="AP27" s="71">
        <f t="shared" si="5"/>
        <v>39</v>
      </c>
      <c r="AQ27" s="71">
        <f t="shared" si="5"/>
        <v>40</v>
      </c>
      <c r="AR27" s="71">
        <f t="shared" si="5"/>
        <v>26</v>
      </c>
      <c r="AS27" s="71">
        <f t="shared" si="5"/>
        <v>23</v>
      </c>
      <c r="AT27" s="71">
        <f t="shared" si="5"/>
        <v>23</v>
      </c>
      <c r="AU27" s="71">
        <f t="shared" si="5"/>
        <v>46</v>
      </c>
      <c r="AV27" s="71">
        <f t="shared" si="5"/>
        <v>27</v>
      </c>
      <c r="AW27" s="71">
        <f t="shared" si="5"/>
        <v>16</v>
      </c>
      <c r="AX27" s="71">
        <f t="shared" si="5"/>
        <v>9</v>
      </c>
      <c r="AY27" s="71">
        <f t="shared" si="5"/>
        <v>10</v>
      </c>
      <c r="AZ27" s="71">
        <f t="shared" si="5"/>
        <v>43</v>
      </c>
      <c r="BA27" s="71">
        <f t="shared" si="5"/>
        <v>11</v>
      </c>
      <c r="BB27" s="71">
        <f t="shared" si="5"/>
        <v>11</v>
      </c>
      <c r="BC27" s="71">
        <f t="shared" si="5"/>
        <v>24</v>
      </c>
      <c r="BD27" s="71">
        <f t="shared" si="5"/>
        <v>10</v>
      </c>
      <c r="BE27" s="71">
        <f t="shared" si="5"/>
        <v>9</v>
      </c>
      <c r="BF27" s="71">
        <f t="shared" si="5"/>
        <v>18</v>
      </c>
      <c r="BG27" s="71">
        <f t="shared" si="5"/>
        <v>66</v>
      </c>
      <c r="BH27" s="71">
        <f t="shared" si="5"/>
        <v>26</v>
      </c>
      <c r="BI27" s="71">
        <f t="shared" si="5"/>
        <v>19</v>
      </c>
      <c r="BJ27" s="71">
        <f t="shared" si="5"/>
        <v>34</v>
      </c>
      <c r="BK27" s="71">
        <f t="shared" si="5"/>
        <v>14</v>
      </c>
      <c r="BL27" s="71">
        <f t="shared" si="5"/>
        <v>39</v>
      </c>
      <c r="BM27" s="71">
        <f t="shared" si="5"/>
        <v>14</v>
      </c>
      <c r="BN27" s="71">
        <f t="shared" si="5"/>
        <v>10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0.52142857142857146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5</v>
      </c>
      <c r="M29" s="71">
        <f t="shared" si="7"/>
        <v>5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9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5</v>
      </c>
      <c r="X29" s="71">
        <f t="shared" si="7"/>
        <v>4</v>
      </c>
      <c r="Y29" s="71">
        <f t="shared" si="7"/>
        <v>5</v>
      </c>
      <c r="Z29" s="71">
        <f t="shared" si="7"/>
        <v>6</v>
      </c>
      <c r="AA29" s="71">
        <f t="shared" si="7"/>
        <v>5</v>
      </c>
      <c r="AB29" s="71">
        <f t="shared" si="7"/>
        <v>6</v>
      </c>
      <c r="AC29" s="71">
        <f t="shared" si="7"/>
        <v>6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6</v>
      </c>
      <c r="AJ29" s="71">
        <f t="shared" si="7"/>
        <v>4</v>
      </c>
      <c r="AK29" s="71">
        <f t="shared" si="7"/>
        <v>7</v>
      </c>
      <c r="AL29" s="71">
        <f t="shared" si="7"/>
        <v>3</v>
      </c>
      <c r="AM29" s="71">
        <f t="shared" si="7"/>
        <v>8</v>
      </c>
      <c r="AN29" s="71">
        <f t="shared" si="7"/>
        <v>7</v>
      </c>
      <c r="AO29" s="71">
        <f t="shared" si="7"/>
        <v>8</v>
      </c>
      <c r="AP29" s="71">
        <f t="shared" si="7"/>
        <v>0</v>
      </c>
      <c r="AQ29" s="71">
        <f t="shared" si="7"/>
        <v>7</v>
      </c>
      <c r="AR29" s="71">
        <f t="shared" si="7"/>
        <v>5</v>
      </c>
      <c r="AS29" s="71">
        <f t="shared" si="7"/>
        <v>7</v>
      </c>
      <c r="AT29" s="71">
        <f t="shared" si="7"/>
        <v>5</v>
      </c>
      <c r="AU29" s="71">
        <f t="shared" si="7"/>
        <v>7</v>
      </c>
      <c r="AV29" s="71">
        <f t="shared" si="7"/>
        <v>8</v>
      </c>
      <c r="AW29" s="71">
        <f t="shared" si="7"/>
        <v>6</v>
      </c>
      <c r="AX29" s="71">
        <f t="shared" si="7"/>
        <v>7</v>
      </c>
      <c r="AY29" s="71">
        <f t="shared" si="7"/>
        <v>8</v>
      </c>
      <c r="AZ29" s="71">
        <f t="shared" si="7"/>
        <v>5</v>
      </c>
      <c r="BA29" s="71">
        <f t="shared" si="7"/>
        <v>5</v>
      </c>
      <c r="BB29" s="71">
        <f t="shared" si="7"/>
        <v>7</v>
      </c>
      <c r="BC29" s="71">
        <f t="shared" si="7"/>
        <v>6</v>
      </c>
      <c r="BD29" s="71">
        <f t="shared" si="7"/>
        <v>8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5</v>
      </c>
      <c r="BI29" s="71">
        <f t="shared" si="7"/>
        <v>5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9</v>
      </c>
      <c r="BN29" s="71">
        <f t="shared" si="7"/>
        <v>6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5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6</v>
      </c>
      <c r="T30" s="73">
        <f t="shared" si="8"/>
        <v>4</v>
      </c>
      <c r="U30" s="73">
        <f t="shared" si="8"/>
        <v>5</v>
      </c>
      <c r="V30" s="73">
        <f t="shared" si="8"/>
        <v>6</v>
      </c>
      <c r="W30" s="73">
        <f t="shared" si="8"/>
        <v>2</v>
      </c>
      <c r="X30" s="73">
        <f t="shared" si="8"/>
        <v>1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5</v>
      </c>
      <c r="AC30" s="73">
        <f t="shared" si="8"/>
        <v>3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5</v>
      </c>
      <c r="AK30" s="73">
        <f t="shared" si="8"/>
        <v>6</v>
      </c>
      <c r="AL30" s="73">
        <f t="shared" si="8"/>
        <v>4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10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4</v>
      </c>
      <c r="BB30" s="73">
        <f t="shared" si="8"/>
        <v>4</v>
      </c>
      <c r="BC30" s="73">
        <f t="shared" si="8"/>
        <v>3</v>
      </c>
      <c r="BD30" s="73">
        <f t="shared" si="8"/>
        <v>5</v>
      </c>
      <c r="BE30" s="73">
        <f t="shared" si="8"/>
        <v>2</v>
      </c>
      <c r="BF30" s="73">
        <f t="shared" si="8"/>
        <v>4</v>
      </c>
      <c r="BG30" s="73">
        <f t="shared" si="8"/>
        <v>9</v>
      </c>
      <c r="BH30" s="73">
        <f t="shared" si="8"/>
        <v>4</v>
      </c>
      <c r="BI30" s="73">
        <f t="shared" si="8"/>
        <v>2</v>
      </c>
      <c r="BJ30" s="73">
        <f t="shared" si="8"/>
        <v>3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7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1</v>
      </c>
      <c r="P31" s="71">
        <f t="shared" ca="1" si="9"/>
        <v>1</v>
      </c>
      <c r="Q31" s="71">
        <f t="shared" ca="1" si="9"/>
        <v>2</v>
      </c>
      <c r="R31" s="71">
        <f t="shared" ca="1" si="9"/>
        <v>3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5</v>
      </c>
      <c r="Y31" s="71">
        <f t="shared" ca="1" si="9"/>
        <v>6</v>
      </c>
      <c r="Z31" s="71">
        <f t="shared" ca="1" si="9"/>
        <v>7</v>
      </c>
      <c r="AA31" s="71">
        <f t="shared" ca="1" si="9"/>
        <v>4</v>
      </c>
      <c r="AB31" s="71">
        <f t="shared" ca="1" si="9"/>
        <v>1</v>
      </c>
      <c r="AC31" s="71">
        <f t="shared" ca="1" si="9"/>
        <v>1</v>
      </c>
      <c r="AD31" s="71">
        <f t="shared" ca="1" si="9"/>
        <v>4</v>
      </c>
      <c r="AE31" s="71">
        <f t="shared" ca="1" si="9"/>
        <v>4</v>
      </c>
      <c r="AF31" s="71">
        <f t="shared" ca="1" si="9"/>
        <v>3</v>
      </c>
      <c r="AG31" s="71">
        <f t="shared" ca="1" si="9"/>
        <v>5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2</v>
      </c>
      <c r="AL31" s="71">
        <f t="shared" ca="1" si="9"/>
        <v>6</v>
      </c>
      <c r="AM31" s="71">
        <f t="shared" ca="1" si="9"/>
        <v>1</v>
      </c>
      <c r="AN31" s="71">
        <f t="shared" ca="1" si="9"/>
        <v>4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3</v>
      </c>
      <c r="AZ31" s="71">
        <f t="shared" ca="1" si="9"/>
        <v>6</v>
      </c>
      <c r="BA31" s="71">
        <f t="shared" ca="1" si="9"/>
        <v>2</v>
      </c>
      <c r="BB31" s="71">
        <f t="shared" ca="1" si="9"/>
        <v>4</v>
      </c>
      <c r="BC31" s="71">
        <f t="shared" ca="1" si="9"/>
        <v>7</v>
      </c>
      <c r="BD31" s="71">
        <f t="shared" ca="1" si="9"/>
        <v>5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2</v>
      </c>
      <c r="BI31" s="71">
        <f t="shared" ca="1" si="9"/>
        <v>4</v>
      </c>
      <c r="BJ31" s="71">
        <f t="shared" ca="1" si="9"/>
        <v>3</v>
      </c>
      <c r="BK31" s="71">
        <f t="shared" ca="1" si="9"/>
        <v>4</v>
      </c>
      <c r="BL31" s="71">
        <f t="shared" ca="1" si="9"/>
        <v>5</v>
      </c>
      <c r="BM31" s="71">
        <f t="shared" ca="1" si="9"/>
        <v>2</v>
      </c>
      <c r="BN31" s="71">
        <f t="shared" ca="1" si="9"/>
        <v>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79903976</v>
      </c>
      <c r="L36" s="32">
        <f t="shared" si="12"/>
        <v>59903920</v>
      </c>
      <c r="M36" s="32">
        <f t="shared" si="12"/>
        <v>59903920</v>
      </c>
      <c r="N36" s="32">
        <f t="shared" si="12"/>
        <v>79895936</v>
      </c>
      <c r="O36" s="32">
        <f t="shared" si="12"/>
        <v>79888000</v>
      </c>
      <c r="P36" s="32">
        <f t="shared" si="12"/>
        <v>119883948</v>
      </c>
      <c r="Q36" s="32">
        <f t="shared" si="12"/>
        <v>139891932</v>
      </c>
      <c r="R36" s="32">
        <f t="shared" si="12"/>
        <v>119863936</v>
      </c>
      <c r="S36" s="32">
        <f t="shared" si="12"/>
        <v>141923876</v>
      </c>
      <c r="T36" s="32">
        <f t="shared" si="12"/>
        <v>99891932</v>
      </c>
      <c r="U36" s="32">
        <f t="shared" si="12"/>
        <v>161975960</v>
      </c>
      <c r="V36" s="32">
        <f t="shared" si="12"/>
        <v>101927992</v>
      </c>
      <c r="W36" s="32">
        <f t="shared" si="12"/>
        <v>99835876</v>
      </c>
      <c r="X36" s="32">
        <f t="shared" si="12"/>
        <v>119855984</v>
      </c>
      <c r="Y36" s="32">
        <f t="shared" si="12"/>
        <v>99891988</v>
      </c>
      <c r="Z36" s="32">
        <f t="shared" si="12"/>
        <v>121935920</v>
      </c>
      <c r="AA36" s="32">
        <f t="shared" si="12"/>
        <v>59907996</v>
      </c>
      <c r="AB36" s="32">
        <f t="shared" si="12"/>
        <v>119839880</v>
      </c>
      <c r="AC36" s="32">
        <f t="shared" si="12"/>
        <v>119851924</v>
      </c>
      <c r="AD36" s="32">
        <f t="shared" si="12"/>
        <v>99915836</v>
      </c>
      <c r="AE36" s="32">
        <f t="shared" si="12"/>
        <v>99851892</v>
      </c>
      <c r="AF36" s="32">
        <f t="shared" si="12"/>
        <v>79903920</v>
      </c>
      <c r="AG36" s="32">
        <f t="shared" si="12"/>
        <v>159911928</v>
      </c>
      <c r="AH36" s="32">
        <f t="shared" si="12"/>
        <v>101935976</v>
      </c>
      <c r="AI36" s="32">
        <f t="shared" si="12"/>
        <v>159891908</v>
      </c>
      <c r="AJ36" s="32">
        <f t="shared" si="12"/>
        <v>79907980</v>
      </c>
      <c r="AK36" s="32">
        <f t="shared" si="12"/>
        <v>59843708</v>
      </c>
      <c r="AL36" s="32">
        <f t="shared" si="12"/>
        <v>19867700</v>
      </c>
      <c r="AM36" s="32">
        <f t="shared" si="12"/>
        <v>79891964</v>
      </c>
      <c r="AN36" s="32">
        <f t="shared" si="12"/>
        <v>141919960</v>
      </c>
      <c r="AO36" s="32">
        <f t="shared" si="12"/>
        <v>161935952</v>
      </c>
      <c r="AP36" s="32">
        <f t="shared" si="12"/>
        <v>0</v>
      </c>
      <c r="AQ36" s="32">
        <f t="shared" si="12"/>
        <v>141919840</v>
      </c>
      <c r="AR36" s="32">
        <f t="shared" si="12"/>
        <v>59719896</v>
      </c>
      <c r="AS36" s="32">
        <f t="shared" si="12"/>
        <v>99891908</v>
      </c>
      <c r="AT36" s="32">
        <f t="shared" si="12"/>
        <v>181923908</v>
      </c>
      <c r="AU36" s="32">
        <f t="shared" si="12"/>
        <v>181927816</v>
      </c>
      <c r="AV36" s="32">
        <f t="shared" si="12"/>
        <v>81963892</v>
      </c>
      <c r="AW36" s="32">
        <f t="shared" si="12"/>
        <v>119895936</v>
      </c>
      <c r="AX36" s="32">
        <f t="shared" si="12"/>
        <v>139891964</v>
      </c>
      <c r="AY36" s="32">
        <f t="shared" si="12"/>
        <v>79863960</v>
      </c>
      <c r="AZ36" s="32">
        <f t="shared" si="12"/>
        <v>139819828</v>
      </c>
      <c r="BA36" s="32">
        <f t="shared" si="12"/>
        <v>59891956</v>
      </c>
      <c r="BB36" s="32">
        <f t="shared" si="12"/>
        <v>141995956</v>
      </c>
      <c r="BC36" s="32">
        <f t="shared" si="12"/>
        <v>81895904</v>
      </c>
      <c r="BD36" s="32">
        <f t="shared" si="12"/>
        <v>121919960</v>
      </c>
      <c r="BE36" s="32">
        <f t="shared" si="12"/>
        <v>99891964</v>
      </c>
      <c r="BF36" s="32">
        <f t="shared" si="12"/>
        <v>99831928</v>
      </c>
      <c r="BG36" s="32">
        <f t="shared" si="12"/>
        <v>121927736</v>
      </c>
      <c r="BH36" s="32">
        <f t="shared" si="12"/>
        <v>139879896</v>
      </c>
      <c r="BI36" s="32">
        <f t="shared" si="12"/>
        <v>99827924</v>
      </c>
      <c r="BJ36" s="32">
        <f t="shared" si="12"/>
        <v>79903864</v>
      </c>
      <c r="BK36" s="32">
        <f t="shared" si="12"/>
        <v>139879944</v>
      </c>
      <c r="BL36" s="32">
        <f t="shared" si="12"/>
        <v>39811844</v>
      </c>
      <c r="BM36" s="32">
        <f t="shared" si="12"/>
        <v>99895944</v>
      </c>
      <c r="BN36" s="32">
        <f t="shared" si="12"/>
        <v>81919960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244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310</v>
      </c>
      <c r="M3" s="69"/>
      <c r="N3" s="69"/>
      <c r="O3" s="69" t="s">
        <v>310</v>
      </c>
      <c r="P3" s="69"/>
      <c r="Q3" s="69"/>
      <c r="R3" s="69"/>
      <c r="S3" s="69"/>
      <c r="T3" s="69" t="s">
        <v>310</v>
      </c>
      <c r="U3" s="69"/>
      <c r="V3" s="69" t="s">
        <v>310</v>
      </c>
      <c r="W3" s="69" t="s">
        <v>310</v>
      </c>
      <c r="X3" s="69" t="s">
        <v>310</v>
      </c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/>
      <c r="AG3" s="69"/>
      <c r="AH3" s="69" t="s">
        <v>310</v>
      </c>
      <c r="AI3" s="69"/>
      <c r="AJ3" s="69"/>
      <c r="AK3" s="69" t="s">
        <v>310</v>
      </c>
      <c r="AL3" s="69"/>
      <c r="AM3" s="69"/>
      <c r="AN3" s="69"/>
      <c r="AO3" s="69" t="s">
        <v>310</v>
      </c>
      <c r="AP3" s="69"/>
      <c r="AQ3" s="69"/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/>
      <c r="AY3" s="69"/>
      <c r="AZ3" s="69" t="s">
        <v>310</v>
      </c>
      <c r="BA3" s="69" t="s">
        <v>310</v>
      </c>
      <c r="BB3" s="69"/>
      <c r="BC3" s="69" t="s">
        <v>310</v>
      </c>
      <c r="BD3" s="69"/>
      <c r="BE3" s="96" t="s">
        <v>310</v>
      </c>
      <c r="BF3" s="69"/>
      <c r="BG3" s="69"/>
      <c r="BH3" s="69"/>
      <c r="BI3" s="69"/>
      <c r="BJ3" s="69"/>
      <c r="BK3" s="69" t="s">
        <v>310</v>
      </c>
      <c r="BL3" s="69"/>
      <c r="BM3" s="69"/>
      <c r="BN3" s="69" t="s">
        <v>310</v>
      </c>
    </row>
    <row r="4" spans="1:66" x14ac:dyDescent="0.2">
      <c r="A4" s="61" t="s">
        <v>3</v>
      </c>
      <c r="B4" s="68" t="s">
        <v>142</v>
      </c>
      <c r="C4" s="66">
        <v>3.5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310</v>
      </c>
      <c r="L4" s="70"/>
      <c r="M4" s="70" t="s">
        <v>310</v>
      </c>
      <c r="N4" s="70" t="s">
        <v>310</v>
      </c>
      <c r="O4" s="70"/>
      <c r="P4" s="70" t="s">
        <v>310</v>
      </c>
      <c r="Q4" s="70" t="s">
        <v>310</v>
      </c>
      <c r="R4" s="70"/>
      <c r="S4" s="70" t="s">
        <v>310</v>
      </c>
      <c r="T4" s="70"/>
      <c r="U4" s="97" t="s">
        <v>310</v>
      </c>
      <c r="V4" s="70"/>
      <c r="W4" s="70"/>
      <c r="X4" s="70"/>
      <c r="Y4" s="70" t="s">
        <v>310</v>
      </c>
      <c r="Z4" s="70"/>
      <c r="AA4" s="70" t="s">
        <v>310</v>
      </c>
      <c r="AB4" s="70" t="s">
        <v>310</v>
      </c>
      <c r="AC4" s="70"/>
      <c r="AD4" s="70" t="s">
        <v>310</v>
      </c>
      <c r="AE4" s="70"/>
      <c r="AF4" s="70" t="s">
        <v>310</v>
      </c>
      <c r="AG4" s="70" t="s">
        <v>310</v>
      </c>
      <c r="AH4" s="70"/>
      <c r="AI4" s="70" t="s">
        <v>310</v>
      </c>
      <c r="AJ4" s="70" t="s">
        <v>310</v>
      </c>
      <c r="AK4" s="70"/>
      <c r="AL4" s="70" t="s">
        <v>310</v>
      </c>
      <c r="AM4" s="70" t="s">
        <v>310</v>
      </c>
      <c r="AN4" s="70" t="s">
        <v>310</v>
      </c>
      <c r="AO4" s="70"/>
      <c r="AP4" s="70"/>
      <c r="AQ4" s="70" t="s">
        <v>310</v>
      </c>
      <c r="AR4" s="70"/>
      <c r="AS4" s="70"/>
      <c r="AT4" s="70" t="s">
        <v>310</v>
      </c>
      <c r="AU4" s="70"/>
      <c r="AV4" s="70"/>
      <c r="AW4" s="70"/>
      <c r="AX4" s="70" t="s">
        <v>310</v>
      </c>
      <c r="AY4" s="70" t="s">
        <v>310</v>
      </c>
      <c r="AZ4" s="70"/>
      <c r="BA4" s="70"/>
      <c r="BB4" s="70" t="s">
        <v>310</v>
      </c>
      <c r="BC4" s="70"/>
      <c r="BD4" s="70" t="s">
        <v>310</v>
      </c>
      <c r="BE4" s="70"/>
      <c r="BF4" s="70" t="s">
        <v>310</v>
      </c>
      <c r="BG4" s="70" t="s">
        <v>310</v>
      </c>
      <c r="BH4" s="70" t="s">
        <v>310</v>
      </c>
      <c r="BI4" s="70" t="s">
        <v>310</v>
      </c>
      <c r="BJ4" s="70" t="s">
        <v>310</v>
      </c>
      <c r="BK4" s="70"/>
      <c r="BL4" s="70" t="s">
        <v>310</v>
      </c>
      <c r="BM4" s="70" t="s">
        <v>310</v>
      </c>
      <c r="BN4" s="70"/>
    </row>
    <row r="5" spans="1:66" x14ac:dyDescent="0.2">
      <c r="A5" s="59">
        <v>2</v>
      </c>
      <c r="B5" s="67" t="s">
        <v>147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26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310</v>
      </c>
      <c r="M5" s="69" t="s">
        <v>310</v>
      </c>
      <c r="N5" s="69" t="s">
        <v>310</v>
      </c>
      <c r="O5" s="69" t="s">
        <v>310</v>
      </c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 t="s">
        <v>310</v>
      </c>
      <c r="V5" s="69"/>
      <c r="W5" s="69" t="s">
        <v>310</v>
      </c>
      <c r="X5" s="69"/>
      <c r="Y5" s="69"/>
      <c r="Z5" s="69" t="s">
        <v>310</v>
      </c>
      <c r="AA5" s="69" t="s">
        <v>310</v>
      </c>
      <c r="AB5" s="69"/>
      <c r="AC5" s="69"/>
      <c r="AD5" s="69" t="s">
        <v>310</v>
      </c>
      <c r="AE5" s="69"/>
      <c r="AF5" s="69"/>
      <c r="AG5" s="69"/>
      <c r="AH5" s="69"/>
      <c r="AI5" s="69"/>
      <c r="AJ5" s="69" t="s">
        <v>310</v>
      </c>
      <c r="AK5" s="69"/>
      <c r="AL5" s="69" t="s">
        <v>310</v>
      </c>
      <c r="AM5" s="69" t="s">
        <v>310</v>
      </c>
      <c r="AN5" s="69"/>
      <c r="AO5" s="69"/>
      <c r="AP5" s="69"/>
      <c r="AQ5" s="69"/>
      <c r="AR5" s="96"/>
      <c r="AS5" s="69" t="s">
        <v>310</v>
      </c>
      <c r="AT5" s="69" t="s">
        <v>310</v>
      </c>
      <c r="AU5" s="69" t="s">
        <v>310</v>
      </c>
      <c r="AV5" s="69"/>
      <c r="AW5" s="69" t="s">
        <v>310</v>
      </c>
      <c r="AX5" s="69"/>
      <c r="AY5" s="69" t="s">
        <v>310</v>
      </c>
      <c r="AZ5" s="69"/>
      <c r="BA5" s="69" t="s">
        <v>310</v>
      </c>
      <c r="BB5" s="69"/>
      <c r="BC5" s="69" t="s">
        <v>310</v>
      </c>
      <c r="BD5" s="69"/>
      <c r="BE5" s="69" t="s">
        <v>310</v>
      </c>
      <c r="BF5" s="69"/>
      <c r="BG5" s="69" t="s">
        <v>310</v>
      </c>
      <c r="BH5" s="69"/>
      <c r="BI5" s="69"/>
      <c r="BJ5" s="69"/>
      <c r="BK5" s="69" t="s">
        <v>310</v>
      </c>
      <c r="BL5" s="69"/>
      <c r="BM5" s="69"/>
      <c r="BN5" s="69"/>
    </row>
    <row r="6" spans="1:66" x14ac:dyDescent="0.2">
      <c r="A6" s="61" t="s">
        <v>3</v>
      </c>
      <c r="B6" s="68" t="s">
        <v>234</v>
      </c>
      <c r="C6" s="66">
        <v>4.5</v>
      </c>
      <c r="D6" s="64">
        <v>6</v>
      </c>
      <c r="E6" s="64">
        <f>IF(ISBLANK($D6),"0",IF(($D6-$D5)&gt;($C6-$C5),1,0))</f>
        <v>0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/>
      <c r="M6" s="70"/>
      <c r="N6" s="70"/>
      <c r="O6" s="70"/>
      <c r="P6" s="70"/>
      <c r="Q6" s="70"/>
      <c r="R6" s="70"/>
      <c r="S6" s="70"/>
      <c r="T6" s="70"/>
      <c r="U6" s="70"/>
      <c r="V6" s="70" t="s">
        <v>310</v>
      </c>
      <c r="W6" s="70"/>
      <c r="X6" s="70" t="s">
        <v>310</v>
      </c>
      <c r="Y6" s="70" t="s">
        <v>310</v>
      </c>
      <c r="Z6" s="70"/>
      <c r="AA6" s="70"/>
      <c r="AB6" s="70" t="s">
        <v>310</v>
      </c>
      <c r="AC6" s="70" t="s">
        <v>310</v>
      </c>
      <c r="AD6" s="70"/>
      <c r="AE6" s="70" t="s">
        <v>310</v>
      </c>
      <c r="AF6" s="70" t="s">
        <v>310</v>
      </c>
      <c r="AG6" s="70" t="s">
        <v>310</v>
      </c>
      <c r="AH6" s="70" t="s">
        <v>310</v>
      </c>
      <c r="AI6" s="70" t="s">
        <v>310</v>
      </c>
      <c r="AJ6" s="70"/>
      <c r="AK6" s="70" t="s">
        <v>310</v>
      </c>
      <c r="AL6" s="70"/>
      <c r="AM6" s="70"/>
      <c r="AN6" s="70" t="s">
        <v>310</v>
      </c>
      <c r="AO6" s="70" t="s">
        <v>310</v>
      </c>
      <c r="AP6" s="70"/>
      <c r="AQ6" s="70" t="s">
        <v>310</v>
      </c>
      <c r="AR6" s="70" t="s">
        <v>310</v>
      </c>
      <c r="AS6" s="70"/>
      <c r="AT6" s="70"/>
      <c r="AU6" s="70"/>
      <c r="AV6" s="70" t="s">
        <v>310</v>
      </c>
      <c r="AW6" s="70"/>
      <c r="AX6" s="70" t="s">
        <v>310</v>
      </c>
      <c r="AY6" s="70"/>
      <c r="AZ6" s="70" t="s">
        <v>310</v>
      </c>
      <c r="BA6" s="70"/>
      <c r="BB6" s="70" t="s">
        <v>310</v>
      </c>
      <c r="BC6" s="70"/>
      <c r="BD6" s="70" t="s">
        <v>310</v>
      </c>
      <c r="BE6" s="97"/>
      <c r="BF6" s="70" t="s">
        <v>310</v>
      </c>
      <c r="BG6" s="70"/>
      <c r="BH6" s="70" t="s">
        <v>310</v>
      </c>
      <c r="BI6" s="70" t="s">
        <v>310</v>
      </c>
      <c r="BJ6" s="70" t="s">
        <v>310</v>
      </c>
      <c r="BK6" s="70"/>
      <c r="BL6" s="70" t="s">
        <v>310</v>
      </c>
      <c r="BM6" s="70" t="s">
        <v>310</v>
      </c>
      <c r="BN6" s="70" t="s">
        <v>310</v>
      </c>
    </row>
    <row r="7" spans="1:66" x14ac:dyDescent="0.2">
      <c r="A7" s="59">
        <v>3</v>
      </c>
      <c r="B7" s="67" t="s">
        <v>157</v>
      </c>
      <c r="C7" s="65">
        <v>3.5</v>
      </c>
      <c r="D7" s="64">
        <v>27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/>
      <c r="R7" s="96"/>
      <c r="S7" s="96"/>
      <c r="T7" s="96" t="s">
        <v>310</v>
      </c>
      <c r="U7" s="96" t="s">
        <v>310</v>
      </c>
      <c r="V7" s="69" t="s">
        <v>310</v>
      </c>
      <c r="W7" s="69"/>
      <c r="X7" s="69"/>
      <c r="Y7" s="69" t="s">
        <v>310</v>
      </c>
      <c r="Z7" s="69" t="s">
        <v>310</v>
      </c>
      <c r="AA7" s="69"/>
      <c r="AB7" s="69" t="s">
        <v>310</v>
      </c>
      <c r="AC7" s="69"/>
      <c r="AD7" s="69" t="s">
        <v>310</v>
      </c>
      <c r="AE7" s="69"/>
      <c r="AF7" s="69"/>
      <c r="AG7" s="69"/>
      <c r="AH7" s="69"/>
      <c r="AI7" s="69"/>
      <c r="AJ7" s="69" t="s">
        <v>310</v>
      </c>
      <c r="AK7" s="69" t="s">
        <v>310</v>
      </c>
      <c r="AL7" s="69"/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 t="s">
        <v>310</v>
      </c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/>
      <c r="AY7" s="69" t="s">
        <v>310</v>
      </c>
      <c r="AZ7" s="69"/>
      <c r="BA7" s="69"/>
      <c r="BB7" s="69"/>
      <c r="BC7" s="69" t="s">
        <v>310</v>
      </c>
      <c r="BD7" s="69" t="s">
        <v>310</v>
      </c>
      <c r="BE7" s="96" t="s">
        <v>310</v>
      </c>
      <c r="BF7" s="69" t="s">
        <v>310</v>
      </c>
      <c r="BG7" s="69" t="s">
        <v>310</v>
      </c>
      <c r="BH7" s="69" t="s">
        <v>310</v>
      </c>
      <c r="BI7" s="69" t="s">
        <v>310</v>
      </c>
      <c r="BJ7" s="69"/>
      <c r="BK7" s="69"/>
      <c r="BL7" s="69" t="s">
        <v>310</v>
      </c>
      <c r="BM7" s="69"/>
      <c r="BN7" s="69"/>
    </row>
    <row r="8" spans="1:66" x14ac:dyDescent="0.2">
      <c r="A8" s="61" t="s">
        <v>3</v>
      </c>
      <c r="B8" s="68" t="s">
        <v>169</v>
      </c>
      <c r="C8" s="66"/>
      <c r="D8" s="64">
        <v>13</v>
      </c>
      <c r="E8" s="64">
        <f>IF(ISBLANK($D8),"0",IF(($D8-$D7)&gt;($C8-$C7),1,0))</f>
        <v>0</v>
      </c>
      <c r="F8" s="64">
        <f t="shared" ca="1" si="1"/>
        <v>21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/>
      <c r="N8" s="70"/>
      <c r="O8" s="70"/>
      <c r="P8" s="70"/>
      <c r="Q8" s="70" t="s">
        <v>310</v>
      </c>
      <c r="R8" s="97"/>
      <c r="S8" s="97" t="s">
        <v>310</v>
      </c>
      <c r="T8" s="97"/>
      <c r="U8" s="97"/>
      <c r="V8" s="70"/>
      <c r="W8" s="70" t="s">
        <v>310</v>
      </c>
      <c r="X8" s="70" t="s">
        <v>310</v>
      </c>
      <c r="Y8" s="70"/>
      <c r="Z8" s="70"/>
      <c r="AA8" s="70" t="s">
        <v>310</v>
      </c>
      <c r="AB8" s="70"/>
      <c r="AC8" s="70" t="s">
        <v>310</v>
      </c>
      <c r="AD8" s="70"/>
      <c r="AE8" s="70" t="s">
        <v>310</v>
      </c>
      <c r="AF8" s="70" t="s">
        <v>310</v>
      </c>
      <c r="AG8" s="70" t="s">
        <v>310</v>
      </c>
      <c r="AH8" s="70" t="s">
        <v>310</v>
      </c>
      <c r="AI8" s="70" t="s">
        <v>310</v>
      </c>
      <c r="AJ8" s="70"/>
      <c r="AK8" s="70"/>
      <c r="AL8" s="70" t="s">
        <v>310</v>
      </c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 t="s">
        <v>310</v>
      </c>
      <c r="AY8" s="70"/>
      <c r="AZ8" s="70" t="s">
        <v>310</v>
      </c>
      <c r="BA8" s="70" t="s">
        <v>310</v>
      </c>
      <c r="BB8" s="70" t="s">
        <v>310</v>
      </c>
      <c r="BC8" s="70"/>
      <c r="BD8" s="70"/>
      <c r="BE8" s="70"/>
      <c r="BF8" s="70"/>
      <c r="BG8" s="70"/>
      <c r="BH8" s="70"/>
      <c r="BI8" s="70"/>
      <c r="BJ8" s="70" t="s">
        <v>310</v>
      </c>
      <c r="BK8" s="70" t="s">
        <v>310</v>
      </c>
      <c r="BL8" s="70"/>
      <c r="BM8" s="70" t="s">
        <v>310</v>
      </c>
      <c r="BN8" s="70" t="s">
        <v>310</v>
      </c>
    </row>
    <row r="9" spans="1:66" x14ac:dyDescent="0.2">
      <c r="A9" s="59">
        <v>4</v>
      </c>
      <c r="B9" s="108" t="s">
        <v>161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310</v>
      </c>
      <c r="L9" s="69" t="s">
        <v>310</v>
      </c>
      <c r="M9" s="69"/>
      <c r="N9" s="69"/>
      <c r="O9" s="69"/>
      <c r="P9" s="69"/>
      <c r="Q9" s="69"/>
      <c r="R9" s="96"/>
      <c r="S9" s="96" t="s">
        <v>310</v>
      </c>
      <c r="T9" s="96" t="s">
        <v>310</v>
      </c>
      <c r="U9" s="96"/>
      <c r="V9" s="69" t="s">
        <v>310</v>
      </c>
      <c r="W9" s="69"/>
      <c r="X9" s="69" t="s">
        <v>310</v>
      </c>
      <c r="Y9" s="69" t="s">
        <v>310</v>
      </c>
      <c r="Z9" s="69"/>
      <c r="AA9" s="69" t="s">
        <v>310</v>
      </c>
      <c r="AB9" s="69"/>
      <c r="AC9" s="69" t="s">
        <v>310</v>
      </c>
      <c r="AD9" s="69"/>
      <c r="AE9" s="69"/>
      <c r="AF9" s="69"/>
      <c r="AG9" s="69"/>
      <c r="AH9" s="69"/>
      <c r="AI9" s="69" t="s">
        <v>310</v>
      </c>
      <c r="AJ9" s="69"/>
      <c r="AK9" s="69"/>
      <c r="AL9" s="69"/>
      <c r="AM9" s="69"/>
      <c r="AN9" s="69" t="s">
        <v>310</v>
      </c>
      <c r="AO9" s="69"/>
      <c r="AP9" s="69"/>
      <c r="AQ9" s="69"/>
      <c r="AR9" s="96" t="s">
        <v>310</v>
      </c>
      <c r="AS9" s="69" t="s">
        <v>310</v>
      </c>
      <c r="AT9" s="69"/>
      <c r="AU9" s="69" t="s">
        <v>310</v>
      </c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 t="s">
        <v>310</v>
      </c>
      <c r="BG9" s="69"/>
      <c r="BH9" s="69"/>
      <c r="BI9" s="69"/>
      <c r="BJ9" s="69" t="s">
        <v>310</v>
      </c>
      <c r="BK9" s="69" t="s">
        <v>310</v>
      </c>
      <c r="BL9" s="69" t="s">
        <v>310</v>
      </c>
      <c r="BM9" s="69"/>
      <c r="BN9" s="69" t="s">
        <v>310</v>
      </c>
    </row>
    <row r="10" spans="1:66" x14ac:dyDescent="0.2">
      <c r="A10" s="61" t="s">
        <v>3</v>
      </c>
      <c r="B10" s="68" t="s">
        <v>236</v>
      </c>
      <c r="C10" s="66">
        <v>12.5</v>
      </c>
      <c r="D10" s="64">
        <v>28</v>
      </c>
      <c r="E10" s="64">
        <f>IF(ISBLANK($D10),"0",IF(($D10-$D9)&gt;($C10-$C9),1,0))</f>
        <v>0</v>
      </c>
      <c r="F10" s="64">
        <f t="shared" ca="1" si="1"/>
        <v>35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/>
      <c r="S10" s="97"/>
      <c r="T10" s="97"/>
      <c r="U10" s="70" t="s">
        <v>310</v>
      </c>
      <c r="V10" s="70"/>
      <c r="W10" s="70" t="s">
        <v>310</v>
      </c>
      <c r="X10" s="70"/>
      <c r="Y10" s="70"/>
      <c r="Z10" s="70" t="s">
        <v>310</v>
      </c>
      <c r="AA10" s="70"/>
      <c r="AB10" s="70" t="s">
        <v>310</v>
      </c>
      <c r="AC10" s="70"/>
      <c r="AD10" s="70" t="s">
        <v>310</v>
      </c>
      <c r="AE10" s="70" t="s">
        <v>310</v>
      </c>
      <c r="AF10" s="70" t="s">
        <v>310</v>
      </c>
      <c r="AG10" s="70" t="s">
        <v>310</v>
      </c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 t="s">
        <v>310</v>
      </c>
      <c r="AN10" s="70"/>
      <c r="AO10" s="70" t="s">
        <v>310</v>
      </c>
      <c r="AP10" s="70"/>
      <c r="AQ10" s="70" t="s">
        <v>310</v>
      </c>
      <c r="AR10" s="70"/>
      <c r="AS10" s="70"/>
      <c r="AT10" s="70" t="s">
        <v>310</v>
      </c>
      <c r="AU10" s="70"/>
      <c r="AV10" s="70" t="s">
        <v>310</v>
      </c>
      <c r="AW10" s="70" t="s">
        <v>310</v>
      </c>
      <c r="AX10" s="70" t="s">
        <v>310</v>
      </c>
      <c r="AY10" s="70" t="s">
        <v>310</v>
      </c>
      <c r="AZ10" s="70" t="s">
        <v>310</v>
      </c>
      <c r="BA10" s="70" t="s">
        <v>310</v>
      </c>
      <c r="BB10" s="70" t="s">
        <v>310</v>
      </c>
      <c r="BC10" s="70" t="s">
        <v>310</v>
      </c>
      <c r="BD10" s="70" t="s">
        <v>310</v>
      </c>
      <c r="BE10" s="70" t="s">
        <v>310</v>
      </c>
      <c r="BF10" s="70"/>
      <c r="BG10" s="70" t="s">
        <v>310</v>
      </c>
      <c r="BH10" s="70" t="s">
        <v>310</v>
      </c>
      <c r="BI10" s="70" t="s">
        <v>310</v>
      </c>
      <c r="BJ10" s="70"/>
      <c r="BK10" s="70"/>
      <c r="BL10" s="70"/>
      <c r="BM10" s="70" t="s">
        <v>310</v>
      </c>
      <c r="BN10" s="70"/>
    </row>
    <row r="11" spans="1:66" x14ac:dyDescent="0.2">
      <c r="A11" s="59">
        <v>5</v>
      </c>
      <c r="B11" s="67" t="s">
        <v>167</v>
      </c>
      <c r="C11" s="65"/>
      <c r="D11" s="64">
        <v>34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/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 t="s">
        <v>310</v>
      </c>
      <c r="Y11" s="69"/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/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 t="s">
        <v>310</v>
      </c>
      <c r="AP11" s="69"/>
      <c r="AQ11" s="69" t="s">
        <v>310</v>
      </c>
      <c r="AR11" s="69"/>
      <c r="AS11" s="69" t="s">
        <v>310</v>
      </c>
      <c r="AT11" s="69" t="s">
        <v>310</v>
      </c>
      <c r="AU11" s="69"/>
      <c r="AV11" s="69" t="s">
        <v>310</v>
      </c>
      <c r="AW11" s="69"/>
      <c r="AX11" s="69"/>
      <c r="AY11" s="69" t="s">
        <v>310</v>
      </c>
      <c r="AZ11" s="69" t="s">
        <v>310</v>
      </c>
      <c r="BA11" s="69" t="s">
        <v>310</v>
      </c>
      <c r="BB11" s="69"/>
      <c r="BC11" s="69" t="s">
        <v>310</v>
      </c>
      <c r="BD11" s="69" t="s">
        <v>310</v>
      </c>
      <c r="BE11" s="96" t="s">
        <v>310</v>
      </c>
      <c r="BF11" s="69"/>
      <c r="BG11" s="69"/>
      <c r="BH11" s="69" t="s">
        <v>310</v>
      </c>
      <c r="BI11" s="69"/>
      <c r="BJ11" s="69" t="s">
        <v>310</v>
      </c>
      <c r="BK11" s="69" t="s">
        <v>310</v>
      </c>
      <c r="BL11" s="69"/>
      <c r="BM11" s="69"/>
      <c r="BN11" s="69"/>
    </row>
    <row r="12" spans="1:66" x14ac:dyDescent="0.2">
      <c r="A12" s="61" t="s">
        <v>3</v>
      </c>
      <c r="B12" s="68" t="s">
        <v>140</v>
      </c>
      <c r="C12" s="66">
        <v>1.5</v>
      </c>
      <c r="D12" s="64">
        <v>31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310</v>
      </c>
      <c r="P12" s="70" t="s">
        <v>310</v>
      </c>
      <c r="Q12" s="70"/>
      <c r="R12" s="97"/>
      <c r="S12" s="97"/>
      <c r="T12" s="97"/>
      <c r="U12" s="97"/>
      <c r="V12" s="70"/>
      <c r="W12" s="70"/>
      <c r="X12" s="70"/>
      <c r="Y12" s="70" t="s">
        <v>310</v>
      </c>
      <c r="Z12" s="70"/>
      <c r="AA12" s="70" t="s">
        <v>310</v>
      </c>
      <c r="AB12" s="70"/>
      <c r="AC12" s="70"/>
      <c r="AD12" s="70" t="s">
        <v>310</v>
      </c>
      <c r="AE12" s="70"/>
      <c r="AF12" s="70"/>
      <c r="AG12" s="70"/>
      <c r="AH12" s="70"/>
      <c r="AI12" s="70" t="s">
        <v>310</v>
      </c>
      <c r="AJ12" s="70"/>
      <c r="AK12" s="70"/>
      <c r="AL12" s="70"/>
      <c r="AM12" s="70"/>
      <c r="AN12" s="70"/>
      <c r="AO12" s="70"/>
      <c r="AP12" s="70"/>
      <c r="AQ12" s="70"/>
      <c r="AR12" s="97" t="s">
        <v>310</v>
      </c>
      <c r="AS12" s="70"/>
      <c r="AT12" s="70"/>
      <c r="AU12" s="70" t="s">
        <v>310</v>
      </c>
      <c r="AV12" s="70"/>
      <c r="AW12" s="70" t="s">
        <v>310</v>
      </c>
      <c r="AX12" s="70" t="s">
        <v>310</v>
      </c>
      <c r="AY12" s="70"/>
      <c r="AZ12" s="70"/>
      <c r="BA12" s="70"/>
      <c r="BB12" s="70" t="s">
        <v>310</v>
      </c>
      <c r="BC12" s="70"/>
      <c r="BD12" s="70"/>
      <c r="BE12" s="70"/>
      <c r="BF12" s="70" t="s">
        <v>310</v>
      </c>
      <c r="BG12" s="70" t="s">
        <v>310</v>
      </c>
      <c r="BH12" s="70"/>
      <c r="BI12" s="70" t="s">
        <v>310</v>
      </c>
      <c r="BJ12" s="70"/>
      <c r="BK12" s="70"/>
      <c r="BL12" s="70" t="s">
        <v>310</v>
      </c>
      <c r="BM12" s="70" t="s">
        <v>310</v>
      </c>
      <c r="BN12" s="70" t="s">
        <v>310</v>
      </c>
    </row>
    <row r="13" spans="1:66" x14ac:dyDescent="0.2">
      <c r="A13" s="59">
        <v>6</v>
      </c>
      <c r="B13" s="67" t="s">
        <v>247</v>
      </c>
      <c r="C13" s="65">
        <v>1.5</v>
      </c>
      <c r="D13" s="64">
        <v>58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/>
      <c r="Q13" s="69" t="s">
        <v>310</v>
      </c>
      <c r="R13" s="96"/>
      <c r="S13" s="96"/>
      <c r="T13" s="96"/>
      <c r="U13" s="69" t="s">
        <v>310</v>
      </c>
      <c r="V13" s="69"/>
      <c r="W13" s="69" t="s">
        <v>310</v>
      </c>
      <c r="X13" s="69" t="s">
        <v>310</v>
      </c>
      <c r="Y13" s="69"/>
      <c r="Z13" s="69" t="s">
        <v>310</v>
      </c>
      <c r="AA13" s="69"/>
      <c r="AB13" s="69" t="s">
        <v>310</v>
      </c>
      <c r="AC13" s="69" t="s">
        <v>310</v>
      </c>
      <c r="AD13" s="69"/>
      <c r="AE13" s="69"/>
      <c r="AF13" s="69" t="s">
        <v>310</v>
      </c>
      <c r="AG13" s="69"/>
      <c r="AH13" s="69"/>
      <c r="AI13" s="69"/>
      <c r="AJ13" s="69" t="s">
        <v>310</v>
      </c>
      <c r="AK13" s="69"/>
      <c r="AL13" s="69" t="s">
        <v>310</v>
      </c>
      <c r="AM13" s="69" t="s">
        <v>310</v>
      </c>
      <c r="AN13" s="69" t="s">
        <v>310</v>
      </c>
      <c r="AO13" s="69" t="s">
        <v>310</v>
      </c>
      <c r="AP13" s="69"/>
      <c r="AQ13" s="69"/>
      <c r="AR13" s="96" t="s">
        <v>310</v>
      </c>
      <c r="AS13" s="69" t="s">
        <v>310</v>
      </c>
      <c r="AT13" s="69" t="s">
        <v>310</v>
      </c>
      <c r="AU13" s="69" t="s">
        <v>310</v>
      </c>
      <c r="AV13" s="69"/>
      <c r="AW13" s="69"/>
      <c r="AX13" s="69" t="s">
        <v>310</v>
      </c>
      <c r="AY13" s="69"/>
      <c r="AZ13" s="69"/>
      <c r="BA13" s="69"/>
      <c r="BB13" s="69" t="s">
        <v>310</v>
      </c>
      <c r="BC13" s="69" t="s">
        <v>310</v>
      </c>
      <c r="BD13" s="69"/>
      <c r="BE13" s="96" t="s">
        <v>310</v>
      </c>
      <c r="BF13" s="69"/>
      <c r="BG13" s="69"/>
      <c r="BH13" s="69"/>
      <c r="BI13" s="69"/>
      <c r="BJ13" s="69" t="s">
        <v>310</v>
      </c>
      <c r="BK13" s="69"/>
      <c r="BL13" s="69" t="s">
        <v>310</v>
      </c>
      <c r="BM13" s="69"/>
      <c r="BN13" s="69"/>
    </row>
    <row r="14" spans="1:66" x14ac:dyDescent="0.2">
      <c r="A14" s="61" t="s">
        <v>3</v>
      </c>
      <c r="B14" s="68" t="s">
        <v>138</v>
      </c>
      <c r="C14" s="66"/>
      <c r="D14" s="64">
        <v>42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310</v>
      </c>
      <c r="N14" s="70"/>
      <c r="O14" s="70" t="s">
        <v>310</v>
      </c>
      <c r="P14" s="70" t="s">
        <v>310</v>
      </c>
      <c r="Q14" s="70"/>
      <c r="R14" s="97"/>
      <c r="S14" s="97" t="s">
        <v>310</v>
      </c>
      <c r="T14" s="97" t="s">
        <v>310</v>
      </c>
      <c r="U14" s="97"/>
      <c r="V14" s="70" t="s">
        <v>310</v>
      </c>
      <c r="W14" s="70"/>
      <c r="X14" s="70"/>
      <c r="Y14" s="70" t="s">
        <v>310</v>
      </c>
      <c r="Z14" s="70"/>
      <c r="AA14" s="70" t="s">
        <v>310</v>
      </c>
      <c r="AB14" s="70"/>
      <c r="AC14" s="70"/>
      <c r="AD14" s="70" t="s">
        <v>310</v>
      </c>
      <c r="AE14" s="70" t="s">
        <v>310</v>
      </c>
      <c r="AF14" s="70"/>
      <c r="AG14" s="70" t="s">
        <v>310</v>
      </c>
      <c r="AH14" s="70" t="s">
        <v>310</v>
      </c>
      <c r="AI14" s="70" t="s">
        <v>310</v>
      </c>
      <c r="AJ14" s="70"/>
      <c r="AK14" s="70" t="s">
        <v>310</v>
      </c>
      <c r="AL14" s="70"/>
      <c r="AM14" s="70"/>
      <c r="AN14" s="70"/>
      <c r="AO14" s="70"/>
      <c r="AP14" s="70"/>
      <c r="AQ14" s="70" t="s">
        <v>310</v>
      </c>
      <c r="AR14" s="70"/>
      <c r="AS14" s="70"/>
      <c r="AT14" s="70"/>
      <c r="AU14" s="70"/>
      <c r="AV14" s="70" t="s">
        <v>310</v>
      </c>
      <c r="AW14" s="70" t="s">
        <v>310</v>
      </c>
      <c r="AX14" s="70"/>
      <c r="AY14" s="70" t="s">
        <v>310</v>
      </c>
      <c r="AZ14" s="70" t="s">
        <v>310</v>
      </c>
      <c r="BA14" s="70" t="s">
        <v>310</v>
      </c>
      <c r="BB14" s="70"/>
      <c r="BC14" s="70"/>
      <c r="BD14" s="70" t="s">
        <v>310</v>
      </c>
      <c r="BE14" s="70"/>
      <c r="BF14" s="70" t="s">
        <v>310</v>
      </c>
      <c r="BG14" s="70" t="s">
        <v>310</v>
      </c>
      <c r="BH14" s="70" t="s">
        <v>310</v>
      </c>
      <c r="BI14" s="70" t="s">
        <v>310</v>
      </c>
      <c r="BJ14" s="70"/>
      <c r="BK14" s="70" t="s">
        <v>310</v>
      </c>
      <c r="BL14" s="70"/>
      <c r="BM14" s="70" t="s">
        <v>310</v>
      </c>
      <c r="BN14" s="70" t="s">
        <v>310</v>
      </c>
    </row>
    <row r="15" spans="1:66" x14ac:dyDescent="0.2">
      <c r="A15" s="59">
        <v>7</v>
      </c>
      <c r="B15" s="67" t="s">
        <v>184</v>
      </c>
      <c r="C15" s="65"/>
      <c r="D15" s="64">
        <v>37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310</v>
      </c>
      <c r="M15" s="69" t="s">
        <v>310</v>
      </c>
      <c r="N15" s="69"/>
      <c r="O15" s="69"/>
      <c r="P15" s="69"/>
      <c r="Q15" s="69"/>
      <c r="R15" s="96"/>
      <c r="S15" s="96" t="s">
        <v>310</v>
      </c>
      <c r="T15" s="96" t="s">
        <v>310</v>
      </c>
      <c r="U15" s="96" t="s">
        <v>310</v>
      </c>
      <c r="V15" s="69"/>
      <c r="W15" s="69"/>
      <c r="X15" s="69" t="s">
        <v>310</v>
      </c>
      <c r="Y15" s="69"/>
      <c r="Z15" s="69"/>
      <c r="AA15" s="69"/>
      <c r="AB15" s="69"/>
      <c r="AC15" s="69" t="s">
        <v>310</v>
      </c>
      <c r="AD15" s="69"/>
      <c r="AE15" s="69" t="s">
        <v>310</v>
      </c>
      <c r="AF15" s="69" t="s">
        <v>310</v>
      </c>
      <c r="AG15" s="69"/>
      <c r="AH15" s="69" t="s">
        <v>310</v>
      </c>
      <c r="AI15" s="69" t="s">
        <v>310</v>
      </c>
      <c r="AJ15" s="69"/>
      <c r="AK15" s="69" t="s">
        <v>310</v>
      </c>
      <c r="AL15" s="69" t="s">
        <v>310</v>
      </c>
      <c r="AM15" s="69"/>
      <c r="AN15" s="69" t="s">
        <v>310</v>
      </c>
      <c r="AO15" s="69"/>
      <c r="AP15" s="69"/>
      <c r="AQ15" s="69"/>
      <c r="AR15" s="69" t="s">
        <v>310</v>
      </c>
      <c r="AS15" s="69" t="s">
        <v>310</v>
      </c>
      <c r="AT15" s="69"/>
      <c r="AU15" s="69" t="s">
        <v>310</v>
      </c>
      <c r="AV15" s="69"/>
      <c r="AW15" s="69"/>
      <c r="AX15" s="69" t="s">
        <v>310</v>
      </c>
      <c r="AY15" s="69"/>
      <c r="AZ15" s="69"/>
      <c r="BA15" s="69" t="s">
        <v>310</v>
      </c>
      <c r="BB15" s="69"/>
      <c r="BC15" s="69"/>
      <c r="BD15" s="69"/>
      <c r="BE15" s="96"/>
      <c r="BF15" s="69" t="s">
        <v>310</v>
      </c>
      <c r="BG15" s="69"/>
      <c r="BH15" s="69"/>
      <c r="BI15" s="69"/>
      <c r="BJ15" s="69"/>
      <c r="BK15" s="69" t="s">
        <v>310</v>
      </c>
      <c r="BL15" s="69"/>
      <c r="BM15" s="69" t="s">
        <v>310</v>
      </c>
      <c r="BN15" s="69" t="s">
        <v>310</v>
      </c>
    </row>
    <row r="16" spans="1:66" x14ac:dyDescent="0.2">
      <c r="A16" s="61" t="s">
        <v>3</v>
      </c>
      <c r="B16" s="68" t="s">
        <v>153</v>
      </c>
      <c r="C16" s="66">
        <v>14.5</v>
      </c>
      <c r="D16" s="64">
        <v>63</v>
      </c>
      <c r="E16" s="64">
        <f>IF(ISBLANK($D16),"0",IF(($D16-$D15)&gt;($C16-$C15),1,0))</f>
        <v>1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/>
      <c r="N16" s="70" t="s">
        <v>310</v>
      </c>
      <c r="O16" s="70" t="s">
        <v>310</v>
      </c>
      <c r="P16" s="70" t="s">
        <v>310</v>
      </c>
      <c r="Q16" s="70" t="s">
        <v>310</v>
      </c>
      <c r="R16" s="70"/>
      <c r="S16" s="70"/>
      <c r="T16" s="70"/>
      <c r="U16" s="70"/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 t="s">
        <v>310</v>
      </c>
      <c r="AB16" s="70" t="s">
        <v>310</v>
      </c>
      <c r="AC16" s="70"/>
      <c r="AD16" s="70" t="s">
        <v>310</v>
      </c>
      <c r="AE16" s="70"/>
      <c r="AF16" s="70"/>
      <c r="AG16" s="70" t="s">
        <v>310</v>
      </c>
      <c r="AH16" s="70"/>
      <c r="AI16" s="70"/>
      <c r="AJ16" s="70" t="s">
        <v>310</v>
      </c>
      <c r="AK16" s="70"/>
      <c r="AL16" s="70"/>
      <c r="AM16" s="70" t="s">
        <v>310</v>
      </c>
      <c r="AN16" s="70"/>
      <c r="AO16" s="70" t="s">
        <v>310</v>
      </c>
      <c r="AP16" s="70"/>
      <c r="AQ16" s="70" t="s">
        <v>310</v>
      </c>
      <c r="AR16" s="97"/>
      <c r="AS16" s="70"/>
      <c r="AT16" s="70" t="s">
        <v>310</v>
      </c>
      <c r="AU16" s="70"/>
      <c r="AV16" s="70" t="s">
        <v>310</v>
      </c>
      <c r="AW16" s="70" t="s">
        <v>310</v>
      </c>
      <c r="AX16" s="70"/>
      <c r="AY16" s="70" t="s">
        <v>310</v>
      </c>
      <c r="AZ16" s="70" t="s">
        <v>310</v>
      </c>
      <c r="BA16" s="70"/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 t="s">
        <v>310</v>
      </c>
      <c r="BH16" s="70" t="s">
        <v>310</v>
      </c>
      <c r="BI16" s="70" t="s">
        <v>310</v>
      </c>
      <c r="BJ16" s="70" t="s">
        <v>310</v>
      </c>
      <c r="BK16" s="70"/>
      <c r="BL16" s="70" t="s">
        <v>310</v>
      </c>
      <c r="BM16" s="70"/>
      <c r="BN16" s="70"/>
    </row>
    <row r="17" spans="1:66" x14ac:dyDescent="0.2">
      <c r="A17" s="59">
        <v>8</v>
      </c>
      <c r="B17" s="67" t="s">
        <v>156</v>
      </c>
      <c r="C17" s="65">
        <v>21.5</v>
      </c>
      <c r="D17" s="64">
        <v>35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/>
      <c r="O17" s="69"/>
      <c r="P17" s="69" t="s">
        <v>310</v>
      </c>
      <c r="Q17" s="69"/>
      <c r="R17" s="69"/>
      <c r="S17" s="69"/>
      <c r="T17" s="69"/>
      <c r="U17" s="69"/>
      <c r="V17" s="69" t="s">
        <v>310</v>
      </c>
      <c r="W17" s="69" t="s">
        <v>310</v>
      </c>
      <c r="X17" s="69" t="s">
        <v>310</v>
      </c>
      <c r="Y17" s="69"/>
      <c r="Z17" s="69"/>
      <c r="AA17" s="69"/>
      <c r="AB17" s="69" t="s">
        <v>310</v>
      </c>
      <c r="AC17" s="69" t="s">
        <v>310</v>
      </c>
      <c r="AD17" s="69" t="s">
        <v>310</v>
      </c>
      <c r="AE17" s="69" t="s">
        <v>310</v>
      </c>
      <c r="AF17" s="69"/>
      <c r="AG17" s="69"/>
      <c r="AH17" s="69" t="s">
        <v>310</v>
      </c>
      <c r="AI17" s="69"/>
      <c r="AJ17" s="69" t="s">
        <v>310</v>
      </c>
      <c r="AK17" s="69"/>
      <c r="AL17" s="69" t="s">
        <v>310</v>
      </c>
      <c r="AM17" s="69"/>
      <c r="AN17" s="69" t="s">
        <v>310</v>
      </c>
      <c r="AO17" s="69"/>
      <c r="AP17" s="69"/>
      <c r="AQ17" s="69" t="s">
        <v>310</v>
      </c>
      <c r="AR17" s="96"/>
      <c r="AS17" s="69" t="s">
        <v>310</v>
      </c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/>
      <c r="BB17" s="69"/>
      <c r="BC17" s="69" t="s">
        <v>310</v>
      </c>
      <c r="BD17" s="69"/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/>
      <c r="BL17" s="69"/>
      <c r="BM17" s="69" t="s">
        <v>310</v>
      </c>
      <c r="BN17" s="69"/>
    </row>
    <row r="18" spans="1:66" x14ac:dyDescent="0.2">
      <c r="A18" s="61" t="s">
        <v>3</v>
      </c>
      <c r="B18" s="68" t="s">
        <v>143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310</v>
      </c>
      <c r="O18" s="70" t="s">
        <v>310</v>
      </c>
      <c r="P18" s="70"/>
      <c r="Q18" s="70" t="s">
        <v>310</v>
      </c>
      <c r="R18" s="70"/>
      <c r="S18" s="70" t="s">
        <v>310</v>
      </c>
      <c r="T18" s="70" t="s">
        <v>310</v>
      </c>
      <c r="U18" s="97" t="s">
        <v>310</v>
      </c>
      <c r="V18" s="70"/>
      <c r="W18" s="70"/>
      <c r="X18" s="70"/>
      <c r="Y18" s="70" t="s">
        <v>310</v>
      </c>
      <c r="Z18" s="70" t="s">
        <v>310</v>
      </c>
      <c r="AA18" s="70" t="s">
        <v>310</v>
      </c>
      <c r="AB18" s="70"/>
      <c r="AC18" s="70"/>
      <c r="AD18" s="70"/>
      <c r="AE18" s="70"/>
      <c r="AF18" s="70" t="s">
        <v>310</v>
      </c>
      <c r="AG18" s="70" t="s">
        <v>310</v>
      </c>
      <c r="AH18" s="70"/>
      <c r="AI18" s="70" t="s">
        <v>310</v>
      </c>
      <c r="AJ18" s="70"/>
      <c r="AK18" s="70" t="s">
        <v>310</v>
      </c>
      <c r="AL18" s="70"/>
      <c r="AM18" s="70" t="s">
        <v>310</v>
      </c>
      <c r="AN18" s="70"/>
      <c r="AO18" s="70" t="s">
        <v>310</v>
      </c>
      <c r="AP18" s="70"/>
      <c r="AQ18" s="70"/>
      <c r="AR18" s="70" t="s">
        <v>310</v>
      </c>
      <c r="AS18" s="70"/>
      <c r="AT18" s="70"/>
      <c r="AU18" s="70"/>
      <c r="AV18" s="70"/>
      <c r="AW18" s="70"/>
      <c r="AX18" s="70"/>
      <c r="AY18" s="70"/>
      <c r="AZ18" s="70" t="s">
        <v>310</v>
      </c>
      <c r="BA18" s="70" t="s">
        <v>310</v>
      </c>
      <c r="BB18" s="70" t="s">
        <v>310</v>
      </c>
      <c r="BC18" s="70"/>
      <c r="BD18" s="70" t="s">
        <v>310</v>
      </c>
      <c r="BE18" s="97"/>
      <c r="BF18" s="70"/>
      <c r="BG18" s="70"/>
      <c r="BH18" s="70"/>
      <c r="BI18" s="70"/>
      <c r="BJ18" s="70"/>
      <c r="BK18" s="70" t="s">
        <v>310</v>
      </c>
      <c r="BL18" s="70" t="s">
        <v>310</v>
      </c>
      <c r="BM18" s="70"/>
      <c r="BN18" s="70" t="s">
        <v>310</v>
      </c>
    </row>
    <row r="19" spans="1:66" x14ac:dyDescent="0.2">
      <c r="A19" s="59">
        <v>9</v>
      </c>
      <c r="B19" s="67" t="s">
        <v>241</v>
      </c>
      <c r="C19" s="65">
        <v>10.5</v>
      </c>
      <c r="D19" s="64">
        <v>36</v>
      </c>
      <c r="E19" s="64">
        <f>IF(ISBLANK($D19),"0",IF(($D20-$D19)&lt;($C20-$C19),1,0))</f>
        <v>1</v>
      </c>
      <c r="F19" s="64">
        <f t="shared" ca="1" si="1"/>
        <v>36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/>
      <c r="M19" s="69"/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/>
      <c r="U19" s="96" t="s">
        <v>310</v>
      </c>
      <c r="V19" s="69" t="s">
        <v>310</v>
      </c>
      <c r="W19" s="69" t="s">
        <v>310</v>
      </c>
      <c r="X19" s="69" t="s">
        <v>310</v>
      </c>
      <c r="Y19" s="69" t="s">
        <v>310</v>
      </c>
      <c r="Z19" s="69" t="s">
        <v>310</v>
      </c>
      <c r="AA19" s="69" t="s">
        <v>310</v>
      </c>
      <c r="AB19" s="69" t="s">
        <v>310</v>
      </c>
      <c r="AC19" s="69"/>
      <c r="AD19" s="69" t="s">
        <v>310</v>
      </c>
      <c r="AE19" s="69" t="s">
        <v>310</v>
      </c>
      <c r="AF19" s="69" t="s">
        <v>310</v>
      </c>
      <c r="AG19" s="69" t="s">
        <v>310</v>
      </c>
      <c r="AH19" s="69" t="s">
        <v>310</v>
      </c>
      <c r="AI19" s="69"/>
      <c r="AJ19" s="69" t="s">
        <v>310</v>
      </c>
      <c r="AK19" s="69" t="s">
        <v>310</v>
      </c>
      <c r="AL19" s="69" t="s">
        <v>310</v>
      </c>
      <c r="AM19" s="69" t="s">
        <v>310</v>
      </c>
      <c r="AN19" s="69" t="s">
        <v>310</v>
      </c>
      <c r="AO19" s="69"/>
      <c r="AP19" s="69"/>
      <c r="AQ19" s="69" t="s">
        <v>310</v>
      </c>
      <c r="AR19" s="69"/>
      <c r="AS19" s="69"/>
      <c r="AT19" s="69" t="s">
        <v>310</v>
      </c>
      <c r="AU19" s="69"/>
      <c r="AV19" s="69"/>
      <c r="AW19" s="69"/>
      <c r="AX19" s="69" t="s">
        <v>310</v>
      </c>
      <c r="AY19" s="69" t="s">
        <v>310</v>
      </c>
      <c r="AZ19" s="69"/>
      <c r="BA19" s="69"/>
      <c r="BB19" s="69" t="s">
        <v>310</v>
      </c>
      <c r="BC19" s="69"/>
      <c r="BD19" s="69" t="s">
        <v>310</v>
      </c>
      <c r="BE19" s="69" t="s">
        <v>310</v>
      </c>
      <c r="BF19" s="69" t="s">
        <v>310</v>
      </c>
      <c r="BG19" s="69"/>
      <c r="BH19" s="69" t="s">
        <v>310</v>
      </c>
      <c r="BI19" s="69" t="s">
        <v>310</v>
      </c>
      <c r="BJ19" s="69" t="s">
        <v>310</v>
      </c>
      <c r="BK19" s="69"/>
      <c r="BL19" s="69" t="s">
        <v>310</v>
      </c>
      <c r="BM19" s="69"/>
      <c r="BN19" s="69" t="s">
        <v>310</v>
      </c>
    </row>
    <row r="20" spans="1:66" x14ac:dyDescent="0.2">
      <c r="A20" s="61" t="s">
        <v>3</v>
      </c>
      <c r="B20" s="68" t="s">
        <v>243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18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310</v>
      </c>
      <c r="M20" s="70" t="s">
        <v>310</v>
      </c>
      <c r="N20" s="70" t="s">
        <v>310</v>
      </c>
      <c r="O20" s="70"/>
      <c r="P20" s="70"/>
      <c r="Q20" s="70"/>
      <c r="R20" s="70"/>
      <c r="S20" s="70"/>
      <c r="T20" s="70" t="s">
        <v>310</v>
      </c>
      <c r="U20" s="70"/>
      <c r="V20" s="70"/>
      <c r="W20" s="70"/>
      <c r="X20" s="70"/>
      <c r="Y20" s="70"/>
      <c r="Z20" s="70"/>
      <c r="AA20" s="70"/>
      <c r="AB20" s="70"/>
      <c r="AC20" s="70" t="s">
        <v>310</v>
      </c>
      <c r="AD20" s="70"/>
      <c r="AE20" s="70"/>
      <c r="AF20" s="70"/>
      <c r="AG20" s="70"/>
      <c r="AH20" s="70"/>
      <c r="AI20" s="70" t="s">
        <v>310</v>
      </c>
      <c r="AJ20" s="70"/>
      <c r="AK20" s="70"/>
      <c r="AL20" s="70"/>
      <c r="AM20" s="70"/>
      <c r="AN20" s="70"/>
      <c r="AO20" s="70" t="s">
        <v>310</v>
      </c>
      <c r="AP20" s="70"/>
      <c r="AQ20" s="70"/>
      <c r="AR20" s="97" t="s">
        <v>310</v>
      </c>
      <c r="AS20" s="70" t="s">
        <v>310</v>
      </c>
      <c r="AT20" s="70"/>
      <c r="AU20" s="70" t="s">
        <v>310</v>
      </c>
      <c r="AV20" s="70" t="s">
        <v>310</v>
      </c>
      <c r="AW20" s="70" t="s">
        <v>310</v>
      </c>
      <c r="AX20" s="70"/>
      <c r="AY20" s="70"/>
      <c r="AZ20" s="70" t="s">
        <v>310</v>
      </c>
      <c r="BA20" s="70" t="s">
        <v>310</v>
      </c>
      <c r="BB20" s="70"/>
      <c r="BC20" s="70" t="s">
        <v>310</v>
      </c>
      <c r="BD20" s="70"/>
      <c r="BE20" s="97"/>
      <c r="BF20" s="70"/>
      <c r="BG20" s="70" t="s">
        <v>310</v>
      </c>
      <c r="BH20" s="70"/>
      <c r="BI20" s="70"/>
      <c r="BJ20" s="70"/>
      <c r="BK20" s="70" t="s">
        <v>310</v>
      </c>
      <c r="BL20" s="70"/>
      <c r="BM20" s="70" t="s">
        <v>310</v>
      </c>
      <c r="BN20" s="70"/>
    </row>
    <row r="21" spans="1:66" x14ac:dyDescent="0.2">
      <c r="A21" s="59">
        <v>10</v>
      </c>
      <c r="B21" s="67" t="s">
        <v>158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310</v>
      </c>
      <c r="N21" s="69" t="s">
        <v>310</v>
      </c>
      <c r="O21" s="69" t="s">
        <v>310</v>
      </c>
      <c r="P21" s="69" t="s">
        <v>310</v>
      </c>
      <c r="Q21" s="69" t="s">
        <v>310</v>
      </c>
      <c r="R21" s="69"/>
      <c r="S21" s="69" t="s">
        <v>310</v>
      </c>
      <c r="T21" s="69" t="s">
        <v>310</v>
      </c>
      <c r="U21" s="96"/>
      <c r="V21" s="69" t="s">
        <v>310</v>
      </c>
      <c r="W21" s="69"/>
      <c r="X21" s="69" t="s">
        <v>310</v>
      </c>
      <c r="Y21" s="69" t="s">
        <v>310</v>
      </c>
      <c r="Z21" s="69" t="s">
        <v>310</v>
      </c>
      <c r="AA21" s="69" t="s">
        <v>310</v>
      </c>
      <c r="AB21" s="69" t="s">
        <v>310</v>
      </c>
      <c r="AC21" s="69" t="s">
        <v>310</v>
      </c>
      <c r="AD21" s="69"/>
      <c r="AE21" s="69" t="s">
        <v>310</v>
      </c>
      <c r="AF21" s="69"/>
      <c r="AG21" s="69"/>
      <c r="AH21" s="69" t="s">
        <v>310</v>
      </c>
      <c r="AI21" s="69"/>
      <c r="AJ21" s="69" t="s">
        <v>310</v>
      </c>
      <c r="AK21" s="69"/>
      <c r="AL21" s="69" t="s">
        <v>310</v>
      </c>
      <c r="AM21" s="69" t="s">
        <v>310</v>
      </c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/>
      <c r="AT21" s="69"/>
      <c r="AU21" s="69" t="s">
        <v>310</v>
      </c>
      <c r="AV21" s="69" t="s">
        <v>310</v>
      </c>
      <c r="AW21" s="69" t="s">
        <v>310</v>
      </c>
      <c r="AX21" s="69" t="s">
        <v>310</v>
      </c>
      <c r="AY21" s="69" t="s">
        <v>310</v>
      </c>
      <c r="AZ21" s="69" t="s">
        <v>310</v>
      </c>
      <c r="BA21" s="69" t="s">
        <v>310</v>
      </c>
      <c r="BB21" s="69" t="s">
        <v>310</v>
      </c>
      <c r="BC21" s="69" t="s">
        <v>310</v>
      </c>
      <c r="BD21" s="69" t="s">
        <v>310</v>
      </c>
      <c r="BE21" s="96" t="s">
        <v>310</v>
      </c>
      <c r="BF21" s="69"/>
      <c r="BG21" s="69"/>
      <c r="BH21" s="69"/>
      <c r="BI21" s="69" t="s">
        <v>310</v>
      </c>
      <c r="BJ21" s="69" t="s">
        <v>310</v>
      </c>
      <c r="BK21" s="69"/>
      <c r="BL21" s="69" t="s">
        <v>310</v>
      </c>
      <c r="BM21" s="69" t="s">
        <v>310</v>
      </c>
      <c r="BN21" s="69" t="s">
        <v>310</v>
      </c>
    </row>
    <row r="22" spans="1:66" x14ac:dyDescent="0.2">
      <c r="A22" s="61" t="s">
        <v>3</v>
      </c>
      <c r="B22" s="68" t="s">
        <v>195</v>
      </c>
      <c r="C22" s="66"/>
      <c r="D22" s="64">
        <v>28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 t="s">
        <v>310</v>
      </c>
      <c r="M22" s="70"/>
      <c r="N22" s="70"/>
      <c r="O22" s="70"/>
      <c r="P22" s="70"/>
      <c r="Q22" s="70"/>
      <c r="R22" s="70"/>
      <c r="S22" s="70"/>
      <c r="T22" s="70"/>
      <c r="U22" s="70" t="s">
        <v>310</v>
      </c>
      <c r="V22" s="70"/>
      <c r="W22" s="70" t="s">
        <v>310</v>
      </c>
      <c r="X22" s="70"/>
      <c r="Y22" s="70"/>
      <c r="Z22" s="70"/>
      <c r="AA22" s="70"/>
      <c r="AB22" s="70"/>
      <c r="AC22" s="70"/>
      <c r="AD22" s="70" t="s">
        <v>310</v>
      </c>
      <c r="AE22" s="70"/>
      <c r="AF22" s="70" t="s">
        <v>310</v>
      </c>
      <c r="AG22" s="70" t="s">
        <v>310</v>
      </c>
      <c r="AH22" s="70"/>
      <c r="AI22" s="70" t="s">
        <v>310</v>
      </c>
      <c r="AJ22" s="70"/>
      <c r="AK22" s="70" t="s">
        <v>310</v>
      </c>
      <c r="AL22" s="70"/>
      <c r="AM22" s="70"/>
      <c r="AN22" s="70"/>
      <c r="AO22" s="70"/>
      <c r="AP22" s="70"/>
      <c r="AQ22" s="70"/>
      <c r="AR22" s="70"/>
      <c r="AS22" s="70" t="s">
        <v>310</v>
      </c>
      <c r="AT22" s="70" t="s">
        <v>310</v>
      </c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 t="s">
        <v>310</v>
      </c>
      <c r="BG22" s="70" t="s">
        <v>310</v>
      </c>
      <c r="BH22" s="70" t="s">
        <v>310</v>
      </c>
      <c r="BI22" s="70"/>
      <c r="BJ22" s="70"/>
      <c r="BK22" s="70" t="s">
        <v>310</v>
      </c>
      <c r="BL22" s="70"/>
      <c r="BM22" s="70"/>
      <c r="BN22" s="70"/>
    </row>
    <row r="23" spans="1:66" x14ac:dyDescent="0.2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24</v>
      </c>
      <c r="L23" s="78">
        <v>28</v>
      </c>
      <c r="M23" s="78">
        <v>35</v>
      </c>
      <c r="N23" s="80">
        <v>24</v>
      </c>
      <c r="O23" s="78">
        <v>24</v>
      </c>
      <c r="P23" s="78">
        <v>27</v>
      </c>
      <c r="Q23" s="78">
        <v>24</v>
      </c>
      <c r="R23" s="78"/>
      <c r="S23" s="78">
        <v>28</v>
      </c>
      <c r="T23" s="78">
        <v>48</v>
      </c>
      <c r="U23" s="78">
        <v>21</v>
      </c>
      <c r="V23" s="78">
        <v>19</v>
      </c>
      <c r="W23" s="78">
        <v>35</v>
      </c>
      <c r="X23" s="78">
        <v>20</v>
      </c>
      <c r="Y23" s="78">
        <v>35</v>
      </c>
      <c r="Z23" s="78">
        <v>35</v>
      </c>
      <c r="AA23" s="78">
        <v>28</v>
      </c>
      <c r="AB23" s="78">
        <v>24</v>
      </c>
      <c r="AC23" s="78">
        <v>45</v>
      </c>
      <c r="AD23" s="78">
        <v>23</v>
      </c>
      <c r="AE23" s="78">
        <v>45</v>
      </c>
      <c r="AF23" s="78">
        <v>27</v>
      </c>
      <c r="AG23" s="78">
        <v>30</v>
      </c>
      <c r="AH23" s="78">
        <v>42</v>
      </c>
      <c r="AI23" s="78">
        <v>21</v>
      </c>
      <c r="AJ23" s="78">
        <v>21</v>
      </c>
      <c r="AK23" s="78">
        <v>13</v>
      </c>
      <c r="AL23" s="78">
        <v>24</v>
      </c>
      <c r="AM23" s="78">
        <v>48</v>
      </c>
      <c r="AN23" s="78">
        <v>28</v>
      </c>
      <c r="AO23" s="78">
        <v>34</v>
      </c>
      <c r="AP23" s="78"/>
      <c r="AQ23" s="78">
        <v>36</v>
      </c>
      <c r="AR23" s="78">
        <v>28</v>
      </c>
      <c r="AS23" s="78">
        <v>24</v>
      </c>
      <c r="AT23" s="78">
        <v>38</v>
      </c>
      <c r="AU23" s="78">
        <v>48</v>
      </c>
      <c r="AV23" s="78">
        <v>42</v>
      </c>
      <c r="AW23" s="78">
        <v>49</v>
      </c>
      <c r="AX23" s="78">
        <v>48</v>
      </c>
      <c r="AY23" s="78">
        <v>48</v>
      </c>
      <c r="AZ23" s="78">
        <v>31</v>
      </c>
      <c r="BA23" s="78">
        <v>21</v>
      </c>
      <c r="BB23" s="78">
        <v>24</v>
      </c>
      <c r="BC23" s="78">
        <v>21</v>
      </c>
      <c r="BD23" s="78">
        <v>35</v>
      </c>
      <c r="BE23" s="78">
        <v>44</v>
      </c>
      <c r="BF23" s="78">
        <v>45</v>
      </c>
      <c r="BG23" s="78">
        <v>22</v>
      </c>
      <c r="BH23" s="78">
        <v>31</v>
      </c>
      <c r="BI23" s="78">
        <v>42</v>
      </c>
      <c r="BJ23" s="78">
        <v>35</v>
      </c>
      <c r="BK23" s="78">
        <v>31</v>
      </c>
      <c r="BL23" s="78">
        <v>45</v>
      </c>
      <c r="BM23" s="78">
        <v>24</v>
      </c>
      <c r="BN23" s="78">
        <v>28</v>
      </c>
    </row>
    <row r="24" spans="1:66" x14ac:dyDescent="0.2">
      <c r="A24" s="61"/>
      <c r="B24" s="68" t="str">
        <f>B22&amp; " - score"</f>
        <v>West 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/>
      <c r="K24" s="79">
        <v>28</v>
      </c>
      <c r="L24" s="79">
        <v>34</v>
      </c>
      <c r="M24" s="79">
        <v>28</v>
      </c>
      <c r="N24" s="79">
        <v>20</v>
      </c>
      <c r="O24" s="79">
        <v>20</v>
      </c>
      <c r="P24" s="79">
        <v>19</v>
      </c>
      <c r="Q24" s="79">
        <v>17</v>
      </c>
      <c r="R24" s="79"/>
      <c r="S24" s="79">
        <v>20</v>
      </c>
      <c r="T24" s="79">
        <v>37</v>
      </c>
      <c r="U24" s="79">
        <v>24</v>
      </c>
      <c r="V24" s="79">
        <v>14</v>
      </c>
      <c r="W24" s="79">
        <v>42</v>
      </c>
      <c r="X24" s="79">
        <v>14</v>
      </c>
      <c r="Y24" s="79">
        <v>28</v>
      </c>
      <c r="Z24" s="79">
        <v>28</v>
      </c>
      <c r="AA24" s="79">
        <v>21</v>
      </c>
      <c r="AB24" s="79">
        <v>10</v>
      </c>
      <c r="AC24" s="79">
        <v>40</v>
      </c>
      <c r="AD24" s="79">
        <v>31</v>
      </c>
      <c r="AE24" s="79">
        <v>27</v>
      </c>
      <c r="AF24" s="79">
        <v>31</v>
      </c>
      <c r="AG24" s="79">
        <v>32</v>
      </c>
      <c r="AH24" s="79">
        <v>31</v>
      </c>
      <c r="AI24" s="79">
        <v>24</v>
      </c>
      <c r="AJ24" s="79">
        <v>17</v>
      </c>
      <c r="AK24" s="79">
        <v>11</v>
      </c>
      <c r="AL24" s="79">
        <v>18</v>
      </c>
      <c r="AM24" s="79">
        <v>42</v>
      </c>
      <c r="AN24" s="79">
        <v>21</v>
      </c>
      <c r="AO24" s="79">
        <v>20</v>
      </c>
      <c r="AP24" s="79"/>
      <c r="AQ24" s="79">
        <v>27</v>
      </c>
      <c r="AR24" s="79">
        <v>12</v>
      </c>
      <c r="AS24" s="79">
        <v>35</v>
      </c>
      <c r="AT24" s="79">
        <v>45</v>
      </c>
      <c r="AU24" s="79">
        <v>30</v>
      </c>
      <c r="AV24" s="79">
        <v>28</v>
      </c>
      <c r="AW24" s="79">
        <v>24</v>
      </c>
      <c r="AX24" s="79">
        <v>42</v>
      </c>
      <c r="AY24" s="79">
        <v>41</v>
      </c>
      <c r="AZ24" s="79">
        <v>4</v>
      </c>
      <c r="BA24" s="79">
        <v>17</v>
      </c>
      <c r="BB24" s="79">
        <v>17</v>
      </c>
      <c r="BC24" s="79">
        <v>17</v>
      </c>
      <c r="BD24" s="79">
        <v>24</v>
      </c>
      <c r="BE24" s="79">
        <v>40</v>
      </c>
      <c r="BF24" s="79">
        <v>42</v>
      </c>
      <c r="BG24" s="79">
        <v>73</v>
      </c>
      <c r="BH24" s="79">
        <v>35</v>
      </c>
      <c r="BI24" s="79">
        <v>21</v>
      </c>
      <c r="BJ24" s="79">
        <v>31</v>
      </c>
      <c r="BK24" s="79">
        <v>28</v>
      </c>
      <c r="BL24" s="79">
        <v>35</v>
      </c>
      <c r="BM24" s="79">
        <v>20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7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7</v>
      </c>
      <c r="Q25" s="36">
        <f t="shared" si="3"/>
        <v>7</v>
      </c>
      <c r="R25" s="36">
        <f t="shared" si="3"/>
        <v>0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7</v>
      </c>
      <c r="W25" s="36">
        <f t="shared" si="3"/>
        <v>6</v>
      </c>
      <c r="X25" s="36">
        <f t="shared" si="3"/>
        <v>6</v>
      </c>
      <c r="Y25" s="36">
        <f t="shared" si="3"/>
        <v>6</v>
      </c>
      <c r="Z25" s="36">
        <f t="shared" si="3"/>
        <v>7</v>
      </c>
      <c r="AA25" s="36">
        <f t="shared" si="3"/>
        <v>6</v>
      </c>
      <c r="AB25" s="36">
        <f t="shared" si="3"/>
        <v>8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2</v>
      </c>
      <c r="AJ25" s="36">
        <f t="shared" si="3"/>
        <v>9</v>
      </c>
      <c r="AK25" s="36">
        <f t="shared" si="3"/>
        <v>3</v>
      </c>
      <c r="AL25" s="36">
        <f t="shared" si="3"/>
        <v>7</v>
      </c>
      <c r="AM25" s="36">
        <f t="shared" si="3"/>
        <v>8</v>
      </c>
      <c r="AN25" s="36">
        <f t="shared" si="3"/>
        <v>8</v>
      </c>
      <c r="AO25" s="36">
        <f t="shared" si="3"/>
        <v>5</v>
      </c>
      <c r="AP25" s="36">
        <f t="shared" si="3"/>
        <v>0</v>
      </c>
      <c r="AQ25" s="36">
        <f t="shared" si="3"/>
        <v>7</v>
      </c>
      <c r="AR25" s="36">
        <f t="shared" si="3"/>
        <v>4</v>
      </c>
      <c r="AS25" s="36">
        <f t="shared" si="3"/>
        <v>6</v>
      </c>
      <c r="AT25" s="36">
        <f t="shared" si="3"/>
        <v>8</v>
      </c>
      <c r="AU25" s="36">
        <f t="shared" si="3"/>
        <v>6</v>
      </c>
      <c r="AV25" s="36">
        <f t="shared" si="3"/>
        <v>5</v>
      </c>
      <c r="AW25" s="36">
        <f t="shared" si="3"/>
        <v>5</v>
      </c>
      <c r="AX25" s="36">
        <f t="shared" si="3"/>
        <v>5</v>
      </c>
      <c r="AY25" s="36">
        <f t="shared" si="3"/>
        <v>8</v>
      </c>
      <c r="AZ25" s="36">
        <f t="shared" si="3"/>
        <v>3</v>
      </c>
      <c r="BA25" s="36">
        <f t="shared" si="3"/>
        <v>3</v>
      </c>
      <c r="BB25" s="36">
        <f t="shared" si="3"/>
        <v>5</v>
      </c>
      <c r="BC25" s="36">
        <f t="shared" si="3"/>
        <v>7</v>
      </c>
      <c r="BD25" s="36">
        <f t="shared" si="3"/>
        <v>6</v>
      </c>
      <c r="BE25" s="36">
        <f t="shared" si="3"/>
        <v>8</v>
      </c>
      <c r="BF25" s="36">
        <f t="shared" si="3"/>
        <v>5</v>
      </c>
      <c r="BG25" s="36">
        <f t="shared" si="3"/>
        <v>5</v>
      </c>
      <c r="BH25" s="36">
        <f t="shared" si="3"/>
        <v>6</v>
      </c>
      <c r="BI25" s="36">
        <f t="shared" si="3"/>
        <v>6</v>
      </c>
      <c r="BJ25" s="36">
        <f t="shared" si="3"/>
        <v>8</v>
      </c>
      <c r="BK25" s="36">
        <f t="shared" si="3"/>
        <v>3</v>
      </c>
      <c r="BL25" s="36">
        <f t="shared" si="3"/>
        <v>7</v>
      </c>
      <c r="BM25" s="36">
        <f t="shared" si="3"/>
        <v>3</v>
      </c>
      <c r="BN25" s="36">
        <f t="shared" si="3"/>
        <v>3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32</v>
      </c>
      <c r="L26" s="71">
        <f t="shared" si="4"/>
        <v>34</v>
      </c>
      <c r="M26" s="71">
        <f t="shared" si="4"/>
        <v>21</v>
      </c>
      <c r="N26" s="71">
        <f t="shared" si="4"/>
        <v>24</v>
      </c>
      <c r="O26" s="71">
        <f t="shared" si="4"/>
        <v>24</v>
      </c>
      <c r="P26" s="71">
        <f t="shared" si="4"/>
        <v>20</v>
      </c>
      <c r="Q26" s="71">
        <f t="shared" si="4"/>
        <v>21</v>
      </c>
      <c r="R26" s="71">
        <f t="shared" si="4"/>
        <v>28</v>
      </c>
      <c r="S26" s="71">
        <f t="shared" si="4"/>
        <v>20</v>
      </c>
      <c r="T26" s="71">
        <f t="shared" si="4"/>
        <v>17</v>
      </c>
      <c r="U26" s="71">
        <f t="shared" si="4"/>
        <v>31</v>
      </c>
      <c r="V26" s="71">
        <f t="shared" si="4"/>
        <v>23</v>
      </c>
      <c r="W26" s="71">
        <f t="shared" si="4"/>
        <v>35</v>
      </c>
      <c r="X26" s="71">
        <f t="shared" si="4"/>
        <v>22</v>
      </c>
      <c r="Y26" s="71">
        <f t="shared" si="4"/>
        <v>21</v>
      </c>
      <c r="Z26" s="71">
        <f t="shared" si="4"/>
        <v>21</v>
      </c>
      <c r="AA26" s="71">
        <f t="shared" si="4"/>
        <v>21</v>
      </c>
      <c r="AB26" s="71">
        <f t="shared" si="4"/>
        <v>14</v>
      </c>
      <c r="AC26" s="71">
        <f t="shared" si="4"/>
        <v>23</v>
      </c>
      <c r="AD26" s="71">
        <f t="shared" si="4"/>
        <v>36</v>
      </c>
      <c r="AE26" s="71">
        <f t="shared" si="4"/>
        <v>10</v>
      </c>
      <c r="AF26" s="71">
        <f t="shared" si="4"/>
        <v>32</v>
      </c>
      <c r="AG26" s="71">
        <f t="shared" si="4"/>
        <v>30</v>
      </c>
      <c r="AH26" s="71">
        <f t="shared" si="4"/>
        <v>17</v>
      </c>
      <c r="AI26" s="71">
        <f t="shared" si="4"/>
        <v>31</v>
      </c>
      <c r="AJ26" s="71">
        <f t="shared" si="4"/>
        <v>24</v>
      </c>
      <c r="AK26" s="71">
        <f t="shared" si="4"/>
        <v>26</v>
      </c>
      <c r="AL26" s="71">
        <f t="shared" si="4"/>
        <v>22</v>
      </c>
      <c r="AM26" s="71">
        <f t="shared" si="4"/>
        <v>22</v>
      </c>
      <c r="AN26" s="71">
        <f t="shared" si="4"/>
        <v>21</v>
      </c>
      <c r="AO26" s="71">
        <f t="shared" si="4"/>
        <v>14</v>
      </c>
      <c r="AP26" s="71">
        <f t="shared" si="4"/>
        <v>28</v>
      </c>
      <c r="AQ26" s="71">
        <f t="shared" si="4"/>
        <v>19</v>
      </c>
      <c r="AR26" s="71">
        <f t="shared" si="4"/>
        <v>12</v>
      </c>
      <c r="AS26" s="71">
        <f t="shared" si="4"/>
        <v>39</v>
      </c>
      <c r="AT26" s="71">
        <f t="shared" si="4"/>
        <v>35</v>
      </c>
      <c r="AU26" s="71">
        <f t="shared" si="4"/>
        <v>10</v>
      </c>
      <c r="AV26" s="71">
        <f t="shared" si="4"/>
        <v>14</v>
      </c>
      <c r="AW26" s="71">
        <f t="shared" si="4"/>
        <v>3</v>
      </c>
      <c r="AX26" s="71">
        <f t="shared" si="4"/>
        <v>22</v>
      </c>
      <c r="AY26" s="71">
        <f t="shared" si="4"/>
        <v>21</v>
      </c>
      <c r="AZ26" s="71">
        <f t="shared" si="4"/>
        <v>1</v>
      </c>
      <c r="BA26" s="71">
        <f t="shared" si="4"/>
        <v>24</v>
      </c>
      <c r="BB26" s="71">
        <f t="shared" si="4"/>
        <v>21</v>
      </c>
      <c r="BC26" s="71">
        <f t="shared" si="4"/>
        <v>24</v>
      </c>
      <c r="BD26" s="71">
        <f t="shared" si="4"/>
        <v>17</v>
      </c>
      <c r="BE26" s="71">
        <f t="shared" si="4"/>
        <v>24</v>
      </c>
      <c r="BF26" s="71">
        <f t="shared" si="4"/>
        <v>25</v>
      </c>
      <c r="BG26" s="71">
        <f t="shared" si="4"/>
        <v>79</v>
      </c>
      <c r="BH26" s="71">
        <f t="shared" si="4"/>
        <v>32</v>
      </c>
      <c r="BI26" s="71">
        <f t="shared" si="4"/>
        <v>7</v>
      </c>
      <c r="BJ26" s="71">
        <f t="shared" si="4"/>
        <v>24</v>
      </c>
      <c r="BK26" s="71">
        <f t="shared" si="4"/>
        <v>25</v>
      </c>
      <c r="BL26" s="71">
        <f t="shared" si="4"/>
        <v>18</v>
      </c>
      <c r="BM26" s="71">
        <f t="shared" si="4"/>
        <v>24</v>
      </c>
      <c r="BN26" s="71">
        <f t="shared" si="4"/>
        <v>21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22</v>
      </c>
      <c r="M27" s="71">
        <f t="shared" si="5"/>
        <v>21</v>
      </c>
      <c r="N27" s="71">
        <f t="shared" si="5"/>
        <v>40</v>
      </c>
      <c r="O27" s="71">
        <f t="shared" si="5"/>
        <v>40</v>
      </c>
      <c r="P27" s="71">
        <f t="shared" si="5"/>
        <v>38</v>
      </c>
      <c r="Q27" s="71">
        <f t="shared" si="5"/>
        <v>43</v>
      </c>
      <c r="R27" s="71">
        <f t="shared" si="5"/>
        <v>84</v>
      </c>
      <c r="S27" s="71">
        <f t="shared" si="5"/>
        <v>36</v>
      </c>
      <c r="T27" s="71">
        <f t="shared" si="5"/>
        <v>1</v>
      </c>
      <c r="U27" s="71">
        <f t="shared" si="5"/>
        <v>39</v>
      </c>
      <c r="V27" s="71">
        <f t="shared" si="5"/>
        <v>51</v>
      </c>
      <c r="W27" s="71">
        <f t="shared" si="5"/>
        <v>7</v>
      </c>
      <c r="X27" s="71">
        <f t="shared" si="5"/>
        <v>50</v>
      </c>
      <c r="Y27" s="71">
        <f t="shared" si="5"/>
        <v>21</v>
      </c>
      <c r="Z27" s="71">
        <f t="shared" si="5"/>
        <v>21</v>
      </c>
      <c r="AA27" s="71">
        <f t="shared" si="5"/>
        <v>35</v>
      </c>
      <c r="AB27" s="71">
        <f t="shared" si="5"/>
        <v>50</v>
      </c>
      <c r="AC27" s="71">
        <f t="shared" si="5"/>
        <v>1</v>
      </c>
      <c r="AD27" s="71">
        <f t="shared" si="5"/>
        <v>30</v>
      </c>
      <c r="AE27" s="71">
        <f t="shared" si="5"/>
        <v>12</v>
      </c>
      <c r="AF27" s="71">
        <f t="shared" si="5"/>
        <v>26</v>
      </c>
      <c r="AG27" s="71">
        <f t="shared" si="5"/>
        <v>22</v>
      </c>
      <c r="AH27" s="71">
        <f t="shared" si="5"/>
        <v>11</v>
      </c>
      <c r="AI27" s="71">
        <f t="shared" si="5"/>
        <v>39</v>
      </c>
      <c r="AJ27" s="71">
        <f t="shared" si="5"/>
        <v>46</v>
      </c>
      <c r="AK27" s="71">
        <f t="shared" si="5"/>
        <v>60</v>
      </c>
      <c r="AL27" s="71">
        <f t="shared" si="5"/>
        <v>42</v>
      </c>
      <c r="AM27" s="71">
        <f t="shared" si="5"/>
        <v>6</v>
      </c>
      <c r="AN27" s="71">
        <f t="shared" si="5"/>
        <v>35</v>
      </c>
      <c r="AO27" s="71">
        <f t="shared" si="5"/>
        <v>30</v>
      </c>
      <c r="AP27" s="71">
        <f t="shared" si="5"/>
        <v>84</v>
      </c>
      <c r="AQ27" s="71">
        <f t="shared" si="5"/>
        <v>21</v>
      </c>
      <c r="AR27" s="71">
        <f t="shared" si="5"/>
        <v>44</v>
      </c>
      <c r="AS27" s="71">
        <f t="shared" si="5"/>
        <v>25</v>
      </c>
      <c r="AT27" s="71">
        <f t="shared" si="5"/>
        <v>1</v>
      </c>
      <c r="AU27" s="71">
        <f t="shared" si="5"/>
        <v>6</v>
      </c>
      <c r="AV27" s="71">
        <f t="shared" si="5"/>
        <v>14</v>
      </c>
      <c r="AW27" s="71">
        <f t="shared" si="5"/>
        <v>11</v>
      </c>
      <c r="AX27" s="71">
        <f t="shared" si="5"/>
        <v>6</v>
      </c>
      <c r="AY27" s="71">
        <f t="shared" si="5"/>
        <v>5</v>
      </c>
      <c r="AZ27" s="71">
        <f t="shared" si="5"/>
        <v>49</v>
      </c>
      <c r="BA27" s="71">
        <f t="shared" si="5"/>
        <v>46</v>
      </c>
      <c r="BB27" s="71">
        <f t="shared" si="5"/>
        <v>43</v>
      </c>
      <c r="BC27" s="71">
        <f t="shared" si="5"/>
        <v>46</v>
      </c>
      <c r="BD27" s="71">
        <f t="shared" si="5"/>
        <v>25</v>
      </c>
      <c r="BE27" s="71">
        <f t="shared" si="5"/>
        <v>0</v>
      </c>
      <c r="BF27" s="71">
        <f t="shared" si="5"/>
        <v>3</v>
      </c>
      <c r="BG27" s="71">
        <f t="shared" si="5"/>
        <v>11</v>
      </c>
      <c r="BH27" s="71">
        <f t="shared" si="5"/>
        <v>18</v>
      </c>
      <c r="BI27" s="71">
        <f t="shared" si="5"/>
        <v>21</v>
      </c>
      <c r="BJ27" s="71">
        <f t="shared" si="5"/>
        <v>18</v>
      </c>
      <c r="BK27" s="71">
        <f t="shared" si="5"/>
        <v>25</v>
      </c>
      <c r="BL27" s="71">
        <f t="shared" si="5"/>
        <v>4</v>
      </c>
      <c r="BM27" s="71">
        <f t="shared" si="5"/>
        <v>40</v>
      </c>
      <c r="BN27" s="71">
        <f t="shared" si="5"/>
        <v>35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>
        <f t="shared" ca="1" si="6"/>
        <v>1</v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0.55178571428571432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7</v>
      </c>
      <c r="M29" s="71">
        <f t="shared" si="7"/>
        <v>6</v>
      </c>
      <c r="N29" s="71">
        <f t="shared" si="7"/>
        <v>5</v>
      </c>
      <c r="O29" s="71">
        <f t="shared" si="7"/>
        <v>5</v>
      </c>
      <c r="P29" s="71">
        <f t="shared" si="7"/>
        <v>5</v>
      </c>
      <c r="Q29" s="71">
        <f t="shared" si="7"/>
        <v>5</v>
      </c>
      <c r="R29" s="71">
        <f t="shared" si="7"/>
        <v>0</v>
      </c>
      <c r="S29" s="71">
        <f t="shared" si="7"/>
        <v>6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6</v>
      </c>
      <c r="X29" s="71">
        <f t="shared" si="7"/>
        <v>8</v>
      </c>
      <c r="Y29" s="71">
        <f t="shared" si="7"/>
        <v>4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7</v>
      </c>
      <c r="AD29" s="71">
        <f t="shared" si="7"/>
        <v>4</v>
      </c>
      <c r="AE29" s="71">
        <f t="shared" si="7"/>
        <v>6</v>
      </c>
      <c r="AF29" s="71">
        <f t="shared" si="7"/>
        <v>4</v>
      </c>
      <c r="AG29" s="71">
        <f t="shared" si="7"/>
        <v>2</v>
      </c>
      <c r="AH29" s="71">
        <f t="shared" si="7"/>
        <v>6</v>
      </c>
      <c r="AI29" s="71">
        <f t="shared" si="7"/>
        <v>2</v>
      </c>
      <c r="AJ29" s="71">
        <f t="shared" si="7"/>
        <v>7</v>
      </c>
      <c r="AK29" s="71">
        <f t="shared" si="7"/>
        <v>5</v>
      </c>
      <c r="AL29" s="71">
        <f t="shared" si="7"/>
        <v>7</v>
      </c>
      <c r="AM29" s="71">
        <f t="shared" si="7"/>
        <v>6</v>
      </c>
      <c r="AN29" s="71">
        <f t="shared" si="7"/>
        <v>8</v>
      </c>
      <c r="AO29" s="71">
        <f t="shared" si="7"/>
        <v>5</v>
      </c>
      <c r="AP29" s="71">
        <f t="shared" si="7"/>
        <v>0</v>
      </c>
      <c r="AQ29" s="71">
        <f t="shared" si="7"/>
        <v>5</v>
      </c>
      <c r="AR29" s="71">
        <f t="shared" si="7"/>
        <v>6</v>
      </c>
      <c r="AS29" s="71">
        <f t="shared" si="7"/>
        <v>8</v>
      </c>
      <c r="AT29" s="71">
        <f t="shared" si="7"/>
        <v>6</v>
      </c>
      <c r="AU29" s="71">
        <f t="shared" si="7"/>
        <v>8</v>
      </c>
      <c r="AV29" s="71">
        <f t="shared" si="7"/>
        <v>5</v>
      </c>
      <c r="AW29" s="71">
        <f t="shared" si="7"/>
        <v>5</v>
      </c>
      <c r="AX29" s="71">
        <f t="shared" si="7"/>
        <v>5</v>
      </c>
      <c r="AY29" s="71">
        <f t="shared" si="7"/>
        <v>6</v>
      </c>
      <c r="AZ29" s="71">
        <f t="shared" si="7"/>
        <v>3</v>
      </c>
      <c r="BA29" s="71">
        <f t="shared" si="7"/>
        <v>5</v>
      </c>
      <c r="BB29" s="71">
        <f t="shared" si="7"/>
        <v>3</v>
      </c>
      <c r="BC29" s="71">
        <f t="shared" si="7"/>
        <v>7</v>
      </c>
      <c r="BD29" s="71">
        <f t="shared" si="7"/>
        <v>4</v>
      </c>
      <c r="BE29" s="71">
        <f t="shared" si="7"/>
        <v>8</v>
      </c>
      <c r="BF29" s="71">
        <f t="shared" si="7"/>
        <v>5</v>
      </c>
      <c r="BG29" s="71">
        <f t="shared" si="7"/>
        <v>3</v>
      </c>
      <c r="BH29" s="71">
        <f t="shared" si="7"/>
        <v>4</v>
      </c>
      <c r="BI29" s="71">
        <f t="shared" si="7"/>
        <v>4</v>
      </c>
      <c r="BJ29" s="71">
        <f t="shared" si="7"/>
        <v>6</v>
      </c>
      <c r="BK29" s="71">
        <f t="shared" si="7"/>
        <v>5</v>
      </c>
      <c r="BL29" s="71">
        <f t="shared" si="7"/>
        <v>5</v>
      </c>
      <c r="BM29" s="71">
        <f t="shared" si="7"/>
        <v>3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29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5</v>
      </c>
      <c r="N30" s="73">
        <f t="shared" si="8"/>
        <v>4</v>
      </c>
      <c r="O30" s="73">
        <f t="shared" si="8"/>
        <v>4</v>
      </c>
      <c r="P30" s="73">
        <f t="shared" si="8"/>
        <v>2</v>
      </c>
      <c r="Q30" s="73">
        <f t="shared" si="8"/>
        <v>4</v>
      </c>
      <c r="R30" s="73">
        <f t="shared" si="8"/>
        <v>10</v>
      </c>
      <c r="S30" s="73">
        <f t="shared" si="8"/>
        <v>7</v>
      </c>
      <c r="T30" s="73">
        <f t="shared" si="8"/>
        <v>8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3</v>
      </c>
      <c r="Z30" s="73">
        <f t="shared" si="8"/>
        <v>4</v>
      </c>
      <c r="AA30" s="73">
        <f t="shared" si="8"/>
        <v>5</v>
      </c>
      <c r="AB30" s="73">
        <f t="shared" si="8"/>
        <v>1</v>
      </c>
      <c r="AC30" s="73">
        <f t="shared" si="8"/>
        <v>6</v>
      </c>
      <c r="AD30" s="73">
        <f t="shared" si="8"/>
        <v>3</v>
      </c>
      <c r="AE30" s="73">
        <f t="shared" si="8"/>
        <v>5</v>
      </c>
      <c r="AF30" s="73">
        <f t="shared" si="8"/>
        <v>5</v>
      </c>
      <c r="AG30" s="73">
        <f t="shared" si="8"/>
        <v>5</v>
      </c>
      <c r="AH30" s="73">
        <f t="shared" si="8"/>
        <v>5</v>
      </c>
      <c r="AI30" s="73">
        <f t="shared" si="8"/>
        <v>7</v>
      </c>
      <c r="AJ30" s="73">
        <f t="shared" si="8"/>
        <v>2</v>
      </c>
      <c r="AK30" s="73">
        <f t="shared" si="8"/>
        <v>6</v>
      </c>
      <c r="AL30" s="73">
        <f t="shared" si="8"/>
        <v>4</v>
      </c>
      <c r="AM30" s="73">
        <f t="shared" si="8"/>
        <v>3</v>
      </c>
      <c r="AN30" s="73">
        <f t="shared" si="8"/>
        <v>3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5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2</v>
      </c>
      <c r="AY30" s="73">
        <f t="shared" si="8"/>
        <v>3</v>
      </c>
      <c r="AZ30" s="73">
        <f t="shared" si="8"/>
        <v>6</v>
      </c>
      <c r="BA30" s="73">
        <f t="shared" si="8"/>
        <v>8</v>
      </c>
      <c r="BB30" s="73">
        <f t="shared" si="8"/>
        <v>2</v>
      </c>
      <c r="BC30" s="73">
        <f t="shared" si="8"/>
        <v>4</v>
      </c>
      <c r="BD30" s="73">
        <f t="shared" si="8"/>
        <v>3</v>
      </c>
      <c r="BE30" s="73">
        <f t="shared" si="8"/>
        <v>3</v>
      </c>
      <c r="BF30" s="73">
        <f t="shared" si="8"/>
        <v>4</v>
      </c>
      <c r="BG30" s="73">
        <f t="shared" si="8"/>
        <v>4</v>
      </c>
      <c r="BH30" s="73">
        <f t="shared" si="8"/>
        <v>3</v>
      </c>
      <c r="BI30" s="73">
        <f t="shared" si="8"/>
        <v>1</v>
      </c>
      <c r="BJ30" s="73">
        <f t="shared" si="8"/>
        <v>3</v>
      </c>
      <c r="BK30" s="73">
        <f t="shared" si="8"/>
        <v>10</v>
      </c>
      <c r="BL30" s="73">
        <f t="shared" si="8"/>
        <v>2</v>
      </c>
      <c r="BM30" s="73">
        <f t="shared" si="8"/>
        <v>4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8</v>
      </c>
      <c r="M31" s="71">
        <f t="shared" ca="1" si="9"/>
        <v>3</v>
      </c>
      <c r="N31" s="71">
        <f t="shared" ca="1" si="9"/>
        <v>4</v>
      </c>
      <c r="O31" s="71">
        <f t="shared" ca="1" si="9"/>
        <v>4</v>
      </c>
      <c r="P31" s="71">
        <f t="shared" ca="1" si="9"/>
        <v>2</v>
      </c>
      <c r="Q31" s="71">
        <f t="shared" ca="1" si="9"/>
        <v>4</v>
      </c>
      <c r="R31" s="71">
        <f t="shared" ca="1" si="9"/>
        <v>10</v>
      </c>
      <c r="S31" s="71">
        <f t="shared" ca="1" si="9"/>
        <v>5</v>
      </c>
      <c r="T31" s="71">
        <f t="shared" ca="1" si="9"/>
        <v>6</v>
      </c>
      <c r="U31" s="71">
        <f t="shared" ca="1" si="9"/>
        <v>5</v>
      </c>
      <c r="V31" s="71">
        <f t="shared" ca="1" si="9"/>
        <v>2</v>
      </c>
      <c r="W31" s="71">
        <f t="shared" ca="1" si="9"/>
        <v>5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5</v>
      </c>
      <c r="AB31" s="71">
        <f t="shared" ca="1" si="9"/>
        <v>1</v>
      </c>
      <c r="AC31" s="71">
        <f t="shared" ca="1" si="9"/>
        <v>6</v>
      </c>
      <c r="AD31" s="71">
        <f t="shared" ca="1" si="9"/>
        <v>3</v>
      </c>
      <c r="AE31" s="71">
        <f t="shared" ca="1" si="9"/>
        <v>3</v>
      </c>
      <c r="AF31" s="71">
        <f t="shared" ca="1" si="9"/>
        <v>5</v>
      </c>
      <c r="AG31" s="71">
        <f t="shared" ca="1" si="9"/>
        <v>3</v>
      </c>
      <c r="AH31" s="71">
        <f t="shared" ca="1" si="9"/>
        <v>3</v>
      </c>
      <c r="AI31" s="71">
        <f t="shared" ca="1" si="9"/>
        <v>7</v>
      </c>
      <c r="AJ31" s="71">
        <f t="shared" ca="1" si="9"/>
        <v>2</v>
      </c>
      <c r="AK31" s="71">
        <f t="shared" ca="1" si="9"/>
        <v>4</v>
      </c>
      <c r="AL31" s="71">
        <f t="shared" ca="1" si="9"/>
        <v>4</v>
      </c>
      <c r="AM31" s="71">
        <f t="shared" ca="1" si="9"/>
        <v>3</v>
      </c>
      <c r="AN31" s="71">
        <f t="shared" ca="1" si="9"/>
        <v>3</v>
      </c>
      <c r="AO31" s="71">
        <f t="shared" ca="1" si="9"/>
        <v>4</v>
      </c>
      <c r="AP31" s="71">
        <f t="shared" ca="1" si="9"/>
        <v>10</v>
      </c>
      <c r="AQ31" s="71">
        <f t="shared" ca="1" si="9"/>
        <v>0</v>
      </c>
      <c r="AR31" s="71">
        <f t="shared" ca="1" si="9"/>
        <v>7</v>
      </c>
      <c r="AS31" s="71">
        <f t="shared" ca="1" si="9"/>
        <v>7</v>
      </c>
      <c r="AT31" s="71">
        <f t="shared" ca="1" si="9"/>
        <v>3</v>
      </c>
      <c r="AU31" s="71">
        <f t="shared" ca="1" si="9"/>
        <v>7</v>
      </c>
      <c r="AV31" s="71">
        <f t="shared" ca="1" si="9"/>
        <v>2</v>
      </c>
      <c r="AW31" s="71">
        <f t="shared" ca="1" si="9"/>
        <v>4</v>
      </c>
      <c r="AX31" s="71">
        <f t="shared" ca="1" si="9"/>
        <v>4</v>
      </c>
      <c r="AY31" s="71">
        <f t="shared" ca="1" si="9"/>
        <v>1</v>
      </c>
      <c r="AZ31" s="71">
        <f t="shared" ca="1" si="9"/>
        <v>4</v>
      </c>
      <c r="BA31" s="71">
        <f t="shared" ca="1" si="9"/>
        <v>6</v>
      </c>
      <c r="BB31" s="71">
        <f t="shared" ca="1" si="9"/>
        <v>4</v>
      </c>
      <c r="BC31" s="71">
        <f t="shared" ca="1" si="9"/>
        <v>4</v>
      </c>
      <c r="BD31" s="71">
        <f t="shared" ca="1" si="9"/>
        <v>1</v>
      </c>
      <c r="BE31" s="71">
        <f t="shared" ca="1" si="9"/>
        <v>3</v>
      </c>
      <c r="BF31" s="71">
        <f t="shared" ca="1" si="9"/>
        <v>4</v>
      </c>
      <c r="BG31" s="71">
        <f t="shared" ca="1" si="9"/>
        <v>4</v>
      </c>
      <c r="BH31" s="71">
        <f t="shared" ca="1" si="9"/>
        <v>1</v>
      </c>
      <c r="BI31" s="71">
        <f t="shared" ca="1" si="9"/>
        <v>1</v>
      </c>
      <c r="BJ31" s="71">
        <f t="shared" ca="1" si="9"/>
        <v>3</v>
      </c>
      <c r="BK31" s="71">
        <f t="shared" ca="1" si="9"/>
        <v>8</v>
      </c>
      <c r="BL31" s="71">
        <f t="shared" ca="1" si="9"/>
        <v>4</v>
      </c>
      <c r="BM31" s="71">
        <f t="shared" ca="1" si="9"/>
        <v>4</v>
      </c>
      <c r="BN31" s="71">
        <f t="shared" ca="1" si="9"/>
        <v>6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159871872</v>
      </c>
      <c r="L36" s="32">
        <f t="shared" si="12"/>
        <v>99863912</v>
      </c>
      <c r="M36" s="32">
        <f t="shared" si="12"/>
        <v>121915916</v>
      </c>
      <c r="N36" s="32">
        <f t="shared" si="12"/>
        <v>141903840</v>
      </c>
      <c r="O36" s="32">
        <f t="shared" si="12"/>
        <v>101903840</v>
      </c>
      <c r="P36" s="32">
        <f t="shared" si="12"/>
        <v>141919848</v>
      </c>
      <c r="Q36" s="32">
        <f t="shared" si="12"/>
        <v>141915828</v>
      </c>
      <c r="R36" s="32">
        <f t="shared" si="12"/>
        <v>0</v>
      </c>
      <c r="S36" s="32">
        <f t="shared" si="12"/>
        <v>121919856</v>
      </c>
      <c r="T36" s="32">
        <f t="shared" si="12"/>
        <v>101931996</v>
      </c>
      <c r="U36" s="32">
        <f t="shared" si="12"/>
        <v>119875844</v>
      </c>
      <c r="V36" s="32">
        <f t="shared" si="12"/>
        <v>141907796</v>
      </c>
      <c r="W36" s="32">
        <f t="shared" si="12"/>
        <v>119859972</v>
      </c>
      <c r="X36" s="32">
        <f t="shared" si="12"/>
        <v>121911800</v>
      </c>
      <c r="Y36" s="32">
        <f t="shared" si="12"/>
        <v>121915916</v>
      </c>
      <c r="Z36" s="32">
        <f t="shared" si="12"/>
        <v>141915916</v>
      </c>
      <c r="AA36" s="32">
        <f t="shared" si="12"/>
        <v>121915860</v>
      </c>
      <c r="AB36" s="32">
        <f t="shared" si="12"/>
        <v>161943800</v>
      </c>
      <c r="AC36" s="32">
        <f t="shared" si="12"/>
        <v>101907996</v>
      </c>
      <c r="AD36" s="32">
        <f t="shared" si="12"/>
        <v>119855880</v>
      </c>
      <c r="AE36" s="32">
        <f t="shared" si="12"/>
        <v>81959952</v>
      </c>
      <c r="AF36" s="32">
        <f t="shared" si="12"/>
        <v>79871896</v>
      </c>
      <c r="AG36" s="32">
        <f t="shared" si="12"/>
        <v>79879912</v>
      </c>
      <c r="AH36" s="32">
        <f t="shared" si="12"/>
        <v>81931956</v>
      </c>
      <c r="AI36" s="32">
        <f t="shared" si="12"/>
        <v>39875844</v>
      </c>
      <c r="AJ36" s="32">
        <f t="shared" si="12"/>
        <v>181903816</v>
      </c>
      <c r="AK36" s="32">
        <f t="shared" si="12"/>
        <v>59895760</v>
      </c>
      <c r="AL36" s="32">
        <f t="shared" si="12"/>
        <v>141911832</v>
      </c>
      <c r="AM36" s="32">
        <f t="shared" si="12"/>
        <v>161911976</v>
      </c>
      <c r="AN36" s="32">
        <f t="shared" si="12"/>
        <v>161915860</v>
      </c>
      <c r="AO36" s="32">
        <f t="shared" si="12"/>
        <v>101943880</v>
      </c>
      <c r="AP36" s="32">
        <f t="shared" si="12"/>
        <v>0</v>
      </c>
      <c r="AQ36" s="32">
        <f t="shared" si="12"/>
        <v>141923916</v>
      </c>
      <c r="AR36" s="32">
        <f t="shared" si="12"/>
        <v>81951824</v>
      </c>
      <c r="AS36" s="32">
        <f t="shared" si="12"/>
        <v>119843900</v>
      </c>
      <c r="AT36" s="32">
        <f t="shared" si="12"/>
        <v>159859996</v>
      </c>
      <c r="AU36" s="32">
        <f t="shared" si="12"/>
        <v>121959976</v>
      </c>
      <c r="AV36" s="32">
        <f t="shared" si="12"/>
        <v>101943944</v>
      </c>
      <c r="AW36" s="32">
        <f t="shared" si="12"/>
        <v>101987956</v>
      </c>
      <c r="AX36" s="32">
        <f t="shared" si="12"/>
        <v>101911976</v>
      </c>
      <c r="AY36" s="32">
        <f t="shared" si="12"/>
        <v>161915980</v>
      </c>
      <c r="AZ36" s="32">
        <f t="shared" si="12"/>
        <v>61995804</v>
      </c>
      <c r="BA36" s="32">
        <f t="shared" si="12"/>
        <v>61903816</v>
      </c>
      <c r="BB36" s="32">
        <f t="shared" si="12"/>
        <v>101915828</v>
      </c>
      <c r="BC36" s="32">
        <f t="shared" si="12"/>
        <v>141903816</v>
      </c>
      <c r="BD36" s="32">
        <f t="shared" si="12"/>
        <v>121931900</v>
      </c>
      <c r="BE36" s="32">
        <f t="shared" si="12"/>
        <v>161904000</v>
      </c>
      <c r="BF36" s="32">
        <f t="shared" si="12"/>
        <v>99899988</v>
      </c>
      <c r="BG36" s="32">
        <f t="shared" si="12"/>
        <v>99683956</v>
      </c>
      <c r="BH36" s="32">
        <f t="shared" si="12"/>
        <v>119871928</v>
      </c>
      <c r="BI36" s="32">
        <f t="shared" si="12"/>
        <v>121971916</v>
      </c>
      <c r="BJ36" s="32">
        <f t="shared" si="12"/>
        <v>161903928</v>
      </c>
      <c r="BK36" s="32">
        <f t="shared" si="12"/>
        <v>59899900</v>
      </c>
      <c r="BL36" s="32">
        <f t="shared" si="12"/>
        <v>141927984</v>
      </c>
      <c r="BM36" s="32">
        <f t="shared" si="12"/>
        <v>61903840</v>
      </c>
      <c r="BN36" s="32">
        <f t="shared" si="12"/>
        <v>61915860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ca="1" si="13"/>
        <v>Delehanty, Kyle T</v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Delehanty, Kyle T;Nance,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137</v>
      </c>
      <c r="C3" s="65">
        <v>4.5</v>
      </c>
      <c r="D3" s="64">
        <v>54</v>
      </c>
      <c r="E3" s="64">
        <f>IF(ISBLANK($D3),"0",IF(($D4-$D3)&lt;($C4-$C3),1,0))</f>
        <v>1</v>
      </c>
      <c r="F3" s="64">
        <f ca="1">COUNTA(INDIRECT("RC11:RC"&amp;11+playercnt-1,FALSE))</f>
        <v>29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 t="s">
        <v>310</v>
      </c>
      <c r="O3" s="69"/>
      <c r="P3" s="69" t="s">
        <v>310</v>
      </c>
      <c r="Q3" s="69"/>
      <c r="R3" s="69"/>
      <c r="S3" s="69" t="s">
        <v>310</v>
      </c>
      <c r="T3" s="69"/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/>
      <c r="AB3" s="69"/>
      <c r="AC3" s="69" t="s">
        <v>310</v>
      </c>
      <c r="AD3" s="69" t="s">
        <v>310</v>
      </c>
      <c r="AE3" s="69" t="s">
        <v>310</v>
      </c>
      <c r="AF3" s="69" t="s">
        <v>310</v>
      </c>
      <c r="AG3" s="69"/>
      <c r="AH3" s="69"/>
      <c r="AI3" s="69" t="s">
        <v>310</v>
      </c>
      <c r="AJ3" s="69" t="s">
        <v>310</v>
      </c>
      <c r="AK3" s="69" t="s">
        <v>310</v>
      </c>
      <c r="AL3" s="69"/>
      <c r="AM3" s="69" t="s">
        <v>310</v>
      </c>
      <c r="AN3" s="69" t="s">
        <v>310</v>
      </c>
      <c r="AO3" s="69"/>
      <c r="AP3" s="69" t="s">
        <v>310</v>
      </c>
      <c r="AQ3" s="69" t="s">
        <v>310</v>
      </c>
      <c r="AR3" s="96"/>
      <c r="AS3" s="69"/>
      <c r="AT3" s="69"/>
      <c r="AU3" s="69"/>
      <c r="AV3" s="69" t="s">
        <v>310</v>
      </c>
      <c r="AW3" s="69" t="s">
        <v>310</v>
      </c>
      <c r="AX3" s="69" t="s">
        <v>310</v>
      </c>
      <c r="AY3" s="69"/>
      <c r="AZ3" s="69"/>
      <c r="BA3" s="69"/>
      <c r="BB3" s="69" t="s">
        <v>310</v>
      </c>
      <c r="BC3" s="69" t="s">
        <v>310</v>
      </c>
      <c r="BD3" s="69"/>
      <c r="BE3" s="96"/>
      <c r="BF3" s="69"/>
      <c r="BG3" s="69" t="s">
        <v>310</v>
      </c>
      <c r="BH3" s="69" t="s">
        <v>310</v>
      </c>
      <c r="BI3" s="69" t="s">
        <v>310</v>
      </c>
      <c r="BJ3" s="69" t="s">
        <v>310</v>
      </c>
      <c r="BK3" s="69" t="s">
        <v>310</v>
      </c>
      <c r="BL3" s="69"/>
      <c r="BM3" s="69"/>
      <c r="BN3" s="69"/>
    </row>
    <row r="4" spans="1:66" x14ac:dyDescent="0.2">
      <c r="A4" s="61" t="s">
        <v>3</v>
      </c>
      <c r="B4" s="68" t="s">
        <v>188</v>
      </c>
      <c r="C4" s="66"/>
      <c r="D4" s="64">
        <v>39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/>
      <c r="M4" s="70" t="s">
        <v>310</v>
      </c>
      <c r="N4" s="70"/>
      <c r="O4" s="70" t="s">
        <v>310</v>
      </c>
      <c r="P4" s="70"/>
      <c r="Q4" s="70" t="s">
        <v>310</v>
      </c>
      <c r="R4" s="70" t="s">
        <v>310</v>
      </c>
      <c r="S4" s="70"/>
      <c r="T4" s="70" t="s">
        <v>310</v>
      </c>
      <c r="U4" s="97"/>
      <c r="V4" s="70"/>
      <c r="W4" s="70"/>
      <c r="X4" s="70"/>
      <c r="Y4" s="70"/>
      <c r="Z4" s="70" t="s">
        <v>310</v>
      </c>
      <c r="AA4" s="70"/>
      <c r="AB4" s="70" t="s">
        <v>310</v>
      </c>
      <c r="AC4" s="70"/>
      <c r="AD4" s="70"/>
      <c r="AE4" s="70"/>
      <c r="AF4" s="70"/>
      <c r="AG4" s="70" t="s">
        <v>310</v>
      </c>
      <c r="AH4" s="70" t="s">
        <v>310</v>
      </c>
      <c r="AI4" s="70"/>
      <c r="AJ4" s="70"/>
      <c r="AK4" s="70"/>
      <c r="AL4" s="70" t="s">
        <v>310</v>
      </c>
      <c r="AM4" s="70"/>
      <c r="AN4" s="70"/>
      <c r="AO4" s="70" t="s">
        <v>310</v>
      </c>
      <c r="AP4" s="70"/>
      <c r="AQ4" s="70"/>
      <c r="AR4" s="70" t="s">
        <v>310</v>
      </c>
      <c r="AS4" s="70" t="s">
        <v>310</v>
      </c>
      <c r="AT4" s="70" t="s">
        <v>310</v>
      </c>
      <c r="AU4" s="70" t="s">
        <v>310</v>
      </c>
      <c r="AV4" s="70"/>
      <c r="AW4" s="70"/>
      <c r="AX4" s="70"/>
      <c r="AY4" s="70" t="s">
        <v>310</v>
      </c>
      <c r="AZ4" s="70" t="s">
        <v>310</v>
      </c>
      <c r="BA4" s="70" t="s">
        <v>310</v>
      </c>
      <c r="BB4" s="70"/>
      <c r="BC4" s="70"/>
      <c r="BD4" s="70" t="s">
        <v>310</v>
      </c>
      <c r="BE4" s="70" t="s">
        <v>310</v>
      </c>
      <c r="BF4" s="70"/>
      <c r="BG4" s="70"/>
      <c r="BH4" s="70"/>
      <c r="BI4" s="70"/>
      <c r="BJ4" s="70"/>
      <c r="BK4" s="70"/>
      <c r="BL4" s="70" t="s">
        <v>310</v>
      </c>
      <c r="BM4" s="70" t="s">
        <v>310</v>
      </c>
      <c r="BN4" s="70"/>
    </row>
    <row r="5" spans="1:66" x14ac:dyDescent="0.2">
      <c r="A5" s="59">
        <v>2</v>
      </c>
      <c r="B5" s="67" t="s">
        <v>169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 t="s">
        <v>310</v>
      </c>
      <c r="L5" s="69"/>
      <c r="M5" s="69" t="s">
        <v>310</v>
      </c>
      <c r="N5" s="69" t="s">
        <v>310</v>
      </c>
      <c r="O5" s="69"/>
      <c r="P5" s="69" t="s">
        <v>310</v>
      </c>
      <c r="Q5" s="69"/>
      <c r="R5" s="69" t="s">
        <v>310</v>
      </c>
      <c r="S5" s="69" t="s">
        <v>310</v>
      </c>
      <c r="T5" s="69"/>
      <c r="U5" s="96"/>
      <c r="V5" s="69"/>
      <c r="W5" s="69" t="s">
        <v>310</v>
      </c>
      <c r="X5" s="69" t="s">
        <v>310</v>
      </c>
      <c r="Y5" s="69"/>
      <c r="Z5" s="69"/>
      <c r="AA5" s="69"/>
      <c r="AB5" s="69"/>
      <c r="AC5" s="69" t="s">
        <v>310</v>
      </c>
      <c r="AD5" s="69" t="s">
        <v>310</v>
      </c>
      <c r="AE5" s="69" t="s">
        <v>310</v>
      </c>
      <c r="AF5" s="69" t="s">
        <v>310</v>
      </c>
      <c r="AG5" s="69" t="s">
        <v>310</v>
      </c>
      <c r="AH5" s="69" t="s">
        <v>310</v>
      </c>
      <c r="AI5" s="69"/>
      <c r="AJ5" s="69"/>
      <c r="AK5" s="69" t="s">
        <v>310</v>
      </c>
      <c r="AL5" s="69" t="s">
        <v>310</v>
      </c>
      <c r="AM5" s="69"/>
      <c r="AN5" s="69"/>
      <c r="AO5" s="69" t="s">
        <v>310</v>
      </c>
      <c r="AP5" s="69" t="s">
        <v>310</v>
      </c>
      <c r="AQ5" s="69" t="s">
        <v>310</v>
      </c>
      <c r="AR5" s="96"/>
      <c r="AS5" s="69"/>
      <c r="AT5" s="69" t="s">
        <v>310</v>
      </c>
      <c r="AU5" s="69"/>
      <c r="AV5" s="69" t="s">
        <v>310</v>
      </c>
      <c r="AW5" s="69" t="s">
        <v>310</v>
      </c>
      <c r="AX5" s="69" t="s">
        <v>310</v>
      </c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 t="s">
        <v>310</v>
      </c>
      <c r="BJ5" s="69" t="s">
        <v>310</v>
      </c>
      <c r="BK5" s="69"/>
      <c r="BL5" s="69"/>
      <c r="BM5" s="69" t="s">
        <v>310</v>
      </c>
      <c r="BN5" s="69"/>
    </row>
    <row r="6" spans="1:66" x14ac:dyDescent="0.2">
      <c r="A6" s="61" t="s">
        <v>3</v>
      </c>
      <c r="B6" s="68" t="s">
        <v>164</v>
      </c>
      <c r="C6" s="66">
        <v>11.5</v>
      </c>
      <c r="D6" s="64">
        <v>21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 t="s">
        <v>310</v>
      </c>
      <c r="P6" s="70"/>
      <c r="Q6" s="70" t="s">
        <v>310</v>
      </c>
      <c r="R6" s="70"/>
      <c r="S6" s="70"/>
      <c r="T6" s="70" t="s">
        <v>310</v>
      </c>
      <c r="U6" s="70" t="s">
        <v>310</v>
      </c>
      <c r="V6" s="70" t="s">
        <v>310</v>
      </c>
      <c r="W6" s="70"/>
      <c r="X6" s="70"/>
      <c r="Y6" s="70" t="s">
        <v>310</v>
      </c>
      <c r="Z6" s="70" t="s">
        <v>310</v>
      </c>
      <c r="AA6" s="70"/>
      <c r="AB6" s="70" t="s">
        <v>310</v>
      </c>
      <c r="AC6" s="70"/>
      <c r="AD6" s="70"/>
      <c r="AE6" s="70"/>
      <c r="AF6" s="70"/>
      <c r="AG6" s="70"/>
      <c r="AH6" s="70"/>
      <c r="AI6" s="70" t="s">
        <v>310</v>
      </c>
      <c r="AJ6" s="70" t="s">
        <v>310</v>
      </c>
      <c r="AK6" s="70"/>
      <c r="AL6" s="70"/>
      <c r="AM6" s="70" t="s">
        <v>310</v>
      </c>
      <c r="AN6" s="70" t="s">
        <v>310</v>
      </c>
      <c r="AO6" s="70"/>
      <c r="AP6" s="70"/>
      <c r="AQ6" s="70"/>
      <c r="AR6" s="70" t="s">
        <v>310</v>
      </c>
      <c r="AS6" s="70" t="s">
        <v>310</v>
      </c>
      <c r="AT6" s="70"/>
      <c r="AU6" s="70" t="s">
        <v>310</v>
      </c>
      <c r="AV6" s="70"/>
      <c r="AW6" s="70"/>
      <c r="AX6" s="70"/>
      <c r="AY6" s="70" t="s">
        <v>310</v>
      </c>
      <c r="AZ6" s="70" t="s">
        <v>310</v>
      </c>
      <c r="BA6" s="70" t="s">
        <v>310</v>
      </c>
      <c r="BB6" s="70" t="s">
        <v>310</v>
      </c>
      <c r="BC6" s="70" t="s">
        <v>310</v>
      </c>
      <c r="BD6" s="70" t="s">
        <v>310</v>
      </c>
      <c r="BE6" s="97" t="s">
        <v>310</v>
      </c>
      <c r="BF6" s="70"/>
      <c r="BG6" s="70" t="s">
        <v>310</v>
      </c>
      <c r="BH6" s="70" t="s">
        <v>310</v>
      </c>
      <c r="BI6" s="70"/>
      <c r="BJ6" s="70"/>
      <c r="BK6" s="70" t="s">
        <v>310</v>
      </c>
      <c r="BL6" s="70" t="s">
        <v>310</v>
      </c>
      <c r="BM6" s="70"/>
      <c r="BN6" s="70"/>
    </row>
    <row r="7" spans="1:66" x14ac:dyDescent="0.2">
      <c r="A7" s="59">
        <v>3</v>
      </c>
      <c r="B7" s="67" t="s">
        <v>145</v>
      </c>
      <c r="C7" s="65">
        <v>5.5</v>
      </c>
      <c r="D7" s="64">
        <v>45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/>
      <c r="P7" s="69"/>
      <c r="Q7" s="69" t="s">
        <v>310</v>
      </c>
      <c r="R7" s="96" t="s">
        <v>310</v>
      </c>
      <c r="S7" s="96" t="s">
        <v>310</v>
      </c>
      <c r="T7" s="96" t="s">
        <v>310</v>
      </c>
      <c r="U7" s="96" t="s">
        <v>310</v>
      </c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/>
      <c r="AL7" s="69" t="s">
        <v>310</v>
      </c>
      <c r="AM7" s="69" t="s">
        <v>310</v>
      </c>
      <c r="AN7" s="69" t="s">
        <v>310</v>
      </c>
      <c r="AO7" s="69"/>
      <c r="AP7" s="69" t="s">
        <v>310</v>
      </c>
      <c r="AQ7" s="69" t="s">
        <v>310</v>
      </c>
      <c r="AR7" s="96"/>
      <c r="AS7" s="69" t="s">
        <v>310</v>
      </c>
      <c r="AT7" s="69"/>
      <c r="AU7" s="69" t="s">
        <v>310</v>
      </c>
      <c r="AV7" s="69" t="s">
        <v>310</v>
      </c>
      <c r="AW7" s="69" t="s">
        <v>310</v>
      </c>
      <c r="AX7" s="69" t="s">
        <v>310</v>
      </c>
      <c r="AY7" s="69"/>
      <c r="AZ7" s="69"/>
      <c r="BA7" s="69" t="s">
        <v>310</v>
      </c>
      <c r="BB7" s="69" t="s">
        <v>310</v>
      </c>
      <c r="BC7" s="69"/>
      <c r="BD7" s="69" t="s">
        <v>310</v>
      </c>
      <c r="BE7" s="96" t="s">
        <v>310</v>
      </c>
      <c r="BF7" s="69"/>
      <c r="BG7" s="69" t="s">
        <v>310</v>
      </c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/>
    </row>
    <row r="8" spans="1:66" x14ac:dyDescent="0.2">
      <c r="A8" s="61" t="s">
        <v>3</v>
      </c>
      <c r="B8" s="68" t="s">
        <v>244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 t="s">
        <v>310</v>
      </c>
      <c r="P8" s="70" t="s">
        <v>310</v>
      </c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 t="s">
        <v>310</v>
      </c>
      <c r="AL8" s="70"/>
      <c r="AM8" s="70"/>
      <c r="AN8" s="70"/>
      <c r="AO8" s="70" t="s">
        <v>310</v>
      </c>
      <c r="AP8" s="70"/>
      <c r="AQ8" s="70"/>
      <c r="AR8" s="70" t="s">
        <v>310</v>
      </c>
      <c r="AS8" s="70"/>
      <c r="AT8" s="70" t="s">
        <v>310</v>
      </c>
      <c r="AU8" s="70"/>
      <c r="AV8" s="70"/>
      <c r="AW8" s="70"/>
      <c r="AX8" s="70"/>
      <c r="AY8" s="70" t="s">
        <v>310</v>
      </c>
      <c r="AZ8" s="70" t="s">
        <v>310</v>
      </c>
      <c r="BA8" s="70"/>
      <c r="BB8" s="70"/>
      <c r="BC8" s="70" t="s">
        <v>310</v>
      </c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139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 t="s">
        <v>310</v>
      </c>
      <c r="T9" s="96" t="s">
        <v>310</v>
      </c>
      <c r="U9" s="96" t="s">
        <v>310</v>
      </c>
      <c r="V9" s="69"/>
      <c r="W9" s="69" t="s">
        <v>310</v>
      </c>
      <c r="X9" s="69"/>
      <c r="Y9" s="69"/>
      <c r="Z9" s="69"/>
      <c r="AA9" s="69"/>
      <c r="AB9" s="69"/>
      <c r="AC9" s="69" t="s">
        <v>310</v>
      </c>
      <c r="AD9" s="69" t="s">
        <v>310</v>
      </c>
      <c r="AE9" s="69"/>
      <c r="AF9" s="69" t="s">
        <v>310</v>
      </c>
      <c r="AG9" s="69" t="s">
        <v>310</v>
      </c>
      <c r="AH9" s="69"/>
      <c r="AI9" s="69"/>
      <c r="AJ9" s="69"/>
      <c r="AK9" s="69"/>
      <c r="AL9" s="69"/>
      <c r="AM9" s="69" t="s">
        <v>310</v>
      </c>
      <c r="AN9" s="69"/>
      <c r="AO9" s="69" t="s">
        <v>310</v>
      </c>
      <c r="AP9" s="69"/>
      <c r="AQ9" s="69"/>
      <c r="AR9" s="96" t="s">
        <v>310</v>
      </c>
      <c r="AS9" s="69"/>
      <c r="AT9" s="69"/>
      <c r="AU9" s="69"/>
      <c r="AV9" s="69"/>
      <c r="AW9" s="69"/>
      <c r="AX9" s="69" t="s">
        <v>310</v>
      </c>
      <c r="AY9" s="69" t="s">
        <v>310</v>
      </c>
      <c r="AZ9" s="69" t="s">
        <v>310</v>
      </c>
      <c r="BA9" s="69"/>
      <c r="BB9" s="69"/>
      <c r="BC9" s="69" t="s">
        <v>310</v>
      </c>
      <c r="BD9" s="69"/>
      <c r="BE9" s="96"/>
      <c r="BF9" s="69"/>
      <c r="BG9" s="69" t="s">
        <v>310</v>
      </c>
      <c r="BH9" s="69"/>
      <c r="BI9" s="69"/>
      <c r="BJ9" s="69" t="s">
        <v>310</v>
      </c>
      <c r="BK9" s="69"/>
      <c r="BL9" s="69" t="s">
        <v>310</v>
      </c>
      <c r="BM9" s="69"/>
      <c r="BN9" s="69"/>
    </row>
    <row r="10" spans="1:66" x14ac:dyDescent="0.2">
      <c r="A10" s="61" t="s">
        <v>3</v>
      </c>
      <c r="B10" s="68" t="s">
        <v>148</v>
      </c>
      <c r="C10" s="66">
        <v>4.5</v>
      </c>
      <c r="D10" s="64">
        <v>27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 t="s">
        <v>310</v>
      </c>
      <c r="S10" s="97"/>
      <c r="T10" s="97"/>
      <c r="U10" s="70"/>
      <c r="V10" s="70" t="s">
        <v>310</v>
      </c>
      <c r="W10" s="70"/>
      <c r="X10" s="70" t="s">
        <v>310</v>
      </c>
      <c r="Y10" s="70" t="s">
        <v>310</v>
      </c>
      <c r="Z10" s="70" t="s">
        <v>310</v>
      </c>
      <c r="AA10" s="70"/>
      <c r="AB10" s="70" t="s">
        <v>310</v>
      </c>
      <c r="AC10" s="70"/>
      <c r="AD10" s="70"/>
      <c r="AE10" s="70" t="s">
        <v>310</v>
      </c>
      <c r="AF10" s="70"/>
      <c r="AG10" s="70"/>
      <c r="AH10" s="70" t="s">
        <v>310</v>
      </c>
      <c r="AI10" s="70" t="s">
        <v>310</v>
      </c>
      <c r="AJ10" s="70" t="s">
        <v>310</v>
      </c>
      <c r="AK10" s="70" t="s">
        <v>310</v>
      </c>
      <c r="AL10" s="70" t="s">
        <v>310</v>
      </c>
      <c r="AM10" s="70"/>
      <c r="AN10" s="70" t="s">
        <v>310</v>
      </c>
      <c r="AO10" s="70"/>
      <c r="AP10" s="70" t="s">
        <v>310</v>
      </c>
      <c r="AQ10" s="70" t="s">
        <v>310</v>
      </c>
      <c r="AR10" s="70"/>
      <c r="AS10" s="70" t="s">
        <v>310</v>
      </c>
      <c r="AT10" s="70" t="s">
        <v>310</v>
      </c>
      <c r="AU10" s="70" t="s">
        <v>310</v>
      </c>
      <c r="AV10" s="70" t="s">
        <v>310</v>
      </c>
      <c r="AW10" s="70" t="s">
        <v>310</v>
      </c>
      <c r="AX10" s="70"/>
      <c r="AY10" s="70"/>
      <c r="AZ10" s="70"/>
      <c r="BA10" s="70" t="s">
        <v>310</v>
      </c>
      <c r="BB10" s="70" t="s">
        <v>310</v>
      </c>
      <c r="BC10" s="70"/>
      <c r="BD10" s="70" t="s">
        <v>310</v>
      </c>
      <c r="BE10" s="70" t="s">
        <v>310</v>
      </c>
      <c r="BF10" s="70"/>
      <c r="BG10" s="70"/>
      <c r="BH10" s="70" t="s">
        <v>310</v>
      </c>
      <c r="BI10" s="70" t="s">
        <v>310</v>
      </c>
      <c r="BJ10" s="70"/>
      <c r="BK10" s="70" t="s">
        <v>310</v>
      </c>
      <c r="BL10" s="70"/>
      <c r="BM10" s="70" t="s">
        <v>310</v>
      </c>
      <c r="BN10" s="70"/>
    </row>
    <row r="11" spans="1:66" x14ac:dyDescent="0.2">
      <c r="A11" s="59">
        <v>5</v>
      </c>
      <c r="B11" s="67" t="s">
        <v>152</v>
      </c>
      <c r="C11" s="65"/>
      <c r="D11" s="64">
        <v>12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/>
      <c r="M11" s="69"/>
      <c r="N11" s="69" t="s">
        <v>310</v>
      </c>
      <c r="O11" s="69"/>
      <c r="P11" s="69" t="s">
        <v>310</v>
      </c>
      <c r="Q11" s="69" t="s">
        <v>310</v>
      </c>
      <c r="R11" s="96" t="s">
        <v>310</v>
      </c>
      <c r="S11" s="96" t="s">
        <v>310</v>
      </c>
      <c r="T11" s="96" t="s">
        <v>310</v>
      </c>
      <c r="U11" s="69" t="s">
        <v>310</v>
      </c>
      <c r="V11" s="69" t="s">
        <v>310</v>
      </c>
      <c r="W11" s="69"/>
      <c r="X11" s="69"/>
      <c r="Y11" s="69"/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/>
      <c r="AG11" s="69" t="s">
        <v>310</v>
      </c>
      <c r="AH11" s="69"/>
      <c r="AI11" s="69"/>
      <c r="AJ11" s="69" t="s">
        <v>310</v>
      </c>
      <c r="AK11" s="69"/>
      <c r="AL11" s="69"/>
      <c r="AM11" s="69" t="s">
        <v>310</v>
      </c>
      <c r="AN11" s="69"/>
      <c r="AO11" s="69" t="s">
        <v>310</v>
      </c>
      <c r="AP11" s="69"/>
      <c r="AQ11" s="69" t="s">
        <v>310</v>
      </c>
      <c r="AR11" s="69" t="s">
        <v>310</v>
      </c>
      <c r="AS11" s="69" t="s">
        <v>310</v>
      </c>
      <c r="AT11" s="69" t="s">
        <v>310</v>
      </c>
      <c r="AU11" s="69"/>
      <c r="AV11" s="69" t="s">
        <v>310</v>
      </c>
      <c r="AW11" s="69"/>
      <c r="AX11" s="69" t="s">
        <v>310</v>
      </c>
      <c r="AY11" s="69" t="s">
        <v>310</v>
      </c>
      <c r="AZ11" s="69"/>
      <c r="BA11" s="69"/>
      <c r="BB11" s="69" t="s">
        <v>310</v>
      </c>
      <c r="BC11" s="69"/>
      <c r="BD11" s="69" t="s">
        <v>310</v>
      </c>
      <c r="BE11" s="96" t="s">
        <v>310</v>
      </c>
      <c r="BF11" s="69"/>
      <c r="BG11" s="69"/>
      <c r="BH11" s="69"/>
      <c r="BI11" s="69"/>
      <c r="BJ11" s="69" t="s">
        <v>310</v>
      </c>
      <c r="BK11" s="69"/>
      <c r="BL11" s="69" t="s">
        <v>310</v>
      </c>
      <c r="BM11" s="69" t="s">
        <v>310</v>
      </c>
      <c r="BN11" s="69"/>
    </row>
    <row r="12" spans="1:66" x14ac:dyDescent="0.2">
      <c r="A12" s="61" t="s">
        <v>3</v>
      </c>
      <c r="B12" s="68" t="s">
        <v>159</v>
      </c>
      <c r="C12" s="66">
        <v>17.5</v>
      </c>
      <c r="D12" s="64">
        <v>30</v>
      </c>
      <c r="E12" s="64">
        <f>IF(ISBLANK($D12),"0",IF(($D12-$D11)&gt;($C12-$C11),1,0))</f>
        <v>1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 t="s">
        <v>310</v>
      </c>
      <c r="N12" s="70"/>
      <c r="O12" s="70" t="s">
        <v>310</v>
      </c>
      <c r="P12" s="70"/>
      <c r="Q12" s="70"/>
      <c r="R12" s="97"/>
      <c r="S12" s="97"/>
      <c r="T12" s="97"/>
      <c r="U12" s="97"/>
      <c r="V12" s="70"/>
      <c r="W12" s="70" t="s">
        <v>310</v>
      </c>
      <c r="X12" s="70" t="s">
        <v>310</v>
      </c>
      <c r="Y12" s="70" t="s">
        <v>310</v>
      </c>
      <c r="Z12" s="70"/>
      <c r="AA12" s="70"/>
      <c r="AB12" s="70"/>
      <c r="AC12" s="70"/>
      <c r="AD12" s="70" t="s">
        <v>310</v>
      </c>
      <c r="AE12" s="70"/>
      <c r="AF12" s="70" t="s">
        <v>310</v>
      </c>
      <c r="AG12" s="70"/>
      <c r="AH12" s="70" t="s">
        <v>310</v>
      </c>
      <c r="AI12" s="70" t="s">
        <v>310</v>
      </c>
      <c r="AJ12" s="70"/>
      <c r="AK12" s="70" t="s">
        <v>310</v>
      </c>
      <c r="AL12" s="70" t="s">
        <v>310</v>
      </c>
      <c r="AM12" s="70"/>
      <c r="AN12" s="70" t="s">
        <v>310</v>
      </c>
      <c r="AO12" s="70"/>
      <c r="AP12" s="70" t="s">
        <v>310</v>
      </c>
      <c r="AQ12" s="70"/>
      <c r="AR12" s="97"/>
      <c r="AS12" s="70"/>
      <c r="AT12" s="70"/>
      <c r="AU12" s="70" t="s">
        <v>310</v>
      </c>
      <c r="AV12" s="70"/>
      <c r="AW12" s="70" t="s">
        <v>310</v>
      </c>
      <c r="AX12" s="70"/>
      <c r="AY12" s="70"/>
      <c r="AZ12" s="70" t="s">
        <v>310</v>
      </c>
      <c r="BA12" s="70" t="s">
        <v>310</v>
      </c>
      <c r="BB12" s="70"/>
      <c r="BC12" s="70" t="s">
        <v>310</v>
      </c>
      <c r="BD12" s="70"/>
      <c r="BE12" s="70"/>
      <c r="BF12" s="70"/>
      <c r="BG12" s="70" t="s">
        <v>310</v>
      </c>
      <c r="BH12" s="70" t="s">
        <v>310</v>
      </c>
      <c r="BI12" s="70" t="s">
        <v>310</v>
      </c>
      <c r="BJ12" s="70"/>
      <c r="BK12" s="70" t="s">
        <v>310</v>
      </c>
      <c r="BL12" s="70"/>
      <c r="BM12" s="70"/>
      <c r="BN12" s="70"/>
    </row>
    <row r="13" spans="1:66" x14ac:dyDescent="0.2">
      <c r="A13" s="59">
        <v>6</v>
      </c>
      <c r="B13" s="67" t="s">
        <v>138</v>
      </c>
      <c r="C13" s="65"/>
      <c r="D13" s="64">
        <v>555</v>
      </c>
      <c r="E13" s="64">
        <f>IF(ISBLANK($D13),"0",IF(($D14-$D13)&lt;($C14-$C13),1,0))</f>
        <v>1</v>
      </c>
      <c r="F13" s="64">
        <f t="shared" ca="1" si="1"/>
        <v>24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310</v>
      </c>
      <c r="L13" s="69"/>
      <c r="M13" s="69" t="s">
        <v>310</v>
      </c>
      <c r="N13" s="69"/>
      <c r="O13" s="69"/>
      <c r="P13" s="69"/>
      <c r="Q13" s="69"/>
      <c r="R13" s="96" t="s">
        <v>310</v>
      </c>
      <c r="S13" s="96" t="s">
        <v>310</v>
      </c>
      <c r="T13" s="96"/>
      <c r="U13" s="69"/>
      <c r="V13" s="69"/>
      <c r="W13" s="69" t="s">
        <v>310</v>
      </c>
      <c r="X13" s="69"/>
      <c r="Y13" s="69"/>
      <c r="Z13" s="69" t="s">
        <v>310</v>
      </c>
      <c r="AA13" s="69"/>
      <c r="AB13" s="69"/>
      <c r="AC13" s="69" t="s">
        <v>310</v>
      </c>
      <c r="AD13" s="69"/>
      <c r="AE13" s="69"/>
      <c r="AF13" s="69"/>
      <c r="AG13" s="69"/>
      <c r="AH13" s="69"/>
      <c r="AI13" s="69" t="s">
        <v>310</v>
      </c>
      <c r="AJ13" s="69"/>
      <c r="AK13" s="69"/>
      <c r="AL13" s="69"/>
      <c r="AM13" s="69" t="s">
        <v>310</v>
      </c>
      <c r="AN13" s="69" t="s">
        <v>310</v>
      </c>
      <c r="AO13" s="69"/>
      <c r="AP13" s="69" t="s">
        <v>310</v>
      </c>
      <c r="AQ13" s="69" t="s">
        <v>310</v>
      </c>
      <c r="AR13" s="96"/>
      <c r="AS13" s="69" t="s">
        <v>310</v>
      </c>
      <c r="AT13" s="69" t="s">
        <v>310</v>
      </c>
      <c r="AU13" s="69"/>
      <c r="AV13" s="69" t="s">
        <v>310</v>
      </c>
      <c r="AW13" s="69" t="s">
        <v>310</v>
      </c>
      <c r="AX13" s="69"/>
      <c r="AY13" s="69"/>
      <c r="AZ13" s="69" t="s">
        <v>310</v>
      </c>
      <c r="BA13" s="69" t="s">
        <v>310</v>
      </c>
      <c r="BB13" s="69"/>
      <c r="BC13" s="69" t="s">
        <v>310</v>
      </c>
      <c r="BD13" s="69" t="s">
        <v>310</v>
      </c>
      <c r="BE13" s="96"/>
      <c r="BF13" s="69"/>
      <c r="BG13" s="69"/>
      <c r="BH13" s="69" t="s">
        <v>310</v>
      </c>
      <c r="BI13" s="69" t="s">
        <v>310</v>
      </c>
      <c r="BJ13" s="69"/>
      <c r="BK13" s="69"/>
      <c r="BL13" s="69" t="s">
        <v>310</v>
      </c>
      <c r="BM13" s="69" t="s">
        <v>310</v>
      </c>
      <c r="BN13" s="69"/>
    </row>
    <row r="14" spans="1:66" x14ac:dyDescent="0.2">
      <c r="A14" s="61" t="s">
        <v>3</v>
      </c>
      <c r="B14" s="68" t="s">
        <v>248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/>
      <c r="N14" s="70" t="s">
        <v>310</v>
      </c>
      <c r="O14" s="70" t="s">
        <v>310</v>
      </c>
      <c r="P14" s="70" t="s">
        <v>310</v>
      </c>
      <c r="Q14" s="70" t="s">
        <v>310</v>
      </c>
      <c r="R14" s="97"/>
      <c r="S14" s="97"/>
      <c r="T14" s="97" t="s">
        <v>310</v>
      </c>
      <c r="U14" s="97" t="s">
        <v>310</v>
      </c>
      <c r="V14" s="70" t="s">
        <v>310</v>
      </c>
      <c r="W14" s="70"/>
      <c r="X14" s="70" t="s">
        <v>310</v>
      </c>
      <c r="Y14" s="70" t="s">
        <v>310</v>
      </c>
      <c r="Z14" s="70"/>
      <c r="AA14" s="70"/>
      <c r="AB14" s="70" t="s">
        <v>310</v>
      </c>
      <c r="AC14" s="70"/>
      <c r="AD14" s="70" t="s">
        <v>310</v>
      </c>
      <c r="AE14" s="70" t="s">
        <v>310</v>
      </c>
      <c r="AF14" s="70" t="s">
        <v>310</v>
      </c>
      <c r="AG14" s="70" t="s">
        <v>310</v>
      </c>
      <c r="AH14" s="70" t="s">
        <v>310</v>
      </c>
      <c r="AI14" s="70"/>
      <c r="AJ14" s="70" t="s">
        <v>310</v>
      </c>
      <c r="AK14" s="70" t="s">
        <v>310</v>
      </c>
      <c r="AL14" s="70" t="s">
        <v>310</v>
      </c>
      <c r="AM14" s="70"/>
      <c r="AN14" s="70"/>
      <c r="AO14" s="70" t="s">
        <v>310</v>
      </c>
      <c r="AP14" s="70"/>
      <c r="AQ14" s="70"/>
      <c r="AR14" s="70" t="s">
        <v>310</v>
      </c>
      <c r="AS14" s="70"/>
      <c r="AT14" s="70"/>
      <c r="AU14" s="70" t="s">
        <v>310</v>
      </c>
      <c r="AV14" s="70"/>
      <c r="AW14" s="70"/>
      <c r="AX14" s="70" t="s">
        <v>310</v>
      </c>
      <c r="AY14" s="70" t="s">
        <v>310</v>
      </c>
      <c r="AZ14" s="70"/>
      <c r="BA14" s="70"/>
      <c r="BB14" s="70" t="s">
        <v>310</v>
      </c>
      <c r="BC14" s="70"/>
      <c r="BD14" s="70"/>
      <c r="BE14" s="70" t="s">
        <v>310</v>
      </c>
      <c r="BF14" s="70"/>
      <c r="BG14" s="70" t="s">
        <v>310</v>
      </c>
      <c r="BH14" s="70"/>
      <c r="BI14" s="70"/>
      <c r="BJ14" s="70" t="s">
        <v>310</v>
      </c>
      <c r="BK14" s="70" t="s">
        <v>310</v>
      </c>
      <c r="BL14" s="70"/>
      <c r="BM14" s="70"/>
      <c r="BN14" s="70"/>
    </row>
    <row r="15" spans="1:66" x14ac:dyDescent="0.2">
      <c r="A15" s="59">
        <v>7</v>
      </c>
      <c r="B15" s="67" t="s">
        <v>236</v>
      </c>
      <c r="C15" s="65"/>
      <c r="D15" s="64">
        <v>22</v>
      </c>
      <c r="E15" s="64">
        <f>IF(ISBLANK($D15),"0",IF(($D16-$D15)&lt;($C16-$C15),1,0))</f>
        <v>1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310</v>
      </c>
      <c r="N15" s="69"/>
      <c r="O15" s="69"/>
      <c r="P15" s="69" t="s">
        <v>310</v>
      </c>
      <c r="Q15" s="69"/>
      <c r="R15" s="96" t="s">
        <v>310</v>
      </c>
      <c r="S15" s="96" t="s">
        <v>310</v>
      </c>
      <c r="T15" s="96"/>
      <c r="U15" s="96"/>
      <c r="V15" s="69"/>
      <c r="W15" s="69"/>
      <c r="X15" s="69" t="s">
        <v>310</v>
      </c>
      <c r="Y15" s="69"/>
      <c r="Z15" s="69"/>
      <c r="AA15" s="69"/>
      <c r="AB15" s="69"/>
      <c r="AC15" s="69"/>
      <c r="AD15" s="69"/>
      <c r="AE15" s="69" t="s">
        <v>310</v>
      </c>
      <c r="AF15" s="69" t="s">
        <v>310</v>
      </c>
      <c r="AG15" s="69"/>
      <c r="AH15" s="69" t="s">
        <v>310</v>
      </c>
      <c r="AI15" s="69"/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/>
      <c r="AR15" s="69" t="s">
        <v>310</v>
      </c>
      <c r="AS15" s="69"/>
      <c r="AT15" s="69" t="s">
        <v>310</v>
      </c>
      <c r="AU15" s="69" t="s">
        <v>310</v>
      </c>
      <c r="AV15" s="69" t="s">
        <v>310</v>
      </c>
      <c r="AW15" s="69" t="s">
        <v>310</v>
      </c>
      <c r="AX15" s="69" t="s">
        <v>310</v>
      </c>
      <c r="AY15" s="69"/>
      <c r="AZ15" s="69" t="s">
        <v>310</v>
      </c>
      <c r="BA15" s="69"/>
      <c r="BB15" s="69"/>
      <c r="BC15" s="69"/>
      <c r="BD15" s="69" t="s">
        <v>310</v>
      </c>
      <c r="BE15" s="96" t="s">
        <v>310</v>
      </c>
      <c r="BF15" s="69"/>
      <c r="BG15" s="69"/>
      <c r="BH15" s="69"/>
      <c r="BI15" s="69"/>
      <c r="BJ15" s="69" t="s">
        <v>310</v>
      </c>
      <c r="BK15" s="69"/>
      <c r="BL15" s="69"/>
      <c r="BM15" s="69"/>
      <c r="BN15" s="69"/>
    </row>
    <row r="16" spans="1:66" x14ac:dyDescent="0.2">
      <c r="A16" s="61" t="s">
        <v>3</v>
      </c>
      <c r="B16" s="68" t="s">
        <v>142</v>
      </c>
      <c r="C16" s="66">
        <v>9.5</v>
      </c>
      <c r="D16" s="64">
        <v>27</v>
      </c>
      <c r="E16" s="64">
        <f>IF(ISBLANK($D16),"0",IF(($D16-$D15)&gt;($C16-$C15),1,0))</f>
        <v>0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/>
      <c r="N16" s="70" t="s">
        <v>310</v>
      </c>
      <c r="O16" s="70" t="s">
        <v>310</v>
      </c>
      <c r="P16" s="70"/>
      <c r="Q16" s="70" t="s">
        <v>310</v>
      </c>
      <c r="R16" s="70"/>
      <c r="S16" s="70"/>
      <c r="T16" s="70" t="s">
        <v>310</v>
      </c>
      <c r="U16" s="70" t="s">
        <v>310</v>
      </c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/>
      <c r="AB16" s="70" t="s">
        <v>310</v>
      </c>
      <c r="AC16" s="70" t="s">
        <v>310</v>
      </c>
      <c r="AD16" s="70" t="s">
        <v>310</v>
      </c>
      <c r="AE16" s="70"/>
      <c r="AF16" s="70"/>
      <c r="AG16" s="70" t="s">
        <v>310</v>
      </c>
      <c r="AH16" s="70"/>
      <c r="AI16" s="70" t="s">
        <v>310</v>
      </c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 t="s">
        <v>310</v>
      </c>
      <c r="AQ16" s="70" t="s">
        <v>310</v>
      </c>
      <c r="AR16" s="97"/>
      <c r="AS16" s="70" t="s">
        <v>310</v>
      </c>
      <c r="AT16" s="70"/>
      <c r="AU16" s="70"/>
      <c r="AV16" s="70"/>
      <c r="AW16" s="70"/>
      <c r="AX16" s="70"/>
      <c r="AY16" s="70" t="s">
        <v>310</v>
      </c>
      <c r="AZ16" s="70"/>
      <c r="BA16" s="70" t="s">
        <v>310</v>
      </c>
      <c r="BB16" s="70" t="s">
        <v>310</v>
      </c>
      <c r="BC16" s="70" t="s">
        <v>310</v>
      </c>
      <c r="BD16" s="70"/>
      <c r="BE16" s="70"/>
      <c r="BF16" s="70"/>
      <c r="BG16" s="70" t="s">
        <v>310</v>
      </c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 t="s">
        <v>310</v>
      </c>
      <c r="BN16" s="70"/>
    </row>
    <row r="17" spans="1:66" x14ac:dyDescent="0.2">
      <c r="A17" s="59">
        <v>8</v>
      </c>
      <c r="B17" s="67" t="s">
        <v>153</v>
      </c>
      <c r="C17" s="65">
        <v>7.5</v>
      </c>
      <c r="D17" s="64">
        <v>34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310</v>
      </c>
      <c r="N17" s="69" t="s">
        <v>310</v>
      </c>
      <c r="O17" s="69" t="s">
        <v>310</v>
      </c>
      <c r="P17" s="69"/>
      <c r="Q17" s="69" t="s">
        <v>310</v>
      </c>
      <c r="R17" s="69" t="s">
        <v>310</v>
      </c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 t="s">
        <v>310</v>
      </c>
      <c r="AA17" s="69"/>
      <c r="AB17" s="69" t="s">
        <v>310</v>
      </c>
      <c r="AC17" s="69"/>
      <c r="AD17" s="69" t="s">
        <v>310</v>
      </c>
      <c r="AE17" s="69" t="s">
        <v>310</v>
      </c>
      <c r="AF17" s="69" t="s">
        <v>310</v>
      </c>
      <c r="AG17" s="69" t="s">
        <v>310</v>
      </c>
      <c r="AH17" s="69" t="s">
        <v>310</v>
      </c>
      <c r="AI17" s="69" t="s">
        <v>310</v>
      </c>
      <c r="AJ17" s="69" t="s">
        <v>310</v>
      </c>
      <c r="AK17" s="69" t="s">
        <v>310</v>
      </c>
      <c r="AL17" s="69" t="s">
        <v>310</v>
      </c>
      <c r="AM17" s="69"/>
      <c r="AN17" s="69" t="s">
        <v>310</v>
      </c>
      <c r="AO17" s="69"/>
      <c r="AP17" s="69" t="s">
        <v>310</v>
      </c>
      <c r="AQ17" s="69" t="s">
        <v>310</v>
      </c>
      <c r="AR17" s="96"/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/>
      <c r="BG17" s="69" t="s">
        <v>310</v>
      </c>
      <c r="BH17" s="69"/>
      <c r="BI17" s="69" t="s">
        <v>310</v>
      </c>
      <c r="BJ17" s="69" t="s">
        <v>310</v>
      </c>
      <c r="BK17" s="69" t="s">
        <v>310</v>
      </c>
      <c r="BL17" s="69" t="s">
        <v>310</v>
      </c>
      <c r="BM17" s="69" t="s">
        <v>310</v>
      </c>
      <c r="BN17" s="69"/>
    </row>
    <row r="18" spans="1:66" x14ac:dyDescent="0.2">
      <c r="A18" s="61" t="s">
        <v>3</v>
      </c>
      <c r="B18" s="68" t="s">
        <v>160</v>
      </c>
      <c r="C18" s="66"/>
      <c r="D18" s="64">
        <v>45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/>
      <c r="O18" s="70"/>
      <c r="P18" s="70" t="s">
        <v>310</v>
      </c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 t="s">
        <v>310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 t="s">
        <v>310</v>
      </c>
      <c r="AN18" s="70"/>
      <c r="AO18" s="70" t="s">
        <v>310</v>
      </c>
      <c r="AP18" s="70"/>
      <c r="AQ18" s="70"/>
      <c r="AR18" s="70" t="s">
        <v>310</v>
      </c>
      <c r="AS18" s="70" t="s">
        <v>310</v>
      </c>
      <c r="AT18" s="70"/>
      <c r="AU18" s="70"/>
      <c r="AV18" s="70"/>
      <c r="AW18" s="70"/>
      <c r="AX18" s="70"/>
      <c r="AY18" s="70"/>
      <c r="AZ18" s="70" t="s">
        <v>310</v>
      </c>
      <c r="BA18" s="70" t="s">
        <v>310</v>
      </c>
      <c r="BB18" s="70"/>
      <c r="BC18" s="70"/>
      <c r="BD18" s="70"/>
      <c r="BE18" s="97"/>
      <c r="BF18" s="70"/>
      <c r="BG18" s="70"/>
      <c r="BH18" s="70" t="s">
        <v>310</v>
      </c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245</v>
      </c>
      <c r="C19" s="65"/>
      <c r="D19" s="64">
        <v>13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310</v>
      </c>
      <c r="L19" s="69"/>
      <c r="M19" s="69"/>
      <c r="N19" s="69" t="s">
        <v>310</v>
      </c>
      <c r="O19" s="69" t="s">
        <v>310</v>
      </c>
      <c r="P19" s="69"/>
      <c r="Q19" s="69"/>
      <c r="R19" s="69" t="s">
        <v>310</v>
      </c>
      <c r="S19" s="69"/>
      <c r="T19" s="69"/>
      <c r="U19" s="96"/>
      <c r="V19" s="69"/>
      <c r="W19" s="69"/>
      <c r="X19" s="69"/>
      <c r="Y19" s="69"/>
      <c r="Z19" s="69" t="s">
        <v>310</v>
      </c>
      <c r="AA19" s="69"/>
      <c r="AB19" s="69"/>
      <c r="AC19" s="69" t="s">
        <v>310</v>
      </c>
      <c r="AD19" s="69"/>
      <c r="AE19" s="69" t="s">
        <v>310</v>
      </c>
      <c r="AF19" s="69"/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/>
      <c r="AO19" s="69"/>
      <c r="AP19" s="69"/>
      <c r="AQ19" s="69"/>
      <c r="AR19" s="69" t="s">
        <v>310</v>
      </c>
      <c r="AS19" s="69" t="s">
        <v>310</v>
      </c>
      <c r="AT19" s="69" t="s">
        <v>310</v>
      </c>
      <c r="AU19" s="69" t="s">
        <v>310</v>
      </c>
      <c r="AV19" s="69" t="s">
        <v>310</v>
      </c>
      <c r="AW19" s="69"/>
      <c r="AX19" s="69"/>
      <c r="AY19" s="69"/>
      <c r="AZ19" s="69" t="s">
        <v>310</v>
      </c>
      <c r="BA19" s="69"/>
      <c r="BB19" s="69" t="s">
        <v>310</v>
      </c>
      <c r="BC19" s="69" t="s">
        <v>310</v>
      </c>
      <c r="BD19" s="69" t="s">
        <v>310</v>
      </c>
      <c r="BE19" s="69" t="s">
        <v>310</v>
      </c>
      <c r="BF19" s="69"/>
      <c r="BG19" s="69" t="s">
        <v>310</v>
      </c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 t="s">
        <v>155</v>
      </c>
      <c r="C20" s="66">
        <v>6.5</v>
      </c>
      <c r="D20" s="64">
        <v>31</v>
      </c>
      <c r="E20" s="64">
        <f>IF(ISBLANK($D20),"0",IF(($D20-$D19)&gt;($C20-$C19),1,0))</f>
        <v>1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 t="s">
        <v>310</v>
      </c>
      <c r="N20" s="70"/>
      <c r="O20" s="70"/>
      <c r="P20" s="70" t="s">
        <v>310</v>
      </c>
      <c r="Q20" s="70" t="s">
        <v>310</v>
      </c>
      <c r="R20" s="70"/>
      <c r="S20" s="70" t="s">
        <v>310</v>
      </c>
      <c r="T20" s="70" t="s">
        <v>310</v>
      </c>
      <c r="U20" s="70" t="s">
        <v>310</v>
      </c>
      <c r="V20" s="70" t="s">
        <v>310</v>
      </c>
      <c r="W20" s="70" t="s">
        <v>310</v>
      </c>
      <c r="X20" s="70" t="s">
        <v>310</v>
      </c>
      <c r="Y20" s="70" t="s">
        <v>310</v>
      </c>
      <c r="Z20" s="70"/>
      <c r="AA20" s="70"/>
      <c r="AB20" s="70" t="s">
        <v>310</v>
      </c>
      <c r="AC20" s="70"/>
      <c r="AD20" s="70" t="s">
        <v>310</v>
      </c>
      <c r="AE20" s="70"/>
      <c r="AF20" s="70" t="s">
        <v>310</v>
      </c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 t="s">
        <v>310</v>
      </c>
      <c r="AO20" s="70" t="s">
        <v>310</v>
      </c>
      <c r="AP20" s="70" t="s">
        <v>310</v>
      </c>
      <c r="AQ20" s="70" t="s">
        <v>310</v>
      </c>
      <c r="AR20" s="97"/>
      <c r="AS20" s="70"/>
      <c r="AT20" s="70"/>
      <c r="AU20" s="70"/>
      <c r="AV20" s="70"/>
      <c r="AW20" s="70" t="s">
        <v>310</v>
      </c>
      <c r="AX20" s="70" t="s">
        <v>310</v>
      </c>
      <c r="AY20" s="70" t="s">
        <v>310</v>
      </c>
      <c r="AZ20" s="70"/>
      <c r="BA20" s="70" t="s">
        <v>310</v>
      </c>
      <c r="BB20" s="70"/>
      <c r="BC20" s="70"/>
      <c r="BD20" s="70"/>
      <c r="BE20" s="97"/>
      <c r="BF20" s="70"/>
      <c r="BG20" s="70"/>
      <c r="BH20" s="70" t="s">
        <v>310</v>
      </c>
      <c r="BI20" s="70" t="s">
        <v>310</v>
      </c>
      <c r="BJ20" s="70" t="s">
        <v>310</v>
      </c>
      <c r="BK20" s="70" t="s">
        <v>310</v>
      </c>
      <c r="BL20" s="70" t="s">
        <v>310</v>
      </c>
      <c r="BM20" s="70" t="s">
        <v>310</v>
      </c>
      <c r="BN20" s="70"/>
    </row>
    <row r="21" spans="1:66" x14ac:dyDescent="0.2">
      <c r="A21" s="59">
        <v>10</v>
      </c>
      <c r="B21" s="67" t="s">
        <v>162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/>
      <c r="M21" s="69"/>
      <c r="N21" s="69"/>
      <c r="O21" s="69" t="s">
        <v>310</v>
      </c>
      <c r="P21" s="69" t="s">
        <v>310</v>
      </c>
      <c r="Q21" s="69"/>
      <c r="R21" s="69"/>
      <c r="S21" s="69" t="s">
        <v>310</v>
      </c>
      <c r="T21" s="69"/>
      <c r="U21" s="96"/>
      <c r="V21" s="69" t="s">
        <v>310</v>
      </c>
      <c r="W21" s="69"/>
      <c r="X21" s="69" t="s">
        <v>310</v>
      </c>
      <c r="Y21" s="69"/>
      <c r="Z21" s="69"/>
      <c r="AA21" s="69"/>
      <c r="AB21" s="69" t="s">
        <v>310</v>
      </c>
      <c r="AC21" s="69" t="s">
        <v>310</v>
      </c>
      <c r="AD21" s="69" t="s">
        <v>310</v>
      </c>
      <c r="AE21" s="69"/>
      <c r="AF21" s="69" t="s">
        <v>310</v>
      </c>
      <c r="AG21" s="69"/>
      <c r="AH21" s="69"/>
      <c r="AI21" s="69" t="s">
        <v>310</v>
      </c>
      <c r="AJ21" s="69" t="s">
        <v>310</v>
      </c>
      <c r="AK21" s="69"/>
      <c r="AL21" s="69" t="s">
        <v>310</v>
      </c>
      <c r="AM21" s="69" t="s">
        <v>310</v>
      </c>
      <c r="AN21" s="69"/>
      <c r="AO21" s="69"/>
      <c r="AP21" s="69" t="s">
        <v>310</v>
      </c>
      <c r="AQ21" s="69" t="s">
        <v>310</v>
      </c>
      <c r="AR21" s="96"/>
      <c r="AS21" s="69" t="s">
        <v>310</v>
      </c>
      <c r="AT21" s="69" t="s">
        <v>310</v>
      </c>
      <c r="AU21" s="69" t="s">
        <v>310</v>
      </c>
      <c r="AV21" s="69"/>
      <c r="AW21" s="69"/>
      <c r="AX21" s="69" t="s">
        <v>310</v>
      </c>
      <c r="AY21" s="69" t="s">
        <v>310</v>
      </c>
      <c r="AZ21" s="69"/>
      <c r="BA21" s="69"/>
      <c r="BB21" s="69"/>
      <c r="BC21" s="69" t="s">
        <v>310</v>
      </c>
      <c r="BD21" s="69" t="s">
        <v>310</v>
      </c>
      <c r="BE21" s="96" t="s">
        <v>310</v>
      </c>
      <c r="BF21" s="69"/>
      <c r="BG21" s="69"/>
      <c r="BH21" s="69"/>
      <c r="BI21" s="69" t="s">
        <v>310</v>
      </c>
      <c r="BJ21" s="69" t="s">
        <v>310</v>
      </c>
      <c r="BK21" s="69"/>
      <c r="BL21" s="69"/>
      <c r="BM21" s="69" t="s">
        <v>310</v>
      </c>
      <c r="BN21" s="69"/>
    </row>
    <row r="22" spans="1:66" x14ac:dyDescent="0.2">
      <c r="A22" s="61" t="s">
        <v>3</v>
      </c>
      <c r="B22" s="68" t="s">
        <v>202</v>
      </c>
      <c r="C22" s="66">
        <v>6.5</v>
      </c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310</v>
      </c>
      <c r="N22" s="70" t="s">
        <v>310</v>
      </c>
      <c r="O22" s="70"/>
      <c r="P22" s="70"/>
      <c r="Q22" s="70" t="s">
        <v>310</v>
      </c>
      <c r="R22" s="70" t="s">
        <v>310</v>
      </c>
      <c r="S22" s="70"/>
      <c r="T22" s="70" t="s">
        <v>310</v>
      </c>
      <c r="U22" s="70" t="s">
        <v>310</v>
      </c>
      <c r="V22" s="70"/>
      <c r="W22" s="70" t="s">
        <v>310</v>
      </c>
      <c r="X22" s="70"/>
      <c r="Y22" s="70" t="s">
        <v>310</v>
      </c>
      <c r="Z22" s="70" t="s">
        <v>310</v>
      </c>
      <c r="AA22" s="70"/>
      <c r="AB22" s="70"/>
      <c r="AC22" s="70"/>
      <c r="AD22" s="70"/>
      <c r="AE22" s="70" t="s">
        <v>310</v>
      </c>
      <c r="AF22" s="70"/>
      <c r="AG22" s="70" t="s">
        <v>310</v>
      </c>
      <c r="AH22" s="70" t="s">
        <v>310</v>
      </c>
      <c r="AI22" s="70"/>
      <c r="AJ22" s="70"/>
      <c r="AK22" s="70" t="s">
        <v>310</v>
      </c>
      <c r="AL22" s="70"/>
      <c r="AM22" s="70"/>
      <c r="AN22" s="70" t="s">
        <v>310</v>
      </c>
      <c r="AO22" s="70" t="s">
        <v>310</v>
      </c>
      <c r="AP22" s="70"/>
      <c r="AQ22" s="70"/>
      <c r="AR22" s="70" t="s">
        <v>310</v>
      </c>
      <c r="AS22" s="70"/>
      <c r="AT22" s="70"/>
      <c r="AU22" s="70"/>
      <c r="AV22" s="70" t="s">
        <v>310</v>
      </c>
      <c r="AW22" s="70" t="s">
        <v>310</v>
      </c>
      <c r="AX22" s="70"/>
      <c r="AY22" s="70"/>
      <c r="AZ22" s="70" t="s">
        <v>310</v>
      </c>
      <c r="BA22" s="70" t="s">
        <v>310</v>
      </c>
      <c r="BB22" s="70" t="s">
        <v>310</v>
      </c>
      <c r="BC22" s="70"/>
      <c r="BD22" s="70"/>
      <c r="BE22" s="70"/>
      <c r="BF22" s="70"/>
      <c r="BG22" s="70" t="s">
        <v>310</v>
      </c>
      <c r="BH22" s="70" t="s">
        <v>310</v>
      </c>
      <c r="BI22" s="70"/>
      <c r="BJ22" s="70"/>
      <c r="BK22" s="70" t="s">
        <v>310</v>
      </c>
      <c r="BL22" s="70" t="s">
        <v>310</v>
      </c>
      <c r="BM22" s="70"/>
      <c r="BN22" s="70"/>
    </row>
    <row r="23" spans="1:66" x14ac:dyDescent="0.2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28</v>
      </c>
      <c r="L23" s="78"/>
      <c r="M23" s="78">
        <v>24</v>
      </c>
      <c r="N23" s="80">
        <v>17</v>
      </c>
      <c r="O23" s="78">
        <v>16</v>
      </c>
      <c r="P23" s="78">
        <v>25</v>
      </c>
      <c r="Q23" s="78">
        <v>21</v>
      </c>
      <c r="R23" s="78">
        <v>17</v>
      </c>
      <c r="S23" s="78">
        <v>32</v>
      </c>
      <c r="T23" s="78">
        <v>17</v>
      </c>
      <c r="U23" s="78">
        <v>21</v>
      </c>
      <c r="V23" s="78">
        <v>10</v>
      </c>
      <c r="W23" s="78">
        <v>10</v>
      </c>
      <c r="X23" s="78">
        <v>20</v>
      </c>
      <c r="Y23" s="78">
        <v>21</v>
      </c>
      <c r="Z23" s="78">
        <v>24</v>
      </c>
      <c r="AA23" s="78"/>
      <c r="AB23" s="78">
        <v>31</v>
      </c>
      <c r="AC23" s="78">
        <v>25</v>
      </c>
      <c r="AD23" s="78">
        <v>23</v>
      </c>
      <c r="AE23" s="78">
        <v>24</v>
      </c>
      <c r="AF23" s="78">
        <v>35</v>
      </c>
      <c r="AG23" s="78">
        <v>23</v>
      </c>
      <c r="AH23" s="78">
        <v>21</v>
      </c>
      <c r="AI23" s="78">
        <v>27</v>
      </c>
      <c r="AJ23" s="78">
        <v>27</v>
      </c>
      <c r="AK23" s="78">
        <v>20</v>
      </c>
      <c r="AL23" s="78">
        <v>35</v>
      </c>
      <c r="AM23" s="78">
        <v>24</v>
      </c>
      <c r="AN23" s="78">
        <v>21</v>
      </c>
      <c r="AO23" s="78">
        <v>17</v>
      </c>
      <c r="AP23" s="78">
        <v>27</v>
      </c>
      <c r="AQ23" s="78">
        <v>20</v>
      </c>
      <c r="AR23" s="78">
        <v>20</v>
      </c>
      <c r="AS23" s="78">
        <v>27</v>
      </c>
      <c r="AT23" s="78">
        <v>23</v>
      </c>
      <c r="AU23" s="78">
        <v>65</v>
      </c>
      <c r="AV23" s="78">
        <v>21</v>
      </c>
      <c r="AW23" s="78">
        <v>12</v>
      </c>
      <c r="AX23" s="78">
        <v>34</v>
      </c>
      <c r="AY23" s="78">
        <v>17</v>
      </c>
      <c r="AZ23" s="78">
        <v>25</v>
      </c>
      <c r="BA23" s="78">
        <v>14</v>
      </c>
      <c r="BB23" s="78">
        <v>21</v>
      </c>
      <c r="BC23" s="78">
        <v>24</v>
      </c>
      <c r="BD23" s="78">
        <v>27</v>
      </c>
      <c r="BE23" s="78">
        <v>21</v>
      </c>
      <c r="BF23" s="78"/>
      <c r="BG23" s="78">
        <v>8</v>
      </c>
      <c r="BH23" s="78">
        <v>17</v>
      </c>
      <c r="BI23" s="78">
        <v>42</v>
      </c>
      <c r="BJ23" s="78">
        <v>24</v>
      </c>
      <c r="BK23" s="78">
        <v>28</v>
      </c>
      <c r="BL23" s="78">
        <v>40</v>
      </c>
      <c r="BM23" s="78">
        <v>30</v>
      </c>
      <c r="BN23" s="78"/>
    </row>
    <row r="24" spans="1:66" x14ac:dyDescent="0.2">
      <c r="A24" s="61"/>
      <c r="B24" s="68" t="str">
        <f>B22&amp; " - score"</f>
        <v>Ohio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24</v>
      </c>
      <c r="L24" s="79"/>
      <c r="M24" s="79">
        <v>31</v>
      </c>
      <c r="N24" s="79">
        <v>24</v>
      </c>
      <c r="O24" s="79">
        <v>21</v>
      </c>
      <c r="P24" s="79">
        <v>22</v>
      </c>
      <c r="Q24" s="79">
        <v>28</v>
      </c>
      <c r="R24" s="79">
        <v>27</v>
      </c>
      <c r="S24" s="79">
        <v>35</v>
      </c>
      <c r="T24" s="79">
        <v>31</v>
      </c>
      <c r="U24" s="79">
        <v>28</v>
      </c>
      <c r="V24" s="79">
        <v>15</v>
      </c>
      <c r="W24" s="79">
        <v>24</v>
      </c>
      <c r="X24" s="79">
        <v>14</v>
      </c>
      <c r="Y24" s="79">
        <v>35</v>
      </c>
      <c r="Z24" s="79">
        <v>35</v>
      </c>
      <c r="AA24" s="79"/>
      <c r="AB24" s="79">
        <v>28</v>
      </c>
      <c r="AC24" s="79">
        <v>12</v>
      </c>
      <c r="AD24" s="79">
        <v>27</v>
      </c>
      <c r="AE24" s="79">
        <v>45</v>
      </c>
      <c r="AF24" s="79">
        <v>31</v>
      </c>
      <c r="AG24" s="79">
        <v>30</v>
      </c>
      <c r="AH24" s="79">
        <v>34</v>
      </c>
      <c r="AI24" s="79">
        <v>24</v>
      </c>
      <c r="AJ24" s="79">
        <v>21</v>
      </c>
      <c r="AK24" s="79">
        <v>61</v>
      </c>
      <c r="AL24" s="79">
        <v>28</v>
      </c>
      <c r="AM24" s="79">
        <v>21</v>
      </c>
      <c r="AN24" s="79">
        <v>28</v>
      </c>
      <c r="AO24" s="79">
        <v>30</v>
      </c>
      <c r="AP24" s="79">
        <v>31</v>
      </c>
      <c r="AQ24" s="79">
        <v>23</v>
      </c>
      <c r="AR24" s="79">
        <v>55</v>
      </c>
      <c r="AS24" s="79">
        <v>31</v>
      </c>
      <c r="AT24" s="79">
        <v>20</v>
      </c>
      <c r="AU24" s="79">
        <v>26</v>
      </c>
      <c r="AV24" s="79">
        <v>33</v>
      </c>
      <c r="AW24" s="79">
        <v>20</v>
      </c>
      <c r="AX24" s="79">
        <v>24</v>
      </c>
      <c r="AY24" s="79">
        <v>22</v>
      </c>
      <c r="AZ24" s="79">
        <v>40</v>
      </c>
      <c r="BA24" s="79">
        <v>21</v>
      </c>
      <c r="BB24" s="79">
        <v>28</v>
      </c>
      <c r="BC24" s="79">
        <v>20</v>
      </c>
      <c r="BD24" s="79">
        <v>31</v>
      </c>
      <c r="BE24" s="79">
        <v>17</v>
      </c>
      <c r="BF24" s="79"/>
      <c r="BG24" s="79">
        <v>24</v>
      </c>
      <c r="BH24" s="79">
        <v>27</v>
      </c>
      <c r="BI24" s="79">
        <v>25</v>
      </c>
      <c r="BJ24" s="79">
        <v>27</v>
      </c>
      <c r="BK24" s="79">
        <v>42</v>
      </c>
      <c r="BL24" s="79">
        <v>47</v>
      </c>
      <c r="BM24" s="79">
        <v>27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2</v>
      </c>
      <c r="P25" s="36">
        <f t="shared" si="3"/>
        <v>6</v>
      </c>
      <c r="Q25" s="36">
        <f t="shared" si="3"/>
        <v>2</v>
      </c>
      <c r="R25" s="36">
        <f t="shared" si="3"/>
        <v>4</v>
      </c>
      <c r="S25" s="36">
        <f t="shared" si="3"/>
        <v>8</v>
      </c>
      <c r="T25" s="36">
        <f t="shared" si="3"/>
        <v>3</v>
      </c>
      <c r="U25" s="36">
        <f t="shared" si="3"/>
        <v>4</v>
      </c>
      <c r="V25" s="36">
        <f t="shared" si="3"/>
        <v>4</v>
      </c>
      <c r="W25" s="36">
        <f t="shared" si="3"/>
        <v>7</v>
      </c>
      <c r="X25" s="36">
        <f t="shared" si="3"/>
        <v>7</v>
      </c>
      <c r="Y25" s="36">
        <f t="shared" si="3"/>
        <v>4</v>
      </c>
      <c r="Z25" s="36">
        <f t="shared" si="3"/>
        <v>2</v>
      </c>
      <c r="AA25" s="36">
        <f t="shared" si="3"/>
        <v>0</v>
      </c>
      <c r="AB25" s="36">
        <f t="shared" si="3"/>
        <v>3</v>
      </c>
      <c r="AC25" s="36">
        <f t="shared" si="3"/>
        <v>7</v>
      </c>
      <c r="AD25" s="36">
        <f t="shared" si="3"/>
        <v>6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7</v>
      </c>
      <c r="AN25" s="36">
        <f t="shared" si="3"/>
        <v>5</v>
      </c>
      <c r="AO25" s="36">
        <f t="shared" si="3"/>
        <v>4</v>
      </c>
      <c r="AP25" s="36">
        <f t="shared" si="3"/>
        <v>7</v>
      </c>
      <c r="AQ25" s="36">
        <f t="shared" si="3"/>
        <v>6</v>
      </c>
      <c r="AR25" s="36">
        <f t="shared" si="3"/>
        <v>3</v>
      </c>
      <c r="AS25" s="36">
        <f t="shared" si="3"/>
        <v>4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7</v>
      </c>
      <c r="AX25" s="36">
        <f t="shared" si="3"/>
        <v>7</v>
      </c>
      <c r="AY25" s="36">
        <f t="shared" si="3"/>
        <v>3</v>
      </c>
      <c r="AZ25" s="36">
        <f t="shared" si="3"/>
        <v>5</v>
      </c>
      <c r="BA25" s="36">
        <f t="shared" si="3"/>
        <v>5</v>
      </c>
      <c r="BB25" s="36">
        <f t="shared" si="3"/>
        <v>2</v>
      </c>
      <c r="BC25" s="36">
        <f t="shared" si="3"/>
        <v>5</v>
      </c>
      <c r="BD25" s="36">
        <f t="shared" si="3"/>
        <v>4</v>
      </c>
      <c r="BE25" s="36">
        <f t="shared" si="3"/>
        <v>3</v>
      </c>
      <c r="BF25" s="36">
        <f t="shared" si="3"/>
        <v>0</v>
      </c>
      <c r="BG25" s="36">
        <f t="shared" si="3"/>
        <v>4</v>
      </c>
      <c r="BH25" s="36">
        <f t="shared" si="3"/>
        <v>6</v>
      </c>
      <c r="BI25" s="36">
        <f t="shared" si="3"/>
        <v>7</v>
      </c>
      <c r="BJ25" s="36">
        <f t="shared" si="3"/>
        <v>7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7</v>
      </c>
      <c r="L26" s="71">
        <f t="shared" si="4"/>
        <v>3</v>
      </c>
      <c r="M26" s="71">
        <f t="shared" si="4"/>
        <v>4</v>
      </c>
      <c r="N26" s="71">
        <f t="shared" si="4"/>
        <v>4</v>
      </c>
      <c r="O26" s="71">
        <f t="shared" si="4"/>
        <v>2</v>
      </c>
      <c r="P26" s="71">
        <f t="shared" si="4"/>
        <v>6</v>
      </c>
      <c r="Q26" s="71">
        <f t="shared" si="4"/>
        <v>4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4</v>
      </c>
      <c r="V26" s="71">
        <f t="shared" si="4"/>
        <v>2</v>
      </c>
      <c r="W26" s="71">
        <f t="shared" si="4"/>
        <v>11</v>
      </c>
      <c r="X26" s="71">
        <f t="shared" si="4"/>
        <v>9</v>
      </c>
      <c r="Y26" s="71">
        <f t="shared" si="4"/>
        <v>11</v>
      </c>
      <c r="Z26" s="71">
        <f t="shared" si="4"/>
        <v>8</v>
      </c>
      <c r="AA26" s="71">
        <f t="shared" si="4"/>
        <v>3</v>
      </c>
      <c r="AB26" s="71">
        <f t="shared" si="4"/>
        <v>6</v>
      </c>
      <c r="AC26" s="71">
        <f t="shared" si="4"/>
        <v>16</v>
      </c>
      <c r="AD26" s="71">
        <f t="shared" si="4"/>
        <v>1</v>
      </c>
      <c r="AE26" s="71">
        <f t="shared" si="4"/>
        <v>18</v>
      </c>
      <c r="AF26" s="71">
        <f t="shared" si="4"/>
        <v>7</v>
      </c>
      <c r="AG26" s="71">
        <f t="shared" si="4"/>
        <v>4</v>
      </c>
      <c r="AH26" s="71">
        <f t="shared" si="4"/>
        <v>10</v>
      </c>
      <c r="AI26" s="71">
        <f t="shared" si="4"/>
        <v>6</v>
      </c>
      <c r="AJ26" s="71">
        <f t="shared" si="4"/>
        <v>9</v>
      </c>
      <c r="AK26" s="71">
        <f t="shared" si="4"/>
        <v>38</v>
      </c>
      <c r="AL26" s="71">
        <f t="shared" si="4"/>
        <v>10</v>
      </c>
      <c r="AM26" s="71">
        <f t="shared" si="4"/>
        <v>6</v>
      </c>
      <c r="AN26" s="71">
        <f t="shared" si="4"/>
        <v>4</v>
      </c>
      <c r="AO26" s="71">
        <f t="shared" si="4"/>
        <v>10</v>
      </c>
      <c r="AP26" s="71">
        <f t="shared" si="4"/>
        <v>1</v>
      </c>
      <c r="AQ26" s="71">
        <f t="shared" si="4"/>
        <v>0</v>
      </c>
      <c r="AR26" s="71">
        <f t="shared" si="4"/>
        <v>32</v>
      </c>
      <c r="AS26" s="71">
        <f t="shared" si="4"/>
        <v>1</v>
      </c>
      <c r="AT26" s="71">
        <f t="shared" si="4"/>
        <v>6</v>
      </c>
      <c r="AU26" s="71">
        <f t="shared" si="4"/>
        <v>42</v>
      </c>
      <c r="AV26" s="71">
        <f t="shared" si="4"/>
        <v>9</v>
      </c>
      <c r="AW26" s="71">
        <f t="shared" si="4"/>
        <v>5</v>
      </c>
      <c r="AX26" s="71">
        <f t="shared" si="4"/>
        <v>13</v>
      </c>
      <c r="AY26" s="71">
        <f t="shared" si="4"/>
        <v>2</v>
      </c>
      <c r="AZ26" s="71">
        <f t="shared" si="4"/>
        <v>12</v>
      </c>
      <c r="BA26" s="71">
        <f t="shared" si="4"/>
        <v>4</v>
      </c>
      <c r="BB26" s="71">
        <f t="shared" si="4"/>
        <v>4</v>
      </c>
      <c r="BC26" s="71">
        <f t="shared" si="4"/>
        <v>7</v>
      </c>
      <c r="BD26" s="71">
        <f t="shared" si="4"/>
        <v>1</v>
      </c>
      <c r="BE26" s="71">
        <f t="shared" si="4"/>
        <v>7</v>
      </c>
      <c r="BF26" s="71">
        <f t="shared" si="4"/>
        <v>3</v>
      </c>
      <c r="BG26" s="71">
        <f t="shared" si="4"/>
        <v>13</v>
      </c>
      <c r="BH26" s="71">
        <f t="shared" si="4"/>
        <v>7</v>
      </c>
      <c r="BI26" s="71">
        <f t="shared" si="4"/>
        <v>20</v>
      </c>
      <c r="BJ26" s="71">
        <f t="shared" si="4"/>
        <v>0</v>
      </c>
      <c r="BK26" s="71">
        <f t="shared" si="4"/>
        <v>11</v>
      </c>
      <c r="BL26" s="71">
        <f t="shared" si="4"/>
        <v>4</v>
      </c>
      <c r="BM26" s="71">
        <f t="shared" si="4"/>
        <v>6</v>
      </c>
      <c r="BN26" s="71">
        <f t="shared" si="4"/>
        <v>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5</v>
      </c>
      <c r="L27" s="71">
        <f t="shared" si="5"/>
        <v>57</v>
      </c>
      <c r="M27" s="71">
        <f t="shared" si="5"/>
        <v>2</v>
      </c>
      <c r="N27" s="71">
        <f t="shared" si="5"/>
        <v>16</v>
      </c>
      <c r="O27" s="71">
        <f t="shared" si="5"/>
        <v>20</v>
      </c>
      <c r="P27" s="71">
        <f t="shared" si="5"/>
        <v>10</v>
      </c>
      <c r="Q27" s="71">
        <f t="shared" si="5"/>
        <v>8</v>
      </c>
      <c r="R27" s="71">
        <f t="shared" si="5"/>
        <v>13</v>
      </c>
      <c r="S27" s="71">
        <f t="shared" si="5"/>
        <v>10</v>
      </c>
      <c r="T27" s="71">
        <f t="shared" si="5"/>
        <v>9</v>
      </c>
      <c r="U27" s="71">
        <f t="shared" si="5"/>
        <v>8</v>
      </c>
      <c r="V27" s="71">
        <f t="shared" si="5"/>
        <v>32</v>
      </c>
      <c r="W27" s="71">
        <f t="shared" si="5"/>
        <v>23</v>
      </c>
      <c r="X27" s="71">
        <f t="shared" si="5"/>
        <v>23</v>
      </c>
      <c r="Y27" s="71">
        <f t="shared" si="5"/>
        <v>1</v>
      </c>
      <c r="Z27" s="71">
        <f t="shared" si="5"/>
        <v>2</v>
      </c>
      <c r="AA27" s="71">
        <f t="shared" si="5"/>
        <v>57</v>
      </c>
      <c r="AB27" s="71">
        <f t="shared" si="5"/>
        <v>2</v>
      </c>
      <c r="AC27" s="71">
        <f t="shared" si="5"/>
        <v>20</v>
      </c>
      <c r="AD27" s="71">
        <f t="shared" si="5"/>
        <v>7</v>
      </c>
      <c r="AE27" s="71">
        <f t="shared" si="5"/>
        <v>12</v>
      </c>
      <c r="AF27" s="71">
        <f t="shared" si="5"/>
        <v>9</v>
      </c>
      <c r="AG27" s="71">
        <f t="shared" si="5"/>
        <v>4</v>
      </c>
      <c r="AH27" s="71">
        <f t="shared" si="5"/>
        <v>2</v>
      </c>
      <c r="AI27" s="71">
        <f t="shared" si="5"/>
        <v>6</v>
      </c>
      <c r="AJ27" s="71">
        <f t="shared" si="5"/>
        <v>9</v>
      </c>
      <c r="AK27" s="71">
        <f t="shared" si="5"/>
        <v>24</v>
      </c>
      <c r="AL27" s="71">
        <f t="shared" si="5"/>
        <v>6</v>
      </c>
      <c r="AM27" s="71">
        <f t="shared" si="5"/>
        <v>12</v>
      </c>
      <c r="AN27" s="71">
        <f t="shared" si="5"/>
        <v>8</v>
      </c>
      <c r="AO27" s="71">
        <f t="shared" si="5"/>
        <v>10</v>
      </c>
      <c r="AP27" s="71">
        <f t="shared" si="5"/>
        <v>1</v>
      </c>
      <c r="AQ27" s="71">
        <f t="shared" si="5"/>
        <v>14</v>
      </c>
      <c r="AR27" s="71">
        <f t="shared" si="5"/>
        <v>18</v>
      </c>
      <c r="AS27" s="71">
        <f t="shared" si="5"/>
        <v>1</v>
      </c>
      <c r="AT27" s="71">
        <f t="shared" si="5"/>
        <v>14</v>
      </c>
      <c r="AU27" s="71">
        <f t="shared" si="5"/>
        <v>34</v>
      </c>
      <c r="AV27" s="71">
        <f t="shared" si="5"/>
        <v>3</v>
      </c>
      <c r="AW27" s="71">
        <f t="shared" si="5"/>
        <v>25</v>
      </c>
      <c r="AX27" s="71">
        <f t="shared" si="5"/>
        <v>1</v>
      </c>
      <c r="AY27" s="71">
        <f t="shared" si="5"/>
        <v>18</v>
      </c>
      <c r="AZ27" s="71">
        <f t="shared" si="5"/>
        <v>8</v>
      </c>
      <c r="BA27" s="71">
        <f t="shared" si="5"/>
        <v>22</v>
      </c>
      <c r="BB27" s="71">
        <f t="shared" si="5"/>
        <v>8</v>
      </c>
      <c r="BC27" s="71">
        <f t="shared" si="5"/>
        <v>13</v>
      </c>
      <c r="BD27" s="71">
        <f t="shared" si="5"/>
        <v>1</v>
      </c>
      <c r="BE27" s="71">
        <f t="shared" si="5"/>
        <v>19</v>
      </c>
      <c r="BF27" s="71">
        <f t="shared" si="5"/>
        <v>57</v>
      </c>
      <c r="BG27" s="71">
        <f t="shared" si="5"/>
        <v>25</v>
      </c>
      <c r="BH27" s="71">
        <f t="shared" si="5"/>
        <v>13</v>
      </c>
      <c r="BI27" s="71">
        <f t="shared" si="5"/>
        <v>10</v>
      </c>
      <c r="BJ27" s="71">
        <f t="shared" si="5"/>
        <v>6</v>
      </c>
      <c r="BK27" s="71">
        <f t="shared" si="5"/>
        <v>13</v>
      </c>
      <c r="BL27" s="71">
        <f t="shared" si="5"/>
        <v>30</v>
      </c>
      <c r="BM27" s="71">
        <f t="shared" si="5"/>
        <v>0</v>
      </c>
      <c r="BN27" s="71">
        <f t="shared" si="5"/>
        <v>57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0.44464285714285712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0</v>
      </c>
      <c r="M29" s="71">
        <f t="shared" si="7"/>
        <v>5</v>
      </c>
      <c r="N29" s="71">
        <f t="shared" si="7"/>
        <v>6</v>
      </c>
      <c r="O29" s="71">
        <f t="shared" si="7"/>
        <v>3</v>
      </c>
      <c r="P29" s="71">
        <f t="shared" si="7"/>
        <v>5</v>
      </c>
      <c r="Q29" s="71">
        <f t="shared" si="7"/>
        <v>3</v>
      </c>
      <c r="R29" s="71">
        <f t="shared" si="7"/>
        <v>7</v>
      </c>
      <c r="S29" s="71">
        <f t="shared" si="7"/>
        <v>9</v>
      </c>
      <c r="T29" s="71">
        <f t="shared" si="7"/>
        <v>4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6</v>
      </c>
      <c r="Y29" s="71">
        <f t="shared" si="7"/>
        <v>3</v>
      </c>
      <c r="Z29" s="71">
        <f t="shared" si="7"/>
        <v>5</v>
      </c>
      <c r="AA29" s="71">
        <f t="shared" si="7"/>
        <v>0</v>
      </c>
      <c r="AB29" s="71">
        <f t="shared" si="7"/>
        <v>4</v>
      </c>
      <c r="AC29" s="71">
        <f t="shared" si="7"/>
        <v>8</v>
      </c>
      <c r="AD29" s="71">
        <f t="shared" si="7"/>
        <v>5</v>
      </c>
      <c r="AE29" s="71">
        <f t="shared" si="7"/>
        <v>7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3</v>
      </c>
      <c r="AP29" s="71">
        <f t="shared" si="7"/>
        <v>6</v>
      </c>
      <c r="AQ29" s="71">
        <f t="shared" si="7"/>
        <v>7</v>
      </c>
      <c r="AR29" s="71">
        <f t="shared" si="7"/>
        <v>4</v>
      </c>
      <c r="AS29" s="71">
        <f t="shared" si="7"/>
        <v>5</v>
      </c>
      <c r="AT29" s="71">
        <f t="shared" si="7"/>
        <v>7</v>
      </c>
      <c r="AU29" s="71">
        <f t="shared" si="7"/>
        <v>5</v>
      </c>
      <c r="AV29" s="71">
        <f t="shared" si="7"/>
        <v>8</v>
      </c>
      <c r="AW29" s="71">
        <f t="shared" si="7"/>
        <v>6</v>
      </c>
      <c r="AX29" s="71">
        <f t="shared" si="7"/>
        <v>8</v>
      </c>
      <c r="AY29" s="71">
        <f t="shared" si="7"/>
        <v>4</v>
      </c>
      <c r="AZ29" s="71">
        <f t="shared" si="7"/>
        <v>4</v>
      </c>
      <c r="BA29" s="71">
        <f t="shared" si="7"/>
        <v>2</v>
      </c>
      <c r="BB29" s="71">
        <f t="shared" si="7"/>
        <v>5</v>
      </c>
      <c r="BC29" s="71">
        <f t="shared" si="7"/>
        <v>6</v>
      </c>
      <c r="BD29" s="71">
        <f t="shared" si="7"/>
        <v>7</v>
      </c>
      <c r="BE29" s="71">
        <f t="shared" si="7"/>
        <v>6</v>
      </c>
      <c r="BF29" s="71">
        <f t="shared" si="7"/>
        <v>0</v>
      </c>
      <c r="BG29" s="71">
        <f t="shared" si="7"/>
        <v>5</v>
      </c>
      <c r="BH29" s="71">
        <f t="shared" si="7"/>
        <v>3</v>
      </c>
      <c r="BI29" s="71">
        <f t="shared" si="7"/>
        <v>6</v>
      </c>
      <c r="BJ29" s="71">
        <f t="shared" si="7"/>
        <v>8</v>
      </c>
      <c r="BK29" s="71">
        <f t="shared" si="7"/>
        <v>3</v>
      </c>
      <c r="BL29" s="71">
        <f t="shared" si="7"/>
        <v>5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-31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4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2</v>
      </c>
      <c r="R30" s="73">
        <f t="shared" si="8"/>
        <v>6</v>
      </c>
      <c r="S30" s="73">
        <f t="shared" si="8"/>
        <v>6</v>
      </c>
      <c r="T30" s="73">
        <f t="shared" si="8"/>
        <v>3</v>
      </c>
      <c r="U30" s="73">
        <f t="shared" si="8"/>
        <v>2</v>
      </c>
      <c r="V30" s="73">
        <f t="shared" si="8"/>
        <v>2</v>
      </c>
      <c r="W30" s="73">
        <f t="shared" si="8"/>
        <v>3</v>
      </c>
      <c r="X30" s="73">
        <f t="shared" si="8"/>
        <v>3</v>
      </c>
      <c r="Y30" s="73">
        <f t="shared" si="8"/>
        <v>0</v>
      </c>
      <c r="Z30" s="73">
        <f t="shared" si="8"/>
        <v>4</v>
      </c>
      <c r="AA30" s="73">
        <f t="shared" si="8"/>
        <v>10</v>
      </c>
      <c r="AB30" s="73">
        <f t="shared" si="8"/>
        <v>3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3</v>
      </c>
      <c r="AJ30" s="73">
        <f t="shared" si="8"/>
        <v>3</v>
      </c>
      <c r="AK30" s="73">
        <f t="shared" si="8"/>
        <v>4</v>
      </c>
      <c r="AL30" s="73">
        <f t="shared" si="8"/>
        <v>4</v>
      </c>
      <c r="AM30" s="73">
        <f t="shared" si="8"/>
        <v>7</v>
      </c>
      <c r="AN30" s="73">
        <f t="shared" si="8"/>
        <v>1</v>
      </c>
      <c r="AO30" s="73">
        <f t="shared" si="8"/>
        <v>6</v>
      </c>
      <c r="AP30" s="73">
        <f t="shared" si="8"/>
        <v>3</v>
      </c>
      <c r="AQ30" s="73">
        <f t="shared" si="8"/>
        <v>4</v>
      </c>
      <c r="AR30" s="73">
        <f t="shared" si="8"/>
        <v>7</v>
      </c>
      <c r="AS30" s="73">
        <f t="shared" si="8"/>
        <v>6</v>
      </c>
      <c r="AT30" s="73">
        <f t="shared" si="8"/>
        <v>8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7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6</v>
      </c>
      <c r="BE30" s="73">
        <f t="shared" si="8"/>
        <v>5</v>
      </c>
      <c r="BF30" s="73">
        <f t="shared" si="8"/>
        <v>10</v>
      </c>
      <c r="BG30" s="73">
        <f t="shared" si="8"/>
        <v>2</v>
      </c>
      <c r="BH30" s="73">
        <f t="shared" si="8"/>
        <v>2</v>
      </c>
      <c r="BI30" s="73">
        <f t="shared" si="8"/>
        <v>3</v>
      </c>
      <c r="BJ30" s="73">
        <f t="shared" si="8"/>
        <v>5</v>
      </c>
      <c r="BK30" s="73">
        <f t="shared" si="8"/>
        <v>0</v>
      </c>
      <c r="BL30" s="73">
        <f t="shared" si="8"/>
        <v>4</v>
      </c>
      <c r="BM30" s="73">
        <f t="shared" si="8"/>
        <v>5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5.5</v>
      </c>
      <c r="N31" s="71">
        <f t="shared" ca="1" si="9"/>
        <v>2.5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3.5</v>
      </c>
      <c r="T31" s="71">
        <f t="shared" ca="1" si="9"/>
        <v>3.5</v>
      </c>
      <c r="U31" s="71">
        <f t="shared" ca="1" si="9"/>
        <v>2.5</v>
      </c>
      <c r="V31" s="71">
        <f t="shared" ca="1" si="9"/>
        <v>0.5</v>
      </c>
      <c r="W31" s="71">
        <f t="shared" ca="1" si="9"/>
        <v>4.5</v>
      </c>
      <c r="X31" s="71">
        <f t="shared" ca="1" si="9"/>
        <v>2.5</v>
      </c>
      <c r="Y31" s="71">
        <f t="shared" ca="1" si="9"/>
        <v>2.5</v>
      </c>
      <c r="Z31" s="71">
        <f t="shared" ca="1" si="9"/>
        <v>4.5</v>
      </c>
      <c r="AA31" s="71">
        <f t="shared" ca="1" si="9"/>
        <v>10</v>
      </c>
      <c r="AB31" s="71">
        <f t="shared" ca="1" si="9"/>
        <v>1.5</v>
      </c>
      <c r="AC31" s="71">
        <f t="shared" ca="1" si="9"/>
        <v>4.5</v>
      </c>
      <c r="AD31" s="71">
        <f t="shared" ca="1" si="9"/>
        <v>3.5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3.5</v>
      </c>
      <c r="AH31" s="71">
        <f t="shared" ca="1" si="9"/>
        <v>5.5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5.5</v>
      </c>
      <c r="AL31" s="71">
        <f t="shared" ca="1" si="9"/>
        <v>3.5</v>
      </c>
      <c r="AM31" s="71">
        <f t="shared" ca="1" si="9"/>
        <v>5.5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2.5</v>
      </c>
      <c r="AQ31" s="71">
        <f t="shared" ca="1" si="9"/>
        <v>1.5</v>
      </c>
      <c r="AR31" s="71">
        <f t="shared" ca="1" si="9"/>
        <v>7.5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4.5</v>
      </c>
      <c r="AV31" s="71">
        <f t="shared" ca="1" si="9"/>
        <v>4.5</v>
      </c>
      <c r="AW31" s="71">
        <f t="shared" ca="1" si="9"/>
        <v>4.5</v>
      </c>
      <c r="AX31" s="71">
        <f t="shared" ca="1" si="9"/>
        <v>2.5</v>
      </c>
      <c r="AY31" s="71">
        <f t="shared" ca="1" si="9"/>
        <v>3.5</v>
      </c>
      <c r="AZ31" s="71">
        <f t="shared" ca="1" si="9"/>
        <v>9.5</v>
      </c>
      <c r="BA31" s="71">
        <f t="shared" ca="1" si="9"/>
        <v>5.5</v>
      </c>
      <c r="BB31" s="71">
        <f t="shared" ca="1" si="9"/>
        <v>2.5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10</v>
      </c>
      <c r="BG31" s="71">
        <f t="shared" ca="1" si="9"/>
        <v>4.5</v>
      </c>
      <c r="BH31" s="71">
        <f t="shared" ca="1" si="9"/>
        <v>4.5</v>
      </c>
      <c r="BI31" s="71">
        <f t="shared" ca="1" si="9"/>
        <v>2.5</v>
      </c>
      <c r="BJ31" s="71">
        <f t="shared" ca="1" si="9"/>
        <v>2.5</v>
      </c>
      <c r="BK31" s="71">
        <f t="shared" ca="1" si="9"/>
        <v>2.5</v>
      </c>
      <c r="BL31" s="71">
        <f t="shared" ca="1" si="9"/>
        <v>4.5</v>
      </c>
      <c r="BM31" s="71">
        <f t="shared" ca="1" si="9"/>
        <v>2.5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121971980</v>
      </c>
      <c r="L36" s="32">
        <f t="shared" si="12"/>
        <v>0</v>
      </c>
      <c r="M36" s="32">
        <f t="shared" si="12"/>
        <v>119983992</v>
      </c>
      <c r="N36" s="32">
        <f t="shared" si="12"/>
        <v>59983936</v>
      </c>
      <c r="O36" s="32">
        <f t="shared" si="12"/>
        <v>41991920</v>
      </c>
      <c r="P36" s="32">
        <f t="shared" si="12"/>
        <v>121975960</v>
      </c>
      <c r="Q36" s="32">
        <f t="shared" si="12"/>
        <v>39983968</v>
      </c>
      <c r="R36" s="32">
        <f t="shared" si="12"/>
        <v>79971948</v>
      </c>
      <c r="S36" s="32">
        <f t="shared" si="12"/>
        <v>161999960</v>
      </c>
      <c r="T36" s="32">
        <f t="shared" si="12"/>
        <v>59955964</v>
      </c>
      <c r="U36" s="32">
        <f t="shared" si="12"/>
        <v>79983968</v>
      </c>
      <c r="V36" s="32">
        <f t="shared" si="12"/>
        <v>81991872</v>
      </c>
      <c r="W36" s="32">
        <f t="shared" si="12"/>
        <v>139955908</v>
      </c>
      <c r="X36" s="32">
        <f t="shared" si="12"/>
        <v>141963908</v>
      </c>
      <c r="Y36" s="32">
        <f t="shared" si="12"/>
        <v>79955996</v>
      </c>
      <c r="Z36" s="32">
        <f t="shared" si="12"/>
        <v>39967992</v>
      </c>
      <c r="AA36" s="32">
        <f t="shared" si="12"/>
        <v>0</v>
      </c>
      <c r="AB36" s="32">
        <f t="shared" si="12"/>
        <v>61975992</v>
      </c>
      <c r="AC36" s="32">
        <f t="shared" si="12"/>
        <v>141935920</v>
      </c>
      <c r="AD36" s="32">
        <f t="shared" si="12"/>
        <v>121995972</v>
      </c>
      <c r="AE36" s="32">
        <f t="shared" si="12"/>
        <v>79927952</v>
      </c>
      <c r="AF36" s="32">
        <f t="shared" si="12"/>
        <v>161971964</v>
      </c>
      <c r="AG36" s="32">
        <f t="shared" si="12"/>
        <v>79983984</v>
      </c>
      <c r="AH36" s="32">
        <f t="shared" si="12"/>
        <v>79959992</v>
      </c>
      <c r="AI36" s="32">
        <f t="shared" si="12"/>
        <v>101975976</v>
      </c>
      <c r="AJ36" s="32">
        <f t="shared" si="12"/>
        <v>101963964</v>
      </c>
      <c r="AK36" s="32">
        <f t="shared" si="12"/>
        <v>79847904</v>
      </c>
      <c r="AL36" s="32">
        <f t="shared" si="12"/>
        <v>81959976</v>
      </c>
      <c r="AM36" s="32">
        <f t="shared" si="12"/>
        <v>141975952</v>
      </c>
      <c r="AN36" s="32">
        <f t="shared" si="12"/>
        <v>99983968</v>
      </c>
      <c r="AO36" s="32">
        <f t="shared" si="12"/>
        <v>79959960</v>
      </c>
      <c r="AP36" s="32">
        <f t="shared" si="12"/>
        <v>141995996</v>
      </c>
      <c r="AQ36" s="32">
        <f t="shared" si="12"/>
        <v>121999944</v>
      </c>
      <c r="AR36" s="32">
        <f t="shared" si="12"/>
        <v>59871928</v>
      </c>
      <c r="AS36" s="32">
        <f t="shared" si="12"/>
        <v>81995996</v>
      </c>
      <c r="AT36" s="32">
        <f t="shared" si="12"/>
        <v>81975944</v>
      </c>
      <c r="AU36" s="32">
        <f t="shared" si="12"/>
        <v>81831864</v>
      </c>
      <c r="AV36" s="32">
        <f t="shared" si="12"/>
        <v>99963988</v>
      </c>
      <c r="AW36" s="32">
        <f t="shared" si="12"/>
        <v>139979900</v>
      </c>
      <c r="AX36" s="32">
        <f t="shared" si="12"/>
        <v>141947996</v>
      </c>
      <c r="AY36" s="32">
        <f t="shared" si="12"/>
        <v>61991928</v>
      </c>
      <c r="AZ36" s="32">
        <f t="shared" si="12"/>
        <v>99951968</v>
      </c>
      <c r="BA36" s="32">
        <f t="shared" si="12"/>
        <v>99983912</v>
      </c>
      <c r="BB36" s="32">
        <f t="shared" si="12"/>
        <v>39983968</v>
      </c>
      <c r="BC36" s="32">
        <f t="shared" si="12"/>
        <v>101971948</v>
      </c>
      <c r="BD36" s="32">
        <f t="shared" si="12"/>
        <v>81995996</v>
      </c>
      <c r="BE36" s="32">
        <f t="shared" si="12"/>
        <v>61971924</v>
      </c>
      <c r="BF36" s="32">
        <f t="shared" si="12"/>
        <v>0</v>
      </c>
      <c r="BG36" s="32">
        <f t="shared" si="12"/>
        <v>79947900</v>
      </c>
      <c r="BH36" s="32">
        <f t="shared" si="12"/>
        <v>119971948</v>
      </c>
      <c r="BI36" s="32">
        <f t="shared" si="12"/>
        <v>141919960</v>
      </c>
      <c r="BJ36" s="32">
        <f t="shared" si="12"/>
        <v>141999976</v>
      </c>
      <c r="BK36" s="32">
        <f t="shared" si="12"/>
        <v>79955948</v>
      </c>
      <c r="BL36" s="32">
        <f t="shared" si="12"/>
        <v>79983880</v>
      </c>
      <c r="BM36" s="32">
        <f t="shared" si="12"/>
        <v>101976000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ca="1" si="13">IF(L35&lt;&gt;10, L$2,"")</f>
        <v>Barker, Christopher A</v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A;Gilmer, Justin T;Steel, Van Remote;Young,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19</v>
      </c>
      <c r="O3" s="106">
        <f t="shared" ca="1" si="0"/>
        <v>258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4</v>
      </c>
      <c r="K4" s="86">
        <f t="shared" ca="1" si="1"/>
        <v>8</v>
      </c>
      <c r="L4" s="86">
        <f t="shared" ca="1" si="1"/>
        <v>6</v>
      </c>
      <c r="M4" s="86">
        <f t="shared" ca="1" si="1"/>
        <v>4</v>
      </c>
      <c r="N4" s="86">
        <f t="shared" ca="1" si="1"/>
        <v>9</v>
      </c>
      <c r="O4" s="92">
        <f t="shared" ref="O4:O14" ca="1" si="2">SUM(B4:N4)</f>
        <v>84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3</v>
      </c>
      <c r="K5" s="86">
        <f t="shared" ca="1" si="1"/>
        <v>6</v>
      </c>
      <c r="L5" s="86">
        <f t="shared" ca="1" si="1"/>
        <v>4</v>
      </c>
      <c r="M5" s="86">
        <f t="shared" ca="1" si="1"/>
        <v>5</v>
      </c>
      <c r="N5" s="86">
        <f t="shared" ca="1" si="1"/>
        <v>4</v>
      </c>
      <c r="O5" s="92">
        <f t="shared" ca="1" si="2"/>
        <v>53</v>
      </c>
    </row>
    <row r="6" spans="1:23" x14ac:dyDescent="0.2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4</v>
      </c>
      <c r="K6" s="86">
        <f t="shared" ca="1" si="1"/>
        <v>4</v>
      </c>
      <c r="L6" s="86">
        <f t="shared" ca="1" si="1"/>
        <v>2</v>
      </c>
      <c r="M6" s="86">
        <f t="shared" ca="1" si="1"/>
        <v>0</v>
      </c>
      <c r="N6" s="86">
        <f t="shared" ca="1" si="1"/>
        <v>2</v>
      </c>
      <c r="O6" s="92">
        <f t="shared" ca="1" si="2"/>
        <v>35</v>
      </c>
    </row>
    <row r="7" spans="1:23" x14ac:dyDescent="0.2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4</v>
      </c>
      <c r="K7" s="86">
        <f t="shared" ca="1" si="1"/>
        <v>0</v>
      </c>
      <c r="L7" s="86">
        <f t="shared" ca="1" si="1"/>
        <v>4</v>
      </c>
      <c r="M7" s="86">
        <f t="shared" ca="1" si="1"/>
        <v>6</v>
      </c>
      <c r="N7" s="86">
        <f t="shared" ca="1" si="1"/>
        <v>4</v>
      </c>
      <c r="O7" s="92">
        <f t="shared" ca="1" si="2"/>
        <v>39</v>
      </c>
    </row>
    <row r="8" spans="1:23" x14ac:dyDescent="0.2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4</v>
      </c>
      <c r="K8" s="86">
        <f t="shared" ca="1" si="1"/>
        <v>2</v>
      </c>
      <c r="L8" s="86">
        <f t="shared" ca="1" si="1"/>
        <v>4</v>
      </c>
      <c r="M8" s="86">
        <f t="shared" ca="1" si="1"/>
        <v>4</v>
      </c>
      <c r="N8" s="86">
        <f t="shared" ca="1" si="1"/>
        <v>0</v>
      </c>
      <c r="O8" s="92">
        <f t="shared" ca="1" si="2"/>
        <v>31</v>
      </c>
    </row>
    <row r="9" spans="1:23" x14ac:dyDescent="0.2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1</v>
      </c>
      <c r="K9" s="86">
        <f t="shared" ca="1" si="1"/>
        <v>0</v>
      </c>
      <c r="L9" s="86">
        <f t="shared" ca="1" si="1"/>
        <v>0</v>
      </c>
      <c r="M9" s="86">
        <f t="shared" ca="1" si="1"/>
        <v>1</v>
      </c>
      <c r="N9" s="86">
        <f t="shared" ca="1" si="1"/>
        <v>0</v>
      </c>
      <c r="O9" s="92">
        <f t="shared" ca="1" si="2"/>
        <v>9</v>
      </c>
    </row>
    <row r="10" spans="1:23" x14ac:dyDescent="0.2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3</v>
      </c>
      <c r="K19" s="89">
        <f t="shared" ca="1" si="3"/>
        <v>6</v>
      </c>
      <c r="L19" s="89">
        <f t="shared" ca="1" si="3"/>
        <v>4</v>
      </c>
      <c r="M19" s="89">
        <f t="shared" ca="1" si="3"/>
        <v>5</v>
      </c>
      <c r="N19" s="89">
        <f t="shared" ca="1" si="3"/>
        <v>4</v>
      </c>
      <c r="O19" s="91"/>
    </row>
    <row r="20" spans="1:15" x14ac:dyDescent="0.2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5</v>
      </c>
    </row>
    <row r="21" spans="1:15" x14ac:dyDescent="0.2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7</v>
      </c>
    </row>
    <row r="22" spans="1:15" x14ac:dyDescent="0.2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6</v>
      </c>
    </row>
    <row r="23" spans="1:15" x14ac:dyDescent="0.2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1</v>
      </c>
      <c r="O23" s="92">
        <f t="shared" ca="1" si="4"/>
        <v>9</v>
      </c>
    </row>
    <row r="24" spans="1:15" x14ac:dyDescent="0.2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2">
        <f t="shared" ca="1" si="4"/>
        <v>7</v>
      </c>
    </row>
    <row r="26" spans="1:15" x14ac:dyDescent="0.2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1</v>
      </c>
    </row>
    <row r="27" spans="1:15" x14ac:dyDescent="0.2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1</v>
      </c>
      <c r="O29" s="92">
        <f t="shared" ca="1" si="4"/>
        <v>4</v>
      </c>
    </row>
    <row r="30" spans="1:15" x14ac:dyDescent="0.2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1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5" thickBot="1" x14ac:dyDescent="0.25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4</v>
      </c>
      <c r="M36" s="89">
        <f t="shared" ca="1" si="5"/>
        <v>4</v>
      </c>
      <c r="N36" s="89">
        <f t="shared" ca="1" si="5"/>
        <v>0</v>
      </c>
      <c r="O36" s="91"/>
    </row>
    <row r="37" spans="1:23" s="28" customFormat="1" x14ac:dyDescent="0.2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2">
        <f t="shared" ref="O37:O46" ca="1" si="6">SUM(B37:N37)</f>
        <v>6</v>
      </c>
    </row>
    <row r="38" spans="1:23" x14ac:dyDescent="0.2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1</v>
      </c>
      <c r="N38" s="86">
        <f ca="1">COUNTIF(INDIRECT(ADDRESS(3,2,1,,N$2)):INDIRECT(ADDRESS(22,2,1,,N$2)),$A38)</f>
        <v>0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1</v>
      </c>
      <c r="N39" s="86">
        <f ca="1">COUNTIF(INDIRECT(ADDRESS(3,2,1,,N$2)):INDIRECT(ADDRESS(22,2,1,,N$2)),$A39)</f>
        <v>0</v>
      </c>
      <c r="O39" s="92">
        <f t="shared" ca="1" si="6"/>
        <v>4</v>
      </c>
    </row>
    <row r="40" spans="1:23" x14ac:dyDescent="0.2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3</v>
      </c>
    </row>
    <row r="41" spans="1:23" x14ac:dyDescent="0.2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1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5</v>
      </c>
    </row>
    <row r="43" spans="1:23" x14ac:dyDescent="0.2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1</v>
      </c>
      <c r="M43" s="86">
        <f ca="1">COUNTIF(INDIRECT(ADDRESS(3,2,1,,M$2)):INDIRECT(ADDRESS(22,2,1,,M$2)),$A43)</f>
        <v>1</v>
      </c>
      <c r="N43" s="86">
        <f ca="1">COUNTIF(INDIRECT(ADDRESS(3,2,1,,N$2)):INDIRECT(ADDRESS(22,2,1,,N$2)),$A43)</f>
        <v>0</v>
      </c>
      <c r="O43" s="92">
        <f t="shared" ca="1" si="6"/>
        <v>5</v>
      </c>
    </row>
    <row r="44" spans="1:23" x14ac:dyDescent="0.2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1</v>
      </c>
    </row>
    <row r="45" spans="1:23" x14ac:dyDescent="0.2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281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4</v>
      </c>
      <c r="K66" s="89">
        <f t="shared" ca="1" si="9"/>
        <v>4</v>
      </c>
      <c r="L66" s="89">
        <f t="shared" ca="1" si="9"/>
        <v>2</v>
      </c>
      <c r="M66" s="89">
        <f t="shared" ca="1" si="9"/>
        <v>0</v>
      </c>
      <c r="N66" s="89">
        <f t="shared" ca="1" si="9"/>
        <v>2</v>
      </c>
      <c r="O66" s="91"/>
    </row>
    <row r="67" spans="1:15" x14ac:dyDescent="0.2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1</v>
      </c>
      <c r="O67" s="92">
        <f t="shared" ref="O67:O80" ca="1" si="10">SUM(B67:N67)</f>
        <v>3</v>
      </c>
    </row>
    <row r="68" spans="1:15" x14ac:dyDescent="0.2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3</v>
      </c>
    </row>
    <row r="69" spans="1:15" x14ac:dyDescent="0.2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7</v>
      </c>
    </row>
    <row r="70" spans="1:15" x14ac:dyDescent="0.2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1</v>
      </c>
      <c r="O73" s="92">
        <f t="shared" ca="1" si="10"/>
        <v>3</v>
      </c>
    </row>
    <row r="74" spans="1:15" x14ac:dyDescent="0.2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1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2</v>
      </c>
    </row>
    <row r="78" spans="1:15" x14ac:dyDescent="0.2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283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282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280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1</v>
      </c>
      <c r="K99" s="89">
        <f t="shared" ca="1" si="13"/>
        <v>0</v>
      </c>
      <c r="L99" s="89">
        <f t="shared" ca="1" si="13"/>
        <v>0</v>
      </c>
      <c r="M99" s="89">
        <f t="shared" ca="1" si="13"/>
        <v>1</v>
      </c>
      <c r="N99" s="89">
        <f t="shared" ca="1" si="13"/>
        <v>0</v>
      </c>
      <c r="O99" s="91"/>
    </row>
    <row r="100" spans="1:15" x14ac:dyDescent="0.2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5</v>
      </c>
    </row>
    <row r="101" spans="1:15" x14ac:dyDescent="0.2">
      <c r="A101" s="95" t="s">
        <v>271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279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274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4</v>
      </c>
      <c r="K144" s="89">
        <f t="shared" ca="1" si="18"/>
        <v>0</v>
      </c>
      <c r="L144" s="89">
        <f t="shared" ca="1" si="18"/>
        <v>4</v>
      </c>
      <c r="M144" s="89">
        <f t="shared" ca="1" si="18"/>
        <v>6</v>
      </c>
      <c r="N144" s="89">
        <f t="shared" ca="1" si="18"/>
        <v>4</v>
      </c>
      <c r="O144" s="91"/>
    </row>
    <row r="145" spans="1:15" x14ac:dyDescent="0.2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1</v>
      </c>
      <c r="N145" s="86">
        <f ca="1">COUNTIF(INDIRECT(ADDRESS(3,2,1,,N$2)):INDIRECT(ADDRESS(22,2,1,,N$2)),$A145)</f>
        <v>1</v>
      </c>
      <c r="O145" s="92">
        <f t="shared" ref="O145:O156" ca="1" si="19">SUM(B145:N145)</f>
        <v>6</v>
      </c>
    </row>
    <row r="146" spans="1:15" x14ac:dyDescent="0.2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2">
        <f t="shared" ca="1" si="19"/>
        <v>6</v>
      </c>
    </row>
    <row r="147" spans="1:15" x14ac:dyDescent="0.2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1</v>
      </c>
      <c r="N148" s="86">
        <f ca="1">COUNTIF(INDIRECT(ADDRESS(3,2,1,,N$2)):INDIRECT(ADDRESS(22,2,1,,N$2)),$A148)</f>
        <v>0</v>
      </c>
      <c r="O148" s="92">
        <f t="shared" ca="1" si="19"/>
        <v>3</v>
      </c>
    </row>
    <row r="149" spans="1:15" x14ac:dyDescent="0.2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1</v>
      </c>
      <c r="O150" s="92">
        <f t="shared" ca="1" si="19"/>
        <v>5</v>
      </c>
    </row>
    <row r="151" spans="1:15" x14ac:dyDescent="0.2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3</v>
      </c>
    </row>
    <row r="152" spans="1:15" x14ac:dyDescent="0.2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1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5</v>
      </c>
    </row>
    <row r="153" spans="1:15" x14ac:dyDescent="0.2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2</v>
      </c>
    </row>
    <row r="154" spans="1:15" x14ac:dyDescent="0.2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1</v>
      </c>
      <c r="N156" s="86">
        <f ca="1">COUNTIF(INDIRECT(ADDRESS(3,2,1,,N$2)):INDIRECT(ADDRESS(22,2,1,,N$2)),$A156)</f>
        <v>1</v>
      </c>
      <c r="O156" s="92">
        <f t="shared" ca="1" si="19"/>
        <v>2</v>
      </c>
    </row>
    <row r="159" spans="1:15" s="28" customFormat="1" ht="13.5" thickBot="1" x14ac:dyDescent="0.25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4</v>
      </c>
      <c r="K159" s="89">
        <f t="shared" ca="1" si="20"/>
        <v>8</v>
      </c>
      <c r="L159" s="89">
        <f t="shared" ca="1" si="20"/>
        <v>6</v>
      </c>
      <c r="M159" s="89">
        <f t="shared" ca="1" si="20"/>
        <v>4</v>
      </c>
      <c r="N159" s="89">
        <f t="shared" ca="1" si="20"/>
        <v>9</v>
      </c>
      <c r="O159" s="91"/>
    </row>
    <row r="160" spans="1:15" x14ac:dyDescent="0.2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7</v>
      </c>
    </row>
    <row r="162" spans="1:15" x14ac:dyDescent="0.2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6</v>
      </c>
    </row>
    <row r="163" spans="1:15" x14ac:dyDescent="0.2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1</v>
      </c>
      <c r="O163" s="92">
        <f t="shared" ca="1" si="21"/>
        <v>7</v>
      </c>
    </row>
    <row r="164" spans="1:15" x14ac:dyDescent="0.2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6</v>
      </c>
    </row>
    <row r="165" spans="1:15" x14ac:dyDescent="0.2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7</v>
      </c>
    </row>
    <row r="166" spans="1:15" x14ac:dyDescent="0.2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1</v>
      </c>
      <c r="O166" s="92">
        <f t="shared" ca="1" si="21"/>
        <v>7</v>
      </c>
    </row>
    <row r="167" spans="1:15" x14ac:dyDescent="0.2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1</v>
      </c>
      <c r="O167" s="92">
        <f t="shared" ca="1" si="21"/>
        <v>6</v>
      </c>
    </row>
    <row r="168" spans="1:15" x14ac:dyDescent="0.2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7</v>
      </c>
    </row>
    <row r="169" spans="1:15" x14ac:dyDescent="0.2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2">
        <f t="shared" ca="1" si="21"/>
        <v>6</v>
      </c>
    </row>
    <row r="170" spans="1:15" x14ac:dyDescent="0.2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1</v>
      </c>
      <c r="O170" s="92">
        <f t="shared" ca="1" si="21"/>
        <v>9</v>
      </c>
    </row>
    <row r="171" spans="1:15" x14ac:dyDescent="0.2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1</v>
      </c>
      <c r="N171" s="86">
        <f ca="1">COUNTIF(INDIRECT(ADDRESS(3,2,1,,N$2)):INDIRECT(ADDRESS(22,2,1,,N$2)),$A171)</f>
        <v>0</v>
      </c>
      <c r="O171" s="92">
        <f t="shared" ca="1" si="21"/>
        <v>3</v>
      </c>
    </row>
    <row r="172" spans="1:15" x14ac:dyDescent="0.2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5</v>
      </c>
    </row>
    <row r="173" spans="1:15" x14ac:dyDescent="0.2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2</v>
      </c>
    </row>
    <row r="174" spans="1:15" s="28" customFormat="1" x14ac:dyDescent="0.2"/>
    <row r="178" spans="1:15" ht="13.5" thickBot="1" x14ac:dyDescent="0.25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298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299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284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268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285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2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8</v>
      </c>
    </row>
    <row r="5" spans="1:23" x14ac:dyDescent="0.2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2</v>
      </c>
      <c r="N5" s="103">
        <f t="shared" ca="1" si="0"/>
        <v>0</v>
      </c>
      <c r="O5" s="92">
        <f t="shared" ca="1" si="1"/>
        <v>2</v>
      </c>
    </row>
    <row r="6" spans="1:23" x14ac:dyDescent="0.2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2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2</v>
      </c>
      <c r="O6" s="92">
        <f t="shared" ca="1" si="1"/>
        <v>8</v>
      </c>
    </row>
    <row r="7" spans="1:23" x14ac:dyDescent="0.2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2</v>
      </c>
      <c r="N36" s="100">
        <f t="shared" ca="1" si="5"/>
        <v>0</v>
      </c>
      <c r="O36" s="101"/>
    </row>
    <row r="37" spans="1:23" s="28" customFormat="1" x14ac:dyDescent="0.2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1</v>
      </c>
      <c r="N38" s="103">
        <f ca="1">COUNTIF(INDIRECT(ADDRESS(21,2,1,,N$2)):INDIRECT(ADDRESS(22,2,1,,N$2)),$A38)</f>
        <v>0</v>
      </c>
      <c r="O38" s="92">
        <f t="shared" ca="1" si="6"/>
        <v>1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1</v>
      </c>
      <c r="N46" s="103">
        <f ca="1">COUNTIF(INDIRECT(ADDRESS(21,2,1,,N$2)):INDIRECT(ADDRESS(22,2,1,,N$2)),$A46)</f>
        <v>0</v>
      </c>
      <c r="O46" s="92">
        <f t="shared" ca="1" si="6"/>
        <v>1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281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2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2</v>
      </c>
      <c r="O66" s="101"/>
    </row>
    <row r="67" spans="1:15" x14ac:dyDescent="0.2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1</v>
      </c>
      <c r="O68" s="92">
        <f t="shared" ca="1" si="10"/>
        <v>2</v>
      </c>
    </row>
    <row r="69" spans="1:15" x14ac:dyDescent="0.2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1</v>
      </c>
      <c r="O72" s="92">
        <f t="shared" ca="1" si="10"/>
        <v>1</v>
      </c>
    </row>
    <row r="73" spans="1:15" x14ac:dyDescent="0.2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1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1</v>
      </c>
    </row>
    <row r="75" spans="1:15" x14ac:dyDescent="0.2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1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3</v>
      </c>
    </row>
    <row r="79" spans="1:15" x14ac:dyDescent="0.2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">
      <c r="A89" s="105" t="s">
        <v>283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">
      <c r="A92" s="105" t="s">
        <v>282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">
      <c r="A93" s="105" t="s">
        <v>280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">
      <c r="A102" s="105" t="s">
        <v>271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">
      <c r="A122" s="105" t="s">
        <v>279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104" t="s">
        <v>274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2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1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1</v>
      </c>
    </row>
    <row r="150" spans="1:15" x14ac:dyDescent="0.2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1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1</v>
      </c>
    </row>
    <row r="156" spans="1:15" x14ac:dyDescent="0.2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1</v>
      </c>
    </row>
    <row r="161" spans="1:15" x14ac:dyDescent="0.2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2</v>
      </c>
    </row>
    <row r="162" spans="1:15" x14ac:dyDescent="0.2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"/>
    <row r="178" spans="1:15" ht="13.5" thickBot="1" x14ac:dyDescent="0.25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">
      <c r="A179" s="105" t="s">
        <v>298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">
      <c r="A181" s="105" t="s">
        <v>299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">
      <c r="A182" s="105" t="s">
        <v>284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">
      <c r="A186" s="105" t="s">
        <v>268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">
      <c r="A187" s="105" t="s">
        <v>285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124</v>
      </c>
    </row>
    <row r="59" spans="1:3" x14ac:dyDescent="0.2">
      <c r="C59" t="s">
        <v>123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keywords>CTPClassification=CTP_NWR:VisualMarkings=</cp:keywords>
  <cp:lastModifiedBy>Byron Reams</cp:lastModifiedBy>
  <cp:lastPrinted>2007-10-29T15:19:01Z</cp:lastPrinted>
  <dcterms:created xsi:type="dcterms:W3CDTF">1997-08-26T12:43:46Z</dcterms:created>
  <dcterms:modified xsi:type="dcterms:W3CDTF">2016-11-29T21:41:46Z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c42ffa64-72ea-48cb-aaa5-5c9ee52ba830</vt:lpwstr>
  </property>
  <property fmtid="{D5CDD505-2E9C-101B-9397-08002B2CF9AE}" pid="3" name="CTP_TimeStamp">
    <vt:lpwstr>2016-11-29 21:41:44Z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CTP_NWR</vt:lpwstr>
  </property>
</Properties>
</file>