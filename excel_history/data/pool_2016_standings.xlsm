
<file path=[Content_Types].xml><?xml version="1.0" encoding="utf-8"?>
<Types xmlns="http://schemas.openxmlformats.org/package/2006/content-types">
  <Override PartName="/xl/ctrlProps/ctrlProp49.xml" ContentType="application/vnd.ms-excel.controlproperties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omments8.xml" ContentType="application/vnd.openxmlformats-officedocument.spreadsheetml.comments+xml"/>
  <Override PartName="/xl/ctrlProps/ctrlProp38.xml" ContentType="application/vnd.ms-excel.controlproperti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vbaProject.bin" ContentType="application/vnd.ms-office.vbaProject"/>
  <Override PartName="/xl/ctrlProps/ctrlProp56.xml" ContentType="application/vnd.ms-excel.controlproperties+xml"/>
  <Override PartName="/xl/ctrlProps/ctrlProp45.xml" ContentType="application/vnd.ms-excel.controlproperties+xml"/>
  <Override PartName="/xl/ctrlProps/ctrlProp27.xml" ContentType="application/vnd.ms-excel.controlproperties+xml"/>
  <Default Extension="xml" ContentType="application/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omments18.xml" ContentType="application/vnd.openxmlformats-officedocument.spreadsheetml.comments+xml"/>
  <Override PartName="/xl/ctrlProps/ctrlProp34.xml" ContentType="application/vnd.ms-excel.controlproperties+xml"/>
  <Override PartName="/xl/ctrlProps/ctrlProp16.xml" ContentType="application/vnd.ms-excel.controlproperties+xml"/>
  <Override PartName="/xl/ctrlProps/ctrlProp52.xml" ContentType="application/vnd.ms-excel.controlproperties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16.xml" ContentType="application/vnd.openxmlformats-officedocument.spreadsheetml.comments+xml"/>
  <Override PartName="/xl/ctrlProps/ctrlProp41.xml" ContentType="application/vnd.ms-excel.controlproperties+xml"/>
  <Override PartName="/xl/ctrlProps/ctrlProp23.xml" ContentType="application/vnd.ms-excel.controlproperties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50.xml" ContentType="application/vnd.ms-excel.controlproperties+xml"/>
  <Override PartName="/xl/ctrlProps/ctrlProp32.xml" ContentType="application/vnd.ms-excel.controlproperties+xml"/>
  <Override PartName="/xl/worksheets/sheet1.xml" ContentType="application/vnd.openxmlformats-officedocument.spreadsheetml.worksheet+xml"/>
  <Override PartName="/xl/comments14.xml" ContentType="application/vnd.openxmlformats-officedocument.spreadsheetml.comments+xml"/>
  <Override PartName="/xl/ctrlProps/ctrlProp30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21.xml" ContentType="application/vnd.ms-excel.controlproperties+xml"/>
  <Override PartName="/xl/sharedStrings.xml" ContentType="application/vnd.openxmlformats-officedocument.spreadsheetml.sharedStrings+xml"/>
  <Override PartName="/xl/comments12.xml" ContentType="application/vnd.openxmlformats-officedocument.spreadsheetml.comments+xml"/>
  <Override PartName="/xl/ctrlProps/ctrlProp10.xml" ContentType="application/vnd.ms-excel.controlproperties+xml"/>
  <Override PartName="/xl/ctrlProps/ctrlProp4.xml" ContentType="application/vnd.ms-excel.controlproperties+xml"/>
  <Override PartName="/xl/worksheets/sheet18.xml" ContentType="application/vnd.openxmlformats-officedocument.spreadsheetml.worksheet+xml"/>
  <Override PartName="/xl/comments10.xml" ContentType="application/vnd.openxmlformats-officedocument.spreadsheetml.comments+xml"/>
  <Override PartName="/xl/ctrlProps/ctrlProp2.xml" ContentType="application/vnd.ms-excel.control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trlProps/ctrlProp59.xml" ContentType="application/vnd.ms-excel.controlproperties+xml"/>
  <Override PartName="/xl/worksheets/sheet14.xml" ContentType="application/vnd.openxmlformats-officedocument.spreadsheetml.worksheet+xml"/>
  <Override PartName="/xl/comments9.xml" ContentType="application/vnd.openxmlformats-officedocument.spreadsheetml.comments+xml"/>
  <Override PartName="/xl/ctrlProps/ctrlProp28.xml" ContentType="application/vnd.ms-excel.controlproperties+xml"/>
  <Override PartName="/xl/ctrlProps/ctrlProp57.xml" ContentType="application/vnd.ms-excel.controlproperties+xml"/>
  <Override PartName="/xl/ctrlProps/ctrlProp39.xml" ContentType="application/vnd.ms-excel.controlproperties+xml"/>
  <Override PartName="/xl/ctrlProps/ctrlProp19.xml" ContentType="application/vnd.ms-excel.controlproperties+xml"/>
  <Override PartName="/xl/ctrlProps/ctrlProp48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charts/chart3.xml" ContentType="application/vnd.openxmlformats-officedocument.drawingml.chart+xml"/>
  <Override PartName="/xl/comments7.xml" ContentType="application/vnd.openxmlformats-officedocument.spreadsheetml.comments+xml"/>
  <Override PartName="/xl/ctrlProps/ctrlProp17.xml" ContentType="application/vnd.ms-excel.controlproperties+xml"/>
  <Override PartName="/xl/ctrlProps/ctrlProp55.xml" ContentType="application/vnd.ms-excel.controlproperties+xml"/>
  <Override PartName="/xl/ctrlProps/ctrlProp37.xml" ContentType="application/vnd.ms-excel.controlproperties+xml"/>
  <Override PartName="/xl/ctrlProps/ctrlProp26.xml" ContentType="application/vnd.ms-excel.controlproperties+xml"/>
  <Override PartName="/xl/ctrlProps/ctrlProp46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omments5.xml" ContentType="application/vnd.openxmlformats-officedocument.spreadsheetml.comments+xml"/>
  <Override PartName="/xl/ctrlProps/ctrlProp35.xml" ContentType="application/vnd.ms-excel.controlproperties+xml"/>
  <Override PartName="/xl/ctrlProps/ctrlProp24.xml" ContentType="application/vnd.ms-excel.controlproperties+xml"/>
  <Override PartName="/xl/ctrlProps/ctrlProp15.xml" ContentType="application/vnd.ms-excel.controlproperties+xml"/>
  <Override PartName="/xl/ctrlProps/ctrlProp9.xml" ContentType="application/vnd.ms-excel.controlproperties+xml"/>
  <Override PartName="/xl/ctrlProps/ctrlProp44.xml" ContentType="application/vnd.ms-excel.controlproperties+xml"/>
  <Override PartName="/xl/ctrlProps/ctrlProp53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17.xml" ContentType="application/vnd.openxmlformats-officedocument.spreadsheetml.comments+xml"/>
  <Override PartName="/xl/ctrlProps/ctrlProp42.xml" ContentType="application/vnd.ms-excel.controlproperties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ctrlProps/ctrlProp51.xml" ContentType="application/vnd.ms-excel.controlproperties+xml"/>
  <Override PartName="/xl/ctrlProps/ctrlProp33.xml" ContentType="application/vnd.ms-excel.controlproperties+xml"/>
  <Default Extension="vml" ContentType="application/vnd.openxmlformats-officedocument.vmlDrawing"/>
  <Override PartName="/xl/comments1.xml" ContentType="application/vnd.openxmlformats-officedocument.spreadsheetml.comments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ctrlProps/ctrlProp40.xml" ContentType="application/vnd.ms-excel.controlproperties+xml"/>
  <Override PartName="/xl/ctrlProps/ctrlProp5.xml" ContentType="application/vnd.ms-excel.controlproperties+xml"/>
  <Override PartName="/xl/ctrlProps/ctrlProp11.xml" ContentType="application/vnd.ms-excel.controlproperties+xml"/>
  <Override PartName="/xl/ctrlProps/ctrlProp31.xml" ContentType="application/vnd.ms-excel.controlproperties+xml"/>
  <Override PartName="/xl/ctrlProps/ctrlProp20.xml" ContentType="application/vnd.ms-excel.controlproperties+xml"/>
  <Override PartName="/xl/worksheets/sheet19.xml" ContentType="application/vnd.openxmlformats-officedocument.spreadsheetml.worksheet+xml"/>
  <Override PartName="/xl/comments13.xml" ContentType="application/vnd.openxmlformats-officedocument.spreadsheetml.comments+xml"/>
  <Override PartName="/xl/ctrlProps/ctrlProp3.xml" ContentType="application/vnd.ms-excel.controlproperties+xml"/>
  <Override PartName="/xl/worksheets/sheet17.xml" ContentType="application/vnd.openxmlformats-officedocument.spreadsheetml.worksheet+xml"/>
  <Override PartName="/xl/comments11.xml" ContentType="application/vnd.openxmlformats-officedocument.spreadsheetml.comments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trlProps/ctrlProp29.xml" ContentType="application/vnd.ms-excel.controlproperties+xml"/>
  <Override PartName="/xl/ctrlProps/ctrlProp58.xml" ContentType="application/vnd.ms-excel.controlproperties+xml"/>
  <Override PartName="/xl/ctrlProps/ctrlProp47.xml" ContentType="application/vnd.ms-excel.controlproperties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omments6.xml" ContentType="application/vnd.openxmlformats-officedocument.spreadsheetml.comments+xml"/>
  <Override PartName="/xl/ctrlProps/ctrlProp36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Override PartName="/xl/worksheets/sheet5.xml" ContentType="application/vnd.openxmlformats-officedocument.spreadsheetml.worksheet+xml"/>
  <Override PartName="/xl/ctrlProps/ctrlProp43.xml" ContentType="application/vnd.ms-excel.controlproperties+xml"/>
  <Override PartName="/xl/ctrlProps/ctrlProp25.xml" ContentType="application/vnd.ms-excel.controlproperties+xml"/>
  <Override PartName="/xl/ctrlProps/ctrlProp54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fileSharing userName="Byron Reams" reservationPassword="86D9"/>
  <workbookPr codeName="ThisWorkbook"/>
  <bookViews>
    <workbookView xWindow="225" yWindow="900" windowWidth="16035" windowHeight="9495" tabRatio="850" activeTab="11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50" r:id="rId7"/>
    <sheet name="Wk03" sheetId="251" r:id="rId8"/>
    <sheet name="Wk04" sheetId="252" r:id="rId9"/>
    <sheet name="Wk05" sheetId="253" r:id="rId10"/>
    <sheet name="Wk06" sheetId="254" r:id="rId11"/>
    <sheet name="Wk07" sheetId="255" r:id="rId12"/>
    <sheet name="Wk08" sheetId="256" r:id="rId13"/>
    <sheet name="Wk09" sheetId="257" r:id="rId14"/>
    <sheet name="Wk10" sheetId="258" r:id="rId15"/>
    <sheet name="Wk11" sheetId="259" r:id="rId16"/>
    <sheet name="Wk12" sheetId="260" r:id="rId17"/>
    <sheet name="Wk13" sheetId="261" r:id="rId18"/>
    <sheet name="End" sheetId="31" r:id="rId19"/>
    <sheet name="Conference" sheetId="223" r:id="rId20"/>
    <sheet name="Featured" sheetId="237" r:id="rId21"/>
    <sheet name="Instructions" sheetId="184" r:id="rId22"/>
  </sheets>
  <functionGroups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25725" calcOnSave="0"/>
</workbook>
</file>

<file path=xl/calcChain.xml><?xml version="1.0" encoding="utf-8"?>
<calcChain xmlns="http://schemas.openxmlformats.org/spreadsheetml/2006/main">
  <c r="D36" i="14"/>
  <c r="D58"/>
  <c r="D33"/>
  <c r="D15"/>
  <c r="D52"/>
  <c r="B15"/>
  <c r="B33"/>
  <c r="B52"/>
  <c r="B36"/>
  <c r="B58"/>
  <c r="BN35" i="261" l="1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C29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L25"/>
  <c r="BL36" s="1"/>
  <c r="BK25"/>
  <c r="BK36" s="1"/>
  <c r="BD25"/>
  <c r="BD36" s="1"/>
  <c r="BC25"/>
  <c r="BC36" s="1"/>
  <c r="AV25"/>
  <c r="AV36" s="1"/>
  <c r="AU25"/>
  <c r="AU36" s="1"/>
  <c r="AN25"/>
  <c r="AN36" s="1"/>
  <c r="AM25"/>
  <c r="AM36" s="1"/>
  <c r="AF25"/>
  <c r="AF36" s="1"/>
  <c r="AE25"/>
  <c r="AE36" s="1"/>
  <c r="X25"/>
  <c r="X36" s="1"/>
  <c r="W25"/>
  <c r="W36" s="1"/>
  <c r="P25"/>
  <c r="P36" s="1"/>
  <c r="O25"/>
  <c r="O36" s="1"/>
  <c r="J25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BA30" s="1"/>
  <c r="E4"/>
  <c r="H3"/>
  <c r="E3"/>
  <c r="J1"/>
  <c r="I1"/>
  <c r="BN35" i="260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C30"/>
  <c r="AH30"/>
  <c r="M30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C29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BN30" s="1"/>
  <c r="E5"/>
  <c r="H4"/>
  <c r="E4"/>
  <c r="H3"/>
  <c r="BK30" s="1"/>
  <c r="E3"/>
  <c r="J1"/>
  <c r="I1"/>
  <c r="BN35" i="259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C29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AZ25"/>
  <c r="AZ36" s="1"/>
  <c r="AB25"/>
  <c r="AB36" s="1"/>
  <c r="L25"/>
  <c r="L36" s="1"/>
  <c r="B24"/>
  <c r="B23"/>
  <c r="H22"/>
  <c r="E22"/>
  <c r="H21"/>
  <c r="E21"/>
  <c r="H20"/>
  <c r="E20"/>
  <c r="H19"/>
  <c r="E19"/>
  <c r="H18"/>
  <c r="E18"/>
  <c r="H17"/>
  <c r="E17"/>
  <c r="H16"/>
  <c r="R30" s="1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AX30" s="1"/>
  <c r="E4"/>
  <c r="H3"/>
  <c r="E3"/>
  <c r="J1"/>
  <c r="I1"/>
  <c r="R36" i="258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M30"/>
  <c r="BL30"/>
  <c r="BI30"/>
  <c r="BH30"/>
  <c r="BE30"/>
  <c r="BD30"/>
  <c r="BA30"/>
  <c r="AZ30"/>
  <c r="AW30"/>
  <c r="AV30"/>
  <c r="AS30"/>
  <c r="AR30"/>
  <c r="AO30"/>
  <c r="AN30"/>
  <c r="AK30"/>
  <c r="AJ30"/>
  <c r="AG30"/>
  <c r="AF30"/>
  <c r="AC30"/>
  <c r="AB30"/>
  <c r="Y30"/>
  <c r="X30"/>
  <c r="U30"/>
  <c r="T30"/>
  <c r="Q30"/>
  <c r="P30"/>
  <c r="M30"/>
  <c r="L30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C29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N25"/>
  <c r="BN36" s="1"/>
  <c r="BJ25"/>
  <c r="BF25"/>
  <c r="BB25"/>
  <c r="BB36" s="1"/>
  <c r="AX25"/>
  <c r="AX36" s="1"/>
  <c r="AT25"/>
  <c r="AP25"/>
  <c r="AL25"/>
  <c r="AL36" s="1"/>
  <c r="AH25"/>
  <c r="AH36" s="1"/>
  <c r="AD25"/>
  <c r="Z25"/>
  <c r="V25"/>
  <c r="V36" s="1"/>
  <c r="R25"/>
  <c r="N25"/>
  <c r="J25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/>
  <c r="BK30" s="1"/>
  <c r="E3"/>
  <c r="BM25" s="1"/>
  <c r="BM36" s="1"/>
  <c r="J1"/>
  <c r="I1"/>
  <c r="BN35" i="257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AY30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C29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M25"/>
  <c r="BL25"/>
  <c r="BL36" s="1"/>
  <c r="BI25"/>
  <c r="BH25"/>
  <c r="BE25"/>
  <c r="BD25"/>
  <c r="BD36" s="1"/>
  <c r="BA25"/>
  <c r="AZ25"/>
  <c r="AW25"/>
  <c r="AV25"/>
  <c r="AV36" s="1"/>
  <c r="AS25"/>
  <c r="AR25"/>
  <c r="AO25"/>
  <c r="AN25"/>
  <c r="AN36" s="1"/>
  <c r="AK25"/>
  <c r="AJ25"/>
  <c r="AG25"/>
  <c r="AF25"/>
  <c r="AF36" s="1"/>
  <c r="AC25"/>
  <c r="AB25"/>
  <c r="Y25"/>
  <c r="X25"/>
  <c r="X36" s="1"/>
  <c r="U25"/>
  <c r="T25"/>
  <c r="Q25"/>
  <c r="P25"/>
  <c r="P36" s="1"/>
  <c r="M25"/>
  <c r="L25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AQ30" s="1"/>
  <c r="E6"/>
  <c r="H5"/>
  <c r="E5"/>
  <c r="H4"/>
  <c r="E4"/>
  <c r="H3"/>
  <c r="E3"/>
  <c r="BK25" s="1"/>
  <c r="BK36" s="1"/>
  <c r="J1"/>
  <c r="I1"/>
  <c r="BN35" i="256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M30"/>
  <c r="BL30"/>
  <c r="BI30"/>
  <c r="BH30"/>
  <c r="BE30"/>
  <c r="BD30"/>
  <c r="BA30"/>
  <c r="AZ30"/>
  <c r="AW30"/>
  <c r="AV30"/>
  <c r="AS30"/>
  <c r="AR30"/>
  <c r="AO30"/>
  <c r="AN30"/>
  <c r="AK30"/>
  <c r="AJ30"/>
  <c r="AG30"/>
  <c r="AF30"/>
  <c r="AC30"/>
  <c r="AB30"/>
  <c r="Y30"/>
  <c r="X30"/>
  <c r="U30"/>
  <c r="T30"/>
  <c r="Q30"/>
  <c r="P30"/>
  <c r="M30"/>
  <c r="L30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C29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G25"/>
  <c r="BG36" s="1"/>
  <c r="AY25"/>
  <c r="AY36" s="1"/>
  <c r="AQ25"/>
  <c r="AQ36" s="1"/>
  <c r="AI25"/>
  <c r="AI36" s="1"/>
  <c r="AA25"/>
  <c r="AA36" s="1"/>
  <c r="S25"/>
  <c r="S36" s="1"/>
  <c r="K25"/>
  <c r="K36" s="1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BB25" s="1"/>
  <c r="BB36" s="1"/>
  <c r="H4"/>
  <c r="E4"/>
  <c r="H3"/>
  <c r="BK30" s="1"/>
  <c r="E3"/>
  <c r="J1"/>
  <c r="I1"/>
  <c r="BN35" i="25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BN25" s="1"/>
  <c r="BN36" s="1"/>
  <c r="H3"/>
  <c r="BF30" s="1"/>
  <c r="E3"/>
  <c r="J1"/>
  <c r="I1"/>
  <c r="BN35" i="254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N30"/>
  <c r="BI30"/>
  <c r="BD30"/>
  <c r="AX30"/>
  <c r="AS30"/>
  <c r="AN30"/>
  <c r="AH30"/>
  <c r="AC30"/>
  <c r="X30"/>
  <c r="R30"/>
  <c r="M30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/>
  <c r="BK30" s="1"/>
  <c r="E3"/>
  <c r="J1"/>
  <c r="I1"/>
  <c r="BN35" i="253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AZ25" s="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/>
  <c r="AZ30" s="1"/>
  <c r="E3"/>
  <c r="J1"/>
  <c r="I1"/>
  <c r="BN35" i="252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/>
  <c r="BK30" s="1"/>
  <c r="E3"/>
  <c r="BM25" s="1"/>
  <c r="BM36" s="1"/>
  <c r="J1"/>
  <c r="I1"/>
  <c r="BN35" i="251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/>
  <c r="BM30" s="1"/>
  <c r="E3"/>
  <c r="J1"/>
  <c r="I1"/>
  <c r="BN35" i="250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B25"/>
  <c r="AL25"/>
  <c r="V25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/>
  <c r="BK30" s="1"/>
  <c r="E3"/>
  <c r="BM25" s="1"/>
  <c r="BM36" s="1"/>
  <c r="J1"/>
  <c r="I1"/>
  <c r="D22" i="14"/>
  <c r="BK25" i="255" l="1"/>
  <c r="BK36" s="1"/>
  <c r="L25"/>
  <c r="L36" s="1"/>
  <c r="Q25"/>
  <c r="Q36" s="1"/>
  <c r="V25"/>
  <c r="V36" s="1"/>
  <c r="AB25"/>
  <c r="AB36" s="1"/>
  <c r="AG25"/>
  <c r="AG36" s="1"/>
  <c r="AL25"/>
  <c r="AL36" s="1"/>
  <c r="AR25"/>
  <c r="AR36" s="1"/>
  <c r="AW25"/>
  <c r="AW36" s="1"/>
  <c r="BB25"/>
  <c r="BB36" s="1"/>
  <c r="BH25"/>
  <c r="BH36" s="1"/>
  <c r="BM25"/>
  <c r="BM36" s="1"/>
  <c r="R30"/>
  <c r="AH30"/>
  <c r="AX30"/>
  <c r="BN30"/>
  <c r="J25"/>
  <c r="P25"/>
  <c r="P36" s="1"/>
  <c r="U25"/>
  <c r="U36" s="1"/>
  <c r="Z25"/>
  <c r="Z36" s="1"/>
  <c r="AF25"/>
  <c r="AF36" s="1"/>
  <c r="AK25"/>
  <c r="AK36" s="1"/>
  <c r="AP25"/>
  <c r="AP36" s="1"/>
  <c r="AV25"/>
  <c r="AV36" s="1"/>
  <c r="BA25"/>
  <c r="BA36" s="1"/>
  <c r="BF25"/>
  <c r="BF36" s="1"/>
  <c r="BL25"/>
  <c r="BL36" s="1"/>
  <c r="N30"/>
  <c r="AD30"/>
  <c r="AT30"/>
  <c r="BJ30"/>
  <c r="H25"/>
  <c r="N25"/>
  <c r="N36" s="1"/>
  <c r="T25"/>
  <c r="T36" s="1"/>
  <c r="Y25"/>
  <c r="Y36" s="1"/>
  <c r="AD25"/>
  <c r="AD36" s="1"/>
  <c r="AJ25"/>
  <c r="AJ36" s="1"/>
  <c r="AO25"/>
  <c r="AO36" s="1"/>
  <c r="AT25"/>
  <c r="AT36" s="1"/>
  <c r="AZ25"/>
  <c r="AZ36" s="1"/>
  <c r="BE25"/>
  <c r="BE36" s="1"/>
  <c r="BJ25"/>
  <c r="BJ36" s="1"/>
  <c r="Z30"/>
  <c r="AP30"/>
  <c r="BM30"/>
  <c r="M25"/>
  <c r="M36" s="1"/>
  <c r="R25"/>
  <c r="R36" s="1"/>
  <c r="X25"/>
  <c r="X36" s="1"/>
  <c r="AC25"/>
  <c r="AC36" s="1"/>
  <c r="AH25"/>
  <c r="AH36" s="1"/>
  <c r="AN25"/>
  <c r="AN36" s="1"/>
  <c r="AS25"/>
  <c r="AS36" s="1"/>
  <c r="AX25"/>
  <c r="AX36" s="1"/>
  <c r="BD25"/>
  <c r="BD36" s="1"/>
  <c r="BI25"/>
  <c r="BI36" s="1"/>
  <c r="V30"/>
  <c r="AL30"/>
  <c r="BB30"/>
  <c r="L30" i="254"/>
  <c r="Q30"/>
  <c r="V30"/>
  <c r="AB30"/>
  <c r="AG30"/>
  <c r="AL30"/>
  <c r="AR30"/>
  <c r="AW30"/>
  <c r="BB30"/>
  <c r="BH30"/>
  <c r="BM30"/>
  <c r="AR25"/>
  <c r="AR36" s="1"/>
  <c r="P30"/>
  <c r="U30"/>
  <c r="Z30"/>
  <c r="AF30"/>
  <c r="AK30"/>
  <c r="AP30"/>
  <c r="AV30"/>
  <c r="BA30"/>
  <c r="BF30"/>
  <c r="BL30"/>
  <c r="N30"/>
  <c r="T30"/>
  <c r="Y30"/>
  <c r="AD30"/>
  <c r="AJ30"/>
  <c r="AO30"/>
  <c r="AT30"/>
  <c r="AZ30"/>
  <c r="BE30"/>
  <c r="BJ30"/>
  <c r="BE25" i="253"/>
  <c r="AJ25"/>
  <c r="T25"/>
  <c r="AO25"/>
  <c r="AO36" s="1"/>
  <c r="BJ25"/>
  <c r="BJ36" s="1"/>
  <c r="N25"/>
  <c r="N36" s="1"/>
  <c r="BK25"/>
  <c r="BK36" s="1"/>
  <c r="AT25"/>
  <c r="AT36" s="1"/>
  <c r="Y25"/>
  <c r="AD25"/>
  <c r="AD36" s="1"/>
  <c r="V25" i="252"/>
  <c r="AL25"/>
  <c r="BB25"/>
  <c r="BB36" s="1"/>
  <c r="J25" i="253"/>
  <c r="P25"/>
  <c r="P36" s="1"/>
  <c r="U25"/>
  <c r="U36" s="1"/>
  <c r="Z25"/>
  <c r="Z36" s="1"/>
  <c r="AF25"/>
  <c r="AF36" s="1"/>
  <c r="AK25"/>
  <c r="AK36" s="1"/>
  <c r="AP25"/>
  <c r="AP36" s="1"/>
  <c r="AV25"/>
  <c r="AV36" s="1"/>
  <c r="BA25"/>
  <c r="BA36" s="1"/>
  <c r="BF25"/>
  <c r="BF36" s="1"/>
  <c r="BL25"/>
  <c r="BL36" s="1"/>
  <c r="T36"/>
  <c r="AJ36"/>
  <c r="AZ36"/>
  <c r="L25"/>
  <c r="L36" s="1"/>
  <c r="Q25"/>
  <c r="Q36" s="1"/>
  <c r="V25"/>
  <c r="V36" s="1"/>
  <c r="AB25"/>
  <c r="AB36" s="1"/>
  <c r="AG25"/>
  <c r="AG36" s="1"/>
  <c r="AL25"/>
  <c r="AL36" s="1"/>
  <c r="AR25"/>
  <c r="AR36" s="1"/>
  <c r="AW25"/>
  <c r="AW36" s="1"/>
  <c r="BB25"/>
  <c r="BB36" s="1"/>
  <c r="BH25"/>
  <c r="BH36" s="1"/>
  <c r="BM25"/>
  <c r="BM36" s="1"/>
  <c r="M25"/>
  <c r="R25"/>
  <c r="R36" s="1"/>
  <c r="X25"/>
  <c r="X36" s="1"/>
  <c r="AC25"/>
  <c r="AH25"/>
  <c r="AH36" s="1"/>
  <c r="AN25"/>
  <c r="AN36" s="1"/>
  <c r="AS25"/>
  <c r="AX25"/>
  <c r="AX36" s="1"/>
  <c r="BD25"/>
  <c r="BD36" s="1"/>
  <c r="BI25"/>
  <c r="BI36" s="1"/>
  <c r="BN25"/>
  <c r="BN36" s="1"/>
  <c r="V36" i="252"/>
  <c r="AL36"/>
  <c r="AG30"/>
  <c r="AW30"/>
  <c r="J25"/>
  <c r="Z25"/>
  <c r="Z36" s="1"/>
  <c r="AP25"/>
  <c r="AP36" s="1"/>
  <c r="BF25"/>
  <c r="BF36" s="1"/>
  <c r="L30"/>
  <c r="T30"/>
  <c r="AB30"/>
  <c r="AJ30"/>
  <c r="AR30"/>
  <c r="AZ30"/>
  <c r="BH30"/>
  <c r="Q30"/>
  <c r="AO30"/>
  <c r="BE30"/>
  <c r="N25"/>
  <c r="N36" s="1"/>
  <c r="AD25"/>
  <c r="AD36" s="1"/>
  <c r="AT25"/>
  <c r="AT36" s="1"/>
  <c r="BJ25"/>
  <c r="BJ36" s="1"/>
  <c r="M30"/>
  <c r="U30"/>
  <c r="AC30"/>
  <c r="AK30"/>
  <c r="AS30"/>
  <c r="BA30"/>
  <c r="BI30"/>
  <c r="Y30"/>
  <c r="BM30"/>
  <c r="R25"/>
  <c r="R36" s="1"/>
  <c r="AH25"/>
  <c r="AH36" s="1"/>
  <c r="AX25"/>
  <c r="AX36" s="1"/>
  <c r="BN25"/>
  <c r="BN36" s="1"/>
  <c r="P30"/>
  <c r="X30"/>
  <c r="AF30"/>
  <c r="AN30"/>
  <c r="AV30"/>
  <c r="BD30"/>
  <c r="BL30"/>
  <c r="BD25" i="251"/>
  <c r="AF25"/>
  <c r="AF36" s="1"/>
  <c r="AN25"/>
  <c r="AN36" s="1"/>
  <c r="P25"/>
  <c r="P36" s="1"/>
  <c r="AV25"/>
  <c r="AV36" s="1"/>
  <c r="BK25"/>
  <c r="BK36" s="1"/>
  <c r="BL25"/>
  <c r="BL36" s="1"/>
  <c r="X25"/>
  <c r="X36" s="1"/>
  <c r="BN30"/>
  <c r="H25"/>
  <c r="Q25"/>
  <c r="Q36" s="1"/>
  <c r="Y25"/>
  <c r="Y36" s="1"/>
  <c r="AG25"/>
  <c r="AG36" s="1"/>
  <c r="AO25"/>
  <c r="AO36" s="1"/>
  <c r="AW25"/>
  <c r="BE25"/>
  <c r="BE36" s="1"/>
  <c r="BM25"/>
  <c r="BM36" s="1"/>
  <c r="V30"/>
  <c r="AL30"/>
  <c r="BB30"/>
  <c r="AH30"/>
  <c r="L25"/>
  <c r="L36" s="1"/>
  <c r="T25"/>
  <c r="T36" s="1"/>
  <c r="AB25"/>
  <c r="AB36" s="1"/>
  <c r="AJ25"/>
  <c r="AJ36" s="1"/>
  <c r="AR25"/>
  <c r="AR36" s="1"/>
  <c r="AZ25"/>
  <c r="AZ36" s="1"/>
  <c r="BH25"/>
  <c r="BH36" s="1"/>
  <c r="Z30"/>
  <c r="AP30"/>
  <c r="BF30"/>
  <c r="R30"/>
  <c r="AX30"/>
  <c r="M25"/>
  <c r="M36" s="1"/>
  <c r="U25"/>
  <c r="U36" s="1"/>
  <c r="AC25"/>
  <c r="AC36" s="1"/>
  <c r="AK25"/>
  <c r="AK36" s="1"/>
  <c r="AS25"/>
  <c r="AS36" s="1"/>
  <c r="BA25"/>
  <c r="BA36" s="1"/>
  <c r="BI25"/>
  <c r="BI36" s="1"/>
  <c r="N30"/>
  <c r="AD30"/>
  <c r="AT30"/>
  <c r="BJ30"/>
  <c r="AW36"/>
  <c r="Q30" i="250"/>
  <c r="AG30"/>
  <c r="BM30"/>
  <c r="J25"/>
  <c r="Z25"/>
  <c r="AP25"/>
  <c r="BF25"/>
  <c r="L30"/>
  <c r="T30"/>
  <c r="AB30"/>
  <c r="AJ30"/>
  <c r="AR30"/>
  <c r="AZ30"/>
  <c r="BH30"/>
  <c r="Y30"/>
  <c r="BE30"/>
  <c r="N25"/>
  <c r="AD25"/>
  <c r="AT25"/>
  <c r="BJ25"/>
  <c r="M30"/>
  <c r="U30"/>
  <c r="AC30"/>
  <c r="AK30"/>
  <c r="AS30"/>
  <c r="BA30"/>
  <c r="BI30"/>
  <c r="AO30"/>
  <c r="AW30"/>
  <c r="R25"/>
  <c r="R36" s="1"/>
  <c r="AH25"/>
  <c r="AH36" s="1"/>
  <c r="AX25"/>
  <c r="AX36" s="1"/>
  <c r="BN25"/>
  <c r="BN36" s="1"/>
  <c r="P30"/>
  <c r="X30"/>
  <c r="AF30"/>
  <c r="AN30"/>
  <c r="AV30"/>
  <c r="BD30"/>
  <c r="BL30"/>
  <c r="L39"/>
  <c r="T39"/>
  <c r="AB39"/>
  <c r="AJ39"/>
  <c r="AR39"/>
  <c r="AZ39"/>
  <c r="BH39"/>
  <c r="N39" i="251"/>
  <c r="R39"/>
  <c r="V39"/>
  <c r="Z39"/>
  <c r="AD39"/>
  <c r="AH39"/>
  <c r="AL39"/>
  <c r="AT39"/>
  <c r="AX39"/>
  <c r="BB39"/>
  <c r="BF39"/>
  <c r="BJ39"/>
  <c r="X39" i="250"/>
  <c r="AF39"/>
  <c r="AN39"/>
  <c r="AV39"/>
  <c r="BD39"/>
  <c r="BL39"/>
  <c r="P39"/>
  <c r="V36"/>
  <c r="AL36"/>
  <c r="BB36"/>
  <c r="BF36"/>
  <c r="M39"/>
  <c r="Q39"/>
  <c r="U39"/>
  <c r="Y39"/>
  <c r="AC39"/>
  <c r="AG39"/>
  <c r="AK39"/>
  <c r="AO39"/>
  <c r="AS39"/>
  <c r="AW39"/>
  <c r="BA39"/>
  <c r="BE39"/>
  <c r="BI39"/>
  <c r="BM39"/>
  <c r="BD36" i="251"/>
  <c r="K39"/>
  <c r="S39"/>
  <c r="W39"/>
  <c r="AA39"/>
  <c r="AE39"/>
  <c r="AI39"/>
  <c r="AM39"/>
  <c r="AQ39"/>
  <c r="AU39"/>
  <c r="AY39"/>
  <c r="BC39"/>
  <c r="BK39"/>
  <c r="Z36" i="250"/>
  <c r="AP36"/>
  <c r="N36"/>
  <c r="AD36"/>
  <c r="AT36"/>
  <c r="BJ36"/>
  <c r="N39"/>
  <c r="R39"/>
  <c r="V39"/>
  <c r="Z39"/>
  <c r="AD39"/>
  <c r="AH39"/>
  <c r="AL39"/>
  <c r="AT39"/>
  <c r="AX39"/>
  <c r="BB39"/>
  <c r="BF39"/>
  <c r="BJ39"/>
  <c r="BN39"/>
  <c r="L39" i="251"/>
  <c r="P39"/>
  <c r="T39"/>
  <c r="X39"/>
  <c r="AB39"/>
  <c r="AF39"/>
  <c r="AN39"/>
  <c r="AR39"/>
  <c r="AV39"/>
  <c r="AZ39"/>
  <c r="BD39"/>
  <c r="BH39"/>
  <c r="BL39"/>
  <c r="K39" i="250"/>
  <c r="O39"/>
  <c r="S39"/>
  <c r="W39"/>
  <c r="AA39"/>
  <c r="AE39"/>
  <c r="AI39"/>
  <c r="AM39"/>
  <c r="AQ39"/>
  <c r="AU39"/>
  <c r="AY39"/>
  <c r="BC39"/>
  <c r="BG39"/>
  <c r="BK39"/>
  <c r="M39" i="251"/>
  <c r="Y39"/>
  <c r="AC39"/>
  <c r="AO39"/>
  <c r="AS39"/>
  <c r="AW39"/>
  <c r="BA39"/>
  <c r="BE39"/>
  <c r="BI39"/>
  <c r="BM39"/>
  <c r="AE30" i="253"/>
  <c r="L25" i="254"/>
  <c r="L36" s="1"/>
  <c r="BM30" i="253"/>
  <c r="BI30"/>
  <c r="BE30"/>
  <c r="BA30"/>
  <c r="AW30"/>
  <c r="AS30"/>
  <c r="AO30"/>
  <c r="AK30"/>
  <c r="AG30"/>
  <c r="AC30"/>
  <c r="Y30"/>
  <c r="U30"/>
  <c r="Q30"/>
  <c r="M30"/>
  <c r="T30"/>
  <c r="AU30"/>
  <c r="BM25" i="254"/>
  <c r="BM36" s="1"/>
  <c r="BI25"/>
  <c r="BI36" s="1"/>
  <c r="BE25"/>
  <c r="BE36" s="1"/>
  <c r="BA25"/>
  <c r="BA36" s="1"/>
  <c r="AW25"/>
  <c r="AW36" s="1"/>
  <c r="AS25"/>
  <c r="AS36" s="1"/>
  <c r="AO25"/>
  <c r="AO36" s="1"/>
  <c r="AK25"/>
  <c r="AK36" s="1"/>
  <c r="AG25"/>
  <c r="AG36" s="1"/>
  <c r="AC25"/>
  <c r="AC36" s="1"/>
  <c r="Y25"/>
  <c r="Y36" s="1"/>
  <c r="U25"/>
  <c r="U36" s="1"/>
  <c r="Q25"/>
  <c r="Q36" s="1"/>
  <c r="M25"/>
  <c r="M36" s="1"/>
  <c r="G25"/>
  <c r="AB25"/>
  <c r="AB36" s="1"/>
  <c r="G25" i="250"/>
  <c r="S25"/>
  <c r="S36" s="1"/>
  <c r="AE25"/>
  <c r="AE36" s="1"/>
  <c r="AM25"/>
  <c r="AM36" s="1"/>
  <c r="AY25"/>
  <c r="AY36" s="1"/>
  <c r="BK25"/>
  <c r="BK36" s="1"/>
  <c r="S30" i="251"/>
  <c r="AI30"/>
  <c r="AU30"/>
  <c r="BG30"/>
  <c r="O25" i="252"/>
  <c r="O36" s="1"/>
  <c r="AA25"/>
  <c r="AA36" s="1"/>
  <c r="AI25"/>
  <c r="AI36" s="1"/>
  <c r="AU25"/>
  <c r="AU36" s="1"/>
  <c r="BC25"/>
  <c r="BC36" s="1"/>
  <c r="BK25"/>
  <c r="BK36" s="1"/>
  <c r="V30" i="253"/>
  <c r="AL30"/>
  <c r="BB30"/>
  <c r="N25" i="254"/>
  <c r="N36" s="1"/>
  <c r="AI25"/>
  <c r="AI36" s="1"/>
  <c r="BD25"/>
  <c r="BD36" s="1"/>
  <c r="Z30" i="253"/>
  <c r="AP30"/>
  <c r="BK30"/>
  <c r="W25" i="254"/>
  <c r="W36" s="1"/>
  <c r="AH25"/>
  <c r="AH36" s="1"/>
  <c r="AX25"/>
  <c r="AX36" s="1"/>
  <c r="BC25"/>
  <c r="BC36" s="1"/>
  <c r="BN25"/>
  <c r="BN36" s="1"/>
  <c r="K25" i="250"/>
  <c r="W25"/>
  <c r="W36" s="1"/>
  <c r="AI25"/>
  <c r="AI36" s="1"/>
  <c r="AQ25"/>
  <c r="AQ36" s="1"/>
  <c r="BC25"/>
  <c r="BC36" s="1"/>
  <c r="BG25"/>
  <c r="BG36" s="1"/>
  <c r="K30" i="251"/>
  <c r="W30"/>
  <c r="AE30"/>
  <c r="AQ30"/>
  <c r="BC30"/>
  <c r="K25" i="252"/>
  <c r="W25"/>
  <c r="W36" s="1"/>
  <c r="AM25"/>
  <c r="AM36" s="1"/>
  <c r="K30" i="253"/>
  <c r="AA30"/>
  <c r="AQ30"/>
  <c r="BG30"/>
  <c r="S25" i="254"/>
  <c r="S36" s="1"/>
  <c r="AD25"/>
  <c r="AD36" s="1"/>
  <c r="AT25"/>
  <c r="AT36" s="1"/>
  <c r="H25" i="250"/>
  <c r="L25"/>
  <c r="L36" s="1"/>
  <c r="P25"/>
  <c r="P36" s="1"/>
  <c r="T25"/>
  <c r="T36" s="1"/>
  <c r="X25"/>
  <c r="X36" s="1"/>
  <c r="AB25"/>
  <c r="AB36" s="1"/>
  <c r="AF25"/>
  <c r="AF36" s="1"/>
  <c r="AJ25"/>
  <c r="AJ36" s="1"/>
  <c r="AN25"/>
  <c r="AN36" s="1"/>
  <c r="AR25"/>
  <c r="AR36" s="1"/>
  <c r="AV25"/>
  <c r="AV36" s="1"/>
  <c r="AZ25"/>
  <c r="AZ36" s="1"/>
  <c r="BD25"/>
  <c r="BD36" s="1"/>
  <c r="BH25"/>
  <c r="BH36" s="1"/>
  <c r="BL25"/>
  <c r="BL36" s="1"/>
  <c r="N30"/>
  <c r="R30"/>
  <c r="V30"/>
  <c r="Z30"/>
  <c r="AD30"/>
  <c r="AH30"/>
  <c r="AL30"/>
  <c r="AP30"/>
  <c r="AT30"/>
  <c r="AX30"/>
  <c r="BB30"/>
  <c r="BF30"/>
  <c r="BJ30"/>
  <c r="BN30"/>
  <c r="J25" i="251"/>
  <c r="N25"/>
  <c r="N36" s="1"/>
  <c r="R25"/>
  <c r="R36" s="1"/>
  <c r="V25"/>
  <c r="V36" s="1"/>
  <c r="Z25"/>
  <c r="Z36" s="1"/>
  <c r="AD25"/>
  <c r="AD36" s="1"/>
  <c r="AH25"/>
  <c r="AH36" s="1"/>
  <c r="AL25"/>
  <c r="AL36" s="1"/>
  <c r="AP25"/>
  <c r="AP36" s="1"/>
  <c r="AT25"/>
  <c r="AT36" s="1"/>
  <c r="AX25"/>
  <c r="AX36" s="1"/>
  <c r="BB25"/>
  <c r="BB36" s="1"/>
  <c r="BF25"/>
  <c r="BF36" s="1"/>
  <c r="BJ25"/>
  <c r="BJ36" s="1"/>
  <c r="BN25"/>
  <c r="BN36" s="1"/>
  <c r="L30"/>
  <c r="P30"/>
  <c r="T30"/>
  <c r="X30"/>
  <c r="AB30"/>
  <c r="AF30"/>
  <c r="AJ30"/>
  <c r="AN30"/>
  <c r="AR30"/>
  <c r="AV30"/>
  <c r="AZ30"/>
  <c r="BD30"/>
  <c r="BH30"/>
  <c r="BL30"/>
  <c r="H25" i="252"/>
  <c r="L25"/>
  <c r="L36" s="1"/>
  <c r="P25"/>
  <c r="P36" s="1"/>
  <c r="T25"/>
  <c r="T36" s="1"/>
  <c r="X25"/>
  <c r="X36" s="1"/>
  <c r="AB25"/>
  <c r="AB36" s="1"/>
  <c r="AF25"/>
  <c r="AF36" s="1"/>
  <c r="AJ25"/>
  <c r="AJ36" s="1"/>
  <c r="AN25"/>
  <c r="AN36" s="1"/>
  <c r="AR25"/>
  <c r="AR36" s="1"/>
  <c r="AV25"/>
  <c r="AV36" s="1"/>
  <c r="AZ25"/>
  <c r="AZ36" s="1"/>
  <c r="BD25"/>
  <c r="BD36" s="1"/>
  <c r="BH25"/>
  <c r="BH36" s="1"/>
  <c r="BL25"/>
  <c r="BL36" s="1"/>
  <c r="N30"/>
  <c r="R30"/>
  <c r="V30"/>
  <c r="Z30"/>
  <c r="AD30"/>
  <c r="AH30"/>
  <c r="AL30"/>
  <c r="AP30"/>
  <c r="AT30"/>
  <c r="AX30"/>
  <c r="BB30"/>
  <c r="BF30"/>
  <c r="BJ30"/>
  <c r="BN30"/>
  <c r="H25" i="253"/>
  <c r="M36"/>
  <c r="AC36"/>
  <c r="AS36"/>
  <c r="L30"/>
  <c r="R30"/>
  <c r="W30"/>
  <c r="AB30"/>
  <c r="AH30"/>
  <c r="AM30"/>
  <c r="AR30"/>
  <c r="AX30"/>
  <c r="BC30"/>
  <c r="BH30"/>
  <c r="BN30"/>
  <c r="J25" i="254"/>
  <c r="O25"/>
  <c r="O36" s="1"/>
  <c r="T25"/>
  <c r="T36" s="1"/>
  <c r="Z25"/>
  <c r="Z36" s="1"/>
  <c r="AE25"/>
  <c r="AE36" s="1"/>
  <c r="AJ25"/>
  <c r="AJ36" s="1"/>
  <c r="AP25"/>
  <c r="AP36" s="1"/>
  <c r="AU25"/>
  <c r="AU36" s="1"/>
  <c r="AZ25"/>
  <c r="AZ36" s="1"/>
  <c r="BF25"/>
  <c r="BF36" s="1"/>
  <c r="BK25"/>
  <c r="BK36" s="1"/>
  <c r="O30" i="253"/>
  <c r="AJ30"/>
  <c r="BF30"/>
  <c r="R25" i="254"/>
  <c r="R36" s="1"/>
  <c r="AM25"/>
  <c r="AM36" s="1"/>
  <c r="BH25"/>
  <c r="BH36" s="1"/>
  <c r="O25" i="250"/>
  <c r="O36" s="1"/>
  <c r="AA25"/>
  <c r="AA36" s="1"/>
  <c r="AU25"/>
  <c r="AU36" s="1"/>
  <c r="O30" i="251"/>
  <c r="AA30"/>
  <c r="AM30"/>
  <c r="AY30"/>
  <c r="BK30"/>
  <c r="G25" i="252"/>
  <c r="S25"/>
  <c r="S36" s="1"/>
  <c r="AE25"/>
  <c r="AE36" s="1"/>
  <c r="AQ25"/>
  <c r="AQ36" s="1"/>
  <c r="AY25"/>
  <c r="AY36" s="1"/>
  <c r="BG25"/>
  <c r="BG36" s="1"/>
  <c r="P30" i="253"/>
  <c r="AF30"/>
  <c r="AV30"/>
  <c r="BL30"/>
  <c r="H25" i="254"/>
  <c r="X25"/>
  <c r="X36" s="1"/>
  <c r="AN25"/>
  <c r="AN36" s="1"/>
  <c r="AY25"/>
  <c r="AY36" s="1"/>
  <c r="BJ25"/>
  <c r="BJ36" s="1"/>
  <c r="M25" i="250"/>
  <c r="M36" s="1"/>
  <c r="Q25"/>
  <c r="Q36" s="1"/>
  <c r="U25"/>
  <c r="U36" s="1"/>
  <c r="Y25"/>
  <c r="Y36" s="1"/>
  <c r="AC25"/>
  <c r="AC36" s="1"/>
  <c r="AG25"/>
  <c r="AG36" s="1"/>
  <c r="AK25"/>
  <c r="AK36" s="1"/>
  <c r="AO25"/>
  <c r="AO36" s="1"/>
  <c r="AS25"/>
  <c r="AS36" s="1"/>
  <c r="AW25"/>
  <c r="AW36" s="1"/>
  <c r="BA25"/>
  <c r="BA36" s="1"/>
  <c r="BE25"/>
  <c r="BE36" s="1"/>
  <c r="BI25"/>
  <c r="BI36" s="1"/>
  <c r="K30"/>
  <c r="O30"/>
  <c r="S30"/>
  <c r="W30"/>
  <c r="AA30"/>
  <c r="AE30"/>
  <c r="AI30"/>
  <c r="AM30"/>
  <c r="AQ30"/>
  <c r="AU30"/>
  <c r="AY30"/>
  <c r="BC30"/>
  <c r="BG30"/>
  <c r="G25" i="251"/>
  <c r="K25"/>
  <c r="O25"/>
  <c r="O36" s="1"/>
  <c r="S25"/>
  <c r="S36" s="1"/>
  <c r="W25"/>
  <c r="W36" s="1"/>
  <c r="AA25"/>
  <c r="AA36" s="1"/>
  <c r="AE25"/>
  <c r="AE36" s="1"/>
  <c r="AI25"/>
  <c r="AI36" s="1"/>
  <c r="AM25"/>
  <c r="AM36" s="1"/>
  <c r="AQ25"/>
  <c r="AQ36" s="1"/>
  <c r="AU25"/>
  <c r="AU36" s="1"/>
  <c r="AY25"/>
  <c r="AY36" s="1"/>
  <c r="BC25"/>
  <c r="BC36" s="1"/>
  <c r="BG25"/>
  <c r="BG36" s="1"/>
  <c r="M30"/>
  <c r="Q30"/>
  <c r="U30"/>
  <c r="Y30"/>
  <c r="AC30"/>
  <c r="AG30"/>
  <c r="AK30"/>
  <c r="AO30"/>
  <c r="AS30"/>
  <c r="AW30"/>
  <c r="BA30"/>
  <c r="BE30"/>
  <c r="BI30"/>
  <c r="M25" i="252"/>
  <c r="M36" s="1"/>
  <c r="Q25"/>
  <c r="Q36" s="1"/>
  <c r="U25"/>
  <c r="U36" s="1"/>
  <c r="Y25"/>
  <c r="Y36" s="1"/>
  <c r="AC25"/>
  <c r="AC36" s="1"/>
  <c r="AG25"/>
  <c r="AG36" s="1"/>
  <c r="AK25"/>
  <c r="AK36" s="1"/>
  <c r="AO25"/>
  <c r="AO36" s="1"/>
  <c r="AS25"/>
  <c r="AS36" s="1"/>
  <c r="AW25"/>
  <c r="AW36" s="1"/>
  <c r="BA25"/>
  <c r="BA36" s="1"/>
  <c r="BE25"/>
  <c r="BE36" s="1"/>
  <c r="BI25"/>
  <c r="BI36" s="1"/>
  <c r="K30"/>
  <c r="O30"/>
  <c r="S30"/>
  <c r="W30"/>
  <c r="AA30"/>
  <c r="AE30"/>
  <c r="AI30"/>
  <c r="AM30"/>
  <c r="AQ30"/>
  <c r="AU30"/>
  <c r="AY30"/>
  <c r="BC30"/>
  <c r="BG30"/>
  <c r="Y36" i="253"/>
  <c r="BE36"/>
  <c r="N30"/>
  <c r="S30"/>
  <c r="X30"/>
  <c r="AD30"/>
  <c r="AI30"/>
  <c r="AN30"/>
  <c r="AT30"/>
  <c r="AY30"/>
  <c r="BD30"/>
  <c r="BJ30"/>
  <c r="K25" i="254"/>
  <c r="P25"/>
  <c r="P36" s="1"/>
  <c r="V25"/>
  <c r="V36" s="1"/>
  <c r="AA25"/>
  <c r="AA36" s="1"/>
  <c r="AF25"/>
  <c r="AF36" s="1"/>
  <c r="AL25"/>
  <c r="AL36" s="1"/>
  <c r="AQ25"/>
  <c r="AQ36" s="1"/>
  <c r="AV25"/>
  <c r="AV36" s="1"/>
  <c r="BB25"/>
  <c r="BB36" s="1"/>
  <c r="BG25"/>
  <c r="BG36" s="1"/>
  <c r="BL25"/>
  <c r="BL36" s="1"/>
  <c r="BG30" i="257"/>
  <c r="AA30"/>
  <c r="H25"/>
  <c r="S30"/>
  <c r="K30" i="255"/>
  <c r="O30"/>
  <c r="S30"/>
  <c r="W30"/>
  <c r="AA30"/>
  <c r="AE30"/>
  <c r="AI30"/>
  <c r="AM30"/>
  <c r="AQ30"/>
  <c r="AU30"/>
  <c r="AY30"/>
  <c r="BC30"/>
  <c r="BG30"/>
  <c r="BK30"/>
  <c r="N25" i="256"/>
  <c r="N36" s="1"/>
  <c r="AD25"/>
  <c r="AD36" s="1"/>
  <c r="AT25"/>
  <c r="AT36" s="1"/>
  <c r="BJ25"/>
  <c r="BJ36" s="1"/>
  <c r="L30" i="255"/>
  <c r="P30"/>
  <c r="T30"/>
  <c r="X30"/>
  <c r="AB30"/>
  <c r="AF30"/>
  <c r="AJ30"/>
  <c r="AN30"/>
  <c r="AR30"/>
  <c r="AV30"/>
  <c r="AZ30"/>
  <c r="BD30"/>
  <c r="BH30"/>
  <c r="BL30"/>
  <c r="AI30" i="257"/>
  <c r="BH25" i="260"/>
  <c r="BH36" s="1"/>
  <c r="Q25"/>
  <c r="Q36" s="1"/>
  <c r="G25" i="253"/>
  <c r="K25"/>
  <c r="O25"/>
  <c r="O36" s="1"/>
  <c r="S25"/>
  <c r="S36" s="1"/>
  <c r="W25"/>
  <c r="W36" s="1"/>
  <c r="AA25"/>
  <c r="AA36" s="1"/>
  <c r="AE25"/>
  <c r="AE36" s="1"/>
  <c r="AI25"/>
  <c r="AI36" s="1"/>
  <c r="AM25"/>
  <c r="AM36" s="1"/>
  <c r="AQ25"/>
  <c r="AQ36" s="1"/>
  <c r="AU25"/>
  <c r="AU36" s="1"/>
  <c r="AY25"/>
  <c r="AY36" s="1"/>
  <c r="BC25"/>
  <c r="BC36" s="1"/>
  <c r="BG25"/>
  <c r="BG36" s="1"/>
  <c r="K30" i="254"/>
  <c r="O30"/>
  <c r="S30"/>
  <c r="W30"/>
  <c r="AA30"/>
  <c r="AE30"/>
  <c r="AI30"/>
  <c r="AM30"/>
  <c r="AQ30"/>
  <c r="AU30"/>
  <c r="AY30"/>
  <c r="BC30"/>
  <c r="BG30"/>
  <c r="G25" i="255"/>
  <c r="K25"/>
  <c r="O25"/>
  <c r="O36" s="1"/>
  <c r="S25"/>
  <c r="S36" s="1"/>
  <c r="W25"/>
  <c r="W36" s="1"/>
  <c r="AA25"/>
  <c r="AA36" s="1"/>
  <c r="AE25"/>
  <c r="AE36" s="1"/>
  <c r="AI25"/>
  <c r="AI36" s="1"/>
  <c r="AM25"/>
  <c r="AM36" s="1"/>
  <c r="AQ25"/>
  <c r="AQ36" s="1"/>
  <c r="AU25"/>
  <c r="AU36" s="1"/>
  <c r="AY25"/>
  <c r="AY36" s="1"/>
  <c r="BC25"/>
  <c r="BC36" s="1"/>
  <c r="BG25"/>
  <c r="BG36" s="1"/>
  <c r="M30"/>
  <c r="Q30"/>
  <c r="U30"/>
  <c r="Y30"/>
  <c r="AC30"/>
  <c r="AG30"/>
  <c r="AK30"/>
  <c r="AO30"/>
  <c r="AS30"/>
  <c r="AW30"/>
  <c r="BA30"/>
  <c r="BE30"/>
  <c r="BI30"/>
  <c r="BK25" i="256"/>
  <c r="BK36" s="1"/>
  <c r="V25"/>
  <c r="V36" s="1"/>
  <c r="AL25"/>
  <c r="AL36" s="1"/>
  <c r="BK30" i="257"/>
  <c r="K30"/>
  <c r="G25" i="256"/>
  <c r="O25"/>
  <c r="O36" s="1"/>
  <c r="W25"/>
  <c r="W36" s="1"/>
  <c r="AE25"/>
  <c r="AE36" s="1"/>
  <c r="AM25"/>
  <c r="AM36" s="1"/>
  <c r="AU25"/>
  <c r="AU36" s="1"/>
  <c r="BC25"/>
  <c r="BC36" s="1"/>
  <c r="Q36" i="257"/>
  <c r="Y36"/>
  <c r="AG36"/>
  <c r="AO36"/>
  <c r="AW36"/>
  <c r="BE36"/>
  <c r="BM36"/>
  <c r="N30"/>
  <c r="V30"/>
  <c r="AD30"/>
  <c r="AL30"/>
  <c r="AT30"/>
  <c r="BB30"/>
  <c r="BJ30"/>
  <c r="Z36" i="258"/>
  <c r="AP36"/>
  <c r="BF36"/>
  <c r="AB25" i="260"/>
  <c r="AB36" s="1"/>
  <c r="BM25" i="256"/>
  <c r="BM36" s="1"/>
  <c r="BI25"/>
  <c r="BI36" s="1"/>
  <c r="BE25"/>
  <c r="BE36" s="1"/>
  <c r="BA25"/>
  <c r="BA36" s="1"/>
  <c r="AW25"/>
  <c r="AW36" s="1"/>
  <c r="AS25"/>
  <c r="AS36" s="1"/>
  <c r="AO25"/>
  <c r="AO36" s="1"/>
  <c r="AK25"/>
  <c r="AK36" s="1"/>
  <c r="AG25"/>
  <c r="AG36" s="1"/>
  <c r="AC25"/>
  <c r="AC36" s="1"/>
  <c r="Y25"/>
  <c r="Y36" s="1"/>
  <c r="U25"/>
  <c r="U36" s="1"/>
  <c r="Q25"/>
  <c r="Q36" s="1"/>
  <c r="M25"/>
  <c r="M36" s="1"/>
  <c r="BL25"/>
  <c r="BL36" s="1"/>
  <c r="BH25"/>
  <c r="BH36" s="1"/>
  <c r="BD25"/>
  <c r="BD36" s="1"/>
  <c r="AZ25"/>
  <c r="AZ36" s="1"/>
  <c r="AV25"/>
  <c r="AV36" s="1"/>
  <c r="AR25"/>
  <c r="AR36" s="1"/>
  <c r="AN25"/>
  <c r="AN36" s="1"/>
  <c r="AJ25"/>
  <c r="AJ36" s="1"/>
  <c r="AF25"/>
  <c r="AF36" s="1"/>
  <c r="AB25"/>
  <c r="AB36" s="1"/>
  <c r="X25"/>
  <c r="X36" s="1"/>
  <c r="T25"/>
  <c r="T36" s="1"/>
  <c r="P25"/>
  <c r="P36" s="1"/>
  <c r="L25"/>
  <c r="J25"/>
  <c r="R25"/>
  <c r="R36" s="1"/>
  <c r="Z25"/>
  <c r="Z36" s="1"/>
  <c r="AH25"/>
  <c r="AH36" s="1"/>
  <c r="AP25"/>
  <c r="AP36" s="1"/>
  <c r="AX25"/>
  <c r="AX36" s="1"/>
  <c r="BF25"/>
  <c r="BF36" s="1"/>
  <c r="BN25"/>
  <c r="BN36" s="1"/>
  <c r="L36" i="257"/>
  <c r="T36"/>
  <c r="AB36"/>
  <c r="AJ36"/>
  <c r="AR36"/>
  <c r="AZ36"/>
  <c r="BH36"/>
  <c r="O30"/>
  <c r="W30"/>
  <c r="AE30"/>
  <c r="AM30"/>
  <c r="AU30"/>
  <c r="BC30"/>
  <c r="N36" i="258"/>
  <c r="AD36"/>
  <c r="AT36"/>
  <c r="BJ36"/>
  <c r="BM30" i="257"/>
  <c r="BI30"/>
  <c r="BE30"/>
  <c r="BA30"/>
  <c r="AW30"/>
  <c r="AS30"/>
  <c r="AO30"/>
  <c r="AK30"/>
  <c r="AG30"/>
  <c r="AC30"/>
  <c r="Y30"/>
  <c r="U30"/>
  <c r="Q30"/>
  <c r="M30"/>
  <c r="BL30"/>
  <c r="BH30"/>
  <c r="BD30"/>
  <c r="AZ30"/>
  <c r="AV30"/>
  <c r="AR30"/>
  <c r="AN30"/>
  <c r="AJ30"/>
  <c r="AF30"/>
  <c r="AB30"/>
  <c r="X30"/>
  <c r="T30"/>
  <c r="P30"/>
  <c r="L30"/>
  <c r="M36"/>
  <c r="U36"/>
  <c r="AC36"/>
  <c r="AK36"/>
  <c r="AS36"/>
  <c r="BA36"/>
  <c r="BI36"/>
  <c r="R30"/>
  <c r="Z30"/>
  <c r="AH30"/>
  <c r="AP30"/>
  <c r="AX30"/>
  <c r="BF30"/>
  <c r="BN30"/>
  <c r="AM25" i="260"/>
  <c r="AM36" s="1"/>
  <c r="G25" i="258"/>
  <c r="K25"/>
  <c r="O25"/>
  <c r="O36" s="1"/>
  <c r="S25"/>
  <c r="S36" s="1"/>
  <c r="W25"/>
  <c r="W36" s="1"/>
  <c r="AA25"/>
  <c r="AA36" s="1"/>
  <c r="AE25"/>
  <c r="AE36" s="1"/>
  <c r="AI25"/>
  <c r="AI36" s="1"/>
  <c r="AM25"/>
  <c r="AM36" s="1"/>
  <c r="AQ25"/>
  <c r="AQ36" s="1"/>
  <c r="AU25"/>
  <c r="AU36" s="1"/>
  <c r="AY25"/>
  <c r="AY36" s="1"/>
  <c r="BC25"/>
  <c r="BC36" s="1"/>
  <c r="BG25"/>
  <c r="BG36" s="1"/>
  <c r="BK25"/>
  <c r="BK36" s="1"/>
  <c r="BL30" i="259"/>
  <c r="BH30"/>
  <c r="BD30"/>
  <c r="AZ30"/>
  <c r="AV30"/>
  <c r="AR30"/>
  <c r="AN30"/>
  <c r="AJ30"/>
  <c r="AF30"/>
  <c r="AB30"/>
  <c r="X30"/>
  <c r="T30"/>
  <c r="P30"/>
  <c r="L30"/>
  <c r="BK30"/>
  <c r="BG30"/>
  <c r="BC30"/>
  <c r="AY30"/>
  <c r="AU30"/>
  <c r="AQ30"/>
  <c r="AM30"/>
  <c r="AI30"/>
  <c r="AE30"/>
  <c r="AA30"/>
  <c r="W30"/>
  <c r="S30"/>
  <c r="O30"/>
  <c r="K30"/>
  <c r="BM30"/>
  <c r="BE30"/>
  <c r="AW30"/>
  <c r="AO30"/>
  <c r="AG30"/>
  <c r="Y30"/>
  <c r="Q30"/>
  <c r="BJ30"/>
  <c r="BB30"/>
  <c r="AT30"/>
  <c r="AL30"/>
  <c r="AD30"/>
  <c r="V30"/>
  <c r="N30"/>
  <c r="H25"/>
  <c r="BI30"/>
  <c r="BA30"/>
  <c r="AS30"/>
  <c r="AK30"/>
  <c r="AC30"/>
  <c r="U30"/>
  <c r="M30"/>
  <c r="BG25"/>
  <c r="BG36" s="1"/>
  <c r="AY25"/>
  <c r="AY36" s="1"/>
  <c r="AQ25"/>
  <c r="AQ36" s="1"/>
  <c r="S25"/>
  <c r="S36" s="1"/>
  <c r="AI25"/>
  <c r="AI36" s="1"/>
  <c r="BH25"/>
  <c r="BH36" s="1"/>
  <c r="Z30"/>
  <c r="BF30"/>
  <c r="H25" i="256"/>
  <c r="N30"/>
  <c r="R30"/>
  <c r="V30"/>
  <c r="Z30"/>
  <c r="AD30"/>
  <c r="AH30"/>
  <c r="AL30"/>
  <c r="AP30"/>
  <c r="AT30"/>
  <c r="AX30"/>
  <c r="BB30"/>
  <c r="BF30"/>
  <c r="BJ30"/>
  <c r="BN30"/>
  <c r="J25" i="257"/>
  <c r="N25"/>
  <c r="N36" s="1"/>
  <c r="R25"/>
  <c r="R36" s="1"/>
  <c r="V25"/>
  <c r="V36" s="1"/>
  <c r="Z25"/>
  <c r="Z36" s="1"/>
  <c r="AD25"/>
  <c r="AD36" s="1"/>
  <c r="AH25"/>
  <c r="AH36" s="1"/>
  <c r="AL25"/>
  <c r="AL36" s="1"/>
  <c r="AP25"/>
  <c r="AP36" s="1"/>
  <c r="AT25"/>
  <c r="AT36" s="1"/>
  <c r="AX25"/>
  <c r="AX36" s="1"/>
  <c r="BB25"/>
  <c r="BB36" s="1"/>
  <c r="BF25"/>
  <c r="BF36" s="1"/>
  <c r="BJ25"/>
  <c r="BJ36" s="1"/>
  <c r="BN25"/>
  <c r="BN36" s="1"/>
  <c r="H25" i="258"/>
  <c r="L25"/>
  <c r="L36" s="1"/>
  <c r="P25"/>
  <c r="P36" s="1"/>
  <c r="T25"/>
  <c r="T36" s="1"/>
  <c r="X25"/>
  <c r="X36" s="1"/>
  <c r="AB25"/>
  <c r="AB36" s="1"/>
  <c r="AF25"/>
  <c r="AF36" s="1"/>
  <c r="AJ25"/>
  <c r="AJ36" s="1"/>
  <c r="AN25"/>
  <c r="AN36" s="1"/>
  <c r="AR25"/>
  <c r="AR36" s="1"/>
  <c r="AV25"/>
  <c r="AV36" s="1"/>
  <c r="AZ25"/>
  <c r="AZ36" s="1"/>
  <c r="BD25"/>
  <c r="BD36" s="1"/>
  <c r="BH25"/>
  <c r="BH36" s="1"/>
  <c r="BL25"/>
  <c r="BL36" s="1"/>
  <c r="N30"/>
  <c r="R30"/>
  <c r="V30"/>
  <c r="Z30"/>
  <c r="AD30"/>
  <c r="AH30"/>
  <c r="AL30"/>
  <c r="AP30"/>
  <c r="AT30"/>
  <c r="AX30"/>
  <c r="BB30"/>
  <c r="BF30"/>
  <c r="BJ30"/>
  <c r="BN30"/>
  <c r="T25" i="259"/>
  <c r="T36" s="1"/>
  <c r="AJ25"/>
  <c r="AJ36" s="1"/>
  <c r="AH30"/>
  <c r="BN30"/>
  <c r="K30" i="256"/>
  <c r="O30"/>
  <c r="S30"/>
  <c r="W30"/>
  <c r="AA30"/>
  <c r="AE30"/>
  <c r="AI30"/>
  <c r="AM30"/>
  <c r="AQ30"/>
  <c r="AU30"/>
  <c r="AY30"/>
  <c r="BC30"/>
  <c r="BG30"/>
  <c r="G25" i="257"/>
  <c r="K25"/>
  <c r="O25"/>
  <c r="O36" s="1"/>
  <c r="S25"/>
  <c r="S36" s="1"/>
  <c r="W25"/>
  <c r="W36" s="1"/>
  <c r="AA25"/>
  <c r="AA36" s="1"/>
  <c r="AE25"/>
  <c r="AE36" s="1"/>
  <c r="AI25"/>
  <c r="AI36" s="1"/>
  <c r="AM25"/>
  <c r="AM36" s="1"/>
  <c r="AQ25"/>
  <c r="AQ36" s="1"/>
  <c r="AU25"/>
  <c r="AU36" s="1"/>
  <c r="AY25"/>
  <c r="AY36" s="1"/>
  <c r="BC25"/>
  <c r="BC36" s="1"/>
  <c r="BG25"/>
  <c r="BG36" s="1"/>
  <c r="M25" i="258"/>
  <c r="M36" s="1"/>
  <c r="Q25"/>
  <c r="Q36" s="1"/>
  <c r="U25"/>
  <c r="U36" s="1"/>
  <c r="Y25"/>
  <c r="Y36" s="1"/>
  <c r="AC25"/>
  <c r="AC36" s="1"/>
  <c r="AG25"/>
  <c r="AG36" s="1"/>
  <c r="AK25"/>
  <c r="AK36" s="1"/>
  <c r="AO25"/>
  <c r="AO36" s="1"/>
  <c r="AS25"/>
  <c r="AS36" s="1"/>
  <c r="AW25"/>
  <c r="AW36" s="1"/>
  <c r="BA25"/>
  <c r="BA36" s="1"/>
  <c r="BE25"/>
  <c r="BE36" s="1"/>
  <c r="BI25"/>
  <c r="BI36" s="1"/>
  <c r="K30"/>
  <c r="O30"/>
  <c r="S30"/>
  <c r="W30"/>
  <c r="AA30"/>
  <c r="AE30"/>
  <c r="AI30"/>
  <c r="AM30"/>
  <c r="AQ30"/>
  <c r="AU30"/>
  <c r="AY30"/>
  <c r="BC30"/>
  <c r="BG30"/>
  <c r="K25" i="259"/>
  <c r="AA25"/>
  <c r="AA36" s="1"/>
  <c r="AR25"/>
  <c r="AR36" s="1"/>
  <c r="AP30"/>
  <c r="BN25" i="260"/>
  <c r="BN36" s="1"/>
  <c r="BJ25"/>
  <c r="BJ36" s="1"/>
  <c r="BF25"/>
  <c r="BF36" s="1"/>
  <c r="BB25"/>
  <c r="BB36" s="1"/>
  <c r="AX25"/>
  <c r="AX36" s="1"/>
  <c r="AT25"/>
  <c r="AT36" s="1"/>
  <c r="AP25"/>
  <c r="AP36" s="1"/>
  <c r="AL25"/>
  <c r="AL36" s="1"/>
  <c r="AH25"/>
  <c r="AH36" s="1"/>
  <c r="AD25"/>
  <c r="AD36" s="1"/>
  <c r="Z25"/>
  <c r="Z36" s="1"/>
  <c r="V25"/>
  <c r="V36" s="1"/>
  <c r="R25"/>
  <c r="R36" s="1"/>
  <c r="N25"/>
  <c r="N36" s="1"/>
  <c r="J25"/>
  <c r="BL25"/>
  <c r="BL36" s="1"/>
  <c r="BG25"/>
  <c r="BG36" s="1"/>
  <c r="BA25"/>
  <c r="BA36" s="1"/>
  <c r="AV25"/>
  <c r="AV36" s="1"/>
  <c r="AQ25"/>
  <c r="AQ36" s="1"/>
  <c r="AK25"/>
  <c r="AK36" s="1"/>
  <c r="AF25"/>
  <c r="AF36" s="1"/>
  <c r="AA25"/>
  <c r="AA36" s="1"/>
  <c r="U25"/>
  <c r="U36" s="1"/>
  <c r="P25"/>
  <c r="P36" s="1"/>
  <c r="K25"/>
  <c r="BK25"/>
  <c r="BK36" s="1"/>
  <c r="BE25"/>
  <c r="BE36" s="1"/>
  <c r="AZ25"/>
  <c r="AZ36" s="1"/>
  <c r="AU25"/>
  <c r="AU36" s="1"/>
  <c r="AO25"/>
  <c r="AO36" s="1"/>
  <c r="AJ25"/>
  <c r="AJ36" s="1"/>
  <c r="AE25"/>
  <c r="AE36" s="1"/>
  <c r="Y25"/>
  <c r="Y36" s="1"/>
  <c r="T25"/>
  <c r="T36" s="1"/>
  <c r="O25"/>
  <c r="O36" s="1"/>
  <c r="BD25"/>
  <c r="BD36" s="1"/>
  <c r="AS25"/>
  <c r="AS36" s="1"/>
  <c r="AI25"/>
  <c r="AI36" s="1"/>
  <c r="X25"/>
  <c r="X36" s="1"/>
  <c r="M25"/>
  <c r="M36" s="1"/>
  <c r="BM25"/>
  <c r="BM36" s="1"/>
  <c r="BC25"/>
  <c r="BC36" s="1"/>
  <c r="AR25"/>
  <c r="AR36" s="1"/>
  <c r="AG25"/>
  <c r="AG36" s="1"/>
  <c r="W25"/>
  <c r="W36" s="1"/>
  <c r="L25"/>
  <c r="L36" s="1"/>
  <c r="BI25"/>
  <c r="BI36" s="1"/>
  <c r="AY25"/>
  <c r="AY36" s="1"/>
  <c r="AN25"/>
  <c r="AN36" s="1"/>
  <c r="AC25"/>
  <c r="AC36" s="1"/>
  <c r="S25"/>
  <c r="S36" s="1"/>
  <c r="G25"/>
  <c r="AW25"/>
  <c r="AW36" s="1"/>
  <c r="BN25" i="259"/>
  <c r="BN36" s="1"/>
  <c r="BJ25"/>
  <c r="BJ36" s="1"/>
  <c r="BF25"/>
  <c r="BF36" s="1"/>
  <c r="BB25"/>
  <c r="BB36" s="1"/>
  <c r="AX25"/>
  <c r="AX36" s="1"/>
  <c r="AT25"/>
  <c r="AT36" s="1"/>
  <c r="AP25"/>
  <c r="AP36" s="1"/>
  <c r="AL25"/>
  <c r="AL36" s="1"/>
  <c r="AH25"/>
  <c r="AH36" s="1"/>
  <c r="AD25"/>
  <c r="AD36" s="1"/>
  <c r="Z25"/>
  <c r="Z36" s="1"/>
  <c r="V25"/>
  <c r="V36" s="1"/>
  <c r="R25"/>
  <c r="R36" s="1"/>
  <c r="N25"/>
  <c r="N36" s="1"/>
  <c r="J25"/>
  <c r="BM25"/>
  <c r="BM36" s="1"/>
  <c r="BI25"/>
  <c r="BI36" s="1"/>
  <c r="BE25"/>
  <c r="BE36" s="1"/>
  <c r="BA25"/>
  <c r="BA36" s="1"/>
  <c r="AW25"/>
  <c r="AW36" s="1"/>
  <c r="AS25"/>
  <c r="AS36" s="1"/>
  <c r="AO25"/>
  <c r="AO36" s="1"/>
  <c r="AK25"/>
  <c r="AK36" s="1"/>
  <c r="AG25"/>
  <c r="AG36" s="1"/>
  <c r="AC25"/>
  <c r="AC36" s="1"/>
  <c r="Y25"/>
  <c r="Y36" s="1"/>
  <c r="U25"/>
  <c r="U36" s="1"/>
  <c r="Q25"/>
  <c r="Q36" s="1"/>
  <c r="M25"/>
  <c r="M36" s="1"/>
  <c r="G25"/>
  <c r="O25"/>
  <c r="O36" s="1"/>
  <c r="W25"/>
  <c r="W36" s="1"/>
  <c r="AE25"/>
  <c r="AE36" s="1"/>
  <c r="AM25"/>
  <c r="AM36" s="1"/>
  <c r="AU25"/>
  <c r="AU36" s="1"/>
  <c r="BC25"/>
  <c r="BC36" s="1"/>
  <c r="BK25"/>
  <c r="BK36" s="1"/>
  <c r="H25" i="260"/>
  <c r="R30"/>
  <c r="AM30"/>
  <c r="BI30"/>
  <c r="P25" i="259"/>
  <c r="P36" s="1"/>
  <c r="X25"/>
  <c r="X36" s="1"/>
  <c r="AF25"/>
  <c r="AF36" s="1"/>
  <c r="AN25"/>
  <c r="AN36" s="1"/>
  <c r="AV25"/>
  <c r="AV36" s="1"/>
  <c r="BD25"/>
  <c r="BD36" s="1"/>
  <c r="BL25"/>
  <c r="BL36" s="1"/>
  <c r="W30" i="260"/>
  <c r="AS30"/>
  <c r="BJ30"/>
  <c r="BE30"/>
  <c r="AY30"/>
  <c r="AT30"/>
  <c r="AO30"/>
  <c r="AI30"/>
  <c r="AD30"/>
  <c r="Y30"/>
  <c r="S30"/>
  <c r="N30"/>
  <c r="AC30"/>
  <c r="AX30"/>
  <c r="M30" i="261"/>
  <c r="AK30"/>
  <c r="BB30"/>
  <c r="U30"/>
  <c r="AL30"/>
  <c r="BI30"/>
  <c r="O30" i="260"/>
  <c r="U30"/>
  <c r="Z30"/>
  <c r="AE30"/>
  <c r="AK30"/>
  <c r="AP30"/>
  <c r="AU30"/>
  <c r="BA30"/>
  <c r="BF30"/>
  <c r="V30" i="261"/>
  <c r="AS30"/>
  <c r="BL30" i="260"/>
  <c r="BH30"/>
  <c r="BD30"/>
  <c r="AZ30"/>
  <c r="AV30"/>
  <c r="AR30"/>
  <c r="AN30"/>
  <c r="AJ30"/>
  <c r="AF30"/>
  <c r="AB30"/>
  <c r="X30"/>
  <c r="T30"/>
  <c r="P30"/>
  <c r="L30"/>
  <c r="K30"/>
  <c r="Q30"/>
  <c r="V30"/>
  <c r="AA30"/>
  <c r="AG30"/>
  <c r="AL30"/>
  <c r="AQ30"/>
  <c r="AW30"/>
  <c r="BB30"/>
  <c r="BG30"/>
  <c r="BM30"/>
  <c r="AC30" i="261"/>
  <c r="BL30"/>
  <c r="BH30"/>
  <c r="BD30"/>
  <c r="AZ30"/>
  <c r="AV30"/>
  <c r="AR30"/>
  <c r="AN30"/>
  <c r="AJ30"/>
  <c r="AF30"/>
  <c r="AB30"/>
  <c r="X30"/>
  <c r="T30"/>
  <c r="P30"/>
  <c r="L30"/>
  <c r="BK30"/>
  <c r="BG30"/>
  <c r="BC30"/>
  <c r="AY30"/>
  <c r="AU30"/>
  <c r="AQ30"/>
  <c r="AM30"/>
  <c r="AI30"/>
  <c r="AE30"/>
  <c r="AA30"/>
  <c r="W30"/>
  <c r="S30"/>
  <c r="O30"/>
  <c r="K30"/>
  <c r="BN30"/>
  <c r="BF30"/>
  <c r="AX30"/>
  <c r="AP30"/>
  <c r="AH30"/>
  <c r="Z30"/>
  <c r="R30"/>
  <c r="H25"/>
  <c r="BM30"/>
  <c r="BE30"/>
  <c r="AW30"/>
  <c r="AO30"/>
  <c r="AG30"/>
  <c r="Y30"/>
  <c r="Q30"/>
  <c r="N30"/>
  <c r="AD30"/>
  <c r="AT30"/>
  <c r="BJ30"/>
  <c r="BN25"/>
  <c r="BN36" s="1"/>
  <c r="BJ25"/>
  <c r="BJ36" s="1"/>
  <c r="BF25"/>
  <c r="BF36" s="1"/>
  <c r="BB25"/>
  <c r="BB36" s="1"/>
  <c r="AX25"/>
  <c r="AX36" s="1"/>
  <c r="AT25"/>
  <c r="AT36" s="1"/>
  <c r="AP25"/>
  <c r="AP36" s="1"/>
  <c r="AL25"/>
  <c r="AL36" s="1"/>
  <c r="AH25"/>
  <c r="AH36" s="1"/>
  <c r="AD25"/>
  <c r="AD36" s="1"/>
  <c r="Z25"/>
  <c r="Z36" s="1"/>
  <c r="V25"/>
  <c r="V36" s="1"/>
  <c r="R25"/>
  <c r="R36" s="1"/>
  <c r="N25"/>
  <c r="N36" s="1"/>
  <c r="BM25"/>
  <c r="BM36" s="1"/>
  <c r="BI25"/>
  <c r="BI36" s="1"/>
  <c r="BE25"/>
  <c r="BE36" s="1"/>
  <c r="BA25"/>
  <c r="BA36" s="1"/>
  <c r="AW25"/>
  <c r="AW36" s="1"/>
  <c r="AS25"/>
  <c r="AS36" s="1"/>
  <c r="AO25"/>
  <c r="AO36" s="1"/>
  <c r="AK25"/>
  <c r="AK36" s="1"/>
  <c r="AG25"/>
  <c r="AG36" s="1"/>
  <c r="AC25"/>
  <c r="AC36" s="1"/>
  <c r="Y25"/>
  <c r="Y36" s="1"/>
  <c r="U25"/>
  <c r="U36" s="1"/>
  <c r="Q25"/>
  <c r="Q36" s="1"/>
  <c r="M25"/>
  <c r="M36" s="1"/>
  <c r="G25"/>
  <c r="K25"/>
  <c r="S25"/>
  <c r="S36" s="1"/>
  <c r="AA25"/>
  <c r="AA36" s="1"/>
  <c r="AI25"/>
  <c r="AI36" s="1"/>
  <c r="AQ25"/>
  <c r="AQ36" s="1"/>
  <c r="AY25"/>
  <c r="AY36" s="1"/>
  <c r="BG25"/>
  <c r="BG36" s="1"/>
  <c r="L25"/>
  <c r="L36" s="1"/>
  <c r="T25"/>
  <c r="T36" s="1"/>
  <c r="AB25"/>
  <c r="AB36" s="1"/>
  <c r="AJ25"/>
  <c r="AJ36" s="1"/>
  <c r="AR25"/>
  <c r="AR36" s="1"/>
  <c r="AZ25"/>
  <c r="AZ36" s="1"/>
  <c r="BH25"/>
  <c r="BH36" s="1"/>
  <c r="BN26" i="1"/>
  <c r="BN27"/>
  <c r="BN29"/>
  <c r="BN35"/>
  <c r="C29" i="255"/>
  <c r="C29" i="254"/>
  <c r="C29" i="253"/>
  <c r="C29" i="252"/>
  <c r="K36" i="259" l="1"/>
  <c r="K36" i="255"/>
  <c r="K36" i="250"/>
  <c r="K36" i="251"/>
  <c r="K36" i="252"/>
  <c r="K36" i="261"/>
  <c r="K36" i="260"/>
  <c r="K36" i="257"/>
  <c r="K36" i="258"/>
  <c r="L36" i="256"/>
  <c r="K36" i="253"/>
  <c r="K36" i="254"/>
  <c r="BM26" i="1"/>
  <c r="BM27"/>
  <c r="BM29"/>
  <c r="BM35"/>
  <c r="AU28" i="255"/>
  <c r="AE28"/>
  <c r="O28"/>
  <c r="AX28"/>
  <c r="AC28"/>
  <c r="BE28"/>
  <c r="AJ28"/>
  <c r="N28"/>
  <c r="BA28"/>
  <c r="AF28"/>
  <c r="AW28"/>
  <c r="AB28"/>
  <c r="BK28"/>
  <c r="AY28"/>
  <c r="AI28"/>
  <c r="S28"/>
  <c r="BD28"/>
  <c r="AH28"/>
  <c r="M28"/>
  <c r="BJ28"/>
  <c r="AO28"/>
  <c r="T28"/>
  <c r="BF28"/>
  <c r="AK28"/>
  <c r="P28"/>
  <c r="BB28"/>
  <c r="AG28"/>
  <c r="L28"/>
  <c r="BC28"/>
  <c r="AM28"/>
  <c r="W28"/>
  <c r="BI28"/>
  <c r="AN28"/>
  <c r="R28"/>
  <c r="AT28"/>
  <c r="Y28"/>
  <c r="BL28"/>
  <c r="AP28"/>
  <c r="U28"/>
  <c r="BH28"/>
  <c r="AL28"/>
  <c r="Q28"/>
  <c r="BG28"/>
  <c r="AQ28"/>
  <c r="AA28"/>
  <c r="AS28"/>
  <c r="X28"/>
  <c r="AZ28"/>
  <c r="AD28"/>
  <c r="AV28"/>
  <c r="Z28"/>
  <c r="BM28"/>
  <c r="AR28"/>
  <c r="V28"/>
  <c r="BN28"/>
  <c r="BG28" i="254"/>
  <c r="AL28"/>
  <c r="P28"/>
  <c r="X28"/>
  <c r="BH28"/>
  <c r="AZ28"/>
  <c r="AE28"/>
  <c r="AD28"/>
  <c r="BN28"/>
  <c r="W28"/>
  <c r="BD28"/>
  <c r="M28"/>
  <c r="AC28"/>
  <c r="AS28"/>
  <c r="BI28"/>
  <c r="BL28"/>
  <c r="AQ28"/>
  <c r="V28"/>
  <c r="AN28"/>
  <c r="BF28"/>
  <c r="AJ28"/>
  <c r="O28"/>
  <c r="AT28"/>
  <c r="AH28"/>
  <c r="Y28"/>
  <c r="AO28"/>
  <c r="BE28"/>
  <c r="AV28"/>
  <c r="AA28"/>
  <c r="AY28"/>
  <c r="R28"/>
  <c r="BK28"/>
  <c r="AP28"/>
  <c r="T28"/>
  <c r="AX28"/>
  <c r="N28"/>
  <c r="AB28"/>
  <c r="U28"/>
  <c r="AK28"/>
  <c r="BA28"/>
  <c r="L28"/>
  <c r="BB28"/>
  <c r="AF28"/>
  <c r="BJ28"/>
  <c r="AM28"/>
  <c r="AU28"/>
  <c r="Z28"/>
  <c r="S28"/>
  <c r="BC28"/>
  <c r="AI28"/>
  <c r="Q28"/>
  <c r="AG28"/>
  <c r="AW28"/>
  <c r="BM28"/>
  <c r="AR28"/>
  <c r="AU39" i="252" l="1"/>
  <c r="AN39" i="253"/>
  <c r="BD39" i="252"/>
  <c r="AM39"/>
  <c r="AJ39" i="253"/>
  <c r="AG39"/>
  <c r="BJ39"/>
  <c r="AH39"/>
  <c r="BL39" i="252"/>
  <c r="AB39" i="253"/>
  <c r="R39"/>
  <c r="AZ39"/>
  <c r="BB39"/>
  <c r="AR39" i="252"/>
  <c r="BJ39"/>
  <c r="S39"/>
  <c r="AP39"/>
  <c r="AY39" i="253"/>
  <c r="AE39"/>
  <c r="V39"/>
  <c r="N39" i="252"/>
  <c r="BN39" i="253"/>
  <c r="AQ39" i="252"/>
  <c r="AX39" i="253"/>
  <c r="X39"/>
  <c r="BH39" i="252"/>
  <c r="BE39" i="253"/>
  <c r="AL39" i="252"/>
  <c r="BH39" i="253"/>
  <c r="AH39" i="252"/>
  <c r="P39"/>
  <c r="M39" i="253"/>
  <c r="O39" i="252"/>
  <c r="AJ39"/>
  <c r="Y39" i="253"/>
  <c r="BN39" i="252"/>
  <c r="AS39" i="253"/>
  <c r="V39" i="252"/>
  <c r="AR39" i="253"/>
  <c r="AD39" i="252"/>
  <c r="R39"/>
  <c r="L39"/>
  <c r="BC39"/>
  <c r="L39" i="253"/>
  <c r="K39" i="252"/>
  <c r="AF39"/>
  <c r="T39" i="253"/>
  <c r="Z39" i="252"/>
  <c r="BG39"/>
  <c r="AZ39"/>
  <c r="AT39" i="253"/>
  <c r="U39" i="252"/>
  <c r="AO39"/>
  <c r="BI39"/>
  <c r="AW39" i="253"/>
  <c r="AI39" i="252"/>
  <c r="AL39" i="253"/>
  <c r="AA39" i="252"/>
  <c r="AN39"/>
  <c r="AD39" i="253"/>
  <c r="AX39" i="252"/>
  <c r="AB39"/>
  <c r="N39" i="253"/>
  <c r="BI39"/>
  <c r="BM39"/>
  <c r="BK39" i="252"/>
  <c r="AY39"/>
  <c r="AV39"/>
  <c r="AO39" i="253"/>
  <c r="AT39" i="252"/>
  <c r="W39"/>
  <c r="Q39" i="253"/>
  <c r="AF39"/>
  <c r="BF39"/>
  <c r="AK39" i="252"/>
  <c r="BA39" i="253"/>
  <c r="W39"/>
  <c r="M39" i="252"/>
  <c r="U39" i="253"/>
  <c r="BD39"/>
  <c r="AE39" i="252"/>
  <c r="BA39"/>
  <c r="S39" i="253"/>
  <c r="P39"/>
  <c r="AM39"/>
  <c r="AC39" i="252"/>
  <c r="AP39" i="253"/>
  <c r="K39"/>
  <c r="BB39" i="252"/>
  <c r="T39"/>
  <c r="AC39" i="253"/>
  <c r="AI39"/>
  <c r="Y39" i="252"/>
  <c r="AK39" i="253"/>
  <c r="BC39"/>
  <c r="AS39" i="252"/>
  <c r="BL39" i="253"/>
  <c r="BG39"/>
  <c r="BM39" i="252"/>
  <c r="Q39"/>
  <c r="Z39" i="253"/>
  <c r="AU39"/>
  <c r="AQ39"/>
  <c r="AG39" i="252"/>
  <c r="AV39" i="253"/>
  <c r="BK39"/>
  <c r="AW39" i="252"/>
  <c r="O39" i="253"/>
  <c r="I1" i="1"/>
  <c r="J1"/>
  <c r="K28" i="255"/>
  <c r="K28" i="254"/>
  <c r="F2" i="15" l="1"/>
  <c r="A13" i="237" l="1"/>
  <c r="A4"/>
  <c r="A3"/>
  <c r="A12"/>
  <c r="A11"/>
  <c r="A8"/>
  <c r="A10"/>
  <c r="A6"/>
  <c r="A5"/>
  <c r="A7"/>
  <c r="A9"/>
  <c r="B2" i="15" l="1"/>
  <c r="AF28" i="252"/>
  <c r="F18" i="253"/>
  <c r="F21" i="257"/>
  <c r="F15" i="258"/>
  <c r="AM2" i="251"/>
  <c r="Y2" i="260"/>
  <c r="N2" i="258"/>
  <c r="I4" i="259"/>
  <c r="BN2" i="254"/>
  <c r="V2" i="259"/>
  <c r="U2" i="254"/>
  <c r="U2" i="261"/>
  <c r="I7" i="259"/>
  <c r="AI2" i="260"/>
  <c r="AP2" i="253"/>
  <c r="F8" i="256"/>
  <c r="F5" i="261"/>
  <c r="AP28" i="253"/>
  <c r="AY2" i="255"/>
  <c r="BH28" i="253"/>
  <c r="Z28"/>
  <c r="AT2" i="259"/>
  <c r="I6" i="250"/>
  <c r="AU2" i="258"/>
  <c r="AJ2"/>
  <c r="AA28" i="253"/>
  <c r="BA2" i="260"/>
  <c r="AU28" i="253"/>
  <c r="AE28"/>
  <c r="R28"/>
  <c r="AG2" i="252"/>
  <c r="F6" i="257"/>
  <c r="AF2" i="254"/>
  <c r="BB2" i="261"/>
  <c r="F16" i="260"/>
  <c r="AL2" i="251"/>
  <c r="AI28"/>
  <c r="W28" i="252"/>
  <c r="N2" i="259"/>
  <c r="BH2" i="254"/>
  <c r="F8" i="255"/>
  <c r="I18" i="258"/>
  <c r="BI2" i="254"/>
  <c r="BE2" i="252"/>
  <c r="BJ2" i="259"/>
  <c r="BF2" i="261"/>
  <c r="F15" i="253"/>
  <c r="I16" i="261"/>
  <c r="BG2" i="257"/>
  <c r="I12"/>
  <c r="AZ2" i="260"/>
  <c r="R2" i="256"/>
  <c r="I14" i="254"/>
  <c r="AS2" i="258"/>
  <c r="F6"/>
  <c r="T2" i="260"/>
  <c r="AW2" i="256"/>
  <c r="AF2" i="257"/>
  <c r="I11" i="256"/>
  <c r="BA2" i="252"/>
  <c r="M28" i="253"/>
  <c r="AG2" i="261"/>
  <c r="F10" i="258"/>
  <c r="AH2" i="259"/>
  <c r="F11" i="261"/>
  <c r="I10" i="260"/>
  <c r="AZ2" i="256"/>
  <c r="BK28" i="251"/>
  <c r="BF28" i="252"/>
  <c r="BL2" i="259"/>
  <c r="AB28" i="252"/>
  <c r="F4" i="261"/>
  <c r="AD28" i="252"/>
  <c r="BG28"/>
  <c r="AJ2" i="259"/>
  <c r="I15"/>
  <c r="F9" i="261"/>
  <c r="F11" i="253"/>
  <c r="L2" i="260"/>
  <c r="AA2" i="257"/>
  <c r="X2" i="259"/>
  <c r="BD2" i="258"/>
  <c r="P2" i="253"/>
  <c r="I10" i="254"/>
  <c r="F3" i="258"/>
  <c r="AL28" i="253"/>
  <c r="I9" i="261"/>
  <c r="AC28" i="253"/>
  <c r="AN28"/>
  <c r="AP2" i="260"/>
  <c r="AK2" i="252"/>
  <c r="AU2" i="259"/>
  <c r="F16" i="257"/>
  <c r="AK2" i="259"/>
  <c r="AC2" i="260"/>
  <c r="W2" i="255"/>
  <c r="BE2"/>
  <c r="AO2"/>
  <c r="I11" i="250"/>
  <c r="AB28" i="253"/>
  <c r="AF2" i="259"/>
  <c r="AL2" i="260"/>
  <c r="BJ2" i="256"/>
  <c r="BA2" i="258"/>
  <c r="F16"/>
  <c r="L2" i="254"/>
  <c r="R28" i="250"/>
  <c r="AU28" i="252"/>
  <c r="F13" i="253"/>
  <c r="F7" i="256"/>
  <c r="F5" i="258"/>
  <c r="S2" i="251"/>
  <c r="Z2" i="261"/>
  <c r="AK2" i="257"/>
  <c r="F13" i="261"/>
  <c r="AM2"/>
  <c r="N2"/>
  <c r="AP28" i="252"/>
  <c r="F6" i="255"/>
  <c r="K2" i="259"/>
  <c r="I11"/>
  <c r="AW2" i="254"/>
  <c r="F12" i="260"/>
  <c r="X2" i="250"/>
  <c r="AS2"/>
  <c r="F11" i="256"/>
  <c r="H2" i="254"/>
  <c r="N2" i="257"/>
  <c r="BM2" i="260"/>
  <c r="AF2" i="255"/>
  <c r="L2" i="253"/>
  <c r="AD2" i="252"/>
  <c r="AW2" i="257"/>
  <c r="I22" i="258"/>
  <c r="O2" i="256"/>
  <c r="G2" i="259"/>
  <c r="T2"/>
  <c r="F12" i="250"/>
  <c r="F19"/>
  <c r="F23"/>
  <c r="I11" i="257"/>
  <c r="I13" i="254"/>
  <c r="I16"/>
  <c r="AM2" i="260"/>
  <c r="AM2" i="252"/>
  <c r="X2" i="256"/>
  <c r="V2" i="261"/>
  <c r="F20" i="257"/>
  <c r="H2" i="260"/>
  <c r="BN2" i="256"/>
  <c r="BF2" i="250"/>
  <c r="S2" i="258"/>
  <c r="AR2" i="250"/>
  <c r="M2" i="259"/>
  <c r="F7" i="255"/>
  <c r="AM2" i="256"/>
  <c r="BN2" i="250"/>
  <c r="U2" i="251"/>
  <c r="T28" i="250"/>
  <c r="O2" i="254"/>
  <c r="F17" i="260"/>
  <c r="I15" i="261"/>
  <c r="F19" i="258"/>
  <c r="AW2"/>
  <c r="AR2" i="251"/>
  <c r="AO2" i="256"/>
  <c r="F13" i="260"/>
  <c r="K2" i="258"/>
  <c r="F14" i="257"/>
  <c r="I14" i="258"/>
  <c r="F11" i="250"/>
  <c r="I13" i="261"/>
  <c r="I20" i="257"/>
  <c r="H2" i="253"/>
  <c r="V2" i="258"/>
  <c r="C30" i="257"/>
  <c r="I15" i="254"/>
  <c r="F12" i="255"/>
  <c r="BN2" i="253"/>
  <c r="AL2" i="255"/>
  <c r="F20" i="253"/>
  <c r="S28" i="252"/>
  <c r="I15" i="257"/>
  <c r="F12" i="259"/>
  <c r="I3"/>
  <c r="F6" i="251"/>
  <c r="I2" i="253"/>
  <c r="BJ2" i="254"/>
  <c r="I21" i="252"/>
  <c r="I17" i="261"/>
  <c r="I12" i="259"/>
  <c r="BA2" i="254"/>
  <c r="AY2" i="256"/>
  <c r="AS2" i="259"/>
  <c r="F5" i="254"/>
  <c r="AX2" i="256"/>
  <c r="C30" i="261"/>
  <c r="I9" i="259"/>
  <c r="AZ2"/>
  <c r="AI2" i="251"/>
  <c r="AG2" i="256"/>
  <c r="J2" i="255"/>
  <c r="G2" i="254"/>
  <c r="R2" i="260"/>
  <c r="F8" i="253"/>
  <c r="M2" i="261"/>
  <c r="F14" i="255"/>
  <c r="AS2" i="260"/>
  <c r="AP2" i="255"/>
  <c r="AE2" i="258"/>
  <c r="I13" i="250"/>
  <c r="N28" i="251"/>
  <c r="F3" i="254"/>
  <c r="F4" i="256"/>
  <c r="H2" i="259"/>
  <c r="I6" i="254"/>
  <c r="AU2" i="251"/>
  <c r="AN2"/>
  <c r="AV2"/>
  <c r="I19" i="255"/>
  <c r="BA28" i="251"/>
  <c r="I21"/>
  <c r="AQ2" i="261"/>
  <c r="F24" i="253"/>
  <c r="AJ2" i="256"/>
  <c r="F17" i="258"/>
  <c r="I22" i="255"/>
  <c r="AY2" i="259"/>
  <c r="AU2" i="260"/>
  <c r="F12" i="261"/>
  <c r="G2" i="255"/>
  <c r="J2" i="253"/>
  <c r="AW2"/>
  <c r="BE2" i="254"/>
  <c r="U28" i="250"/>
  <c r="BC2" i="257"/>
  <c r="AQ2" i="253"/>
  <c r="I13" i="255"/>
  <c r="I3" i="261"/>
  <c r="F14" i="258"/>
  <c r="F6" i="259"/>
  <c r="F15" i="261"/>
  <c r="I14" i="260"/>
  <c r="X2" i="261"/>
  <c r="I5" i="255"/>
  <c r="BM28" i="253"/>
  <c r="AQ2" i="256"/>
  <c r="Z2" i="253"/>
  <c r="AA2" i="259"/>
  <c r="F5" i="257"/>
  <c r="AE2" i="256"/>
  <c r="F24" i="260"/>
  <c r="AT2" i="255"/>
  <c r="Q28" i="252"/>
  <c r="F11" i="257"/>
  <c r="AN28" i="252"/>
  <c r="AP2" i="257"/>
  <c r="AL28" i="252"/>
  <c r="AT2" i="261"/>
  <c r="BI2" i="256"/>
  <c r="BF2" i="259"/>
  <c r="BD2" i="256"/>
  <c r="I20" i="260"/>
  <c r="M2" i="256"/>
  <c r="S2" i="257"/>
  <c r="Y2" i="256"/>
  <c r="F13" i="257"/>
  <c r="Y28" i="252"/>
  <c r="AR2" i="261"/>
  <c r="AI28" i="252"/>
  <c r="AR28"/>
  <c r="BC28"/>
  <c r="F9" i="259"/>
  <c r="F13"/>
  <c r="P2" i="261"/>
  <c r="AV2" i="259"/>
  <c r="BB2" i="260"/>
  <c r="J2" i="261"/>
  <c r="J2" i="259"/>
  <c r="F20" i="258"/>
  <c r="AN2" i="257"/>
  <c r="AG2" i="253"/>
  <c r="P28"/>
  <c r="AV2" i="257"/>
  <c r="F10" i="259"/>
  <c r="AO2" i="258"/>
  <c r="I12" i="261"/>
  <c r="L2" i="259"/>
  <c r="L2" i="256"/>
  <c r="F18" i="258"/>
  <c r="BK28" i="253"/>
  <c r="AU2" i="256"/>
  <c r="F14"/>
  <c r="F13" i="255"/>
  <c r="AT2" i="260"/>
  <c r="M2" i="257"/>
  <c r="U2" i="253"/>
  <c r="I17" i="257"/>
  <c r="I6"/>
  <c r="AP2" i="261"/>
  <c r="F5" i="260"/>
  <c r="AF2" i="256"/>
  <c r="BB2" i="258"/>
  <c r="F19" i="261"/>
  <c r="AH2" i="252"/>
  <c r="BL28" i="253"/>
  <c r="I9" i="256"/>
  <c r="AV2" i="253"/>
  <c r="I6" i="261"/>
  <c r="U2" i="259"/>
  <c r="I16" i="256"/>
  <c r="AV2"/>
  <c r="X28" i="251"/>
  <c r="BA28" i="253"/>
  <c r="F18" i="257"/>
  <c r="AL2" i="258"/>
  <c r="BE2" i="256"/>
  <c r="F7" i="261"/>
  <c r="AK2" i="258"/>
  <c r="F23" i="253"/>
  <c r="V2" i="257"/>
  <c r="BB28" i="252"/>
  <c r="U28"/>
  <c r="AH2" i="254"/>
  <c r="F3" i="255"/>
  <c r="AM28" i="252"/>
  <c r="BJ28"/>
  <c r="Z28"/>
  <c r="F16" i="256"/>
  <c r="AD2" i="255"/>
  <c r="T28" i="253"/>
  <c r="BC2" i="255"/>
  <c r="BI28" i="253"/>
  <c r="AX28"/>
  <c r="P2" i="258"/>
  <c r="BA2" i="250"/>
  <c r="O2" i="258"/>
  <c r="I18" i="259"/>
  <c r="I22" i="257"/>
  <c r="BJ2" i="261"/>
  <c r="BK2"/>
  <c r="I19"/>
  <c r="F11" i="258"/>
  <c r="AJ2" i="255"/>
  <c r="BG28" i="253"/>
  <c r="F10" i="257"/>
  <c r="F14" i="259"/>
  <c r="I20"/>
  <c r="BG2" i="261"/>
  <c r="AR2" i="259"/>
  <c r="AD2" i="257"/>
  <c r="I12" i="252"/>
  <c r="AY28" i="253"/>
  <c r="AF2" i="258"/>
  <c r="I4" i="260"/>
  <c r="K2" i="253"/>
  <c r="F18" i="256"/>
  <c r="Z2" i="258"/>
  <c r="AM2" i="254"/>
  <c r="Z28" i="251"/>
  <c r="BK2"/>
  <c r="AA2"/>
  <c r="AU2" i="250"/>
  <c r="I9" i="258"/>
  <c r="I9" i="253"/>
  <c r="I19" i="257"/>
  <c r="M2" i="255"/>
  <c r="C30" i="253"/>
  <c r="BE2" i="260"/>
  <c r="I22" i="254"/>
  <c r="F16" i="252"/>
  <c r="V2" i="256"/>
  <c r="F4" i="251"/>
  <c r="O2" i="253"/>
  <c r="I10" i="257"/>
  <c r="AN28" i="250"/>
  <c r="AY2" i="252"/>
  <c r="BH2" i="260"/>
  <c r="AH2"/>
  <c r="I21" i="258"/>
  <c r="I6" i="253"/>
  <c r="R2" i="252"/>
  <c r="AY2" i="253"/>
  <c r="I8" i="251"/>
  <c r="AU28"/>
  <c r="F18"/>
  <c r="F18" i="260"/>
  <c r="I4" i="253"/>
  <c r="I2" i="261"/>
  <c r="T2" i="253"/>
  <c r="F23" i="252"/>
  <c r="BL28" i="250"/>
  <c r="G2" i="257"/>
  <c r="H2" i="261"/>
  <c r="I22" i="259"/>
  <c r="BG2" i="258"/>
  <c r="I10" i="256"/>
  <c r="F23" i="261"/>
  <c r="Q2" i="255"/>
  <c r="I15"/>
  <c r="T2" i="257"/>
  <c r="BI2" i="250"/>
  <c r="N2" i="260"/>
  <c r="F16" i="253"/>
  <c r="W2" i="259"/>
  <c r="F22"/>
  <c r="I3" i="252"/>
  <c r="F21" i="250"/>
  <c r="AE2" i="253"/>
  <c r="I14" i="255"/>
  <c r="AZ2" i="252"/>
  <c r="I5" i="256"/>
  <c r="F24" i="255"/>
  <c r="AT2" i="256"/>
  <c r="F13" i="252"/>
  <c r="AZ2" i="258"/>
  <c r="T2" i="256"/>
  <c r="I17" i="258"/>
  <c r="K2" i="251"/>
  <c r="Q28"/>
  <c r="AC2" i="253"/>
  <c r="W28" i="250"/>
  <c r="AE2" i="261"/>
  <c r="AX2" i="254"/>
  <c r="F20" i="259"/>
  <c r="I16" i="251"/>
  <c r="BN2" i="258"/>
  <c r="BB28" i="251"/>
  <c r="AS2" i="254"/>
  <c r="W2" i="257"/>
  <c r="S2" i="255"/>
  <c r="F11" i="251"/>
  <c r="AA2" i="252"/>
  <c r="I7" i="250"/>
  <c r="BB2" i="254"/>
  <c r="AR2" i="260"/>
  <c r="I17" i="253"/>
  <c r="BH2" i="258"/>
  <c r="I9" i="255"/>
  <c r="W28" i="251"/>
  <c r="AI2" i="254"/>
  <c r="BG2" i="256"/>
  <c r="W2" i="251"/>
  <c r="Z28" i="250"/>
  <c r="AW2" i="261"/>
  <c r="AT2" i="257"/>
  <c r="BC2" i="261"/>
  <c r="BN2" i="251"/>
  <c r="AB2" i="252"/>
  <c r="U2"/>
  <c r="I3" i="258"/>
  <c r="W2" i="254"/>
  <c r="I8" i="261"/>
  <c r="Q2" i="260"/>
  <c r="AK2" i="255"/>
  <c r="I22" i="260"/>
  <c r="R2" i="250"/>
  <c r="AP2" i="251"/>
  <c r="I6" i="252"/>
  <c r="I3" i="257"/>
  <c r="X2" i="251"/>
  <c r="U2" i="260"/>
  <c r="AR2" i="252"/>
  <c r="BJ28" i="251"/>
  <c r="BN28" i="250"/>
  <c r="F11" i="260"/>
  <c r="AW28" i="251"/>
  <c r="K2" i="256"/>
  <c r="I7" i="257"/>
  <c r="AI2" i="253"/>
  <c r="X2" i="254"/>
  <c r="AW2" i="251"/>
  <c r="BB2" i="256"/>
  <c r="AF2" i="250"/>
  <c r="AH28"/>
  <c r="BM2" i="257"/>
  <c r="AT28" i="253"/>
  <c r="AM2" i="259"/>
  <c r="BE28" i="252"/>
  <c r="BH28"/>
  <c r="AA2" i="256"/>
  <c r="BA2" i="251"/>
  <c r="V2"/>
  <c r="AO2" i="250"/>
  <c r="S2" i="256"/>
  <c r="AD2" i="261"/>
  <c r="AJ2" i="260"/>
  <c r="AY2" i="257"/>
  <c r="F6" i="260"/>
  <c r="I19" i="251"/>
  <c r="AS28" i="253"/>
  <c r="J2" i="260"/>
  <c r="I13" i="259"/>
  <c r="P2" i="257"/>
  <c r="F15" i="260"/>
  <c r="F4" i="259"/>
  <c r="AM2" i="255"/>
  <c r="AK28" i="250"/>
  <c r="Q28" i="253"/>
  <c r="I13" i="256"/>
  <c r="I16" i="258"/>
  <c r="BI2" i="255"/>
  <c r="I5" i="259"/>
  <c r="I2" i="257"/>
  <c r="BJ2" i="255"/>
  <c r="W28" i="253"/>
  <c r="AL2" i="256"/>
  <c r="AG28" i="253"/>
  <c r="L28"/>
  <c r="G2" i="258"/>
  <c r="I15" i="256"/>
  <c r="BK2" i="258"/>
  <c r="AQ2" i="257"/>
  <c r="AA28" i="252"/>
  <c r="AK2" i="250"/>
  <c r="M28" i="252"/>
  <c r="AE28"/>
  <c r="AE2"/>
  <c r="BD2" i="254"/>
  <c r="F14" i="260"/>
  <c r="AI2" i="259"/>
  <c r="BL2" i="260"/>
  <c r="AG2"/>
  <c r="O2" i="257"/>
  <c r="X2" i="258"/>
  <c r="F22" i="260"/>
  <c r="W2" i="256"/>
  <c r="H2" i="258"/>
  <c r="AV2"/>
  <c r="I8" i="260"/>
  <c r="F11" i="259"/>
  <c r="F22" i="256"/>
  <c r="I8" i="258"/>
  <c r="Y2" i="255"/>
  <c r="BL2"/>
  <c r="AN2" i="261"/>
  <c r="AI28" i="253"/>
  <c r="BL2" i="256"/>
  <c r="AH28" i="253"/>
  <c r="AW28"/>
  <c r="AY2" i="258"/>
  <c r="BI2" i="253"/>
  <c r="AD2" i="259"/>
  <c r="AK28" i="252"/>
  <c r="AO28"/>
  <c r="BL2" i="257"/>
  <c r="BD28" i="252"/>
  <c r="R28"/>
  <c r="F5" i="253"/>
  <c r="BC2" i="251"/>
  <c r="F9" i="260"/>
  <c r="Z2"/>
  <c r="AQ2" i="251"/>
  <c r="AN2" i="260"/>
  <c r="R2" i="261"/>
  <c r="F8" i="259"/>
  <c r="F17"/>
  <c r="I5" i="250"/>
  <c r="AM28" i="253"/>
  <c r="U2" i="257"/>
  <c r="W2" i="258"/>
  <c r="BK2" i="256"/>
  <c r="AH2"/>
  <c r="I11" i="258"/>
  <c r="I7" i="254"/>
  <c r="F14" i="251"/>
  <c r="F19" i="256"/>
  <c r="I11" i="260"/>
  <c r="Y2" i="261"/>
  <c r="AQ2" i="259"/>
  <c r="F22" i="255"/>
  <c r="I3" i="256"/>
  <c r="S2" i="261"/>
  <c r="AI2"/>
  <c r="AO2"/>
  <c r="BD28" i="253"/>
  <c r="AJ2" i="261"/>
  <c r="BF28" i="253"/>
  <c r="AK28"/>
  <c r="I5" i="258"/>
  <c r="AP2" i="254"/>
  <c r="I13" i="258"/>
  <c r="AG2" i="255"/>
  <c r="AT28" i="252"/>
  <c r="AR2" i="257"/>
  <c r="AZ28" i="252"/>
  <c r="BN28"/>
  <c r="AS2" i="257"/>
  <c r="BK2" i="250"/>
  <c r="Z2" i="256"/>
  <c r="AA2" i="260"/>
  <c r="AJ28" i="252"/>
  <c r="F24" i="258"/>
  <c r="I18" i="261"/>
  <c r="G2" i="260"/>
  <c r="X28" i="252"/>
  <c r="AD2" i="250"/>
  <c r="I17" i="259"/>
  <c r="BD2"/>
  <c r="C30" i="256"/>
  <c r="I10" i="253"/>
  <c r="F13" i="251"/>
  <c r="BH2" i="261"/>
  <c r="F5" i="250"/>
  <c r="AM2" i="258"/>
  <c r="AP2"/>
  <c r="F21" i="253"/>
  <c r="BF2" i="254"/>
  <c r="I3"/>
  <c r="I10" i="252"/>
  <c r="AK2" i="261"/>
  <c r="V28" i="251"/>
  <c r="N2" i="255"/>
  <c r="AK2" i="260"/>
  <c r="AH2" i="261"/>
  <c r="I22" i="256"/>
  <c r="H2"/>
  <c r="BM2" i="259"/>
  <c r="G2" i="256"/>
  <c r="F7" i="253"/>
  <c r="F24" i="261"/>
  <c r="F4" i="260"/>
  <c r="F21" i="254"/>
  <c r="Z2" i="251"/>
  <c r="K2" i="254"/>
  <c r="BE2" i="258"/>
  <c r="BD2" i="253"/>
  <c r="F10" i="261"/>
  <c r="BN2" i="252"/>
  <c r="N2" i="254"/>
  <c r="I22" i="253"/>
  <c r="BH28" i="251"/>
  <c r="BH2" i="259"/>
  <c r="AW2" i="252"/>
  <c r="G2" i="253"/>
  <c r="BL2" i="261"/>
  <c r="F13" i="250"/>
  <c r="BA28"/>
  <c r="AF2" i="253"/>
  <c r="F17" i="257"/>
  <c r="I22" i="251"/>
  <c r="AK2" i="253"/>
  <c r="F22" i="251"/>
  <c r="AU2" i="261"/>
  <c r="I9" i="254"/>
  <c r="F24" i="259"/>
  <c r="AQ2" i="250"/>
  <c r="BC2" i="259"/>
  <c r="BN2"/>
  <c r="F19" i="257"/>
  <c r="I2" i="255"/>
  <c r="AL2" i="254"/>
  <c r="F23"/>
  <c r="BL2" i="252"/>
  <c r="AT28" i="250"/>
  <c r="AA2" i="255"/>
  <c r="I13" i="253"/>
  <c r="F10"/>
  <c r="AX2" i="255"/>
  <c r="K2" i="257"/>
  <c r="U2" i="256"/>
  <c r="BK28" i="252"/>
  <c r="AG2" i="257"/>
  <c r="Y2" i="251"/>
  <c r="Q2"/>
  <c r="AP2" i="259"/>
  <c r="F5" i="251"/>
  <c r="BD2" i="260"/>
  <c r="F21" i="261"/>
  <c r="BH2" i="250"/>
  <c r="F17"/>
  <c r="BE2" i="261"/>
  <c r="F18" i="255"/>
  <c r="P2" i="256"/>
  <c r="BK2" i="255"/>
  <c r="AX2" i="252"/>
  <c r="F3" i="257"/>
  <c r="S28" i="251"/>
  <c r="C30" i="259"/>
  <c r="I12" i="258"/>
  <c r="G2" i="250"/>
  <c r="BI2" i="258"/>
  <c r="F6" i="252"/>
  <c r="F3"/>
  <c r="I5" i="257"/>
  <c r="BA2" i="253"/>
  <c r="F6" i="261"/>
  <c r="I18" i="257"/>
  <c r="F16" i="259"/>
  <c r="I6" i="258"/>
  <c r="F22" i="253"/>
  <c r="I20" i="254"/>
  <c r="AW2" i="260"/>
  <c r="AE2" i="259"/>
  <c r="AE2" i="251"/>
  <c r="F23" i="260"/>
  <c r="AM2" i="257"/>
  <c r="I13"/>
  <c r="AC2" i="252"/>
  <c r="BJ2" i="257"/>
  <c r="F6" i="254"/>
  <c r="I18" i="250"/>
  <c r="AN2" i="255"/>
  <c r="BB2" i="251"/>
  <c r="AV28" i="252"/>
  <c r="F4" i="254"/>
  <c r="F23" i="255"/>
  <c r="AH28" i="252"/>
  <c r="F4" i="253"/>
  <c r="U2" i="250"/>
  <c r="J2" i="258"/>
  <c r="I18" i="251"/>
  <c r="I20" i="252"/>
  <c r="I2" i="260"/>
  <c r="F24" i="251"/>
  <c r="X28" i="250"/>
  <c r="S28"/>
  <c r="BM2" i="258"/>
  <c r="AT2" i="253"/>
  <c r="Z2" i="259"/>
  <c r="F15" i="257"/>
  <c r="BC2" i="254"/>
  <c r="AB28" i="250"/>
  <c r="Y2" i="253"/>
  <c r="T2" i="251"/>
  <c r="F18" i="252"/>
  <c r="W2" i="250"/>
  <c r="Y28"/>
  <c r="F14" i="252"/>
  <c r="AD2" i="256"/>
  <c r="BK28" i="250"/>
  <c r="BD2" i="261"/>
  <c r="I17" i="254"/>
  <c r="F6" i="256"/>
  <c r="F20"/>
  <c r="AX2" i="260"/>
  <c r="N2" i="256"/>
  <c r="O2" i="261"/>
  <c r="F21" i="255"/>
  <c r="I21" i="257"/>
  <c r="AO28" i="253"/>
  <c r="I7" i="261"/>
  <c r="V28" i="253"/>
  <c r="AJ28"/>
  <c r="BG2" i="251"/>
  <c r="I21" i="254"/>
  <c r="AL2" i="257"/>
  <c r="T28" i="252"/>
  <c r="BA28"/>
  <c r="F8" i="258"/>
  <c r="N28" i="252"/>
  <c r="V28"/>
  <c r="AP2" i="256"/>
  <c r="O2" i="251"/>
  <c r="BI2" i="261"/>
  <c r="BI2" i="257"/>
  <c r="F8" i="260"/>
  <c r="S2"/>
  <c r="F19"/>
  <c r="AG2" i="258"/>
  <c r="AX28" i="252"/>
  <c r="BL2" i="258"/>
  <c r="BL28" i="252"/>
  <c r="BM28"/>
  <c r="O28"/>
  <c r="BI28"/>
  <c r="I18" i="260"/>
  <c r="I14" i="259"/>
  <c r="I10" i="261"/>
  <c r="I12" i="254"/>
  <c r="AZ2" i="261"/>
  <c r="AB2" i="259"/>
  <c r="F4" i="258"/>
  <c r="AZ2" i="257"/>
  <c r="G2" i="251"/>
  <c r="F16" i="255"/>
  <c r="J2" i="257"/>
  <c r="AZ28" i="253"/>
  <c r="AU2" i="257"/>
  <c r="Y28" i="253"/>
  <c r="X28"/>
  <c r="L2" i="258"/>
  <c r="AN2" i="252"/>
  <c r="I11" i="251"/>
  <c r="I17" i="260"/>
  <c r="AF28" i="253"/>
  <c r="I6" i="260"/>
  <c r="AD28" i="253"/>
  <c r="AS28" i="252"/>
  <c r="I8" i="254"/>
  <c r="AP2" i="250"/>
  <c r="BA2" i="256"/>
  <c r="I15" i="260"/>
  <c r="W2"/>
  <c r="BG2" i="259"/>
  <c r="F20" i="261"/>
  <c r="I19" i="260"/>
  <c r="AS2" i="256"/>
  <c r="AB2" i="261"/>
  <c r="AB2" i="258"/>
  <c r="BB28" i="253"/>
  <c r="AF2" i="260"/>
  <c r="U28" i="253"/>
  <c r="AQ28"/>
  <c r="BE2" i="259"/>
  <c r="AO2" i="257"/>
  <c r="BK2" i="253"/>
  <c r="BK2" i="260"/>
  <c r="AR28" i="253"/>
  <c r="AI2" i="255"/>
  <c r="N28" i="253"/>
  <c r="BJ28"/>
  <c r="K2" i="260"/>
  <c r="I11" i="254"/>
  <c r="I2" i="252"/>
  <c r="BM2" i="256"/>
  <c r="AG28" i="252"/>
  <c r="Q2" i="250"/>
  <c r="AY28" i="252"/>
  <c r="P28"/>
  <c r="Q2" i="256"/>
  <c r="I12" i="251"/>
  <c r="O28" i="253"/>
  <c r="Q2" i="252"/>
  <c r="H2" i="257"/>
  <c r="F19" i="252"/>
  <c r="I13" i="260"/>
  <c r="F21" i="259"/>
  <c r="AZ2" i="250"/>
  <c r="I5" i="261"/>
  <c r="I20"/>
  <c r="BB2" i="259"/>
  <c r="AL2"/>
  <c r="BM2" i="261"/>
  <c r="BG2" i="260"/>
  <c r="F19" i="253"/>
  <c r="AG2" i="254"/>
  <c r="F12" i="256"/>
  <c r="Z2" i="257"/>
  <c r="AD2" i="258"/>
  <c r="BK2" i="257"/>
  <c r="AV28" i="253"/>
  <c r="BC28"/>
  <c r="BC2"/>
  <c r="AW2" i="250"/>
  <c r="AN2" i="259"/>
  <c r="AC2" i="258"/>
  <c r="BN28" i="253"/>
  <c r="I14" i="261"/>
  <c r="S28" i="253"/>
  <c r="BE28"/>
  <c r="Y2" i="259"/>
  <c r="I20" i="253"/>
  <c r="AU2"/>
  <c r="BB2" i="250"/>
  <c r="AT2" i="258"/>
  <c r="AX2" i="259"/>
  <c r="F8" i="254"/>
  <c r="F21" i="256"/>
  <c r="AX2" i="251"/>
  <c r="F4" i="252"/>
  <c r="I11" i="253"/>
  <c r="BD2" i="252"/>
  <c r="I21" i="261"/>
  <c r="F12" i="258"/>
  <c r="F20" i="260"/>
  <c r="W2" i="253"/>
  <c r="AV2" i="261"/>
  <c r="BL2" i="254"/>
  <c r="N28" i="250"/>
  <c r="I14" i="257"/>
  <c r="S2" i="252"/>
  <c r="F7" i="257"/>
  <c r="I3" i="253"/>
  <c r="I9" i="257"/>
  <c r="F17" i="255"/>
  <c r="AV2" i="250"/>
  <c r="F9" i="255"/>
  <c r="I21" i="260"/>
  <c r="AB2"/>
  <c r="I9"/>
  <c r="Q2" i="257"/>
  <c r="BK2" i="259"/>
  <c r="BN2" i="260"/>
  <c r="BF2" i="257"/>
  <c r="F16" i="251"/>
  <c r="BH2" i="253"/>
  <c r="M2" i="251"/>
  <c r="I2" i="259"/>
  <c r="F16" i="261"/>
  <c r="F5" i="259"/>
  <c r="AA2" i="253"/>
  <c r="AS2" i="251"/>
  <c r="I10" i="250"/>
  <c r="C29"/>
  <c r="BD2"/>
  <c r="F5" i="252"/>
  <c r="AI2" i="250"/>
  <c r="BL2"/>
  <c r="I16" i="259"/>
  <c r="AR28" i="250"/>
  <c r="AC2" i="256"/>
  <c r="P2" i="260"/>
  <c r="F9" i="256"/>
  <c r="BB2" i="255"/>
  <c r="BM2" i="254"/>
  <c r="AQ28" i="252"/>
  <c r="F19" i="255"/>
  <c r="I17" i="256"/>
  <c r="O2" i="252"/>
  <c r="F3" i="260"/>
  <c r="I4" i="261"/>
  <c r="AZ2" i="254"/>
  <c r="I22" i="261"/>
  <c r="F17"/>
  <c r="R2" i="257"/>
  <c r="F4" i="250"/>
  <c r="AU2" i="252"/>
  <c r="AS2" i="255"/>
  <c r="AC28" i="252"/>
  <c r="N2" i="253"/>
  <c r="I20" i="258"/>
  <c r="AT2" i="251"/>
  <c r="U2" i="255"/>
  <c r="AW2" i="259"/>
  <c r="BE28" i="251"/>
  <c r="AD28"/>
  <c r="T2" i="261"/>
  <c r="Y28" i="251"/>
  <c r="AE2" i="257"/>
  <c r="AY2" i="261"/>
  <c r="AA2"/>
  <c r="AR2" i="258"/>
  <c r="F22" i="257"/>
  <c r="I8" i="259"/>
  <c r="L2" i="261"/>
  <c r="I6" i="255"/>
  <c r="F21" i="260"/>
  <c r="AV2" i="255"/>
  <c r="AC2" i="259"/>
  <c r="F20" i="251"/>
  <c r="BI28" i="250"/>
  <c r="F3" i="251"/>
  <c r="F21" i="258"/>
  <c r="AJ2" i="257"/>
  <c r="P2" i="259"/>
  <c r="F22" i="258"/>
  <c r="BL2" i="253"/>
  <c r="F18" i="250"/>
  <c r="AN2" i="256"/>
  <c r="AB2"/>
  <c r="BM2" i="250"/>
  <c r="BG28" i="251"/>
  <c r="AS2" i="261"/>
  <c r="AE2" i="260"/>
  <c r="I8" i="256"/>
  <c r="I8" i="252"/>
  <c r="F15"/>
  <c r="I13"/>
  <c r="F7" i="250"/>
  <c r="AQ2" i="258"/>
  <c r="L2" i="255"/>
  <c r="AQ2" i="260"/>
  <c r="F20" i="252"/>
  <c r="AX28" i="251"/>
  <c r="I11" i="252"/>
  <c r="I16" i="257"/>
  <c r="BA2" i="255"/>
  <c r="AC2" i="254"/>
  <c r="V28" i="250"/>
  <c r="BM28"/>
  <c r="F17" i="256"/>
  <c r="I18" i="254"/>
  <c r="F14" i="261"/>
  <c r="G2"/>
  <c r="I2" i="250"/>
  <c r="S2" i="259"/>
  <c r="F15" i="250"/>
  <c r="M2" i="254"/>
  <c r="AR2" i="256"/>
  <c r="Y2" i="252"/>
  <c r="BA2" i="257"/>
  <c r="AW2" i="255"/>
  <c r="I6" i="259"/>
  <c r="BJ28" i="250"/>
  <c r="R2" i="253"/>
  <c r="BB2"/>
  <c r="AB2" i="255"/>
  <c r="BC28" i="251"/>
  <c r="AO2" i="259"/>
  <c r="AL28" i="251"/>
  <c r="AB2" i="257"/>
  <c r="F3" i="253"/>
  <c r="BN2" i="255"/>
  <c r="F10"/>
  <c r="F11" i="254"/>
  <c r="T2" i="252"/>
  <c r="W2" i="261"/>
  <c r="I2" i="254"/>
  <c r="BG2" i="253"/>
  <c r="I15"/>
  <c r="AO28" i="250"/>
  <c r="I18" i="255"/>
  <c r="F15" i="251"/>
  <c r="BH2" i="257"/>
  <c r="I9" i="250"/>
  <c r="AA2" i="258"/>
  <c r="F24" i="252"/>
  <c r="I19" i="256"/>
  <c r="I21" i="259"/>
  <c r="BE2" i="251"/>
  <c r="AZ2" i="255"/>
  <c r="I5" i="260"/>
  <c r="AH2" i="258"/>
  <c r="AW28" i="252"/>
  <c r="I18"/>
  <c r="AD2" i="253"/>
  <c r="AE28" i="251"/>
  <c r="BJ2"/>
  <c r="O28" i="250"/>
  <c r="AL28"/>
  <c r="T2" i="254"/>
  <c r="AO2"/>
  <c r="AE28" i="250"/>
  <c r="AF2" i="252"/>
  <c r="AL2" i="253"/>
  <c r="F18" i="261"/>
  <c r="S2" i="254"/>
  <c r="X2" i="252"/>
  <c r="AF28" i="250"/>
  <c r="BF2" i="251"/>
  <c r="F5" i="255"/>
  <c r="BN28" i="251"/>
  <c r="AP2" i="252"/>
  <c r="I7"/>
  <c r="F15" i="256"/>
  <c r="AR2" i="253"/>
  <c r="I2" i="251"/>
  <c r="F15" i="259"/>
  <c r="L28" i="252"/>
  <c r="F10" i="254"/>
  <c r="I7" i="255"/>
  <c r="F22" i="252"/>
  <c r="AI28" i="250"/>
  <c r="F20" i="255"/>
  <c r="I12" i="250"/>
  <c r="BD28"/>
  <c r="F24"/>
  <c r="Q2" i="261"/>
  <c r="N2" i="252"/>
  <c r="AX2" i="250"/>
  <c r="AN2" i="254"/>
  <c r="BB2" i="257"/>
  <c r="BG2" i="254"/>
  <c r="BI2" i="252"/>
  <c r="H2"/>
  <c r="BA2" i="259"/>
  <c r="C30" i="252"/>
  <c r="I7" i="258"/>
  <c r="BF2" i="252"/>
  <c r="AN2" i="250"/>
  <c r="Y2" i="257"/>
  <c r="AV28" i="250"/>
  <c r="I21"/>
  <c r="AC28"/>
  <c r="AI2" i="252"/>
  <c r="BF2" i="258"/>
  <c r="AQ2" i="254"/>
  <c r="BD2" i="257"/>
  <c r="U2" i="258"/>
  <c r="F12" i="252"/>
  <c r="F17"/>
  <c r="Y2" i="250"/>
  <c r="AR2" i="254"/>
  <c r="F13" i="258"/>
  <c r="F22" i="254"/>
  <c r="Q2" i="253"/>
  <c r="AT2" i="252"/>
  <c r="I8" i="250"/>
  <c r="I19" i="252"/>
  <c r="AO2" i="253"/>
  <c r="AG28" i="250"/>
  <c r="I3"/>
  <c r="F5" i="256"/>
  <c r="I10" i="251"/>
  <c r="AC2" i="250"/>
  <c r="I15"/>
  <c r="AJ28" i="251"/>
  <c r="C30" i="258"/>
  <c r="P2" i="255"/>
  <c r="AH2" i="251"/>
  <c r="BM2" i="253"/>
  <c r="F22" i="250"/>
  <c r="AW28"/>
  <c r="AI2" i="257"/>
  <c r="F16" i="254"/>
  <c r="Y2" i="258"/>
  <c r="R2" i="255"/>
  <c r="AE2"/>
  <c r="Z2" i="252"/>
  <c r="I2" i="258"/>
  <c r="N2" i="251"/>
  <c r="F12" i="253"/>
  <c r="AE2" i="254"/>
  <c r="I20" i="256"/>
  <c r="BI2" i="259"/>
  <c r="M2" i="258"/>
  <c r="I21" i="256"/>
  <c r="AH2" i="255"/>
  <c r="F15" i="254"/>
  <c r="BE28" i="250"/>
  <c r="I17"/>
  <c r="R2" i="258"/>
  <c r="AZ28" i="251"/>
  <c r="AE2" i="250"/>
  <c r="I19" i="258"/>
  <c r="C30" i="260"/>
  <c r="I12" i="256"/>
  <c r="L28" i="250"/>
  <c r="F23" i="257"/>
  <c r="V2" i="255"/>
  <c r="H2"/>
  <c r="F3" i="256"/>
  <c r="F24" i="257"/>
  <c r="BA2" i="261"/>
  <c r="AX2" i="258"/>
  <c r="BF28" i="250"/>
  <c r="I19" i="254"/>
  <c r="Q2" i="259"/>
  <c r="K2" i="261"/>
  <c r="BH2" i="252"/>
  <c r="BD28" i="251"/>
  <c r="I13"/>
  <c r="F20" i="250"/>
  <c r="L2" i="252"/>
  <c r="R2" i="251"/>
  <c r="AH2" i="250"/>
  <c r="BF2" i="255"/>
  <c r="I5" i="253"/>
  <c r="AC2" i="251"/>
  <c r="I20"/>
  <c r="H2" i="250"/>
  <c r="F18" i="254"/>
  <c r="BG28" i="250"/>
  <c r="F12" i="251"/>
  <c r="F19"/>
  <c r="V2" i="252"/>
  <c r="BJ2" i="253"/>
  <c r="AR2" i="255"/>
  <c r="I17" i="251"/>
  <c r="AH2" i="257"/>
  <c r="F8" i="250"/>
  <c r="BL2" i="251"/>
  <c r="AB2"/>
  <c r="I4" i="254"/>
  <c r="BI2" i="251"/>
  <c r="F8" i="252"/>
  <c r="BE2" i="257"/>
  <c r="BB28" i="250"/>
  <c r="F23" i="259"/>
  <c r="F15" i="255"/>
  <c r="AA28" i="250"/>
  <c r="AY2"/>
  <c r="I5" i="254"/>
  <c r="AI2" i="258"/>
  <c r="F11" i="252"/>
  <c r="I20" i="255"/>
  <c r="AK2" i="251"/>
  <c r="AX28" i="250"/>
  <c r="AP28" i="251"/>
  <c r="C30"/>
  <c r="I9"/>
  <c r="I14"/>
  <c r="F9" i="252"/>
  <c r="C30" i="255"/>
  <c r="F10" i="252"/>
  <c r="AX2" i="253"/>
  <c r="AB2" i="250"/>
  <c r="AY2" i="254"/>
  <c r="K28" i="250"/>
  <c r="AH2" i="253"/>
  <c r="AZ28" i="250"/>
  <c r="BM28" i="251"/>
  <c r="I7"/>
  <c r="V2" i="254"/>
  <c r="AY28" i="250"/>
  <c r="J2"/>
  <c r="AO28" i="251"/>
  <c r="F8" i="261"/>
  <c r="F11" i="255"/>
  <c r="I9" i="252"/>
  <c r="F9" i="253"/>
  <c r="F21" i="252"/>
  <c r="AU2" i="254"/>
  <c r="I16" i="253"/>
  <c r="AJ2" i="251"/>
  <c r="BC2" i="252"/>
  <c r="F7" i="251"/>
  <c r="AM2" i="253"/>
  <c r="BD2" i="255"/>
  <c r="K28" i="252"/>
  <c r="O2" i="255"/>
  <c r="BF28" i="251"/>
  <c r="F23"/>
  <c r="AC28"/>
  <c r="I19" i="250"/>
  <c r="AL2" i="261"/>
  <c r="X2" i="255"/>
  <c r="BN2" i="261"/>
  <c r="I19" i="253"/>
  <c r="F14"/>
  <c r="P2" i="251"/>
  <c r="F16" i="250"/>
  <c r="AZ2" i="253"/>
  <c r="I8"/>
  <c r="P2" i="250"/>
  <c r="I18" i="253"/>
  <c r="BG2" i="250"/>
  <c r="BM2" i="252"/>
  <c r="I16" i="255"/>
  <c r="BC2" i="256"/>
  <c r="N2" i="250"/>
  <c r="M2"/>
  <c r="I15" i="252"/>
  <c r="BF2" i="253"/>
  <c r="I22" i="252"/>
  <c r="F23" i="258"/>
  <c r="F4" i="255"/>
  <c r="AL2" i="252"/>
  <c r="K2" i="250"/>
  <c r="I17" i="255"/>
  <c r="I20" i="250"/>
  <c r="AB2" i="253"/>
  <c r="X2"/>
  <c r="Q2" i="254"/>
  <c r="BG2" i="252"/>
  <c r="F7" i="254"/>
  <c r="I14" i="253"/>
  <c r="AX2" i="257"/>
  <c r="O2" i="259"/>
  <c r="AU2" i="255"/>
  <c r="F20" i="254"/>
  <c r="BE2" i="253"/>
  <c r="I5" i="252"/>
  <c r="P28" i="250"/>
  <c r="F6" i="253"/>
  <c r="T28" i="251"/>
  <c r="J2"/>
  <c r="M28" i="250"/>
  <c r="AV28" i="251"/>
  <c r="AY2" i="260"/>
  <c r="L2" i="250"/>
  <c r="V2"/>
  <c r="F3" i="261"/>
  <c r="F23" i="256"/>
  <c r="I19" i="259"/>
  <c r="F10" i="250"/>
  <c r="F3" i="259"/>
  <c r="AU28" i="250"/>
  <c r="AS28"/>
  <c r="AQ28" i="251"/>
  <c r="C30" i="250"/>
  <c r="Z2" i="254"/>
  <c r="BK2" i="252"/>
  <c r="AO2"/>
  <c r="AC2" i="255"/>
  <c r="BH2"/>
  <c r="J2" i="256"/>
  <c r="AD2" i="254"/>
  <c r="F14" i="250"/>
  <c r="M2" i="253"/>
  <c r="BM2" i="255"/>
  <c r="AV2" i="254"/>
  <c r="F4" i="257"/>
  <c r="AZ2" i="251"/>
  <c r="S2" i="253"/>
  <c r="I10" i="259"/>
  <c r="F12" i="254"/>
  <c r="I22" i="250"/>
  <c r="W2" i="252"/>
  <c r="F7" i="258"/>
  <c r="F9" i="250"/>
  <c r="I14"/>
  <c r="Z2" i="255"/>
  <c r="P2" i="254"/>
  <c r="AF2" i="251"/>
  <c r="Y2" i="254"/>
  <c r="F18" i="259"/>
  <c r="T2" i="250"/>
  <c r="AM28" i="251"/>
  <c r="F7" i="252"/>
  <c r="BI2" i="260"/>
  <c r="K2" i="255"/>
  <c r="I4" i="257"/>
  <c r="BJ2" i="250"/>
  <c r="I11" i="255"/>
  <c r="AA28" i="251"/>
  <c r="F9"/>
  <c r="AO2"/>
  <c r="BI28"/>
  <c r="F10"/>
  <c r="I5"/>
  <c r="I4" i="256"/>
  <c r="C29" i="251"/>
  <c r="F10" i="256"/>
  <c r="BM2" i="251"/>
  <c r="AG2" i="250"/>
  <c r="K28" i="253"/>
  <c r="I8" i="255"/>
  <c r="F19" i="254"/>
  <c r="I21" i="253"/>
  <c r="BH28" i="250"/>
  <c r="F14" i="254"/>
  <c r="BE2" i="250"/>
  <c r="AH28" i="251"/>
  <c r="AG28"/>
  <c r="BJ2" i="260"/>
  <c r="AT2" i="250"/>
  <c r="AT28" i="251"/>
  <c r="F8"/>
  <c r="Q28" i="250"/>
  <c r="I3" i="255"/>
  <c r="BC2" i="260"/>
  <c r="O2" i="250"/>
  <c r="G2" i="252"/>
  <c r="BF2" i="256"/>
  <c r="AD2" i="251"/>
  <c r="J2" i="252"/>
  <c r="BL28" i="251"/>
  <c r="AS28"/>
  <c r="AY28"/>
  <c r="AJ2" i="252"/>
  <c r="F6" i="250"/>
  <c r="R2" i="259"/>
  <c r="BJ2" i="258"/>
  <c r="AD2" i="260"/>
  <c r="H2" i="251"/>
  <c r="AN28"/>
  <c r="I21" i="255"/>
  <c r="AJ2" i="253"/>
  <c r="I15" i="251"/>
  <c r="BF2" i="260"/>
  <c r="BC2" i="250"/>
  <c r="AC2" i="257"/>
  <c r="I4" i="252"/>
  <c r="I17"/>
  <c r="F17" i="254"/>
  <c r="AV2" i="260"/>
  <c r="F13" i="254"/>
  <c r="AR28" i="251"/>
  <c r="I4" i="258"/>
  <c r="X2" i="260"/>
  <c r="F13" i="256"/>
  <c r="S2" i="250"/>
  <c r="F3"/>
  <c r="BG2" i="255"/>
  <c r="AX2" i="261"/>
  <c r="AS2" i="253"/>
  <c r="BH2" i="251"/>
  <c r="AM2" i="250"/>
  <c r="M2" i="260"/>
  <c r="AQ2" i="252"/>
  <c r="F19" i="259"/>
  <c r="AC2" i="261"/>
  <c r="I16" i="252"/>
  <c r="AG2" i="251"/>
  <c r="I10" i="255"/>
  <c r="X2" i="257"/>
  <c r="K2" i="252"/>
  <c r="I12" i="255"/>
  <c r="P2" i="252"/>
  <c r="AM28" i="250"/>
  <c r="I7" i="253"/>
  <c r="F24" i="256"/>
  <c r="I14" i="252"/>
  <c r="AB28" i="251"/>
  <c r="R2" i="254"/>
  <c r="AG2" i="259"/>
  <c r="AV2" i="252"/>
  <c r="I4" i="251"/>
  <c r="P28"/>
  <c r="I16" i="260"/>
  <c r="AY2" i="251"/>
  <c r="F7" i="260"/>
  <c r="M2" i="252"/>
  <c r="L2" i="257"/>
  <c r="L2" i="251"/>
  <c r="AJ2" i="254"/>
  <c r="I12" i="253"/>
  <c r="BC28" i="250"/>
  <c r="AA2"/>
  <c r="AO2" i="260"/>
  <c r="T2" i="255"/>
  <c r="I4"/>
  <c r="AQ2"/>
  <c r="I11" i="261"/>
  <c r="V2" i="260"/>
  <c r="AK2" i="254"/>
  <c r="I8" i="257"/>
  <c r="AF2" i="261"/>
  <c r="I6" i="256"/>
  <c r="I15" i="258"/>
  <c r="I14" i="256"/>
  <c r="BB2" i="252"/>
  <c r="BC2" i="258"/>
  <c r="AN2" i="253"/>
  <c r="BJ2" i="252"/>
  <c r="F24" i="254"/>
  <c r="I10" i="258"/>
  <c r="AD28" i="250"/>
  <c r="AL2"/>
  <c r="L28" i="251"/>
  <c r="AK2" i="256"/>
  <c r="BH2"/>
  <c r="F12" i="257"/>
  <c r="O28" i="251"/>
  <c r="AQ28" i="250"/>
  <c r="T2" i="258"/>
  <c r="F10" i="260"/>
  <c r="AF28" i="251"/>
  <c r="F17" i="253"/>
  <c r="BD2" i="251"/>
  <c r="F17"/>
  <c r="I7" i="256"/>
  <c r="F21" i="251"/>
  <c r="I4" i="250"/>
  <c r="M28" i="251"/>
  <c r="Z2" i="250"/>
  <c r="K28" i="251"/>
  <c r="F7" i="259"/>
  <c r="I3" i="251"/>
  <c r="AA2" i="254"/>
  <c r="O2" i="260"/>
  <c r="U28" i="251"/>
  <c r="AJ28" i="250"/>
  <c r="AT2" i="254"/>
  <c r="I3" i="260"/>
  <c r="Q2" i="258"/>
  <c r="AP28" i="250"/>
  <c r="BN2" i="257"/>
  <c r="F9" i="258"/>
  <c r="C30" i="254"/>
  <c r="AB2"/>
  <c r="I2" i="256"/>
  <c r="I18"/>
  <c r="J2" i="254"/>
  <c r="I16" i="250"/>
  <c r="AK28" i="251"/>
  <c r="AJ2" i="250"/>
  <c r="I12" i="260"/>
  <c r="AS2" i="252"/>
  <c r="F8" i="257"/>
  <c r="F9"/>
  <c r="AN2" i="258"/>
  <c r="F22" i="261"/>
  <c r="V2" i="253"/>
  <c r="I7" i="260"/>
  <c r="R28" i="251"/>
  <c r="BK2" i="254"/>
  <c r="F9"/>
  <c r="AI2" i="256"/>
  <c r="I6" i="251"/>
  <c r="AI40" i="256" l="1"/>
  <c r="AI39"/>
  <c r="BK40" i="254"/>
  <c r="BK39"/>
  <c r="V40" i="253"/>
  <c r="AN40" i="258"/>
  <c r="AN39"/>
  <c r="AS40" i="252"/>
  <c r="AJ40" i="250"/>
  <c r="AB40" i="254"/>
  <c r="AB39"/>
  <c r="BN39" i="257"/>
  <c r="BN40"/>
  <c r="Q40" i="258"/>
  <c r="Q39"/>
  <c r="BH31" i="260"/>
  <c r="AA31"/>
  <c r="AT31"/>
  <c r="BI31"/>
  <c r="V31"/>
  <c r="AZ31"/>
  <c r="AV31"/>
  <c r="AP31"/>
  <c r="X31"/>
  <c r="P31"/>
  <c r="AW31"/>
  <c r="BE31"/>
  <c r="AS31"/>
  <c r="S31"/>
  <c r="AX31"/>
  <c r="AB31"/>
  <c r="BK31"/>
  <c r="BN31"/>
  <c r="N31"/>
  <c r="R31"/>
  <c r="AH31"/>
  <c r="AC31"/>
  <c r="AM31"/>
  <c r="BG31"/>
  <c r="BC31"/>
  <c r="W31"/>
  <c r="AJ31"/>
  <c r="AK31"/>
  <c r="K31"/>
  <c r="U31"/>
  <c r="BB31"/>
  <c r="AF31"/>
  <c r="Z31"/>
  <c r="AD31"/>
  <c r="AR31"/>
  <c r="BA31"/>
  <c r="BL31"/>
  <c r="Y31"/>
  <c r="T31"/>
  <c r="AU31"/>
  <c r="O31"/>
  <c r="AO31"/>
  <c r="AE31"/>
  <c r="I25"/>
  <c r="L31"/>
  <c r="AG31"/>
  <c r="AN31"/>
  <c r="Q31"/>
  <c r="AI31"/>
  <c r="BJ31"/>
  <c r="M31"/>
  <c r="AQ31"/>
  <c r="AL31"/>
  <c r="AY31"/>
  <c r="BM31"/>
  <c r="BD31"/>
  <c r="BF31"/>
  <c r="AT40" i="254"/>
  <c r="AT39"/>
  <c r="O40" i="260"/>
  <c r="O39"/>
  <c r="AA39" i="254"/>
  <c r="AA40"/>
  <c r="R31" i="251"/>
  <c r="Z31"/>
  <c r="AC31"/>
  <c r="AB31"/>
  <c r="BI31"/>
  <c r="O31"/>
  <c r="AY31"/>
  <c r="BM31"/>
  <c r="AR31"/>
  <c r="AG31"/>
  <c r="AV31"/>
  <c r="AA31"/>
  <c r="T31"/>
  <c r="AU31"/>
  <c r="AJ31"/>
  <c r="AF31"/>
  <c r="BG31"/>
  <c r="BN31"/>
  <c r="BA31"/>
  <c r="AX31"/>
  <c r="U31"/>
  <c r="AL31"/>
  <c r="AW31"/>
  <c r="AP31"/>
  <c r="AN31"/>
  <c r="BL31"/>
  <c r="AO31"/>
  <c r="N31"/>
  <c r="V31"/>
  <c r="K31"/>
  <c r="AE31"/>
  <c r="BC31"/>
  <c r="L31"/>
  <c r="X31"/>
  <c r="Y31"/>
  <c r="W31"/>
  <c r="S31"/>
  <c r="AZ31"/>
  <c r="AD31"/>
  <c r="AK31"/>
  <c r="AM31"/>
  <c r="AT31"/>
  <c r="AQ31"/>
  <c r="BD31"/>
  <c r="BF31"/>
  <c r="M31"/>
  <c r="Q31"/>
  <c r="AS31"/>
  <c r="I25"/>
  <c r="AH31"/>
  <c r="BH31"/>
  <c r="BB31"/>
  <c r="BJ31"/>
  <c r="P31"/>
  <c r="BE31"/>
  <c r="AI31"/>
  <c r="BK31"/>
  <c r="Z40" i="250"/>
  <c r="BD40" i="251"/>
  <c r="T39" i="258"/>
  <c r="T40"/>
  <c r="BH39" i="256"/>
  <c r="BH40"/>
  <c r="AK40"/>
  <c r="AK39"/>
  <c r="AL40" i="250"/>
  <c r="BJ40" i="252"/>
  <c r="AN40" i="253"/>
  <c r="BC40" i="258"/>
  <c r="BC39"/>
  <c r="BB40" i="252"/>
  <c r="AF39" i="261"/>
  <c r="AF40"/>
  <c r="AK40" i="254"/>
  <c r="AK39"/>
  <c r="V40" i="260"/>
  <c r="V39"/>
  <c r="AQ40" i="255"/>
  <c r="AQ39"/>
  <c r="T40"/>
  <c r="T39"/>
  <c r="AO39" i="260"/>
  <c r="AO40"/>
  <c r="AA40" i="250"/>
  <c r="AJ40" i="254"/>
  <c r="AJ39"/>
  <c r="L40" i="251"/>
  <c r="L40" i="257"/>
  <c r="L39"/>
  <c r="M40" i="252"/>
  <c r="AY40" i="251"/>
  <c r="AV40" i="252"/>
  <c r="AG39" i="259"/>
  <c r="AG40"/>
  <c r="R39" i="254"/>
  <c r="R40"/>
  <c r="P40" i="252"/>
  <c r="K40"/>
  <c r="X39" i="257"/>
  <c r="X40"/>
  <c r="AG39" i="251"/>
  <c r="AG40"/>
  <c r="AC39" i="261"/>
  <c r="AC40"/>
  <c r="AQ40" i="252"/>
  <c r="M40" i="260"/>
  <c r="M39"/>
  <c r="AM40" i="250"/>
  <c r="BH40" i="251"/>
  <c r="AS40" i="253"/>
  <c r="AX39" i="261"/>
  <c r="AX40"/>
  <c r="BG39" i="255"/>
  <c r="BG40"/>
  <c r="S40" i="250"/>
  <c r="X39" i="260"/>
  <c r="X40"/>
  <c r="AV39"/>
  <c r="AV40"/>
  <c r="AC39" i="257"/>
  <c r="AC40"/>
  <c r="BC40" i="250"/>
  <c r="BF39" i="260"/>
  <c r="BF40"/>
  <c r="AJ40" i="253"/>
  <c r="AD39" i="260"/>
  <c r="AD40"/>
  <c r="BJ40" i="258"/>
  <c r="BJ39"/>
  <c r="R39" i="259"/>
  <c r="R40"/>
  <c r="AJ40" i="252"/>
  <c r="AD40" i="251"/>
  <c r="BF40" i="256"/>
  <c r="BF39"/>
  <c r="O40" i="250"/>
  <c r="BC40" i="260"/>
  <c r="BC39"/>
  <c r="BL31" i="255"/>
  <c r="V31"/>
  <c r="AI31"/>
  <c r="AO31"/>
  <c r="L31"/>
  <c r="Q31"/>
  <c r="AF31"/>
  <c r="O31"/>
  <c r="AX31"/>
  <c r="T31"/>
  <c r="R31"/>
  <c r="AH31"/>
  <c r="X31"/>
  <c r="BA31"/>
  <c r="AU31"/>
  <c r="S31"/>
  <c r="M31"/>
  <c r="AN31"/>
  <c r="Z31"/>
  <c r="P31"/>
  <c r="BK31"/>
  <c r="BN31"/>
  <c r="AG31"/>
  <c r="AT31"/>
  <c r="BH31"/>
  <c r="AY31"/>
  <c r="BC31"/>
  <c r="BJ31"/>
  <c r="AL31"/>
  <c r="AP31"/>
  <c r="AA31"/>
  <c r="Y31"/>
  <c r="AV31"/>
  <c r="BM31"/>
  <c r="AM31"/>
  <c r="BF31"/>
  <c r="AE31"/>
  <c r="AR31"/>
  <c r="AS31"/>
  <c r="BG31"/>
  <c r="N31"/>
  <c r="AW31"/>
  <c r="AJ31"/>
  <c r="AK31"/>
  <c r="BI31"/>
  <c r="BE31"/>
  <c r="I25"/>
  <c r="AQ31"/>
  <c r="BD31"/>
  <c r="K31"/>
  <c r="W31"/>
  <c r="AC31"/>
  <c r="U31"/>
  <c r="AB31"/>
  <c r="AZ31"/>
  <c r="BB31"/>
  <c r="AD31"/>
  <c r="AT40" i="250"/>
  <c r="BJ40" i="260"/>
  <c r="BJ39"/>
  <c r="BE40" i="250"/>
  <c r="AG40"/>
  <c r="BM40" i="251"/>
  <c r="AO40"/>
  <c r="BJ40" i="250"/>
  <c r="K40" i="255"/>
  <c r="K39"/>
  <c r="BI40" i="260"/>
  <c r="BI39"/>
  <c r="T40" i="250"/>
  <c r="Y40" i="254"/>
  <c r="Y39"/>
  <c r="AF40" i="251"/>
  <c r="P40" i="254"/>
  <c r="P39"/>
  <c r="Z39" i="255"/>
  <c r="Z40"/>
  <c r="W40" i="252"/>
  <c r="S40" i="253"/>
  <c r="AZ40" i="251"/>
  <c r="AV40" i="254"/>
  <c r="AV39"/>
  <c r="BM39" i="255"/>
  <c r="BM40"/>
  <c r="M40" i="253"/>
  <c r="AD40" i="254"/>
  <c r="AD39"/>
  <c r="BH39" i="255"/>
  <c r="BH40"/>
  <c r="AC40"/>
  <c r="AC39"/>
  <c r="AO40" i="252"/>
  <c r="BK40"/>
  <c r="Z40" i="254"/>
  <c r="Z39"/>
  <c r="V40" i="250"/>
  <c r="L40"/>
  <c r="AY40" i="260"/>
  <c r="AY39"/>
  <c r="BE40" i="253"/>
  <c r="AU39" i="255"/>
  <c r="AU40"/>
  <c r="O39" i="259"/>
  <c r="O40"/>
  <c r="AX39" i="257"/>
  <c r="AX40"/>
  <c r="BG40" i="252"/>
  <c r="Q40" i="254"/>
  <c r="Q39"/>
  <c r="X40" i="253"/>
  <c r="AB40"/>
  <c r="K40" i="250"/>
  <c r="AL40" i="252"/>
  <c r="BF40" i="253"/>
  <c r="M40" i="250"/>
  <c r="N40"/>
  <c r="BC40" i="256"/>
  <c r="BC39"/>
  <c r="BM40" i="252"/>
  <c r="BG40" i="250"/>
  <c r="P40"/>
  <c r="AZ40" i="253"/>
  <c r="P40" i="251"/>
  <c r="BN40" i="261"/>
  <c r="BN39"/>
  <c r="X39" i="255"/>
  <c r="X40"/>
  <c r="AL40" i="261"/>
  <c r="AL39"/>
  <c r="O39" i="255"/>
  <c r="O40"/>
  <c r="BD40"/>
  <c r="BD39"/>
  <c r="AM40" i="253"/>
  <c r="BC40" i="252"/>
  <c r="AJ39" i="251"/>
  <c r="AJ40"/>
  <c r="AU39" i="254"/>
  <c r="AU40"/>
  <c r="V40"/>
  <c r="V39"/>
  <c r="AH40" i="253"/>
  <c r="AY40" i="254"/>
  <c r="AY39"/>
  <c r="AB40" i="250"/>
  <c r="AX40" i="253"/>
  <c r="AK39" i="251"/>
  <c r="AK40"/>
  <c r="AI40" i="258"/>
  <c r="AI39"/>
  <c r="AY40" i="250"/>
  <c r="BE40" i="257"/>
  <c r="BE39"/>
  <c r="BI40" i="251"/>
  <c r="AB40"/>
  <c r="BL40"/>
  <c r="AH40" i="257"/>
  <c r="AH39"/>
  <c r="AR39" i="255"/>
  <c r="AR40"/>
  <c r="BJ40" i="253"/>
  <c r="V40" i="252"/>
  <c r="AC40" i="251"/>
  <c r="BF39" i="255"/>
  <c r="BF40"/>
  <c r="AH40" i="250"/>
  <c r="R40" i="251"/>
  <c r="L40" i="252"/>
  <c r="BH40"/>
  <c r="K39" i="261"/>
  <c r="K40"/>
  <c r="Q40" i="259"/>
  <c r="Q39"/>
  <c r="AX39" i="258"/>
  <c r="AX40"/>
  <c r="BA39" i="261"/>
  <c r="BA40"/>
  <c r="V40" i="255"/>
  <c r="V39"/>
  <c r="AE40" i="250"/>
  <c r="R39" i="258"/>
  <c r="R40"/>
  <c r="AH40" i="255"/>
  <c r="AH39"/>
  <c r="M39" i="258"/>
  <c r="M40"/>
  <c r="BI40" i="259"/>
  <c r="BI39"/>
  <c r="AE40" i="254"/>
  <c r="AE39"/>
  <c r="N40" i="251"/>
  <c r="Z40" i="252"/>
  <c r="AE40" i="255"/>
  <c r="AE39"/>
  <c r="R39"/>
  <c r="R40"/>
  <c r="Y40" i="258"/>
  <c r="Y39"/>
  <c r="AI39" i="257"/>
  <c r="AI40"/>
  <c r="BM40" i="253"/>
  <c r="AH40" i="251"/>
  <c r="P40" i="255"/>
  <c r="P39"/>
  <c r="AC40" i="250"/>
  <c r="BF31"/>
  <c r="V31"/>
  <c r="BI31"/>
  <c r="AX31"/>
  <c r="AA31"/>
  <c r="AP31"/>
  <c r="AS31"/>
  <c r="AF31"/>
  <c r="M31"/>
  <c r="AK31"/>
  <c r="AH31"/>
  <c r="BH31"/>
  <c r="AV31"/>
  <c r="AQ31"/>
  <c r="X31"/>
  <c r="L31"/>
  <c r="BB31"/>
  <c r="AE31"/>
  <c r="Z31"/>
  <c r="BG31"/>
  <c r="BL31"/>
  <c r="AL31"/>
  <c r="K31"/>
  <c r="BM31"/>
  <c r="AM31"/>
  <c r="AT31"/>
  <c r="U31"/>
  <c r="AY31"/>
  <c r="BC31"/>
  <c r="R31"/>
  <c r="AD31"/>
  <c r="AB31"/>
  <c r="N31"/>
  <c r="BD31"/>
  <c r="W31"/>
  <c r="AJ31"/>
  <c r="AW31"/>
  <c r="Y31"/>
  <c r="BN31"/>
  <c r="AU31"/>
  <c r="AO31"/>
  <c r="T31"/>
  <c r="Q31"/>
  <c r="P31"/>
  <c r="AR31"/>
  <c r="BA31"/>
  <c r="O31"/>
  <c r="BE31"/>
  <c r="BK31"/>
  <c r="AI31"/>
  <c r="I25"/>
  <c r="S31"/>
  <c r="AZ31"/>
  <c r="BJ31"/>
  <c r="AN31"/>
  <c r="AC31"/>
  <c r="AG31"/>
  <c r="AO40" i="253"/>
  <c r="AT40" i="252"/>
  <c r="Q40" i="253"/>
  <c r="AR39" i="254"/>
  <c r="AR40"/>
  <c r="Y40" i="250"/>
  <c r="U40" i="258"/>
  <c r="U39"/>
  <c r="BD39" i="257"/>
  <c r="BD40"/>
  <c r="AQ40" i="254"/>
  <c r="AQ39"/>
  <c r="BF40" i="258"/>
  <c r="BF39"/>
  <c r="AI40" i="252"/>
  <c r="Y39" i="257"/>
  <c r="Y40"/>
  <c r="AN40" i="250"/>
  <c r="BF39" i="252"/>
  <c r="BF40"/>
  <c r="BA39" i="259"/>
  <c r="BA40"/>
  <c r="BI40" i="252"/>
  <c r="BG39" i="254"/>
  <c r="BG40"/>
  <c r="BB39" i="257"/>
  <c r="BB40"/>
  <c r="AN39" i="254"/>
  <c r="AN40"/>
  <c r="AX40" i="250"/>
  <c r="N40" i="252"/>
  <c r="Q39" i="261"/>
  <c r="Q40"/>
  <c r="AR40" i="253"/>
  <c r="AP40" i="252"/>
  <c r="BF40" i="251"/>
  <c r="X40" i="252"/>
  <c r="X39"/>
  <c r="S40" i="254"/>
  <c r="S39"/>
  <c r="AL40" i="253"/>
  <c r="AF40" i="252"/>
  <c r="AO39" i="254"/>
  <c r="AO40"/>
  <c r="T39"/>
  <c r="T40"/>
  <c r="BJ40" i="251"/>
  <c r="AD40" i="253"/>
  <c r="AH39" i="258"/>
  <c r="AH40"/>
  <c r="AZ40" i="255"/>
  <c r="AZ39"/>
  <c r="BE40" i="251"/>
  <c r="AA39" i="258"/>
  <c r="AA40"/>
  <c r="BH39" i="257"/>
  <c r="BH40"/>
  <c r="BG40" i="253"/>
  <c r="W40" i="261"/>
  <c r="W39"/>
  <c r="T40" i="252"/>
  <c r="BN40" i="255"/>
  <c r="BN39"/>
  <c r="AB39" i="257"/>
  <c r="AB40"/>
  <c r="AO40" i="259"/>
  <c r="AO39"/>
  <c r="AB39" i="255"/>
  <c r="AB40"/>
  <c r="BB40" i="253"/>
  <c r="R40"/>
  <c r="AW39" i="255"/>
  <c r="AW40"/>
  <c r="BA40" i="257"/>
  <c r="BA39"/>
  <c r="Y40" i="252"/>
  <c r="AR40" i="256"/>
  <c r="AR39"/>
  <c r="M39" i="254"/>
  <c r="M40"/>
  <c r="S39" i="259"/>
  <c r="S40"/>
  <c r="AC39" i="254"/>
  <c r="AC40"/>
  <c r="BA39" i="255"/>
  <c r="BA40"/>
  <c r="AQ40" i="260"/>
  <c r="AQ39"/>
  <c r="L39" i="255"/>
  <c r="L40"/>
  <c r="AQ39" i="258"/>
  <c r="AQ40"/>
  <c r="AE39" i="260"/>
  <c r="AE40"/>
  <c r="AS39" i="261"/>
  <c r="AS40"/>
  <c r="BM40" i="250"/>
  <c r="AB40" i="256"/>
  <c r="AB39"/>
  <c r="AN40"/>
  <c r="AN39"/>
  <c r="BL40" i="253"/>
  <c r="P39" i="259"/>
  <c r="P40"/>
  <c r="AJ39" i="257"/>
  <c r="AJ40"/>
  <c r="AC40" i="259"/>
  <c r="AC39"/>
  <c r="AV39" i="255"/>
  <c r="AV40"/>
  <c r="L40" i="261"/>
  <c r="L39"/>
  <c r="AR39" i="258"/>
  <c r="AR40"/>
  <c r="AA39" i="261"/>
  <c r="AA40"/>
  <c r="AY40"/>
  <c r="AY39"/>
  <c r="AE40" i="257"/>
  <c r="AE39"/>
  <c r="T39" i="261"/>
  <c r="T40"/>
  <c r="AW40" i="259"/>
  <c r="AW39"/>
  <c r="U40" i="255"/>
  <c r="U39"/>
  <c r="AT40" i="251"/>
  <c r="N40" i="253"/>
  <c r="AS39" i="255"/>
  <c r="AS40"/>
  <c r="AU40" i="252"/>
  <c r="R40" i="257"/>
  <c r="R39"/>
  <c r="AZ40" i="254"/>
  <c r="AZ39"/>
  <c r="O40" i="252"/>
  <c r="BM40" i="254"/>
  <c r="BM39"/>
  <c r="BB40" i="255"/>
  <c r="BB39"/>
  <c r="P40" i="260"/>
  <c r="P39"/>
  <c r="AC40" i="256"/>
  <c r="AC39"/>
  <c r="BL40" i="250"/>
  <c r="AI40"/>
  <c r="BD40"/>
  <c r="AS40" i="251"/>
  <c r="AA40" i="253"/>
  <c r="AA39"/>
  <c r="M40" i="251"/>
  <c r="BH40" i="253"/>
  <c r="BF39" i="257"/>
  <c r="BF40"/>
  <c r="BN40" i="260"/>
  <c r="BN39"/>
  <c r="BK40" i="259"/>
  <c r="BK39"/>
  <c r="Q40" i="257"/>
  <c r="Q39"/>
  <c r="AB39" i="260"/>
  <c r="AB40"/>
  <c r="AV40" i="250"/>
  <c r="X31" i="253"/>
  <c r="AU31"/>
  <c r="AD31"/>
  <c r="AQ31"/>
  <c r="AG31"/>
  <c r="BM31"/>
  <c r="K31"/>
  <c r="AJ31"/>
  <c r="BK31"/>
  <c r="BC31"/>
  <c r="AP31"/>
  <c r="AS31"/>
  <c r="BL31"/>
  <c r="AC31"/>
  <c r="P31"/>
  <c r="AB31"/>
  <c r="BD31"/>
  <c r="BJ31"/>
  <c r="AT31"/>
  <c r="V31"/>
  <c r="W31"/>
  <c r="Y31"/>
  <c r="U31"/>
  <c r="T31"/>
  <c r="AV31"/>
  <c r="BN31"/>
  <c r="O31"/>
  <c r="Q31"/>
  <c r="AH31"/>
  <c r="AY31"/>
  <c r="AZ31"/>
  <c r="AW31"/>
  <c r="AO31"/>
  <c r="BH31"/>
  <c r="R31"/>
  <c r="AX31"/>
  <c r="AN31"/>
  <c r="AL31"/>
  <c r="S31"/>
  <c r="AR31"/>
  <c r="BG31"/>
  <c r="BE31"/>
  <c r="BF31"/>
  <c r="BB31"/>
  <c r="AK31"/>
  <c r="AE31"/>
  <c r="AA31"/>
  <c r="N31"/>
  <c r="AF31"/>
  <c r="M31"/>
  <c r="BI31"/>
  <c r="AM31"/>
  <c r="L31"/>
  <c r="BA31"/>
  <c r="I25"/>
  <c r="Z31"/>
  <c r="AI31"/>
  <c r="S40" i="252"/>
  <c r="BL39" i="254"/>
  <c r="BL40"/>
  <c r="AV39" i="261"/>
  <c r="AV40"/>
  <c r="W40" i="253"/>
  <c r="BD40" i="252"/>
  <c r="AX40" i="251"/>
  <c r="AX39" i="259"/>
  <c r="AX40"/>
  <c r="AT39" i="258"/>
  <c r="AT40"/>
  <c r="BB40" i="250"/>
  <c r="AU40" i="253"/>
  <c r="Y40" i="259"/>
  <c r="Y39"/>
  <c r="AC40" i="258"/>
  <c r="AC39"/>
  <c r="AN40" i="259"/>
  <c r="AN39"/>
  <c r="AW40" i="250"/>
  <c r="BC40" i="253"/>
  <c r="BK40" i="257"/>
  <c r="BK39"/>
  <c r="AD40" i="258"/>
  <c r="AD39"/>
  <c r="Z40" i="257"/>
  <c r="Z39"/>
  <c r="AG39" i="254"/>
  <c r="AG40"/>
  <c r="BG39" i="260"/>
  <c r="BG40"/>
  <c r="BM39" i="261"/>
  <c r="BM40"/>
  <c r="AL40" i="259"/>
  <c r="AL39"/>
  <c r="BB40"/>
  <c r="BB39"/>
  <c r="AZ40" i="250"/>
  <c r="Q40" i="252"/>
  <c r="Q40" i="256"/>
  <c r="Q39"/>
  <c r="Q40" i="250"/>
  <c r="BM39" i="256"/>
  <c r="BM40"/>
  <c r="K39" i="260"/>
  <c r="K40"/>
  <c r="AI39" i="255"/>
  <c r="AI40"/>
  <c r="BK40" i="260"/>
  <c r="BK39"/>
  <c r="BK40" i="253"/>
  <c r="AO39" i="257"/>
  <c r="AO40"/>
  <c r="BE39" i="259"/>
  <c r="BE40"/>
  <c r="AF39" i="260"/>
  <c r="AF40"/>
  <c r="AB40" i="258"/>
  <c r="AB39"/>
  <c r="AB39" i="261"/>
  <c r="AB40"/>
  <c r="AS40" i="256"/>
  <c r="AS39"/>
  <c r="BG39" i="259"/>
  <c r="BG40"/>
  <c r="W40" i="260"/>
  <c r="W39"/>
  <c r="BA39" i="256"/>
  <c r="BA40"/>
  <c r="AP39" i="250"/>
  <c r="AP40"/>
  <c r="AN40" i="252"/>
  <c r="L39" i="258"/>
  <c r="L40"/>
  <c r="AU40" i="257"/>
  <c r="AU39"/>
  <c r="AZ40"/>
  <c r="AZ39"/>
  <c r="AB40" i="259"/>
  <c r="AB39"/>
  <c r="AZ40" i="261"/>
  <c r="AZ39"/>
  <c r="BL40" i="258"/>
  <c r="BL39"/>
  <c r="AG39"/>
  <c r="AG40"/>
  <c r="S39" i="260"/>
  <c r="S40"/>
  <c r="BI40" i="257"/>
  <c r="BI39"/>
  <c r="BI39" i="261"/>
  <c r="BI40"/>
  <c r="O39" i="251"/>
  <c r="O40"/>
  <c r="AP40" i="256"/>
  <c r="AP39"/>
  <c r="AL40" i="257"/>
  <c r="AL39"/>
  <c r="BG40" i="251"/>
  <c r="BG39"/>
  <c r="O40" i="261"/>
  <c r="O39"/>
  <c r="N40" i="256"/>
  <c r="N39"/>
  <c r="AX40" i="260"/>
  <c r="AX39"/>
  <c r="BD39" i="261"/>
  <c r="BD40"/>
  <c r="AD39" i="256"/>
  <c r="AD40"/>
  <c r="W40" i="250"/>
  <c r="T40" i="251"/>
  <c r="Y40" i="253"/>
  <c r="BC39" i="254"/>
  <c r="BC40"/>
  <c r="Z40" i="259"/>
  <c r="Z39"/>
  <c r="AT40" i="253"/>
  <c r="BM39" i="258"/>
  <c r="BM40"/>
  <c r="U40" i="250"/>
  <c r="BB40" i="251"/>
  <c r="AN40" i="255"/>
  <c r="AN39"/>
  <c r="BJ39" i="257"/>
  <c r="BJ40"/>
  <c r="AC40" i="252"/>
  <c r="AM39" i="257"/>
  <c r="AM40"/>
  <c r="AE40" i="251"/>
  <c r="AE40" i="259"/>
  <c r="AE39"/>
  <c r="AW40" i="260"/>
  <c r="AW39"/>
  <c r="BA40" i="253"/>
  <c r="BI39" i="258"/>
  <c r="BI40"/>
  <c r="AX40" i="252"/>
  <c r="BK40" i="255"/>
  <c r="BK39"/>
  <c r="P40" i="256"/>
  <c r="P39"/>
  <c r="BE39" i="261"/>
  <c r="BE40"/>
  <c r="BH40" i="250"/>
  <c r="BD39" i="260"/>
  <c r="BD40"/>
  <c r="AP39" i="259"/>
  <c r="AP40"/>
  <c r="Q39" i="251"/>
  <c r="Q40"/>
  <c r="Y40"/>
  <c r="AG39" i="257"/>
  <c r="AG40"/>
  <c r="U40" i="256"/>
  <c r="U39"/>
  <c r="K40" i="257"/>
  <c r="K39"/>
  <c r="AX39" i="255"/>
  <c r="AX40"/>
  <c r="AA39"/>
  <c r="AA40"/>
  <c r="BL40" i="252"/>
  <c r="AL40" i="254"/>
  <c r="AL39"/>
  <c r="BN39" i="259"/>
  <c r="BN40"/>
  <c r="BC39"/>
  <c r="BC40"/>
  <c r="AQ40" i="250"/>
  <c r="AU39" i="261"/>
  <c r="AU40"/>
  <c r="AK40" i="253"/>
  <c r="AF40"/>
  <c r="BL39" i="261"/>
  <c r="BL40"/>
  <c r="AW40" i="252"/>
  <c r="BH39" i="259"/>
  <c r="BH40"/>
  <c r="N40" i="254"/>
  <c r="N39"/>
  <c r="BN40" i="252"/>
  <c r="BD40" i="253"/>
  <c r="BE40" i="258"/>
  <c r="BE39"/>
  <c r="K39" i="254"/>
  <c r="K40"/>
  <c r="Z40" i="251"/>
  <c r="BM39" i="259"/>
  <c r="BM40"/>
  <c r="AH39" i="261"/>
  <c r="AH40"/>
  <c r="AK40" i="260"/>
  <c r="AK39"/>
  <c r="N39" i="255"/>
  <c r="N40"/>
  <c r="AK40" i="261"/>
  <c r="AK39"/>
  <c r="V31" i="254"/>
  <c r="AC31"/>
  <c r="BD31"/>
  <c r="AW31"/>
  <c r="AZ31"/>
  <c r="P31"/>
  <c r="AQ31"/>
  <c r="BN31"/>
  <c r="L31"/>
  <c r="Z31"/>
  <c r="W31"/>
  <c r="AI31"/>
  <c r="AG31"/>
  <c r="U31"/>
  <c r="AS31"/>
  <c r="K31"/>
  <c r="N31"/>
  <c r="AE31"/>
  <c r="AF31"/>
  <c r="AV31"/>
  <c r="BH31"/>
  <c r="Y31"/>
  <c r="AK31"/>
  <c r="AO31"/>
  <c r="AD31"/>
  <c r="AY31"/>
  <c r="AM31"/>
  <c r="BL31"/>
  <c r="BB31"/>
  <c r="BF31"/>
  <c r="BE31"/>
  <c r="BA31"/>
  <c r="O31"/>
  <c r="AP31"/>
  <c r="BG31"/>
  <c r="AJ31"/>
  <c r="R31"/>
  <c r="AL31"/>
  <c r="BJ31"/>
  <c r="AA31"/>
  <c r="X31"/>
  <c r="I25"/>
  <c r="S31"/>
  <c r="AX31"/>
  <c r="AH31"/>
  <c r="AB31"/>
  <c r="AR31"/>
  <c r="Q31"/>
  <c r="AT31"/>
  <c r="BI31"/>
  <c r="BC31"/>
  <c r="AN31"/>
  <c r="BM31"/>
  <c r="AU31"/>
  <c r="T31"/>
  <c r="M31"/>
  <c r="BK31"/>
  <c r="BF39"/>
  <c r="BF40"/>
  <c r="AP40" i="258"/>
  <c r="AP39"/>
  <c r="AM39"/>
  <c r="AM40"/>
  <c r="BH40" i="261"/>
  <c r="BH39"/>
  <c r="BD40" i="259"/>
  <c r="BD39"/>
  <c r="AD40" i="250"/>
  <c r="AA39" i="260"/>
  <c r="AA40"/>
  <c r="Z39" i="256"/>
  <c r="Z40"/>
  <c r="BK40" i="250"/>
  <c r="AS40" i="257"/>
  <c r="AS39"/>
  <c r="AR40"/>
  <c r="AR39"/>
  <c r="AG39" i="255"/>
  <c r="AG40"/>
  <c r="AP40" i="254"/>
  <c r="AP39"/>
  <c r="AJ39" i="261"/>
  <c r="AJ40"/>
  <c r="AO40"/>
  <c r="AO39"/>
  <c r="AI40"/>
  <c r="AI39"/>
  <c r="S40"/>
  <c r="S39"/>
  <c r="BC31" i="256"/>
  <c r="AO31"/>
  <c r="AV31"/>
  <c r="AU31"/>
  <c r="AM31"/>
  <c r="AK31"/>
  <c r="O31"/>
  <c r="S31"/>
  <c r="AX31"/>
  <c r="U31"/>
  <c r="AC31"/>
  <c r="AI31"/>
  <c r="BE31"/>
  <c r="BN31"/>
  <c r="AW31"/>
  <c r="M31"/>
  <c r="AE31"/>
  <c r="BA31"/>
  <c r="BF31"/>
  <c r="BJ31"/>
  <c r="AP31"/>
  <c r="Y31"/>
  <c r="AJ31"/>
  <c r="AL31"/>
  <c r="AB31"/>
  <c r="K31"/>
  <c r="Z31"/>
  <c r="BG31"/>
  <c r="BI31"/>
  <c r="AS31"/>
  <c r="X31"/>
  <c r="AG31"/>
  <c r="AY31"/>
  <c r="Q31"/>
  <c r="AH31"/>
  <c r="AZ31"/>
  <c r="I25"/>
  <c r="P31"/>
  <c r="AA31"/>
  <c r="AR31"/>
  <c r="R31"/>
  <c r="AQ31"/>
  <c r="W31"/>
  <c r="AD31"/>
  <c r="BH31"/>
  <c r="N31"/>
  <c r="BK31"/>
  <c r="BD31"/>
  <c r="AT31"/>
  <c r="BL31"/>
  <c r="BB31"/>
  <c r="AF31"/>
  <c r="T31"/>
  <c r="V31"/>
  <c r="L31"/>
  <c r="BM31"/>
  <c r="AN31"/>
  <c r="AQ40" i="259"/>
  <c r="AQ39"/>
  <c r="Y39" i="261"/>
  <c r="Y40"/>
  <c r="AH40" i="256"/>
  <c r="AH39"/>
  <c r="BK39"/>
  <c r="BK40"/>
  <c r="W40" i="258"/>
  <c r="W39"/>
  <c r="U39" i="257"/>
  <c r="U40"/>
  <c r="R39" i="261"/>
  <c r="R40"/>
  <c r="AN39" i="260"/>
  <c r="AN40"/>
  <c r="AQ40" i="251"/>
  <c r="Z40" i="260"/>
  <c r="Z39"/>
  <c r="BC40" i="251"/>
  <c r="BL40" i="257"/>
  <c r="BL39"/>
  <c r="AD39" i="259"/>
  <c r="AD40"/>
  <c r="BI40" i="253"/>
  <c r="AY39" i="258"/>
  <c r="AY40"/>
  <c r="BL39" i="256"/>
  <c r="BL40"/>
  <c r="AN40" i="261"/>
  <c r="AN39"/>
  <c r="BL39" i="255"/>
  <c r="BL40"/>
  <c r="Y39"/>
  <c r="Y40"/>
  <c r="AV40" i="258"/>
  <c r="AV39"/>
  <c r="W39" i="256"/>
  <c r="W40"/>
  <c r="X39" i="258"/>
  <c r="X40"/>
  <c r="O40" i="257"/>
  <c r="O39"/>
  <c r="AG40" i="260"/>
  <c r="AG39"/>
  <c r="BL39"/>
  <c r="BL40"/>
  <c r="AI39" i="259"/>
  <c r="AI40"/>
  <c r="BD40" i="254"/>
  <c r="BD39"/>
  <c r="AE40" i="252"/>
  <c r="AK40" i="250"/>
  <c r="AQ39" i="257"/>
  <c r="AQ40"/>
  <c r="BK40" i="258"/>
  <c r="BK39"/>
  <c r="AL39" i="256"/>
  <c r="AL40"/>
  <c r="BJ39" i="255"/>
  <c r="BJ40"/>
  <c r="BI40"/>
  <c r="BI39"/>
  <c r="AM40"/>
  <c r="AM39"/>
  <c r="P40" i="257"/>
  <c r="P39"/>
  <c r="AY40"/>
  <c r="AY39"/>
  <c r="AJ40" i="260"/>
  <c r="AJ39"/>
  <c r="AD39" i="261"/>
  <c r="AD40"/>
  <c r="S40" i="256"/>
  <c r="S39"/>
  <c r="AO40" i="250"/>
  <c r="V40" i="251"/>
  <c r="BA40"/>
  <c r="AA40" i="256"/>
  <c r="AA39"/>
  <c r="AM40" i="259"/>
  <c r="AM39"/>
  <c r="BM40" i="257"/>
  <c r="BM39"/>
  <c r="AF40" i="250"/>
  <c r="BB39" i="256"/>
  <c r="BB40"/>
  <c r="AW40" i="251"/>
  <c r="X40" i="254"/>
  <c r="X39"/>
  <c r="AI40" i="253"/>
  <c r="K39" i="256"/>
  <c r="K40"/>
  <c r="AR40" i="252"/>
  <c r="U39" i="260"/>
  <c r="U40"/>
  <c r="X40" i="251"/>
  <c r="AS31" i="257"/>
  <c r="X31"/>
  <c r="AF31"/>
  <c r="AH31"/>
  <c r="BJ31"/>
  <c r="N31"/>
  <c r="AE31"/>
  <c r="AR31"/>
  <c r="AJ31"/>
  <c r="AK31"/>
  <c r="BK31"/>
  <c r="AZ31"/>
  <c r="S31"/>
  <c r="K31"/>
  <c r="R31"/>
  <c r="AW31"/>
  <c r="AY31"/>
  <c r="U31"/>
  <c r="BC31"/>
  <c r="AV31"/>
  <c r="AA31"/>
  <c r="AG31"/>
  <c r="I25"/>
  <c r="BF31"/>
  <c r="Y31"/>
  <c r="BG31"/>
  <c r="O31"/>
  <c r="L31"/>
  <c r="Q31"/>
  <c r="AU31"/>
  <c r="BN31"/>
  <c r="BA31"/>
  <c r="T31"/>
  <c r="BI31"/>
  <c r="P31"/>
  <c r="AQ31"/>
  <c r="AB31"/>
  <c r="AC31"/>
  <c r="BM31"/>
  <c r="AT31"/>
  <c r="AO31"/>
  <c r="BE31"/>
  <c r="AD31"/>
  <c r="BD31"/>
  <c r="AL31"/>
  <c r="V31"/>
  <c r="AI31"/>
  <c r="M31"/>
  <c r="BH31"/>
  <c r="AP31"/>
  <c r="W31"/>
  <c r="AM31"/>
  <c r="Z31"/>
  <c r="BL31"/>
  <c r="BB31"/>
  <c r="AX31"/>
  <c r="AN31"/>
  <c r="AP39" i="251"/>
  <c r="AP40"/>
  <c r="R40" i="250"/>
  <c r="AK40" i="255"/>
  <c r="AK39"/>
  <c r="Q40" i="260"/>
  <c r="Q39"/>
  <c r="W39" i="254"/>
  <c r="W40"/>
  <c r="L31" i="258"/>
  <c r="BE31"/>
  <c r="Z31"/>
  <c r="AV31"/>
  <c r="BF31"/>
  <c r="I25"/>
  <c r="AD31"/>
  <c r="BB31"/>
  <c r="BJ31"/>
  <c r="AN31"/>
  <c r="BA31"/>
  <c r="AP31"/>
  <c r="AY31"/>
  <c r="Y31"/>
  <c r="N31"/>
  <c r="O31"/>
  <c r="X31"/>
  <c r="K31"/>
  <c r="AK31"/>
  <c r="AA31"/>
  <c r="BH31"/>
  <c r="BG31"/>
  <c r="M31"/>
  <c r="U31"/>
  <c r="AU31"/>
  <c r="AC31"/>
  <c r="AB31"/>
  <c r="AH31"/>
  <c r="BL31"/>
  <c r="Q31"/>
  <c r="V31"/>
  <c r="BI31"/>
  <c r="W31"/>
  <c r="AR31"/>
  <c r="AS31"/>
  <c r="S31"/>
  <c r="AG31"/>
  <c r="BN31"/>
  <c r="AJ31"/>
  <c r="AW31"/>
  <c r="R31"/>
  <c r="BC31"/>
  <c r="AT31"/>
  <c r="AQ31"/>
  <c r="BK31"/>
  <c r="T31"/>
  <c r="AF31"/>
  <c r="AL31"/>
  <c r="AZ31"/>
  <c r="P31"/>
  <c r="BD31"/>
  <c r="BM31"/>
  <c r="AX31"/>
  <c r="AM31"/>
  <c r="AE31"/>
  <c r="AO31"/>
  <c r="AI31"/>
  <c r="U40" i="252"/>
  <c r="AB40"/>
  <c r="BN40" i="251"/>
  <c r="BN39"/>
  <c r="BC40" i="261"/>
  <c r="BC39"/>
  <c r="AT39" i="257"/>
  <c r="AT40"/>
  <c r="AW40" i="261"/>
  <c r="AW39"/>
  <c r="W40" i="251"/>
  <c r="BG40" i="256"/>
  <c r="BG39"/>
  <c r="AI40" i="254"/>
  <c r="AI39"/>
  <c r="BH39" i="258"/>
  <c r="BH40"/>
  <c r="AR39" i="260"/>
  <c r="AR40"/>
  <c r="BB40" i="254"/>
  <c r="BB39"/>
  <c r="AA40" i="252"/>
  <c r="S40" i="255"/>
  <c r="S39"/>
  <c r="W39" i="257"/>
  <c r="W40"/>
  <c r="AS40" i="254"/>
  <c r="AS39"/>
  <c r="BN39" i="258"/>
  <c r="BN40"/>
  <c r="AX40" i="254"/>
  <c r="AX39"/>
  <c r="AE40" i="261"/>
  <c r="AE39"/>
  <c r="AC40" i="253"/>
  <c r="K40" i="251"/>
  <c r="T40" i="256"/>
  <c r="T39"/>
  <c r="AZ40" i="258"/>
  <c r="AZ39"/>
  <c r="AT40" i="256"/>
  <c r="AT39"/>
  <c r="AZ40" i="252"/>
  <c r="AE40" i="253"/>
  <c r="BK31" i="252"/>
  <c r="AX31"/>
  <c r="BE31"/>
  <c r="AP31"/>
  <c r="AE31"/>
  <c r="AA31"/>
  <c r="BH31"/>
  <c r="L31"/>
  <c r="S31"/>
  <c r="BD31"/>
  <c r="AZ31"/>
  <c r="V31"/>
  <c r="AL31"/>
  <c r="AN31"/>
  <c r="AU31"/>
  <c r="AT31"/>
  <c r="X31"/>
  <c r="U31"/>
  <c r="BN31"/>
  <c r="BF31"/>
  <c r="AB31"/>
  <c r="I25"/>
  <c r="AQ31"/>
  <c r="AK31"/>
  <c r="AF31"/>
  <c r="AM31"/>
  <c r="AR31"/>
  <c r="BA31"/>
  <c r="R31"/>
  <c r="O31"/>
  <c r="K31"/>
  <c r="BL31"/>
  <c r="AJ31"/>
  <c r="AG31"/>
  <c r="W31"/>
  <c r="BJ31"/>
  <c r="AC31"/>
  <c r="BG31"/>
  <c r="AV31"/>
  <c r="AY31"/>
  <c r="BI31"/>
  <c r="AS31"/>
  <c r="AW31"/>
  <c r="BC31"/>
  <c r="Q31"/>
  <c r="AI31"/>
  <c r="N31"/>
  <c r="BM31"/>
  <c r="AD31"/>
  <c r="AH31"/>
  <c r="BB31"/>
  <c r="AO31"/>
  <c r="T31"/>
  <c r="P31"/>
  <c r="Y31"/>
  <c r="Z31"/>
  <c r="M31"/>
  <c r="W39" i="259"/>
  <c r="W40"/>
  <c r="N40" i="260"/>
  <c r="N39"/>
  <c r="BI40" i="250"/>
  <c r="T40" i="257"/>
  <c r="T39"/>
  <c r="Q39" i="255"/>
  <c r="Q40"/>
  <c r="BG40" i="258"/>
  <c r="BG39"/>
  <c r="T40" i="253"/>
  <c r="AY40"/>
  <c r="R40" i="252"/>
  <c r="AH40" i="260"/>
  <c r="AH39"/>
  <c r="BH40"/>
  <c r="BH39"/>
  <c r="AY40" i="252"/>
  <c r="O40" i="253"/>
  <c r="V40" i="256"/>
  <c r="V39"/>
  <c r="BE39" i="260"/>
  <c r="BE40"/>
  <c r="M39" i="255"/>
  <c r="M40"/>
  <c r="AU40" i="250"/>
  <c r="AA40" i="251"/>
  <c r="BK40"/>
  <c r="AM39" i="254"/>
  <c r="AM40"/>
  <c r="Z40" i="258"/>
  <c r="Z39"/>
  <c r="K40" i="253"/>
  <c r="AF39" i="258"/>
  <c r="AF40"/>
  <c r="AD39" i="257"/>
  <c r="AD40"/>
  <c r="AR39" i="259"/>
  <c r="AR40"/>
  <c r="BG39" i="261"/>
  <c r="BG40"/>
  <c r="AJ40" i="255"/>
  <c r="AJ39"/>
  <c r="BK40" i="261"/>
  <c r="BK39"/>
  <c r="BJ39"/>
  <c r="BJ40"/>
  <c r="O40" i="258"/>
  <c r="O39"/>
  <c r="BA40" i="250"/>
  <c r="P39" i="258"/>
  <c r="P40"/>
  <c r="BC39" i="255"/>
  <c r="BC40"/>
  <c r="AD39"/>
  <c r="AD40"/>
  <c r="AH40" i="254"/>
  <c r="AH39"/>
  <c r="V39" i="257"/>
  <c r="V40"/>
  <c r="AK39" i="258"/>
  <c r="AK40"/>
  <c r="BE40" i="256"/>
  <c r="BE39"/>
  <c r="AL39" i="258"/>
  <c r="AL40"/>
  <c r="AV40" i="256"/>
  <c r="AV39"/>
  <c r="U39" i="259"/>
  <c r="U40"/>
  <c r="AV40" i="253"/>
  <c r="AH40" i="252"/>
  <c r="BB40" i="258"/>
  <c r="BB39"/>
  <c r="AF39" i="256"/>
  <c r="AF40"/>
  <c r="AP40" i="261"/>
  <c r="AP39"/>
  <c r="U40" i="253"/>
  <c r="M39" i="257"/>
  <c r="M40"/>
  <c r="AT40" i="260"/>
  <c r="AT39"/>
  <c r="AU39" i="256"/>
  <c r="AU40"/>
  <c r="L40"/>
  <c r="L39"/>
  <c r="L39" i="259"/>
  <c r="L40"/>
  <c r="AO40" i="258"/>
  <c r="AO39"/>
  <c r="AV40" i="257"/>
  <c r="AV39"/>
  <c r="AG40" i="253"/>
  <c r="AN40" i="257"/>
  <c r="AN39"/>
  <c r="BB40" i="260"/>
  <c r="BB39"/>
  <c r="AV39" i="259"/>
  <c r="AV40"/>
  <c r="P39" i="261"/>
  <c r="P40"/>
  <c r="AR39"/>
  <c r="AR40"/>
  <c r="Y40" i="256"/>
  <c r="Y39"/>
  <c r="S39" i="257"/>
  <c r="S40"/>
  <c r="M40" i="256"/>
  <c r="M39"/>
  <c r="BD40"/>
  <c r="BD39"/>
  <c r="BF40" i="259"/>
  <c r="BF39"/>
  <c r="BI39" i="256"/>
  <c r="BI40"/>
  <c r="AT39" i="261"/>
  <c r="AT40"/>
  <c r="AP40" i="257"/>
  <c r="AP39"/>
  <c r="AT40" i="255"/>
  <c r="AT39"/>
  <c r="AE40" i="256"/>
  <c r="AE39"/>
  <c r="AA40" i="259"/>
  <c r="AA39"/>
  <c r="Z40" i="253"/>
  <c r="AQ40" i="256"/>
  <c r="AQ39"/>
  <c r="X40" i="261"/>
  <c r="X39"/>
  <c r="K31"/>
  <c r="AY31"/>
  <c r="BL31"/>
  <c r="R31"/>
  <c r="W31"/>
  <c r="AM31"/>
  <c r="Z31"/>
  <c r="V31"/>
  <c r="AR31"/>
  <c r="AI31"/>
  <c r="AD31"/>
  <c r="N31"/>
  <c r="Q31"/>
  <c r="BB31"/>
  <c r="M31"/>
  <c r="AT31"/>
  <c r="S31"/>
  <c r="BM31"/>
  <c r="AJ31"/>
  <c r="AB31"/>
  <c r="AL31"/>
  <c r="U31"/>
  <c r="BC31"/>
  <c r="AX31"/>
  <c r="L31"/>
  <c r="AV31"/>
  <c r="AP31"/>
  <c r="T31"/>
  <c r="X31"/>
  <c r="AA31"/>
  <c r="AK31"/>
  <c r="AH31"/>
  <c r="AF31"/>
  <c r="AC31"/>
  <c r="Y31"/>
  <c r="BF31"/>
  <c r="AE31"/>
  <c r="AW31"/>
  <c r="AO31"/>
  <c r="AN31"/>
  <c r="BE31"/>
  <c r="AG31"/>
  <c r="BA31"/>
  <c r="O31"/>
  <c r="P31"/>
  <c r="BN31"/>
  <c r="AS31"/>
  <c r="AU31"/>
  <c r="BI31"/>
  <c r="I25"/>
  <c r="BH31"/>
  <c r="BK31"/>
  <c r="BD31"/>
  <c r="BJ31"/>
  <c r="AQ31"/>
  <c r="BG31"/>
  <c r="AZ31"/>
  <c r="AQ40" i="253"/>
  <c r="BC40" i="257"/>
  <c r="BC39"/>
  <c r="BE40" i="254"/>
  <c r="BE39"/>
  <c r="AW40" i="253"/>
  <c r="AU40" i="260"/>
  <c r="AU39"/>
  <c r="AY40" i="259"/>
  <c r="AY39"/>
  <c r="AJ40" i="256"/>
  <c r="AJ39"/>
  <c r="AQ39" i="261"/>
  <c r="AQ40"/>
  <c r="AV40" i="251"/>
  <c r="AN40"/>
  <c r="AU40"/>
  <c r="AE40" i="258"/>
  <c r="AE39"/>
  <c r="AP40" i="255"/>
  <c r="AP39"/>
  <c r="AS39" i="260"/>
  <c r="AS40"/>
  <c r="M40" i="261"/>
  <c r="M39"/>
  <c r="R39" i="260"/>
  <c r="R40"/>
  <c r="AG39" i="256"/>
  <c r="AG40"/>
  <c r="AI40" i="251"/>
  <c r="AZ39" i="259"/>
  <c r="AZ40"/>
  <c r="AX40" i="256"/>
  <c r="AX39"/>
  <c r="AS40" i="259"/>
  <c r="AS39"/>
  <c r="AY40" i="256"/>
  <c r="AY39"/>
  <c r="BA40" i="254"/>
  <c r="BA39"/>
  <c r="BJ39"/>
  <c r="BJ40"/>
  <c r="K31" i="259"/>
  <c r="AB31"/>
  <c r="AL31"/>
  <c r="S31"/>
  <c r="AZ31"/>
  <c r="BH31"/>
  <c r="BK31"/>
  <c r="AY31"/>
  <c r="O31"/>
  <c r="BC31"/>
  <c r="AA31"/>
  <c r="M31"/>
  <c r="BG31"/>
  <c r="L31"/>
  <c r="AW31"/>
  <c r="AC31"/>
  <c r="X31"/>
  <c r="BE31"/>
  <c r="AN31"/>
  <c r="BD31"/>
  <c r="Z31"/>
  <c r="AR31"/>
  <c r="BA31"/>
  <c r="T31"/>
  <c r="AU31"/>
  <c r="BJ31"/>
  <c r="AS31"/>
  <c r="W31"/>
  <c r="AD31"/>
  <c r="BI31"/>
  <c r="Q31"/>
  <c r="AH31"/>
  <c r="AQ31"/>
  <c r="BL31"/>
  <c r="AP31"/>
  <c r="U31"/>
  <c r="BN31"/>
  <c r="AJ31"/>
  <c r="AK31"/>
  <c r="BM31"/>
  <c r="Y31"/>
  <c r="AE31"/>
  <c r="AG31"/>
  <c r="AM31"/>
  <c r="I25"/>
  <c r="V31"/>
  <c r="AX31"/>
  <c r="AF31"/>
  <c r="AI31"/>
  <c r="AV31"/>
  <c r="N31"/>
  <c r="R31"/>
  <c r="BF31"/>
  <c r="BB31"/>
  <c r="AT31"/>
  <c r="AO31"/>
  <c r="P31"/>
  <c r="AL39" i="255"/>
  <c r="AL40"/>
  <c r="BN40" i="253"/>
  <c r="V39" i="258"/>
  <c r="V40"/>
  <c r="K40"/>
  <c r="K39"/>
  <c r="AO40" i="256"/>
  <c r="AO39"/>
  <c r="AR40" i="251"/>
  <c r="AW39" i="258"/>
  <c r="AW40"/>
  <c r="O40" i="254"/>
  <c r="O39"/>
  <c r="U39" i="251"/>
  <c r="U40"/>
  <c r="BN40" i="250"/>
  <c r="AM39" i="256"/>
  <c r="AM40"/>
  <c r="M39" i="259"/>
  <c r="M40"/>
  <c r="AR40" i="250"/>
  <c r="S39" i="258"/>
  <c r="S40"/>
  <c r="BF40" i="250"/>
  <c r="BN39" i="256"/>
  <c r="BN40"/>
  <c r="V39" i="261"/>
  <c r="V40"/>
  <c r="X39" i="256"/>
  <c r="X40"/>
  <c r="AM40" i="252"/>
  <c r="AM40" i="260"/>
  <c r="AM39"/>
  <c r="T39" i="259"/>
  <c r="T40"/>
  <c r="O39" i="256"/>
  <c r="O40"/>
  <c r="AW39" i="257"/>
  <c r="AW40"/>
  <c r="AD40" i="252"/>
  <c r="L40" i="253"/>
  <c r="AF40" i="255"/>
  <c r="AF39"/>
  <c r="BM40" i="260"/>
  <c r="BM39"/>
  <c r="N39" i="257"/>
  <c r="N40"/>
  <c r="AS40" i="250"/>
  <c r="X40"/>
  <c r="AW40" i="254"/>
  <c r="AW39"/>
  <c r="K39" i="259"/>
  <c r="K40"/>
  <c r="N39" i="261"/>
  <c r="N40"/>
  <c r="AM39"/>
  <c r="AM40"/>
  <c r="AK39" i="257"/>
  <c r="AK40"/>
  <c r="Z40" i="261"/>
  <c r="Z39"/>
  <c r="S40" i="251"/>
  <c r="L39" i="254"/>
  <c r="L40"/>
  <c r="BA40" i="258"/>
  <c r="BA39"/>
  <c r="BJ40" i="256"/>
  <c r="BJ39"/>
  <c r="AL40" i="260"/>
  <c r="AL39"/>
  <c r="AF39" i="259"/>
  <c r="AF40"/>
  <c r="AO39" i="255"/>
  <c r="AO40"/>
  <c r="BE40"/>
  <c r="BE39"/>
  <c r="W39"/>
  <c r="W40"/>
  <c r="AC39" i="260"/>
  <c r="AC40"/>
  <c r="AK39" i="259"/>
  <c r="AK40"/>
  <c r="AU39"/>
  <c r="AU40"/>
  <c r="AK40" i="252"/>
  <c r="AP39" i="260"/>
  <c r="AP40"/>
  <c r="P40" i="253"/>
  <c r="BD39" i="258"/>
  <c r="BD40"/>
  <c r="X39" i="259"/>
  <c r="X40"/>
  <c r="AA40" i="257"/>
  <c r="AA39"/>
  <c r="L40" i="260"/>
  <c r="L39"/>
  <c r="AJ40" i="259"/>
  <c r="AJ39"/>
  <c r="BL40"/>
  <c r="BL39"/>
  <c r="AZ40" i="256"/>
  <c r="AZ39"/>
  <c r="AH40" i="259"/>
  <c r="AH39"/>
  <c r="AG39" i="261"/>
  <c r="AG40"/>
  <c r="BA40" i="252"/>
  <c r="AF39" i="257"/>
  <c r="AF40"/>
  <c r="AW40" i="256"/>
  <c r="AW39"/>
  <c r="T40" i="260"/>
  <c r="T39"/>
  <c r="AS39" i="258"/>
  <c r="AS40"/>
  <c r="R40" i="256"/>
  <c r="R39"/>
  <c r="AZ40" i="260"/>
  <c r="AZ39"/>
  <c r="BG40" i="257"/>
  <c r="BG39"/>
  <c r="BF39" i="261"/>
  <c r="BF40"/>
  <c r="BJ40" i="259"/>
  <c r="BJ39"/>
  <c r="BE40" i="252"/>
  <c r="BE39"/>
  <c r="BI40" i="254"/>
  <c r="BI39"/>
  <c r="BH39"/>
  <c r="BH40"/>
  <c r="N40" i="259"/>
  <c r="N39"/>
  <c r="AL40" i="251"/>
  <c r="BB40" i="261"/>
  <c r="BB39"/>
  <c r="AF39" i="254"/>
  <c r="AF40"/>
  <c r="AG40" i="252"/>
  <c r="BA39" i="260"/>
  <c r="BA40"/>
  <c r="AJ40" i="258"/>
  <c r="AJ39"/>
  <c r="AU39"/>
  <c r="AU40"/>
  <c r="AT40" i="259"/>
  <c r="AT39"/>
  <c r="AY40" i="255"/>
  <c r="AY39"/>
  <c r="AP40" i="253"/>
  <c r="AI39" i="260"/>
  <c r="AI40"/>
  <c r="U39" i="261"/>
  <c r="U40"/>
  <c r="U39" i="254"/>
  <c r="U40"/>
  <c r="V39" i="259"/>
  <c r="V40"/>
  <c r="BN39" i="254"/>
  <c r="BN40"/>
  <c r="N39" i="258"/>
  <c r="N40"/>
  <c r="Y40" i="260"/>
  <c r="Y39"/>
  <c r="AM40" i="251"/>
  <c r="AV110" i="18"/>
  <c r="Z110"/>
  <c r="BL110"/>
  <c r="AP110"/>
  <c r="V110"/>
  <c r="BF110"/>
  <c r="AL110"/>
  <c r="P110"/>
  <c r="BB110"/>
  <c r="AF110"/>
  <c r="J110"/>
  <c r="G110"/>
  <c r="K110"/>
  <c r="O110"/>
  <c r="S110"/>
  <c r="W110"/>
  <c r="AA110"/>
  <c r="AE110"/>
  <c r="AI110"/>
  <c r="AM110"/>
  <c r="AQ110"/>
  <c r="AU110"/>
  <c r="AY110"/>
  <c r="BC110"/>
  <c r="BG110"/>
  <c r="BK110"/>
  <c r="I110"/>
  <c r="M110"/>
  <c r="Q110"/>
  <c r="U110"/>
  <c r="Y110"/>
  <c r="AC110"/>
  <c r="AG110"/>
  <c r="AK110"/>
  <c r="AO110"/>
  <c r="AS110"/>
  <c r="AW110"/>
  <c r="BA110"/>
  <c r="BE110"/>
  <c r="BI110"/>
  <c r="BM110"/>
  <c r="L110"/>
  <c r="T110"/>
  <c r="AB110"/>
  <c r="AJ110"/>
  <c r="AR110"/>
  <c r="AZ110"/>
  <c r="BH110"/>
  <c r="BN110"/>
  <c r="BD110"/>
  <c r="AT110"/>
  <c r="AH110"/>
  <c r="X110"/>
  <c r="N110"/>
  <c r="BJ110"/>
  <c r="AX110"/>
  <c r="AN110"/>
  <c r="AD110"/>
  <c r="R110"/>
  <c r="H110"/>
  <c r="K41" i="257"/>
  <c r="K42" i="261"/>
  <c r="K42" i="255"/>
  <c r="K41" i="253"/>
  <c r="K41" i="258"/>
  <c r="K41" i="254"/>
  <c r="K42" i="256"/>
  <c r="K41" i="251"/>
  <c r="K42" i="253"/>
  <c r="K41" i="260"/>
  <c r="K42" i="259"/>
  <c r="K42" i="251"/>
  <c r="K41" i="256"/>
  <c r="K42" i="257"/>
  <c r="K41" i="261"/>
  <c r="K41" i="252"/>
  <c r="K41" i="255"/>
  <c r="K42" i="260"/>
  <c r="K41" i="250"/>
  <c r="K41" i="259"/>
  <c r="K42" i="252"/>
  <c r="K42" i="258"/>
  <c r="K42" i="250"/>
  <c r="K42" i="254"/>
  <c r="BI26" i="1" l="1"/>
  <c r="BJ26"/>
  <c r="BK26"/>
  <c r="BL26"/>
  <c r="BI27"/>
  <c r="BJ27"/>
  <c r="BK27"/>
  <c r="BL27"/>
  <c r="BI29"/>
  <c r="BJ29"/>
  <c r="BK29"/>
  <c r="BL29"/>
  <c r="BI35"/>
  <c r="BJ35"/>
  <c r="BK35"/>
  <c r="BL35"/>
  <c r="BH26"/>
  <c r="BH27"/>
  <c r="BH29"/>
  <c r="BH35"/>
  <c r="BG35"/>
  <c r="BF35"/>
  <c r="BG29"/>
  <c r="BF29"/>
  <c r="BG27"/>
  <c r="BF27"/>
  <c r="BG26"/>
  <c r="BF26"/>
  <c r="D2" i="14"/>
  <c r="E22" i="15"/>
  <c r="A19"/>
  <c r="E19"/>
  <c r="A20"/>
  <c r="E20"/>
  <c r="A21"/>
  <c r="E21"/>
  <c r="A22"/>
  <c r="A23"/>
  <c r="E23"/>
  <c r="A24"/>
  <c r="E24"/>
  <c r="A25"/>
  <c r="E25"/>
  <c r="A26"/>
  <c r="E26"/>
  <c r="A27"/>
  <c r="E27"/>
  <c r="A28"/>
  <c r="E28"/>
  <c r="A29"/>
  <c r="E29"/>
  <c r="A30"/>
  <c r="E30"/>
  <c r="F30"/>
  <c r="A31"/>
  <c r="E31"/>
  <c r="A4" i="223"/>
  <c r="A5"/>
  <c r="A8"/>
  <c r="A6"/>
  <c r="A7"/>
  <c r="A11"/>
  <c r="A10"/>
  <c r="A9"/>
  <c r="A12"/>
  <c r="A13"/>
  <c r="A14"/>
  <c r="B4" i="14"/>
  <c r="B5"/>
  <c r="B6"/>
  <c r="B7"/>
  <c r="Y8"/>
  <c r="Y9" s="1"/>
  <c r="Y10" s="1"/>
  <c r="Y11" s="1"/>
  <c r="Y12" s="1"/>
  <c r="Y13" s="1"/>
  <c r="Y14" s="1"/>
  <c r="Y15" s="1"/>
  <c r="Y16" s="1"/>
  <c r="Y17" s="1"/>
  <c r="Y18" s="1"/>
  <c r="Y19" s="1"/>
  <c r="Y20" s="1"/>
  <c r="Y21" s="1"/>
  <c r="Y22" s="1"/>
  <c r="Y23" s="1"/>
  <c r="Y24" s="1"/>
  <c r="Y25" s="1"/>
  <c r="Y26" s="1"/>
  <c r="Y27" s="1"/>
  <c r="Y28" s="1"/>
  <c r="Y29" s="1"/>
  <c r="Y30" s="1"/>
  <c r="Y31" s="1"/>
  <c r="Y32" s="1"/>
  <c r="Y33" s="1"/>
  <c r="Y34" s="1"/>
  <c r="Y35" s="1"/>
  <c r="Y36" s="1"/>
  <c r="Y37" s="1"/>
  <c r="Y38" s="1"/>
  <c r="Y39" s="1"/>
  <c r="Y40" s="1"/>
  <c r="Y41" s="1"/>
  <c r="Y42" s="1"/>
  <c r="Y43" s="1"/>
  <c r="Y44" s="1"/>
  <c r="Y45" s="1"/>
  <c r="Y46" s="1"/>
  <c r="Y47" s="1"/>
  <c r="Y48" s="1"/>
  <c r="Y49" s="1"/>
  <c r="Y50" s="1"/>
  <c r="Y51" s="1"/>
  <c r="Y52" s="1"/>
  <c r="Y53" s="1"/>
  <c r="Y54" s="1"/>
  <c r="Y55" s="1"/>
  <c r="Y56" s="1"/>
  <c r="Y57" s="1"/>
  <c r="Y58" s="1"/>
  <c r="Y59" s="1"/>
  <c r="Y60" s="1"/>
  <c r="Y61" s="1"/>
  <c r="Y62" s="1"/>
  <c r="Y63" s="1"/>
  <c r="E3" i="1"/>
  <c r="H3"/>
  <c r="H4"/>
  <c r="E4"/>
  <c r="E5"/>
  <c r="H5"/>
  <c r="E6"/>
  <c r="H6"/>
  <c r="E7"/>
  <c r="H7"/>
  <c r="E8"/>
  <c r="H8"/>
  <c r="E9"/>
  <c r="H9"/>
  <c r="E10"/>
  <c r="H10"/>
  <c r="E11"/>
  <c r="H11"/>
  <c r="E12"/>
  <c r="H12"/>
  <c r="E13"/>
  <c r="H13"/>
  <c r="E14"/>
  <c r="H14"/>
  <c r="E15"/>
  <c r="H15"/>
  <c r="E16"/>
  <c r="H16"/>
  <c r="E17"/>
  <c r="H17"/>
  <c r="E18"/>
  <c r="H18"/>
  <c r="E19"/>
  <c r="H19"/>
  <c r="E20"/>
  <c r="H20"/>
  <c r="E21"/>
  <c r="H21"/>
  <c r="E22"/>
  <c r="H22"/>
  <c r="B23"/>
  <c r="B24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F22" i="15"/>
  <c r="F19"/>
  <c r="F21"/>
  <c r="F27"/>
  <c r="F29"/>
  <c r="F20"/>
  <c r="F24"/>
  <c r="F23"/>
  <c r="F31"/>
  <c r="F26"/>
  <c r="F25"/>
  <c r="F28"/>
  <c r="L58" i="14"/>
  <c r="L36"/>
  <c r="L52"/>
  <c r="L15"/>
  <c r="M36"/>
  <c r="M15"/>
  <c r="M52"/>
  <c r="N52"/>
  <c r="N15"/>
  <c r="N58"/>
  <c r="N36"/>
  <c r="N33"/>
  <c r="O33"/>
  <c r="O36"/>
  <c r="L33"/>
  <c r="O58"/>
  <c r="M58"/>
  <c r="M33"/>
  <c r="O15"/>
  <c r="O52"/>
  <c r="S15" l="1"/>
  <c r="W52"/>
  <c r="R15"/>
  <c r="V15"/>
  <c r="R52"/>
  <c r="V52"/>
  <c r="R58"/>
  <c r="V58"/>
  <c r="R33"/>
  <c r="V33"/>
  <c r="R36"/>
  <c r="V36"/>
  <c r="T15"/>
  <c r="T52"/>
  <c r="T58"/>
  <c r="T33"/>
  <c r="T36"/>
  <c r="S52"/>
  <c r="W58"/>
  <c r="W33"/>
  <c r="W36"/>
  <c r="Q15"/>
  <c r="U15"/>
  <c r="Q52"/>
  <c r="U52"/>
  <c r="Q58"/>
  <c r="U58"/>
  <c r="Q33"/>
  <c r="U33"/>
  <c r="Q36"/>
  <c r="U36"/>
  <c r="W15"/>
  <c r="S58"/>
  <c r="S33"/>
  <c r="S36"/>
  <c r="BN25" i="1"/>
  <c r="BN30"/>
  <c r="BM25"/>
  <c r="BM30"/>
  <c r="AB30"/>
  <c r="AE30"/>
  <c r="X30"/>
  <c r="S25"/>
  <c r="S36" s="1"/>
  <c r="A4" i="46"/>
  <c r="AS25" i="1"/>
  <c r="AS36" s="1"/>
  <c r="AV25"/>
  <c r="AV36" s="1"/>
  <c r="AY25"/>
  <c r="AY36" s="1"/>
  <c r="T25"/>
  <c r="T36" s="1"/>
  <c r="Z25"/>
  <c r="Z36" s="1"/>
  <c r="M25"/>
  <c r="M36" s="1"/>
  <c r="AN25"/>
  <c r="AN36" s="1"/>
  <c r="AH25"/>
  <c r="AH36" s="1"/>
  <c r="W25"/>
  <c r="W36" s="1"/>
  <c r="AD25"/>
  <c r="AD36" s="1"/>
  <c r="BI25"/>
  <c r="BI36" s="1"/>
  <c r="BC25"/>
  <c r="BC36" s="1"/>
  <c r="BJ25"/>
  <c r="V25"/>
  <c r="V36" s="1"/>
  <c r="AK25"/>
  <c r="AK36" s="1"/>
  <c r="BK25"/>
  <c r="AA25"/>
  <c r="AA36" s="1"/>
  <c r="AB25"/>
  <c r="AB36" s="1"/>
  <c r="AM25"/>
  <c r="AM36" s="1"/>
  <c r="AI25"/>
  <c r="AI36" s="1"/>
  <c r="BL25"/>
  <c r="Y25"/>
  <c r="Y36" s="1"/>
  <c r="S30"/>
  <c r="T30"/>
  <c r="AJ30"/>
  <c r="BB25"/>
  <c r="BB36" s="1"/>
  <c r="AO25"/>
  <c r="AO36" s="1"/>
  <c r="BG25"/>
  <c r="BG36" s="1"/>
  <c r="A1" i="185"/>
  <c r="AZ25" i="1"/>
  <c r="AZ36" s="1"/>
  <c r="P25"/>
  <c r="P36" s="1"/>
  <c r="AR25"/>
  <c r="AR36" s="1"/>
  <c r="BA25"/>
  <c r="BA36" s="1"/>
  <c r="AJ25"/>
  <c r="AJ36" s="1"/>
  <c r="P30"/>
  <c r="AG25"/>
  <c r="AG36" s="1"/>
  <c r="AH30"/>
  <c r="A33" i="18"/>
  <c r="AN30" i="1"/>
  <c r="V30"/>
  <c r="AD30"/>
  <c r="A2" i="15"/>
  <c r="N30" i="1"/>
  <c r="O30"/>
  <c r="AF25"/>
  <c r="AF36" s="1"/>
  <c r="K25"/>
  <c r="AO30"/>
  <c r="BD25"/>
  <c r="BD36" s="1"/>
  <c r="AL25"/>
  <c r="AL36" s="1"/>
  <c r="AP25"/>
  <c r="AP36" s="1"/>
  <c r="X25"/>
  <c r="X36" s="1"/>
  <c r="AU25"/>
  <c r="AU36" s="1"/>
  <c r="AW25"/>
  <c r="AW36" s="1"/>
  <c r="G25"/>
  <c r="D4" i="14" s="1"/>
  <c r="AM30" i="1"/>
  <c r="W30"/>
  <c r="AQ30"/>
  <c r="AW30"/>
  <c r="BD30"/>
  <c r="U25"/>
  <c r="U36" s="1"/>
  <c r="AP30"/>
  <c r="BJ30"/>
  <c r="AG30"/>
  <c r="N25"/>
  <c r="N36" s="1"/>
  <c r="BB30"/>
  <c r="AC30"/>
  <c r="AQ25"/>
  <c r="AQ36" s="1"/>
  <c r="AZ30"/>
  <c r="BI30"/>
  <c r="AC25"/>
  <c r="AC36" s="1"/>
  <c r="AX25"/>
  <c r="AX36" s="1"/>
  <c r="Q25"/>
  <c r="Q36" s="1"/>
  <c r="BE25"/>
  <c r="BE36" s="1"/>
  <c r="R25"/>
  <c r="R36" s="1"/>
  <c r="O25"/>
  <c r="O36" s="1"/>
  <c r="J25"/>
  <c r="D7" i="14" s="1"/>
  <c r="L25" i="1"/>
  <c r="L36" s="1"/>
  <c r="AT25"/>
  <c r="AT36" s="1"/>
  <c r="BH25"/>
  <c r="BH36" s="1"/>
  <c r="AE25"/>
  <c r="AE36" s="1"/>
  <c r="BF25"/>
  <c r="BF36" s="1"/>
  <c r="BG30"/>
  <c r="BE30"/>
  <c r="Q30"/>
  <c r="BF30"/>
  <c r="BA30"/>
  <c r="AK30"/>
  <c r="Y30"/>
  <c r="K30"/>
  <c r="M30"/>
  <c r="BC30"/>
  <c r="H25"/>
  <c r="Z30"/>
  <c r="AY30"/>
  <c r="BK30"/>
  <c r="AX30"/>
  <c r="AI30"/>
  <c r="U30"/>
  <c r="AA30"/>
  <c r="AV30"/>
  <c r="R30"/>
  <c r="BL30"/>
  <c r="BH30"/>
  <c r="AT30"/>
  <c r="AU30"/>
  <c r="AL30"/>
  <c r="L30"/>
  <c r="AF30"/>
  <c r="AR30"/>
  <c r="U7" i="14"/>
  <c r="W4"/>
  <c r="W5"/>
  <c r="T7"/>
  <c r="U5"/>
  <c r="V7"/>
  <c r="S4"/>
  <c r="T4"/>
  <c r="V5"/>
  <c r="S7"/>
  <c r="U4"/>
  <c r="T5"/>
  <c r="V4"/>
  <c r="S5"/>
  <c r="W7"/>
  <c r="P15"/>
  <c r="P36"/>
  <c r="P33"/>
  <c r="P58"/>
  <c r="P52"/>
  <c r="E58" l="1"/>
  <c r="E36"/>
  <c r="E52"/>
  <c r="E15"/>
  <c r="E33"/>
  <c r="BL36" i="1"/>
  <c r="BJ36"/>
  <c r="BK36"/>
  <c r="BN36"/>
  <c r="BM36"/>
  <c r="E7" i="14"/>
  <c r="E4"/>
  <c r="E4" i="15"/>
  <c r="E5" s="1"/>
  <c r="E6" s="1"/>
  <c r="E7" s="1"/>
  <c r="E8" s="1"/>
  <c r="E9" s="1"/>
  <c r="E10" s="1"/>
  <c r="E11" s="1"/>
  <c r="E12" s="1"/>
  <c r="E13" s="1"/>
  <c r="E14" s="1"/>
  <c r="E15" s="1"/>
  <c r="E16" s="1"/>
  <c r="K36" i="1"/>
  <c r="F4" i="15"/>
  <c r="F5" s="1"/>
  <c r="F6" s="1"/>
  <c r="F7" s="1"/>
  <c r="F8" s="1"/>
  <c r="F9" s="1"/>
  <c r="F10" s="1"/>
  <c r="F11" s="1"/>
  <c r="F12" s="1"/>
  <c r="F13" s="1"/>
  <c r="F14" s="1"/>
  <c r="F15" s="1"/>
  <c r="F16" s="1"/>
  <c r="AS30" i="1"/>
  <c r="D5" i="14"/>
  <c r="E5" s="1"/>
  <c r="D51"/>
  <c r="D39"/>
  <c r="D17"/>
  <c r="D56"/>
  <c r="D20"/>
  <c r="D63"/>
  <c r="D9"/>
  <c r="D10"/>
  <c r="D41"/>
  <c r="D61"/>
  <c r="D42"/>
  <c r="D30"/>
  <c r="D28"/>
  <c r="D13"/>
  <c r="D46"/>
  <c r="D29"/>
  <c r="D37"/>
  <c r="D47"/>
  <c r="D34"/>
  <c r="D31"/>
  <c r="D27"/>
  <c r="D60"/>
  <c r="D26"/>
  <c r="D19"/>
  <c r="D43"/>
  <c r="D21"/>
  <c r="D44"/>
  <c r="D50"/>
  <c r="D38"/>
  <c r="D8"/>
  <c r="D24"/>
  <c r="D49"/>
  <c r="D14"/>
  <c r="D59"/>
  <c r="D53"/>
  <c r="D25"/>
  <c r="D57"/>
  <c r="D32"/>
  <c r="D11"/>
  <c r="D35"/>
  <c r="D23"/>
  <c r="D54"/>
  <c r="D55"/>
  <c r="D16"/>
  <c r="F36" l="1"/>
  <c r="F15"/>
  <c r="F33"/>
  <c r="F52"/>
  <c r="F58"/>
  <c r="E9"/>
  <c r="E61"/>
  <c r="E55"/>
  <c r="E50"/>
  <c r="E26"/>
  <c r="E20"/>
  <c r="E44"/>
  <c r="E37"/>
  <c r="E53"/>
  <c r="E10"/>
  <c r="F20"/>
  <c r="F51"/>
  <c r="F59"/>
  <c r="F27"/>
  <c r="E16"/>
  <c r="E42"/>
  <c r="E31"/>
  <c r="E46"/>
  <c r="E63"/>
  <c r="E27"/>
  <c r="E23"/>
  <c r="E60"/>
  <c r="E56"/>
  <c r="E14"/>
  <c r="E21"/>
  <c r="E59"/>
  <c r="E35"/>
  <c r="E38"/>
  <c r="E47"/>
  <c r="E8"/>
  <c r="E34"/>
  <c r="E22"/>
  <c r="E41"/>
  <c r="E19"/>
  <c r="E54"/>
  <c r="E13"/>
  <c r="E49"/>
  <c r="E11"/>
  <c r="E30"/>
  <c r="E32"/>
  <c r="E39"/>
  <c r="E29"/>
  <c r="E51"/>
  <c r="E24"/>
  <c r="E28"/>
  <c r="E17"/>
  <c r="F19"/>
  <c r="F26"/>
  <c r="F38"/>
  <c r="F56"/>
  <c r="F24"/>
  <c r="F14"/>
  <c r="F22"/>
  <c r="F16"/>
  <c r="F47"/>
  <c r="F34"/>
  <c r="F44"/>
  <c r="F29"/>
  <c r="F39"/>
  <c r="F9"/>
  <c r="F13"/>
  <c r="F50"/>
  <c r="F28"/>
  <c r="F42"/>
  <c r="F31"/>
  <c r="F23"/>
  <c r="F17"/>
  <c r="F60"/>
  <c r="F11"/>
  <c r="F41"/>
  <c r="F37"/>
  <c r="F32"/>
  <c r="F61"/>
  <c r="F54"/>
  <c r="F21"/>
  <c r="F30"/>
  <c r="F46"/>
  <c r="F49"/>
  <c r="F55"/>
  <c r="F53"/>
  <c r="F10"/>
  <c r="F8"/>
  <c r="F35"/>
  <c r="F63"/>
  <c r="F25"/>
  <c r="E25"/>
  <c r="E57"/>
  <c r="F57"/>
  <c r="E43"/>
  <c r="F43"/>
  <c r="D45"/>
  <c r="D48"/>
  <c r="D40"/>
  <c r="D18"/>
  <c r="D62"/>
  <c r="D12"/>
  <c r="E48" l="1"/>
  <c r="F48"/>
  <c r="F12"/>
  <c r="E12"/>
  <c r="F45"/>
  <c r="E45"/>
  <c r="E18"/>
  <c r="F18"/>
  <c r="E40"/>
  <c r="F40"/>
  <c r="F62"/>
  <c r="E62"/>
  <c r="A22"/>
  <c r="H22" l="1"/>
  <c r="R7"/>
  <c r="Q4"/>
  <c r="R4"/>
  <c r="R5"/>
  <c r="Q7"/>
  <c r="Q5"/>
  <c r="BN2" i="1"/>
  <c r="BN39" l="1"/>
  <c r="BN40"/>
  <c r="W59" i="14"/>
  <c r="R27"/>
  <c r="W48"/>
  <c r="U48"/>
  <c r="V48"/>
  <c r="R20"/>
  <c r="W27"/>
  <c r="T48"/>
  <c r="V20"/>
  <c r="Q20"/>
  <c r="T27"/>
  <c r="Q48"/>
  <c r="V59"/>
  <c r="Q59"/>
  <c r="S48"/>
  <c r="S27"/>
  <c r="R59"/>
  <c r="U27"/>
  <c r="U20"/>
  <c r="S20"/>
  <c r="W20"/>
  <c r="T20"/>
  <c r="V27"/>
  <c r="Q27"/>
  <c r="R48"/>
  <c r="S59"/>
  <c r="T59"/>
  <c r="U59"/>
  <c r="P7"/>
  <c r="P4"/>
  <c r="P5"/>
  <c r="O7"/>
  <c r="N4"/>
  <c r="B27"/>
  <c r="O5"/>
  <c r="M5"/>
  <c r="M7"/>
  <c r="N7"/>
  <c r="O4"/>
  <c r="M4"/>
  <c r="B20"/>
  <c r="B59"/>
  <c r="N5"/>
  <c r="O39" i="1" l="1"/>
  <c r="AP39"/>
  <c r="AX39"/>
  <c r="BE39"/>
  <c r="AL39"/>
  <c r="AK39"/>
  <c r="BC39"/>
  <c r="AW39"/>
  <c r="Z39"/>
  <c r="X39"/>
  <c r="AJ39"/>
  <c r="AA39"/>
  <c r="AS39"/>
  <c r="BA39"/>
  <c r="M39"/>
  <c r="S39"/>
  <c r="AB39"/>
  <c r="Y39"/>
  <c r="AD39"/>
  <c r="AM39"/>
  <c r="BI39"/>
  <c r="BD39"/>
  <c r="AC39"/>
  <c r="AI39"/>
  <c r="N39"/>
  <c r="V39"/>
  <c r="T39"/>
  <c r="AE39"/>
  <c r="AT39"/>
  <c r="P39"/>
  <c r="AG39"/>
  <c r="BF39"/>
  <c r="AN39"/>
  <c r="BB39"/>
  <c r="K39"/>
  <c r="AQ39"/>
  <c r="BL39"/>
  <c r="AH39"/>
  <c r="BG39"/>
  <c r="BJ39"/>
  <c r="Q39"/>
  <c r="AF39"/>
  <c r="W39"/>
  <c r="BH39"/>
  <c r="U39"/>
  <c r="AR39"/>
  <c r="AY39"/>
  <c r="AZ39"/>
  <c r="BK39"/>
  <c r="AO39"/>
  <c r="AU39"/>
  <c r="AV39"/>
  <c r="BM39"/>
  <c r="Q14" i="14"/>
  <c r="S14"/>
  <c r="W53"/>
  <c r="S53"/>
  <c r="W37"/>
  <c r="U26"/>
  <c r="V63"/>
  <c r="R9"/>
  <c r="W9"/>
  <c r="U9"/>
  <c r="T32"/>
  <c r="Q32"/>
  <c r="W25"/>
  <c r="T56"/>
  <c r="W56"/>
  <c r="T16"/>
  <c r="W16"/>
  <c r="R19"/>
  <c r="U11"/>
  <c r="Q11"/>
  <c r="R49"/>
  <c r="R24"/>
  <c r="Q24"/>
  <c r="T29"/>
  <c r="W29"/>
  <c r="W62"/>
  <c r="Q60"/>
  <c r="V60"/>
  <c r="T42"/>
  <c r="T21"/>
  <c r="T17"/>
  <c r="W17"/>
  <c r="S39"/>
  <c r="V57"/>
  <c r="W8"/>
  <c r="S8"/>
  <c r="R35"/>
  <c r="T45"/>
  <c r="W45"/>
  <c r="V44"/>
  <c r="W44"/>
  <c r="U44"/>
  <c r="V38"/>
  <c r="T38"/>
  <c r="W18"/>
  <c r="V40"/>
  <c r="R40"/>
  <c r="R54"/>
  <c r="W30"/>
  <c r="R55"/>
  <c r="Q31"/>
  <c r="R43"/>
  <c r="V43"/>
  <c r="V47"/>
  <c r="S47"/>
  <c r="V34"/>
  <c r="V22"/>
  <c r="Q22"/>
  <c r="U22"/>
  <c r="W10"/>
  <c r="U10"/>
  <c r="T10"/>
  <c r="Q28"/>
  <c r="U28"/>
  <c r="W46"/>
  <c r="T46"/>
  <c r="S46"/>
  <c r="S12"/>
  <c r="V12"/>
  <c r="U12"/>
  <c r="U61"/>
  <c r="W61"/>
  <c r="T50"/>
  <c r="R6"/>
  <c r="S51"/>
  <c r="T53"/>
  <c r="Q53"/>
  <c r="T37"/>
  <c r="U37"/>
  <c r="S26"/>
  <c r="W26"/>
  <c r="T26"/>
  <c r="W63"/>
  <c r="R63"/>
  <c r="U63"/>
  <c r="Q9"/>
  <c r="T9"/>
  <c r="W32"/>
  <c r="V25"/>
  <c r="Q25"/>
  <c r="Q56"/>
  <c r="U16"/>
  <c r="Q16"/>
  <c r="U19"/>
  <c r="T19"/>
  <c r="V11"/>
  <c r="R11"/>
  <c r="T49"/>
  <c r="U49"/>
  <c r="S49"/>
  <c r="U24"/>
  <c r="S29"/>
  <c r="U62"/>
  <c r="T62"/>
  <c r="V62"/>
  <c r="U60"/>
  <c r="R60"/>
  <c r="R13"/>
  <c r="Q13"/>
  <c r="U42"/>
  <c r="R42"/>
  <c r="Q42"/>
  <c r="W21"/>
  <c r="S21"/>
  <c r="V17"/>
  <c r="Q17"/>
  <c r="R39"/>
  <c r="U57"/>
  <c r="T8"/>
  <c r="U35"/>
  <c r="V45"/>
  <c r="W38"/>
  <c r="S38"/>
  <c r="V18"/>
  <c r="T23"/>
  <c r="Q23"/>
  <c r="W23"/>
  <c r="T40"/>
  <c r="U40"/>
  <c r="Q54"/>
  <c r="S54"/>
  <c r="Q30"/>
  <c r="V55"/>
  <c r="U55"/>
  <c r="S31"/>
  <c r="T43"/>
  <c r="W43"/>
  <c r="S43"/>
  <c r="T47"/>
  <c r="W34"/>
  <c r="S34"/>
  <c r="R22"/>
  <c r="W22"/>
  <c r="W41"/>
  <c r="U41"/>
  <c r="R46"/>
  <c r="Q46"/>
  <c r="R12"/>
  <c r="W12"/>
  <c r="T61"/>
  <c r="U50"/>
  <c r="R50"/>
  <c r="U6"/>
  <c r="W51"/>
  <c r="V14"/>
  <c r="T14"/>
  <c r="V53"/>
  <c r="U53"/>
  <c r="S37"/>
  <c r="Q26"/>
  <c r="V26"/>
  <c r="V9"/>
  <c r="S32"/>
  <c r="R32"/>
  <c r="S25"/>
  <c r="R56"/>
  <c r="S56"/>
  <c r="S16"/>
  <c r="S19"/>
  <c r="S11"/>
  <c r="T11"/>
  <c r="Q49"/>
  <c r="V49"/>
  <c r="S24"/>
  <c r="V24"/>
  <c r="T24"/>
  <c r="R29"/>
  <c r="S62"/>
  <c r="S60"/>
  <c r="T60"/>
  <c r="V13"/>
  <c r="S13"/>
  <c r="U13"/>
  <c r="V42"/>
  <c r="Q21"/>
  <c r="R21"/>
  <c r="V21"/>
  <c r="S17"/>
  <c r="R17"/>
  <c r="T39"/>
  <c r="W39"/>
  <c r="U39"/>
  <c r="Q57"/>
  <c r="S57"/>
  <c r="Q8"/>
  <c r="V8"/>
  <c r="V35"/>
  <c r="S35"/>
  <c r="R45"/>
  <c r="Q45"/>
  <c r="Q44"/>
  <c r="T44"/>
  <c r="U38"/>
  <c r="Q38"/>
  <c r="Q18"/>
  <c r="R18"/>
  <c r="U23"/>
  <c r="V23"/>
  <c r="S40"/>
  <c r="W40"/>
  <c r="V54"/>
  <c r="T54"/>
  <c r="S30"/>
  <c r="U30"/>
  <c r="W55"/>
  <c r="T55"/>
  <c r="V31"/>
  <c r="U31"/>
  <c r="U43"/>
  <c r="U47"/>
  <c r="W47"/>
  <c r="Q34"/>
  <c r="T34"/>
  <c r="T22"/>
  <c r="Q41"/>
  <c r="V41"/>
  <c r="V10"/>
  <c r="R10"/>
  <c r="R28"/>
  <c r="S28"/>
  <c r="U46"/>
  <c r="Q61"/>
  <c r="Q50"/>
  <c r="S50"/>
  <c r="V50"/>
  <c r="S6"/>
  <c r="V6"/>
  <c r="T6"/>
  <c r="U51"/>
  <c r="T51"/>
  <c r="Q51"/>
  <c r="W6"/>
  <c r="U14"/>
  <c r="W14"/>
  <c r="R14"/>
  <c r="R53"/>
  <c r="R37"/>
  <c r="Q37"/>
  <c r="V37"/>
  <c r="R26"/>
  <c r="S63"/>
  <c r="Q63"/>
  <c r="T63"/>
  <c r="S9"/>
  <c r="V32"/>
  <c r="U32"/>
  <c r="T25"/>
  <c r="R25"/>
  <c r="U25"/>
  <c r="U56"/>
  <c r="V56"/>
  <c r="V16"/>
  <c r="R16"/>
  <c r="V19"/>
  <c r="W19"/>
  <c r="Q19"/>
  <c r="W11"/>
  <c r="W49"/>
  <c r="W24"/>
  <c r="V29"/>
  <c r="U29"/>
  <c r="Q29"/>
  <c r="R62"/>
  <c r="Q62"/>
  <c r="W60"/>
  <c r="W13"/>
  <c r="T13"/>
  <c r="S42"/>
  <c r="W42"/>
  <c r="U21"/>
  <c r="U17"/>
  <c r="V39"/>
  <c r="Q39"/>
  <c r="T57"/>
  <c r="W57"/>
  <c r="R57"/>
  <c r="U8"/>
  <c r="R8"/>
  <c r="Q35"/>
  <c r="W35"/>
  <c r="T35"/>
  <c r="U45"/>
  <c r="S45"/>
  <c r="R44"/>
  <c r="S44"/>
  <c r="R38"/>
  <c r="S18"/>
  <c r="T18"/>
  <c r="U18"/>
  <c r="S23"/>
  <c r="R23"/>
  <c r="Q40"/>
  <c r="W54"/>
  <c r="U54"/>
  <c r="T30"/>
  <c r="R30"/>
  <c r="V30"/>
  <c r="Q55"/>
  <c r="S55"/>
  <c r="T31"/>
  <c r="R31"/>
  <c r="W31"/>
  <c r="Q43"/>
  <c r="Q47"/>
  <c r="R47"/>
  <c r="U34"/>
  <c r="R34"/>
  <c r="S22"/>
  <c r="S41"/>
  <c r="T41"/>
  <c r="R41"/>
  <c r="Q10"/>
  <c r="S10"/>
  <c r="W28"/>
  <c r="T28"/>
  <c r="V28"/>
  <c r="V46"/>
  <c r="T12"/>
  <c r="Q12"/>
  <c r="S61"/>
  <c r="V61"/>
  <c r="R61"/>
  <c r="W50"/>
  <c r="Q6"/>
  <c r="V51"/>
  <c r="R51"/>
  <c r="P6"/>
  <c r="P27"/>
  <c r="P20"/>
  <c r="P59"/>
  <c r="O27"/>
  <c r="M59"/>
  <c r="N6"/>
  <c r="N59"/>
  <c r="O59"/>
  <c r="O20"/>
  <c r="N27"/>
  <c r="M27"/>
  <c r="O6"/>
  <c r="M20"/>
  <c r="N20"/>
  <c r="A53" l="1"/>
  <c r="H53" l="1"/>
  <c r="A37"/>
  <c r="H37" l="1"/>
  <c r="A13"/>
  <c r="H13" s="1"/>
  <c r="A63" l="1"/>
  <c r="H63" l="1"/>
  <c r="A43"/>
  <c r="A54" l="1"/>
  <c r="H43"/>
  <c r="K124" i="223"/>
  <c r="B42" i="237"/>
  <c r="M37" i="223"/>
  <c r="J171"/>
  <c r="H79"/>
  <c r="BN21" i="15"/>
  <c r="E55" i="237"/>
  <c r="D20"/>
  <c r="E21"/>
  <c r="AB6" i="18"/>
  <c r="K63" i="237"/>
  <c r="I94" i="223"/>
  <c r="N188"/>
  <c r="BF28" i="1"/>
  <c r="D62" i="237"/>
  <c r="E189" i="223"/>
  <c r="N56"/>
  <c r="I33" i="237"/>
  <c r="I80" i="223"/>
  <c r="J151" i="237"/>
  <c r="E32" i="223"/>
  <c r="P21" i="18"/>
  <c r="J55" i="237"/>
  <c r="N189" i="223"/>
  <c r="BT25" i="15"/>
  <c r="BN34" i="18"/>
  <c r="N72" i="237"/>
  <c r="BK2" i="1"/>
  <c r="AA26" i="15"/>
  <c r="C134" i="223"/>
  <c r="G39"/>
  <c r="M6" i="14"/>
  <c r="N126" i="237"/>
  <c r="G136"/>
  <c r="BM17" i="18"/>
  <c r="I11" i="1"/>
  <c r="C57" i="237"/>
  <c r="N186"/>
  <c r="K188" i="223"/>
  <c r="E73" i="237"/>
  <c r="AF6" i="18"/>
  <c r="E58" i="237"/>
  <c r="AL22" i="15"/>
  <c r="BO19"/>
  <c r="BU21"/>
  <c r="BV22"/>
  <c r="I59" i="223"/>
  <c r="E46"/>
  <c r="Z24" i="15"/>
  <c r="BR24"/>
  <c r="BH27"/>
  <c r="BP23"/>
  <c r="BQ23"/>
  <c r="AO18" i="18"/>
  <c r="B46" i="14"/>
  <c r="M59" i="223"/>
  <c r="BS20" i="15"/>
  <c r="C85" i="237"/>
  <c r="G126" i="223"/>
  <c r="D151" i="237"/>
  <c r="BD15" i="18"/>
  <c r="C69" i="223"/>
  <c r="D26"/>
  <c r="BC20" i="18"/>
  <c r="B22" i="14"/>
  <c r="L151" i="237"/>
  <c r="N164"/>
  <c r="BV26" i="15"/>
  <c r="AY20" i="18"/>
  <c r="B50" i="14"/>
  <c r="BM2" i="18"/>
  <c r="N160" i="237"/>
  <c r="BP20" i="15"/>
  <c r="M23"/>
  <c r="I79" i="237"/>
  <c r="B189"/>
  <c r="C59" i="223"/>
  <c r="C168"/>
  <c r="B146" i="237"/>
  <c r="BM20" i="15"/>
  <c r="D188" i="223"/>
  <c r="AD22" i="15"/>
  <c r="BQ29"/>
  <c r="C141" i="223"/>
  <c r="Y14" i="18"/>
  <c r="AE23" i="15"/>
  <c r="J19"/>
  <c r="BP28"/>
  <c r="BQ26"/>
  <c r="BT20"/>
  <c r="AQ20"/>
  <c r="B20" i="223"/>
  <c r="E173"/>
  <c r="F91" i="237"/>
  <c r="N145"/>
  <c r="BO29" i="15"/>
  <c r="E80" i="223"/>
  <c r="H160" i="237"/>
  <c r="G183" i="223"/>
  <c r="AL27" i="15"/>
  <c r="N14" i="18"/>
  <c r="BE28" i="1"/>
  <c r="BT23" i="15"/>
  <c r="E85" i="237"/>
  <c r="M182"/>
  <c r="C55"/>
  <c r="AF11" i="18"/>
  <c r="L188" i="223"/>
  <c r="BR27" i="15"/>
  <c r="H61" i="223"/>
  <c r="AT17" i="18"/>
  <c r="BA24" i="15"/>
  <c r="G15" i="18"/>
  <c r="BB11"/>
  <c r="M146" i="237"/>
  <c r="C187" i="223"/>
  <c r="D20"/>
  <c r="H14" i="18"/>
  <c r="G70" i="223"/>
  <c r="H188" i="237"/>
  <c r="J116"/>
  <c r="B37" i="18"/>
  <c r="AA22"/>
  <c r="T7"/>
  <c r="J40" i="237"/>
  <c r="AY13" i="18"/>
  <c r="AZ5"/>
  <c r="BN28" i="15"/>
  <c r="BP25"/>
  <c r="N87" i="237"/>
  <c r="I145"/>
  <c r="AK28" i="1"/>
  <c r="BP24" i="15"/>
  <c r="D116" i="223"/>
  <c r="BD24" i="15"/>
  <c r="I134" i="223"/>
  <c r="BU26" i="15"/>
  <c r="BR31"/>
  <c r="J102" i="237"/>
  <c r="H147"/>
  <c r="BM25" i="15"/>
  <c r="K72" i="237"/>
  <c r="N41"/>
  <c r="J189" i="223"/>
  <c r="BE22" i="15"/>
  <c r="G21" i="223"/>
  <c r="F88"/>
  <c r="L131" i="237"/>
  <c r="E169"/>
  <c r="F68" i="223"/>
  <c r="F63" i="237"/>
  <c r="P3" i="18"/>
  <c r="N89" i="237"/>
  <c r="BP27" i="15"/>
  <c r="AF16" i="18"/>
  <c r="C103" i="237"/>
  <c r="AV13" i="18"/>
  <c r="K7" i="14"/>
  <c r="E187" i="223"/>
  <c r="BM2" i="1"/>
  <c r="F149" i="223"/>
  <c r="AK20" i="15"/>
  <c r="M79" i="237"/>
  <c r="D136"/>
  <c r="AR17" i="18"/>
  <c r="AH28" i="1"/>
  <c r="BS29" i="15"/>
  <c r="AB19" i="18"/>
  <c r="AL21" i="15"/>
  <c r="AU16" i="18"/>
  <c r="B156" i="223"/>
  <c r="K188" i="237"/>
  <c r="F189"/>
  <c r="AT22" i="15"/>
  <c r="K189" i="223"/>
  <c r="D187" i="237"/>
  <c r="BC31" i="15"/>
  <c r="N131" i="237"/>
  <c r="M29"/>
  <c r="N136" i="223"/>
  <c r="M28" i="1"/>
  <c r="M45" i="223"/>
  <c r="AT24" i="15"/>
  <c r="Z31"/>
  <c r="H150" i="223"/>
  <c r="O18" i="18"/>
  <c r="F76" i="237"/>
  <c r="L165"/>
  <c r="M134" i="223"/>
  <c r="H37" i="237"/>
  <c r="D166" i="223"/>
  <c r="E134"/>
  <c r="AB16" i="18"/>
  <c r="D117" i="237"/>
  <c r="G84"/>
  <c r="N170"/>
  <c r="F92" i="223"/>
  <c r="B184" i="237"/>
  <c r="L19" i="15"/>
  <c r="Q28" i="1"/>
  <c r="C147" i="223"/>
  <c r="K59"/>
  <c r="AT11" i="18"/>
  <c r="U28" i="1"/>
  <c r="O14" i="18"/>
  <c r="AM31" i="15"/>
  <c r="B80" i="223"/>
  <c r="BR29" i="15"/>
  <c r="BF20"/>
  <c r="J189" i="237"/>
  <c r="N171" i="223"/>
  <c r="N42" i="237"/>
  <c r="BH5" i="18"/>
  <c r="F90" i="237"/>
  <c r="F134" i="223"/>
  <c r="V19" i="15"/>
  <c r="AU28" i="1"/>
  <c r="BR30" i="15"/>
  <c r="AR2" i="1"/>
  <c r="C72" i="223"/>
  <c r="B48" i="14"/>
  <c r="J2" i="1"/>
  <c r="N187" i="223"/>
  <c r="F188" i="237"/>
  <c r="L149" i="223"/>
  <c r="K126" i="237"/>
  <c r="D138" i="223"/>
  <c r="M102" i="237"/>
  <c r="E80"/>
  <c r="K5" i="14"/>
  <c r="AF13" i="18"/>
  <c r="H33" i="237"/>
  <c r="K19" i="15"/>
  <c r="C39" i="237"/>
  <c r="D79"/>
  <c r="BM19" i="15"/>
  <c r="B89" i="223"/>
  <c r="H59"/>
  <c r="X28" i="1"/>
  <c r="H166" i="237"/>
  <c r="E27" i="223"/>
  <c r="BO27" i="15"/>
  <c r="AO28" i="1"/>
  <c r="BE22" i="18"/>
  <c r="C84" i="223"/>
  <c r="AF20" i="15"/>
  <c r="BT22"/>
  <c r="D164" i="223"/>
  <c r="AX10" i="18"/>
  <c r="C170" i="237"/>
  <c r="H165"/>
  <c r="B72" i="223"/>
  <c r="B31" i="237"/>
  <c r="I139" i="223"/>
  <c r="BM10" i="18"/>
  <c r="B85" i="237"/>
  <c r="D125" i="223"/>
  <c r="AJ8" i="18"/>
  <c r="H23" i="237"/>
  <c r="AD8" i="18"/>
  <c r="AN6"/>
  <c r="BM31" i="15"/>
  <c r="K127" i="223"/>
  <c r="M63" i="237"/>
  <c r="H103"/>
  <c r="Q27" i="15"/>
  <c r="AA17" i="18"/>
  <c r="BL26" i="15"/>
  <c r="BQ31"/>
  <c r="BM22"/>
  <c r="AC30"/>
  <c r="BL8" i="18"/>
  <c r="C79" i="223"/>
  <c r="BD7" i="18"/>
  <c r="B80" i="237"/>
  <c r="D163" i="223"/>
  <c r="BN20" i="18"/>
  <c r="B179" i="223"/>
  <c r="AJ20" i="15"/>
  <c r="I151" i="223"/>
  <c r="N71"/>
  <c r="I94" i="237"/>
  <c r="N120"/>
  <c r="M189"/>
  <c r="X31" i="15"/>
  <c r="BO25"/>
  <c r="BV25"/>
  <c r="J25" i="223"/>
  <c r="BN19" i="15"/>
  <c r="L60" i="237"/>
  <c r="C92" i="223"/>
  <c r="K137"/>
  <c r="AI25" i="15"/>
  <c r="AG11" i="18"/>
  <c r="BR28" i="15"/>
  <c r="BH10" i="18"/>
  <c r="B10" i="14"/>
  <c r="Y28" i="1"/>
  <c r="C88" i="223"/>
  <c r="AK19" i="15"/>
  <c r="F179" i="223"/>
  <c r="BU23" i="15"/>
  <c r="I60" i="237"/>
  <c r="BP26" i="15"/>
  <c r="G188" i="237"/>
  <c r="D67"/>
  <c r="N75"/>
  <c r="AE28" i="1"/>
  <c r="D121" i="237"/>
  <c r="BD28" i="1"/>
  <c r="N4" i="18"/>
  <c r="BN25" i="15"/>
  <c r="BN20"/>
  <c r="H78" i="237"/>
  <c r="AB15" i="18"/>
  <c r="I115" i="237"/>
  <c r="N100" i="223"/>
  <c r="T5" i="18"/>
  <c r="J4"/>
  <c r="M77" i="223"/>
  <c r="BO28" i="15"/>
  <c r="AK30"/>
  <c r="I30" i="237"/>
  <c r="BO21" i="15"/>
  <c r="H80" i="223"/>
  <c r="BU24" i="15"/>
  <c r="G88" i="223"/>
  <c r="F173"/>
  <c r="E154"/>
  <c r="J182" i="237"/>
  <c r="K28" i="1"/>
  <c r="AZ4" i="18"/>
  <c r="B187" i="237"/>
  <c r="Z19" i="18"/>
  <c r="L121" i="237"/>
  <c r="N185" i="223"/>
  <c r="F121" i="237"/>
  <c r="AB5" i="18"/>
  <c r="G155" i="237"/>
  <c r="I19" i="1"/>
  <c r="AV20" i="18"/>
  <c r="AG20" i="15"/>
  <c r="M140" i="223"/>
  <c r="N6" i="18"/>
  <c r="AU27" i="15"/>
  <c r="J115" i="223"/>
  <c r="L189"/>
  <c r="E189" i="237"/>
  <c r="L149"/>
  <c r="Y31" i="15"/>
  <c r="G188" i="223"/>
  <c r="BJ8" i="18"/>
  <c r="BO22" i="15"/>
  <c r="N185" i="237"/>
  <c r="F132"/>
  <c r="AR19" i="18"/>
  <c r="AP30" i="15"/>
  <c r="BT19"/>
  <c r="BT28"/>
  <c r="L41" i="223"/>
  <c r="AU22" i="15"/>
  <c r="L6" i="18"/>
  <c r="E31" i="237"/>
  <c r="AU17" i="18"/>
  <c r="J90" i="237"/>
  <c r="BO20" i="15"/>
  <c r="E55" i="223"/>
  <c r="AC28" i="1"/>
  <c r="G59" i="223"/>
  <c r="M11" i="18"/>
  <c r="AD28" i="1"/>
  <c r="B189" i="223"/>
  <c r="H70"/>
  <c r="H63" i="237"/>
  <c r="AI12" i="18"/>
  <c r="BU29" i="15"/>
  <c r="D116" i="237"/>
  <c r="Q2" i="1"/>
  <c r="M122" i="237"/>
  <c r="F133" i="223"/>
  <c r="H130" i="237"/>
  <c r="H121" i="223"/>
  <c r="C132" i="237"/>
  <c r="AJ21" i="18"/>
  <c r="D160" i="237"/>
  <c r="AW22" i="15"/>
  <c r="K79" i="237"/>
  <c r="M188"/>
  <c r="BU19" i="15"/>
  <c r="BH22" i="18"/>
  <c r="AR28" i="1"/>
  <c r="K102" i="223"/>
  <c r="AQ24" i="15"/>
  <c r="BV20"/>
  <c r="AI4" i="18"/>
  <c r="P28" i="1"/>
  <c r="BV24" i="15"/>
  <c r="K30"/>
  <c r="AO2" i="1"/>
  <c r="N80" i="223"/>
  <c r="H187"/>
  <c r="F102" i="237"/>
  <c r="B115" i="223"/>
  <c r="F189"/>
  <c r="H183"/>
  <c r="BO31" i="15"/>
  <c r="AJ4" i="18"/>
  <c r="C172" i="237"/>
  <c r="AI8" i="18"/>
  <c r="E179" i="223"/>
  <c r="J140" i="237"/>
  <c r="L24"/>
  <c r="H141"/>
  <c r="J87"/>
  <c r="M20"/>
  <c r="AS27" i="15"/>
  <c r="BQ22"/>
  <c r="D89" i="237"/>
  <c r="L187" i="223"/>
  <c r="Z21" i="15"/>
  <c r="D186" i="237"/>
  <c r="I188" i="223"/>
  <c r="AP28" i="1"/>
  <c r="BQ30" i="15"/>
  <c r="I183" i="237"/>
  <c r="C21"/>
  <c r="C119"/>
  <c r="BL30" i="15"/>
  <c r="L37" i="223"/>
  <c r="BB28" i="1"/>
  <c r="B133" i="223"/>
  <c r="F156" i="237"/>
  <c r="BL19" i="15"/>
  <c r="S17" i="18"/>
  <c r="AD22"/>
  <c r="N59" i="223"/>
  <c r="D83" i="237"/>
  <c r="J80" i="223"/>
  <c r="P22" i="18"/>
  <c r="I137" i="223"/>
  <c r="H87"/>
  <c r="D173"/>
  <c r="AH7" i="18"/>
  <c r="AL30" i="15"/>
  <c r="E76" i="237"/>
  <c r="G27"/>
  <c r="C58"/>
  <c r="BQ21" i="15"/>
  <c r="F187" i="237"/>
  <c r="G162" i="223"/>
  <c r="BP21" i="15"/>
  <c r="BV27"/>
  <c r="B59" i="223"/>
  <c r="N20"/>
  <c r="K141"/>
  <c r="BK8" i="18"/>
  <c r="E167" i="223"/>
  <c r="AO11" i="18"/>
  <c r="M23" i="223"/>
  <c r="AU19" i="15"/>
  <c r="B117" i="237"/>
  <c r="AL10" i="18"/>
  <c r="R4"/>
  <c r="BQ25" i="15"/>
  <c r="AH8" i="18"/>
  <c r="R28" i="1"/>
  <c r="E118" i="237"/>
  <c r="N187"/>
  <c r="E30" i="223"/>
  <c r="BP22" i="15"/>
  <c r="H85" i="237"/>
  <c r="D167" i="223"/>
  <c r="F59"/>
  <c r="K39" i="237"/>
  <c r="BJ21" i="18"/>
  <c r="K77" i="223"/>
  <c r="F100"/>
  <c r="R3" i="18"/>
  <c r="J167" i="223"/>
  <c r="U4" i="18"/>
  <c r="Z17"/>
  <c r="J162" i="237"/>
  <c r="I146"/>
  <c r="N179"/>
  <c r="D59" i="223"/>
  <c r="AV28" i="1"/>
  <c r="E160" i="237"/>
  <c r="H151" i="223"/>
  <c r="F80"/>
  <c r="B182"/>
  <c r="B186" i="237"/>
  <c r="K147" i="223"/>
  <c r="K189" i="237"/>
  <c r="AB17" i="18"/>
  <c r="AM17"/>
  <c r="L79" i="237"/>
  <c r="AP10" i="18"/>
  <c r="AJ11"/>
  <c r="BV23" i="15"/>
  <c r="D139" i="237"/>
  <c r="C59" i="14"/>
  <c r="N86" i="223"/>
  <c r="C87" i="237"/>
  <c r="M180"/>
  <c r="L16" i="18"/>
  <c r="BL23" i="15"/>
  <c r="V18" i="18"/>
  <c r="W19" i="15"/>
  <c r="K139" i="237"/>
  <c r="D67" i="223"/>
  <c r="AH17" i="18"/>
  <c r="B95" i="223"/>
  <c r="BO24" i="15"/>
  <c r="B12" i="14"/>
  <c r="H74" i="237"/>
  <c r="K187" i="223"/>
  <c r="BS27" i="15"/>
  <c r="BN3" i="18"/>
  <c r="R22"/>
  <c r="B166" i="237"/>
  <c r="AZ20" i="18"/>
  <c r="E185" i="223"/>
  <c r="L61"/>
  <c r="B86" i="237"/>
  <c r="J188" i="223"/>
  <c r="M122"/>
  <c r="Z15" i="18"/>
  <c r="BV28" i="15"/>
  <c r="D187" i="223"/>
  <c r="BV19" i="15"/>
  <c r="B83" i="237"/>
  <c r="M72" i="223"/>
  <c r="F153"/>
  <c r="J9" i="18"/>
  <c r="C125" i="223"/>
  <c r="BR25" i="15"/>
  <c r="BT27"/>
  <c r="BP29"/>
  <c r="I70" i="237"/>
  <c r="E90"/>
  <c r="AQ21" i="18"/>
  <c r="M187" i="237"/>
  <c r="L4" i="14"/>
  <c r="C189" i="223"/>
  <c r="L80" i="237"/>
  <c r="N16" i="18"/>
  <c r="O28" i="1"/>
  <c r="H43" i="223"/>
  <c r="AJ28" i="1"/>
  <c r="N80" i="237"/>
  <c r="BT31" i="15"/>
  <c r="BK3" i="18"/>
  <c r="E69" i="237"/>
  <c r="AK16" i="18"/>
  <c r="E90" i="223"/>
  <c r="G187" i="237"/>
  <c r="G79" i="223"/>
  <c r="AS10" i="18"/>
  <c r="L163" i="237"/>
  <c r="AZ23" i="15"/>
  <c r="B132" i="237"/>
  <c r="E184" i="223"/>
  <c r="E131" i="237"/>
  <c r="F69" i="223"/>
  <c r="B61" i="14"/>
  <c r="AC25" i="15"/>
  <c r="D180" i="237"/>
  <c r="AP8" i="18"/>
  <c r="E170" i="237"/>
  <c r="K69"/>
  <c r="C37" i="223"/>
  <c r="N38" i="237"/>
  <c r="F43"/>
  <c r="BH31" i="15"/>
  <c r="N116" i="237"/>
  <c r="P15" i="18"/>
  <c r="F182" i="237"/>
  <c r="C139" i="223"/>
  <c r="C68" i="237"/>
  <c r="Y19" i="15"/>
  <c r="D30" i="223"/>
  <c r="AQ22" i="18"/>
  <c r="T14"/>
  <c r="AO14"/>
  <c r="N61" i="223"/>
  <c r="L63" i="237"/>
  <c r="M126"/>
  <c r="B188"/>
  <c r="F188" i="223"/>
  <c r="AL19" i="18"/>
  <c r="F43" i="223"/>
  <c r="J63" i="237"/>
  <c r="J41"/>
  <c r="E151"/>
  <c r="AW15" i="18"/>
  <c r="M189" i="223"/>
  <c r="G31" i="237"/>
  <c r="J26"/>
  <c r="AQ14" i="18"/>
  <c r="D80" i="237"/>
  <c r="L187"/>
  <c r="BR26" i="15"/>
  <c r="B118" i="223"/>
  <c r="BJ30" i="15"/>
  <c r="AF28" i="1"/>
  <c r="BL19" i="18"/>
  <c r="B79" i="223"/>
  <c r="BS26" i="15"/>
  <c r="D69" i="237"/>
  <c r="AL18" i="18"/>
  <c r="G80" i="223"/>
  <c r="J145" i="237"/>
  <c r="AC16" i="18"/>
  <c r="BT24" i="15"/>
  <c r="M188" i="223"/>
  <c r="Z20" i="18"/>
  <c r="AS28" i="1"/>
  <c r="V20" i="18"/>
  <c r="N84" i="223"/>
  <c r="I188" i="237"/>
  <c r="C79"/>
  <c r="L164" i="223"/>
  <c r="N123" i="237"/>
  <c r="F44"/>
  <c r="AS23" i="15"/>
  <c r="AR16" i="18"/>
  <c r="W2" i="1"/>
  <c r="B116" i="223"/>
  <c r="H189"/>
  <c r="M141"/>
  <c r="AF7" i="18"/>
  <c r="BI24" i="15"/>
  <c r="I101" i="223"/>
  <c r="M121"/>
  <c r="N93"/>
  <c r="H170" i="237"/>
  <c r="R21" i="15"/>
  <c r="J137" i="223"/>
  <c r="L91"/>
  <c r="BN26" i="15"/>
  <c r="BV30"/>
  <c r="H57" i="223"/>
  <c r="G87"/>
  <c r="J79" i="237"/>
  <c r="W3" i="18"/>
  <c r="AN8"/>
  <c r="H57" i="237"/>
  <c r="H56"/>
  <c r="BI28" i="1"/>
  <c r="E188" i="223"/>
  <c r="L79"/>
  <c r="S28" i="1"/>
  <c r="C149" i="237"/>
  <c r="F115" i="223"/>
  <c r="N63" i="237"/>
  <c r="G189"/>
  <c r="G139" i="223"/>
  <c r="V28" i="1"/>
  <c r="AZ12" i="18"/>
  <c r="AY24" i="15"/>
  <c r="AH23"/>
  <c r="B134" i="237"/>
  <c r="D93" i="223"/>
  <c r="N79" i="237"/>
  <c r="BS22" i="15"/>
  <c r="C187" i="237"/>
  <c r="L101" i="223"/>
  <c r="M63"/>
  <c r="F59" i="237"/>
  <c r="AV19" i="15"/>
  <c r="L20" i="14"/>
  <c r="G63" i="237"/>
  <c r="J94" i="223"/>
  <c r="D189" i="237"/>
  <c r="G189" i="223"/>
  <c r="M62" i="237"/>
  <c r="H189"/>
  <c r="L59"/>
  <c r="AB21" i="18"/>
  <c r="I168" i="223"/>
  <c r="K43"/>
  <c r="J163" i="237"/>
  <c r="K80" i="223"/>
  <c r="N41"/>
  <c r="BJ9" i="18"/>
  <c r="BG11"/>
  <c r="J187" i="223"/>
  <c r="R16" i="18"/>
  <c r="AU20" i="15"/>
  <c r="AN28" i="1"/>
  <c r="E145" i="223"/>
  <c r="I68" i="237"/>
  <c r="N180" i="223"/>
  <c r="AO23" i="15"/>
  <c r="BU30"/>
  <c r="BE28"/>
  <c r="N172" i="237"/>
  <c r="BJ23" i="15"/>
  <c r="J151" i="223"/>
  <c r="B125" i="237"/>
  <c r="C93"/>
  <c r="AG28" i="15"/>
  <c r="E57" i="237"/>
  <c r="J76" i="223"/>
  <c r="C73" i="237"/>
  <c r="J83" i="223"/>
  <c r="BR23" i="15"/>
  <c r="BM28" i="1"/>
  <c r="I42" i="223"/>
  <c r="BB4" i="18"/>
  <c r="L57" i="223"/>
  <c r="Z23" i="15"/>
  <c r="AA28" i="1"/>
  <c r="F161" i="237"/>
  <c r="BQ20" i="15"/>
  <c r="W28" i="1"/>
  <c r="J56" i="237"/>
  <c r="C121" i="223"/>
  <c r="K79"/>
  <c r="I172" i="237"/>
  <c r="BR20" i="15"/>
  <c r="AU2" i="1"/>
  <c r="D179" i="237"/>
  <c r="L148"/>
  <c r="D24"/>
  <c r="I187" i="223"/>
  <c r="AW25" i="15"/>
  <c r="AW16" i="18"/>
  <c r="BA28" i="1"/>
  <c r="BS23" i="15"/>
  <c r="BN14" i="18"/>
  <c r="R26" i="15"/>
  <c r="BN29"/>
  <c r="BN23"/>
  <c r="BR22"/>
  <c r="K17" i="18"/>
  <c r="M31" i="237"/>
  <c r="N72" i="223"/>
  <c r="N156"/>
  <c r="C31" i="14"/>
  <c r="AV21" i="15"/>
  <c r="T22" i="18"/>
  <c r="L12"/>
  <c r="K187" i="237"/>
  <c r="K31" i="15"/>
  <c r="H131" i="237"/>
  <c r="BU28" i="15"/>
  <c r="E188" i="237"/>
  <c r="I39"/>
  <c r="BK28" i="1"/>
  <c r="M187" i="223"/>
  <c r="J188" i="237"/>
  <c r="BN19" i="18"/>
  <c r="BA22" i="15"/>
  <c r="L185" i="223"/>
  <c r="BA21" i="18"/>
  <c r="B28" i="14"/>
  <c r="J33" i="223"/>
  <c r="G24" i="237"/>
  <c r="D189" i="223"/>
  <c r="AT28" i="15"/>
  <c r="J100" i="223"/>
  <c r="H62" i="237"/>
  <c r="BN22" i="15"/>
  <c r="I79" i="223"/>
  <c r="BS28" i="15"/>
  <c r="I63" i="237"/>
  <c r="E92" i="223"/>
  <c r="N67"/>
  <c r="AE13" i="18"/>
  <c r="B160" i="223"/>
  <c r="L15" i="18"/>
  <c r="D68" i="237"/>
  <c r="BT26" i="15"/>
  <c r="F25" i="223"/>
  <c r="B149" i="237"/>
  <c r="AP25" i="15"/>
  <c r="F80" i="237"/>
  <c r="W31" i="15"/>
  <c r="L188" i="237"/>
  <c r="B188" i="223"/>
  <c r="B136"/>
  <c r="N184"/>
  <c r="I153" i="237"/>
  <c r="BC4" i="18"/>
  <c r="I9" i="1"/>
  <c r="AQ29" i="15"/>
  <c r="M28"/>
  <c r="F79" i="223"/>
  <c r="BG28" i="1"/>
  <c r="AW28"/>
  <c r="D160" i="223"/>
  <c r="AF17" i="18"/>
  <c r="I189" i="237"/>
  <c r="BM21" i="15"/>
  <c r="H80" i="237"/>
  <c r="AL29" i="15"/>
  <c r="H56" i="223"/>
  <c r="F79" i="237"/>
  <c r="AX28" i="1"/>
  <c r="C26" i="223"/>
  <c r="AR21" i="15"/>
  <c r="AI20" i="18"/>
  <c r="D80" i="223"/>
  <c r="Z10" i="18"/>
  <c r="BI19"/>
  <c r="AA11"/>
  <c r="B185" i="237"/>
  <c r="BL12" i="18"/>
  <c r="F42" i="237"/>
  <c r="E39"/>
  <c r="AZ2" i="18"/>
  <c r="I182" i="223"/>
  <c r="N140" i="237"/>
  <c r="I83"/>
  <c r="BO23" i="15"/>
  <c r="N79" i="223"/>
  <c r="BM6" i="18"/>
  <c r="BM26" i="15"/>
  <c r="P19" i="18"/>
  <c r="N67" i="237"/>
  <c r="BM27" i="15"/>
  <c r="J23" i="223"/>
  <c r="H39"/>
  <c r="I187" i="237"/>
  <c r="D145"/>
  <c r="K146"/>
  <c r="N189"/>
  <c r="BP19" i="15"/>
  <c r="BE23"/>
  <c r="BO26"/>
  <c r="E41" i="223"/>
  <c r="I87"/>
  <c r="D181"/>
  <c r="E63"/>
  <c r="BA11" i="18"/>
  <c r="G140" i="237"/>
  <c r="E187"/>
  <c r="I165" i="223"/>
  <c r="U14" i="18"/>
  <c r="E141" i="237"/>
  <c r="BJ10" i="18"/>
  <c r="BB3"/>
  <c r="L59" i="223"/>
  <c r="G79" i="237"/>
  <c r="D171" i="223"/>
  <c r="I31"/>
  <c r="P26" i="15"/>
  <c r="J42" i="223"/>
  <c r="M80" i="237"/>
  <c r="BT29" i="15"/>
  <c r="K185" i="223"/>
  <c r="BF31" i="15"/>
  <c r="L116" i="223"/>
  <c r="B41" i="14"/>
  <c r="K80" i="237"/>
  <c r="D161"/>
  <c r="B32" i="223"/>
  <c r="AV2" i="1"/>
  <c r="J80" i="237"/>
  <c r="BB15" i="18"/>
  <c r="AL13"/>
  <c r="BN2"/>
  <c r="AZ28" i="1"/>
  <c r="D161" i="223"/>
  <c r="I86"/>
  <c r="K4" i="14"/>
  <c r="W4" i="18"/>
  <c r="BJ4"/>
  <c r="G130" i="237"/>
  <c r="AM10" i="18"/>
  <c r="W16"/>
  <c r="BH20" i="15"/>
  <c r="D102" i="237"/>
  <c r="L43"/>
  <c r="N118" i="223"/>
  <c r="B132"/>
  <c r="C59" i="237"/>
  <c r="J187"/>
  <c r="H79"/>
  <c r="C188" i="223"/>
  <c r="N28"/>
  <c r="X7" i="18"/>
  <c r="BE15"/>
  <c r="B31" i="223"/>
  <c r="C29" i="1"/>
  <c r="G94" i="223"/>
  <c r="C189" i="237"/>
  <c r="AW3" i="18"/>
  <c r="L168" i="237"/>
  <c r="I115" i="223"/>
  <c r="BV31" i="15"/>
  <c r="E146" i="223"/>
  <c r="C70" i="237"/>
  <c r="BU31" i="15"/>
  <c r="L27" i="14"/>
  <c r="BI31" i="15"/>
  <c r="N118" i="237"/>
  <c r="G116" i="223"/>
  <c r="BB9" i="18"/>
  <c r="I54" i="223"/>
  <c r="AP31" i="15"/>
  <c r="E164" i="223"/>
  <c r="Z20" i="15"/>
  <c r="G163" i="223"/>
  <c r="E136" i="237"/>
  <c r="G136" i="223"/>
  <c r="I168" i="237"/>
  <c r="T19" i="18"/>
  <c r="N32" i="223"/>
  <c r="AY2" i="1"/>
  <c r="F125" i="237"/>
  <c r="BS30" i="15"/>
  <c r="BR21"/>
  <c r="N103" i="223"/>
  <c r="B163" i="237"/>
  <c r="J124" i="223"/>
  <c r="E72"/>
  <c r="J141" i="237"/>
  <c r="L21" i="223"/>
  <c r="B51" i="14"/>
  <c r="E68" i="237"/>
  <c r="AL20" i="15"/>
  <c r="BQ27"/>
  <c r="L123" i="237"/>
  <c r="BQ28" i="15"/>
  <c r="BM29"/>
  <c r="D137" i="223"/>
  <c r="M80"/>
  <c r="G93"/>
  <c r="AM19" i="15"/>
  <c r="L5" i="14"/>
  <c r="N23" i="237"/>
  <c r="C165"/>
  <c r="BG22" i="18"/>
  <c r="F41" i="223"/>
  <c r="K118" i="237"/>
  <c r="H31"/>
  <c r="AT23" i="15"/>
  <c r="W10" i="18"/>
  <c r="AW31" i="15"/>
  <c r="J20" i="18"/>
  <c r="I189" i="223"/>
  <c r="BN27" i="15"/>
  <c r="H46" i="223"/>
  <c r="BM23" i="15"/>
  <c r="C23" i="237"/>
  <c r="L132" i="223"/>
  <c r="BJ28" i="1"/>
  <c r="M42" i="223"/>
  <c r="BQ19" i="15"/>
  <c r="F25" i="237"/>
  <c r="F3" i="1"/>
  <c r="I26" i="237"/>
  <c r="L59" i="14"/>
  <c r="M79" i="223"/>
  <c r="AD30" i="15"/>
  <c r="BS31"/>
  <c r="L91" i="237"/>
  <c r="F10" i="1"/>
  <c r="M186" i="237"/>
  <c r="D149" i="223"/>
  <c r="N57"/>
  <c r="F72"/>
  <c r="BB19" i="15"/>
  <c r="BC29"/>
  <c r="AF22"/>
  <c r="G80" i="237"/>
  <c r="C80"/>
  <c r="M22"/>
  <c r="D169" i="223"/>
  <c r="B63" i="237"/>
  <c r="BU25" i="15"/>
  <c r="J75" i="237"/>
  <c r="T16" i="18"/>
  <c r="J22" i="15"/>
  <c r="L7" i="14"/>
  <c r="E63" i="237"/>
  <c r="D179" i="223"/>
  <c r="BJ20" i="18"/>
  <c r="AN15"/>
  <c r="AQ17"/>
  <c r="F187" i="223"/>
  <c r="BS21" i="15"/>
  <c r="AG28" i="1"/>
  <c r="AO21" i="18"/>
  <c r="I72" i="237"/>
  <c r="AL28" i="1"/>
  <c r="AE19" i="15"/>
  <c r="N137" i="237"/>
  <c r="AQ6" i="18"/>
  <c r="D120" i="223"/>
  <c r="BJ19" i="15"/>
  <c r="BG22"/>
  <c r="K165" i="237"/>
  <c r="D154"/>
  <c r="BC14" i="18"/>
  <c r="B115" i="237"/>
  <c r="AY4" i="18"/>
  <c r="E162" i="237"/>
  <c r="B138"/>
  <c r="E133" i="223"/>
  <c r="N26" i="237"/>
  <c r="N132" i="223"/>
  <c r="AM23" i="15"/>
  <c r="AC26"/>
  <c r="AW18" i="18"/>
  <c r="H44" i="223"/>
  <c r="I153"/>
  <c r="K145" i="237"/>
  <c r="E136" i="223"/>
  <c r="B137"/>
  <c r="K37" i="237"/>
  <c r="Y24" i="15"/>
  <c r="S20"/>
  <c r="AJ21"/>
  <c r="C90" i="223"/>
  <c r="H27" i="15"/>
  <c r="F28" i="223"/>
  <c r="AM11" i="18"/>
  <c r="L126" i="237"/>
  <c r="F87" i="223"/>
  <c r="B162"/>
  <c r="C183"/>
  <c r="F5" i="1"/>
  <c r="C67" i="237"/>
  <c r="N19" i="15"/>
  <c r="AV28"/>
  <c r="AI6" i="18"/>
  <c r="C160" i="237"/>
  <c r="N131" i="223"/>
  <c r="C188" i="237"/>
  <c r="E79" i="223"/>
  <c r="BJ28" i="15"/>
  <c r="I80" i="237"/>
  <c r="I121" i="223"/>
  <c r="BK4" i="18"/>
  <c r="U10"/>
  <c r="N78" i="237"/>
  <c r="S20" i="18"/>
  <c r="BN21"/>
  <c r="L55" i="223"/>
  <c r="M55"/>
  <c r="L185" i="237"/>
  <c r="L27" i="15"/>
  <c r="U27"/>
  <c r="C95" i="223"/>
  <c r="BL2" i="1"/>
  <c r="M71" i="223"/>
  <c r="F181" i="237"/>
  <c r="BI2" i="1"/>
  <c r="M56" i="223"/>
  <c r="AI24" i="15"/>
  <c r="Q21"/>
  <c r="N53" i="223"/>
  <c r="C102" i="237"/>
  <c r="Q31" i="15"/>
  <c r="D72" i="237"/>
  <c r="L169"/>
  <c r="N120" i="223"/>
  <c r="BF23" i="15"/>
  <c r="E127" i="237"/>
  <c r="AL4" i="18"/>
  <c r="N39" i="223"/>
  <c r="F73"/>
  <c r="G153" i="237"/>
  <c r="B79"/>
  <c r="L24" i="15"/>
  <c r="BF26"/>
  <c r="BE10" i="18"/>
  <c r="M185" i="237"/>
  <c r="H68" i="223"/>
  <c r="AX22" i="18"/>
  <c r="L62" i="237"/>
  <c r="F183" i="223"/>
  <c r="K57" i="237"/>
  <c r="H115"/>
  <c r="B15" i="185"/>
  <c r="BF24" i="15"/>
  <c r="N27" i="237"/>
  <c r="B56"/>
  <c r="E132"/>
  <c r="F30"/>
  <c r="E59"/>
  <c r="G171" i="223"/>
  <c r="AF25" i="15"/>
  <c r="BM30"/>
  <c r="BN30"/>
  <c r="E139" i="223"/>
  <c r="BA19" i="18"/>
  <c r="AI15"/>
  <c r="I73" i="237"/>
  <c r="U19" i="15"/>
  <c r="M125" i="237"/>
  <c r="AN26" i="15"/>
  <c r="BO30"/>
  <c r="BH16" i="18"/>
  <c r="L73" i="237"/>
  <c r="L72" i="223"/>
  <c r="M33"/>
  <c r="B58"/>
  <c r="J55"/>
  <c r="K34" i="18"/>
  <c r="H20" i="237"/>
  <c r="C185"/>
  <c r="AH21" i="18"/>
  <c r="B169" i="223"/>
  <c r="BB22" i="18"/>
  <c r="L102" i="223"/>
  <c r="AZ25" i="15"/>
  <c r="J120" i="237"/>
  <c r="J56" i="223"/>
  <c r="BD6" i="18"/>
  <c r="BF3"/>
  <c r="E75" i="237"/>
  <c r="AQ19" i="15"/>
  <c r="G86" i="237"/>
  <c r="J84" i="223"/>
  <c r="B147"/>
  <c r="H116" i="237"/>
  <c r="BC28" i="15"/>
  <c r="G102" i="223"/>
  <c r="M141" i="237"/>
  <c r="H161" i="223"/>
  <c r="E46" i="237"/>
  <c r="J89" i="223"/>
  <c r="BE14" i="18"/>
  <c r="BL16"/>
  <c r="BC10"/>
  <c r="C73" i="223"/>
  <c r="BL5" i="18"/>
  <c r="M138" i="237"/>
  <c r="T19" i="15"/>
  <c r="G55" i="237"/>
  <c r="H102" i="223"/>
  <c r="N19" i="18"/>
  <c r="BT21" i="15"/>
  <c r="C26" i="237"/>
  <c r="K61" i="223"/>
  <c r="AF2" i="18"/>
  <c r="W13"/>
  <c r="L154" i="237"/>
  <c r="N152"/>
  <c r="AZ2" i="1"/>
  <c r="N188" i="237"/>
  <c r="D93"/>
  <c r="G156" i="223"/>
  <c r="J88"/>
  <c r="C179"/>
  <c r="BH11" i="18"/>
  <c r="L83" i="237"/>
  <c r="J160" i="223"/>
  <c r="C29"/>
  <c r="BI23" i="15"/>
  <c r="G58" i="237"/>
  <c r="H28" i="223"/>
  <c r="AJ23" i="15"/>
  <c r="H150" i="237"/>
  <c r="F22"/>
  <c r="J150"/>
  <c r="L21" i="18"/>
  <c r="AL9"/>
  <c r="H140" i="223"/>
  <c r="N24" i="15"/>
  <c r="H145" i="237"/>
  <c r="B93" i="223"/>
  <c r="C163"/>
  <c r="BK6" i="18"/>
  <c r="J29" i="237"/>
  <c r="B43" i="223"/>
  <c r="F62" i="237"/>
  <c r="M153"/>
  <c r="B166" i="223"/>
  <c r="Z22" i="18"/>
  <c r="M20" i="223"/>
  <c r="AC13" i="18"/>
  <c r="N88" i="223"/>
  <c r="M100" i="237"/>
  <c r="AE34" i="18"/>
  <c r="AV26" i="15"/>
  <c r="L150" i="237"/>
  <c r="L26"/>
  <c r="K135" i="223"/>
  <c r="F23" i="237"/>
  <c r="D71" i="223"/>
  <c r="B90" i="237"/>
  <c r="C130"/>
  <c r="M10" i="18"/>
  <c r="BG27" i="15"/>
  <c r="Z9" i="18"/>
  <c r="F155" i="223"/>
  <c r="E79" i="237"/>
  <c r="H187"/>
  <c r="L78" i="223"/>
  <c r="N134"/>
  <c r="I86" i="237"/>
  <c r="AH20" i="18"/>
  <c r="I163" i="223"/>
  <c r="E29"/>
  <c r="D100"/>
  <c r="BK31" i="15"/>
  <c r="B122" i="223"/>
  <c r="AF4" i="18"/>
  <c r="BE6"/>
  <c r="E155" i="237"/>
  <c r="I88"/>
  <c r="AH4" i="18"/>
  <c r="J79" i="223"/>
  <c r="C38" i="14"/>
  <c r="M101" i="237"/>
  <c r="B62" i="223"/>
  <c r="AF29" i="15"/>
  <c r="H8" i="18"/>
  <c r="K90" i="223"/>
  <c r="E116" i="237"/>
  <c r="N73"/>
  <c r="V12" i="18"/>
  <c r="G141" i="223"/>
  <c r="BC7" i="18"/>
  <c r="I119" i="223"/>
  <c r="B127"/>
  <c r="I92"/>
  <c r="AL6" i="18"/>
  <c r="N53" i="237"/>
  <c r="F120"/>
  <c r="AV2" i="18"/>
  <c r="N146" i="237"/>
  <c r="M127"/>
  <c r="R6" i="18"/>
  <c r="F24" i="223"/>
  <c r="E73"/>
  <c r="G121"/>
  <c r="L180" i="237"/>
  <c r="C45" i="223"/>
  <c r="E24" i="237"/>
  <c r="AA2" i="1"/>
  <c r="N86" i="237"/>
  <c r="I28" i="223"/>
  <c r="BI16" i="18"/>
  <c r="L78" i="237"/>
  <c r="O13" i="18"/>
  <c r="AO2"/>
  <c r="F44" i="223"/>
  <c r="BN12" i="18"/>
  <c r="AS22"/>
  <c r="I184" i="237"/>
  <c r="AI29" i="15"/>
  <c r="F184" i="223"/>
  <c r="AQ7" i="18"/>
  <c r="E56" i="223"/>
  <c r="AV10" i="18"/>
  <c r="H161" i="237"/>
  <c r="AP2" i="1"/>
  <c r="D135" i="223"/>
  <c r="BN6" i="18"/>
  <c r="F164" i="237"/>
  <c r="B71"/>
  <c r="J70" i="223"/>
  <c r="BS24" i="15"/>
  <c r="G165" i="237"/>
  <c r="H131" i="223"/>
  <c r="BA12" i="18"/>
  <c r="AF21"/>
  <c r="K150" i="237"/>
  <c r="E21" i="223"/>
  <c r="K76"/>
  <c r="F23" i="1"/>
  <c r="B133" i="237"/>
  <c r="AR29" i="15"/>
  <c r="G154" i="223"/>
  <c r="N22" i="18"/>
  <c r="N186" i="223"/>
  <c r="J61" i="237"/>
  <c r="BH2" i="18"/>
  <c r="D87" i="237"/>
  <c r="BD17" i="18"/>
  <c r="BI20"/>
  <c r="AT21" i="15"/>
  <c r="AN16" i="18"/>
  <c r="N74" i="223"/>
  <c r="N93" i="237"/>
  <c r="W18" i="18"/>
  <c r="T24" i="15"/>
  <c r="F138" i="223"/>
  <c r="AJ29" i="15"/>
  <c r="AO3" i="18"/>
  <c r="G30" i="237"/>
  <c r="C88"/>
  <c r="BD14" i="18"/>
  <c r="AH15"/>
  <c r="G131" i="223"/>
  <c r="K26" i="15"/>
  <c r="K60" i="223"/>
  <c r="BH19" i="18"/>
  <c r="X20" i="15"/>
  <c r="C32" i="237"/>
  <c r="AO4" i="18"/>
  <c r="S7"/>
  <c r="BL4"/>
  <c r="M103" i="223"/>
  <c r="M181"/>
  <c r="H67" i="237"/>
  <c r="L30" i="223"/>
  <c r="M69"/>
  <c r="BD22" i="18"/>
  <c r="E122" i="223"/>
  <c r="J16" i="18"/>
  <c r="G151" i="237"/>
  <c r="C164"/>
  <c r="AH20" i="15"/>
  <c r="F24" i="1"/>
  <c r="AS29" i="15"/>
  <c r="AS20"/>
  <c r="W6" i="18"/>
  <c r="B40" i="223"/>
  <c r="K71" i="237"/>
  <c r="L156" i="223"/>
  <c r="D23"/>
  <c r="H27"/>
  <c r="BH2" i="1"/>
  <c r="H147" i="223"/>
  <c r="C186" i="237"/>
  <c r="M30" i="223"/>
  <c r="I38" i="237"/>
  <c r="K56" i="223"/>
  <c r="N33" i="237"/>
  <c r="E149" i="223"/>
  <c r="H179"/>
  <c r="P30" i="15"/>
  <c r="L161" i="223"/>
  <c r="AG21" i="15"/>
  <c r="G22" i="18"/>
  <c r="AH10"/>
  <c r="BG31" i="15"/>
  <c r="N165" i="237"/>
  <c r="I6" i="1"/>
  <c r="M68" i="223"/>
  <c r="BH19" i="15"/>
  <c r="AS13" i="18"/>
  <c r="L75" i="237"/>
  <c r="J78"/>
  <c r="AD20" i="18"/>
  <c r="AH9"/>
  <c r="L172" i="223"/>
  <c r="E180"/>
  <c r="F136" i="237"/>
  <c r="C38" i="223"/>
  <c r="H26"/>
  <c r="BK27" i="15"/>
  <c r="H23"/>
  <c r="AZ24"/>
  <c r="BL15" i="18"/>
  <c r="N167" i="237"/>
  <c r="E168" i="223"/>
  <c r="AG7" i="18"/>
  <c r="BL25" i="15"/>
  <c r="L29"/>
  <c r="M77" i="237"/>
  <c r="AO30" i="15"/>
  <c r="Y25"/>
  <c r="M184" i="223"/>
  <c r="I10" i="1"/>
  <c r="AZ27" i="15"/>
  <c r="AL3" i="18"/>
  <c r="J160" i="237"/>
  <c r="L122"/>
  <c r="M88"/>
  <c r="J91"/>
  <c r="M161" i="223"/>
  <c r="I163" i="237"/>
  <c r="C186" i="223"/>
  <c r="AM16" i="18"/>
  <c r="H154" i="237"/>
  <c r="AO22" i="18"/>
  <c r="L85" i="223"/>
  <c r="B33"/>
  <c r="D76"/>
  <c r="AS5" i="18"/>
  <c r="P2" i="1"/>
  <c r="C169" i="223"/>
  <c r="L53"/>
  <c r="K41" i="237"/>
  <c r="F18" i="1"/>
  <c r="J180" i="223"/>
  <c r="AG5" i="18"/>
  <c r="C116" i="237"/>
  <c r="K32"/>
  <c r="AD18" i="18"/>
  <c r="N168" i="237"/>
  <c r="BG12" i="18"/>
  <c r="G120" i="223"/>
  <c r="AI22" i="15"/>
  <c r="I185" i="237"/>
  <c r="F102" i="223"/>
  <c r="M156"/>
  <c r="O27" i="15"/>
  <c r="H59" i="237"/>
  <c r="K26"/>
  <c r="R5" i="18"/>
  <c r="M140" i="237"/>
  <c r="D126" i="223"/>
  <c r="N169" i="237"/>
  <c r="C71"/>
  <c r="B49" i="14"/>
  <c r="AM3" i="18"/>
  <c r="D54" i="237"/>
  <c r="J103" i="223"/>
  <c r="AX4" i="18"/>
  <c r="E93" i="237"/>
  <c r="AJ28" i="15"/>
  <c r="L71" i="223"/>
  <c r="D32" i="237"/>
  <c r="H21"/>
  <c r="BJ24" i="15"/>
  <c r="O22"/>
  <c r="M118" i="237"/>
  <c r="H170" i="223"/>
  <c r="L27"/>
  <c r="E169"/>
  <c r="H30" i="237"/>
  <c r="B120"/>
  <c r="U22" i="15"/>
  <c r="H61" i="237"/>
  <c r="G73" i="223"/>
  <c r="AB21" i="15"/>
  <c r="K125" i="237"/>
  <c r="M67" i="223"/>
  <c r="AG24" i="15"/>
  <c r="K9" i="18"/>
  <c r="O6"/>
  <c r="G11"/>
  <c r="M44" i="223"/>
  <c r="AD13" i="18"/>
  <c r="W29" i="15"/>
  <c r="H119" i="237"/>
  <c r="AS28" i="15"/>
  <c r="D115" i="237"/>
  <c r="N169" i="223"/>
  <c r="G100"/>
  <c r="L55" i="237"/>
  <c r="BH24" i="15"/>
  <c r="I102" i="237"/>
  <c r="AJ34" i="18"/>
  <c r="J60" i="223"/>
  <c r="S31" i="15"/>
  <c r="M136" i="223"/>
  <c r="AW21" i="18"/>
  <c r="N77" i="237"/>
  <c r="J119" i="223"/>
  <c r="AC21" i="15"/>
  <c r="I71" i="223"/>
  <c r="I132" i="237"/>
  <c r="J23"/>
  <c r="V26" i="15"/>
  <c r="AK12" i="18"/>
  <c r="J1" i="15"/>
  <c r="F185" i="223"/>
  <c r="D172" i="237"/>
  <c r="J141" i="223"/>
  <c r="AF10" i="18"/>
  <c r="F145" i="223"/>
  <c r="AC2" i="1"/>
  <c r="K163" i="237"/>
  <c r="AV22" i="18"/>
  <c r="I38" i="223"/>
  <c r="H45"/>
  <c r="E29" i="237"/>
  <c r="J89"/>
  <c r="H22" i="18"/>
  <c r="J93" i="223"/>
  <c r="M78"/>
  <c r="J2" i="18"/>
  <c r="P31" i="15"/>
  <c r="H171" i="223"/>
  <c r="K170" i="237"/>
  <c r="AP24" i="15"/>
  <c r="AA4" i="18"/>
  <c r="J93" i="237"/>
  <c r="AQ15" i="18"/>
  <c r="BE17"/>
  <c r="F119" i="223"/>
  <c r="C67"/>
  <c r="E127"/>
  <c r="I25" i="237"/>
  <c r="B126" i="223"/>
  <c r="AD21" i="15"/>
  <c r="D155" i="237"/>
  <c r="J119"/>
  <c r="F130" i="223"/>
  <c r="I14" i="18"/>
  <c r="M73" i="237"/>
  <c r="AU13" i="18"/>
  <c r="R8"/>
  <c r="N15"/>
  <c r="U20" i="15"/>
  <c r="N156" i="237"/>
  <c r="AP21" i="15"/>
  <c r="E41" i="237"/>
  <c r="AK4" i="18"/>
  <c r="BS19" i="15"/>
  <c r="L44" i="237"/>
  <c r="BU27" i="15"/>
  <c r="I20" i="1"/>
  <c r="L41" i="237"/>
  <c r="G124"/>
  <c r="I162" i="223"/>
  <c r="AO10" i="18"/>
  <c r="C20" i="237"/>
  <c r="W5" i="18"/>
  <c r="F141" i="223"/>
  <c r="B24" i="237"/>
  <c r="C140"/>
  <c r="AK29" i="15"/>
  <c r="D63" i="237"/>
  <c r="H68"/>
  <c r="H3" i="18"/>
  <c r="L28" i="223"/>
  <c r="I164" i="237"/>
  <c r="Y9" i="18"/>
  <c r="K136" i="223"/>
  <c r="AC3" i="18"/>
  <c r="AY29" i="15"/>
  <c r="E153" i="223"/>
  <c r="AC8" i="18"/>
  <c r="BN4"/>
  <c r="I56" i="223"/>
  <c r="L33"/>
  <c r="BL21" i="18"/>
  <c r="M62" i="223"/>
  <c r="BV29" i="15"/>
  <c r="N28" i="237"/>
  <c r="J185"/>
  <c r="N55" i="223"/>
  <c r="E185" i="237"/>
  <c r="K74" i="223"/>
  <c r="BB28" i="15"/>
  <c r="B68" i="223"/>
  <c r="T17" i="18"/>
  <c r="N31" i="237"/>
  <c r="AD10" i="18"/>
  <c r="I22" i="223"/>
  <c r="E150"/>
  <c r="Z3" i="18"/>
  <c r="F37" i="237"/>
  <c r="AD28" i="15"/>
  <c r="F166" i="237"/>
  <c r="AX21" i="15"/>
  <c r="N61" i="237"/>
  <c r="E37" i="223"/>
  <c r="C29" i="237"/>
  <c r="N182" i="223"/>
  <c r="M169"/>
  <c r="I126"/>
  <c r="K156"/>
  <c r="I31" i="237"/>
  <c r="AS21" i="18"/>
  <c r="AG9"/>
  <c r="B186" i="223"/>
  <c r="K163"/>
  <c r="BM8" i="18"/>
  <c r="E77" i="223"/>
  <c r="N25"/>
  <c r="N148" i="237"/>
  <c r="C37"/>
  <c r="P20" i="18"/>
  <c r="AW9"/>
  <c r="N30" i="15"/>
  <c r="AB20"/>
  <c r="L103" i="223"/>
  <c r="E62"/>
  <c r="K63"/>
  <c r="BB8" i="18"/>
  <c r="B92" i="223"/>
  <c r="G135" i="237"/>
  <c r="K5" i="18"/>
  <c r="C153" i="223"/>
  <c r="H169"/>
  <c r="BU20" i="15"/>
  <c r="N85" i="237"/>
  <c r="AR9" i="18"/>
  <c r="T20" i="15"/>
  <c r="K92" i="237"/>
  <c r="AX18" i="18"/>
  <c r="L167" i="237"/>
  <c r="E74"/>
  <c r="BE18" i="18"/>
  <c r="M135" i="237"/>
  <c r="AA23" i="15"/>
  <c r="AX24"/>
  <c r="F152" i="237"/>
  <c r="AX28" i="15"/>
  <c r="BA22" i="18"/>
  <c r="AX20" i="15"/>
  <c r="BP31"/>
  <c r="N168" i="223"/>
  <c r="I29"/>
  <c r="AW29" i="15"/>
  <c r="H63" i="223"/>
  <c r="B167"/>
  <c r="AU9" i="18"/>
  <c r="N55" i="237"/>
  <c r="T15" i="18"/>
  <c r="AN11"/>
  <c r="C138" i="237"/>
  <c r="J132" i="223"/>
  <c r="AS26" i="15"/>
  <c r="D169" i="237"/>
  <c r="J72"/>
  <c r="E166"/>
  <c r="BD25" i="15"/>
  <c r="N46" i="237"/>
  <c r="X5" i="18"/>
  <c r="W27" i="15"/>
  <c r="B40" i="14"/>
  <c r="AX22" i="15"/>
  <c r="I125" i="223"/>
  <c r="D156" i="237"/>
  <c r="L2" i="1"/>
  <c r="B17" i="14"/>
  <c r="I87" i="237"/>
  <c r="N44" i="223"/>
  <c r="F20" i="1"/>
  <c r="D147" i="223"/>
  <c r="H24"/>
  <c r="G75" i="237"/>
  <c r="M139" i="223"/>
  <c r="F130" i="237"/>
  <c r="D103" i="223"/>
  <c r="J67" i="237"/>
  <c r="AK15" i="18"/>
  <c r="F172" i="237"/>
  <c r="AG26" i="15"/>
  <c r="H31" i="223"/>
  <c r="BH8" i="18"/>
  <c r="C70" i="223"/>
  <c r="G122"/>
  <c r="N5" i="18"/>
  <c r="AR4"/>
  <c r="BI3"/>
  <c r="AH24" i="15"/>
  <c r="BP30"/>
  <c r="E59" i="223"/>
  <c r="C74" i="237"/>
  <c r="C46"/>
  <c r="E71"/>
  <c r="B23" i="14"/>
  <c r="AX26" i="15"/>
  <c r="E37" i="237"/>
  <c r="BC19" i="15"/>
  <c r="C122" i="237"/>
  <c r="F74" i="223"/>
  <c r="G70" i="237"/>
  <c r="I139"/>
  <c r="BC9" i="18"/>
  <c r="AY3"/>
  <c r="W21"/>
  <c r="L22"/>
  <c r="G10"/>
  <c r="AS25" i="15"/>
  <c r="K126" i="223"/>
  <c r="N27" i="15"/>
  <c r="AY14" i="18"/>
  <c r="E125" i="237"/>
  <c r="F45" i="223"/>
  <c r="AD29" i="15"/>
  <c r="H160" i="223"/>
  <c r="K86"/>
  <c r="B27" i="237"/>
  <c r="G166" i="223"/>
  <c r="N60"/>
  <c r="E44" i="237"/>
  <c r="AJ19" i="18"/>
  <c r="F165" i="237"/>
  <c r="J28"/>
  <c r="K23"/>
  <c r="E87"/>
  <c r="Y8" i="18"/>
  <c r="C23" i="223"/>
  <c r="B75"/>
  <c r="G23" i="15"/>
  <c r="AT6" i="18"/>
  <c r="G39" i="237"/>
  <c r="D148" i="223"/>
  <c r="B55"/>
  <c r="K179" i="237"/>
  <c r="M43"/>
  <c r="K21" i="18"/>
  <c r="G88" i="237"/>
  <c r="D23"/>
  <c r="B57" i="223"/>
  <c r="F103" i="237"/>
  <c r="F170"/>
  <c r="C63" i="223"/>
  <c r="B57" i="14"/>
  <c r="BN22" i="18"/>
  <c r="G84" i="223"/>
  <c r="BB13" i="18"/>
  <c r="M185" i="223"/>
  <c r="F123"/>
  <c r="J31" i="15"/>
  <c r="M150" i="237"/>
  <c r="F160" i="223"/>
  <c r="Y21" i="15"/>
  <c r="BC18" i="18"/>
  <c r="BE12"/>
  <c r="AL17"/>
  <c r="AZ17"/>
  <c r="F170" i="223"/>
  <c r="BD27" i="15"/>
  <c r="K68" i="223"/>
  <c r="J22" i="237"/>
  <c r="H167" i="223"/>
  <c r="BE30" i="15"/>
  <c r="L127" i="223"/>
  <c r="L29" i="237"/>
  <c r="AI30" i="15"/>
  <c r="BB7" i="18"/>
  <c r="L171" i="237"/>
  <c r="H126" i="223"/>
  <c r="D168"/>
  <c r="G180"/>
  <c r="L167"/>
  <c r="K22" i="15"/>
  <c r="L141" i="223"/>
  <c r="AV9" i="18"/>
  <c r="AQ13"/>
  <c r="B45" i="237"/>
  <c r="AP28" i="15"/>
  <c r="L26" i="223"/>
  <c r="H20" i="18"/>
  <c r="C171" i="237"/>
  <c r="G20" i="15"/>
  <c r="H83" i="223"/>
  <c r="E162"/>
  <c r="J167" i="237"/>
  <c r="F160"/>
  <c r="M59"/>
  <c r="B57"/>
  <c r="B37" i="223"/>
  <c r="H7" i="18"/>
  <c r="L120" i="223"/>
  <c r="K86" i="237"/>
  <c r="AF2" i="1"/>
  <c r="V9" i="18"/>
  <c r="O5"/>
  <c r="E145" i="237"/>
  <c r="K183" i="223"/>
  <c r="BA2" i="1"/>
  <c r="K186" i="223"/>
  <c r="E30" i="237"/>
  <c r="B61" i="223"/>
  <c r="B23"/>
  <c r="K78"/>
  <c r="J135"/>
  <c r="AL22" i="18"/>
  <c r="G118" i="237"/>
  <c r="D132"/>
  <c r="H163"/>
  <c r="K56"/>
  <c r="X9" i="18"/>
  <c r="E40" i="237"/>
  <c r="H53"/>
  <c r="E95"/>
  <c r="J155"/>
  <c r="L77"/>
  <c r="E119"/>
  <c r="E171"/>
  <c r="BU22" i="15"/>
  <c r="J91" i="223"/>
  <c r="D162" i="237"/>
  <c r="BE20" i="18"/>
  <c r="G185" i="237"/>
  <c r="M183"/>
  <c r="BH26" i="15"/>
  <c r="B60" i="14"/>
  <c r="D85" i="223"/>
  <c r="J34" i="18"/>
  <c r="G25" i="15"/>
  <c r="J172" i="237"/>
  <c r="BB26" i="15"/>
  <c r="AR18" i="18"/>
  <c r="AB28" i="15"/>
  <c r="BJ19" i="18"/>
  <c r="F126" i="237"/>
  <c r="BK21" i="18"/>
  <c r="C126" i="237"/>
  <c r="B68"/>
  <c r="K77"/>
  <c r="G37"/>
  <c r="K162" i="223"/>
  <c r="AC22" i="15"/>
  <c r="BB2" i="1"/>
  <c r="C162" i="223"/>
  <c r="M39" i="237"/>
  <c r="BH21" i="18"/>
  <c r="I127" i="223"/>
  <c r="J179" i="237"/>
  <c r="G46" i="223"/>
  <c r="C166" i="237"/>
  <c r="N166" i="223"/>
  <c r="AO12" i="18"/>
  <c r="K149" i="223"/>
  <c r="L74" i="237"/>
  <c r="E186" i="223"/>
  <c r="M136" i="237"/>
  <c r="S28" i="15"/>
  <c r="G24"/>
  <c r="BF10" i="18"/>
  <c r="BB30" i="15"/>
  <c r="R14" i="18"/>
  <c r="AG20"/>
  <c r="J26" i="223"/>
  <c r="E42"/>
  <c r="S15" i="18"/>
  <c r="J150" i="223"/>
  <c r="E120" i="237"/>
  <c r="C24" i="223"/>
  <c r="D74"/>
  <c r="G53" i="237"/>
  <c r="H20" i="15"/>
  <c r="P12" i="18"/>
  <c r="F58" i="223"/>
  <c r="AL16" i="18"/>
  <c r="C123" i="223"/>
  <c r="AN21" i="15"/>
  <c r="G95" i="237"/>
  <c r="B54" i="223"/>
  <c r="J181"/>
  <c r="E26"/>
  <c r="G69"/>
  <c r="AD26" i="15"/>
  <c r="B30" i="223"/>
  <c r="H168" i="237"/>
  <c r="AK6" i="18"/>
  <c r="L10"/>
  <c r="AW26" i="15"/>
  <c r="AI5" i="18"/>
  <c r="M151" i="237"/>
  <c r="J30" i="15"/>
  <c r="AR28"/>
  <c r="AN22"/>
  <c r="AX16" i="18"/>
  <c r="C152" i="237"/>
  <c r="G6" i="18"/>
  <c r="AN2" i="1"/>
  <c r="D27" i="237"/>
  <c r="B29" i="14"/>
  <c r="H182" i="223"/>
  <c r="BN10" i="18"/>
  <c r="F75" i="237"/>
  <c r="H29"/>
  <c r="M135" i="223"/>
  <c r="D151"/>
  <c r="I130"/>
  <c r="G18" i="18"/>
  <c r="E149" i="237"/>
  <c r="I61"/>
  <c r="J88"/>
  <c r="H40" i="223"/>
  <c r="AC27" i="15"/>
  <c r="I23" i="237"/>
  <c r="N57"/>
  <c r="D165"/>
  <c r="G147"/>
  <c r="L152"/>
  <c r="E71" i="223"/>
  <c r="L89" i="237"/>
  <c r="H115" i="223"/>
  <c r="C69" i="237"/>
  <c r="B91" i="223"/>
  <c r="AN10" i="18"/>
  <c r="I145" i="223"/>
  <c r="J146" i="237"/>
  <c r="B136"/>
  <c r="K155" i="223"/>
  <c r="K135" i="237"/>
  <c r="Y20" i="15"/>
  <c r="C28" i="223"/>
  <c r="Y2" i="1"/>
  <c r="B26" i="223"/>
  <c r="AV7" i="18"/>
  <c r="R34"/>
  <c r="M39" i="223"/>
  <c r="P2" i="18"/>
  <c r="F6" i="1"/>
  <c r="J134" i="237"/>
  <c r="N139"/>
  <c r="I147" i="223"/>
  <c r="AW13" i="18"/>
  <c r="BB31" i="15"/>
  <c r="AL23"/>
  <c r="AK8" i="18"/>
  <c r="AW19" i="15"/>
  <c r="F60" i="237"/>
  <c r="C22"/>
  <c r="M160" i="223"/>
  <c r="G118"/>
  <c r="BI21" i="15"/>
  <c r="F71" i="237"/>
  <c r="E184"/>
  <c r="AC18" i="18"/>
  <c r="H168" i="223"/>
  <c r="AM2" i="18"/>
  <c r="C42"/>
  <c r="AE31" i="15"/>
  <c r="G179" i="223"/>
  <c r="BB16" i="18"/>
  <c r="B153" i="237"/>
  <c r="B94" i="223"/>
  <c r="F54" i="237"/>
  <c r="AQ8" i="18"/>
  <c r="C125" i="237"/>
  <c r="F57"/>
  <c r="I95" i="223"/>
  <c r="F38"/>
  <c r="D163" i="237"/>
  <c r="BG13" i="18"/>
  <c r="P29" i="15"/>
  <c r="J59" i="237"/>
  <c r="F116"/>
  <c r="K115" i="223"/>
  <c r="L83"/>
  <c r="D164" i="237"/>
  <c r="AT25" i="15"/>
  <c r="BM13" i="18"/>
  <c r="D73" i="223"/>
  <c r="B21" i="237"/>
  <c r="H184"/>
  <c r="L101"/>
  <c r="AN14" i="18"/>
  <c r="BD8"/>
  <c r="AE3"/>
  <c r="K12"/>
  <c r="N40" i="237"/>
  <c r="D130"/>
  <c r="J147"/>
  <c r="G123" i="223"/>
  <c r="I180"/>
  <c r="V10" i="18"/>
  <c r="B24" i="223"/>
  <c r="L90" i="237"/>
  <c r="J155" i="223"/>
  <c r="I70"/>
  <c r="J127" i="237"/>
  <c r="G154"/>
  <c r="D39"/>
  <c r="Q10" i="18"/>
  <c r="H162" i="223"/>
  <c r="BK14" i="18"/>
  <c r="B120" i="223"/>
  <c r="I160" i="237"/>
  <c r="L180" i="223"/>
  <c r="AR27" i="15"/>
  <c r="X11" i="18"/>
  <c r="AZ13"/>
  <c r="D101" i="237"/>
  <c r="N95"/>
  <c r="B28" i="223"/>
  <c r="AY28" i="1"/>
  <c r="C101" i="223"/>
  <c r="H25"/>
  <c r="D84" i="237"/>
  <c r="BA13" i="18"/>
  <c r="E124" i="237"/>
  <c r="Q12" i="18"/>
  <c r="B76" i="237"/>
  <c r="N165" i="223"/>
  <c r="B14" i="185"/>
  <c r="B29" i="237"/>
  <c r="AM6" i="18"/>
  <c r="G58" i="223"/>
  <c r="J118" i="237"/>
  <c r="L88"/>
  <c r="H182"/>
  <c r="AS22" i="15"/>
  <c r="J117" i="223"/>
  <c r="J74" i="237"/>
  <c r="K156"/>
  <c r="O2" i="1"/>
  <c r="N126" i="223"/>
  <c r="N91" i="237"/>
  <c r="N90" i="223"/>
  <c r="AC11" i="18"/>
  <c r="H180" i="223"/>
  <c r="AM29" i="15"/>
  <c r="W7" i="18"/>
  <c r="I95" i="237"/>
  <c r="B11" i="185"/>
  <c r="AN30" i="15"/>
  <c r="G186" i="237"/>
  <c r="L32"/>
  <c r="F155"/>
  <c r="BA31" i="15"/>
  <c r="G22" i="223"/>
  <c r="N3" i="18"/>
  <c r="B118" i="237"/>
  <c r="C63"/>
  <c r="H188" i="223"/>
  <c r="C181"/>
  <c r="N22" i="15"/>
  <c r="E87" i="223"/>
  <c r="BJ16" i="18"/>
  <c r="E156" i="237"/>
  <c r="S8" i="18"/>
  <c r="K130" i="223"/>
  <c r="BL21" i="15"/>
  <c r="AV4" i="18"/>
  <c r="B70" i="223"/>
  <c r="AY25" i="15"/>
  <c r="I123" i="237"/>
  <c r="Y13" i="18"/>
  <c r="AR20"/>
  <c r="D188" i="237"/>
  <c r="BF14" i="18"/>
  <c r="L68" i="223"/>
  <c r="M21" i="15"/>
  <c r="H44" i="237"/>
  <c r="AM25" i="15"/>
  <c r="T4" i="18"/>
  <c r="Q26" i="15"/>
  <c r="K139" i="223"/>
  <c r="AA16" i="18"/>
  <c r="J184" i="223"/>
  <c r="G149"/>
  <c r="AY10" i="18"/>
  <c r="AO17"/>
  <c r="N25" i="15"/>
  <c r="AG30"/>
  <c r="Z28" i="1"/>
  <c r="F151" i="237"/>
  <c r="I77" i="223"/>
  <c r="AJ22" i="15"/>
  <c r="I25" i="223"/>
  <c r="M30" i="15"/>
  <c r="E165" i="237"/>
  <c r="K93"/>
  <c r="J62"/>
  <c r="BL13" i="18"/>
  <c r="E89" i="223"/>
  <c r="L179"/>
  <c r="C61"/>
  <c r="B155"/>
  <c r="G21" i="15"/>
  <c r="M134" i="237"/>
  <c r="Y19" i="18"/>
  <c r="B33" i="237"/>
  <c r="D146" i="223"/>
  <c r="X3" i="18"/>
  <c r="B20" i="237"/>
  <c r="J169"/>
  <c r="AF5" i="18"/>
  <c r="BN13"/>
  <c r="L69" i="223"/>
  <c r="J168"/>
  <c r="AS7" i="18"/>
  <c r="U24" i="15"/>
  <c r="D119" i="237"/>
  <c r="AN23" i="15"/>
  <c r="I84" i="223"/>
  <c r="AD19" i="15"/>
  <c r="BG16" i="18"/>
  <c r="L136" i="237"/>
  <c r="AS12" i="18"/>
  <c r="E122" i="237"/>
  <c r="K186"/>
  <c r="AY8" i="18"/>
  <c r="BG34"/>
  <c r="N69" i="237"/>
  <c r="BA4" i="18"/>
  <c r="D100" i="237"/>
  <c r="Z25" i="15"/>
  <c r="K121" i="223"/>
  <c r="I186" i="237"/>
  <c r="AE26" i="15"/>
  <c r="BF9" i="18"/>
  <c r="AM30" i="15"/>
  <c r="AI28" i="1"/>
  <c r="U25" i="15"/>
  <c r="I63" i="223"/>
  <c r="H42" i="237"/>
  <c r="N139" i="223"/>
  <c r="BL24" i="15"/>
  <c r="H84" i="237"/>
  <c r="H13" i="18"/>
  <c r="N12"/>
  <c r="B183" i="223"/>
  <c r="O9" i="18"/>
  <c r="D183" i="223"/>
  <c r="S14" i="18"/>
  <c r="K10"/>
  <c r="M179" i="223"/>
  <c r="H123"/>
  <c r="C20" i="14"/>
  <c r="G130" i="223"/>
  <c r="K172"/>
  <c r="AN4" i="18"/>
  <c r="AG17"/>
  <c r="AT27" i="15"/>
  <c r="R13" i="18"/>
  <c r="I180" i="237"/>
  <c r="V3" i="18"/>
  <c r="I152" i="237"/>
  <c r="T21" i="15"/>
  <c r="J30" i="223"/>
  <c r="C57"/>
  <c r="F57"/>
  <c r="J154"/>
  <c r="M31" i="15"/>
  <c r="K78" i="237"/>
  <c r="M46"/>
  <c r="AZ29" i="15"/>
  <c r="B150" i="223"/>
  <c r="N100" i="237"/>
  <c r="J181"/>
  <c r="AQ9" i="18"/>
  <c r="BK5"/>
  <c r="I5"/>
  <c r="BG30" i="15"/>
  <c r="AU20" i="18"/>
  <c r="D155" i="223"/>
  <c r="AR6" i="18"/>
  <c r="K45" i="223"/>
  <c r="C119"/>
  <c r="G183" i="237"/>
  <c r="D54" i="223"/>
  <c r="J165" i="237"/>
  <c r="V13" i="18"/>
  <c r="B160" i="237"/>
  <c r="L93"/>
  <c r="AP11" i="18"/>
  <c r="F27" i="237"/>
  <c r="D94" i="223"/>
  <c r="M162"/>
  <c r="E148"/>
  <c r="N7" i="18"/>
  <c r="J145" i="223"/>
  <c r="U22" i="18"/>
  <c r="AY19"/>
  <c r="BD3"/>
  <c r="D68" i="223"/>
  <c r="J74"/>
  <c r="K68" i="237"/>
  <c r="G42"/>
  <c r="E94" i="223"/>
  <c r="L77"/>
  <c r="L57" i="237"/>
  <c r="J153"/>
  <c r="K167" i="223"/>
  <c r="K182" i="237"/>
  <c r="B127"/>
  <c r="M139"/>
  <c r="N135" i="223"/>
  <c r="L133"/>
  <c r="AL15" i="18"/>
  <c r="BA20" i="15"/>
  <c r="G44" i="237"/>
  <c r="H41"/>
  <c r="D41" i="223"/>
  <c r="Y5" i="18"/>
  <c r="B31" i="14"/>
  <c r="J22" i="223"/>
  <c r="N119"/>
  <c r="AV15" i="18"/>
  <c r="AR23" i="15"/>
  <c r="G20" i="18"/>
  <c r="BK19"/>
  <c r="J161" i="223"/>
  <c r="J136" i="237"/>
  <c r="BB29" i="15"/>
  <c r="H95" i="223"/>
  <c r="J25" i="15"/>
  <c r="G56" i="237"/>
  <c r="N20" i="15"/>
  <c r="D183" i="237"/>
  <c r="B38" i="14"/>
  <c r="B53" i="223"/>
  <c r="H75" i="237"/>
  <c r="AZ34" i="18"/>
  <c r="AT3"/>
  <c r="E23" i="237"/>
  <c r="BB22" i="15"/>
  <c r="C40" i="223"/>
  <c r="I85" i="237"/>
  <c r="B12" i="185"/>
  <c r="F53" i="237"/>
  <c r="G87"/>
  <c r="BK16" i="18"/>
  <c r="BA25" i="15"/>
  <c r="AT5" i="18"/>
  <c r="BF21"/>
  <c r="J171" i="237"/>
  <c r="H88" i="223"/>
  <c r="AM9" i="18"/>
  <c r="N164" i="223"/>
  <c r="BL20" i="15"/>
  <c r="AE21" i="18"/>
  <c r="BB20"/>
  <c r="D39" i="223"/>
  <c r="B86"/>
  <c r="W23" i="15"/>
  <c r="J122" i="223"/>
  <c r="H119"/>
  <c r="M115"/>
  <c r="U8" i="18"/>
  <c r="K46" i="223"/>
  <c r="J21" i="237"/>
  <c r="C25"/>
  <c r="I43"/>
  <c r="H43"/>
  <c r="R20" i="18"/>
  <c r="AE30" i="15"/>
  <c r="BG25"/>
  <c r="T3" i="18"/>
  <c r="AP23" i="15"/>
  <c r="BE20"/>
  <c r="C173" i="223"/>
  <c r="AZ31" i="15"/>
  <c r="B95" i="237"/>
  <c r="E89"/>
  <c r="H156" i="223"/>
  <c r="E83"/>
  <c r="K146"/>
  <c r="E147"/>
  <c r="K40" i="237"/>
  <c r="G140" i="223"/>
  <c r="M172"/>
  <c r="L86" i="237"/>
  <c r="AQ12" i="18"/>
  <c r="H87" i="237"/>
  <c r="T2" i="18"/>
  <c r="BK24" i="15"/>
  <c r="BK9" i="18"/>
  <c r="H162" i="237"/>
  <c r="G117" i="223"/>
  <c r="I182" i="237"/>
  <c r="I56"/>
  <c r="BH28" i="1"/>
  <c r="D134" i="223"/>
  <c r="E126"/>
  <c r="N33"/>
  <c r="D83"/>
  <c r="E38" i="237"/>
  <c r="BN5" i="18"/>
  <c r="I120" i="237"/>
  <c r="AM28" i="15"/>
  <c r="BF15" i="18"/>
  <c r="B145" i="223"/>
  <c r="L134"/>
  <c r="S18" i="18"/>
  <c r="BL31" i="15"/>
  <c r="E67" i="223"/>
  <c r="J20" i="237"/>
  <c r="W11" i="18"/>
  <c r="BK28" i="15"/>
  <c r="M164" i="223"/>
  <c r="K8" i="18"/>
  <c r="AO13"/>
  <c r="I172" i="223"/>
  <c r="M91"/>
  <c r="BA3" i="18"/>
  <c r="K30" i="223"/>
  <c r="M57"/>
  <c r="W34" i="18"/>
  <c r="F95" i="237"/>
  <c r="BC6" i="18"/>
  <c r="W22"/>
  <c r="L189" i="237"/>
  <c r="H137" i="223"/>
  <c r="BD23" i="15"/>
  <c r="Q29"/>
  <c r="AQ28" i="1"/>
  <c r="BK15" i="18"/>
  <c r="U28" i="15"/>
  <c r="M9" i="18"/>
  <c r="X17"/>
  <c r="AY12"/>
  <c r="E115" i="223"/>
  <c r="BE29" i="15"/>
  <c r="I29" i="237"/>
  <c r="J132"/>
  <c r="L60" i="223"/>
  <c r="X19" i="18"/>
  <c r="AR5"/>
  <c r="W22" i="15"/>
  <c r="AI11" i="18"/>
  <c r="BC17"/>
  <c r="F67" i="223"/>
  <c r="G77" i="237"/>
  <c r="B13" i="14"/>
  <c r="M145" i="237"/>
  <c r="F2" i="14"/>
  <c r="AN20" i="18"/>
  <c r="BI26" i="15"/>
  <c r="D85" i="237"/>
  <c r="J154"/>
  <c r="L152" i="223"/>
  <c r="AO20" i="15"/>
  <c r="B61" i="237"/>
  <c r="K33"/>
  <c r="J186"/>
  <c r="C31"/>
  <c r="G89" i="223"/>
  <c r="I148" i="237"/>
  <c r="M166"/>
  <c r="B151" i="223"/>
  <c r="H90"/>
  <c r="E22"/>
  <c r="AT20" i="15"/>
  <c r="L126" i="223"/>
  <c r="O7" i="18"/>
  <c r="I136" i="237"/>
  <c r="K42"/>
  <c r="L76" i="223"/>
  <c r="I12" i="1"/>
  <c r="AR31" i="15"/>
  <c r="L133" i="237"/>
  <c r="E76" i="223"/>
  <c r="M173" i="237"/>
  <c r="G163"/>
  <c r="B67" i="223"/>
  <c r="AD2" i="1"/>
  <c r="G33" i="223"/>
  <c r="BJ18" i="18"/>
  <c r="K154" i="223"/>
  <c r="B84"/>
  <c r="N8" i="18"/>
  <c r="N21"/>
  <c r="BN17"/>
  <c r="L165" i="223"/>
  <c r="AB12" i="18"/>
  <c r="J166" i="223"/>
  <c r="C136" i="237"/>
  <c r="J146" i="223"/>
  <c r="K43" i="237"/>
  <c r="J38"/>
  <c r="K165" i="223"/>
  <c r="H29" i="15"/>
  <c r="AA21" i="18"/>
  <c r="D180" i="223"/>
  <c r="L162" i="237"/>
  <c r="G33"/>
  <c r="AA13" i="18"/>
  <c r="T31" i="15"/>
  <c r="BI9" i="18"/>
  <c r="I62" i="237"/>
  <c r="AC2" i="18"/>
  <c r="M179" i="237"/>
  <c r="P23" i="15"/>
  <c r="G28"/>
  <c r="S30"/>
  <c r="B85" i="223"/>
  <c r="I136"/>
  <c r="K94"/>
  <c r="M17" i="18"/>
  <c r="X18"/>
  <c r="N74" i="237"/>
  <c r="C40"/>
  <c r="H120" i="223"/>
  <c r="AV27" i="15"/>
  <c r="BJ3" i="18"/>
  <c r="V17"/>
  <c r="L84" i="223"/>
  <c r="AF19" i="18"/>
  <c r="B55" i="14"/>
  <c r="AO27" i="15"/>
  <c r="O26"/>
  <c r="B164" i="237"/>
  <c r="BA19" i="15"/>
  <c r="BH3" i="18"/>
  <c r="BL17"/>
  <c r="Q20"/>
  <c r="E61" i="223"/>
  <c r="E93"/>
  <c r="U5" i="18"/>
  <c r="AM22"/>
  <c r="I76" i="237"/>
  <c r="AS15" i="18"/>
  <c r="G135" i="223"/>
  <c r="L186" i="237"/>
  <c r="E43"/>
  <c r="B125" i="223"/>
  <c r="H149" i="237"/>
  <c r="F40"/>
  <c r="F84" i="223"/>
  <c r="E135" i="237"/>
  <c r="F164" i="223"/>
  <c r="K73"/>
  <c r="N162" i="237"/>
  <c r="BJ22" i="18"/>
  <c r="BL22"/>
  <c r="AE20"/>
  <c r="AZ14"/>
  <c r="AA10"/>
  <c r="AP15"/>
  <c r="I16"/>
  <c r="R25" i="15"/>
  <c r="D77" i="237"/>
  <c r="AG16" i="18"/>
  <c r="E25" i="223"/>
  <c r="J139" i="237"/>
  <c r="BK10" i="18"/>
  <c r="C171" i="223"/>
  <c r="B101"/>
  <c r="J156"/>
  <c r="J115" i="237"/>
  <c r="L115" i="223"/>
  <c r="BF20" i="18"/>
  <c r="C138" i="223"/>
  <c r="H22" i="237"/>
  <c r="Q22" i="15"/>
  <c r="W15" i="18"/>
  <c r="J173" i="223"/>
  <c r="M61" i="237"/>
  <c r="M103"/>
  <c r="J44"/>
  <c r="R10" i="18"/>
  <c r="AU31" i="15"/>
  <c r="D63" i="223"/>
  <c r="E181"/>
  <c r="C169" i="237"/>
  <c r="L4" i="18"/>
  <c r="AU5"/>
  <c r="AJ13"/>
  <c r="E155" i="223"/>
  <c r="T10" i="18"/>
  <c r="AW8"/>
  <c r="F169" i="237"/>
  <c r="X19" i="15"/>
  <c r="C155" i="223"/>
  <c r="AF9" i="18"/>
  <c r="L92" i="223"/>
  <c r="F92" i="237"/>
  <c r="AS8" i="18"/>
  <c r="N147" i="237"/>
  <c r="F133"/>
  <c r="AU19" i="18"/>
  <c r="AV17"/>
  <c r="H167" i="237"/>
  <c r="M166" i="223"/>
  <c r="F156"/>
  <c r="I55" i="237"/>
  <c r="M38" i="223"/>
  <c r="C102"/>
  <c r="AH26" i="15"/>
  <c r="L20" i="237"/>
  <c r="K14" i="18"/>
  <c r="BL11"/>
  <c r="BF16"/>
  <c r="M31" i="223"/>
  <c r="AR15" i="18"/>
  <c r="AW22"/>
  <c r="L171" i="223"/>
  <c r="O31" i="15"/>
  <c r="AW19" i="18"/>
  <c r="K27" i="223"/>
  <c r="I146"/>
  <c r="G42"/>
  <c r="P20" i="15"/>
  <c r="AQ3" i="18"/>
  <c r="BG6"/>
  <c r="O25" i="15"/>
  <c r="C134" i="237"/>
  <c r="E168"/>
  <c r="D38" i="223"/>
  <c r="L87" i="237"/>
  <c r="M6" i="18"/>
  <c r="N163" i="223"/>
  <c r="P19" i="15"/>
  <c r="C185" i="223"/>
  <c r="J148" i="237"/>
  <c r="G92"/>
  <c r="C153"/>
  <c r="AR12" i="18"/>
  <c r="K6"/>
  <c r="V8"/>
  <c r="BC15"/>
  <c r="J69" i="223"/>
  <c r="C83" i="18"/>
  <c r="AA7"/>
  <c r="AQ18"/>
  <c r="AY21" i="15"/>
  <c r="G148" i="237"/>
  <c r="AX29" i="15"/>
  <c r="D45" i="223"/>
  <c r="AZ28" i="15"/>
  <c r="F183" i="237"/>
  <c r="N56"/>
  <c r="J32" i="223"/>
  <c r="E123" i="237"/>
  <c r="L122" i="223"/>
  <c r="I40"/>
  <c r="F171" i="237"/>
  <c r="K28"/>
  <c r="E116" i="223"/>
  <c r="D146" i="237"/>
  <c r="AR34" i="18"/>
  <c r="G100" i="237"/>
  <c r="I16" i="1"/>
  <c r="I18"/>
  <c r="N28"/>
  <c r="G90" i="223"/>
  <c r="L62"/>
  <c r="BJ20" i="15"/>
  <c r="AH31"/>
  <c r="F168" i="223"/>
  <c r="J86"/>
  <c r="AT28" i="1"/>
  <c r="X14" i="18"/>
  <c r="M168" i="237"/>
  <c r="C46" i="223"/>
  <c r="AH19" i="15"/>
  <c r="J76" i="237"/>
  <c r="D171"/>
  <c r="C80" i="223"/>
  <c r="L40" i="237"/>
  <c r="N173" i="223"/>
  <c r="M41"/>
  <c r="H26" i="237"/>
  <c r="BE5" i="18"/>
  <c r="G19" i="15"/>
  <c r="G164" i="237"/>
  <c r="AI10" i="18"/>
  <c r="AB11"/>
  <c r="G74" i="223"/>
  <c r="B23" i="237"/>
  <c r="G156"/>
  <c r="AU8" i="18"/>
  <c r="AS24" i="15"/>
  <c r="D123" i="237"/>
  <c r="BM28" i="15"/>
  <c r="AK13" i="18"/>
  <c r="N140" i="223"/>
  <c r="K136" i="237"/>
  <c r="BL7" i="18"/>
  <c r="C71" i="223"/>
  <c r="I116"/>
  <c r="K84" i="237"/>
  <c r="AM20" i="15"/>
  <c r="N31"/>
  <c r="G29" i="237"/>
  <c r="M83" i="223"/>
  <c r="J161" i="237"/>
  <c r="B9" i="185"/>
  <c r="J57" i="237"/>
  <c r="BM24" i="15"/>
  <c r="H89" i="237"/>
  <c r="D60" i="223"/>
  <c r="G27"/>
  <c r="G2" i="1"/>
  <c r="H85" i="223"/>
  <c r="AB22" i="15"/>
  <c r="I138" i="223"/>
  <c r="K62" i="237"/>
  <c r="BC23" i="15"/>
  <c r="H166" i="223"/>
  <c r="AS34" i="18"/>
  <c r="K22"/>
  <c r="AW30" i="15"/>
  <c r="I89" i="223"/>
  <c r="D55" i="237"/>
  <c r="G85" i="223"/>
  <c r="AN25" i="15"/>
  <c r="G169" i="223"/>
  <c r="I54" i="237"/>
  <c r="AU14" i="18"/>
  <c r="F163" i="223"/>
  <c r="B119"/>
  <c r="M127"/>
  <c r="L181"/>
  <c r="K40"/>
  <c r="AV12" i="18"/>
  <c r="H138" i="223"/>
  <c r="F154" i="237"/>
  <c r="M27" i="223"/>
  <c r="BV21" i="15"/>
  <c r="BD18" i="18"/>
  <c r="F60" i="223"/>
  <c r="G187"/>
  <c r="N151" i="237"/>
  <c r="M119" i="223"/>
  <c r="AI21" i="18"/>
  <c r="C133" i="223"/>
  <c r="M4" i="18"/>
  <c r="F101" i="237"/>
  <c r="E53" i="223"/>
  <c r="N152"/>
  <c r="C167" i="237"/>
  <c r="J78" i="223"/>
  <c r="D168" i="237"/>
  <c r="B55"/>
  <c r="K168" i="223"/>
  <c r="J42" i="237"/>
  <c r="C53"/>
  <c r="E40" i="223"/>
  <c r="BI17" i="18"/>
  <c r="M119" i="237"/>
  <c r="L21"/>
  <c r="AU3" i="18"/>
  <c r="AP16"/>
  <c r="C54" i="223"/>
  <c r="L42"/>
  <c r="D44" i="237"/>
  <c r="AU23" i="15"/>
  <c r="AX3" i="18"/>
  <c r="K134" i="223"/>
  <c r="M137" i="237"/>
  <c r="L17" i="18"/>
  <c r="P14"/>
  <c r="AG14"/>
  <c r="Z27" i="15"/>
  <c r="G124" i="223"/>
  <c r="AA19" i="15"/>
  <c r="BD11" i="18"/>
  <c r="L184" i="223"/>
  <c r="Y18" i="18"/>
  <c r="C183" i="237"/>
  <c r="J30"/>
  <c r="BF29" i="15"/>
  <c r="AJ24"/>
  <c r="D62" i="223"/>
  <c r="I173"/>
  <c r="L182" i="237"/>
  <c r="AK23" i="15"/>
  <c r="H117" i="237"/>
  <c r="H70"/>
  <c r="BL14" i="18"/>
  <c r="I13" i="1"/>
  <c r="M24" i="15"/>
  <c r="AR22"/>
  <c r="M116" i="237"/>
  <c r="AP19" i="15"/>
  <c r="R31"/>
  <c r="M40" i="223"/>
  <c r="J121" i="237"/>
  <c r="B139"/>
  <c r="BL28" i="1"/>
  <c r="G56" i="223"/>
  <c r="BL20" i="18"/>
  <c r="N101" i="237"/>
  <c r="AM5" i="18"/>
  <c r="L181" i="237"/>
  <c r="L38"/>
  <c r="N179" i="223"/>
  <c r="M145"/>
  <c r="BC21" i="18"/>
  <c r="Q22"/>
  <c r="H184" i="223"/>
  <c r="G78"/>
  <c r="G68"/>
  <c r="B43" i="14"/>
  <c r="AW4" i="18"/>
  <c r="S21"/>
  <c r="L93" i="223"/>
  <c r="F61"/>
  <c r="AF18" i="18"/>
  <c r="B46" i="223"/>
  <c r="L45" i="237"/>
  <c r="BS25" i="15"/>
  <c r="J147" i="223"/>
  <c r="N163" i="237"/>
  <c r="C95"/>
  <c r="M14" i="18"/>
  <c r="AU28" i="15"/>
  <c r="F151" i="223"/>
  <c r="F21" i="237"/>
  <c r="D117" i="223"/>
  <c r="N45" i="237"/>
  <c r="F137"/>
  <c r="F153"/>
  <c r="BG20" i="15"/>
  <c r="AN29"/>
  <c r="J95" i="237"/>
  <c r="L186" i="223"/>
  <c r="BN16" i="18"/>
  <c r="J26" i="15"/>
  <c r="M86" i="237"/>
  <c r="L146"/>
  <c r="H121"/>
  <c r="B173" i="223"/>
  <c r="V15" i="18"/>
  <c r="AQ28" i="15"/>
  <c r="M151" i="223"/>
  <c r="BC8" i="18"/>
  <c r="J126" i="223"/>
  <c r="K120"/>
  <c r="L58"/>
  <c r="F21"/>
  <c r="N21" i="237"/>
  <c r="F88"/>
  <c r="E161"/>
  <c r="BI12" i="18"/>
  <c r="H69" i="223"/>
  <c r="J12" i="18"/>
  <c r="AW23" i="15"/>
  <c r="C168" i="237"/>
  <c r="E91" i="223"/>
  <c r="H40" i="237"/>
  <c r="BD26" i="15"/>
  <c r="K89" i="237"/>
  <c r="H4" i="18"/>
  <c r="C48" i="14"/>
  <c r="E164" i="237"/>
  <c r="H42" i="223"/>
  <c r="H169" i="237"/>
  <c r="AQ25" i="15"/>
  <c r="J39" i="223"/>
  <c r="I117"/>
  <c r="BA23" i="15"/>
  <c r="L184" i="237"/>
  <c r="AY19" i="15"/>
  <c r="F116" i="223"/>
  <c r="G31"/>
  <c r="J71"/>
  <c r="H141"/>
  <c r="BF19" i="15"/>
  <c r="AO25"/>
  <c r="B154" i="223"/>
  <c r="BA16" i="18"/>
  <c r="K120" i="237"/>
  <c r="I90" i="223"/>
  <c r="I39"/>
  <c r="L28" i="1"/>
  <c r="E95" i="223"/>
  <c r="G150" i="237"/>
  <c r="L25" i="223"/>
  <c r="C83"/>
  <c r="J33" i="237"/>
  <c r="B140"/>
  <c r="E24" i="223"/>
  <c r="C161"/>
  <c r="G119"/>
  <c r="N77"/>
  <c r="AV5" i="18"/>
  <c r="BJ2" i="1"/>
  <c r="R19" i="15"/>
  <c r="AD7" i="18"/>
  <c r="E117" i="237"/>
  <c r="F172" i="223"/>
  <c r="BM15" i="18"/>
  <c r="I120" i="223"/>
  <c r="AM26" i="15"/>
  <c r="B170" i="223"/>
  <c r="AF8" i="18"/>
  <c r="F89" i="237"/>
  <c r="BI6" i="18"/>
  <c r="G44" i="223"/>
  <c r="G162" i="237"/>
  <c r="G61"/>
  <c r="N89" i="223"/>
  <c r="AD31" i="15"/>
  <c r="C58" i="223"/>
  <c r="BM16" i="18"/>
  <c r="B29" i="185"/>
  <c r="L170" i="237"/>
  <c r="AX5" i="18"/>
  <c r="H22" i="223"/>
  <c r="L31" i="15"/>
  <c r="F154" i="223"/>
  <c r="I127" i="237"/>
  <c r="BE27" i="15"/>
  <c r="I160" i="223"/>
  <c r="K116" i="237"/>
  <c r="AW14" i="18"/>
  <c r="BG19" i="15"/>
  <c r="J172" i="223"/>
  <c r="L94"/>
  <c r="P28" i="15"/>
  <c r="F68" i="237"/>
  <c r="AH28" i="15"/>
  <c r="C89" i="223"/>
  <c r="N181"/>
  <c r="J59"/>
  <c r="J139"/>
  <c r="AX15" i="18"/>
  <c r="Q5"/>
  <c r="M22"/>
  <c r="H2" i="1"/>
  <c r="BG26" i="15"/>
  <c r="B19" i="14"/>
  <c r="AL2" i="1"/>
  <c r="F103" i="223"/>
  <c r="N25" i="237"/>
  <c r="H186"/>
  <c r="M13" i="18"/>
  <c r="AM15"/>
  <c r="B134" i="223"/>
  <c r="J85" i="237"/>
  <c r="G27" i="15"/>
  <c r="D70" i="237"/>
  <c r="AI19" i="18"/>
  <c r="K74" i="237"/>
  <c r="AR2" i="18"/>
  <c r="AD5"/>
  <c r="Y29" i="15"/>
  <c r="BH29"/>
  <c r="H21" i="223"/>
  <c r="G138" i="237"/>
  <c r="I45" i="223"/>
  <c r="W19" i="18"/>
  <c r="K91" i="223"/>
  <c r="BA21" i="15"/>
  <c r="BA14" i="18"/>
  <c r="J13"/>
  <c r="J53" i="237"/>
  <c r="E38" i="223"/>
  <c r="M75" i="237"/>
  <c r="J137"/>
  <c r="I62" i="223"/>
  <c r="I20"/>
  <c r="M84" i="237"/>
  <c r="K72" i="223"/>
  <c r="L124" i="237"/>
  <c r="H12" i="18"/>
  <c r="G59" i="237"/>
  <c r="AD21" i="18"/>
  <c r="AM7"/>
  <c r="K119" i="237"/>
  <c r="X13" i="18"/>
  <c r="E20" i="223"/>
  <c r="N91"/>
  <c r="AS20" i="18"/>
  <c r="S5"/>
  <c r="BD10"/>
  <c r="G32" i="223"/>
  <c r="H118" i="237"/>
  <c r="AK14" i="18"/>
  <c r="F167" i="237"/>
  <c r="K37" i="223"/>
  <c r="H100" i="237"/>
  <c r="E91"/>
  <c r="V27" i="15"/>
  <c r="I85" i="223"/>
  <c r="M60"/>
  <c r="K133"/>
  <c r="F181"/>
  <c r="N68"/>
  <c r="E135"/>
  <c r="H165"/>
  <c r="N167"/>
  <c r="H62"/>
  <c r="AP20" i="15"/>
  <c r="H93" i="223"/>
  <c r="N123"/>
  <c r="I170"/>
  <c r="J11" i="18"/>
  <c r="AA19"/>
  <c r="D150" i="223"/>
  <c r="F31" i="237"/>
  <c r="W8" i="18"/>
  <c r="N117" i="223"/>
  <c r="C87"/>
  <c r="B93" i="237"/>
  <c r="M74" i="223"/>
  <c r="C42" i="237"/>
  <c r="G182" i="223"/>
  <c r="X28" i="15"/>
  <c r="B35" i="18"/>
  <c r="AE28" i="15"/>
  <c r="G25" i="223"/>
  <c r="F139" i="237"/>
  <c r="BC16" i="18"/>
  <c r="C117" i="223"/>
  <c r="J28"/>
  <c r="B163"/>
  <c r="L88"/>
  <c r="G37"/>
  <c r="G23" i="237"/>
  <c r="AV21" i="18"/>
  <c r="J180" i="237"/>
  <c r="H94"/>
  <c r="G146" i="223"/>
  <c r="B36" i="18"/>
  <c r="N150" i="237"/>
  <c r="Q6" i="18"/>
  <c r="G138" i="223"/>
  <c r="I55"/>
  <c r="BH18" i="18"/>
  <c r="AQ31" i="15"/>
  <c r="I37" i="237"/>
  <c r="D55" i="223"/>
  <c r="D102"/>
  <c r="F186"/>
  <c r="BK29" i="15"/>
  <c r="T2" i="1"/>
  <c r="H84" i="223"/>
  <c r="F135"/>
  <c r="D75" i="237"/>
  <c r="K117"/>
  <c r="I169"/>
  <c r="B39" i="223"/>
  <c r="AK17" i="18"/>
  <c r="K27" i="237"/>
  <c r="M24"/>
  <c r="D56"/>
  <c r="O24" i="15"/>
  <c r="K29" i="223"/>
  <c r="E77" i="237"/>
  <c r="AT30" i="15"/>
  <c r="M21" i="223"/>
  <c r="Q11" i="18"/>
  <c r="I60" i="223"/>
  <c r="BN18" i="18"/>
  <c r="J101" i="237"/>
  <c r="N153" i="223"/>
  <c r="N73"/>
  <c r="L136"/>
  <c r="B87" i="237"/>
  <c r="BB2" i="18"/>
  <c r="Z29" i="15"/>
  <c r="T8" i="18"/>
  <c r="I150" i="237"/>
  <c r="T28" i="15"/>
  <c r="N154" i="237"/>
  <c r="F20" i="223"/>
  <c r="E152"/>
  <c r="L95"/>
  <c r="Y4" i="18"/>
  <c r="D74" i="237"/>
  <c r="J131" i="223"/>
  <c r="D184"/>
  <c r="L45"/>
  <c r="J94" i="237"/>
  <c r="O19" i="15"/>
  <c r="F173" i="237"/>
  <c r="P7" i="18"/>
  <c r="L100" i="237"/>
  <c r="V19" i="18"/>
  <c r="D86" i="223"/>
  <c r="M46"/>
  <c r="E126" i="237"/>
  <c r="BE19" i="15"/>
  <c r="F137" i="223"/>
  <c r="K123"/>
  <c r="D148" i="237"/>
  <c r="AX19" i="18"/>
  <c r="D91" i="223"/>
  <c r="I122" i="237"/>
  <c r="K4" i="18"/>
  <c r="C117" i="237"/>
  <c r="AP14" i="18"/>
  <c r="U17"/>
  <c r="D140" i="223"/>
  <c r="E33"/>
  <c r="F37"/>
  <c r="D125" i="237"/>
  <c r="E153"/>
  <c r="B30" i="185"/>
  <c r="C60" i="237"/>
  <c r="N117"/>
  <c r="D28" i="223"/>
  <c r="U21" i="15"/>
  <c r="BG2" i="18"/>
  <c r="C89" i="237"/>
  <c r="S19" i="18"/>
  <c r="B30" i="237"/>
  <c r="U7" i="18"/>
  <c r="D150" i="237"/>
  <c r="X29" i="15"/>
  <c r="AR20"/>
  <c r="L22" i="223"/>
  <c r="L56" i="237"/>
  <c r="C60" i="223"/>
  <c r="N62"/>
  <c r="F180"/>
  <c r="G43" i="237"/>
  <c r="AW20" i="15"/>
  <c r="K134" i="237"/>
  <c r="M86" i="223"/>
  <c r="I3" i="1"/>
  <c r="AY2" i="18"/>
  <c r="AG2" i="1"/>
  <c r="AM13" i="18"/>
  <c r="Q2"/>
  <c r="D90" i="223"/>
  <c r="AH34" i="18"/>
  <c r="L137" i="237"/>
  <c r="F179"/>
  <c r="P6" i="18"/>
  <c r="M7"/>
  <c r="F72" i="237"/>
  <c r="AW24" i="15"/>
  <c r="AA8" i="18"/>
  <c r="C130" i="223"/>
  <c r="AK7" i="18"/>
  <c r="B153" i="223"/>
  <c r="I75"/>
  <c r="H58" i="237"/>
  <c r="G71" i="223"/>
  <c r="G46" i="237"/>
  <c r="F147"/>
  <c r="AS19" i="15"/>
  <c r="N130" i="237"/>
  <c r="B29" i="223"/>
  <c r="B72" i="237"/>
  <c r="I155"/>
  <c r="D182"/>
  <c r="AA18" i="18"/>
  <c r="D119" i="223"/>
  <c r="BN31" i="15"/>
  <c r="M26" i="223"/>
  <c r="L13" i="18"/>
  <c r="G127" i="237"/>
  <c r="M57"/>
  <c r="L121" i="223"/>
  <c r="J121"/>
  <c r="G38"/>
  <c r="AB29" i="15"/>
  <c r="AZ19" i="18"/>
  <c r="H95" i="237"/>
  <c r="B124"/>
  <c r="C116" i="223"/>
  <c r="AY21" i="18"/>
  <c r="B45" i="223"/>
  <c r="AB7" i="18"/>
  <c r="B165" i="223"/>
  <c r="G119" i="237"/>
  <c r="M87"/>
  <c r="N20"/>
  <c r="D181"/>
  <c r="AJ31" i="15"/>
  <c r="R30"/>
  <c r="L156" i="237"/>
  <c r="L95"/>
  <c r="U2" i="1"/>
  <c r="J125" i="223"/>
  <c r="B137" i="237"/>
  <c r="AU21" i="18"/>
  <c r="H39" i="237"/>
  <c r="Q4" i="18"/>
  <c r="D127" i="237"/>
  <c r="BL2" i="18"/>
  <c r="N46" i="223"/>
  <c r="M32" i="237"/>
  <c r="C182" i="223"/>
  <c r="L134" i="237"/>
  <c r="B46"/>
  <c r="L117"/>
  <c r="K21"/>
  <c r="D122"/>
  <c r="F90" i="223"/>
  <c r="B58" i="237"/>
  <c r="H76" i="223"/>
  <c r="BF22" i="18"/>
  <c r="AA20"/>
  <c r="AM27" i="15"/>
  <c r="AN9" i="18"/>
  <c r="AM22" i="15"/>
  <c r="L25"/>
  <c r="N184" i="237"/>
  <c r="H90"/>
  <c r="N87" i="223"/>
  <c r="H45" i="237"/>
  <c r="O22" i="18"/>
  <c r="G29" i="223"/>
  <c r="U23" i="15"/>
  <c r="AJ30"/>
  <c r="C118" i="237"/>
  <c r="H127" i="223"/>
  <c r="AO15" i="18"/>
  <c r="AH21" i="15"/>
  <c r="BH23"/>
  <c r="M18" i="18"/>
  <c r="AY6"/>
  <c r="K180" i="237"/>
  <c r="F161" i="223"/>
  <c r="F140"/>
  <c r="E183"/>
  <c r="H88" i="237"/>
  <c r="J37"/>
  <c r="L28"/>
  <c r="K54" i="223"/>
  <c r="AC23" i="15"/>
  <c r="J168" i="237"/>
  <c r="AZ18" i="18"/>
  <c r="K76" i="237"/>
  <c r="F14" i="1"/>
  <c r="AV11" i="18"/>
  <c r="BE13"/>
  <c r="T27" i="15"/>
  <c r="F41" i="237"/>
  <c r="O21" i="15"/>
  <c r="M125" i="223"/>
  <c r="BB17" i="18"/>
  <c r="I75" i="237"/>
  <c r="I167"/>
  <c r="I57"/>
  <c r="I167" i="223"/>
  <c r="G101" i="237"/>
  <c r="D185"/>
  <c r="L23" i="15"/>
  <c r="BF12" i="18"/>
  <c r="F135" i="237"/>
  <c r="L26" i="15"/>
  <c r="F20" i="237"/>
  <c r="M69"/>
  <c r="J120" i="223"/>
  <c r="M94"/>
  <c r="Q20" i="15"/>
  <c r="BB19" i="18"/>
  <c r="J138" i="223"/>
  <c r="C167"/>
  <c r="BC3" i="18"/>
  <c r="C20" i="223"/>
  <c r="L119" i="237"/>
  <c r="I93"/>
  <c r="E138" i="223"/>
  <c r="B78"/>
  <c r="AE16" i="18"/>
  <c r="L33" i="237"/>
  <c r="O12" i="18"/>
  <c r="K69" i="223"/>
  <c r="I124" i="237"/>
  <c r="I88" i="223"/>
  <c r="E151"/>
  <c r="E154" i="237"/>
  <c r="F78" i="223"/>
  <c r="X2" i="1"/>
  <c r="N116" i="223"/>
  <c r="N75"/>
  <c r="D126" i="237"/>
  <c r="BR19" i="15"/>
  <c r="BI25"/>
  <c r="F31" i="223"/>
  <c r="I11" i="18"/>
  <c r="N85" i="223"/>
  <c r="F124" i="237"/>
  <c r="BH7" i="18"/>
  <c r="H53" i="223"/>
  <c r="N149"/>
  <c r="L166" i="237"/>
  <c r="AD20" i="15"/>
  <c r="J27" i="237"/>
  <c r="AB3" i="18"/>
  <c r="J41" i="223"/>
  <c r="D135" i="237"/>
  <c r="F117"/>
  <c r="BM21" i="18"/>
  <c r="I155" i="223"/>
  <c r="G91" i="237"/>
  <c r="Y6" i="18"/>
  <c r="B42" i="14"/>
  <c r="W20" i="15"/>
  <c r="AI19"/>
  <c r="K88" i="223"/>
  <c r="L145" i="237"/>
  <c r="AE18" i="18"/>
  <c r="J92" i="223"/>
  <c r="C184"/>
  <c r="BK22" i="18"/>
  <c r="BE26" i="15"/>
  <c r="J135" i="237"/>
  <c r="D40"/>
  <c r="F16" i="1"/>
  <c r="T28"/>
  <c r="K164" i="223"/>
  <c r="B162" i="237"/>
  <c r="BI22" i="18"/>
  <c r="AP5"/>
  <c r="L19"/>
  <c r="T21"/>
  <c r="G146" i="237"/>
  <c r="AE2" i="18"/>
  <c r="I45" i="237"/>
  <c r="G83" i="223"/>
  <c r="E56" i="237"/>
  <c r="AG29" i="15"/>
  <c r="AX8" i="18"/>
  <c r="N136" i="237"/>
  <c r="C135"/>
  <c r="AN18" i="18"/>
  <c r="AF20"/>
  <c r="L68" i="237"/>
  <c r="AD9" i="18"/>
  <c r="W2" i="14"/>
  <c r="B44" i="237"/>
  <c r="AT31" i="15"/>
  <c r="L117" i="223"/>
  <c r="AT20" i="18"/>
  <c r="B62" i="14"/>
  <c r="B100" i="237"/>
  <c r="I44" i="223"/>
  <c r="U30" i="15"/>
  <c r="J169" i="223"/>
  <c r="N121" i="237"/>
  <c r="N154" i="223"/>
  <c r="N39" i="237"/>
  <c r="AA25" i="15"/>
  <c r="F131" i="237"/>
  <c r="N161" i="223"/>
  <c r="AK22" i="15"/>
  <c r="E121" i="237"/>
  <c r="AG25" i="15"/>
  <c r="P25"/>
  <c r="H163" i="223"/>
  <c r="C72" i="237"/>
  <c r="P5" i="18"/>
  <c r="K173" i="223"/>
  <c r="N76" i="237"/>
  <c r="D33"/>
  <c r="BA5" i="18"/>
  <c r="B84" i="237"/>
  <c r="D61" i="223"/>
  <c r="AY5" i="18"/>
  <c r="C127" i="237"/>
  <c r="T12" i="18"/>
  <c r="K173" i="237"/>
  <c r="I57" i="223"/>
  <c r="G32" i="237"/>
  <c r="K31"/>
  <c r="H122" i="223"/>
  <c r="J163"/>
  <c r="AM18" i="18"/>
  <c r="B121" i="223"/>
  <c r="B34" i="14"/>
  <c r="BL34" i="18"/>
  <c r="L183" i="237"/>
  <c r="E133"/>
  <c r="Q7" i="18"/>
  <c r="M170" i="223"/>
  <c r="AI27" i="15"/>
  <c r="AT7" i="18"/>
  <c r="G170" i="237"/>
  <c r="H29" i="223"/>
  <c r="J20" i="15"/>
  <c r="AM8" i="18"/>
  <c r="M117" i="223"/>
  <c r="AE27" i="15"/>
  <c r="L74" i="223"/>
  <c r="E54" i="237"/>
  <c r="AB8" i="18"/>
  <c r="AU15"/>
  <c r="Y27" i="15"/>
  <c r="G103" i="223"/>
  <c r="B41"/>
  <c r="Z6" i="18"/>
  <c r="C54"/>
  <c r="X15"/>
  <c r="C150" i="223"/>
  <c r="BF27" i="15"/>
  <c r="L115" i="237"/>
  <c r="AD19" i="18"/>
  <c r="I18"/>
  <c r="P9"/>
  <c r="S12"/>
  <c r="M180" i="223"/>
  <c r="F39"/>
  <c r="AE19" i="18"/>
  <c r="AI16"/>
  <c r="M90" i="237"/>
  <c r="B69" i="223"/>
  <c r="L25" i="237"/>
  <c r="M148" i="223"/>
  <c r="K27" i="15"/>
  <c r="L31" i="237"/>
  <c r="I102" i="223"/>
  <c r="J40"/>
  <c r="H67"/>
  <c r="J29"/>
  <c r="B119" i="237"/>
  <c r="D123" i="223"/>
  <c r="D53"/>
  <c r="I130" i="237"/>
  <c r="Y16" i="18"/>
  <c r="M55" i="237"/>
  <c r="AK31" i="15"/>
  <c r="D69" i="223"/>
  <c r="E147" i="237"/>
  <c r="E28" i="223"/>
  <c r="L151"/>
  <c r="J72"/>
  <c r="AC12" i="18"/>
  <c r="X20"/>
  <c r="BD30" i="15"/>
  <c r="M12" i="18"/>
  <c r="H78" i="223"/>
  <c r="B32" i="237"/>
  <c r="F53" i="223"/>
  <c r="AN19" i="18"/>
  <c r="E86" i="223"/>
  <c r="D78"/>
  <c r="BA6" i="18"/>
  <c r="BM22"/>
  <c r="AN34"/>
  <c r="B37" i="237"/>
  <c r="P17" i="18"/>
  <c r="B161" i="223"/>
  <c r="AS3" i="18"/>
  <c r="B73" i="237"/>
  <c r="M93"/>
  <c r="S34" i="18"/>
  <c r="C180" i="237"/>
  <c r="B146" i="223"/>
  <c r="V6" i="18"/>
  <c r="G148" i="223"/>
  <c r="I42" i="237"/>
  <c r="BJ5" i="18"/>
  <c r="N30" i="237"/>
  <c r="C91"/>
  <c r="BN9" i="18"/>
  <c r="H16"/>
  <c r="K20" i="223"/>
  <c r="C97" i="18"/>
  <c r="AB20"/>
  <c r="AA29" i="15"/>
  <c r="M75" i="223"/>
  <c r="S13" i="18"/>
  <c r="BC13"/>
  <c r="BC22" i="15"/>
  <c r="H149" i="223"/>
  <c r="AA30" i="15"/>
  <c r="G26"/>
  <c r="L43" i="223"/>
  <c r="V11" i="18"/>
  <c r="BD19" i="15"/>
  <c r="G20" i="223"/>
  <c r="H74"/>
  <c r="B141" i="237"/>
  <c r="AO6" i="18"/>
  <c r="B38" i="223"/>
  <c r="I24" i="237"/>
  <c r="X6" i="18"/>
  <c r="E75" i="223"/>
  <c r="AI2" i="18"/>
  <c r="AG19"/>
  <c r="AB19" i="15"/>
  <c r="H153" i="237"/>
  <c r="D38"/>
  <c r="AX2" i="18"/>
  <c r="K101" i="223"/>
  <c r="D131" i="237"/>
  <c r="AJ2" i="1"/>
  <c r="O34" i="18"/>
  <c r="E101" i="237"/>
  <c r="AG3" i="18"/>
  <c r="L6" i="14"/>
  <c r="O20" i="18"/>
  <c r="D42" i="237"/>
  <c r="R15" i="18"/>
  <c r="J44" i="223"/>
  <c r="F21" i="1"/>
  <c r="Q19" i="15"/>
  <c r="C149" i="223"/>
  <c r="B152"/>
  <c r="I125" i="237"/>
  <c r="AD23" i="15"/>
  <c r="M124" i="237"/>
  <c r="BJ34" i="18"/>
  <c r="BH6"/>
  <c r="V30" i="15"/>
  <c r="M131" i="237"/>
  <c r="Q19" i="18"/>
  <c r="C76" i="237"/>
  <c r="AU34" i="18"/>
  <c r="K44" i="223"/>
  <c r="T22" i="15"/>
  <c r="M15" i="18"/>
  <c r="M54" i="237"/>
  <c r="K67" i="223"/>
  <c r="B43" i="237"/>
  <c r="H152" i="223"/>
  <c r="J148"/>
  <c r="K59" i="237"/>
  <c r="AX21" i="18"/>
  <c r="S29" i="15"/>
  <c r="M152" i="223"/>
  <c r="B28" i="237"/>
  <c r="K169"/>
  <c r="W26" i="15"/>
  <c r="I41" i="237"/>
  <c r="AN21" i="18"/>
  <c r="AN22"/>
  <c r="E88" i="237"/>
  <c r="N141" i="223"/>
  <c r="BG10" i="18"/>
  <c r="AR3"/>
  <c r="M155" i="223"/>
  <c r="AK22" i="18"/>
  <c r="AA24" i="15"/>
  <c r="C94" i="237"/>
  <c r="B101"/>
  <c r="AD16" i="18"/>
  <c r="H28" i="15"/>
  <c r="O8" i="18"/>
  <c r="H73" i="223"/>
  <c r="F166"/>
  <c r="V22" i="18"/>
  <c r="Z2"/>
  <c r="O20" i="15"/>
  <c r="BJ15" i="18"/>
  <c r="B140" i="223"/>
  <c r="M2" i="1"/>
  <c r="F85" i="237"/>
  <c r="I119"/>
  <c r="B53" i="14"/>
  <c r="E134" i="237"/>
  <c r="E84"/>
  <c r="G19" i="18"/>
  <c r="BB24" i="15"/>
  <c r="K153" i="223"/>
  <c r="L5" i="18"/>
  <c r="B124" i="223"/>
  <c r="F61" i="237"/>
  <c r="F83" i="223"/>
  <c r="AI23" i="15"/>
  <c r="L22"/>
  <c r="I24" i="223"/>
  <c r="D42"/>
  <c r="B180" i="237"/>
  <c r="AH3" i="18"/>
  <c r="Q25" i="15"/>
  <c r="AW27"/>
  <c r="K22" i="237"/>
  <c r="AU26" i="15"/>
  <c r="K167" i="237"/>
  <c r="B39"/>
  <c r="J164" i="223"/>
  <c r="F8" i="1"/>
  <c r="H136" i="223"/>
  <c r="AJ10" i="18"/>
  <c r="BE25" i="15"/>
  <c r="B155" i="237"/>
  <c r="H145" i="223"/>
  <c r="AW2" i="18"/>
  <c r="C44" i="237"/>
  <c r="N23" i="223"/>
  <c r="BG18" i="18"/>
  <c r="F29" i="237"/>
  <c r="H2" i="18"/>
  <c r="I17"/>
  <c r="L23" i="223"/>
  <c r="BJ22" i="15"/>
  <c r="M32" i="223"/>
  <c r="D130"/>
  <c r="N125" i="237"/>
  <c r="AC28" i="15"/>
  <c r="AU25"/>
  <c r="C148" i="223"/>
  <c r="J27"/>
  <c r="BE16" i="18"/>
  <c r="AJ27" i="15"/>
  <c r="K130" i="237"/>
  <c r="BF5" i="18"/>
  <c r="K150" i="223"/>
  <c r="G139" i="237"/>
  <c r="Q3" i="18"/>
  <c r="G160" i="237"/>
  <c r="I46"/>
  <c r="C147"/>
  <c r="AN3" i="18"/>
  <c r="BI18"/>
  <c r="B40" i="237"/>
  <c r="C84"/>
  <c r="J77" i="223"/>
  <c r="K123" i="237"/>
  <c r="T29" i="15"/>
  <c r="I59" i="237"/>
  <c r="AT9" i="18"/>
  <c r="E172" i="223"/>
  <c r="L179" i="237"/>
  <c r="G115"/>
  <c r="B70"/>
  <c r="H179"/>
  <c r="I179" i="223"/>
  <c r="M91" i="237"/>
  <c r="L30" i="15"/>
  <c r="AQ34" i="18"/>
  <c r="G63" i="223"/>
  <c r="AL14" i="18"/>
  <c r="R21"/>
  <c r="AB14"/>
  <c r="I166" i="237"/>
  <c r="AZ22" i="15"/>
  <c r="F38" i="237"/>
  <c r="F127" i="223"/>
  <c r="K2" i="1"/>
  <c r="L183" i="223"/>
  <c r="H139" i="237"/>
  <c r="G60"/>
  <c r="AT19" i="15"/>
  <c r="G76" i="237"/>
  <c r="D73"/>
  <c r="B62"/>
  <c r="D90"/>
  <c r="BK30" i="15"/>
  <c r="I137" i="237"/>
  <c r="M21"/>
  <c r="L44" i="223"/>
  <c r="BM7" i="18"/>
  <c r="I126" i="237"/>
  <c r="F70" i="223"/>
  <c r="K170"/>
  <c r="J43" i="237"/>
  <c r="AU24" i="15"/>
  <c r="B165" i="237"/>
  <c r="AT34" i="18"/>
  <c r="E94" i="237"/>
  <c r="J17" i="18"/>
  <c r="G101" i="223"/>
  <c r="I133" i="237"/>
  <c r="G86" i="223"/>
  <c r="W20" i="18"/>
  <c r="AS18"/>
  <c r="K124" i="237"/>
  <c r="C118" i="223"/>
  <c r="AK10" i="18"/>
  <c r="T20"/>
  <c r="C93" i="223"/>
  <c r="E103"/>
  <c r="B74" i="237"/>
  <c r="H148"/>
  <c r="AD4" i="18"/>
  <c r="K20" i="15"/>
  <c r="N122" i="237"/>
  <c r="AE15" i="18"/>
  <c r="E58" i="223"/>
  <c r="I91" i="237"/>
  <c r="F27" i="223"/>
  <c r="BK13" i="18"/>
  <c r="J122" i="237"/>
  <c r="G185" i="223"/>
  <c r="AF23" i="15"/>
  <c r="BA9" i="18"/>
  <c r="V29" i="15"/>
  <c r="M3" i="18"/>
  <c r="AQ19"/>
  <c r="M167" i="223"/>
  <c r="G60"/>
  <c r="M163" i="237"/>
  <c r="E103"/>
  <c r="E125" i="223"/>
  <c r="M124"/>
  <c r="BG19" i="18"/>
  <c r="B63" i="223"/>
  <c r="C179" i="237"/>
  <c r="K20" i="18"/>
  <c r="B10" i="185"/>
  <c r="K181" i="223"/>
  <c r="H135"/>
  <c r="N94" i="237"/>
  <c r="AX7" i="18"/>
  <c r="J18"/>
  <c r="F138" i="237"/>
  <c r="BM9" i="18"/>
  <c r="E88" i="223"/>
  <c r="B27"/>
  <c r="B73"/>
  <c r="AP3" i="18"/>
  <c r="C67"/>
  <c r="J5"/>
  <c r="B185" i="223"/>
  <c r="H32"/>
  <c r="B21"/>
  <c r="L27" i="237"/>
  <c r="AS16" i="18"/>
  <c r="BJ26" i="15"/>
  <c r="BD9" i="18"/>
  <c r="C124" i="237"/>
  <c r="I140"/>
  <c r="F162"/>
  <c r="C78" i="223"/>
  <c r="L32"/>
  <c r="I19" i="18"/>
  <c r="AT8"/>
  <c r="C146" i="237"/>
  <c r="K138" i="223"/>
  <c r="Y17" i="18"/>
  <c r="J57" i="223"/>
  <c r="N172"/>
  <c r="D60" i="237"/>
  <c r="J125"/>
  <c r="J3" i="18"/>
  <c r="N94" i="223"/>
  <c r="V5" i="18"/>
  <c r="C123" i="237"/>
  <c r="N146" i="223"/>
  <c r="AB27" i="15"/>
  <c r="C43" i="237"/>
  <c r="I148" i="223"/>
  <c r="J170" i="237"/>
  <c r="L139" i="223"/>
  <c r="D77"/>
  <c r="B14" i="14"/>
  <c r="E130" i="223"/>
  <c r="E100"/>
  <c r="AW20" i="18"/>
  <c r="N84" i="237"/>
  <c r="G68"/>
  <c r="AY22" i="18"/>
  <c r="D29" i="237"/>
  <c r="AI31" i="15"/>
  <c r="H91" i="237"/>
  <c r="BG8" i="18"/>
  <c r="BJ2"/>
  <c r="R2"/>
  <c r="AF22"/>
  <c r="I156" i="223"/>
  <c r="I118"/>
  <c r="H55"/>
  <c r="M131"/>
  <c r="H27" i="237"/>
  <c r="AP22" i="15"/>
  <c r="AF34" i="18"/>
  <c r="AH16"/>
  <c r="AO19"/>
  <c r="J165" i="223"/>
  <c r="AE6" i="18"/>
  <c r="AL12"/>
  <c r="B171" i="237"/>
  <c r="J54"/>
  <c r="J184"/>
  <c r="O10" i="18"/>
  <c r="L153" i="237"/>
  <c r="AG8" i="18"/>
  <c r="AJ7"/>
  <c r="H28" i="237"/>
  <c r="E102"/>
  <c r="U20" i="18"/>
  <c r="D31" i="223"/>
  <c r="C184" i="237"/>
  <c r="AR19" i="15"/>
  <c r="M40" i="237"/>
  <c r="AQ20" i="18"/>
  <c r="H24" i="237"/>
  <c r="AE17" i="18"/>
  <c r="AL26" i="15"/>
  <c r="BA7" i="18"/>
  <c r="Z11"/>
  <c r="B91" i="237"/>
  <c r="J6" i="18"/>
  <c r="K181" i="237"/>
  <c r="C86" i="223"/>
  <c r="BN24" i="15"/>
  <c r="X27"/>
  <c r="K73" i="237"/>
  <c r="K100"/>
  <c r="H125"/>
  <c r="Z19" i="15"/>
  <c r="AH30"/>
  <c r="N63" i="223"/>
  <c r="C137" i="237"/>
  <c r="G85"/>
  <c r="K39" i="223"/>
  <c r="AL8" i="18"/>
  <c r="F7" i="1"/>
  <c r="K29" i="15"/>
  <c r="G54" i="237"/>
  <c r="C77" i="223"/>
  <c r="C136"/>
  <c r="AJ16" i="18"/>
  <c r="M85" i="223"/>
  <c r="G173" i="237"/>
  <c r="J92"/>
  <c r="AR22" i="18"/>
  <c r="M133" i="237"/>
  <c r="N102" i="223"/>
  <c r="G73" i="237"/>
  <c r="AD24" i="15"/>
  <c r="D147" i="237"/>
  <c r="N166"/>
  <c r="D103"/>
  <c r="BJ31" i="15"/>
  <c r="F101" i="223"/>
  <c r="Y30" i="15"/>
  <c r="AV34" i="18"/>
  <c r="L67" i="237"/>
  <c r="C53" i="223"/>
  <c r="K16" i="18"/>
  <c r="G62" i="223"/>
  <c r="K122" i="237"/>
  <c r="G131"/>
  <c r="D170" i="223"/>
  <c r="N181" i="237"/>
  <c r="K119" i="223"/>
  <c r="AY23" i="15"/>
  <c r="J162" i="223"/>
  <c r="C180"/>
  <c r="H11" i="18"/>
  <c r="I173" i="237"/>
  <c r="K92" i="223"/>
  <c r="J21" i="15"/>
  <c r="BG4" i="18"/>
  <c r="AI22"/>
  <c r="J179" i="223"/>
  <c r="H123" i="237"/>
  <c r="AP2" i="18"/>
  <c r="J124" i="237"/>
  <c r="M25" i="223"/>
  <c r="H34" i="18"/>
  <c r="AF19" i="15"/>
  <c r="P27"/>
  <c r="B131" i="237"/>
  <c r="AJ22" i="18"/>
  <c r="AL28" i="15"/>
  <c r="D58" i="237"/>
  <c r="B182"/>
  <c r="Y28" i="15"/>
  <c r="D58" i="223"/>
  <c r="J116"/>
  <c r="C56"/>
  <c r="J101"/>
  <c r="AW11" i="18"/>
  <c r="AE22" i="15"/>
  <c r="M29" i="223"/>
  <c r="I73"/>
  <c r="L155"/>
  <c r="BI27" i="15"/>
  <c r="I37" i="223"/>
  <c r="I103" i="237"/>
  <c r="N83"/>
  <c r="G133" i="223"/>
  <c r="B67" i="237"/>
  <c r="B77" i="223"/>
  <c r="H93" i="237"/>
  <c r="C124" i="223"/>
  <c r="K132" i="237"/>
  <c r="H181"/>
  <c r="E137" i="223"/>
  <c r="C126"/>
  <c r="B37" i="14"/>
  <c r="D76" i="237"/>
  <c r="L132"/>
  <c r="K41" i="223"/>
  <c r="R12" i="18"/>
  <c r="D94" i="237"/>
  <c r="W14" i="18"/>
  <c r="F132" i="223"/>
  <c r="E43"/>
  <c r="AE21" i="15"/>
  <c r="K67" i="237"/>
  <c r="AA22" i="15"/>
  <c r="B87" i="223"/>
  <c r="G172"/>
  <c r="F117"/>
  <c r="G95"/>
  <c r="H185" i="237"/>
  <c r="J45"/>
  <c r="BK17" i="18"/>
  <c r="L23" i="237"/>
  <c r="AN31" i="15"/>
  <c r="K23" i="223"/>
  <c r="X12" i="18"/>
  <c r="F163" i="237"/>
  <c r="L2" i="18"/>
  <c r="F83" i="237"/>
  <c r="L53"/>
  <c r="U29" i="15"/>
  <c r="E68" i="223"/>
  <c r="BM11" i="18"/>
  <c r="H92" i="223"/>
  <c r="N2" i="1"/>
  <c r="L173" i="237"/>
  <c r="H60"/>
  <c r="K75"/>
  <c r="BD20" i="18"/>
  <c r="G120" i="237"/>
  <c r="J73"/>
  <c r="I17" i="1"/>
  <c r="AC19" i="18"/>
  <c r="H19" i="15"/>
  <c r="E60" i="223"/>
  <c r="Y2" i="18"/>
  <c r="M152" i="237"/>
  <c r="BI29" i="15"/>
  <c r="I33" i="223"/>
  <c r="AZ7" i="18"/>
  <c r="AB4"/>
  <c r="N34"/>
  <c r="C45" s="1"/>
  <c r="K95" i="223"/>
  <c r="D118"/>
  <c r="B30" i="14"/>
  <c r="G137" i="237"/>
  <c r="AU6" i="18"/>
  <c r="X26" i="15"/>
  <c r="H17" i="18"/>
  <c r="BF25" i="15"/>
  <c r="AG4" i="18"/>
  <c r="L118" i="237"/>
  <c r="M71"/>
  <c r="C54"/>
  <c r="BE24" i="15"/>
  <c r="AM14" i="18"/>
  <c r="AQ5"/>
  <c r="U16"/>
  <c r="I21" i="15"/>
  <c r="AZ6" i="18"/>
  <c r="R2" i="14"/>
  <c r="E118" i="223"/>
  <c r="B25" i="14"/>
  <c r="F33" i="237"/>
  <c r="D167"/>
  <c r="W2" i="18"/>
  <c r="E166" i="223"/>
  <c r="F73" i="237"/>
  <c r="K117" i="223"/>
  <c r="K57"/>
  <c r="F167"/>
  <c r="E186" i="237"/>
  <c r="P13" i="18"/>
  <c r="B26" i="14"/>
  <c r="AL21" i="18"/>
  <c r="N88" i="237"/>
  <c r="AM24" i="15"/>
  <c r="M44" i="237"/>
  <c r="I2" i="18"/>
  <c r="N141" i="237"/>
  <c r="F150"/>
  <c r="L147"/>
  <c r="L135"/>
  <c r="J38" i="223"/>
  <c r="T23" i="15"/>
  <c r="BD31"/>
  <c r="AA2" i="18"/>
  <c r="AO34"/>
  <c r="D32" i="223"/>
  <c r="B123"/>
  <c r="C100" i="237"/>
  <c r="G16" i="18"/>
  <c r="BI10"/>
  <c r="F86" i="223"/>
  <c r="B6" i="185"/>
  <c r="BD12" i="18"/>
  <c r="K127" i="237"/>
  <c r="K75" i="223"/>
  <c r="BI13" i="18"/>
  <c r="AU29" i="15"/>
  <c r="D132" i="223"/>
  <c r="J84" i="237"/>
  <c r="BK26" i="15"/>
  <c r="AY11" i="18"/>
  <c r="J54" i="223"/>
  <c r="P10" i="18"/>
  <c r="H86" i="223"/>
  <c r="I22" i="237"/>
  <c r="BK22" i="15"/>
  <c r="L148" i="223"/>
  <c r="C145" i="237"/>
  <c r="BE3" i="18"/>
  <c r="D71" i="237"/>
  <c r="J170" i="223"/>
  <c r="F58" i="237"/>
  <c r="K45"/>
  <c r="G153" i="223"/>
  <c r="J118"/>
  <c r="H30" i="15"/>
  <c r="E26" i="237"/>
  <c r="AY26" i="15"/>
  <c r="K89" i="223"/>
  <c r="B180"/>
  <c r="L138" i="237"/>
  <c r="B121"/>
  <c r="F147" i="223"/>
  <c r="N59" i="237"/>
  <c r="I7" i="18"/>
  <c r="N40" i="223"/>
  <c r="N29" i="15"/>
  <c r="Q28"/>
  <c r="AC17" i="18"/>
  <c r="Y20"/>
  <c r="AI26" i="15"/>
  <c r="M23" i="237"/>
  <c r="E119" i="223"/>
  <c r="M169" i="237"/>
  <c r="M25"/>
  <c r="AK27" i="15"/>
  <c r="BA34" i="18"/>
  <c r="H146" i="237"/>
  <c r="B54" i="14"/>
  <c r="AJ9" i="18"/>
  <c r="R9"/>
  <c r="M150" i="223"/>
  <c r="F93" i="237"/>
  <c r="U19" i="18"/>
  <c r="M154" i="223"/>
  <c r="K91" i="237"/>
  <c r="AD3" i="18"/>
  <c r="H124" i="223"/>
  <c r="BE11" i="18"/>
  <c r="AK34"/>
  <c r="AS14"/>
  <c r="Z14"/>
  <c r="G137" i="223"/>
  <c r="S2" i="18"/>
  <c r="D25" i="223"/>
  <c r="K115" i="237"/>
  <c r="AN24" i="15"/>
  <c r="L92" i="237"/>
  <c r="V2" i="18"/>
  <c r="BD5"/>
  <c r="AF24" i="15"/>
  <c r="I122" i="223"/>
  <c r="I140"/>
  <c r="F74" i="237"/>
  <c r="F136" i="223"/>
  <c r="BH21" i="15"/>
  <c r="D136" i="223"/>
  <c r="AT4" i="18"/>
  <c r="M33" i="237"/>
  <c r="AP26" i="15"/>
  <c r="AK2" i="18"/>
  <c r="R11"/>
  <c r="BD29" i="15"/>
  <c r="BL3" i="18"/>
  <c r="O28" i="15"/>
  <c r="D57" i="237"/>
  <c r="AX34" i="18"/>
  <c r="N2"/>
  <c r="C63" i="14"/>
  <c r="AE25" i="15"/>
  <c r="BE2" i="18"/>
  <c r="J8"/>
  <c r="H146" i="223"/>
  <c r="AE29" i="15"/>
  <c r="AT21" i="18"/>
  <c r="BC34"/>
  <c r="F95" i="223"/>
  <c r="G186"/>
  <c r="B25"/>
  <c r="AS11" i="18"/>
  <c r="F93" i="223"/>
  <c r="J186"/>
  <c r="C156"/>
  <c r="AX19" i="15"/>
  <c r="R28"/>
  <c r="F69" i="237"/>
  <c r="C56"/>
  <c r="M102" i="223"/>
  <c r="AH18" i="18"/>
  <c r="AO19" i="15"/>
  <c r="J183" i="237"/>
  <c r="K131" i="223"/>
  <c r="L86"/>
  <c r="J90"/>
  <c r="L164" i="237"/>
  <c r="F141"/>
  <c r="AC20" i="18"/>
  <c r="G67" i="237"/>
  <c r="N70"/>
  <c r="AC9" i="18"/>
  <c r="B123" i="237"/>
  <c r="G7" i="18"/>
  <c r="M27" i="15"/>
  <c r="AF28"/>
  <c r="G141" i="237"/>
  <c r="BN11" i="18"/>
  <c r="D59" i="237"/>
  <c r="AT2" i="1"/>
  <c r="E42" i="237"/>
  <c r="C76" i="223"/>
  <c r="F120"/>
  <c r="M101"/>
  <c r="E181" i="237"/>
  <c r="E167"/>
  <c r="N54" i="223"/>
  <c r="S9" i="18"/>
  <c r="K53" i="237"/>
  <c r="L125" i="223"/>
  <c r="I141" i="237"/>
  <c r="D70" i="223"/>
  <c r="I124"/>
  <c r="BJ6" i="18"/>
  <c r="I181" i="237"/>
  <c r="BF19" i="18"/>
  <c r="BK25" i="15"/>
  <c r="D185" i="223"/>
  <c r="C28" i="237"/>
  <c r="M19" i="18"/>
  <c r="J31" i="237"/>
  <c r="M130" i="223"/>
  <c r="L90"/>
  <c r="G21" i="18"/>
  <c r="AO31" i="15"/>
  <c r="G117" i="237"/>
  <c r="N151" i="223"/>
  <c r="BD4" i="18"/>
  <c r="D46" i="223"/>
  <c r="J152"/>
  <c r="D33"/>
  <c r="M28" i="237"/>
  <c r="AM28" i="1"/>
  <c r="E183" i="237"/>
  <c r="K161"/>
  <c r="G133"/>
  <c r="L173" i="223"/>
  <c r="C85"/>
  <c r="BF21" i="15"/>
  <c r="B102" i="237"/>
  <c r="L169" i="223"/>
  <c r="C151" i="237"/>
  <c r="D166"/>
  <c r="AR21" i="18"/>
  <c r="B170" i="237"/>
  <c r="BH13" i="18"/>
  <c r="BA18"/>
  <c r="B60" i="237"/>
  <c r="AB10" i="18"/>
  <c r="H148" i="223"/>
  <c r="N31"/>
  <c r="R27" i="15"/>
  <c r="AZ21" i="18"/>
  <c r="E28" i="237"/>
  <c r="I131" i="223"/>
  <c r="N122"/>
  <c r="B152" i="237"/>
  <c r="AH2" i="1"/>
  <c r="AT10" i="18"/>
  <c r="AQ27" i="15"/>
  <c r="AH5" i="18"/>
  <c r="G25" i="237"/>
  <c r="N147" i="223"/>
  <c r="I9" i="18"/>
  <c r="L162" i="223"/>
  <c r="B110" i="18"/>
  <c r="AV6"/>
  <c r="Y10"/>
  <c r="F63" i="223"/>
  <c r="B35" i="14"/>
  <c r="J7" i="18"/>
  <c r="B59" i="237"/>
  <c r="AD27" i="15"/>
  <c r="N69" i="223"/>
  <c r="E172" i="237"/>
  <c r="J62" i="223"/>
  <c r="K121" i="237"/>
  <c r="AZ10" i="18"/>
  <c r="N18"/>
  <c r="L11"/>
  <c r="C91" i="223"/>
  <c r="B88"/>
  <c r="AG10" i="18"/>
  <c r="AT2"/>
  <c r="N127" i="237"/>
  <c r="M30"/>
  <c r="B25"/>
  <c r="E146"/>
  <c r="G166"/>
  <c r="I154"/>
  <c r="B56" i="14"/>
  <c r="K30" i="237"/>
  <c r="S10" i="18"/>
  <c r="K145" i="223"/>
  <c r="O17" i="18"/>
  <c r="B168" i="237"/>
  <c r="G132"/>
  <c r="K166" i="223"/>
  <c r="V31" i="15"/>
  <c r="BC12" i="18"/>
  <c r="K54" i="237"/>
  <c r="I133" i="223"/>
  <c r="BH9" i="18"/>
  <c r="D22" i="237"/>
  <c r="O23" i="15"/>
  <c r="BC21"/>
  <c r="F22" i="223"/>
  <c r="M156" i="237"/>
  <c r="BC25" i="15"/>
  <c r="Q16" i="18"/>
  <c r="AW21" i="15"/>
  <c r="N183" i="223"/>
  <c r="I84" i="237"/>
  <c r="I28"/>
  <c r="C30" i="1"/>
  <c r="M88" i="223"/>
  <c r="AP4" i="18"/>
  <c r="BG9"/>
  <c r="C62" i="223"/>
  <c r="J123" i="237"/>
  <c r="AU22" i="18"/>
  <c r="BK23" i="15"/>
  <c r="E33" i="237"/>
  <c r="J152"/>
  <c r="I100" i="223"/>
  <c r="AZ11" i="18"/>
  <c r="G134" i="237"/>
  <c r="F85" i="223"/>
  <c r="N150"/>
  <c r="N92" i="237"/>
  <c r="B187" i="223"/>
  <c r="H151" i="237"/>
  <c r="AL19" i="15"/>
  <c r="E70" i="237"/>
  <c r="I123" i="223"/>
  <c r="J117" i="237"/>
  <c r="E171" i="223"/>
  <c r="P16" i="18"/>
  <c r="B22" i="237"/>
  <c r="BE9" i="18"/>
  <c r="V16"/>
  <c r="AQ10"/>
  <c r="C83" i="237"/>
  <c r="H6" i="18"/>
  <c r="M20"/>
  <c r="B117" i="223"/>
  <c r="M54"/>
  <c r="M67" i="237"/>
  <c r="AC7" i="18"/>
  <c r="BG2" i="1"/>
  <c r="N92" i="223"/>
  <c r="J68" i="237"/>
  <c r="E57" i="223"/>
  <c r="AI7" i="18"/>
  <c r="AI13"/>
  <c r="R2" i="1"/>
  <c r="F122" i="223"/>
  <c r="K61" i="237"/>
  <c r="E31" i="223"/>
  <c r="J100" i="237"/>
  <c r="L127"/>
  <c r="AS9" i="18"/>
  <c r="D133" i="223"/>
  <c r="BC28" i="1"/>
  <c r="L80" i="223"/>
  <c r="AJ6" i="18"/>
  <c r="E45" i="223"/>
  <c r="Y15" i="18"/>
  <c r="AL11"/>
  <c r="AB23" i="15"/>
  <c r="I14" i="1"/>
  <c r="M149" i="223"/>
  <c r="AC4" i="18"/>
  <c r="M8"/>
  <c r="AE12"/>
  <c r="D92" i="237"/>
  <c r="AO7" i="18"/>
  <c r="I40" i="237"/>
  <c r="X23" i="15"/>
  <c r="J156" i="237"/>
  <c r="BJ17" i="18"/>
  <c r="J123" i="223"/>
  <c r="N26" i="15"/>
  <c r="N42" i="223"/>
  <c r="H77" i="237"/>
  <c r="BD28" i="15"/>
  <c r="I26" i="223"/>
  <c r="F46"/>
  <c r="I58"/>
  <c r="B130" i="237"/>
  <c r="G24" i="223"/>
  <c r="AP21" i="18"/>
  <c r="E74" i="223"/>
  <c r="X4" i="18"/>
  <c r="K152" i="237"/>
  <c r="AY7" i="18"/>
  <c r="F71" i="223"/>
  <c r="BK34" i="18"/>
  <c r="C94" s="1"/>
  <c r="H20" i="223"/>
  <c r="V25" i="15"/>
  <c r="AK28"/>
  <c r="BB14" i="18"/>
  <c r="I181" i="223"/>
  <c r="B32" i="14"/>
  <c r="L124" i="223"/>
  <c r="R29" i="15"/>
  <c r="N90" i="237"/>
  <c r="B45" i="14"/>
  <c r="C75" i="223"/>
  <c r="C132"/>
  <c r="D141" i="237"/>
  <c r="H19" i="18"/>
  <c r="BH28" i="15"/>
  <c r="N134" i="237"/>
  <c r="AG22" i="15"/>
  <c r="K90" i="237"/>
  <c r="B69"/>
  <c r="V20" i="15"/>
  <c r="BF13" i="18"/>
  <c r="D124" i="223"/>
  <c r="C115"/>
  <c r="K161"/>
  <c r="C76" i="18"/>
  <c r="L37" i="237"/>
  <c r="K138"/>
  <c r="G147" i="223"/>
  <c r="AH12" i="18"/>
  <c r="AM21"/>
  <c r="AV31" i="15"/>
  <c r="M160" i="237"/>
  <c r="I74"/>
  <c r="BH30" i="15"/>
  <c r="F89" i="223"/>
  <c r="BF8" i="18"/>
  <c r="H73" i="237"/>
  <c r="N180"/>
  <c r="I161"/>
  <c r="AE24" i="15"/>
  <c r="AA3" i="18"/>
  <c r="E85" i="223"/>
  <c r="AH13" i="18"/>
  <c r="D152" i="223"/>
  <c r="D172"/>
  <c r="F12" i="1"/>
  <c r="I149" i="237"/>
  <c r="AL24" i="15"/>
  <c r="H132" i="237"/>
  <c r="Y23" i="15"/>
  <c r="K60" i="237"/>
  <c r="H173"/>
  <c r="M130"/>
  <c r="AD6" i="18"/>
  <c r="G168" i="223"/>
  <c r="BN7" i="18"/>
  <c r="E138" i="237"/>
  <c r="AI3" i="18"/>
  <c r="M182" i="223"/>
  <c r="F29"/>
  <c r="B173" i="237"/>
  <c r="BA15" i="18"/>
  <c r="AR30" i="15"/>
  <c r="AG22" i="18"/>
  <c r="M95" i="223"/>
  <c r="BM14" i="18"/>
  <c r="E23" i="223"/>
  <c r="G78" i="237"/>
  <c r="H30" i="223"/>
  <c r="F56" i="237"/>
  <c r="BN8" i="18"/>
  <c r="G121" i="237"/>
  <c r="M38"/>
  <c r="E45"/>
  <c r="B172" i="223"/>
  <c r="F119" i="237"/>
  <c r="D57" i="223"/>
  <c r="C151"/>
  <c r="B102"/>
  <c r="I21"/>
  <c r="M147" i="237"/>
  <c r="BF11" i="18"/>
  <c r="AR10"/>
  <c r="G30" i="15"/>
  <c r="N10" i="18"/>
  <c r="F26" i="237"/>
  <c r="I135"/>
  <c r="L123" i="223"/>
  <c r="K26"/>
  <c r="E83" i="237"/>
  <c r="U31" i="15"/>
  <c r="F30" i="223"/>
  <c r="BG24" i="15"/>
  <c r="B26" i="237"/>
  <c r="AP7" i="18"/>
  <c r="F67" i="237"/>
  <c r="BM4" i="18"/>
  <c r="N62" i="237"/>
  <c r="K179" i="223"/>
  <c r="N43"/>
  <c r="M58"/>
  <c r="AH2" i="18"/>
  <c r="I164" i="223"/>
  <c r="D30" i="237"/>
  <c r="I89"/>
  <c r="G72"/>
  <c r="N68"/>
  <c r="AH6" i="18"/>
  <c r="K154" i="237"/>
  <c r="AN17" i="18"/>
  <c r="N22" i="237"/>
  <c r="G102"/>
  <c r="BD22" i="15"/>
  <c r="S4" i="18"/>
  <c r="N138" i="237"/>
  <c r="J87" i="223"/>
  <c r="AA28" i="15"/>
  <c r="G72" i="223"/>
  <c r="M171"/>
  <c r="Q30" i="15"/>
  <c r="K100" i="223"/>
  <c r="K85"/>
  <c r="K155" i="237"/>
  <c r="BG7" i="18"/>
  <c r="M115" i="237"/>
  <c r="J164"/>
  <c r="BD16" i="18"/>
  <c r="F17" i="1"/>
  <c r="AT18" i="18"/>
  <c r="R20" i="15"/>
  <c r="AP18" i="18"/>
  <c r="AP20"/>
  <c r="AX12"/>
  <c r="AN5"/>
  <c r="K137" i="237"/>
  <c r="I22" i="15"/>
  <c r="I161" i="223"/>
  <c r="F165"/>
  <c r="AZ19" i="15"/>
  <c r="L39" i="237"/>
  <c r="C63" i="18"/>
  <c r="C53" i="14"/>
  <c r="N54" i="237"/>
  <c r="AB18" i="18"/>
  <c r="M74" i="237"/>
  <c r="H122"/>
  <c r="AY9" i="18"/>
  <c r="C65"/>
  <c r="BM34"/>
  <c r="J45" i="223"/>
  <c r="Z26" i="15"/>
  <c r="BF2" i="1"/>
  <c r="Z28" i="15"/>
  <c r="D122" i="223"/>
  <c r="BL27" i="15"/>
  <c r="L39" i="223"/>
  <c r="BJ13" i="18"/>
  <c r="M165" i="223"/>
  <c r="AJ25" i="15"/>
  <c r="B5" i="185"/>
  <c r="H77" i="223"/>
  <c r="J60" i="237"/>
  <c r="AZ30" i="15"/>
  <c r="AI2" i="1"/>
  <c r="AE4" i="18"/>
  <c r="N95" i="223"/>
  <c r="I53"/>
  <c r="I152"/>
  <c r="AD15" i="18"/>
  <c r="AT12"/>
  <c r="J24" i="237"/>
  <c r="L120"/>
  <c r="B131" i="223"/>
  <c r="N155"/>
  <c r="K15" i="18"/>
  <c r="G165" i="223"/>
  <c r="K151"/>
  <c r="Q21" i="18"/>
  <c r="I68" i="223"/>
  <c r="M68" i="237"/>
  <c r="K20"/>
  <c r="N45" i="223"/>
  <c r="I4" i="18"/>
  <c r="N145" i="223"/>
  <c r="AX23" i="15"/>
  <c r="AE11" i="18"/>
  <c r="AK5"/>
  <c r="AA31" i="15"/>
  <c r="C33" i="237"/>
  <c r="N23" i="15"/>
  <c r="L160" i="237"/>
  <c r="B148" i="223"/>
  <c r="M29" i="15"/>
  <c r="M165" i="237"/>
  <c r="L72"/>
  <c r="M28" i="223"/>
  <c r="B141"/>
  <c r="AO26" i="15"/>
  <c r="K83" i="223"/>
  <c r="F131"/>
  <c r="AD2" i="18"/>
  <c r="K102" i="237"/>
  <c r="AT26" i="15"/>
  <c r="I183" i="223"/>
  <c r="AZ15" i="18"/>
  <c r="H5"/>
  <c r="G181" i="237"/>
  <c r="J53" i="223"/>
  <c r="G71" i="237"/>
  <c r="C173"/>
  <c r="M133" i="223"/>
  <c r="AE9" i="18"/>
  <c r="B103" i="237"/>
  <c r="BE2" i="1"/>
  <c r="H37" i="223"/>
  <c r="AC19" i="15"/>
  <c r="H116" i="223"/>
  <c r="C62" i="18"/>
  <c r="D21" i="223"/>
  <c r="L161" i="237"/>
  <c r="M61" i="223"/>
  <c r="E123"/>
  <c r="AE20" i="15"/>
  <c r="L168" i="223"/>
  <c r="G115"/>
  <c r="H24" i="15"/>
  <c r="BK18" i="18"/>
  <c r="AJ5"/>
  <c r="M118" i="223"/>
  <c r="O3" i="18"/>
  <c r="BC30" i="15"/>
  <c r="J46" i="237"/>
  <c r="W28" i="15"/>
  <c r="K171" i="237"/>
  <c r="F87"/>
  <c r="H21" i="15"/>
  <c r="J103" i="237"/>
  <c r="M95"/>
  <c r="G14" i="18"/>
  <c r="N121" i="223"/>
  <c r="AA5" i="18"/>
  <c r="K29" i="237"/>
  <c r="I15" i="18"/>
  <c r="C155" i="237"/>
  <c r="BM12" i="18"/>
  <c r="H91" i="223"/>
  <c r="C145"/>
  <c r="C21"/>
  <c r="AD11" i="18"/>
  <c r="I26" i="15"/>
  <c r="M93" i="223"/>
  <c r="U13" i="18"/>
  <c r="K22" i="223"/>
  <c r="D133" i="237"/>
  <c r="L141"/>
  <c r="BE4" i="18"/>
  <c r="AK3"/>
  <c r="G155" i="223"/>
  <c r="AN27" i="15"/>
  <c r="W12" i="18"/>
  <c r="E124" i="223"/>
  <c r="G17" i="18"/>
  <c r="V23" i="15"/>
  <c r="AP17" i="18"/>
  <c r="AM12"/>
  <c r="D29" i="223"/>
  <c r="T11" i="18"/>
  <c r="J19"/>
  <c r="B54" i="237"/>
  <c r="J166"/>
  <c r="AH29" i="15"/>
  <c r="Y11" i="18"/>
  <c r="F28" i="237"/>
  <c r="BF6" i="18"/>
  <c r="I78" i="237"/>
  <c r="N153"/>
  <c r="N37"/>
  <c r="H183"/>
  <c r="X30" i="15"/>
  <c r="N78" i="223"/>
  <c r="C131"/>
  <c r="L145"/>
  <c r="AF12" i="18"/>
  <c r="B76" i="223"/>
  <c r="BA28" i="15"/>
  <c r="F171" i="223"/>
  <c r="R7" i="18"/>
  <c r="BF2"/>
  <c r="M76" i="223"/>
  <c r="AW5" i="18"/>
  <c r="L170" i="223"/>
  <c r="AX31" i="15"/>
  <c r="M26" i="237"/>
  <c r="L76"/>
  <c r="C181"/>
  <c r="M85"/>
  <c r="AC31" i="15"/>
  <c r="AU4" i="18"/>
  <c r="C140" i="223"/>
  <c r="G21" i="237"/>
  <c r="AD12" i="18"/>
  <c r="J27" i="15"/>
  <c r="F94" i="223"/>
  <c r="G29" i="15"/>
  <c r="N170" i="223"/>
  <c r="K28" i="15"/>
  <c r="N17" i="18"/>
  <c r="I77" i="237"/>
  <c r="AC29" i="15"/>
  <c r="I21" i="237"/>
  <c r="L102"/>
  <c r="G173" i="223"/>
  <c r="G22" i="237"/>
  <c r="AJ26" i="15"/>
  <c r="AI17" i="18"/>
  <c r="E121" i="223"/>
  <c r="BL29" i="15"/>
  <c r="L3" i="18"/>
  <c r="M73" i="223"/>
  <c r="F125"/>
  <c r="I32"/>
  <c r="H69" i="237"/>
  <c r="L130"/>
  <c r="Q8" i="18"/>
  <c r="C30" i="223"/>
  <c r="AV24" i="15"/>
  <c r="M37" i="237"/>
  <c r="AP6" i="18"/>
  <c r="D115" i="223"/>
  <c r="M78" i="237"/>
  <c r="F84"/>
  <c r="J21" i="223"/>
  <c r="M121" i="237"/>
  <c r="H55"/>
  <c r="F123"/>
  <c r="G91" i="223"/>
  <c r="M155" i="237"/>
  <c r="BH12" i="18"/>
  <c r="BB21"/>
  <c r="D84" i="223"/>
  <c r="B71"/>
  <c r="H126" i="237"/>
  <c r="E179"/>
  <c r="C165" i="223"/>
  <c r="E182" i="237"/>
  <c r="H54"/>
  <c r="BG20" i="18"/>
  <c r="M154" i="237"/>
  <c r="E92"/>
  <c r="D134"/>
  <c r="E25"/>
  <c r="M83"/>
  <c r="BG21" i="15"/>
  <c r="I121" i="237"/>
  <c r="H152"/>
  <c r="K23" i="15"/>
  <c r="C122" i="223"/>
  <c r="BL28" i="15"/>
  <c r="L75" i="223"/>
  <c r="H89"/>
  <c r="S16" i="18"/>
  <c r="G122" i="237"/>
  <c r="AX25" i="15"/>
  <c r="G89" i="237"/>
  <c r="H125" i="223"/>
  <c r="AG6" i="18"/>
  <c r="K70" i="223"/>
  <c r="AJ19" i="15"/>
  <c r="Q18" i="18"/>
  <c r="I138" i="237"/>
  <c r="AH14" i="18"/>
  <c r="BI4"/>
  <c r="AV30" i="15"/>
  <c r="G26" i="237"/>
  <c r="AO16" i="18"/>
  <c r="AR14"/>
  <c r="G125" i="237"/>
  <c r="AH22" i="15"/>
  <c r="BD13" i="18"/>
  <c r="I184" i="223"/>
  <c r="BD21" i="18"/>
  <c r="I103" i="223"/>
  <c r="AX11" i="18"/>
  <c r="K62" i="223"/>
  <c r="N26"/>
  <c r="AX20" i="18"/>
  <c r="H92" i="237"/>
  <c r="M56"/>
  <c r="BH15" i="18"/>
  <c r="O19"/>
  <c r="AK9"/>
  <c r="AZ3"/>
  <c r="S22"/>
  <c r="L138" i="223"/>
  <c r="D182"/>
  <c r="AA21" i="15"/>
  <c r="AF31"/>
  <c r="D75" i="223"/>
  <c r="I15" i="1"/>
  <c r="K84" i="223"/>
  <c r="BJ25" i="15"/>
  <c r="G164" i="223"/>
  <c r="AY30" i="15"/>
  <c r="O21" i="18"/>
  <c r="D37" i="237"/>
  <c r="AQ21" i="15"/>
  <c r="N148" i="223"/>
  <c r="R19" i="18"/>
  <c r="K164" i="237"/>
  <c r="BG14" i="18"/>
  <c r="M164" i="237"/>
  <c r="I69" i="223"/>
  <c r="X21" i="18"/>
  <c r="J31" i="223"/>
  <c r="J29" i="15"/>
  <c r="B179" i="237"/>
  <c r="D25"/>
  <c r="AO8" i="18"/>
  <c r="I101" i="237"/>
  <c r="G5" i="18"/>
  <c r="G45" i="237"/>
  <c r="X8" i="18"/>
  <c r="N29" i="223"/>
  <c r="H185"/>
  <c r="BA27" i="15"/>
  <c r="AM4" i="18"/>
  <c r="G76" i="223"/>
  <c r="O15" i="18"/>
  <c r="B92" i="237"/>
  <c r="AY27" i="15"/>
  <c r="N13" i="18"/>
  <c r="AX30" i="15"/>
  <c r="BC20"/>
  <c r="I44" i="237"/>
  <c r="E22"/>
  <c r="AT13" i="18"/>
  <c r="BI22" i="15"/>
  <c r="BI14" i="18"/>
  <c r="M137" i="223"/>
  <c r="S19" i="15"/>
  <c r="AU2" i="18"/>
  <c r="AZ9"/>
  <c r="B89" i="237"/>
  <c r="AW10" i="18"/>
  <c r="BT30" i="15"/>
  <c r="D79" i="223"/>
  <c r="H172" i="237"/>
  <c r="F152" i="223"/>
  <c r="M5" i="18"/>
  <c r="AW12"/>
  <c r="BL22" i="15"/>
  <c r="AE5" i="18"/>
  <c r="BL10"/>
  <c r="L7"/>
  <c r="BG17"/>
  <c r="BC24" i="15"/>
  <c r="C86" i="237"/>
  <c r="C90"/>
  <c r="L70"/>
  <c r="H46"/>
  <c r="G150" i="223"/>
  <c r="M161" i="237"/>
  <c r="P8" i="18"/>
  <c r="F139" i="223"/>
  <c r="E102"/>
  <c r="K53"/>
  <c r="AU12" i="18"/>
  <c r="F39" i="237"/>
  <c r="L20" i="18"/>
  <c r="G132" i="223"/>
  <c r="C38" i="237"/>
  <c r="K183"/>
  <c r="C160" i="223"/>
  <c r="M22" i="15"/>
  <c r="N11" i="18"/>
  <c r="G152" i="223"/>
  <c r="AG18" i="18"/>
  <c r="N70" i="223"/>
  <c r="U3" i="18"/>
  <c r="B138" i="223"/>
  <c r="C133" i="237"/>
  <c r="D45"/>
  <c r="N71"/>
  <c r="F184"/>
  <c r="AH19" i="18"/>
  <c r="AF14"/>
  <c r="G30" i="223"/>
  <c r="C152"/>
  <c r="K160"/>
  <c r="B11" i="14"/>
  <c r="C24" i="237"/>
  <c r="B147"/>
  <c r="E69" i="223"/>
  <c r="G180" i="237"/>
  <c r="AB25" i="15"/>
  <c r="N149" i="237"/>
  <c r="BA8" i="18"/>
  <c r="F56" i="223"/>
  <c r="F118" i="237"/>
  <c r="AM20" i="18"/>
  <c r="H137" i="237"/>
  <c r="Z8" i="18"/>
  <c r="H180" i="237"/>
  <c r="C45"/>
  <c r="J25"/>
  <c r="AU7" i="18"/>
  <c r="B60" i="223"/>
  <c r="AX17" i="18"/>
  <c r="G57" i="237"/>
  <c r="BI30" i="15"/>
  <c r="D118" i="237"/>
  <c r="C146" i="223"/>
  <c r="F9" i="1"/>
  <c r="D28" i="237"/>
  <c r="H102"/>
  <c r="C161"/>
  <c r="N115" i="223"/>
  <c r="D91" i="237"/>
  <c r="C150"/>
  <c r="AE2" i="1"/>
  <c r="L135" i="223"/>
  <c r="N124"/>
  <c r="AL25" i="15"/>
  <c r="L147" i="223"/>
  <c r="C61" i="237"/>
  <c r="I134"/>
  <c r="D41"/>
  <c r="K148"/>
  <c r="G167" i="223"/>
  <c r="BI20" i="15"/>
  <c r="L8" i="18"/>
  <c r="G160" i="223"/>
  <c r="J22" i="18"/>
  <c r="U34"/>
  <c r="C52" s="1"/>
  <c r="F55" i="237"/>
  <c r="D149"/>
  <c r="D95"/>
  <c r="BN28" i="1"/>
  <c r="BA29" i="15"/>
  <c r="BJ11" i="18"/>
  <c r="E60" i="237"/>
  <c r="AV18" i="18"/>
  <c r="J23" i="15"/>
  <c r="B78" i="237"/>
  <c r="O16" i="18"/>
  <c r="I71" i="237"/>
  <c r="F4" i="1"/>
  <c r="D152" i="237"/>
  <c r="E44" i="223"/>
  <c r="AM2" i="1"/>
  <c r="H156" i="237"/>
  <c r="L85"/>
  <c r="P11" i="18"/>
  <c r="N132" i="237"/>
  <c r="BQ24" i="15"/>
  <c r="BD21"/>
  <c r="AG19"/>
  <c r="L67" i="223"/>
  <c r="H132"/>
  <c r="C27" i="237"/>
  <c r="H171"/>
  <c r="D154" i="223"/>
  <c r="BI5" i="18"/>
  <c r="E182" i="223"/>
  <c r="C121" i="237"/>
  <c r="F145"/>
  <c r="BI21" i="18"/>
  <c r="J73" i="223"/>
  <c r="C135"/>
  <c r="AJ18" i="18"/>
  <c r="AB24" i="15"/>
  <c r="M89" i="237"/>
  <c r="K7" i="18"/>
  <c r="BB6"/>
  <c r="J63" i="223"/>
  <c r="M186"/>
  <c r="N21"/>
  <c r="L166"/>
  <c r="L58" i="237"/>
  <c r="E78"/>
  <c r="F169" i="223"/>
  <c r="H118"/>
  <c r="N27"/>
  <c r="I90" i="237"/>
  <c r="C172" i="223"/>
  <c r="L71" i="237"/>
  <c r="D22" i="223"/>
  <c r="D127"/>
  <c r="AO20" i="18"/>
  <c r="AI9"/>
  <c r="Z30" i="15"/>
  <c r="E20" i="237"/>
  <c r="AH25" i="15"/>
  <c r="K87" i="237"/>
  <c r="B150"/>
  <c r="I23" i="223"/>
  <c r="AK21" i="18"/>
  <c r="BA20"/>
  <c r="I149" i="223"/>
  <c r="BI8" i="18"/>
  <c r="N28" i="15"/>
  <c r="AS4" i="18"/>
  <c r="J185" i="223"/>
  <c r="D56"/>
  <c r="J24" i="15"/>
  <c r="F182" i="223"/>
  <c r="D140" i="237"/>
  <c r="AQ26" i="15"/>
  <c r="AJ12" i="18"/>
  <c r="M70" i="237"/>
  <c r="BM19" i="18"/>
  <c r="B9" i="14"/>
  <c r="L22" i="237"/>
  <c r="I23" i="15"/>
  <c r="S11" i="18"/>
  <c r="AL5"/>
  <c r="BE31" i="15"/>
  <c r="G181" i="223"/>
  <c r="BC5" i="18"/>
  <c r="G38" i="237"/>
  <c r="W17" i="18"/>
  <c r="AT16"/>
  <c r="B18" i="14"/>
  <c r="K44" i="237"/>
  <c r="I74" i="223"/>
  <c r="I2" i="14"/>
  <c r="S21" i="15"/>
  <c r="T9" i="18"/>
  <c r="C162" i="237"/>
  <c r="B22" i="223"/>
  <c r="F76"/>
  <c r="F77"/>
  <c r="P22" i="15"/>
  <c r="X10" i="18"/>
  <c r="F180" i="237"/>
  <c r="AD17" i="18"/>
  <c r="C74"/>
  <c r="AS2" i="1"/>
  <c r="D95" i="223"/>
  <c r="K93"/>
  <c r="K18" i="18"/>
  <c r="Q17"/>
  <c r="N173" i="237"/>
  <c r="V7" i="18"/>
  <c r="AX9"/>
  <c r="T18"/>
  <c r="AY34"/>
  <c r="F140" i="237"/>
  <c r="BF7" i="18"/>
  <c r="Q34"/>
  <c r="M25" i="15"/>
  <c r="I5" i="1"/>
  <c r="AY20" i="15"/>
  <c r="I6" i="18"/>
  <c r="BH17"/>
  <c r="N124" i="237"/>
  <c r="AV19" i="18"/>
  <c r="B7" i="185"/>
  <c r="V24" i="15"/>
  <c r="M132" i="223"/>
  <c r="I20" i="15"/>
  <c r="C100" i="223"/>
  <c r="N29" i="237"/>
  <c r="K141"/>
  <c r="W25" i="15"/>
  <c r="F150" i="223"/>
  <c r="AR11" i="18"/>
  <c r="D78" i="237"/>
  <c r="H18" i="18"/>
  <c r="I165" i="237"/>
  <c r="C44" i="223"/>
  <c r="AR26" i="15"/>
  <c r="C92" i="237"/>
  <c r="D24" i="223"/>
  <c r="AG31" i="15"/>
  <c r="S2" i="1"/>
  <c r="BC27" i="15"/>
  <c r="C120" i="237"/>
  <c r="G74"/>
  <c r="AA9" i="18"/>
  <c r="AO29" i="15"/>
  <c r="L140" i="223"/>
  <c r="T26" i="15"/>
  <c r="K103" i="237"/>
  <c r="J138"/>
  <c r="U26" i="15"/>
  <c r="R22"/>
  <c r="K11" i="18"/>
  <c r="N133" i="237"/>
  <c r="M123" i="223"/>
  <c r="H33"/>
  <c r="E140"/>
  <c r="AC10" i="18"/>
  <c r="F126" i="223"/>
  <c r="Z22" i="15"/>
  <c r="AT14" i="18"/>
  <c r="C39" i="223"/>
  <c r="D92"/>
  <c r="F45" i="237"/>
  <c r="BI19" i="15"/>
  <c r="B161" i="237"/>
  <c r="BK2" i="18"/>
  <c r="K151" i="237"/>
  <c r="I171" i="223"/>
  <c r="G77"/>
  <c r="J127"/>
  <c r="BM5" i="18"/>
  <c r="W30" i="15"/>
  <c r="AE8" i="18"/>
  <c r="M42" i="237"/>
  <c r="L87" i="223"/>
  <c r="X21" i="15"/>
  <c r="G12" i="18"/>
  <c r="K133" i="237"/>
  <c r="E139"/>
  <c r="F149"/>
  <c r="S25" i="15"/>
  <c r="B100" i="223"/>
  <c r="F26"/>
  <c r="BH22" i="15"/>
  <c r="F32" i="237"/>
  <c r="AC6" i="18"/>
  <c r="AY28" i="15"/>
  <c r="K58" i="223"/>
  <c r="N9" i="18"/>
  <c r="D145" i="223"/>
  <c r="AA14" i="18"/>
  <c r="N138" i="223"/>
  <c r="AN19" i="15"/>
  <c r="S24"/>
  <c r="C182" i="237"/>
  <c r="B154"/>
  <c r="BF22" i="15"/>
  <c r="BI15" i="18"/>
  <c r="BH20"/>
  <c r="N58" i="223"/>
  <c r="I21" i="1"/>
  <c r="K25" i="15"/>
  <c r="L94" i="237"/>
  <c r="C50" i="14"/>
  <c r="B139" i="223"/>
  <c r="C44" i="14"/>
  <c r="AY16" i="18"/>
  <c r="S3"/>
  <c r="B169" i="237"/>
  <c r="I58"/>
  <c r="B122"/>
  <c r="P21" i="15"/>
  <c r="L54" i="237"/>
  <c r="V4" i="18"/>
  <c r="F77" i="237"/>
  <c r="I4" i="1"/>
  <c r="H72" i="237"/>
  <c r="G28"/>
  <c r="C78"/>
  <c r="AQ22" i="15"/>
  <c r="AY22"/>
  <c r="C27" i="223"/>
  <c r="H38" i="237"/>
  <c r="J70"/>
  <c r="B41"/>
  <c r="AJ14" i="18"/>
  <c r="H124" i="237"/>
  <c r="F100"/>
  <c r="N160" i="223"/>
  <c r="K83" i="237"/>
  <c r="E131" i="223"/>
  <c r="AD34" i="18"/>
  <c r="B156" i="237"/>
  <c r="K85"/>
  <c r="E132" i="223"/>
  <c r="I169"/>
  <c r="E163"/>
  <c r="AT22" i="18"/>
  <c r="J21"/>
  <c r="AP19"/>
  <c r="AC14"/>
  <c r="L116" i="237"/>
  <c r="AV25" i="15"/>
  <c r="I185" i="223"/>
  <c r="F11" i="1"/>
  <c r="B75" i="237"/>
  <c r="H154" i="223"/>
  <c r="AU11" i="18"/>
  <c r="G184" i="237"/>
  <c r="I31" i="15"/>
  <c r="X25"/>
  <c r="E84" i="223"/>
  <c r="H120" i="237"/>
  <c r="BC2" i="1"/>
  <c r="M147" i="223"/>
  <c r="AV22" i="15"/>
  <c r="B183" i="237"/>
  <c r="BF18" i="18"/>
  <c r="G167" i="237"/>
  <c r="B130" i="223"/>
  <c r="AB30" i="15"/>
  <c r="N135" i="237"/>
  <c r="N32"/>
  <c r="AI28" i="15"/>
  <c r="J134" i="223"/>
  <c r="M16" i="18"/>
  <c r="AL34"/>
  <c r="AJ3"/>
  <c r="B39" i="14"/>
  <c r="W24" i="15"/>
  <c r="G55" i="223"/>
  <c r="C32"/>
  <c r="D87"/>
  <c r="BK7" i="18"/>
  <c r="H32" i="237"/>
  <c r="P4" i="18"/>
  <c r="F148" i="237"/>
  <c r="E53"/>
  <c r="M120" i="223"/>
  <c r="P18" i="18"/>
  <c r="G151" i="223"/>
  <c r="F19" i="1"/>
  <c r="J83" i="237"/>
  <c r="BH25" i="15"/>
  <c r="G134" i="223"/>
  <c r="P24" i="15"/>
  <c r="N24" i="237"/>
  <c r="I12" i="18"/>
  <c r="G57" i="223"/>
  <c r="AG23" i="15"/>
  <c r="D153" i="237"/>
  <c r="N125" i="223"/>
  <c r="I83"/>
  <c r="AO9" i="18"/>
  <c r="M149" i="237"/>
  <c r="F115"/>
  <c r="G4" i="18"/>
  <c r="J10"/>
  <c r="B149" i="223"/>
  <c r="BB12" i="18"/>
  <c r="B38" i="237"/>
  <c r="C42" i="223"/>
  <c r="M20" i="15"/>
  <c r="M19"/>
  <c r="AQ30"/>
  <c r="M116" i="223"/>
  <c r="G170"/>
  <c r="Y12" i="18"/>
  <c r="E115" i="237"/>
  <c r="AU21" i="15"/>
  <c r="D88" i="237"/>
  <c r="BJ12" i="18"/>
  <c r="K55" i="223"/>
  <c r="J102"/>
  <c r="N76"/>
  <c r="J37"/>
  <c r="L137"/>
  <c r="E165"/>
  <c r="AZ16" i="18"/>
  <c r="H54" i="223"/>
  <c r="G127"/>
  <c r="K19" i="18"/>
  <c r="AX6"/>
  <c r="AU30" i="15"/>
  <c r="H164" i="237"/>
  <c r="N155"/>
  <c r="D53"/>
  <c r="E100"/>
  <c r="M58"/>
  <c r="E180"/>
  <c r="B126"/>
  <c r="G61" i="223"/>
  <c r="G31" i="15"/>
  <c r="H15" i="18"/>
  <c r="J15"/>
  <c r="T30" i="15"/>
  <c r="J32" i="237"/>
  <c r="G41" i="223"/>
  <c r="K132"/>
  <c r="N133"/>
  <c r="X22" i="18"/>
  <c r="C115" i="237"/>
  <c r="J95" i="223"/>
  <c r="K24" i="15"/>
  <c r="BK11" i="18"/>
  <c r="AW7"/>
  <c r="M167" i="237"/>
  <c r="B47" i="14"/>
  <c r="M184" i="237"/>
  <c r="D27" i="223"/>
  <c r="F118"/>
  <c r="L29"/>
  <c r="G69" i="237"/>
  <c r="AC22" i="18"/>
  <c r="I92" i="237"/>
  <c r="F42" i="223"/>
  <c r="E39"/>
  <c r="I171" i="237"/>
  <c r="D120"/>
  <c r="B21" i="14"/>
  <c r="K162" i="237"/>
  <c r="H22" i="15"/>
  <c r="E170" i="223"/>
  <c r="E101"/>
  <c r="BD20" i="15"/>
  <c r="BM3" i="18"/>
  <c r="I116" i="237"/>
  <c r="AO28" i="15"/>
  <c r="K71" i="223"/>
  <c r="G45"/>
  <c r="F122" i="237"/>
  <c r="AJ15" i="18"/>
  <c r="AG21"/>
  <c r="K184" i="223"/>
  <c r="L172" i="237"/>
  <c r="AK18" i="18"/>
  <c r="K24" i="223"/>
  <c r="Q14" i="18"/>
  <c r="M53" i="223"/>
  <c r="E27" i="237"/>
  <c r="M34" i="18"/>
  <c r="I46" i="223"/>
  <c r="R23" i="15"/>
  <c r="I53" i="237"/>
  <c r="Q9" i="18"/>
  <c r="B181" i="237"/>
  <c r="C55" i="14"/>
  <c r="D61" i="237"/>
  <c r="E150"/>
  <c r="B135" i="223"/>
  <c r="S6" i="18"/>
  <c r="BI2"/>
  <c r="I24" i="15"/>
  <c r="AS2" i="18"/>
  <c r="I30" i="15"/>
  <c r="K21" i="223"/>
  <c r="M70"/>
  <c r="AP13" i="18"/>
  <c r="C78"/>
  <c r="Q24" i="15"/>
  <c r="K27" i="14"/>
  <c r="C26"/>
  <c r="I25" i="15"/>
  <c r="C29" i="14"/>
  <c r="L130" i="223"/>
  <c r="H25" i="15"/>
  <c r="C33" i="14"/>
  <c r="C18"/>
  <c r="I21" i="18"/>
  <c r="I13"/>
  <c r="C95"/>
  <c r="E70" i="223"/>
  <c r="C127"/>
  <c r="F15" i="1"/>
  <c r="U6" i="18"/>
  <c r="AO5"/>
  <c r="C79"/>
  <c r="C51" i="14"/>
  <c r="C39"/>
  <c r="L119" i="223"/>
  <c r="H58"/>
  <c r="C28" i="14"/>
  <c r="BF4" i="18"/>
  <c r="AB22"/>
  <c r="G20" i="237"/>
  <c r="J133" i="223"/>
  <c r="AV14" i="18"/>
  <c r="BA2"/>
  <c r="AJ2"/>
  <c r="C44"/>
  <c r="G94" i="237"/>
  <c r="J58"/>
  <c r="C39" i="18"/>
  <c r="AN20" i="15"/>
  <c r="AJ20" i="18"/>
  <c r="I76" i="223"/>
  <c r="H25" i="237"/>
  <c r="C50" i="18"/>
  <c r="AG2"/>
  <c r="AB9"/>
  <c r="G126" i="237"/>
  <c r="M21" i="18"/>
  <c r="Y3"/>
  <c r="I32" i="237"/>
  <c r="C154"/>
  <c r="C77"/>
  <c r="L42"/>
  <c r="K42" i="223"/>
  <c r="K25"/>
  <c r="K160" i="237"/>
  <c r="I93" i="223"/>
  <c r="N30"/>
  <c r="BE21" i="18"/>
  <c r="L38" i="223"/>
  <c r="BB21" i="15"/>
  <c r="U21" i="18"/>
  <c r="F148" i="223"/>
  <c r="Q15" i="18"/>
  <c r="AO22" i="15"/>
  <c r="AK21"/>
  <c r="K31" i="223"/>
  <c r="G3" i="18"/>
  <c r="BL18"/>
  <c r="C55" i="223"/>
  <c r="M168"/>
  <c r="K152"/>
  <c r="AH22" i="18"/>
  <c r="B53" i="237"/>
  <c r="M171"/>
  <c r="G125" i="223"/>
  <c r="D186"/>
  <c r="B56"/>
  <c r="C170"/>
  <c r="AF26" i="15"/>
  <c r="AP22" i="18"/>
  <c r="AO24" i="15"/>
  <c r="BG28"/>
  <c r="U9" i="18"/>
  <c r="AL20"/>
  <c r="W21" i="15"/>
  <c r="AB13" i="18"/>
  <c r="J24" i="223"/>
  <c r="AX14" i="18"/>
  <c r="AP34"/>
  <c r="K172" i="237"/>
  <c r="AF15" i="18"/>
  <c r="G9"/>
  <c r="T13"/>
  <c r="AB31" i="15"/>
  <c r="E130" i="237"/>
  <c r="I20"/>
  <c r="L30"/>
  <c r="M146" i="223"/>
  <c r="BE19" i="18"/>
  <c r="AQ4"/>
  <c r="G145" i="237"/>
  <c r="K38" i="223"/>
  <c r="F185" i="237"/>
  <c r="H83"/>
  <c r="I10" i="18"/>
  <c r="U2"/>
  <c r="N37" i="223"/>
  <c r="I135"/>
  <c r="U12" i="18"/>
  <c r="J39" i="237"/>
  <c r="B145"/>
  <c r="K13" i="18"/>
  <c r="M72" i="237"/>
  <c r="N161"/>
  <c r="AP27" i="15"/>
  <c r="V28"/>
  <c r="F186" i="237"/>
  <c r="D165" i="223"/>
  <c r="G171" i="237"/>
  <c r="K140" i="223"/>
  <c r="D72"/>
  <c r="G169" i="237"/>
  <c r="AL2" i="18"/>
  <c r="H117" i="223"/>
  <c r="N183" i="237"/>
  <c r="H127"/>
  <c r="BA30" i="15"/>
  <c r="AN2" i="18"/>
  <c r="C81"/>
  <c r="K58" i="14"/>
  <c r="V22" i="15"/>
  <c r="K3" i="18"/>
  <c r="AS17"/>
  <c r="M172" i="237"/>
  <c r="BG5" i="18"/>
  <c r="I20"/>
  <c r="L21" i="15"/>
  <c r="L182" i="223"/>
  <c r="S27" i="15"/>
  <c r="J126" i="237"/>
  <c r="B8" i="185"/>
  <c r="C68" i="223"/>
  <c r="K33"/>
  <c r="L28" i="15"/>
  <c r="M90" i="223"/>
  <c r="G145"/>
  <c r="H86" i="237"/>
  <c r="L20" i="223"/>
  <c r="V21" i="15"/>
  <c r="BB18" i="18"/>
  <c r="AP29" i="15"/>
  <c r="C41" i="223"/>
  <c r="D46" i="237"/>
  <c r="E117" i="223"/>
  <c r="BB23" i="15"/>
  <c r="C141" i="237"/>
  <c r="Z2" i="1"/>
  <c r="E86" i="237"/>
  <c r="S22" i="15"/>
  <c r="K25" i="237"/>
  <c r="F124" i="223"/>
  <c r="F121"/>
  <c r="L63"/>
  <c r="AM19" i="18"/>
  <c r="G67" i="223"/>
  <c r="L84" i="237"/>
  <c r="BH4" i="18"/>
  <c r="H72" i="223"/>
  <c r="AN28" i="15"/>
  <c r="C166" i="223"/>
  <c r="AB26" i="15"/>
  <c r="G184" i="223"/>
  <c r="Y22" i="18"/>
  <c r="F134" i="237"/>
  <c r="AZ26" i="15"/>
  <c r="C94" i="223"/>
  <c r="BK20" i="18"/>
  <c r="AS31" i="15"/>
  <c r="E61" i="237"/>
  <c r="E62"/>
  <c r="M94"/>
  <c r="AK2" i="1"/>
  <c r="D131" i="223"/>
  <c r="K122"/>
  <c r="L73"/>
  <c r="O30" i="15"/>
  <c r="K95" i="237"/>
  <c r="I150" i="223"/>
  <c r="Y7" i="18"/>
  <c r="AW28" i="15"/>
  <c r="AE7" i="18"/>
  <c r="F22" i="1"/>
  <c r="J136" i="223"/>
  <c r="AI14" i="18"/>
  <c r="B90" i="223"/>
  <c r="M92" i="237"/>
  <c r="AQ11" i="18"/>
  <c r="AF30" i="15"/>
  <c r="L18" i="18"/>
  <c r="AY15"/>
  <c r="B88" i="237"/>
  <c r="M120"/>
  <c r="L131" i="223"/>
  <c r="M60" i="237"/>
  <c r="J69"/>
  <c r="AE10" i="18"/>
  <c r="AG13"/>
  <c r="H100" i="223"/>
  <c r="I43"/>
  <c r="G43"/>
  <c r="AC34" i="18"/>
  <c r="J183" i="223"/>
  <c r="J14" i="18"/>
  <c r="AX2" i="1"/>
  <c r="AA27" i="15"/>
  <c r="BH34" i="18"/>
  <c r="C91" s="1"/>
  <c r="J182" i="223"/>
  <c r="D137" i="237"/>
  <c r="K149"/>
  <c r="B148"/>
  <c r="B184" i="223"/>
  <c r="AK20" i="18"/>
  <c r="BN15"/>
  <c r="Z16"/>
  <c r="AB2"/>
  <c r="K185" i="237"/>
  <c r="G83"/>
  <c r="AO21" i="15"/>
  <c r="M76" i="237"/>
  <c r="AZ8" i="18"/>
  <c r="AD14"/>
  <c r="P34"/>
  <c r="AM34"/>
  <c r="I3"/>
  <c r="AM61"/>
  <c r="C37" i="14"/>
  <c r="C46"/>
  <c r="B135" i="237"/>
  <c r="BA26" i="15"/>
  <c r="I27" i="237"/>
  <c r="B167"/>
  <c r="L89" i="223"/>
  <c r="I8" i="18"/>
  <c r="K44"/>
  <c r="C14" i="14"/>
  <c r="AR24" i="15"/>
  <c r="AT29"/>
  <c r="BJ7" i="18"/>
  <c r="C34" i="14"/>
  <c r="J61" i="18"/>
  <c r="C15" i="14"/>
  <c r="C52"/>
  <c r="J41" i="18"/>
  <c r="S61"/>
  <c r="C86"/>
  <c r="I30" i="223"/>
  <c r="D31" i="237"/>
  <c r="E156" i="223"/>
  <c r="I166"/>
  <c r="F78" i="237"/>
  <c r="I29" i="15"/>
  <c r="BG29"/>
  <c r="AL7" i="18"/>
  <c r="AD50"/>
  <c r="BN42"/>
  <c r="C69"/>
  <c r="K38" i="237"/>
  <c r="P97" i="18"/>
  <c r="H75" i="223"/>
  <c r="BB10" i="18"/>
  <c r="O11"/>
  <c r="K131" i="237"/>
  <c r="B168" i="223"/>
  <c r="C46" i="18"/>
  <c r="C42" i="14"/>
  <c r="I67" i="223"/>
  <c r="H153"/>
  <c r="I27" i="15"/>
  <c r="M45" i="237"/>
  <c r="M43" i="223"/>
  <c r="N119" i="237"/>
  <c r="H186" i="223"/>
  <c r="G28"/>
  <c r="G75"/>
  <c r="F23"/>
  <c r="D43" i="237"/>
  <c r="N130" i="223"/>
  <c r="H135" i="237"/>
  <c r="M183" i="223"/>
  <c r="I179" i="237"/>
  <c r="Q23" i="15"/>
  <c r="M89" i="223"/>
  <c r="AU10" i="18"/>
  <c r="I131" i="237"/>
  <c r="F24"/>
  <c r="H155" i="223"/>
  <c r="L31"/>
  <c r="J68"/>
  <c r="G182" i="237"/>
  <c r="C75"/>
  <c r="AK11" i="18"/>
  <c r="AS19"/>
  <c r="D37" i="223"/>
  <c r="E54"/>
  <c r="K94" i="237"/>
  <c r="AN12" i="18"/>
  <c r="X22" i="15"/>
  <c r="AI21"/>
  <c r="H173" i="223"/>
  <c r="H26" i="15"/>
  <c r="C43" i="223"/>
  <c r="AN7" i="18"/>
  <c r="K147" i="237"/>
  <c r="E78" i="223"/>
  <c r="B116" i="237"/>
  <c r="F146" i="223"/>
  <c r="AE22" i="18"/>
  <c r="G40" i="237"/>
  <c r="F75" i="223"/>
  <c r="R24" i="15"/>
  <c r="D101" i="223"/>
  <c r="BB20" i="15"/>
  <c r="AR13" i="18"/>
  <c r="M123" i="237"/>
  <c r="M170"/>
  <c r="G22" i="15"/>
  <c r="BC22" i="18"/>
  <c r="N38" i="223"/>
  <c r="Y34" i="18"/>
  <c r="BM18"/>
  <c r="K58" i="237"/>
  <c r="AV23" i="15"/>
  <c r="AV16" i="18"/>
  <c r="BK12"/>
  <c r="K166" i="237"/>
  <c r="I61" i="223"/>
  <c r="C137"/>
  <c r="M138"/>
  <c r="C90" i="18"/>
  <c r="G62" i="237"/>
  <c r="E72"/>
  <c r="I7" i="1"/>
  <c r="B42" i="223"/>
  <c r="C120"/>
  <c r="V21" i="18"/>
  <c r="I69" i="237"/>
  <c r="C22" i="223"/>
  <c r="M181" i="237"/>
  <c r="N58"/>
  <c r="M132"/>
  <c r="E137"/>
  <c r="AG27" i="15"/>
  <c r="N171" i="237"/>
  <c r="J43" i="223"/>
  <c r="M173"/>
  <c r="E163" i="237"/>
  <c r="L69"/>
  <c r="K116" i="223"/>
  <c r="AZ22" i="18"/>
  <c r="BF30" i="15"/>
  <c r="B24" i="14"/>
  <c r="J28" i="15"/>
  <c r="BJ21"/>
  <c r="BF34" i="18"/>
  <c r="C89" s="1"/>
  <c r="K28" i="223"/>
  <c r="AK26" i="15"/>
  <c r="L20"/>
  <c r="M87" i="223"/>
  <c r="AI34" i="18"/>
  <c r="C66" s="1"/>
  <c r="C57" i="14"/>
  <c r="N20" i="18"/>
  <c r="G34"/>
  <c r="Y22" i="15"/>
  <c r="C131" i="237"/>
  <c r="G168"/>
  <c r="O4" i="18"/>
  <c r="H71" i="223"/>
  <c r="BF17" i="18"/>
  <c r="L2" i="14"/>
  <c r="B151" i="237"/>
  <c r="L24" i="223"/>
  <c r="C154"/>
  <c r="H60"/>
  <c r="H101"/>
  <c r="F55"/>
  <c r="C74"/>
  <c r="AS30" i="15"/>
  <c r="L139" i="237"/>
  <c r="AC5" i="18"/>
  <c r="K168" i="237"/>
  <c r="E67"/>
  <c r="B77"/>
  <c r="Z21" i="18"/>
  <c r="BF28" i="15"/>
  <c r="J153" i="223"/>
  <c r="G161"/>
  <c r="J85"/>
  <c r="D184" i="237"/>
  <c r="AQ2" i="1"/>
  <c r="B63" i="14"/>
  <c r="S23" i="15"/>
  <c r="Z13" i="18"/>
  <c r="M100" i="223"/>
  <c r="Q13" i="18"/>
  <c r="G13"/>
  <c r="G90" i="237"/>
  <c r="I118"/>
  <c r="C139"/>
  <c r="AK19" i="18"/>
  <c r="BG15"/>
  <c r="B16" i="14"/>
  <c r="G123" i="237"/>
  <c r="K180" i="223"/>
  <c r="H76" i="237"/>
  <c r="H10" i="18"/>
  <c r="AY31" i="15"/>
  <c r="K101" i="237"/>
  <c r="BL9" i="18"/>
  <c r="AH11"/>
  <c r="N137" i="223"/>
  <c r="L40"/>
  <c r="I151" i="237"/>
  <c r="B164" i="223"/>
  <c r="J149"/>
  <c r="H133"/>
  <c r="AW6" i="18"/>
  <c r="M153" i="223"/>
  <c r="L56"/>
  <c r="K88" i="237"/>
  <c r="M117"/>
  <c r="I186" i="223"/>
  <c r="K70" i="237"/>
  <c r="F46"/>
  <c r="I162"/>
  <c r="N162" i="223"/>
  <c r="I41"/>
  <c r="D124" i="237"/>
  <c r="AK25" i="15"/>
  <c r="B103" i="223"/>
  <c r="AD25" i="15"/>
  <c r="AE14" i="18"/>
  <c r="N44" i="237"/>
  <c r="AA12" i="18"/>
  <c r="BJ29" i="15"/>
  <c r="D86" i="237"/>
  <c r="K55"/>
  <c r="BK20" i="15"/>
  <c r="M92" i="223"/>
  <c r="D43"/>
  <c r="J67"/>
  <c r="L70"/>
  <c r="S26" i="15"/>
  <c r="C25" i="223"/>
  <c r="AG12" i="18"/>
  <c r="V14"/>
  <c r="BL6"/>
  <c r="B74" i="223"/>
  <c r="L140" i="237"/>
  <c r="Z5" i="18"/>
  <c r="G8"/>
  <c r="E32" i="237"/>
  <c r="G54" i="223"/>
  <c r="M44" i="18"/>
  <c r="Z7"/>
  <c r="I67" i="237"/>
  <c r="B83" i="223"/>
  <c r="AU18" i="18"/>
  <c r="BD34"/>
  <c r="AW34"/>
  <c r="AH47"/>
  <c r="M163" i="223"/>
  <c r="K87"/>
  <c r="N102" i="237"/>
  <c r="H133"/>
  <c r="AS21" i="15"/>
  <c r="BB27"/>
  <c r="AQ16" i="18"/>
  <c r="S94"/>
  <c r="K50"/>
  <c r="AU41"/>
  <c r="N41"/>
  <c r="Q38"/>
  <c r="AM65"/>
  <c r="L46" i="237"/>
  <c r="P61" i="18"/>
  <c r="C60" i="14"/>
  <c r="P70" i="18"/>
  <c r="W9"/>
  <c r="I141" i="223"/>
  <c r="BH14" i="18"/>
  <c r="AA6"/>
  <c r="X34"/>
  <c r="P54"/>
  <c r="AC24" i="15"/>
  <c r="J83" i="18"/>
  <c r="V83"/>
  <c r="C43" i="14"/>
  <c r="N97" i="18"/>
  <c r="F91" i="223"/>
  <c r="L160"/>
  <c r="AV8" i="18"/>
  <c r="C73"/>
  <c r="AM68"/>
  <c r="C36" i="14"/>
  <c r="C21"/>
  <c r="Q78" i="18"/>
  <c r="P94"/>
  <c r="P95"/>
  <c r="V41"/>
  <c r="AQ83"/>
  <c r="N61"/>
  <c r="K61"/>
  <c r="G41"/>
  <c r="AK70"/>
  <c r="AQ78"/>
  <c r="AQ47"/>
  <c r="S45"/>
  <c r="H71" i="237"/>
  <c r="I132" i="223"/>
  <c r="BE21" i="15"/>
  <c r="K184" i="237"/>
  <c r="M2" i="18"/>
  <c r="AU74"/>
  <c r="K38"/>
  <c r="M38"/>
  <c r="K74"/>
  <c r="J97"/>
  <c r="BN91"/>
  <c r="D88" i="223"/>
  <c r="BC11" i="18"/>
  <c r="AM83"/>
  <c r="AD65"/>
  <c r="C54" i="14"/>
  <c r="AE91" i="18"/>
  <c r="J62"/>
  <c r="M83"/>
  <c r="K78"/>
  <c r="P62"/>
  <c r="BL47"/>
  <c r="AD48"/>
  <c r="AE45"/>
  <c r="Q45"/>
  <c r="W41"/>
  <c r="J68"/>
  <c r="K70"/>
  <c r="BH42"/>
  <c r="M50"/>
  <c r="AZ94"/>
  <c r="BL78"/>
  <c r="BK42"/>
  <c r="S65"/>
  <c r="I78" i="223"/>
  <c r="N22"/>
  <c r="BB5" i="18"/>
  <c r="F33" i="223"/>
  <c r="J78" i="18"/>
  <c r="K65"/>
  <c r="AU59"/>
  <c r="J131" i="237"/>
  <c r="BK38" i="18"/>
  <c r="V97"/>
  <c r="G95"/>
  <c r="AD46"/>
  <c r="I147" i="237"/>
  <c r="AH27" i="15"/>
  <c r="N95" i="18"/>
  <c r="Q53"/>
  <c r="AE41"/>
  <c r="BB70"/>
  <c r="G78"/>
  <c r="S48"/>
  <c r="V61"/>
  <c r="Q62"/>
  <c r="AE65"/>
  <c r="AK94"/>
  <c r="BD19"/>
  <c r="AY17"/>
  <c r="AL31" i="15"/>
  <c r="K2" i="18"/>
  <c r="F94" i="237"/>
  <c r="C148"/>
  <c r="N101" i="223"/>
  <c r="AR8" i="18"/>
  <c r="AF27" i="15"/>
  <c r="G53" i="223"/>
  <c r="M27" i="237"/>
  <c r="G116"/>
  <c r="D139" i="223"/>
  <c r="AV20" i="15"/>
  <c r="C30" i="237"/>
  <c r="Z18" i="18"/>
  <c r="M22" i="223"/>
  <c r="F146" i="237"/>
  <c r="AV3" i="18"/>
  <c r="G40" i="223"/>
  <c r="L154"/>
  <c r="I117" i="237"/>
  <c r="AI18" i="18"/>
  <c r="AZ20" i="15"/>
  <c r="E173" i="237"/>
  <c r="I72" i="223"/>
  <c r="N115" i="237"/>
  <c r="H103" i="223"/>
  <c r="H23"/>
  <c r="I2" i="1"/>
  <c r="AF3" i="18"/>
  <c r="G41" i="237"/>
  <c r="B8" i="14"/>
  <c r="H94" i="223"/>
  <c r="BI7" i="18"/>
  <c r="AS6"/>
  <c r="J173" i="237"/>
  <c r="AC15" i="18"/>
  <c r="I156" i="237"/>
  <c r="D170"/>
  <c r="H21" i="18"/>
  <c r="E152" i="237"/>
  <c r="G179"/>
  <c r="U11" i="18"/>
  <c r="AK24" i="15"/>
  <c r="D153" i="223"/>
  <c r="F127" i="237"/>
  <c r="M84" i="223"/>
  <c r="H134"/>
  <c r="U18" i="18"/>
  <c r="D44" i="223"/>
  <c r="E148" i="237"/>
  <c r="J86"/>
  <c r="AB28" i="1"/>
  <c r="AB2"/>
  <c r="L163" i="223"/>
  <c r="D173" i="237"/>
  <c r="AC21" i="18"/>
  <c r="BG23" i="15"/>
  <c r="K140" i="237"/>
  <c r="C41"/>
  <c r="G93"/>
  <c r="J20" i="223"/>
  <c r="H140" i="237"/>
  <c r="H164" i="223"/>
  <c r="AV29" i="15"/>
  <c r="BI11" i="18"/>
  <c r="T25" i="15"/>
  <c r="N60" i="237"/>
  <c r="AM21" i="15"/>
  <c r="L54" i="223"/>
  <c r="K32"/>
  <c r="I100" i="237"/>
  <c r="K182" i="223"/>
  <c r="AR7" i="18"/>
  <c r="H134" i="237"/>
  <c r="BJ14" i="18"/>
  <c r="C103" i="223"/>
  <c r="H9" i="18"/>
  <c r="G26" i="223"/>
  <c r="AP9" i="18"/>
  <c r="H31" i="15"/>
  <c r="B172" i="237"/>
  <c r="K21" i="15"/>
  <c r="BC26"/>
  <c r="V34" i="18"/>
  <c r="C53" s="1"/>
  <c r="B13" i="185"/>
  <c r="B44" i="14"/>
  <c r="K171" i="223"/>
  <c r="AT15" i="18"/>
  <c r="I34"/>
  <c r="C8" i="14"/>
  <c r="AW2" i="1"/>
  <c r="F54" i="223"/>
  <c r="AW17" i="18"/>
  <c r="BB34"/>
  <c r="M41" i="237"/>
  <c r="L146" i="223"/>
  <c r="N43" i="237"/>
  <c r="K103" i="223"/>
  <c r="D40"/>
  <c r="Y26" i="15"/>
  <c r="B181" i="223"/>
  <c r="M26" i="15"/>
  <c r="G103" i="237"/>
  <c r="D121" i="223"/>
  <c r="N24"/>
  <c r="L150"/>
  <c r="X24" i="15"/>
  <c r="N21"/>
  <c r="L155" i="237"/>
  <c r="D138"/>
  <c r="L61"/>
  <c r="X16" i="18"/>
  <c r="I8" i="1"/>
  <c r="K118" i="223"/>
  <c r="Y21" i="18"/>
  <c r="AR25" i="15"/>
  <c r="F13" i="1"/>
  <c r="R18" i="18"/>
  <c r="K148" i="223"/>
  <c r="K20" i="14"/>
  <c r="AY18" i="18"/>
  <c r="K169" i="223"/>
  <c r="L14" i="18"/>
  <c r="AI20" i="15"/>
  <c r="G149" i="237"/>
  <c r="J77"/>
  <c r="BI28" i="15"/>
  <c r="L9" i="18"/>
  <c r="BE7"/>
  <c r="H155" i="237"/>
  <c r="M162"/>
  <c r="I170"/>
  <c r="B44" i="223"/>
  <c r="C156" i="237"/>
  <c r="D89" i="223"/>
  <c r="H130"/>
  <c r="AX27" i="15"/>
  <c r="AF21"/>
  <c r="U15" i="18"/>
  <c r="D156" i="223"/>
  <c r="C62" i="237"/>
  <c r="L46" i="223"/>
  <c r="J61"/>
  <c r="N127"/>
  <c r="O29" i="15"/>
  <c r="AN13" i="18"/>
  <c r="K24" i="237"/>
  <c r="M126" i="223"/>
  <c r="AG34" i="18"/>
  <c r="AT19"/>
  <c r="F70" i="237"/>
  <c r="D21"/>
  <c r="BA10" i="18"/>
  <c r="AQ2"/>
  <c r="C163" i="237"/>
  <c r="AX13" i="18"/>
  <c r="T6"/>
  <c r="AP12"/>
  <c r="J130" i="237"/>
  <c r="K125" i="223"/>
  <c r="H101" i="237"/>
  <c r="E161" i="223"/>
  <c r="AJ17" i="18"/>
  <c r="Z12"/>
  <c r="I27" i="223"/>
  <c r="I22" i="1"/>
  <c r="BC2" i="18"/>
  <c r="G172" i="237"/>
  <c r="D26"/>
  <c r="F62" i="223"/>
  <c r="V2" i="1"/>
  <c r="K46" i="237"/>
  <c r="BM20" i="18"/>
  <c r="N83" i="223"/>
  <c r="J75"/>
  <c r="L118"/>
  <c r="BK21" i="15"/>
  <c r="L100" i="223"/>
  <c r="E140" i="237"/>
  <c r="F32" i="223"/>
  <c r="B94" i="237"/>
  <c r="J133"/>
  <c r="F86"/>
  <c r="AI62" i="18"/>
  <c r="V67"/>
  <c r="Z4"/>
  <c r="BG3"/>
  <c r="F40" i="223"/>
  <c r="J140"/>
  <c r="H41"/>
  <c r="T87" i="18"/>
  <c r="AN56"/>
  <c r="BL39"/>
  <c r="H75"/>
  <c r="BI65"/>
  <c r="BD53"/>
  <c r="C84"/>
  <c r="AM57"/>
  <c r="AJ92"/>
  <c r="Y44"/>
  <c r="T94"/>
  <c r="H172" i="223"/>
  <c r="K153" i="237"/>
  <c r="AI53" i="18"/>
  <c r="AB34"/>
  <c r="C59" s="1"/>
  <c r="H53"/>
  <c r="AU43"/>
  <c r="C31" i="223"/>
  <c r="H136" i="237"/>
  <c r="H181" i="223"/>
  <c r="M24"/>
  <c r="AI61" i="18"/>
  <c r="P57"/>
  <c r="V68"/>
  <c r="BD78"/>
  <c r="BE34"/>
  <c r="G57"/>
  <c r="AI60"/>
  <c r="L97"/>
  <c r="AH62"/>
  <c r="AS71"/>
  <c r="G48"/>
  <c r="X56"/>
  <c r="J57"/>
  <c r="AH65"/>
  <c r="V38"/>
  <c r="AK74"/>
  <c r="AU47"/>
  <c r="AZ77"/>
  <c r="N94"/>
  <c r="AJ76"/>
  <c r="Q50"/>
  <c r="P45"/>
  <c r="K33" i="14"/>
  <c r="AF77" i="18"/>
  <c r="Z56"/>
  <c r="BD51"/>
  <c r="C40"/>
  <c r="M51"/>
  <c r="BE8"/>
  <c r="J58" i="223"/>
  <c r="G161" i="237"/>
  <c r="L153" i="223"/>
  <c r="L34" i="18"/>
  <c r="L41"/>
  <c r="AA34"/>
  <c r="BI51"/>
  <c r="AT94"/>
  <c r="AI75"/>
  <c r="AI76"/>
  <c r="AP74"/>
  <c r="H51"/>
  <c r="AW67"/>
  <c r="AE39"/>
  <c r="AU51"/>
  <c r="BL44"/>
  <c r="C56" i="14"/>
  <c r="AE57" i="18"/>
  <c r="P66"/>
  <c r="BN80"/>
  <c r="AS63"/>
  <c r="BK55"/>
  <c r="AY53"/>
  <c r="S81"/>
  <c r="AP56"/>
  <c r="W53"/>
  <c r="AK95"/>
  <c r="AZ95"/>
  <c r="K15" i="14"/>
  <c r="AZ21" i="15"/>
  <c r="R17" i="18"/>
  <c r="J54"/>
  <c r="J88"/>
  <c r="AT68"/>
  <c r="Y66"/>
  <c r="K83"/>
  <c r="AZ83"/>
  <c r="AP93"/>
  <c r="L92"/>
  <c r="AM51"/>
  <c r="AS38"/>
  <c r="AW39"/>
  <c r="AT96"/>
  <c r="AR54"/>
  <c r="AY56"/>
  <c r="AC49"/>
  <c r="T51"/>
  <c r="V50"/>
  <c r="AP92"/>
  <c r="AT67"/>
  <c r="P96"/>
  <c r="T65"/>
  <c r="BN75"/>
  <c r="H60"/>
  <c r="AY73"/>
  <c r="AN63"/>
  <c r="AH55"/>
  <c r="M95"/>
  <c r="G65"/>
  <c r="Q48"/>
  <c r="R45"/>
  <c r="AW45"/>
  <c r="AN80"/>
  <c r="BI80"/>
  <c r="J67"/>
  <c r="BD41"/>
  <c r="K42"/>
  <c r="AS75"/>
  <c r="M76"/>
  <c r="AK83"/>
  <c r="BJ82"/>
  <c r="N82"/>
  <c r="AD39"/>
  <c r="BL77"/>
  <c r="P47"/>
  <c r="AW92"/>
  <c r="AE81"/>
  <c r="AN78"/>
  <c r="AT75"/>
  <c r="C19" i="14"/>
  <c r="AR66" i="18"/>
  <c r="BK71"/>
  <c r="K41"/>
  <c r="AT82"/>
  <c r="BN76"/>
  <c r="G42"/>
  <c r="AQ74"/>
  <c r="BI77"/>
  <c r="M148" i="237"/>
  <c r="J71"/>
  <c r="F162" i="223"/>
  <c r="D162"/>
  <c r="AU81" i="18"/>
  <c r="AO96"/>
  <c r="AZ72"/>
  <c r="L74"/>
  <c r="H82"/>
  <c r="AR52"/>
  <c r="AJ71"/>
  <c r="Q95"/>
  <c r="AP50"/>
  <c r="AE51"/>
  <c r="BE68"/>
  <c r="AX53"/>
  <c r="AQ97"/>
  <c r="J39"/>
  <c r="AK63"/>
  <c r="AZ45"/>
  <c r="AT53"/>
  <c r="AC96"/>
  <c r="BD48"/>
  <c r="Z41"/>
  <c r="AF57"/>
  <c r="AX55"/>
  <c r="AF38"/>
  <c r="V91"/>
  <c r="AK41"/>
  <c r="AD42"/>
  <c r="X52"/>
  <c r="AU70"/>
  <c r="L103" i="237"/>
  <c r="C33" i="223"/>
  <c r="G152" i="237"/>
  <c r="M70" i="18"/>
  <c r="T73"/>
  <c r="Z34"/>
  <c r="AT77"/>
  <c r="C71"/>
  <c r="AL74"/>
  <c r="BJ69"/>
  <c r="AU97"/>
  <c r="R41"/>
  <c r="AX71"/>
  <c r="AC82"/>
  <c r="AK42"/>
  <c r="AM41"/>
  <c r="G67"/>
  <c r="BL63"/>
  <c r="BK78"/>
  <c r="BM74"/>
  <c r="AS70"/>
  <c r="AK67"/>
  <c r="AM62"/>
  <c r="BH65"/>
  <c r="S87"/>
  <c r="G94"/>
  <c r="AO73"/>
  <c r="AI81"/>
  <c r="AN43"/>
  <c r="AK60"/>
  <c r="X95"/>
  <c r="Q47"/>
  <c r="AH77"/>
  <c r="AK45"/>
  <c r="N62"/>
  <c r="BK96"/>
  <c r="AW96"/>
  <c r="AX80"/>
  <c r="AS41"/>
  <c r="BL41"/>
  <c r="AZ41"/>
  <c r="H42"/>
  <c r="T76"/>
  <c r="AE76"/>
  <c r="BK83"/>
  <c r="J82"/>
  <c r="AY60"/>
  <c r="AX82"/>
  <c r="Q61"/>
  <c r="AI77"/>
  <c r="U77"/>
  <c r="X92"/>
  <c r="Z68"/>
  <c r="N87"/>
  <c r="AU87"/>
  <c r="AT41"/>
  <c r="C48"/>
  <c r="AN67"/>
  <c r="AD80"/>
  <c r="AM80"/>
  <c r="BD87"/>
  <c r="K59" i="14"/>
  <c r="AX47" i="18"/>
  <c r="BN41"/>
  <c r="BN96"/>
  <c r="BB25" i="15"/>
  <c r="BG21" i="18"/>
  <c r="BJ27" i="15"/>
  <c r="N103" i="237"/>
  <c r="BN95" i="18"/>
  <c r="AH48"/>
  <c r="AH91"/>
  <c r="AX77"/>
  <c r="AJ45"/>
  <c r="BD2"/>
  <c r="Y72"/>
  <c r="AE54"/>
  <c r="AR44"/>
  <c r="K66"/>
  <c r="AZ62"/>
  <c r="X43"/>
  <c r="AJ39"/>
  <c r="AK81"/>
  <c r="BB52"/>
  <c r="T81"/>
  <c r="C56"/>
  <c r="T71"/>
  <c r="U72"/>
  <c r="AO94"/>
  <c r="G83"/>
  <c r="C60"/>
  <c r="J76"/>
  <c r="AR65"/>
  <c r="AU90"/>
  <c r="G96"/>
  <c r="AI57"/>
  <c r="AU42"/>
  <c r="AT78"/>
  <c r="AX52"/>
  <c r="J50"/>
  <c r="P75"/>
  <c r="AO97"/>
  <c r="Z72"/>
  <c r="BA17"/>
  <c r="J46" i="223"/>
  <c r="AI72" i="18"/>
  <c r="L46"/>
  <c r="AM42"/>
  <c r="J55"/>
  <c r="L94"/>
  <c r="AZ55"/>
  <c r="BJ92"/>
  <c r="AW68"/>
  <c r="G61"/>
  <c r="AB82"/>
  <c r="BH45"/>
  <c r="C22" i="14"/>
  <c r="BL80" i="18"/>
  <c r="AW79"/>
  <c r="G47"/>
  <c r="AO70"/>
  <c r="BN92"/>
  <c r="AQ56"/>
  <c r="K56"/>
  <c r="AR93"/>
  <c r="C13" i="14"/>
  <c r="V63" i="18"/>
  <c r="AJ84"/>
  <c r="AE66"/>
  <c r="U74"/>
  <c r="AD70"/>
  <c r="BL83"/>
  <c r="AT62"/>
  <c r="AC65"/>
  <c r="U87"/>
  <c r="BA75"/>
  <c r="X47"/>
  <c r="AE68"/>
  <c r="P53"/>
  <c r="BG77"/>
  <c r="AD71"/>
  <c r="AB68"/>
  <c r="AJ97"/>
  <c r="AO78"/>
  <c r="AI45"/>
  <c r="AL45"/>
  <c r="BM66"/>
  <c r="AC80"/>
  <c r="AW81"/>
  <c r="J70"/>
  <c r="BF41"/>
  <c r="J60"/>
  <c r="BM42"/>
  <c r="P42"/>
  <c r="AQ76"/>
  <c r="AS60"/>
  <c r="AW83"/>
  <c r="Y82"/>
  <c r="AY62"/>
  <c r="AD57"/>
  <c r="AR61"/>
  <c r="AE87"/>
  <c r="AD66"/>
  <c r="C10" i="14"/>
  <c r="AN95" i="18"/>
  <c r="H77"/>
  <c r="AH38"/>
  <c r="AM56"/>
  <c r="V70"/>
  <c r="H38" i="223"/>
  <c r="AF39" i="18"/>
  <c r="I22"/>
  <c r="P67"/>
  <c r="AM38"/>
  <c r="AI66"/>
  <c r="I154" i="223"/>
  <c r="BK19" i="15"/>
  <c r="J130" i="223"/>
  <c r="M53" i="237"/>
  <c r="AM87" i="18"/>
  <c r="BB67"/>
  <c r="AJ44"/>
  <c r="H56"/>
  <c r="H76"/>
  <c r="U62"/>
  <c r="W43"/>
  <c r="AR73"/>
  <c r="BL51"/>
  <c r="AQ39"/>
  <c r="V54"/>
  <c r="AJ85"/>
  <c r="BH96"/>
  <c r="BN77"/>
  <c r="BB50"/>
  <c r="H139" i="223"/>
  <c r="BE41" i="18"/>
  <c r="BB92"/>
  <c r="AE38"/>
  <c r="V73"/>
  <c r="Q70"/>
  <c r="AZ97"/>
  <c r="BE71"/>
  <c r="L44"/>
  <c r="BD82"/>
  <c r="C17" i="14"/>
  <c r="U44" i="18"/>
  <c r="AK77"/>
  <c r="O82"/>
  <c r="BN97"/>
  <c r="Z97"/>
  <c r="AC92"/>
  <c r="AJ67"/>
  <c r="AK43"/>
  <c r="AU83"/>
  <c r="BL40"/>
  <c r="L125" i="237"/>
  <c r="AQ23" i="15"/>
  <c r="BF45" i="18"/>
  <c r="AD94"/>
  <c r="T34"/>
  <c r="R73"/>
  <c r="AS87"/>
  <c r="N38"/>
  <c r="AV43"/>
  <c r="C47" i="14"/>
  <c r="M84" i="18"/>
  <c r="BL57"/>
  <c r="AV83"/>
  <c r="BN79"/>
  <c r="Y95"/>
  <c r="BL90"/>
  <c r="AV46"/>
  <c r="Z50"/>
  <c r="BE83"/>
  <c r="V96"/>
  <c r="I48"/>
  <c r="BE55"/>
  <c r="AB49"/>
  <c r="AZ42"/>
  <c r="AR78"/>
  <c r="AC90"/>
  <c r="I95"/>
  <c r="C58" i="14"/>
  <c r="Q56" i="18"/>
  <c r="K53"/>
  <c r="BL66"/>
  <c r="AD74"/>
  <c r="Y43"/>
  <c r="AZ44"/>
  <c r="U67"/>
  <c r="BM63"/>
  <c r="Y65"/>
  <c r="AI87"/>
  <c r="BD94"/>
  <c r="AH68"/>
  <c r="AR53"/>
  <c r="AM77"/>
  <c r="Z71"/>
  <c r="L90"/>
  <c r="AS57"/>
  <c r="S95"/>
  <c r="BN70"/>
  <c r="AI48"/>
  <c r="AT92"/>
  <c r="T45"/>
  <c r="K45"/>
  <c r="AD96"/>
  <c r="Y80"/>
  <c r="AT80"/>
  <c r="J51"/>
  <c r="J53"/>
  <c r="BF42"/>
  <c r="Q42"/>
  <c r="K76"/>
  <c r="AX76"/>
  <c r="AZ38"/>
  <c r="I82"/>
  <c r="L82"/>
  <c r="AD43"/>
  <c r="M61"/>
  <c r="AZ61"/>
  <c r="AN77"/>
  <c r="O68"/>
  <c r="N77"/>
  <c r="S50"/>
  <c r="S63"/>
  <c r="BD90"/>
  <c r="Y59"/>
  <c r="Q59"/>
  <c r="AQ53"/>
  <c r="Y74"/>
  <c r="I60"/>
  <c r="N89"/>
  <c r="BF96"/>
  <c r="BF71"/>
  <c r="BA88"/>
  <c r="BE51"/>
  <c r="BE38"/>
  <c r="BE66"/>
  <c r="BB59"/>
  <c r="BN54"/>
  <c r="AJ54"/>
  <c r="AN54"/>
  <c r="X54"/>
  <c r="H90"/>
  <c r="W90"/>
  <c r="X73"/>
  <c r="AS73"/>
  <c r="N73"/>
  <c r="AZ46"/>
  <c r="O45"/>
  <c r="U55"/>
  <c r="AT52"/>
  <c r="K52"/>
  <c r="P91"/>
  <c r="O91"/>
  <c r="BH51"/>
  <c r="BJ85"/>
  <c r="AW85"/>
  <c r="BB94"/>
  <c r="BB38"/>
  <c r="AT72"/>
  <c r="AO92"/>
  <c r="AO72"/>
  <c r="AX72"/>
  <c r="BD40"/>
  <c r="AM40"/>
  <c r="T84"/>
  <c r="W84"/>
  <c r="BA84"/>
  <c r="BB84"/>
  <c r="BK84"/>
  <c r="AL56"/>
  <c r="BF69"/>
  <c r="AK69"/>
  <c r="N69"/>
  <c r="BK69"/>
  <c r="R49"/>
  <c r="R44"/>
  <c r="R57"/>
  <c r="BI49"/>
  <c r="U93"/>
  <c r="Q93"/>
  <c r="BJ76"/>
  <c r="AU93"/>
  <c r="BM93"/>
  <c r="AN93"/>
  <c r="AV95"/>
  <c r="AT97"/>
  <c r="O55"/>
  <c r="I50"/>
  <c r="S97"/>
  <c r="BG94"/>
  <c r="V59"/>
  <c r="O59"/>
  <c r="AO74"/>
  <c r="AF74"/>
  <c r="AN40"/>
  <c r="BF38"/>
  <c r="AZ89"/>
  <c r="AN89"/>
  <c r="AZ88"/>
  <c r="BE88"/>
  <c r="BE78"/>
  <c r="BE94"/>
  <c r="AB60"/>
  <c r="AP54"/>
  <c r="K54"/>
  <c r="AV54"/>
  <c r="AK90"/>
  <c r="U90"/>
  <c r="AP73"/>
  <c r="AC73"/>
  <c r="AN46"/>
  <c r="S46"/>
  <c r="U66"/>
  <c r="AK52"/>
  <c r="BI52"/>
  <c r="H91"/>
  <c r="BH68"/>
  <c r="U91"/>
  <c r="S91"/>
  <c r="BB81"/>
  <c r="H85"/>
  <c r="BB63"/>
  <c r="P85"/>
  <c r="Q72"/>
  <c r="AY72"/>
  <c r="BD72"/>
  <c r="AS72"/>
  <c r="I94"/>
  <c r="I44"/>
  <c r="AF84"/>
  <c r="BA87"/>
  <c r="P84"/>
  <c r="AL84"/>
  <c r="X84"/>
  <c r="AL94"/>
  <c r="BN69"/>
  <c r="R69"/>
  <c r="T69"/>
  <c r="BB69"/>
  <c r="AL49"/>
  <c r="R52"/>
  <c r="BA49"/>
  <c r="BM49"/>
  <c r="AD49"/>
  <c r="BJ39"/>
  <c r="BJ61"/>
  <c r="I93"/>
  <c r="AL93"/>
  <c r="T93"/>
  <c r="AQ93"/>
  <c r="AP79"/>
  <c r="AH79"/>
  <c r="AD79"/>
  <c r="AQ79"/>
  <c r="AV68"/>
  <c r="Y79"/>
  <c r="R79"/>
  <c r="AY46"/>
  <c r="Q46"/>
  <c r="AO50"/>
  <c r="S47"/>
  <c r="BG78"/>
  <c r="AF59"/>
  <c r="AB70"/>
  <c r="AQ95"/>
  <c r="J40"/>
  <c r="AI89"/>
  <c r="BI89"/>
  <c r="Y88"/>
  <c r="BE87"/>
  <c r="P88"/>
  <c r="BM88"/>
  <c r="G59"/>
  <c r="Z54"/>
  <c r="W80"/>
  <c r="AK54"/>
  <c r="W56"/>
  <c r="BG71"/>
  <c r="BG44"/>
  <c r="AP97"/>
  <c r="AP78"/>
  <c r="AI73"/>
  <c r="O53"/>
  <c r="O97"/>
  <c r="AS52"/>
  <c r="U60"/>
  <c r="S52"/>
  <c r="BH61"/>
  <c r="Q91"/>
  <c r="AK91"/>
  <c r="AZ91"/>
  <c r="BN85"/>
  <c r="BB53"/>
  <c r="BD85"/>
  <c r="AM85"/>
  <c r="M72"/>
  <c r="AO71"/>
  <c r="AO47"/>
  <c r="I92"/>
  <c r="BK40"/>
  <c r="BE84"/>
  <c r="BA38"/>
  <c r="K84"/>
  <c r="BJ84"/>
  <c r="BA92"/>
  <c r="AL44"/>
  <c r="AL78"/>
  <c r="AY69"/>
  <c r="I69"/>
  <c r="AL51"/>
  <c r="R62"/>
  <c r="R42"/>
  <c r="AH49"/>
  <c r="R78"/>
  <c r="H49"/>
  <c r="BJ48"/>
  <c r="AB93"/>
  <c r="BJ41"/>
  <c r="AE93"/>
  <c r="BJ94"/>
  <c r="BE79"/>
  <c r="X79"/>
  <c r="AV82"/>
  <c r="G79"/>
  <c r="BN46"/>
  <c r="BG46"/>
  <c r="S70"/>
  <c r="S67"/>
  <c r="BG75"/>
  <c r="Z59"/>
  <c r="AZ59"/>
  <c r="AI74"/>
  <c r="BG40"/>
  <c r="Y40"/>
  <c r="BF39"/>
  <c r="BF81"/>
  <c r="BF92"/>
  <c r="AT88"/>
  <c r="BE82"/>
  <c r="BE63"/>
  <c r="BE70"/>
  <c r="AX59"/>
  <c r="AL54"/>
  <c r="W67"/>
  <c r="W75"/>
  <c r="AS54"/>
  <c r="AH90"/>
  <c r="BE90"/>
  <c r="AQ73"/>
  <c r="AN73"/>
  <c r="BN73"/>
  <c r="R46"/>
  <c r="K46"/>
  <c r="U76"/>
  <c r="U70"/>
  <c r="W52"/>
  <c r="X91"/>
  <c r="AO91"/>
  <c r="G91"/>
  <c r="BB91"/>
  <c r="J85"/>
  <c r="BB61"/>
  <c r="BB87"/>
  <c r="BE85"/>
  <c r="O72"/>
  <c r="AO87"/>
  <c r="AO43"/>
  <c r="BH72"/>
  <c r="P40"/>
  <c r="I83"/>
  <c r="Q84"/>
  <c r="N84"/>
  <c r="R84"/>
  <c r="H84"/>
  <c r="Y84"/>
  <c r="AL97"/>
  <c r="AM69"/>
  <c r="AL43"/>
  <c r="AL70"/>
  <c r="AL47"/>
  <c r="R87"/>
  <c r="AZ49"/>
  <c r="R83"/>
  <c r="R81"/>
  <c r="R38"/>
  <c r="BJ95"/>
  <c r="AE90"/>
  <c r="BN71"/>
  <c r="BM77"/>
  <c r="N68"/>
  <c r="AU45"/>
  <c r="BM51"/>
  <c r="AF96"/>
  <c r="AV80"/>
  <c r="AU80"/>
  <c r="AD41"/>
  <c r="AN41"/>
  <c r="K48"/>
  <c r="AE42"/>
  <c r="BF76"/>
  <c r="AY76"/>
  <c r="AZ60"/>
  <c r="AZ66"/>
  <c r="AY47"/>
  <c r="AM82"/>
  <c r="Z61"/>
  <c r="BK87"/>
  <c r="BL71"/>
  <c r="S41"/>
  <c r="Z42"/>
  <c r="BM76"/>
  <c r="L60"/>
  <c r="N50"/>
  <c r="T74"/>
  <c r="AI92"/>
  <c r="AY66"/>
  <c r="Y87"/>
  <c r="C101" i="237"/>
  <c r="AC60" i="18"/>
  <c r="S43"/>
  <c r="C164" i="223"/>
  <c r="BC19" i="18"/>
  <c r="N182" i="237"/>
  <c r="AA20" i="15"/>
  <c r="Y46" i="18"/>
  <c r="C75"/>
  <c r="BG63"/>
  <c r="Z77"/>
  <c r="AD92"/>
  <c r="X2"/>
  <c r="BL94"/>
  <c r="T82"/>
  <c r="BL48"/>
  <c r="S89"/>
  <c r="AU77"/>
  <c r="AD61"/>
  <c r="AC48"/>
  <c r="AS51"/>
  <c r="AK61"/>
  <c r="W57"/>
  <c r="Z89"/>
  <c r="G92"/>
  <c r="AO95"/>
  <c r="V43"/>
  <c r="S62"/>
  <c r="O96"/>
  <c r="BL75"/>
  <c r="Z91"/>
  <c r="BM50"/>
  <c r="BK77"/>
  <c r="BL42"/>
  <c r="Q41"/>
  <c r="AU57"/>
  <c r="AF40"/>
  <c r="M45"/>
  <c r="C49"/>
  <c r="AW46"/>
  <c r="AT71"/>
  <c r="AD40"/>
  <c r="AC20" i="15"/>
  <c r="G23" i="223"/>
  <c r="AJ38" i="18"/>
  <c r="AH71"/>
  <c r="H83"/>
  <c r="AN45"/>
  <c r="AP48"/>
  <c r="BB68"/>
  <c r="AH94"/>
  <c r="AU85"/>
  <c r="R54"/>
  <c r="AN90"/>
  <c r="BG62"/>
  <c r="I28" i="15"/>
  <c r="AO57" i="18"/>
  <c r="AC81"/>
  <c r="K36" i="14"/>
  <c r="T53" i="18"/>
  <c r="AJ47"/>
  <c r="AV53"/>
  <c r="AB84"/>
  <c r="AI93"/>
  <c r="N72"/>
  <c r="AH46"/>
  <c r="AL71"/>
  <c r="C41" i="14"/>
  <c r="BA63" i="18"/>
  <c r="AR49"/>
  <c r="Q39"/>
  <c r="X61"/>
  <c r="K43"/>
  <c r="H92"/>
  <c r="BG67"/>
  <c r="Y96"/>
  <c r="W65"/>
  <c r="AY87"/>
  <c r="AK75"/>
  <c r="P39"/>
  <c r="AP68"/>
  <c r="BE73"/>
  <c r="AT81"/>
  <c r="AN71"/>
  <c r="AN49"/>
  <c r="P90"/>
  <c r="BF95"/>
  <c r="BI38"/>
  <c r="Q63"/>
  <c r="AE77"/>
  <c r="U45"/>
  <c r="BM55"/>
  <c r="J80"/>
  <c r="AY80"/>
  <c r="M41"/>
  <c r="X41"/>
  <c r="BK41"/>
  <c r="AQ42"/>
  <c r="AT76"/>
  <c r="Y76"/>
  <c r="AZ65"/>
  <c r="AE83"/>
  <c r="AY51"/>
  <c r="V82"/>
  <c r="AW61"/>
  <c r="W61"/>
  <c r="BF77"/>
  <c r="O92"/>
  <c r="AT38"/>
  <c r="T46"/>
  <c r="BA50"/>
  <c r="S56"/>
  <c r="W50"/>
  <c r="X90"/>
  <c r="AN59"/>
  <c r="BF59"/>
  <c r="AQ48"/>
  <c r="X74"/>
  <c r="I43"/>
  <c r="BF75"/>
  <c r="AB89"/>
  <c r="BF89"/>
  <c r="O89"/>
  <c r="AL88"/>
  <c r="BE67"/>
  <c r="BC88"/>
  <c r="AB88"/>
  <c r="H59"/>
  <c r="M54"/>
  <c r="AW54"/>
  <c r="W68"/>
  <c r="BA54"/>
  <c r="BC90"/>
  <c r="AP44"/>
  <c r="U73"/>
  <c r="AK73"/>
  <c r="N46"/>
  <c r="AZ52"/>
  <c r="P52"/>
  <c r="Q52"/>
  <c r="O52"/>
  <c r="BH70"/>
  <c r="AD91"/>
  <c r="AU91"/>
  <c r="AT91"/>
  <c r="G85"/>
  <c r="BF85"/>
  <c r="BM85"/>
  <c r="AB85"/>
  <c r="BI72"/>
  <c r="BN72"/>
  <c r="V72"/>
  <c r="AK40"/>
  <c r="I76"/>
  <c r="BA81"/>
  <c r="BA77"/>
  <c r="BA68"/>
  <c r="BA53"/>
  <c r="BC74"/>
  <c r="BC80"/>
  <c r="BG86"/>
  <c r="V86"/>
  <c r="BC67"/>
  <c r="AL42"/>
  <c r="AL81"/>
  <c r="AX69"/>
  <c r="W69"/>
  <c r="AB69"/>
  <c r="BE49"/>
  <c r="R71"/>
  <c r="AX49"/>
  <c r="AJ49"/>
  <c r="BN93"/>
  <c r="AH93"/>
  <c r="BJ70"/>
  <c r="AD93"/>
  <c r="BJ81"/>
  <c r="AV51"/>
  <c r="AV87"/>
  <c r="AT66"/>
  <c r="O75"/>
  <c r="S92"/>
  <c r="AM50"/>
  <c r="H50"/>
  <c r="BG56"/>
  <c r="AP59"/>
  <c r="AJ59"/>
  <c r="AQ51"/>
  <c r="BK74"/>
  <c r="I38"/>
  <c r="J89"/>
  <c r="AP89"/>
  <c r="BF66"/>
  <c r="AK89"/>
  <c r="BE92"/>
  <c r="H88"/>
  <c r="BE75"/>
  <c r="S88"/>
  <c r="AB92"/>
  <c r="W87"/>
  <c r="Q54"/>
  <c r="BL54"/>
  <c r="AF54"/>
  <c r="BK90"/>
  <c r="AP80"/>
  <c r="BD73"/>
  <c r="M73"/>
  <c r="V46"/>
  <c r="AE46"/>
  <c r="BA52"/>
  <c r="AV52"/>
  <c r="U38"/>
  <c r="AY52"/>
  <c r="BH57"/>
  <c r="AW91"/>
  <c r="BH60"/>
  <c r="AQ91"/>
  <c r="BB71"/>
  <c r="AP85"/>
  <c r="L85"/>
  <c r="AX85"/>
  <c r="BL72"/>
  <c r="AO67"/>
  <c r="BG72"/>
  <c r="I78"/>
  <c r="I75"/>
  <c r="S84"/>
  <c r="BA67"/>
  <c r="AE84"/>
  <c r="BC61"/>
  <c r="BC62"/>
  <c r="AK86"/>
  <c r="BC47"/>
  <c r="P86"/>
  <c r="AL90"/>
  <c r="Q69"/>
  <c r="AJ69"/>
  <c r="BD69"/>
  <c r="AP69"/>
  <c r="R80"/>
  <c r="BF49"/>
  <c r="AT49"/>
  <c r="U49"/>
  <c r="BJ88"/>
  <c r="BJ56"/>
  <c r="AF93"/>
  <c r="BJ68"/>
  <c r="BJ87"/>
  <c r="AZ93"/>
  <c r="AV75"/>
  <c r="BH79"/>
  <c r="BC79"/>
  <c r="BF79"/>
  <c r="AV70"/>
  <c r="AZ79"/>
  <c r="BL79"/>
  <c r="AU46"/>
  <c r="U50"/>
  <c r="AL50"/>
  <c r="X50"/>
  <c r="BG66"/>
  <c r="AB57"/>
  <c r="J59"/>
  <c r="I74"/>
  <c r="AH74"/>
  <c r="I65"/>
  <c r="AV89"/>
  <c r="AT89"/>
  <c r="BF97"/>
  <c r="AU89"/>
  <c r="K88"/>
  <c r="AM88"/>
  <c r="BE43"/>
  <c r="AB59"/>
  <c r="BN59"/>
  <c r="BH54"/>
  <c r="AC54"/>
  <c r="AZ54"/>
  <c r="AQ54"/>
  <c r="Z90"/>
  <c r="AP61"/>
  <c r="BA73"/>
  <c r="AP70"/>
  <c r="Z46"/>
  <c r="O94"/>
  <c r="AE52"/>
  <c r="BF52"/>
  <c r="AO52"/>
  <c r="J91"/>
  <c r="BH91"/>
  <c r="AN91"/>
  <c r="BH63"/>
  <c r="AB91"/>
  <c r="BA85"/>
  <c r="BB43"/>
  <c r="BB97"/>
  <c r="N85"/>
  <c r="BF72"/>
  <c r="AD72"/>
  <c r="AO39"/>
  <c r="I47"/>
  <c r="I55"/>
  <c r="AV40"/>
  <c r="BA47"/>
  <c r="BA74"/>
  <c r="G84"/>
  <c r="BA51"/>
  <c r="AB86"/>
  <c r="AO86"/>
  <c r="AT86"/>
  <c r="AN86"/>
  <c r="BI86"/>
  <c r="AH69"/>
  <c r="AF69"/>
  <c r="BE69"/>
  <c r="AT69"/>
  <c r="BN49"/>
  <c r="L49"/>
  <c r="S49"/>
  <c r="R97"/>
  <c r="V93"/>
  <c r="O93"/>
  <c r="BJ67"/>
  <c r="BJ80"/>
  <c r="BL93"/>
  <c r="BE93"/>
  <c r="AV73"/>
  <c r="W79"/>
  <c r="H79"/>
  <c r="AS77"/>
  <c r="O48"/>
  <c r="S68"/>
  <c r="AU50"/>
  <c r="BG38"/>
  <c r="AB43"/>
  <c r="AO59"/>
  <c r="AQ57"/>
  <c r="Q74"/>
  <c r="AU40"/>
  <c r="BG89"/>
  <c r="AY89"/>
  <c r="Y89"/>
  <c r="BE97"/>
  <c r="AC88"/>
  <c r="BE44"/>
  <c r="U88"/>
  <c r="I59"/>
  <c r="AQ59"/>
  <c r="H54"/>
  <c r="BE54"/>
  <c r="W44"/>
  <c r="BG60"/>
  <c r="AB90"/>
  <c r="BM73"/>
  <c r="AP63"/>
  <c r="AP51"/>
  <c r="O46"/>
  <c r="AT46"/>
  <c r="Y52"/>
  <c r="H52"/>
  <c r="R91"/>
  <c r="BH76"/>
  <c r="W91"/>
  <c r="BE91"/>
  <c r="R85"/>
  <c r="O85"/>
  <c r="T85"/>
  <c r="AQ85"/>
  <c r="AP72"/>
  <c r="AM72"/>
  <c r="AL72"/>
  <c r="AO56"/>
  <c r="AS40"/>
  <c r="I70"/>
  <c r="AU84"/>
  <c r="AZ84"/>
  <c r="BA83"/>
  <c r="BL84"/>
  <c r="AR84"/>
  <c r="BC82"/>
  <c r="AZ86"/>
  <c r="BC75"/>
  <c r="AQ86"/>
  <c r="BC43"/>
  <c r="AQ69"/>
  <c r="AL55"/>
  <c r="AL41"/>
  <c r="J69"/>
  <c r="BL69"/>
  <c r="AI49"/>
  <c r="R75"/>
  <c r="AY49"/>
  <c r="AW49"/>
  <c r="BL49"/>
  <c r="BJ71"/>
  <c r="BJ75"/>
  <c r="BJ96"/>
  <c r="BJ47"/>
  <c r="BJ38"/>
  <c r="AM93"/>
  <c r="BG79"/>
  <c r="AV62"/>
  <c r="N79"/>
  <c r="AX79"/>
  <c r="K79"/>
  <c r="AS79"/>
  <c r="AB79"/>
  <c r="C96"/>
  <c r="S66"/>
  <c r="C16" i="14"/>
  <c r="U65" i="18"/>
  <c r="AE62"/>
  <c r="BN62"/>
  <c r="AF82"/>
  <c r="N90"/>
  <c r="AB95"/>
  <c r="N48"/>
  <c r="AV45"/>
  <c r="N45"/>
  <c r="BM75"/>
  <c r="AQ96"/>
  <c r="AW78"/>
  <c r="U80"/>
  <c r="Y41"/>
  <c r="AF41"/>
  <c r="K87"/>
  <c r="L42"/>
  <c r="BE42"/>
  <c r="BB76"/>
  <c r="AZ53"/>
  <c r="BN83"/>
  <c r="AK82"/>
  <c r="AY43"/>
  <c r="AD56"/>
  <c r="AD62"/>
  <c r="AS67"/>
  <c r="BD80"/>
  <c r="BM38"/>
  <c r="BN48"/>
  <c r="AF92"/>
  <c r="BI81"/>
  <c r="T61"/>
  <c r="AH83"/>
  <c r="BN66"/>
  <c r="C41"/>
  <c r="K47"/>
  <c r="BK63"/>
  <c r="Y75"/>
  <c r="BF65"/>
  <c r="E160" i="223"/>
  <c r="E120"/>
  <c r="BD2" i="1"/>
  <c r="I91" i="223"/>
  <c r="AK44" i="18"/>
  <c r="AJ88"/>
  <c r="V76"/>
  <c r="BD54"/>
  <c r="AY85"/>
  <c r="J44"/>
  <c r="BB46"/>
  <c r="AP81"/>
  <c r="AC51"/>
  <c r="P77"/>
  <c r="AM44"/>
  <c r="Q96"/>
  <c r="N44"/>
  <c r="AC53"/>
  <c r="G2"/>
  <c r="Z67"/>
  <c r="BK61"/>
  <c r="AE82"/>
  <c r="Y50"/>
  <c r="BI75"/>
  <c r="AH88"/>
  <c r="BN74"/>
  <c r="BF57"/>
  <c r="O88"/>
  <c r="C68"/>
  <c r="N88"/>
  <c r="BH83"/>
  <c r="BD50"/>
  <c r="AB83"/>
  <c r="AQ87"/>
  <c r="U42"/>
  <c r="AY40"/>
  <c r="BD56"/>
  <c r="N74"/>
  <c r="AM48"/>
  <c r="BF40"/>
  <c r="B171" i="223"/>
  <c r="AG15" i="18"/>
  <c r="AR92"/>
  <c r="AU44"/>
  <c r="AD88"/>
  <c r="AC86"/>
  <c r="Q43"/>
  <c r="X49"/>
  <c r="AX45"/>
  <c r="AS92"/>
  <c r="Z96"/>
  <c r="BB49"/>
  <c r="AQ88"/>
  <c r="Z84"/>
  <c r="AU78"/>
  <c r="AZ75"/>
  <c r="BE40"/>
  <c r="T89"/>
  <c r="M93"/>
  <c r="L75"/>
  <c r="AF44"/>
  <c r="AB55"/>
  <c r="Z45"/>
  <c r="BH47"/>
  <c r="BG74"/>
  <c r="AE40"/>
  <c r="M80"/>
  <c r="V48"/>
  <c r="AZ63"/>
  <c r="AN84"/>
  <c r="S78"/>
  <c r="K60"/>
  <c r="L50"/>
  <c r="W76"/>
  <c r="BG83"/>
  <c r="W62"/>
  <c r="X65"/>
  <c r="L87"/>
  <c r="AE75"/>
  <c r="AF46"/>
  <c r="AD73"/>
  <c r="AZ81"/>
  <c r="J71"/>
  <c r="AD55"/>
  <c r="BI90"/>
  <c r="BL70"/>
  <c r="V95"/>
  <c r="BC48"/>
  <c r="W48"/>
  <c r="N78"/>
  <c r="N92"/>
  <c r="N67"/>
  <c r="X96"/>
  <c r="AK96"/>
  <c r="AW47"/>
  <c r="AS80"/>
  <c r="J94"/>
  <c r="AJ41"/>
  <c r="K51"/>
  <c r="AO42"/>
  <c r="AS42"/>
  <c r="X76"/>
  <c r="S83"/>
  <c r="AZ78"/>
  <c r="AY81"/>
  <c r="AU82"/>
  <c r="BN61"/>
  <c r="AD81"/>
  <c r="BH77"/>
  <c r="AP46"/>
  <c r="AD44"/>
  <c r="AM46"/>
  <c r="O65"/>
  <c r="AZ50"/>
  <c r="BI50"/>
  <c r="Z64"/>
  <c r="AG60"/>
  <c r="BG65"/>
  <c r="BN90"/>
  <c r="T59"/>
  <c r="AD59"/>
  <c r="AM74"/>
  <c r="AT40"/>
  <c r="BF62"/>
  <c r="BH89"/>
  <c r="R89"/>
  <c r="V89"/>
  <c r="BE77"/>
  <c r="BE56"/>
  <c r="AV88"/>
  <c r="BK88"/>
  <c r="AB81"/>
  <c r="W83"/>
  <c r="W95"/>
  <c r="L54"/>
  <c r="AT54"/>
  <c r="AV90"/>
  <c r="BB73"/>
  <c r="AF73"/>
  <c r="G73"/>
  <c r="J73"/>
  <c r="O78"/>
  <c r="J52"/>
  <c r="BN52"/>
  <c r="U43"/>
  <c r="AD52"/>
  <c r="N91"/>
  <c r="BH78"/>
  <c r="AL91"/>
  <c r="AP91"/>
  <c r="BI85"/>
  <c r="AC85"/>
  <c r="AD85"/>
  <c r="AZ85"/>
  <c r="BJ72"/>
  <c r="G72"/>
  <c r="K72"/>
  <c r="BM40"/>
  <c r="AX40"/>
  <c r="BA66"/>
  <c r="BA65"/>
  <c r="AM84"/>
  <c r="BD84"/>
  <c r="BA62"/>
  <c r="BC94"/>
  <c r="BC57"/>
  <c r="W86"/>
  <c r="K86"/>
  <c r="AO64"/>
  <c r="AG63"/>
  <c r="AG56"/>
  <c r="BA69"/>
  <c r="M69"/>
  <c r="AL76"/>
  <c r="BC69"/>
  <c r="AL60"/>
  <c r="AP49"/>
  <c r="R43"/>
  <c r="R96"/>
  <c r="R47"/>
  <c r="R95"/>
  <c r="BJ66"/>
  <c r="X93"/>
  <c r="W93"/>
  <c r="BJ55"/>
  <c r="H93"/>
  <c r="M79"/>
  <c r="J79"/>
  <c r="H61"/>
  <c r="J46"/>
  <c r="AC46"/>
  <c r="AX50"/>
  <c r="BN50"/>
  <c r="AS64"/>
  <c r="AX64"/>
  <c r="I90"/>
  <c r="U59"/>
  <c r="N59"/>
  <c r="AS59"/>
  <c r="BF74"/>
  <c r="AB40"/>
  <c r="AL89"/>
  <c r="BF82"/>
  <c r="BF63"/>
  <c r="P89"/>
  <c r="BE95"/>
  <c r="BN88"/>
  <c r="W88"/>
  <c r="BH88"/>
  <c r="AB87"/>
  <c r="BJ54"/>
  <c r="Y54"/>
  <c r="W66"/>
  <c r="T54"/>
  <c r="R90"/>
  <c r="AP82"/>
  <c r="AP43"/>
  <c r="BI73"/>
  <c r="AW73"/>
  <c r="O67"/>
  <c r="U89"/>
  <c r="U97"/>
  <c r="Z52"/>
  <c r="AQ52"/>
  <c r="AV91"/>
  <c r="BH56"/>
  <c r="BH44"/>
  <c r="Y91"/>
  <c r="AT85"/>
  <c r="BB44"/>
  <c r="X85"/>
  <c r="BL85"/>
  <c r="AO48"/>
  <c r="AO53"/>
  <c r="AJ72"/>
  <c r="AL40"/>
  <c r="BI40"/>
  <c r="BH84"/>
  <c r="I84"/>
  <c r="U84"/>
  <c r="BA57"/>
  <c r="BC84"/>
  <c r="BC55"/>
  <c r="AR86"/>
  <c r="AU86"/>
  <c r="AG86"/>
  <c r="AL64"/>
  <c r="U64"/>
  <c r="AG62"/>
  <c r="AL77"/>
  <c r="G69"/>
  <c r="O69"/>
  <c r="AD69"/>
  <c r="X69"/>
  <c r="Z49"/>
  <c r="BD49"/>
  <c r="R39"/>
  <c r="AU49"/>
  <c r="R70"/>
  <c r="BJ44"/>
  <c r="L93"/>
  <c r="BA93"/>
  <c r="AY93"/>
  <c r="J93"/>
  <c r="AV96"/>
  <c r="AV77"/>
  <c r="AY79"/>
  <c r="AJ79"/>
  <c r="AK79"/>
  <c r="AV38"/>
  <c r="AT79"/>
  <c r="Q77"/>
  <c r="AB46"/>
  <c r="BA46"/>
  <c r="AH50"/>
  <c r="AG50"/>
  <c r="AG70"/>
  <c r="Y64"/>
  <c r="AW90"/>
  <c r="BM59"/>
  <c r="AB56"/>
  <c r="BE59"/>
  <c r="AW74"/>
  <c r="AZ40"/>
  <c r="BF50"/>
  <c r="BN89"/>
  <c r="H89"/>
  <c r="BA89"/>
  <c r="AF88"/>
  <c r="L88"/>
  <c r="AU88"/>
  <c r="BB88"/>
  <c r="AB96"/>
  <c r="BF54"/>
  <c r="AO54"/>
  <c r="W94"/>
  <c r="BI54"/>
  <c r="T90"/>
  <c r="Q73"/>
  <c r="AP39"/>
  <c r="BJ73"/>
  <c r="O61"/>
  <c r="O70"/>
  <c r="U41"/>
  <c r="U57"/>
  <c r="AB52"/>
  <c r="BD52"/>
  <c r="BH39"/>
  <c r="BH55"/>
  <c r="BL91"/>
  <c r="AC91"/>
  <c r="U85"/>
  <c r="Q85"/>
  <c r="BC85"/>
  <c r="AO62"/>
  <c r="AO65"/>
  <c r="AR72"/>
  <c r="BJ40"/>
  <c r="W40"/>
  <c r="BA41"/>
  <c r="J84"/>
  <c r="L84"/>
  <c r="BM84"/>
  <c r="O84"/>
  <c r="BC39"/>
  <c r="BM86"/>
  <c r="AX86"/>
  <c r="J86"/>
  <c r="AG78"/>
  <c r="AG43"/>
  <c r="AU64"/>
  <c r="BM69"/>
  <c r="L69"/>
  <c r="Y69"/>
  <c r="AC69"/>
  <c r="K49"/>
  <c r="O49"/>
  <c r="R82"/>
  <c r="M49"/>
  <c r="T49"/>
  <c r="BJ65"/>
  <c r="AX93"/>
  <c r="BJ45"/>
  <c r="AC93"/>
  <c r="AW93"/>
  <c r="BM79"/>
  <c r="BK79"/>
  <c r="BD79"/>
  <c r="AJ77"/>
  <c r="BJ46"/>
  <c r="O81"/>
  <c r="AN50"/>
  <c r="S60"/>
  <c r="BA64"/>
  <c r="BF64"/>
  <c r="BG57"/>
  <c r="AR59"/>
  <c r="AY59"/>
  <c r="AQ65"/>
  <c r="M74"/>
  <c r="Q40"/>
  <c r="BD89"/>
  <c r="BF44"/>
  <c r="AC89"/>
  <c r="AJ89"/>
  <c r="Z88"/>
  <c r="BI88"/>
  <c r="AR88"/>
  <c r="S59"/>
  <c r="W39"/>
  <c r="W97"/>
  <c r="AH54"/>
  <c r="BB54"/>
  <c r="BG90"/>
  <c r="I73"/>
  <c r="BK73"/>
  <c r="Y73"/>
  <c r="O39"/>
  <c r="BD46"/>
  <c r="U94"/>
  <c r="AN52"/>
  <c r="AF52"/>
  <c r="BH38"/>
  <c r="BH50"/>
  <c r="T91"/>
  <c r="AR91"/>
  <c r="BB77"/>
  <c r="AV85"/>
  <c r="BB55"/>
  <c r="V85"/>
  <c r="AB72"/>
  <c r="I72"/>
  <c r="L72"/>
  <c r="I67"/>
  <c r="BN40"/>
  <c r="AI84"/>
  <c r="V84"/>
  <c r="BA71"/>
  <c r="AD84"/>
  <c r="BA86"/>
  <c r="BC50"/>
  <c r="BC81"/>
  <c r="AD86"/>
  <c r="AM86"/>
  <c r="BJ64"/>
  <c r="N64"/>
  <c r="K69"/>
  <c r="AL92"/>
  <c r="AL38"/>
  <c r="BI69"/>
  <c r="U69"/>
  <c r="G49"/>
  <c r="R66"/>
  <c r="R60"/>
  <c r="R55"/>
  <c r="R56"/>
  <c r="AJ93"/>
  <c r="S93"/>
  <c r="BJ74"/>
  <c r="BJ78"/>
  <c r="BI93"/>
  <c r="AV44"/>
  <c r="AV65"/>
  <c r="AE79"/>
  <c r="P79"/>
  <c r="AU79"/>
  <c r="AV81"/>
  <c r="AV78"/>
  <c r="AV47"/>
  <c r="C80"/>
  <c r="C27" i="14"/>
  <c r="AI42" i="18"/>
  <c r="C57"/>
  <c r="AK62"/>
  <c r="AJ82"/>
  <c r="Q44"/>
  <c r="BK75"/>
  <c r="M43"/>
  <c r="AW65"/>
  <c r="H65"/>
  <c r="AN87"/>
  <c r="BK56"/>
  <c r="AF56"/>
  <c r="AC56"/>
  <c r="BD68"/>
  <c r="BN68"/>
  <c r="AC68"/>
  <c r="AX78"/>
  <c r="AF53"/>
  <c r="BL53"/>
  <c r="AE70"/>
  <c r="AC70"/>
  <c r="P38"/>
  <c r="AX38"/>
  <c r="AM90"/>
  <c r="AD95"/>
  <c r="Y48"/>
  <c r="AB78"/>
  <c r="BG45"/>
  <c r="BI45"/>
  <c r="BM62"/>
  <c r="AW55"/>
  <c r="AW70"/>
  <c r="AV41"/>
  <c r="AX41"/>
  <c r="P41"/>
  <c r="M42"/>
  <c r="J42"/>
  <c r="R76"/>
  <c r="AS56"/>
  <c r="BB83"/>
  <c r="AY57"/>
  <c r="AI82"/>
  <c r="AD78"/>
  <c r="AN61"/>
  <c r="C11" i="14"/>
  <c r="J65" i="18"/>
  <c r="P80"/>
  <c r="BN53"/>
  <c r="G75"/>
  <c r="C35" i="14"/>
  <c r="AY68" i="18"/>
  <c r="AT42"/>
  <c r="AA15"/>
  <c r="AU76"/>
  <c r="AD51"/>
  <c r="AF75"/>
  <c r="V45"/>
  <c r="L62"/>
  <c r="H138" i="237"/>
  <c r="F168"/>
  <c r="G92" i="223"/>
  <c r="D141"/>
  <c r="P43" i="18"/>
  <c r="BG47"/>
  <c r="N52"/>
  <c r="C61"/>
  <c r="BH59"/>
  <c r="AF68"/>
  <c r="T55"/>
  <c r="BH80"/>
  <c r="T47"/>
  <c r="AF94"/>
  <c r="AJ62"/>
  <c r="AZ48"/>
  <c r="AD60"/>
  <c r="AQ63"/>
  <c r="M88"/>
  <c r="Q66"/>
  <c r="AH42"/>
  <c r="AQ70"/>
  <c r="AZ57"/>
  <c r="W38"/>
  <c r="BD38"/>
  <c r="BK46"/>
  <c r="H58"/>
  <c r="AX87"/>
  <c r="Z73"/>
  <c r="AB94"/>
  <c r="T63"/>
  <c r="Z55"/>
  <c r="P55"/>
  <c r="AQ50"/>
  <c r="AH87"/>
  <c r="AC40"/>
  <c r="BL50"/>
  <c r="BB95"/>
  <c r="AH51"/>
  <c r="AE59"/>
  <c r="J149" i="237"/>
  <c r="E141" i="223"/>
  <c r="BF73" i="18"/>
  <c r="O2"/>
  <c r="AY82"/>
  <c r="O86"/>
  <c r="BI34"/>
  <c r="BC77"/>
  <c r="AD58"/>
  <c r="BE72"/>
  <c r="AK55"/>
  <c r="AA59"/>
  <c r="R68"/>
  <c r="V74"/>
  <c r="W59"/>
  <c r="Y97"/>
  <c r="AV93"/>
  <c r="AS50"/>
  <c r="AE43"/>
  <c r="BJ63"/>
  <c r="AT87"/>
  <c r="Q49"/>
  <c r="K52" i="14"/>
  <c r="U96" i="18"/>
  <c r="BF88"/>
  <c r="AV55"/>
  <c r="BH97"/>
  <c r="C62" i="14"/>
  <c r="C82" i="18"/>
  <c r="AG69"/>
  <c r="AS53"/>
  <c r="U86"/>
  <c r="AF51"/>
  <c r="AS74"/>
  <c r="BA70"/>
  <c r="Q83"/>
  <c r="BB62"/>
  <c r="BM92"/>
  <c r="M65"/>
  <c r="AN75"/>
  <c r="AY94"/>
  <c r="AS46"/>
  <c r="P73"/>
  <c r="AX44"/>
  <c r="AR51"/>
  <c r="BA55"/>
  <c r="Y90"/>
  <c r="AK39"/>
  <c r="AL95"/>
  <c r="AK97"/>
  <c r="AU48"/>
  <c r="AU94"/>
  <c r="BK58"/>
  <c r="BB45"/>
  <c r="N70"/>
  <c r="BM97"/>
  <c r="AW75"/>
  <c r="AR80"/>
  <c r="J81"/>
  <c r="AY41"/>
  <c r="H41"/>
  <c r="K62"/>
  <c r="AP42"/>
  <c r="AS65"/>
  <c r="O76"/>
  <c r="AP83"/>
  <c r="AZ82"/>
  <c r="S82"/>
  <c r="AT61"/>
  <c r="AD97"/>
  <c r="AT44"/>
  <c r="AD77"/>
  <c r="BL46"/>
  <c r="G46"/>
  <c r="O66"/>
  <c r="BJ50"/>
  <c r="BE50"/>
  <c r="AG57"/>
  <c r="AD64"/>
  <c r="T64"/>
  <c r="BG87"/>
  <c r="AB65"/>
  <c r="BC59"/>
  <c r="AQ43"/>
  <c r="H40"/>
  <c r="BA40"/>
  <c r="BF48"/>
  <c r="L89"/>
  <c r="AD89"/>
  <c r="I88"/>
  <c r="BD88"/>
  <c r="T88"/>
  <c r="AY88"/>
  <c r="AB75"/>
  <c r="G54"/>
  <c r="W92"/>
  <c r="I54"/>
  <c r="BC54"/>
  <c r="J90"/>
  <c r="BG41"/>
  <c r="AP65"/>
  <c r="S73"/>
  <c r="W73"/>
  <c r="O44"/>
  <c r="AU52"/>
  <c r="BC52"/>
  <c r="U53"/>
  <c r="BH52"/>
  <c r="AF91"/>
  <c r="BH95"/>
  <c r="BM91"/>
  <c r="BH62"/>
  <c r="BB42"/>
  <c r="BB96"/>
  <c r="BB78"/>
  <c r="AL85"/>
  <c r="X72"/>
  <c r="AO38"/>
  <c r="AQ72"/>
  <c r="P72"/>
  <c r="AA44"/>
  <c r="J58"/>
  <c r="AA63"/>
  <c r="I81"/>
  <c r="I40"/>
  <c r="AA84"/>
  <c r="AH84"/>
  <c r="AK84"/>
  <c r="BA97"/>
  <c r="BA60"/>
  <c r="BC60"/>
  <c r="AL86"/>
  <c r="BC86"/>
  <c r="BD86"/>
  <c r="AZ64"/>
  <c r="AE64"/>
  <c r="AG81"/>
  <c r="AO69"/>
  <c r="AL83"/>
  <c r="AL57"/>
  <c r="AZ69"/>
  <c r="BH69"/>
  <c r="R61"/>
  <c r="R77"/>
  <c r="AE49"/>
  <c r="BG49"/>
  <c r="Y49"/>
  <c r="BJ52"/>
  <c r="BH93"/>
  <c r="R93"/>
  <c r="AS93"/>
  <c r="Y93"/>
  <c r="AF79"/>
  <c r="Q79"/>
  <c r="BJ79"/>
  <c r="O71"/>
  <c r="X46"/>
  <c r="S44"/>
  <c r="P50"/>
  <c r="Q64"/>
  <c r="AG48"/>
  <c r="BG95"/>
  <c r="BG51"/>
  <c r="L59"/>
  <c r="BL59"/>
  <c r="J74"/>
  <c r="AW40"/>
  <c r="I71"/>
  <c r="AM89"/>
  <c r="BL89"/>
  <c r="AA89"/>
  <c r="R88"/>
  <c r="BE57"/>
  <c r="V88"/>
  <c r="AS88"/>
  <c r="AG59"/>
  <c r="S54"/>
  <c r="AX54"/>
  <c r="W63"/>
  <c r="N54"/>
  <c r="BG42"/>
  <c r="BG39"/>
  <c r="BH73"/>
  <c r="AP87"/>
  <c r="AU73"/>
  <c r="O38"/>
  <c r="U71"/>
  <c r="U52"/>
  <c r="U39"/>
  <c r="BK52"/>
  <c r="BH75"/>
  <c r="BH71"/>
  <c r="AX91"/>
  <c r="BH53"/>
  <c r="BB74"/>
  <c r="BB75"/>
  <c r="AH85"/>
  <c r="AK85"/>
  <c r="AE72"/>
  <c r="BA72"/>
  <c r="AO68"/>
  <c r="W72"/>
  <c r="AA53"/>
  <c r="X58"/>
  <c r="AT58"/>
  <c r="AH40"/>
  <c r="I66"/>
  <c r="AQ84"/>
  <c r="BA76"/>
  <c r="AC84"/>
  <c r="BA94"/>
  <c r="AT84"/>
  <c r="BE86"/>
  <c r="I86"/>
  <c r="BB86"/>
  <c r="AP86"/>
  <c r="AG97"/>
  <c r="AG80"/>
  <c r="BK64"/>
  <c r="Z69"/>
  <c r="AI69"/>
  <c r="AL63"/>
  <c r="AN69"/>
  <c r="AL69"/>
  <c r="R74"/>
  <c r="R63"/>
  <c r="AV49"/>
  <c r="AM49"/>
  <c r="R51"/>
  <c r="BJ51"/>
  <c r="AK93"/>
  <c r="BJ53"/>
  <c r="K93"/>
  <c r="BB93"/>
  <c r="AV60"/>
  <c r="AV57"/>
  <c r="S79"/>
  <c r="AV50"/>
  <c r="BB79"/>
  <c r="AI79"/>
  <c r="AG79"/>
  <c r="AR79"/>
  <c r="AQ46"/>
  <c r="AR46"/>
  <c r="S39"/>
  <c r="AF50"/>
  <c r="BM64"/>
  <c r="G64"/>
  <c r="AZ90"/>
  <c r="M90"/>
  <c r="AB66"/>
  <c r="BA59"/>
  <c r="BH74"/>
  <c r="U40"/>
  <c r="I89"/>
  <c r="BF78"/>
  <c r="AF89"/>
  <c r="AR89"/>
  <c r="BE65"/>
  <c r="AW88"/>
  <c r="AK88"/>
  <c r="AG88"/>
  <c r="AB71"/>
  <c r="BM54"/>
  <c r="W54"/>
  <c r="AD54"/>
  <c r="W81"/>
  <c r="AO90"/>
  <c r="AP57"/>
  <c r="AP38"/>
  <c r="AP47"/>
  <c r="AX73"/>
  <c r="AX46"/>
  <c r="T52"/>
  <c r="AW52"/>
  <c r="M52"/>
  <c r="AI52"/>
  <c r="AM91"/>
  <c r="BH48"/>
  <c r="BG91"/>
  <c r="K91"/>
  <c r="AE85"/>
  <c r="K85"/>
  <c r="AR85"/>
  <c r="BH85"/>
  <c r="S72"/>
  <c r="AO44"/>
  <c r="AN72"/>
  <c r="AU72"/>
  <c r="AA67"/>
  <c r="AA56"/>
  <c r="BL58"/>
  <c r="I56"/>
  <c r="AG40"/>
  <c r="BA45"/>
  <c r="BA82"/>
  <c r="BN84"/>
  <c r="BF84"/>
  <c r="BI84"/>
  <c r="BC63"/>
  <c r="AE86"/>
  <c r="AW86"/>
  <c r="T86"/>
  <c r="AG55"/>
  <c r="AR64"/>
  <c r="AG38"/>
  <c r="AL73"/>
  <c r="H69"/>
  <c r="AV69"/>
  <c r="AE69"/>
  <c r="AU69"/>
  <c r="J49"/>
  <c r="AF49"/>
  <c r="R94"/>
  <c r="AS49"/>
  <c r="R65"/>
  <c r="AO93"/>
  <c r="BK93"/>
  <c r="BJ93"/>
  <c r="BJ57"/>
  <c r="BD93"/>
  <c r="BA79"/>
  <c r="AV79"/>
  <c r="AV67"/>
  <c r="AV63"/>
  <c r="O51"/>
  <c r="O60"/>
  <c r="R50"/>
  <c r="S53"/>
  <c r="I64"/>
  <c r="K64"/>
  <c r="AJ90"/>
  <c r="BG68"/>
  <c r="X59"/>
  <c r="AL59"/>
  <c r="AQ94"/>
  <c r="G40"/>
  <c r="BC89"/>
  <c r="AW89"/>
  <c r="BF43"/>
  <c r="BM89"/>
  <c r="X88"/>
  <c r="AO88"/>
  <c r="BE60"/>
  <c r="BG88"/>
  <c r="AI59"/>
  <c r="W42"/>
  <c r="AB54"/>
  <c r="W78"/>
  <c r="AU54"/>
  <c r="AI90"/>
  <c r="AP76"/>
  <c r="O73"/>
  <c r="AP71"/>
  <c r="AP53"/>
  <c r="O87"/>
  <c r="AH52"/>
  <c r="G52"/>
  <c r="BM52"/>
  <c r="V52"/>
  <c r="BH94"/>
  <c r="BH43"/>
  <c r="AI91"/>
  <c r="BC91"/>
  <c r="BB48"/>
  <c r="BB47"/>
  <c r="Y85"/>
  <c r="AO85"/>
  <c r="BK72"/>
  <c r="AA72"/>
  <c r="AG72"/>
  <c r="AW72"/>
  <c r="AA70"/>
  <c r="AA75"/>
  <c r="AN58"/>
  <c r="I97"/>
  <c r="I41"/>
  <c r="BA78"/>
  <c r="BA56"/>
  <c r="BA43"/>
  <c r="BA44"/>
  <c r="BA39"/>
  <c r="BC97"/>
  <c r="BC56"/>
  <c r="AV86"/>
  <c r="BC51"/>
  <c r="M64"/>
  <c r="BI64"/>
  <c r="AG75"/>
  <c r="AL68"/>
  <c r="AL66"/>
  <c r="AL75"/>
  <c r="AL67"/>
  <c r="BG69"/>
  <c r="AO49"/>
  <c r="I49"/>
  <c r="BC49"/>
  <c r="BJ49"/>
  <c r="W49"/>
  <c r="P93"/>
  <c r="Z93"/>
  <c r="BJ42"/>
  <c r="BC93"/>
  <c r="BJ97"/>
  <c r="AO79"/>
  <c r="BI79"/>
  <c r="Z79"/>
  <c r="AV76"/>
  <c r="AV39"/>
  <c r="AV56"/>
  <c r="T79"/>
  <c r="AV92"/>
  <c r="C58"/>
  <c r="C40" i="14"/>
  <c r="AF58" i="18"/>
  <c r="B41"/>
  <c r="AU62"/>
  <c r="M82"/>
  <c r="AQ44"/>
  <c r="AM75"/>
  <c r="BL43"/>
  <c r="BN43"/>
  <c r="BN65"/>
  <c r="Z87"/>
  <c r="T50"/>
  <c r="BI56"/>
  <c r="P56"/>
  <c r="AX68"/>
  <c r="BL68"/>
  <c r="G68"/>
  <c r="X78"/>
  <c r="N53"/>
  <c r="AW53"/>
  <c r="Y70"/>
  <c r="BK70"/>
  <c r="AI38"/>
  <c r="L38"/>
  <c r="AG93"/>
  <c r="AC79"/>
  <c r="AM79"/>
  <c r="C24" i="14"/>
  <c r="AI44" i="18"/>
  <c r="AH43"/>
  <c r="AZ87"/>
  <c r="BL56"/>
  <c r="K68"/>
  <c r="AZ68"/>
  <c r="AJ78"/>
  <c r="BI53"/>
  <c r="AM70"/>
  <c r="BI63"/>
  <c r="AX63"/>
  <c r="J92"/>
  <c r="T92"/>
  <c r="AN44"/>
  <c r="AZ67"/>
  <c r="AM67"/>
  <c r="AR67"/>
  <c r="J47"/>
  <c r="AZ47"/>
  <c r="AT39"/>
  <c r="Y39"/>
  <c r="AF45"/>
  <c r="AN42"/>
  <c r="AU38"/>
  <c r="AC63"/>
  <c r="BK60"/>
  <c r="G60"/>
  <c r="X63"/>
  <c r="X87"/>
  <c r="L55"/>
  <c r="AM45"/>
  <c r="AR81"/>
  <c r="X81"/>
  <c r="H81"/>
  <c r="AZ43"/>
  <c r="BD39"/>
  <c r="H47"/>
  <c r="L65"/>
  <c r="AN47"/>
  <c r="AF71"/>
  <c r="AH80"/>
  <c r="BK94"/>
  <c r="M56"/>
  <c r="H62"/>
  <c r="AC62"/>
  <c r="AS66"/>
  <c r="BD66"/>
  <c r="M66"/>
  <c r="BK51"/>
  <c r="Q51"/>
  <c r="Q82"/>
  <c r="BM96"/>
  <c r="Y67"/>
  <c r="G53"/>
  <c r="AH95"/>
  <c r="AS95"/>
  <c r="AR68"/>
  <c r="AN57"/>
  <c r="Z57"/>
  <c r="BN47"/>
  <c r="BK97"/>
  <c r="AM97"/>
  <c r="Q75"/>
  <c r="BN78"/>
  <c r="AI83"/>
  <c r="BL61"/>
  <c r="I80"/>
  <c r="I87"/>
  <c r="I39"/>
  <c r="U63"/>
  <c r="U54"/>
  <c r="AO41"/>
  <c r="BB72"/>
  <c r="BM72"/>
  <c r="BC41"/>
  <c r="BH86"/>
  <c r="BC87"/>
  <c r="AL80"/>
  <c r="AL96"/>
  <c r="V69"/>
  <c r="BF61"/>
  <c r="BB89"/>
  <c r="M89"/>
  <c r="K89"/>
  <c r="AO89"/>
  <c r="BF53"/>
  <c r="AB50"/>
  <c r="AM59"/>
  <c r="AB38"/>
  <c r="AB42"/>
  <c r="K59"/>
  <c r="AB80"/>
  <c r="AB47"/>
  <c r="S90"/>
  <c r="BG55"/>
  <c r="BG92"/>
  <c r="BG76"/>
  <c r="BG48"/>
  <c r="BG53"/>
  <c r="BB90"/>
  <c r="BH46"/>
  <c r="O77"/>
  <c r="O74"/>
  <c r="O62"/>
  <c r="AO46"/>
  <c r="P46"/>
  <c r="BB66"/>
  <c r="BK85"/>
  <c r="BB85"/>
  <c r="S85"/>
  <c r="I79"/>
  <c r="AN79"/>
  <c r="AV74"/>
  <c r="AO84"/>
  <c r="BA80"/>
  <c r="BG84"/>
  <c r="BB58"/>
  <c r="AA91"/>
  <c r="AA90"/>
  <c r="AZ58"/>
  <c r="Z58"/>
  <c r="P58"/>
  <c r="AA82"/>
  <c r="AL58"/>
  <c r="AA83"/>
  <c r="N40"/>
  <c r="I52"/>
  <c r="I51"/>
  <c r="I91"/>
  <c r="I45"/>
  <c r="I68"/>
  <c r="N86"/>
  <c r="X86"/>
  <c r="BJ86"/>
  <c r="O64"/>
  <c r="AG47"/>
  <c r="AG71"/>
  <c r="AG83"/>
  <c r="BC83"/>
  <c r="R64"/>
  <c r="V64"/>
  <c r="AG44"/>
  <c r="AI40"/>
  <c r="I61"/>
  <c r="AF86"/>
  <c r="AG53"/>
  <c r="BJ43"/>
  <c r="AV42"/>
  <c r="AV94"/>
  <c r="C47"/>
  <c r="AY44"/>
  <c r="AE61"/>
  <c r="AN65"/>
  <c r="AT50"/>
  <c r="AR56"/>
  <c r="L68"/>
  <c r="H78"/>
  <c r="Y53"/>
  <c r="AI70"/>
  <c r="AR38"/>
  <c r="Y63"/>
  <c r="S71"/>
  <c r="AE92"/>
  <c r="AR74"/>
  <c r="Z44"/>
  <c r="BN67"/>
  <c r="T67"/>
  <c r="AX94"/>
  <c r="BK47"/>
  <c r="BI47"/>
  <c r="Z39"/>
  <c r="N75"/>
  <c r="AC42"/>
  <c r="AN38"/>
  <c r="AW60"/>
  <c r="Y60"/>
  <c r="AM60"/>
  <c r="G55"/>
  <c r="BL55"/>
  <c r="H55"/>
  <c r="T70"/>
  <c r="AM92"/>
  <c r="AN81"/>
  <c r="AF81"/>
  <c r="Z43"/>
  <c r="BN39"/>
  <c r="X39"/>
  <c r="AJ65"/>
  <c r="AH44"/>
  <c r="BD71"/>
  <c r="AK80"/>
  <c r="BK45"/>
  <c r="AU56"/>
  <c r="AS62"/>
  <c r="BD62"/>
  <c r="BI66"/>
  <c r="G66"/>
  <c r="AJ66"/>
  <c r="Z51"/>
  <c r="L51"/>
  <c r="BL82"/>
  <c r="BM87"/>
  <c r="AU67"/>
  <c r="H67"/>
  <c r="BM95"/>
  <c r="AU95"/>
  <c r="M68"/>
  <c r="AJ57"/>
  <c r="Y57"/>
  <c r="AH97"/>
  <c r="H97"/>
  <c r="BD97"/>
  <c r="AR48"/>
  <c r="P48"/>
  <c r="AE78"/>
  <c r="AD76"/>
  <c r="I96"/>
  <c r="R40"/>
  <c r="AJ40"/>
  <c r="U56"/>
  <c r="U82"/>
  <c r="AO61"/>
  <c r="R72"/>
  <c r="J72"/>
  <c r="T72"/>
  <c r="BC78"/>
  <c r="AS86"/>
  <c r="AL82"/>
  <c r="AL65"/>
  <c r="AL62"/>
  <c r="BF94"/>
  <c r="BF93"/>
  <c r="BE89"/>
  <c r="BF51"/>
  <c r="BF70"/>
  <c r="G89"/>
  <c r="BK59"/>
  <c r="R59"/>
  <c r="AB48"/>
  <c r="AB76"/>
  <c r="AV59"/>
  <c r="BI59"/>
  <c r="AB44"/>
  <c r="BG61"/>
  <c r="BA90"/>
  <c r="V90"/>
  <c r="BG70"/>
  <c r="BG80"/>
  <c r="AG90"/>
  <c r="AY90"/>
  <c r="AG46"/>
  <c r="O42"/>
  <c r="H46"/>
  <c r="O54"/>
  <c r="BM46"/>
  <c r="O57"/>
  <c r="BB80"/>
  <c r="AS85"/>
  <c r="AI85"/>
  <c r="M85"/>
  <c r="AF85"/>
  <c r="L79"/>
  <c r="AV61"/>
  <c r="AS84"/>
  <c r="BA42"/>
  <c r="AP84"/>
  <c r="AY58"/>
  <c r="AA76"/>
  <c r="S58"/>
  <c r="Q58"/>
  <c r="AA73"/>
  <c r="BD58"/>
  <c r="BF58"/>
  <c r="AE58"/>
  <c r="AA97"/>
  <c r="K40"/>
  <c r="I63"/>
  <c r="I46"/>
  <c r="O40"/>
  <c r="AP40"/>
  <c r="AQ40"/>
  <c r="BC92"/>
  <c r="BC38"/>
  <c r="AG95"/>
  <c r="AG94"/>
  <c r="AG73"/>
  <c r="AO40"/>
  <c r="T40"/>
  <c r="AT64"/>
  <c r="BJ60"/>
  <c r="AV58"/>
  <c r="V79"/>
  <c r="AN94"/>
  <c r="BI62"/>
  <c r="AU75"/>
  <c r="V65"/>
  <c r="AR95"/>
  <c r="AX56"/>
  <c r="AK68"/>
  <c r="V78"/>
  <c r="AK53"/>
  <c r="L70"/>
  <c r="AK38"/>
  <c r="K63"/>
  <c r="K71"/>
  <c r="Y92"/>
  <c r="BD74"/>
  <c r="BD44"/>
  <c r="L67"/>
  <c r="AH67"/>
  <c r="BI94"/>
  <c r="AK47"/>
  <c r="AS47"/>
  <c r="AM39"/>
  <c r="AQ77"/>
  <c r="Y45"/>
  <c r="AQ38"/>
  <c r="T41"/>
  <c r="AJ60"/>
  <c r="X60"/>
  <c r="AM55"/>
  <c r="AE55"/>
  <c r="AR55"/>
  <c r="AN70"/>
  <c r="AM63"/>
  <c r="G81"/>
  <c r="AH81"/>
  <c r="AC43"/>
  <c r="BD43"/>
  <c r="T39"/>
  <c r="AI65"/>
  <c r="AF65"/>
  <c r="AE71"/>
  <c r="AW76"/>
  <c r="M94"/>
  <c r="AK56"/>
  <c r="AW62"/>
  <c r="AF62"/>
  <c r="AI47"/>
  <c r="AX66"/>
  <c r="BK66"/>
  <c r="N51"/>
  <c r="X51"/>
  <c r="AX51"/>
  <c r="BL96"/>
  <c r="N96"/>
  <c r="AI67"/>
  <c r="AM95"/>
  <c r="BL95"/>
  <c r="AX95"/>
  <c r="T57"/>
  <c r="AX57"/>
  <c r="AR97"/>
  <c r="AC97"/>
  <c r="AN97"/>
  <c r="AY48"/>
  <c r="H48"/>
  <c r="AI78"/>
  <c r="AD47"/>
  <c r="AY61"/>
  <c r="I77"/>
  <c r="BB40"/>
  <c r="U81"/>
  <c r="U61"/>
  <c r="AP52"/>
  <c r="AO66"/>
  <c r="AO81"/>
  <c r="AF72"/>
  <c r="BC45"/>
  <c r="AY86"/>
  <c r="AL61"/>
  <c r="AL87"/>
  <c r="AR69"/>
  <c r="BF55"/>
  <c r="BF56"/>
  <c r="AX89"/>
  <c r="Q89"/>
  <c r="W89"/>
  <c r="AQ89"/>
  <c r="AB61"/>
  <c r="AK59"/>
  <c r="AW59"/>
  <c r="AB77"/>
  <c r="AB41"/>
  <c r="P59"/>
  <c r="AH59"/>
  <c r="AT59"/>
  <c r="BM90"/>
  <c r="BG54"/>
  <c r="BH90"/>
  <c r="BG96"/>
  <c r="AT90"/>
  <c r="BG93"/>
  <c r="K90"/>
  <c r="O43"/>
  <c r="AJ46"/>
  <c r="O83"/>
  <c r="O41"/>
  <c r="BF46"/>
  <c r="BI46"/>
  <c r="I85"/>
  <c r="BB82"/>
  <c r="BB65"/>
  <c r="BB51"/>
  <c r="O79"/>
  <c r="AV97"/>
  <c r="BA61"/>
  <c r="BA91"/>
  <c r="AX84"/>
  <c r="AB58"/>
  <c r="AA51"/>
  <c r="AA80"/>
  <c r="AA74"/>
  <c r="BM58"/>
  <c r="BI58"/>
  <c r="AA50"/>
  <c r="Y58"/>
  <c r="AM58"/>
  <c r="I42"/>
  <c r="Z40"/>
  <c r="M40"/>
  <c r="I53"/>
  <c r="V40"/>
  <c r="S40"/>
  <c r="BC65"/>
  <c r="BC42"/>
  <c r="AA86"/>
  <c r="AN64"/>
  <c r="AG41"/>
  <c r="AG51"/>
  <c r="I57"/>
  <c r="BK86"/>
  <c r="AG65"/>
  <c r="BJ59"/>
  <c r="AV48"/>
  <c r="U79"/>
  <c r="C70"/>
  <c r="Z62"/>
  <c r="S75"/>
  <c r="T43"/>
  <c r="G87"/>
  <c r="Y56"/>
  <c r="AJ68"/>
  <c r="AU68"/>
  <c r="L53"/>
  <c r="AE53"/>
  <c r="Y38"/>
  <c r="M63"/>
  <c r="Q71"/>
  <c r="Z92"/>
  <c r="AN92"/>
  <c r="AE44"/>
  <c r="AC67"/>
  <c r="BL67"/>
  <c r="AI94"/>
  <c r="M47"/>
  <c r="AE47"/>
  <c r="AC39"/>
  <c r="S77"/>
  <c r="L45"/>
  <c r="G38"/>
  <c r="AI41"/>
  <c r="AU60"/>
  <c r="M60"/>
  <c r="Z60"/>
  <c r="S55"/>
  <c r="X55"/>
  <c r="Q55"/>
  <c r="BM70"/>
  <c r="Q81"/>
  <c r="BL81"/>
  <c r="L81"/>
  <c r="AI43"/>
  <c r="H63"/>
  <c r="AN39"/>
  <c r="BL65"/>
  <c r="N71"/>
  <c r="Y71"/>
  <c r="AQ80"/>
  <c r="BK44"/>
  <c r="AI56"/>
  <c r="M62"/>
  <c r="V62"/>
  <c r="AK66"/>
  <c r="AC66"/>
  <c r="T66"/>
  <c r="BN51"/>
  <c r="AI51"/>
  <c r="BI82"/>
  <c r="AE96"/>
  <c r="BI67"/>
  <c r="Z53"/>
  <c r="BI95"/>
  <c r="AC95"/>
  <c r="BK57"/>
  <c r="V57"/>
  <c r="BN44"/>
  <c r="Q97"/>
  <c r="AE97"/>
  <c r="M97"/>
  <c r="BK48"/>
  <c r="AM78"/>
  <c r="X83"/>
  <c r="Y61"/>
  <c r="L40"/>
  <c r="I62"/>
  <c r="X40"/>
  <c r="U51"/>
  <c r="AJ52"/>
  <c r="AO45"/>
  <c r="AO55"/>
  <c r="AO80"/>
  <c r="BC96"/>
  <c r="BF86"/>
  <c r="R86"/>
  <c r="AL48"/>
  <c r="P69"/>
  <c r="BF83"/>
  <c r="BF60"/>
  <c r="X89"/>
  <c r="BF87"/>
  <c r="BF67"/>
  <c r="BK89"/>
  <c r="AS89"/>
  <c r="AB45"/>
  <c r="AB62"/>
  <c r="AB97"/>
  <c r="AB51"/>
  <c r="BD59"/>
  <c r="AB74"/>
  <c r="M59"/>
  <c r="AQ90"/>
  <c r="BG81"/>
  <c r="AS90"/>
  <c r="AP90"/>
  <c r="Q90"/>
  <c r="BG50"/>
  <c r="G90"/>
  <c r="M46"/>
  <c r="U46"/>
  <c r="AL46"/>
  <c r="O63"/>
  <c r="O50"/>
  <c r="O47"/>
  <c r="AN85"/>
  <c r="BB57"/>
  <c r="BG85"/>
  <c r="BB60"/>
  <c r="AV72"/>
  <c r="AV71"/>
  <c r="AL79"/>
  <c r="BA48"/>
  <c r="BA95"/>
  <c r="AW84"/>
  <c r="AA68"/>
  <c r="AA78"/>
  <c r="AA54"/>
  <c r="BH58"/>
  <c r="W58"/>
  <c r="AA60"/>
  <c r="AA96"/>
  <c r="AH58"/>
  <c r="BH40"/>
  <c r="AR40"/>
  <c r="S86"/>
  <c r="AP64"/>
  <c r="C45" i="14"/>
  <c r="C88" i="18"/>
  <c r="C49" i="14"/>
  <c r="C9"/>
  <c r="C43" i="18"/>
  <c r="C23" i="14"/>
  <c r="C12"/>
  <c r="C51" i="18"/>
  <c r="C85"/>
  <c r="C32" i="14"/>
  <c r="C38" i="18"/>
  <c r="C25" i="14"/>
  <c r="C72" i="18"/>
  <c r="C55"/>
  <c r="C93"/>
  <c r="AS44"/>
  <c r="P44"/>
  <c r="H44"/>
  <c r="X44"/>
  <c r="BM44"/>
  <c r="V56"/>
  <c r="AH56"/>
  <c r="AT56"/>
  <c r="AD38"/>
  <c r="H38"/>
  <c r="BN38"/>
  <c r="S38"/>
  <c r="BL38"/>
  <c r="X38"/>
  <c r="BL52"/>
  <c r="L52"/>
  <c r="AM52"/>
  <c r="AZ74"/>
  <c r="S74"/>
  <c r="G74"/>
  <c r="Z74"/>
  <c r="BI74"/>
  <c r="BE74"/>
  <c r="W74"/>
  <c r="AT74"/>
  <c r="V42"/>
  <c r="AY42"/>
  <c r="S42"/>
  <c r="N42"/>
  <c r="T42"/>
  <c r="AZ70"/>
  <c r="Z70"/>
  <c r="AM47"/>
  <c r="BD91"/>
  <c r="BI91"/>
  <c r="M91"/>
  <c r="BJ91"/>
  <c r="X62"/>
  <c r="BJ62"/>
  <c r="AR62"/>
  <c r="BE62"/>
  <c r="AN62"/>
  <c r="G62"/>
  <c r="T62"/>
  <c r="AV66"/>
  <c r="BH66"/>
  <c r="AW66"/>
  <c r="AH66"/>
  <c r="J66"/>
  <c r="H66"/>
  <c r="AM66"/>
  <c r="AF66"/>
  <c r="AH82"/>
  <c r="K82"/>
  <c r="AD82"/>
  <c r="P82"/>
  <c r="AY50"/>
  <c r="BB41"/>
  <c r="AC41"/>
  <c r="BM41"/>
  <c r="AQ41"/>
  <c r="BI97"/>
  <c r="T97"/>
  <c r="K97"/>
  <c r="AS97"/>
  <c r="AF97"/>
  <c r="AX97"/>
  <c r="AF83"/>
  <c r="BD83"/>
  <c r="AR83"/>
  <c r="Y83"/>
  <c r="BJ83"/>
  <c r="P83"/>
  <c r="AD83"/>
  <c r="AJ83"/>
  <c r="AX83"/>
  <c r="AX61"/>
  <c r="BD61"/>
  <c r="BM61"/>
  <c r="AS69"/>
  <c r="S69"/>
  <c r="AH78"/>
  <c r="AU61"/>
  <c r="U78"/>
  <c r="AK78"/>
  <c r="M78"/>
  <c r="AS78"/>
  <c r="P78"/>
  <c r="AC78"/>
  <c r="L78"/>
  <c r="BM78"/>
  <c r="Z78"/>
  <c r="BF68"/>
  <c r="AS68"/>
  <c r="AK72"/>
  <c r="P68"/>
  <c r="AN68"/>
  <c r="AI68"/>
  <c r="AK50"/>
  <c r="U68"/>
  <c r="AD68"/>
  <c r="AQ68"/>
  <c r="T68"/>
  <c r="BK68"/>
  <c r="Q68"/>
  <c r="P71"/>
  <c r="AW71"/>
  <c r="X71"/>
  <c r="AZ71"/>
  <c r="BM71"/>
  <c r="W71"/>
  <c r="AY71"/>
  <c r="AR71"/>
  <c r="AI71"/>
  <c r="AU71"/>
  <c r="L71"/>
  <c r="H71"/>
  <c r="G71"/>
  <c r="AQ71"/>
  <c r="M71"/>
  <c r="AK71"/>
  <c r="M96"/>
  <c r="H96"/>
  <c r="AY96"/>
  <c r="AU96"/>
  <c r="BD96"/>
  <c r="AI96"/>
  <c r="S96"/>
  <c r="AN96"/>
  <c r="AH96"/>
  <c r="AM96"/>
  <c r="AX96"/>
  <c r="BA96"/>
  <c r="J96"/>
  <c r="AJ96"/>
  <c r="AZ96"/>
  <c r="BE96"/>
  <c r="BI96"/>
  <c r="W96"/>
  <c r="AR94"/>
  <c r="V94"/>
  <c r="Q94"/>
  <c r="AW94"/>
  <c r="AC94"/>
  <c r="H94"/>
  <c r="AE94"/>
  <c r="Z94"/>
  <c r="BN94"/>
  <c r="BM94"/>
  <c r="AJ94"/>
  <c r="AP94"/>
  <c r="AS94"/>
  <c r="K94"/>
  <c r="BK50"/>
  <c r="AM94"/>
  <c r="AC83"/>
  <c r="BI83"/>
  <c r="Z83"/>
  <c r="U83"/>
  <c r="AO83"/>
  <c r="L83"/>
  <c r="AY83"/>
  <c r="AT83"/>
  <c r="N83"/>
  <c r="AT45"/>
  <c r="X45"/>
  <c r="AQ45"/>
  <c r="G45"/>
  <c r="AD45"/>
  <c r="AR45"/>
  <c r="AY45"/>
  <c r="W45"/>
  <c r="N47"/>
  <c r="J45"/>
  <c r="BD45"/>
  <c r="AH45"/>
  <c r="AP45"/>
  <c r="BL45"/>
  <c r="BN45"/>
  <c r="BM45"/>
  <c r="AS45"/>
  <c r="W46"/>
  <c r="AI46"/>
  <c r="AK46"/>
  <c r="BE46"/>
  <c r="AH89"/>
  <c r="AE89"/>
  <c r="BF47"/>
  <c r="AX60"/>
  <c r="BM60"/>
  <c r="AO60"/>
  <c r="AP60"/>
  <c r="AC61"/>
  <c r="AC44"/>
  <c r="T60"/>
  <c r="AH60"/>
  <c r="AC59"/>
  <c r="BD60"/>
  <c r="AQ60"/>
  <c r="AE60"/>
  <c r="AC72"/>
  <c r="AC50"/>
  <c r="V60"/>
  <c r="AC47"/>
  <c r="AN60"/>
  <c r="Q60"/>
  <c r="L48"/>
  <c r="BE48"/>
  <c r="AK48"/>
  <c r="J48"/>
  <c r="AW48"/>
  <c r="AX48"/>
  <c r="AJ48"/>
  <c r="AS48"/>
  <c r="AE48"/>
  <c r="R48"/>
  <c r="BI48"/>
  <c r="U48"/>
  <c r="T48"/>
  <c r="AT48"/>
  <c r="M48"/>
  <c r="AN48"/>
  <c r="BM48"/>
  <c r="P65"/>
  <c r="AX65"/>
  <c r="BM65"/>
  <c r="Q65"/>
  <c r="AH61"/>
  <c r="Z65"/>
  <c r="AH41"/>
  <c r="AH70"/>
  <c r="AT65"/>
  <c r="AK65"/>
  <c r="AH72"/>
  <c r="N65"/>
  <c r="AU65"/>
  <c r="BK65"/>
  <c r="AW69"/>
  <c r="AE80"/>
  <c r="K80"/>
  <c r="Q80"/>
  <c r="BM80"/>
  <c r="T80"/>
  <c r="AF80"/>
  <c r="AW42"/>
  <c r="AZ80"/>
  <c r="AW97"/>
  <c r="BF80"/>
  <c r="AI80"/>
  <c r="H80"/>
  <c r="L80"/>
  <c r="X80"/>
  <c r="Z80"/>
  <c r="AJ80"/>
  <c r="N80"/>
  <c r="BK80"/>
  <c r="BL62"/>
  <c r="AQ62"/>
  <c r="AE50"/>
  <c r="Y62"/>
  <c r="BK62"/>
  <c r="BM53"/>
  <c r="AU53"/>
  <c r="V47"/>
  <c r="V44"/>
  <c r="AL53"/>
  <c r="M53"/>
  <c r="V53"/>
  <c r="R53"/>
  <c r="BK53"/>
  <c r="AH53"/>
  <c r="AB53"/>
  <c r="BE53"/>
  <c r="AD53"/>
  <c r="AN53"/>
  <c r="AM53"/>
  <c r="O95"/>
  <c r="Z95"/>
  <c r="L95"/>
  <c r="BL97"/>
  <c r="AF95"/>
  <c r="AW95"/>
  <c r="K95"/>
  <c r="AT95"/>
  <c r="BD95"/>
  <c r="U95"/>
  <c r="BK95"/>
  <c r="AY95"/>
  <c r="J95"/>
  <c r="AE95"/>
  <c r="AP95"/>
  <c r="AJ95"/>
  <c r="G50"/>
  <c r="AY38"/>
  <c r="T38"/>
  <c r="J38"/>
  <c r="G44"/>
  <c r="G97"/>
  <c r="G70"/>
  <c r="AQ61"/>
  <c r="H74"/>
  <c r="P74"/>
  <c r="AE74"/>
  <c r="AY74"/>
  <c r="BL74"/>
  <c r="W70"/>
  <c r="W47"/>
  <c r="AY54"/>
  <c r="AM54"/>
  <c r="AI54"/>
  <c r="BK54"/>
  <c r="BF91"/>
  <c r="BK91"/>
  <c r="BH41"/>
  <c r="AJ91"/>
  <c r="W85"/>
  <c r="Z85"/>
  <c r="AR87"/>
  <c r="BD65"/>
  <c r="AC87"/>
  <c r="J87"/>
  <c r="H87"/>
  <c r="AK87"/>
  <c r="BD42"/>
  <c r="BD70"/>
  <c r="BL87"/>
  <c r="BI87"/>
  <c r="AD87"/>
  <c r="BN87"/>
  <c r="AF87"/>
  <c r="V87"/>
  <c r="BH87"/>
  <c r="P87"/>
  <c r="AJ87"/>
  <c r="AW87"/>
  <c r="Q87"/>
  <c r="M87"/>
  <c r="BD47"/>
  <c r="AY91"/>
  <c r="BG82"/>
  <c r="AY65"/>
  <c r="AQ82"/>
  <c r="G82"/>
  <c r="W82"/>
  <c r="AY78"/>
  <c r="BM82"/>
  <c r="Z82"/>
  <c r="AS82"/>
  <c r="BK82"/>
  <c r="X82"/>
  <c r="AY97"/>
  <c r="AO82"/>
  <c r="AW82"/>
  <c r="BH82"/>
  <c r="AY70"/>
  <c r="BN82"/>
  <c r="AN82"/>
  <c r="AR82"/>
  <c r="AI50"/>
  <c r="AI95"/>
  <c r="X66"/>
  <c r="AQ66"/>
  <c r="AN66"/>
  <c r="Z66"/>
  <c r="AU66"/>
  <c r="AP66"/>
  <c r="AI97"/>
  <c r="V66"/>
  <c r="N66"/>
  <c r="L66"/>
  <c r="AR63"/>
  <c r="AF63"/>
  <c r="Z63"/>
  <c r="AW63"/>
  <c r="N63"/>
  <c r="AF78"/>
  <c r="AE63"/>
  <c r="AF42"/>
  <c r="AF48"/>
  <c r="J63"/>
  <c r="AF61"/>
  <c r="L63"/>
  <c r="AF70"/>
  <c r="AU63"/>
  <c r="AO63"/>
  <c r="AI63"/>
  <c r="AT63"/>
  <c r="G63"/>
  <c r="AJ63"/>
  <c r="P63"/>
  <c r="AF47"/>
  <c r="AD63"/>
  <c r="AB63"/>
  <c r="AY63"/>
  <c r="BD63"/>
  <c r="BN63"/>
  <c r="AH63"/>
  <c r="BI42"/>
  <c r="BI68"/>
  <c r="AY92"/>
  <c r="BI78"/>
  <c r="AU92"/>
  <c r="BI44"/>
  <c r="BL92"/>
  <c r="V92"/>
  <c r="BI70"/>
  <c r="AX92"/>
  <c r="BI92"/>
  <c r="BI61"/>
  <c r="BH92"/>
  <c r="AK92"/>
  <c r="M92"/>
  <c r="AZ92"/>
  <c r="U92"/>
  <c r="BD92"/>
  <c r="Q92"/>
  <c r="BI41"/>
  <c r="P92"/>
  <c r="AH92"/>
  <c r="AQ92"/>
  <c r="BK92"/>
  <c r="K92"/>
  <c r="R92"/>
  <c r="AS83"/>
  <c r="AO76"/>
  <c r="AH76"/>
  <c r="AS61"/>
  <c r="BD76"/>
  <c r="AF76"/>
  <c r="AS76"/>
  <c r="Q76"/>
  <c r="AK76"/>
  <c r="BE76"/>
  <c r="AN76"/>
  <c r="AS91"/>
  <c r="N76"/>
  <c r="BL76"/>
  <c r="S76"/>
  <c r="L76"/>
  <c r="Z76"/>
  <c r="AM76"/>
  <c r="P76"/>
  <c r="AC76"/>
  <c r="G76"/>
  <c r="BK76"/>
  <c r="AR76"/>
  <c r="AZ76"/>
  <c r="BL60"/>
  <c r="BI60"/>
  <c r="BN60"/>
  <c r="AF60"/>
  <c r="AT60"/>
  <c r="AC45"/>
  <c r="AC74"/>
  <c r="N60"/>
  <c r="W60"/>
  <c r="AC38"/>
  <c r="P60"/>
  <c r="AR60"/>
  <c r="BG52"/>
  <c r="AL52"/>
  <c r="U47"/>
  <c r="AC52"/>
  <c r="BE52"/>
  <c r="AR47"/>
  <c r="AJ75"/>
  <c r="M75"/>
  <c r="AR50"/>
  <c r="AR41"/>
  <c r="AH75"/>
  <c r="BD75"/>
  <c r="AR70"/>
  <c r="AY75"/>
  <c r="AX75"/>
  <c r="U75"/>
  <c r="J75"/>
  <c r="K75"/>
  <c r="T75"/>
  <c r="Z75"/>
  <c r="V75"/>
  <c r="AC75"/>
  <c r="AR42"/>
  <c r="AD75"/>
  <c r="X75"/>
  <c r="AR75"/>
  <c r="AO75"/>
  <c r="AP75"/>
  <c r="AQ75"/>
  <c r="BJ89"/>
  <c r="N93"/>
  <c r="AT93"/>
  <c r="G93"/>
  <c r="BB39"/>
  <c r="H70"/>
  <c r="K39"/>
  <c r="H68"/>
  <c r="AY39"/>
  <c r="H95"/>
  <c r="V39"/>
  <c r="H45"/>
  <c r="L39"/>
  <c r="AL39"/>
  <c r="G39"/>
  <c r="BE39"/>
  <c r="AR39"/>
  <c r="AS39"/>
  <c r="M39"/>
  <c r="BM39"/>
  <c r="AU39"/>
  <c r="H39"/>
  <c r="BK39"/>
  <c r="AH39"/>
  <c r="BI39"/>
  <c r="H72"/>
  <c r="AB39"/>
  <c r="AX39"/>
  <c r="N39"/>
  <c r="AZ39"/>
  <c r="AI39"/>
  <c r="AH73"/>
  <c r="AE73"/>
  <c r="AP62"/>
  <c r="H73"/>
  <c r="BL73"/>
  <c r="AM73"/>
  <c r="L73"/>
  <c r="AB73"/>
  <c r="AP41"/>
  <c r="AT73"/>
  <c r="BG73"/>
  <c r="AJ73"/>
  <c r="K73"/>
  <c r="AZ73"/>
  <c r="T77"/>
  <c r="AO77"/>
  <c r="AC77"/>
  <c r="V77"/>
  <c r="M77"/>
  <c r="AY77"/>
  <c r="J77"/>
  <c r="AT70"/>
  <c r="AP77"/>
  <c r="K77"/>
  <c r="AW77"/>
  <c r="AR77"/>
  <c r="L77"/>
  <c r="AT47"/>
  <c r="Y77"/>
  <c r="BJ77"/>
  <c r="G77"/>
  <c r="W77"/>
  <c r="BD77"/>
  <c r="O80"/>
  <c r="G80"/>
  <c r="AW41"/>
  <c r="V80"/>
  <c r="AW80"/>
  <c r="S80"/>
  <c r="BE80"/>
  <c r="AW44"/>
  <c r="AW38"/>
  <c r="BD55"/>
  <c r="AP55"/>
  <c r="BI55"/>
  <c r="X97"/>
  <c r="X48"/>
  <c r="AI55"/>
  <c r="X94"/>
  <c r="X53"/>
  <c r="X68"/>
  <c r="AN55"/>
  <c r="N55"/>
  <c r="K55"/>
  <c r="X42"/>
  <c r="AS55"/>
  <c r="AJ55"/>
  <c r="X70"/>
  <c r="AU55"/>
  <c r="AF55"/>
  <c r="V55"/>
  <c r="AQ55"/>
  <c r="BN55"/>
  <c r="W55"/>
  <c r="AT55"/>
  <c r="AY55"/>
  <c r="M55"/>
  <c r="AC55"/>
  <c r="Y55"/>
  <c r="AJ56"/>
  <c r="BB56"/>
  <c r="J56"/>
  <c r="G56"/>
  <c r="Y42"/>
  <c r="AW56"/>
  <c r="Y94"/>
  <c r="Y68"/>
  <c r="N56"/>
  <c r="L56"/>
  <c r="Y78"/>
  <c r="O56"/>
  <c r="T56"/>
  <c r="BM56"/>
  <c r="AZ56"/>
  <c r="AE56"/>
  <c r="Y47"/>
  <c r="BN56"/>
  <c r="BG43"/>
  <c r="L61"/>
  <c r="AF43"/>
  <c r="AM43"/>
  <c r="AW43"/>
  <c r="L91"/>
  <c r="L47"/>
  <c r="AJ43"/>
  <c r="AX43"/>
  <c r="AT43"/>
  <c r="BI43"/>
  <c r="AR43"/>
  <c r="L43"/>
  <c r="BM43"/>
  <c r="N43"/>
  <c r="J43"/>
  <c r="AS43"/>
  <c r="G43"/>
  <c r="BK43"/>
  <c r="H43"/>
  <c r="Q88"/>
  <c r="AP88"/>
  <c r="AX88"/>
  <c r="BE61"/>
  <c r="G88"/>
  <c r="BE45"/>
  <c r="BL88"/>
  <c r="AN88"/>
  <c r="AE88"/>
  <c r="BE47"/>
  <c r="AI88"/>
  <c r="AN83"/>
  <c r="BI71"/>
  <c r="AM71"/>
  <c r="AC71"/>
  <c r="V71"/>
  <c r="AY84"/>
  <c r="AV84"/>
  <c r="AQ81"/>
  <c r="AX74"/>
  <c r="AX62"/>
  <c r="Y81"/>
  <c r="K81"/>
  <c r="AX42"/>
  <c r="AM81"/>
  <c r="AX81"/>
  <c r="BN81"/>
  <c r="V81"/>
  <c r="BE81"/>
  <c r="AX70"/>
  <c r="N81"/>
  <c r="BK81"/>
  <c r="Z81"/>
  <c r="M81"/>
  <c r="AS81"/>
  <c r="BH81"/>
  <c r="BM81"/>
  <c r="BD81"/>
  <c r="AJ81"/>
  <c r="P81"/>
  <c r="T78"/>
  <c r="T83"/>
  <c r="Y51"/>
  <c r="P51"/>
  <c r="AZ51"/>
  <c r="G51"/>
  <c r="T95"/>
  <c r="S51"/>
  <c r="W51"/>
  <c r="T44"/>
  <c r="V51"/>
  <c r="AT51"/>
  <c r="AW51"/>
  <c r="AK51"/>
  <c r="AO51"/>
  <c r="AN51"/>
  <c r="AJ51"/>
  <c r="Q67"/>
  <c r="M67"/>
  <c r="AQ67"/>
  <c r="AJ53"/>
  <c r="AJ74"/>
  <c r="AD67"/>
  <c r="R67"/>
  <c r="AJ70"/>
  <c r="AJ50"/>
  <c r="AX67"/>
  <c r="AE67"/>
  <c r="AB67"/>
  <c r="AJ61"/>
  <c r="AJ42"/>
  <c r="AP67"/>
  <c r="BM67"/>
  <c r="AF67"/>
  <c r="K67"/>
  <c r="BD67"/>
  <c r="AY67"/>
  <c r="BH67"/>
  <c r="X67"/>
  <c r="BK67"/>
  <c r="BM83"/>
  <c r="AP96"/>
  <c r="AR96"/>
  <c r="K96"/>
  <c r="AS96"/>
  <c r="T96"/>
  <c r="BM47"/>
  <c r="BM68"/>
  <c r="L96"/>
  <c r="X57"/>
  <c r="Z47"/>
  <c r="Z48"/>
  <c r="Z38"/>
  <c r="H57"/>
  <c r="Q57"/>
  <c r="AW57"/>
  <c r="S57"/>
  <c r="AT57"/>
  <c r="L57"/>
  <c r="AC57"/>
  <c r="K57"/>
  <c r="AH57"/>
  <c r="BD57"/>
  <c r="BN57"/>
  <c r="AR57"/>
  <c r="N57"/>
  <c r="M57"/>
  <c r="BI57"/>
  <c r="BM57"/>
  <c r="AK57"/>
  <c r="BJ90"/>
  <c r="BG97"/>
  <c r="AX90"/>
  <c r="AR90"/>
  <c r="BF90"/>
  <c r="BG59"/>
  <c r="AD90"/>
  <c r="AF90"/>
  <c r="O90"/>
  <c r="BK49"/>
  <c r="AQ49"/>
  <c r="AK49"/>
  <c r="P49"/>
  <c r="V49"/>
  <c r="N49"/>
  <c r="BH49"/>
  <c r="AJ86"/>
  <c r="BC68"/>
  <c r="BC71"/>
  <c r="AI86"/>
  <c r="BC95"/>
  <c r="L86"/>
  <c r="H86"/>
  <c r="G86"/>
  <c r="Z86"/>
  <c r="BN86"/>
  <c r="BC72"/>
  <c r="Y86"/>
  <c r="BL86"/>
  <c r="AH86"/>
  <c r="BC76"/>
  <c r="M86"/>
  <c r="BC73"/>
  <c r="BC66"/>
  <c r="BC44"/>
  <c r="BC70"/>
  <c r="BC53"/>
  <c r="BC40"/>
  <c r="BC46"/>
  <c r="Q86"/>
  <c r="J64"/>
  <c r="BE64"/>
  <c r="AG52"/>
  <c r="AI64"/>
  <c r="AG66"/>
  <c r="AV64"/>
  <c r="AG49"/>
  <c r="P64"/>
  <c r="AK64"/>
  <c r="AG67"/>
  <c r="BD64"/>
  <c r="X64"/>
  <c r="AG77"/>
  <c r="AG76"/>
  <c r="AG61"/>
  <c r="AJ64"/>
  <c r="AG84"/>
  <c r="S64"/>
  <c r="AG39"/>
  <c r="AQ64"/>
  <c r="AG85"/>
  <c r="AW64"/>
  <c r="BG64"/>
  <c r="BH64"/>
  <c r="AG42"/>
  <c r="AG45"/>
  <c r="AC64"/>
  <c r="AM64"/>
  <c r="H64"/>
  <c r="BN64"/>
  <c r="AF64"/>
  <c r="AG96"/>
  <c r="AG74"/>
  <c r="AG89"/>
  <c r="L64"/>
  <c r="AG92"/>
  <c r="AB64"/>
  <c r="BL64"/>
  <c r="AG82"/>
  <c r="AG54"/>
  <c r="BB64"/>
  <c r="AG87"/>
  <c r="AH64"/>
  <c r="AG64"/>
  <c r="AG68"/>
  <c r="AG91"/>
  <c r="W64"/>
  <c r="BC64"/>
  <c r="AY64"/>
  <c r="AA64"/>
  <c r="AA65"/>
  <c r="AA66"/>
  <c r="AA48"/>
  <c r="AU58"/>
  <c r="AA52"/>
  <c r="AA88"/>
  <c r="AA69"/>
  <c r="AA95"/>
  <c r="N58"/>
  <c r="R58"/>
  <c r="AA58"/>
  <c r="AA85"/>
  <c r="AA92"/>
  <c r="L58"/>
  <c r="AA61"/>
  <c r="AW58"/>
  <c r="AK58"/>
  <c r="T58"/>
  <c r="BE58"/>
  <c r="AA62"/>
  <c r="AA47"/>
  <c r="AA71"/>
  <c r="AA77"/>
  <c r="V58"/>
  <c r="AA94"/>
  <c r="AA55"/>
  <c r="BC58"/>
  <c r="AI58"/>
  <c r="AS58"/>
  <c r="AA42"/>
  <c r="BN58"/>
  <c r="AA93"/>
  <c r="AA38"/>
  <c r="BG58"/>
  <c r="O58"/>
  <c r="BJ58"/>
  <c r="AA46"/>
  <c r="U58"/>
  <c r="G58"/>
  <c r="I58"/>
  <c r="M58"/>
  <c r="AO58"/>
  <c r="AG58"/>
  <c r="AJ58"/>
  <c r="AP58"/>
  <c r="AA81"/>
  <c r="AC58"/>
  <c r="AA45"/>
  <c r="AA40"/>
  <c r="AR58"/>
  <c r="AX58"/>
  <c r="AA43"/>
  <c r="AA79"/>
  <c r="AA49"/>
  <c r="AA57"/>
  <c r="AQ58"/>
  <c r="AA87"/>
  <c r="AA41"/>
  <c r="BA58"/>
  <c r="AA39"/>
  <c r="K58"/>
  <c r="J52" i="14" l="1"/>
  <c r="I52"/>
  <c r="O171" i="223"/>
  <c r="BD40" i="1"/>
  <c r="E159" i="223"/>
  <c r="E4" s="1"/>
  <c r="I36" i="14"/>
  <c r="J36"/>
  <c r="M52" i="237"/>
  <c r="M9" s="1"/>
  <c r="J129" i="223"/>
  <c r="J10" s="1"/>
  <c r="BK4" i="15"/>
  <c r="BK5" s="1"/>
  <c r="BK6" s="1"/>
  <c r="BK7" s="1"/>
  <c r="BK8" s="1"/>
  <c r="BK9" s="1"/>
  <c r="BK10" s="1"/>
  <c r="BK11" s="1"/>
  <c r="BK12" s="1"/>
  <c r="BK13" s="1"/>
  <c r="BK14" s="1"/>
  <c r="BK15" s="1"/>
  <c r="BK16" s="1"/>
  <c r="J59" i="14"/>
  <c r="I59"/>
  <c r="J15"/>
  <c r="I15"/>
  <c r="J33"/>
  <c r="I33"/>
  <c r="BG25" i="18"/>
  <c r="O94" i="237"/>
  <c r="L99" i="223"/>
  <c r="L9" s="1"/>
  <c r="N82"/>
  <c r="N12" s="1"/>
  <c r="V40" i="1"/>
  <c r="J129" i="237"/>
  <c r="J12" s="1"/>
  <c r="H129" i="223"/>
  <c r="H10" s="1"/>
  <c r="O44"/>
  <c r="J20" i="14"/>
  <c r="I20"/>
  <c r="O181" i="223"/>
  <c r="AW40" i="1"/>
  <c r="O172" i="237"/>
  <c r="I99"/>
  <c r="I8" s="1"/>
  <c r="J19" i="223"/>
  <c r="J5" s="1"/>
  <c r="AB40" i="1"/>
  <c r="G178" i="237"/>
  <c r="G13" s="1"/>
  <c r="AF25" i="18"/>
  <c r="N114" i="237"/>
  <c r="N11" s="1"/>
  <c r="AV25" i="18"/>
  <c r="G52" i="223"/>
  <c r="G11" s="1"/>
  <c r="L159"/>
  <c r="L4" s="1"/>
  <c r="B82"/>
  <c r="B12" s="1"/>
  <c r="O83"/>
  <c r="I66" i="237"/>
  <c r="I6" s="1"/>
  <c r="O74" i="223"/>
  <c r="J66"/>
  <c r="J6" s="1"/>
  <c r="O103"/>
  <c r="O164"/>
  <c r="M99"/>
  <c r="M9" s="1"/>
  <c r="AQ40" i="1"/>
  <c r="O77" i="237"/>
  <c r="E66"/>
  <c r="E6" s="1"/>
  <c r="O151"/>
  <c r="O42" i="223"/>
  <c r="O116" i="237"/>
  <c r="D36" i="223"/>
  <c r="D8" s="1"/>
  <c r="I178" i="237"/>
  <c r="I13" s="1"/>
  <c r="N129" i="223"/>
  <c r="N10" s="1"/>
  <c r="I66"/>
  <c r="I6" s="1"/>
  <c r="O168"/>
  <c r="O167" i="237"/>
  <c r="O135"/>
  <c r="G82"/>
  <c r="G10" s="1"/>
  <c r="O184" i="223"/>
  <c r="O148" i="237"/>
  <c r="AX40" i="1"/>
  <c r="H99" i="223"/>
  <c r="H9" s="1"/>
  <c r="O88" i="237"/>
  <c r="O90" i="223"/>
  <c r="AK40" i="1"/>
  <c r="G66" i="223"/>
  <c r="G6" s="1"/>
  <c r="Z40" i="1"/>
  <c r="L19" i="223"/>
  <c r="L5" s="1"/>
  <c r="G144"/>
  <c r="G7" s="1"/>
  <c r="K25" i="18"/>
  <c r="J58" i="14"/>
  <c r="I58"/>
  <c r="O145" i="237"/>
  <c r="B144"/>
  <c r="B3" s="1"/>
  <c r="N36" i="223"/>
  <c r="N8" s="1"/>
  <c r="H82" i="237"/>
  <c r="H10" s="1"/>
  <c r="G144"/>
  <c r="G3" s="1"/>
  <c r="I19"/>
  <c r="I7" s="1"/>
  <c r="E129"/>
  <c r="E12" s="1"/>
  <c r="O56" i="223"/>
  <c r="B52" i="237"/>
  <c r="B9" s="1"/>
  <c r="O53"/>
  <c r="K159"/>
  <c r="K4" s="1"/>
  <c r="Y25" i="18"/>
  <c r="G19" i="237"/>
  <c r="G7" s="1"/>
  <c r="L129" i="223"/>
  <c r="L10" s="1"/>
  <c r="I27" i="14"/>
  <c r="J27"/>
  <c r="O135" i="223"/>
  <c r="O181" i="237"/>
  <c r="I52"/>
  <c r="I9" s="1"/>
  <c r="M52" i="223"/>
  <c r="M11" s="1"/>
  <c r="BM25" i="18"/>
  <c r="C114" i="237"/>
  <c r="C11" s="1"/>
  <c r="O126"/>
  <c r="E99"/>
  <c r="E8" s="1"/>
  <c r="D52"/>
  <c r="D9" s="1"/>
  <c r="J36" i="223"/>
  <c r="J8" s="1"/>
  <c r="E114" i="237"/>
  <c r="E11" s="1"/>
  <c r="M4" i="15"/>
  <c r="M5" s="1"/>
  <c r="M6" s="1"/>
  <c r="M7" s="1"/>
  <c r="M8" s="1"/>
  <c r="M9" s="1"/>
  <c r="M10" s="1"/>
  <c r="M11" s="1"/>
  <c r="M12" s="1"/>
  <c r="M13" s="1"/>
  <c r="M14" s="1"/>
  <c r="M15" s="1"/>
  <c r="M16" s="1"/>
  <c r="O38" i="237"/>
  <c r="O149" i="223"/>
  <c r="F114" i="237"/>
  <c r="F11" s="1"/>
  <c r="I82" i="223"/>
  <c r="I12" s="1"/>
  <c r="J82" i="237"/>
  <c r="J10" s="1"/>
  <c r="E52"/>
  <c r="E9" s="1"/>
  <c r="AJ25" i="18"/>
  <c r="O130" i="223"/>
  <c r="B129"/>
  <c r="B10" s="1"/>
  <c r="O183" i="237"/>
  <c r="BC40" i="1"/>
  <c r="O75" i="237"/>
  <c r="O156"/>
  <c r="K82"/>
  <c r="K10" s="1"/>
  <c r="N159" i="223"/>
  <c r="N4" s="1"/>
  <c r="F99" i="237"/>
  <c r="F8" s="1"/>
  <c r="O41"/>
  <c r="O122"/>
  <c r="O169"/>
  <c r="S25" i="18"/>
  <c r="O139" i="223"/>
  <c r="O154" i="237"/>
  <c r="AN4" i="15"/>
  <c r="AN5" s="1"/>
  <c r="AN6" s="1"/>
  <c r="AN7" s="1"/>
  <c r="AN8" s="1"/>
  <c r="AN9" s="1"/>
  <c r="AN10" s="1"/>
  <c r="AN11" s="1"/>
  <c r="AN12" s="1"/>
  <c r="AN13" s="1"/>
  <c r="AN14" s="1"/>
  <c r="AN15" s="1"/>
  <c r="AN16" s="1"/>
  <c r="D144" i="223"/>
  <c r="D7" s="1"/>
  <c r="B99"/>
  <c r="B9" s="1"/>
  <c r="O100"/>
  <c r="O161" i="237"/>
  <c r="BI4" i="15"/>
  <c r="BI5" s="1"/>
  <c r="BI6" s="1"/>
  <c r="BI7" s="1"/>
  <c r="BI8" s="1"/>
  <c r="BI9" s="1"/>
  <c r="BI10" s="1"/>
  <c r="BI11" s="1"/>
  <c r="BI12" s="1"/>
  <c r="BI13" s="1"/>
  <c r="BI14" s="1"/>
  <c r="BI15" s="1"/>
  <c r="BI16" s="1"/>
  <c r="S40" i="1"/>
  <c r="C99" i="223"/>
  <c r="C9" s="1"/>
  <c r="AS40" i="1"/>
  <c r="O22" i="223"/>
  <c r="O150" i="237"/>
  <c r="E19"/>
  <c r="E7" s="1"/>
  <c r="F144"/>
  <c r="F3" s="1"/>
  <c r="L66" i="223"/>
  <c r="L6" s="1"/>
  <c r="AG4" i="15"/>
  <c r="AG5" s="1"/>
  <c r="AG6" s="1"/>
  <c r="AG7" s="1"/>
  <c r="AG8" s="1"/>
  <c r="AG9" s="1"/>
  <c r="AG10" s="1"/>
  <c r="AG11" s="1"/>
  <c r="AG12" s="1"/>
  <c r="AG13" s="1"/>
  <c r="AG14" s="1"/>
  <c r="AG15" s="1"/>
  <c r="AG16" s="1"/>
  <c r="AM40" i="1"/>
  <c r="O78" i="237"/>
  <c r="G159" i="223"/>
  <c r="G4" s="1"/>
  <c r="AE40" i="1"/>
  <c r="N114" i="223"/>
  <c r="N14" s="1"/>
  <c r="O60"/>
  <c r="O147" i="237"/>
  <c r="K159" i="223"/>
  <c r="K4" s="1"/>
  <c r="O138"/>
  <c r="U25" i="18"/>
  <c r="C159" i="223"/>
  <c r="C4" s="1"/>
  <c r="K52"/>
  <c r="K11" s="1"/>
  <c r="O89" i="237"/>
  <c r="S4" i="15"/>
  <c r="S5" s="1"/>
  <c r="S6" s="1"/>
  <c r="S7" s="1"/>
  <c r="S8" s="1"/>
  <c r="S9" s="1"/>
  <c r="S10" s="1"/>
  <c r="S11" s="1"/>
  <c r="S12" s="1"/>
  <c r="S13" s="1"/>
  <c r="S14" s="1"/>
  <c r="S15" s="1"/>
  <c r="S16" s="1"/>
  <c r="O92" i="237"/>
  <c r="B178"/>
  <c r="B13" s="1"/>
  <c r="O179"/>
  <c r="D36"/>
  <c r="D5" s="1"/>
  <c r="AZ25" i="18"/>
  <c r="AJ4" i="15"/>
  <c r="AJ5" s="1"/>
  <c r="AJ6" s="1"/>
  <c r="AJ7" s="1"/>
  <c r="AJ8" s="1"/>
  <c r="AJ9" s="1"/>
  <c r="AJ10" s="1"/>
  <c r="AJ11" s="1"/>
  <c r="AJ12" s="1"/>
  <c r="AJ13" s="1"/>
  <c r="AJ14" s="1"/>
  <c r="AJ15" s="1"/>
  <c r="AJ16" s="1"/>
  <c r="M82" i="237"/>
  <c r="M10" s="1"/>
  <c r="E178"/>
  <c r="E13" s="1"/>
  <c r="O71" i="223"/>
  <c r="D114"/>
  <c r="D14" s="1"/>
  <c r="M36" i="237"/>
  <c r="M5" s="1"/>
  <c r="L129"/>
  <c r="L12" s="1"/>
  <c r="L25" i="18"/>
  <c r="O76" i="223"/>
  <c r="L144"/>
  <c r="L7" s="1"/>
  <c r="N36" i="237"/>
  <c r="N5" s="1"/>
  <c r="O54"/>
  <c r="AK25" i="18"/>
  <c r="C144" i="223"/>
  <c r="C7" s="1"/>
  <c r="O25" i="18"/>
  <c r="G114" i="223"/>
  <c r="G14" s="1"/>
  <c r="AC4" i="15"/>
  <c r="AC5" s="1"/>
  <c r="AC6" s="1"/>
  <c r="AC7" s="1"/>
  <c r="AC8" s="1"/>
  <c r="AC9" s="1"/>
  <c r="AC10" s="1"/>
  <c r="AC11" s="1"/>
  <c r="AC12" s="1"/>
  <c r="AC13" s="1"/>
  <c r="AC14" s="1"/>
  <c r="AC15" s="1"/>
  <c r="AC16" s="1"/>
  <c r="H36" i="223"/>
  <c r="H8" s="1"/>
  <c r="BE40" i="1"/>
  <c r="O103" i="237"/>
  <c r="J52" i="223"/>
  <c r="J11" s="1"/>
  <c r="K82"/>
  <c r="K12" s="1"/>
  <c r="O141"/>
  <c r="O148"/>
  <c r="L159" i="237"/>
  <c r="L4" s="1"/>
  <c r="N144" i="223"/>
  <c r="N7" s="1"/>
  <c r="K19" i="237"/>
  <c r="K7" s="1"/>
  <c r="O131" i="223"/>
  <c r="I52"/>
  <c r="I11" s="1"/>
  <c r="AI40" i="1"/>
  <c r="BF40"/>
  <c r="AZ4" i="15"/>
  <c r="AZ5" s="1"/>
  <c r="AZ6" s="1"/>
  <c r="AZ7" s="1"/>
  <c r="AZ8" s="1"/>
  <c r="AZ9" s="1"/>
  <c r="AZ10" s="1"/>
  <c r="AZ11" s="1"/>
  <c r="AZ12" s="1"/>
  <c r="AZ13" s="1"/>
  <c r="AZ14" s="1"/>
  <c r="AZ15" s="1"/>
  <c r="AZ16" s="1"/>
  <c r="M114" i="237"/>
  <c r="M11" s="1"/>
  <c r="K99" i="223"/>
  <c r="K9" s="1"/>
  <c r="K178"/>
  <c r="K13" s="1"/>
  <c r="F66" i="237"/>
  <c r="F6" s="1"/>
  <c r="O26"/>
  <c r="E82"/>
  <c r="E10" s="1"/>
  <c r="O102" i="223"/>
  <c r="O172"/>
  <c r="O173" i="237"/>
  <c r="AI25" i="18"/>
  <c r="M129" i="237"/>
  <c r="M12" s="1"/>
  <c r="AA25" i="18"/>
  <c r="M159" i="237"/>
  <c r="M4" s="1"/>
  <c r="L36"/>
  <c r="L5" s="1"/>
  <c r="C114" i="223"/>
  <c r="C14" s="1"/>
  <c r="O69" i="237"/>
  <c r="H19" i="223"/>
  <c r="H5" s="1"/>
  <c r="B129" i="237"/>
  <c r="B12" s="1"/>
  <c r="O130"/>
  <c r="J99"/>
  <c r="J8" s="1"/>
  <c r="R39" i="1"/>
  <c r="R40"/>
  <c r="BG40"/>
  <c r="M66" i="237"/>
  <c r="M6" s="1"/>
  <c r="O117" i="223"/>
  <c r="C82" i="237"/>
  <c r="C10" s="1"/>
  <c r="O22"/>
  <c r="AL4" i="15"/>
  <c r="AL5" s="1"/>
  <c r="AL6" s="1"/>
  <c r="AL7" s="1"/>
  <c r="AL8" s="1"/>
  <c r="AL9" s="1"/>
  <c r="AL10" s="1"/>
  <c r="AL11" s="1"/>
  <c r="AL12" s="1"/>
  <c r="AL13" s="1"/>
  <c r="AL14" s="1"/>
  <c r="AL15" s="1"/>
  <c r="AL16" s="1"/>
  <c r="O187" i="223"/>
  <c r="I99"/>
  <c r="I9" s="1"/>
  <c r="O168" i="237"/>
  <c r="K144" i="223"/>
  <c r="K7" s="1"/>
  <c r="O25" i="237"/>
  <c r="O88" i="223"/>
  <c r="O59" i="237"/>
  <c r="AH40" i="1"/>
  <c r="O152" i="237"/>
  <c r="O60"/>
  <c r="O170"/>
  <c r="O102"/>
  <c r="M129" i="223"/>
  <c r="M10" s="1"/>
  <c r="K52" i="237"/>
  <c r="K9" s="1"/>
  <c r="AT40" i="1"/>
  <c r="O123" i="237"/>
  <c r="G66"/>
  <c r="G6" s="1"/>
  <c r="AO4" i="15"/>
  <c r="AO5" s="1"/>
  <c r="AO6" s="1"/>
  <c r="AO7" s="1"/>
  <c r="AO8" s="1"/>
  <c r="AO9" s="1"/>
  <c r="AO10" s="1"/>
  <c r="AO11" s="1"/>
  <c r="AO12" s="1"/>
  <c r="AO13" s="1"/>
  <c r="AO14" s="1"/>
  <c r="AO15" s="1"/>
  <c r="AO16" s="1"/>
  <c r="AX4"/>
  <c r="AX5" s="1"/>
  <c r="AX6" s="1"/>
  <c r="AX7" s="1"/>
  <c r="AX8" s="1"/>
  <c r="AX9" s="1"/>
  <c r="AX10" s="1"/>
  <c r="AX11" s="1"/>
  <c r="AX12" s="1"/>
  <c r="AX13" s="1"/>
  <c r="AX14" s="1"/>
  <c r="AX15" s="1"/>
  <c r="AX16" s="1"/>
  <c r="O25" i="223"/>
  <c r="BL25" i="18"/>
  <c r="K114" i="237"/>
  <c r="K11" s="1"/>
  <c r="AD25" i="18"/>
  <c r="O121" i="237"/>
  <c r="O180" i="223"/>
  <c r="BE25" i="18"/>
  <c r="C144" i="237"/>
  <c r="C3" s="1"/>
  <c r="C99"/>
  <c r="C8" s="1"/>
  <c r="O123" i="223"/>
  <c r="H4" i="15"/>
  <c r="H5" s="1"/>
  <c r="H6" s="1"/>
  <c r="H7" s="1"/>
  <c r="H8" s="1"/>
  <c r="H9" s="1"/>
  <c r="H10" s="1"/>
  <c r="H11" s="1"/>
  <c r="H12" s="1"/>
  <c r="H13" s="1"/>
  <c r="H14" s="1"/>
  <c r="H15" s="1"/>
  <c r="H16" s="1"/>
  <c r="N40" i="1"/>
  <c r="L52" i="237"/>
  <c r="L9" s="1"/>
  <c r="F82"/>
  <c r="F10" s="1"/>
  <c r="O87" i="223"/>
  <c r="K66" i="237"/>
  <c r="K6" s="1"/>
  <c r="O77" i="223"/>
  <c r="O67" i="237"/>
  <c r="B66"/>
  <c r="B6" s="1"/>
  <c r="N82"/>
  <c r="N10" s="1"/>
  <c r="I36" i="223"/>
  <c r="I8" s="1"/>
  <c r="O182" i="237"/>
  <c r="O131"/>
  <c r="AF4" i="15"/>
  <c r="AF5" s="1"/>
  <c r="AF6" s="1"/>
  <c r="AF7" s="1"/>
  <c r="AF8" s="1"/>
  <c r="AF9" s="1"/>
  <c r="AF10" s="1"/>
  <c r="AF11" s="1"/>
  <c r="AF12" s="1"/>
  <c r="AF13" s="1"/>
  <c r="AF14" s="1"/>
  <c r="AF15" s="1"/>
  <c r="AF16" s="1"/>
  <c r="J178" i="223"/>
  <c r="J13" s="1"/>
  <c r="C52"/>
  <c r="C11" s="1"/>
  <c r="L66" i="237"/>
  <c r="L6" s="1"/>
  <c r="Z4" i="15"/>
  <c r="Z5" s="1"/>
  <c r="Z6" s="1"/>
  <c r="Z7" s="1"/>
  <c r="Z8" s="1"/>
  <c r="Z9" s="1"/>
  <c r="Z10" s="1"/>
  <c r="Z11" s="1"/>
  <c r="Z12" s="1"/>
  <c r="Z13" s="1"/>
  <c r="Z14" s="1"/>
  <c r="Z15" s="1"/>
  <c r="Z16" s="1"/>
  <c r="K99" i="237"/>
  <c r="K8" s="1"/>
  <c r="O91"/>
  <c r="AR4" i="15"/>
  <c r="AR5" s="1"/>
  <c r="AR6" s="1"/>
  <c r="AR7" s="1"/>
  <c r="AR8" s="1"/>
  <c r="AR9" s="1"/>
  <c r="AR10" s="1"/>
  <c r="AR11" s="1"/>
  <c r="AR12" s="1"/>
  <c r="AR13" s="1"/>
  <c r="AR14" s="1"/>
  <c r="AR15" s="1"/>
  <c r="AR16" s="1"/>
  <c r="O171" i="237"/>
  <c r="E99" i="223"/>
  <c r="E9" s="1"/>
  <c r="E129"/>
  <c r="E10" s="1"/>
  <c r="O21"/>
  <c r="O185"/>
  <c r="AP25" i="18"/>
  <c r="O73" i="223"/>
  <c r="O27"/>
  <c r="C178" i="237"/>
  <c r="C13" s="1"/>
  <c r="O63" i="223"/>
  <c r="M25" i="18"/>
  <c r="O74" i="237"/>
  <c r="O165"/>
  <c r="O62"/>
  <c r="AT4" i="15"/>
  <c r="AT5" s="1"/>
  <c r="AT6" s="1"/>
  <c r="AT7" s="1"/>
  <c r="AT8" s="1"/>
  <c r="AT9" s="1"/>
  <c r="AT10" s="1"/>
  <c r="AT11" s="1"/>
  <c r="AT12" s="1"/>
  <c r="AT13" s="1"/>
  <c r="AT14" s="1"/>
  <c r="AT15" s="1"/>
  <c r="AT16" s="1"/>
  <c r="K40" i="1"/>
  <c r="I178" i="223"/>
  <c r="I13" s="1"/>
  <c r="H178" i="237"/>
  <c r="H13" s="1"/>
  <c r="O70"/>
  <c r="G114"/>
  <c r="G11" s="1"/>
  <c r="L178"/>
  <c r="L13" s="1"/>
  <c r="O40"/>
  <c r="AN25" i="18"/>
  <c r="G159" i="237"/>
  <c r="G4" s="1"/>
  <c r="Q25" i="18"/>
  <c r="K129" i="237"/>
  <c r="K12" s="1"/>
  <c r="D129" i="223"/>
  <c r="D10" s="1"/>
  <c r="H144"/>
  <c r="H7" s="1"/>
  <c r="O155" i="237"/>
  <c r="O39"/>
  <c r="AH25" i="18"/>
  <c r="O180" i="237"/>
  <c r="F82" i="223"/>
  <c r="F12" s="1"/>
  <c r="O124"/>
  <c r="M40" i="1"/>
  <c r="O140" i="223"/>
  <c r="O101" i="237"/>
  <c r="AR25" i="18"/>
  <c r="O28" i="237"/>
  <c r="O43"/>
  <c r="K66" i="223"/>
  <c r="K6" s="1"/>
  <c r="O152"/>
  <c r="Q4" i="15"/>
  <c r="Q5" s="1"/>
  <c r="Q6" s="1"/>
  <c r="Q7" s="1"/>
  <c r="Q8" s="1"/>
  <c r="Q9" s="1"/>
  <c r="Q10" s="1"/>
  <c r="Q11" s="1"/>
  <c r="Q12" s="1"/>
  <c r="Q13" s="1"/>
  <c r="Q14" s="1"/>
  <c r="Q15" s="1"/>
  <c r="Q16" s="1"/>
  <c r="AG25" i="18"/>
  <c r="AJ40" i="1"/>
  <c r="AB4" i="15"/>
  <c r="AB5" s="1"/>
  <c r="AB6" s="1"/>
  <c r="AB7" s="1"/>
  <c r="AB8" s="1"/>
  <c r="AB9" s="1"/>
  <c r="AB10" s="1"/>
  <c r="AB11" s="1"/>
  <c r="AB12" s="1"/>
  <c r="AB13" s="1"/>
  <c r="AB14" s="1"/>
  <c r="AB15" s="1"/>
  <c r="AB16" s="1"/>
  <c r="O38" i="223"/>
  <c r="O141" i="237"/>
  <c r="G19" i="223"/>
  <c r="G5" s="1"/>
  <c r="BD4" i="15"/>
  <c r="BD5" s="1"/>
  <c r="BD6" s="1"/>
  <c r="BD7" s="1"/>
  <c r="BD8" s="1"/>
  <c r="BD9" s="1"/>
  <c r="BD10" s="1"/>
  <c r="BD11" s="1"/>
  <c r="BD12" s="1"/>
  <c r="BD13" s="1"/>
  <c r="BD14" s="1"/>
  <c r="BD15" s="1"/>
  <c r="BD16" s="1"/>
  <c r="K19" i="223"/>
  <c r="K5" s="1"/>
  <c r="O146"/>
  <c r="O73" i="237"/>
  <c r="AS25" i="18"/>
  <c r="O161" i="223"/>
  <c r="O37" i="237"/>
  <c r="B36"/>
  <c r="B5" s="1"/>
  <c r="F52" i="223"/>
  <c r="F11" s="1"/>
  <c r="O32" i="237"/>
  <c r="I129"/>
  <c r="I12" s="1"/>
  <c r="D52" i="223"/>
  <c r="D11" s="1"/>
  <c r="O119" i="237"/>
  <c r="H66" i="223"/>
  <c r="H6" s="1"/>
  <c r="O69"/>
  <c r="L114" i="237"/>
  <c r="L11" s="1"/>
  <c r="O41" i="223"/>
  <c r="O121"/>
  <c r="O84" i="237"/>
  <c r="O100"/>
  <c r="B99"/>
  <c r="B8" s="1"/>
  <c r="O44"/>
  <c r="G82" i="223"/>
  <c r="G12" s="1"/>
  <c r="O162" i="237"/>
  <c r="L144"/>
  <c r="L3" s="1"/>
  <c r="AI4" i="15"/>
  <c r="AI5" s="1"/>
  <c r="AI6" s="1"/>
  <c r="AI7" s="1"/>
  <c r="AI8" s="1"/>
  <c r="AI9" s="1"/>
  <c r="AI10" s="1"/>
  <c r="AI11" s="1"/>
  <c r="AI12" s="1"/>
  <c r="AI13" s="1"/>
  <c r="AI14" s="1"/>
  <c r="AI15" s="1"/>
  <c r="AI16" s="1"/>
  <c r="AB25" i="18"/>
  <c r="H52" i="223"/>
  <c r="H11" s="1"/>
  <c r="BR4" i="15"/>
  <c r="BR5" s="1"/>
  <c r="BR6" s="1"/>
  <c r="BR7" s="1"/>
  <c r="BR8" s="1"/>
  <c r="BR9" s="1"/>
  <c r="BR10" s="1"/>
  <c r="BR11" s="1"/>
  <c r="BR12" s="1"/>
  <c r="BR13" s="1"/>
  <c r="BR14" s="1"/>
  <c r="BR15" s="1"/>
  <c r="BR16" s="1"/>
  <c r="X40" i="1"/>
  <c r="O78" i="223"/>
  <c r="C19"/>
  <c r="C5" s="1"/>
  <c r="BC25" i="18"/>
  <c r="F19" i="237"/>
  <c r="F7" s="1"/>
  <c r="J36"/>
  <c r="J5" s="1"/>
  <c r="O58"/>
  <c r="O46"/>
  <c r="O137"/>
  <c r="U40" i="1"/>
  <c r="N19" i="237"/>
  <c r="N7" s="1"/>
  <c r="O165" i="223"/>
  <c r="O45"/>
  <c r="O124" i="237"/>
  <c r="O72"/>
  <c r="O29" i="223"/>
  <c r="N129" i="237"/>
  <c r="N12" s="1"/>
  <c r="AS4" i="15"/>
  <c r="AS5" s="1"/>
  <c r="AS6" s="1"/>
  <c r="AS7" s="1"/>
  <c r="AS8" s="1"/>
  <c r="AS9" s="1"/>
  <c r="AS10" s="1"/>
  <c r="AS11" s="1"/>
  <c r="AS12" s="1"/>
  <c r="AS13" s="1"/>
  <c r="AS14" s="1"/>
  <c r="AS15" s="1"/>
  <c r="AS16" s="1"/>
  <c r="O153" i="223"/>
  <c r="C129"/>
  <c r="C10" s="1"/>
  <c r="F178" i="237"/>
  <c r="F13" s="1"/>
  <c r="AG40" i="1"/>
  <c r="BF31"/>
  <c r="N31"/>
  <c r="BH31"/>
  <c r="BL31"/>
  <c r="L31"/>
  <c r="AQ31"/>
  <c r="K31"/>
  <c r="AH31"/>
  <c r="S31"/>
  <c r="AZ31"/>
  <c r="AM31"/>
  <c r="AB31"/>
  <c r="AR31"/>
  <c r="AT31"/>
  <c r="Z31"/>
  <c r="BK31"/>
  <c r="BE31"/>
  <c r="AE31"/>
  <c r="AI31"/>
  <c r="AY31"/>
  <c r="AS31"/>
  <c r="AX31"/>
  <c r="AD31"/>
  <c r="W31"/>
  <c r="AL31"/>
  <c r="AJ31"/>
  <c r="U31"/>
  <c r="AO31"/>
  <c r="I25"/>
  <c r="D6" i="14" s="1"/>
  <c r="E6" s="1"/>
  <c r="AV31" i="1"/>
  <c r="AF31"/>
  <c r="O31"/>
  <c r="AW31"/>
  <c r="X31"/>
  <c r="Q31"/>
  <c r="M31"/>
  <c r="BC31"/>
  <c r="Y31"/>
  <c r="BA31"/>
  <c r="BD31"/>
  <c r="P31"/>
  <c r="BG31"/>
  <c r="AK31"/>
  <c r="T31"/>
  <c r="BM31"/>
  <c r="AP31"/>
  <c r="BI31"/>
  <c r="AA31"/>
  <c r="AU31"/>
  <c r="BJ31"/>
  <c r="AN31"/>
  <c r="AG31"/>
  <c r="BN31"/>
  <c r="BB31"/>
  <c r="R31"/>
  <c r="V31"/>
  <c r="AC31"/>
  <c r="O30" i="237"/>
  <c r="B31" i="185"/>
  <c r="F36" i="223"/>
  <c r="F8" s="1"/>
  <c r="BE4" i="15"/>
  <c r="BE5" s="1"/>
  <c r="BE6" s="1"/>
  <c r="BE7" s="1"/>
  <c r="BE8" s="1"/>
  <c r="BE9" s="1"/>
  <c r="BE10" s="1"/>
  <c r="BE11" s="1"/>
  <c r="BE12" s="1"/>
  <c r="BE13" s="1"/>
  <c r="BE14" s="1"/>
  <c r="BE15" s="1"/>
  <c r="BE16" s="1"/>
  <c r="L99" i="237"/>
  <c r="L8" s="1"/>
  <c r="O4" i="15"/>
  <c r="O5" s="1"/>
  <c r="O6" s="1"/>
  <c r="O7" s="1"/>
  <c r="O8" s="1"/>
  <c r="O9" s="1"/>
  <c r="O10" s="1"/>
  <c r="O11" s="1"/>
  <c r="O12" s="1"/>
  <c r="O13" s="1"/>
  <c r="O14" s="1"/>
  <c r="O15" s="1"/>
  <c r="O16" s="1"/>
  <c r="F19" i="223"/>
  <c r="F5" s="1"/>
  <c r="O87" i="237"/>
  <c r="O39" i="223"/>
  <c r="T40" i="1"/>
  <c r="I36" i="237"/>
  <c r="I5" s="1"/>
  <c r="G36" i="223"/>
  <c r="G8" s="1"/>
  <c r="O163"/>
  <c r="O93" i="237"/>
  <c r="H99"/>
  <c r="H8" s="1"/>
  <c r="K36" i="223"/>
  <c r="K8" s="1"/>
  <c r="E19"/>
  <c r="E5" s="1"/>
  <c r="I19"/>
  <c r="I5" s="1"/>
  <c r="J52" i="237"/>
  <c r="J9" s="1"/>
  <c r="O134" i="223"/>
  <c r="AL40" i="1"/>
  <c r="BG4" i="15"/>
  <c r="BG5" s="1"/>
  <c r="BG6" s="1"/>
  <c r="BG7" s="1"/>
  <c r="BG8" s="1"/>
  <c r="BG9" s="1"/>
  <c r="BG10" s="1"/>
  <c r="BG11" s="1"/>
  <c r="BG12" s="1"/>
  <c r="BG13" s="1"/>
  <c r="BG14" s="1"/>
  <c r="BG15" s="1"/>
  <c r="BG16" s="1"/>
  <c r="I159" i="223"/>
  <c r="I4" s="1"/>
  <c r="A33" i="185"/>
  <c r="O170" i="223"/>
  <c r="R4" i="15"/>
  <c r="R5" s="1"/>
  <c r="R6" s="1"/>
  <c r="R7" s="1"/>
  <c r="R8" s="1"/>
  <c r="R9" s="1"/>
  <c r="R10" s="1"/>
  <c r="R11" s="1"/>
  <c r="R12" s="1"/>
  <c r="R13" s="1"/>
  <c r="R14" s="1"/>
  <c r="R15" s="1"/>
  <c r="R16" s="1"/>
  <c r="BJ40" i="1"/>
  <c r="O140" i="237"/>
  <c r="C82" i="223"/>
  <c r="C12" s="1"/>
  <c r="O154"/>
  <c r="BF4" i="15"/>
  <c r="BF5" s="1"/>
  <c r="BF6" s="1"/>
  <c r="BF7" s="1"/>
  <c r="BF8" s="1"/>
  <c r="BF9" s="1"/>
  <c r="BF10" s="1"/>
  <c r="BF11" s="1"/>
  <c r="BF12" s="1"/>
  <c r="BF13" s="1"/>
  <c r="BF14" s="1"/>
  <c r="BF15" s="1"/>
  <c r="BF16" s="1"/>
  <c r="AY4"/>
  <c r="AY5" s="1"/>
  <c r="AY6" s="1"/>
  <c r="AY7" s="1"/>
  <c r="AY8" s="1"/>
  <c r="AY9" s="1"/>
  <c r="AY10" s="1"/>
  <c r="AY11" s="1"/>
  <c r="AY12" s="1"/>
  <c r="AY13" s="1"/>
  <c r="AY14" s="1"/>
  <c r="AY15" s="1"/>
  <c r="AY16" s="1"/>
  <c r="O173" i="223"/>
  <c r="O46"/>
  <c r="M144"/>
  <c r="M7" s="1"/>
  <c r="N178"/>
  <c r="N13" s="1"/>
  <c r="O139" i="237"/>
  <c r="AP4" i="15"/>
  <c r="AP5" s="1"/>
  <c r="AP6" s="1"/>
  <c r="AP7" s="1"/>
  <c r="AP8" s="1"/>
  <c r="AP9" s="1"/>
  <c r="AP10" s="1"/>
  <c r="AP11" s="1"/>
  <c r="AP12" s="1"/>
  <c r="AP13" s="1"/>
  <c r="AP14" s="1"/>
  <c r="AP15" s="1"/>
  <c r="AP16" s="1"/>
  <c r="AA4"/>
  <c r="AA5" s="1"/>
  <c r="AA6" s="1"/>
  <c r="AA7" s="1"/>
  <c r="AA8" s="1"/>
  <c r="AA9" s="1"/>
  <c r="AA10" s="1"/>
  <c r="AA11" s="1"/>
  <c r="AA12" s="1"/>
  <c r="AA13" s="1"/>
  <c r="AA14" s="1"/>
  <c r="AA15" s="1"/>
  <c r="AA16" s="1"/>
  <c r="AX25" i="18"/>
  <c r="AU25"/>
  <c r="C52" i="237"/>
  <c r="C9" s="1"/>
  <c r="O55"/>
  <c r="E52" i="223"/>
  <c r="E11" s="1"/>
  <c r="O119"/>
  <c r="M82"/>
  <c r="M12" s="1"/>
  <c r="O23" i="237"/>
  <c r="G4" i="15"/>
  <c r="G5" s="1"/>
  <c r="G6" s="1"/>
  <c r="G7" s="1"/>
  <c r="G8" s="1"/>
  <c r="G9" s="1"/>
  <c r="G10" s="1"/>
  <c r="G11" s="1"/>
  <c r="G12" s="1"/>
  <c r="G13" s="1"/>
  <c r="G14" s="1"/>
  <c r="G15" s="1"/>
  <c r="G16" s="1"/>
  <c r="AH4"/>
  <c r="AH5" s="1"/>
  <c r="AH6" s="1"/>
  <c r="AH7" s="1"/>
  <c r="AH8" s="1"/>
  <c r="AH9" s="1"/>
  <c r="AH10" s="1"/>
  <c r="AH11" s="1"/>
  <c r="AH12" s="1"/>
  <c r="AH13" s="1"/>
  <c r="AH14" s="1"/>
  <c r="AH15" s="1"/>
  <c r="AH16" s="1"/>
  <c r="G99" i="237"/>
  <c r="G8" s="1"/>
  <c r="P4" i="15"/>
  <c r="P5" s="1"/>
  <c r="P6" s="1"/>
  <c r="P7" s="1"/>
  <c r="P8" s="1"/>
  <c r="P9" s="1"/>
  <c r="P10" s="1"/>
  <c r="P11" s="1"/>
  <c r="P12" s="1"/>
  <c r="P13" s="1"/>
  <c r="P14" s="1"/>
  <c r="P15" s="1"/>
  <c r="P16" s="1"/>
  <c r="AQ25" i="18"/>
  <c r="L19" i="237"/>
  <c r="L7" s="1"/>
  <c r="X4" i="15"/>
  <c r="X5" s="1"/>
  <c r="X6" s="1"/>
  <c r="X7" s="1"/>
  <c r="X8" s="1"/>
  <c r="X9" s="1"/>
  <c r="X10" s="1"/>
  <c r="X11" s="1"/>
  <c r="X12" s="1"/>
  <c r="X13" s="1"/>
  <c r="X14" s="1"/>
  <c r="X15" s="1"/>
  <c r="X16" s="1"/>
  <c r="L114" i="223"/>
  <c r="L14" s="1"/>
  <c r="J114" i="237"/>
  <c r="J11" s="1"/>
  <c r="O101" i="223"/>
  <c r="O125"/>
  <c r="BH25" i="18"/>
  <c r="BA4" i="15"/>
  <c r="BA5" s="1"/>
  <c r="BA6" s="1"/>
  <c r="BA7" s="1"/>
  <c r="BA8" s="1"/>
  <c r="BA9" s="1"/>
  <c r="BA10" s="1"/>
  <c r="BA11" s="1"/>
  <c r="BA12" s="1"/>
  <c r="BA13" s="1"/>
  <c r="BA14" s="1"/>
  <c r="BA15" s="1"/>
  <c r="BA16" s="1"/>
  <c r="O164" i="237"/>
  <c r="BJ25" i="18"/>
  <c r="O85" i="223"/>
  <c r="M178" i="237"/>
  <c r="M13" s="1"/>
  <c r="O84" i="223"/>
  <c r="AD40" i="1"/>
  <c r="O67" i="223"/>
  <c r="B66"/>
  <c r="B6" s="1"/>
  <c r="O151"/>
  <c r="O61" i="237"/>
  <c r="M144"/>
  <c r="M3" s="1"/>
  <c r="F66" i="223"/>
  <c r="F6" s="1"/>
  <c r="E114"/>
  <c r="E14" s="1"/>
  <c r="BA25" i="18"/>
  <c r="J19" i="237"/>
  <c r="J7" s="1"/>
  <c r="E66" i="223"/>
  <c r="E6" s="1"/>
  <c r="O145"/>
  <c r="B144"/>
  <c r="B7" s="1"/>
  <c r="D82"/>
  <c r="D12" s="1"/>
  <c r="E82"/>
  <c r="E12" s="1"/>
  <c r="O95" i="237"/>
  <c r="T25" i="18"/>
  <c r="M114" i="223"/>
  <c r="M14" s="1"/>
  <c r="O86"/>
  <c r="F52" i="237"/>
  <c r="F9" s="1"/>
  <c r="AT25" i="18"/>
  <c r="O53" i="223"/>
  <c r="B52"/>
  <c r="B11" s="1"/>
  <c r="O127" i="237"/>
  <c r="BD25" i="18"/>
  <c r="J144" i="223"/>
  <c r="J7" s="1"/>
  <c r="O160" i="237"/>
  <c r="B159"/>
  <c r="B4" s="1"/>
  <c r="N99"/>
  <c r="N8" s="1"/>
  <c r="O150" i="223"/>
  <c r="V25" i="18"/>
  <c r="G129" i="223"/>
  <c r="G10" s="1"/>
  <c r="M178"/>
  <c r="M13" s="1"/>
  <c r="O183"/>
  <c r="D99" i="237"/>
  <c r="D8" s="1"/>
  <c r="AD4" i="15"/>
  <c r="AD5" s="1"/>
  <c r="AD6" s="1"/>
  <c r="AD7" s="1"/>
  <c r="AD8" s="1"/>
  <c r="AD9" s="1"/>
  <c r="AD10" s="1"/>
  <c r="AD11" s="1"/>
  <c r="AD12" s="1"/>
  <c r="AD13" s="1"/>
  <c r="AD14" s="1"/>
  <c r="AD15" s="1"/>
  <c r="AD16" s="1"/>
  <c r="O20" i="237"/>
  <c r="B19"/>
  <c r="B7" s="1"/>
  <c r="X25" i="18"/>
  <c r="O33" i="237"/>
  <c r="O155" i="223"/>
  <c r="L178"/>
  <c r="L13" s="1"/>
  <c r="O70"/>
  <c r="K129"/>
  <c r="K10" s="1"/>
  <c r="O118" i="237"/>
  <c r="N25" i="18"/>
  <c r="O40" i="1"/>
  <c r="O29" i="237"/>
  <c r="O76"/>
  <c r="O28" i="223"/>
  <c r="I159" i="237"/>
  <c r="I4" s="1"/>
  <c r="O120" i="223"/>
  <c r="O24"/>
  <c r="D129" i="237"/>
  <c r="D12" s="1"/>
  <c r="AE25" i="18"/>
  <c r="O21" i="237"/>
  <c r="L82" i="223"/>
  <c r="L12" s="1"/>
  <c r="K114"/>
  <c r="K14" s="1"/>
  <c r="O94"/>
  <c r="O153" i="237"/>
  <c r="G178" i="223"/>
  <c r="G13" s="1"/>
  <c r="M159"/>
  <c r="M4" s="1"/>
  <c r="AW4" i="15"/>
  <c r="AW5" s="1"/>
  <c r="AW6" s="1"/>
  <c r="AW7" s="1"/>
  <c r="AW8" s="1"/>
  <c r="AW9" s="1"/>
  <c r="AW10" s="1"/>
  <c r="AW11" s="1"/>
  <c r="AW12" s="1"/>
  <c r="AW13" s="1"/>
  <c r="AW14" s="1"/>
  <c r="AW15" s="1"/>
  <c r="AW16" s="1"/>
  <c r="O26" i="223"/>
  <c r="Y40" i="1"/>
  <c r="O136" i="237"/>
  <c r="I144" i="223"/>
  <c r="I7" s="1"/>
  <c r="O91"/>
  <c r="H114"/>
  <c r="H14" s="1"/>
  <c r="I129"/>
  <c r="I10" s="1"/>
  <c r="AN40" i="1"/>
  <c r="O30" i="223"/>
  <c r="O54"/>
  <c r="G52" i="237"/>
  <c r="G9" s="1"/>
  <c r="J178"/>
  <c r="J13" s="1"/>
  <c r="BB40" i="1"/>
  <c r="G36" i="237"/>
  <c r="G5" s="1"/>
  <c r="O68"/>
  <c r="H52"/>
  <c r="H9" s="1"/>
  <c r="O23" i="223"/>
  <c r="O61"/>
  <c r="BA40" i="1"/>
  <c r="E144" i="237"/>
  <c r="E3" s="1"/>
  <c r="AF40" i="1"/>
  <c r="B36" i="223"/>
  <c r="B8" s="1"/>
  <c r="O37"/>
  <c r="O57" i="237"/>
  <c r="F159"/>
  <c r="F4" s="1"/>
  <c r="H82" i="223"/>
  <c r="H12" s="1"/>
  <c r="O45" i="237"/>
  <c r="F159" i="223"/>
  <c r="F4" s="1"/>
  <c r="O57"/>
  <c r="K178" i="237"/>
  <c r="K13" s="1"/>
  <c r="O55" i="223"/>
  <c r="O75"/>
  <c r="O27" i="237"/>
  <c r="H159" i="223"/>
  <c r="H4" s="1"/>
  <c r="AY25" i="18"/>
  <c r="BC4" i="15"/>
  <c r="BC5" s="1"/>
  <c r="BC6" s="1"/>
  <c r="BC7" s="1"/>
  <c r="BC8" s="1"/>
  <c r="BC9" s="1"/>
  <c r="BC10" s="1"/>
  <c r="BC11" s="1"/>
  <c r="BC12" s="1"/>
  <c r="BC13" s="1"/>
  <c r="BC14" s="1"/>
  <c r="BC15" s="1"/>
  <c r="BC16" s="1"/>
  <c r="E36" i="237"/>
  <c r="E5" s="1"/>
  <c r="BI25" i="18"/>
  <c r="J66" i="237"/>
  <c r="J6" s="1"/>
  <c r="F129"/>
  <c r="F12" s="1"/>
  <c r="L39" i="1"/>
  <c r="L40"/>
  <c r="O167" i="223"/>
  <c r="O92"/>
  <c r="C36" i="237"/>
  <c r="C5" s="1"/>
  <c r="O186" i="223"/>
  <c r="E36"/>
  <c r="E8" s="1"/>
  <c r="F36" i="237"/>
  <c r="F5" s="1"/>
  <c r="Z25" i="18"/>
  <c r="O68" i="223"/>
  <c r="AC25" i="18"/>
  <c r="O24" i="237"/>
  <c r="C19"/>
  <c r="C7" s="1"/>
  <c r="BS4" i="15"/>
  <c r="BS5" s="1"/>
  <c r="BS6" s="1"/>
  <c r="BS7" s="1"/>
  <c r="BS8" s="1"/>
  <c r="BS9" s="1"/>
  <c r="BS10" s="1"/>
  <c r="BS11" s="1"/>
  <c r="BS12" s="1"/>
  <c r="BS13" s="1"/>
  <c r="BS14" s="1"/>
  <c r="BS15" s="1"/>
  <c r="BS16" s="1"/>
  <c r="F129" i="223"/>
  <c r="F10" s="1"/>
  <c r="O126"/>
  <c r="C66"/>
  <c r="C6" s="1"/>
  <c r="AC40" i="1"/>
  <c r="F144" i="223"/>
  <c r="F7" s="1"/>
  <c r="G99"/>
  <c r="G9" s="1"/>
  <c r="D114" i="237"/>
  <c r="D11" s="1"/>
  <c r="M66" i="223"/>
  <c r="M6" s="1"/>
  <c r="O120" i="237"/>
  <c r="AM25" i="18"/>
  <c r="L52" i="223"/>
  <c r="L11" s="1"/>
  <c r="P40" i="1"/>
  <c r="O33" i="223"/>
  <c r="J159" i="237"/>
  <c r="J4" s="1"/>
  <c r="AL25" i="18"/>
  <c r="BH4" i="15"/>
  <c r="BH5" s="1"/>
  <c r="BH6" s="1"/>
  <c r="BH7" s="1"/>
  <c r="BH8" s="1"/>
  <c r="BH9" s="1"/>
  <c r="BH10" s="1"/>
  <c r="BH11" s="1"/>
  <c r="BH12" s="1"/>
  <c r="BH13" s="1"/>
  <c r="BH14" s="1"/>
  <c r="BH15" s="1"/>
  <c r="BH16" s="1"/>
  <c r="H178" i="223"/>
  <c r="H13" s="1"/>
  <c r="BH40" i="1"/>
  <c r="O40" i="223"/>
  <c r="H66" i="237"/>
  <c r="H6" s="1"/>
  <c r="AO25" i="18"/>
  <c r="O133" i="237"/>
  <c r="O71"/>
  <c r="AP40" i="1"/>
  <c r="AA40"/>
  <c r="N52" i="237"/>
  <c r="N9" s="1"/>
  <c r="O127" i="223"/>
  <c r="O62"/>
  <c r="O122"/>
  <c r="D99"/>
  <c r="D9" s="1"/>
  <c r="C129" i="237"/>
  <c r="C12" s="1"/>
  <c r="O90"/>
  <c r="M99"/>
  <c r="M8" s="1"/>
  <c r="M19" i="223"/>
  <c r="M5" s="1"/>
  <c r="O166"/>
  <c r="O43"/>
  <c r="O93"/>
  <c r="H144" i="237"/>
  <c r="H3" s="1"/>
  <c r="J159" i="223"/>
  <c r="J4" s="1"/>
  <c r="L82" i="237"/>
  <c r="L10" s="1"/>
  <c r="C178" i="223"/>
  <c r="C13" s="1"/>
  <c r="AZ40" i="1"/>
  <c r="T4" i="15"/>
  <c r="T5" s="1"/>
  <c r="T6" s="1"/>
  <c r="T7" s="1"/>
  <c r="T8" s="1"/>
  <c r="T9" s="1"/>
  <c r="T10" s="1"/>
  <c r="T11" s="1"/>
  <c r="T12" s="1"/>
  <c r="T13" s="1"/>
  <c r="T14" s="1"/>
  <c r="T15" s="1"/>
  <c r="T16" s="1"/>
  <c r="O147" i="223"/>
  <c r="AQ4" i="15"/>
  <c r="AQ5" s="1"/>
  <c r="AQ6" s="1"/>
  <c r="AQ7" s="1"/>
  <c r="AQ8" s="1"/>
  <c r="AQ9" s="1"/>
  <c r="AQ10" s="1"/>
  <c r="AQ11" s="1"/>
  <c r="AQ12" s="1"/>
  <c r="AQ13" s="1"/>
  <c r="AQ14" s="1"/>
  <c r="AQ15" s="1"/>
  <c r="AQ16" s="1"/>
  <c r="BF25" i="18"/>
  <c r="O169" i="223"/>
  <c r="H19" i="237"/>
  <c r="H7" s="1"/>
  <c r="O58" i="223"/>
  <c r="U4" i="15"/>
  <c r="U5" s="1"/>
  <c r="U6" s="1"/>
  <c r="U7" s="1"/>
  <c r="U8" s="1"/>
  <c r="U9" s="1"/>
  <c r="U10" s="1"/>
  <c r="U11" s="1"/>
  <c r="U12" s="1"/>
  <c r="U13" s="1"/>
  <c r="U14" s="1"/>
  <c r="U15" s="1"/>
  <c r="U16" s="1"/>
  <c r="O56" i="237"/>
  <c r="H114"/>
  <c r="H11" s="1"/>
  <c r="O79"/>
  <c r="N52" i="223"/>
  <c r="N11" s="1"/>
  <c r="BI40" i="1"/>
  <c r="BL40"/>
  <c r="C159" i="237"/>
  <c r="C4" s="1"/>
  <c r="N4" i="15"/>
  <c r="N5" s="1"/>
  <c r="N6" s="1"/>
  <c r="N7" s="1"/>
  <c r="N8" s="1"/>
  <c r="N9" s="1"/>
  <c r="N10" s="1"/>
  <c r="N11" s="1"/>
  <c r="N12" s="1"/>
  <c r="N13" s="1"/>
  <c r="N14" s="1"/>
  <c r="N15" s="1"/>
  <c r="N16" s="1"/>
  <c r="C66" i="237"/>
  <c r="C6" s="1"/>
  <c r="O162" i="223"/>
  <c r="K36" i="237"/>
  <c r="K5" s="1"/>
  <c r="O137" i="223"/>
  <c r="K144" i="237"/>
  <c r="K3" s="1"/>
  <c r="O138"/>
  <c r="B114"/>
  <c r="B11" s="1"/>
  <c r="O115"/>
  <c r="BJ4" i="15"/>
  <c r="BJ5" s="1"/>
  <c r="BJ6" s="1"/>
  <c r="BJ7" s="1"/>
  <c r="BJ8" s="1"/>
  <c r="BJ9" s="1"/>
  <c r="BJ10" s="1"/>
  <c r="BJ11" s="1"/>
  <c r="BJ12" s="1"/>
  <c r="BJ13" s="1"/>
  <c r="BJ14" s="1"/>
  <c r="BJ15" s="1"/>
  <c r="BJ16" s="1"/>
  <c r="AE4"/>
  <c r="AE5" s="1"/>
  <c r="AE6" s="1"/>
  <c r="AE7" s="1"/>
  <c r="AE8" s="1"/>
  <c r="AE9" s="1"/>
  <c r="AE10" s="1"/>
  <c r="AE11" s="1"/>
  <c r="AE12" s="1"/>
  <c r="AE13" s="1"/>
  <c r="AE14" s="1"/>
  <c r="AE15" s="1"/>
  <c r="AE16" s="1"/>
  <c r="D178" i="223"/>
  <c r="D13" s="1"/>
  <c r="O63" i="237"/>
  <c r="BB4" i="15"/>
  <c r="BB5" s="1"/>
  <c r="BB6" s="1"/>
  <c r="BB7" s="1"/>
  <c r="BB8" s="1"/>
  <c r="BB9" s="1"/>
  <c r="BB10" s="1"/>
  <c r="BB11" s="1"/>
  <c r="BB12" s="1"/>
  <c r="BB13" s="1"/>
  <c r="BB14" s="1"/>
  <c r="BB15" s="1"/>
  <c r="BB16" s="1"/>
  <c r="BQ4"/>
  <c r="BQ5" s="1"/>
  <c r="BQ6" s="1"/>
  <c r="BQ7" s="1"/>
  <c r="BQ8" s="1"/>
  <c r="BQ9" s="1"/>
  <c r="BQ10" s="1"/>
  <c r="BQ11" s="1"/>
  <c r="BQ12" s="1"/>
  <c r="BQ13" s="1"/>
  <c r="BQ14" s="1"/>
  <c r="BQ15" s="1"/>
  <c r="BQ16" s="1"/>
  <c r="AM4"/>
  <c r="AM5" s="1"/>
  <c r="AM6" s="1"/>
  <c r="AM7" s="1"/>
  <c r="AM8" s="1"/>
  <c r="AM9" s="1"/>
  <c r="AM10" s="1"/>
  <c r="AM11" s="1"/>
  <c r="AM12" s="1"/>
  <c r="AM13" s="1"/>
  <c r="AM14" s="1"/>
  <c r="AM15" s="1"/>
  <c r="AM16" s="1"/>
  <c r="O163" i="237"/>
  <c r="AY40" i="1"/>
  <c r="I114" i="223"/>
  <c r="I14" s="1"/>
  <c r="AW25" i="18"/>
  <c r="O31" i="223"/>
  <c r="O132"/>
  <c r="G129" i="237"/>
  <c r="G12" s="1"/>
  <c r="J4" i="14"/>
  <c r="I4"/>
  <c r="AV40" i="1"/>
  <c r="O32" i="223"/>
  <c r="BB25" i="18"/>
  <c r="BP4" i="15"/>
  <c r="BP5" s="1"/>
  <c r="BP6" s="1"/>
  <c r="BP7" s="1"/>
  <c r="BP8" s="1"/>
  <c r="BP9" s="1"/>
  <c r="BP10" s="1"/>
  <c r="BP11" s="1"/>
  <c r="BP12" s="1"/>
  <c r="BP13" s="1"/>
  <c r="BP14" s="1"/>
  <c r="BP15" s="1"/>
  <c r="BP16" s="1"/>
  <c r="D144" i="237"/>
  <c r="D3" s="1"/>
  <c r="N66"/>
  <c r="N6" s="1"/>
  <c r="I82"/>
  <c r="I10" s="1"/>
  <c r="O185"/>
  <c r="D159" i="223"/>
  <c r="D4" s="1"/>
  <c r="O136"/>
  <c r="O188"/>
  <c r="O149" i="237"/>
  <c r="O160" i="223"/>
  <c r="B159"/>
  <c r="B4" s="1"/>
  <c r="N66"/>
  <c r="N6" s="1"/>
  <c r="J99"/>
  <c r="J9" s="1"/>
  <c r="D178" i="237"/>
  <c r="D13" s="1"/>
  <c r="AU40" i="1"/>
  <c r="J82" i="223"/>
  <c r="J12" s="1"/>
  <c r="O125" i="237"/>
  <c r="E144" i="223"/>
  <c r="E7" s="1"/>
  <c r="AV4" i="15"/>
  <c r="AV5" s="1"/>
  <c r="AV6" s="1"/>
  <c r="AV7" s="1"/>
  <c r="AV8" s="1"/>
  <c r="AV9" s="1"/>
  <c r="AV10" s="1"/>
  <c r="AV11" s="1"/>
  <c r="AV12" s="1"/>
  <c r="AV13" s="1"/>
  <c r="AV14" s="1"/>
  <c r="AV15" s="1"/>
  <c r="AV16" s="1"/>
  <c r="O134" i="237"/>
  <c r="F114" i="223"/>
  <c r="F14" s="1"/>
  <c r="W25" i="18"/>
  <c r="O116" i="223"/>
  <c r="W40" i="1"/>
  <c r="J144" i="237"/>
  <c r="J3" s="1"/>
  <c r="O79" i="223"/>
  <c r="O118"/>
  <c r="O188" i="237"/>
  <c r="Y4" i="15"/>
  <c r="Y5" s="1"/>
  <c r="Y6" s="1"/>
  <c r="Y7" s="1"/>
  <c r="Y8" s="1"/>
  <c r="Y9" s="1"/>
  <c r="Y10" s="1"/>
  <c r="Y11" s="1"/>
  <c r="Y12" s="1"/>
  <c r="Y13" s="1"/>
  <c r="Y14" s="1"/>
  <c r="Y15" s="1"/>
  <c r="Y16" s="1"/>
  <c r="C36" i="223"/>
  <c r="C8" s="1"/>
  <c r="O132" i="237"/>
  <c r="BK25" i="18"/>
  <c r="B82" i="237"/>
  <c r="B10" s="1"/>
  <c r="O83"/>
  <c r="BV4" i="15"/>
  <c r="BV5" s="1"/>
  <c r="BV6" s="1"/>
  <c r="BV7" s="1"/>
  <c r="BV8" s="1"/>
  <c r="BV9" s="1"/>
  <c r="BV10" s="1"/>
  <c r="BV11" s="1"/>
  <c r="BV12" s="1"/>
  <c r="BV13" s="1"/>
  <c r="BV14" s="1"/>
  <c r="BV15" s="1"/>
  <c r="BV16" s="1"/>
  <c r="O86" i="237"/>
  <c r="O166"/>
  <c r="BN25" i="18"/>
  <c r="O95" i="223"/>
  <c r="D66"/>
  <c r="D6" s="1"/>
  <c r="W4" i="15"/>
  <c r="W5" s="1"/>
  <c r="W6" s="1"/>
  <c r="W7" s="1"/>
  <c r="W8" s="1"/>
  <c r="W9" s="1"/>
  <c r="W10" s="1"/>
  <c r="W11" s="1"/>
  <c r="W12" s="1"/>
  <c r="W13" s="1"/>
  <c r="W14" s="1"/>
  <c r="W15" s="1"/>
  <c r="W16" s="1"/>
  <c r="O186" i="237"/>
  <c r="O182" i="223"/>
  <c r="E159" i="237"/>
  <c r="E4" s="1"/>
  <c r="N178"/>
  <c r="N13" s="1"/>
  <c r="R25" i="18"/>
  <c r="F99" i="223"/>
  <c r="F9" s="1"/>
  <c r="O117" i="237"/>
  <c r="AU4" i="15"/>
  <c r="AU5" s="1"/>
  <c r="AU6" s="1"/>
  <c r="AU7" s="1"/>
  <c r="AU8" s="1"/>
  <c r="AU9" s="1"/>
  <c r="AU10" s="1"/>
  <c r="AU11" s="1"/>
  <c r="AU12" s="1"/>
  <c r="AU13" s="1"/>
  <c r="AU14" s="1"/>
  <c r="AU15" s="1"/>
  <c r="AU16" s="1"/>
  <c r="N19" i="223"/>
  <c r="N5" s="1"/>
  <c r="O59"/>
  <c r="D82" i="237"/>
  <c r="D10" s="1"/>
  <c r="BL4" i="15"/>
  <c r="BL5" s="1"/>
  <c r="BL6" s="1"/>
  <c r="BL7" s="1"/>
  <c r="BL8" s="1"/>
  <c r="BL9" s="1"/>
  <c r="BL10" s="1"/>
  <c r="BL11" s="1"/>
  <c r="BL12" s="1"/>
  <c r="BL13" s="1"/>
  <c r="BL14" s="1"/>
  <c r="BL15" s="1"/>
  <c r="BL16" s="1"/>
  <c r="O133" i="223"/>
  <c r="L36"/>
  <c r="L8" s="1"/>
  <c r="M19" i="237"/>
  <c r="M7" s="1"/>
  <c r="E178" i="223"/>
  <c r="E13" s="1"/>
  <c r="B114"/>
  <c r="B14" s="1"/>
  <c r="O115"/>
  <c r="AO40" i="1"/>
  <c r="BU4" i="15"/>
  <c r="BU5" s="1"/>
  <c r="BU6" s="1"/>
  <c r="BU7" s="1"/>
  <c r="BU8" s="1"/>
  <c r="BU9" s="1"/>
  <c r="BU10" s="1"/>
  <c r="BU11" s="1"/>
  <c r="BU12" s="1"/>
  <c r="BU13" s="1"/>
  <c r="BU14" s="1"/>
  <c r="BU15" s="1"/>
  <c r="BU16" s="1"/>
  <c r="D159" i="237"/>
  <c r="D4" s="1"/>
  <c r="H129"/>
  <c r="H12" s="1"/>
  <c r="Q40" i="1"/>
  <c r="O189" i="223"/>
  <c r="BT4" i="15"/>
  <c r="BT5" s="1"/>
  <c r="BT6" s="1"/>
  <c r="BT7" s="1"/>
  <c r="BT8" s="1"/>
  <c r="BT9" s="1"/>
  <c r="BT10" s="1"/>
  <c r="BT11" s="1"/>
  <c r="BT12" s="1"/>
  <c r="BT13" s="1"/>
  <c r="BT14" s="1"/>
  <c r="BT15" s="1"/>
  <c r="BT16" s="1"/>
  <c r="J114" i="223"/>
  <c r="J14" s="1"/>
  <c r="O187" i="237"/>
  <c r="N99" i="223"/>
  <c r="N9" s="1"/>
  <c r="I114" i="237"/>
  <c r="I11" s="1"/>
  <c r="D66"/>
  <c r="D6" s="1"/>
  <c r="F178" i="223"/>
  <c r="F13" s="1"/>
  <c r="AK4" i="15"/>
  <c r="AK5" s="1"/>
  <c r="AK6" s="1"/>
  <c r="AK7" s="1"/>
  <c r="AK8" s="1"/>
  <c r="AK9" s="1"/>
  <c r="AK10" s="1"/>
  <c r="AK11" s="1"/>
  <c r="AK12" s="1"/>
  <c r="AK13" s="1"/>
  <c r="AK14" s="1"/>
  <c r="AK15" s="1"/>
  <c r="AK16" s="1"/>
  <c r="BN4"/>
  <c r="BN5" s="1"/>
  <c r="BN6" s="1"/>
  <c r="BN7" s="1"/>
  <c r="BN8" s="1"/>
  <c r="BN9" s="1"/>
  <c r="BN10" s="1"/>
  <c r="BN11" s="1"/>
  <c r="BN12" s="1"/>
  <c r="BN13" s="1"/>
  <c r="BN14" s="1"/>
  <c r="BN15" s="1"/>
  <c r="BN16" s="1"/>
  <c r="B178" i="223"/>
  <c r="B13" s="1"/>
  <c r="O179"/>
  <c r="O80" i="237"/>
  <c r="O85"/>
  <c r="O31"/>
  <c r="O72" i="223"/>
  <c r="O89"/>
  <c r="BM4" i="15"/>
  <c r="BM5" s="1"/>
  <c r="BM6" s="1"/>
  <c r="BM7" s="1"/>
  <c r="BM8" s="1"/>
  <c r="BM9" s="1"/>
  <c r="BM10" s="1"/>
  <c r="BM11" s="1"/>
  <c r="BM12" s="1"/>
  <c r="BM13" s="1"/>
  <c r="BM14" s="1"/>
  <c r="BM15" s="1"/>
  <c r="BM16" s="1"/>
  <c r="K4"/>
  <c r="K5" s="1"/>
  <c r="K6" s="1"/>
  <c r="K7" s="1"/>
  <c r="K8" s="1"/>
  <c r="K9" s="1"/>
  <c r="K10" s="1"/>
  <c r="K11" s="1"/>
  <c r="K12" s="1"/>
  <c r="K13" s="1"/>
  <c r="K14" s="1"/>
  <c r="K15" s="1"/>
  <c r="K16" s="1"/>
  <c r="I5" i="14"/>
  <c r="J5"/>
  <c r="AR40" i="1"/>
  <c r="V4" i="15"/>
  <c r="V5" s="1"/>
  <c r="V6" s="1"/>
  <c r="V7" s="1"/>
  <c r="V8" s="1"/>
  <c r="V9" s="1"/>
  <c r="V10" s="1"/>
  <c r="V11" s="1"/>
  <c r="V12" s="1"/>
  <c r="V13" s="1"/>
  <c r="V14" s="1"/>
  <c r="V15" s="1"/>
  <c r="V16" s="1"/>
  <c r="O80" i="223"/>
  <c r="L4" i="15"/>
  <c r="L5" s="1"/>
  <c r="L6" s="1"/>
  <c r="L7" s="1"/>
  <c r="L8" s="1"/>
  <c r="L9" s="1"/>
  <c r="L10" s="1"/>
  <c r="L11" s="1"/>
  <c r="L12" s="1"/>
  <c r="L13" s="1"/>
  <c r="L14" s="1"/>
  <c r="L15" s="1"/>
  <c r="L16" s="1"/>
  <c r="O184" i="237"/>
  <c r="H36"/>
  <c r="H5" s="1"/>
  <c r="O156" i="223"/>
  <c r="BM40" i="1"/>
  <c r="J7" i="14"/>
  <c r="I7"/>
  <c r="P25" i="18"/>
  <c r="I144" i="237"/>
  <c r="I3" s="1"/>
  <c r="D19" i="223"/>
  <c r="D5" s="1"/>
  <c r="H159" i="237"/>
  <c r="H4" s="1"/>
  <c r="N144"/>
  <c r="N3" s="1"/>
  <c r="O20" i="223"/>
  <c r="B19"/>
  <c r="B5" s="1"/>
  <c r="J4" i="15"/>
  <c r="J5" s="1"/>
  <c r="J6" s="1"/>
  <c r="J7" s="1"/>
  <c r="J8" s="1"/>
  <c r="J9" s="1"/>
  <c r="J10" s="1"/>
  <c r="J11" s="1"/>
  <c r="J12" s="1"/>
  <c r="J13" s="1"/>
  <c r="J14" s="1"/>
  <c r="J15" s="1"/>
  <c r="J16" s="1"/>
  <c r="O146" i="237"/>
  <c r="O189"/>
  <c r="N159"/>
  <c r="N4" s="1"/>
  <c r="BO4" i="15"/>
  <c r="BO5" s="1"/>
  <c r="BO6" s="1"/>
  <c r="BO7" s="1"/>
  <c r="BO8" s="1"/>
  <c r="BO9" s="1"/>
  <c r="BO10" s="1"/>
  <c r="BO11" s="1"/>
  <c r="BO12" s="1"/>
  <c r="BO13" s="1"/>
  <c r="BO14" s="1"/>
  <c r="BO15" s="1"/>
  <c r="BO16" s="1"/>
  <c r="BK40" i="1"/>
  <c r="D19" i="237"/>
  <c r="D7" s="1"/>
  <c r="M36" i="223"/>
  <c r="M8" s="1"/>
  <c r="O42" i="237"/>
  <c r="H54" i="14"/>
  <c r="A44"/>
  <c r="P63"/>
  <c r="P39"/>
  <c r="P45"/>
  <c r="P54"/>
  <c r="P37"/>
  <c r="P62"/>
  <c r="P55"/>
  <c r="P29"/>
  <c r="P17"/>
  <c r="P41"/>
  <c r="P10"/>
  <c r="P46"/>
  <c r="P16"/>
  <c r="P47"/>
  <c r="P11"/>
  <c r="P35"/>
  <c r="P30"/>
  <c r="P34"/>
  <c r="P43"/>
  <c r="P31"/>
  <c r="P23"/>
  <c r="P51"/>
  <c r="P12"/>
  <c r="P22"/>
  <c r="P8"/>
  <c r="P21"/>
  <c r="P9"/>
  <c r="P56"/>
  <c r="P25"/>
  <c r="P53"/>
  <c r="P19"/>
  <c r="P38"/>
  <c r="P57"/>
  <c r="P49"/>
  <c r="P61"/>
  <c r="P50"/>
  <c r="P44"/>
  <c r="P24"/>
  <c r="P18"/>
  <c r="P32"/>
  <c r="P26"/>
  <c r="P14"/>
  <c r="P42"/>
  <c r="P13"/>
  <c r="P60"/>
  <c r="P40"/>
  <c r="P28"/>
  <c r="P48"/>
  <c r="K41" i="1"/>
  <c r="K42"/>
  <c r="X77" i="18"/>
  <c r="L44" i="14"/>
  <c r="K44"/>
  <c r="L8"/>
  <c r="AN74" i="18"/>
  <c r="O16" i="14"/>
  <c r="O63"/>
  <c r="N24"/>
  <c r="M24"/>
  <c r="M21"/>
  <c r="N21"/>
  <c r="N47"/>
  <c r="M39"/>
  <c r="O18"/>
  <c r="N9"/>
  <c r="L11"/>
  <c r="N11"/>
  <c r="K45"/>
  <c r="K32"/>
  <c r="L56"/>
  <c r="K35"/>
  <c r="K54"/>
  <c r="M54"/>
  <c r="O26"/>
  <c r="N25"/>
  <c r="L25"/>
  <c r="L30"/>
  <c r="O37"/>
  <c r="L37"/>
  <c r="M14"/>
  <c r="O53"/>
  <c r="M53"/>
  <c r="K34"/>
  <c r="O62"/>
  <c r="N42"/>
  <c r="M42"/>
  <c r="L19"/>
  <c r="K19"/>
  <c r="K43"/>
  <c r="N55"/>
  <c r="M13"/>
  <c r="M38"/>
  <c r="L31"/>
  <c r="K31"/>
  <c r="M29"/>
  <c r="N29"/>
  <c r="K60"/>
  <c r="N57"/>
  <c r="K23"/>
  <c r="K17"/>
  <c r="M40"/>
  <c r="O40"/>
  <c r="L49"/>
  <c r="M51"/>
  <c r="M41"/>
  <c r="L28"/>
  <c r="N61"/>
  <c r="K61"/>
  <c r="M12"/>
  <c r="C30"/>
  <c r="L10"/>
  <c r="K48"/>
  <c r="K50"/>
  <c r="L22"/>
  <c r="N46"/>
  <c r="L46"/>
  <c r="N44"/>
  <c r="O8"/>
  <c r="K16"/>
  <c r="K63"/>
  <c r="N63"/>
  <c r="O24"/>
  <c r="C25" i="18"/>
  <c r="O21" i="14"/>
  <c r="L47"/>
  <c r="K39"/>
  <c r="N39"/>
  <c r="M18"/>
  <c r="M9"/>
  <c r="L9"/>
  <c r="M11"/>
  <c r="N45"/>
  <c r="M32"/>
  <c r="K56"/>
  <c r="M56"/>
  <c r="L35"/>
  <c r="N35"/>
  <c r="L54"/>
  <c r="L26"/>
  <c r="N26"/>
  <c r="O25"/>
  <c r="K30"/>
  <c r="K37"/>
  <c r="N14"/>
  <c r="L14"/>
  <c r="K53"/>
  <c r="N34"/>
  <c r="L62"/>
  <c r="O42"/>
  <c r="M19"/>
  <c r="O43"/>
  <c r="L55"/>
  <c r="O13"/>
  <c r="L38"/>
  <c r="K38"/>
  <c r="M31"/>
  <c r="K29"/>
  <c r="M60"/>
  <c r="O57"/>
  <c r="M57"/>
  <c r="L23"/>
  <c r="L17"/>
  <c r="L40"/>
  <c r="M49"/>
  <c r="K49"/>
  <c r="O51"/>
  <c r="L51"/>
  <c r="O41"/>
  <c r="N41"/>
  <c r="N28"/>
  <c r="M61"/>
  <c r="K12"/>
  <c r="K10"/>
  <c r="M48"/>
  <c r="L48"/>
  <c r="C61"/>
  <c r="N50"/>
  <c r="K22"/>
  <c r="O22"/>
  <c r="M46"/>
  <c r="M22"/>
  <c r="I19" i="15"/>
  <c r="K6" i="14"/>
  <c r="B53" i="18"/>
  <c r="B68"/>
  <c r="B94"/>
  <c r="C92"/>
  <c r="O44" i="14"/>
  <c r="M8"/>
  <c r="N8"/>
  <c r="L16"/>
  <c r="L63"/>
  <c r="K24"/>
  <c r="BI76" i="18"/>
  <c r="B76" s="1"/>
  <c r="AW50"/>
  <c r="B50" s="1"/>
  <c r="K21" i="14"/>
  <c r="M47"/>
  <c r="O39"/>
  <c r="N18"/>
  <c r="L18"/>
  <c r="K9"/>
  <c r="O11"/>
  <c r="O45"/>
  <c r="O32"/>
  <c r="L32"/>
  <c r="N56"/>
  <c r="M35"/>
  <c r="O54"/>
  <c r="K26"/>
  <c r="K25"/>
  <c r="N30"/>
  <c r="N37"/>
  <c r="O14"/>
  <c r="L53"/>
  <c r="L34"/>
  <c r="K62"/>
  <c r="N62"/>
  <c r="K42"/>
  <c r="O19"/>
  <c r="N43"/>
  <c r="L43"/>
  <c r="K55"/>
  <c r="M55"/>
  <c r="N13"/>
  <c r="O38"/>
  <c r="N31"/>
  <c r="O29"/>
  <c r="N60"/>
  <c r="L57"/>
  <c r="N23"/>
  <c r="M17"/>
  <c r="N40"/>
  <c r="N49"/>
  <c r="K51"/>
  <c r="L41"/>
  <c r="K28"/>
  <c r="O28"/>
  <c r="O61"/>
  <c r="L12"/>
  <c r="N10"/>
  <c r="O10"/>
  <c r="N48"/>
  <c r="B81" i="18"/>
  <c r="B95"/>
  <c r="B96"/>
  <c r="B67"/>
  <c r="B66"/>
  <c r="B74"/>
  <c r="C64"/>
  <c r="M44" i="14"/>
  <c r="K8"/>
  <c r="C87" i="18"/>
  <c r="M16" i="14"/>
  <c r="N16"/>
  <c r="M63"/>
  <c r="L24"/>
  <c r="L21"/>
  <c r="O47"/>
  <c r="K47"/>
  <c r="L39"/>
  <c r="K18"/>
  <c r="O9"/>
  <c r="K11"/>
  <c r="L45"/>
  <c r="M45"/>
  <c r="N32"/>
  <c r="O56"/>
  <c r="O35"/>
  <c r="N54"/>
  <c r="M26"/>
  <c r="M25"/>
  <c r="O30"/>
  <c r="M30"/>
  <c r="M37"/>
  <c r="K14"/>
  <c r="C77" i="18"/>
  <c r="N53" i="14"/>
  <c r="M34"/>
  <c r="O34"/>
  <c r="M62"/>
  <c r="L42"/>
  <c r="N19"/>
  <c r="M43"/>
  <c r="O55"/>
  <c r="K13"/>
  <c r="L13"/>
  <c r="N38"/>
  <c r="O31"/>
  <c r="L29"/>
  <c r="O60"/>
  <c r="L60"/>
  <c r="K57"/>
  <c r="M23"/>
  <c r="O23"/>
  <c r="N17"/>
  <c r="O17"/>
  <c r="K40"/>
  <c r="O49"/>
  <c r="N51"/>
  <c r="K41"/>
  <c r="M28"/>
  <c r="L61"/>
  <c r="N12"/>
  <c r="O12"/>
  <c r="M10"/>
  <c r="O48"/>
  <c r="O50"/>
  <c r="N22"/>
  <c r="O46"/>
  <c r="B33" i="185"/>
  <c r="L50" i="14"/>
  <c r="M50"/>
  <c r="K46"/>
  <c r="B38" i="18"/>
  <c r="B61"/>
  <c r="B82"/>
  <c r="B70"/>
  <c r="B85"/>
  <c r="B55"/>
  <c r="B87"/>
  <c r="B60"/>
  <c r="B78"/>
  <c r="B57"/>
  <c r="B56"/>
  <c r="B58"/>
  <c r="B49"/>
  <c r="B79"/>
  <c r="B43"/>
  <c r="B40"/>
  <c r="B45"/>
  <c r="B46"/>
  <c r="B93"/>
  <c r="B42"/>
  <c r="B71"/>
  <c r="B47"/>
  <c r="B92"/>
  <c r="B69"/>
  <c r="B88"/>
  <c r="B52"/>
  <c r="B48"/>
  <c r="B65"/>
  <c r="B64"/>
  <c r="B91"/>
  <c r="B54"/>
  <c r="B89"/>
  <c r="B84"/>
  <c r="B86"/>
  <c r="B73"/>
  <c r="B72"/>
  <c r="B90"/>
  <c r="B59"/>
  <c r="B97"/>
  <c r="B80"/>
  <c r="B75"/>
  <c r="B63"/>
  <c r="B39"/>
  <c r="B77"/>
  <c r="B62"/>
  <c r="B44"/>
  <c r="B83"/>
  <c r="B51"/>
  <c r="A43"/>
  <c r="C34"/>
  <c r="A42"/>
  <c r="N14" i="237" l="1"/>
  <c r="O10"/>
  <c r="O12"/>
  <c r="J14"/>
  <c r="A34" i="185"/>
  <c r="A35" s="1"/>
  <c r="B14" i="237"/>
  <c r="O7"/>
  <c r="O9"/>
  <c r="O4"/>
  <c r="E3" i="223"/>
  <c r="H3"/>
  <c r="F14" i="237"/>
  <c r="O8" i="223"/>
  <c r="O4"/>
  <c r="M3"/>
  <c r="O5"/>
  <c r="D3"/>
  <c r="O13" i="237"/>
  <c r="H14"/>
  <c r="O5"/>
  <c r="O6"/>
  <c r="J3" i="223"/>
  <c r="G14" i="237"/>
  <c r="M14"/>
  <c r="A44" i="18"/>
  <c r="J46" i="14"/>
  <c r="I46"/>
  <c r="I41"/>
  <c r="J41"/>
  <c r="I40"/>
  <c r="J40"/>
  <c r="I57"/>
  <c r="J57"/>
  <c r="J13"/>
  <c r="I13"/>
  <c r="J14"/>
  <c r="I14"/>
  <c r="I11"/>
  <c r="J11"/>
  <c r="J18"/>
  <c r="I18"/>
  <c r="I47"/>
  <c r="J47"/>
  <c r="I8"/>
  <c r="J8"/>
  <c r="I28"/>
  <c r="J28"/>
  <c r="J51"/>
  <c r="I51"/>
  <c r="I55"/>
  <c r="J55"/>
  <c r="J42"/>
  <c r="I42"/>
  <c r="J62"/>
  <c r="I62"/>
  <c r="I25"/>
  <c r="J25"/>
  <c r="I26"/>
  <c r="J26"/>
  <c r="I9"/>
  <c r="J9"/>
  <c r="I21"/>
  <c r="J21"/>
  <c r="J24"/>
  <c r="I24"/>
  <c r="I6"/>
  <c r="J6"/>
  <c r="I4" i="15"/>
  <c r="I5" s="1"/>
  <c r="I6" s="1"/>
  <c r="I7" s="1"/>
  <c r="I8" s="1"/>
  <c r="I9" s="1"/>
  <c r="I10" s="1"/>
  <c r="I11" s="1"/>
  <c r="I12" s="1"/>
  <c r="I13" s="1"/>
  <c r="I14" s="1"/>
  <c r="I15" s="1"/>
  <c r="I16" s="1"/>
  <c r="I22" i="14"/>
  <c r="J22"/>
  <c r="J10"/>
  <c r="I10"/>
  <c r="J12"/>
  <c r="I12"/>
  <c r="I49"/>
  <c r="J49"/>
  <c r="I29"/>
  <c r="J29"/>
  <c r="I38"/>
  <c r="J38"/>
  <c r="J53"/>
  <c r="I53"/>
  <c r="J37"/>
  <c r="I37"/>
  <c r="J30"/>
  <c r="I30"/>
  <c r="I56"/>
  <c r="J56"/>
  <c r="I39"/>
  <c r="J39"/>
  <c r="I63"/>
  <c r="J63"/>
  <c r="I16"/>
  <c r="J16"/>
  <c r="I50"/>
  <c r="J50"/>
  <c r="J48"/>
  <c r="I48"/>
  <c r="I61"/>
  <c r="J61"/>
  <c r="I17"/>
  <c r="J17"/>
  <c r="J23"/>
  <c r="I23"/>
  <c r="J60"/>
  <c r="I60"/>
  <c r="I31"/>
  <c r="J31"/>
  <c r="I43"/>
  <c r="J43"/>
  <c r="I19"/>
  <c r="J19"/>
  <c r="I34"/>
  <c r="J34"/>
  <c r="J54"/>
  <c r="I54"/>
  <c r="J35"/>
  <c r="I35"/>
  <c r="I32"/>
  <c r="J32"/>
  <c r="J45"/>
  <c r="I45"/>
  <c r="J44"/>
  <c r="I44"/>
  <c r="D14" i="237"/>
  <c r="O14" i="223"/>
  <c r="O9"/>
  <c r="K3"/>
  <c r="O11" i="237"/>
  <c r="E14"/>
  <c r="O11" i="223"/>
  <c r="O8" i="237"/>
  <c r="I3" i="223"/>
  <c r="L14" i="237"/>
  <c r="O10" i="223"/>
  <c r="O12"/>
  <c r="B3"/>
  <c r="G3"/>
  <c r="L3"/>
  <c r="O3" i="237"/>
  <c r="I14"/>
  <c r="F3" i="223"/>
  <c r="O13"/>
  <c r="O6"/>
  <c r="K14" i="237"/>
  <c r="O7" i="223"/>
  <c r="C14" i="237"/>
  <c r="C3" i="223"/>
  <c r="N3"/>
  <c r="A38" i="14"/>
  <c r="H44"/>
  <c r="B34" i="18"/>
  <c r="B34" i="185"/>
  <c r="O14" i="237" l="1"/>
  <c r="O3" i="223"/>
  <c r="A36" i="185"/>
  <c r="H38" i="14"/>
  <c r="A62"/>
  <c r="B35" i="185"/>
  <c r="A37" l="1"/>
  <c r="H62" i="14"/>
  <c r="A55"/>
  <c r="B36" i="185"/>
  <c r="A38" l="1"/>
  <c r="H55" i="14"/>
  <c r="B37" i="185"/>
  <c r="A39" l="1"/>
  <c r="A16" i="14"/>
  <c r="B38" i="185"/>
  <c r="A40" l="1"/>
  <c r="A45" i="14"/>
  <c r="H16"/>
  <c r="B39" i="185"/>
  <c r="A41" l="1"/>
  <c r="H45" i="14"/>
  <c r="A39"/>
  <c r="B40" i="185"/>
  <c r="A42" l="1"/>
  <c r="A14" i="14"/>
  <c r="H39"/>
  <c r="B41" i="185"/>
  <c r="A43" l="1"/>
  <c r="H14" i="14"/>
  <c r="B42" i="185"/>
  <c r="B43"/>
  <c r="A17" i="14" l="1"/>
  <c r="H17" l="1"/>
  <c r="A28"/>
  <c r="H28" l="1"/>
  <c r="A9"/>
  <c r="A56" l="1"/>
  <c r="H9"/>
  <c r="H56" l="1"/>
  <c r="A49" l="1"/>
  <c r="A10" l="1"/>
  <c r="H49"/>
  <c r="H10" l="1"/>
  <c r="A29"/>
  <c r="H29" l="1"/>
  <c r="A46"/>
  <c r="A61" l="1"/>
  <c r="H46"/>
  <c r="A50" l="1"/>
  <c r="H61"/>
  <c r="H50" l="1"/>
  <c r="A34" l="1"/>
  <c r="H34" l="1"/>
  <c r="A40"/>
  <c r="A60" l="1"/>
  <c r="H40"/>
  <c r="H60" l="1"/>
  <c r="A11"/>
  <c r="H11" l="1"/>
  <c r="A30"/>
  <c r="A18" l="1"/>
  <c r="H30"/>
  <c r="H18" l="1"/>
  <c r="A57"/>
  <c r="A58" s="1"/>
  <c r="H58" s="1"/>
  <c r="A31" l="1"/>
  <c r="H57"/>
  <c r="A41" l="1"/>
  <c r="H31"/>
  <c r="H41" l="1"/>
  <c r="A42"/>
  <c r="H42" l="1"/>
  <c r="A21"/>
  <c r="H21" l="1"/>
  <c r="A32"/>
  <c r="A33" s="1"/>
  <c r="H33" s="1"/>
  <c r="H32" l="1"/>
  <c r="A35"/>
  <c r="A36" s="1"/>
  <c r="H36" s="1"/>
  <c r="H35" l="1"/>
  <c r="A8"/>
  <c r="H8" l="1"/>
  <c r="A19"/>
  <c r="A15" s="1"/>
  <c r="H15" s="1"/>
  <c r="H19" l="1"/>
  <c r="A47"/>
  <c r="H47" l="1"/>
  <c r="A12"/>
  <c r="H12" l="1"/>
  <c r="A51"/>
  <c r="H51" l="1"/>
  <c r="A59"/>
  <c r="H59" l="1"/>
  <c r="A48"/>
  <c r="A52" s="1"/>
  <c r="H52" s="1"/>
  <c r="H48" l="1"/>
  <c r="A20" l="1"/>
  <c r="H20" l="1"/>
  <c r="A23"/>
  <c r="A24" s="1"/>
  <c r="H24" l="1"/>
  <c r="A25"/>
  <c r="H23"/>
  <c r="A26" l="1"/>
  <c r="H25"/>
  <c r="A27" l="1"/>
  <c r="H27" s="1"/>
  <c r="H26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22" authorId="1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<sst xmlns="http://schemas.openxmlformats.org/spreadsheetml/2006/main" count="4635" uniqueCount="322">
  <si>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</si>
  <si>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</si>
  <si>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</si>
  <si>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</si>
  <si>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</si>
  <si>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</si>
  <si>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</si>
  <si>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</si>
  <si>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</si>
  <si>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</si>
  <si>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</si>
  <si>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</si>
  <si>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</si>
  <si>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</si>
  <si>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</si>
  <si>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</si>
  <si>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</si>
  <si>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</si>
  <si>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</si>
  <si>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</si>
  <si>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</si>
  <si>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</si>
  <si>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</si>
  <si>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</si>
  <si>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</si>
  <si>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</si>
  <si>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</si>
  <si>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</si>
  <si>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</si>
  <si>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</si>
  <si>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</si>
  <si>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</si>
  <si>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</si>
  <si>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</si>
  <si>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</si>
  <si>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</si>
  <si>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</si>
  <si>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</si>
  <si>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</si>
  <si>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</si>
  <si>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</si>
  <si>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</si>
  <si>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</si>
  <si>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</si>
  <si>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</si>
  <si>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Mean</t>
  </si>
  <si>
    <t>Median</t>
  </si>
  <si>
    <t>Mode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</si>
  <si>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</si>
  <si>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</si>
  <si>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</si>
  <si>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</si>
  <si>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</si>
  <si>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</si>
  <si>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</si>
  <si>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</si>
  <si>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</si>
  <si>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</si>
  <si>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</si>
  <si>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</si>
  <si>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</si>
  <si>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</si>
  <si>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</si>
  <si>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</si>
  <si>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</si>
  <si>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</si>
  <si>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</si>
  <si>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</si>
  <si>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</si>
  <si>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</si>
  <si>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</si>
  <si>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</si>
  <si>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</si>
  <si>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</si>
  <si>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</si>
  <si>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</si>
  <si>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</si>
  <si>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</si>
  <si>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</si>
  <si>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</si>
  <si>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</si>
  <si>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</si>
  <si>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</si>
  <si>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</si>
  <si>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</si>
  <si>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</si>
  <si>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</si>
  <si>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</si>
  <si>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</si>
  <si>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</si>
  <si>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</si>
  <si>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</si>
  <si>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</si>
  <si>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</si>
  <si>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</si>
  <si>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</si>
  <si>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</si>
  <si>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</si>
  <si>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</si>
  <si>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</si>
  <si>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</si>
  <si>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</si>
  <si>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</si>
  <si>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</si>
  <si>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</si>
  <si>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</si>
  <si>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</si>
  <si>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</si>
  <si>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</si>
  <si>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</si>
  <si>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</si>
  <si>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</si>
  <si>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</si>
  <si>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</si>
  <si>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</si>
  <si>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</si>
  <si>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</si>
  <si>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</si>
  <si>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</si>
  <si>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</si>
  <si>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</si>
  <si>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</si>
  <si>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</si>
  <si>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</si>
  <si>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</si>
  <si>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Hendrick, Matt R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</si>
  <si>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</si>
  <si>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</si>
  <si>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</si>
  <si>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</si>
  <si>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</si>
  <si>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</si>
  <si>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Penrose, Tim Remote</t>
  </si>
  <si>
    <t>Ferguson, Scott Remote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</si>
  <si>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</si>
  <si>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</si>
  <si>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</si>
  <si>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</si>
  <si>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</si>
  <si>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</si>
  <si>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</si>
  <si>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</si>
  <si>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</si>
  <si>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</si>
  <si>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</si>
  <si>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</si>
  <si>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</si>
  <si>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</si>
  <si>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</si>
  <si>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</si>
  <si>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</si>
  <si>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</si>
  <si>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</si>
  <si>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</si>
  <si>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</si>
  <si>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</si>
  <si>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</si>
  <si>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</si>
  <si>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</si>
  <si>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</si>
  <si>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</si>
  <si>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</si>
  <si>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</si>
  <si>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</si>
  <si>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</si>
  <si>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</si>
  <si>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</si>
  <si>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</si>
  <si>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</si>
  <si>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</si>
  <si>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</si>
  <si>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</si>
  <si>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</si>
  <si>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</si>
  <si>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</si>
  <si>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</si>
  <si>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</si>
  <si>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</si>
  <si>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</si>
  <si>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</si>
  <si>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</si>
  <si>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</si>
  <si>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</si>
  <si>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</si>
  <si>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</si>
  <si>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</si>
  <si>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</si>
  <si>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</si>
  <si>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</si>
  <si>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</si>
  <si>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</si>
  <si>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</si>
  <si>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</si>
  <si>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</si>
  <si>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</si>
  <si>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</si>
  <si>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</si>
  <si>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</si>
  <si>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</si>
  <si>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</si>
  <si>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</si>
  <si>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</si>
  <si>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</si>
  <si>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</si>
  <si>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</si>
  <si>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</si>
  <si>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</si>
  <si>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</si>
  <si>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</si>
  <si>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</si>
  <si>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</si>
  <si>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</si>
  <si>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</si>
  <si>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</si>
  <si>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</si>
  <si>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</si>
  <si>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</si>
  <si>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</si>
  <si>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</si>
  <si>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</si>
  <si>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</si>
  <si>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</si>
  <si>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</si>
  <si>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</si>
  <si>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</si>
  <si>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</si>
  <si>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</si>
  <si>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</si>
  <si>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</si>
  <si>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</si>
  <si>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</si>
  <si>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</si>
  <si>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</si>
  <si>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</si>
  <si>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</si>
  <si>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</si>
  <si>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</si>
  <si>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</si>
  <si>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</si>
  <si>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</si>
  <si>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</si>
  <si>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</si>
  <si>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</si>
  <si>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</si>
  <si>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</si>
  <si>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</si>
  <si>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</si>
  <si>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</si>
  <si>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</si>
  <si>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</si>
  <si>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</si>
  <si>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</si>
  <si>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</si>
  <si>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</si>
  <si>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</si>
  <si>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</si>
  <si>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</si>
  <si>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</si>
  <si>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</si>
  <si>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</si>
  <si>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</si>
  <si>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</si>
  <si>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</si>
  <si>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</si>
  <si>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</si>
  <si>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Steel, Van Remote</t>
  </si>
  <si>
    <t>White, Jarred</t>
  </si>
  <si>
    <t>James, Larry Remote</t>
  </si>
  <si>
    <t>Holden, Brent Remote</t>
  </si>
  <si>
    <t>Powell, LaMar</t>
  </si>
  <si>
    <t>South Alabama</t>
  </si>
  <si>
    <t>Fonville, Chris</t>
  </si>
  <si>
    <t>Moore, Kevin B</t>
  </si>
  <si>
    <t>BYU</t>
  </si>
  <si>
    <t>Sapp, Carl G</t>
  </si>
  <si>
    <t>Sams, David</t>
  </si>
  <si>
    <t>Pacific 12</t>
  </si>
  <si>
    <t>Desing, Scott M</t>
  </si>
  <si>
    <t>Neill, Charles H</t>
  </si>
  <si>
    <t>Winburn, Steve A</t>
  </si>
  <si>
    <t>Young, Kenneth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</si>
  <si>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</si>
  <si>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</si>
  <si>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</si>
  <si>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</si>
  <si>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</si>
  <si>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</si>
  <si>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</si>
  <si>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Holley, Jeremy Remote</t>
  </si>
  <si>
    <t>Nguyen, Thai Remote</t>
  </si>
  <si>
    <t>Nance, Rob Remote</t>
  </si>
  <si>
    <t>Marsh, Alexander Remote</t>
  </si>
  <si>
    <t>All Participants</t>
  </si>
  <si>
    <t>Cut &amp; Paste from here for all poolers:</t>
  </si>
  <si>
    <t>Beasley, Tate</t>
  </si>
  <si>
    <t>Beckwith, Greg</t>
  </si>
  <si>
    <t>Warren, Todd Remote</t>
  </si>
  <si>
    <t>Gilmer, Justin T</t>
  </si>
  <si>
    <t>Mccoy, William M</t>
  </si>
  <si>
    <t>Stonecypher, David</t>
  </si>
  <si>
    <t>Locklear, Dave Remote</t>
  </si>
  <si>
    <t>Barker, Christopher A</t>
  </si>
  <si>
    <t>Appalachian State</t>
  </si>
  <si>
    <t>Georgia Southern</t>
  </si>
  <si>
    <t>Desetto, Daniel</t>
  </si>
  <si>
    <t>Carroll, Adam</t>
  </si>
  <si>
    <t>Delehanty, Kyle T</t>
  </si>
  <si>
    <t>Desetto, Thomas Remote</t>
  </si>
  <si>
    <t>Inabinet, Gregory</t>
  </si>
  <si>
    <t>Johnson, Creed D</t>
  </si>
  <si>
    <t>Montanez, Johanna</t>
  </si>
  <si>
    <t>Murdaugh, Stephen K</t>
  </si>
  <si>
    <t>Paul, Wilmaison</t>
  </si>
  <si>
    <t>Robbins, Thomas D</t>
  </si>
  <si>
    <t>x</t>
  </si>
  <si>
    <t>Daffron, Christopher</t>
  </si>
  <si>
    <t>Neeley, Amber Remote</t>
  </si>
  <si>
    <t>Neeley, Michael Remote</t>
  </si>
  <si>
    <t>Boykin, Jerome W</t>
  </si>
  <si>
    <t>Drebin, James</t>
  </si>
  <si>
    <t>Staub, Ryan</t>
  </si>
  <si>
    <t>Warren, Jason</t>
  </si>
</sst>
</file>

<file path=xl/styles.xml><?xml version="1.0" encoding="utf-8"?>
<styleSheet xmlns="http://schemas.openxmlformats.org/spreadsheetml/2006/main">
  <numFmts count="4">
    <numFmt numFmtId="164" formatCode="0.0%"/>
    <numFmt numFmtId="165" formatCode="\+0;\-0;0"/>
    <numFmt numFmtId="166" formatCode="&quot;Mr &quot;\ 0.0%"/>
    <numFmt numFmtId="167" formatCode="\+0;[Red]0"/>
  </numFmts>
  <fonts count="25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0" xfId="0" applyNumberFormat="1" applyFill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4">
    <cellStyle name="Normal" xfId="0" builtinId="0"/>
    <cellStyle name="Normal 2" xfId="2"/>
    <cellStyle name="Normal 3" xfId="3"/>
    <cellStyle name="Percent" xfId="1" builtinId="5"/>
  </cellStyles>
  <dxfs count="25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22"/>
          <c:h val="0.95414270102069632"/>
        </c:manualLayout>
      </c:layout>
      <c:lineChart>
        <c:grouping val="standard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</c:numCache>
            </c:numRef>
          </c:val>
        </c:ser>
        <c:ser>
          <c:idx val="4"/>
          <c:order val="3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5"/>
          <c:order val="4"/>
          <c:tx>
            <c:strRef>
              <c:f>Chart!$L$2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-6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</c:ser>
        <c:ser>
          <c:idx val="6"/>
          <c:order val="5"/>
          <c:tx>
            <c:strRef>
              <c:f>Chart!$M$2</c:f>
              <c:strCache>
                <c:ptCount val="1"/>
                <c:pt idx="0">
                  <c:v>Beasley, Tate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</c:ser>
        <c:ser>
          <c:idx val="7"/>
          <c:order val="6"/>
          <c:tx>
            <c:strRef>
              <c:f>Chart!$N$2</c:f>
              <c:strCache>
                <c:ptCount val="1"/>
                <c:pt idx="0">
                  <c:v>Beckwith, Greg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</c:ser>
        <c:ser>
          <c:idx val="8"/>
          <c:order val="7"/>
          <c:tx>
            <c:strRef>
              <c:f>Chart!$O$2</c:f>
              <c:strCache>
                <c:ptCount val="1"/>
                <c:pt idx="0">
                  <c:v>Boykin, Jerome W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-7</c:v>
                </c:pt>
                <c:pt idx="4">
                  <c:v>-8</c:v>
                </c:pt>
                <c:pt idx="5">
                  <c:v>-9</c:v>
                </c:pt>
                <c:pt idx="6">
                  <c:v>-13</c:v>
                </c:pt>
                <c:pt idx="7">
                  <c:v>-13</c:v>
                </c:pt>
                <c:pt idx="8">
                  <c:v>-13</c:v>
                </c:pt>
                <c:pt idx="9">
                  <c:v>-13</c:v>
                </c:pt>
                <c:pt idx="10">
                  <c:v>-13</c:v>
                </c:pt>
                <c:pt idx="11">
                  <c:v>-13</c:v>
                </c:pt>
                <c:pt idx="12">
                  <c:v>-13</c:v>
                </c:pt>
                <c:pt idx="13">
                  <c:v>-13</c:v>
                </c:pt>
              </c:numCache>
            </c:numRef>
          </c:val>
        </c:ser>
        <c:ser>
          <c:idx val="9"/>
          <c:order val="8"/>
          <c:tx>
            <c:strRef>
              <c:f>Chart!$P$2</c:f>
              <c:strCache>
                <c:ptCount val="1"/>
                <c:pt idx="0">
                  <c:v>Carroll, Adam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</c:ser>
        <c:ser>
          <c:idx val="10"/>
          <c:order val="9"/>
          <c:tx>
            <c:strRef>
              <c:f>Chart!$Q$2</c:f>
              <c:strCache>
                <c:ptCount val="1"/>
                <c:pt idx="0">
                  <c:v>Daffron, Christopher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-7</c:v>
                </c:pt>
                <c:pt idx="4">
                  <c:v>-7</c:v>
                </c:pt>
                <c:pt idx="5">
                  <c:v>-6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</c:ser>
        <c:ser>
          <c:idx val="11"/>
          <c:order val="10"/>
          <c:tx>
            <c:strRef>
              <c:f>Chart!$R$2</c:f>
              <c:strCache>
                <c:ptCount val="1"/>
                <c:pt idx="0">
                  <c:v>Delehanty, Kyle T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-5</c:v>
                </c:pt>
                <c:pt idx="3">
                  <c:v>-4</c:v>
                </c:pt>
                <c:pt idx="4">
                  <c:v>-2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</c:ser>
        <c:ser>
          <c:idx val="12"/>
          <c:order val="11"/>
          <c:tx>
            <c:strRef>
              <c:f>Chart!$S$2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-2</c:v>
                </c:pt>
                <c:pt idx="5">
                  <c:v>-1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</c:ser>
        <c:ser>
          <c:idx val="13"/>
          <c:order val="12"/>
          <c:tx>
            <c:strRef>
              <c:f>Chart!$T$2</c:f>
              <c:strCache>
                <c:ptCount val="1"/>
                <c:pt idx="0">
                  <c:v>Desetto, Thomas Remote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-4</c:v>
                </c:pt>
                <c:pt idx="4">
                  <c:v>-7</c:v>
                </c:pt>
                <c:pt idx="5">
                  <c:v>-7</c:v>
                </c:pt>
                <c:pt idx="6">
                  <c:v>-12</c:v>
                </c:pt>
                <c:pt idx="7">
                  <c:v>-12</c:v>
                </c:pt>
                <c:pt idx="8">
                  <c:v>-12</c:v>
                </c:pt>
                <c:pt idx="9">
                  <c:v>-12</c:v>
                </c:pt>
                <c:pt idx="10">
                  <c:v>-12</c:v>
                </c:pt>
                <c:pt idx="11">
                  <c:v>-12</c:v>
                </c:pt>
                <c:pt idx="12">
                  <c:v>-12</c:v>
                </c:pt>
                <c:pt idx="13">
                  <c:v>-12</c:v>
                </c:pt>
              </c:numCache>
            </c:numRef>
          </c:val>
        </c:ser>
        <c:ser>
          <c:idx val="14"/>
          <c:order val="13"/>
          <c:tx>
            <c:strRef>
              <c:f>Chart!$U$2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-8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</c:ser>
        <c:ser>
          <c:idx val="15"/>
          <c:order val="14"/>
          <c:tx>
            <c:strRef>
              <c:f>Chart!$V$2</c:f>
              <c:strCache>
                <c:ptCount val="1"/>
                <c:pt idx="0">
                  <c:v>Drebin, James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6"/>
          <c:order val="15"/>
          <c:tx>
            <c:strRef>
              <c:f>Chart!$W$2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</c:ser>
        <c:ser>
          <c:idx val="17"/>
          <c:order val="16"/>
          <c:tx>
            <c:strRef>
              <c:f>Chart!$X$2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-7</c:v>
                </c:pt>
                <c:pt idx="5">
                  <c:v>-6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</c:ser>
        <c:ser>
          <c:idx val="18"/>
          <c:order val="17"/>
          <c:tx>
            <c:strRef>
              <c:f>Chart!$Y$2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</c:ser>
        <c:ser>
          <c:idx val="19"/>
          <c:order val="18"/>
          <c:tx>
            <c:strRef>
              <c:f>Chart!$Z$2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</c:ser>
        <c:ser>
          <c:idx val="20"/>
          <c:order val="19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3.2307692307692335</c:v>
                </c:pt>
                <c:pt idx="8">
                  <c:v>3.2307692307692335</c:v>
                </c:pt>
                <c:pt idx="9">
                  <c:v>3.2307692307692335</c:v>
                </c:pt>
                <c:pt idx="10">
                  <c:v>3.2307692307692335</c:v>
                </c:pt>
                <c:pt idx="11">
                  <c:v>3.2307692307692335</c:v>
                </c:pt>
                <c:pt idx="12">
                  <c:v>3.2307692307692335</c:v>
                </c:pt>
                <c:pt idx="13">
                  <c:v>3.2307692307692335</c:v>
                </c:pt>
              </c:numCache>
            </c:numRef>
          </c:val>
        </c:ser>
        <c:ser>
          <c:idx val="21"/>
          <c:order val="20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8.7692307692307665</c:v>
                </c:pt>
                <c:pt idx="8">
                  <c:v>8.7692307692307665</c:v>
                </c:pt>
                <c:pt idx="9">
                  <c:v>8.7692307692307665</c:v>
                </c:pt>
                <c:pt idx="10">
                  <c:v>8.7692307692307665</c:v>
                </c:pt>
                <c:pt idx="11">
                  <c:v>8.7692307692307665</c:v>
                </c:pt>
                <c:pt idx="12">
                  <c:v>8.7692307692307665</c:v>
                </c:pt>
                <c:pt idx="13">
                  <c:v>8.7692307692307665</c:v>
                </c:pt>
              </c:numCache>
            </c:numRef>
          </c:val>
        </c:ser>
        <c:ser>
          <c:idx val="22"/>
          <c:order val="21"/>
          <c:tx>
            <c:strRef>
              <c:f>Chart!$AA$2</c:f>
              <c:strCache>
                <c:ptCount val="1"/>
                <c:pt idx="0">
                  <c:v>Gilmer, Justin T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23"/>
          <c:order val="22"/>
          <c:tx>
            <c:strRef>
              <c:f>Chart!$AB$2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</c:ser>
        <c:ser>
          <c:idx val="24"/>
          <c:order val="23"/>
          <c:tx>
            <c:strRef>
              <c:f>Chart!$AC$2</c:f>
              <c:strCache>
                <c:ptCount val="1"/>
                <c:pt idx="0">
                  <c:v>Holden, Brent Remote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</c:ser>
        <c:ser>
          <c:idx val="25"/>
          <c:order val="24"/>
          <c:tx>
            <c:strRef>
              <c:f>Chart!$AD$2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</c:ser>
        <c:ser>
          <c:idx val="26"/>
          <c:order val="25"/>
          <c:tx>
            <c:strRef>
              <c:f>Chart!$AE$2</c:f>
              <c:strCache>
                <c:ptCount val="1"/>
                <c:pt idx="0">
                  <c:v>Inabinet, Gregory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-3</c:v>
                </c:pt>
                <c:pt idx="5">
                  <c:v>-2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</c:ser>
        <c:ser>
          <c:idx val="27"/>
          <c:order val="26"/>
          <c:tx>
            <c:strRef>
              <c:f>Chart!$AF$2</c:f>
              <c:strCache>
                <c:ptCount val="1"/>
                <c:pt idx="0">
                  <c:v>James, Larry Remote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28"/>
          <c:order val="27"/>
          <c:tx>
            <c:strRef>
              <c:f>Chart!$AG$2</c:f>
              <c:strCache>
                <c:ptCount val="1"/>
                <c:pt idx="0">
                  <c:v>Johnson, Creed D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-7</c:v>
                </c:pt>
                <c:pt idx="4">
                  <c:v>-6</c:v>
                </c:pt>
                <c:pt idx="5">
                  <c:v>-6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</c:ser>
        <c:ser>
          <c:idx val="29"/>
          <c:order val="28"/>
          <c:tx>
            <c:strRef>
              <c:f>Chart!$AH$2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</c:ser>
        <c:ser>
          <c:idx val="30"/>
          <c:order val="29"/>
          <c:tx>
            <c:strRef>
              <c:f>Chart!$AI$2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-3</c:v>
                </c:pt>
                <c:pt idx="4">
                  <c:v>1</c:v>
                </c:pt>
                <c:pt idx="5">
                  <c:v>2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</c:ser>
        <c:ser>
          <c:idx val="31"/>
          <c:order val="30"/>
          <c:tx>
            <c:strRef>
              <c:f>Chart!$AJ$2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-3</c:v>
                </c:pt>
                <c:pt idx="4">
                  <c:v>-3</c:v>
                </c:pt>
                <c:pt idx="5">
                  <c:v>-4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</c:ser>
        <c:ser>
          <c:idx val="32"/>
          <c:order val="31"/>
          <c:tx>
            <c:strRef>
              <c:f>Chart!$AK$2</c:f>
              <c:strCache>
                <c:ptCount val="1"/>
                <c:pt idx="0">
                  <c:v>Mccoy, William M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-5</c:v>
                </c:pt>
                <c:pt idx="4">
                  <c:v>-7</c:v>
                </c:pt>
                <c:pt idx="5">
                  <c:v>-7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</c:numCache>
            </c:numRef>
          </c:val>
        </c:ser>
        <c:ser>
          <c:idx val="33"/>
          <c:order val="32"/>
          <c:tx>
            <c:strRef>
              <c:f>Chart!$AL$2</c:f>
              <c:strCache>
                <c:ptCount val="1"/>
                <c:pt idx="0">
                  <c:v>Montanez, Johanna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-3</c:v>
                </c:pt>
                <c:pt idx="4">
                  <c:v>-3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</c:ser>
        <c:ser>
          <c:idx val="34"/>
          <c:order val="33"/>
          <c:tx>
            <c:strRef>
              <c:f>Chart!$AM$2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-3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35"/>
          <c:order val="34"/>
          <c:tx>
            <c:strRef>
              <c:f>Chart!$AN$2</c:f>
              <c:strCache>
                <c:ptCount val="1"/>
                <c:pt idx="0">
                  <c:v>Murdaugh, Stephen K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</c:ser>
        <c:ser>
          <c:idx val="36"/>
          <c:order val="35"/>
          <c:tx>
            <c:strRef>
              <c:f>Chart!$AO$2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</c:ser>
        <c:ser>
          <c:idx val="37"/>
          <c:order val="36"/>
          <c:tx>
            <c:strRef>
              <c:f>Chart!$AP$2</c:f>
              <c:strCache>
                <c:ptCount val="1"/>
                <c:pt idx="0">
                  <c:v>Nance, Rob Remote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-4</c:v>
                </c:pt>
                <c:pt idx="3">
                  <c:v>-9</c:v>
                </c:pt>
                <c:pt idx="4">
                  <c:v>-8</c:v>
                </c:pt>
                <c:pt idx="5">
                  <c:v>-9</c:v>
                </c:pt>
                <c:pt idx="6">
                  <c:v>-9</c:v>
                </c:pt>
                <c:pt idx="7">
                  <c:v>-9</c:v>
                </c:pt>
                <c:pt idx="8">
                  <c:v>-9</c:v>
                </c:pt>
                <c:pt idx="9">
                  <c:v>-9</c:v>
                </c:pt>
                <c:pt idx="10">
                  <c:v>-9</c:v>
                </c:pt>
                <c:pt idx="11">
                  <c:v>-9</c:v>
                </c:pt>
                <c:pt idx="12">
                  <c:v>-9</c:v>
                </c:pt>
                <c:pt idx="13">
                  <c:v>-9</c:v>
                </c:pt>
              </c:numCache>
            </c:numRef>
          </c:val>
        </c:ser>
        <c:ser>
          <c:idx val="38"/>
          <c:order val="37"/>
          <c:tx>
            <c:strRef>
              <c:f>Chart!$AQ$2</c:f>
              <c:strCache>
                <c:ptCount val="1"/>
                <c:pt idx="0">
                  <c:v>Neeley, Amber Remote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</c:ser>
        <c:ser>
          <c:idx val="39"/>
          <c:order val="38"/>
          <c:tx>
            <c:strRef>
              <c:f>Chart!$AR$2</c:f>
              <c:strCache>
                <c:ptCount val="1"/>
                <c:pt idx="0">
                  <c:v>Neeley, Michael Remote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</c:ser>
        <c:ser>
          <c:idx val="40"/>
          <c:order val="39"/>
          <c:tx>
            <c:strRef>
              <c:f>Chart!$AS$2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</c:ser>
        <c:ser>
          <c:idx val="41"/>
          <c:order val="40"/>
          <c:tx>
            <c:strRef>
              <c:f>Chart!$AT$2</c:f>
              <c:strCache>
                <c:ptCount val="1"/>
                <c:pt idx="0">
                  <c:v>Nguyen, Thai Remote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-2</c:v>
                </c:pt>
                <c:pt idx="5">
                  <c:v>-2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</c:ser>
        <c:ser>
          <c:idx val="42"/>
          <c:order val="41"/>
          <c:tx>
            <c:strRef>
              <c:f>Chart!$AU$2</c:f>
              <c:strCache>
                <c:ptCount val="1"/>
                <c:pt idx="0">
                  <c:v>Paul, Wilmaison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</c:ser>
        <c:ser>
          <c:idx val="43"/>
          <c:order val="42"/>
          <c:tx>
            <c:strRef>
              <c:f>Chart!$AV$2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</c:ser>
        <c:ser>
          <c:idx val="44"/>
          <c:order val="43"/>
          <c:tx>
            <c:strRef>
              <c:f>Chart!$AW$2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</c:ser>
        <c:ser>
          <c:idx val="45"/>
          <c:order val="44"/>
          <c:tx>
            <c:strRef>
              <c:f>Chart!$AX$2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</c:ser>
        <c:ser>
          <c:idx val="46"/>
          <c:order val="45"/>
          <c:tx>
            <c:strRef>
              <c:f>Chart!$AY$2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</c:ser>
        <c:ser>
          <c:idx val="47"/>
          <c:order val="46"/>
          <c:tx>
            <c:strRef>
              <c:f>Chart!$AZ$2</c:f>
              <c:strCache>
                <c:ptCount val="1"/>
                <c:pt idx="0">
                  <c:v>Robbins, Thomas D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</c:ser>
        <c:ser>
          <c:idx val="48"/>
          <c:order val="47"/>
          <c:tx>
            <c:strRef>
              <c:f>Chart!$BA$2</c:f>
              <c:strCache>
                <c:ptCount val="1"/>
                <c:pt idx="0">
                  <c:v>Ruffin, Chris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6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</c:numCache>
            </c:numRef>
          </c:val>
        </c:ser>
        <c:ser>
          <c:idx val="49"/>
          <c:order val="48"/>
          <c:tx>
            <c:strRef>
              <c:f>Chart!$BB$2</c:f>
              <c:strCache>
                <c:ptCount val="1"/>
                <c:pt idx="0">
                  <c:v>Sams, David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</c:ser>
        <c:ser>
          <c:idx val="50"/>
          <c:order val="49"/>
          <c:tx>
            <c:strRef>
              <c:f>Chart!$BC$2</c:f>
              <c:strCache>
                <c:ptCount val="1"/>
                <c:pt idx="0">
                  <c:v>Sapp, Carl G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0</c:v>
                </c:pt>
                <c:pt idx="5">
                  <c:v>-2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</c:ser>
        <c:ser>
          <c:idx val="51"/>
          <c:order val="50"/>
          <c:tx>
            <c:strRef>
              <c:f>Chart!$BD$2</c:f>
              <c:strCache>
                <c:ptCount val="1"/>
                <c:pt idx="0">
                  <c:v>Staub, Kevin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6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</c:numCache>
            </c:numRef>
          </c:val>
        </c:ser>
        <c:ser>
          <c:idx val="52"/>
          <c:order val="51"/>
          <c:tx>
            <c:strRef>
              <c:f>Chart!$BE$2</c:f>
              <c:strCache>
                <c:ptCount val="1"/>
                <c:pt idx="0">
                  <c:v>Staub, Ryan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1</c:v>
                </c:pt>
                <c:pt idx="4">
                  <c:v>-4</c:v>
                </c:pt>
                <c:pt idx="5">
                  <c:v>-4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</c:ser>
        <c:ser>
          <c:idx val="53"/>
          <c:order val="52"/>
          <c:tx>
            <c:strRef>
              <c:f>Chart!$BF$2</c:f>
              <c:strCache>
                <c:ptCount val="1"/>
                <c:pt idx="0">
                  <c:v>Steel, Van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-9</c:v>
                </c:pt>
                <c:pt idx="5">
                  <c:v>-8</c:v>
                </c:pt>
                <c:pt idx="6">
                  <c:v>-8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</c:ser>
        <c:ser>
          <c:idx val="54"/>
          <c:order val="53"/>
          <c:tx>
            <c:strRef>
              <c:f>Chart!$BG$2</c:f>
              <c:strCache>
                <c:ptCount val="1"/>
                <c:pt idx="0">
                  <c:v>Stonecypher, David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-2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-4</c:v>
                </c:pt>
                <c:pt idx="8">
                  <c:v>-4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</c:ser>
        <c:ser>
          <c:idx val="55"/>
          <c:order val="54"/>
          <c:tx>
            <c:strRef>
              <c:f>Chart!$BH$2</c:f>
              <c:strCache>
                <c:ptCount val="1"/>
                <c:pt idx="0">
                  <c:v>Straw, Adam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56"/>
          <c:order val="55"/>
          <c:tx>
            <c:strRef>
              <c:f>Chart!$BI$2</c:f>
              <c:strCache>
                <c:ptCount val="1"/>
                <c:pt idx="0">
                  <c:v>Warren, Jason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</c:ser>
        <c:ser>
          <c:idx val="57"/>
          <c:order val="56"/>
          <c:tx>
            <c:strRef>
              <c:f>Chart!$BJ$2</c:f>
              <c:strCache>
                <c:ptCount val="1"/>
                <c:pt idx="0">
                  <c:v>Warren, Todd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</c:ser>
        <c:ser>
          <c:idx val="58"/>
          <c:order val="57"/>
          <c:tx>
            <c:strRef>
              <c:f>Chart!$BK$2</c:f>
              <c:strCache>
                <c:ptCount val="1"/>
                <c:pt idx="0">
                  <c:v>Wells, Seth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-1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</c:ser>
        <c:ser>
          <c:idx val="59"/>
          <c:order val="58"/>
          <c:tx>
            <c:strRef>
              <c:f>Chart!$BL$2</c:f>
              <c:strCache>
                <c:ptCount val="1"/>
                <c:pt idx="0">
                  <c:v>White, Jarred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-5</c:v>
                </c:pt>
                <c:pt idx="4">
                  <c:v>-5</c:v>
                </c:pt>
                <c:pt idx="5">
                  <c:v>-6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</c:ser>
        <c:ser>
          <c:idx val="60"/>
          <c:order val="59"/>
          <c:tx>
            <c:strRef>
              <c:f>Chart!$BM$2</c:f>
              <c:strCache>
                <c:ptCount val="1"/>
                <c:pt idx="0">
                  <c:v>Winburn, Steve A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</c:ser>
        <c:ser>
          <c:idx val="61"/>
          <c:order val="60"/>
          <c:tx>
            <c:strRef>
              <c:f>Chart!$BN$2</c:f>
              <c:strCache>
                <c:ptCount val="1"/>
                <c:pt idx="0">
                  <c:v>Young, Kenneth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dLbls/>
        <c:marker val="1"/>
        <c:axId val="100600832"/>
        <c:axId val="100623104"/>
      </c:lineChart>
      <c:catAx>
        <c:axId val="100600832"/>
        <c:scaling>
          <c:orientation val="minMax"/>
        </c:scaling>
        <c:axPos val="b"/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623104"/>
        <c:crosses val="autoZero"/>
        <c:lblAlgn val="ctr"/>
        <c:lblOffset val="100"/>
        <c:tickLblSkip val="1"/>
        <c:tickMarkSkip val="1"/>
      </c:catAx>
      <c:valAx>
        <c:axId val="10062310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600832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81"/>
          <c:y val="7.7177508269018784E-3"/>
          <c:w val="0.11303719596438672"/>
          <c:h val="0.99228229144705826"/>
        </c:manualLayout>
      </c:layout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67"/>
          <c:y val="3.194103194103194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3291969921856784E-2"/>
          <c:y val="0.15479115479115682"/>
          <c:w val="0.90931732174234514"/>
          <c:h val="0.69041769041769041"/>
        </c:manualLayout>
      </c:layout>
      <c:barChart>
        <c:barDir val="col"/>
        <c:grouping val="clustered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16</c:v>
                </c:pt>
                <c:pt idx="5">
                  <c:v>14</c:v>
                </c:pt>
                <c:pt idx="6">
                  <c:v>10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/>
        <c:axId val="100140544"/>
        <c:axId val="100142464"/>
      </c:barChart>
      <c:catAx>
        <c:axId val="1001405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142464"/>
        <c:crosses val="autoZero"/>
        <c:auto val="1"/>
        <c:lblAlgn val="ctr"/>
        <c:lblOffset val="100"/>
        <c:tickLblSkip val="1"/>
        <c:tickMarkSkip val="1"/>
      </c:catAx>
      <c:valAx>
        <c:axId val="10014246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6E-2"/>
              <c:y val="0.4226044226044228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014054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62"/>
          <c:y val="3.186274509803924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3200992555831512E-2"/>
          <c:y val="0.15686312055549587"/>
          <c:w val="0.90942928039702231"/>
          <c:h val="0.68872713868896174"/>
        </c:manualLayout>
      </c:layout>
      <c:barChart>
        <c:barDir val="col"/>
        <c:grouping val="clustered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Histogram!$A$33:$A$43</c:f>
              <c:numCache>
                <c:formatCode>General</c:formatCode>
                <c:ptCount val="11"/>
                <c:pt idx="0">
                  <c:v>17</c:v>
                </c:pt>
                <c:pt idx="1">
                  <c:v>19.2</c:v>
                </c:pt>
                <c:pt idx="2">
                  <c:v>21.4</c:v>
                </c:pt>
                <c:pt idx="3">
                  <c:v>23.599999999999998</c:v>
                </c:pt>
                <c:pt idx="4">
                  <c:v>25.799999999999997</c:v>
                </c:pt>
                <c:pt idx="5">
                  <c:v>27.999999999999996</c:v>
                </c:pt>
                <c:pt idx="6">
                  <c:v>30.199999999999996</c:v>
                </c:pt>
                <c:pt idx="7">
                  <c:v>32.4</c:v>
                </c:pt>
                <c:pt idx="8">
                  <c:v>34.6</c:v>
                </c:pt>
                <c:pt idx="9">
                  <c:v>36.800000000000004</c:v>
                </c:pt>
                <c:pt idx="10">
                  <c:v>39.000000000000007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9</c:v>
                </c:pt>
                <c:pt idx="4">
                  <c:v>7</c:v>
                </c:pt>
                <c:pt idx="5">
                  <c:v>15</c:v>
                </c:pt>
                <c:pt idx="6">
                  <c:v>7</c:v>
                </c:pt>
                <c:pt idx="7">
                  <c:v>5</c:v>
                </c:pt>
                <c:pt idx="8">
                  <c:v>7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</c:ser>
        <c:dLbls/>
        <c:axId val="146001280"/>
        <c:axId val="146003456"/>
      </c:barChart>
      <c:catAx>
        <c:axId val="1460012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003456"/>
        <c:crosses val="autoZero"/>
        <c:auto val="1"/>
        <c:lblAlgn val="ctr"/>
        <c:lblOffset val="100"/>
        <c:tickLblSkip val="1"/>
        <c:tickMarkSkip val="1"/>
      </c:catAx>
      <c:valAx>
        <c:axId val="14600345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4E-2"/>
              <c:y val="0.4240206371262460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00128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219075</xdr:colOff>
      <xdr:row>94</xdr:row>
      <xdr:rowOff>33617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comments" Target="../comments1.x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C63"/>
  <sheetViews>
    <sheetView zoomScale="75" zoomScaleNormal="75" workbookViewId="0"/>
  </sheetViews>
  <sheetFormatPr defaultRowHeight="12.75"/>
  <cols>
    <col min="1" max="1" width="6" bestFit="1" customWidth="1"/>
    <col min="2" max="2" width="29.28515625" bestFit="1" customWidth="1"/>
    <col min="3" max="3" width="3.7109375" bestFit="1" customWidth="1"/>
    <col min="4" max="4" width="4.5703125" bestFit="1" customWidth="1"/>
    <col min="5" max="5" width="7.42578125" bestFit="1" customWidth="1"/>
    <col min="6" max="7" width="4" bestFit="1" customWidth="1"/>
    <col min="8" max="8" width="4.7109375" bestFit="1" customWidth="1"/>
    <col min="9" max="10" width="3.7109375" bestFit="1" customWidth="1"/>
    <col min="11" max="23" width="3.5703125" customWidth="1"/>
    <col min="24" max="24" width="3.28515625" customWidth="1"/>
    <col min="25" max="25" width="4" bestFit="1" customWidth="1"/>
    <col min="26" max="26" width="3" bestFit="1" customWidth="1"/>
  </cols>
  <sheetData>
    <row r="1" spans="1:29" ht="18">
      <c r="A1" s="24"/>
      <c r="B1" s="7" t="s">
        <v>9</v>
      </c>
    </row>
    <row r="2" spans="1:29" ht="18">
      <c r="B2" s="7" t="s">
        <v>37</v>
      </c>
      <c r="D2" s="19">
        <f>FLOOR((COUNT(Begin:End!D3:D22)/20),1)</f>
        <v>6</v>
      </c>
      <c r="E2" s="28" t="s">
        <v>45</v>
      </c>
      <c r="F2" s="110">
        <f ca="1">AVERAGE(INDIRECT("R8C4:R"&amp;8+playercnt-1&amp;"C4",FALSE))</f>
        <v>27.875</v>
      </c>
      <c r="G2" s="111"/>
      <c r="I2" s="112">
        <f ca="1">SUM(INDIRECT("R8C4:R"&amp;8+playercnt-1&amp;"C4",FALSE))/((playercnt)*games_completed)</f>
        <v>0.46458333333333335</v>
      </c>
      <c r="J2" s="112"/>
      <c r="L2" s="113">
        <f ca="1">SUM(INDIRECT("R8C4:R"&amp;8+playercnt-1&amp;"C4",FALSE))-(playercnt*games_completed/2)</f>
        <v>-119</v>
      </c>
      <c r="M2" s="113"/>
      <c r="O2" s="28" t="s">
        <v>46</v>
      </c>
      <c r="R2">
        <f ca="1">MEDIAN(INDIRECT("R8C4:R"&amp;8+playercnt-1&amp;"C4",FALSE))</f>
        <v>28</v>
      </c>
      <c r="U2" s="28" t="s">
        <v>47</v>
      </c>
      <c r="W2">
        <f ca="1">MODE(INDIRECT("R8C4:R"&amp;8+playercnt-1&amp;"C4",FALSE))</f>
        <v>30</v>
      </c>
    </row>
    <row r="3" spans="1:29" ht="87" customHeight="1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>
      <c r="A4" s="84">
        <v>1</v>
      </c>
      <c r="B4" s="29" t="str">
        <f>Chart!$G$2</f>
        <v>Mrs. HomeTeam</v>
      </c>
      <c r="C4" s="10"/>
      <c r="D4" s="10">
        <f>SUM(Begin:End!$G$25)</f>
        <v>30</v>
      </c>
      <c r="E4" s="25">
        <f t="shared" ref="E4:E7" si="0">D4/games_completed</f>
        <v>0.5</v>
      </c>
      <c r="F4" s="11"/>
      <c r="G4" s="16"/>
      <c r="H4" s="20"/>
      <c r="I4" s="17">
        <f t="shared" ref="I4:I7" ca="1" si="1">MAX(K4:W4)</f>
        <v>8</v>
      </c>
      <c r="J4" s="17">
        <f t="shared" ref="J4:J7" ca="1" si="2">MIN(K4:W4)</f>
        <v>3</v>
      </c>
      <c r="K4" s="13">
        <f ca="1">IF($D$2&gt;=(COLUMN()-10),INDIRECT(ADDRESS(25,7,1,,K$3)),"")</f>
        <v>8</v>
      </c>
      <c r="L4" s="13">
        <f t="shared" ref="L4:W4" ca="1" si="3">IF($D$2&gt;=(COLUMN()-10),INDIRECT(ADDRESS(25,7,1,,L$3)),"")</f>
        <v>4</v>
      </c>
      <c r="M4" s="13">
        <f t="shared" ca="1" si="3"/>
        <v>5</v>
      </c>
      <c r="N4" s="13">
        <f t="shared" ca="1" si="3"/>
        <v>5</v>
      </c>
      <c r="O4" s="13">
        <f t="shared" ca="1" si="3"/>
        <v>5</v>
      </c>
      <c r="P4" s="13">
        <f t="shared" ca="1" si="3"/>
        <v>3</v>
      </c>
      <c r="Q4" s="13" t="str">
        <f t="shared" ca="1" si="3"/>
        <v/>
      </c>
      <c r="R4" s="13" t="str">
        <f t="shared" ca="1" si="3"/>
        <v/>
      </c>
      <c r="S4" s="13" t="str">
        <f t="shared" ca="1" si="3"/>
        <v/>
      </c>
      <c r="T4" s="13" t="str">
        <f t="shared" ca="1" si="3"/>
        <v/>
      </c>
      <c r="U4" s="13" t="str">
        <f t="shared" ca="1" si="3"/>
        <v/>
      </c>
      <c r="V4" s="13" t="str">
        <f t="shared" ca="1" si="3"/>
        <v/>
      </c>
      <c r="W4" s="13" t="str">
        <f t="shared" ca="1" si="3"/>
        <v/>
      </c>
      <c r="X4" s="14"/>
      <c r="Y4" s="14"/>
      <c r="AB4" s="22"/>
    </row>
    <row r="5" spans="1:29">
      <c r="A5" s="84">
        <v>1</v>
      </c>
      <c r="B5" s="29" t="str">
        <f>Chart!$H$2</f>
        <v>Mr. Favorite</v>
      </c>
      <c r="C5" s="10"/>
      <c r="D5" s="10">
        <f>SUM(Begin:End!$H$25)</f>
        <v>34</v>
      </c>
      <c r="E5" s="25">
        <f t="shared" si="0"/>
        <v>0.56666666666666665</v>
      </c>
      <c r="F5" s="11"/>
      <c r="G5" s="16"/>
      <c r="H5" s="20"/>
      <c r="I5" s="17">
        <f t="shared" ca="1" si="1"/>
        <v>8</v>
      </c>
      <c r="J5" s="17">
        <f t="shared" ca="1" si="2"/>
        <v>4</v>
      </c>
      <c r="K5" s="13">
        <f ca="1">IF($D$2&gt;=(COLUMN()-10),INDIRECT(ADDRESS(25,8,1,,K$3)),"")</f>
        <v>4</v>
      </c>
      <c r="L5" s="13">
        <f t="shared" ref="L5:W5" ca="1" si="4">IF($D$2&gt;=(COLUMN()-10),INDIRECT(ADDRESS(25,8,1,,L$3)),"")</f>
        <v>6</v>
      </c>
      <c r="M5" s="13">
        <f t="shared" ca="1" si="4"/>
        <v>5</v>
      </c>
      <c r="N5" s="13">
        <f t="shared" ca="1" si="4"/>
        <v>8</v>
      </c>
      <c r="O5" s="13">
        <f t="shared" ca="1" si="4"/>
        <v>6</v>
      </c>
      <c r="P5" s="13">
        <f t="shared" ca="1" si="4"/>
        <v>5</v>
      </c>
      <c r="Q5" s="13" t="str">
        <f t="shared" ca="1" si="4"/>
        <v/>
      </c>
      <c r="R5" s="13" t="str">
        <f t="shared" ca="1" si="4"/>
        <v/>
      </c>
      <c r="S5" s="13" t="str">
        <f t="shared" ca="1" si="4"/>
        <v/>
      </c>
      <c r="T5" s="13" t="str">
        <f t="shared" ca="1" si="4"/>
        <v/>
      </c>
      <c r="U5" s="13" t="str">
        <f t="shared" ca="1" si="4"/>
        <v/>
      </c>
      <c r="V5" s="13" t="str">
        <f t="shared" ca="1" si="4"/>
        <v/>
      </c>
      <c r="W5" s="13" t="str">
        <f t="shared" ca="1" si="4"/>
        <v/>
      </c>
      <c r="X5" s="14"/>
      <c r="Y5" s="14"/>
      <c r="AB5" s="22"/>
    </row>
    <row r="6" spans="1:29">
      <c r="A6" s="84">
        <v>1</v>
      </c>
      <c r="B6" s="29" t="str">
        <f>Chart!$I$2</f>
        <v>Miss CDC</v>
      </c>
      <c r="C6" s="10"/>
      <c r="D6" s="10">
        <f ca="1">SUM(Begin:End!$I$25)</f>
        <v>32.5</v>
      </c>
      <c r="E6" s="25">
        <f t="shared" ca="1" si="0"/>
        <v>0.54166666666666663</v>
      </c>
      <c r="F6" s="11"/>
      <c r="G6" s="16"/>
      <c r="H6" s="20"/>
      <c r="I6" s="17">
        <f t="shared" ca="1" si="1"/>
        <v>6.5</v>
      </c>
      <c r="J6" s="17">
        <f t="shared" ca="1" si="2"/>
        <v>4</v>
      </c>
      <c r="K6" s="13">
        <f ca="1">IF($D$2&gt;=(COLUMN()-10),INDIRECT(ADDRESS(25,9,1,,K$3)),"")</f>
        <v>5</v>
      </c>
      <c r="L6" s="13">
        <f t="shared" ref="L6:W6" ca="1" si="5">IF($D$2&gt;=(COLUMN()-10),INDIRECT(ADDRESS(25,9,1,,L$3)),"")</f>
        <v>4</v>
      </c>
      <c r="M6" s="13">
        <f t="shared" ca="1" si="5"/>
        <v>6</v>
      </c>
      <c r="N6" s="13">
        <f t="shared" ca="1" si="5"/>
        <v>6</v>
      </c>
      <c r="O6" s="13">
        <f t="shared" ca="1" si="5"/>
        <v>5</v>
      </c>
      <c r="P6" s="13">
        <f t="shared" ca="1" si="5"/>
        <v>6.5</v>
      </c>
      <c r="Q6" s="13" t="str">
        <f t="shared" ca="1" si="5"/>
        <v/>
      </c>
      <c r="R6" s="13" t="str">
        <f t="shared" ca="1" si="5"/>
        <v/>
      </c>
      <c r="S6" s="13" t="str">
        <f t="shared" ca="1" si="5"/>
        <v/>
      </c>
      <c r="T6" s="13" t="str">
        <f t="shared" ca="1" si="5"/>
        <v/>
      </c>
      <c r="U6" s="13" t="str">
        <f t="shared" ca="1" si="5"/>
        <v/>
      </c>
      <c r="V6" s="13" t="str">
        <f t="shared" ca="1" si="5"/>
        <v/>
      </c>
      <c r="W6" s="13" t="str">
        <f t="shared" ca="1" si="5"/>
        <v/>
      </c>
      <c r="X6" s="14"/>
      <c r="Y6" s="14"/>
      <c r="AB6" s="22"/>
    </row>
    <row r="7" spans="1:29" ht="13.5" thickBot="1">
      <c r="A7" s="85">
        <v>1</v>
      </c>
      <c r="B7" s="48" t="str">
        <f>Chart!$J$2</f>
        <v>Sagarin</v>
      </c>
      <c r="C7" s="21"/>
      <c r="D7" s="21">
        <f>SUM(Begin:End!$J$25)</f>
        <v>0</v>
      </c>
      <c r="E7" s="49">
        <f t="shared" si="0"/>
        <v>0</v>
      </c>
      <c r="F7" s="50"/>
      <c r="G7" s="51"/>
      <c r="H7" s="52"/>
      <c r="I7" s="53">
        <f t="shared" ca="1" si="1"/>
        <v>0</v>
      </c>
      <c r="J7" s="53">
        <f t="shared" ca="1" si="2"/>
        <v>0</v>
      </c>
      <c r="K7" s="54">
        <f ca="1">IF($D$2&gt;=(COLUMN()-10),INDIRECT(ADDRESS(25,10,1,,K$3)),"")</f>
        <v>0</v>
      </c>
      <c r="L7" s="54">
        <f t="shared" ref="L7:W7" ca="1" si="6">IF($D$2&gt;=(COLUMN()-10),INDIRECT(ADDRESS(25,10,1,,L$3)),"")</f>
        <v>0</v>
      </c>
      <c r="M7" s="54">
        <f t="shared" ca="1" si="6"/>
        <v>0</v>
      </c>
      <c r="N7" s="54">
        <f t="shared" ca="1" si="6"/>
        <v>0</v>
      </c>
      <c r="O7" s="54">
        <f t="shared" ca="1" si="6"/>
        <v>0</v>
      </c>
      <c r="P7" s="54">
        <f t="shared" ca="1" si="6"/>
        <v>0</v>
      </c>
      <c r="Q7" s="54" t="str">
        <f t="shared" ca="1" si="6"/>
        <v/>
      </c>
      <c r="R7" s="54" t="str">
        <f t="shared" ca="1" si="6"/>
        <v/>
      </c>
      <c r="S7" s="54" t="str">
        <f t="shared" ca="1" si="6"/>
        <v/>
      </c>
      <c r="T7" s="54" t="str">
        <f t="shared" ca="1" si="6"/>
        <v/>
      </c>
      <c r="U7" s="54" t="str">
        <f t="shared" ca="1" si="6"/>
        <v/>
      </c>
      <c r="V7" s="54" t="str">
        <f t="shared" ca="1" si="6"/>
        <v/>
      </c>
      <c r="W7" s="54" t="str">
        <f t="shared" ca="1" si="6"/>
        <v/>
      </c>
      <c r="X7" s="55"/>
      <c r="Y7" s="55"/>
    </row>
    <row r="8" spans="1:29">
      <c r="A8" s="83">
        <f>IF(D8=D7,A7,Y8)</f>
        <v>1</v>
      </c>
      <c r="B8" s="39" t="str">
        <f ca="1">INDIRECT(ADDRESS(2,10+INDIRECT(ADDRESS(ROW(),24)),,,"Chart"))</f>
        <v>Ruffin, Chris</v>
      </c>
      <c r="C8" s="40">
        <f>sumAcrossWkSheets(28,10,X8)</f>
        <v>0</v>
      </c>
      <c r="D8" s="40">
        <f>sumAcrossWkSheets(25,10,X8)</f>
        <v>39</v>
      </c>
      <c r="E8" s="41">
        <f>D8/games_completed</f>
        <v>0.65</v>
      </c>
      <c r="F8" s="42">
        <f>$D$8-D8</f>
        <v>0</v>
      </c>
      <c r="G8" s="43">
        <v>1</v>
      </c>
      <c r="H8" s="44">
        <f>G8-A8</f>
        <v>0</v>
      </c>
      <c r="I8" s="45">
        <f ca="1">MAX(K8:W8)</f>
        <v>8</v>
      </c>
      <c r="J8" s="45">
        <f ca="1">MIN(K8:W8)</f>
        <v>3</v>
      </c>
      <c r="K8" s="46">
        <f ca="1">IF($D$2&gt;=(COLUMN()-10),HLOOKUP($B8,INDIRECT(ADDRESS(2,11,1,,K$3)):INDIRECT(ADDRESS(25,playercnt+10,1,,K$3)),24),"")</f>
        <v>8</v>
      </c>
      <c r="L8" s="46">
        <f ca="1">IF($D$2&gt;=(COLUMN()-10),HLOOKUP($B8,INDIRECT(ADDRESS(2,11,1,,L$3)):INDIRECT(ADDRESS(25,playercnt+10,1,,L$3)),24),"")</f>
        <v>7</v>
      </c>
      <c r="M8" s="46">
        <f ca="1">IF($D$2&gt;=(COLUMN()-10),HLOOKUP($B8,INDIRECT(ADDRESS(2,11,1,,M$3)):INDIRECT(ADDRESS(25,playercnt+10,1,,M$3)),24),"")</f>
        <v>7</v>
      </c>
      <c r="N8" s="46">
        <f ca="1">IF($D$2&gt;=(COLUMN()-10),HLOOKUP($B8,INDIRECT(ADDRESS(2,11,1,,N$3)):INDIRECT(ADDRESS(25,playercnt+10,1,,N$3)),24),"")</f>
        <v>6</v>
      </c>
      <c r="O8" s="46">
        <f ca="1">IF($D$2&gt;=(COLUMN()-10),HLOOKUP($B8,INDIRECT(ADDRESS(2,11,1,,O$3)):INDIRECT(ADDRESS(25,playercnt+10,1,,O$3)),24),"")</f>
        <v>3</v>
      </c>
      <c r="P8" s="46">
        <f ca="1">IF($D$2&gt;=(COLUMN()-10),HLOOKUP($B8,INDIRECT(ADDRESS(2,11,1,,P$3)):INDIRECT(ADDRESS(25,playercnt+10,1,,P$3)),24),"")</f>
        <v>8</v>
      </c>
      <c r="Q8" s="46" t="str">
        <f ca="1">IF($D$2&gt;=(COLUMN()-10),HLOOKUP($B8,INDIRECT(ADDRESS(2,11,1,,Q$3)):INDIRECT(ADDRESS(25,playercnt+10,1,,Q$3)),24),"")</f>
        <v/>
      </c>
      <c r="R8" s="46" t="str">
        <f ca="1">IF($D$2&gt;=(COLUMN()-10),HLOOKUP($B8,INDIRECT(ADDRESS(2,11,1,,R$3)):INDIRECT(ADDRESS(25,playercnt+10,1,,R$3)),24),"")</f>
        <v/>
      </c>
      <c r="S8" s="46" t="str">
        <f ca="1">IF($D$2&gt;=(COLUMN()-10),HLOOKUP($B8,INDIRECT(ADDRESS(2,11,1,,S$3)):INDIRECT(ADDRESS(25,playercnt+10,1,,S$3)),24),"")</f>
        <v/>
      </c>
      <c r="T8" s="46" t="str">
        <f ca="1">IF($D$2&gt;=(COLUMN()-10),HLOOKUP($B8,INDIRECT(ADDRESS(2,11,1,,T$3)):INDIRECT(ADDRESS(25,playercnt+10,1,,T$3)),24),"")</f>
        <v/>
      </c>
      <c r="U8" s="46" t="str">
        <f ca="1">IF($D$2&gt;=(COLUMN()-10),HLOOKUP($B8,INDIRECT(ADDRESS(2,11,1,,U$3)):INDIRECT(ADDRESS(25,playercnt+10,1,,U$3)),24),"")</f>
        <v/>
      </c>
      <c r="V8" s="46" t="str">
        <f ca="1">IF($D$2&gt;=(COLUMN()-10),HLOOKUP($B8,INDIRECT(ADDRESS(2,11,1,,V$3)):INDIRECT(ADDRESS(25,playercnt+10,1,,V$3)),24),"")</f>
        <v/>
      </c>
      <c r="W8" s="46" t="str">
        <f ca="1">IF($D$2&gt;=(COLUMN()-10),HLOOKUP($B8,INDIRECT(ADDRESS(2,11,1,,W$3)):INDIRECT(ADDRESS(25,playercnt+10,1,,W$3)),24),"")</f>
        <v/>
      </c>
      <c r="X8" s="47">
        <v>43</v>
      </c>
      <c r="Y8" s="47">
        <f>Y7+1</f>
        <v>1</v>
      </c>
      <c r="AC8" s="24"/>
    </row>
    <row r="9" spans="1:29">
      <c r="A9" s="83">
        <f>IF(D9=D8,A8,Y9)</f>
        <v>2</v>
      </c>
      <c r="B9" s="39" t="str">
        <f ca="1">INDIRECT(ADDRESS(2,10+INDIRECT(ADDRESS(ROW(),24)),,,"Chart"))</f>
        <v>Holley, Jeremy Remote</v>
      </c>
      <c r="C9" s="40">
        <f>sumAcrossWkSheets(28,10,X9)</f>
        <v>0</v>
      </c>
      <c r="D9" s="40">
        <f>sumAcrossWkSheets(25,10,X9)</f>
        <v>35</v>
      </c>
      <c r="E9" s="25">
        <f>D9/games_completed</f>
        <v>0.58333333333333337</v>
      </c>
      <c r="F9" s="11">
        <f>$D$8-D9</f>
        <v>4</v>
      </c>
      <c r="G9" s="16">
        <v>2</v>
      </c>
      <c r="H9" s="20">
        <f>G9-A9</f>
        <v>0</v>
      </c>
      <c r="I9" s="17">
        <f ca="1">MAX(K9:W9)</f>
        <v>7</v>
      </c>
      <c r="J9" s="17">
        <f ca="1">MIN(K9:W9)</f>
        <v>4</v>
      </c>
      <c r="K9" s="46">
        <f ca="1">IF($D$2&gt;=(COLUMN()-10),HLOOKUP($B9,INDIRECT(ADDRESS(2,11,1,,K$3)):INDIRECT(ADDRESS(25,playercnt+10,1,,K$3)),24),"")</f>
        <v>6</v>
      </c>
      <c r="L9" s="46">
        <f ca="1">IF($D$2&gt;=(COLUMN()-10),HLOOKUP($B9,INDIRECT(ADDRESS(2,11,1,,L$3)):INDIRECT(ADDRESS(25,playercnt+10,1,,L$3)),24),"")</f>
        <v>6</v>
      </c>
      <c r="M9" s="46">
        <f ca="1">IF($D$2&gt;=(COLUMN()-10),HLOOKUP($B9,INDIRECT(ADDRESS(2,11,1,,M$3)):INDIRECT(ADDRESS(25,playercnt+10,1,,M$3)),24),"")</f>
        <v>4</v>
      </c>
      <c r="N9" s="46">
        <f ca="1">IF($D$2&gt;=(COLUMN()-10),HLOOKUP($B9,INDIRECT(ADDRESS(2,11,1,,N$3)):INDIRECT(ADDRESS(25,playercnt+10,1,,N$3)),24),"")</f>
        <v>7</v>
      </c>
      <c r="O9" s="46">
        <f ca="1">IF($D$2&gt;=(COLUMN()-10),HLOOKUP($B9,INDIRECT(ADDRESS(2,11,1,,O$3)):INDIRECT(ADDRESS(25,playercnt+10,1,,O$3)),24),"")</f>
        <v>6</v>
      </c>
      <c r="P9" s="46">
        <f ca="1">IF($D$2&gt;=(COLUMN()-10),HLOOKUP($B9,INDIRECT(ADDRESS(2,11,1,,P$3)):INDIRECT(ADDRESS(25,playercnt+10,1,,P$3)),24),"")</f>
        <v>6</v>
      </c>
      <c r="Q9" s="46" t="str">
        <f ca="1">IF($D$2&gt;=(COLUMN()-10),HLOOKUP($B9,INDIRECT(ADDRESS(2,11,1,,Q$3)):INDIRECT(ADDRESS(25,playercnt+10,1,,Q$3)),24),"")</f>
        <v/>
      </c>
      <c r="R9" s="46" t="str">
        <f ca="1">IF($D$2&gt;=(COLUMN()-10),HLOOKUP($B9,INDIRECT(ADDRESS(2,11,1,,R$3)):INDIRECT(ADDRESS(25,playercnt+10,1,,R$3)),24),"")</f>
        <v/>
      </c>
      <c r="S9" s="46" t="str">
        <f ca="1">IF($D$2&gt;=(COLUMN()-10),HLOOKUP($B9,INDIRECT(ADDRESS(2,11,1,,S$3)):INDIRECT(ADDRESS(25,playercnt+10,1,,S$3)),24),"")</f>
        <v/>
      </c>
      <c r="T9" s="46" t="str">
        <f ca="1">IF($D$2&gt;=(COLUMN()-10),HLOOKUP($B9,INDIRECT(ADDRESS(2,11,1,,T$3)):INDIRECT(ADDRESS(25,playercnt+10,1,,T$3)),24),"")</f>
        <v/>
      </c>
      <c r="U9" s="46" t="str">
        <f ca="1">IF($D$2&gt;=(COLUMN()-10),HLOOKUP($B9,INDIRECT(ADDRESS(2,11,1,,U$3)):INDIRECT(ADDRESS(25,playercnt+10,1,,U$3)),24),"")</f>
        <v/>
      </c>
      <c r="V9" s="46" t="str">
        <f ca="1">IF($D$2&gt;=(COLUMN()-10),HLOOKUP($B9,INDIRECT(ADDRESS(2,11,1,,V$3)):INDIRECT(ADDRESS(25,playercnt+10,1,,V$3)),24),"")</f>
        <v/>
      </c>
      <c r="W9" s="46" t="str">
        <f ca="1">IF($D$2&gt;=(COLUMN()-10),HLOOKUP($B9,INDIRECT(ADDRESS(2,11,1,,W$3)):INDIRECT(ADDRESS(25,playercnt+10,1,,W$3)),24),"")</f>
        <v/>
      </c>
      <c r="X9" s="14">
        <v>20</v>
      </c>
      <c r="Y9" s="14">
        <f t="shared" ref="Y9:Y25" si="7">Y8+1</f>
        <v>2</v>
      </c>
    </row>
    <row r="10" spans="1:29">
      <c r="A10" s="83">
        <f>IF(D10=D9,A9,Y10)</f>
        <v>2</v>
      </c>
      <c r="B10" s="39" t="str">
        <f ca="1">INDIRECT(ADDRESS(2,10+INDIRECT(ADDRESS(ROW(),24)),,,"Chart"))</f>
        <v>Locklear, Dave Remote</v>
      </c>
      <c r="C10" s="40">
        <f>sumAcrossWkSheets(28,10,X10)</f>
        <v>0</v>
      </c>
      <c r="D10" s="40">
        <f>sumAcrossWkSheets(25,10,X10)</f>
        <v>35</v>
      </c>
      <c r="E10" s="25">
        <f>D10/games_completed</f>
        <v>0.58333333333333337</v>
      </c>
      <c r="F10" s="11">
        <f>$D$8-D10</f>
        <v>4</v>
      </c>
      <c r="G10" s="43">
        <v>2</v>
      </c>
      <c r="H10" s="20">
        <f>G10-A10</f>
        <v>0</v>
      </c>
      <c r="I10" s="17">
        <f ca="1">MAX(K10:W10)</f>
        <v>7</v>
      </c>
      <c r="J10" s="17">
        <f ca="1">MIN(K10:W10)</f>
        <v>4</v>
      </c>
      <c r="K10" s="46">
        <f ca="1">IF($D$2&gt;=(COLUMN()-10),HLOOKUP($B10,INDIRECT(ADDRESS(2,11,1,,K$3)):INDIRECT(ADDRESS(25,playercnt+10,1,,K$3)),24),"")</f>
        <v>6</v>
      </c>
      <c r="L10" s="46">
        <f ca="1">IF($D$2&gt;=(COLUMN()-10),HLOOKUP($B10,INDIRECT(ADDRESS(2,11,1,,L$3)):INDIRECT(ADDRESS(25,playercnt+10,1,,L$3)),24),"")</f>
        <v>7</v>
      </c>
      <c r="M10" s="46">
        <f ca="1">IF($D$2&gt;=(COLUMN()-10),HLOOKUP($B10,INDIRECT(ADDRESS(2,11,1,,M$3)):INDIRECT(ADDRESS(25,playercnt+10,1,,M$3)),24),"")</f>
        <v>5</v>
      </c>
      <c r="N10" s="46">
        <f ca="1">IF($D$2&gt;=(COLUMN()-10),HLOOKUP($B10,INDIRECT(ADDRESS(2,11,1,,N$3)):INDIRECT(ADDRESS(25,playercnt+10,1,,N$3)),24),"")</f>
        <v>7</v>
      </c>
      <c r="O10" s="46">
        <f ca="1">IF($D$2&gt;=(COLUMN()-10),HLOOKUP($B10,INDIRECT(ADDRESS(2,11,1,,O$3)):INDIRECT(ADDRESS(25,playercnt+10,1,,O$3)),24),"")</f>
        <v>4</v>
      </c>
      <c r="P10" s="46">
        <f ca="1">IF($D$2&gt;=(COLUMN()-10),HLOOKUP($B10,INDIRECT(ADDRESS(2,11,1,,P$3)):INDIRECT(ADDRESS(25,playercnt+10,1,,P$3)),24),"")</f>
        <v>6</v>
      </c>
      <c r="Q10" s="46" t="str">
        <f ca="1">IF($D$2&gt;=(COLUMN()-10),HLOOKUP($B10,INDIRECT(ADDRESS(2,11,1,,Q$3)):INDIRECT(ADDRESS(25,playercnt+10,1,,Q$3)),24),"")</f>
        <v/>
      </c>
      <c r="R10" s="46" t="str">
        <f ca="1">IF($D$2&gt;=(COLUMN()-10),HLOOKUP($B10,INDIRECT(ADDRESS(2,11,1,,R$3)):INDIRECT(ADDRESS(25,playercnt+10,1,,R$3)),24),"")</f>
        <v/>
      </c>
      <c r="S10" s="46" t="str">
        <f ca="1">IF($D$2&gt;=(COLUMN()-10),HLOOKUP($B10,INDIRECT(ADDRESS(2,11,1,,S$3)):INDIRECT(ADDRESS(25,playercnt+10,1,,S$3)),24),"")</f>
        <v/>
      </c>
      <c r="T10" s="46" t="str">
        <f ca="1">IF($D$2&gt;=(COLUMN()-10),HLOOKUP($B10,INDIRECT(ADDRESS(2,11,1,,T$3)):INDIRECT(ADDRESS(25,playercnt+10,1,,T$3)),24),"")</f>
        <v/>
      </c>
      <c r="U10" s="46" t="str">
        <f ca="1">IF($D$2&gt;=(COLUMN()-10),HLOOKUP($B10,INDIRECT(ADDRESS(2,11,1,,U$3)):INDIRECT(ADDRESS(25,playercnt+10,1,,U$3)),24),"")</f>
        <v/>
      </c>
      <c r="V10" s="46" t="str">
        <f ca="1">IF($D$2&gt;=(COLUMN()-10),HLOOKUP($B10,INDIRECT(ADDRESS(2,11,1,,V$3)):INDIRECT(ADDRESS(25,playercnt+10,1,,V$3)),24),"")</f>
        <v/>
      </c>
      <c r="W10" s="46" t="str">
        <f ca="1">IF($D$2&gt;=(COLUMN()-10),HLOOKUP($B10,INDIRECT(ADDRESS(2,11,1,,W$3)):INDIRECT(ADDRESS(25,playercnt+10,1,,W$3)),24),"")</f>
        <v/>
      </c>
      <c r="X10" s="47">
        <v>24</v>
      </c>
      <c r="Y10" s="14">
        <f t="shared" si="7"/>
        <v>3</v>
      </c>
    </row>
    <row r="11" spans="1:29">
      <c r="A11" s="83">
        <f>IF(D11=D10,A10,Y11)</f>
        <v>2</v>
      </c>
      <c r="B11" s="39" t="str">
        <f ca="1">INDIRECT(ADDRESS(2,10+INDIRECT(ADDRESS(ROW(),24)),,,"Chart"))</f>
        <v>Neeley, Amber Remote</v>
      </c>
      <c r="C11" s="40">
        <f>sumAcrossWkSheets(28,10,X11)</f>
        <v>0</v>
      </c>
      <c r="D11" s="40">
        <f>sumAcrossWkSheets(25,10,X11)</f>
        <v>35</v>
      </c>
      <c r="E11" s="25">
        <f>D11/games_completed</f>
        <v>0.58333333333333337</v>
      </c>
      <c r="F11" s="11">
        <f>$D$8-D11</f>
        <v>4</v>
      </c>
      <c r="G11" s="16">
        <v>2</v>
      </c>
      <c r="H11" s="20">
        <f>G11-A11</f>
        <v>0</v>
      </c>
      <c r="I11" s="17">
        <f ca="1">MAX(K11:W11)</f>
        <v>8</v>
      </c>
      <c r="J11" s="17">
        <f ca="1">MIN(K11:W11)</f>
        <v>5</v>
      </c>
      <c r="K11" s="46">
        <f ca="1">IF($D$2&gt;=(COLUMN()-10),HLOOKUP($B11,INDIRECT(ADDRESS(2,11,1,,K$3)):INDIRECT(ADDRESS(25,playercnt+10,1,,K$3)),24),"")</f>
        <v>5</v>
      </c>
      <c r="L11" s="46">
        <f ca="1">IF($D$2&gt;=(COLUMN()-10),HLOOKUP($B11,INDIRECT(ADDRESS(2,11,1,,L$3)):INDIRECT(ADDRESS(25,playercnt+10,1,,L$3)),24),"")</f>
        <v>8</v>
      </c>
      <c r="M11" s="46">
        <f ca="1">IF($D$2&gt;=(COLUMN()-10),HLOOKUP($B11,INDIRECT(ADDRESS(2,11,1,,M$3)):INDIRECT(ADDRESS(25,playercnt+10,1,,M$3)),24),"")</f>
        <v>6</v>
      </c>
      <c r="N11" s="46">
        <f ca="1">IF($D$2&gt;=(COLUMN()-10),HLOOKUP($B11,INDIRECT(ADDRESS(2,11,1,,N$3)):INDIRECT(ADDRESS(25,playercnt+10,1,,N$3)),24),"")</f>
        <v>5</v>
      </c>
      <c r="O11" s="46">
        <f ca="1">IF($D$2&gt;=(COLUMN()-10),HLOOKUP($B11,INDIRECT(ADDRESS(2,11,1,,O$3)):INDIRECT(ADDRESS(25,playercnt+10,1,,O$3)),24),"")</f>
        <v>5</v>
      </c>
      <c r="P11" s="46">
        <f ca="1">IF($D$2&gt;=(COLUMN()-10),HLOOKUP($B11,INDIRECT(ADDRESS(2,11,1,,P$3)):INDIRECT(ADDRESS(25,playercnt+10,1,,P$3)),24),"")</f>
        <v>6</v>
      </c>
      <c r="Q11" s="46" t="str">
        <f ca="1">IF($D$2&gt;=(COLUMN()-10),HLOOKUP($B11,INDIRECT(ADDRESS(2,11,1,,Q$3)):INDIRECT(ADDRESS(25,playercnt+10,1,,Q$3)),24),"")</f>
        <v/>
      </c>
      <c r="R11" s="46" t="str">
        <f ca="1">IF($D$2&gt;=(COLUMN()-10),HLOOKUP($B11,INDIRECT(ADDRESS(2,11,1,,R$3)):INDIRECT(ADDRESS(25,playercnt+10,1,,R$3)),24),"")</f>
        <v/>
      </c>
      <c r="S11" s="46" t="str">
        <f ca="1">IF($D$2&gt;=(COLUMN()-10),HLOOKUP($B11,INDIRECT(ADDRESS(2,11,1,,S$3)):INDIRECT(ADDRESS(25,playercnt+10,1,,S$3)),24),"")</f>
        <v/>
      </c>
      <c r="T11" s="46" t="str">
        <f ca="1">IF($D$2&gt;=(COLUMN()-10),HLOOKUP($B11,INDIRECT(ADDRESS(2,11,1,,T$3)):INDIRECT(ADDRESS(25,playercnt+10,1,,T$3)),24),"")</f>
        <v/>
      </c>
      <c r="U11" s="46" t="str">
        <f ca="1">IF($D$2&gt;=(COLUMN()-10),HLOOKUP($B11,INDIRECT(ADDRESS(2,11,1,,U$3)):INDIRECT(ADDRESS(25,playercnt+10,1,,U$3)),24),"")</f>
        <v/>
      </c>
      <c r="V11" s="46" t="str">
        <f ca="1">IF($D$2&gt;=(COLUMN()-10),HLOOKUP($B11,INDIRECT(ADDRESS(2,11,1,,V$3)):INDIRECT(ADDRESS(25,playercnt+10,1,,V$3)),24),"")</f>
        <v/>
      </c>
      <c r="W11" s="46" t="str">
        <f ca="1">IF($D$2&gt;=(COLUMN()-10),HLOOKUP($B11,INDIRECT(ADDRESS(2,11,1,,W$3)):INDIRECT(ADDRESS(25,playercnt+10,1,,W$3)),24),"")</f>
        <v/>
      </c>
      <c r="X11" s="14">
        <v>33</v>
      </c>
      <c r="Y11" s="14">
        <f t="shared" si="7"/>
        <v>4</v>
      </c>
    </row>
    <row r="12" spans="1:29">
      <c r="A12" s="83">
        <f>IF(D12=D11,A11,Y12)</f>
        <v>2</v>
      </c>
      <c r="B12" s="39" t="str">
        <f ca="1">INDIRECT(ADDRESS(2,10+INDIRECT(ADDRESS(ROW(),24)),,,"Chart"))</f>
        <v>Staub, Kevin</v>
      </c>
      <c r="C12" s="40">
        <f>sumAcrossWkSheets(28,10,X12)</f>
        <v>0</v>
      </c>
      <c r="D12" s="40">
        <f>sumAcrossWkSheets(25,10,X12)</f>
        <v>35</v>
      </c>
      <c r="E12" s="25">
        <f>D12/games_completed</f>
        <v>0.58333333333333337</v>
      </c>
      <c r="F12" s="11">
        <f>$D$8-D12</f>
        <v>4</v>
      </c>
      <c r="G12" s="43">
        <v>2</v>
      </c>
      <c r="H12" s="20">
        <f>G12-A12</f>
        <v>0</v>
      </c>
      <c r="I12" s="17">
        <f ca="1">MAX(K12:W12)</f>
        <v>8</v>
      </c>
      <c r="J12" s="17">
        <f ca="1">MIN(K12:W12)</f>
        <v>4</v>
      </c>
      <c r="K12" s="46">
        <f ca="1">IF($D$2&gt;=(COLUMN()-10),HLOOKUP($B12,INDIRECT(ADDRESS(2,11,1,,K$3)):INDIRECT(ADDRESS(25,playercnt+10,1,,K$3)),24),"")</f>
        <v>6</v>
      </c>
      <c r="L12" s="46">
        <f ca="1">IF($D$2&gt;=(COLUMN()-10),HLOOKUP($B12,INDIRECT(ADDRESS(2,11,1,,L$3)):INDIRECT(ADDRESS(25,playercnt+10,1,,L$3)),24),"")</f>
        <v>6</v>
      </c>
      <c r="M12" s="46">
        <f ca="1">IF($D$2&gt;=(COLUMN()-10),HLOOKUP($B12,INDIRECT(ADDRESS(2,11,1,,M$3)):INDIRECT(ADDRESS(25,playercnt+10,1,,M$3)),24),"")</f>
        <v>7</v>
      </c>
      <c r="N12" s="46">
        <f ca="1">IF($D$2&gt;=(COLUMN()-10),HLOOKUP($B12,INDIRECT(ADDRESS(2,11,1,,N$3)):INDIRECT(ADDRESS(25,playercnt+10,1,,N$3)),24),"")</f>
        <v>4</v>
      </c>
      <c r="O12" s="46">
        <f ca="1">IF($D$2&gt;=(COLUMN()-10),HLOOKUP($B12,INDIRECT(ADDRESS(2,11,1,,O$3)):INDIRECT(ADDRESS(25,playercnt+10,1,,O$3)),24),"")</f>
        <v>8</v>
      </c>
      <c r="P12" s="46">
        <f ca="1">IF($D$2&gt;=(COLUMN()-10),HLOOKUP($B12,INDIRECT(ADDRESS(2,11,1,,P$3)):INDIRECT(ADDRESS(25,playercnt+10,1,,P$3)),24),"")</f>
        <v>4</v>
      </c>
      <c r="Q12" s="46" t="str">
        <f ca="1">IF($D$2&gt;=(COLUMN()-10),HLOOKUP($B12,INDIRECT(ADDRESS(2,11,1,,Q$3)):INDIRECT(ADDRESS(25,playercnt+10,1,,Q$3)),24),"")</f>
        <v/>
      </c>
      <c r="R12" s="46" t="str">
        <f ca="1">IF($D$2&gt;=(COLUMN()-10),HLOOKUP($B12,INDIRECT(ADDRESS(2,11,1,,R$3)):INDIRECT(ADDRESS(25,playercnt+10,1,,R$3)),24),"")</f>
        <v/>
      </c>
      <c r="S12" s="46" t="str">
        <f ca="1">IF($D$2&gt;=(COLUMN()-10),HLOOKUP($B12,INDIRECT(ADDRESS(2,11,1,,S$3)):INDIRECT(ADDRESS(25,playercnt+10,1,,S$3)),24),"")</f>
        <v/>
      </c>
      <c r="T12" s="46" t="str">
        <f ca="1">IF($D$2&gt;=(COLUMN()-10),HLOOKUP($B12,INDIRECT(ADDRESS(2,11,1,,T$3)):INDIRECT(ADDRESS(25,playercnt+10,1,,T$3)),24),"")</f>
        <v/>
      </c>
      <c r="U12" s="46" t="str">
        <f ca="1">IF($D$2&gt;=(COLUMN()-10),HLOOKUP($B12,INDIRECT(ADDRESS(2,11,1,,U$3)):INDIRECT(ADDRESS(25,playercnt+10,1,,U$3)),24),"")</f>
        <v/>
      </c>
      <c r="V12" s="46" t="str">
        <f ca="1">IF($D$2&gt;=(COLUMN()-10),HLOOKUP($B12,INDIRECT(ADDRESS(2,11,1,,V$3)):INDIRECT(ADDRESS(25,playercnt+10,1,,V$3)),24),"")</f>
        <v/>
      </c>
      <c r="W12" s="46" t="str">
        <f ca="1">IF($D$2&gt;=(COLUMN()-10),HLOOKUP($B12,INDIRECT(ADDRESS(2,11,1,,W$3)):INDIRECT(ADDRESS(25,playercnt+10,1,,W$3)),24),"")</f>
        <v/>
      </c>
      <c r="X12" s="47">
        <v>46</v>
      </c>
      <c r="Y12" s="14">
        <f t="shared" si="7"/>
        <v>5</v>
      </c>
    </row>
    <row r="13" spans="1:29">
      <c r="A13" s="83">
        <f>IF(D13=D12,A12,Y13)</f>
        <v>6</v>
      </c>
      <c r="B13" s="39" t="str">
        <f ca="1">INDIRECT(ADDRESS(2,10+INDIRECT(ADDRESS(ROW(),24)),,,"Chart"))</f>
        <v>Beckwith, Greg</v>
      </c>
      <c r="C13" s="40">
        <f>sumAcrossWkSheets(28,10,X13)</f>
        <v>0</v>
      </c>
      <c r="D13" s="40">
        <f>sumAcrossWkSheets(25,10,X13)</f>
        <v>34</v>
      </c>
      <c r="E13" s="25">
        <f>D13/games_completed</f>
        <v>0.56666666666666665</v>
      </c>
      <c r="F13" s="11">
        <f>$D$8-D13</f>
        <v>5</v>
      </c>
      <c r="G13" s="16">
        <v>6</v>
      </c>
      <c r="H13" s="20">
        <f>G13-A13</f>
        <v>0</v>
      </c>
      <c r="I13" s="17">
        <f ca="1">MAX(K13:W13)</f>
        <v>8</v>
      </c>
      <c r="J13" s="17">
        <f ca="1">MIN(K13:W13)</f>
        <v>4</v>
      </c>
      <c r="K13" s="46">
        <f ca="1">IF($D$2&gt;=(COLUMN()-10),HLOOKUP($B13,INDIRECT(ADDRESS(2,11,1,,K$3)):INDIRECT(ADDRESS(25,playercnt+10,1,,K$3)),24),"")</f>
        <v>7</v>
      </c>
      <c r="L13" s="46">
        <f ca="1">IF($D$2&gt;=(COLUMN()-10),HLOOKUP($B13,INDIRECT(ADDRESS(2,11,1,,L$3)):INDIRECT(ADDRESS(25,playercnt+10,1,,L$3)),24),"")</f>
        <v>4</v>
      </c>
      <c r="M13" s="46">
        <f ca="1">IF($D$2&gt;=(COLUMN()-10),HLOOKUP($B13,INDIRECT(ADDRESS(2,11,1,,M$3)):INDIRECT(ADDRESS(25,playercnt+10,1,,M$3)),24),"")</f>
        <v>8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5</v>
      </c>
      <c r="P13" s="46">
        <f ca="1">IF($D$2&gt;=(COLUMN()-10),HLOOKUP($B13,INDIRECT(ADDRESS(2,11,1,,P$3)):INDIRECT(ADDRESS(25,playercnt+10,1,,P$3)),24),"")</f>
        <v>4</v>
      </c>
      <c r="Q13" s="46" t="str">
        <f ca="1">IF($D$2&gt;=(COLUMN()-10),HLOOKUP($B13,INDIRECT(ADDRESS(2,11,1,,Q$3)):INDIRECT(ADDRESS(25,playercnt+10,1,,Q$3)),24),"")</f>
        <v/>
      </c>
      <c r="R13" s="46" t="str">
        <f ca="1">IF($D$2&gt;=(COLUMN()-10),HLOOKUP($B13,INDIRECT(ADDRESS(2,11,1,,R$3)):INDIRECT(ADDRESS(25,playercnt+10,1,,R$3)),24),"")</f>
        <v/>
      </c>
      <c r="S13" s="46" t="str">
        <f ca="1">IF($D$2&gt;=(COLUMN()-10),HLOOKUP($B13,INDIRECT(ADDRESS(2,11,1,,S$3)):INDIRECT(ADDRESS(25,playercnt+10,1,,S$3)),24),"")</f>
        <v/>
      </c>
      <c r="T13" s="46" t="str">
        <f ca="1">IF($D$2&gt;=(COLUMN()-10),HLOOKUP($B13,INDIRECT(ADDRESS(2,11,1,,T$3)):INDIRECT(ADDRESS(25,playercnt+10,1,,T$3)),24),"")</f>
        <v/>
      </c>
      <c r="U13" s="46" t="str">
        <f ca="1">IF($D$2&gt;=(COLUMN()-10),HLOOKUP($B13,INDIRECT(ADDRESS(2,11,1,,U$3)):INDIRECT(ADDRESS(25,playercnt+10,1,,U$3)),24),"")</f>
        <v/>
      </c>
      <c r="V13" s="46" t="str">
        <f ca="1">IF($D$2&gt;=(COLUMN()-10),HLOOKUP($B13,INDIRECT(ADDRESS(2,11,1,,V$3)):INDIRECT(ADDRESS(25,playercnt+10,1,,V$3)),24),"")</f>
        <v/>
      </c>
      <c r="W13" s="46" t="str">
        <f ca="1">IF($D$2&gt;=(COLUMN()-10),HLOOKUP($B13,INDIRECT(ADDRESS(2,11,1,,W$3)):INDIRECT(ADDRESS(25,playercnt+10,1,,W$3)),24),"")</f>
        <v/>
      </c>
      <c r="X13" s="14">
        <v>4</v>
      </c>
      <c r="Y13" s="14">
        <f t="shared" si="7"/>
        <v>6</v>
      </c>
    </row>
    <row r="14" spans="1:29">
      <c r="A14" s="83">
        <f>IF(D14=D13,A13,Y14)</f>
        <v>6</v>
      </c>
      <c r="B14" s="39" t="str">
        <f ca="1">INDIRECT(ADDRESS(2,10+INDIRECT(ADDRESS(ROW(),24)),,,"Chart"))</f>
        <v>Fonville, Chris</v>
      </c>
      <c r="C14" s="40">
        <f>sumAcrossWkSheets(28,10,X14)</f>
        <v>0</v>
      </c>
      <c r="D14" s="40">
        <f>sumAcrossWkSheets(25,10,X14)</f>
        <v>34</v>
      </c>
      <c r="E14" s="25">
        <f>D14/games_completed</f>
        <v>0.56666666666666665</v>
      </c>
      <c r="F14" s="11">
        <f>$D$8-D14</f>
        <v>5</v>
      </c>
      <c r="G14" s="43">
        <v>6</v>
      </c>
      <c r="H14" s="20">
        <f>G14-A14</f>
        <v>0</v>
      </c>
      <c r="I14" s="17">
        <f ca="1">MAX(K14:W14)</f>
        <v>7</v>
      </c>
      <c r="J14" s="17">
        <f ca="1">MIN(K14:W14)</f>
        <v>4</v>
      </c>
      <c r="K14" s="46">
        <f ca="1">IF($D$2&gt;=(COLUMN()-10),HLOOKUP($B14,INDIRECT(ADDRESS(2,11,1,,K$3)):INDIRECT(ADDRESS(25,playercnt+10,1,,K$3)),24),"")</f>
        <v>7</v>
      </c>
      <c r="L14" s="46">
        <f ca="1">IF($D$2&gt;=(COLUMN()-10),HLOOKUP($B14,INDIRECT(ADDRESS(2,11,1,,L$3)):INDIRECT(ADDRESS(25,playercnt+10,1,,L$3)),24),"")</f>
        <v>5</v>
      </c>
      <c r="M14" s="46">
        <f ca="1">IF($D$2&gt;=(COLUMN()-10),HLOOKUP($B14,INDIRECT(ADDRESS(2,11,1,,M$3)):INDIRECT(ADDRESS(25,playercnt+10,1,,M$3)),24),"")</f>
        <v>6</v>
      </c>
      <c r="N14" s="46">
        <f ca="1">IF($D$2&gt;=(COLUMN()-10),HLOOKUP($B14,INDIRECT(ADDRESS(2,11,1,,N$3)):INDIRECT(ADDRESS(25,playercnt+10,1,,N$3)),24),"")</f>
        <v>4</v>
      </c>
      <c r="O14" s="46">
        <f ca="1">IF($D$2&gt;=(COLUMN()-10),HLOOKUP($B14,INDIRECT(ADDRESS(2,11,1,,O$3)):INDIRECT(ADDRESS(25,playercnt+10,1,,O$3)),24),"")</f>
        <v>7</v>
      </c>
      <c r="P14" s="46">
        <f ca="1">IF($D$2&gt;=(COLUMN()-10),HLOOKUP($B14,INDIRECT(ADDRESS(2,11,1,,P$3)):INDIRECT(ADDRESS(25,playercnt+10,1,,P$3)),24),"")</f>
        <v>5</v>
      </c>
      <c r="Q14" s="46" t="str">
        <f ca="1">IF($D$2&gt;=(COLUMN()-10),HLOOKUP($B14,INDIRECT(ADDRESS(2,11,1,,Q$3)):INDIRECT(ADDRESS(25,playercnt+10,1,,Q$3)),24),"")</f>
        <v/>
      </c>
      <c r="R14" s="46" t="str">
        <f ca="1">IF($D$2&gt;=(COLUMN()-10),HLOOKUP($B14,INDIRECT(ADDRESS(2,11,1,,R$3)):INDIRECT(ADDRESS(25,playercnt+10,1,,R$3)),24),"")</f>
        <v/>
      </c>
      <c r="S14" s="46" t="str">
        <f ca="1">IF($D$2&gt;=(COLUMN()-10),HLOOKUP($B14,INDIRECT(ADDRESS(2,11,1,,S$3)):INDIRECT(ADDRESS(25,playercnt+10,1,,S$3)),24),"")</f>
        <v/>
      </c>
      <c r="T14" s="46" t="str">
        <f ca="1">IF($D$2&gt;=(COLUMN()-10),HLOOKUP($B14,INDIRECT(ADDRESS(2,11,1,,T$3)):INDIRECT(ADDRESS(25,playercnt+10,1,,T$3)),24),"")</f>
        <v/>
      </c>
      <c r="U14" s="46" t="str">
        <f ca="1">IF($D$2&gt;=(COLUMN()-10),HLOOKUP($B14,INDIRECT(ADDRESS(2,11,1,,U$3)):INDIRECT(ADDRESS(25,playercnt+10,1,,U$3)),24),"")</f>
        <v/>
      </c>
      <c r="V14" s="46" t="str">
        <f ca="1">IF($D$2&gt;=(COLUMN()-10),HLOOKUP($B14,INDIRECT(ADDRESS(2,11,1,,V$3)):INDIRECT(ADDRESS(25,playercnt+10,1,,V$3)),24),"")</f>
        <v/>
      </c>
      <c r="W14" s="46" t="str">
        <f ca="1">IF($D$2&gt;=(COLUMN()-10),HLOOKUP($B14,INDIRECT(ADDRESS(2,11,1,,W$3)):INDIRECT(ADDRESS(25,playercnt+10,1,,W$3)),24),"")</f>
        <v/>
      </c>
      <c r="X14" s="47">
        <v>16</v>
      </c>
      <c r="Y14" s="14">
        <f t="shared" si="7"/>
        <v>7</v>
      </c>
    </row>
    <row r="15" spans="1:29">
      <c r="A15" s="83">
        <f>IF(D15=D14,A14,Y15)</f>
        <v>6</v>
      </c>
      <c r="B15" s="39" t="str">
        <f ca="1">INDIRECT(ADDRESS(2,10+INDIRECT(ADDRESS(ROW(),24)),,,"Chart"))</f>
        <v>Warren, Todd Remote</v>
      </c>
      <c r="C15" s="40">
        <f>sumAcrossWkSheets(28,10,X15)</f>
        <v>0</v>
      </c>
      <c r="D15" s="40">
        <f>sumAcrossWkSheets(25,10,X15)</f>
        <v>34</v>
      </c>
      <c r="E15" s="25">
        <f>D15/games_completed</f>
        <v>0.56666666666666665</v>
      </c>
      <c r="F15" s="11">
        <f>$D$8-D15</f>
        <v>5</v>
      </c>
      <c r="G15" s="16">
        <v>6</v>
      </c>
      <c r="H15" s="20">
        <f>G15-A15</f>
        <v>0</v>
      </c>
      <c r="I15" s="17">
        <f ca="1">MAX(K15:W15)</f>
        <v>7</v>
      </c>
      <c r="J15" s="17">
        <f ca="1">MIN(K15:W15)</f>
        <v>3</v>
      </c>
      <c r="K15" s="46">
        <f ca="1">IF($D$2&gt;=(COLUMN()-10),HLOOKUP($B15,INDIRECT(ADDRESS(2,11,1,,K$3)):INDIRECT(ADDRESS(25,playercnt+10,1,,K$3)),24),"")</f>
        <v>3</v>
      </c>
      <c r="L15" s="46">
        <f ca="1">IF($D$2&gt;=(COLUMN()-10),HLOOKUP($B15,INDIRECT(ADDRESS(2,11,1,,L$3)):INDIRECT(ADDRESS(25,playercnt+10,1,,L$3)),24),"")</f>
        <v>7</v>
      </c>
      <c r="M15" s="46">
        <f ca="1">IF($D$2&gt;=(COLUMN()-10),HLOOKUP($B15,INDIRECT(ADDRESS(2,11,1,,M$3)):INDIRECT(ADDRESS(25,playercnt+10,1,,M$3)),24),"")</f>
        <v>6</v>
      </c>
      <c r="N15" s="46">
        <f ca="1">IF($D$2&gt;=(COLUMN()-10),HLOOKUP($B15,INDIRECT(ADDRESS(2,11,1,,N$3)):INDIRECT(ADDRESS(25,playercnt+10,1,,N$3)),24),"")</f>
        <v>6</v>
      </c>
      <c r="O15" s="46">
        <f ca="1">IF($D$2&gt;=(COLUMN()-10),HLOOKUP($B15,INDIRECT(ADDRESS(2,11,1,,O$3)):INDIRECT(ADDRESS(25,playercnt+10,1,,O$3)),24),"")</f>
        <v>6</v>
      </c>
      <c r="P15" s="46">
        <f ca="1">IF($D$2&gt;=(COLUMN()-10),HLOOKUP($B15,INDIRECT(ADDRESS(2,11,1,,P$3)):INDIRECT(ADDRESS(25,playercnt+10,1,,P$3)),24),"")</f>
        <v>6</v>
      </c>
      <c r="Q15" s="46" t="str">
        <f ca="1">IF($D$2&gt;=(COLUMN()-10),HLOOKUP($B15,INDIRECT(ADDRESS(2,11,1,,Q$3)):INDIRECT(ADDRESS(25,playercnt+10,1,,Q$3)),24),"")</f>
        <v/>
      </c>
      <c r="R15" s="46" t="str">
        <f ca="1">IF($D$2&gt;=(COLUMN()-10),HLOOKUP($B15,INDIRECT(ADDRESS(2,11,1,,R$3)):INDIRECT(ADDRESS(25,playercnt+10,1,,R$3)),24),"")</f>
        <v/>
      </c>
      <c r="S15" s="46" t="str">
        <f ca="1">IF($D$2&gt;=(COLUMN()-10),HLOOKUP($B15,INDIRECT(ADDRESS(2,11,1,,S$3)):INDIRECT(ADDRESS(25,playercnt+10,1,,S$3)),24),"")</f>
        <v/>
      </c>
      <c r="T15" s="46" t="str">
        <f ca="1">IF($D$2&gt;=(COLUMN()-10),HLOOKUP($B15,INDIRECT(ADDRESS(2,11,1,,T$3)):INDIRECT(ADDRESS(25,playercnt+10,1,,T$3)),24),"")</f>
        <v/>
      </c>
      <c r="U15" s="46" t="str">
        <f ca="1">IF($D$2&gt;=(COLUMN()-10),HLOOKUP($B15,INDIRECT(ADDRESS(2,11,1,,U$3)):INDIRECT(ADDRESS(25,playercnt+10,1,,U$3)),24),"")</f>
        <v/>
      </c>
      <c r="V15" s="46" t="str">
        <f ca="1">IF($D$2&gt;=(COLUMN()-10),HLOOKUP($B15,INDIRECT(ADDRESS(2,11,1,,V$3)):INDIRECT(ADDRESS(25,playercnt+10,1,,V$3)),24),"")</f>
        <v/>
      </c>
      <c r="W15" s="46" t="str">
        <f ca="1">IF($D$2&gt;=(COLUMN()-10),HLOOKUP($B15,INDIRECT(ADDRESS(2,11,1,,W$3)):INDIRECT(ADDRESS(25,playercnt+10,1,,W$3)),24),"")</f>
        <v/>
      </c>
      <c r="X15" s="14">
        <v>52</v>
      </c>
      <c r="Y15" s="14">
        <f t="shared" si="7"/>
        <v>8</v>
      </c>
    </row>
    <row r="16" spans="1:29">
      <c r="A16" s="83">
        <f>IF(D16=D15,A15,Y16)</f>
        <v>9</v>
      </c>
      <c r="B16" s="39" t="str">
        <f ca="1">INDIRECT(ADDRESS(2,10+INDIRECT(ADDRESS(ROW(),24)),,,"Chart"))</f>
        <v>Edwards, Christopher S</v>
      </c>
      <c r="C16" s="40">
        <f>sumAcrossWkSheets(28,10,X16)</f>
        <v>0</v>
      </c>
      <c r="D16" s="40">
        <f>sumAcrossWkSheets(25,10,X16)</f>
        <v>32</v>
      </c>
      <c r="E16" s="25">
        <f>D16/games_completed</f>
        <v>0.53333333333333333</v>
      </c>
      <c r="F16" s="11">
        <f>$D$8-D16</f>
        <v>7</v>
      </c>
      <c r="G16" s="43">
        <v>9</v>
      </c>
      <c r="H16" s="20">
        <f>G16-A16</f>
        <v>0</v>
      </c>
      <c r="I16" s="17">
        <f ca="1">MAX(K16:W16)</f>
        <v>7</v>
      </c>
      <c r="J16" s="17">
        <f ca="1">MIN(K16:W16)</f>
        <v>4</v>
      </c>
      <c r="K16" s="46">
        <f ca="1">IF($D$2&gt;=(COLUMN()-10),HLOOKUP($B16,INDIRECT(ADDRESS(2,11,1,,K$3)):INDIRECT(ADDRESS(25,playercnt+10,1,,K$3)),24),"")</f>
        <v>5</v>
      </c>
      <c r="L16" s="46">
        <f ca="1">IF($D$2&gt;=(COLUMN()-10),HLOOKUP($B16,INDIRECT(ADDRESS(2,11,1,,L$3)):INDIRECT(ADDRESS(25,playercnt+10,1,,L$3)),24),"")</f>
        <v>5</v>
      </c>
      <c r="M16" s="46">
        <f ca="1">IF($D$2&gt;=(COLUMN()-10),HLOOKUP($B16,INDIRECT(ADDRESS(2,11,1,,M$3)):INDIRECT(ADDRESS(25,playercnt+10,1,,M$3)),24),"")</f>
        <v>5</v>
      </c>
      <c r="N16" s="46">
        <f ca="1">IF($D$2&gt;=(COLUMN()-10),HLOOKUP($B16,INDIRECT(ADDRESS(2,11,1,,N$3)):INDIRECT(ADDRESS(25,playercnt+10,1,,N$3)),24),"")</f>
        <v>7</v>
      </c>
      <c r="O16" s="46">
        <f ca="1">IF($D$2&gt;=(COLUMN()-10),HLOOKUP($B16,INDIRECT(ADDRESS(2,11,1,,O$3)):INDIRECT(ADDRESS(25,playercnt+10,1,,O$3)),24),"")</f>
        <v>4</v>
      </c>
      <c r="P16" s="46">
        <f ca="1">IF($D$2&gt;=(COLUMN()-10),HLOOKUP($B16,INDIRECT(ADDRESS(2,11,1,,P$3)):INDIRECT(ADDRESS(25,playercnt+10,1,,P$3)),24),"")</f>
        <v>6</v>
      </c>
      <c r="Q16" s="46" t="str">
        <f ca="1">IF($D$2&gt;=(COLUMN()-10),HLOOKUP($B16,INDIRECT(ADDRESS(2,11,1,,Q$3)):INDIRECT(ADDRESS(25,playercnt+10,1,,Q$3)),24),"")</f>
        <v/>
      </c>
      <c r="R16" s="46" t="str">
        <f ca="1">IF($D$2&gt;=(COLUMN()-10),HLOOKUP($B16,INDIRECT(ADDRESS(2,11,1,,R$3)):INDIRECT(ADDRESS(25,playercnt+10,1,,R$3)),24),"")</f>
        <v/>
      </c>
      <c r="S16" s="46" t="str">
        <f ca="1">IF($D$2&gt;=(COLUMN()-10),HLOOKUP($B16,INDIRECT(ADDRESS(2,11,1,,S$3)):INDIRECT(ADDRESS(25,playercnt+10,1,,S$3)),24),"")</f>
        <v/>
      </c>
      <c r="T16" s="46" t="str">
        <f ca="1">IF($D$2&gt;=(COLUMN()-10),HLOOKUP($B16,INDIRECT(ADDRESS(2,11,1,,T$3)):INDIRECT(ADDRESS(25,playercnt+10,1,,T$3)),24),"")</f>
        <v/>
      </c>
      <c r="U16" s="46" t="str">
        <f ca="1">IF($D$2&gt;=(COLUMN()-10),HLOOKUP($B16,INDIRECT(ADDRESS(2,11,1,,U$3)):INDIRECT(ADDRESS(25,playercnt+10,1,,U$3)),24),"")</f>
        <v/>
      </c>
      <c r="V16" s="46" t="str">
        <f ca="1">IF($D$2&gt;=(COLUMN()-10),HLOOKUP($B16,INDIRECT(ADDRESS(2,11,1,,V$3)):INDIRECT(ADDRESS(25,playercnt+10,1,,V$3)),24),"")</f>
        <v/>
      </c>
      <c r="W16" s="46" t="str">
        <f ca="1">IF($D$2&gt;=(COLUMN()-10),HLOOKUP($B16,INDIRECT(ADDRESS(2,11,1,,W$3)):INDIRECT(ADDRESS(25,playercnt+10,1,,W$3)),24),"")</f>
        <v/>
      </c>
      <c r="X16" s="47">
        <v>13</v>
      </c>
      <c r="Y16" s="14">
        <f t="shared" si="7"/>
        <v>9</v>
      </c>
    </row>
    <row r="17" spans="1:25">
      <c r="A17" s="83">
        <f>IF(D17=D16,A16,Y17)</f>
        <v>9</v>
      </c>
      <c r="B17" s="39" t="str">
        <f ca="1">INDIRECT(ADDRESS(2,10+INDIRECT(ADDRESS(ROW(),24)),,,"Chart"))</f>
        <v>Hendrick, Matt R</v>
      </c>
      <c r="C17" s="40">
        <f>sumAcrossWkSheets(28,10,X17)</f>
        <v>0</v>
      </c>
      <c r="D17" s="40">
        <f>sumAcrossWkSheets(25,10,X17)</f>
        <v>32</v>
      </c>
      <c r="E17" s="25">
        <f>D17/games_completed</f>
        <v>0.53333333333333333</v>
      </c>
      <c r="F17" s="11">
        <f>$D$8-D17</f>
        <v>7</v>
      </c>
      <c r="G17" s="16">
        <v>9</v>
      </c>
      <c r="H17" s="20">
        <f>G17-A17</f>
        <v>0</v>
      </c>
      <c r="I17" s="17">
        <f ca="1">MAX(K17:W17)</f>
        <v>6</v>
      </c>
      <c r="J17" s="17">
        <f ca="1">MIN(K17:W17)</f>
        <v>4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6</v>
      </c>
      <c r="M17" s="46">
        <f ca="1">IF($D$2&gt;=(COLUMN()-10),HLOOKUP($B17,INDIRECT(ADDRESS(2,11,1,,M$3)):INDIRECT(ADDRESS(25,playercnt+10,1,,M$3)),24),"")</f>
        <v>6</v>
      </c>
      <c r="N17" s="46">
        <f ca="1">IF($D$2&gt;=(COLUMN()-10),HLOOKUP($B17,INDIRECT(ADDRESS(2,11,1,,N$3)):INDIRECT(ADDRESS(25,playercnt+10,1,,N$3)),24),"")</f>
        <v>6</v>
      </c>
      <c r="O17" s="46">
        <f ca="1">IF($D$2&gt;=(COLUMN()-10),HLOOKUP($B17,INDIRECT(ADDRESS(2,11,1,,O$3)):INDIRECT(ADDRESS(25,playercnt+10,1,,O$3)),24),"")</f>
        <v>5</v>
      </c>
      <c r="P17" s="46">
        <f ca="1">IF($D$2&gt;=(COLUMN()-10),HLOOKUP($B17,INDIRECT(ADDRESS(2,11,1,,P$3)):INDIRECT(ADDRESS(25,playercnt+10,1,,P$3)),24),"")</f>
        <v>5</v>
      </c>
      <c r="Q17" s="46" t="str">
        <f ca="1">IF($D$2&gt;=(COLUMN()-10),HLOOKUP($B17,INDIRECT(ADDRESS(2,11,1,,Q$3)):INDIRECT(ADDRESS(25,playercnt+10,1,,Q$3)),24),"")</f>
        <v/>
      </c>
      <c r="R17" s="46" t="str">
        <f ca="1">IF($D$2&gt;=(COLUMN()-10),HLOOKUP($B17,INDIRECT(ADDRESS(2,11,1,,R$3)):INDIRECT(ADDRESS(25,playercnt+10,1,,R$3)),24),"")</f>
        <v/>
      </c>
      <c r="S17" s="46" t="str">
        <f ca="1">IF($D$2&gt;=(COLUMN()-10),HLOOKUP($B17,INDIRECT(ADDRESS(2,11,1,,S$3)):INDIRECT(ADDRESS(25,playercnt+10,1,,S$3)),24),"")</f>
        <v/>
      </c>
      <c r="T17" s="46" t="str">
        <f ca="1">IF($D$2&gt;=(COLUMN()-10),HLOOKUP($B17,INDIRECT(ADDRESS(2,11,1,,T$3)):INDIRECT(ADDRESS(25,playercnt+10,1,,T$3)),24),"")</f>
        <v/>
      </c>
      <c r="U17" s="46" t="str">
        <f ca="1">IF($D$2&gt;=(COLUMN()-10),HLOOKUP($B17,INDIRECT(ADDRESS(2,11,1,,U$3)):INDIRECT(ADDRESS(25,playercnt+10,1,,U$3)),24),"")</f>
        <v/>
      </c>
      <c r="V17" s="46" t="str">
        <f ca="1">IF($D$2&gt;=(COLUMN()-10),HLOOKUP($B17,INDIRECT(ADDRESS(2,11,1,,V$3)):INDIRECT(ADDRESS(25,playercnt+10,1,,V$3)),24),"")</f>
        <v/>
      </c>
      <c r="W17" s="46" t="str">
        <f ca="1">IF($D$2&gt;=(COLUMN()-10),HLOOKUP($B17,INDIRECT(ADDRESS(2,11,1,,W$3)):INDIRECT(ADDRESS(25,playercnt+10,1,,W$3)),24),"")</f>
        <v/>
      </c>
      <c r="X17" s="14">
        <v>18</v>
      </c>
      <c r="Y17" s="14">
        <f t="shared" si="7"/>
        <v>10</v>
      </c>
    </row>
    <row r="18" spans="1:25">
      <c r="A18" s="83">
        <f>IF(D18=D17,A17,Y18)</f>
        <v>9</v>
      </c>
      <c r="B18" s="39" t="str">
        <f ca="1">INDIRECT(ADDRESS(2,10+INDIRECT(ADDRESS(ROW(),24)),,,"Chart"))</f>
        <v>Neill, Charles H</v>
      </c>
      <c r="C18" s="40">
        <f>sumAcrossWkSheets(28,10,X18)</f>
        <v>0</v>
      </c>
      <c r="D18" s="40">
        <f>sumAcrossWkSheets(25,10,X18)</f>
        <v>32</v>
      </c>
      <c r="E18" s="25">
        <f>D18/games_completed</f>
        <v>0.53333333333333333</v>
      </c>
      <c r="F18" s="11">
        <f>$D$8-D18</f>
        <v>7</v>
      </c>
      <c r="G18" s="43">
        <v>9</v>
      </c>
      <c r="H18" s="20">
        <f>G18-A18</f>
        <v>0</v>
      </c>
      <c r="I18" s="17">
        <f ca="1">MAX(K18:W18)</f>
        <v>9</v>
      </c>
      <c r="J18" s="17">
        <f ca="1">MIN(K18:W18)</f>
        <v>2</v>
      </c>
      <c r="K18" s="46">
        <f ca="1">IF($D$2&gt;=(COLUMN()-10),HLOOKUP($B18,INDIRECT(ADDRESS(2,11,1,,K$3)):INDIRECT(ADDRESS(25,playercnt+10,1,,K$3)),24),"")</f>
        <v>9</v>
      </c>
      <c r="L18" s="46">
        <f ca="1">IF($D$2&gt;=(COLUMN()-10),HLOOKUP($B18,INDIRECT(ADDRESS(2,11,1,,L$3)):INDIRECT(ADDRESS(25,playercnt+10,1,,L$3)),24),"")</f>
        <v>2</v>
      </c>
      <c r="M18" s="46">
        <f ca="1">IF($D$2&gt;=(COLUMN()-10),HLOOKUP($B18,INDIRECT(ADDRESS(2,11,1,,M$3)):INDIRECT(ADDRESS(25,playercnt+10,1,,M$3)),24),"")</f>
        <v>7</v>
      </c>
      <c r="N18" s="46">
        <f ca="1">IF($D$2&gt;=(COLUMN()-10),HLOOKUP($B18,INDIRECT(ADDRESS(2,11,1,,N$3)):INDIRECT(ADDRESS(25,playercnt+10,1,,N$3)),24),"")</f>
        <v>3</v>
      </c>
      <c r="O18" s="46">
        <f ca="1">IF($D$2&gt;=(COLUMN()-10),HLOOKUP($B18,INDIRECT(ADDRESS(2,11,1,,O$3)):INDIRECT(ADDRESS(25,playercnt+10,1,,O$3)),24),"")</f>
        <v>6</v>
      </c>
      <c r="P18" s="46">
        <f ca="1">IF($D$2&gt;=(COLUMN()-10),HLOOKUP($B18,INDIRECT(ADDRESS(2,11,1,,P$3)):INDIRECT(ADDRESS(25,playercnt+10,1,,P$3)),24),"")</f>
        <v>5</v>
      </c>
      <c r="Q18" s="46" t="str">
        <f ca="1">IF($D$2&gt;=(COLUMN()-10),HLOOKUP($B18,INDIRECT(ADDRESS(2,11,1,,Q$3)):INDIRECT(ADDRESS(25,playercnt+10,1,,Q$3)),24),"")</f>
        <v/>
      </c>
      <c r="R18" s="46" t="str">
        <f ca="1">IF($D$2&gt;=(COLUMN()-10),HLOOKUP($B18,INDIRECT(ADDRESS(2,11,1,,R$3)):INDIRECT(ADDRESS(25,playercnt+10,1,,R$3)),24),"")</f>
        <v/>
      </c>
      <c r="S18" s="46" t="str">
        <f ca="1">IF($D$2&gt;=(COLUMN()-10),HLOOKUP($B18,INDIRECT(ADDRESS(2,11,1,,S$3)):INDIRECT(ADDRESS(25,playercnt+10,1,,S$3)),24),"")</f>
        <v/>
      </c>
      <c r="T18" s="46" t="str">
        <f ca="1">IF($D$2&gt;=(COLUMN()-10),HLOOKUP($B18,INDIRECT(ADDRESS(2,11,1,,T$3)):INDIRECT(ADDRESS(25,playercnt+10,1,,T$3)),24),"")</f>
        <v/>
      </c>
      <c r="U18" s="46" t="str">
        <f ca="1">IF($D$2&gt;=(COLUMN()-10),HLOOKUP($B18,INDIRECT(ADDRESS(2,11,1,,U$3)):INDIRECT(ADDRESS(25,playercnt+10,1,,U$3)),24),"")</f>
        <v/>
      </c>
      <c r="V18" s="46" t="str">
        <f ca="1">IF($D$2&gt;=(COLUMN()-10),HLOOKUP($B18,INDIRECT(ADDRESS(2,11,1,,V$3)):INDIRECT(ADDRESS(25,playercnt+10,1,,V$3)),24),"")</f>
        <v/>
      </c>
      <c r="W18" s="46" t="str">
        <f ca="1">IF($D$2&gt;=(COLUMN()-10),HLOOKUP($B18,INDIRECT(ADDRESS(2,11,1,,W$3)):INDIRECT(ADDRESS(25,playercnt+10,1,,W$3)),24),"")</f>
        <v/>
      </c>
      <c r="X18" s="47">
        <v>35</v>
      </c>
      <c r="Y18" s="14">
        <f t="shared" si="7"/>
        <v>11</v>
      </c>
    </row>
    <row r="19" spans="1:25">
      <c r="A19" s="83">
        <f>IF(D19=D18,A18,Y19)</f>
        <v>9</v>
      </c>
      <c r="B19" s="39" t="str">
        <f ca="1">INDIRECT(ADDRESS(2,10+INDIRECT(ADDRESS(ROW(),24)),,,"Chart"))</f>
        <v>Sams, David</v>
      </c>
      <c r="C19" s="40">
        <f>sumAcrossWkSheets(28,10,X19)</f>
        <v>0</v>
      </c>
      <c r="D19" s="40">
        <f>sumAcrossWkSheets(25,10,X19)</f>
        <v>32</v>
      </c>
      <c r="E19" s="25">
        <f>D19/games_completed</f>
        <v>0.53333333333333333</v>
      </c>
      <c r="F19" s="11">
        <f>$D$8-D19</f>
        <v>7</v>
      </c>
      <c r="G19" s="16">
        <v>9</v>
      </c>
      <c r="H19" s="20">
        <f>G19-A19</f>
        <v>0</v>
      </c>
      <c r="I19" s="17">
        <f ca="1">MAX(K19:W19)</f>
        <v>7</v>
      </c>
      <c r="J19" s="17">
        <f ca="1">MIN(K19:W19)</f>
        <v>4</v>
      </c>
      <c r="K19" s="46">
        <f ca="1">IF($D$2&gt;=(COLUMN()-10),HLOOKUP($B19,INDIRECT(ADDRESS(2,11,1,,K$3)):INDIRECT(ADDRESS(25,playercnt+10,1,,K$3)),24),"")</f>
        <v>5</v>
      </c>
      <c r="L19" s="46">
        <f ca="1">IF($D$2&gt;=(COLUMN()-10),HLOOKUP($B19,INDIRECT(ADDRESS(2,11,1,,L$3)):INDIRECT(ADDRESS(25,playercnt+10,1,,L$3)),24),"")</f>
        <v>4</v>
      </c>
      <c r="M19" s="46">
        <f ca="1">IF($D$2&gt;=(COLUMN()-10),HLOOKUP($B19,INDIRECT(ADDRESS(2,11,1,,M$3)):INDIRECT(ADDRESS(25,playercnt+10,1,,M$3)),24),"")</f>
        <v>7</v>
      </c>
      <c r="N19" s="46">
        <f ca="1">IF($D$2&gt;=(COLUMN()-10),HLOOKUP($B19,INDIRECT(ADDRESS(2,11,1,,N$3)):INDIRECT(ADDRESS(25,playercnt+10,1,,N$3)),24),"")</f>
        <v>7</v>
      </c>
      <c r="O19" s="46">
        <f ca="1">IF($D$2&gt;=(COLUMN()-10),HLOOKUP($B19,INDIRECT(ADDRESS(2,11,1,,O$3)):INDIRECT(ADDRESS(25,playercnt+10,1,,O$3)),24),"")</f>
        <v>5</v>
      </c>
      <c r="P19" s="46">
        <f ca="1">IF($D$2&gt;=(COLUMN()-10),HLOOKUP($B19,INDIRECT(ADDRESS(2,11,1,,P$3)):INDIRECT(ADDRESS(25,playercnt+10,1,,P$3)),24),"")</f>
        <v>4</v>
      </c>
      <c r="Q19" s="46" t="str">
        <f ca="1">IF($D$2&gt;=(COLUMN()-10),HLOOKUP($B19,INDIRECT(ADDRESS(2,11,1,,Q$3)):INDIRECT(ADDRESS(25,playercnt+10,1,,Q$3)),24),"")</f>
        <v/>
      </c>
      <c r="R19" s="46" t="str">
        <f ca="1">IF($D$2&gt;=(COLUMN()-10),HLOOKUP($B19,INDIRECT(ADDRESS(2,11,1,,R$3)):INDIRECT(ADDRESS(25,playercnt+10,1,,R$3)),24),"")</f>
        <v/>
      </c>
      <c r="S19" s="46" t="str">
        <f ca="1">IF($D$2&gt;=(COLUMN()-10),HLOOKUP($B19,INDIRECT(ADDRESS(2,11,1,,S$3)):INDIRECT(ADDRESS(25,playercnt+10,1,,S$3)),24),"")</f>
        <v/>
      </c>
      <c r="T19" s="46" t="str">
        <f ca="1">IF($D$2&gt;=(COLUMN()-10),HLOOKUP($B19,INDIRECT(ADDRESS(2,11,1,,T$3)):INDIRECT(ADDRESS(25,playercnt+10,1,,T$3)),24),"")</f>
        <v/>
      </c>
      <c r="U19" s="46" t="str">
        <f ca="1">IF($D$2&gt;=(COLUMN()-10),HLOOKUP($B19,INDIRECT(ADDRESS(2,11,1,,U$3)):INDIRECT(ADDRESS(25,playercnt+10,1,,U$3)),24),"")</f>
        <v/>
      </c>
      <c r="V19" s="46" t="str">
        <f ca="1">IF($D$2&gt;=(COLUMN()-10),HLOOKUP($B19,INDIRECT(ADDRESS(2,11,1,,V$3)):INDIRECT(ADDRESS(25,playercnt+10,1,,V$3)),24),"")</f>
        <v/>
      </c>
      <c r="W19" s="46" t="str">
        <f ca="1">IF($D$2&gt;=(COLUMN()-10),HLOOKUP($B19,INDIRECT(ADDRESS(2,11,1,,W$3)):INDIRECT(ADDRESS(25,playercnt+10,1,,W$3)),24),"")</f>
        <v/>
      </c>
      <c r="X19" s="14">
        <v>44</v>
      </c>
      <c r="Y19" s="14">
        <f t="shared" si="7"/>
        <v>12</v>
      </c>
    </row>
    <row r="20" spans="1:25">
      <c r="A20" s="83">
        <f>IF(D20=D19,A19,Y20)</f>
        <v>9</v>
      </c>
      <c r="B20" s="39" t="str">
        <f ca="1">INDIRECT(ADDRESS(2,10+INDIRECT(ADDRESS(ROW(),24)),,,"Chart"))</f>
        <v>Warren, Jason</v>
      </c>
      <c r="C20" s="40">
        <f>sumAcrossWkSheets(28,10,X20)</f>
        <v>0</v>
      </c>
      <c r="D20" s="40">
        <f>sumAcrossWkSheets(25,10,X20)</f>
        <v>32</v>
      </c>
      <c r="E20" s="25">
        <f>D20/games_completed</f>
        <v>0.53333333333333333</v>
      </c>
      <c r="F20" s="11">
        <f>$D$8-D20</f>
        <v>7</v>
      </c>
      <c r="G20" s="43">
        <v>9</v>
      </c>
      <c r="H20" s="20">
        <f>G20-A20</f>
        <v>0</v>
      </c>
      <c r="I20" s="17">
        <f ca="1">MAX(K20:W20)</f>
        <v>9</v>
      </c>
      <c r="J20" s="17">
        <f ca="1">MIN(K20:W20)</f>
        <v>3</v>
      </c>
      <c r="K20" s="46">
        <f ca="1">IF($D$2&gt;=(COLUMN()-10),HLOOKUP($B20,INDIRECT(ADDRESS(2,11,1,,K$3)):INDIRECT(ADDRESS(25,playercnt+10,1,,K$3)),24),"")</f>
        <v>9</v>
      </c>
      <c r="L20" s="46">
        <f ca="1">IF($D$2&gt;=(COLUMN()-10),HLOOKUP($B20,INDIRECT(ADDRESS(2,11,1,,L$3)):INDIRECT(ADDRESS(25,playercnt+10,1,,L$3)),24),"")</f>
        <v>6</v>
      </c>
      <c r="M20" s="46">
        <f ca="1">IF($D$2&gt;=(COLUMN()-10),HLOOKUP($B20,INDIRECT(ADDRESS(2,11,1,,M$3)):INDIRECT(ADDRESS(25,playercnt+10,1,,M$3)),24),"")</f>
        <v>5</v>
      </c>
      <c r="N20" s="46">
        <f ca="1">IF($D$2&gt;=(COLUMN()-10),HLOOKUP($B20,INDIRECT(ADDRESS(2,11,1,,N$3)):INDIRECT(ADDRESS(25,playercnt+10,1,,N$3)),24),"")</f>
        <v>6</v>
      </c>
      <c r="O20" s="46">
        <f ca="1">IF($D$2&gt;=(COLUMN()-10),HLOOKUP($B20,INDIRECT(ADDRESS(2,11,1,,O$3)):INDIRECT(ADDRESS(25,playercnt+10,1,,O$3)),24),"")</f>
        <v>3</v>
      </c>
      <c r="P20" s="46">
        <f ca="1">IF($D$2&gt;=(COLUMN()-10),HLOOKUP($B20,INDIRECT(ADDRESS(2,11,1,,P$3)):INDIRECT(ADDRESS(25,playercnt+10,1,,P$3)),24),"")</f>
        <v>3</v>
      </c>
      <c r="Q20" s="46" t="str">
        <f ca="1">IF($D$2&gt;=(COLUMN()-10),HLOOKUP($B20,INDIRECT(ADDRESS(2,11,1,,Q$3)):INDIRECT(ADDRESS(25,playercnt+10,1,,Q$3)),24),"")</f>
        <v/>
      </c>
      <c r="R20" s="46" t="str">
        <f ca="1">IF($D$2&gt;=(COLUMN()-10),HLOOKUP($B20,INDIRECT(ADDRESS(2,11,1,,R$3)):INDIRECT(ADDRESS(25,playercnt+10,1,,R$3)),24),"")</f>
        <v/>
      </c>
      <c r="S20" s="46" t="str">
        <f ca="1">IF($D$2&gt;=(COLUMN()-10),HLOOKUP($B20,INDIRECT(ADDRESS(2,11,1,,S$3)):INDIRECT(ADDRESS(25,playercnt+10,1,,S$3)),24),"")</f>
        <v/>
      </c>
      <c r="T20" s="46" t="str">
        <f ca="1">IF($D$2&gt;=(COLUMN()-10),HLOOKUP($B20,INDIRECT(ADDRESS(2,11,1,,T$3)):INDIRECT(ADDRESS(25,playercnt+10,1,,T$3)),24),"")</f>
        <v/>
      </c>
      <c r="U20" s="46" t="str">
        <f ca="1">IF($D$2&gt;=(COLUMN()-10),HLOOKUP($B20,INDIRECT(ADDRESS(2,11,1,,U$3)):INDIRECT(ADDRESS(25,playercnt+10,1,,U$3)),24),"")</f>
        <v/>
      </c>
      <c r="V20" s="46" t="str">
        <f ca="1">IF($D$2&gt;=(COLUMN()-10),HLOOKUP($B20,INDIRECT(ADDRESS(2,11,1,,V$3)):INDIRECT(ADDRESS(25,playercnt+10,1,,V$3)),24),"")</f>
        <v/>
      </c>
      <c r="W20" s="46" t="str">
        <f ca="1">IF($D$2&gt;=(COLUMN()-10),HLOOKUP($B20,INDIRECT(ADDRESS(2,11,1,,W$3)):INDIRECT(ADDRESS(25,playercnt+10,1,,W$3)),24),"")</f>
        <v/>
      </c>
      <c r="X20" s="47">
        <v>51</v>
      </c>
      <c r="Y20" s="14">
        <f t="shared" si="7"/>
        <v>13</v>
      </c>
    </row>
    <row r="21" spans="1:25">
      <c r="A21" s="83">
        <f>IF(D21=D20,A20,Y21)</f>
        <v>14</v>
      </c>
      <c r="B21" s="39" t="str">
        <f ca="1">INDIRECT(ADDRESS(2,10+INDIRECT(ADDRESS(ROW(),24)),,,"Chart"))</f>
        <v>Reams, Byron L</v>
      </c>
      <c r="C21" s="40">
        <f>sumAcrossWkSheets(28,10,X21)</f>
        <v>0</v>
      </c>
      <c r="D21" s="40">
        <f>sumAcrossWkSheets(25,10,X21)</f>
        <v>31</v>
      </c>
      <c r="E21" s="25">
        <f>D21/games_completed</f>
        <v>0.51666666666666672</v>
      </c>
      <c r="F21" s="11">
        <f>$D$8-D21</f>
        <v>8</v>
      </c>
      <c r="G21" s="16">
        <v>14</v>
      </c>
      <c r="H21" s="20">
        <f>G21-A21</f>
        <v>0</v>
      </c>
      <c r="I21" s="17">
        <f ca="1">MAX(K21:W21)</f>
        <v>8</v>
      </c>
      <c r="J21" s="17">
        <f ca="1">MIN(K21:W21)</f>
        <v>2</v>
      </c>
      <c r="K21" s="46">
        <f ca="1">IF($D$2&gt;=(COLUMN()-10),HLOOKUP($B21,INDIRECT(ADDRESS(2,11,1,,K$3)):INDIRECT(ADDRESS(25,playercnt+10,1,,K$3)),24),"")</f>
        <v>8</v>
      </c>
      <c r="L21" s="46">
        <f ca="1">IF($D$2&gt;=(COLUMN()-10),HLOOKUP($B21,INDIRECT(ADDRESS(2,11,1,,L$3)):INDIRECT(ADDRESS(25,playercnt+10,1,,L$3)),24),"")</f>
        <v>3</v>
      </c>
      <c r="M21" s="46">
        <f ca="1">IF($D$2&gt;=(COLUMN()-10),HLOOKUP($B21,INDIRECT(ADDRESS(2,11,1,,M$3)):INDIRECT(ADDRESS(25,playercnt+10,1,,M$3)),24),"")</f>
        <v>6</v>
      </c>
      <c r="N21" s="46">
        <f ca="1">IF($D$2&gt;=(COLUMN()-10),HLOOKUP($B21,INDIRECT(ADDRESS(2,11,1,,N$3)):INDIRECT(ADDRESS(25,playercnt+10,1,,N$3)),24),"")</f>
        <v>6</v>
      </c>
      <c r="O21" s="46">
        <f ca="1">IF($D$2&gt;=(COLUMN()-10),HLOOKUP($B21,INDIRECT(ADDRESS(2,11,1,,O$3)):INDIRECT(ADDRESS(25,playercnt+10,1,,O$3)),24),"")</f>
        <v>2</v>
      </c>
      <c r="P21" s="46">
        <f ca="1">IF($D$2&gt;=(COLUMN()-10),HLOOKUP($B21,INDIRECT(ADDRESS(2,11,1,,P$3)):INDIRECT(ADDRESS(25,playercnt+10,1,,P$3)),24),"")</f>
        <v>6</v>
      </c>
      <c r="Q21" s="46" t="str">
        <f ca="1">IF($D$2&gt;=(COLUMN()-10),HLOOKUP($B21,INDIRECT(ADDRESS(2,11,1,,Q$3)):INDIRECT(ADDRESS(25,playercnt+10,1,,Q$3)),24),"")</f>
        <v/>
      </c>
      <c r="R21" s="46" t="str">
        <f ca="1">IF($D$2&gt;=(COLUMN()-10),HLOOKUP($B21,INDIRECT(ADDRESS(2,11,1,,R$3)):INDIRECT(ADDRESS(25,playercnt+10,1,,R$3)),24),"")</f>
        <v/>
      </c>
      <c r="S21" s="46" t="str">
        <f ca="1">IF($D$2&gt;=(COLUMN()-10),HLOOKUP($B21,INDIRECT(ADDRESS(2,11,1,,S$3)):INDIRECT(ADDRESS(25,playercnt+10,1,,S$3)),24),"")</f>
        <v/>
      </c>
      <c r="T21" s="46" t="str">
        <f ca="1">IF($D$2&gt;=(COLUMN()-10),HLOOKUP($B21,INDIRECT(ADDRESS(2,11,1,,T$3)):INDIRECT(ADDRESS(25,playercnt+10,1,,T$3)),24),"")</f>
        <v/>
      </c>
      <c r="U21" s="46" t="str">
        <f ca="1">IF($D$2&gt;=(COLUMN()-10),HLOOKUP($B21,INDIRECT(ADDRESS(2,11,1,,U$3)):INDIRECT(ADDRESS(25,playercnt+10,1,,U$3)),24),"")</f>
        <v/>
      </c>
      <c r="V21" s="46" t="str">
        <f ca="1">IF($D$2&gt;=(COLUMN()-10),HLOOKUP($B21,INDIRECT(ADDRESS(2,11,1,,V$3)):INDIRECT(ADDRESS(25,playercnt+10,1,,V$3)),24),"")</f>
        <v/>
      </c>
      <c r="W21" s="46" t="str">
        <f ca="1">IF($D$2&gt;=(COLUMN()-10),HLOOKUP($B21,INDIRECT(ADDRESS(2,11,1,,W$3)):INDIRECT(ADDRESS(25,playercnt+10,1,,W$3)),24),"")</f>
        <v/>
      </c>
      <c r="X21" s="14">
        <v>40</v>
      </c>
      <c r="Y21" s="14">
        <f t="shared" si="7"/>
        <v>14</v>
      </c>
    </row>
    <row r="22" spans="1:25">
      <c r="A22" s="83">
        <f>IF(D22=D21,A21,Y22)</f>
        <v>15</v>
      </c>
      <c r="B22" s="39" t="str">
        <f ca="1">INDIRECT(ADDRESS(2,10+INDIRECT(ADDRESS(ROW(),24)),,,"Chart"))</f>
        <v>Aaron, Chip</v>
      </c>
      <c r="C22" s="40">
        <f>sumAcrossWkSheets(28,10,X22)</f>
        <v>0</v>
      </c>
      <c r="D22" s="40">
        <f>sumAcrossWkSheets(25,10,X22)</f>
        <v>30</v>
      </c>
      <c r="E22" s="25">
        <f>D22/games_completed</f>
        <v>0.5</v>
      </c>
      <c r="F22" s="11">
        <f>$D$8-D22</f>
        <v>9</v>
      </c>
      <c r="G22" s="43">
        <v>15</v>
      </c>
      <c r="H22" s="20">
        <f>G22-A22</f>
        <v>0</v>
      </c>
      <c r="I22" s="17">
        <f ca="1">MAX(K22:W22)</f>
        <v>8</v>
      </c>
      <c r="J22" s="17">
        <f ca="1">MIN(K22:W22)</f>
        <v>3</v>
      </c>
      <c r="K22" s="46">
        <f ca="1">IF($D$2&gt;=(COLUMN()-10),HLOOKUP($B22,INDIRECT(ADDRESS(2,11,1,,K$3)):INDIRECT(ADDRESS(25,playercnt+10,1,,K$3)),24),"")</f>
        <v>6</v>
      </c>
      <c r="L22" s="46">
        <f ca="1">IF($D$2&gt;=(COLUMN()-10),HLOOKUP($B22,INDIRECT(ADDRESS(2,11,1,,L$3)):INDIRECT(ADDRESS(25,playercnt+10,1,,L$3)),24),"")</f>
        <v>3</v>
      </c>
      <c r="M22" s="46">
        <f ca="1">IF($D$2&gt;=(COLUMN()-10),HLOOKUP($B22,INDIRECT(ADDRESS(2,11,1,,M$3)):INDIRECT(ADDRESS(25,playercnt+10,1,,M$3)),24),"")</f>
        <v>8</v>
      </c>
      <c r="N22" s="46">
        <f ca="1">IF($D$2&gt;=(COLUMN()-10),HLOOKUP($B22,INDIRECT(ADDRESS(2,11,1,,N$3)):INDIRECT(ADDRESS(25,playercnt+10,1,,N$3)),24),"")</f>
        <v>4</v>
      </c>
      <c r="O22" s="46">
        <f ca="1">IF($D$2&gt;=(COLUMN()-10),HLOOKUP($B22,INDIRECT(ADDRESS(2,11,1,,O$3)):INDIRECT(ADDRESS(25,playercnt+10,1,,O$3)),24),"")</f>
        <v>5</v>
      </c>
      <c r="P22" s="46">
        <f ca="1">IF($D$2&gt;=(COLUMN()-10),HLOOKUP($B22,INDIRECT(ADDRESS(2,11,1,,P$3)):INDIRECT(ADDRESS(25,playercnt+10,1,,P$3)),24),"")</f>
        <v>4</v>
      </c>
      <c r="Q22" s="46" t="str">
        <f ca="1">IF($D$2&gt;=(COLUMN()-10),HLOOKUP($B22,INDIRECT(ADDRESS(2,11,1,,Q$3)):INDIRECT(ADDRESS(25,playercnt+10,1,,Q$3)),24),"")</f>
        <v/>
      </c>
      <c r="R22" s="46" t="str">
        <f ca="1">IF($D$2&gt;=(COLUMN()-10),HLOOKUP($B22,INDIRECT(ADDRESS(2,11,1,,R$3)):INDIRECT(ADDRESS(25,playercnt+10,1,,R$3)),24),"")</f>
        <v/>
      </c>
      <c r="S22" s="46" t="str">
        <f ca="1">IF($D$2&gt;=(COLUMN()-10),HLOOKUP($B22,INDIRECT(ADDRESS(2,11,1,,S$3)):INDIRECT(ADDRESS(25,playercnt+10,1,,S$3)),24),"")</f>
        <v/>
      </c>
      <c r="T22" s="46" t="str">
        <f ca="1">IF($D$2&gt;=(COLUMN()-10),HLOOKUP($B22,INDIRECT(ADDRESS(2,11,1,,T$3)):INDIRECT(ADDRESS(25,playercnt+10,1,,T$3)),24),"")</f>
        <v/>
      </c>
      <c r="U22" s="46" t="str">
        <f ca="1">IF($D$2&gt;=(COLUMN()-10),HLOOKUP($B22,INDIRECT(ADDRESS(2,11,1,,U$3)):INDIRECT(ADDRESS(25,playercnt+10,1,,U$3)),24),"")</f>
        <v/>
      </c>
      <c r="V22" s="46" t="str">
        <f ca="1">IF($D$2&gt;=(COLUMN()-10),HLOOKUP($B22,INDIRECT(ADDRESS(2,11,1,,V$3)):INDIRECT(ADDRESS(25,playercnt+10,1,,V$3)),24),"")</f>
        <v/>
      </c>
      <c r="W22" s="46" t="str">
        <f ca="1">IF($D$2&gt;=(COLUMN()-10),HLOOKUP($B22,INDIRECT(ADDRESS(2,11,1,,W$3)):INDIRECT(ADDRESS(25,playercnt+10,1,,W$3)),24),"")</f>
        <v/>
      </c>
      <c r="X22" s="47">
        <v>1</v>
      </c>
      <c r="Y22" s="14">
        <f t="shared" si="7"/>
        <v>15</v>
      </c>
    </row>
    <row r="23" spans="1:25">
      <c r="A23" s="83">
        <f>IF(D23=D22,A22,Y23)</f>
        <v>15</v>
      </c>
      <c r="B23" s="39" t="str">
        <f ca="1">INDIRECT(ADDRESS(2,10+INDIRECT(ADDRESS(ROW(),24)),,,"Chart"))</f>
        <v>Drebin, James</v>
      </c>
      <c r="C23" s="40">
        <f>sumAcrossWkSheets(28,10,X23)</f>
        <v>0</v>
      </c>
      <c r="D23" s="40">
        <f>sumAcrossWkSheets(25,10,X23)</f>
        <v>30</v>
      </c>
      <c r="E23" s="25">
        <f>D23/games_completed</f>
        <v>0.5</v>
      </c>
      <c r="F23" s="11">
        <f>$D$8-D23</f>
        <v>9</v>
      </c>
      <c r="G23" s="16">
        <v>15</v>
      </c>
      <c r="H23" s="20">
        <f>G23-A23</f>
        <v>0</v>
      </c>
      <c r="I23" s="17">
        <f ca="1">MAX(K23:W23)</f>
        <v>6</v>
      </c>
      <c r="J23" s="17">
        <f ca="1">MIN(K23:W23)</f>
        <v>3</v>
      </c>
      <c r="K23" s="46">
        <f ca="1">IF($D$2&gt;=(COLUMN()-10),HLOOKUP($B23,INDIRECT(ADDRESS(2,11,1,,K$3)):INDIRECT(ADDRESS(25,playercnt+10,1,,K$3)),24),"")</f>
        <v>6</v>
      </c>
      <c r="L23" s="46">
        <f ca="1">IF($D$2&gt;=(COLUMN()-10),HLOOKUP($B23,INDIRECT(ADDRESS(2,11,1,,L$3)):INDIRECT(ADDRESS(25,playercnt+10,1,,L$3)),24),"")</f>
        <v>6</v>
      </c>
      <c r="M23" s="46">
        <f ca="1">IF($D$2&gt;=(COLUMN()-10),HLOOKUP($B23,INDIRECT(ADDRESS(2,11,1,,M$3)):INDIRECT(ADDRESS(25,playercnt+10,1,,M$3)),24),"")</f>
        <v>5</v>
      </c>
      <c r="N23" s="46">
        <f ca="1">IF($D$2&gt;=(COLUMN()-10),HLOOKUP($B23,INDIRECT(ADDRESS(2,11,1,,N$3)):INDIRECT(ADDRESS(25,playercnt+10,1,,N$3)),24),"")</f>
        <v>3</v>
      </c>
      <c r="O23" s="46">
        <f ca="1">IF($D$2&gt;=(COLUMN()-10),HLOOKUP($B23,INDIRECT(ADDRESS(2,11,1,,O$3)):INDIRECT(ADDRESS(25,playercnt+10,1,,O$3)),24),"")</f>
        <v>5</v>
      </c>
      <c r="P23" s="46">
        <f ca="1">IF($D$2&gt;=(COLUMN()-10),HLOOKUP($B23,INDIRECT(ADDRESS(2,11,1,,P$3)):INDIRECT(ADDRESS(25,playercnt+10,1,,P$3)),24),"")</f>
        <v>5</v>
      </c>
      <c r="Q23" s="46" t="str">
        <f ca="1">IF($D$2&gt;=(COLUMN()-10),HLOOKUP($B23,INDIRECT(ADDRESS(2,11,1,,Q$3)):INDIRECT(ADDRESS(25,playercnt+10,1,,Q$3)),24),"")</f>
        <v/>
      </c>
      <c r="R23" s="46" t="str">
        <f ca="1">IF($D$2&gt;=(COLUMN()-10),HLOOKUP($B23,INDIRECT(ADDRESS(2,11,1,,R$3)):INDIRECT(ADDRESS(25,playercnt+10,1,,R$3)),24),"")</f>
        <v/>
      </c>
      <c r="S23" s="46" t="str">
        <f ca="1">IF($D$2&gt;=(COLUMN()-10),HLOOKUP($B23,INDIRECT(ADDRESS(2,11,1,,S$3)):INDIRECT(ADDRESS(25,playercnt+10,1,,S$3)),24),"")</f>
        <v/>
      </c>
      <c r="T23" s="46" t="str">
        <f ca="1">IF($D$2&gt;=(COLUMN()-10),HLOOKUP($B23,INDIRECT(ADDRESS(2,11,1,,T$3)):INDIRECT(ADDRESS(25,playercnt+10,1,,T$3)),24),"")</f>
        <v/>
      </c>
      <c r="U23" s="46" t="str">
        <f ca="1">IF($D$2&gt;=(COLUMN()-10),HLOOKUP($B23,INDIRECT(ADDRESS(2,11,1,,U$3)):INDIRECT(ADDRESS(25,playercnt+10,1,,U$3)),24),"")</f>
        <v/>
      </c>
      <c r="V23" s="46" t="str">
        <f ca="1">IF($D$2&gt;=(COLUMN()-10),HLOOKUP($B23,INDIRECT(ADDRESS(2,11,1,,V$3)):INDIRECT(ADDRESS(25,playercnt+10,1,,V$3)),24),"")</f>
        <v/>
      </c>
      <c r="W23" s="46" t="str">
        <f ca="1">IF($D$2&gt;=(COLUMN()-10),HLOOKUP($B23,INDIRECT(ADDRESS(2,11,1,,W$3)):INDIRECT(ADDRESS(25,playercnt+10,1,,W$3)),24),"")</f>
        <v/>
      </c>
      <c r="X23" s="14">
        <v>12</v>
      </c>
      <c r="Y23" s="14">
        <f t="shared" si="7"/>
        <v>16</v>
      </c>
    </row>
    <row r="24" spans="1:25">
      <c r="A24" s="83">
        <f>IF(D24=D23,A23,Y24)</f>
        <v>15</v>
      </c>
      <c r="B24" s="39" t="str">
        <f ca="1">INDIRECT(ADDRESS(2,10+INDIRECT(ADDRESS(ROW(),24)),,,"Chart"))</f>
        <v>Gilmer, Justin T</v>
      </c>
      <c r="C24" s="40">
        <f>sumAcrossWkSheets(28,10,X24)</f>
        <v>0</v>
      </c>
      <c r="D24" s="40">
        <f>sumAcrossWkSheets(25,10,X24)</f>
        <v>30</v>
      </c>
      <c r="E24" s="25">
        <f>D24/games_completed</f>
        <v>0.5</v>
      </c>
      <c r="F24" s="11">
        <f>$D$8-D24</f>
        <v>9</v>
      </c>
      <c r="G24" s="43">
        <v>15</v>
      </c>
      <c r="H24" s="20">
        <f>G24-A24</f>
        <v>0</v>
      </c>
      <c r="I24" s="17">
        <f ca="1">MAX(K24:W24)</f>
        <v>8</v>
      </c>
      <c r="J24" s="17">
        <f ca="1">MIN(K24:W24)</f>
        <v>0</v>
      </c>
      <c r="K24" s="46">
        <f ca="1">IF($D$2&gt;=(COLUMN()-10),HLOOKUP($B24,INDIRECT(ADDRESS(2,11,1,,K$3)):INDIRECT(ADDRESS(25,playercnt+10,1,,K$3)),24),"")</f>
        <v>5</v>
      </c>
      <c r="L24" s="46">
        <f ca="1">IF($D$2&gt;=(COLUMN()-10),HLOOKUP($B24,INDIRECT(ADDRESS(2,11,1,,L$3)):INDIRECT(ADDRESS(25,playercnt+10,1,,L$3)),24),"")</f>
        <v>8</v>
      </c>
      <c r="M24" s="46">
        <f ca="1">IF($D$2&gt;=(COLUMN()-10),HLOOKUP($B24,INDIRECT(ADDRESS(2,11,1,,M$3)):INDIRECT(ADDRESS(25,playercnt+10,1,,M$3)),24),"")</f>
        <v>7</v>
      </c>
      <c r="N24" s="46">
        <f ca="1">IF($D$2&gt;=(COLUMN()-10),HLOOKUP($B24,INDIRECT(ADDRESS(2,11,1,,N$3)):INDIRECT(ADDRESS(25,playercnt+10,1,,N$3)),24),"")</f>
        <v>5</v>
      </c>
      <c r="O24" s="46">
        <f ca="1">IF($D$2&gt;=(COLUMN()-10),HLOOKUP($B24,INDIRECT(ADDRESS(2,11,1,,O$3)):INDIRECT(ADDRESS(25,playercnt+10,1,,O$3)),24),"")</f>
        <v>0</v>
      </c>
      <c r="P24" s="46">
        <f ca="1">IF($D$2&gt;=(COLUMN()-10),HLOOKUP($B24,INDIRECT(ADDRESS(2,11,1,,P$3)):INDIRECT(ADDRESS(25,playercnt+10,1,,P$3)),24),"")</f>
        <v>5</v>
      </c>
      <c r="Q24" s="46" t="str">
        <f ca="1">IF($D$2&gt;=(COLUMN()-10),HLOOKUP($B24,INDIRECT(ADDRESS(2,11,1,,Q$3)):INDIRECT(ADDRESS(25,playercnt+10,1,,Q$3)),24),"")</f>
        <v/>
      </c>
      <c r="R24" s="46" t="str">
        <f ca="1">IF($D$2&gt;=(COLUMN()-10),HLOOKUP($B24,INDIRECT(ADDRESS(2,11,1,,R$3)):INDIRECT(ADDRESS(25,playercnt+10,1,,R$3)),24),"")</f>
        <v/>
      </c>
      <c r="S24" s="46" t="str">
        <f ca="1">IF($D$2&gt;=(COLUMN()-10),HLOOKUP($B24,INDIRECT(ADDRESS(2,11,1,,S$3)):INDIRECT(ADDRESS(25,playercnt+10,1,,S$3)),24),"")</f>
        <v/>
      </c>
      <c r="T24" s="46" t="str">
        <f ca="1">IF($D$2&gt;=(COLUMN()-10),HLOOKUP($B24,INDIRECT(ADDRESS(2,11,1,,T$3)):INDIRECT(ADDRESS(25,playercnt+10,1,,T$3)),24),"")</f>
        <v/>
      </c>
      <c r="U24" s="46" t="str">
        <f ca="1">IF($D$2&gt;=(COLUMN()-10),HLOOKUP($B24,INDIRECT(ADDRESS(2,11,1,,U$3)):INDIRECT(ADDRESS(25,playercnt+10,1,,U$3)),24),"")</f>
        <v/>
      </c>
      <c r="V24" s="46" t="str">
        <f ca="1">IF($D$2&gt;=(COLUMN()-10),HLOOKUP($B24,INDIRECT(ADDRESS(2,11,1,,V$3)):INDIRECT(ADDRESS(25,playercnt+10,1,,V$3)),24),"")</f>
        <v/>
      </c>
      <c r="W24" s="46" t="str">
        <f ca="1">IF($D$2&gt;=(COLUMN()-10),HLOOKUP($B24,INDIRECT(ADDRESS(2,11,1,,W$3)):INDIRECT(ADDRESS(25,playercnt+10,1,,W$3)),24),"")</f>
        <v/>
      </c>
      <c r="X24" s="47">
        <v>17</v>
      </c>
      <c r="Y24" s="14">
        <f t="shared" si="7"/>
        <v>17</v>
      </c>
    </row>
    <row r="25" spans="1:25">
      <c r="A25" s="83">
        <f>IF(D25=D24,A24,Y25)</f>
        <v>15</v>
      </c>
      <c r="B25" s="39" t="str">
        <f ca="1">INDIRECT(ADDRESS(2,10+INDIRECT(ADDRESS(ROW(),24)),,,"Chart"))</f>
        <v>James, Larry Remote</v>
      </c>
      <c r="C25" s="40">
        <f>sumAcrossWkSheets(28,10,X25)</f>
        <v>0</v>
      </c>
      <c r="D25" s="40">
        <f>sumAcrossWkSheets(25,10,X25)</f>
        <v>30</v>
      </c>
      <c r="E25" s="25">
        <f>D25/games_completed</f>
        <v>0.5</v>
      </c>
      <c r="F25" s="11">
        <f>$D$8-D25</f>
        <v>9</v>
      </c>
      <c r="G25" s="16">
        <v>15</v>
      </c>
      <c r="H25" s="20">
        <f>G25-A25</f>
        <v>0</v>
      </c>
      <c r="I25" s="17">
        <f ca="1">MAX(K25:W25)</f>
        <v>6</v>
      </c>
      <c r="J25" s="17">
        <f ca="1">MIN(K25:W25)</f>
        <v>4</v>
      </c>
      <c r="K25" s="46">
        <f ca="1">IF($D$2&gt;=(COLUMN()-10),HLOOKUP($B25,INDIRECT(ADDRESS(2,11,1,,K$3)):INDIRECT(ADDRESS(25,playercnt+10,1,,K$3)),24),"")</f>
        <v>4</v>
      </c>
      <c r="L25" s="46">
        <f ca="1">IF($D$2&gt;=(COLUMN()-10),HLOOKUP($B25,INDIRECT(ADDRESS(2,11,1,,L$3)):INDIRECT(ADDRESS(25,playercnt+10,1,,L$3)),24),"")</f>
        <v>6</v>
      </c>
      <c r="M25" s="46">
        <f ca="1">IF($D$2&gt;=(COLUMN()-10),HLOOKUP($B25,INDIRECT(ADDRESS(2,11,1,,M$3)):INDIRECT(ADDRESS(25,playercnt+10,1,,M$3)),24),"")</f>
        <v>6</v>
      </c>
      <c r="N25" s="46">
        <f ca="1">IF($D$2&gt;=(COLUMN()-10),HLOOKUP($B25,INDIRECT(ADDRESS(2,11,1,,N$3)):INDIRECT(ADDRESS(25,playercnt+10,1,,N$3)),24),"")</f>
        <v>4</v>
      </c>
      <c r="O25" s="46">
        <f ca="1">IF($D$2&gt;=(COLUMN()-10),HLOOKUP($B25,INDIRECT(ADDRESS(2,11,1,,O$3)):INDIRECT(ADDRESS(25,playercnt+10,1,,O$3)),24),"")</f>
        <v>6</v>
      </c>
      <c r="P25" s="46">
        <f ca="1">IF($D$2&gt;=(COLUMN()-10),HLOOKUP($B25,INDIRECT(ADDRESS(2,11,1,,P$3)):INDIRECT(ADDRESS(25,playercnt+10,1,,P$3)),24),"")</f>
        <v>4</v>
      </c>
      <c r="Q25" s="46" t="str">
        <f ca="1">IF($D$2&gt;=(COLUMN()-10),HLOOKUP($B25,INDIRECT(ADDRESS(2,11,1,,Q$3)):INDIRECT(ADDRESS(25,playercnt+10,1,,Q$3)),24),"")</f>
        <v/>
      </c>
      <c r="R25" s="46" t="str">
        <f ca="1">IF($D$2&gt;=(COLUMN()-10),HLOOKUP($B25,INDIRECT(ADDRESS(2,11,1,,R$3)):INDIRECT(ADDRESS(25,playercnt+10,1,,R$3)),24),"")</f>
        <v/>
      </c>
      <c r="S25" s="46" t="str">
        <f ca="1">IF($D$2&gt;=(COLUMN()-10),HLOOKUP($B25,INDIRECT(ADDRESS(2,11,1,,S$3)):INDIRECT(ADDRESS(25,playercnt+10,1,,S$3)),24),"")</f>
        <v/>
      </c>
      <c r="T25" s="46" t="str">
        <f ca="1">IF($D$2&gt;=(COLUMN()-10),HLOOKUP($B25,INDIRECT(ADDRESS(2,11,1,,T$3)):INDIRECT(ADDRESS(25,playercnt+10,1,,T$3)),24),"")</f>
        <v/>
      </c>
      <c r="U25" s="46" t="str">
        <f ca="1">IF($D$2&gt;=(COLUMN()-10),HLOOKUP($B25,INDIRECT(ADDRESS(2,11,1,,U$3)):INDIRECT(ADDRESS(25,playercnt+10,1,,U$3)),24),"")</f>
        <v/>
      </c>
      <c r="V25" s="46" t="str">
        <f ca="1">IF($D$2&gt;=(COLUMN()-10),HLOOKUP($B25,INDIRECT(ADDRESS(2,11,1,,V$3)):INDIRECT(ADDRESS(25,playercnt+10,1,,V$3)),24),"")</f>
        <v/>
      </c>
      <c r="W25" s="46" t="str">
        <f ca="1">IF($D$2&gt;=(COLUMN()-10),HLOOKUP($B25,INDIRECT(ADDRESS(2,11,1,,W$3)):INDIRECT(ADDRESS(25,playercnt+10,1,,W$3)),24),"")</f>
        <v/>
      </c>
      <c r="X25" s="14">
        <v>22</v>
      </c>
      <c r="Y25" s="14">
        <f t="shared" si="7"/>
        <v>18</v>
      </c>
    </row>
    <row r="26" spans="1:25">
      <c r="A26" s="83">
        <f>IF(D26=D25,A25,Y26)</f>
        <v>15</v>
      </c>
      <c r="B26" s="39" t="str">
        <f ca="1">INDIRECT(ADDRESS(2,10+INDIRECT(ADDRESS(ROW(),24)),,,"Chart"))</f>
        <v>Moore, Kevin B</v>
      </c>
      <c r="C26" s="40">
        <f>sumAcrossWkSheets(28,10,X26)</f>
        <v>0</v>
      </c>
      <c r="D26" s="40">
        <f>sumAcrossWkSheets(25,10,X26)</f>
        <v>30</v>
      </c>
      <c r="E26" s="25">
        <f>D26/games_completed</f>
        <v>0.5</v>
      </c>
      <c r="F26" s="11">
        <f>$D$8-D26</f>
        <v>9</v>
      </c>
      <c r="G26" s="43">
        <v>15</v>
      </c>
      <c r="H26" s="20">
        <f>G26-A26</f>
        <v>0</v>
      </c>
      <c r="I26" s="17">
        <f ca="1">MAX(K26:W26)</f>
        <v>7</v>
      </c>
      <c r="J26" s="17">
        <f ca="1">MIN(K26:W26)</f>
        <v>2</v>
      </c>
      <c r="K26" s="46">
        <f ca="1">IF($D$2&gt;=(COLUMN()-10),HLOOKUP($B26,INDIRECT(ADDRESS(2,11,1,,K$3)):INDIRECT(ADDRESS(25,playercnt+10,1,,K$3)),24),"")</f>
        <v>2</v>
      </c>
      <c r="L26" s="46">
        <f ca="1">IF($D$2&gt;=(COLUMN()-10),HLOOKUP($B26,INDIRECT(ADDRESS(2,11,1,,L$3)):INDIRECT(ADDRESS(25,playercnt+10,1,,L$3)),24),"")</f>
        <v>4</v>
      </c>
      <c r="M26" s="46">
        <f ca="1">IF($D$2&gt;=(COLUMN()-10),HLOOKUP($B26,INDIRECT(ADDRESS(2,11,1,,M$3)):INDIRECT(ADDRESS(25,playercnt+10,1,,M$3)),24),"")</f>
        <v>6</v>
      </c>
      <c r="N26" s="46">
        <f ca="1">IF($D$2&gt;=(COLUMN()-10),HLOOKUP($B26,INDIRECT(ADDRESS(2,11,1,,N$3)):INDIRECT(ADDRESS(25,playercnt+10,1,,N$3)),24),"")</f>
        <v>7</v>
      </c>
      <c r="O26" s="46">
        <f ca="1">IF($D$2&gt;=(COLUMN()-10),HLOOKUP($B26,INDIRECT(ADDRESS(2,11,1,,O$3)):INDIRECT(ADDRESS(25,playercnt+10,1,,O$3)),24),"")</f>
        <v>5</v>
      </c>
      <c r="P26" s="46">
        <f ca="1">IF($D$2&gt;=(COLUMN()-10),HLOOKUP($B26,INDIRECT(ADDRESS(2,11,1,,P$3)):INDIRECT(ADDRESS(25,playercnt+10,1,,P$3)),24),"")</f>
        <v>6</v>
      </c>
      <c r="Q26" s="46" t="str">
        <f ca="1">IF($D$2&gt;=(COLUMN()-10),HLOOKUP($B26,INDIRECT(ADDRESS(2,11,1,,Q$3)):INDIRECT(ADDRESS(25,playercnt+10,1,,Q$3)),24),"")</f>
        <v/>
      </c>
      <c r="R26" s="46" t="str">
        <f ca="1">IF($D$2&gt;=(COLUMN()-10),HLOOKUP($B26,INDIRECT(ADDRESS(2,11,1,,R$3)):INDIRECT(ADDRESS(25,playercnt+10,1,,R$3)),24),"")</f>
        <v/>
      </c>
      <c r="S26" s="46" t="str">
        <f ca="1">IF($D$2&gt;=(COLUMN()-10),HLOOKUP($B26,INDIRECT(ADDRESS(2,11,1,,S$3)):INDIRECT(ADDRESS(25,playercnt+10,1,,S$3)),24),"")</f>
        <v/>
      </c>
      <c r="T26" s="46" t="str">
        <f ca="1">IF($D$2&gt;=(COLUMN()-10),HLOOKUP($B26,INDIRECT(ADDRESS(2,11,1,,T$3)):INDIRECT(ADDRESS(25,playercnt+10,1,,T$3)),24),"")</f>
        <v/>
      </c>
      <c r="U26" s="46" t="str">
        <f ca="1">IF($D$2&gt;=(COLUMN()-10),HLOOKUP($B26,INDIRECT(ADDRESS(2,11,1,,U$3)):INDIRECT(ADDRESS(25,playercnt+10,1,,U$3)),24),"")</f>
        <v/>
      </c>
      <c r="V26" s="46" t="str">
        <f ca="1">IF($D$2&gt;=(COLUMN()-10),HLOOKUP($B26,INDIRECT(ADDRESS(2,11,1,,V$3)):INDIRECT(ADDRESS(25,playercnt+10,1,,V$3)),24),"")</f>
        <v/>
      </c>
      <c r="W26" s="46" t="str">
        <f ca="1">IF($D$2&gt;=(COLUMN()-10),HLOOKUP($B26,INDIRECT(ADDRESS(2,11,1,,W$3)):INDIRECT(ADDRESS(25,playercnt+10,1,,W$3)),24),"")</f>
        <v/>
      </c>
      <c r="X26" s="47">
        <v>29</v>
      </c>
      <c r="Y26" s="14">
        <f t="shared" ref="Y26:Y36" si="8">Y25+1</f>
        <v>19</v>
      </c>
    </row>
    <row r="27" spans="1:25">
      <c r="A27" s="83">
        <f>IF(D27=D26,A26,Y27)</f>
        <v>15</v>
      </c>
      <c r="B27" s="39" t="str">
        <f ca="1">INDIRECT(ADDRESS(2,10+INDIRECT(ADDRESS(ROW(),24)),,,"Chart"))</f>
        <v>Straw, Adam D</v>
      </c>
      <c r="C27" s="40">
        <f>sumAcrossWkSheets(28,10,X27)</f>
        <v>0</v>
      </c>
      <c r="D27" s="40">
        <f>sumAcrossWkSheets(25,10,X27)</f>
        <v>30</v>
      </c>
      <c r="E27" s="25">
        <f>D27/games_completed</f>
        <v>0.5</v>
      </c>
      <c r="F27" s="11">
        <f>$D$8-D27</f>
        <v>9</v>
      </c>
      <c r="G27" s="16">
        <v>15</v>
      </c>
      <c r="H27" s="20">
        <f>G27-A27</f>
        <v>0</v>
      </c>
      <c r="I27" s="17">
        <f ca="1">MAX(K27:W27)</f>
        <v>6</v>
      </c>
      <c r="J27" s="17">
        <f ca="1">MIN(K27:W27)</f>
        <v>3</v>
      </c>
      <c r="K27" s="46">
        <f ca="1">IF($D$2&gt;=(COLUMN()-10),HLOOKUP($B27,INDIRECT(ADDRESS(2,11,1,,K$3)):INDIRECT(ADDRESS(25,playercnt+10,1,,K$3)),24),"")</f>
        <v>6</v>
      </c>
      <c r="L27" s="46">
        <f ca="1">IF($D$2&gt;=(COLUMN()-10),HLOOKUP($B27,INDIRECT(ADDRESS(2,11,1,,L$3)):INDIRECT(ADDRESS(25,playercnt+10,1,,L$3)),24),"")</f>
        <v>5</v>
      </c>
      <c r="M27" s="46">
        <f ca="1">IF($D$2&gt;=(COLUMN()-10),HLOOKUP($B27,INDIRECT(ADDRESS(2,11,1,,M$3)):INDIRECT(ADDRESS(25,playercnt+10,1,,M$3)),24),"")</f>
        <v>6</v>
      </c>
      <c r="N27" s="46">
        <f ca="1">IF($D$2&gt;=(COLUMN()-10),HLOOKUP($B27,INDIRECT(ADDRESS(2,11,1,,N$3)):INDIRECT(ADDRESS(25,playercnt+10,1,,N$3)),24),"")</f>
        <v>3</v>
      </c>
      <c r="O27" s="46">
        <f ca="1">IF($D$2&gt;=(COLUMN()-10),HLOOKUP($B27,INDIRECT(ADDRESS(2,11,1,,O$3)):INDIRECT(ADDRESS(25,playercnt+10,1,,O$3)),24),"")</f>
        <v>6</v>
      </c>
      <c r="P27" s="46">
        <f ca="1">IF($D$2&gt;=(COLUMN()-10),HLOOKUP($B27,INDIRECT(ADDRESS(2,11,1,,P$3)):INDIRECT(ADDRESS(25,playercnt+10,1,,P$3)),24),"")</f>
        <v>4</v>
      </c>
      <c r="Q27" s="46" t="str">
        <f ca="1">IF($D$2&gt;=(COLUMN()-10),HLOOKUP($B27,INDIRECT(ADDRESS(2,11,1,,Q$3)):INDIRECT(ADDRESS(25,playercnt+10,1,,Q$3)),24),"")</f>
        <v/>
      </c>
      <c r="R27" s="46" t="str">
        <f ca="1">IF($D$2&gt;=(COLUMN()-10),HLOOKUP($B27,INDIRECT(ADDRESS(2,11,1,,R$3)):INDIRECT(ADDRESS(25,playercnt+10,1,,R$3)),24),"")</f>
        <v/>
      </c>
      <c r="S27" s="46" t="str">
        <f ca="1">IF($D$2&gt;=(COLUMN()-10),HLOOKUP($B27,INDIRECT(ADDRESS(2,11,1,,S$3)):INDIRECT(ADDRESS(25,playercnt+10,1,,S$3)),24),"")</f>
        <v/>
      </c>
      <c r="T27" s="46" t="str">
        <f ca="1">IF($D$2&gt;=(COLUMN()-10),HLOOKUP($B27,INDIRECT(ADDRESS(2,11,1,,T$3)):INDIRECT(ADDRESS(25,playercnt+10,1,,T$3)),24),"")</f>
        <v/>
      </c>
      <c r="U27" s="46" t="str">
        <f ca="1">IF($D$2&gt;=(COLUMN()-10),HLOOKUP($B27,INDIRECT(ADDRESS(2,11,1,,U$3)):INDIRECT(ADDRESS(25,playercnt+10,1,,U$3)),24),"")</f>
        <v/>
      </c>
      <c r="V27" s="46" t="str">
        <f ca="1">IF($D$2&gt;=(COLUMN()-10),HLOOKUP($B27,INDIRECT(ADDRESS(2,11,1,,V$3)):INDIRECT(ADDRESS(25,playercnt+10,1,,V$3)),24),"")</f>
        <v/>
      </c>
      <c r="W27" s="46" t="str">
        <f ca="1">IF($D$2&gt;=(COLUMN()-10),HLOOKUP($B27,INDIRECT(ADDRESS(2,11,1,,W$3)):INDIRECT(ADDRESS(25,playercnt+10,1,,W$3)),24),"")</f>
        <v/>
      </c>
      <c r="X27" s="14">
        <v>50</v>
      </c>
      <c r="Y27" s="14">
        <f t="shared" si="8"/>
        <v>20</v>
      </c>
    </row>
    <row r="28" spans="1:25">
      <c r="A28" s="83">
        <f>IF(D28=D27,A27,Y28)</f>
        <v>21</v>
      </c>
      <c r="B28" s="39" t="str">
        <f ca="1">INDIRECT(ADDRESS(2,10+INDIRECT(ADDRESS(ROW(),24)),,,"Chart"))</f>
        <v>Holden, Brent Remote</v>
      </c>
      <c r="C28" s="40">
        <f>sumAcrossWkSheets(28,10,X28)</f>
        <v>0</v>
      </c>
      <c r="D28" s="40">
        <f>sumAcrossWkSheets(25,10,X28)</f>
        <v>29</v>
      </c>
      <c r="E28" s="25">
        <f>D28/games_completed</f>
        <v>0.48333333333333334</v>
      </c>
      <c r="F28" s="11">
        <f>$D$8-D28</f>
        <v>10</v>
      </c>
      <c r="G28" s="43">
        <v>21</v>
      </c>
      <c r="H28" s="20">
        <f>G28-A28</f>
        <v>0</v>
      </c>
      <c r="I28" s="17">
        <f ca="1">MAX(K28:W28)</f>
        <v>7</v>
      </c>
      <c r="J28" s="17">
        <f ca="1">MIN(K28:W28)</f>
        <v>1</v>
      </c>
      <c r="K28" s="46">
        <f ca="1">IF($D$2&gt;=(COLUMN()-10),HLOOKUP($B28,INDIRECT(ADDRESS(2,11,1,,K$3)):INDIRECT(ADDRESS(25,playercnt+10,1,,K$3)),24),"")</f>
        <v>6</v>
      </c>
      <c r="L28" s="46">
        <f ca="1">IF($D$2&gt;=(COLUMN()-10),HLOOKUP($B28,INDIRECT(ADDRESS(2,11,1,,L$3)):INDIRECT(ADDRESS(25,playercnt+10,1,,L$3)),24),"")</f>
        <v>5</v>
      </c>
      <c r="M28" s="46">
        <f ca="1">IF($D$2&gt;=(COLUMN()-10),HLOOKUP($B28,INDIRECT(ADDRESS(2,11,1,,M$3)):INDIRECT(ADDRESS(25,playercnt+10,1,,M$3)),24),"")</f>
        <v>7</v>
      </c>
      <c r="N28" s="46">
        <f ca="1">IF($D$2&gt;=(COLUMN()-10),HLOOKUP($B28,INDIRECT(ADDRESS(2,11,1,,N$3)):INDIRECT(ADDRESS(25,playercnt+10,1,,N$3)),24),"")</f>
        <v>6</v>
      </c>
      <c r="O28" s="46">
        <f ca="1">IF($D$2&gt;=(COLUMN()-10),HLOOKUP($B28,INDIRECT(ADDRESS(2,11,1,,O$3)):INDIRECT(ADDRESS(25,playercnt+10,1,,O$3)),24),"")</f>
        <v>1</v>
      </c>
      <c r="P28" s="46">
        <f ca="1">IF($D$2&gt;=(COLUMN()-10),HLOOKUP($B28,INDIRECT(ADDRESS(2,11,1,,P$3)):INDIRECT(ADDRESS(25,playercnt+10,1,,P$3)),24),"")</f>
        <v>4</v>
      </c>
      <c r="Q28" s="46" t="str">
        <f ca="1">IF($D$2&gt;=(COLUMN()-10),HLOOKUP($B28,INDIRECT(ADDRESS(2,11,1,,Q$3)):INDIRECT(ADDRESS(25,playercnt+10,1,,Q$3)),24),"")</f>
        <v/>
      </c>
      <c r="R28" s="46" t="str">
        <f ca="1">IF($D$2&gt;=(COLUMN()-10),HLOOKUP($B28,INDIRECT(ADDRESS(2,11,1,,R$3)):INDIRECT(ADDRESS(25,playercnt+10,1,,R$3)),24),"")</f>
        <v/>
      </c>
      <c r="S28" s="46" t="str">
        <f ca="1">IF($D$2&gt;=(COLUMN()-10),HLOOKUP($B28,INDIRECT(ADDRESS(2,11,1,,S$3)):INDIRECT(ADDRESS(25,playercnt+10,1,,S$3)),24),"")</f>
        <v/>
      </c>
      <c r="T28" s="46" t="str">
        <f ca="1">IF($D$2&gt;=(COLUMN()-10),HLOOKUP($B28,INDIRECT(ADDRESS(2,11,1,,T$3)):INDIRECT(ADDRESS(25,playercnt+10,1,,T$3)),24),"")</f>
        <v/>
      </c>
      <c r="U28" s="46" t="str">
        <f ca="1">IF($D$2&gt;=(COLUMN()-10),HLOOKUP($B28,INDIRECT(ADDRESS(2,11,1,,U$3)):INDIRECT(ADDRESS(25,playercnt+10,1,,U$3)),24),"")</f>
        <v/>
      </c>
      <c r="V28" s="46" t="str">
        <f ca="1">IF($D$2&gt;=(COLUMN()-10),HLOOKUP($B28,INDIRECT(ADDRESS(2,11,1,,V$3)):INDIRECT(ADDRESS(25,playercnt+10,1,,V$3)),24),"")</f>
        <v/>
      </c>
      <c r="W28" s="46" t="str">
        <f ca="1">IF($D$2&gt;=(COLUMN()-10),HLOOKUP($B28,INDIRECT(ADDRESS(2,11,1,,W$3)):INDIRECT(ADDRESS(25,playercnt+10,1,,W$3)),24),"")</f>
        <v/>
      </c>
      <c r="X28" s="47">
        <v>19</v>
      </c>
      <c r="Y28" s="14">
        <f t="shared" si="8"/>
        <v>21</v>
      </c>
    </row>
    <row r="29" spans="1:25">
      <c r="A29" s="83">
        <f>IF(D29=D28,A28,Y29)</f>
        <v>21</v>
      </c>
      <c r="B29" s="39" t="str">
        <f ca="1">INDIRECT(ADDRESS(2,10+INDIRECT(ADDRESS(ROW(),24)),,,"Chart"))</f>
        <v>Marsh, Alexander Remote</v>
      </c>
      <c r="C29" s="40">
        <f>sumAcrossWkSheets(28,10,X29)</f>
        <v>0</v>
      </c>
      <c r="D29" s="40">
        <f>sumAcrossWkSheets(25,10,X29)</f>
        <v>29</v>
      </c>
      <c r="E29" s="25">
        <f>D29/games_completed</f>
        <v>0.48333333333333334</v>
      </c>
      <c r="F29" s="11">
        <f>$D$8-D29</f>
        <v>10</v>
      </c>
      <c r="G29" s="16">
        <v>21</v>
      </c>
      <c r="H29" s="20">
        <f>G29-A29</f>
        <v>0</v>
      </c>
      <c r="I29" s="17">
        <f ca="1">MAX(K29:W29)</f>
        <v>9</v>
      </c>
      <c r="J29" s="17">
        <f ca="1">MIN(K29:W29)</f>
        <v>2</v>
      </c>
      <c r="K29" s="46">
        <f ca="1">IF($D$2&gt;=(COLUMN()-10),HLOOKUP($B29,INDIRECT(ADDRESS(2,11,1,,K$3)):INDIRECT(ADDRESS(25,playercnt+10,1,,K$3)),24),"")</f>
        <v>4</v>
      </c>
      <c r="L29" s="46">
        <f ca="1">IF($D$2&gt;=(COLUMN()-10),HLOOKUP($B29,INDIRECT(ADDRESS(2,11,1,,L$3)):INDIRECT(ADDRESS(25,playercnt+10,1,,L$3)),24),"")</f>
        <v>2</v>
      </c>
      <c r="M29" s="46">
        <f ca="1">IF($D$2&gt;=(COLUMN()-10),HLOOKUP($B29,INDIRECT(ADDRESS(2,11,1,,M$3)):INDIRECT(ADDRESS(25,playercnt+10,1,,M$3)),24),"")</f>
        <v>6</v>
      </c>
      <c r="N29" s="46">
        <f ca="1">IF($D$2&gt;=(COLUMN()-10),HLOOKUP($B29,INDIRECT(ADDRESS(2,11,1,,N$3)):INDIRECT(ADDRESS(25,playercnt+10,1,,N$3)),24),"")</f>
        <v>9</v>
      </c>
      <c r="O29" s="46">
        <f ca="1">IF($D$2&gt;=(COLUMN()-10),HLOOKUP($B29,INDIRECT(ADDRESS(2,11,1,,O$3)):INDIRECT(ADDRESS(25,playercnt+10,1,,O$3)),24),"")</f>
        <v>6</v>
      </c>
      <c r="P29" s="46">
        <f ca="1">IF($D$2&gt;=(COLUMN()-10),HLOOKUP($B29,INDIRECT(ADDRESS(2,11,1,,P$3)):INDIRECT(ADDRESS(25,playercnt+10,1,,P$3)),24),"")</f>
        <v>2</v>
      </c>
      <c r="Q29" s="46" t="str">
        <f ca="1">IF($D$2&gt;=(COLUMN()-10),HLOOKUP($B29,INDIRECT(ADDRESS(2,11,1,,Q$3)):INDIRECT(ADDRESS(25,playercnt+10,1,,Q$3)),24),"")</f>
        <v/>
      </c>
      <c r="R29" s="46" t="str">
        <f ca="1">IF($D$2&gt;=(COLUMN()-10),HLOOKUP($B29,INDIRECT(ADDRESS(2,11,1,,R$3)):INDIRECT(ADDRESS(25,playercnt+10,1,,R$3)),24),"")</f>
        <v/>
      </c>
      <c r="S29" s="46" t="str">
        <f ca="1">IF($D$2&gt;=(COLUMN()-10),HLOOKUP($B29,INDIRECT(ADDRESS(2,11,1,,S$3)):INDIRECT(ADDRESS(25,playercnt+10,1,,S$3)),24),"")</f>
        <v/>
      </c>
      <c r="T29" s="46" t="str">
        <f ca="1">IF($D$2&gt;=(COLUMN()-10),HLOOKUP($B29,INDIRECT(ADDRESS(2,11,1,,T$3)):INDIRECT(ADDRESS(25,playercnt+10,1,,T$3)),24),"")</f>
        <v/>
      </c>
      <c r="U29" s="46" t="str">
        <f ca="1">IF($D$2&gt;=(COLUMN()-10),HLOOKUP($B29,INDIRECT(ADDRESS(2,11,1,,U$3)):INDIRECT(ADDRESS(25,playercnt+10,1,,U$3)),24),"")</f>
        <v/>
      </c>
      <c r="V29" s="46" t="str">
        <f ca="1">IF($D$2&gt;=(COLUMN()-10),HLOOKUP($B29,INDIRECT(ADDRESS(2,11,1,,V$3)):INDIRECT(ADDRESS(25,playercnt+10,1,,V$3)),24),"")</f>
        <v/>
      </c>
      <c r="W29" s="46" t="str">
        <f ca="1">IF($D$2&gt;=(COLUMN()-10),HLOOKUP($B29,INDIRECT(ADDRESS(2,11,1,,W$3)):INDIRECT(ADDRESS(25,playercnt+10,1,,W$3)),24),"")</f>
        <v/>
      </c>
      <c r="X29" s="14">
        <v>25</v>
      </c>
      <c r="Y29" s="14">
        <f t="shared" si="8"/>
        <v>22</v>
      </c>
    </row>
    <row r="30" spans="1:25">
      <c r="A30" s="83">
        <f>IF(D30=D29,A29,Y30)</f>
        <v>21</v>
      </c>
      <c r="B30" s="39" t="str">
        <f ca="1">INDIRECT(ADDRESS(2,10+INDIRECT(ADDRESS(ROW(),24)),,,"Chart"))</f>
        <v>Neeley, Michael Remote</v>
      </c>
      <c r="C30" s="40">
        <f>sumAcrossWkSheets(28,10,X30)</f>
        <v>0</v>
      </c>
      <c r="D30" s="40">
        <f>sumAcrossWkSheets(25,10,X30)</f>
        <v>29</v>
      </c>
      <c r="E30" s="25">
        <f>D30/games_completed</f>
        <v>0.48333333333333334</v>
      </c>
      <c r="F30" s="11">
        <f>$D$8-D30</f>
        <v>10</v>
      </c>
      <c r="G30" s="43">
        <v>21</v>
      </c>
      <c r="H30" s="20">
        <f>G30-A30</f>
        <v>0</v>
      </c>
      <c r="I30" s="17">
        <f ca="1">MAX(K30:W30)</f>
        <v>7</v>
      </c>
      <c r="J30" s="17">
        <f ca="1">MIN(K30:W30)</f>
        <v>3</v>
      </c>
      <c r="K30" s="46">
        <f ca="1">IF($D$2&gt;=(COLUMN()-10),HLOOKUP($B30,INDIRECT(ADDRESS(2,11,1,,K$3)):INDIRECT(ADDRESS(25,playercnt+10,1,,K$3)),24),"")</f>
        <v>3</v>
      </c>
      <c r="L30" s="46">
        <f ca="1">IF($D$2&gt;=(COLUMN()-10),HLOOKUP($B30,INDIRECT(ADDRESS(2,11,1,,L$3)):INDIRECT(ADDRESS(25,playercnt+10,1,,L$3)),24),"")</f>
        <v>6</v>
      </c>
      <c r="M30" s="46">
        <f ca="1">IF($D$2&gt;=(COLUMN()-10),HLOOKUP($B30,INDIRECT(ADDRESS(2,11,1,,M$3)):INDIRECT(ADDRESS(25,playercnt+10,1,,M$3)),24),"")</f>
        <v>7</v>
      </c>
      <c r="N30" s="46">
        <f ca="1">IF($D$2&gt;=(COLUMN()-10),HLOOKUP($B30,INDIRECT(ADDRESS(2,11,1,,N$3)):INDIRECT(ADDRESS(25,playercnt+10,1,,N$3)),24),"")</f>
        <v>3</v>
      </c>
      <c r="O30" s="46">
        <f ca="1">IF($D$2&gt;=(COLUMN()-10),HLOOKUP($B30,INDIRECT(ADDRESS(2,11,1,,O$3)):INDIRECT(ADDRESS(25,playercnt+10,1,,O$3)),24),"")</f>
        <v>6</v>
      </c>
      <c r="P30" s="46">
        <f ca="1">IF($D$2&gt;=(COLUMN()-10),HLOOKUP($B30,INDIRECT(ADDRESS(2,11,1,,P$3)):INDIRECT(ADDRESS(25,playercnt+10,1,,P$3)),24),"")</f>
        <v>4</v>
      </c>
      <c r="Q30" s="46" t="str">
        <f ca="1">IF($D$2&gt;=(COLUMN()-10),HLOOKUP($B30,INDIRECT(ADDRESS(2,11,1,,Q$3)):INDIRECT(ADDRESS(25,playercnt+10,1,,Q$3)),24),"")</f>
        <v/>
      </c>
      <c r="R30" s="46" t="str">
        <f ca="1">IF($D$2&gt;=(COLUMN()-10),HLOOKUP($B30,INDIRECT(ADDRESS(2,11,1,,R$3)):INDIRECT(ADDRESS(25,playercnt+10,1,,R$3)),24),"")</f>
        <v/>
      </c>
      <c r="S30" s="46" t="str">
        <f ca="1">IF($D$2&gt;=(COLUMN()-10),HLOOKUP($B30,INDIRECT(ADDRESS(2,11,1,,S$3)):INDIRECT(ADDRESS(25,playercnt+10,1,,S$3)),24),"")</f>
        <v/>
      </c>
      <c r="T30" s="46" t="str">
        <f ca="1">IF($D$2&gt;=(COLUMN()-10),HLOOKUP($B30,INDIRECT(ADDRESS(2,11,1,,T$3)):INDIRECT(ADDRESS(25,playercnt+10,1,,T$3)),24),"")</f>
        <v/>
      </c>
      <c r="U30" s="46" t="str">
        <f ca="1">IF($D$2&gt;=(COLUMN()-10),HLOOKUP($B30,INDIRECT(ADDRESS(2,11,1,,U$3)):INDIRECT(ADDRESS(25,playercnt+10,1,,U$3)),24),"")</f>
        <v/>
      </c>
      <c r="V30" s="46" t="str">
        <f ca="1">IF($D$2&gt;=(COLUMN()-10),HLOOKUP($B30,INDIRECT(ADDRESS(2,11,1,,V$3)):INDIRECT(ADDRESS(25,playercnt+10,1,,V$3)),24),"")</f>
        <v/>
      </c>
      <c r="W30" s="46" t="str">
        <f ca="1">IF($D$2&gt;=(COLUMN()-10),HLOOKUP($B30,INDIRECT(ADDRESS(2,11,1,,W$3)):INDIRECT(ADDRESS(25,playercnt+10,1,,W$3)),24),"")</f>
        <v/>
      </c>
      <c r="X30" s="47">
        <v>34</v>
      </c>
      <c r="Y30" s="14">
        <f t="shared" si="8"/>
        <v>23</v>
      </c>
    </row>
    <row r="31" spans="1:25">
      <c r="A31" s="83">
        <f>IF(D31=D30,A30,Y31)</f>
        <v>21</v>
      </c>
      <c r="B31" s="39" t="str">
        <f ca="1">INDIRECT(ADDRESS(2,10+INDIRECT(ADDRESS(ROW(),24)),,,"Chart"))</f>
        <v>Paul, Wilmaison</v>
      </c>
      <c r="C31" s="40">
        <f>sumAcrossWkSheets(28,10,X31)</f>
        <v>0</v>
      </c>
      <c r="D31" s="40">
        <f>sumAcrossWkSheets(25,10,X31)</f>
        <v>29</v>
      </c>
      <c r="E31" s="25">
        <f>D31/games_completed</f>
        <v>0.48333333333333334</v>
      </c>
      <c r="F31" s="11">
        <f>$D$8-D31</f>
        <v>10</v>
      </c>
      <c r="G31" s="16">
        <v>21</v>
      </c>
      <c r="H31" s="20">
        <f>G31-A31</f>
        <v>0</v>
      </c>
      <c r="I31" s="17">
        <f ca="1">MAX(K31:W31)</f>
        <v>7</v>
      </c>
      <c r="J31" s="17">
        <f ca="1">MIN(K31:W31)</f>
        <v>3</v>
      </c>
      <c r="K31" s="46">
        <f ca="1">IF($D$2&gt;=(COLUMN()-10),HLOOKUP($B31,INDIRECT(ADDRESS(2,11,1,,K$3)):INDIRECT(ADDRESS(25,playercnt+10,1,,K$3)),24),"")</f>
        <v>4</v>
      </c>
      <c r="L31" s="46">
        <f ca="1">IF($D$2&gt;=(COLUMN()-10),HLOOKUP($B31,INDIRECT(ADDRESS(2,11,1,,L$3)):INDIRECT(ADDRESS(25,playercnt+10,1,,L$3)),24),"")</f>
        <v>7</v>
      </c>
      <c r="M31" s="46">
        <f ca="1">IF($D$2&gt;=(COLUMN()-10),HLOOKUP($B31,INDIRECT(ADDRESS(2,11,1,,M$3)):INDIRECT(ADDRESS(25,playercnt+10,1,,M$3)),24),"")</f>
        <v>6</v>
      </c>
      <c r="N31" s="46">
        <f ca="1">IF($D$2&gt;=(COLUMN()-10),HLOOKUP($B31,INDIRECT(ADDRESS(2,11,1,,N$3)):INDIRECT(ADDRESS(25,playercnt+10,1,,N$3)),24),"")</f>
        <v>5</v>
      </c>
      <c r="O31" s="46">
        <f ca="1">IF($D$2&gt;=(COLUMN()-10),HLOOKUP($B31,INDIRECT(ADDRESS(2,11,1,,O$3)):INDIRECT(ADDRESS(25,playercnt+10,1,,O$3)),24),"")</f>
        <v>3</v>
      </c>
      <c r="P31" s="46">
        <f ca="1">IF($D$2&gt;=(COLUMN()-10),HLOOKUP($B31,INDIRECT(ADDRESS(2,11,1,,P$3)):INDIRECT(ADDRESS(25,playercnt+10,1,,P$3)),24),"")</f>
        <v>4</v>
      </c>
      <c r="Q31" s="46" t="str">
        <f ca="1">IF($D$2&gt;=(COLUMN()-10),HLOOKUP($B31,INDIRECT(ADDRESS(2,11,1,,Q$3)):INDIRECT(ADDRESS(25,playercnt+10,1,,Q$3)),24),"")</f>
        <v/>
      </c>
      <c r="R31" s="46" t="str">
        <f ca="1">IF($D$2&gt;=(COLUMN()-10),HLOOKUP($B31,INDIRECT(ADDRESS(2,11,1,,R$3)):INDIRECT(ADDRESS(25,playercnt+10,1,,R$3)),24),"")</f>
        <v/>
      </c>
      <c r="S31" s="46" t="str">
        <f ca="1">IF($D$2&gt;=(COLUMN()-10),HLOOKUP($B31,INDIRECT(ADDRESS(2,11,1,,S$3)):INDIRECT(ADDRESS(25,playercnt+10,1,,S$3)),24),"")</f>
        <v/>
      </c>
      <c r="T31" s="46" t="str">
        <f ca="1">IF($D$2&gt;=(COLUMN()-10),HLOOKUP($B31,INDIRECT(ADDRESS(2,11,1,,T$3)):INDIRECT(ADDRESS(25,playercnt+10,1,,T$3)),24),"")</f>
        <v/>
      </c>
      <c r="U31" s="46" t="str">
        <f ca="1">IF($D$2&gt;=(COLUMN()-10),HLOOKUP($B31,INDIRECT(ADDRESS(2,11,1,,U$3)):INDIRECT(ADDRESS(25,playercnt+10,1,,U$3)),24),"")</f>
        <v/>
      </c>
      <c r="V31" s="46" t="str">
        <f ca="1">IF($D$2&gt;=(COLUMN()-10),HLOOKUP($B31,INDIRECT(ADDRESS(2,11,1,,V$3)):INDIRECT(ADDRESS(25,playercnt+10,1,,V$3)),24),"")</f>
        <v/>
      </c>
      <c r="W31" s="46" t="str">
        <f ca="1">IF($D$2&gt;=(COLUMN()-10),HLOOKUP($B31,INDIRECT(ADDRESS(2,11,1,,W$3)):INDIRECT(ADDRESS(25,playercnt+10,1,,W$3)),24),"")</f>
        <v/>
      </c>
      <c r="X31" s="14">
        <v>37</v>
      </c>
      <c r="Y31" s="14">
        <f t="shared" si="8"/>
        <v>24</v>
      </c>
    </row>
    <row r="32" spans="1:25">
      <c r="A32" s="83">
        <f>IF(D32=D31,A31,Y32)</f>
        <v>21</v>
      </c>
      <c r="B32" s="39" t="str">
        <f ca="1">INDIRECT(ADDRESS(2,10+INDIRECT(ADDRESS(ROW(),24)),,,"Chart"))</f>
        <v>Robbins, Dale</v>
      </c>
      <c r="C32" s="40">
        <f>sumAcrossWkSheets(28,10,X32)</f>
        <v>0</v>
      </c>
      <c r="D32" s="40">
        <f>sumAcrossWkSheets(25,10,X32)</f>
        <v>29</v>
      </c>
      <c r="E32" s="25">
        <f>D32/games_completed</f>
        <v>0.48333333333333334</v>
      </c>
      <c r="F32" s="11">
        <f>$D$8-D32</f>
        <v>10</v>
      </c>
      <c r="G32" s="43">
        <v>21</v>
      </c>
      <c r="H32" s="20">
        <f>G32-A32</f>
        <v>0</v>
      </c>
      <c r="I32" s="17">
        <f ca="1">MAX(K32:W32)</f>
        <v>6</v>
      </c>
      <c r="J32" s="17">
        <f ca="1">MIN(K32:W32)</f>
        <v>3</v>
      </c>
      <c r="K32" s="46">
        <f ca="1">IF($D$2&gt;=(COLUMN()-10),HLOOKUP($B32,INDIRECT(ADDRESS(2,11,1,,K$3)):INDIRECT(ADDRESS(25,playercnt+10,1,,K$3)),24),"")</f>
        <v>6</v>
      </c>
      <c r="L32" s="46">
        <f ca="1">IF($D$2&gt;=(COLUMN()-10),HLOOKUP($B32,INDIRECT(ADDRESS(2,11,1,,L$3)):INDIRECT(ADDRESS(25,playercnt+10,1,,L$3)),24),"")</f>
        <v>5</v>
      </c>
      <c r="M32" s="46">
        <f ca="1">IF($D$2&gt;=(COLUMN()-10),HLOOKUP($B32,INDIRECT(ADDRESS(2,11,1,,M$3)):INDIRECT(ADDRESS(25,playercnt+10,1,,M$3)),24),"")</f>
        <v>5</v>
      </c>
      <c r="N32" s="46">
        <f ca="1">IF($D$2&gt;=(COLUMN()-10),HLOOKUP($B32,INDIRECT(ADDRESS(2,11,1,,N$3)):INDIRECT(ADDRESS(25,playercnt+10,1,,N$3)),24),"")</f>
        <v>5</v>
      </c>
      <c r="O32" s="46">
        <f ca="1">IF($D$2&gt;=(COLUMN()-10),HLOOKUP($B32,INDIRECT(ADDRESS(2,11,1,,O$3)):INDIRECT(ADDRESS(25,playercnt+10,1,,O$3)),24),"")</f>
        <v>3</v>
      </c>
      <c r="P32" s="46">
        <f ca="1">IF($D$2&gt;=(COLUMN()-10),HLOOKUP($B32,INDIRECT(ADDRESS(2,11,1,,P$3)):INDIRECT(ADDRESS(25,playercnt+10,1,,P$3)),24),"")</f>
        <v>5</v>
      </c>
      <c r="Q32" s="46" t="str">
        <f ca="1">IF($D$2&gt;=(COLUMN()-10),HLOOKUP($B32,INDIRECT(ADDRESS(2,11,1,,Q$3)):INDIRECT(ADDRESS(25,playercnt+10,1,,Q$3)),24),"")</f>
        <v/>
      </c>
      <c r="R32" s="46" t="str">
        <f ca="1">IF($D$2&gt;=(COLUMN()-10),HLOOKUP($B32,INDIRECT(ADDRESS(2,11,1,,R$3)):INDIRECT(ADDRESS(25,playercnt+10,1,,R$3)),24),"")</f>
        <v/>
      </c>
      <c r="S32" s="46" t="str">
        <f ca="1">IF($D$2&gt;=(COLUMN()-10),HLOOKUP($B32,INDIRECT(ADDRESS(2,11,1,,S$3)):INDIRECT(ADDRESS(25,playercnt+10,1,,S$3)),24),"")</f>
        <v/>
      </c>
      <c r="T32" s="46" t="str">
        <f ca="1">IF($D$2&gt;=(COLUMN()-10),HLOOKUP($B32,INDIRECT(ADDRESS(2,11,1,,T$3)):INDIRECT(ADDRESS(25,playercnt+10,1,,T$3)),24),"")</f>
        <v/>
      </c>
      <c r="U32" s="46" t="str">
        <f ca="1">IF($D$2&gt;=(COLUMN()-10),HLOOKUP($B32,INDIRECT(ADDRESS(2,11,1,,U$3)):INDIRECT(ADDRESS(25,playercnt+10,1,,U$3)),24),"")</f>
        <v/>
      </c>
      <c r="V32" s="46" t="str">
        <f ca="1">IF($D$2&gt;=(COLUMN()-10),HLOOKUP($B32,INDIRECT(ADDRESS(2,11,1,,V$3)):INDIRECT(ADDRESS(25,playercnt+10,1,,V$3)),24),"")</f>
        <v/>
      </c>
      <c r="W32" s="46" t="str">
        <f ca="1">IF($D$2&gt;=(COLUMN()-10),HLOOKUP($B32,INDIRECT(ADDRESS(2,11,1,,W$3)):INDIRECT(ADDRESS(25,playercnt+10,1,,W$3)),24),"")</f>
        <v/>
      </c>
      <c r="X32" s="47">
        <v>41</v>
      </c>
      <c r="Y32" s="14">
        <f t="shared" si="8"/>
        <v>25</v>
      </c>
    </row>
    <row r="33" spans="1:25">
      <c r="A33" s="83">
        <f>IF(D33=D32,A32,Y33)</f>
        <v>21</v>
      </c>
      <c r="B33" s="39" t="str">
        <f ca="1">INDIRECT(ADDRESS(2,10+INDIRECT(ADDRESS(ROW(),24)),,,"Chart"))</f>
        <v>Winburn, Steve A</v>
      </c>
      <c r="C33" s="40">
        <f>sumAcrossWkSheets(28,10,X33)</f>
        <v>0</v>
      </c>
      <c r="D33" s="40">
        <f>sumAcrossWkSheets(25,10,X33)</f>
        <v>29</v>
      </c>
      <c r="E33" s="25">
        <f>D33/games_completed</f>
        <v>0.48333333333333334</v>
      </c>
      <c r="F33" s="11">
        <f>$D$8-D33</f>
        <v>10</v>
      </c>
      <c r="G33" s="16">
        <v>21</v>
      </c>
      <c r="H33" s="20">
        <f>G33-A33</f>
        <v>0</v>
      </c>
      <c r="I33" s="17">
        <f ca="1">MAX(K33:W33)</f>
        <v>7</v>
      </c>
      <c r="J33" s="17">
        <f ca="1">MIN(K33:W33)</f>
        <v>2</v>
      </c>
      <c r="K33" s="46">
        <f ca="1">IF($D$2&gt;=(COLUMN()-10),HLOOKUP($B33,INDIRECT(ADDRESS(2,11,1,,K$3)):INDIRECT(ADDRESS(25,playercnt+10,1,,K$3)),24),"")</f>
        <v>7</v>
      </c>
      <c r="L33" s="46">
        <f ca="1">IF($D$2&gt;=(COLUMN()-10),HLOOKUP($B33,INDIRECT(ADDRESS(2,11,1,,L$3)):INDIRECT(ADDRESS(25,playercnt+10,1,,L$3)),24),"")</f>
        <v>4</v>
      </c>
      <c r="M33" s="46">
        <f ca="1">IF($D$2&gt;=(COLUMN()-10),HLOOKUP($B33,INDIRECT(ADDRESS(2,11,1,,M$3)):INDIRECT(ADDRESS(25,playercnt+10,1,,M$3)),24),"")</f>
        <v>5</v>
      </c>
      <c r="N33" s="46">
        <f ca="1">IF($D$2&gt;=(COLUMN()-10),HLOOKUP($B33,INDIRECT(ADDRESS(2,11,1,,N$3)):INDIRECT(ADDRESS(25,playercnt+10,1,,N$3)),24),"")</f>
        <v>6</v>
      </c>
      <c r="O33" s="46">
        <f ca="1">IF($D$2&gt;=(COLUMN()-10),HLOOKUP($B33,INDIRECT(ADDRESS(2,11,1,,O$3)):INDIRECT(ADDRESS(25,playercnt+10,1,,O$3)),24),"")</f>
        <v>5</v>
      </c>
      <c r="P33" s="46">
        <f ca="1">IF($D$2&gt;=(COLUMN()-10),HLOOKUP($B33,INDIRECT(ADDRESS(2,11,1,,P$3)):INDIRECT(ADDRESS(25,playercnt+10,1,,P$3)),24),"")</f>
        <v>2</v>
      </c>
      <c r="Q33" s="46" t="str">
        <f ca="1">IF($D$2&gt;=(COLUMN()-10),HLOOKUP($B33,INDIRECT(ADDRESS(2,11,1,,Q$3)):INDIRECT(ADDRESS(25,playercnt+10,1,,Q$3)),24),"")</f>
        <v/>
      </c>
      <c r="R33" s="46" t="str">
        <f ca="1">IF($D$2&gt;=(COLUMN()-10),HLOOKUP($B33,INDIRECT(ADDRESS(2,11,1,,R$3)):INDIRECT(ADDRESS(25,playercnt+10,1,,R$3)),24),"")</f>
        <v/>
      </c>
      <c r="S33" s="46" t="str">
        <f ca="1">IF($D$2&gt;=(COLUMN()-10),HLOOKUP($B33,INDIRECT(ADDRESS(2,11,1,,S$3)):INDIRECT(ADDRESS(25,playercnt+10,1,,S$3)),24),"")</f>
        <v/>
      </c>
      <c r="T33" s="46" t="str">
        <f ca="1">IF($D$2&gt;=(COLUMN()-10),HLOOKUP($B33,INDIRECT(ADDRESS(2,11,1,,T$3)):INDIRECT(ADDRESS(25,playercnt+10,1,,T$3)),24),"")</f>
        <v/>
      </c>
      <c r="U33" s="46" t="str">
        <f ca="1">IF($D$2&gt;=(COLUMN()-10),HLOOKUP($B33,INDIRECT(ADDRESS(2,11,1,,U$3)):INDIRECT(ADDRESS(25,playercnt+10,1,,U$3)),24),"")</f>
        <v/>
      </c>
      <c r="V33" s="46" t="str">
        <f ca="1">IF($D$2&gt;=(COLUMN()-10),HLOOKUP($B33,INDIRECT(ADDRESS(2,11,1,,V$3)):INDIRECT(ADDRESS(25,playercnt+10,1,,V$3)),24),"")</f>
        <v/>
      </c>
      <c r="W33" s="46" t="str">
        <f ca="1">IF($D$2&gt;=(COLUMN()-10),HLOOKUP($B33,INDIRECT(ADDRESS(2,11,1,,W$3)):INDIRECT(ADDRESS(25,playercnt+10,1,,W$3)),24),"")</f>
        <v/>
      </c>
      <c r="X33" s="14">
        <v>55</v>
      </c>
      <c r="Y33" s="14">
        <f t="shared" si="8"/>
        <v>26</v>
      </c>
    </row>
    <row r="34" spans="1:25">
      <c r="A34" s="83">
        <f>IF(D34=D33,A33,Y34)</f>
        <v>27</v>
      </c>
      <c r="B34" s="39" t="str">
        <f ca="1">INDIRECT(ADDRESS(2,10+INDIRECT(ADDRESS(ROW(),24)),,,"Chart"))</f>
        <v>Murdaugh, Stephen K</v>
      </c>
      <c r="C34" s="40">
        <f>sumAcrossWkSheets(28,10,X34)</f>
        <v>0</v>
      </c>
      <c r="D34" s="40">
        <f>sumAcrossWkSheets(25,10,X34)</f>
        <v>28</v>
      </c>
      <c r="E34" s="25">
        <f>D34/games_completed</f>
        <v>0.46666666666666667</v>
      </c>
      <c r="F34" s="11">
        <f>$D$8-D34</f>
        <v>11</v>
      </c>
      <c r="G34" s="43">
        <v>27</v>
      </c>
      <c r="H34" s="20">
        <f>G34-A34</f>
        <v>0</v>
      </c>
      <c r="I34" s="17">
        <f ca="1">MAX(K34:W34)</f>
        <v>7</v>
      </c>
      <c r="J34" s="17">
        <f ca="1">MIN(K34:W34)</f>
        <v>3</v>
      </c>
      <c r="K34" s="46">
        <f ca="1">IF($D$2&gt;=(COLUMN()-10),HLOOKUP($B34,INDIRECT(ADDRESS(2,11,1,,K$3)):INDIRECT(ADDRESS(25,playercnt+10,1,,K$3)),24),"")</f>
        <v>4</v>
      </c>
      <c r="L34" s="46">
        <f ca="1">IF($D$2&gt;=(COLUMN()-10),HLOOKUP($B34,INDIRECT(ADDRESS(2,11,1,,L$3)):INDIRECT(ADDRESS(25,playercnt+10,1,,L$3)),24),"")</f>
        <v>7</v>
      </c>
      <c r="M34" s="46">
        <f ca="1">IF($D$2&gt;=(COLUMN()-10),HLOOKUP($B34,INDIRECT(ADDRESS(2,11,1,,M$3)):INDIRECT(ADDRESS(25,playercnt+10,1,,M$3)),24),"")</f>
        <v>5</v>
      </c>
      <c r="N34" s="46">
        <f ca="1">IF($D$2&gt;=(COLUMN()-10),HLOOKUP($B34,INDIRECT(ADDRESS(2,11,1,,N$3)):INDIRECT(ADDRESS(25,playercnt+10,1,,N$3)),24),"")</f>
        <v>5</v>
      </c>
      <c r="O34" s="46">
        <f ca="1">IF($D$2&gt;=(COLUMN()-10),HLOOKUP($B34,INDIRECT(ADDRESS(2,11,1,,O$3)):INDIRECT(ADDRESS(25,playercnt+10,1,,O$3)),24),"")</f>
        <v>3</v>
      </c>
      <c r="P34" s="46">
        <f ca="1">IF($D$2&gt;=(COLUMN()-10),HLOOKUP($B34,INDIRECT(ADDRESS(2,11,1,,P$3)):INDIRECT(ADDRESS(25,playercnt+10,1,,P$3)),24),"")</f>
        <v>4</v>
      </c>
      <c r="Q34" s="46" t="str">
        <f ca="1">IF($D$2&gt;=(COLUMN()-10),HLOOKUP($B34,INDIRECT(ADDRESS(2,11,1,,Q$3)):INDIRECT(ADDRESS(25,playercnt+10,1,,Q$3)),24),"")</f>
        <v/>
      </c>
      <c r="R34" s="46" t="str">
        <f ca="1">IF($D$2&gt;=(COLUMN()-10),HLOOKUP($B34,INDIRECT(ADDRESS(2,11,1,,R$3)):INDIRECT(ADDRESS(25,playercnt+10,1,,R$3)),24),"")</f>
        <v/>
      </c>
      <c r="S34" s="46" t="str">
        <f ca="1">IF($D$2&gt;=(COLUMN()-10),HLOOKUP($B34,INDIRECT(ADDRESS(2,11,1,,S$3)):INDIRECT(ADDRESS(25,playercnt+10,1,,S$3)),24),"")</f>
        <v/>
      </c>
      <c r="T34" s="46" t="str">
        <f ca="1">IF($D$2&gt;=(COLUMN()-10),HLOOKUP($B34,INDIRECT(ADDRESS(2,11,1,,T$3)):INDIRECT(ADDRESS(25,playercnt+10,1,,T$3)),24),"")</f>
        <v/>
      </c>
      <c r="U34" s="46" t="str">
        <f ca="1">IF($D$2&gt;=(COLUMN()-10),HLOOKUP($B34,INDIRECT(ADDRESS(2,11,1,,U$3)):INDIRECT(ADDRESS(25,playercnt+10,1,,U$3)),24),"")</f>
        <v/>
      </c>
      <c r="V34" s="46" t="str">
        <f ca="1">IF($D$2&gt;=(COLUMN()-10),HLOOKUP($B34,INDIRECT(ADDRESS(2,11,1,,V$3)):INDIRECT(ADDRESS(25,playercnt+10,1,,V$3)),24),"")</f>
        <v/>
      </c>
      <c r="W34" s="46" t="str">
        <f ca="1">IF($D$2&gt;=(COLUMN()-10),HLOOKUP($B34,INDIRECT(ADDRESS(2,11,1,,W$3)):INDIRECT(ADDRESS(25,playercnt+10,1,,W$3)),24),"")</f>
        <v/>
      </c>
      <c r="X34" s="47">
        <v>30</v>
      </c>
      <c r="Y34" s="14">
        <f t="shared" si="8"/>
        <v>27</v>
      </c>
    </row>
    <row r="35" spans="1:25">
      <c r="A35" s="83">
        <f>IF(D35=D34,A34,Y35)</f>
        <v>27</v>
      </c>
      <c r="B35" s="39" t="str">
        <f ca="1">INDIRECT(ADDRESS(2,10+INDIRECT(ADDRESS(ROW(),24)),,,"Chart"))</f>
        <v>Robbins, Thomas D</v>
      </c>
      <c r="C35" s="40">
        <f>sumAcrossWkSheets(28,10,X35)</f>
        <v>0</v>
      </c>
      <c r="D35" s="40">
        <f>sumAcrossWkSheets(25,10,X35)</f>
        <v>28</v>
      </c>
      <c r="E35" s="25">
        <f>D35/games_completed</f>
        <v>0.46666666666666667</v>
      </c>
      <c r="F35" s="11">
        <f>$D$8-D35</f>
        <v>11</v>
      </c>
      <c r="G35" s="16">
        <v>27</v>
      </c>
      <c r="H35" s="20">
        <f>G35-A35</f>
        <v>0</v>
      </c>
      <c r="I35" s="17">
        <f ca="1">MAX(K35:W35)</f>
        <v>8</v>
      </c>
      <c r="J35" s="17">
        <f ca="1">MIN(K35:W35)</f>
        <v>0</v>
      </c>
      <c r="K35" s="46">
        <f ca="1">IF($D$2&gt;=(COLUMN()-10),HLOOKUP($B35,INDIRECT(ADDRESS(2,11,1,,K$3)):INDIRECT(ADDRESS(25,playercnt+10,1,,K$3)),24),"")</f>
        <v>8</v>
      </c>
      <c r="L35" s="46">
        <f ca="1">IF($D$2&gt;=(COLUMN()-10),HLOOKUP($B35,INDIRECT(ADDRESS(2,11,1,,L$3)):INDIRECT(ADDRESS(25,playercnt+10,1,,L$3)),24),"")</f>
        <v>5</v>
      </c>
      <c r="M35" s="46">
        <f ca="1">IF($D$2&gt;=(COLUMN()-10),HLOOKUP($B35,INDIRECT(ADDRESS(2,11,1,,M$3)):INDIRECT(ADDRESS(25,playercnt+10,1,,M$3)),24),"")</f>
        <v>5</v>
      </c>
      <c r="N35" s="46">
        <f ca="1">IF($D$2&gt;=(COLUMN()-10),HLOOKUP($B35,INDIRECT(ADDRESS(2,11,1,,N$3)):INDIRECT(ADDRESS(25,playercnt+10,1,,N$3)),24),"")</f>
        <v>4</v>
      </c>
      <c r="O35" s="46">
        <f ca="1">IF($D$2&gt;=(COLUMN()-10),HLOOKUP($B35,INDIRECT(ADDRESS(2,11,1,,O$3)):INDIRECT(ADDRESS(25,playercnt+10,1,,O$3)),24),"")</f>
        <v>6</v>
      </c>
      <c r="P35" s="46">
        <f ca="1">IF($D$2&gt;=(COLUMN()-10),HLOOKUP($B35,INDIRECT(ADDRESS(2,11,1,,P$3)):INDIRECT(ADDRESS(25,playercnt+10,1,,P$3)),24),"")</f>
        <v>0</v>
      </c>
      <c r="Q35" s="46" t="str">
        <f ca="1">IF($D$2&gt;=(COLUMN()-10),HLOOKUP($B35,INDIRECT(ADDRESS(2,11,1,,Q$3)):INDIRECT(ADDRESS(25,playercnt+10,1,,Q$3)),24),"")</f>
        <v/>
      </c>
      <c r="R35" s="46" t="str">
        <f ca="1">IF($D$2&gt;=(COLUMN()-10),HLOOKUP($B35,INDIRECT(ADDRESS(2,11,1,,R$3)):INDIRECT(ADDRESS(25,playercnt+10,1,,R$3)),24),"")</f>
        <v/>
      </c>
      <c r="S35" s="46" t="str">
        <f ca="1">IF($D$2&gt;=(COLUMN()-10),HLOOKUP($B35,INDIRECT(ADDRESS(2,11,1,,S$3)):INDIRECT(ADDRESS(25,playercnt+10,1,,S$3)),24),"")</f>
        <v/>
      </c>
      <c r="T35" s="46" t="str">
        <f ca="1">IF($D$2&gt;=(COLUMN()-10),HLOOKUP($B35,INDIRECT(ADDRESS(2,11,1,,T$3)):INDIRECT(ADDRESS(25,playercnt+10,1,,T$3)),24),"")</f>
        <v/>
      </c>
      <c r="U35" s="46" t="str">
        <f ca="1">IF($D$2&gt;=(COLUMN()-10),HLOOKUP($B35,INDIRECT(ADDRESS(2,11,1,,U$3)):INDIRECT(ADDRESS(25,playercnt+10,1,,U$3)),24),"")</f>
        <v/>
      </c>
      <c r="V35" s="46" t="str">
        <f ca="1">IF($D$2&gt;=(COLUMN()-10),HLOOKUP($B35,INDIRECT(ADDRESS(2,11,1,,V$3)):INDIRECT(ADDRESS(25,playercnt+10,1,,V$3)),24),"")</f>
        <v/>
      </c>
      <c r="W35" s="46" t="str">
        <f ca="1">IF($D$2&gt;=(COLUMN()-10),HLOOKUP($B35,INDIRECT(ADDRESS(2,11,1,,W$3)):INDIRECT(ADDRESS(25,playercnt+10,1,,W$3)),24),"")</f>
        <v/>
      </c>
      <c r="X35" s="14">
        <v>42</v>
      </c>
      <c r="Y35" s="14">
        <f t="shared" si="8"/>
        <v>28</v>
      </c>
    </row>
    <row r="36" spans="1:25">
      <c r="A36" s="83">
        <f>IF(D36=D35,A35,Y36)</f>
        <v>27</v>
      </c>
      <c r="B36" s="39" t="str">
        <f ca="1">INDIRECT(ADDRESS(2,10+INDIRECT(ADDRESS(ROW(),24)),,,"Chart"))</f>
        <v>Young, Kenneth</v>
      </c>
      <c r="C36" s="40">
        <f>sumAcrossWkSheets(28,10,X36)</f>
        <v>0</v>
      </c>
      <c r="D36" s="40">
        <f>sumAcrossWkSheets(25,10,X36)</f>
        <v>28</v>
      </c>
      <c r="E36" s="25">
        <f>D36/games_completed</f>
        <v>0.46666666666666667</v>
      </c>
      <c r="F36" s="11">
        <f>$D$8-D36</f>
        <v>11</v>
      </c>
      <c r="G36" s="43">
        <v>27</v>
      </c>
      <c r="H36" s="20">
        <f>G36-A36</f>
        <v>0</v>
      </c>
      <c r="I36" s="17">
        <f ca="1">MAX(K36:W36)</f>
        <v>7</v>
      </c>
      <c r="J36" s="17">
        <f ca="1">MIN(K36:W36)</f>
        <v>0</v>
      </c>
      <c r="K36" s="46">
        <f ca="1">IF($D$2&gt;=(COLUMN()-10),HLOOKUP($B36,INDIRECT(ADDRESS(2,11,1,,K$3)):INDIRECT(ADDRESS(25,playercnt+10,1,,K$3)),24),"")</f>
        <v>7</v>
      </c>
      <c r="L36" s="46">
        <f ca="1">IF($D$2&gt;=(COLUMN()-10),HLOOKUP($B36,INDIRECT(ADDRESS(2,11,1,,L$3)):INDIRECT(ADDRESS(25,playercnt+10,1,,L$3)),24),"")</f>
        <v>5</v>
      </c>
      <c r="M36" s="46">
        <f ca="1">IF($D$2&gt;=(COLUMN()-10),HLOOKUP($B36,INDIRECT(ADDRESS(2,11,1,,M$3)):INDIRECT(ADDRESS(25,playercnt+10,1,,M$3)),24),"")</f>
        <v>0</v>
      </c>
      <c r="N36" s="46">
        <f ca="1">IF($D$2&gt;=(COLUMN()-10),HLOOKUP($B36,INDIRECT(ADDRESS(2,11,1,,N$3)):INDIRECT(ADDRESS(25,playercnt+10,1,,N$3)),24),"")</f>
        <v>4</v>
      </c>
      <c r="O36" s="46">
        <f ca="1">IF($D$2&gt;=(COLUMN()-10),HLOOKUP($B36,INDIRECT(ADDRESS(2,11,1,,O$3)):INDIRECT(ADDRESS(25,playercnt+10,1,,O$3)),24),"")</f>
        <v>6</v>
      </c>
      <c r="P36" s="46">
        <f ca="1">IF($D$2&gt;=(COLUMN()-10),HLOOKUP($B36,INDIRECT(ADDRESS(2,11,1,,P$3)):INDIRECT(ADDRESS(25,playercnt+10,1,,P$3)),24),"")</f>
        <v>6</v>
      </c>
      <c r="Q36" s="46" t="str">
        <f ca="1">IF($D$2&gt;=(COLUMN()-10),HLOOKUP($B36,INDIRECT(ADDRESS(2,11,1,,Q$3)):INDIRECT(ADDRESS(25,playercnt+10,1,,Q$3)),24),"")</f>
        <v/>
      </c>
      <c r="R36" s="46" t="str">
        <f ca="1">IF($D$2&gt;=(COLUMN()-10),HLOOKUP($B36,INDIRECT(ADDRESS(2,11,1,,R$3)):INDIRECT(ADDRESS(25,playercnt+10,1,,R$3)),24),"")</f>
        <v/>
      </c>
      <c r="S36" s="46" t="str">
        <f ca="1">IF($D$2&gt;=(COLUMN()-10),HLOOKUP($B36,INDIRECT(ADDRESS(2,11,1,,S$3)):INDIRECT(ADDRESS(25,playercnt+10,1,,S$3)),24),"")</f>
        <v/>
      </c>
      <c r="T36" s="46" t="str">
        <f ca="1">IF($D$2&gt;=(COLUMN()-10),HLOOKUP($B36,INDIRECT(ADDRESS(2,11,1,,T$3)):INDIRECT(ADDRESS(25,playercnt+10,1,,T$3)),24),"")</f>
        <v/>
      </c>
      <c r="U36" s="46" t="str">
        <f ca="1">IF($D$2&gt;=(COLUMN()-10),HLOOKUP($B36,INDIRECT(ADDRESS(2,11,1,,U$3)):INDIRECT(ADDRESS(25,playercnt+10,1,,U$3)),24),"")</f>
        <v/>
      </c>
      <c r="V36" s="46" t="str">
        <f ca="1">IF($D$2&gt;=(COLUMN()-10),HLOOKUP($B36,INDIRECT(ADDRESS(2,11,1,,V$3)):INDIRECT(ADDRESS(25,playercnt+10,1,,V$3)),24),"")</f>
        <v/>
      </c>
      <c r="W36" s="46" t="str">
        <f ca="1">IF($D$2&gt;=(COLUMN()-10),HLOOKUP($B36,INDIRECT(ADDRESS(2,11,1,,W$3)):INDIRECT(ADDRESS(25,playercnt+10,1,,W$3)),24),"")</f>
        <v/>
      </c>
      <c r="X36" s="47">
        <v>56</v>
      </c>
      <c r="Y36" s="14">
        <f t="shared" si="8"/>
        <v>29</v>
      </c>
    </row>
    <row r="37" spans="1:25">
      <c r="A37" s="83">
        <f>IF(D37=D36,A36,Y37)</f>
        <v>30</v>
      </c>
      <c r="B37" s="39" t="str">
        <f ca="1">INDIRECT(ADDRESS(2,10+INDIRECT(ADDRESS(ROW(),24)),,,"Chart"))</f>
        <v>Beasley, Tate</v>
      </c>
      <c r="C37" s="40">
        <f>sumAcrossWkSheets(28,10,X37)</f>
        <v>0</v>
      </c>
      <c r="D37" s="40">
        <f>sumAcrossWkSheets(25,10,X37)</f>
        <v>27</v>
      </c>
      <c r="E37" s="25">
        <f>D37/games_completed</f>
        <v>0.45</v>
      </c>
      <c r="F37" s="11">
        <f>$D$8-D37</f>
        <v>12</v>
      </c>
      <c r="G37" s="16">
        <v>30</v>
      </c>
      <c r="H37" s="20">
        <f>G37-A37</f>
        <v>0</v>
      </c>
      <c r="I37" s="17">
        <f ca="1">MAX(K37:W37)</f>
        <v>7</v>
      </c>
      <c r="J37" s="17">
        <f ca="1">MIN(K37:W37)</f>
        <v>0</v>
      </c>
      <c r="K37" s="46">
        <f ca="1">IF($D$2&gt;=(COLUMN()-10),HLOOKUP($B37,INDIRECT(ADDRESS(2,11,1,,K$3)):INDIRECT(ADDRESS(25,playercnt+10,1,,K$3)),24),"")</f>
        <v>4</v>
      </c>
      <c r="L37" s="46">
        <f ca="1">IF($D$2&gt;=(COLUMN()-10),HLOOKUP($B37,INDIRECT(ADDRESS(2,11,1,,L$3)):INDIRECT(ADDRESS(25,playercnt+10,1,,L$3)),24),"")</f>
        <v>7</v>
      </c>
      <c r="M37" s="46">
        <f ca="1">IF($D$2&gt;=(COLUMN()-10),HLOOKUP($B37,INDIRECT(ADDRESS(2,11,1,,M$3)):INDIRECT(ADDRESS(25,playercnt+10,1,,M$3)),24),"")</f>
        <v>4</v>
      </c>
      <c r="N37" s="46">
        <f ca="1">IF($D$2&gt;=(COLUMN()-10),HLOOKUP($B37,INDIRECT(ADDRESS(2,11,1,,N$3)):INDIRECT(ADDRESS(25,playercnt+10,1,,N$3)),24),"")</f>
        <v>6</v>
      </c>
      <c r="O37" s="46">
        <f ca="1">IF($D$2&gt;=(COLUMN()-10),HLOOKUP($B37,INDIRECT(ADDRESS(2,11,1,,O$3)):INDIRECT(ADDRESS(25,playercnt+10,1,,O$3)),24),"")</f>
        <v>6</v>
      </c>
      <c r="P37" s="46">
        <f ca="1">IF($D$2&gt;=(COLUMN()-10),HLOOKUP($B37,INDIRECT(ADDRESS(2,11,1,,P$3)):INDIRECT(ADDRESS(25,playercnt+10,1,,P$3)),24),"")</f>
        <v>0</v>
      </c>
      <c r="Q37" s="46" t="str">
        <f ca="1">IF($D$2&gt;=(COLUMN()-10),HLOOKUP($B37,INDIRECT(ADDRESS(2,11,1,,Q$3)):INDIRECT(ADDRESS(25,playercnt+10,1,,Q$3)),24),"")</f>
        <v/>
      </c>
      <c r="R37" s="46" t="str">
        <f ca="1">IF($D$2&gt;=(COLUMN()-10),HLOOKUP($B37,INDIRECT(ADDRESS(2,11,1,,R$3)):INDIRECT(ADDRESS(25,playercnt+10,1,,R$3)),24),"")</f>
        <v/>
      </c>
      <c r="S37" s="46" t="str">
        <f ca="1">IF($D$2&gt;=(COLUMN()-10),HLOOKUP($B37,INDIRECT(ADDRESS(2,11,1,,S$3)):INDIRECT(ADDRESS(25,playercnt+10,1,,S$3)),24),"")</f>
        <v/>
      </c>
      <c r="T37" s="46" t="str">
        <f ca="1">IF($D$2&gt;=(COLUMN()-10),HLOOKUP($B37,INDIRECT(ADDRESS(2,11,1,,T$3)):INDIRECT(ADDRESS(25,playercnt+10,1,,T$3)),24),"")</f>
        <v/>
      </c>
      <c r="U37" s="46" t="str">
        <f ca="1">IF($D$2&gt;=(COLUMN()-10),HLOOKUP($B37,INDIRECT(ADDRESS(2,11,1,,U$3)):INDIRECT(ADDRESS(25,playercnt+10,1,,U$3)),24),"")</f>
        <v/>
      </c>
      <c r="V37" s="46" t="str">
        <f ca="1">IF($D$2&gt;=(COLUMN()-10),HLOOKUP($B37,INDIRECT(ADDRESS(2,11,1,,V$3)):INDIRECT(ADDRESS(25,playercnt+10,1,,V$3)),24),"")</f>
        <v/>
      </c>
      <c r="W37" s="46" t="str">
        <f ca="1">IF($D$2&gt;=(COLUMN()-10),HLOOKUP($B37,INDIRECT(ADDRESS(2,11,1,,W$3)):INDIRECT(ADDRESS(25,playercnt+10,1,,W$3)),24),"")</f>
        <v/>
      </c>
      <c r="X37" s="14">
        <v>3</v>
      </c>
      <c r="Y37" s="14">
        <f>Y36+1</f>
        <v>30</v>
      </c>
    </row>
    <row r="38" spans="1:25">
      <c r="A38" s="83">
        <f>IF(D38=D37,A37,Y38)</f>
        <v>30</v>
      </c>
      <c r="B38" s="39" t="str">
        <f ca="1">INDIRECT(ADDRESS(2,10+INDIRECT(ADDRESS(ROW(),24)),,,"Chart"))</f>
        <v>Desetto, Daniel</v>
      </c>
      <c r="C38" s="40">
        <f>sumAcrossWkSheets(28,10,X38)</f>
        <v>0</v>
      </c>
      <c r="D38" s="40">
        <f>sumAcrossWkSheets(25,10,X38)</f>
        <v>27</v>
      </c>
      <c r="E38" s="25">
        <f>D38/games_completed</f>
        <v>0.45</v>
      </c>
      <c r="F38" s="11">
        <f>$D$8-D38</f>
        <v>12</v>
      </c>
      <c r="G38" s="43">
        <v>30</v>
      </c>
      <c r="H38" s="20">
        <f>G38-A38</f>
        <v>0</v>
      </c>
      <c r="I38" s="17">
        <f ca="1">MAX(K38:W38)</f>
        <v>7</v>
      </c>
      <c r="J38" s="17">
        <f ca="1">MIN(K38:W38)</f>
        <v>3</v>
      </c>
      <c r="K38" s="46">
        <f ca="1">IF($D$2&gt;=(COLUMN()-10),HLOOKUP($B38,INDIRECT(ADDRESS(2,11,1,,K$3)):INDIRECT(ADDRESS(25,playercnt+10,1,,K$3)),24),"")</f>
        <v>3</v>
      </c>
      <c r="L38" s="46">
        <f ca="1">IF($D$2&gt;=(COLUMN()-10),HLOOKUP($B38,INDIRECT(ADDRESS(2,11,1,,L$3)):INDIRECT(ADDRESS(25,playercnt+10,1,,L$3)),24),"")</f>
        <v>4</v>
      </c>
      <c r="M38" s="46">
        <f ca="1">IF($D$2&gt;=(COLUMN()-10),HLOOKUP($B38,INDIRECT(ADDRESS(2,11,1,,M$3)):INDIRECT(ADDRESS(25,playercnt+10,1,,M$3)),24),"")</f>
        <v>4</v>
      </c>
      <c r="N38" s="46">
        <f ca="1">IF($D$2&gt;=(COLUMN()-10),HLOOKUP($B38,INDIRECT(ADDRESS(2,11,1,,N$3)):INDIRECT(ADDRESS(25,playercnt+10,1,,N$3)),24),"")</f>
        <v>7</v>
      </c>
      <c r="O38" s="46">
        <f ca="1">IF($D$2&gt;=(COLUMN()-10),HLOOKUP($B38,INDIRECT(ADDRESS(2,11,1,,O$3)):INDIRECT(ADDRESS(25,playercnt+10,1,,O$3)),24),"")</f>
        <v>6</v>
      </c>
      <c r="P38" s="46">
        <f ca="1">IF($D$2&gt;=(COLUMN()-10),HLOOKUP($B38,INDIRECT(ADDRESS(2,11,1,,P$3)):INDIRECT(ADDRESS(25,playercnt+10,1,,P$3)),24),"")</f>
        <v>3</v>
      </c>
      <c r="Q38" s="46" t="str">
        <f ca="1">IF($D$2&gt;=(COLUMN()-10),HLOOKUP($B38,INDIRECT(ADDRESS(2,11,1,,Q$3)):INDIRECT(ADDRESS(25,playercnt+10,1,,Q$3)),24),"")</f>
        <v/>
      </c>
      <c r="R38" s="46" t="str">
        <f ca="1">IF($D$2&gt;=(COLUMN()-10),HLOOKUP($B38,INDIRECT(ADDRESS(2,11,1,,R$3)):INDIRECT(ADDRESS(25,playercnt+10,1,,R$3)),24),"")</f>
        <v/>
      </c>
      <c r="S38" s="46" t="str">
        <f ca="1">IF($D$2&gt;=(COLUMN()-10),HLOOKUP($B38,INDIRECT(ADDRESS(2,11,1,,S$3)):INDIRECT(ADDRESS(25,playercnt+10,1,,S$3)),24),"")</f>
        <v/>
      </c>
      <c r="T38" s="46" t="str">
        <f ca="1">IF($D$2&gt;=(COLUMN()-10),HLOOKUP($B38,INDIRECT(ADDRESS(2,11,1,,T$3)):INDIRECT(ADDRESS(25,playercnt+10,1,,T$3)),24),"")</f>
        <v/>
      </c>
      <c r="U38" s="46" t="str">
        <f ca="1">IF($D$2&gt;=(COLUMN()-10),HLOOKUP($B38,INDIRECT(ADDRESS(2,11,1,,U$3)):INDIRECT(ADDRESS(25,playercnt+10,1,,U$3)),24),"")</f>
        <v/>
      </c>
      <c r="V38" s="46" t="str">
        <f ca="1">IF($D$2&gt;=(COLUMN()-10),HLOOKUP($B38,INDIRECT(ADDRESS(2,11,1,,V$3)):INDIRECT(ADDRESS(25,playercnt+10,1,,V$3)),24),"")</f>
        <v/>
      </c>
      <c r="W38" s="46" t="str">
        <f ca="1">IF($D$2&gt;=(COLUMN()-10),HLOOKUP($B38,INDIRECT(ADDRESS(2,11,1,,W$3)):INDIRECT(ADDRESS(25,playercnt+10,1,,W$3)),24),"")</f>
        <v/>
      </c>
      <c r="X38" s="47">
        <v>9</v>
      </c>
      <c r="Y38" s="14">
        <f>Y37+1</f>
        <v>31</v>
      </c>
    </row>
    <row r="39" spans="1:25">
      <c r="A39" s="83">
        <f>IF(D39=D38,A38,Y39)</f>
        <v>30</v>
      </c>
      <c r="B39" s="39" t="str">
        <f ca="1">INDIRECT(ADDRESS(2,10+INDIRECT(ADDRESS(ROW(),24)),,,"Chart"))</f>
        <v>Ferguson, Scott Remote</v>
      </c>
      <c r="C39" s="40">
        <f>sumAcrossWkSheets(28,10,X39)</f>
        <v>0</v>
      </c>
      <c r="D39" s="40">
        <f>sumAcrossWkSheets(25,10,X39)</f>
        <v>27</v>
      </c>
      <c r="E39" s="25">
        <f>D39/games_completed</f>
        <v>0.45</v>
      </c>
      <c r="F39" s="11">
        <f>$D$8-D39</f>
        <v>12</v>
      </c>
      <c r="G39" s="16">
        <v>30</v>
      </c>
      <c r="H39" s="20">
        <f>G39-A39</f>
        <v>0</v>
      </c>
      <c r="I39" s="17">
        <f ca="1">MAX(K39:W39)</f>
        <v>6</v>
      </c>
      <c r="J39" s="17">
        <f ca="1">MIN(K39:W39)</f>
        <v>4</v>
      </c>
      <c r="K39" s="46">
        <f ca="1">IF($D$2&gt;=(COLUMN()-10),HLOOKUP($B39,INDIRECT(ADDRESS(2,11,1,,K$3)):INDIRECT(ADDRESS(25,playercnt+10,1,,K$3)),24),"")</f>
        <v>4</v>
      </c>
      <c r="L39" s="46">
        <f ca="1">IF($D$2&gt;=(COLUMN()-10),HLOOKUP($B39,INDIRECT(ADDRESS(2,11,1,,L$3)):INDIRECT(ADDRESS(25,playercnt+10,1,,L$3)),24),"")</f>
        <v>4</v>
      </c>
      <c r="M39" s="46">
        <f ca="1">IF($D$2&gt;=(COLUMN()-10),HLOOKUP($B39,INDIRECT(ADDRESS(2,11,1,,M$3)):INDIRECT(ADDRESS(25,playercnt+10,1,,M$3)),24),"")</f>
        <v>5</v>
      </c>
      <c r="N39" s="46">
        <f ca="1">IF($D$2&gt;=(COLUMN()-10),HLOOKUP($B39,INDIRECT(ADDRESS(2,11,1,,N$3)):INDIRECT(ADDRESS(25,playercnt+10,1,,N$3)),24),"")</f>
        <v>6</v>
      </c>
      <c r="O39" s="46">
        <f ca="1">IF($D$2&gt;=(COLUMN()-10),HLOOKUP($B39,INDIRECT(ADDRESS(2,11,1,,O$3)):INDIRECT(ADDRESS(25,playercnt+10,1,,O$3)),24),"")</f>
        <v>4</v>
      </c>
      <c r="P39" s="46">
        <f ca="1">IF($D$2&gt;=(COLUMN()-10),HLOOKUP($B39,INDIRECT(ADDRESS(2,11,1,,P$3)):INDIRECT(ADDRESS(25,playercnt+10,1,,P$3)),24),"")</f>
        <v>4</v>
      </c>
      <c r="Q39" s="46" t="str">
        <f ca="1">IF($D$2&gt;=(COLUMN()-10),HLOOKUP($B39,INDIRECT(ADDRESS(2,11,1,,Q$3)):INDIRECT(ADDRESS(25,playercnt+10,1,,Q$3)),24),"")</f>
        <v/>
      </c>
      <c r="R39" s="46" t="str">
        <f ca="1">IF($D$2&gt;=(COLUMN()-10),HLOOKUP($B39,INDIRECT(ADDRESS(2,11,1,,R$3)):INDIRECT(ADDRESS(25,playercnt+10,1,,R$3)),24),"")</f>
        <v/>
      </c>
      <c r="S39" s="46" t="str">
        <f ca="1">IF($D$2&gt;=(COLUMN()-10),HLOOKUP($B39,INDIRECT(ADDRESS(2,11,1,,S$3)):INDIRECT(ADDRESS(25,playercnt+10,1,,S$3)),24),"")</f>
        <v/>
      </c>
      <c r="T39" s="46" t="str">
        <f ca="1">IF($D$2&gt;=(COLUMN()-10),HLOOKUP($B39,INDIRECT(ADDRESS(2,11,1,,T$3)):INDIRECT(ADDRESS(25,playercnt+10,1,,T$3)),24),"")</f>
        <v/>
      </c>
      <c r="U39" s="46" t="str">
        <f ca="1">IF($D$2&gt;=(COLUMN()-10),HLOOKUP($B39,INDIRECT(ADDRESS(2,11,1,,U$3)):INDIRECT(ADDRESS(25,playercnt+10,1,,U$3)),24),"")</f>
        <v/>
      </c>
      <c r="V39" s="46" t="str">
        <f ca="1">IF($D$2&gt;=(COLUMN()-10),HLOOKUP($B39,INDIRECT(ADDRESS(2,11,1,,V$3)):INDIRECT(ADDRESS(25,playercnt+10,1,,V$3)),24),"")</f>
        <v/>
      </c>
      <c r="W39" s="46" t="str">
        <f ca="1">IF($D$2&gt;=(COLUMN()-10),HLOOKUP($B39,INDIRECT(ADDRESS(2,11,1,,W$3)):INDIRECT(ADDRESS(25,playercnt+10,1,,W$3)),24),"")</f>
        <v/>
      </c>
      <c r="X39" s="14">
        <v>15</v>
      </c>
      <c r="Y39" s="14">
        <f t="shared" ref="Y39:Y44" si="9">Y38+1</f>
        <v>32</v>
      </c>
    </row>
    <row r="40" spans="1:25">
      <c r="A40" s="83">
        <f>IF(D40=D39,A39,Y40)</f>
        <v>30</v>
      </c>
      <c r="B40" s="39" t="str">
        <f ca="1">INDIRECT(ADDRESS(2,10+INDIRECT(ADDRESS(ROW(),24)),,,"Chart"))</f>
        <v>Murphy, William A</v>
      </c>
      <c r="C40" s="40">
        <f>sumAcrossWkSheets(28,10,X40)</f>
        <v>0</v>
      </c>
      <c r="D40" s="40">
        <f>sumAcrossWkSheets(25,10,X40)</f>
        <v>27</v>
      </c>
      <c r="E40" s="25">
        <f>D40/games_completed</f>
        <v>0.45</v>
      </c>
      <c r="F40" s="11">
        <f>$D$8-D40</f>
        <v>12</v>
      </c>
      <c r="G40" s="43">
        <v>30</v>
      </c>
      <c r="H40" s="20">
        <f>G40-A40</f>
        <v>0</v>
      </c>
      <c r="I40" s="17">
        <f ca="1">MAX(K40:W40)</f>
        <v>5</v>
      </c>
      <c r="J40" s="17">
        <f ca="1">MIN(K40:W40)</f>
        <v>4</v>
      </c>
      <c r="K40" s="46">
        <f ca="1">IF($D$2&gt;=(COLUMN()-10),HLOOKUP($B40,INDIRECT(ADDRESS(2,11,1,,K$3)):INDIRECT(ADDRESS(25,playercnt+10,1,,K$3)),24),"")</f>
        <v>5</v>
      </c>
      <c r="L40" s="46">
        <f ca="1">IF($D$2&gt;=(COLUMN()-10),HLOOKUP($B40,INDIRECT(ADDRESS(2,11,1,,L$3)):INDIRECT(ADDRESS(25,playercnt+10,1,,L$3)),24),"")</f>
        <v>4</v>
      </c>
      <c r="M40" s="46">
        <f ca="1">IF($D$2&gt;=(COLUMN()-10),HLOOKUP($B40,INDIRECT(ADDRESS(2,11,1,,M$3)):INDIRECT(ADDRESS(25,playercnt+10,1,,M$3)),24),"")</f>
        <v>5</v>
      </c>
      <c r="N40" s="46">
        <f ca="1">IF($D$2&gt;=(COLUMN()-10),HLOOKUP($B40,INDIRECT(ADDRESS(2,11,1,,N$3)):INDIRECT(ADDRESS(25,playercnt+10,1,,N$3)),24),"")</f>
        <v>5</v>
      </c>
      <c r="O40" s="46">
        <f ca="1">IF($D$2&gt;=(COLUMN()-10),HLOOKUP($B40,INDIRECT(ADDRESS(2,11,1,,O$3)):INDIRECT(ADDRESS(25,playercnt+10,1,,O$3)),24),"")</f>
        <v>4</v>
      </c>
      <c r="P40" s="46">
        <f ca="1">IF($D$2&gt;=(COLUMN()-10),HLOOKUP($B40,INDIRECT(ADDRESS(2,11,1,,P$3)):INDIRECT(ADDRESS(25,playercnt+10,1,,P$3)),24),"")</f>
        <v>4</v>
      </c>
      <c r="Q40" s="46" t="str">
        <f ca="1">IF($D$2&gt;=(COLUMN()-10),HLOOKUP($B40,INDIRECT(ADDRESS(2,11,1,,Q$3)):INDIRECT(ADDRESS(25,playercnt+10,1,,Q$3)),24),"")</f>
        <v/>
      </c>
      <c r="R40" s="46" t="str">
        <f ca="1">IF($D$2&gt;=(COLUMN()-10),HLOOKUP($B40,INDIRECT(ADDRESS(2,11,1,,R$3)):INDIRECT(ADDRESS(25,playercnt+10,1,,R$3)),24),"")</f>
        <v/>
      </c>
      <c r="S40" s="46" t="str">
        <f ca="1">IF($D$2&gt;=(COLUMN()-10),HLOOKUP($B40,INDIRECT(ADDRESS(2,11,1,,S$3)):INDIRECT(ADDRESS(25,playercnt+10,1,,S$3)),24),"")</f>
        <v/>
      </c>
      <c r="T40" s="46" t="str">
        <f ca="1">IF($D$2&gt;=(COLUMN()-10),HLOOKUP($B40,INDIRECT(ADDRESS(2,11,1,,T$3)):INDIRECT(ADDRESS(25,playercnt+10,1,,T$3)),24),"")</f>
        <v/>
      </c>
      <c r="U40" s="46" t="str">
        <f ca="1">IF($D$2&gt;=(COLUMN()-10),HLOOKUP($B40,INDIRECT(ADDRESS(2,11,1,,U$3)):INDIRECT(ADDRESS(25,playercnt+10,1,,U$3)),24),"")</f>
        <v/>
      </c>
      <c r="V40" s="46" t="str">
        <f ca="1">IF($D$2&gt;=(COLUMN()-10),HLOOKUP($B40,INDIRECT(ADDRESS(2,11,1,,V$3)):INDIRECT(ADDRESS(25,playercnt+10,1,,V$3)),24),"")</f>
        <v/>
      </c>
      <c r="W40" s="46" t="str">
        <f ca="1">IF($D$2&gt;=(COLUMN()-10),HLOOKUP($B40,INDIRECT(ADDRESS(2,11,1,,W$3)):INDIRECT(ADDRESS(25,playercnt+10,1,,W$3)),24),"")</f>
        <v/>
      </c>
      <c r="X40" s="47">
        <v>31</v>
      </c>
      <c r="Y40" s="14">
        <f t="shared" si="9"/>
        <v>33</v>
      </c>
    </row>
    <row r="41" spans="1:25">
      <c r="A41" s="83">
        <f>IF(D41=D40,A40,Y41)</f>
        <v>30</v>
      </c>
      <c r="B41" s="39" t="str">
        <f ca="1">INDIRECT(ADDRESS(2,10+INDIRECT(ADDRESS(ROW(),24)),,,"Chart"))</f>
        <v>Penrose, Tim Remote</v>
      </c>
      <c r="C41" s="40">
        <f>sumAcrossWkSheets(28,10,X41)</f>
        <v>0</v>
      </c>
      <c r="D41" s="40">
        <f>sumAcrossWkSheets(25,10,X41)</f>
        <v>27</v>
      </c>
      <c r="E41" s="25">
        <f>D41/games_completed</f>
        <v>0.45</v>
      </c>
      <c r="F41" s="11">
        <f>$D$8-D41</f>
        <v>12</v>
      </c>
      <c r="G41" s="16">
        <v>30</v>
      </c>
      <c r="H41" s="20">
        <f>G41-A41</f>
        <v>0</v>
      </c>
      <c r="I41" s="17">
        <f ca="1">MAX(K41:W41)</f>
        <v>6</v>
      </c>
      <c r="J41" s="17">
        <f ca="1">MIN(K41:W41)</f>
        <v>2</v>
      </c>
      <c r="K41" s="46">
        <f ca="1">IF($D$2&gt;=(COLUMN()-10),HLOOKUP($B41,INDIRECT(ADDRESS(2,11,1,,K$3)):INDIRECT(ADDRESS(25,playercnt+10,1,,K$3)),24),"")</f>
        <v>5</v>
      </c>
      <c r="L41" s="46">
        <f ca="1">IF($D$2&gt;=(COLUMN()-10),HLOOKUP($B41,INDIRECT(ADDRESS(2,11,1,,L$3)):INDIRECT(ADDRESS(25,playercnt+10,1,,L$3)),24),"")</f>
        <v>6</v>
      </c>
      <c r="M41" s="46">
        <f ca="1">IF($D$2&gt;=(COLUMN()-10),HLOOKUP($B41,INDIRECT(ADDRESS(2,11,1,,M$3)):INDIRECT(ADDRESS(25,playercnt+10,1,,M$3)),24),"")</f>
        <v>6</v>
      </c>
      <c r="N41" s="46">
        <f ca="1">IF($D$2&gt;=(COLUMN()-10),HLOOKUP($B41,INDIRECT(ADDRESS(2,11,1,,N$3)):INDIRECT(ADDRESS(25,playercnt+10,1,,N$3)),24),"")</f>
        <v>4</v>
      </c>
      <c r="O41" s="46">
        <f ca="1">IF($D$2&gt;=(COLUMN()-10),HLOOKUP($B41,INDIRECT(ADDRESS(2,11,1,,O$3)):INDIRECT(ADDRESS(25,playercnt+10,1,,O$3)),24),"")</f>
        <v>2</v>
      </c>
      <c r="P41" s="46">
        <f ca="1">IF($D$2&gt;=(COLUMN()-10),HLOOKUP($B41,INDIRECT(ADDRESS(2,11,1,,P$3)):INDIRECT(ADDRESS(25,playercnt+10,1,,P$3)),24),"")</f>
        <v>4</v>
      </c>
      <c r="Q41" s="46" t="str">
        <f ca="1">IF($D$2&gt;=(COLUMN()-10),HLOOKUP($B41,INDIRECT(ADDRESS(2,11,1,,Q$3)):INDIRECT(ADDRESS(25,playercnt+10,1,,Q$3)),24),"")</f>
        <v/>
      </c>
      <c r="R41" s="46" t="str">
        <f ca="1">IF($D$2&gt;=(COLUMN()-10),HLOOKUP($B41,INDIRECT(ADDRESS(2,11,1,,R$3)):INDIRECT(ADDRESS(25,playercnt+10,1,,R$3)),24),"")</f>
        <v/>
      </c>
      <c r="S41" s="46" t="str">
        <f ca="1">IF($D$2&gt;=(COLUMN()-10),HLOOKUP($B41,INDIRECT(ADDRESS(2,11,1,,S$3)):INDIRECT(ADDRESS(25,playercnt+10,1,,S$3)),24),"")</f>
        <v/>
      </c>
      <c r="T41" s="46" t="str">
        <f ca="1">IF($D$2&gt;=(COLUMN()-10),HLOOKUP($B41,INDIRECT(ADDRESS(2,11,1,,T$3)):INDIRECT(ADDRESS(25,playercnt+10,1,,T$3)),24),"")</f>
        <v/>
      </c>
      <c r="U41" s="46" t="str">
        <f ca="1">IF($D$2&gt;=(COLUMN()-10),HLOOKUP($B41,INDIRECT(ADDRESS(2,11,1,,U$3)):INDIRECT(ADDRESS(25,playercnt+10,1,,U$3)),24),"")</f>
        <v/>
      </c>
      <c r="V41" s="46" t="str">
        <f ca="1">IF($D$2&gt;=(COLUMN()-10),HLOOKUP($B41,INDIRECT(ADDRESS(2,11,1,,V$3)):INDIRECT(ADDRESS(25,playercnt+10,1,,V$3)),24),"")</f>
        <v/>
      </c>
      <c r="W41" s="46" t="str">
        <f ca="1">IF($D$2&gt;=(COLUMN()-10),HLOOKUP($B41,INDIRECT(ADDRESS(2,11,1,,W$3)):INDIRECT(ADDRESS(25,playercnt+10,1,,W$3)),24),"")</f>
        <v/>
      </c>
      <c r="X41" s="14">
        <v>38</v>
      </c>
      <c r="Y41" s="14">
        <f t="shared" si="9"/>
        <v>34</v>
      </c>
    </row>
    <row r="42" spans="1:25">
      <c r="A42" s="83">
        <f>IF(D42=D41,A41,Y42)</f>
        <v>30</v>
      </c>
      <c r="B42" s="39" t="str">
        <f ca="1">INDIRECT(ADDRESS(2,10+INDIRECT(ADDRESS(ROW(),24)),,,"Chart"))</f>
        <v>Powell, LaMar</v>
      </c>
      <c r="C42" s="40">
        <f>sumAcrossWkSheets(28,10,X42)</f>
        <v>0</v>
      </c>
      <c r="D42" s="40">
        <f>sumAcrossWkSheets(25,10,X42)</f>
        <v>27</v>
      </c>
      <c r="E42" s="25">
        <f>D42/games_completed</f>
        <v>0.45</v>
      </c>
      <c r="F42" s="11">
        <f>$D$8-D42</f>
        <v>12</v>
      </c>
      <c r="G42" s="43">
        <v>30</v>
      </c>
      <c r="H42" s="20">
        <f>G42-A42</f>
        <v>0</v>
      </c>
      <c r="I42" s="17">
        <f ca="1">MAX(K42:W42)</f>
        <v>7</v>
      </c>
      <c r="J42" s="17">
        <f ca="1">MIN(K42:W42)</f>
        <v>3</v>
      </c>
      <c r="K42" s="46">
        <f ca="1">IF($D$2&gt;=(COLUMN()-10),HLOOKUP($B42,INDIRECT(ADDRESS(2,11,1,,K$3)):INDIRECT(ADDRESS(25,playercnt+10,1,,K$3)),24),"")</f>
        <v>4</v>
      </c>
      <c r="L42" s="46">
        <f ca="1">IF($D$2&gt;=(COLUMN()-10),HLOOKUP($B42,INDIRECT(ADDRESS(2,11,1,,L$3)):INDIRECT(ADDRESS(25,playercnt+10,1,,L$3)),24),"")</f>
        <v>3</v>
      </c>
      <c r="M42" s="46">
        <f ca="1">IF($D$2&gt;=(COLUMN()-10),HLOOKUP($B42,INDIRECT(ADDRESS(2,11,1,,M$3)):INDIRECT(ADDRESS(25,playercnt+10,1,,M$3)),24),"")</f>
        <v>4</v>
      </c>
      <c r="N42" s="46">
        <f ca="1">IF($D$2&gt;=(COLUMN()-10),HLOOKUP($B42,INDIRECT(ADDRESS(2,11,1,,N$3)):INDIRECT(ADDRESS(25,playercnt+10,1,,N$3)),24),"")</f>
        <v>4</v>
      </c>
      <c r="O42" s="46">
        <f ca="1">IF($D$2&gt;=(COLUMN()-10),HLOOKUP($B42,INDIRECT(ADDRESS(2,11,1,,O$3)):INDIRECT(ADDRESS(25,playercnt+10,1,,O$3)),24),"")</f>
        <v>7</v>
      </c>
      <c r="P42" s="46">
        <f ca="1">IF($D$2&gt;=(COLUMN()-10),HLOOKUP($B42,INDIRECT(ADDRESS(2,11,1,,P$3)):INDIRECT(ADDRESS(25,playercnt+10,1,,P$3)),24),"")</f>
        <v>5</v>
      </c>
      <c r="Q42" s="46" t="str">
        <f ca="1">IF($D$2&gt;=(COLUMN()-10),HLOOKUP($B42,INDIRECT(ADDRESS(2,11,1,,Q$3)):INDIRECT(ADDRESS(25,playercnt+10,1,,Q$3)),24),"")</f>
        <v/>
      </c>
      <c r="R42" s="46" t="str">
        <f ca="1">IF($D$2&gt;=(COLUMN()-10),HLOOKUP($B42,INDIRECT(ADDRESS(2,11,1,,R$3)):INDIRECT(ADDRESS(25,playercnt+10,1,,R$3)),24),"")</f>
        <v/>
      </c>
      <c r="S42" s="46" t="str">
        <f ca="1">IF($D$2&gt;=(COLUMN()-10),HLOOKUP($B42,INDIRECT(ADDRESS(2,11,1,,S$3)):INDIRECT(ADDRESS(25,playercnt+10,1,,S$3)),24),"")</f>
        <v/>
      </c>
      <c r="T42" s="46" t="str">
        <f ca="1">IF($D$2&gt;=(COLUMN()-10),HLOOKUP($B42,INDIRECT(ADDRESS(2,11,1,,T$3)):INDIRECT(ADDRESS(25,playercnt+10,1,,T$3)),24),"")</f>
        <v/>
      </c>
      <c r="U42" s="46" t="str">
        <f ca="1">IF($D$2&gt;=(COLUMN()-10),HLOOKUP($B42,INDIRECT(ADDRESS(2,11,1,,U$3)):INDIRECT(ADDRESS(25,playercnt+10,1,,U$3)),24),"")</f>
        <v/>
      </c>
      <c r="V42" s="46" t="str">
        <f ca="1">IF($D$2&gt;=(COLUMN()-10),HLOOKUP($B42,INDIRECT(ADDRESS(2,11,1,,V$3)):INDIRECT(ADDRESS(25,playercnt+10,1,,V$3)),24),"")</f>
        <v/>
      </c>
      <c r="W42" s="46" t="str">
        <f ca="1">IF($D$2&gt;=(COLUMN()-10),HLOOKUP($B42,INDIRECT(ADDRESS(2,11,1,,W$3)):INDIRECT(ADDRESS(25,playercnt+10,1,,W$3)),24),"")</f>
        <v/>
      </c>
      <c r="X42" s="47">
        <v>39</v>
      </c>
      <c r="Y42" s="14">
        <f t="shared" si="9"/>
        <v>35</v>
      </c>
    </row>
    <row r="43" spans="1:25">
      <c r="A43" s="83">
        <f>IF(D43=D42,A42,Y43)</f>
        <v>36</v>
      </c>
      <c r="B43" s="39" t="str">
        <f ca="1">INDIRECT(ADDRESS(2,10+INDIRECT(ADDRESS(ROW(),24)),,,"Chart"))</f>
        <v>Carroll, Adam</v>
      </c>
      <c r="C43" s="40">
        <f>sumAcrossWkSheets(28,10,X43)</f>
        <v>0</v>
      </c>
      <c r="D43" s="40">
        <f>sumAcrossWkSheets(25,10,X43)</f>
        <v>26</v>
      </c>
      <c r="E43" s="25">
        <f>D43/games_completed</f>
        <v>0.43333333333333335</v>
      </c>
      <c r="F43" s="11">
        <f>$D$8-D43</f>
        <v>13</v>
      </c>
      <c r="G43" s="16">
        <v>36</v>
      </c>
      <c r="H43" s="20">
        <f>G43-A43</f>
        <v>0</v>
      </c>
      <c r="I43" s="17">
        <f ca="1">MAX(K43:W43)</f>
        <v>5</v>
      </c>
      <c r="J43" s="17">
        <f ca="1">MIN(K43:W43)</f>
        <v>3</v>
      </c>
      <c r="K43" s="46">
        <f ca="1">IF($D$2&gt;=(COLUMN()-10),HLOOKUP($B43,INDIRECT(ADDRESS(2,11,1,,K$3)):INDIRECT(ADDRESS(25,playercnt+10,1,,K$3)),24),"")</f>
        <v>5</v>
      </c>
      <c r="L43" s="46">
        <f ca="1">IF($D$2&gt;=(COLUMN()-10),HLOOKUP($B43,INDIRECT(ADDRESS(2,11,1,,L$3)):INDIRECT(ADDRESS(25,playercnt+10,1,,L$3)),24),"")</f>
        <v>4</v>
      </c>
      <c r="M43" s="46">
        <f ca="1">IF($D$2&gt;=(COLUMN()-10),HLOOKUP($B43,INDIRECT(ADDRESS(2,11,1,,M$3)):INDIRECT(ADDRESS(25,playercnt+10,1,,M$3)),24),"")</f>
        <v>3</v>
      </c>
      <c r="N43" s="46">
        <f ca="1">IF($D$2&gt;=(COLUMN()-10),HLOOKUP($B43,INDIRECT(ADDRESS(2,11,1,,N$3)):INDIRECT(ADDRESS(25,playercnt+10,1,,N$3)),24),"")</f>
        <v>4</v>
      </c>
      <c r="O43" s="46">
        <f ca="1">IF($D$2&gt;=(COLUMN()-10),HLOOKUP($B43,INDIRECT(ADDRESS(2,11,1,,O$3)):INDIRECT(ADDRESS(25,playercnt+10,1,,O$3)),24),"")</f>
        <v>5</v>
      </c>
      <c r="P43" s="46">
        <f ca="1">IF($D$2&gt;=(COLUMN()-10),HLOOKUP($B43,INDIRECT(ADDRESS(2,11,1,,P$3)):INDIRECT(ADDRESS(25,playercnt+10,1,,P$3)),24),"")</f>
        <v>5</v>
      </c>
      <c r="Q43" s="46" t="str">
        <f ca="1">IF($D$2&gt;=(COLUMN()-10),HLOOKUP($B43,INDIRECT(ADDRESS(2,11,1,,Q$3)):INDIRECT(ADDRESS(25,playercnt+10,1,,Q$3)),24),"")</f>
        <v/>
      </c>
      <c r="R43" s="46" t="str">
        <f ca="1">IF($D$2&gt;=(COLUMN()-10),HLOOKUP($B43,INDIRECT(ADDRESS(2,11,1,,R$3)):INDIRECT(ADDRESS(25,playercnt+10,1,,R$3)),24),"")</f>
        <v/>
      </c>
      <c r="S43" s="46" t="str">
        <f ca="1">IF($D$2&gt;=(COLUMN()-10),HLOOKUP($B43,INDIRECT(ADDRESS(2,11,1,,S$3)):INDIRECT(ADDRESS(25,playercnt+10,1,,S$3)),24),"")</f>
        <v/>
      </c>
      <c r="T43" s="46" t="str">
        <f ca="1">IF($D$2&gt;=(COLUMN()-10),HLOOKUP($B43,INDIRECT(ADDRESS(2,11,1,,T$3)):INDIRECT(ADDRESS(25,playercnt+10,1,,T$3)),24),"")</f>
        <v/>
      </c>
      <c r="U43" s="46" t="str">
        <f ca="1">IF($D$2&gt;=(COLUMN()-10),HLOOKUP($B43,INDIRECT(ADDRESS(2,11,1,,U$3)):INDIRECT(ADDRESS(25,playercnt+10,1,,U$3)),24),"")</f>
        <v/>
      </c>
      <c r="V43" s="46" t="str">
        <f ca="1">IF($D$2&gt;=(COLUMN()-10),HLOOKUP($B43,INDIRECT(ADDRESS(2,11,1,,V$3)):INDIRECT(ADDRESS(25,playercnt+10,1,,V$3)),24),"")</f>
        <v/>
      </c>
      <c r="W43" s="46" t="str">
        <f ca="1">IF($D$2&gt;=(COLUMN()-10),HLOOKUP($B43,INDIRECT(ADDRESS(2,11,1,,W$3)):INDIRECT(ADDRESS(25,playercnt+10,1,,W$3)),24),"")</f>
        <v/>
      </c>
      <c r="X43" s="14">
        <v>6</v>
      </c>
      <c r="Y43" s="14">
        <f t="shared" si="9"/>
        <v>36</v>
      </c>
    </row>
    <row r="44" spans="1:25">
      <c r="A44" s="83">
        <f>IF(D44=D43,A43,Y44)</f>
        <v>36</v>
      </c>
      <c r="B44" s="39" t="str">
        <f ca="1">INDIRECT(ADDRESS(2,10+INDIRECT(ADDRESS(ROW(),24)),,,"Chart"))</f>
        <v>Delehanty, Kyle T</v>
      </c>
      <c r="C44" s="40">
        <f>sumAcrossWkSheets(28,10,X44)</f>
        <v>0</v>
      </c>
      <c r="D44" s="40">
        <f>sumAcrossWkSheets(25,10,X44)</f>
        <v>26</v>
      </c>
      <c r="E44" s="25">
        <f>D44/games_completed</f>
        <v>0.43333333333333335</v>
      </c>
      <c r="F44" s="11">
        <f>$D$8-D44</f>
        <v>13</v>
      </c>
      <c r="G44" s="43">
        <v>36</v>
      </c>
      <c r="H44" s="20">
        <f>G44-A44</f>
        <v>0</v>
      </c>
      <c r="I44" s="17">
        <f ca="1">MAX(K44:W44)</f>
        <v>7</v>
      </c>
      <c r="J44" s="17">
        <f ca="1">MIN(K44:W44)</f>
        <v>0</v>
      </c>
      <c r="K44" s="46">
        <f ca="1">IF($D$2&gt;=(COLUMN()-10),HLOOKUP($B44,INDIRECT(ADDRESS(2,11,1,,K$3)):INDIRECT(ADDRESS(25,playercnt+10,1,,K$3)),24),"")</f>
        <v>0</v>
      </c>
      <c r="L44" s="46">
        <f ca="1">IF($D$2&gt;=(COLUMN()-10),HLOOKUP($B44,INDIRECT(ADDRESS(2,11,1,,L$3)):INDIRECT(ADDRESS(25,playercnt+10,1,,L$3)),24),"")</f>
        <v>5</v>
      </c>
      <c r="M44" s="46">
        <f ca="1">IF($D$2&gt;=(COLUMN()-10),HLOOKUP($B44,INDIRECT(ADDRESS(2,11,1,,M$3)):INDIRECT(ADDRESS(25,playercnt+10,1,,M$3)),24),"")</f>
        <v>6</v>
      </c>
      <c r="N44" s="46">
        <f ca="1">IF($D$2&gt;=(COLUMN()-10),HLOOKUP($B44,INDIRECT(ADDRESS(2,11,1,,N$3)):INDIRECT(ADDRESS(25,playercnt+10,1,,N$3)),24),"")</f>
        <v>7</v>
      </c>
      <c r="O44" s="46">
        <f ca="1">IF($D$2&gt;=(COLUMN()-10),HLOOKUP($B44,INDIRECT(ADDRESS(2,11,1,,O$3)):INDIRECT(ADDRESS(25,playercnt+10,1,,O$3)),24),"")</f>
        <v>3</v>
      </c>
      <c r="P44" s="46">
        <f ca="1">IF($D$2&gt;=(COLUMN()-10),HLOOKUP($B44,INDIRECT(ADDRESS(2,11,1,,P$3)):INDIRECT(ADDRESS(25,playercnt+10,1,,P$3)),24),"")</f>
        <v>5</v>
      </c>
      <c r="Q44" s="46" t="str">
        <f ca="1">IF($D$2&gt;=(COLUMN()-10),HLOOKUP($B44,INDIRECT(ADDRESS(2,11,1,,Q$3)):INDIRECT(ADDRESS(25,playercnt+10,1,,Q$3)),24),"")</f>
        <v/>
      </c>
      <c r="R44" s="46" t="str">
        <f ca="1">IF($D$2&gt;=(COLUMN()-10),HLOOKUP($B44,INDIRECT(ADDRESS(2,11,1,,R$3)):INDIRECT(ADDRESS(25,playercnt+10,1,,R$3)),24),"")</f>
        <v/>
      </c>
      <c r="S44" s="46" t="str">
        <f ca="1">IF($D$2&gt;=(COLUMN()-10),HLOOKUP($B44,INDIRECT(ADDRESS(2,11,1,,S$3)):INDIRECT(ADDRESS(25,playercnt+10,1,,S$3)),24),"")</f>
        <v/>
      </c>
      <c r="T44" s="46" t="str">
        <f ca="1">IF($D$2&gt;=(COLUMN()-10),HLOOKUP($B44,INDIRECT(ADDRESS(2,11,1,,T$3)):INDIRECT(ADDRESS(25,playercnt+10,1,,T$3)),24),"")</f>
        <v/>
      </c>
      <c r="U44" s="46" t="str">
        <f ca="1">IF($D$2&gt;=(COLUMN()-10),HLOOKUP($B44,INDIRECT(ADDRESS(2,11,1,,U$3)):INDIRECT(ADDRESS(25,playercnt+10,1,,U$3)),24),"")</f>
        <v/>
      </c>
      <c r="V44" s="46" t="str">
        <f ca="1">IF($D$2&gt;=(COLUMN()-10),HLOOKUP($B44,INDIRECT(ADDRESS(2,11,1,,V$3)):INDIRECT(ADDRESS(25,playercnt+10,1,,V$3)),24),"")</f>
        <v/>
      </c>
      <c r="W44" s="46" t="str">
        <f ca="1">IF($D$2&gt;=(COLUMN()-10),HLOOKUP($B44,INDIRECT(ADDRESS(2,11,1,,W$3)):INDIRECT(ADDRESS(25,playercnt+10,1,,W$3)),24),"")</f>
        <v/>
      </c>
      <c r="X44" s="47">
        <v>8</v>
      </c>
      <c r="Y44" s="14">
        <f t="shared" si="9"/>
        <v>37</v>
      </c>
    </row>
    <row r="45" spans="1:25">
      <c r="A45" s="83">
        <f>IF(D45=D44,A44,Y45)</f>
        <v>36</v>
      </c>
      <c r="B45" s="39" t="str">
        <f ca="1">INDIRECT(ADDRESS(2,10+INDIRECT(ADDRESS(ROW(),24)),,,"Chart"))</f>
        <v>Emptage, Nick</v>
      </c>
      <c r="C45" s="40">
        <f>sumAcrossWkSheets(28,10,X45)</f>
        <v>0</v>
      </c>
      <c r="D45" s="40">
        <f>sumAcrossWkSheets(25,10,X45)</f>
        <v>26</v>
      </c>
      <c r="E45" s="25">
        <f>D45/games_completed</f>
        <v>0.43333333333333335</v>
      </c>
      <c r="F45" s="11">
        <f>$D$8-D45</f>
        <v>13</v>
      </c>
      <c r="G45" s="16">
        <v>36</v>
      </c>
      <c r="H45" s="20">
        <f>G45-A45</f>
        <v>0</v>
      </c>
      <c r="I45" s="17">
        <f ca="1">MAX(K45:W45)</f>
        <v>7</v>
      </c>
      <c r="J45" s="17">
        <f ca="1">MIN(K45:W45)</f>
        <v>0</v>
      </c>
      <c r="K45" s="46">
        <f ca="1">IF($D$2&gt;=(COLUMN()-10),HLOOKUP($B45,INDIRECT(ADDRESS(2,11,1,,K$3)):INDIRECT(ADDRESS(25,playercnt+10,1,,K$3)),24),"")</f>
        <v>3</v>
      </c>
      <c r="L45" s="46">
        <f ca="1">IF($D$2&gt;=(COLUMN()-10),HLOOKUP($B45,INDIRECT(ADDRESS(2,11,1,,L$3)):INDIRECT(ADDRESS(25,playercnt+10,1,,L$3)),24),"")</f>
        <v>5</v>
      </c>
      <c r="M45" s="46">
        <f ca="1">IF($D$2&gt;=(COLUMN()-10),HLOOKUP($B45,INDIRECT(ADDRESS(2,11,1,,M$3)):INDIRECT(ADDRESS(25,playercnt+10,1,,M$3)),24),"")</f>
        <v>5</v>
      </c>
      <c r="N45" s="46">
        <f ca="1">IF($D$2&gt;=(COLUMN()-10),HLOOKUP($B45,INDIRECT(ADDRESS(2,11,1,,N$3)):INDIRECT(ADDRESS(25,playercnt+10,1,,N$3)),24),"")</f>
        <v>0</v>
      </c>
      <c r="O45" s="46">
        <f ca="1">IF($D$2&gt;=(COLUMN()-10),HLOOKUP($B45,INDIRECT(ADDRESS(2,11,1,,O$3)):INDIRECT(ADDRESS(25,playercnt+10,1,,O$3)),24),"")</f>
        <v>6</v>
      </c>
      <c r="P45" s="46">
        <f ca="1">IF($D$2&gt;=(COLUMN()-10),HLOOKUP($B45,INDIRECT(ADDRESS(2,11,1,,P$3)):INDIRECT(ADDRESS(25,playercnt+10,1,,P$3)),24),"")</f>
        <v>7</v>
      </c>
      <c r="Q45" s="46" t="str">
        <f ca="1">IF($D$2&gt;=(COLUMN()-10),HLOOKUP($B45,INDIRECT(ADDRESS(2,11,1,,Q$3)):INDIRECT(ADDRESS(25,playercnt+10,1,,Q$3)),24),"")</f>
        <v/>
      </c>
      <c r="R45" s="46" t="str">
        <f ca="1">IF($D$2&gt;=(COLUMN()-10),HLOOKUP($B45,INDIRECT(ADDRESS(2,11,1,,R$3)):INDIRECT(ADDRESS(25,playercnt+10,1,,R$3)),24),"")</f>
        <v/>
      </c>
      <c r="S45" s="46" t="str">
        <f ca="1">IF($D$2&gt;=(COLUMN()-10),HLOOKUP($B45,INDIRECT(ADDRESS(2,11,1,,S$3)):INDIRECT(ADDRESS(25,playercnt+10,1,,S$3)),24),"")</f>
        <v/>
      </c>
      <c r="T45" s="46" t="str">
        <f ca="1">IF($D$2&gt;=(COLUMN()-10),HLOOKUP($B45,INDIRECT(ADDRESS(2,11,1,,T$3)):INDIRECT(ADDRESS(25,playercnt+10,1,,T$3)),24),"")</f>
        <v/>
      </c>
      <c r="U45" s="46" t="str">
        <f ca="1">IF($D$2&gt;=(COLUMN()-10),HLOOKUP($B45,INDIRECT(ADDRESS(2,11,1,,U$3)):INDIRECT(ADDRESS(25,playercnt+10,1,,U$3)),24),"")</f>
        <v/>
      </c>
      <c r="V45" s="46" t="str">
        <f ca="1">IF($D$2&gt;=(COLUMN()-10),HLOOKUP($B45,INDIRECT(ADDRESS(2,11,1,,V$3)):INDIRECT(ADDRESS(25,playercnt+10,1,,V$3)),24),"")</f>
        <v/>
      </c>
      <c r="W45" s="46" t="str">
        <f ca="1">IF($D$2&gt;=(COLUMN()-10),HLOOKUP($B45,INDIRECT(ADDRESS(2,11,1,,W$3)):INDIRECT(ADDRESS(25,playercnt+10,1,,W$3)),24),"")</f>
        <v/>
      </c>
      <c r="X45" s="14">
        <v>14</v>
      </c>
      <c r="Y45" s="14">
        <f t="shared" ref="Y45:Y50" si="10">Y44+1</f>
        <v>38</v>
      </c>
    </row>
    <row r="46" spans="1:25">
      <c r="A46" s="83">
        <f>IF(D46=D45,A45,Y46)</f>
        <v>36</v>
      </c>
      <c r="B46" s="39" t="str">
        <f ca="1">INDIRECT(ADDRESS(2,10+INDIRECT(ADDRESS(ROW(),24)),,,"Chart"))</f>
        <v>Martin, Douglas C</v>
      </c>
      <c r="C46" s="40">
        <f>sumAcrossWkSheets(28,10,X46)</f>
        <v>0</v>
      </c>
      <c r="D46" s="40">
        <f>sumAcrossWkSheets(25,10,X46)</f>
        <v>26</v>
      </c>
      <c r="E46" s="25">
        <f>D46/games_completed</f>
        <v>0.43333333333333335</v>
      </c>
      <c r="F46" s="11">
        <f>$D$8-D46</f>
        <v>13</v>
      </c>
      <c r="G46" s="43">
        <v>36</v>
      </c>
      <c r="H46" s="20">
        <f>G46-A46</f>
        <v>0</v>
      </c>
      <c r="I46" s="17">
        <f ca="1">MAX(K46:W46)</f>
        <v>7</v>
      </c>
      <c r="J46" s="17">
        <f ca="1">MIN(K46:W46)</f>
        <v>0</v>
      </c>
      <c r="K46" s="46">
        <f ca="1">IF($D$2&gt;=(COLUMN()-10),HLOOKUP($B46,INDIRECT(ADDRESS(2,11,1,,K$3)):INDIRECT(ADDRESS(25,playercnt+10,1,,K$3)),24),"")</f>
        <v>5</v>
      </c>
      <c r="L46" s="46">
        <f ca="1">IF($D$2&gt;=(COLUMN()-10),HLOOKUP($B46,INDIRECT(ADDRESS(2,11,1,,L$3)):INDIRECT(ADDRESS(25,playercnt+10,1,,L$3)),24),"")</f>
        <v>7</v>
      </c>
      <c r="M46" s="46">
        <f ca="1">IF($D$2&gt;=(COLUMN()-10),HLOOKUP($B46,INDIRECT(ADDRESS(2,11,1,,M$3)):INDIRECT(ADDRESS(25,playercnt+10,1,,M$3)),24),"")</f>
        <v>0</v>
      </c>
      <c r="N46" s="46">
        <f ca="1">IF($D$2&gt;=(COLUMN()-10),HLOOKUP($B46,INDIRECT(ADDRESS(2,11,1,,N$3)):INDIRECT(ADDRESS(25,playercnt+10,1,,N$3)),24),"")</f>
        <v>5</v>
      </c>
      <c r="O46" s="46">
        <f ca="1">IF($D$2&gt;=(COLUMN()-10),HLOOKUP($B46,INDIRECT(ADDRESS(2,11,1,,O$3)):INDIRECT(ADDRESS(25,playercnt+10,1,,O$3)),24),"")</f>
        <v>4</v>
      </c>
      <c r="P46" s="46">
        <f ca="1">IF($D$2&gt;=(COLUMN()-10),HLOOKUP($B46,INDIRECT(ADDRESS(2,11,1,,P$3)):INDIRECT(ADDRESS(25,playercnt+10,1,,P$3)),24),"")</f>
        <v>5</v>
      </c>
      <c r="Q46" s="46" t="str">
        <f ca="1">IF($D$2&gt;=(COLUMN()-10),HLOOKUP($B46,INDIRECT(ADDRESS(2,11,1,,Q$3)):INDIRECT(ADDRESS(25,playercnt+10,1,,Q$3)),24),"")</f>
        <v/>
      </c>
      <c r="R46" s="46" t="str">
        <f ca="1">IF($D$2&gt;=(COLUMN()-10),HLOOKUP($B46,INDIRECT(ADDRESS(2,11,1,,R$3)):INDIRECT(ADDRESS(25,playercnt+10,1,,R$3)),24),"")</f>
        <v/>
      </c>
      <c r="S46" s="46" t="str">
        <f ca="1">IF($D$2&gt;=(COLUMN()-10),HLOOKUP($B46,INDIRECT(ADDRESS(2,11,1,,S$3)):INDIRECT(ADDRESS(25,playercnt+10,1,,S$3)),24),"")</f>
        <v/>
      </c>
      <c r="T46" s="46" t="str">
        <f ca="1">IF($D$2&gt;=(COLUMN()-10),HLOOKUP($B46,INDIRECT(ADDRESS(2,11,1,,T$3)):INDIRECT(ADDRESS(25,playercnt+10,1,,T$3)),24),"")</f>
        <v/>
      </c>
      <c r="U46" s="46" t="str">
        <f ca="1">IF($D$2&gt;=(COLUMN()-10),HLOOKUP($B46,INDIRECT(ADDRESS(2,11,1,,U$3)):INDIRECT(ADDRESS(25,playercnt+10,1,,U$3)),24),"")</f>
        <v/>
      </c>
      <c r="V46" s="46" t="str">
        <f ca="1">IF($D$2&gt;=(COLUMN()-10),HLOOKUP($B46,INDIRECT(ADDRESS(2,11,1,,V$3)):INDIRECT(ADDRESS(25,playercnt+10,1,,V$3)),24),"")</f>
        <v/>
      </c>
      <c r="W46" s="46" t="str">
        <f ca="1">IF($D$2&gt;=(COLUMN()-10),HLOOKUP($B46,INDIRECT(ADDRESS(2,11,1,,W$3)):INDIRECT(ADDRESS(25,playercnt+10,1,,W$3)),24),"")</f>
        <v/>
      </c>
      <c r="X46" s="47">
        <v>26</v>
      </c>
      <c r="Y46" s="14">
        <f t="shared" si="10"/>
        <v>39</v>
      </c>
    </row>
    <row r="47" spans="1:25">
      <c r="A47" s="83">
        <f>IF(D47=D46,A46,Y47)</f>
        <v>36</v>
      </c>
      <c r="B47" s="39" t="str">
        <f ca="1">INDIRECT(ADDRESS(2,10+INDIRECT(ADDRESS(ROW(),24)),,,"Chart"))</f>
        <v>Sapp, Carl G</v>
      </c>
      <c r="C47" s="40">
        <f>sumAcrossWkSheets(28,10,X47)</f>
        <v>0</v>
      </c>
      <c r="D47" s="40">
        <f>sumAcrossWkSheets(25,10,X47)</f>
        <v>26</v>
      </c>
      <c r="E47" s="25">
        <f>D47/games_completed</f>
        <v>0.43333333333333335</v>
      </c>
      <c r="F47" s="11">
        <f>$D$8-D47</f>
        <v>13</v>
      </c>
      <c r="G47" s="16">
        <v>36</v>
      </c>
      <c r="H47" s="20">
        <f>G47-A47</f>
        <v>0</v>
      </c>
      <c r="I47" s="17">
        <f ca="1">MAX(K47:W47)</f>
        <v>7</v>
      </c>
      <c r="J47" s="17">
        <f ca="1">MIN(K47:W47)</f>
        <v>3</v>
      </c>
      <c r="K47" s="46">
        <f ca="1">IF($D$2&gt;=(COLUMN()-10),HLOOKUP($B47,INDIRECT(ADDRESS(2,11,1,,K$3)):INDIRECT(ADDRESS(25,playercnt+10,1,,K$3)),24),"")</f>
        <v>4</v>
      </c>
      <c r="L47" s="46">
        <f ca="1">IF($D$2&gt;=(COLUMN()-10),HLOOKUP($B47,INDIRECT(ADDRESS(2,11,1,,L$3)):INDIRECT(ADDRESS(25,playercnt+10,1,,L$3)),24),"")</f>
        <v>4</v>
      </c>
      <c r="M47" s="46">
        <f ca="1">IF($D$2&gt;=(COLUMN()-10),HLOOKUP($B47,INDIRECT(ADDRESS(2,11,1,,M$3)):INDIRECT(ADDRESS(25,playercnt+10,1,,M$3)),24),"")</f>
        <v>5</v>
      </c>
      <c r="N47" s="46">
        <f ca="1">IF($D$2&gt;=(COLUMN()-10),HLOOKUP($B47,INDIRECT(ADDRESS(2,11,1,,N$3)):INDIRECT(ADDRESS(25,playercnt+10,1,,N$3)),24),"")</f>
        <v>7</v>
      </c>
      <c r="O47" s="46">
        <f ca="1">IF($D$2&gt;=(COLUMN()-10),HLOOKUP($B47,INDIRECT(ADDRESS(2,11,1,,O$3)):INDIRECT(ADDRESS(25,playercnt+10,1,,O$3)),24),"")</f>
        <v>3</v>
      </c>
      <c r="P47" s="46">
        <f ca="1">IF($D$2&gt;=(COLUMN()-10),HLOOKUP($B47,INDIRECT(ADDRESS(2,11,1,,P$3)):INDIRECT(ADDRESS(25,playercnt+10,1,,P$3)),24),"")</f>
        <v>3</v>
      </c>
      <c r="Q47" s="46" t="str">
        <f ca="1">IF($D$2&gt;=(COLUMN()-10),HLOOKUP($B47,INDIRECT(ADDRESS(2,11,1,,Q$3)):INDIRECT(ADDRESS(25,playercnt+10,1,,Q$3)),24),"")</f>
        <v/>
      </c>
      <c r="R47" s="46" t="str">
        <f ca="1">IF($D$2&gt;=(COLUMN()-10),HLOOKUP($B47,INDIRECT(ADDRESS(2,11,1,,R$3)):INDIRECT(ADDRESS(25,playercnt+10,1,,R$3)),24),"")</f>
        <v/>
      </c>
      <c r="S47" s="46" t="str">
        <f ca="1">IF($D$2&gt;=(COLUMN()-10),HLOOKUP($B47,INDIRECT(ADDRESS(2,11,1,,S$3)):INDIRECT(ADDRESS(25,playercnt+10,1,,S$3)),24),"")</f>
        <v/>
      </c>
      <c r="T47" s="46" t="str">
        <f ca="1">IF($D$2&gt;=(COLUMN()-10),HLOOKUP($B47,INDIRECT(ADDRESS(2,11,1,,T$3)):INDIRECT(ADDRESS(25,playercnt+10,1,,T$3)),24),"")</f>
        <v/>
      </c>
      <c r="U47" s="46" t="str">
        <f ca="1">IF($D$2&gt;=(COLUMN()-10),HLOOKUP($B47,INDIRECT(ADDRESS(2,11,1,,U$3)):INDIRECT(ADDRESS(25,playercnt+10,1,,U$3)),24),"")</f>
        <v/>
      </c>
      <c r="V47" s="46" t="str">
        <f ca="1">IF($D$2&gt;=(COLUMN()-10),HLOOKUP($B47,INDIRECT(ADDRESS(2,11,1,,V$3)):INDIRECT(ADDRESS(25,playercnt+10,1,,V$3)),24),"")</f>
        <v/>
      </c>
      <c r="W47" s="46" t="str">
        <f ca="1">IF($D$2&gt;=(COLUMN()-10),HLOOKUP($B47,INDIRECT(ADDRESS(2,11,1,,W$3)):INDIRECT(ADDRESS(25,playercnt+10,1,,W$3)),24),"")</f>
        <v/>
      </c>
      <c r="X47" s="14">
        <v>45</v>
      </c>
      <c r="Y47" s="14">
        <f t="shared" si="10"/>
        <v>40</v>
      </c>
    </row>
    <row r="48" spans="1:25">
      <c r="A48" s="83">
        <f>IF(D48=D47,A47,Y48)</f>
        <v>36</v>
      </c>
      <c r="B48" s="39" t="str">
        <f ca="1">INDIRECT(ADDRESS(2,10+INDIRECT(ADDRESS(ROW(),24)),,,"Chart"))</f>
        <v>Stonecypher, David</v>
      </c>
      <c r="C48" s="40">
        <f>sumAcrossWkSheets(28,10,X48)</f>
        <v>0</v>
      </c>
      <c r="D48" s="40">
        <f>sumAcrossWkSheets(25,10,X48)</f>
        <v>26</v>
      </c>
      <c r="E48" s="25">
        <f>D48/games_completed</f>
        <v>0.43333333333333335</v>
      </c>
      <c r="F48" s="11">
        <f>$D$8-D48</f>
        <v>13</v>
      </c>
      <c r="G48" s="43">
        <v>36</v>
      </c>
      <c r="H48" s="20">
        <f>G48-A48</f>
        <v>0</v>
      </c>
      <c r="I48" s="17">
        <f ca="1">MAX(K48:W48)</f>
        <v>6</v>
      </c>
      <c r="J48" s="17">
        <f ca="1">MIN(K48:W48)</f>
        <v>0</v>
      </c>
      <c r="K48" s="46">
        <f ca="1">IF($D$2&gt;=(COLUMN()-10),HLOOKUP($B48,INDIRECT(ADDRESS(2,11,1,,K$3)):INDIRECT(ADDRESS(25,playercnt+10,1,,K$3)),24),"")</f>
        <v>6</v>
      </c>
      <c r="L48" s="46">
        <f ca="1">IF($D$2&gt;=(COLUMN()-10),HLOOKUP($B48,INDIRECT(ADDRESS(2,11,1,,L$3)):INDIRECT(ADDRESS(25,playercnt+10,1,,L$3)),24),"")</f>
        <v>2</v>
      </c>
      <c r="M48" s="46">
        <f ca="1">IF($D$2&gt;=(COLUMN()-10),HLOOKUP($B48,INDIRECT(ADDRESS(2,11,1,,M$3)):INDIRECT(ADDRESS(25,playercnt+10,1,,M$3)),24),"")</f>
        <v>0</v>
      </c>
      <c r="N48" s="46">
        <f ca="1">IF($D$2&gt;=(COLUMN()-10),HLOOKUP($B48,INDIRECT(ADDRESS(2,11,1,,N$3)):INDIRECT(ADDRESS(25,playercnt+10,1,,N$3)),24),"")</f>
        <v>6</v>
      </c>
      <c r="O48" s="46">
        <f ca="1">IF($D$2&gt;=(COLUMN()-10),HLOOKUP($B48,INDIRECT(ADDRESS(2,11,1,,O$3)):INDIRECT(ADDRESS(25,playercnt+10,1,,O$3)),24),"")</f>
        <v>6</v>
      </c>
      <c r="P48" s="46">
        <f ca="1">IF($D$2&gt;=(COLUMN()-10),HLOOKUP($B48,INDIRECT(ADDRESS(2,11,1,,P$3)):INDIRECT(ADDRESS(25,playercnt+10,1,,P$3)),24),"")</f>
        <v>6</v>
      </c>
      <c r="Q48" s="46" t="str">
        <f ca="1">IF($D$2&gt;=(COLUMN()-10),HLOOKUP($B48,INDIRECT(ADDRESS(2,11,1,,Q$3)):INDIRECT(ADDRESS(25,playercnt+10,1,,Q$3)),24),"")</f>
        <v/>
      </c>
      <c r="R48" s="46" t="str">
        <f ca="1">IF($D$2&gt;=(COLUMN()-10),HLOOKUP($B48,INDIRECT(ADDRESS(2,11,1,,R$3)):INDIRECT(ADDRESS(25,playercnt+10,1,,R$3)),24),"")</f>
        <v/>
      </c>
      <c r="S48" s="46" t="str">
        <f ca="1">IF($D$2&gt;=(COLUMN()-10),HLOOKUP($B48,INDIRECT(ADDRESS(2,11,1,,S$3)):INDIRECT(ADDRESS(25,playercnt+10,1,,S$3)),24),"")</f>
        <v/>
      </c>
      <c r="T48" s="46" t="str">
        <f ca="1">IF($D$2&gt;=(COLUMN()-10),HLOOKUP($B48,INDIRECT(ADDRESS(2,11,1,,T$3)):INDIRECT(ADDRESS(25,playercnt+10,1,,T$3)),24),"")</f>
        <v/>
      </c>
      <c r="U48" s="46" t="str">
        <f ca="1">IF($D$2&gt;=(COLUMN()-10),HLOOKUP($B48,INDIRECT(ADDRESS(2,11,1,,U$3)):INDIRECT(ADDRESS(25,playercnt+10,1,,U$3)),24),"")</f>
        <v/>
      </c>
      <c r="V48" s="46" t="str">
        <f ca="1">IF($D$2&gt;=(COLUMN()-10),HLOOKUP($B48,INDIRECT(ADDRESS(2,11,1,,V$3)):INDIRECT(ADDRESS(25,playercnt+10,1,,V$3)),24),"")</f>
        <v/>
      </c>
      <c r="W48" s="46" t="str">
        <f ca="1">IF($D$2&gt;=(COLUMN()-10),HLOOKUP($B48,INDIRECT(ADDRESS(2,11,1,,W$3)):INDIRECT(ADDRESS(25,playercnt+10,1,,W$3)),24),"")</f>
        <v/>
      </c>
      <c r="X48" s="47">
        <v>49</v>
      </c>
      <c r="Y48" s="14">
        <f t="shared" si="10"/>
        <v>41</v>
      </c>
    </row>
    <row r="49" spans="1:25">
      <c r="A49" s="83">
        <f>IF(D49=D48,A48,Y49)</f>
        <v>42</v>
      </c>
      <c r="B49" s="39" t="str">
        <f ca="1">INDIRECT(ADDRESS(2,10+INDIRECT(ADDRESS(ROW(),24)),,,"Chart"))</f>
        <v>Johnson, Creed D</v>
      </c>
      <c r="C49" s="40">
        <f>sumAcrossWkSheets(28,10,X49)</f>
        <v>0</v>
      </c>
      <c r="D49" s="40">
        <f>sumAcrossWkSheets(25,10,X49)</f>
        <v>25</v>
      </c>
      <c r="E49" s="25">
        <f>D49/games_completed</f>
        <v>0.41666666666666669</v>
      </c>
      <c r="F49" s="11">
        <f>$D$8-D49</f>
        <v>14</v>
      </c>
      <c r="G49" s="16">
        <v>42</v>
      </c>
      <c r="H49" s="20">
        <f>G49-A49</f>
        <v>0</v>
      </c>
      <c r="I49" s="17">
        <f ca="1">MAX(K49:W49)</f>
        <v>6</v>
      </c>
      <c r="J49" s="17">
        <f ca="1">MIN(K49:W49)</f>
        <v>0</v>
      </c>
      <c r="K49" s="46">
        <f ca="1">IF($D$2&gt;=(COLUMN()-10),HLOOKUP($B49,INDIRECT(ADDRESS(2,11,1,,K$3)):INDIRECT(ADDRESS(25,playercnt+10,1,,K$3)),24),"")</f>
        <v>5</v>
      </c>
      <c r="L49" s="46">
        <f ca="1">IF($D$2&gt;=(COLUMN()-10),HLOOKUP($B49,INDIRECT(ADDRESS(2,11,1,,L$3)):INDIRECT(ADDRESS(25,playercnt+10,1,,L$3)),24),"")</f>
        <v>3</v>
      </c>
      <c r="M49" s="46">
        <f ca="1">IF($D$2&gt;=(COLUMN()-10),HLOOKUP($B49,INDIRECT(ADDRESS(2,11,1,,M$3)):INDIRECT(ADDRESS(25,playercnt+10,1,,M$3)),24),"")</f>
        <v>0</v>
      </c>
      <c r="N49" s="46">
        <f ca="1">IF($D$2&gt;=(COLUMN()-10),HLOOKUP($B49,INDIRECT(ADDRESS(2,11,1,,N$3)):INDIRECT(ADDRESS(25,playercnt+10,1,,N$3)),24),"")</f>
        <v>6</v>
      </c>
      <c r="O49" s="46">
        <f ca="1">IF($D$2&gt;=(COLUMN()-10),HLOOKUP($B49,INDIRECT(ADDRESS(2,11,1,,O$3)):INDIRECT(ADDRESS(25,playercnt+10,1,,O$3)),24),"")</f>
        <v>5</v>
      </c>
      <c r="P49" s="46">
        <f ca="1">IF($D$2&gt;=(COLUMN()-10),HLOOKUP($B49,INDIRECT(ADDRESS(2,11,1,,P$3)):INDIRECT(ADDRESS(25,playercnt+10,1,,P$3)),24),"")</f>
        <v>6</v>
      </c>
      <c r="Q49" s="46" t="str">
        <f ca="1">IF($D$2&gt;=(COLUMN()-10),HLOOKUP($B49,INDIRECT(ADDRESS(2,11,1,,Q$3)):INDIRECT(ADDRESS(25,playercnt+10,1,,Q$3)),24),"")</f>
        <v/>
      </c>
      <c r="R49" s="46" t="str">
        <f ca="1">IF($D$2&gt;=(COLUMN()-10),HLOOKUP($B49,INDIRECT(ADDRESS(2,11,1,,R$3)):INDIRECT(ADDRESS(25,playercnt+10,1,,R$3)),24),"")</f>
        <v/>
      </c>
      <c r="S49" s="46" t="str">
        <f ca="1">IF($D$2&gt;=(COLUMN()-10),HLOOKUP($B49,INDIRECT(ADDRESS(2,11,1,,S$3)):INDIRECT(ADDRESS(25,playercnt+10,1,,S$3)),24),"")</f>
        <v/>
      </c>
      <c r="T49" s="46" t="str">
        <f ca="1">IF($D$2&gt;=(COLUMN()-10),HLOOKUP($B49,INDIRECT(ADDRESS(2,11,1,,T$3)):INDIRECT(ADDRESS(25,playercnt+10,1,,T$3)),24),"")</f>
        <v/>
      </c>
      <c r="U49" s="46" t="str">
        <f ca="1">IF($D$2&gt;=(COLUMN()-10),HLOOKUP($B49,INDIRECT(ADDRESS(2,11,1,,U$3)):INDIRECT(ADDRESS(25,playercnt+10,1,,U$3)),24),"")</f>
        <v/>
      </c>
      <c r="V49" s="46" t="str">
        <f ca="1">IF($D$2&gt;=(COLUMN()-10),HLOOKUP($B49,INDIRECT(ADDRESS(2,11,1,,V$3)):INDIRECT(ADDRESS(25,playercnt+10,1,,V$3)),24),"")</f>
        <v/>
      </c>
      <c r="W49" s="46" t="str">
        <f ca="1">IF($D$2&gt;=(COLUMN()-10),HLOOKUP($B49,INDIRECT(ADDRESS(2,11,1,,W$3)):INDIRECT(ADDRESS(25,playercnt+10,1,,W$3)),24),"")</f>
        <v/>
      </c>
      <c r="X49" s="14">
        <v>23</v>
      </c>
      <c r="Y49" s="14">
        <f t="shared" si="10"/>
        <v>42</v>
      </c>
    </row>
    <row r="50" spans="1:25">
      <c r="A50" s="83">
        <f>IF(D50=D49,A49,Y50)</f>
        <v>43</v>
      </c>
      <c r="B50" s="39" t="str">
        <f ca="1">INDIRECT(ADDRESS(2,10+INDIRECT(ADDRESS(ROW(),24)),,,"Chart"))</f>
        <v>Montanez, Johanna</v>
      </c>
      <c r="C50" s="40">
        <f>sumAcrossWkSheets(28,10,X50)</f>
        <v>0</v>
      </c>
      <c r="D50" s="40">
        <f>sumAcrossWkSheets(25,10,X50)</f>
        <v>24</v>
      </c>
      <c r="E50" s="25">
        <f>D50/games_completed</f>
        <v>0.4</v>
      </c>
      <c r="F50" s="11">
        <f>$D$8-D50</f>
        <v>15</v>
      </c>
      <c r="G50" s="43">
        <v>43</v>
      </c>
      <c r="H50" s="20">
        <f>G50-A50</f>
        <v>0</v>
      </c>
      <c r="I50" s="17">
        <f ca="1">MAX(K50:W50)</f>
        <v>5</v>
      </c>
      <c r="J50" s="17">
        <f ca="1">MIN(K50:W50)</f>
        <v>2</v>
      </c>
      <c r="K50" s="46">
        <f ca="1">IF($D$2&gt;=(COLUMN()-10),HLOOKUP($B50,INDIRECT(ADDRESS(2,11,1,,K$3)):INDIRECT(ADDRESS(25,playercnt+10,1,,K$3)),24),"")</f>
        <v>5</v>
      </c>
      <c r="L50" s="46">
        <f ca="1">IF($D$2&gt;=(COLUMN()-10),HLOOKUP($B50,INDIRECT(ADDRESS(2,11,1,,L$3)):INDIRECT(ADDRESS(25,playercnt+10,1,,L$3)),24),"")</f>
        <v>3</v>
      </c>
      <c r="M50" s="46">
        <f ca="1">IF($D$2&gt;=(COLUMN()-10),HLOOKUP($B50,INDIRECT(ADDRESS(2,11,1,,M$3)):INDIRECT(ADDRESS(25,playercnt+10,1,,M$3)),24),"")</f>
        <v>4</v>
      </c>
      <c r="N50" s="46">
        <f ca="1">IF($D$2&gt;=(COLUMN()-10),HLOOKUP($B50,INDIRECT(ADDRESS(2,11,1,,N$3)):INDIRECT(ADDRESS(25,playercnt+10,1,,N$3)),24),"")</f>
        <v>5</v>
      </c>
      <c r="O50" s="46">
        <f ca="1">IF($D$2&gt;=(COLUMN()-10),HLOOKUP($B50,INDIRECT(ADDRESS(2,11,1,,O$3)):INDIRECT(ADDRESS(25,playercnt+10,1,,O$3)),24),"")</f>
        <v>2</v>
      </c>
      <c r="P50" s="46">
        <f ca="1">IF($D$2&gt;=(COLUMN()-10),HLOOKUP($B50,INDIRECT(ADDRESS(2,11,1,,P$3)):INDIRECT(ADDRESS(25,playercnt+10,1,,P$3)),24),"")</f>
        <v>5</v>
      </c>
      <c r="Q50" s="46" t="str">
        <f ca="1">IF($D$2&gt;=(COLUMN()-10),HLOOKUP($B50,INDIRECT(ADDRESS(2,11,1,,Q$3)):INDIRECT(ADDRESS(25,playercnt+10,1,,Q$3)),24),"")</f>
        <v/>
      </c>
      <c r="R50" s="46" t="str">
        <f ca="1">IF($D$2&gt;=(COLUMN()-10),HLOOKUP($B50,INDIRECT(ADDRESS(2,11,1,,R$3)):INDIRECT(ADDRESS(25,playercnt+10,1,,R$3)),24),"")</f>
        <v/>
      </c>
      <c r="S50" s="46" t="str">
        <f ca="1">IF($D$2&gt;=(COLUMN()-10),HLOOKUP($B50,INDIRECT(ADDRESS(2,11,1,,S$3)):INDIRECT(ADDRESS(25,playercnt+10,1,,S$3)),24),"")</f>
        <v/>
      </c>
      <c r="T50" s="46" t="str">
        <f ca="1">IF($D$2&gt;=(COLUMN()-10),HLOOKUP($B50,INDIRECT(ADDRESS(2,11,1,,T$3)):INDIRECT(ADDRESS(25,playercnt+10,1,,T$3)),24),"")</f>
        <v/>
      </c>
      <c r="U50" s="46" t="str">
        <f ca="1">IF($D$2&gt;=(COLUMN()-10),HLOOKUP($B50,INDIRECT(ADDRESS(2,11,1,,U$3)):INDIRECT(ADDRESS(25,playercnt+10,1,,U$3)),24),"")</f>
        <v/>
      </c>
      <c r="V50" s="46" t="str">
        <f ca="1">IF($D$2&gt;=(COLUMN()-10),HLOOKUP($B50,INDIRECT(ADDRESS(2,11,1,,V$3)):INDIRECT(ADDRESS(25,playercnt+10,1,,V$3)),24),"")</f>
        <v/>
      </c>
      <c r="W50" s="46" t="str">
        <f ca="1">IF($D$2&gt;=(COLUMN()-10),HLOOKUP($B50,INDIRECT(ADDRESS(2,11,1,,W$3)):INDIRECT(ADDRESS(25,playercnt+10,1,,W$3)),24),"")</f>
        <v/>
      </c>
      <c r="X50" s="47">
        <v>28</v>
      </c>
      <c r="Y50" s="14">
        <f t="shared" si="10"/>
        <v>43</v>
      </c>
    </row>
    <row r="51" spans="1:25">
      <c r="A51" s="83">
        <f>IF(D51=D50,A50,Y51)</f>
        <v>43</v>
      </c>
      <c r="B51" s="39" t="str">
        <f ca="1">INDIRECT(ADDRESS(2,10+INDIRECT(ADDRESS(ROW(),24)),,,"Chart"))</f>
        <v>Staub, Ryan</v>
      </c>
      <c r="C51" s="40">
        <f>sumAcrossWkSheets(28,10,X51)</f>
        <v>0</v>
      </c>
      <c r="D51" s="40">
        <f>sumAcrossWkSheets(25,10,X51)</f>
        <v>24</v>
      </c>
      <c r="E51" s="25">
        <f>D51/games_completed</f>
        <v>0.4</v>
      </c>
      <c r="F51" s="11">
        <f>$D$8-D51</f>
        <v>15</v>
      </c>
      <c r="G51" s="16">
        <v>43</v>
      </c>
      <c r="H51" s="20">
        <f>G51-A51</f>
        <v>0</v>
      </c>
      <c r="I51" s="17">
        <f ca="1">MAX(K51:W51)</f>
        <v>7</v>
      </c>
      <c r="J51" s="17">
        <f ca="1">MIN(K51:W51)</f>
        <v>0</v>
      </c>
      <c r="K51" s="46">
        <f ca="1">IF($D$2&gt;=(COLUMN()-10),HLOOKUP($B51,INDIRECT(ADDRESS(2,11,1,,K$3)):INDIRECT(ADDRESS(25,playercnt+10,1,,K$3)),24),"")</f>
        <v>3</v>
      </c>
      <c r="L51" s="46">
        <f ca="1">IF($D$2&gt;=(COLUMN()-10),HLOOKUP($B51,INDIRECT(ADDRESS(2,11,1,,L$3)):INDIRECT(ADDRESS(25,playercnt+10,1,,L$3)),24),"")</f>
        <v>6</v>
      </c>
      <c r="M51" s="46">
        <f ca="1">IF($D$2&gt;=(COLUMN()-10),HLOOKUP($B51,INDIRECT(ADDRESS(2,11,1,,M$3)):INDIRECT(ADDRESS(25,playercnt+10,1,,M$3)),24),"")</f>
        <v>7</v>
      </c>
      <c r="N51" s="46">
        <f ca="1">IF($D$2&gt;=(COLUMN()-10),HLOOKUP($B51,INDIRECT(ADDRESS(2,11,1,,N$3)):INDIRECT(ADDRESS(25,playercnt+10,1,,N$3)),24),"")</f>
        <v>0</v>
      </c>
      <c r="O51" s="46">
        <f ca="1">IF($D$2&gt;=(COLUMN()-10),HLOOKUP($B51,INDIRECT(ADDRESS(2,11,1,,O$3)):INDIRECT(ADDRESS(25,playercnt+10,1,,O$3)),24),"")</f>
        <v>5</v>
      </c>
      <c r="P51" s="46">
        <f ca="1">IF($D$2&gt;=(COLUMN()-10),HLOOKUP($B51,INDIRECT(ADDRESS(2,11,1,,P$3)):INDIRECT(ADDRESS(25,playercnt+10,1,,P$3)),24),"")</f>
        <v>3</v>
      </c>
      <c r="Q51" s="46" t="str">
        <f ca="1">IF($D$2&gt;=(COLUMN()-10),HLOOKUP($B51,INDIRECT(ADDRESS(2,11,1,,Q$3)):INDIRECT(ADDRESS(25,playercnt+10,1,,Q$3)),24),"")</f>
        <v/>
      </c>
      <c r="R51" s="46" t="str">
        <f ca="1">IF($D$2&gt;=(COLUMN()-10),HLOOKUP($B51,INDIRECT(ADDRESS(2,11,1,,R$3)):INDIRECT(ADDRESS(25,playercnt+10,1,,R$3)),24),"")</f>
        <v/>
      </c>
      <c r="S51" s="46" t="str">
        <f ca="1">IF($D$2&gt;=(COLUMN()-10),HLOOKUP($B51,INDIRECT(ADDRESS(2,11,1,,S$3)):INDIRECT(ADDRESS(25,playercnt+10,1,,S$3)),24),"")</f>
        <v/>
      </c>
      <c r="T51" s="46" t="str">
        <f ca="1">IF($D$2&gt;=(COLUMN()-10),HLOOKUP($B51,INDIRECT(ADDRESS(2,11,1,,T$3)):INDIRECT(ADDRESS(25,playercnt+10,1,,T$3)),24),"")</f>
        <v/>
      </c>
      <c r="U51" s="46" t="str">
        <f ca="1">IF($D$2&gt;=(COLUMN()-10),HLOOKUP($B51,INDIRECT(ADDRESS(2,11,1,,U$3)):INDIRECT(ADDRESS(25,playercnt+10,1,,U$3)),24),"")</f>
        <v/>
      </c>
      <c r="V51" s="46" t="str">
        <f ca="1">IF($D$2&gt;=(COLUMN()-10),HLOOKUP($B51,INDIRECT(ADDRESS(2,11,1,,V$3)):INDIRECT(ADDRESS(25,playercnt+10,1,,V$3)),24),"")</f>
        <v/>
      </c>
      <c r="W51" s="46" t="str">
        <f ca="1">IF($D$2&gt;=(COLUMN()-10),HLOOKUP($B51,INDIRECT(ADDRESS(2,11,1,,W$3)):INDIRECT(ADDRESS(25,playercnt+10,1,,W$3)),24),"")</f>
        <v/>
      </c>
      <c r="X51" s="14">
        <v>47</v>
      </c>
      <c r="Y51" s="14">
        <f t="shared" ref="Y51:Y56" si="11">Y50+1</f>
        <v>44</v>
      </c>
    </row>
    <row r="52" spans="1:25">
      <c r="A52" s="83">
        <f>IF(D52=D51,A51,Y52)</f>
        <v>43</v>
      </c>
      <c r="B52" s="39" t="str">
        <f ca="1">INDIRECT(ADDRESS(2,10+INDIRECT(ADDRESS(ROW(),24)),,,"Chart"))</f>
        <v>Wells, Seth Remote</v>
      </c>
      <c r="C52" s="40">
        <f>sumAcrossWkSheets(28,10,X52)</f>
        <v>0</v>
      </c>
      <c r="D52" s="40">
        <f>sumAcrossWkSheets(25,10,X52)</f>
        <v>24</v>
      </c>
      <c r="E52" s="25">
        <f>D52/games_completed</f>
        <v>0.4</v>
      </c>
      <c r="F52" s="11">
        <f>$D$8-D52</f>
        <v>15</v>
      </c>
      <c r="G52" s="43">
        <v>43</v>
      </c>
      <c r="H52" s="20">
        <f>G52-A52</f>
        <v>0</v>
      </c>
      <c r="I52" s="17">
        <f ca="1">MAX(K52:W52)</f>
        <v>6</v>
      </c>
      <c r="J52" s="17">
        <f ca="1">MIN(K52:W52)</f>
        <v>2</v>
      </c>
      <c r="K52" s="46">
        <f ca="1">IF($D$2&gt;=(COLUMN()-10),HLOOKUP($B52,INDIRECT(ADDRESS(2,11,1,,K$3)):INDIRECT(ADDRESS(25,playercnt+10,1,,K$3)),24),"")</f>
        <v>6</v>
      </c>
      <c r="L52" s="46">
        <f ca="1">IF($D$2&gt;=(COLUMN()-10),HLOOKUP($B52,INDIRECT(ADDRESS(2,11,1,,L$3)):INDIRECT(ADDRESS(25,playercnt+10,1,,L$3)),24),"")</f>
        <v>4</v>
      </c>
      <c r="M52" s="46">
        <f ca="1">IF($D$2&gt;=(COLUMN()-10),HLOOKUP($B52,INDIRECT(ADDRESS(2,11,1,,M$3)):INDIRECT(ADDRESS(25,playercnt+10,1,,M$3)),24),"")</f>
        <v>4</v>
      </c>
      <c r="N52" s="46">
        <f ca="1">IF($D$2&gt;=(COLUMN()-10),HLOOKUP($B52,INDIRECT(ADDRESS(2,11,1,,N$3)):INDIRECT(ADDRESS(25,playercnt+10,1,,N$3)),24),"")</f>
        <v>2</v>
      </c>
      <c r="O52" s="46">
        <f ca="1">IF($D$2&gt;=(COLUMN()-10),HLOOKUP($B52,INDIRECT(ADDRESS(2,11,1,,O$3)):INDIRECT(ADDRESS(25,playercnt+10,1,,O$3)),24),"")</f>
        <v>4</v>
      </c>
      <c r="P52" s="46">
        <f ca="1">IF($D$2&gt;=(COLUMN()-10),HLOOKUP($B52,INDIRECT(ADDRESS(2,11,1,,P$3)):INDIRECT(ADDRESS(25,playercnt+10,1,,P$3)),24),"")</f>
        <v>4</v>
      </c>
      <c r="Q52" s="46" t="str">
        <f ca="1">IF($D$2&gt;=(COLUMN()-10),HLOOKUP($B52,INDIRECT(ADDRESS(2,11,1,,Q$3)):INDIRECT(ADDRESS(25,playercnt+10,1,,Q$3)),24),"")</f>
        <v/>
      </c>
      <c r="R52" s="46" t="str">
        <f ca="1">IF($D$2&gt;=(COLUMN()-10),HLOOKUP($B52,INDIRECT(ADDRESS(2,11,1,,R$3)):INDIRECT(ADDRESS(25,playercnt+10,1,,R$3)),24),"")</f>
        <v/>
      </c>
      <c r="S52" s="46" t="str">
        <f ca="1">IF($D$2&gt;=(COLUMN()-10),HLOOKUP($B52,INDIRECT(ADDRESS(2,11,1,,S$3)):INDIRECT(ADDRESS(25,playercnt+10,1,,S$3)),24),"")</f>
        <v/>
      </c>
      <c r="T52" s="46" t="str">
        <f ca="1">IF($D$2&gt;=(COLUMN()-10),HLOOKUP($B52,INDIRECT(ADDRESS(2,11,1,,T$3)):INDIRECT(ADDRESS(25,playercnt+10,1,,T$3)),24),"")</f>
        <v/>
      </c>
      <c r="U52" s="46" t="str">
        <f ca="1">IF($D$2&gt;=(COLUMN()-10),HLOOKUP($B52,INDIRECT(ADDRESS(2,11,1,,U$3)):INDIRECT(ADDRESS(25,playercnt+10,1,,U$3)),24),"")</f>
        <v/>
      </c>
      <c r="V52" s="46" t="str">
        <f ca="1">IF($D$2&gt;=(COLUMN()-10),HLOOKUP($B52,INDIRECT(ADDRESS(2,11,1,,V$3)):INDIRECT(ADDRESS(25,playercnt+10,1,,V$3)),24),"")</f>
        <v/>
      </c>
      <c r="W52" s="46" t="str">
        <f ca="1">IF($D$2&gt;=(COLUMN()-10),HLOOKUP($B52,INDIRECT(ADDRESS(2,11,1,,W$3)):INDIRECT(ADDRESS(25,playercnt+10,1,,W$3)),24),"")</f>
        <v/>
      </c>
      <c r="X52" s="47">
        <v>53</v>
      </c>
      <c r="Y52" s="14">
        <f t="shared" si="11"/>
        <v>45</v>
      </c>
    </row>
    <row r="53" spans="1:25">
      <c r="A53" s="83">
        <f>IF(D53=D52,A52,Y53)</f>
        <v>46</v>
      </c>
      <c r="B53" s="39" t="str">
        <f ca="1">INDIRECT(ADDRESS(2,10+INDIRECT(ADDRESS(ROW(),24)),,,"Chart"))</f>
        <v>Barker, Christopher A</v>
      </c>
      <c r="C53" s="40">
        <f>sumAcrossWkSheets(28,10,X53)</f>
        <v>0</v>
      </c>
      <c r="D53" s="40">
        <f>sumAcrossWkSheets(25,10,X53)</f>
        <v>23</v>
      </c>
      <c r="E53" s="25">
        <f>D53/games_completed</f>
        <v>0.38333333333333336</v>
      </c>
      <c r="F53" s="11">
        <f>$D$8-D53</f>
        <v>16</v>
      </c>
      <c r="G53" s="16">
        <v>46</v>
      </c>
      <c r="H53" s="20">
        <f>G53-A53</f>
        <v>0</v>
      </c>
      <c r="I53" s="17">
        <f ca="1">MAX(K53:W53)</f>
        <v>7</v>
      </c>
      <c r="J53" s="17">
        <f ca="1">MIN(K53:W53)</f>
        <v>0</v>
      </c>
      <c r="K53" s="46">
        <f ca="1">IF($D$2&gt;=(COLUMN()-10),HLOOKUP($B53,INDIRECT(ADDRESS(2,11,1,,K$3)):INDIRECT(ADDRESS(25,playercnt+10,1,,K$3)),24),"")</f>
        <v>0</v>
      </c>
      <c r="L53" s="46">
        <f ca="1">IF($D$2&gt;=(COLUMN()-10),HLOOKUP($B53,INDIRECT(ADDRESS(2,11,1,,L$3)):INDIRECT(ADDRESS(25,playercnt+10,1,,L$3)),24),"")</f>
        <v>4</v>
      </c>
      <c r="M53" s="46">
        <f ca="1">IF($D$2&gt;=(COLUMN()-10),HLOOKUP($B53,INDIRECT(ADDRESS(2,11,1,,M$3)):INDIRECT(ADDRESS(25,playercnt+10,1,,M$3)),24),"")</f>
        <v>7</v>
      </c>
      <c r="N53" s="46">
        <f ca="1">IF($D$2&gt;=(COLUMN()-10),HLOOKUP($B53,INDIRECT(ADDRESS(2,11,1,,N$3)):INDIRECT(ADDRESS(25,playercnt+10,1,,N$3)),24),"")</f>
        <v>5</v>
      </c>
      <c r="O53" s="46">
        <f ca="1">IF($D$2&gt;=(COLUMN()-10),HLOOKUP($B53,INDIRECT(ADDRESS(2,11,1,,O$3)):INDIRECT(ADDRESS(25,playercnt+10,1,,O$3)),24),"")</f>
        <v>5</v>
      </c>
      <c r="P53" s="46">
        <f ca="1">IF($D$2&gt;=(COLUMN()-10),HLOOKUP($B53,INDIRECT(ADDRESS(2,11,1,,P$3)):INDIRECT(ADDRESS(25,playercnt+10,1,,P$3)),24),"")</f>
        <v>2</v>
      </c>
      <c r="Q53" s="46" t="str">
        <f ca="1">IF($D$2&gt;=(COLUMN()-10),HLOOKUP($B53,INDIRECT(ADDRESS(2,11,1,,Q$3)):INDIRECT(ADDRESS(25,playercnt+10,1,,Q$3)),24),"")</f>
        <v/>
      </c>
      <c r="R53" s="46" t="str">
        <f ca="1">IF($D$2&gt;=(COLUMN()-10),HLOOKUP($B53,INDIRECT(ADDRESS(2,11,1,,R$3)):INDIRECT(ADDRESS(25,playercnt+10,1,,R$3)),24),"")</f>
        <v/>
      </c>
      <c r="S53" s="46" t="str">
        <f ca="1">IF($D$2&gt;=(COLUMN()-10),HLOOKUP($B53,INDIRECT(ADDRESS(2,11,1,,S$3)):INDIRECT(ADDRESS(25,playercnt+10,1,,S$3)),24),"")</f>
        <v/>
      </c>
      <c r="T53" s="46" t="str">
        <f ca="1">IF($D$2&gt;=(COLUMN()-10),HLOOKUP($B53,INDIRECT(ADDRESS(2,11,1,,T$3)):INDIRECT(ADDRESS(25,playercnt+10,1,,T$3)),24),"")</f>
        <v/>
      </c>
      <c r="U53" s="46" t="str">
        <f ca="1">IF($D$2&gt;=(COLUMN()-10),HLOOKUP($B53,INDIRECT(ADDRESS(2,11,1,,U$3)):INDIRECT(ADDRESS(25,playercnt+10,1,,U$3)),24),"")</f>
        <v/>
      </c>
      <c r="V53" s="46" t="str">
        <f ca="1">IF($D$2&gt;=(COLUMN()-10),HLOOKUP($B53,INDIRECT(ADDRESS(2,11,1,,V$3)):INDIRECT(ADDRESS(25,playercnt+10,1,,V$3)),24),"")</f>
        <v/>
      </c>
      <c r="W53" s="46" t="str">
        <f ca="1">IF($D$2&gt;=(COLUMN()-10),HLOOKUP($B53,INDIRECT(ADDRESS(2,11,1,,W$3)):INDIRECT(ADDRESS(25,playercnt+10,1,,W$3)),24),"")</f>
        <v/>
      </c>
      <c r="X53" s="14">
        <v>2</v>
      </c>
      <c r="Y53" s="14">
        <f t="shared" si="11"/>
        <v>46</v>
      </c>
    </row>
    <row r="54" spans="1:25">
      <c r="A54" s="83">
        <f>IF(D54=D53,A53,Y54)</f>
        <v>46</v>
      </c>
      <c r="B54" s="39" t="str">
        <f ca="1">INDIRECT(ADDRESS(2,10+INDIRECT(ADDRESS(ROW(),24)),,,"Chart"))</f>
        <v>Daffron, Christopher</v>
      </c>
      <c r="C54" s="40">
        <f>sumAcrossWkSheets(28,10,X54)</f>
        <v>0</v>
      </c>
      <c r="D54" s="40">
        <f>sumAcrossWkSheets(25,10,X54)</f>
        <v>23</v>
      </c>
      <c r="E54" s="25">
        <f>D54/games_completed</f>
        <v>0.38333333333333336</v>
      </c>
      <c r="F54" s="11">
        <f>$D$8-D54</f>
        <v>16</v>
      </c>
      <c r="G54" s="43">
        <v>46</v>
      </c>
      <c r="H54" s="20">
        <f>G54-A54</f>
        <v>0</v>
      </c>
      <c r="I54" s="17">
        <f ca="1">MAX(K54:W54)</f>
        <v>6</v>
      </c>
      <c r="J54" s="17">
        <f ca="1">MIN(K54:W54)</f>
        <v>0</v>
      </c>
      <c r="K54" s="46">
        <f ca="1">IF($D$2&gt;=(COLUMN()-10),HLOOKUP($B54,INDIRECT(ADDRESS(2,11,1,,K$3)):INDIRECT(ADDRESS(25,playercnt+10,1,,K$3)),24),"")</f>
        <v>4</v>
      </c>
      <c r="L54" s="46">
        <f ca="1">IF($D$2&gt;=(COLUMN()-10),HLOOKUP($B54,INDIRECT(ADDRESS(2,11,1,,L$3)):INDIRECT(ADDRESS(25,playercnt+10,1,,L$3)),24),"")</f>
        <v>4</v>
      </c>
      <c r="M54" s="46">
        <f ca="1">IF($D$2&gt;=(COLUMN()-10),HLOOKUP($B54,INDIRECT(ADDRESS(2,11,1,,M$3)):INDIRECT(ADDRESS(25,playercnt+10,1,,M$3)),24),"")</f>
        <v>0</v>
      </c>
      <c r="N54" s="46">
        <f ca="1">IF($D$2&gt;=(COLUMN()-10),HLOOKUP($B54,INDIRECT(ADDRESS(2,11,1,,N$3)):INDIRECT(ADDRESS(25,playercnt+10,1,,N$3)),24),"")</f>
        <v>5</v>
      </c>
      <c r="O54" s="46">
        <f ca="1">IF($D$2&gt;=(COLUMN()-10),HLOOKUP($B54,INDIRECT(ADDRESS(2,11,1,,O$3)):INDIRECT(ADDRESS(25,playercnt+10,1,,O$3)),24),"")</f>
        <v>6</v>
      </c>
      <c r="P54" s="46">
        <f ca="1">IF($D$2&gt;=(COLUMN()-10),HLOOKUP($B54,INDIRECT(ADDRESS(2,11,1,,P$3)):INDIRECT(ADDRESS(25,playercnt+10,1,,P$3)),24),"")</f>
        <v>4</v>
      </c>
      <c r="Q54" s="46" t="str">
        <f ca="1">IF($D$2&gt;=(COLUMN()-10),HLOOKUP($B54,INDIRECT(ADDRESS(2,11,1,,Q$3)):INDIRECT(ADDRESS(25,playercnt+10,1,,Q$3)),24),"")</f>
        <v/>
      </c>
      <c r="R54" s="46" t="str">
        <f ca="1">IF($D$2&gt;=(COLUMN()-10),HLOOKUP($B54,INDIRECT(ADDRESS(2,11,1,,R$3)):INDIRECT(ADDRESS(25,playercnt+10,1,,R$3)),24),"")</f>
        <v/>
      </c>
      <c r="S54" s="46" t="str">
        <f ca="1">IF($D$2&gt;=(COLUMN()-10),HLOOKUP($B54,INDIRECT(ADDRESS(2,11,1,,S$3)):INDIRECT(ADDRESS(25,playercnt+10,1,,S$3)),24),"")</f>
        <v/>
      </c>
      <c r="T54" s="46" t="str">
        <f ca="1">IF($D$2&gt;=(COLUMN()-10),HLOOKUP($B54,INDIRECT(ADDRESS(2,11,1,,T$3)):INDIRECT(ADDRESS(25,playercnt+10,1,,T$3)),24),"")</f>
        <v/>
      </c>
      <c r="U54" s="46" t="str">
        <f ca="1">IF($D$2&gt;=(COLUMN()-10),HLOOKUP($B54,INDIRECT(ADDRESS(2,11,1,,U$3)):INDIRECT(ADDRESS(25,playercnt+10,1,,U$3)),24),"")</f>
        <v/>
      </c>
      <c r="V54" s="46" t="str">
        <f ca="1">IF($D$2&gt;=(COLUMN()-10),HLOOKUP($B54,INDIRECT(ADDRESS(2,11,1,,V$3)):INDIRECT(ADDRESS(25,playercnt+10,1,,V$3)),24),"")</f>
        <v/>
      </c>
      <c r="W54" s="46" t="str">
        <f ca="1">IF($D$2&gt;=(COLUMN()-10),HLOOKUP($B54,INDIRECT(ADDRESS(2,11,1,,W$3)):INDIRECT(ADDRESS(25,playercnt+10,1,,W$3)),24),"")</f>
        <v/>
      </c>
      <c r="X54" s="47">
        <v>7</v>
      </c>
      <c r="Y54" s="14">
        <f t="shared" si="11"/>
        <v>47</v>
      </c>
    </row>
    <row r="55" spans="1:25">
      <c r="A55" s="83">
        <f>IF(D55=D54,A54,Y55)</f>
        <v>46</v>
      </c>
      <c r="B55" s="39" t="str">
        <f ca="1">INDIRECT(ADDRESS(2,10+INDIRECT(ADDRESS(ROW(),24)),,,"Chart"))</f>
        <v>Desing, Scott M</v>
      </c>
      <c r="C55" s="40">
        <f>sumAcrossWkSheets(28,10,X55)</f>
        <v>0</v>
      </c>
      <c r="D55" s="40">
        <f>sumAcrossWkSheets(25,10,X55)</f>
        <v>23</v>
      </c>
      <c r="E55" s="25">
        <f>D55/games_completed</f>
        <v>0.38333333333333336</v>
      </c>
      <c r="F55" s="11">
        <f>$D$8-D55</f>
        <v>16</v>
      </c>
      <c r="G55" s="16">
        <v>46</v>
      </c>
      <c r="H55" s="20">
        <f>G55-A55</f>
        <v>0</v>
      </c>
      <c r="I55" s="17">
        <f ca="1">MAX(K55:W55)</f>
        <v>6</v>
      </c>
      <c r="J55" s="17">
        <f ca="1">MIN(K55:W55)</f>
        <v>0</v>
      </c>
      <c r="K55" s="46">
        <f ca="1">IF($D$2&gt;=(COLUMN()-10),HLOOKUP($B55,INDIRECT(ADDRESS(2,11,1,,K$3)):INDIRECT(ADDRESS(25,playercnt+10,1,,K$3)),24),"")</f>
        <v>4</v>
      </c>
      <c r="L55" s="46">
        <f ca="1">IF($D$2&gt;=(COLUMN()-10),HLOOKUP($B55,INDIRECT(ADDRESS(2,11,1,,L$3)):INDIRECT(ADDRESS(25,playercnt+10,1,,L$3)),24),"")</f>
        <v>3</v>
      </c>
      <c r="M55" s="46">
        <f ca="1">IF($D$2&gt;=(COLUMN()-10),HLOOKUP($B55,INDIRECT(ADDRESS(2,11,1,,M$3)):INDIRECT(ADDRESS(25,playercnt+10,1,,M$3)),24),"")</f>
        <v>0</v>
      </c>
      <c r="N55" s="46">
        <f ca="1">IF($D$2&gt;=(COLUMN()-10),HLOOKUP($B55,INDIRECT(ADDRESS(2,11,1,,N$3)):INDIRECT(ADDRESS(25,playercnt+10,1,,N$3)),24),"")</f>
        <v>6</v>
      </c>
      <c r="O55" s="46">
        <f ca="1">IF($D$2&gt;=(COLUMN()-10),HLOOKUP($B55,INDIRECT(ADDRESS(2,11,1,,O$3)):INDIRECT(ADDRESS(25,playercnt+10,1,,O$3)),24),"")</f>
        <v>5</v>
      </c>
      <c r="P55" s="46">
        <f ca="1">IF($D$2&gt;=(COLUMN()-10),HLOOKUP($B55,INDIRECT(ADDRESS(2,11,1,,P$3)):INDIRECT(ADDRESS(25,playercnt+10,1,,P$3)),24),"")</f>
        <v>5</v>
      </c>
      <c r="Q55" s="46" t="str">
        <f ca="1">IF($D$2&gt;=(COLUMN()-10),HLOOKUP($B55,INDIRECT(ADDRESS(2,11,1,,Q$3)):INDIRECT(ADDRESS(25,playercnt+10,1,,Q$3)),24),"")</f>
        <v/>
      </c>
      <c r="R55" s="46" t="str">
        <f ca="1">IF($D$2&gt;=(COLUMN()-10),HLOOKUP($B55,INDIRECT(ADDRESS(2,11,1,,R$3)):INDIRECT(ADDRESS(25,playercnt+10,1,,R$3)),24),"")</f>
        <v/>
      </c>
      <c r="S55" s="46" t="str">
        <f ca="1">IF($D$2&gt;=(COLUMN()-10),HLOOKUP($B55,INDIRECT(ADDRESS(2,11,1,,S$3)):INDIRECT(ADDRESS(25,playercnt+10,1,,S$3)),24),"")</f>
        <v/>
      </c>
      <c r="T55" s="46" t="str">
        <f ca="1">IF($D$2&gt;=(COLUMN()-10),HLOOKUP($B55,INDIRECT(ADDRESS(2,11,1,,T$3)):INDIRECT(ADDRESS(25,playercnt+10,1,,T$3)),24),"")</f>
        <v/>
      </c>
      <c r="U55" s="46" t="str">
        <f ca="1">IF($D$2&gt;=(COLUMN()-10),HLOOKUP($B55,INDIRECT(ADDRESS(2,11,1,,U$3)):INDIRECT(ADDRESS(25,playercnt+10,1,,U$3)),24),"")</f>
        <v/>
      </c>
      <c r="V55" s="46" t="str">
        <f ca="1">IF($D$2&gt;=(COLUMN()-10),HLOOKUP($B55,INDIRECT(ADDRESS(2,11,1,,V$3)):INDIRECT(ADDRESS(25,playercnt+10,1,,V$3)),24),"")</f>
        <v/>
      </c>
      <c r="W55" s="46" t="str">
        <f ca="1">IF($D$2&gt;=(COLUMN()-10),HLOOKUP($B55,INDIRECT(ADDRESS(2,11,1,,W$3)):INDIRECT(ADDRESS(25,playercnt+10,1,,W$3)),24),"")</f>
        <v/>
      </c>
      <c r="X55" s="14">
        <v>11</v>
      </c>
      <c r="Y55" s="14">
        <f t="shared" si="11"/>
        <v>48</v>
      </c>
    </row>
    <row r="56" spans="1:25">
      <c r="A56" s="83">
        <f>IF(D56=D55,A55,Y56)</f>
        <v>46</v>
      </c>
      <c r="B56" s="39" t="str">
        <f ca="1">INDIRECT(ADDRESS(2,10+INDIRECT(ADDRESS(ROW(),24)),,,"Chart"))</f>
        <v>Inabinet, Gregory</v>
      </c>
      <c r="C56" s="40">
        <f>sumAcrossWkSheets(28,10,X56)</f>
        <v>0</v>
      </c>
      <c r="D56" s="40">
        <f>sumAcrossWkSheets(25,10,X56)</f>
        <v>23</v>
      </c>
      <c r="E56" s="25">
        <f>D56/games_completed</f>
        <v>0.38333333333333336</v>
      </c>
      <c r="F56" s="11">
        <f>$D$8-D56</f>
        <v>16</v>
      </c>
      <c r="G56" s="43">
        <v>46</v>
      </c>
      <c r="H56" s="20">
        <f>G56-A56</f>
        <v>0</v>
      </c>
      <c r="I56" s="17">
        <f ca="1">MAX(K56:W56)</f>
        <v>6</v>
      </c>
      <c r="J56" s="17">
        <f ca="1">MIN(K56:W56)</f>
        <v>0</v>
      </c>
      <c r="K56" s="46">
        <f ca="1">IF($D$2&gt;=(COLUMN()-10),HLOOKUP($B56,INDIRECT(ADDRESS(2,11,1,,K$3)):INDIRECT(ADDRESS(25,playercnt+10,1,,K$3)),24),"")</f>
        <v>6</v>
      </c>
      <c r="L56" s="46">
        <f ca="1">IF($D$2&gt;=(COLUMN()-10),HLOOKUP($B56,INDIRECT(ADDRESS(2,11,1,,L$3)):INDIRECT(ADDRESS(25,playercnt+10,1,,L$3)),24),"")</f>
        <v>4</v>
      </c>
      <c r="M56" s="46">
        <f ca="1">IF($D$2&gt;=(COLUMN()-10),HLOOKUP($B56,INDIRECT(ADDRESS(2,11,1,,M$3)):INDIRECT(ADDRESS(25,playercnt+10,1,,M$3)),24),"")</f>
        <v>5</v>
      </c>
      <c r="N56" s="46">
        <f ca="1">IF($D$2&gt;=(COLUMN()-10),HLOOKUP($B56,INDIRECT(ADDRESS(2,11,1,,N$3)):INDIRECT(ADDRESS(25,playercnt+10,1,,N$3)),24),"")</f>
        <v>2</v>
      </c>
      <c r="O56" s="46">
        <f ca="1">IF($D$2&gt;=(COLUMN()-10),HLOOKUP($B56,INDIRECT(ADDRESS(2,11,1,,O$3)):INDIRECT(ADDRESS(25,playercnt+10,1,,O$3)),24),"")</f>
        <v>6</v>
      </c>
      <c r="P56" s="46">
        <f ca="1">IF($D$2&gt;=(COLUMN()-10),HLOOKUP($B56,INDIRECT(ADDRESS(2,11,1,,P$3)):INDIRECT(ADDRESS(25,playercnt+10,1,,P$3)),24),"")</f>
        <v>0</v>
      </c>
      <c r="Q56" s="46" t="str">
        <f ca="1">IF($D$2&gt;=(COLUMN()-10),HLOOKUP($B56,INDIRECT(ADDRESS(2,11,1,,Q$3)):INDIRECT(ADDRESS(25,playercnt+10,1,,Q$3)),24),"")</f>
        <v/>
      </c>
      <c r="R56" s="46" t="str">
        <f ca="1">IF($D$2&gt;=(COLUMN()-10),HLOOKUP($B56,INDIRECT(ADDRESS(2,11,1,,R$3)):INDIRECT(ADDRESS(25,playercnt+10,1,,R$3)),24),"")</f>
        <v/>
      </c>
      <c r="S56" s="46" t="str">
        <f ca="1">IF($D$2&gt;=(COLUMN()-10),HLOOKUP($B56,INDIRECT(ADDRESS(2,11,1,,S$3)):INDIRECT(ADDRESS(25,playercnt+10,1,,S$3)),24),"")</f>
        <v/>
      </c>
      <c r="T56" s="46" t="str">
        <f ca="1">IF($D$2&gt;=(COLUMN()-10),HLOOKUP($B56,INDIRECT(ADDRESS(2,11,1,,T$3)):INDIRECT(ADDRESS(25,playercnt+10,1,,T$3)),24),"")</f>
        <v/>
      </c>
      <c r="U56" s="46" t="str">
        <f ca="1">IF($D$2&gt;=(COLUMN()-10),HLOOKUP($B56,INDIRECT(ADDRESS(2,11,1,,U$3)):INDIRECT(ADDRESS(25,playercnt+10,1,,U$3)),24),"")</f>
        <v/>
      </c>
      <c r="V56" s="46" t="str">
        <f ca="1">IF($D$2&gt;=(COLUMN()-10),HLOOKUP($B56,INDIRECT(ADDRESS(2,11,1,,V$3)):INDIRECT(ADDRESS(25,playercnt+10,1,,V$3)),24),"")</f>
        <v/>
      </c>
      <c r="W56" s="46" t="str">
        <f ca="1">IF($D$2&gt;=(COLUMN()-10),HLOOKUP($B56,INDIRECT(ADDRESS(2,11,1,,W$3)):INDIRECT(ADDRESS(25,playercnt+10,1,,W$3)),24),"")</f>
        <v/>
      </c>
      <c r="X56" s="47">
        <v>21</v>
      </c>
      <c r="Y56" s="14">
        <f t="shared" si="11"/>
        <v>49</v>
      </c>
    </row>
    <row r="57" spans="1:25">
      <c r="A57" s="83">
        <f>IF(D57=D56,A56,Y57)</f>
        <v>46</v>
      </c>
      <c r="B57" s="39" t="str">
        <f ca="1">INDIRECT(ADDRESS(2,10+INDIRECT(ADDRESS(ROW(),24)),,,"Chart"))</f>
        <v>Nguyen, Thai Remote</v>
      </c>
      <c r="C57" s="40">
        <f>sumAcrossWkSheets(28,10,X57)</f>
        <v>0</v>
      </c>
      <c r="D57" s="40">
        <f>sumAcrossWkSheets(25,10,X57)</f>
        <v>23</v>
      </c>
      <c r="E57" s="25">
        <f>D57/games_completed</f>
        <v>0.38333333333333336</v>
      </c>
      <c r="F57" s="11">
        <f>$D$8-D57</f>
        <v>16</v>
      </c>
      <c r="G57" s="16">
        <v>46</v>
      </c>
      <c r="H57" s="20">
        <f>G57-A57</f>
        <v>0</v>
      </c>
      <c r="I57" s="17">
        <f ca="1">MAX(K57:W57)</f>
        <v>6</v>
      </c>
      <c r="J57" s="17">
        <f ca="1">MIN(K57:W57)</f>
        <v>0</v>
      </c>
      <c r="K57" s="46">
        <f ca="1">IF($D$2&gt;=(COLUMN()-10),HLOOKUP($B57,INDIRECT(ADDRESS(2,11,1,,K$3)):INDIRECT(ADDRESS(25,playercnt+10,1,,K$3)),24),"")</f>
        <v>4</v>
      </c>
      <c r="L57" s="46">
        <f ca="1">IF($D$2&gt;=(COLUMN()-10),HLOOKUP($B57,INDIRECT(ADDRESS(2,11,1,,L$3)):INDIRECT(ADDRESS(25,playercnt+10,1,,L$3)),24),"")</f>
        <v>4</v>
      </c>
      <c r="M57" s="46">
        <f ca="1">IF($D$2&gt;=(COLUMN()-10),HLOOKUP($B57,INDIRECT(ADDRESS(2,11,1,,M$3)):INDIRECT(ADDRESS(25,playercnt+10,1,,M$3)),24),"")</f>
        <v>6</v>
      </c>
      <c r="N57" s="46">
        <f ca="1">IF($D$2&gt;=(COLUMN()-10),HLOOKUP($B57,INDIRECT(ADDRESS(2,11,1,,N$3)):INDIRECT(ADDRESS(25,playercnt+10,1,,N$3)),24),"")</f>
        <v>4</v>
      </c>
      <c r="O57" s="46">
        <f ca="1">IF($D$2&gt;=(COLUMN()-10),HLOOKUP($B57,INDIRECT(ADDRESS(2,11,1,,O$3)):INDIRECT(ADDRESS(25,playercnt+10,1,,O$3)),24),"")</f>
        <v>5</v>
      </c>
      <c r="P57" s="46">
        <f ca="1">IF($D$2&gt;=(COLUMN()-10),HLOOKUP($B57,INDIRECT(ADDRESS(2,11,1,,P$3)):INDIRECT(ADDRESS(25,playercnt+10,1,,P$3)),24),"")</f>
        <v>0</v>
      </c>
      <c r="Q57" s="46" t="str">
        <f ca="1">IF($D$2&gt;=(COLUMN()-10),HLOOKUP($B57,INDIRECT(ADDRESS(2,11,1,,Q$3)):INDIRECT(ADDRESS(25,playercnt+10,1,,Q$3)),24),"")</f>
        <v/>
      </c>
      <c r="R57" s="46" t="str">
        <f ca="1">IF($D$2&gt;=(COLUMN()-10),HLOOKUP($B57,INDIRECT(ADDRESS(2,11,1,,R$3)):INDIRECT(ADDRESS(25,playercnt+10,1,,R$3)),24),"")</f>
        <v/>
      </c>
      <c r="S57" s="46" t="str">
        <f ca="1">IF($D$2&gt;=(COLUMN()-10),HLOOKUP($B57,INDIRECT(ADDRESS(2,11,1,,S$3)):INDIRECT(ADDRESS(25,playercnt+10,1,,S$3)),24),"")</f>
        <v/>
      </c>
      <c r="T57" s="46" t="str">
        <f ca="1">IF($D$2&gt;=(COLUMN()-10),HLOOKUP($B57,INDIRECT(ADDRESS(2,11,1,,T$3)):INDIRECT(ADDRESS(25,playercnt+10,1,,T$3)),24),"")</f>
        <v/>
      </c>
      <c r="U57" s="46" t="str">
        <f ca="1">IF($D$2&gt;=(COLUMN()-10),HLOOKUP($B57,INDIRECT(ADDRESS(2,11,1,,U$3)):INDIRECT(ADDRESS(25,playercnt+10,1,,U$3)),24),"")</f>
        <v/>
      </c>
      <c r="V57" s="46" t="str">
        <f ca="1">IF($D$2&gt;=(COLUMN()-10),HLOOKUP($B57,INDIRECT(ADDRESS(2,11,1,,V$3)):INDIRECT(ADDRESS(25,playercnt+10,1,,V$3)),24),"")</f>
        <v/>
      </c>
      <c r="W57" s="46" t="str">
        <f ca="1">IF($D$2&gt;=(COLUMN()-10),HLOOKUP($B57,INDIRECT(ADDRESS(2,11,1,,W$3)):INDIRECT(ADDRESS(25,playercnt+10,1,,W$3)),24),"")</f>
        <v/>
      </c>
      <c r="X57" s="14">
        <v>36</v>
      </c>
      <c r="Y57" s="14">
        <f t="shared" ref="Y57:Y63" si="12">Y56+1</f>
        <v>50</v>
      </c>
    </row>
    <row r="58" spans="1:25">
      <c r="A58" s="83">
        <f>IF(D58=D57,A57,Y58)</f>
        <v>46</v>
      </c>
      <c r="B58" s="39" t="str">
        <f ca="1">INDIRECT(ADDRESS(2,10+INDIRECT(ADDRESS(ROW(),24)),,,"Chart"))</f>
        <v>White, Jarred</v>
      </c>
      <c r="C58" s="40">
        <f>sumAcrossWkSheets(28,10,X58)</f>
        <v>0</v>
      </c>
      <c r="D58" s="40">
        <f>sumAcrossWkSheets(25,10,X58)</f>
        <v>23</v>
      </c>
      <c r="E58" s="25">
        <f>D58/games_completed</f>
        <v>0.38333333333333336</v>
      </c>
      <c r="F58" s="11">
        <f>$D$8-D58</f>
        <v>16</v>
      </c>
      <c r="G58" s="43">
        <v>46</v>
      </c>
      <c r="H58" s="20">
        <f>G58-A58</f>
        <v>0</v>
      </c>
      <c r="I58" s="17">
        <f ca="1">MAX(K58:W58)</f>
        <v>6</v>
      </c>
      <c r="J58" s="17">
        <f ca="1">MIN(K58:W58)</f>
        <v>1</v>
      </c>
      <c r="K58" s="46">
        <f ca="1">IF($D$2&gt;=(COLUMN()-10),HLOOKUP($B58,INDIRECT(ADDRESS(2,11,1,,K$3)):INDIRECT(ADDRESS(25,playercnt+10,1,,K$3)),24),"")</f>
        <v>3</v>
      </c>
      <c r="L58" s="46">
        <f ca="1">IF($D$2&gt;=(COLUMN()-10),HLOOKUP($B58,INDIRECT(ADDRESS(2,11,1,,L$3)):INDIRECT(ADDRESS(25,playercnt+10,1,,L$3)),24),"")</f>
        <v>6</v>
      </c>
      <c r="M58" s="46">
        <f ca="1">IF($D$2&gt;=(COLUMN()-10),HLOOKUP($B58,INDIRECT(ADDRESS(2,11,1,,M$3)):INDIRECT(ADDRESS(25,playercnt+10,1,,M$3)),24),"")</f>
        <v>1</v>
      </c>
      <c r="N58" s="46">
        <f ca="1">IF($D$2&gt;=(COLUMN()-10),HLOOKUP($B58,INDIRECT(ADDRESS(2,11,1,,N$3)):INDIRECT(ADDRESS(25,playercnt+10,1,,N$3)),24),"")</f>
        <v>5</v>
      </c>
      <c r="O58" s="46">
        <f ca="1">IF($D$2&gt;=(COLUMN()-10),HLOOKUP($B58,INDIRECT(ADDRESS(2,11,1,,O$3)):INDIRECT(ADDRESS(25,playercnt+10,1,,O$3)),24),"")</f>
        <v>4</v>
      </c>
      <c r="P58" s="46">
        <f ca="1">IF($D$2&gt;=(COLUMN()-10),HLOOKUP($B58,INDIRECT(ADDRESS(2,11,1,,P$3)):INDIRECT(ADDRESS(25,playercnt+10,1,,P$3)),24),"")</f>
        <v>4</v>
      </c>
      <c r="Q58" s="46" t="str">
        <f ca="1">IF($D$2&gt;=(COLUMN()-10),HLOOKUP($B58,INDIRECT(ADDRESS(2,11,1,,Q$3)):INDIRECT(ADDRESS(25,playercnt+10,1,,Q$3)),24),"")</f>
        <v/>
      </c>
      <c r="R58" s="46" t="str">
        <f ca="1">IF($D$2&gt;=(COLUMN()-10),HLOOKUP($B58,INDIRECT(ADDRESS(2,11,1,,R$3)):INDIRECT(ADDRESS(25,playercnt+10,1,,R$3)),24),"")</f>
        <v/>
      </c>
      <c r="S58" s="46" t="str">
        <f ca="1">IF($D$2&gt;=(COLUMN()-10),HLOOKUP($B58,INDIRECT(ADDRESS(2,11,1,,S$3)):INDIRECT(ADDRESS(25,playercnt+10,1,,S$3)),24),"")</f>
        <v/>
      </c>
      <c r="T58" s="46" t="str">
        <f ca="1">IF($D$2&gt;=(COLUMN()-10),HLOOKUP($B58,INDIRECT(ADDRESS(2,11,1,,T$3)):INDIRECT(ADDRESS(25,playercnt+10,1,,T$3)),24),"")</f>
        <v/>
      </c>
      <c r="U58" s="46" t="str">
        <f ca="1">IF($D$2&gt;=(COLUMN()-10),HLOOKUP($B58,INDIRECT(ADDRESS(2,11,1,,U$3)):INDIRECT(ADDRESS(25,playercnt+10,1,,U$3)),24),"")</f>
        <v/>
      </c>
      <c r="V58" s="46" t="str">
        <f ca="1">IF($D$2&gt;=(COLUMN()-10),HLOOKUP($B58,INDIRECT(ADDRESS(2,11,1,,V$3)):INDIRECT(ADDRESS(25,playercnt+10,1,,V$3)),24),"")</f>
        <v/>
      </c>
      <c r="W58" s="46" t="str">
        <f ca="1">IF($D$2&gt;=(COLUMN()-10),HLOOKUP($B58,INDIRECT(ADDRESS(2,11,1,,W$3)):INDIRECT(ADDRESS(25,playercnt+10,1,,W$3)),24),"")</f>
        <v/>
      </c>
      <c r="X58" s="47">
        <v>54</v>
      </c>
      <c r="Y58" s="14">
        <f t="shared" si="12"/>
        <v>51</v>
      </c>
    </row>
    <row r="59" spans="1:25">
      <c r="A59" s="83">
        <f>IF(D59=D58,A58,Y59)</f>
        <v>52</v>
      </c>
      <c r="B59" s="39" t="str">
        <f ca="1">INDIRECT(ADDRESS(2,10+INDIRECT(ADDRESS(ROW(),24)),,,"Chart"))</f>
        <v>Steel, Van Remote</v>
      </c>
      <c r="C59" s="40">
        <f>sumAcrossWkSheets(28,10,X59)</f>
        <v>0</v>
      </c>
      <c r="D59" s="40">
        <f>sumAcrossWkSheets(25,10,X59)</f>
        <v>22</v>
      </c>
      <c r="E59" s="25">
        <f>D59/games_completed</f>
        <v>0.36666666666666664</v>
      </c>
      <c r="F59" s="11">
        <f>$D$8-D59</f>
        <v>17</v>
      </c>
      <c r="G59" s="43">
        <v>52</v>
      </c>
      <c r="H59" s="20">
        <f>G59-A59</f>
        <v>0</v>
      </c>
      <c r="I59" s="17">
        <f ca="1">MAX(K59:W59)</f>
        <v>6</v>
      </c>
      <c r="J59" s="17">
        <f ca="1">MIN(K59:W59)</f>
        <v>0</v>
      </c>
      <c r="K59" s="46">
        <f ca="1">IF($D$2&gt;=(COLUMN()-10),HLOOKUP($B59,INDIRECT(ADDRESS(2,11,1,,K$3)):INDIRECT(ADDRESS(25,playercnt+10,1,,K$3)),24),"")</f>
        <v>4</v>
      </c>
      <c r="L59" s="46">
        <f ca="1">IF($D$2&gt;=(COLUMN()-10),HLOOKUP($B59,INDIRECT(ADDRESS(2,11,1,,L$3)):INDIRECT(ADDRESS(25,playercnt+10,1,,L$3)),24),"")</f>
        <v>4</v>
      </c>
      <c r="M59" s="46">
        <f ca="1">IF($D$2&gt;=(COLUMN()-10),HLOOKUP($B59,INDIRECT(ADDRESS(2,11,1,,M$3)):INDIRECT(ADDRESS(25,playercnt+10,1,,M$3)),24),"")</f>
        <v>3</v>
      </c>
      <c r="N59" s="46">
        <f ca="1">IF($D$2&gt;=(COLUMN()-10),HLOOKUP($B59,INDIRECT(ADDRESS(2,11,1,,N$3)):INDIRECT(ADDRESS(25,playercnt+10,1,,N$3)),24),"")</f>
        <v>0</v>
      </c>
      <c r="O59" s="46">
        <f ca="1">IF($D$2&gt;=(COLUMN()-10),HLOOKUP($B59,INDIRECT(ADDRESS(2,11,1,,O$3)):INDIRECT(ADDRESS(25,playercnt+10,1,,O$3)),24),"")</f>
        <v>6</v>
      </c>
      <c r="P59" s="46">
        <f ca="1">IF($D$2&gt;=(COLUMN()-10),HLOOKUP($B59,INDIRECT(ADDRESS(2,11,1,,P$3)):INDIRECT(ADDRESS(25,playercnt+10,1,,P$3)),24),"")</f>
        <v>5</v>
      </c>
      <c r="Q59" s="46" t="str">
        <f ca="1">IF($D$2&gt;=(COLUMN()-10),HLOOKUP($B59,INDIRECT(ADDRESS(2,11,1,,Q$3)):INDIRECT(ADDRESS(25,playercnt+10,1,,Q$3)),24),"")</f>
        <v/>
      </c>
      <c r="R59" s="46" t="str">
        <f ca="1">IF($D$2&gt;=(COLUMN()-10),HLOOKUP($B59,INDIRECT(ADDRESS(2,11,1,,R$3)):INDIRECT(ADDRESS(25,playercnt+10,1,,R$3)),24),"")</f>
        <v/>
      </c>
      <c r="S59" s="46" t="str">
        <f ca="1">IF($D$2&gt;=(COLUMN()-10),HLOOKUP($B59,INDIRECT(ADDRESS(2,11,1,,S$3)):INDIRECT(ADDRESS(25,playercnt+10,1,,S$3)),24),"")</f>
        <v/>
      </c>
      <c r="T59" s="46" t="str">
        <f ca="1">IF($D$2&gt;=(COLUMN()-10),HLOOKUP($B59,INDIRECT(ADDRESS(2,11,1,,T$3)):INDIRECT(ADDRESS(25,playercnt+10,1,,T$3)),24),"")</f>
        <v/>
      </c>
      <c r="U59" s="46" t="str">
        <f ca="1">IF($D$2&gt;=(COLUMN()-10),HLOOKUP($B59,INDIRECT(ADDRESS(2,11,1,,U$3)):INDIRECT(ADDRESS(25,playercnt+10,1,,U$3)),24),"")</f>
        <v/>
      </c>
      <c r="V59" s="46" t="str">
        <f ca="1">IF($D$2&gt;=(COLUMN()-10),HLOOKUP($B59,INDIRECT(ADDRESS(2,11,1,,V$3)):INDIRECT(ADDRESS(25,playercnt+10,1,,V$3)),24),"")</f>
        <v/>
      </c>
      <c r="W59" s="46" t="str">
        <f ca="1">IF($D$2&gt;=(COLUMN()-10),HLOOKUP($B59,INDIRECT(ADDRESS(2,11,1,,W$3)):INDIRECT(ADDRESS(25,playercnt+10,1,,W$3)),24),"")</f>
        <v/>
      </c>
      <c r="X59" s="47">
        <v>48</v>
      </c>
      <c r="Y59" s="14">
        <f t="shared" si="12"/>
        <v>52</v>
      </c>
    </row>
    <row r="60" spans="1:25">
      <c r="A60" s="83">
        <f>IF(D60=D59,A59,Y60)</f>
        <v>53</v>
      </c>
      <c r="B60" s="39" t="str">
        <f ca="1">INDIRECT(ADDRESS(2,10+INDIRECT(ADDRESS(ROW(),24)),,,"Chart"))</f>
        <v>Nance, Rob Remote</v>
      </c>
      <c r="C60" s="40">
        <f>sumAcrossWkSheets(28,10,X60)</f>
        <v>0</v>
      </c>
      <c r="D60" s="40">
        <f>sumAcrossWkSheets(25,10,X60)</f>
        <v>21</v>
      </c>
      <c r="E60" s="25">
        <f>D60/games_completed</f>
        <v>0.35</v>
      </c>
      <c r="F60" s="11">
        <f>$D$8-D60</f>
        <v>18</v>
      </c>
      <c r="G60" s="43">
        <v>53</v>
      </c>
      <c r="H60" s="20">
        <f>G60-A60</f>
        <v>0</v>
      </c>
      <c r="I60" s="17">
        <f ca="1">MAX(K60:W60)</f>
        <v>6</v>
      </c>
      <c r="J60" s="17">
        <f ca="1">MIN(K60:W60)</f>
        <v>0</v>
      </c>
      <c r="K60" s="46">
        <f ca="1">IF($D$2&gt;=(COLUMN()-10),HLOOKUP($B60,INDIRECT(ADDRESS(2,11,1,,K$3)):INDIRECT(ADDRESS(25,playercnt+10,1,,K$3)),24),"")</f>
        <v>6</v>
      </c>
      <c r="L60" s="46">
        <f ca="1">IF($D$2&gt;=(COLUMN()-10),HLOOKUP($B60,INDIRECT(ADDRESS(2,11,1,,L$3)):INDIRECT(ADDRESS(25,playercnt+10,1,,L$3)),24),"")</f>
        <v>0</v>
      </c>
      <c r="M60" s="46">
        <f ca="1">IF($D$2&gt;=(COLUMN()-10),HLOOKUP($B60,INDIRECT(ADDRESS(2,11,1,,M$3)):INDIRECT(ADDRESS(25,playercnt+10,1,,M$3)),24),"")</f>
        <v>0</v>
      </c>
      <c r="N60" s="46">
        <f ca="1">IF($D$2&gt;=(COLUMN()-10),HLOOKUP($B60,INDIRECT(ADDRESS(2,11,1,,N$3)):INDIRECT(ADDRESS(25,playercnt+10,1,,N$3)),24),"")</f>
        <v>6</v>
      </c>
      <c r="O60" s="46">
        <f ca="1">IF($D$2&gt;=(COLUMN()-10),HLOOKUP($B60,INDIRECT(ADDRESS(2,11,1,,O$3)):INDIRECT(ADDRESS(25,playercnt+10,1,,O$3)),24),"")</f>
        <v>4</v>
      </c>
      <c r="P60" s="46">
        <f ca="1">IF($D$2&gt;=(COLUMN()-10),HLOOKUP($B60,INDIRECT(ADDRESS(2,11,1,,P$3)):INDIRECT(ADDRESS(25,playercnt+10,1,,P$3)),24),"")</f>
        <v>5</v>
      </c>
      <c r="Q60" s="46" t="str">
        <f ca="1">IF($D$2&gt;=(COLUMN()-10),HLOOKUP($B60,INDIRECT(ADDRESS(2,11,1,,Q$3)):INDIRECT(ADDRESS(25,playercnt+10,1,,Q$3)),24),"")</f>
        <v/>
      </c>
      <c r="R60" s="46" t="str">
        <f ca="1">IF($D$2&gt;=(COLUMN()-10),HLOOKUP($B60,INDIRECT(ADDRESS(2,11,1,,R$3)):INDIRECT(ADDRESS(25,playercnt+10,1,,R$3)),24),"")</f>
        <v/>
      </c>
      <c r="S60" s="46" t="str">
        <f ca="1">IF($D$2&gt;=(COLUMN()-10),HLOOKUP($B60,INDIRECT(ADDRESS(2,11,1,,S$3)):INDIRECT(ADDRESS(25,playercnt+10,1,,S$3)),24),"")</f>
        <v/>
      </c>
      <c r="T60" s="46" t="str">
        <f ca="1">IF($D$2&gt;=(COLUMN()-10),HLOOKUP($B60,INDIRECT(ADDRESS(2,11,1,,T$3)):INDIRECT(ADDRESS(25,playercnt+10,1,,T$3)),24),"")</f>
        <v/>
      </c>
      <c r="U60" s="46" t="str">
        <f ca="1">IF($D$2&gt;=(COLUMN()-10),HLOOKUP($B60,INDIRECT(ADDRESS(2,11,1,,U$3)):INDIRECT(ADDRESS(25,playercnt+10,1,,U$3)),24),"")</f>
        <v/>
      </c>
      <c r="V60" s="46" t="str">
        <f ca="1">IF($D$2&gt;=(COLUMN()-10),HLOOKUP($B60,INDIRECT(ADDRESS(2,11,1,,V$3)):INDIRECT(ADDRESS(25,playercnt+10,1,,V$3)),24),"")</f>
        <v/>
      </c>
      <c r="W60" s="46" t="str">
        <f ca="1">IF($D$2&gt;=(COLUMN()-10),HLOOKUP($B60,INDIRECT(ADDRESS(2,11,1,,W$3)):INDIRECT(ADDRESS(25,playercnt+10,1,,W$3)),24),"")</f>
        <v/>
      </c>
      <c r="X60" s="47">
        <v>32</v>
      </c>
      <c r="Y60" s="14">
        <f t="shared" si="12"/>
        <v>53</v>
      </c>
    </row>
    <row r="61" spans="1:25">
      <c r="A61" s="83">
        <f>IF(D61=D60,A60,Y61)</f>
        <v>54</v>
      </c>
      <c r="B61" s="39" t="str">
        <f ca="1">INDIRECT(ADDRESS(2,10+INDIRECT(ADDRESS(ROW(),24)),,,"Chart"))</f>
        <v>Mccoy, William M</v>
      </c>
      <c r="C61" s="40">
        <f>sumAcrossWkSheets(28,10,X61)</f>
        <v>0</v>
      </c>
      <c r="D61" s="40">
        <f>sumAcrossWkSheets(25,10,X61)</f>
        <v>20</v>
      </c>
      <c r="E61" s="25">
        <f>D61/games_completed</f>
        <v>0.33333333333333331</v>
      </c>
      <c r="F61" s="11">
        <f>$D$8-D61</f>
        <v>19</v>
      </c>
      <c r="G61" s="43">
        <v>54</v>
      </c>
      <c r="H61" s="20">
        <f>G61-A61</f>
        <v>0</v>
      </c>
      <c r="I61" s="17">
        <f ca="1">MAX(K61:W61)</f>
        <v>7</v>
      </c>
      <c r="J61" s="17">
        <f ca="1">MIN(K61:W61)</f>
        <v>0</v>
      </c>
      <c r="K61" s="46">
        <f ca="1">IF($D$2&gt;=(COLUMN()-10),HLOOKUP($B61,INDIRECT(ADDRESS(2,11,1,,K$3)):INDIRECT(ADDRESS(25,playercnt+10,1,,K$3)),24),"")</f>
        <v>7</v>
      </c>
      <c r="L61" s="46">
        <f ca="1">IF($D$2&gt;=(COLUMN()-10),HLOOKUP($B61,INDIRECT(ADDRESS(2,11,1,,L$3)):INDIRECT(ADDRESS(25,playercnt+10,1,,L$3)),24),"")</f>
        <v>3</v>
      </c>
      <c r="M61" s="46">
        <f ca="1">IF($D$2&gt;=(COLUMN()-10),HLOOKUP($B61,INDIRECT(ADDRESS(2,11,1,,M$3)):INDIRECT(ADDRESS(25,playercnt+10,1,,M$3)),24),"")</f>
        <v>0</v>
      </c>
      <c r="N61" s="46">
        <f ca="1">IF($D$2&gt;=(COLUMN()-10),HLOOKUP($B61,INDIRECT(ADDRESS(2,11,1,,N$3)):INDIRECT(ADDRESS(25,playercnt+10,1,,N$3)),24),"")</f>
        <v>3</v>
      </c>
      <c r="O61" s="46">
        <f ca="1">IF($D$2&gt;=(COLUMN()-10),HLOOKUP($B61,INDIRECT(ADDRESS(2,11,1,,O$3)):INDIRECT(ADDRESS(25,playercnt+10,1,,O$3)),24),"")</f>
        <v>5</v>
      </c>
      <c r="P61" s="46">
        <f ca="1">IF($D$2&gt;=(COLUMN()-10),HLOOKUP($B61,INDIRECT(ADDRESS(2,11,1,,P$3)):INDIRECT(ADDRESS(25,playercnt+10,1,,P$3)),24),"")</f>
        <v>2</v>
      </c>
      <c r="Q61" s="46" t="str">
        <f ca="1">IF($D$2&gt;=(COLUMN()-10),HLOOKUP($B61,INDIRECT(ADDRESS(2,11,1,,Q$3)):INDIRECT(ADDRESS(25,playercnt+10,1,,Q$3)),24),"")</f>
        <v/>
      </c>
      <c r="R61" s="46" t="str">
        <f ca="1">IF($D$2&gt;=(COLUMN()-10),HLOOKUP($B61,INDIRECT(ADDRESS(2,11,1,,R$3)):INDIRECT(ADDRESS(25,playercnt+10,1,,R$3)),24),"")</f>
        <v/>
      </c>
      <c r="S61" s="46" t="str">
        <f ca="1">IF($D$2&gt;=(COLUMN()-10),HLOOKUP($B61,INDIRECT(ADDRESS(2,11,1,,S$3)):INDIRECT(ADDRESS(25,playercnt+10,1,,S$3)),24),"")</f>
        <v/>
      </c>
      <c r="T61" s="46" t="str">
        <f ca="1">IF($D$2&gt;=(COLUMN()-10),HLOOKUP($B61,INDIRECT(ADDRESS(2,11,1,,T$3)):INDIRECT(ADDRESS(25,playercnt+10,1,,T$3)),24),"")</f>
        <v/>
      </c>
      <c r="U61" s="46" t="str">
        <f ca="1">IF($D$2&gt;=(COLUMN()-10),HLOOKUP($B61,INDIRECT(ADDRESS(2,11,1,,U$3)):INDIRECT(ADDRESS(25,playercnt+10,1,,U$3)),24),"")</f>
        <v/>
      </c>
      <c r="V61" s="46" t="str">
        <f ca="1">IF($D$2&gt;=(COLUMN()-10),HLOOKUP($B61,INDIRECT(ADDRESS(2,11,1,,V$3)):INDIRECT(ADDRESS(25,playercnt+10,1,,V$3)),24),"")</f>
        <v/>
      </c>
      <c r="W61" s="46" t="str">
        <f ca="1">IF($D$2&gt;=(COLUMN()-10),HLOOKUP($B61,INDIRECT(ADDRESS(2,11,1,,W$3)):INDIRECT(ADDRESS(25,playercnt+10,1,,W$3)),24),"")</f>
        <v/>
      </c>
      <c r="X61" s="47">
        <v>27</v>
      </c>
      <c r="Y61" s="14">
        <f t="shared" si="12"/>
        <v>54</v>
      </c>
    </row>
    <row r="62" spans="1:25">
      <c r="A62" s="83">
        <f>IF(D62=D61,A61,Y62)</f>
        <v>55</v>
      </c>
      <c r="B62" s="39" t="str">
        <f ca="1">INDIRECT(ADDRESS(2,10+INDIRECT(ADDRESS(ROW(),24)),,,"Chart"))</f>
        <v>Desetto, Thomas Remote</v>
      </c>
      <c r="C62" s="40">
        <f>sumAcrossWkSheets(28,10,X62)</f>
        <v>0</v>
      </c>
      <c r="D62" s="40">
        <f>sumAcrossWkSheets(25,10,X62)</f>
        <v>18</v>
      </c>
      <c r="E62" s="25">
        <f>D62/games_completed</f>
        <v>0.3</v>
      </c>
      <c r="F62" s="11">
        <f>$D$8-D62</f>
        <v>21</v>
      </c>
      <c r="G62" s="43">
        <v>55</v>
      </c>
      <c r="H62" s="20">
        <f>G62-A62</f>
        <v>0</v>
      </c>
      <c r="I62" s="17">
        <f ca="1">MAX(K62:W62)</f>
        <v>5</v>
      </c>
      <c r="J62" s="17">
        <f ca="1">MIN(K62:W62)</f>
        <v>0</v>
      </c>
      <c r="K62" s="46">
        <f ca="1">IF($D$2&gt;=(COLUMN()-10),HLOOKUP($B62,INDIRECT(ADDRESS(2,11,1,,K$3)):INDIRECT(ADDRESS(25,playercnt+10,1,,K$3)),24),"")</f>
        <v>4</v>
      </c>
      <c r="L62" s="46">
        <f ca="1">IF($D$2&gt;=(COLUMN()-10),HLOOKUP($B62,INDIRECT(ADDRESS(2,11,1,,L$3)):INDIRECT(ADDRESS(25,playercnt+10,1,,L$3)),24),"")</f>
        <v>2</v>
      </c>
      <c r="M62" s="46">
        <f ca="1">IF($D$2&gt;=(COLUMN()-10),HLOOKUP($B62,INDIRECT(ADDRESS(2,11,1,,M$3)):INDIRECT(ADDRESS(25,playercnt+10,1,,M$3)),24),"")</f>
        <v>5</v>
      </c>
      <c r="N62" s="46">
        <f ca="1">IF($D$2&gt;=(COLUMN()-10),HLOOKUP($B62,INDIRECT(ADDRESS(2,11,1,,N$3)):INDIRECT(ADDRESS(25,playercnt+10,1,,N$3)),24),"")</f>
        <v>2</v>
      </c>
      <c r="O62" s="46">
        <f ca="1">IF($D$2&gt;=(COLUMN()-10),HLOOKUP($B62,INDIRECT(ADDRESS(2,11,1,,O$3)):INDIRECT(ADDRESS(25,playercnt+10,1,,O$3)),24),"")</f>
        <v>5</v>
      </c>
      <c r="P62" s="46">
        <f ca="1">IF($D$2&gt;=(COLUMN()-10),HLOOKUP($B62,INDIRECT(ADDRESS(2,11,1,,P$3)):INDIRECT(ADDRESS(25,playercnt+10,1,,P$3)),24),"")</f>
        <v>0</v>
      </c>
      <c r="Q62" s="46" t="str">
        <f ca="1">IF($D$2&gt;=(COLUMN()-10),HLOOKUP($B62,INDIRECT(ADDRESS(2,11,1,,Q$3)):INDIRECT(ADDRESS(25,playercnt+10,1,,Q$3)),24),"")</f>
        <v/>
      </c>
      <c r="R62" s="46" t="str">
        <f ca="1">IF($D$2&gt;=(COLUMN()-10),HLOOKUP($B62,INDIRECT(ADDRESS(2,11,1,,R$3)):INDIRECT(ADDRESS(25,playercnt+10,1,,R$3)),24),"")</f>
        <v/>
      </c>
      <c r="S62" s="46" t="str">
        <f ca="1">IF($D$2&gt;=(COLUMN()-10),HLOOKUP($B62,INDIRECT(ADDRESS(2,11,1,,S$3)):INDIRECT(ADDRESS(25,playercnt+10,1,,S$3)),24),"")</f>
        <v/>
      </c>
      <c r="T62" s="46" t="str">
        <f ca="1">IF($D$2&gt;=(COLUMN()-10),HLOOKUP($B62,INDIRECT(ADDRESS(2,11,1,,T$3)):INDIRECT(ADDRESS(25,playercnt+10,1,,T$3)),24),"")</f>
        <v/>
      </c>
      <c r="U62" s="46" t="str">
        <f ca="1">IF($D$2&gt;=(COLUMN()-10),HLOOKUP($B62,INDIRECT(ADDRESS(2,11,1,,U$3)):INDIRECT(ADDRESS(25,playercnt+10,1,,U$3)),24),"")</f>
        <v/>
      </c>
      <c r="V62" s="46" t="str">
        <f ca="1">IF($D$2&gt;=(COLUMN()-10),HLOOKUP($B62,INDIRECT(ADDRESS(2,11,1,,V$3)):INDIRECT(ADDRESS(25,playercnt+10,1,,V$3)),24),"")</f>
        <v/>
      </c>
      <c r="W62" s="46" t="str">
        <f ca="1">IF($D$2&gt;=(COLUMN()-10),HLOOKUP($B62,INDIRECT(ADDRESS(2,11,1,,W$3)):INDIRECT(ADDRESS(25,playercnt+10,1,,W$3)),24),"")</f>
        <v/>
      </c>
      <c r="X62" s="47">
        <v>10</v>
      </c>
      <c r="Y62" s="14">
        <f t="shared" si="12"/>
        <v>55</v>
      </c>
    </row>
    <row r="63" spans="1:25">
      <c r="A63" s="83">
        <f>IF(D63=D62,A62,Y63)</f>
        <v>56</v>
      </c>
      <c r="B63" s="39" t="str">
        <f ca="1">INDIRECT(ADDRESS(2,10+INDIRECT(ADDRESS(ROW(),24)),,,"Chart"))</f>
        <v>Boykin, Jerome W</v>
      </c>
      <c r="C63" s="40">
        <f>sumAcrossWkSheets(28,10,X63)</f>
        <v>0</v>
      </c>
      <c r="D63" s="40">
        <f>sumAcrossWkSheets(25,10,X63)</f>
        <v>17</v>
      </c>
      <c r="E63" s="25">
        <f>D63/games_completed</f>
        <v>0.28333333333333333</v>
      </c>
      <c r="F63" s="11">
        <f>$D$8-D63</f>
        <v>22</v>
      </c>
      <c r="G63" s="43">
        <v>56</v>
      </c>
      <c r="H63" s="20">
        <f>G63-A63</f>
        <v>0</v>
      </c>
      <c r="I63" s="17">
        <f ca="1">MAX(K63:W63)</f>
        <v>5</v>
      </c>
      <c r="J63" s="17">
        <f ca="1">MIN(K63:W63)</f>
        <v>0</v>
      </c>
      <c r="K63" s="46">
        <f ca="1">IF($D$2&gt;=(COLUMN()-10),HLOOKUP($B63,INDIRECT(ADDRESS(2,11,1,,K$3)):INDIRECT(ADDRESS(25,playercnt+10,1,,K$3)),24),"")</f>
        <v>5</v>
      </c>
      <c r="L63" s="46">
        <f ca="1">IF($D$2&gt;=(COLUMN()-10),HLOOKUP($B63,INDIRECT(ADDRESS(2,11,1,,L$3)):INDIRECT(ADDRESS(25,playercnt+10,1,,L$3)),24),"")</f>
        <v>3</v>
      </c>
      <c r="M63" s="46">
        <f ca="1">IF($D$2&gt;=(COLUMN()-10),HLOOKUP($B63,INDIRECT(ADDRESS(2,11,1,,M$3)):INDIRECT(ADDRESS(25,playercnt+10,1,,M$3)),24),"")</f>
        <v>0</v>
      </c>
      <c r="N63" s="46">
        <f ca="1">IF($D$2&gt;=(COLUMN()-10),HLOOKUP($B63,INDIRECT(ADDRESS(2,11,1,,N$3)):INDIRECT(ADDRESS(25,playercnt+10,1,,N$3)),24),"")</f>
        <v>4</v>
      </c>
      <c r="O63" s="46">
        <f ca="1">IF($D$2&gt;=(COLUMN()-10),HLOOKUP($B63,INDIRECT(ADDRESS(2,11,1,,O$3)):INDIRECT(ADDRESS(25,playercnt+10,1,,O$3)),24),"")</f>
        <v>4</v>
      </c>
      <c r="P63" s="46">
        <f ca="1">IF($D$2&gt;=(COLUMN()-10),HLOOKUP($B63,INDIRECT(ADDRESS(2,11,1,,P$3)):INDIRECT(ADDRESS(25,playercnt+10,1,,P$3)),24),"")</f>
        <v>1</v>
      </c>
      <c r="Q63" s="46" t="str">
        <f ca="1">IF($D$2&gt;=(COLUMN()-10),HLOOKUP($B63,INDIRECT(ADDRESS(2,11,1,,Q$3)):INDIRECT(ADDRESS(25,playercnt+10,1,,Q$3)),24),"")</f>
        <v/>
      </c>
      <c r="R63" s="46" t="str">
        <f ca="1">IF($D$2&gt;=(COLUMN()-10),HLOOKUP($B63,INDIRECT(ADDRESS(2,11,1,,R$3)):INDIRECT(ADDRESS(25,playercnt+10,1,,R$3)),24),"")</f>
        <v/>
      </c>
      <c r="S63" s="46" t="str">
        <f ca="1">IF($D$2&gt;=(COLUMN()-10),HLOOKUP($B63,INDIRECT(ADDRESS(2,11,1,,S$3)):INDIRECT(ADDRESS(25,playercnt+10,1,,S$3)),24),"")</f>
        <v/>
      </c>
      <c r="T63" s="46" t="str">
        <f ca="1">IF($D$2&gt;=(COLUMN()-10),HLOOKUP($B63,INDIRECT(ADDRESS(2,11,1,,T$3)):INDIRECT(ADDRESS(25,playercnt+10,1,,T$3)),24),"")</f>
        <v/>
      </c>
      <c r="U63" s="46" t="str">
        <f ca="1">IF($D$2&gt;=(COLUMN()-10),HLOOKUP($B63,INDIRECT(ADDRESS(2,11,1,,U$3)):INDIRECT(ADDRESS(25,playercnt+10,1,,U$3)),24),"")</f>
        <v/>
      </c>
      <c r="V63" s="46" t="str">
        <f ca="1">IF($D$2&gt;=(COLUMN()-10),HLOOKUP($B63,INDIRECT(ADDRESS(2,11,1,,V$3)):INDIRECT(ADDRESS(25,playercnt+10,1,,V$3)),24),"")</f>
        <v/>
      </c>
      <c r="W63" s="46" t="str">
        <f ca="1">IF($D$2&gt;=(COLUMN()-10),HLOOKUP($B63,INDIRECT(ADDRESS(2,11,1,,W$3)):INDIRECT(ADDRESS(25,playercnt+10,1,,W$3)),24),"")</f>
        <v/>
      </c>
      <c r="X63" s="47">
        <v>5</v>
      </c>
      <c r="Y63" s="14">
        <f t="shared" si="12"/>
        <v>56</v>
      </c>
    </row>
  </sheetData>
  <sortState ref="A8:X63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63">
    <cfRule type="expression" dxfId="249" priority="1" stopIfTrue="1">
      <formula>INDIRECT(ADDRESS(28,10+$X8,,,K$3))=1</formula>
    </cfRule>
    <cfRule type="cellIs" dxfId="248" priority="2" stopIfTrue="1" operator="between">
      <formula>10</formula>
      <formula>7</formula>
    </cfRule>
    <cfRule type="cellIs" dxfId="24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BZ31"/>
  <sheetViews>
    <sheetView topLeftCell="A2" zoomScale="85" zoomScaleNormal="85" workbookViewId="0">
      <pane ySplit="3075" topLeftCell="A34" activePane="bottomLeft"/>
      <selection activeCell="E2" sqref="E2"/>
      <selection pane="bottomLeft" activeCell="E17" sqref="E17:BN17"/>
    </sheetView>
  </sheetViews>
  <sheetFormatPr defaultRowHeight="12.75"/>
  <cols>
    <col min="1" max="1" width="7.5703125" customWidth="1"/>
    <col min="2" max="2" width="4.28515625" customWidth="1"/>
    <col min="3" max="4" width="3" customWidth="1"/>
    <col min="5" max="5" width="4.85546875" bestFit="1" customWidth="1"/>
    <col min="6" max="6" width="5.85546875" bestFit="1" customWidth="1"/>
    <col min="7" max="78" width="3.28515625" customWidth="1"/>
  </cols>
  <sheetData>
    <row r="1" spans="1:78" ht="18">
      <c r="A1" s="7" t="s">
        <v>13</v>
      </c>
      <c r="B1" s="7"/>
      <c r="C1" s="7"/>
      <c r="D1" s="7"/>
      <c r="H1" s="6"/>
      <c r="J1">
        <f ca="1">SUM(INDIRECT("RC11:RC"&amp;11+playercnt-1, FALSE))</f>
        <v>56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</row>
    <row r="2" spans="1:78" ht="138" customHeight="1">
      <c r="A2" s="56">
        <f>weekcnt</f>
        <v>6</v>
      </c>
      <c r="B2" s="98">
        <f>COUNTA(K2:BZ2)</f>
        <v>56</v>
      </c>
      <c r="E2" s="23">
        <v>0.55384615384615388</v>
      </c>
      <c r="F2" s="23">
        <f>84/130</f>
        <v>0.64615384615384619</v>
      </c>
      <c r="G2" s="31" t="s">
        <v>51</v>
      </c>
      <c r="H2" s="31" t="s">
        <v>52</v>
      </c>
      <c r="I2" s="31" t="s">
        <v>53</v>
      </c>
      <c r="J2" s="31" t="s">
        <v>38</v>
      </c>
      <c r="K2" s="4" t="s">
        <v>42</v>
      </c>
      <c r="L2" s="23" t="s">
        <v>301</v>
      </c>
      <c r="M2" s="23" t="s">
        <v>294</v>
      </c>
      <c r="N2" s="4" t="s">
        <v>295</v>
      </c>
      <c r="O2" s="4" t="s">
        <v>318</v>
      </c>
      <c r="P2" s="23" t="s">
        <v>305</v>
      </c>
      <c r="Q2" s="4" t="s">
        <v>315</v>
      </c>
      <c r="R2" s="4" t="s">
        <v>306</v>
      </c>
      <c r="S2" s="23" t="s">
        <v>304</v>
      </c>
      <c r="T2" s="4" t="s">
        <v>307</v>
      </c>
      <c r="U2" s="23" t="s">
        <v>277</v>
      </c>
      <c r="V2" s="4" t="s">
        <v>319</v>
      </c>
      <c r="W2" s="4" t="s">
        <v>131</v>
      </c>
      <c r="X2" s="4" t="s">
        <v>136</v>
      </c>
      <c r="Y2" s="4" t="s">
        <v>133</v>
      </c>
      <c r="Z2" s="4" t="s">
        <v>271</v>
      </c>
      <c r="AA2" s="4" t="s">
        <v>297</v>
      </c>
      <c r="AB2" s="4" t="s">
        <v>125</v>
      </c>
      <c r="AC2" s="4" t="s">
        <v>268</v>
      </c>
      <c r="AD2" s="4" t="s">
        <v>288</v>
      </c>
      <c r="AE2" s="4" t="s">
        <v>308</v>
      </c>
      <c r="AF2" s="4" t="s">
        <v>267</v>
      </c>
      <c r="AG2" s="4" t="s">
        <v>309</v>
      </c>
      <c r="AH2" s="4" t="s">
        <v>300</v>
      </c>
      <c r="AI2" s="4" t="s">
        <v>291</v>
      </c>
      <c r="AJ2" s="23" t="s">
        <v>48</v>
      </c>
      <c r="AK2" s="23" t="s">
        <v>298</v>
      </c>
      <c r="AL2" s="23" t="s">
        <v>310</v>
      </c>
      <c r="AM2" s="23" t="s">
        <v>272</v>
      </c>
      <c r="AN2" s="23" t="s">
        <v>311</v>
      </c>
      <c r="AO2" s="23" t="s">
        <v>49</v>
      </c>
      <c r="AP2" s="23" t="s">
        <v>290</v>
      </c>
      <c r="AQ2" s="23" t="s">
        <v>316</v>
      </c>
      <c r="AR2" s="23" t="s">
        <v>317</v>
      </c>
      <c r="AS2" s="23" t="s">
        <v>278</v>
      </c>
      <c r="AT2" s="23" t="s">
        <v>289</v>
      </c>
      <c r="AU2" s="23" t="s">
        <v>312</v>
      </c>
      <c r="AV2" s="23" t="s">
        <v>132</v>
      </c>
      <c r="AW2" s="23" t="s">
        <v>269</v>
      </c>
      <c r="AX2" s="23" t="s">
        <v>50</v>
      </c>
      <c r="AY2" s="23" t="s">
        <v>43</v>
      </c>
      <c r="AZ2" s="23" t="s">
        <v>313</v>
      </c>
      <c r="BA2" s="23" t="s">
        <v>135</v>
      </c>
      <c r="BB2" s="23" t="s">
        <v>275</v>
      </c>
      <c r="BC2" s="23" t="s">
        <v>274</v>
      </c>
      <c r="BD2" s="23" t="s">
        <v>44</v>
      </c>
      <c r="BE2" s="23" t="s">
        <v>320</v>
      </c>
      <c r="BF2" s="4" t="s">
        <v>265</v>
      </c>
      <c r="BG2" s="23" t="s">
        <v>299</v>
      </c>
      <c r="BH2" s="23" t="s">
        <v>126</v>
      </c>
      <c r="BI2" s="23" t="s">
        <v>321</v>
      </c>
      <c r="BJ2" s="23" t="s">
        <v>296</v>
      </c>
      <c r="BK2" s="23" t="s">
        <v>134</v>
      </c>
      <c r="BL2" s="23" t="s">
        <v>266</v>
      </c>
      <c r="BM2" s="23" t="s">
        <v>279</v>
      </c>
      <c r="BN2" s="4" t="s">
        <v>280</v>
      </c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</row>
    <row r="4" spans="1:78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3</v>
      </c>
      <c r="H4">
        <f ca="1">IF(($A$2)&gt;=(ROW()-3),H$17*(SUM(H$19:H19)-((ROW()-3)*5)),H3)</f>
        <v>-1</v>
      </c>
      <c r="I4">
        <f ca="1">IF(($A$2)&gt;=(ROW()-3),I$17*(SUM(I$19:I19)-((ROW()-3)*5)),I3)</f>
        <v>0</v>
      </c>
      <c r="J4">
        <f ca="1">IF(($A$2)&gt;=(ROW()-3),J$17*(SUM(J$19:J19)-((ROW()-3)*5)),J3)</f>
        <v>-5</v>
      </c>
      <c r="K4">
        <f ca="1">IF(($A$2)&gt;=(ROW()-3),K$17*(SUM(K$19:K19)-((ROW()-3)*5)),K3)</f>
        <v>1</v>
      </c>
      <c r="L4">
        <f ca="1">IF(($A$2)&gt;=(ROW()-3),L$17*(SUM(L$19:L19)-((ROW()-3)*5)),L3)</f>
        <v>-5</v>
      </c>
      <c r="M4">
        <f ca="1">IF(($A$2)&gt;=(ROW()-3),M$17*(SUM(M$19:M19)-((ROW()-3)*5)),M3)</f>
        <v>-1</v>
      </c>
      <c r="N4">
        <f ca="1">IF(($A$2)&gt;=(ROW()-3),N$17*(SUM(N$19:N19)-((ROW()-3)*5)),N3)</f>
        <v>2</v>
      </c>
      <c r="O4">
        <f ca="1">IF(($A$2)&gt;=(ROW()-3),O$17*(SUM(O$19:O19)-((ROW()-3)*5)),O3)</f>
        <v>0</v>
      </c>
      <c r="P4">
        <f ca="1">IF(($A$2)&gt;=(ROW()-3),P$17*(SUM(P$19:P19)-((ROW()-3)*5)),P3)</f>
        <v>0</v>
      </c>
      <c r="Q4">
        <f ca="1">IF(($A$2)&gt;=(ROW()-3),Q$17*(SUM(Q$19:Q19)-((ROW()-3)*5)),Q3)</f>
        <v>-1</v>
      </c>
      <c r="R4">
        <f ca="1">IF(($A$2)&gt;=(ROW()-3),R$17*(SUM(R$19:R19)-((ROW()-3)*5)),R3)</f>
        <v>-5</v>
      </c>
      <c r="S4">
        <f ca="1">IF(($A$2)&gt;=(ROW()-3),S$17*(SUM(S$19:S19)-((ROW()-3)*5)),S3)</f>
        <v>-2</v>
      </c>
      <c r="T4">
        <f ca="1">IF(($A$2)&gt;=(ROW()-3),T$17*(SUM(T$19:T19)-((ROW()-3)*5)),T3)</f>
        <v>-1</v>
      </c>
      <c r="U4">
        <f ca="1">IF(($A$2)&gt;=(ROW()-3),U$17*(SUM(U$19:U19)-((ROW()-3)*5)),U3)</f>
        <v>-1</v>
      </c>
      <c r="V4">
        <f ca="1">IF(($A$2)&gt;=(ROW()-3),V$17*(SUM(V$19:V19)-((ROW()-3)*5)),V3)</f>
        <v>1</v>
      </c>
      <c r="W4">
        <f ca="1">IF(($A$2)&gt;=(ROW()-3),W$17*(SUM(W$19:W19)-((ROW()-3)*5)),W3)</f>
        <v>0</v>
      </c>
      <c r="X4">
        <f ca="1">IF(($A$2)&gt;=(ROW()-3),X$17*(SUM(X$19:X19)-((ROW()-3)*5)),X3)</f>
        <v>-2</v>
      </c>
      <c r="Y4">
        <f ca="1">IF(($A$2)&gt;=(ROW()-3),Y$17*(SUM(Y$19:Y19)-((ROW()-3)*5)),Y3)</f>
        <v>-1</v>
      </c>
      <c r="Z4">
        <f ca="1">IF(($A$2)&gt;=(ROW()-3),Z$17*(SUM(Z$19:Z19)-((ROW()-3)*5)),Z3)</f>
        <v>2</v>
      </c>
      <c r="AA4">
        <f ca="1">IF(($A$2)&gt;=(ROW()-3),AA$17*(SUM(AA$19:AA19)-((ROW()-3)*5)),AA3)</f>
        <v>0</v>
      </c>
      <c r="AB4">
        <f ca="1">IF(($A$2)&gt;=(ROW()-3),AB$17*(SUM(AB$19:AB19)-((ROW()-3)*5)),AB3)</f>
        <v>-1</v>
      </c>
      <c r="AC4">
        <f ca="1">IF(($A$2)&gt;=(ROW()-3),AC$17*(SUM(AC$19:AC19)-((ROW()-3)*5)),AC3)</f>
        <v>1</v>
      </c>
      <c r="AD4">
        <f ca="1">IF(($A$2)&gt;=(ROW()-3),AD$17*(SUM(AD$19:AD19)-((ROW()-3)*5)),AD3)</f>
        <v>1</v>
      </c>
      <c r="AE4">
        <f ca="1">IF(($A$2)&gt;=(ROW()-3),AE$17*(SUM(AE$19:AE19)-((ROW()-3)*5)),AE3)</f>
        <v>1</v>
      </c>
      <c r="AF4">
        <f ca="1">IF(($A$2)&gt;=(ROW()-3),AF$17*(SUM(AF$19:AF19)-((ROW()-3)*5)),AF3)</f>
        <v>-1</v>
      </c>
      <c r="AG4">
        <f ca="1">IF(($A$2)&gt;=(ROW()-3),AG$17*(SUM(AG$19:AG19)-((ROW()-3)*5)),AG3)</f>
        <v>0</v>
      </c>
      <c r="AH4">
        <f ca="1">IF(($A$2)&gt;=(ROW()-3),AH$17*(SUM(AH$19:AH19)-((ROW()-3)*5)),AH3)</f>
        <v>1</v>
      </c>
      <c r="AI4">
        <f ca="1">IF(($A$2)&gt;=(ROW()-3),AI$17*(SUM(AI$19:AI19)-((ROW()-3)*5)),AI3)</f>
        <v>-1</v>
      </c>
      <c r="AJ4">
        <f ca="1">IF(($A$2)&gt;=(ROW()-3),AJ$17*(SUM(AJ$19:AJ19)-((ROW()-3)*5)),AJ3)</f>
        <v>0</v>
      </c>
      <c r="AK4">
        <f ca="1">IF(($A$2)&gt;=(ROW()-3),AK$17*(SUM(AK$19:AK19)-((ROW()-3)*5)),AK3)</f>
        <v>2</v>
      </c>
      <c r="AL4">
        <f ca="1">IF(($A$2)&gt;=(ROW()-3),AL$17*(SUM(AL$19:AL19)-((ROW()-3)*5)),AL3)</f>
        <v>0</v>
      </c>
      <c r="AM4">
        <f ca="1">IF(($A$2)&gt;=(ROW()-3),AM$17*(SUM(AM$19:AM19)-((ROW()-3)*5)),AM3)</f>
        <v>-3</v>
      </c>
      <c r="AN4">
        <f ca="1">IF(($A$2)&gt;=(ROW()-3),AN$17*(SUM(AN$19:AN19)-((ROW()-3)*5)),AN3)</f>
        <v>-1</v>
      </c>
      <c r="AO4">
        <f ca="1">IF(($A$2)&gt;=(ROW()-3),AO$17*(SUM(AO$19:AO19)-((ROW()-3)*5)),AO3)</f>
        <v>0</v>
      </c>
      <c r="AP4">
        <f ca="1">IF(($A$2)&gt;=(ROW()-3),AP$17*(SUM(AP$19:AP19)-((ROW()-3)*5)),AP3)</f>
        <v>1</v>
      </c>
      <c r="AQ4">
        <f ca="1">IF(($A$2)&gt;=(ROW()-3),AQ$17*(SUM(AQ$19:AQ19)-((ROW()-3)*5)),AQ3)</f>
        <v>0</v>
      </c>
      <c r="AR4">
        <f ca="1">IF(($A$2)&gt;=(ROW()-3),AR$17*(SUM(AR$19:AR19)-((ROW()-3)*5)),AR3)</f>
        <v>-2</v>
      </c>
      <c r="AS4">
        <f ca="1">IF(($A$2)&gt;=(ROW()-3),AS$17*(SUM(AS$19:AS19)-((ROW()-3)*5)),AS3)</f>
        <v>4</v>
      </c>
      <c r="AT4">
        <f ca="1">IF(($A$2)&gt;=(ROW()-3),AT$17*(SUM(AT$19:AT19)-((ROW()-3)*5)),AT3)</f>
        <v>-1</v>
      </c>
      <c r="AU4">
        <f ca="1">IF(($A$2)&gt;=(ROW()-3),AU$17*(SUM(AU$19:AU19)-((ROW()-3)*5)),AU3)</f>
        <v>-1</v>
      </c>
      <c r="AV4">
        <f ca="1">IF(($A$2)&gt;=(ROW()-3),AV$17*(SUM(AV$19:AV19)-((ROW()-3)*5)),AV3)</f>
        <v>0</v>
      </c>
      <c r="AW4">
        <f ca="1">IF(($A$2)&gt;=(ROW()-3),AW$17*(SUM(AW$19:AW19)-((ROW()-3)*5)),AW3)</f>
        <v>-1</v>
      </c>
      <c r="AX4">
        <f ca="1">IF(($A$2)&gt;=(ROW()-3),AX$17*(SUM(AX$19:AX19)-((ROW()-3)*5)),AX3)</f>
        <v>3</v>
      </c>
      <c r="AY4">
        <f ca="1">IF(($A$2)&gt;=(ROW()-3),AY$17*(SUM(AY$19:AY19)-((ROW()-3)*5)),AY3)</f>
        <v>1</v>
      </c>
      <c r="AZ4">
        <f ca="1">IF(($A$2)&gt;=(ROW()-3),AZ$17*(SUM(AZ$19:AZ19)-((ROW()-3)*5)),AZ3)</f>
        <v>3</v>
      </c>
      <c r="BA4">
        <f ca="1">IF(($A$2)&gt;=(ROW()-3),BA$17*(SUM(BA$19:BA19)-((ROW()-3)*5)),BA3)</f>
        <v>3</v>
      </c>
      <c r="BB4">
        <f ca="1">IF(($A$2)&gt;=(ROW()-3),BB$17*(SUM(BB$19:BB19)-((ROW()-3)*5)),BB3)</f>
        <v>0</v>
      </c>
      <c r="BC4">
        <f ca="1">IF(($A$2)&gt;=(ROW()-3),BC$17*(SUM(BC$19:BC19)-((ROW()-3)*5)),BC3)</f>
        <v>-1</v>
      </c>
      <c r="BD4">
        <f ca="1">IF(($A$2)&gt;=(ROW()-3),BD$17*(SUM(BD$19:BD19)-((ROW()-3)*5)),BD3)</f>
        <v>1</v>
      </c>
      <c r="BE4">
        <f ca="1">IF(($A$2)&gt;=(ROW()-3),BE$17*(SUM(BE$19:BE19)-((ROW()-3)*5)),BE3)</f>
        <v>-2</v>
      </c>
      <c r="BF4">
        <f ca="1">IF(($A$2)&gt;=(ROW()-3),BF$17*(SUM(BF$19:BF19)-((ROW()-3)*5)),BF3)</f>
        <v>-1</v>
      </c>
      <c r="BG4">
        <f ca="1">IF(($A$2)&gt;=(ROW()-3),BG$17*(SUM(BG$19:BG19)-((ROW()-3)*5)),BG3)</f>
        <v>1</v>
      </c>
      <c r="BH4">
        <f ca="1">IF(($A$2)&gt;=(ROW()-3),BH$17*(SUM(BH$19:BH19)-((ROW()-3)*5)),BH3)</f>
        <v>1</v>
      </c>
      <c r="BI4">
        <f ca="1">IF(($A$2)&gt;=(ROW()-3),BI$17*(SUM(BI$19:BI19)-((ROW()-3)*5)),BI3)</f>
        <v>4</v>
      </c>
      <c r="BJ4">
        <f ca="1">IF(($A$2)&gt;=(ROW()-3),BJ$17*(SUM(BJ$19:BJ19)-((ROW()-3)*5)),BJ3)</f>
        <v>-2</v>
      </c>
      <c r="BK4">
        <f ca="1">IF(($A$2)&gt;=(ROW()-3),BK$17*(SUM(BK$19:BK19)-((ROW()-3)*5)),BK3)</f>
        <v>1</v>
      </c>
      <c r="BL4">
        <f ca="1">IF(($A$2)&gt;=(ROW()-3),BL$17*(SUM(BL$19:BL19)-((ROW()-3)*5)),BL3)</f>
        <v>-2</v>
      </c>
      <c r="BM4">
        <f ca="1">IF(($A$2)&gt;=(ROW()-3),BM$17*(SUM(BM$19:BM19)-((ROW()-3)*5)),BM3)</f>
        <v>2</v>
      </c>
      <c r="BN4">
        <f ca="1">IF(($A$2)&gt;=(ROW()-3),BN$17*(SUM(BN$19:BN19)-((ROW()-3)*5)),BN3)</f>
        <v>2</v>
      </c>
      <c r="BO4">
        <f ca="1">IF(($A$2)&gt;=(ROW()-3),BO$17*(SUM(BO$19:BO19)-((ROW()-3)*5)),BO3)</f>
        <v>0</v>
      </c>
      <c r="BP4">
        <f ca="1">IF(($A$2)&gt;=(ROW()-3),BP$17*(SUM(BP$19:BP19)-((ROW()-3)*5)),BP3)</f>
        <v>0</v>
      </c>
      <c r="BQ4">
        <f ca="1">IF(($A$2)&gt;=(ROW()-3),BQ$17*(SUM(BQ$19:BQ19)-((ROW()-3)*5)),BQ3)</f>
        <v>0</v>
      </c>
      <c r="BR4">
        <f ca="1">IF(($A$2)&gt;=(ROW()-3),BR$17*(SUM(BR$19:BR19)-((ROW()-3)*5)),BR3)</f>
        <v>0</v>
      </c>
      <c r="BS4">
        <f ca="1">IF(($A$2)&gt;=(ROW()-3),BS$17*(SUM(BS$19:BS19)-((ROW()-3)*5)),BS3)</f>
        <v>0</v>
      </c>
      <c r="BT4">
        <f ca="1">IF(($A$2)&gt;=(ROW()-3),BT$17*(SUM(BT$19:BT19)-((ROW()-3)*5)),BT3)</f>
        <v>0</v>
      </c>
      <c r="BU4">
        <f ca="1">IF(($A$2)&gt;=(ROW()-3),BU$17*(SUM(BU$19:BU19)-((ROW()-3)*5)),BU3)</f>
        <v>0</v>
      </c>
      <c r="BV4">
        <f ca="1">IF(($A$2)&gt;=(ROW()-3),BV$17*(SUM(BV$19:BV19)-((ROW()-3)*5)),BV3)</f>
        <v>0</v>
      </c>
    </row>
    <row r="5" spans="1:78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2</v>
      </c>
      <c r="H5">
        <f ca="1">IF(($A$2)&gt;=(ROW()-3),H$17*(SUM(H$19:H20)-((ROW()-3)*5)),H4)</f>
        <v>0</v>
      </c>
      <c r="I5">
        <f ca="1">IF(($A$2)&gt;=(ROW()-3),I$17*(SUM(I$19:I20)-((ROW()-3)*5)),I4)</f>
        <v>-1</v>
      </c>
      <c r="J5">
        <f ca="1">IF(($A$2)&gt;=(ROW()-3),J$17*(SUM(J$19:J20)-((ROW()-3)*5)),J4)</f>
        <v>-10</v>
      </c>
      <c r="K5">
        <f ca="1">IF(($A$2)&gt;=(ROW()-3),K$17*(SUM(K$19:K20)-((ROW()-3)*5)),K4)</f>
        <v>-1</v>
      </c>
      <c r="L5">
        <f ca="1">IF(($A$2)&gt;=(ROW()-3),L$17*(SUM(L$19:L20)-((ROW()-3)*5)),L4)</f>
        <v>-6</v>
      </c>
      <c r="M5">
        <f ca="1">IF(($A$2)&gt;=(ROW()-3),M$17*(SUM(M$19:M20)-((ROW()-3)*5)),M4)</f>
        <v>1</v>
      </c>
      <c r="N5">
        <f ca="1">IF(($A$2)&gt;=(ROW()-3),N$17*(SUM(N$19:N20)-((ROW()-3)*5)),N4)</f>
        <v>1</v>
      </c>
      <c r="O5">
        <f ca="1">IF(($A$2)&gt;=(ROW()-3),O$17*(SUM(O$19:O20)-((ROW()-3)*5)),O4)</f>
        <v>-2</v>
      </c>
      <c r="P5">
        <f ca="1">IF(($A$2)&gt;=(ROW()-3),P$17*(SUM(P$19:P20)-((ROW()-3)*5)),P4)</f>
        <v>-1</v>
      </c>
      <c r="Q5">
        <f ca="1">IF(($A$2)&gt;=(ROW()-3),Q$17*(SUM(Q$19:Q20)-((ROW()-3)*5)),Q4)</f>
        <v>-2</v>
      </c>
      <c r="R5">
        <f ca="1">IF(($A$2)&gt;=(ROW()-3),R$17*(SUM(R$19:R20)-((ROW()-3)*5)),R4)</f>
        <v>-5</v>
      </c>
      <c r="S5">
        <f ca="1">IF(($A$2)&gt;=(ROW()-3),S$17*(SUM(S$19:S20)-((ROW()-3)*5)),S4)</f>
        <v>-3</v>
      </c>
      <c r="T5">
        <f ca="1">IF(($A$2)&gt;=(ROW()-3),T$17*(SUM(T$19:T20)-((ROW()-3)*5)),T4)</f>
        <v>-4</v>
      </c>
      <c r="U5">
        <f ca="1">IF(($A$2)&gt;=(ROW()-3),U$17*(SUM(U$19:U20)-((ROW()-3)*5)),U4)</f>
        <v>-3</v>
      </c>
      <c r="V5">
        <f ca="1">IF(($A$2)&gt;=(ROW()-3),V$17*(SUM(V$19:V20)-((ROW()-3)*5)),V4)</f>
        <v>2</v>
      </c>
      <c r="W5">
        <f ca="1">IF(($A$2)&gt;=(ROW()-3),W$17*(SUM(W$19:W20)-((ROW()-3)*5)),W4)</f>
        <v>0</v>
      </c>
      <c r="X5">
        <f ca="1">IF(($A$2)&gt;=(ROW()-3),X$17*(SUM(X$19:X20)-((ROW()-3)*5)),X4)</f>
        <v>-2</v>
      </c>
      <c r="Y5">
        <f ca="1">IF(($A$2)&gt;=(ROW()-3),Y$17*(SUM(Y$19:Y20)-((ROW()-3)*5)),Y4)</f>
        <v>-2</v>
      </c>
      <c r="Z5">
        <f ca="1">IF(($A$2)&gt;=(ROW()-3),Z$17*(SUM(Z$19:Z20)-((ROW()-3)*5)),Z4)</f>
        <v>2</v>
      </c>
      <c r="AA5">
        <f ca="1">IF(($A$2)&gt;=(ROW()-3),AA$17*(SUM(AA$19:AA20)-((ROW()-3)*5)),AA4)</f>
        <v>3</v>
      </c>
      <c r="AB5">
        <f ca="1">IF(($A$2)&gt;=(ROW()-3),AB$17*(SUM(AB$19:AB20)-((ROW()-3)*5)),AB4)</f>
        <v>0</v>
      </c>
      <c r="AC5">
        <f ca="1">IF(($A$2)&gt;=(ROW()-3),AC$17*(SUM(AC$19:AC20)-((ROW()-3)*5)),AC4)</f>
        <v>1</v>
      </c>
      <c r="AD5">
        <f ca="1">IF(($A$2)&gt;=(ROW()-3),AD$17*(SUM(AD$19:AD20)-((ROW()-3)*5)),AD4)</f>
        <v>2</v>
      </c>
      <c r="AE5">
        <f ca="1">IF(($A$2)&gt;=(ROW()-3),AE$17*(SUM(AE$19:AE20)-((ROW()-3)*5)),AE4)</f>
        <v>0</v>
      </c>
      <c r="AF5">
        <f ca="1">IF(($A$2)&gt;=(ROW()-3),AF$17*(SUM(AF$19:AF20)-((ROW()-3)*5)),AF4)</f>
        <v>0</v>
      </c>
      <c r="AG5">
        <f ca="1">IF(($A$2)&gt;=(ROW()-3),AG$17*(SUM(AG$19:AG20)-((ROW()-3)*5)),AG4)</f>
        <v>-2</v>
      </c>
      <c r="AH5">
        <f ca="1">IF(($A$2)&gt;=(ROW()-3),AH$17*(SUM(AH$19:AH20)-((ROW()-3)*5)),AH4)</f>
        <v>3</v>
      </c>
      <c r="AI5">
        <f ca="1">IF(($A$2)&gt;=(ROW()-3),AI$17*(SUM(AI$19:AI20)-((ROW()-3)*5)),AI4)</f>
        <v>-4</v>
      </c>
      <c r="AJ5">
        <f ca="1">IF(($A$2)&gt;=(ROW()-3),AJ$17*(SUM(AJ$19:AJ20)-((ROW()-3)*5)),AJ4)</f>
        <v>2</v>
      </c>
      <c r="AK5">
        <f ca="1">IF(($A$2)&gt;=(ROW()-3),AK$17*(SUM(AK$19:AK20)-((ROW()-3)*5)),AK4)</f>
        <v>0</v>
      </c>
      <c r="AL5">
        <f ca="1">IF(($A$2)&gt;=(ROW()-3),AL$17*(SUM(AL$19:AL20)-((ROW()-3)*5)),AL4)</f>
        <v>-2</v>
      </c>
      <c r="AM5">
        <f ca="1">IF(($A$2)&gt;=(ROW()-3),AM$17*(SUM(AM$19:AM20)-((ROW()-3)*5)),AM4)</f>
        <v>-4</v>
      </c>
      <c r="AN5">
        <f ca="1">IF(($A$2)&gt;=(ROW()-3),AN$17*(SUM(AN$19:AN20)-((ROW()-3)*5)),AN4)</f>
        <v>1</v>
      </c>
      <c r="AO5">
        <f ca="1">IF(($A$2)&gt;=(ROW()-3),AO$17*(SUM(AO$19:AO20)-((ROW()-3)*5)),AO4)</f>
        <v>-1</v>
      </c>
      <c r="AP5">
        <f ca="1">IF(($A$2)&gt;=(ROW()-3),AP$17*(SUM(AP$19:AP20)-((ROW()-3)*5)),AP4)</f>
        <v>-4</v>
      </c>
      <c r="AQ5">
        <f ca="1">IF(($A$2)&gt;=(ROW()-3),AQ$17*(SUM(AQ$19:AQ20)-((ROW()-3)*5)),AQ4)</f>
        <v>3</v>
      </c>
      <c r="AR5">
        <f ca="1">IF(($A$2)&gt;=(ROW()-3),AR$17*(SUM(AR$19:AR20)-((ROW()-3)*5)),AR4)</f>
        <v>-1</v>
      </c>
      <c r="AS5">
        <f ca="1">IF(($A$2)&gt;=(ROW()-3),AS$17*(SUM(AS$19:AS20)-((ROW()-3)*5)),AS4)</f>
        <v>1</v>
      </c>
      <c r="AT5">
        <f ca="1">IF(($A$2)&gt;=(ROW()-3),AT$17*(SUM(AT$19:AT20)-((ROW()-3)*5)),AT4)</f>
        <v>-2</v>
      </c>
      <c r="AU5">
        <f ca="1">IF(($A$2)&gt;=(ROW()-3),AU$17*(SUM(AU$19:AU20)-((ROW()-3)*5)),AU4)</f>
        <v>1</v>
      </c>
      <c r="AV5">
        <f ca="1">IF(($A$2)&gt;=(ROW()-3),AV$17*(SUM(AV$19:AV20)-((ROW()-3)*5)),AV4)</f>
        <v>1</v>
      </c>
      <c r="AW5">
        <f ca="1">IF(($A$2)&gt;=(ROW()-3),AW$17*(SUM(AW$19:AW20)-((ROW()-3)*5)),AW4)</f>
        <v>-3</v>
      </c>
      <c r="AX5">
        <f ca="1">IF(($A$2)&gt;=(ROW()-3),AX$17*(SUM(AX$19:AX20)-((ROW()-3)*5)),AX4)</f>
        <v>1</v>
      </c>
      <c r="AY5">
        <f ca="1">IF(($A$2)&gt;=(ROW()-3),AY$17*(SUM(AY$19:AY20)-((ROW()-3)*5)),AY4)</f>
        <v>1</v>
      </c>
      <c r="AZ5">
        <f ca="1">IF(($A$2)&gt;=(ROW()-3),AZ$17*(SUM(AZ$19:AZ20)-((ROW()-3)*5)),AZ4)</f>
        <v>3</v>
      </c>
      <c r="BA5">
        <f ca="1">IF(($A$2)&gt;=(ROW()-3),BA$17*(SUM(BA$19:BA20)-((ROW()-3)*5)),BA4)</f>
        <v>5</v>
      </c>
      <c r="BB5">
        <f ca="1">IF(($A$2)&gt;=(ROW()-3),BB$17*(SUM(BB$19:BB20)-((ROW()-3)*5)),BB4)</f>
        <v>-1</v>
      </c>
      <c r="BC5">
        <f ca="1">IF(($A$2)&gt;=(ROW()-3),BC$17*(SUM(BC$19:BC20)-((ROW()-3)*5)),BC4)</f>
        <v>-2</v>
      </c>
      <c r="BD5">
        <f ca="1">IF(($A$2)&gt;=(ROW()-3),BD$17*(SUM(BD$19:BD20)-((ROW()-3)*5)),BD4)</f>
        <v>2</v>
      </c>
      <c r="BE5">
        <f ca="1">IF(($A$2)&gt;=(ROW()-3),BE$17*(SUM(BE$19:BE20)-((ROW()-3)*5)),BE4)</f>
        <v>-1</v>
      </c>
      <c r="BF5">
        <f ca="1">IF(($A$2)&gt;=(ROW()-3),BF$17*(SUM(BF$19:BF20)-((ROW()-3)*5)),BF4)</f>
        <v>-2</v>
      </c>
      <c r="BG5">
        <f ca="1">IF(($A$2)&gt;=(ROW()-3),BG$17*(SUM(BG$19:BG20)-((ROW()-3)*5)),BG4)</f>
        <v>-2</v>
      </c>
      <c r="BH5">
        <f ca="1">IF(($A$2)&gt;=(ROW()-3),BH$17*(SUM(BH$19:BH20)-((ROW()-3)*5)),BH4)</f>
        <v>1</v>
      </c>
      <c r="BI5">
        <f ca="1">IF(($A$2)&gt;=(ROW()-3),BI$17*(SUM(BI$19:BI20)-((ROW()-3)*5)),BI4)</f>
        <v>5</v>
      </c>
      <c r="BJ5">
        <f ca="1">IF(($A$2)&gt;=(ROW()-3),BJ$17*(SUM(BJ$19:BJ20)-((ROW()-3)*5)),BJ4)</f>
        <v>0</v>
      </c>
      <c r="BK5">
        <f ca="1">IF(($A$2)&gt;=(ROW()-3),BK$17*(SUM(BK$19:BK20)-((ROW()-3)*5)),BK4)</f>
        <v>0</v>
      </c>
      <c r="BL5">
        <f ca="1">IF(($A$2)&gt;=(ROW()-3),BL$17*(SUM(BL$19:BL20)-((ROW()-3)*5)),BL4)</f>
        <v>-1</v>
      </c>
      <c r="BM5">
        <f ca="1">IF(($A$2)&gt;=(ROW()-3),BM$17*(SUM(BM$19:BM20)-((ROW()-3)*5)),BM4)</f>
        <v>1</v>
      </c>
      <c r="BN5">
        <f ca="1">IF(($A$2)&gt;=(ROW()-3),BN$17*(SUM(BN$19:BN20)-((ROW()-3)*5)),BN4)</f>
        <v>2</v>
      </c>
      <c r="BO5">
        <f ca="1">IF(($A$2)&gt;=(ROW()-3),BO$17*(SUM(BO$19:BO20)-((ROW()-3)*5)),BO4)</f>
        <v>0</v>
      </c>
      <c r="BP5">
        <f ca="1">IF(($A$2)&gt;=(ROW()-3),BP$17*(SUM(BP$19:BP20)-((ROW()-3)*5)),BP4)</f>
        <v>0</v>
      </c>
      <c r="BQ5">
        <f ca="1">IF(($A$2)&gt;=(ROW()-3),BQ$17*(SUM(BQ$19:BQ20)-((ROW()-3)*5)),BQ4)</f>
        <v>0</v>
      </c>
      <c r="BR5">
        <f ca="1">IF(($A$2)&gt;=(ROW()-3),BR$17*(SUM(BR$19:BR20)-((ROW()-3)*5)),BR4)</f>
        <v>0</v>
      </c>
      <c r="BS5">
        <f ca="1">IF(($A$2)&gt;=(ROW()-3),BS$17*(SUM(BS$19:BS20)-((ROW()-3)*5)),BS4)</f>
        <v>0</v>
      </c>
      <c r="BT5">
        <f ca="1">IF(($A$2)&gt;=(ROW()-3),BT$17*(SUM(BT$19:BT20)-((ROW()-3)*5)),BT4)</f>
        <v>0</v>
      </c>
      <c r="BU5">
        <f ca="1">IF(($A$2)&gt;=(ROW()-3),BU$17*(SUM(BU$19:BU20)-((ROW()-3)*5)),BU4)</f>
        <v>0</v>
      </c>
      <c r="BV5">
        <f ca="1">IF(($A$2)&gt;=(ROW()-3),BV$17*(SUM(BV$19:BV20)-((ROW()-3)*5)),BV4)</f>
        <v>0</v>
      </c>
    </row>
    <row r="6" spans="1:78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2</v>
      </c>
      <c r="H6">
        <f ca="1">IF(($A$2)&gt;=(ROW()-3),H$17*(SUM(H$19:H21)-((ROW()-3)*5)),H5)</f>
        <v>0</v>
      </c>
      <c r="I6">
        <f ca="1">IF(($A$2)&gt;=(ROW()-3),I$17*(SUM(I$19:I21)-((ROW()-3)*5)),I5)</f>
        <v>0</v>
      </c>
      <c r="J6">
        <f ca="1">IF(($A$2)&gt;=(ROW()-3),J$17*(SUM(J$19:J21)-((ROW()-3)*5)),J5)</f>
        <v>-15</v>
      </c>
      <c r="K6">
        <f ca="1">IF(($A$2)&gt;=(ROW()-3),K$17*(SUM(K$19:K21)-((ROW()-3)*5)),K5)</f>
        <v>2</v>
      </c>
      <c r="L6">
        <f ca="1">IF(($A$2)&gt;=(ROW()-3),L$17*(SUM(L$19:L21)-((ROW()-3)*5)),L5)</f>
        <v>-4</v>
      </c>
      <c r="M6">
        <f ca="1">IF(($A$2)&gt;=(ROW()-3),M$17*(SUM(M$19:M21)-((ROW()-3)*5)),M5)</f>
        <v>0</v>
      </c>
      <c r="N6">
        <f ca="1">IF(($A$2)&gt;=(ROW()-3),N$17*(SUM(N$19:N21)-((ROW()-3)*5)),N5)</f>
        <v>4</v>
      </c>
      <c r="O6">
        <f ca="1">IF(($A$2)&gt;=(ROW()-3),O$17*(SUM(O$19:O21)-((ROW()-3)*5)),O5)</f>
        <v>-7</v>
      </c>
      <c r="P6">
        <f ca="1">IF(($A$2)&gt;=(ROW()-3),P$17*(SUM(P$19:P21)-((ROW()-3)*5)),P5)</f>
        <v>-3</v>
      </c>
      <c r="Q6">
        <f ca="1">IF(($A$2)&gt;=(ROW()-3),Q$17*(SUM(Q$19:Q21)-((ROW()-3)*5)),Q5)</f>
        <v>-7</v>
      </c>
      <c r="R6">
        <f ca="1">IF(($A$2)&gt;=(ROW()-3),R$17*(SUM(R$19:R21)-((ROW()-3)*5)),R5)</f>
        <v>-4</v>
      </c>
      <c r="S6">
        <f ca="1">IF(($A$2)&gt;=(ROW()-3),S$17*(SUM(S$19:S21)-((ROW()-3)*5)),S5)</f>
        <v>-4</v>
      </c>
      <c r="T6">
        <f ca="1">IF(($A$2)&gt;=(ROW()-3),T$17*(SUM(T$19:T21)-((ROW()-3)*5)),T5)</f>
        <v>-4</v>
      </c>
      <c r="U6">
        <f ca="1">IF(($A$2)&gt;=(ROW()-3),U$17*(SUM(U$19:U21)-((ROW()-3)*5)),U5)</f>
        <v>-8</v>
      </c>
      <c r="V6">
        <f ca="1">IF(($A$2)&gt;=(ROW()-3),V$17*(SUM(V$19:V21)-((ROW()-3)*5)),V5)</f>
        <v>2</v>
      </c>
      <c r="W6">
        <f ca="1">IF(($A$2)&gt;=(ROW()-3),W$17*(SUM(W$19:W21)-((ROW()-3)*5)),W5)</f>
        <v>0</v>
      </c>
      <c r="X6">
        <f ca="1">IF(($A$2)&gt;=(ROW()-3),X$17*(SUM(X$19:X21)-((ROW()-3)*5)),X5)</f>
        <v>-2</v>
      </c>
      <c r="Y6">
        <f ca="1">IF(($A$2)&gt;=(ROW()-3),Y$17*(SUM(Y$19:Y21)-((ROW()-3)*5)),Y5)</f>
        <v>-2</v>
      </c>
      <c r="Z6">
        <f ca="1">IF(($A$2)&gt;=(ROW()-3),Z$17*(SUM(Z$19:Z21)-((ROW()-3)*5)),Z5)</f>
        <v>3</v>
      </c>
      <c r="AA6">
        <f ca="1">IF(($A$2)&gt;=(ROW()-3),AA$17*(SUM(AA$19:AA21)-((ROW()-3)*5)),AA5)</f>
        <v>5</v>
      </c>
      <c r="AB6">
        <f ca="1">IF(($A$2)&gt;=(ROW()-3),AB$17*(SUM(AB$19:AB21)-((ROW()-3)*5)),AB5)</f>
        <v>1</v>
      </c>
      <c r="AC6">
        <f ca="1">IF(($A$2)&gt;=(ROW()-3),AC$17*(SUM(AC$19:AC21)-((ROW()-3)*5)),AC5)</f>
        <v>3</v>
      </c>
      <c r="AD6">
        <f ca="1">IF(($A$2)&gt;=(ROW()-3),AD$17*(SUM(AD$19:AD21)-((ROW()-3)*5)),AD5)</f>
        <v>1</v>
      </c>
      <c r="AE6">
        <f ca="1">IF(($A$2)&gt;=(ROW()-3),AE$17*(SUM(AE$19:AE21)-((ROW()-3)*5)),AE5)</f>
        <v>0</v>
      </c>
      <c r="AF6">
        <f ca="1">IF(($A$2)&gt;=(ROW()-3),AF$17*(SUM(AF$19:AF21)-((ROW()-3)*5)),AF5)</f>
        <v>1</v>
      </c>
      <c r="AG6">
        <f ca="1">IF(($A$2)&gt;=(ROW()-3),AG$17*(SUM(AG$19:AG21)-((ROW()-3)*5)),AG5)</f>
        <v>-7</v>
      </c>
      <c r="AH6">
        <f ca="1">IF(($A$2)&gt;=(ROW()-3),AH$17*(SUM(AH$19:AH21)-((ROW()-3)*5)),AH5)</f>
        <v>3</v>
      </c>
      <c r="AI6">
        <f ca="1">IF(($A$2)&gt;=(ROW()-3),AI$17*(SUM(AI$19:AI21)-((ROW()-3)*5)),AI5)</f>
        <v>-3</v>
      </c>
      <c r="AJ6">
        <f ca="1">IF(($A$2)&gt;=(ROW()-3),AJ$17*(SUM(AJ$19:AJ21)-((ROW()-3)*5)),AJ5)</f>
        <v>-3</v>
      </c>
      <c r="AK6">
        <f ca="1">IF(($A$2)&gt;=(ROW()-3),AK$17*(SUM(AK$19:AK21)-((ROW()-3)*5)),AK5)</f>
        <v>-5</v>
      </c>
      <c r="AL6">
        <f ca="1">IF(($A$2)&gt;=(ROW()-3),AL$17*(SUM(AL$19:AL21)-((ROW()-3)*5)),AL5)</f>
        <v>-3</v>
      </c>
      <c r="AM6">
        <f ca="1">IF(($A$2)&gt;=(ROW()-3),AM$17*(SUM(AM$19:AM21)-((ROW()-3)*5)),AM5)</f>
        <v>-3</v>
      </c>
      <c r="AN6">
        <f ca="1">IF(($A$2)&gt;=(ROW()-3),AN$17*(SUM(AN$19:AN21)-((ROW()-3)*5)),AN5)</f>
        <v>1</v>
      </c>
      <c r="AO6">
        <f ca="1">IF(($A$2)&gt;=(ROW()-3),AO$17*(SUM(AO$19:AO21)-((ROW()-3)*5)),AO5)</f>
        <v>-1</v>
      </c>
      <c r="AP6">
        <f ca="1">IF(($A$2)&gt;=(ROW()-3),AP$17*(SUM(AP$19:AP21)-((ROW()-3)*5)),AP5)</f>
        <v>-9</v>
      </c>
      <c r="AQ6">
        <f ca="1">IF(($A$2)&gt;=(ROW()-3),AQ$17*(SUM(AQ$19:AQ21)-((ROW()-3)*5)),AQ5)</f>
        <v>4</v>
      </c>
      <c r="AR6">
        <f ca="1">IF(($A$2)&gt;=(ROW()-3),AR$17*(SUM(AR$19:AR21)-((ROW()-3)*5)),AR5)</f>
        <v>1</v>
      </c>
      <c r="AS6">
        <f ca="1">IF(($A$2)&gt;=(ROW()-3),AS$17*(SUM(AS$19:AS21)-((ROW()-3)*5)),AS5)</f>
        <v>3</v>
      </c>
      <c r="AT6">
        <f ca="1">IF(($A$2)&gt;=(ROW()-3),AT$17*(SUM(AT$19:AT21)-((ROW()-3)*5)),AT5)</f>
        <v>-1</v>
      </c>
      <c r="AU6">
        <f ca="1">IF(($A$2)&gt;=(ROW()-3),AU$17*(SUM(AU$19:AU21)-((ROW()-3)*5)),AU5)</f>
        <v>2</v>
      </c>
      <c r="AV6">
        <f ca="1">IF(($A$2)&gt;=(ROW()-3),AV$17*(SUM(AV$19:AV21)-((ROW()-3)*5)),AV5)</f>
        <v>2</v>
      </c>
      <c r="AW6">
        <f ca="1">IF(($A$2)&gt;=(ROW()-3),AW$17*(SUM(AW$19:AW21)-((ROW()-3)*5)),AW5)</f>
        <v>-4</v>
      </c>
      <c r="AX6">
        <f ca="1">IF(($A$2)&gt;=(ROW()-3),AX$17*(SUM(AX$19:AX21)-((ROW()-3)*5)),AX5)</f>
        <v>2</v>
      </c>
      <c r="AY6">
        <f ca="1">IF(($A$2)&gt;=(ROW()-3),AY$17*(SUM(AY$19:AY21)-((ROW()-3)*5)),AY5)</f>
        <v>1</v>
      </c>
      <c r="AZ6">
        <f ca="1">IF(($A$2)&gt;=(ROW()-3),AZ$17*(SUM(AZ$19:AZ21)-((ROW()-3)*5)),AZ5)</f>
        <v>3</v>
      </c>
      <c r="BA6">
        <f ca="1">IF(($A$2)&gt;=(ROW()-3),BA$17*(SUM(BA$19:BA21)-((ROW()-3)*5)),BA5)</f>
        <v>7</v>
      </c>
      <c r="BB6">
        <f ca="1">IF(($A$2)&gt;=(ROW()-3),BB$17*(SUM(BB$19:BB21)-((ROW()-3)*5)),BB5)</f>
        <v>1</v>
      </c>
      <c r="BC6">
        <f ca="1">IF(($A$2)&gt;=(ROW()-3),BC$17*(SUM(BC$19:BC21)-((ROW()-3)*5)),BC5)</f>
        <v>-2</v>
      </c>
      <c r="BD6">
        <f ca="1">IF(($A$2)&gt;=(ROW()-3),BD$17*(SUM(BD$19:BD21)-((ROW()-3)*5)),BD5)</f>
        <v>4</v>
      </c>
      <c r="BE6">
        <f ca="1">IF(($A$2)&gt;=(ROW()-3),BE$17*(SUM(BE$19:BE21)-((ROW()-3)*5)),BE5)</f>
        <v>1</v>
      </c>
      <c r="BF6">
        <f ca="1">IF(($A$2)&gt;=(ROW()-3),BF$17*(SUM(BF$19:BF21)-((ROW()-3)*5)),BF5)</f>
        <v>-4</v>
      </c>
      <c r="BG6">
        <f ca="1">IF(($A$2)&gt;=(ROW()-3),BG$17*(SUM(BG$19:BG21)-((ROW()-3)*5)),BG5)</f>
        <v>-7</v>
      </c>
      <c r="BH6">
        <f ca="1">IF(($A$2)&gt;=(ROW()-3),BH$17*(SUM(BH$19:BH21)-((ROW()-3)*5)),BH5)</f>
        <v>2</v>
      </c>
      <c r="BI6">
        <f ca="1">IF(($A$2)&gt;=(ROW()-3),BI$17*(SUM(BI$19:BI21)-((ROW()-3)*5)),BI5)</f>
        <v>5</v>
      </c>
      <c r="BJ6">
        <f ca="1">IF(($A$2)&gt;=(ROW()-3),BJ$17*(SUM(BJ$19:BJ21)-((ROW()-3)*5)),BJ5)</f>
        <v>1</v>
      </c>
      <c r="BK6">
        <f ca="1">IF(($A$2)&gt;=(ROW()-3),BK$17*(SUM(BK$19:BK21)-((ROW()-3)*5)),BK5)</f>
        <v>-1</v>
      </c>
      <c r="BL6">
        <f ca="1">IF(($A$2)&gt;=(ROW()-3),BL$17*(SUM(BL$19:BL21)-((ROW()-3)*5)),BL5)</f>
        <v>-5</v>
      </c>
      <c r="BM6">
        <f ca="1">IF(($A$2)&gt;=(ROW()-3),BM$17*(SUM(BM$19:BM21)-((ROW()-3)*5)),BM5)</f>
        <v>1</v>
      </c>
      <c r="BN6">
        <f ca="1">IF(($A$2)&gt;=(ROW()-3),BN$17*(SUM(BN$19:BN21)-((ROW()-3)*5)),BN5)</f>
        <v>-3</v>
      </c>
      <c r="BO6">
        <f ca="1">IF(($A$2)&gt;=(ROW()-3),BO$17*(SUM(BO$19:BO21)-((ROW()-3)*5)),BO5)</f>
        <v>0</v>
      </c>
      <c r="BP6">
        <f ca="1">IF(($A$2)&gt;=(ROW()-3),BP$17*(SUM(BP$19:BP21)-((ROW()-3)*5)),BP5)</f>
        <v>0</v>
      </c>
      <c r="BQ6">
        <f ca="1">IF(($A$2)&gt;=(ROW()-3),BQ$17*(SUM(BQ$19:BQ21)-((ROW()-3)*5)),BQ5)</f>
        <v>0</v>
      </c>
      <c r="BR6">
        <f ca="1">IF(($A$2)&gt;=(ROW()-3),BR$17*(SUM(BR$19:BR21)-((ROW()-3)*5)),BR5)</f>
        <v>0</v>
      </c>
      <c r="BS6">
        <f ca="1">IF(($A$2)&gt;=(ROW()-3),BS$17*(SUM(BS$19:BS21)-((ROW()-3)*5)),BS5)</f>
        <v>0</v>
      </c>
      <c r="BT6">
        <f ca="1">IF(($A$2)&gt;=(ROW()-3),BT$17*(SUM(BT$19:BT21)-((ROW()-3)*5)),BT5)</f>
        <v>0</v>
      </c>
      <c r="BU6">
        <f ca="1">IF(($A$2)&gt;=(ROW()-3),BU$17*(SUM(BU$19:BU21)-((ROW()-3)*5)),BU5)</f>
        <v>0</v>
      </c>
      <c r="BV6">
        <f ca="1">IF(($A$2)&gt;=(ROW()-3),BV$17*(SUM(BV$19:BV21)-((ROW()-3)*5)),BV5)</f>
        <v>0</v>
      </c>
    </row>
    <row r="7" spans="1:78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2</v>
      </c>
      <c r="H7">
        <f ca="1">IF(($A$2)&gt;=(ROW()-3),H$17*(SUM(H$19:H22)-((ROW()-3)*5)),H6)</f>
        <v>3</v>
      </c>
      <c r="I7">
        <f ca="1">IF(($A$2)&gt;=(ROW()-3),I$17*(SUM(I$19:I22)-((ROW()-3)*5)),I6)</f>
        <v>1</v>
      </c>
      <c r="J7">
        <f ca="1">IF(($A$2)&gt;=(ROW()-3),J$17*(SUM(J$19:J22)-((ROW()-3)*5)),J6)</f>
        <v>-20</v>
      </c>
      <c r="K7">
        <f ca="1">IF(($A$2)&gt;=(ROW()-3),K$17*(SUM(K$19:K22)-((ROW()-3)*5)),K6)</f>
        <v>1</v>
      </c>
      <c r="L7">
        <f ca="1">IF(($A$2)&gt;=(ROW()-3),L$17*(SUM(L$19:L22)-((ROW()-3)*5)),L6)</f>
        <v>-4</v>
      </c>
      <c r="M7">
        <f ca="1">IF(($A$2)&gt;=(ROW()-3),M$17*(SUM(M$19:M22)-((ROW()-3)*5)),M6)</f>
        <v>1</v>
      </c>
      <c r="N7">
        <f ca="1">IF(($A$2)&gt;=(ROW()-3),N$17*(SUM(N$19:N22)-((ROW()-3)*5)),N6)</f>
        <v>5</v>
      </c>
      <c r="O7">
        <f ca="1">IF(($A$2)&gt;=(ROW()-3),O$17*(SUM(O$19:O22)-((ROW()-3)*5)),O6)</f>
        <v>-8</v>
      </c>
      <c r="P7">
        <f ca="1">IF(($A$2)&gt;=(ROW()-3),P$17*(SUM(P$19:P22)-((ROW()-3)*5)),P6)</f>
        <v>-4</v>
      </c>
      <c r="Q7">
        <f ca="1">IF(($A$2)&gt;=(ROW()-3),Q$17*(SUM(Q$19:Q22)-((ROW()-3)*5)),Q6)</f>
        <v>-7</v>
      </c>
      <c r="R7">
        <f ca="1">IF(($A$2)&gt;=(ROW()-3),R$17*(SUM(R$19:R22)-((ROW()-3)*5)),R6)</f>
        <v>-2</v>
      </c>
      <c r="S7">
        <f ca="1">IF(($A$2)&gt;=(ROW()-3),S$17*(SUM(S$19:S22)-((ROW()-3)*5)),S6)</f>
        <v>-2</v>
      </c>
      <c r="T7">
        <f ca="1">IF(($A$2)&gt;=(ROW()-3),T$17*(SUM(T$19:T22)-((ROW()-3)*5)),T6)</f>
        <v>-7</v>
      </c>
      <c r="U7">
        <f ca="1">IF(($A$2)&gt;=(ROW()-3),U$17*(SUM(U$19:U22)-((ROW()-3)*5)),U6)</f>
        <v>-7</v>
      </c>
      <c r="V7">
        <f ca="1">IF(($A$2)&gt;=(ROW()-3),V$17*(SUM(V$19:V22)-((ROW()-3)*5)),V6)</f>
        <v>0</v>
      </c>
      <c r="W7">
        <f ca="1">IF(($A$2)&gt;=(ROW()-3),W$17*(SUM(W$19:W22)-((ROW()-3)*5)),W6)</f>
        <v>2</v>
      </c>
      <c r="X7">
        <f ca="1">IF(($A$2)&gt;=(ROW()-3),X$17*(SUM(X$19:X22)-((ROW()-3)*5)),X6)</f>
        <v>-7</v>
      </c>
      <c r="Y7">
        <f ca="1">IF(($A$2)&gt;=(ROW()-3),Y$17*(SUM(Y$19:Y22)-((ROW()-3)*5)),Y6)</f>
        <v>-1</v>
      </c>
      <c r="Z7">
        <f ca="1">IF(($A$2)&gt;=(ROW()-3),Z$17*(SUM(Z$19:Z22)-((ROW()-3)*5)),Z6)</f>
        <v>2</v>
      </c>
      <c r="AA7">
        <f ca="1">IF(($A$2)&gt;=(ROW()-3),AA$17*(SUM(AA$19:AA22)-((ROW()-3)*5)),AA6)</f>
        <v>5</v>
      </c>
      <c r="AB7">
        <f ca="1">IF(($A$2)&gt;=(ROW()-3),AB$17*(SUM(AB$19:AB22)-((ROW()-3)*5)),AB6)</f>
        <v>2</v>
      </c>
      <c r="AC7">
        <f ca="1">IF(($A$2)&gt;=(ROW()-3),AC$17*(SUM(AC$19:AC22)-((ROW()-3)*5)),AC6)</f>
        <v>4</v>
      </c>
      <c r="AD7">
        <f ca="1">IF(($A$2)&gt;=(ROW()-3),AD$17*(SUM(AD$19:AD22)-((ROW()-3)*5)),AD6)</f>
        <v>3</v>
      </c>
      <c r="AE7">
        <f ca="1">IF(($A$2)&gt;=(ROW()-3),AE$17*(SUM(AE$19:AE22)-((ROW()-3)*5)),AE6)</f>
        <v>-3</v>
      </c>
      <c r="AF7">
        <f ca="1">IF(($A$2)&gt;=(ROW()-3),AF$17*(SUM(AF$19:AF22)-((ROW()-3)*5)),AF6)</f>
        <v>0</v>
      </c>
      <c r="AG7">
        <f ca="1">IF(($A$2)&gt;=(ROW()-3),AG$17*(SUM(AG$19:AG22)-((ROW()-3)*5)),AG6)</f>
        <v>-6</v>
      </c>
      <c r="AH7">
        <f ca="1">IF(($A$2)&gt;=(ROW()-3),AH$17*(SUM(AH$19:AH22)-((ROW()-3)*5)),AH6)</f>
        <v>5</v>
      </c>
      <c r="AI7">
        <f ca="1">IF(($A$2)&gt;=(ROW()-3),AI$17*(SUM(AI$19:AI22)-((ROW()-3)*5)),AI6)</f>
        <v>1</v>
      </c>
      <c r="AJ7">
        <f ca="1">IF(($A$2)&gt;=(ROW()-3),AJ$17*(SUM(AJ$19:AJ22)-((ROW()-3)*5)),AJ6)</f>
        <v>-3</v>
      </c>
      <c r="AK7">
        <f ca="1">IF(($A$2)&gt;=(ROW()-3),AK$17*(SUM(AK$19:AK22)-((ROW()-3)*5)),AK6)</f>
        <v>-7</v>
      </c>
      <c r="AL7">
        <f ca="1">IF(($A$2)&gt;=(ROW()-3),AL$17*(SUM(AL$19:AL22)-((ROW()-3)*5)),AL6)</f>
        <v>-3</v>
      </c>
      <c r="AM7">
        <f ca="1">IF(($A$2)&gt;=(ROW()-3),AM$17*(SUM(AM$19:AM22)-((ROW()-3)*5)),AM6)</f>
        <v>-1</v>
      </c>
      <c r="AN7">
        <f ca="1">IF(($A$2)&gt;=(ROW()-3),AN$17*(SUM(AN$19:AN22)-((ROW()-3)*5)),AN6)</f>
        <v>1</v>
      </c>
      <c r="AO7">
        <f ca="1">IF(($A$2)&gt;=(ROW()-3),AO$17*(SUM(AO$19:AO22)-((ROW()-3)*5)),AO6)</f>
        <v>-1</v>
      </c>
      <c r="AP7">
        <f ca="1">IF(($A$2)&gt;=(ROW()-3),AP$17*(SUM(AP$19:AP22)-((ROW()-3)*5)),AP6)</f>
        <v>-8</v>
      </c>
      <c r="AQ7">
        <f ca="1">IF(($A$2)&gt;=(ROW()-3),AQ$17*(SUM(AQ$19:AQ22)-((ROW()-3)*5)),AQ6)</f>
        <v>4</v>
      </c>
      <c r="AR7">
        <f ca="1">IF(($A$2)&gt;=(ROW()-3),AR$17*(SUM(AR$19:AR22)-((ROW()-3)*5)),AR6)</f>
        <v>-1</v>
      </c>
      <c r="AS7">
        <f ca="1">IF(($A$2)&gt;=(ROW()-3),AS$17*(SUM(AS$19:AS22)-((ROW()-3)*5)),AS6)</f>
        <v>1</v>
      </c>
      <c r="AT7">
        <f ca="1">IF(($A$2)&gt;=(ROW()-3),AT$17*(SUM(AT$19:AT22)-((ROW()-3)*5)),AT6)</f>
        <v>-2</v>
      </c>
      <c r="AU7">
        <f ca="1">IF(($A$2)&gt;=(ROW()-3),AU$17*(SUM(AU$19:AU22)-((ROW()-3)*5)),AU6)</f>
        <v>2</v>
      </c>
      <c r="AV7">
        <f ca="1">IF(($A$2)&gt;=(ROW()-3),AV$17*(SUM(AV$19:AV22)-((ROW()-3)*5)),AV6)</f>
        <v>1</v>
      </c>
      <c r="AW7">
        <f ca="1">IF(($A$2)&gt;=(ROW()-3),AW$17*(SUM(AW$19:AW22)-((ROW()-3)*5)),AW6)</f>
        <v>-5</v>
      </c>
      <c r="AX7">
        <f ca="1">IF(($A$2)&gt;=(ROW()-3),AX$17*(SUM(AX$19:AX22)-((ROW()-3)*5)),AX6)</f>
        <v>3</v>
      </c>
      <c r="AY7">
        <f ca="1">IF(($A$2)&gt;=(ROW()-3),AY$17*(SUM(AY$19:AY22)-((ROW()-3)*5)),AY6)</f>
        <v>1</v>
      </c>
      <c r="AZ7">
        <f ca="1">IF(($A$2)&gt;=(ROW()-3),AZ$17*(SUM(AZ$19:AZ22)-((ROW()-3)*5)),AZ6)</f>
        <v>2</v>
      </c>
      <c r="BA7">
        <f ca="1">IF(($A$2)&gt;=(ROW()-3),BA$17*(SUM(BA$19:BA22)-((ROW()-3)*5)),BA6)</f>
        <v>8</v>
      </c>
      <c r="BB7">
        <f ca="1">IF(($A$2)&gt;=(ROW()-3),BB$17*(SUM(BB$19:BB22)-((ROW()-3)*5)),BB6)</f>
        <v>3</v>
      </c>
      <c r="BC7">
        <f ca="1">IF(($A$2)&gt;=(ROW()-3),BC$17*(SUM(BC$19:BC22)-((ROW()-3)*5)),BC6)</f>
        <v>0</v>
      </c>
      <c r="BD7">
        <f ca="1">IF(($A$2)&gt;=(ROW()-3),BD$17*(SUM(BD$19:BD22)-((ROW()-3)*5)),BD6)</f>
        <v>3</v>
      </c>
      <c r="BE7">
        <f ca="1">IF(($A$2)&gt;=(ROW()-3),BE$17*(SUM(BE$19:BE22)-((ROW()-3)*5)),BE6)</f>
        <v>-4</v>
      </c>
      <c r="BF7">
        <f ca="1">IF(($A$2)&gt;=(ROW()-3),BF$17*(SUM(BF$19:BF22)-((ROW()-3)*5)),BF6)</f>
        <v>-9</v>
      </c>
      <c r="BG7">
        <f ca="1">IF(($A$2)&gt;=(ROW()-3),BG$17*(SUM(BG$19:BG22)-((ROW()-3)*5)),BG6)</f>
        <v>-6</v>
      </c>
      <c r="BH7">
        <f ca="1">IF(($A$2)&gt;=(ROW()-3),BH$17*(SUM(BH$19:BH22)-((ROW()-3)*5)),BH6)</f>
        <v>0</v>
      </c>
      <c r="BI7">
        <f ca="1">IF(($A$2)&gt;=(ROW()-3),BI$17*(SUM(BI$19:BI22)-((ROW()-3)*5)),BI6)</f>
        <v>6</v>
      </c>
      <c r="BJ7">
        <f ca="1">IF(($A$2)&gt;=(ROW()-3),BJ$17*(SUM(BJ$19:BJ22)-((ROW()-3)*5)),BJ6)</f>
        <v>2</v>
      </c>
      <c r="BK7">
        <f ca="1">IF(($A$2)&gt;=(ROW()-3),BK$17*(SUM(BK$19:BK22)-((ROW()-3)*5)),BK6)</f>
        <v>-4</v>
      </c>
      <c r="BL7">
        <f ca="1">IF(($A$2)&gt;=(ROW()-3),BL$17*(SUM(BL$19:BL22)-((ROW()-3)*5)),BL6)</f>
        <v>-5</v>
      </c>
      <c r="BM7">
        <f ca="1">IF(($A$2)&gt;=(ROW()-3),BM$17*(SUM(BM$19:BM22)-((ROW()-3)*5)),BM6)</f>
        <v>2</v>
      </c>
      <c r="BN7">
        <f ca="1">IF(($A$2)&gt;=(ROW()-3),BN$17*(SUM(BN$19:BN22)-((ROW()-3)*5)),BN6)</f>
        <v>-4</v>
      </c>
      <c r="BO7">
        <f ca="1">IF(($A$2)&gt;=(ROW()-3),BO$17*(SUM(BO$19:BO22)-((ROW()-3)*5)),BO6)</f>
        <v>0</v>
      </c>
      <c r="BP7">
        <f ca="1">IF(($A$2)&gt;=(ROW()-3),BP$17*(SUM(BP$19:BP22)-((ROW()-3)*5)),BP6)</f>
        <v>0</v>
      </c>
      <c r="BQ7">
        <f ca="1">IF(($A$2)&gt;=(ROW()-3),BQ$17*(SUM(BQ$19:BQ22)-((ROW()-3)*5)),BQ6)</f>
        <v>0</v>
      </c>
      <c r="BR7">
        <f ca="1">IF(($A$2)&gt;=(ROW()-3),BR$17*(SUM(BR$19:BR22)-((ROW()-3)*5)),BR6)</f>
        <v>0</v>
      </c>
      <c r="BS7">
        <f ca="1">IF(($A$2)&gt;=(ROW()-3),BS$17*(SUM(BS$19:BS22)-((ROW()-3)*5)),BS6)</f>
        <v>0</v>
      </c>
      <c r="BT7">
        <f ca="1">IF(($A$2)&gt;=(ROW()-3),BT$17*(SUM(BT$19:BT22)-((ROW()-3)*5)),BT6)</f>
        <v>0</v>
      </c>
      <c r="BU7">
        <f ca="1">IF(($A$2)&gt;=(ROW()-3),BU$17*(SUM(BU$19:BU22)-((ROW()-3)*5)),BU6)</f>
        <v>0</v>
      </c>
      <c r="BV7">
        <f ca="1">IF(($A$2)&gt;=(ROW()-3),BV$17*(SUM(BV$19:BV22)-((ROW()-3)*5)),BV6)</f>
        <v>0</v>
      </c>
    </row>
    <row r="8" spans="1:78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2</v>
      </c>
      <c r="H8">
        <f ca="1">IF(($A$2)&gt;=(ROW()-3),H$17*(SUM(H$19:H23)-((ROW()-3)*5)),H7)</f>
        <v>4</v>
      </c>
      <c r="I8">
        <f ca="1">IF(($A$2)&gt;=(ROW()-3),I$17*(SUM(I$19:I23)-((ROW()-3)*5)),I7)</f>
        <v>1</v>
      </c>
      <c r="J8">
        <f ca="1">IF(($A$2)&gt;=(ROW()-3),J$17*(SUM(J$19:J23)-((ROW()-3)*5)),J7)</f>
        <v>-25</v>
      </c>
      <c r="K8">
        <f ca="1">IF(($A$2)&gt;=(ROW()-3),K$17*(SUM(K$19:K23)-((ROW()-3)*5)),K7)</f>
        <v>1</v>
      </c>
      <c r="L8">
        <f ca="1">IF(($A$2)&gt;=(ROW()-3),L$17*(SUM(L$19:L23)-((ROW()-3)*5)),L7)</f>
        <v>-4</v>
      </c>
      <c r="M8">
        <f ca="1">IF(($A$2)&gt;=(ROW()-3),M$17*(SUM(M$19:M23)-((ROW()-3)*5)),M7)</f>
        <v>2</v>
      </c>
      <c r="N8">
        <f ca="1">IF(($A$2)&gt;=(ROW()-3),N$17*(SUM(N$19:N23)-((ROW()-3)*5)),N7)</f>
        <v>5</v>
      </c>
      <c r="O8">
        <f ca="1">IF(($A$2)&gt;=(ROW()-3),O$17*(SUM(O$19:O23)-((ROW()-3)*5)),O7)</f>
        <v>-9</v>
      </c>
      <c r="P8">
        <f ca="1">IF(($A$2)&gt;=(ROW()-3),P$17*(SUM(P$19:P23)-((ROW()-3)*5)),P7)</f>
        <v>-4</v>
      </c>
      <c r="Q8">
        <f ca="1">IF(($A$2)&gt;=(ROW()-3),Q$17*(SUM(Q$19:Q23)-((ROW()-3)*5)),Q7)</f>
        <v>-6</v>
      </c>
      <c r="R8">
        <f ca="1">IF(($A$2)&gt;=(ROW()-3),R$17*(SUM(R$19:R23)-((ROW()-3)*5)),R7)</f>
        <v>-4</v>
      </c>
      <c r="S8">
        <f ca="1">IF(($A$2)&gt;=(ROW()-3),S$17*(SUM(S$19:S23)-((ROW()-3)*5)),S7)</f>
        <v>-1</v>
      </c>
      <c r="T8">
        <f ca="1">IF(($A$2)&gt;=(ROW()-3),T$17*(SUM(T$19:T23)-((ROW()-3)*5)),T7)</f>
        <v>-7</v>
      </c>
      <c r="U8">
        <f ca="1">IF(($A$2)&gt;=(ROW()-3),U$17*(SUM(U$19:U23)-((ROW()-3)*5)),U7)</f>
        <v>-7</v>
      </c>
      <c r="V8">
        <f ca="1">IF(($A$2)&gt;=(ROW()-3),V$17*(SUM(V$19:V23)-((ROW()-3)*5)),V7)</f>
        <v>0</v>
      </c>
      <c r="W8">
        <f ca="1">IF(($A$2)&gt;=(ROW()-3),W$17*(SUM(W$19:W23)-((ROW()-3)*5)),W7)</f>
        <v>1</v>
      </c>
      <c r="X8">
        <f ca="1">IF(($A$2)&gt;=(ROW()-3),X$17*(SUM(X$19:X23)-((ROW()-3)*5)),X7)</f>
        <v>-6</v>
      </c>
      <c r="Y8">
        <f ca="1">IF(($A$2)&gt;=(ROW()-3),Y$17*(SUM(Y$19:Y23)-((ROW()-3)*5)),Y7)</f>
        <v>-2</v>
      </c>
      <c r="Z8">
        <f ca="1">IF(($A$2)&gt;=(ROW()-3),Z$17*(SUM(Z$19:Z23)-((ROW()-3)*5)),Z7)</f>
        <v>4</v>
      </c>
      <c r="AA8">
        <f ca="1">IF(($A$2)&gt;=(ROW()-3),AA$17*(SUM(AA$19:AA23)-((ROW()-3)*5)),AA7)</f>
        <v>0</v>
      </c>
      <c r="AB8">
        <f ca="1">IF(($A$2)&gt;=(ROW()-3),AB$17*(SUM(AB$19:AB23)-((ROW()-3)*5)),AB7)</f>
        <v>2</v>
      </c>
      <c r="AC8">
        <f ca="1">IF(($A$2)&gt;=(ROW()-3),AC$17*(SUM(AC$19:AC23)-((ROW()-3)*5)),AC7)</f>
        <v>0</v>
      </c>
      <c r="AD8">
        <f ca="1">IF(($A$2)&gt;=(ROW()-3),AD$17*(SUM(AD$19:AD23)-((ROW()-3)*5)),AD7)</f>
        <v>4</v>
      </c>
      <c r="AE8">
        <f ca="1">IF(($A$2)&gt;=(ROW()-3),AE$17*(SUM(AE$19:AE23)-((ROW()-3)*5)),AE7)</f>
        <v>-2</v>
      </c>
      <c r="AF8">
        <f ca="1">IF(($A$2)&gt;=(ROW()-3),AF$17*(SUM(AF$19:AF23)-((ROW()-3)*5)),AF7)</f>
        <v>1</v>
      </c>
      <c r="AG8">
        <f ca="1">IF(($A$2)&gt;=(ROW()-3),AG$17*(SUM(AG$19:AG23)-((ROW()-3)*5)),AG7)</f>
        <v>-6</v>
      </c>
      <c r="AH8">
        <f ca="1">IF(($A$2)&gt;=(ROW()-3),AH$17*(SUM(AH$19:AH23)-((ROW()-3)*5)),AH7)</f>
        <v>4</v>
      </c>
      <c r="AI8">
        <f ca="1">IF(($A$2)&gt;=(ROW()-3),AI$17*(SUM(AI$19:AI23)-((ROW()-3)*5)),AI7)</f>
        <v>2</v>
      </c>
      <c r="AJ8">
        <f ca="1">IF(($A$2)&gt;=(ROW()-3),AJ$17*(SUM(AJ$19:AJ23)-((ROW()-3)*5)),AJ7)</f>
        <v>-4</v>
      </c>
      <c r="AK8">
        <f ca="1">IF(($A$2)&gt;=(ROW()-3),AK$17*(SUM(AK$19:AK23)-((ROW()-3)*5)),AK7)</f>
        <v>-7</v>
      </c>
      <c r="AL8">
        <f ca="1">IF(($A$2)&gt;=(ROW()-3),AL$17*(SUM(AL$19:AL23)-((ROW()-3)*5)),AL7)</f>
        <v>-6</v>
      </c>
      <c r="AM8">
        <f ca="1">IF(($A$2)&gt;=(ROW()-3),AM$17*(SUM(AM$19:AM23)-((ROW()-3)*5)),AM7)</f>
        <v>-1</v>
      </c>
      <c r="AN8">
        <f ca="1">IF(($A$2)&gt;=(ROW()-3),AN$17*(SUM(AN$19:AN23)-((ROW()-3)*5)),AN7)</f>
        <v>-1</v>
      </c>
      <c r="AO8">
        <f ca="1">IF(($A$2)&gt;=(ROW()-3),AO$17*(SUM(AO$19:AO23)-((ROW()-3)*5)),AO7)</f>
        <v>-2</v>
      </c>
      <c r="AP8">
        <f ca="1">IF(($A$2)&gt;=(ROW()-3),AP$17*(SUM(AP$19:AP23)-((ROW()-3)*5)),AP7)</f>
        <v>-9</v>
      </c>
      <c r="AQ8">
        <f ca="1">IF(($A$2)&gt;=(ROW()-3),AQ$17*(SUM(AQ$19:AQ23)-((ROW()-3)*5)),AQ7)</f>
        <v>4</v>
      </c>
      <c r="AR8">
        <f ca="1">IF(($A$2)&gt;=(ROW()-3),AR$17*(SUM(AR$19:AR23)-((ROW()-3)*5)),AR7)</f>
        <v>0</v>
      </c>
      <c r="AS8">
        <f ca="1">IF(($A$2)&gt;=(ROW()-3),AS$17*(SUM(AS$19:AS23)-((ROW()-3)*5)),AS7)</f>
        <v>2</v>
      </c>
      <c r="AT8">
        <f ca="1">IF(($A$2)&gt;=(ROW()-3),AT$17*(SUM(AT$19:AT23)-((ROW()-3)*5)),AT7)</f>
        <v>-2</v>
      </c>
      <c r="AU8">
        <f ca="1">IF(($A$2)&gt;=(ROW()-3),AU$17*(SUM(AU$19:AU23)-((ROW()-3)*5)),AU7)</f>
        <v>0</v>
      </c>
      <c r="AV8">
        <f ca="1">IF(($A$2)&gt;=(ROW()-3),AV$17*(SUM(AV$19:AV23)-((ROW()-3)*5)),AV7)</f>
        <v>-2</v>
      </c>
      <c r="AW8">
        <f ca="1">IF(($A$2)&gt;=(ROW()-3),AW$17*(SUM(AW$19:AW23)-((ROW()-3)*5)),AW7)</f>
        <v>-3</v>
      </c>
      <c r="AX8">
        <f ca="1">IF(($A$2)&gt;=(ROW()-3),AX$17*(SUM(AX$19:AX23)-((ROW()-3)*5)),AX7)</f>
        <v>0</v>
      </c>
      <c r="AY8">
        <f ca="1">IF(($A$2)&gt;=(ROW()-3),AY$17*(SUM(AY$19:AY23)-((ROW()-3)*5)),AY7)</f>
        <v>-1</v>
      </c>
      <c r="AZ8">
        <f ca="1">IF(($A$2)&gt;=(ROW()-3),AZ$17*(SUM(AZ$19:AZ23)-((ROW()-3)*5)),AZ7)</f>
        <v>3</v>
      </c>
      <c r="BA8">
        <f ca="1">IF(($A$2)&gt;=(ROW()-3),BA$17*(SUM(BA$19:BA23)-((ROW()-3)*5)),BA7)</f>
        <v>6</v>
      </c>
      <c r="BB8">
        <f ca="1">IF(($A$2)&gt;=(ROW()-3),BB$17*(SUM(BB$19:BB23)-((ROW()-3)*5)),BB7)</f>
        <v>3</v>
      </c>
      <c r="BC8">
        <f ca="1">IF(($A$2)&gt;=(ROW()-3),BC$17*(SUM(BC$19:BC23)-((ROW()-3)*5)),BC7)</f>
        <v>-2</v>
      </c>
      <c r="BD8">
        <f ca="1">IF(($A$2)&gt;=(ROW()-3),BD$17*(SUM(BD$19:BD23)-((ROW()-3)*5)),BD7)</f>
        <v>6</v>
      </c>
      <c r="BE8">
        <f ca="1">IF(($A$2)&gt;=(ROW()-3),BE$17*(SUM(BE$19:BE23)-((ROW()-3)*5)),BE7)</f>
        <v>-4</v>
      </c>
      <c r="BF8">
        <f ca="1">IF(($A$2)&gt;=(ROW()-3),BF$17*(SUM(BF$19:BF23)-((ROW()-3)*5)),BF7)</f>
        <v>-8</v>
      </c>
      <c r="BG8">
        <f ca="1">IF(($A$2)&gt;=(ROW()-3),BG$17*(SUM(BG$19:BG23)-((ROW()-3)*5)),BG7)</f>
        <v>-5</v>
      </c>
      <c r="BH8">
        <f ca="1">IF(($A$2)&gt;=(ROW()-3),BH$17*(SUM(BH$19:BH23)-((ROW()-3)*5)),BH7)</f>
        <v>1</v>
      </c>
      <c r="BI8">
        <f ca="1">IF(($A$2)&gt;=(ROW()-3),BI$17*(SUM(BI$19:BI23)-((ROW()-3)*5)),BI7)</f>
        <v>4</v>
      </c>
      <c r="BJ8">
        <f ca="1">IF(($A$2)&gt;=(ROW()-3),BJ$17*(SUM(BJ$19:BJ23)-((ROW()-3)*5)),BJ7)</f>
        <v>3</v>
      </c>
      <c r="BK8">
        <f ca="1">IF(($A$2)&gt;=(ROW()-3),BK$17*(SUM(BK$19:BK23)-((ROW()-3)*5)),BK7)</f>
        <v>-5</v>
      </c>
      <c r="BL8">
        <f ca="1">IF(($A$2)&gt;=(ROW()-3),BL$17*(SUM(BL$19:BL23)-((ROW()-3)*5)),BL7)</f>
        <v>-6</v>
      </c>
      <c r="BM8">
        <f ca="1">IF(($A$2)&gt;=(ROW()-3),BM$17*(SUM(BM$19:BM23)-((ROW()-3)*5)),BM7)</f>
        <v>2</v>
      </c>
      <c r="BN8">
        <f ca="1">IF(($A$2)&gt;=(ROW()-3),BN$17*(SUM(BN$19:BN23)-((ROW()-3)*5)),BN7)</f>
        <v>-3</v>
      </c>
      <c r="BO8">
        <f ca="1">IF(($A$2)&gt;=(ROW()-3),BO$17*(SUM(BO$19:BO23)-((ROW()-3)*5)),BO7)</f>
        <v>0</v>
      </c>
      <c r="BP8">
        <f ca="1">IF(($A$2)&gt;=(ROW()-3),BP$17*(SUM(BP$19:BP23)-((ROW()-3)*5)),BP7)</f>
        <v>0</v>
      </c>
      <c r="BQ8">
        <f ca="1">IF(($A$2)&gt;=(ROW()-3),BQ$17*(SUM(BQ$19:BQ23)-((ROW()-3)*5)),BQ7)</f>
        <v>0</v>
      </c>
      <c r="BR8">
        <f ca="1">IF(($A$2)&gt;=(ROW()-3),BR$17*(SUM(BR$19:BR23)-((ROW()-3)*5)),BR7)</f>
        <v>0</v>
      </c>
      <c r="BS8">
        <f ca="1">IF(($A$2)&gt;=(ROW()-3),BS$17*(SUM(BS$19:BS23)-((ROW()-3)*5)),BS7)</f>
        <v>0</v>
      </c>
      <c r="BT8">
        <f ca="1">IF(($A$2)&gt;=(ROW()-3),BT$17*(SUM(BT$19:BT23)-((ROW()-3)*5)),BT7)</f>
        <v>0</v>
      </c>
      <c r="BU8">
        <f ca="1">IF(($A$2)&gt;=(ROW()-3),BU$17*(SUM(BU$19:BU23)-((ROW()-3)*5)),BU7)</f>
        <v>0</v>
      </c>
      <c r="BV8">
        <f ca="1">IF(($A$2)&gt;=(ROW()-3),BV$17*(SUM(BV$19:BV23)-((ROW()-3)*5)),BV7)</f>
        <v>0</v>
      </c>
    </row>
    <row r="9" spans="1:78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0</v>
      </c>
      <c r="H9">
        <f ca="1">IF(($A$2)&gt;=(ROW()-3),H$17*(SUM(H$19:H24)-((ROW()-3)*5)),H8)</f>
        <v>4</v>
      </c>
      <c r="I9">
        <f ca="1">IF(($A$2)&gt;=(ROW()-3),I$17*(SUM(I$19:I24)-((ROW()-3)*5)),I8)</f>
        <v>2.5</v>
      </c>
      <c r="J9">
        <f ca="1">IF(($A$2)&gt;=(ROW()-3),J$17*(SUM(J$19:J24)-((ROW()-3)*5)),J8)</f>
        <v>-30</v>
      </c>
      <c r="K9">
        <f ca="1">IF(($A$2)&gt;=(ROW()-3),K$17*(SUM(K$19:K24)-((ROW()-3)*5)),K8)</f>
        <v>0</v>
      </c>
      <c r="L9">
        <f ca="1">IF(($A$2)&gt;=(ROW()-3),L$17*(SUM(L$19:L24)-((ROW()-3)*5)),L8)</f>
        <v>-7</v>
      </c>
      <c r="M9">
        <f ca="1">IF(($A$2)&gt;=(ROW()-3),M$17*(SUM(M$19:M24)-((ROW()-3)*5)),M8)</f>
        <v>-3</v>
      </c>
      <c r="N9">
        <f ca="1">IF(($A$2)&gt;=(ROW()-3),N$17*(SUM(N$19:N24)-((ROW()-3)*5)),N8)</f>
        <v>4</v>
      </c>
      <c r="O9">
        <f ca="1">IF(($A$2)&gt;=(ROW()-3),O$17*(SUM(O$19:O24)-((ROW()-3)*5)),O8)</f>
        <v>-13</v>
      </c>
      <c r="P9">
        <f ca="1">IF(($A$2)&gt;=(ROW()-3),P$17*(SUM(P$19:P24)-((ROW()-3)*5)),P8)</f>
        <v>-4</v>
      </c>
      <c r="Q9">
        <f ca="1">IF(($A$2)&gt;=(ROW()-3),Q$17*(SUM(Q$19:Q24)-((ROW()-3)*5)),Q8)</f>
        <v>-7</v>
      </c>
      <c r="R9">
        <f ca="1">IF(($A$2)&gt;=(ROW()-3),R$17*(SUM(R$19:R24)-((ROW()-3)*5)),R8)</f>
        <v>-4</v>
      </c>
      <c r="S9">
        <f ca="1">IF(($A$2)&gt;=(ROW()-3),S$17*(SUM(S$19:S24)-((ROW()-3)*5)),S8)</f>
        <v>-3</v>
      </c>
      <c r="T9">
        <f ca="1">IF(($A$2)&gt;=(ROW()-3),T$17*(SUM(T$19:T24)-((ROW()-3)*5)),T8)</f>
        <v>-12</v>
      </c>
      <c r="U9">
        <f ca="1">IF(($A$2)&gt;=(ROW()-3),U$17*(SUM(U$19:U24)-((ROW()-3)*5)),U8)</f>
        <v>-7</v>
      </c>
      <c r="V9">
        <f ca="1">IF(($A$2)&gt;=(ROW()-3),V$17*(SUM(V$19:V24)-((ROW()-3)*5)),V8)</f>
        <v>0</v>
      </c>
      <c r="W9">
        <f ca="1">IF(($A$2)&gt;=(ROW()-3),W$17*(SUM(W$19:W24)-((ROW()-3)*5)),W8)</f>
        <v>2</v>
      </c>
      <c r="X9">
        <f ca="1">IF(($A$2)&gt;=(ROW()-3),X$17*(SUM(X$19:X24)-((ROW()-3)*5)),X8)</f>
        <v>-4</v>
      </c>
      <c r="Y9">
        <f ca="1">IF(($A$2)&gt;=(ROW()-3),Y$17*(SUM(Y$19:Y24)-((ROW()-3)*5)),Y8)</f>
        <v>-3</v>
      </c>
      <c r="Z9">
        <f ca="1">IF(($A$2)&gt;=(ROW()-3),Z$17*(SUM(Z$19:Z24)-((ROW()-3)*5)),Z8)</f>
        <v>4</v>
      </c>
      <c r="AA9">
        <f ca="1">IF(($A$2)&gt;=(ROW()-3),AA$17*(SUM(AA$19:AA24)-((ROW()-3)*5)),AA8)</f>
        <v>0</v>
      </c>
      <c r="AB9">
        <f ca="1">IF(($A$2)&gt;=(ROW()-3),AB$17*(SUM(AB$19:AB24)-((ROW()-3)*5)),AB8)</f>
        <v>2</v>
      </c>
      <c r="AC9">
        <f ca="1">IF(($A$2)&gt;=(ROW()-3),AC$17*(SUM(AC$19:AC24)-((ROW()-3)*5)),AC8)</f>
        <v>-1</v>
      </c>
      <c r="AD9">
        <f ca="1">IF(($A$2)&gt;=(ROW()-3),AD$17*(SUM(AD$19:AD24)-((ROW()-3)*5)),AD8)</f>
        <v>5</v>
      </c>
      <c r="AE9">
        <f ca="1">IF(($A$2)&gt;=(ROW()-3),AE$17*(SUM(AE$19:AE24)-((ROW()-3)*5)),AE8)</f>
        <v>-7</v>
      </c>
      <c r="AF9">
        <f ca="1">IF(($A$2)&gt;=(ROW()-3),AF$17*(SUM(AF$19:AF24)-((ROW()-3)*5)),AF8)</f>
        <v>0</v>
      </c>
      <c r="AG9">
        <f ca="1">IF(($A$2)&gt;=(ROW()-3),AG$17*(SUM(AG$19:AG24)-((ROW()-3)*5)),AG8)</f>
        <v>-5</v>
      </c>
      <c r="AH9">
        <f ca="1">IF(($A$2)&gt;=(ROW()-3),AH$17*(SUM(AH$19:AH24)-((ROW()-3)*5)),AH8)</f>
        <v>5</v>
      </c>
      <c r="AI9">
        <f ca="1">IF(($A$2)&gt;=(ROW()-3),AI$17*(SUM(AI$19:AI24)-((ROW()-3)*5)),AI8)</f>
        <v>-1</v>
      </c>
      <c r="AJ9">
        <f ca="1">IF(($A$2)&gt;=(ROW()-3),AJ$17*(SUM(AJ$19:AJ24)-((ROW()-3)*5)),AJ8)</f>
        <v>-4</v>
      </c>
      <c r="AK9">
        <f ca="1">IF(($A$2)&gt;=(ROW()-3),AK$17*(SUM(AK$19:AK24)-((ROW()-3)*5)),AK8)</f>
        <v>-10</v>
      </c>
      <c r="AL9">
        <f ca="1">IF(($A$2)&gt;=(ROW()-3),AL$17*(SUM(AL$19:AL24)-((ROW()-3)*5)),AL8)</f>
        <v>-6</v>
      </c>
      <c r="AM9">
        <f ca="1">IF(($A$2)&gt;=(ROW()-3),AM$17*(SUM(AM$19:AM24)-((ROW()-3)*5)),AM8)</f>
        <v>0</v>
      </c>
      <c r="AN9">
        <f ca="1">IF(($A$2)&gt;=(ROW()-3),AN$17*(SUM(AN$19:AN24)-((ROW()-3)*5)),AN8)</f>
        <v>-2</v>
      </c>
      <c r="AO9">
        <f ca="1">IF(($A$2)&gt;=(ROW()-3),AO$17*(SUM(AO$19:AO24)-((ROW()-3)*5)),AO8)</f>
        <v>-3</v>
      </c>
      <c r="AP9">
        <f ca="1">IF(($A$2)&gt;=(ROW()-3),AP$17*(SUM(AP$19:AP24)-((ROW()-3)*5)),AP8)</f>
        <v>-9</v>
      </c>
      <c r="AQ9">
        <f ca="1">IF(($A$2)&gt;=(ROW()-3),AQ$17*(SUM(AQ$19:AQ24)-((ROW()-3)*5)),AQ8)</f>
        <v>5</v>
      </c>
      <c r="AR9">
        <f ca="1">IF(($A$2)&gt;=(ROW()-3),AR$17*(SUM(AR$19:AR24)-((ROW()-3)*5)),AR8)</f>
        <v>-1</v>
      </c>
      <c r="AS9">
        <f ca="1">IF(($A$2)&gt;=(ROW()-3),AS$17*(SUM(AS$19:AS24)-((ROW()-3)*5)),AS8)</f>
        <v>2</v>
      </c>
      <c r="AT9">
        <f ca="1">IF(($A$2)&gt;=(ROW()-3),AT$17*(SUM(AT$19:AT24)-((ROW()-3)*5)),AT8)</f>
        <v>-7</v>
      </c>
      <c r="AU9">
        <f ca="1">IF(($A$2)&gt;=(ROW()-3),AU$17*(SUM(AU$19:AU24)-((ROW()-3)*5)),AU8)</f>
        <v>-1</v>
      </c>
      <c r="AV9">
        <f ca="1">IF(($A$2)&gt;=(ROW()-3),AV$17*(SUM(AV$19:AV24)-((ROW()-3)*5)),AV8)</f>
        <v>-3</v>
      </c>
      <c r="AW9">
        <f ca="1">IF(($A$2)&gt;=(ROW()-3),AW$17*(SUM(AW$19:AW24)-((ROW()-3)*5)),AW8)</f>
        <v>-3</v>
      </c>
      <c r="AX9">
        <f ca="1">IF(($A$2)&gt;=(ROW()-3),AX$17*(SUM(AX$19:AX24)-((ROW()-3)*5)),AX8)</f>
        <v>1</v>
      </c>
      <c r="AY9">
        <f ca="1">IF(($A$2)&gt;=(ROW()-3),AY$17*(SUM(AY$19:AY24)-((ROW()-3)*5)),AY8)</f>
        <v>-1</v>
      </c>
      <c r="AZ9">
        <f ca="1">IF(($A$2)&gt;=(ROW()-3),AZ$17*(SUM(AZ$19:AZ24)-((ROW()-3)*5)),AZ8)</f>
        <v>-2</v>
      </c>
      <c r="BA9">
        <f ca="1">IF(($A$2)&gt;=(ROW()-3),BA$17*(SUM(BA$19:BA24)-((ROW()-3)*5)),BA8)</f>
        <v>9</v>
      </c>
      <c r="BB9">
        <f ca="1">IF(($A$2)&gt;=(ROW()-3),BB$17*(SUM(BB$19:BB24)-((ROW()-3)*5)),BB8)</f>
        <v>2</v>
      </c>
      <c r="BC9">
        <f ca="1">IF(($A$2)&gt;=(ROW()-3),BC$17*(SUM(BC$19:BC24)-((ROW()-3)*5)),BC8)</f>
        <v>-4</v>
      </c>
      <c r="BD9">
        <f ca="1">IF(($A$2)&gt;=(ROW()-3),BD$17*(SUM(BD$19:BD24)-((ROW()-3)*5)),BD8)</f>
        <v>5</v>
      </c>
      <c r="BE9">
        <f ca="1">IF(($A$2)&gt;=(ROW()-3),BE$17*(SUM(BE$19:BE24)-((ROW()-3)*5)),BE8)</f>
        <v>-6</v>
      </c>
      <c r="BF9">
        <f ca="1">IF(($A$2)&gt;=(ROW()-3),BF$17*(SUM(BF$19:BF24)-((ROW()-3)*5)),BF8)</f>
        <v>-8</v>
      </c>
      <c r="BG9">
        <f ca="1">IF(($A$2)&gt;=(ROW()-3),BG$17*(SUM(BG$19:BG24)-((ROW()-3)*5)),BG8)</f>
        <v>-4</v>
      </c>
      <c r="BH9">
        <f ca="1">IF(($A$2)&gt;=(ROW()-3),BH$17*(SUM(BH$19:BH24)-((ROW()-3)*5)),BH8)</f>
        <v>0</v>
      </c>
      <c r="BI9">
        <f ca="1">IF(($A$2)&gt;=(ROW()-3),BI$17*(SUM(BI$19:BI24)-((ROW()-3)*5)),BI8)</f>
        <v>2</v>
      </c>
      <c r="BJ9">
        <f ca="1">IF(($A$2)&gt;=(ROW()-3),BJ$17*(SUM(BJ$19:BJ24)-((ROW()-3)*5)),BJ8)</f>
        <v>4</v>
      </c>
      <c r="BK9">
        <f ca="1">IF(($A$2)&gt;=(ROW()-3),BK$17*(SUM(BK$19:BK24)-((ROW()-3)*5)),BK8)</f>
        <v>-6</v>
      </c>
      <c r="BL9">
        <f ca="1">IF(($A$2)&gt;=(ROW()-3),BL$17*(SUM(BL$19:BL24)-((ROW()-3)*5)),BL8)</f>
        <v>-7</v>
      </c>
      <c r="BM9">
        <f ca="1">IF(($A$2)&gt;=(ROW()-3),BM$17*(SUM(BM$19:BM24)-((ROW()-3)*5)),BM8)</f>
        <v>-1</v>
      </c>
      <c r="BN9">
        <f ca="1">IF(($A$2)&gt;=(ROW()-3),BN$17*(SUM(BN$19:BN24)-((ROW()-3)*5)),BN8)</f>
        <v>-2</v>
      </c>
      <c r="BO9">
        <f ca="1">IF(($A$2)&gt;=(ROW()-3),BO$17*(SUM(BO$19:BO24)-((ROW()-3)*5)),BO8)</f>
        <v>0</v>
      </c>
      <c r="BP9">
        <f ca="1">IF(($A$2)&gt;=(ROW()-3),BP$17*(SUM(BP$19:BP24)-((ROW()-3)*5)),BP8)</f>
        <v>0</v>
      </c>
      <c r="BQ9">
        <f ca="1">IF(($A$2)&gt;=(ROW()-3),BQ$17*(SUM(BQ$19:BQ24)-((ROW()-3)*5)),BQ8)</f>
        <v>0</v>
      </c>
      <c r="BR9">
        <f ca="1">IF(($A$2)&gt;=(ROW()-3),BR$17*(SUM(BR$19:BR24)-((ROW()-3)*5)),BR8)</f>
        <v>0</v>
      </c>
      <c r="BS9">
        <f ca="1">IF(($A$2)&gt;=(ROW()-3),BS$17*(SUM(BS$19:BS24)-((ROW()-3)*5)),BS8)</f>
        <v>0</v>
      </c>
      <c r="BT9">
        <f ca="1">IF(($A$2)&gt;=(ROW()-3),BT$17*(SUM(BT$19:BT24)-((ROW()-3)*5)),BT8)</f>
        <v>0</v>
      </c>
      <c r="BU9">
        <f ca="1">IF(($A$2)&gt;=(ROW()-3),BU$17*(SUM(BU$19:BU24)-((ROW()-3)*5)),BU8)</f>
        <v>0</v>
      </c>
      <c r="BV9">
        <f ca="1">IF(($A$2)&gt;=(ROW()-3),BV$17*(SUM(BV$19:BV24)-((ROW()-3)*5)),BV8)</f>
        <v>0</v>
      </c>
    </row>
    <row r="10" spans="1:78">
      <c r="A10" s="6" t="s">
        <v>22</v>
      </c>
      <c r="B10" s="6"/>
      <c r="C10" s="6"/>
      <c r="D10" s="6"/>
      <c r="E10">
        <f>IF(($A$2)&gt;=(ROW()-3),E$17*(SUM(E$19:E25)-((ROW()-3)*5)),E9)</f>
        <v>3.2307692307692335</v>
      </c>
      <c r="F10">
        <f>IF(($A$2)&gt;=(ROW()-3),F$17*(SUM(F$19:F25)-((ROW()-3)*5)),F9)</f>
        <v>8.7692307692307665</v>
      </c>
      <c r="G10">
        <f ca="1">IF(($A$2)&gt;=(ROW()-3),G$17*(SUM(G$19:G25)-((ROW()-3)*5)),G9)</f>
        <v>0</v>
      </c>
      <c r="H10">
        <f ca="1">IF(($A$2)&gt;=(ROW()-3),H$17*(SUM(H$19:H25)-((ROW()-3)*5)),H9)</f>
        <v>4</v>
      </c>
      <c r="I10">
        <f ca="1">IF(($A$2)&gt;=(ROW()-3),I$17*(SUM(I$19:I25)-((ROW()-3)*5)),I9)</f>
        <v>2.5</v>
      </c>
      <c r="J10">
        <f ca="1">IF(($A$2)&gt;=(ROW()-3),J$17*(SUM(J$19:J25)-((ROW()-3)*5)),J9)</f>
        <v>-30</v>
      </c>
      <c r="K10">
        <f ca="1">IF(($A$2)&gt;=(ROW()-3),K$17*(SUM(K$19:K25)-((ROW()-3)*5)),K9)</f>
        <v>0</v>
      </c>
      <c r="L10">
        <f ca="1">IF(($A$2)&gt;=(ROW()-3),L$17*(SUM(L$19:L25)-((ROW()-3)*5)),L9)</f>
        <v>-7</v>
      </c>
      <c r="M10">
        <f ca="1">IF(($A$2)&gt;=(ROW()-3),M$17*(SUM(M$19:M25)-((ROW()-3)*5)),M9)</f>
        <v>-3</v>
      </c>
      <c r="N10">
        <f ca="1">IF(($A$2)&gt;=(ROW()-3),N$17*(SUM(N$19:N25)-((ROW()-3)*5)),N9)</f>
        <v>4</v>
      </c>
      <c r="O10">
        <f ca="1">IF(($A$2)&gt;=(ROW()-3),O$17*(SUM(O$19:O25)-((ROW()-3)*5)),O9)</f>
        <v>-13</v>
      </c>
      <c r="P10">
        <f ca="1">IF(($A$2)&gt;=(ROW()-3),P$17*(SUM(P$19:P25)-((ROW()-3)*5)),P9)</f>
        <v>-4</v>
      </c>
      <c r="Q10">
        <f ca="1">IF(($A$2)&gt;=(ROW()-3),Q$17*(SUM(Q$19:Q25)-((ROW()-3)*5)),Q9)</f>
        <v>-7</v>
      </c>
      <c r="R10">
        <f ca="1">IF(($A$2)&gt;=(ROW()-3),R$17*(SUM(R$19:R25)-((ROW()-3)*5)),R9)</f>
        <v>-4</v>
      </c>
      <c r="S10">
        <f ca="1">IF(($A$2)&gt;=(ROW()-3),S$17*(SUM(S$19:S25)-((ROW()-3)*5)),S9)</f>
        <v>-3</v>
      </c>
      <c r="T10">
        <f ca="1">IF(($A$2)&gt;=(ROW()-3),T$17*(SUM(T$19:T25)-((ROW()-3)*5)),T9)</f>
        <v>-12</v>
      </c>
      <c r="U10">
        <f ca="1">IF(($A$2)&gt;=(ROW()-3),U$17*(SUM(U$19:U25)-((ROW()-3)*5)),U9)</f>
        <v>-7</v>
      </c>
      <c r="V10">
        <f ca="1">IF(($A$2)&gt;=(ROW()-3),V$17*(SUM(V$19:V25)-((ROW()-3)*5)),V9)</f>
        <v>0</v>
      </c>
      <c r="W10">
        <f ca="1">IF(($A$2)&gt;=(ROW()-3),W$17*(SUM(W$19:W25)-((ROW()-3)*5)),W9)</f>
        <v>2</v>
      </c>
      <c r="X10">
        <f ca="1">IF(($A$2)&gt;=(ROW()-3),X$17*(SUM(X$19:X25)-((ROW()-3)*5)),X9)</f>
        <v>-4</v>
      </c>
      <c r="Y10">
        <f ca="1">IF(($A$2)&gt;=(ROW()-3),Y$17*(SUM(Y$19:Y25)-((ROW()-3)*5)),Y9)</f>
        <v>-3</v>
      </c>
      <c r="Z10">
        <f ca="1">IF(($A$2)&gt;=(ROW()-3),Z$17*(SUM(Z$19:Z25)-((ROW()-3)*5)),Z9)</f>
        <v>4</v>
      </c>
      <c r="AA10">
        <f ca="1">IF(($A$2)&gt;=(ROW()-3),AA$17*(SUM(AA$19:AA25)-((ROW()-3)*5)),AA9)</f>
        <v>0</v>
      </c>
      <c r="AB10">
        <f ca="1">IF(($A$2)&gt;=(ROW()-3),AB$17*(SUM(AB$19:AB25)-((ROW()-3)*5)),AB9)</f>
        <v>2</v>
      </c>
      <c r="AC10">
        <f ca="1">IF(($A$2)&gt;=(ROW()-3),AC$17*(SUM(AC$19:AC25)-((ROW()-3)*5)),AC9)</f>
        <v>-1</v>
      </c>
      <c r="AD10">
        <f ca="1">IF(($A$2)&gt;=(ROW()-3),AD$17*(SUM(AD$19:AD25)-((ROW()-3)*5)),AD9)</f>
        <v>5</v>
      </c>
      <c r="AE10">
        <f ca="1">IF(($A$2)&gt;=(ROW()-3),AE$17*(SUM(AE$19:AE25)-((ROW()-3)*5)),AE9)</f>
        <v>-7</v>
      </c>
      <c r="AF10">
        <f ca="1">IF(($A$2)&gt;=(ROW()-3),AF$17*(SUM(AF$19:AF25)-((ROW()-3)*5)),AF9)</f>
        <v>0</v>
      </c>
      <c r="AG10">
        <f ca="1">IF(($A$2)&gt;=(ROW()-3),AG$17*(SUM(AG$19:AG25)-((ROW()-3)*5)),AG9)</f>
        <v>-5</v>
      </c>
      <c r="AH10">
        <f ca="1">IF(($A$2)&gt;=(ROW()-3),AH$17*(SUM(AH$19:AH25)-((ROW()-3)*5)),AH9)</f>
        <v>5</v>
      </c>
      <c r="AI10">
        <f ca="1">IF(($A$2)&gt;=(ROW()-3),AI$17*(SUM(AI$19:AI25)-((ROW()-3)*5)),AI9)</f>
        <v>-1</v>
      </c>
      <c r="AJ10">
        <f ca="1">IF(($A$2)&gt;=(ROW()-3),AJ$17*(SUM(AJ$19:AJ25)-((ROW()-3)*5)),AJ9)</f>
        <v>-4</v>
      </c>
      <c r="AK10">
        <f ca="1">IF(($A$2)&gt;=(ROW()-3),AK$17*(SUM(AK$19:AK25)-((ROW()-3)*5)),AK9)</f>
        <v>-10</v>
      </c>
      <c r="AL10">
        <f ca="1">IF(($A$2)&gt;=(ROW()-3),AL$17*(SUM(AL$19:AL25)-((ROW()-3)*5)),AL9)</f>
        <v>-6</v>
      </c>
      <c r="AM10">
        <f ca="1">IF(($A$2)&gt;=(ROW()-3),AM$17*(SUM(AM$19:AM25)-((ROW()-3)*5)),AM9)</f>
        <v>0</v>
      </c>
      <c r="AN10">
        <f ca="1">IF(($A$2)&gt;=(ROW()-3),AN$17*(SUM(AN$19:AN25)-((ROW()-3)*5)),AN9)</f>
        <v>-2</v>
      </c>
      <c r="AO10">
        <f ca="1">IF(($A$2)&gt;=(ROW()-3),AO$17*(SUM(AO$19:AO25)-((ROW()-3)*5)),AO9)</f>
        <v>-3</v>
      </c>
      <c r="AP10">
        <f ca="1">IF(($A$2)&gt;=(ROW()-3),AP$17*(SUM(AP$19:AP25)-((ROW()-3)*5)),AP9)</f>
        <v>-9</v>
      </c>
      <c r="AQ10">
        <f ca="1">IF(($A$2)&gt;=(ROW()-3),AQ$17*(SUM(AQ$19:AQ25)-((ROW()-3)*5)),AQ9)</f>
        <v>5</v>
      </c>
      <c r="AR10">
        <f ca="1">IF(($A$2)&gt;=(ROW()-3),AR$17*(SUM(AR$19:AR25)-((ROW()-3)*5)),AR9)</f>
        <v>-1</v>
      </c>
      <c r="AS10">
        <f ca="1">IF(($A$2)&gt;=(ROW()-3),AS$17*(SUM(AS$19:AS25)-((ROW()-3)*5)),AS9)</f>
        <v>2</v>
      </c>
      <c r="AT10">
        <f ca="1">IF(($A$2)&gt;=(ROW()-3),AT$17*(SUM(AT$19:AT25)-((ROW()-3)*5)),AT9)</f>
        <v>-7</v>
      </c>
      <c r="AU10">
        <f ca="1">IF(($A$2)&gt;=(ROW()-3),AU$17*(SUM(AU$19:AU25)-((ROW()-3)*5)),AU9)</f>
        <v>-1</v>
      </c>
      <c r="AV10">
        <f ca="1">IF(($A$2)&gt;=(ROW()-3),AV$17*(SUM(AV$19:AV25)-((ROW()-3)*5)),AV9)</f>
        <v>-3</v>
      </c>
      <c r="AW10">
        <f ca="1">IF(($A$2)&gt;=(ROW()-3),AW$17*(SUM(AW$19:AW25)-((ROW()-3)*5)),AW9)</f>
        <v>-3</v>
      </c>
      <c r="AX10">
        <f ca="1">IF(($A$2)&gt;=(ROW()-3),AX$17*(SUM(AX$19:AX25)-((ROW()-3)*5)),AX9)</f>
        <v>1</v>
      </c>
      <c r="AY10">
        <f ca="1">IF(($A$2)&gt;=(ROW()-3),AY$17*(SUM(AY$19:AY25)-((ROW()-3)*5)),AY9)</f>
        <v>-1</v>
      </c>
      <c r="AZ10">
        <f ca="1">IF(($A$2)&gt;=(ROW()-3),AZ$17*(SUM(AZ$19:AZ25)-((ROW()-3)*5)),AZ9)</f>
        <v>-2</v>
      </c>
      <c r="BA10">
        <f ca="1">IF(($A$2)&gt;=(ROW()-3),BA$17*(SUM(BA$19:BA25)-((ROW()-3)*5)),BA9)</f>
        <v>9</v>
      </c>
      <c r="BB10">
        <f ca="1">IF(($A$2)&gt;=(ROW()-3),BB$17*(SUM(BB$19:BB25)-((ROW()-3)*5)),BB9)</f>
        <v>2</v>
      </c>
      <c r="BC10">
        <f ca="1">IF(($A$2)&gt;=(ROW()-3),BC$17*(SUM(BC$19:BC25)-((ROW()-3)*5)),BC9)</f>
        <v>-4</v>
      </c>
      <c r="BD10">
        <f ca="1">IF(($A$2)&gt;=(ROW()-3),BD$17*(SUM(BD$19:BD25)-((ROW()-3)*5)),BD9)</f>
        <v>5</v>
      </c>
      <c r="BE10">
        <f ca="1">IF(($A$2)&gt;=(ROW()-3),BE$17*(SUM(BE$19:BE25)-((ROW()-3)*5)),BE9)</f>
        <v>-6</v>
      </c>
      <c r="BF10">
        <f ca="1">IF(($A$2)&gt;=(ROW()-3),BF$17*(SUM(BF$19:BF25)-((ROW()-3)*5)),BF9)</f>
        <v>-8</v>
      </c>
      <c r="BG10">
        <f ca="1">IF(($A$2)&gt;=(ROW()-3),BG$17*(SUM(BG$19:BG25)-((ROW()-3)*5)),BG9)</f>
        <v>-4</v>
      </c>
      <c r="BH10">
        <f ca="1">IF(($A$2)&gt;=(ROW()-3),BH$17*(SUM(BH$19:BH25)-((ROW()-3)*5)),BH9)</f>
        <v>0</v>
      </c>
      <c r="BI10">
        <f ca="1">IF(($A$2)&gt;=(ROW()-3),BI$17*(SUM(BI$19:BI25)-((ROW()-3)*5)),BI9)</f>
        <v>2</v>
      </c>
      <c r="BJ10">
        <f ca="1">IF(($A$2)&gt;=(ROW()-3),BJ$17*(SUM(BJ$19:BJ25)-((ROW()-3)*5)),BJ9)</f>
        <v>4</v>
      </c>
      <c r="BK10">
        <f ca="1">IF(($A$2)&gt;=(ROW()-3),BK$17*(SUM(BK$19:BK25)-((ROW()-3)*5)),BK9)</f>
        <v>-6</v>
      </c>
      <c r="BL10">
        <f ca="1">IF(($A$2)&gt;=(ROW()-3),BL$17*(SUM(BL$19:BL25)-((ROW()-3)*5)),BL9)</f>
        <v>-7</v>
      </c>
      <c r="BM10">
        <f ca="1">IF(($A$2)&gt;=(ROW()-3),BM$17*(SUM(BM$19:BM25)-((ROW()-3)*5)),BM9)</f>
        <v>-1</v>
      </c>
      <c r="BN10">
        <f ca="1">IF(($A$2)&gt;=(ROW()-3),BN$17*(SUM(BN$19:BN25)-((ROW()-3)*5)),BN9)</f>
        <v>-2</v>
      </c>
      <c r="BO10">
        <f ca="1">IF(($A$2)&gt;=(ROW()-3),BO$17*(SUM(BO$19:BO25)-((ROW()-3)*5)),BO9)</f>
        <v>0</v>
      </c>
      <c r="BP10">
        <f ca="1">IF(($A$2)&gt;=(ROW()-3),BP$17*(SUM(BP$19:BP25)-((ROW()-3)*5)),BP9)</f>
        <v>0</v>
      </c>
      <c r="BQ10">
        <f ca="1">IF(($A$2)&gt;=(ROW()-3),BQ$17*(SUM(BQ$19:BQ25)-((ROW()-3)*5)),BQ9)</f>
        <v>0</v>
      </c>
      <c r="BR10">
        <f ca="1">IF(($A$2)&gt;=(ROW()-3),BR$17*(SUM(BR$19:BR25)-((ROW()-3)*5)),BR9)</f>
        <v>0</v>
      </c>
      <c r="BS10">
        <f ca="1">IF(($A$2)&gt;=(ROW()-3),BS$17*(SUM(BS$19:BS25)-((ROW()-3)*5)),BS9)</f>
        <v>0</v>
      </c>
      <c r="BT10">
        <f ca="1">IF(($A$2)&gt;=(ROW()-3),BT$17*(SUM(BT$19:BT25)-((ROW()-3)*5)),BT9)</f>
        <v>0</v>
      </c>
      <c r="BU10">
        <f ca="1">IF(($A$2)&gt;=(ROW()-3),BU$17*(SUM(BU$19:BU25)-((ROW()-3)*5)),BU9)</f>
        <v>0</v>
      </c>
      <c r="BV10">
        <f ca="1">IF(($A$2)&gt;=(ROW()-3),BV$17*(SUM(BV$19:BV25)-((ROW()-3)*5)),BV9)</f>
        <v>0</v>
      </c>
    </row>
    <row r="11" spans="1:78">
      <c r="A11" s="6" t="s">
        <v>23</v>
      </c>
      <c r="B11" s="6"/>
      <c r="C11" s="6"/>
      <c r="D11" s="6"/>
      <c r="E11">
        <f>IF(($A$2)&gt;=(ROW()-3),E$17*(SUM(E$19:E26)-((ROW()-3)*5)),E10)</f>
        <v>3.2307692307692335</v>
      </c>
      <c r="F11">
        <f>IF(($A$2)&gt;=(ROW()-3),F$17*(SUM(F$19:F26)-((ROW()-3)*5)),F10)</f>
        <v>8.7692307692307665</v>
      </c>
      <c r="G11">
        <f ca="1">IF(($A$2)&gt;=(ROW()-3),G$17*(SUM(G$19:G26)-((ROW()-3)*5)),G10)</f>
        <v>0</v>
      </c>
      <c r="H11">
        <f ca="1">IF(($A$2)&gt;=(ROW()-3),H$17*(SUM(H$19:H26)-((ROW()-3)*5)),H10)</f>
        <v>4</v>
      </c>
      <c r="I11">
        <f ca="1">IF(($A$2)&gt;=(ROW()-3),I$17*(SUM(I$19:I26)-((ROW()-3)*5)),I10)</f>
        <v>2.5</v>
      </c>
      <c r="J11">
        <f ca="1">IF(($A$2)&gt;=(ROW()-3),J$17*(SUM(J$19:J26)-((ROW()-3)*5)),J10)</f>
        <v>-30</v>
      </c>
      <c r="K11">
        <f ca="1">IF(($A$2)&gt;=(ROW()-3),K$17*(SUM(K$19:K26)-((ROW()-3)*5)),K10)</f>
        <v>0</v>
      </c>
      <c r="L11">
        <f ca="1">IF(($A$2)&gt;=(ROW()-3),L$17*(SUM(L$19:L26)-((ROW()-3)*5)),L10)</f>
        <v>-7</v>
      </c>
      <c r="M11">
        <f ca="1">IF(($A$2)&gt;=(ROW()-3),M$17*(SUM(M$19:M26)-((ROW()-3)*5)),M10)</f>
        <v>-3</v>
      </c>
      <c r="N11">
        <f ca="1">IF(($A$2)&gt;=(ROW()-3),N$17*(SUM(N$19:N26)-((ROW()-3)*5)),N10)</f>
        <v>4</v>
      </c>
      <c r="O11">
        <f ca="1">IF(($A$2)&gt;=(ROW()-3),O$17*(SUM(O$19:O26)-((ROW()-3)*5)),O10)</f>
        <v>-13</v>
      </c>
      <c r="P11">
        <f ca="1">IF(($A$2)&gt;=(ROW()-3),P$17*(SUM(P$19:P26)-((ROW()-3)*5)),P10)</f>
        <v>-4</v>
      </c>
      <c r="Q11">
        <f ca="1">IF(($A$2)&gt;=(ROW()-3),Q$17*(SUM(Q$19:Q26)-((ROW()-3)*5)),Q10)</f>
        <v>-7</v>
      </c>
      <c r="R11">
        <f ca="1">IF(($A$2)&gt;=(ROW()-3),R$17*(SUM(R$19:R26)-((ROW()-3)*5)),R10)</f>
        <v>-4</v>
      </c>
      <c r="S11">
        <f ca="1">IF(($A$2)&gt;=(ROW()-3),S$17*(SUM(S$19:S26)-((ROW()-3)*5)),S10)</f>
        <v>-3</v>
      </c>
      <c r="T11">
        <f ca="1">IF(($A$2)&gt;=(ROW()-3),T$17*(SUM(T$19:T26)-((ROW()-3)*5)),T10)</f>
        <v>-12</v>
      </c>
      <c r="U11">
        <f ca="1">IF(($A$2)&gt;=(ROW()-3),U$17*(SUM(U$19:U26)-((ROW()-3)*5)),U10)</f>
        <v>-7</v>
      </c>
      <c r="V11">
        <f ca="1">IF(($A$2)&gt;=(ROW()-3),V$17*(SUM(V$19:V26)-((ROW()-3)*5)),V10)</f>
        <v>0</v>
      </c>
      <c r="W11">
        <f ca="1">IF(($A$2)&gt;=(ROW()-3),W$17*(SUM(W$19:W26)-((ROW()-3)*5)),W10)</f>
        <v>2</v>
      </c>
      <c r="X11">
        <f ca="1">IF(($A$2)&gt;=(ROW()-3),X$17*(SUM(X$19:X26)-((ROW()-3)*5)),X10)</f>
        <v>-4</v>
      </c>
      <c r="Y11">
        <f ca="1">IF(($A$2)&gt;=(ROW()-3),Y$17*(SUM(Y$19:Y26)-((ROW()-3)*5)),Y10)</f>
        <v>-3</v>
      </c>
      <c r="Z11">
        <f ca="1">IF(($A$2)&gt;=(ROW()-3),Z$17*(SUM(Z$19:Z26)-((ROW()-3)*5)),Z10)</f>
        <v>4</v>
      </c>
      <c r="AA11">
        <f ca="1">IF(($A$2)&gt;=(ROW()-3),AA$17*(SUM(AA$19:AA26)-((ROW()-3)*5)),AA10)</f>
        <v>0</v>
      </c>
      <c r="AB11">
        <f ca="1">IF(($A$2)&gt;=(ROW()-3),AB$17*(SUM(AB$19:AB26)-((ROW()-3)*5)),AB10)</f>
        <v>2</v>
      </c>
      <c r="AC11">
        <f ca="1">IF(($A$2)&gt;=(ROW()-3),AC$17*(SUM(AC$19:AC26)-((ROW()-3)*5)),AC10)</f>
        <v>-1</v>
      </c>
      <c r="AD11">
        <f ca="1">IF(($A$2)&gt;=(ROW()-3),AD$17*(SUM(AD$19:AD26)-((ROW()-3)*5)),AD10)</f>
        <v>5</v>
      </c>
      <c r="AE11">
        <f ca="1">IF(($A$2)&gt;=(ROW()-3),AE$17*(SUM(AE$19:AE26)-((ROW()-3)*5)),AE10)</f>
        <v>-7</v>
      </c>
      <c r="AF11">
        <f ca="1">IF(($A$2)&gt;=(ROW()-3),AF$17*(SUM(AF$19:AF26)-((ROW()-3)*5)),AF10)</f>
        <v>0</v>
      </c>
      <c r="AG11">
        <f ca="1">IF(($A$2)&gt;=(ROW()-3),AG$17*(SUM(AG$19:AG26)-((ROW()-3)*5)),AG10)</f>
        <v>-5</v>
      </c>
      <c r="AH11">
        <f ca="1">IF(($A$2)&gt;=(ROW()-3),AH$17*(SUM(AH$19:AH26)-((ROW()-3)*5)),AH10)</f>
        <v>5</v>
      </c>
      <c r="AI11">
        <f ca="1">IF(($A$2)&gt;=(ROW()-3),AI$17*(SUM(AI$19:AI26)-((ROW()-3)*5)),AI10)</f>
        <v>-1</v>
      </c>
      <c r="AJ11">
        <f ca="1">IF(($A$2)&gt;=(ROW()-3),AJ$17*(SUM(AJ$19:AJ26)-((ROW()-3)*5)),AJ10)</f>
        <v>-4</v>
      </c>
      <c r="AK11">
        <f ca="1">IF(($A$2)&gt;=(ROW()-3),AK$17*(SUM(AK$19:AK26)-((ROW()-3)*5)),AK10)</f>
        <v>-10</v>
      </c>
      <c r="AL11">
        <f ca="1">IF(($A$2)&gt;=(ROW()-3),AL$17*(SUM(AL$19:AL26)-((ROW()-3)*5)),AL10)</f>
        <v>-6</v>
      </c>
      <c r="AM11">
        <f ca="1">IF(($A$2)&gt;=(ROW()-3),AM$17*(SUM(AM$19:AM26)-((ROW()-3)*5)),AM10)</f>
        <v>0</v>
      </c>
      <c r="AN11">
        <f ca="1">IF(($A$2)&gt;=(ROW()-3),AN$17*(SUM(AN$19:AN26)-((ROW()-3)*5)),AN10)</f>
        <v>-2</v>
      </c>
      <c r="AO11">
        <f ca="1">IF(($A$2)&gt;=(ROW()-3),AO$17*(SUM(AO$19:AO26)-((ROW()-3)*5)),AO10)</f>
        <v>-3</v>
      </c>
      <c r="AP11">
        <f ca="1">IF(($A$2)&gt;=(ROW()-3),AP$17*(SUM(AP$19:AP26)-((ROW()-3)*5)),AP10)</f>
        <v>-9</v>
      </c>
      <c r="AQ11">
        <f ca="1">IF(($A$2)&gt;=(ROW()-3),AQ$17*(SUM(AQ$19:AQ26)-((ROW()-3)*5)),AQ10)</f>
        <v>5</v>
      </c>
      <c r="AR11">
        <f ca="1">IF(($A$2)&gt;=(ROW()-3),AR$17*(SUM(AR$19:AR26)-((ROW()-3)*5)),AR10)</f>
        <v>-1</v>
      </c>
      <c r="AS11">
        <f ca="1">IF(($A$2)&gt;=(ROW()-3),AS$17*(SUM(AS$19:AS26)-((ROW()-3)*5)),AS10)</f>
        <v>2</v>
      </c>
      <c r="AT11">
        <f ca="1">IF(($A$2)&gt;=(ROW()-3),AT$17*(SUM(AT$19:AT26)-((ROW()-3)*5)),AT10)</f>
        <v>-7</v>
      </c>
      <c r="AU11">
        <f ca="1">IF(($A$2)&gt;=(ROW()-3),AU$17*(SUM(AU$19:AU26)-((ROW()-3)*5)),AU10)</f>
        <v>-1</v>
      </c>
      <c r="AV11">
        <f ca="1">IF(($A$2)&gt;=(ROW()-3),AV$17*(SUM(AV$19:AV26)-((ROW()-3)*5)),AV10)</f>
        <v>-3</v>
      </c>
      <c r="AW11">
        <f ca="1">IF(($A$2)&gt;=(ROW()-3),AW$17*(SUM(AW$19:AW26)-((ROW()-3)*5)),AW10)</f>
        <v>-3</v>
      </c>
      <c r="AX11">
        <f ca="1">IF(($A$2)&gt;=(ROW()-3),AX$17*(SUM(AX$19:AX26)-((ROW()-3)*5)),AX10)</f>
        <v>1</v>
      </c>
      <c r="AY11">
        <f ca="1">IF(($A$2)&gt;=(ROW()-3),AY$17*(SUM(AY$19:AY26)-((ROW()-3)*5)),AY10)</f>
        <v>-1</v>
      </c>
      <c r="AZ11">
        <f ca="1">IF(($A$2)&gt;=(ROW()-3),AZ$17*(SUM(AZ$19:AZ26)-((ROW()-3)*5)),AZ10)</f>
        <v>-2</v>
      </c>
      <c r="BA11">
        <f ca="1">IF(($A$2)&gt;=(ROW()-3),BA$17*(SUM(BA$19:BA26)-((ROW()-3)*5)),BA10)</f>
        <v>9</v>
      </c>
      <c r="BB11">
        <f ca="1">IF(($A$2)&gt;=(ROW()-3),BB$17*(SUM(BB$19:BB26)-((ROW()-3)*5)),BB10)</f>
        <v>2</v>
      </c>
      <c r="BC11">
        <f ca="1">IF(($A$2)&gt;=(ROW()-3),BC$17*(SUM(BC$19:BC26)-((ROW()-3)*5)),BC10)</f>
        <v>-4</v>
      </c>
      <c r="BD11">
        <f ca="1">IF(($A$2)&gt;=(ROW()-3),BD$17*(SUM(BD$19:BD26)-((ROW()-3)*5)),BD10)</f>
        <v>5</v>
      </c>
      <c r="BE11">
        <f ca="1">IF(($A$2)&gt;=(ROW()-3),BE$17*(SUM(BE$19:BE26)-((ROW()-3)*5)),BE10)</f>
        <v>-6</v>
      </c>
      <c r="BF11">
        <f ca="1">IF(($A$2)&gt;=(ROW()-3),BF$17*(SUM(BF$19:BF26)-((ROW()-3)*5)),BF10)</f>
        <v>-8</v>
      </c>
      <c r="BG11">
        <f ca="1">IF(($A$2)&gt;=(ROW()-3),BG$17*(SUM(BG$19:BG26)-((ROW()-3)*5)),BG10)</f>
        <v>-4</v>
      </c>
      <c r="BH11">
        <f ca="1">IF(($A$2)&gt;=(ROW()-3),BH$17*(SUM(BH$19:BH26)-((ROW()-3)*5)),BH10)</f>
        <v>0</v>
      </c>
      <c r="BI11">
        <f ca="1">IF(($A$2)&gt;=(ROW()-3),BI$17*(SUM(BI$19:BI26)-((ROW()-3)*5)),BI10)</f>
        <v>2</v>
      </c>
      <c r="BJ11">
        <f ca="1">IF(($A$2)&gt;=(ROW()-3),BJ$17*(SUM(BJ$19:BJ26)-((ROW()-3)*5)),BJ10)</f>
        <v>4</v>
      </c>
      <c r="BK11">
        <f ca="1">IF(($A$2)&gt;=(ROW()-3),BK$17*(SUM(BK$19:BK26)-((ROW()-3)*5)),BK10)</f>
        <v>-6</v>
      </c>
      <c r="BL11">
        <f ca="1">IF(($A$2)&gt;=(ROW()-3),BL$17*(SUM(BL$19:BL26)-((ROW()-3)*5)),BL10)</f>
        <v>-7</v>
      </c>
      <c r="BM11">
        <f ca="1">IF(($A$2)&gt;=(ROW()-3),BM$17*(SUM(BM$19:BM26)-((ROW()-3)*5)),BM10)</f>
        <v>-1</v>
      </c>
      <c r="BN11">
        <f ca="1">IF(($A$2)&gt;=(ROW()-3),BN$17*(SUM(BN$19:BN26)-((ROW()-3)*5)),BN10)</f>
        <v>-2</v>
      </c>
      <c r="BO11">
        <f ca="1">IF(($A$2)&gt;=(ROW()-3),BO$17*(SUM(BO$19:BO26)-((ROW()-3)*5)),BO10)</f>
        <v>0</v>
      </c>
      <c r="BP11">
        <f ca="1">IF(($A$2)&gt;=(ROW()-3),BP$17*(SUM(BP$19:BP26)-((ROW()-3)*5)),BP10)</f>
        <v>0</v>
      </c>
      <c r="BQ11">
        <f ca="1">IF(($A$2)&gt;=(ROW()-3),BQ$17*(SUM(BQ$19:BQ26)-((ROW()-3)*5)),BQ10)</f>
        <v>0</v>
      </c>
      <c r="BR11">
        <f ca="1">IF(($A$2)&gt;=(ROW()-3),BR$17*(SUM(BR$19:BR26)-((ROW()-3)*5)),BR10)</f>
        <v>0</v>
      </c>
      <c r="BS11">
        <f ca="1">IF(($A$2)&gt;=(ROW()-3),BS$17*(SUM(BS$19:BS26)-((ROW()-3)*5)),BS10)</f>
        <v>0</v>
      </c>
      <c r="BT11">
        <f ca="1">IF(($A$2)&gt;=(ROW()-3),BT$17*(SUM(BT$19:BT26)-((ROW()-3)*5)),BT10)</f>
        <v>0</v>
      </c>
      <c r="BU11">
        <f ca="1">IF(($A$2)&gt;=(ROW()-3),BU$17*(SUM(BU$19:BU26)-((ROW()-3)*5)),BU10)</f>
        <v>0</v>
      </c>
      <c r="BV11">
        <f ca="1">IF(($A$2)&gt;=(ROW()-3),BV$17*(SUM(BV$19:BV26)-((ROW()-3)*5)),BV10)</f>
        <v>0</v>
      </c>
    </row>
    <row r="12" spans="1:78">
      <c r="A12" s="6" t="s">
        <v>24</v>
      </c>
      <c r="B12" s="6"/>
      <c r="C12" s="6"/>
      <c r="D12" s="6"/>
      <c r="E12">
        <f>IF(($A$2)&gt;=(ROW()-3),E$17*(SUM(E$19:E27)-((ROW()-3)*5)),E11)</f>
        <v>3.2307692307692335</v>
      </c>
      <c r="F12">
        <f>IF(($A$2)&gt;=(ROW()-3),F$17*(SUM(F$19:F27)-((ROW()-3)*5)),F11)</f>
        <v>8.7692307692307665</v>
      </c>
      <c r="G12">
        <f ca="1">IF(($A$2)&gt;=(ROW()-3),G$17*(SUM(G$19:G27)-((ROW()-3)*5)),G11)</f>
        <v>0</v>
      </c>
      <c r="H12">
        <f ca="1">IF(($A$2)&gt;=(ROW()-3),H$17*(SUM(H$19:H27)-((ROW()-3)*5)),H11)</f>
        <v>4</v>
      </c>
      <c r="I12">
        <f ca="1">IF(($A$2)&gt;=(ROW()-3),I$17*(SUM(I$19:I27)-((ROW()-3)*5)),I11)</f>
        <v>2.5</v>
      </c>
      <c r="J12">
        <f ca="1">IF(($A$2)&gt;=(ROW()-3),J$17*(SUM(J$19:J27)-((ROW()-3)*5)),J11)</f>
        <v>-30</v>
      </c>
      <c r="K12">
        <f ca="1">IF(($A$2)&gt;=(ROW()-3),K$17*(SUM(K$19:K27)-((ROW()-3)*5)),K11)</f>
        <v>0</v>
      </c>
      <c r="L12">
        <f ca="1">IF(($A$2)&gt;=(ROW()-3),L$17*(SUM(L$19:L27)-((ROW()-3)*5)),L11)</f>
        <v>-7</v>
      </c>
      <c r="M12">
        <f ca="1">IF(($A$2)&gt;=(ROW()-3),M$17*(SUM(M$19:M27)-((ROW()-3)*5)),M11)</f>
        <v>-3</v>
      </c>
      <c r="N12">
        <f ca="1">IF(($A$2)&gt;=(ROW()-3),N$17*(SUM(N$19:N27)-((ROW()-3)*5)),N11)</f>
        <v>4</v>
      </c>
      <c r="O12">
        <f ca="1">IF(($A$2)&gt;=(ROW()-3),O$17*(SUM(O$19:O27)-((ROW()-3)*5)),O11)</f>
        <v>-13</v>
      </c>
      <c r="P12">
        <f ca="1">IF(($A$2)&gt;=(ROW()-3),P$17*(SUM(P$19:P27)-((ROW()-3)*5)),P11)</f>
        <v>-4</v>
      </c>
      <c r="Q12">
        <f ca="1">IF(($A$2)&gt;=(ROW()-3),Q$17*(SUM(Q$19:Q27)-((ROW()-3)*5)),Q11)</f>
        <v>-7</v>
      </c>
      <c r="R12">
        <f ca="1">IF(($A$2)&gt;=(ROW()-3),R$17*(SUM(R$19:R27)-((ROW()-3)*5)),R11)</f>
        <v>-4</v>
      </c>
      <c r="S12">
        <f ca="1">IF(($A$2)&gt;=(ROW()-3),S$17*(SUM(S$19:S27)-((ROW()-3)*5)),S11)</f>
        <v>-3</v>
      </c>
      <c r="T12">
        <f ca="1">IF(($A$2)&gt;=(ROW()-3),T$17*(SUM(T$19:T27)-((ROW()-3)*5)),T11)</f>
        <v>-12</v>
      </c>
      <c r="U12">
        <f ca="1">IF(($A$2)&gt;=(ROW()-3),U$17*(SUM(U$19:U27)-((ROW()-3)*5)),U11)</f>
        <v>-7</v>
      </c>
      <c r="V12">
        <f ca="1">IF(($A$2)&gt;=(ROW()-3),V$17*(SUM(V$19:V27)-((ROW()-3)*5)),V11)</f>
        <v>0</v>
      </c>
      <c r="W12">
        <f ca="1">IF(($A$2)&gt;=(ROW()-3),W$17*(SUM(W$19:W27)-((ROW()-3)*5)),W11)</f>
        <v>2</v>
      </c>
      <c r="X12">
        <f ca="1">IF(($A$2)&gt;=(ROW()-3),X$17*(SUM(X$19:X27)-((ROW()-3)*5)),X11)</f>
        <v>-4</v>
      </c>
      <c r="Y12">
        <f ca="1">IF(($A$2)&gt;=(ROW()-3),Y$17*(SUM(Y$19:Y27)-((ROW()-3)*5)),Y11)</f>
        <v>-3</v>
      </c>
      <c r="Z12">
        <f ca="1">IF(($A$2)&gt;=(ROW()-3),Z$17*(SUM(Z$19:Z27)-((ROW()-3)*5)),Z11)</f>
        <v>4</v>
      </c>
      <c r="AA12">
        <f ca="1">IF(($A$2)&gt;=(ROW()-3),AA$17*(SUM(AA$19:AA27)-((ROW()-3)*5)),AA11)</f>
        <v>0</v>
      </c>
      <c r="AB12">
        <f ca="1">IF(($A$2)&gt;=(ROW()-3),AB$17*(SUM(AB$19:AB27)-((ROW()-3)*5)),AB11)</f>
        <v>2</v>
      </c>
      <c r="AC12">
        <f ca="1">IF(($A$2)&gt;=(ROW()-3),AC$17*(SUM(AC$19:AC27)-((ROW()-3)*5)),AC11)</f>
        <v>-1</v>
      </c>
      <c r="AD12">
        <f ca="1">IF(($A$2)&gt;=(ROW()-3),AD$17*(SUM(AD$19:AD27)-((ROW()-3)*5)),AD11)</f>
        <v>5</v>
      </c>
      <c r="AE12">
        <f ca="1">IF(($A$2)&gt;=(ROW()-3),AE$17*(SUM(AE$19:AE27)-((ROW()-3)*5)),AE11)</f>
        <v>-7</v>
      </c>
      <c r="AF12">
        <f ca="1">IF(($A$2)&gt;=(ROW()-3),AF$17*(SUM(AF$19:AF27)-((ROW()-3)*5)),AF11)</f>
        <v>0</v>
      </c>
      <c r="AG12">
        <f ca="1">IF(($A$2)&gt;=(ROW()-3),AG$17*(SUM(AG$19:AG27)-((ROW()-3)*5)),AG11)</f>
        <v>-5</v>
      </c>
      <c r="AH12">
        <f ca="1">IF(($A$2)&gt;=(ROW()-3),AH$17*(SUM(AH$19:AH27)-((ROW()-3)*5)),AH11)</f>
        <v>5</v>
      </c>
      <c r="AI12">
        <f ca="1">IF(($A$2)&gt;=(ROW()-3),AI$17*(SUM(AI$19:AI27)-((ROW()-3)*5)),AI11)</f>
        <v>-1</v>
      </c>
      <c r="AJ12">
        <f ca="1">IF(($A$2)&gt;=(ROW()-3),AJ$17*(SUM(AJ$19:AJ27)-((ROW()-3)*5)),AJ11)</f>
        <v>-4</v>
      </c>
      <c r="AK12">
        <f ca="1">IF(($A$2)&gt;=(ROW()-3),AK$17*(SUM(AK$19:AK27)-((ROW()-3)*5)),AK11)</f>
        <v>-10</v>
      </c>
      <c r="AL12">
        <f ca="1">IF(($A$2)&gt;=(ROW()-3),AL$17*(SUM(AL$19:AL27)-((ROW()-3)*5)),AL11)</f>
        <v>-6</v>
      </c>
      <c r="AM12">
        <f ca="1">IF(($A$2)&gt;=(ROW()-3),AM$17*(SUM(AM$19:AM27)-((ROW()-3)*5)),AM11)</f>
        <v>0</v>
      </c>
      <c r="AN12">
        <f ca="1">IF(($A$2)&gt;=(ROW()-3),AN$17*(SUM(AN$19:AN27)-((ROW()-3)*5)),AN11)</f>
        <v>-2</v>
      </c>
      <c r="AO12">
        <f ca="1">IF(($A$2)&gt;=(ROW()-3),AO$17*(SUM(AO$19:AO27)-((ROW()-3)*5)),AO11)</f>
        <v>-3</v>
      </c>
      <c r="AP12">
        <f ca="1">IF(($A$2)&gt;=(ROW()-3),AP$17*(SUM(AP$19:AP27)-((ROW()-3)*5)),AP11)</f>
        <v>-9</v>
      </c>
      <c r="AQ12">
        <f ca="1">IF(($A$2)&gt;=(ROW()-3),AQ$17*(SUM(AQ$19:AQ27)-((ROW()-3)*5)),AQ11)</f>
        <v>5</v>
      </c>
      <c r="AR12">
        <f ca="1">IF(($A$2)&gt;=(ROW()-3),AR$17*(SUM(AR$19:AR27)-((ROW()-3)*5)),AR11)</f>
        <v>-1</v>
      </c>
      <c r="AS12">
        <f ca="1">IF(($A$2)&gt;=(ROW()-3),AS$17*(SUM(AS$19:AS27)-((ROW()-3)*5)),AS11)</f>
        <v>2</v>
      </c>
      <c r="AT12">
        <f ca="1">IF(($A$2)&gt;=(ROW()-3),AT$17*(SUM(AT$19:AT27)-((ROW()-3)*5)),AT11)</f>
        <v>-7</v>
      </c>
      <c r="AU12">
        <f ca="1">IF(($A$2)&gt;=(ROW()-3),AU$17*(SUM(AU$19:AU27)-((ROW()-3)*5)),AU11)</f>
        <v>-1</v>
      </c>
      <c r="AV12">
        <f ca="1">IF(($A$2)&gt;=(ROW()-3),AV$17*(SUM(AV$19:AV27)-((ROW()-3)*5)),AV11)</f>
        <v>-3</v>
      </c>
      <c r="AW12">
        <f ca="1">IF(($A$2)&gt;=(ROW()-3),AW$17*(SUM(AW$19:AW27)-((ROW()-3)*5)),AW11)</f>
        <v>-3</v>
      </c>
      <c r="AX12">
        <f ca="1">IF(($A$2)&gt;=(ROW()-3),AX$17*(SUM(AX$19:AX27)-((ROW()-3)*5)),AX11)</f>
        <v>1</v>
      </c>
      <c r="AY12">
        <f ca="1">IF(($A$2)&gt;=(ROW()-3),AY$17*(SUM(AY$19:AY27)-((ROW()-3)*5)),AY11)</f>
        <v>-1</v>
      </c>
      <c r="AZ12">
        <f ca="1">IF(($A$2)&gt;=(ROW()-3),AZ$17*(SUM(AZ$19:AZ27)-((ROW()-3)*5)),AZ11)</f>
        <v>-2</v>
      </c>
      <c r="BA12">
        <f ca="1">IF(($A$2)&gt;=(ROW()-3),BA$17*(SUM(BA$19:BA27)-((ROW()-3)*5)),BA11)</f>
        <v>9</v>
      </c>
      <c r="BB12">
        <f ca="1">IF(($A$2)&gt;=(ROW()-3),BB$17*(SUM(BB$19:BB27)-((ROW()-3)*5)),BB11)</f>
        <v>2</v>
      </c>
      <c r="BC12">
        <f ca="1">IF(($A$2)&gt;=(ROW()-3),BC$17*(SUM(BC$19:BC27)-((ROW()-3)*5)),BC11)</f>
        <v>-4</v>
      </c>
      <c r="BD12">
        <f ca="1">IF(($A$2)&gt;=(ROW()-3),BD$17*(SUM(BD$19:BD27)-((ROW()-3)*5)),BD11)</f>
        <v>5</v>
      </c>
      <c r="BE12">
        <f ca="1">IF(($A$2)&gt;=(ROW()-3),BE$17*(SUM(BE$19:BE27)-((ROW()-3)*5)),BE11)</f>
        <v>-6</v>
      </c>
      <c r="BF12">
        <f ca="1">IF(($A$2)&gt;=(ROW()-3),BF$17*(SUM(BF$19:BF27)-((ROW()-3)*5)),BF11)</f>
        <v>-8</v>
      </c>
      <c r="BG12">
        <f ca="1">IF(($A$2)&gt;=(ROW()-3),BG$17*(SUM(BG$19:BG27)-((ROW()-3)*5)),BG11)</f>
        <v>-4</v>
      </c>
      <c r="BH12">
        <f ca="1">IF(($A$2)&gt;=(ROW()-3),BH$17*(SUM(BH$19:BH27)-((ROW()-3)*5)),BH11)</f>
        <v>0</v>
      </c>
      <c r="BI12">
        <f ca="1">IF(($A$2)&gt;=(ROW()-3),BI$17*(SUM(BI$19:BI27)-((ROW()-3)*5)),BI11)</f>
        <v>2</v>
      </c>
      <c r="BJ12">
        <f ca="1">IF(($A$2)&gt;=(ROW()-3),BJ$17*(SUM(BJ$19:BJ27)-((ROW()-3)*5)),BJ11)</f>
        <v>4</v>
      </c>
      <c r="BK12">
        <f ca="1">IF(($A$2)&gt;=(ROW()-3),BK$17*(SUM(BK$19:BK27)-((ROW()-3)*5)),BK11)</f>
        <v>-6</v>
      </c>
      <c r="BL12">
        <f ca="1">IF(($A$2)&gt;=(ROW()-3),BL$17*(SUM(BL$19:BL27)-((ROW()-3)*5)),BL11)</f>
        <v>-7</v>
      </c>
      <c r="BM12">
        <f ca="1">IF(($A$2)&gt;=(ROW()-3),BM$17*(SUM(BM$19:BM27)-((ROW()-3)*5)),BM11)</f>
        <v>-1</v>
      </c>
      <c r="BN12">
        <f ca="1">IF(($A$2)&gt;=(ROW()-3),BN$17*(SUM(BN$19:BN27)-((ROW()-3)*5)),BN11)</f>
        <v>-2</v>
      </c>
      <c r="BO12">
        <f ca="1">IF(($A$2)&gt;=(ROW()-3),BO$17*(SUM(BO$19:BO27)-((ROW()-3)*5)),BO11)</f>
        <v>0</v>
      </c>
      <c r="BP12">
        <f ca="1">IF(($A$2)&gt;=(ROW()-3),BP$17*(SUM(BP$19:BP27)-((ROW()-3)*5)),BP11)</f>
        <v>0</v>
      </c>
      <c r="BQ12">
        <f ca="1">IF(($A$2)&gt;=(ROW()-3),BQ$17*(SUM(BQ$19:BQ27)-((ROW()-3)*5)),BQ11)</f>
        <v>0</v>
      </c>
      <c r="BR12">
        <f ca="1">IF(($A$2)&gt;=(ROW()-3),BR$17*(SUM(BR$19:BR27)-((ROW()-3)*5)),BR11)</f>
        <v>0</v>
      </c>
      <c r="BS12">
        <f ca="1">IF(($A$2)&gt;=(ROW()-3),BS$17*(SUM(BS$19:BS27)-((ROW()-3)*5)),BS11)</f>
        <v>0</v>
      </c>
      <c r="BT12">
        <f ca="1">IF(($A$2)&gt;=(ROW()-3),BT$17*(SUM(BT$19:BT27)-((ROW()-3)*5)),BT11)</f>
        <v>0</v>
      </c>
      <c r="BU12">
        <f ca="1">IF(($A$2)&gt;=(ROW()-3),BU$17*(SUM(BU$19:BU27)-((ROW()-3)*5)),BU11)</f>
        <v>0</v>
      </c>
      <c r="BV12">
        <f ca="1">IF(($A$2)&gt;=(ROW()-3),BV$17*(SUM(BV$19:BV27)-((ROW()-3)*5)),BV11)</f>
        <v>0</v>
      </c>
    </row>
    <row r="13" spans="1:78">
      <c r="A13" s="6" t="s">
        <v>25</v>
      </c>
      <c r="B13" s="6"/>
      <c r="C13" s="6"/>
      <c r="D13" s="6"/>
      <c r="E13">
        <f>IF(($A$2)&gt;=(ROW()-3),E$17*(SUM(E$19:E28)-((ROW()-3)*5)),E12)</f>
        <v>3.2307692307692335</v>
      </c>
      <c r="F13">
        <f>IF(($A$2)&gt;=(ROW()-3),F$17*(SUM(F$19:F28)-((ROW()-3)*5)),F12)</f>
        <v>8.7692307692307665</v>
      </c>
      <c r="G13">
        <f ca="1">IF(($A$2)&gt;=(ROW()-3),G$17*(SUM(G$19:G28)-((ROW()-3)*5)),G12)</f>
        <v>0</v>
      </c>
      <c r="H13">
        <f ca="1">IF(($A$2)&gt;=(ROW()-3),H$17*(SUM(H$19:H28)-((ROW()-3)*5)),H12)</f>
        <v>4</v>
      </c>
      <c r="I13">
        <f ca="1">IF(($A$2)&gt;=(ROW()-3),I$17*(SUM(I$19:I28)-((ROW()-3)*5)),I12)</f>
        <v>2.5</v>
      </c>
      <c r="J13">
        <f ca="1">IF(($A$2)&gt;=(ROW()-3),J$17*(SUM(J$19:J28)-((ROW()-3)*5)),J12)</f>
        <v>-30</v>
      </c>
      <c r="K13">
        <f ca="1">IF(($A$2)&gt;=(ROW()-3),K$17*(SUM(K$19:K28)-((ROW()-3)*5)),K12)</f>
        <v>0</v>
      </c>
      <c r="L13">
        <f ca="1">IF(($A$2)&gt;=(ROW()-3),L$17*(SUM(L$19:L28)-((ROW()-3)*5)),L12)</f>
        <v>-7</v>
      </c>
      <c r="M13">
        <f ca="1">IF(($A$2)&gt;=(ROW()-3),M$17*(SUM(M$19:M28)-((ROW()-3)*5)),M12)</f>
        <v>-3</v>
      </c>
      <c r="N13">
        <f ca="1">IF(($A$2)&gt;=(ROW()-3),N$17*(SUM(N$19:N28)-((ROW()-3)*5)),N12)</f>
        <v>4</v>
      </c>
      <c r="O13">
        <f ca="1">IF(($A$2)&gt;=(ROW()-3),O$17*(SUM(O$19:O28)-((ROW()-3)*5)),O12)</f>
        <v>-13</v>
      </c>
      <c r="P13">
        <f ca="1">IF(($A$2)&gt;=(ROW()-3),P$17*(SUM(P$19:P28)-((ROW()-3)*5)),P12)</f>
        <v>-4</v>
      </c>
      <c r="Q13">
        <f ca="1">IF(($A$2)&gt;=(ROW()-3),Q$17*(SUM(Q$19:Q28)-((ROW()-3)*5)),Q12)</f>
        <v>-7</v>
      </c>
      <c r="R13">
        <f ca="1">IF(($A$2)&gt;=(ROW()-3),R$17*(SUM(R$19:R28)-((ROW()-3)*5)),R12)</f>
        <v>-4</v>
      </c>
      <c r="S13">
        <f ca="1">IF(($A$2)&gt;=(ROW()-3),S$17*(SUM(S$19:S28)-((ROW()-3)*5)),S12)</f>
        <v>-3</v>
      </c>
      <c r="T13">
        <f ca="1">IF(($A$2)&gt;=(ROW()-3),T$17*(SUM(T$19:T28)-((ROW()-3)*5)),T12)</f>
        <v>-12</v>
      </c>
      <c r="U13">
        <f ca="1">IF(($A$2)&gt;=(ROW()-3),U$17*(SUM(U$19:U28)-((ROW()-3)*5)),U12)</f>
        <v>-7</v>
      </c>
      <c r="V13">
        <f ca="1">IF(($A$2)&gt;=(ROW()-3),V$17*(SUM(V$19:V28)-((ROW()-3)*5)),V12)</f>
        <v>0</v>
      </c>
      <c r="W13">
        <f ca="1">IF(($A$2)&gt;=(ROW()-3),W$17*(SUM(W$19:W28)-((ROW()-3)*5)),W12)</f>
        <v>2</v>
      </c>
      <c r="X13">
        <f ca="1">IF(($A$2)&gt;=(ROW()-3),X$17*(SUM(X$19:X28)-((ROW()-3)*5)),X12)</f>
        <v>-4</v>
      </c>
      <c r="Y13">
        <f ca="1">IF(($A$2)&gt;=(ROW()-3),Y$17*(SUM(Y$19:Y28)-((ROW()-3)*5)),Y12)</f>
        <v>-3</v>
      </c>
      <c r="Z13">
        <f ca="1">IF(($A$2)&gt;=(ROW()-3),Z$17*(SUM(Z$19:Z28)-((ROW()-3)*5)),Z12)</f>
        <v>4</v>
      </c>
      <c r="AA13">
        <f ca="1">IF(($A$2)&gt;=(ROW()-3),AA$17*(SUM(AA$19:AA28)-((ROW()-3)*5)),AA12)</f>
        <v>0</v>
      </c>
      <c r="AB13">
        <f ca="1">IF(($A$2)&gt;=(ROW()-3),AB$17*(SUM(AB$19:AB28)-((ROW()-3)*5)),AB12)</f>
        <v>2</v>
      </c>
      <c r="AC13">
        <f ca="1">IF(($A$2)&gt;=(ROW()-3),AC$17*(SUM(AC$19:AC28)-((ROW()-3)*5)),AC12)</f>
        <v>-1</v>
      </c>
      <c r="AD13">
        <f ca="1">IF(($A$2)&gt;=(ROW()-3),AD$17*(SUM(AD$19:AD28)-((ROW()-3)*5)),AD12)</f>
        <v>5</v>
      </c>
      <c r="AE13">
        <f ca="1">IF(($A$2)&gt;=(ROW()-3),AE$17*(SUM(AE$19:AE28)-((ROW()-3)*5)),AE12)</f>
        <v>-7</v>
      </c>
      <c r="AF13">
        <f ca="1">IF(($A$2)&gt;=(ROW()-3),AF$17*(SUM(AF$19:AF28)-((ROW()-3)*5)),AF12)</f>
        <v>0</v>
      </c>
      <c r="AG13">
        <f ca="1">IF(($A$2)&gt;=(ROW()-3),AG$17*(SUM(AG$19:AG28)-((ROW()-3)*5)),AG12)</f>
        <v>-5</v>
      </c>
      <c r="AH13">
        <f ca="1">IF(($A$2)&gt;=(ROW()-3),AH$17*(SUM(AH$19:AH28)-((ROW()-3)*5)),AH12)</f>
        <v>5</v>
      </c>
      <c r="AI13">
        <f ca="1">IF(($A$2)&gt;=(ROW()-3),AI$17*(SUM(AI$19:AI28)-((ROW()-3)*5)),AI12)</f>
        <v>-1</v>
      </c>
      <c r="AJ13">
        <f ca="1">IF(($A$2)&gt;=(ROW()-3),AJ$17*(SUM(AJ$19:AJ28)-((ROW()-3)*5)),AJ12)</f>
        <v>-4</v>
      </c>
      <c r="AK13">
        <f ca="1">IF(($A$2)&gt;=(ROW()-3),AK$17*(SUM(AK$19:AK28)-((ROW()-3)*5)),AK12)</f>
        <v>-10</v>
      </c>
      <c r="AL13">
        <f ca="1">IF(($A$2)&gt;=(ROW()-3),AL$17*(SUM(AL$19:AL28)-((ROW()-3)*5)),AL12)</f>
        <v>-6</v>
      </c>
      <c r="AM13">
        <f ca="1">IF(($A$2)&gt;=(ROW()-3),AM$17*(SUM(AM$19:AM28)-((ROW()-3)*5)),AM12)</f>
        <v>0</v>
      </c>
      <c r="AN13">
        <f ca="1">IF(($A$2)&gt;=(ROW()-3),AN$17*(SUM(AN$19:AN28)-((ROW()-3)*5)),AN12)</f>
        <v>-2</v>
      </c>
      <c r="AO13">
        <f ca="1">IF(($A$2)&gt;=(ROW()-3),AO$17*(SUM(AO$19:AO28)-((ROW()-3)*5)),AO12)</f>
        <v>-3</v>
      </c>
      <c r="AP13">
        <f ca="1">IF(($A$2)&gt;=(ROW()-3),AP$17*(SUM(AP$19:AP28)-((ROW()-3)*5)),AP12)</f>
        <v>-9</v>
      </c>
      <c r="AQ13">
        <f ca="1">IF(($A$2)&gt;=(ROW()-3),AQ$17*(SUM(AQ$19:AQ28)-((ROW()-3)*5)),AQ12)</f>
        <v>5</v>
      </c>
      <c r="AR13">
        <f ca="1">IF(($A$2)&gt;=(ROW()-3),AR$17*(SUM(AR$19:AR28)-((ROW()-3)*5)),AR12)</f>
        <v>-1</v>
      </c>
      <c r="AS13">
        <f ca="1">IF(($A$2)&gt;=(ROW()-3),AS$17*(SUM(AS$19:AS28)-((ROW()-3)*5)),AS12)</f>
        <v>2</v>
      </c>
      <c r="AT13">
        <f ca="1">IF(($A$2)&gt;=(ROW()-3),AT$17*(SUM(AT$19:AT28)-((ROW()-3)*5)),AT12)</f>
        <v>-7</v>
      </c>
      <c r="AU13">
        <f ca="1">IF(($A$2)&gt;=(ROW()-3),AU$17*(SUM(AU$19:AU28)-((ROW()-3)*5)),AU12)</f>
        <v>-1</v>
      </c>
      <c r="AV13">
        <f ca="1">IF(($A$2)&gt;=(ROW()-3),AV$17*(SUM(AV$19:AV28)-((ROW()-3)*5)),AV12)</f>
        <v>-3</v>
      </c>
      <c r="AW13">
        <f ca="1">IF(($A$2)&gt;=(ROW()-3),AW$17*(SUM(AW$19:AW28)-((ROW()-3)*5)),AW12)</f>
        <v>-3</v>
      </c>
      <c r="AX13">
        <f ca="1">IF(($A$2)&gt;=(ROW()-3),AX$17*(SUM(AX$19:AX28)-((ROW()-3)*5)),AX12)</f>
        <v>1</v>
      </c>
      <c r="AY13">
        <f ca="1">IF(($A$2)&gt;=(ROW()-3),AY$17*(SUM(AY$19:AY28)-((ROW()-3)*5)),AY12)</f>
        <v>-1</v>
      </c>
      <c r="AZ13">
        <f ca="1">IF(($A$2)&gt;=(ROW()-3),AZ$17*(SUM(AZ$19:AZ28)-((ROW()-3)*5)),AZ12)</f>
        <v>-2</v>
      </c>
      <c r="BA13">
        <f ca="1">IF(($A$2)&gt;=(ROW()-3),BA$17*(SUM(BA$19:BA28)-((ROW()-3)*5)),BA12)</f>
        <v>9</v>
      </c>
      <c r="BB13">
        <f ca="1">IF(($A$2)&gt;=(ROW()-3),BB$17*(SUM(BB$19:BB28)-((ROW()-3)*5)),BB12)</f>
        <v>2</v>
      </c>
      <c r="BC13">
        <f ca="1">IF(($A$2)&gt;=(ROW()-3),BC$17*(SUM(BC$19:BC28)-((ROW()-3)*5)),BC12)</f>
        <v>-4</v>
      </c>
      <c r="BD13">
        <f ca="1">IF(($A$2)&gt;=(ROW()-3),BD$17*(SUM(BD$19:BD28)-((ROW()-3)*5)),BD12)</f>
        <v>5</v>
      </c>
      <c r="BE13">
        <f ca="1">IF(($A$2)&gt;=(ROW()-3),BE$17*(SUM(BE$19:BE28)-((ROW()-3)*5)),BE12)</f>
        <v>-6</v>
      </c>
      <c r="BF13">
        <f ca="1">IF(($A$2)&gt;=(ROW()-3),BF$17*(SUM(BF$19:BF28)-((ROW()-3)*5)),BF12)</f>
        <v>-8</v>
      </c>
      <c r="BG13">
        <f ca="1">IF(($A$2)&gt;=(ROW()-3),BG$17*(SUM(BG$19:BG28)-((ROW()-3)*5)),BG12)</f>
        <v>-4</v>
      </c>
      <c r="BH13">
        <f ca="1">IF(($A$2)&gt;=(ROW()-3),BH$17*(SUM(BH$19:BH28)-((ROW()-3)*5)),BH12)</f>
        <v>0</v>
      </c>
      <c r="BI13">
        <f ca="1">IF(($A$2)&gt;=(ROW()-3),BI$17*(SUM(BI$19:BI28)-((ROW()-3)*5)),BI12)</f>
        <v>2</v>
      </c>
      <c r="BJ13">
        <f ca="1">IF(($A$2)&gt;=(ROW()-3),BJ$17*(SUM(BJ$19:BJ28)-((ROW()-3)*5)),BJ12)</f>
        <v>4</v>
      </c>
      <c r="BK13">
        <f ca="1">IF(($A$2)&gt;=(ROW()-3),BK$17*(SUM(BK$19:BK28)-((ROW()-3)*5)),BK12)</f>
        <v>-6</v>
      </c>
      <c r="BL13">
        <f ca="1">IF(($A$2)&gt;=(ROW()-3),BL$17*(SUM(BL$19:BL28)-((ROW()-3)*5)),BL12)</f>
        <v>-7</v>
      </c>
      <c r="BM13">
        <f ca="1">IF(($A$2)&gt;=(ROW()-3),BM$17*(SUM(BM$19:BM28)-((ROW()-3)*5)),BM12)</f>
        <v>-1</v>
      </c>
      <c r="BN13">
        <f ca="1">IF(($A$2)&gt;=(ROW()-3),BN$17*(SUM(BN$19:BN28)-((ROW()-3)*5)),BN12)</f>
        <v>-2</v>
      </c>
      <c r="BO13">
        <f ca="1">IF(($A$2)&gt;=(ROW()-3),BO$17*(SUM(BO$19:BO28)-((ROW()-3)*5)),BO12)</f>
        <v>0</v>
      </c>
      <c r="BP13">
        <f ca="1">IF(($A$2)&gt;=(ROW()-3),BP$17*(SUM(BP$19:BP28)-((ROW()-3)*5)),BP12)</f>
        <v>0</v>
      </c>
      <c r="BQ13">
        <f ca="1">IF(($A$2)&gt;=(ROW()-3),BQ$17*(SUM(BQ$19:BQ28)-((ROW()-3)*5)),BQ12)</f>
        <v>0</v>
      </c>
      <c r="BR13">
        <f ca="1">IF(($A$2)&gt;=(ROW()-3),BR$17*(SUM(BR$19:BR28)-((ROW()-3)*5)),BR12)</f>
        <v>0</v>
      </c>
      <c r="BS13">
        <f ca="1">IF(($A$2)&gt;=(ROW()-3),BS$17*(SUM(BS$19:BS28)-((ROW()-3)*5)),BS12)</f>
        <v>0</v>
      </c>
      <c r="BT13">
        <f ca="1">IF(($A$2)&gt;=(ROW()-3),BT$17*(SUM(BT$19:BT28)-((ROW()-3)*5)),BT12)</f>
        <v>0</v>
      </c>
      <c r="BU13">
        <f ca="1">IF(($A$2)&gt;=(ROW()-3),BU$17*(SUM(BU$19:BU28)-((ROW()-3)*5)),BU12)</f>
        <v>0</v>
      </c>
      <c r="BV13">
        <f ca="1">IF(($A$2)&gt;=(ROW()-3),BV$17*(SUM(BV$19:BV28)-((ROW()-3)*5)),BV12)</f>
        <v>0</v>
      </c>
    </row>
    <row r="14" spans="1:78">
      <c r="A14" s="6" t="s">
        <v>26</v>
      </c>
      <c r="B14" s="6"/>
      <c r="C14" s="6"/>
      <c r="D14" s="6"/>
      <c r="E14">
        <f>IF(($A$2)&gt;=(ROW()-3),E$17*(SUM(E$19:E29)-((ROW()-3)*5)),E13)</f>
        <v>3.2307692307692335</v>
      </c>
      <c r="F14">
        <f>IF(($A$2)&gt;=(ROW()-3),F$17*(SUM(F$19:F29)-((ROW()-3)*5)),F13)</f>
        <v>8.7692307692307665</v>
      </c>
      <c r="G14">
        <f ca="1">IF(($A$2)&gt;=(ROW()-3),G$17*(SUM(G$19:G29)-((ROW()-3)*5)),G13)</f>
        <v>0</v>
      </c>
      <c r="H14">
        <f ca="1">IF(($A$2)&gt;=(ROW()-3),H$17*(SUM(H$19:H29)-((ROW()-3)*5)),H13)</f>
        <v>4</v>
      </c>
      <c r="I14">
        <f ca="1">IF(($A$2)&gt;=(ROW()-3),I$17*(SUM(I$19:I29)-((ROW()-3)*5)),I13)</f>
        <v>2.5</v>
      </c>
      <c r="J14">
        <f ca="1">IF(($A$2)&gt;=(ROW()-3),J$17*(SUM(J$19:J29)-((ROW()-3)*5)),J13)</f>
        <v>-30</v>
      </c>
      <c r="K14">
        <f ca="1">IF(($A$2)&gt;=(ROW()-3),K$17*(SUM(K$19:K29)-((ROW()-3)*5)),K13)</f>
        <v>0</v>
      </c>
      <c r="L14">
        <f ca="1">IF(($A$2)&gt;=(ROW()-3),L$17*(SUM(L$19:L29)-((ROW()-3)*5)),L13)</f>
        <v>-7</v>
      </c>
      <c r="M14">
        <f ca="1">IF(($A$2)&gt;=(ROW()-3),M$17*(SUM(M$19:M29)-((ROW()-3)*5)),M13)</f>
        <v>-3</v>
      </c>
      <c r="N14">
        <f ca="1">IF(($A$2)&gt;=(ROW()-3),N$17*(SUM(N$19:N29)-((ROW()-3)*5)),N13)</f>
        <v>4</v>
      </c>
      <c r="O14">
        <f ca="1">IF(($A$2)&gt;=(ROW()-3),O$17*(SUM(O$19:O29)-((ROW()-3)*5)),O13)</f>
        <v>-13</v>
      </c>
      <c r="P14">
        <f ca="1">IF(($A$2)&gt;=(ROW()-3),P$17*(SUM(P$19:P29)-((ROW()-3)*5)),P13)</f>
        <v>-4</v>
      </c>
      <c r="Q14">
        <f ca="1">IF(($A$2)&gt;=(ROW()-3),Q$17*(SUM(Q$19:Q29)-((ROW()-3)*5)),Q13)</f>
        <v>-7</v>
      </c>
      <c r="R14">
        <f ca="1">IF(($A$2)&gt;=(ROW()-3),R$17*(SUM(R$19:R29)-((ROW()-3)*5)),R13)</f>
        <v>-4</v>
      </c>
      <c r="S14">
        <f ca="1">IF(($A$2)&gt;=(ROW()-3),S$17*(SUM(S$19:S29)-((ROW()-3)*5)),S13)</f>
        <v>-3</v>
      </c>
      <c r="T14">
        <f ca="1">IF(($A$2)&gt;=(ROW()-3),T$17*(SUM(T$19:T29)-((ROW()-3)*5)),T13)</f>
        <v>-12</v>
      </c>
      <c r="U14">
        <f ca="1">IF(($A$2)&gt;=(ROW()-3),U$17*(SUM(U$19:U29)-((ROW()-3)*5)),U13)</f>
        <v>-7</v>
      </c>
      <c r="V14">
        <f ca="1">IF(($A$2)&gt;=(ROW()-3),V$17*(SUM(V$19:V29)-((ROW()-3)*5)),V13)</f>
        <v>0</v>
      </c>
      <c r="W14">
        <f ca="1">IF(($A$2)&gt;=(ROW()-3),W$17*(SUM(W$19:W29)-((ROW()-3)*5)),W13)</f>
        <v>2</v>
      </c>
      <c r="X14">
        <f ca="1">IF(($A$2)&gt;=(ROW()-3),X$17*(SUM(X$19:X29)-((ROW()-3)*5)),X13)</f>
        <v>-4</v>
      </c>
      <c r="Y14">
        <f ca="1">IF(($A$2)&gt;=(ROW()-3),Y$17*(SUM(Y$19:Y29)-((ROW()-3)*5)),Y13)</f>
        <v>-3</v>
      </c>
      <c r="Z14">
        <f ca="1">IF(($A$2)&gt;=(ROW()-3),Z$17*(SUM(Z$19:Z29)-((ROW()-3)*5)),Z13)</f>
        <v>4</v>
      </c>
      <c r="AA14">
        <f ca="1">IF(($A$2)&gt;=(ROW()-3),AA$17*(SUM(AA$19:AA29)-((ROW()-3)*5)),AA13)</f>
        <v>0</v>
      </c>
      <c r="AB14">
        <f ca="1">IF(($A$2)&gt;=(ROW()-3),AB$17*(SUM(AB$19:AB29)-((ROW()-3)*5)),AB13)</f>
        <v>2</v>
      </c>
      <c r="AC14">
        <f ca="1">IF(($A$2)&gt;=(ROW()-3),AC$17*(SUM(AC$19:AC29)-((ROW()-3)*5)),AC13)</f>
        <v>-1</v>
      </c>
      <c r="AD14">
        <f ca="1">IF(($A$2)&gt;=(ROW()-3),AD$17*(SUM(AD$19:AD29)-((ROW()-3)*5)),AD13)</f>
        <v>5</v>
      </c>
      <c r="AE14">
        <f ca="1">IF(($A$2)&gt;=(ROW()-3),AE$17*(SUM(AE$19:AE29)-((ROW()-3)*5)),AE13)</f>
        <v>-7</v>
      </c>
      <c r="AF14">
        <f ca="1">IF(($A$2)&gt;=(ROW()-3),AF$17*(SUM(AF$19:AF29)-((ROW()-3)*5)),AF13)</f>
        <v>0</v>
      </c>
      <c r="AG14">
        <f ca="1">IF(($A$2)&gt;=(ROW()-3),AG$17*(SUM(AG$19:AG29)-((ROW()-3)*5)),AG13)</f>
        <v>-5</v>
      </c>
      <c r="AH14">
        <f ca="1">IF(($A$2)&gt;=(ROW()-3),AH$17*(SUM(AH$19:AH29)-((ROW()-3)*5)),AH13)</f>
        <v>5</v>
      </c>
      <c r="AI14">
        <f ca="1">IF(($A$2)&gt;=(ROW()-3),AI$17*(SUM(AI$19:AI29)-((ROW()-3)*5)),AI13)</f>
        <v>-1</v>
      </c>
      <c r="AJ14">
        <f ca="1">IF(($A$2)&gt;=(ROW()-3),AJ$17*(SUM(AJ$19:AJ29)-((ROW()-3)*5)),AJ13)</f>
        <v>-4</v>
      </c>
      <c r="AK14">
        <f ca="1">IF(($A$2)&gt;=(ROW()-3),AK$17*(SUM(AK$19:AK29)-((ROW()-3)*5)),AK13)</f>
        <v>-10</v>
      </c>
      <c r="AL14">
        <f ca="1">IF(($A$2)&gt;=(ROW()-3),AL$17*(SUM(AL$19:AL29)-((ROW()-3)*5)),AL13)</f>
        <v>-6</v>
      </c>
      <c r="AM14">
        <f ca="1">IF(($A$2)&gt;=(ROW()-3),AM$17*(SUM(AM$19:AM29)-((ROW()-3)*5)),AM13)</f>
        <v>0</v>
      </c>
      <c r="AN14">
        <f ca="1">IF(($A$2)&gt;=(ROW()-3),AN$17*(SUM(AN$19:AN29)-((ROW()-3)*5)),AN13)</f>
        <v>-2</v>
      </c>
      <c r="AO14">
        <f ca="1">IF(($A$2)&gt;=(ROW()-3),AO$17*(SUM(AO$19:AO29)-((ROW()-3)*5)),AO13)</f>
        <v>-3</v>
      </c>
      <c r="AP14">
        <f ca="1">IF(($A$2)&gt;=(ROW()-3),AP$17*(SUM(AP$19:AP29)-((ROW()-3)*5)),AP13)</f>
        <v>-9</v>
      </c>
      <c r="AQ14">
        <f ca="1">IF(($A$2)&gt;=(ROW()-3),AQ$17*(SUM(AQ$19:AQ29)-((ROW()-3)*5)),AQ13)</f>
        <v>5</v>
      </c>
      <c r="AR14">
        <f ca="1">IF(($A$2)&gt;=(ROW()-3),AR$17*(SUM(AR$19:AR29)-((ROW()-3)*5)),AR13)</f>
        <v>-1</v>
      </c>
      <c r="AS14">
        <f ca="1">IF(($A$2)&gt;=(ROW()-3),AS$17*(SUM(AS$19:AS29)-((ROW()-3)*5)),AS13)</f>
        <v>2</v>
      </c>
      <c r="AT14">
        <f ca="1">IF(($A$2)&gt;=(ROW()-3),AT$17*(SUM(AT$19:AT29)-((ROW()-3)*5)),AT13)</f>
        <v>-7</v>
      </c>
      <c r="AU14">
        <f ca="1">IF(($A$2)&gt;=(ROW()-3),AU$17*(SUM(AU$19:AU29)-((ROW()-3)*5)),AU13)</f>
        <v>-1</v>
      </c>
      <c r="AV14">
        <f ca="1">IF(($A$2)&gt;=(ROW()-3),AV$17*(SUM(AV$19:AV29)-((ROW()-3)*5)),AV13)</f>
        <v>-3</v>
      </c>
      <c r="AW14">
        <f ca="1">IF(($A$2)&gt;=(ROW()-3),AW$17*(SUM(AW$19:AW29)-((ROW()-3)*5)),AW13)</f>
        <v>-3</v>
      </c>
      <c r="AX14">
        <f ca="1">IF(($A$2)&gt;=(ROW()-3),AX$17*(SUM(AX$19:AX29)-((ROW()-3)*5)),AX13)</f>
        <v>1</v>
      </c>
      <c r="AY14">
        <f ca="1">IF(($A$2)&gt;=(ROW()-3),AY$17*(SUM(AY$19:AY29)-((ROW()-3)*5)),AY13)</f>
        <v>-1</v>
      </c>
      <c r="AZ14">
        <f ca="1">IF(($A$2)&gt;=(ROW()-3),AZ$17*(SUM(AZ$19:AZ29)-((ROW()-3)*5)),AZ13)</f>
        <v>-2</v>
      </c>
      <c r="BA14">
        <f ca="1">IF(($A$2)&gt;=(ROW()-3),BA$17*(SUM(BA$19:BA29)-((ROW()-3)*5)),BA13)</f>
        <v>9</v>
      </c>
      <c r="BB14">
        <f ca="1">IF(($A$2)&gt;=(ROW()-3),BB$17*(SUM(BB$19:BB29)-((ROW()-3)*5)),BB13)</f>
        <v>2</v>
      </c>
      <c r="BC14">
        <f ca="1">IF(($A$2)&gt;=(ROW()-3),BC$17*(SUM(BC$19:BC29)-((ROW()-3)*5)),BC13)</f>
        <v>-4</v>
      </c>
      <c r="BD14">
        <f ca="1">IF(($A$2)&gt;=(ROW()-3),BD$17*(SUM(BD$19:BD29)-((ROW()-3)*5)),BD13)</f>
        <v>5</v>
      </c>
      <c r="BE14">
        <f ca="1">IF(($A$2)&gt;=(ROW()-3),BE$17*(SUM(BE$19:BE29)-((ROW()-3)*5)),BE13)</f>
        <v>-6</v>
      </c>
      <c r="BF14">
        <f ca="1">IF(($A$2)&gt;=(ROW()-3),BF$17*(SUM(BF$19:BF29)-((ROW()-3)*5)),BF13)</f>
        <v>-8</v>
      </c>
      <c r="BG14">
        <f ca="1">IF(($A$2)&gt;=(ROW()-3),BG$17*(SUM(BG$19:BG29)-((ROW()-3)*5)),BG13)</f>
        <v>-4</v>
      </c>
      <c r="BH14">
        <f ca="1">IF(($A$2)&gt;=(ROW()-3),BH$17*(SUM(BH$19:BH29)-((ROW()-3)*5)),BH13)</f>
        <v>0</v>
      </c>
      <c r="BI14">
        <f ca="1">IF(($A$2)&gt;=(ROW()-3),BI$17*(SUM(BI$19:BI29)-((ROW()-3)*5)),BI13)</f>
        <v>2</v>
      </c>
      <c r="BJ14">
        <f ca="1">IF(($A$2)&gt;=(ROW()-3),BJ$17*(SUM(BJ$19:BJ29)-((ROW()-3)*5)),BJ13)</f>
        <v>4</v>
      </c>
      <c r="BK14">
        <f ca="1">IF(($A$2)&gt;=(ROW()-3),BK$17*(SUM(BK$19:BK29)-((ROW()-3)*5)),BK13)</f>
        <v>-6</v>
      </c>
      <c r="BL14">
        <f ca="1">IF(($A$2)&gt;=(ROW()-3),BL$17*(SUM(BL$19:BL29)-((ROW()-3)*5)),BL13)</f>
        <v>-7</v>
      </c>
      <c r="BM14">
        <f ca="1">IF(($A$2)&gt;=(ROW()-3),BM$17*(SUM(BM$19:BM29)-((ROW()-3)*5)),BM13)</f>
        <v>-1</v>
      </c>
      <c r="BN14">
        <f ca="1">IF(($A$2)&gt;=(ROW()-3),BN$17*(SUM(BN$19:BN29)-((ROW()-3)*5)),BN13)</f>
        <v>-2</v>
      </c>
      <c r="BO14">
        <f ca="1">IF(($A$2)&gt;=(ROW()-3),BO$17*(SUM(BO$19:BO29)-((ROW()-3)*5)),BO13)</f>
        <v>0</v>
      </c>
      <c r="BP14">
        <f ca="1">IF(($A$2)&gt;=(ROW()-3),BP$17*(SUM(BP$19:BP29)-((ROW()-3)*5)),BP13)</f>
        <v>0</v>
      </c>
      <c r="BQ14">
        <f ca="1">IF(($A$2)&gt;=(ROW()-3),BQ$17*(SUM(BQ$19:BQ29)-((ROW()-3)*5)),BQ13)</f>
        <v>0</v>
      </c>
      <c r="BR14">
        <f ca="1">IF(($A$2)&gt;=(ROW()-3),BR$17*(SUM(BR$19:BR29)-((ROW()-3)*5)),BR13)</f>
        <v>0</v>
      </c>
      <c r="BS14">
        <f ca="1">IF(($A$2)&gt;=(ROW()-3),BS$17*(SUM(BS$19:BS29)-((ROW()-3)*5)),BS13)</f>
        <v>0</v>
      </c>
      <c r="BT14">
        <f ca="1">IF(($A$2)&gt;=(ROW()-3),BT$17*(SUM(BT$19:BT29)-((ROW()-3)*5)),BT13)</f>
        <v>0</v>
      </c>
      <c r="BU14">
        <f ca="1">IF(($A$2)&gt;=(ROW()-3),BU$17*(SUM(BU$19:BU29)-((ROW()-3)*5)),BU13)</f>
        <v>0</v>
      </c>
      <c r="BV14">
        <f ca="1">IF(($A$2)&gt;=(ROW()-3),BV$17*(SUM(BV$19:BV29)-((ROW()-3)*5)),BV13)</f>
        <v>0</v>
      </c>
    </row>
    <row r="15" spans="1:78">
      <c r="A15" s="6" t="s">
        <v>27</v>
      </c>
      <c r="B15" s="6"/>
      <c r="C15" s="6"/>
      <c r="D15" s="6"/>
      <c r="E15">
        <f>IF(($A$2)&gt;=(ROW()-3),E$17*(SUM(E$19:E30)-((ROW()-3)*5)),E14)</f>
        <v>3.2307692307692335</v>
      </c>
      <c r="F15">
        <f>IF(($A$2)&gt;=(ROW()-3),F$17*(SUM(F$19:F30)-((ROW()-3)*5)),F14)</f>
        <v>8.7692307692307665</v>
      </c>
      <c r="G15">
        <f ca="1">IF(($A$2)&gt;=(ROW()-3),G$17*(SUM(G$19:G30)-((ROW()-3)*5)),G14)</f>
        <v>0</v>
      </c>
      <c r="H15">
        <f ca="1">IF(($A$2)&gt;=(ROW()-3),H$17*(SUM(H$19:H30)-((ROW()-3)*5)),H14)</f>
        <v>4</v>
      </c>
      <c r="I15">
        <f ca="1">IF(($A$2)&gt;=(ROW()-3),I$17*(SUM(I$19:I30)-((ROW()-3)*5)),I14)</f>
        <v>2.5</v>
      </c>
      <c r="J15">
        <f ca="1">IF(($A$2)&gt;=(ROW()-3),J$17*(SUM(J$19:J30)-((ROW()-3)*5)),J14)</f>
        <v>-30</v>
      </c>
      <c r="K15">
        <f ca="1">IF(($A$2)&gt;=(ROW()-3),K$17*(SUM(K$19:K30)-((ROW()-3)*5)),K14)</f>
        <v>0</v>
      </c>
      <c r="L15">
        <f ca="1">IF(($A$2)&gt;=(ROW()-3),L$17*(SUM(L$19:L30)-((ROW()-3)*5)),L14)</f>
        <v>-7</v>
      </c>
      <c r="M15">
        <f ca="1">IF(($A$2)&gt;=(ROW()-3),M$17*(SUM(M$19:M30)-((ROW()-3)*5)),M14)</f>
        <v>-3</v>
      </c>
      <c r="N15">
        <f ca="1">IF(($A$2)&gt;=(ROW()-3),N$17*(SUM(N$19:N30)-((ROW()-3)*5)),N14)</f>
        <v>4</v>
      </c>
      <c r="O15">
        <f ca="1">IF(($A$2)&gt;=(ROW()-3),O$17*(SUM(O$19:O30)-((ROW()-3)*5)),O14)</f>
        <v>-13</v>
      </c>
      <c r="P15">
        <f ca="1">IF(($A$2)&gt;=(ROW()-3),P$17*(SUM(P$19:P30)-((ROW()-3)*5)),P14)</f>
        <v>-4</v>
      </c>
      <c r="Q15">
        <f ca="1">IF(($A$2)&gt;=(ROW()-3),Q$17*(SUM(Q$19:Q30)-((ROW()-3)*5)),Q14)</f>
        <v>-7</v>
      </c>
      <c r="R15">
        <f ca="1">IF(($A$2)&gt;=(ROW()-3),R$17*(SUM(R$19:R30)-((ROW()-3)*5)),R14)</f>
        <v>-4</v>
      </c>
      <c r="S15">
        <f ca="1">IF(($A$2)&gt;=(ROW()-3),S$17*(SUM(S$19:S30)-((ROW()-3)*5)),S14)</f>
        <v>-3</v>
      </c>
      <c r="T15">
        <f ca="1">IF(($A$2)&gt;=(ROW()-3),T$17*(SUM(T$19:T30)-((ROW()-3)*5)),T14)</f>
        <v>-12</v>
      </c>
      <c r="U15">
        <f ca="1">IF(($A$2)&gt;=(ROW()-3),U$17*(SUM(U$19:U30)-((ROW()-3)*5)),U14)</f>
        <v>-7</v>
      </c>
      <c r="V15">
        <f ca="1">IF(($A$2)&gt;=(ROW()-3),V$17*(SUM(V$19:V30)-((ROW()-3)*5)),V14)</f>
        <v>0</v>
      </c>
      <c r="W15">
        <f ca="1">IF(($A$2)&gt;=(ROW()-3),W$17*(SUM(W$19:W30)-((ROW()-3)*5)),W14)</f>
        <v>2</v>
      </c>
      <c r="X15">
        <f ca="1">IF(($A$2)&gt;=(ROW()-3),X$17*(SUM(X$19:X30)-((ROW()-3)*5)),X14)</f>
        <v>-4</v>
      </c>
      <c r="Y15">
        <f ca="1">IF(($A$2)&gt;=(ROW()-3),Y$17*(SUM(Y$19:Y30)-((ROW()-3)*5)),Y14)</f>
        <v>-3</v>
      </c>
      <c r="Z15">
        <f ca="1">IF(($A$2)&gt;=(ROW()-3),Z$17*(SUM(Z$19:Z30)-((ROW()-3)*5)),Z14)</f>
        <v>4</v>
      </c>
      <c r="AA15">
        <f ca="1">IF(($A$2)&gt;=(ROW()-3),AA$17*(SUM(AA$19:AA30)-((ROW()-3)*5)),AA14)</f>
        <v>0</v>
      </c>
      <c r="AB15">
        <f ca="1">IF(($A$2)&gt;=(ROW()-3),AB$17*(SUM(AB$19:AB30)-((ROW()-3)*5)),AB14)</f>
        <v>2</v>
      </c>
      <c r="AC15">
        <f ca="1">IF(($A$2)&gt;=(ROW()-3),AC$17*(SUM(AC$19:AC30)-((ROW()-3)*5)),AC14)</f>
        <v>-1</v>
      </c>
      <c r="AD15">
        <f ca="1">IF(($A$2)&gt;=(ROW()-3),AD$17*(SUM(AD$19:AD30)-((ROW()-3)*5)),AD14)</f>
        <v>5</v>
      </c>
      <c r="AE15">
        <f ca="1">IF(($A$2)&gt;=(ROW()-3),AE$17*(SUM(AE$19:AE30)-((ROW()-3)*5)),AE14)</f>
        <v>-7</v>
      </c>
      <c r="AF15">
        <f ca="1">IF(($A$2)&gt;=(ROW()-3),AF$17*(SUM(AF$19:AF30)-((ROW()-3)*5)),AF14)</f>
        <v>0</v>
      </c>
      <c r="AG15">
        <f ca="1">IF(($A$2)&gt;=(ROW()-3),AG$17*(SUM(AG$19:AG30)-((ROW()-3)*5)),AG14)</f>
        <v>-5</v>
      </c>
      <c r="AH15">
        <f ca="1">IF(($A$2)&gt;=(ROW()-3),AH$17*(SUM(AH$19:AH30)-((ROW()-3)*5)),AH14)</f>
        <v>5</v>
      </c>
      <c r="AI15">
        <f ca="1">IF(($A$2)&gt;=(ROW()-3),AI$17*(SUM(AI$19:AI30)-((ROW()-3)*5)),AI14)</f>
        <v>-1</v>
      </c>
      <c r="AJ15">
        <f ca="1">IF(($A$2)&gt;=(ROW()-3),AJ$17*(SUM(AJ$19:AJ30)-((ROW()-3)*5)),AJ14)</f>
        <v>-4</v>
      </c>
      <c r="AK15">
        <f ca="1">IF(($A$2)&gt;=(ROW()-3),AK$17*(SUM(AK$19:AK30)-((ROW()-3)*5)),AK14)</f>
        <v>-10</v>
      </c>
      <c r="AL15">
        <f ca="1">IF(($A$2)&gt;=(ROW()-3),AL$17*(SUM(AL$19:AL30)-((ROW()-3)*5)),AL14)</f>
        <v>-6</v>
      </c>
      <c r="AM15">
        <f ca="1">IF(($A$2)&gt;=(ROW()-3),AM$17*(SUM(AM$19:AM30)-((ROW()-3)*5)),AM14)</f>
        <v>0</v>
      </c>
      <c r="AN15">
        <f ca="1">IF(($A$2)&gt;=(ROW()-3),AN$17*(SUM(AN$19:AN30)-((ROW()-3)*5)),AN14)</f>
        <v>-2</v>
      </c>
      <c r="AO15">
        <f ca="1">IF(($A$2)&gt;=(ROW()-3),AO$17*(SUM(AO$19:AO30)-((ROW()-3)*5)),AO14)</f>
        <v>-3</v>
      </c>
      <c r="AP15">
        <f ca="1">IF(($A$2)&gt;=(ROW()-3),AP$17*(SUM(AP$19:AP30)-((ROW()-3)*5)),AP14)</f>
        <v>-9</v>
      </c>
      <c r="AQ15">
        <f ca="1">IF(($A$2)&gt;=(ROW()-3),AQ$17*(SUM(AQ$19:AQ30)-((ROW()-3)*5)),AQ14)</f>
        <v>5</v>
      </c>
      <c r="AR15">
        <f ca="1">IF(($A$2)&gt;=(ROW()-3),AR$17*(SUM(AR$19:AR30)-((ROW()-3)*5)),AR14)</f>
        <v>-1</v>
      </c>
      <c r="AS15">
        <f ca="1">IF(($A$2)&gt;=(ROW()-3),AS$17*(SUM(AS$19:AS30)-((ROW()-3)*5)),AS14)</f>
        <v>2</v>
      </c>
      <c r="AT15">
        <f ca="1">IF(($A$2)&gt;=(ROW()-3),AT$17*(SUM(AT$19:AT30)-((ROW()-3)*5)),AT14)</f>
        <v>-7</v>
      </c>
      <c r="AU15">
        <f ca="1">IF(($A$2)&gt;=(ROW()-3),AU$17*(SUM(AU$19:AU30)-((ROW()-3)*5)),AU14)</f>
        <v>-1</v>
      </c>
      <c r="AV15">
        <f ca="1">IF(($A$2)&gt;=(ROW()-3),AV$17*(SUM(AV$19:AV30)-((ROW()-3)*5)),AV14)</f>
        <v>-3</v>
      </c>
      <c r="AW15">
        <f ca="1">IF(($A$2)&gt;=(ROW()-3),AW$17*(SUM(AW$19:AW30)-((ROW()-3)*5)),AW14)</f>
        <v>-3</v>
      </c>
      <c r="AX15">
        <f ca="1">IF(($A$2)&gt;=(ROW()-3),AX$17*(SUM(AX$19:AX30)-((ROW()-3)*5)),AX14)</f>
        <v>1</v>
      </c>
      <c r="AY15">
        <f ca="1">IF(($A$2)&gt;=(ROW()-3),AY$17*(SUM(AY$19:AY30)-((ROW()-3)*5)),AY14)</f>
        <v>-1</v>
      </c>
      <c r="AZ15">
        <f ca="1">IF(($A$2)&gt;=(ROW()-3),AZ$17*(SUM(AZ$19:AZ30)-((ROW()-3)*5)),AZ14)</f>
        <v>-2</v>
      </c>
      <c r="BA15">
        <f ca="1">IF(($A$2)&gt;=(ROW()-3),BA$17*(SUM(BA$19:BA30)-((ROW()-3)*5)),BA14)</f>
        <v>9</v>
      </c>
      <c r="BB15">
        <f ca="1">IF(($A$2)&gt;=(ROW()-3),BB$17*(SUM(BB$19:BB30)-((ROW()-3)*5)),BB14)</f>
        <v>2</v>
      </c>
      <c r="BC15">
        <f ca="1">IF(($A$2)&gt;=(ROW()-3),BC$17*(SUM(BC$19:BC30)-((ROW()-3)*5)),BC14)</f>
        <v>-4</v>
      </c>
      <c r="BD15">
        <f ca="1">IF(($A$2)&gt;=(ROW()-3),BD$17*(SUM(BD$19:BD30)-((ROW()-3)*5)),BD14)</f>
        <v>5</v>
      </c>
      <c r="BE15">
        <f ca="1">IF(($A$2)&gt;=(ROW()-3),BE$17*(SUM(BE$19:BE30)-((ROW()-3)*5)),BE14)</f>
        <v>-6</v>
      </c>
      <c r="BF15">
        <f ca="1">IF(($A$2)&gt;=(ROW()-3),BF$17*(SUM(BF$19:BF30)-((ROW()-3)*5)),BF14)</f>
        <v>-8</v>
      </c>
      <c r="BG15">
        <f ca="1">IF(($A$2)&gt;=(ROW()-3),BG$17*(SUM(BG$19:BG30)-((ROW()-3)*5)),BG14)</f>
        <v>-4</v>
      </c>
      <c r="BH15">
        <f ca="1">IF(($A$2)&gt;=(ROW()-3),BH$17*(SUM(BH$19:BH30)-((ROW()-3)*5)),BH14)</f>
        <v>0</v>
      </c>
      <c r="BI15">
        <f ca="1">IF(($A$2)&gt;=(ROW()-3),BI$17*(SUM(BI$19:BI30)-((ROW()-3)*5)),BI14)</f>
        <v>2</v>
      </c>
      <c r="BJ15">
        <f ca="1">IF(($A$2)&gt;=(ROW()-3),BJ$17*(SUM(BJ$19:BJ30)-((ROW()-3)*5)),BJ14)</f>
        <v>4</v>
      </c>
      <c r="BK15">
        <f ca="1">IF(($A$2)&gt;=(ROW()-3),BK$17*(SUM(BK$19:BK30)-((ROW()-3)*5)),BK14)</f>
        <v>-6</v>
      </c>
      <c r="BL15">
        <f ca="1">IF(($A$2)&gt;=(ROW()-3),BL$17*(SUM(BL$19:BL30)-((ROW()-3)*5)),BL14)</f>
        <v>-7</v>
      </c>
      <c r="BM15">
        <f ca="1">IF(($A$2)&gt;=(ROW()-3),BM$17*(SUM(BM$19:BM30)-((ROW()-3)*5)),BM14)</f>
        <v>-1</v>
      </c>
      <c r="BN15">
        <f ca="1">IF(($A$2)&gt;=(ROW()-3),BN$17*(SUM(BN$19:BN30)-((ROW()-3)*5)),BN14)</f>
        <v>-2</v>
      </c>
      <c r="BO15">
        <f ca="1">IF(($A$2)&gt;=(ROW()-3),BO$17*(SUM(BO$19:BO30)-((ROW()-3)*5)),BO14)</f>
        <v>0</v>
      </c>
      <c r="BP15">
        <f ca="1">IF(($A$2)&gt;=(ROW()-3),BP$17*(SUM(BP$19:BP30)-((ROW()-3)*5)),BP14)</f>
        <v>0</v>
      </c>
      <c r="BQ15">
        <f ca="1">IF(($A$2)&gt;=(ROW()-3),BQ$17*(SUM(BQ$19:BQ30)-((ROW()-3)*5)),BQ14)</f>
        <v>0</v>
      </c>
      <c r="BR15">
        <f ca="1">IF(($A$2)&gt;=(ROW()-3),BR$17*(SUM(BR$19:BR30)-((ROW()-3)*5)),BR14)</f>
        <v>0</v>
      </c>
      <c r="BS15">
        <f ca="1">IF(($A$2)&gt;=(ROW()-3),BS$17*(SUM(BS$19:BS30)-((ROW()-3)*5)),BS14)</f>
        <v>0</v>
      </c>
      <c r="BT15">
        <f ca="1">IF(($A$2)&gt;=(ROW()-3),BT$17*(SUM(BT$19:BT30)-((ROW()-3)*5)),BT14)</f>
        <v>0</v>
      </c>
      <c r="BU15">
        <f ca="1">IF(($A$2)&gt;=(ROW()-3),BU$17*(SUM(BU$19:BU30)-((ROW()-3)*5)),BU14)</f>
        <v>0</v>
      </c>
      <c r="BV15">
        <f ca="1">IF(($A$2)&gt;=(ROW()-3),BV$17*(SUM(BV$19:BV30)-((ROW()-3)*5)),BV14)</f>
        <v>0</v>
      </c>
    </row>
    <row r="16" spans="1:78">
      <c r="A16" s="6" t="s">
        <v>28</v>
      </c>
      <c r="B16" s="6"/>
      <c r="C16" s="6"/>
      <c r="D16" s="6"/>
      <c r="E16">
        <f>IF(($A$2)&gt;=(ROW()-3),E$17*(SUM(E$19:E31)-((ROW()-3)*5)),E15)</f>
        <v>3.2307692307692335</v>
      </c>
      <c r="F16">
        <f>IF(($A$2)&gt;=(ROW()-3),F$17*(SUM(F$19:F31)-((ROW()-3)*5)),F15)</f>
        <v>8.7692307692307665</v>
      </c>
      <c r="G16">
        <f ca="1">IF(($A$2)&gt;=(ROW()-3),G$17*(SUM(G$19:G31)-((ROW()-3)*5)),G15)</f>
        <v>0</v>
      </c>
      <c r="H16">
        <f ca="1">IF(($A$2)&gt;=(ROW()-3),H$17*(SUM(H$19:H31)-((ROW()-3)*5)),H15)</f>
        <v>4</v>
      </c>
      <c r="I16">
        <f ca="1">IF(($A$2)&gt;=(ROW()-3),I$17*(SUM(I$19:I31)-((ROW()-3)*5)),I15)</f>
        <v>2.5</v>
      </c>
      <c r="J16">
        <f ca="1">IF(($A$2)&gt;=(ROW()-3),J$17*(SUM(J$19:J31)-((ROW()-3)*5)),J15)</f>
        <v>-30</v>
      </c>
      <c r="K16">
        <f ca="1">IF(($A$2)&gt;=(ROW()-3),K$17*(SUM(K$19:K31)-((ROW()-3)*5)),K15)</f>
        <v>0</v>
      </c>
      <c r="L16">
        <f ca="1">IF(($A$2)&gt;=(ROW()-3),L$17*(SUM(L$19:L31)-((ROW()-3)*5)),L15)</f>
        <v>-7</v>
      </c>
      <c r="M16">
        <f ca="1">IF(($A$2)&gt;=(ROW()-3),M$17*(SUM(M$19:M31)-((ROW()-3)*5)),M15)</f>
        <v>-3</v>
      </c>
      <c r="N16">
        <f ca="1">IF(($A$2)&gt;=(ROW()-3),N$17*(SUM(N$19:N31)-((ROW()-3)*5)),N15)</f>
        <v>4</v>
      </c>
      <c r="O16">
        <f ca="1">IF(($A$2)&gt;=(ROW()-3),O$17*(SUM(O$19:O31)-((ROW()-3)*5)),O15)</f>
        <v>-13</v>
      </c>
      <c r="P16">
        <f ca="1">IF(($A$2)&gt;=(ROW()-3),P$17*(SUM(P$19:P31)-((ROW()-3)*5)),P15)</f>
        <v>-4</v>
      </c>
      <c r="Q16">
        <f ca="1">IF(($A$2)&gt;=(ROW()-3),Q$17*(SUM(Q$19:Q31)-((ROW()-3)*5)),Q15)</f>
        <v>-7</v>
      </c>
      <c r="R16">
        <f ca="1">IF(($A$2)&gt;=(ROW()-3),R$17*(SUM(R$19:R31)-((ROW()-3)*5)),R15)</f>
        <v>-4</v>
      </c>
      <c r="S16">
        <f ca="1">IF(($A$2)&gt;=(ROW()-3),S$17*(SUM(S$19:S31)-((ROW()-3)*5)),S15)</f>
        <v>-3</v>
      </c>
      <c r="T16">
        <f ca="1">IF(($A$2)&gt;=(ROW()-3),T$17*(SUM(T$19:T31)-((ROW()-3)*5)),T15)</f>
        <v>-12</v>
      </c>
      <c r="U16">
        <f ca="1">IF(($A$2)&gt;=(ROW()-3),U$17*(SUM(U$19:U31)-((ROW()-3)*5)),U15)</f>
        <v>-7</v>
      </c>
      <c r="V16">
        <f ca="1">IF(($A$2)&gt;=(ROW()-3),V$17*(SUM(V$19:V31)-((ROW()-3)*5)),V15)</f>
        <v>0</v>
      </c>
      <c r="W16">
        <f ca="1">IF(($A$2)&gt;=(ROW()-3),W$17*(SUM(W$19:W31)-((ROW()-3)*5)),W15)</f>
        <v>2</v>
      </c>
      <c r="X16">
        <f ca="1">IF(($A$2)&gt;=(ROW()-3),X$17*(SUM(X$19:X31)-((ROW()-3)*5)),X15)</f>
        <v>-4</v>
      </c>
      <c r="Y16">
        <f ca="1">IF(($A$2)&gt;=(ROW()-3),Y$17*(SUM(Y$19:Y31)-((ROW()-3)*5)),Y15)</f>
        <v>-3</v>
      </c>
      <c r="Z16">
        <f ca="1">IF(($A$2)&gt;=(ROW()-3),Z$17*(SUM(Z$19:Z31)-((ROW()-3)*5)),Z15)</f>
        <v>4</v>
      </c>
      <c r="AA16">
        <f ca="1">IF(($A$2)&gt;=(ROW()-3),AA$17*(SUM(AA$19:AA31)-((ROW()-3)*5)),AA15)</f>
        <v>0</v>
      </c>
      <c r="AB16">
        <f ca="1">IF(($A$2)&gt;=(ROW()-3),AB$17*(SUM(AB$19:AB31)-((ROW()-3)*5)),AB15)</f>
        <v>2</v>
      </c>
      <c r="AC16">
        <f ca="1">IF(($A$2)&gt;=(ROW()-3),AC$17*(SUM(AC$19:AC31)-((ROW()-3)*5)),AC15)</f>
        <v>-1</v>
      </c>
      <c r="AD16">
        <f ca="1">IF(($A$2)&gt;=(ROW()-3),AD$17*(SUM(AD$19:AD31)-((ROW()-3)*5)),AD15)</f>
        <v>5</v>
      </c>
      <c r="AE16">
        <f ca="1">IF(($A$2)&gt;=(ROW()-3),AE$17*(SUM(AE$19:AE31)-((ROW()-3)*5)),AE15)</f>
        <v>-7</v>
      </c>
      <c r="AF16">
        <f ca="1">IF(($A$2)&gt;=(ROW()-3),AF$17*(SUM(AF$19:AF31)-((ROW()-3)*5)),AF15)</f>
        <v>0</v>
      </c>
      <c r="AG16">
        <f ca="1">IF(($A$2)&gt;=(ROW()-3),AG$17*(SUM(AG$19:AG31)-((ROW()-3)*5)),AG15)</f>
        <v>-5</v>
      </c>
      <c r="AH16">
        <f ca="1">IF(($A$2)&gt;=(ROW()-3),AH$17*(SUM(AH$19:AH31)-((ROW()-3)*5)),AH15)</f>
        <v>5</v>
      </c>
      <c r="AI16">
        <f ca="1">IF(($A$2)&gt;=(ROW()-3),AI$17*(SUM(AI$19:AI31)-((ROW()-3)*5)),AI15)</f>
        <v>-1</v>
      </c>
      <c r="AJ16">
        <f ca="1">IF(($A$2)&gt;=(ROW()-3),AJ$17*(SUM(AJ$19:AJ31)-((ROW()-3)*5)),AJ15)</f>
        <v>-4</v>
      </c>
      <c r="AK16">
        <f ca="1">IF(($A$2)&gt;=(ROW()-3),AK$17*(SUM(AK$19:AK31)-((ROW()-3)*5)),AK15)</f>
        <v>-10</v>
      </c>
      <c r="AL16">
        <f ca="1">IF(($A$2)&gt;=(ROW()-3),AL$17*(SUM(AL$19:AL31)-((ROW()-3)*5)),AL15)</f>
        <v>-6</v>
      </c>
      <c r="AM16">
        <f ca="1">IF(($A$2)&gt;=(ROW()-3),AM$17*(SUM(AM$19:AM31)-((ROW()-3)*5)),AM15)</f>
        <v>0</v>
      </c>
      <c r="AN16">
        <f ca="1">IF(($A$2)&gt;=(ROW()-3),AN$17*(SUM(AN$19:AN31)-((ROW()-3)*5)),AN15)</f>
        <v>-2</v>
      </c>
      <c r="AO16">
        <f ca="1">IF(($A$2)&gt;=(ROW()-3),AO$17*(SUM(AO$19:AO31)-((ROW()-3)*5)),AO15)</f>
        <v>-3</v>
      </c>
      <c r="AP16">
        <f ca="1">IF(($A$2)&gt;=(ROW()-3),AP$17*(SUM(AP$19:AP31)-((ROW()-3)*5)),AP15)</f>
        <v>-9</v>
      </c>
      <c r="AQ16">
        <f ca="1">IF(($A$2)&gt;=(ROW()-3),AQ$17*(SUM(AQ$19:AQ31)-((ROW()-3)*5)),AQ15)</f>
        <v>5</v>
      </c>
      <c r="AR16">
        <f ca="1">IF(($A$2)&gt;=(ROW()-3),AR$17*(SUM(AR$19:AR31)-((ROW()-3)*5)),AR15)</f>
        <v>-1</v>
      </c>
      <c r="AS16">
        <f ca="1">IF(($A$2)&gt;=(ROW()-3),AS$17*(SUM(AS$19:AS31)-((ROW()-3)*5)),AS15)</f>
        <v>2</v>
      </c>
      <c r="AT16">
        <f ca="1">IF(($A$2)&gt;=(ROW()-3),AT$17*(SUM(AT$19:AT31)-((ROW()-3)*5)),AT15)</f>
        <v>-7</v>
      </c>
      <c r="AU16">
        <f ca="1">IF(($A$2)&gt;=(ROW()-3),AU$17*(SUM(AU$19:AU31)-((ROW()-3)*5)),AU15)</f>
        <v>-1</v>
      </c>
      <c r="AV16">
        <f ca="1">IF(($A$2)&gt;=(ROW()-3),AV$17*(SUM(AV$19:AV31)-((ROW()-3)*5)),AV15)</f>
        <v>-3</v>
      </c>
      <c r="AW16">
        <f ca="1">IF(($A$2)&gt;=(ROW()-3),AW$17*(SUM(AW$19:AW31)-((ROW()-3)*5)),AW15)</f>
        <v>-3</v>
      </c>
      <c r="AX16">
        <f ca="1">IF(($A$2)&gt;=(ROW()-3),AX$17*(SUM(AX$19:AX31)-((ROW()-3)*5)),AX15)</f>
        <v>1</v>
      </c>
      <c r="AY16">
        <f ca="1">IF(($A$2)&gt;=(ROW()-3),AY$17*(SUM(AY$19:AY31)-((ROW()-3)*5)),AY15)</f>
        <v>-1</v>
      </c>
      <c r="AZ16">
        <f ca="1">IF(($A$2)&gt;=(ROW()-3),AZ$17*(SUM(AZ$19:AZ31)-((ROW()-3)*5)),AZ15)</f>
        <v>-2</v>
      </c>
      <c r="BA16">
        <f ca="1">IF(($A$2)&gt;=(ROW()-3),BA$17*(SUM(BA$19:BA31)-((ROW()-3)*5)),BA15)</f>
        <v>9</v>
      </c>
      <c r="BB16">
        <f ca="1">IF(($A$2)&gt;=(ROW()-3),BB$17*(SUM(BB$19:BB31)-((ROW()-3)*5)),BB15)</f>
        <v>2</v>
      </c>
      <c r="BC16">
        <f ca="1">IF(($A$2)&gt;=(ROW()-3),BC$17*(SUM(BC$19:BC31)-((ROW()-3)*5)),BC15)</f>
        <v>-4</v>
      </c>
      <c r="BD16">
        <f ca="1">IF(($A$2)&gt;=(ROW()-3),BD$17*(SUM(BD$19:BD31)-((ROW()-3)*5)),BD15)</f>
        <v>5</v>
      </c>
      <c r="BE16">
        <f ca="1">IF(($A$2)&gt;=(ROW()-3),BE$17*(SUM(BE$19:BE31)-((ROW()-3)*5)),BE15)</f>
        <v>-6</v>
      </c>
      <c r="BF16">
        <f ca="1">IF(($A$2)&gt;=(ROW()-3),BF$17*(SUM(BF$19:BF31)-((ROW()-3)*5)),BF15)</f>
        <v>-8</v>
      </c>
      <c r="BG16">
        <f ca="1">IF(($A$2)&gt;=(ROW()-3),BG$17*(SUM(BG$19:BG31)-((ROW()-3)*5)),BG15)</f>
        <v>-4</v>
      </c>
      <c r="BH16">
        <f ca="1">IF(($A$2)&gt;=(ROW()-3),BH$17*(SUM(BH$19:BH31)-((ROW()-3)*5)),BH15)</f>
        <v>0</v>
      </c>
      <c r="BI16">
        <f ca="1">IF(($A$2)&gt;=(ROW()-3),BI$17*(SUM(BI$19:BI31)-((ROW()-3)*5)),BI15)</f>
        <v>2</v>
      </c>
      <c r="BJ16">
        <f ca="1">IF(($A$2)&gt;=(ROW()-3),BJ$17*(SUM(BJ$19:BJ31)-((ROW()-3)*5)),BJ15)</f>
        <v>4</v>
      </c>
      <c r="BK16">
        <f ca="1">IF(($A$2)&gt;=(ROW()-3),BK$17*(SUM(BK$19:BK31)-((ROW()-3)*5)),BK15)</f>
        <v>-6</v>
      </c>
      <c r="BL16">
        <f ca="1">IF(($A$2)&gt;=(ROW()-3),BL$17*(SUM(BL$19:BL31)-((ROW()-3)*5)),BL15)</f>
        <v>-7</v>
      </c>
      <c r="BM16">
        <f ca="1">IF(($A$2)&gt;=(ROW()-3),BM$17*(SUM(BM$19:BM31)-((ROW()-3)*5)),BM15)</f>
        <v>-1</v>
      </c>
      <c r="BN16">
        <f ca="1">IF(($A$2)&gt;=(ROW()-3),BN$17*(SUM(BN$19:BN31)-((ROW()-3)*5)),BN15)</f>
        <v>-2</v>
      </c>
      <c r="BO16">
        <f ca="1">IF(($A$2)&gt;=(ROW()-3),BO$17*(SUM(BO$19:BO31)-((ROW()-3)*5)),BO15)</f>
        <v>0</v>
      </c>
      <c r="BP16">
        <f ca="1">IF(($A$2)&gt;=(ROW()-3),BP$17*(SUM(BP$19:BP31)-((ROW()-3)*5)),BP15)</f>
        <v>0</v>
      </c>
      <c r="BQ16">
        <f ca="1">IF(($A$2)&gt;=(ROW()-3),BQ$17*(SUM(BQ$19:BQ31)-((ROW()-3)*5)),BQ15)</f>
        <v>0</v>
      </c>
      <c r="BR16">
        <f ca="1">IF(($A$2)&gt;=(ROW()-3),BR$17*(SUM(BR$19:BR31)-((ROW()-3)*5)),BR15)</f>
        <v>0</v>
      </c>
      <c r="BS16">
        <f ca="1">IF(($A$2)&gt;=(ROW()-3),BS$17*(SUM(BS$19:BS31)-((ROW()-3)*5)),BS15)</f>
        <v>0</v>
      </c>
      <c r="BT16">
        <f ca="1">IF(($A$2)&gt;=(ROW()-3),BT$17*(SUM(BT$19:BT31)-((ROW()-3)*5)),BT15)</f>
        <v>0</v>
      </c>
      <c r="BU16">
        <f ca="1">IF(($A$2)&gt;=(ROW()-3),BU$17*(SUM(BU$19:BU31)-((ROW()-3)*5)),BU15)</f>
        <v>0</v>
      </c>
      <c r="BV16">
        <f ca="1">IF(($A$2)&gt;=(ROW()-3),BV$17*(SUM(BV$19:BV31)-((ROW()-3)*5)),BV15)</f>
        <v>0</v>
      </c>
    </row>
    <row r="17" spans="1:74">
      <c r="A17" s="6" t="s">
        <v>129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</row>
    <row r="19" spans="1:74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8</v>
      </c>
      <c r="H19">
        <f t="shared" ca="1" si="0"/>
        <v>4</v>
      </c>
      <c r="I19">
        <f t="shared" ref="I19:AK28" ca="1" si="1">INDIRECT(ADDRESS(25,COLUMN(),1,,$A19))</f>
        <v>5</v>
      </c>
      <c r="J19">
        <f t="shared" ca="1" si="1"/>
        <v>0</v>
      </c>
      <c r="K19">
        <f t="shared" ca="1" si="1"/>
        <v>6</v>
      </c>
      <c r="L19">
        <f t="shared" ca="1" si="1"/>
        <v>0</v>
      </c>
      <c r="M19">
        <f t="shared" ca="1" si="1"/>
        <v>4</v>
      </c>
      <c r="N19">
        <f t="shared" ca="1" si="1"/>
        <v>7</v>
      </c>
      <c r="O19">
        <f t="shared" ca="1" si="1"/>
        <v>5</v>
      </c>
      <c r="P19">
        <f t="shared" ca="1" si="1"/>
        <v>5</v>
      </c>
      <c r="Q19">
        <f t="shared" ca="1" si="1"/>
        <v>4</v>
      </c>
      <c r="R19">
        <f t="shared" ca="1" si="1"/>
        <v>0</v>
      </c>
      <c r="S19">
        <f t="shared" ca="1" si="1"/>
        <v>3</v>
      </c>
      <c r="T19">
        <f t="shared" ca="1" si="1"/>
        <v>4</v>
      </c>
      <c r="U19">
        <f t="shared" ca="1" si="1"/>
        <v>4</v>
      </c>
      <c r="V19">
        <f t="shared" ca="1" si="1"/>
        <v>6</v>
      </c>
      <c r="W19">
        <f t="shared" ca="1" si="1"/>
        <v>5</v>
      </c>
      <c r="X19">
        <f t="shared" ca="1" si="1"/>
        <v>3</v>
      </c>
      <c r="Y19">
        <f t="shared" ca="1" si="1"/>
        <v>4</v>
      </c>
      <c r="Z19">
        <f t="shared" ca="1" si="1"/>
        <v>7</v>
      </c>
      <c r="AA19">
        <f t="shared" ca="1" si="1"/>
        <v>5</v>
      </c>
      <c r="AB19">
        <f t="shared" ca="1" si="1"/>
        <v>4</v>
      </c>
      <c r="AC19">
        <f t="shared" ca="1" si="1"/>
        <v>6</v>
      </c>
      <c r="AD19">
        <f t="shared" ca="1" si="1"/>
        <v>6</v>
      </c>
      <c r="AE19">
        <f t="shared" ca="1" si="1"/>
        <v>6</v>
      </c>
      <c r="AF19">
        <f t="shared" ca="1" si="1"/>
        <v>4</v>
      </c>
      <c r="AG19">
        <f t="shared" ca="1" si="1"/>
        <v>5</v>
      </c>
      <c r="AH19">
        <f t="shared" ca="1" si="1"/>
        <v>6</v>
      </c>
      <c r="AI19">
        <f t="shared" ca="1" si="1"/>
        <v>4</v>
      </c>
      <c r="AJ19">
        <f t="shared" ca="1" si="1"/>
        <v>5</v>
      </c>
      <c r="AK19">
        <f t="shared" ca="1" si="1"/>
        <v>7</v>
      </c>
      <c r="AL19">
        <f t="shared" ref="AL19:BC31" ca="1" si="2">INDIRECT(ADDRESS(25,COLUMN(),1,,$A19))</f>
        <v>5</v>
      </c>
      <c r="AM19">
        <f t="shared" ca="1" si="2"/>
        <v>2</v>
      </c>
      <c r="AN19">
        <f t="shared" ca="1" si="2"/>
        <v>4</v>
      </c>
      <c r="AO19">
        <f t="shared" ca="1" si="2"/>
        <v>5</v>
      </c>
      <c r="AP19">
        <f t="shared" ca="1" si="2"/>
        <v>6</v>
      </c>
      <c r="AQ19">
        <f t="shared" ca="1" si="2"/>
        <v>5</v>
      </c>
      <c r="AR19">
        <f t="shared" ca="1" si="2"/>
        <v>3</v>
      </c>
      <c r="AS19">
        <f t="shared" ca="1" si="2"/>
        <v>9</v>
      </c>
      <c r="AT19">
        <f t="shared" ca="1" si="2"/>
        <v>4</v>
      </c>
      <c r="AU19">
        <f t="shared" ca="1" si="2"/>
        <v>4</v>
      </c>
      <c r="AV19">
        <f t="shared" ca="1" si="2"/>
        <v>5</v>
      </c>
      <c r="AW19">
        <f t="shared" ca="1" si="2"/>
        <v>4</v>
      </c>
      <c r="AX19">
        <f t="shared" ca="1" si="2"/>
        <v>8</v>
      </c>
      <c r="AY19">
        <f t="shared" ca="1" si="2"/>
        <v>6</v>
      </c>
      <c r="AZ19">
        <f t="shared" ca="1" si="2"/>
        <v>8</v>
      </c>
      <c r="BA19">
        <f t="shared" ca="1" si="2"/>
        <v>8</v>
      </c>
      <c r="BB19">
        <f t="shared" ca="1" si="2"/>
        <v>5</v>
      </c>
      <c r="BC19">
        <f t="shared" ca="1" si="2"/>
        <v>4</v>
      </c>
      <c r="BD19">
        <f t="shared" ref="BD19:BS31" ca="1" si="3">INDIRECT(ADDRESS(25,COLUMN(),1,,$A19))</f>
        <v>6</v>
      </c>
      <c r="BE19">
        <f t="shared" ca="1" si="3"/>
        <v>3</v>
      </c>
      <c r="BF19">
        <f t="shared" ca="1" si="3"/>
        <v>4</v>
      </c>
      <c r="BG19">
        <f t="shared" ca="1" si="3"/>
        <v>6</v>
      </c>
      <c r="BH19">
        <f t="shared" ca="1" si="3"/>
        <v>6</v>
      </c>
      <c r="BI19">
        <f t="shared" ca="1" si="3"/>
        <v>9</v>
      </c>
      <c r="BJ19">
        <f t="shared" ca="1" si="3"/>
        <v>3</v>
      </c>
      <c r="BK19">
        <f t="shared" ca="1" si="3"/>
        <v>6</v>
      </c>
      <c r="BL19">
        <f t="shared" ca="1" si="3"/>
        <v>3</v>
      </c>
      <c r="BM19">
        <f t="shared" ca="1" si="3"/>
        <v>7</v>
      </c>
      <c r="BN19">
        <f t="shared" ca="1" si="3"/>
        <v>7</v>
      </c>
      <c r="BO19">
        <f t="shared" ca="1" si="3"/>
        <v>0</v>
      </c>
      <c r="BP19">
        <f t="shared" ca="1" si="3"/>
        <v>0</v>
      </c>
      <c r="BQ19">
        <f t="shared" ca="1" si="3"/>
        <v>0</v>
      </c>
      <c r="BR19">
        <f t="shared" ca="1" si="3"/>
        <v>0</v>
      </c>
      <c r="BS19">
        <f t="shared" ca="1" si="3"/>
        <v>0</v>
      </c>
      <c r="BT19">
        <f t="shared" ref="BN19:BV31" ca="1" si="4">INDIRECT(ADDRESS(25,COLUMN(),1,,$A19))</f>
        <v>0</v>
      </c>
      <c r="BU19">
        <f t="shared" ca="1" si="4"/>
        <v>0</v>
      </c>
      <c r="BV19">
        <f t="shared" ca="1" si="4"/>
        <v>0</v>
      </c>
    </row>
    <row r="20" spans="1:74">
      <c r="A20" s="6" t="str">
        <f t="shared" ref="A20:A31" si="5">A5</f>
        <v>Wk02</v>
      </c>
      <c r="B20" s="6"/>
      <c r="C20" s="6"/>
      <c r="D20" s="6"/>
      <c r="E20">
        <f t="shared" ref="E20:F31" si="6">E$2*10</f>
        <v>5.5384615384615383</v>
      </c>
      <c r="F20">
        <f t="shared" si="6"/>
        <v>6.4615384615384617</v>
      </c>
      <c r="G20">
        <f t="shared" ca="1" si="0"/>
        <v>4</v>
      </c>
      <c r="H20">
        <f t="shared" ca="1" si="0"/>
        <v>6</v>
      </c>
      <c r="I20">
        <f t="shared" ref="I20:W20" ca="1" si="7">INDIRECT(ADDRESS(25,COLUMN(),1,,$A20))</f>
        <v>4</v>
      </c>
      <c r="J20">
        <f t="shared" ca="1" si="7"/>
        <v>0</v>
      </c>
      <c r="K20">
        <f t="shared" ca="1" si="7"/>
        <v>3</v>
      </c>
      <c r="L20">
        <f t="shared" ca="1" si="7"/>
        <v>4</v>
      </c>
      <c r="M20">
        <f t="shared" ca="1" si="7"/>
        <v>7</v>
      </c>
      <c r="N20">
        <f t="shared" ca="1" si="7"/>
        <v>4</v>
      </c>
      <c r="O20">
        <f t="shared" ca="1" si="7"/>
        <v>3</v>
      </c>
      <c r="P20">
        <f t="shared" ca="1" si="7"/>
        <v>4</v>
      </c>
      <c r="Q20">
        <f t="shared" ca="1" si="7"/>
        <v>4</v>
      </c>
      <c r="R20">
        <f t="shared" ca="1" si="7"/>
        <v>5</v>
      </c>
      <c r="S20">
        <f t="shared" ca="1" si="7"/>
        <v>4</v>
      </c>
      <c r="T20">
        <f t="shared" ca="1" si="7"/>
        <v>2</v>
      </c>
      <c r="U20">
        <f t="shared" ca="1" si="7"/>
        <v>3</v>
      </c>
      <c r="V20">
        <f t="shared" ca="1" si="7"/>
        <v>6</v>
      </c>
      <c r="W20">
        <f t="shared" ca="1" si="7"/>
        <v>5</v>
      </c>
      <c r="X20">
        <f t="shared" ca="1" si="1"/>
        <v>5</v>
      </c>
      <c r="Y20">
        <f t="shared" ca="1" si="1"/>
        <v>4</v>
      </c>
      <c r="Z20">
        <f t="shared" ca="1" si="1"/>
        <v>5</v>
      </c>
      <c r="AA20">
        <f t="shared" ca="1" si="1"/>
        <v>8</v>
      </c>
      <c r="AB20">
        <f t="shared" ca="1" si="1"/>
        <v>6</v>
      </c>
      <c r="AC20">
        <f t="shared" ca="1" si="1"/>
        <v>5</v>
      </c>
      <c r="AD20">
        <f t="shared" ca="1" si="1"/>
        <v>6</v>
      </c>
      <c r="AE20">
        <f t="shared" ca="1" si="1"/>
        <v>4</v>
      </c>
      <c r="AF20">
        <f t="shared" ca="1" si="1"/>
        <v>6</v>
      </c>
      <c r="AG20">
        <f t="shared" ca="1" si="1"/>
        <v>3</v>
      </c>
      <c r="AH20">
        <f t="shared" ca="1" si="1"/>
        <v>7</v>
      </c>
      <c r="AI20">
        <f t="shared" ca="1" si="1"/>
        <v>2</v>
      </c>
      <c r="AJ20">
        <f t="shared" ca="1" si="1"/>
        <v>7</v>
      </c>
      <c r="AK20">
        <f t="shared" ca="1" si="1"/>
        <v>3</v>
      </c>
      <c r="AL20">
        <f t="shared" ca="1" si="2"/>
        <v>3</v>
      </c>
      <c r="AM20">
        <f t="shared" ca="1" si="2"/>
        <v>4</v>
      </c>
      <c r="AN20">
        <f t="shared" ca="1" si="2"/>
        <v>7</v>
      </c>
      <c r="AO20">
        <f t="shared" ca="1" si="2"/>
        <v>4</v>
      </c>
      <c r="AP20">
        <f t="shared" ca="1" si="2"/>
        <v>0</v>
      </c>
      <c r="AQ20">
        <f t="shared" ca="1" si="2"/>
        <v>8</v>
      </c>
      <c r="AR20">
        <f t="shared" ca="1" si="2"/>
        <v>6</v>
      </c>
      <c r="AS20">
        <f t="shared" ca="1" si="2"/>
        <v>2</v>
      </c>
      <c r="AT20">
        <f t="shared" ca="1" si="2"/>
        <v>4</v>
      </c>
      <c r="AU20">
        <f t="shared" ca="1" si="2"/>
        <v>7</v>
      </c>
      <c r="AV20">
        <f t="shared" ca="1" si="2"/>
        <v>6</v>
      </c>
      <c r="AW20">
        <f t="shared" ca="1" si="2"/>
        <v>3</v>
      </c>
      <c r="AX20">
        <f t="shared" ca="1" si="2"/>
        <v>3</v>
      </c>
      <c r="AY20">
        <f t="shared" ca="1" si="2"/>
        <v>5</v>
      </c>
      <c r="AZ20">
        <f t="shared" ca="1" si="2"/>
        <v>5</v>
      </c>
      <c r="BA20">
        <f t="shared" ca="1" si="2"/>
        <v>7</v>
      </c>
      <c r="BB20">
        <f t="shared" ca="1" si="2"/>
        <v>4</v>
      </c>
      <c r="BC20">
        <f t="shared" ref="BC20:BC31" ca="1" si="8">INDIRECT(ADDRESS(25,COLUMN(),1,,$A20))</f>
        <v>4</v>
      </c>
      <c r="BD20">
        <f t="shared" ca="1" si="3"/>
        <v>6</v>
      </c>
      <c r="BE20">
        <f t="shared" ca="1" si="3"/>
        <v>6</v>
      </c>
      <c r="BF20">
        <f t="shared" ca="1" si="3"/>
        <v>4</v>
      </c>
      <c r="BG20">
        <f t="shared" ca="1" si="3"/>
        <v>2</v>
      </c>
      <c r="BH20">
        <f t="shared" ca="1" si="3"/>
        <v>5</v>
      </c>
      <c r="BI20">
        <f t="shared" ca="1" si="3"/>
        <v>6</v>
      </c>
      <c r="BJ20">
        <f t="shared" ca="1" si="3"/>
        <v>7</v>
      </c>
      <c r="BK20">
        <f t="shared" ca="1" si="3"/>
        <v>4</v>
      </c>
      <c r="BL20">
        <f t="shared" ca="1" si="3"/>
        <v>6</v>
      </c>
      <c r="BM20">
        <f t="shared" ca="1" si="3"/>
        <v>4</v>
      </c>
      <c r="BN20">
        <f t="shared" ca="1" si="4"/>
        <v>5</v>
      </c>
      <c r="BO20">
        <f t="shared" ca="1" si="4"/>
        <v>0</v>
      </c>
      <c r="BP20">
        <f t="shared" ca="1" si="4"/>
        <v>0</v>
      </c>
      <c r="BQ20">
        <f t="shared" ca="1" si="4"/>
        <v>0</v>
      </c>
      <c r="BR20">
        <f t="shared" ca="1" si="4"/>
        <v>0</v>
      </c>
      <c r="BS20">
        <f t="shared" ca="1" si="4"/>
        <v>0</v>
      </c>
      <c r="BT20">
        <f t="shared" ca="1" si="4"/>
        <v>0</v>
      </c>
      <c r="BU20">
        <f t="shared" ca="1" si="4"/>
        <v>0</v>
      </c>
      <c r="BV20">
        <f t="shared" ca="1" si="4"/>
        <v>0</v>
      </c>
    </row>
    <row r="21" spans="1:74">
      <c r="A21" s="6" t="str">
        <f t="shared" si="5"/>
        <v>Wk03</v>
      </c>
      <c r="B21" s="6"/>
      <c r="C21" s="6"/>
      <c r="D21" s="6"/>
      <c r="E21">
        <f t="shared" si="6"/>
        <v>5.5384615384615383</v>
      </c>
      <c r="F21">
        <f t="shared" si="6"/>
        <v>6.4615384615384617</v>
      </c>
      <c r="G21">
        <f t="shared" ca="1" si="0"/>
        <v>5</v>
      </c>
      <c r="H21">
        <f t="shared" ca="1" si="0"/>
        <v>5</v>
      </c>
      <c r="I21">
        <f t="shared" ca="1" si="1"/>
        <v>6</v>
      </c>
      <c r="J21">
        <f t="shared" ca="1" si="1"/>
        <v>0</v>
      </c>
      <c r="K21">
        <f t="shared" ca="1" si="1"/>
        <v>8</v>
      </c>
      <c r="L21">
        <f t="shared" ca="1" si="1"/>
        <v>7</v>
      </c>
      <c r="M21">
        <f t="shared" ca="1" si="1"/>
        <v>4</v>
      </c>
      <c r="N21">
        <f t="shared" ca="1" si="1"/>
        <v>8</v>
      </c>
      <c r="O21">
        <f t="shared" ca="1" si="1"/>
        <v>0</v>
      </c>
      <c r="P21">
        <f t="shared" ca="1" si="1"/>
        <v>3</v>
      </c>
      <c r="Q21">
        <f t="shared" ca="1" si="1"/>
        <v>0</v>
      </c>
      <c r="R21">
        <f t="shared" ca="1" si="1"/>
        <v>6</v>
      </c>
      <c r="S21">
        <f t="shared" ca="1" si="1"/>
        <v>4</v>
      </c>
      <c r="T21">
        <f t="shared" ca="1" si="1"/>
        <v>5</v>
      </c>
      <c r="U21">
        <f t="shared" ca="1" si="1"/>
        <v>0</v>
      </c>
      <c r="V21">
        <f t="shared" ca="1" si="1"/>
        <v>5</v>
      </c>
      <c r="W21">
        <f t="shared" ca="1" si="1"/>
        <v>5</v>
      </c>
      <c r="X21">
        <f t="shared" ca="1" si="1"/>
        <v>5</v>
      </c>
      <c r="Y21">
        <f t="shared" ca="1" si="1"/>
        <v>5</v>
      </c>
      <c r="Z21">
        <f t="shared" ca="1" si="1"/>
        <v>6</v>
      </c>
      <c r="AA21">
        <f t="shared" ca="1" si="1"/>
        <v>7</v>
      </c>
      <c r="AB21">
        <f t="shared" ca="1" si="1"/>
        <v>6</v>
      </c>
      <c r="AC21">
        <f t="shared" ca="1" si="1"/>
        <v>7</v>
      </c>
      <c r="AD21">
        <f t="shared" ca="1" si="1"/>
        <v>4</v>
      </c>
      <c r="AE21">
        <f t="shared" ca="1" si="1"/>
        <v>5</v>
      </c>
      <c r="AF21">
        <f t="shared" ca="1" si="1"/>
        <v>6</v>
      </c>
      <c r="AG21">
        <f t="shared" ca="1" si="1"/>
        <v>0</v>
      </c>
      <c r="AH21">
        <f t="shared" ca="1" si="1"/>
        <v>5</v>
      </c>
      <c r="AI21">
        <f t="shared" ca="1" si="1"/>
        <v>6</v>
      </c>
      <c r="AJ21">
        <f t="shared" ca="1" si="1"/>
        <v>0</v>
      </c>
      <c r="AK21">
        <f t="shared" ca="1" si="1"/>
        <v>0</v>
      </c>
      <c r="AL21">
        <f t="shared" ca="1" si="2"/>
        <v>4</v>
      </c>
      <c r="AM21">
        <f t="shared" ca="1" si="2"/>
        <v>6</v>
      </c>
      <c r="AN21">
        <f t="shared" ca="1" si="2"/>
        <v>5</v>
      </c>
      <c r="AO21">
        <f t="shared" ca="1" si="2"/>
        <v>5</v>
      </c>
      <c r="AP21">
        <f t="shared" ca="1" si="2"/>
        <v>0</v>
      </c>
      <c r="AQ21">
        <f t="shared" ca="1" si="2"/>
        <v>6</v>
      </c>
      <c r="AR21">
        <f t="shared" ca="1" si="2"/>
        <v>7</v>
      </c>
      <c r="AS21">
        <f t="shared" ca="1" si="2"/>
        <v>7</v>
      </c>
      <c r="AT21">
        <f t="shared" ca="1" si="2"/>
        <v>6</v>
      </c>
      <c r="AU21">
        <f t="shared" ca="1" si="2"/>
        <v>6</v>
      </c>
      <c r="AV21">
        <f t="shared" ca="1" si="2"/>
        <v>6</v>
      </c>
      <c r="AW21">
        <f t="shared" ca="1" si="2"/>
        <v>4</v>
      </c>
      <c r="AX21">
        <f t="shared" ca="1" si="2"/>
        <v>6</v>
      </c>
      <c r="AY21">
        <f t="shared" ca="1" si="2"/>
        <v>5</v>
      </c>
      <c r="AZ21">
        <f t="shared" ca="1" si="2"/>
        <v>5</v>
      </c>
      <c r="BA21">
        <f t="shared" ca="1" si="2"/>
        <v>7</v>
      </c>
      <c r="BB21">
        <f t="shared" ca="1" si="2"/>
        <v>7</v>
      </c>
      <c r="BC21">
        <f t="shared" ca="1" si="8"/>
        <v>5</v>
      </c>
      <c r="BD21">
        <f t="shared" ca="1" si="3"/>
        <v>7</v>
      </c>
      <c r="BE21">
        <f t="shared" ca="1" si="3"/>
        <v>7</v>
      </c>
      <c r="BF21">
        <f t="shared" ca="1" si="3"/>
        <v>3</v>
      </c>
      <c r="BG21">
        <f t="shared" ca="1" si="3"/>
        <v>0</v>
      </c>
      <c r="BH21">
        <f t="shared" ca="1" si="3"/>
        <v>6</v>
      </c>
      <c r="BI21">
        <f t="shared" ca="1" si="3"/>
        <v>5</v>
      </c>
      <c r="BJ21">
        <f t="shared" ca="1" si="3"/>
        <v>6</v>
      </c>
      <c r="BK21">
        <f t="shared" ca="1" si="3"/>
        <v>4</v>
      </c>
      <c r="BL21">
        <f t="shared" ca="1" si="3"/>
        <v>1</v>
      </c>
      <c r="BM21">
        <f t="shared" ca="1" si="3"/>
        <v>5</v>
      </c>
      <c r="BN21">
        <f t="shared" ca="1" si="4"/>
        <v>0</v>
      </c>
      <c r="BO21">
        <f t="shared" ca="1" si="4"/>
        <v>0</v>
      </c>
      <c r="BP21">
        <f t="shared" ca="1" si="4"/>
        <v>0</v>
      </c>
      <c r="BQ21">
        <f t="shared" ca="1" si="4"/>
        <v>0</v>
      </c>
      <c r="BR21">
        <f t="shared" ca="1" si="4"/>
        <v>0</v>
      </c>
      <c r="BS21">
        <f t="shared" ca="1" si="4"/>
        <v>0</v>
      </c>
      <c r="BT21">
        <f t="shared" ca="1" si="4"/>
        <v>0</v>
      </c>
      <c r="BU21">
        <f t="shared" ca="1" si="4"/>
        <v>0</v>
      </c>
      <c r="BV21">
        <f t="shared" ca="1" si="4"/>
        <v>0</v>
      </c>
    </row>
    <row r="22" spans="1:74">
      <c r="A22" s="6" t="str">
        <f t="shared" si="5"/>
        <v>Wk04</v>
      </c>
      <c r="B22" s="6"/>
      <c r="C22" s="6"/>
      <c r="D22" s="6"/>
      <c r="E22">
        <f t="shared" si="6"/>
        <v>5.5384615384615383</v>
      </c>
      <c r="F22">
        <f t="shared" si="6"/>
        <v>6.4615384615384617</v>
      </c>
      <c r="G22">
        <f t="shared" ca="1" si="0"/>
        <v>5</v>
      </c>
      <c r="H22">
        <f t="shared" ca="1" si="0"/>
        <v>8</v>
      </c>
      <c r="I22">
        <f t="shared" ca="1" si="1"/>
        <v>6</v>
      </c>
      <c r="J22">
        <f t="shared" ca="1" si="1"/>
        <v>0</v>
      </c>
      <c r="K22">
        <f t="shared" ca="1" si="1"/>
        <v>4</v>
      </c>
      <c r="L22">
        <f t="shared" ca="1" si="1"/>
        <v>5</v>
      </c>
      <c r="M22">
        <f t="shared" ca="1" si="1"/>
        <v>6</v>
      </c>
      <c r="N22">
        <f t="shared" ca="1" si="1"/>
        <v>6</v>
      </c>
      <c r="O22">
        <f t="shared" ca="1" si="1"/>
        <v>4</v>
      </c>
      <c r="P22">
        <f t="shared" ca="1" si="1"/>
        <v>4</v>
      </c>
      <c r="Q22">
        <f t="shared" ca="1" si="1"/>
        <v>5</v>
      </c>
      <c r="R22">
        <f t="shared" ca="1" si="1"/>
        <v>7</v>
      </c>
      <c r="S22">
        <f t="shared" ca="1" si="1"/>
        <v>7</v>
      </c>
      <c r="T22">
        <f t="shared" ca="1" si="1"/>
        <v>2</v>
      </c>
      <c r="U22">
        <f t="shared" ca="1" si="1"/>
        <v>6</v>
      </c>
      <c r="V22">
        <f t="shared" ca="1" si="1"/>
        <v>3</v>
      </c>
      <c r="W22">
        <f t="shared" ca="1" si="1"/>
        <v>7</v>
      </c>
      <c r="X22">
        <f t="shared" ca="1" si="1"/>
        <v>0</v>
      </c>
      <c r="Y22">
        <f t="shared" ca="1" si="1"/>
        <v>6</v>
      </c>
      <c r="Z22">
        <f t="shared" ca="1" si="1"/>
        <v>4</v>
      </c>
      <c r="AA22">
        <f t="shared" ca="1" si="1"/>
        <v>5</v>
      </c>
      <c r="AB22">
        <f t="shared" ca="1" si="1"/>
        <v>6</v>
      </c>
      <c r="AC22">
        <f t="shared" ca="1" si="1"/>
        <v>6</v>
      </c>
      <c r="AD22">
        <f t="shared" ca="1" si="1"/>
        <v>7</v>
      </c>
      <c r="AE22">
        <f t="shared" ca="1" si="1"/>
        <v>2</v>
      </c>
      <c r="AF22">
        <f t="shared" ca="1" si="1"/>
        <v>4</v>
      </c>
      <c r="AG22">
        <f t="shared" ca="1" si="1"/>
        <v>6</v>
      </c>
      <c r="AH22">
        <f t="shared" ca="1" si="1"/>
        <v>7</v>
      </c>
      <c r="AI22">
        <f t="shared" ca="1" si="1"/>
        <v>9</v>
      </c>
      <c r="AJ22">
        <f t="shared" ca="1" si="1"/>
        <v>5</v>
      </c>
      <c r="AK22">
        <f t="shared" ca="1" si="1"/>
        <v>3</v>
      </c>
      <c r="AL22">
        <f t="shared" ca="1" si="2"/>
        <v>5</v>
      </c>
      <c r="AM22">
        <f t="shared" ca="1" si="2"/>
        <v>7</v>
      </c>
      <c r="AN22">
        <f t="shared" ca="1" si="2"/>
        <v>5</v>
      </c>
      <c r="AO22">
        <f t="shared" ca="1" si="2"/>
        <v>5</v>
      </c>
      <c r="AP22">
        <f t="shared" ca="1" si="2"/>
        <v>6</v>
      </c>
      <c r="AQ22">
        <f t="shared" ca="1" si="2"/>
        <v>5</v>
      </c>
      <c r="AR22">
        <f t="shared" ca="1" si="2"/>
        <v>3</v>
      </c>
      <c r="AS22">
        <f t="shared" ca="1" si="2"/>
        <v>3</v>
      </c>
      <c r="AT22">
        <f t="shared" ca="1" si="2"/>
        <v>4</v>
      </c>
      <c r="AU22">
        <f t="shared" ca="1" si="2"/>
        <v>5</v>
      </c>
      <c r="AV22">
        <f t="shared" ca="1" si="2"/>
        <v>4</v>
      </c>
      <c r="AW22">
        <f t="shared" ca="1" si="2"/>
        <v>4</v>
      </c>
      <c r="AX22">
        <f t="shared" ca="1" si="2"/>
        <v>6</v>
      </c>
      <c r="AY22">
        <f t="shared" ca="1" si="2"/>
        <v>5</v>
      </c>
      <c r="AZ22">
        <f t="shared" ca="1" si="2"/>
        <v>4</v>
      </c>
      <c r="BA22">
        <f t="shared" ca="1" si="2"/>
        <v>6</v>
      </c>
      <c r="BB22">
        <f t="shared" ca="1" si="2"/>
        <v>7</v>
      </c>
      <c r="BC22">
        <f t="shared" ca="1" si="8"/>
        <v>7</v>
      </c>
      <c r="BD22">
        <f t="shared" ca="1" si="3"/>
        <v>4</v>
      </c>
      <c r="BE22">
        <f t="shared" ca="1" si="3"/>
        <v>0</v>
      </c>
      <c r="BF22">
        <f t="shared" ca="1" si="3"/>
        <v>0</v>
      </c>
      <c r="BG22">
        <f t="shared" ca="1" si="3"/>
        <v>6</v>
      </c>
      <c r="BH22">
        <f t="shared" ca="1" si="3"/>
        <v>3</v>
      </c>
      <c r="BI22">
        <f t="shared" ca="1" si="3"/>
        <v>6</v>
      </c>
      <c r="BJ22">
        <f t="shared" ca="1" si="3"/>
        <v>6</v>
      </c>
      <c r="BK22">
        <f t="shared" ca="1" si="3"/>
        <v>2</v>
      </c>
      <c r="BL22">
        <f t="shared" ca="1" si="3"/>
        <v>5</v>
      </c>
      <c r="BM22">
        <f t="shared" ca="1" si="3"/>
        <v>6</v>
      </c>
      <c r="BN22">
        <f t="shared" ca="1" si="4"/>
        <v>4</v>
      </c>
      <c r="BO22">
        <f t="shared" ca="1" si="4"/>
        <v>0</v>
      </c>
      <c r="BP22">
        <f t="shared" ca="1" si="4"/>
        <v>0</v>
      </c>
      <c r="BQ22">
        <f t="shared" ca="1" si="4"/>
        <v>0</v>
      </c>
      <c r="BR22">
        <f t="shared" ca="1" si="4"/>
        <v>0</v>
      </c>
      <c r="BS22">
        <f t="shared" ca="1" si="4"/>
        <v>0</v>
      </c>
      <c r="BT22">
        <f t="shared" ca="1" si="4"/>
        <v>0</v>
      </c>
      <c r="BU22">
        <f t="shared" ca="1" si="4"/>
        <v>0</v>
      </c>
      <c r="BV22">
        <f t="shared" ca="1" si="4"/>
        <v>0</v>
      </c>
    </row>
    <row r="23" spans="1:74">
      <c r="A23" s="6" t="str">
        <f t="shared" si="5"/>
        <v>Wk05</v>
      </c>
      <c r="B23" s="6"/>
      <c r="C23" s="6"/>
      <c r="D23" s="6"/>
      <c r="E23">
        <f t="shared" si="6"/>
        <v>5.5384615384615383</v>
      </c>
      <c r="F23">
        <f t="shared" si="6"/>
        <v>6.4615384615384617</v>
      </c>
      <c r="G23">
        <f t="shared" ca="1" si="0"/>
        <v>5</v>
      </c>
      <c r="H23">
        <f t="shared" ca="1" si="0"/>
        <v>6</v>
      </c>
      <c r="I23">
        <f t="shared" ca="1" si="1"/>
        <v>5</v>
      </c>
      <c r="J23">
        <f t="shared" ca="1" si="1"/>
        <v>0</v>
      </c>
      <c r="K23">
        <f t="shared" ca="1" si="1"/>
        <v>5</v>
      </c>
      <c r="L23">
        <f t="shared" ca="1" si="1"/>
        <v>5</v>
      </c>
      <c r="M23">
        <f t="shared" ca="1" si="1"/>
        <v>6</v>
      </c>
      <c r="N23">
        <f t="shared" ca="1" si="1"/>
        <v>5</v>
      </c>
      <c r="O23">
        <f t="shared" ca="1" si="1"/>
        <v>4</v>
      </c>
      <c r="P23">
        <f t="shared" ca="1" si="1"/>
        <v>5</v>
      </c>
      <c r="Q23">
        <f t="shared" ca="1" si="1"/>
        <v>6</v>
      </c>
      <c r="R23">
        <f t="shared" ca="1" si="1"/>
        <v>3</v>
      </c>
      <c r="S23">
        <f t="shared" ca="1" si="1"/>
        <v>6</v>
      </c>
      <c r="T23">
        <f t="shared" ca="1" si="1"/>
        <v>5</v>
      </c>
      <c r="U23">
        <f t="shared" ca="1" si="1"/>
        <v>5</v>
      </c>
      <c r="V23">
        <f t="shared" ca="1" si="1"/>
        <v>5</v>
      </c>
      <c r="W23">
        <f t="shared" ca="1" si="1"/>
        <v>4</v>
      </c>
      <c r="X23">
        <f t="shared" ca="1" si="1"/>
        <v>6</v>
      </c>
      <c r="Y23">
        <f t="shared" ca="1" si="1"/>
        <v>4</v>
      </c>
      <c r="Z23">
        <f t="shared" ca="1" si="1"/>
        <v>7</v>
      </c>
      <c r="AA23">
        <f t="shared" ca="1" si="1"/>
        <v>0</v>
      </c>
      <c r="AB23">
        <f t="shared" ca="1" si="1"/>
        <v>5</v>
      </c>
      <c r="AC23">
        <f t="shared" ca="1" si="1"/>
        <v>1</v>
      </c>
      <c r="AD23">
        <f t="shared" ca="1" si="1"/>
        <v>6</v>
      </c>
      <c r="AE23">
        <f t="shared" ca="1" si="1"/>
        <v>6</v>
      </c>
      <c r="AF23">
        <f t="shared" ca="1" si="1"/>
        <v>6</v>
      </c>
      <c r="AG23">
        <f t="shared" ca="1" si="1"/>
        <v>5</v>
      </c>
      <c r="AH23">
        <f t="shared" ca="1" si="1"/>
        <v>4</v>
      </c>
      <c r="AI23">
        <f t="shared" ca="1" si="1"/>
        <v>6</v>
      </c>
      <c r="AJ23">
        <f t="shared" ca="1" si="1"/>
        <v>4</v>
      </c>
      <c r="AK23">
        <f t="shared" ca="1" si="1"/>
        <v>5</v>
      </c>
      <c r="AL23">
        <f t="shared" ca="1" si="2"/>
        <v>2</v>
      </c>
      <c r="AM23">
        <f t="shared" ca="1" si="2"/>
        <v>5</v>
      </c>
      <c r="AN23">
        <f t="shared" ca="1" si="2"/>
        <v>3</v>
      </c>
      <c r="AO23">
        <f t="shared" ca="1" si="2"/>
        <v>4</v>
      </c>
      <c r="AP23">
        <f t="shared" ca="1" si="2"/>
        <v>4</v>
      </c>
      <c r="AQ23">
        <f t="shared" ca="1" si="2"/>
        <v>5</v>
      </c>
      <c r="AR23">
        <f t="shared" ca="1" si="2"/>
        <v>6</v>
      </c>
      <c r="AS23">
        <f t="shared" ca="1" si="2"/>
        <v>6</v>
      </c>
      <c r="AT23">
        <f t="shared" ca="1" si="2"/>
        <v>5</v>
      </c>
      <c r="AU23">
        <f t="shared" ca="1" si="2"/>
        <v>3</v>
      </c>
      <c r="AV23">
        <f t="shared" ca="1" si="2"/>
        <v>2</v>
      </c>
      <c r="AW23">
        <f t="shared" ca="1" si="2"/>
        <v>7</v>
      </c>
      <c r="AX23">
        <f t="shared" ca="1" si="2"/>
        <v>2</v>
      </c>
      <c r="AY23">
        <f t="shared" ca="1" si="2"/>
        <v>3</v>
      </c>
      <c r="AZ23">
        <f t="shared" ca="1" si="2"/>
        <v>6</v>
      </c>
      <c r="BA23">
        <f t="shared" ca="1" si="2"/>
        <v>3</v>
      </c>
      <c r="BB23">
        <f t="shared" ca="1" si="2"/>
        <v>5</v>
      </c>
      <c r="BC23">
        <f t="shared" ca="1" si="8"/>
        <v>3</v>
      </c>
      <c r="BD23">
        <f t="shared" ca="1" si="3"/>
        <v>8</v>
      </c>
      <c r="BE23">
        <f t="shared" ca="1" si="3"/>
        <v>5</v>
      </c>
      <c r="BF23">
        <f t="shared" ca="1" si="3"/>
        <v>6</v>
      </c>
      <c r="BG23">
        <f t="shared" ca="1" si="3"/>
        <v>6</v>
      </c>
      <c r="BH23">
        <f t="shared" ca="1" si="3"/>
        <v>6</v>
      </c>
      <c r="BI23">
        <f t="shared" ca="1" si="3"/>
        <v>3</v>
      </c>
      <c r="BJ23">
        <f t="shared" ca="1" si="3"/>
        <v>6</v>
      </c>
      <c r="BK23">
        <f t="shared" ca="1" si="3"/>
        <v>4</v>
      </c>
      <c r="BL23">
        <f t="shared" ca="1" si="3"/>
        <v>4</v>
      </c>
      <c r="BM23">
        <f t="shared" ca="1" si="3"/>
        <v>5</v>
      </c>
      <c r="BN23">
        <f t="shared" ca="1" si="4"/>
        <v>6</v>
      </c>
      <c r="BO23">
        <f t="shared" ca="1" si="4"/>
        <v>0</v>
      </c>
      <c r="BP23">
        <f t="shared" ca="1" si="4"/>
        <v>0</v>
      </c>
      <c r="BQ23">
        <f t="shared" ca="1" si="4"/>
        <v>0</v>
      </c>
      <c r="BR23">
        <f t="shared" ca="1" si="4"/>
        <v>0</v>
      </c>
      <c r="BS23">
        <f t="shared" ca="1" si="4"/>
        <v>0</v>
      </c>
      <c r="BT23">
        <f t="shared" ca="1" si="4"/>
        <v>0</v>
      </c>
      <c r="BU23">
        <f t="shared" ca="1" si="4"/>
        <v>0</v>
      </c>
      <c r="BV23">
        <f t="shared" ca="1" si="4"/>
        <v>0</v>
      </c>
    </row>
    <row r="24" spans="1:74">
      <c r="A24" s="6" t="str">
        <f t="shared" si="5"/>
        <v>Wk06</v>
      </c>
      <c r="B24" s="6"/>
      <c r="C24" s="6"/>
      <c r="D24" s="6"/>
      <c r="E24">
        <f t="shared" si="6"/>
        <v>5.5384615384615383</v>
      </c>
      <c r="F24">
        <f t="shared" si="6"/>
        <v>6.4615384615384617</v>
      </c>
      <c r="G24">
        <f t="shared" ca="1" si="0"/>
        <v>3</v>
      </c>
      <c r="H24">
        <f t="shared" ca="1" si="0"/>
        <v>5</v>
      </c>
      <c r="I24">
        <f t="shared" ca="1" si="1"/>
        <v>6.5</v>
      </c>
      <c r="J24">
        <f t="shared" ca="1" si="1"/>
        <v>0</v>
      </c>
      <c r="K24">
        <f t="shared" ca="1" si="1"/>
        <v>4</v>
      </c>
      <c r="L24">
        <f t="shared" ca="1" si="1"/>
        <v>2</v>
      </c>
      <c r="M24">
        <f t="shared" ca="1" si="1"/>
        <v>0</v>
      </c>
      <c r="N24">
        <f t="shared" ca="1" si="1"/>
        <v>4</v>
      </c>
      <c r="O24">
        <f t="shared" ca="1" si="1"/>
        <v>1</v>
      </c>
      <c r="P24">
        <f t="shared" ca="1" si="1"/>
        <v>5</v>
      </c>
      <c r="Q24">
        <f t="shared" ca="1" si="1"/>
        <v>4</v>
      </c>
      <c r="R24">
        <f t="shared" ca="1" si="1"/>
        <v>5</v>
      </c>
      <c r="S24">
        <f t="shared" ca="1" si="1"/>
        <v>3</v>
      </c>
      <c r="T24">
        <f t="shared" ca="1" si="1"/>
        <v>0</v>
      </c>
      <c r="U24">
        <f t="shared" ca="1" si="1"/>
        <v>5</v>
      </c>
      <c r="V24">
        <f t="shared" ca="1" si="1"/>
        <v>5</v>
      </c>
      <c r="W24">
        <f t="shared" ca="1" si="1"/>
        <v>6</v>
      </c>
      <c r="X24">
        <f t="shared" ca="1" si="1"/>
        <v>7</v>
      </c>
      <c r="Y24">
        <f t="shared" ca="1" si="1"/>
        <v>4</v>
      </c>
      <c r="Z24">
        <f t="shared" ca="1" si="1"/>
        <v>5</v>
      </c>
      <c r="AA24">
        <f t="shared" ca="1" si="1"/>
        <v>5</v>
      </c>
      <c r="AB24">
        <f t="shared" ca="1" si="1"/>
        <v>5</v>
      </c>
      <c r="AC24">
        <f t="shared" ca="1" si="1"/>
        <v>4</v>
      </c>
      <c r="AD24">
        <f t="shared" ca="1" si="1"/>
        <v>6</v>
      </c>
      <c r="AE24">
        <f t="shared" ca="1" si="1"/>
        <v>0</v>
      </c>
      <c r="AF24">
        <f t="shared" ca="1" si="1"/>
        <v>4</v>
      </c>
      <c r="AG24">
        <f t="shared" ca="1" si="1"/>
        <v>6</v>
      </c>
      <c r="AH24">
        <f t="shared" ca="1" si="1"/>
        <v>6</v>
      </c>
      <c r="AI24">
        <f t="shared" ca="1" si="1"/>
        <v>2</v>
      </c>
      <c r="AJ24">
        <f t="shared" ca="1" si="1"/>
        <v>5</v>
      </c>
      <c r="AK24">
        <f t="shared" ca="1" si="1"/>
        <v>2</v>
      </c>
      <c r="AL24">
        <f t="shared" ca="1" si="2"/>
        <v>5</v>
      </c>
      <c r="AM24">
        <f t="shared" ca="1" si="2"/>
        <v>6</v>
      </c>
      <c r="AN24">
        <f t="shared" ca="1" si="2"/>
        <v>4</v>
      </c>
      <c r="AO24">
        <f t="shared" ca="1" si="2"/>
        <v>4</v>
      </c>
      <c r="AP24">
        <f t="shared" ca="1" si="2"/>
        <v>5</v>
      </c>
      <c r="AQ24">
        <f t="shared" ca="1" si="2"/>
        <v>6</v>
      </c>
      <c r="AR24">
        <f t="shared" ca="1" si="2"/>
        <v>4</v>
      </c>
      <c r="AS24">
        <f t="shared" ca="1" si="2"/>
        <v>5</v>
      </c>
      <c r="AT24">
        <f t="shared" ca="1" si="2"/>
        <v>0</v>
      </c>
      <c r="AU24">
        <f t="shared" ca="1" si="2"/>
        <v>4</v>
      </c>
      <c r="AV24">
        <f t="shared" ca="1" si="2"/>
        <v>4</v>
      </c>
      <c r="AW24">
        <f t="shared" ca="1" si="2"/>
        <v>5</v>
      </c>
      <c r="AX24">
        <f t="shared" ca="1" si="2"/>
        <v>6</v>
      </c>
      <c r="AY24">
        <f t="shared" ca="1" si="2"/>
        <v>5</v>
      </c>
      <c r="AZ24">
        <f t="shared" ca="1" si="2"/>
        <v>0</v>
      </c>
      <c r="BA24">
        <f t="shared" ca="1" si="2"/>
        <v>8</v>
      </c>
      <c r="BB24">
        <f t="shared" ca="1" si="2"/>
        <v>4</v>
      </c>
      <c r="BC24">
        <f t="shared" ca="1" si="8"/>
        <v>3</v>
      </c>
      <c r="BD24">
        <f t="shared" ca="1" si="3"/>
        <v>4</v>
      </c>
      <c r="BE24">
        <f t="shared" ca="1" si="3"/>
        <v>3</v>
      </c>
      <c r="BF24">
        <f t="shared" ca="1" si="3"/>
        <v>5</v>
      </c>
      <c r="BG24">
        <f t="shared" ca="1" si="3"/>
        <v>6</v>
      </c>
      <c r="BH24">
        <f t="shared" ca="1" si="3"/>
        <v>4</v>
      </c>
      <c r="BI24">
        <f t="shared" ca="1" si="3"/>
        <v>3</v>
      </c>
      <c r="BJ24">
        <f t="shared" ca="1" si="3"/>
        <v>6</v>
      </c>
      <c r="BK24">
        <f t="shared" ca="1" si="3"/>
        <v>4</v>
      </c>
      <c r="BL24">
        <f t="shared" ca="1" si="3"/>
        <v>4</v>
      </c>
      <c r="BM24">
        <f t="shared" ca="1" si="3"/>
        <v>2</v>
      </c>
      <c r="BN24">
        <f t="shared" ca="1" si="4"/>
        <v>6</v>
      </c>
      <c r="BO24">
        <f t="shared" ca="1" si="4"/>
        <v>0</v>
      </c>
      <c r="BP24">
        <f t="shared" ca="1" si="4"/>
        <v>0</v>
      </c>
      <c r="BQ24">
        <f t="shared" ca="1" si="4"/>
        <v>0</v>
      </c>
      <c r="BR24">
        <f t="shared" ca="1" si="4"/>
        <v>0</v>
      </c>
      <c r="BS24">
        <f t="shared" ca="1" si="4"/>
        <v>0</v>
      </c>
      <c r="BT24">
        <f t="shared" ca="1" si="4"/>
        <v>0</v>
      </c>
      <c r="BU24">
        <f t="shared" ca="1" si="4"/>
        <v>0</v>
      </c>
      <c r="BV24">
        <f t="shared" ca="1" si="4"/>
        <v>0</v>
      </c>
    </row>
    <row r="25" spans="1:74">
      <c r="A25" s="6" t="str">
        <f t="shared" si="5"/>
        <v>Wk07</v>
      </c>
      <c r="B25" s="6"/>
      <c r="C25" s="6"/>
      <c r="D25" s="6"/>
      <c r="E25">
        <f t="shared" si="6"/>
        <v>5.5384615384615383</v>
      </c>
      <c r="F25">
        <f t="shared" si="6"/>
        <v>6.4615384615384617</v>
      </c>
      <c r="G25">
        <f t="shared" ca="1" si="0"/>
        <v>0</v>
      </c>
      <c r="H25">
        <f t="shared" ca="1" si="0"/>
        <v>0</v>
      </c>
      <c r="I25">
        <f t="shared" ca="1" si="1"/>
        <v>0</v>
      </c>
      <c r="J25">
        <f t="shared" ca="1" si="1"/>
        <v>0</v>
      </c>
      <c r="K25">
        <f t="shared" ca="1" si="1"/>
        <v>0</v>
      </c>
      <c r="L25">
        <f t="shared" ca="1" si="1"/>
        <v>0</v>
      </c>
      <c r="M25">
        <f t="shared" ca="1" si="1"/>
        <v>0</v>
      </c>
      <c r="N25">
        <f t="shared" ca="1" si="1"/>
        <v>0</v>
      </c>
      <c r="O25">
        <f t="shared" ca="1" si="1"/>
        <v>0</v>
      </c>
      <c r="P25">
        <f t="shared" ca="1" si="1"/>
        <v>0</v>
      </c>
      <c r="Q25">
        <f t="shared" ca="1" si="1"/>
        <v>0</v>
      </c>
      <c r="R25">
        <f t="shared" ca="1" si="1"/>
        <v>0</v>
      </c>
      <c r="S25">
        <f t="shared" ca="1" si="1"/>
        <v>0</v>
      </c>
      <c r="T25">
        <f t="shared" ca="1" si="1"/>
        <v>0</v>
      </c>
      <c r="U25">
        <f t="shared" ca="1" si="1"/>
        <v>0</v>
      </c>
      <c r="V25">
        <f t="shared" ca="1" si="1"/>
        <v>0</v>
      </c>
      <c r="W25">
        <f t="shared" ca="1" si="1"/>
        <v>0</v>
      </c>
      <c r="X25">
        <f t="shared" ca="1" si="1"/>
        <v>0</v>
      </c>
      <c r="Y25">
        <f t="shared" ca="1" si="1"/>
        <v>0</v>
      </c>
      <c r="Z25">
        <f t="shared" ca="1" si="1"/>
        <v>0</v>
      </c>
      <c r="AA25">
        <f t="shared" ca="1" si="1"/>
        <v>0</v>
      </c>
      <c r="AB25">
        <f t="shared" ca="1" si="1"/>
        <v>0</v>
      </c>
      <c r="AC25">
        <f t="shared" ca="1" si="1"/>
        <v>0</v>
      </c>
      <c r="AD25">
        <f t="shared" ca="1" si="1"/>
        <v>0</v>
      </c>
      <c r="AE25">
        <f t="shared" ca="1" si="1"/>
        <v>0</v>
      </c>
      <c r="AF25">
        <f t="shared" ca="1" si="1"/>
        <v>0</v>
      </c>
      <c r="AG25">
        <f t="shared" ca="1" si="1"/>
        <v>0</v>
      </c>
      <c r="AH25">
        <f t="shared" ca="1" si="1"/>
        <v>0</v>
      </c>
      <c r="AI25">
        <f t="shared" ca="1" si="1"/>
        <v>0</v>
      </c>
      <c r="AJ25">
        <f t="shared" ca="1" si="1"/>
        <v>0</v>
      </c>
      <c r="AK25">
        <f t="shared" ca="1" si="1"/>
        <v>0</v>
      </c>
      <c r="AL25">
        <f t="shared" ca="1" si="2"/>
        <v>0</v>
      </c>
      <c r="AM25">
        <f t="shared" ca="1" si="2"/>
        <v>0</v>
      </c>
      <c r="AN25">
        <f t="shared" ca="1" si="2"/>
        <v>0</v>
      </c>
      <c r="AO25">
        <f t="shared" ca="1" si="2"/>
        <v>0</v>
      </c>
      <c r="AP25">
        <f t="shared" ca="1" si="2"/>
        <v>0</v>
      </c>
      <c r="AQ25">
        <f t="shared" ca="1" si="2"/>
        <v>0</v>
      </c>
      <c r="AR25">
        <f t="shared" ca="1" si="2"/>
        <v>0</v>
      </c>
      <c r="AS25">
        <f t="shared" ca="1" si="2"/>
        <v>0</v>
      </c>
      <c r="AT25">
        <f t="shared" ca="1" si="2"/>
        <v>0</v>
      </c>
      <c r="AU25">
        <f t="shared" ca="1" si="2"/>
        <v>0</v>
      </c>
      <c r="AV25">
        <f t="shared" ca="1" si="2"/>
        <v>0</v>
      </c>
      <c r="AW25">
        <f t="shared" ca="1" si="2"/>
        <v>0</v>
      </c>
      <c r="AX25">
        <f t="shared" ca="1" si="2"/>
        <v>0</v>
      </c>
      <c r="AY25">
        <f t="shared" ca="1" si="2"/>
        <v>0</v>
      </c>
      <c r="AZ25">
        <f t="shared" ca="1" si="2"/>
        <v>0</v>
      </c>
      <c r="BA25">
        <f t="shared" ca="1" si="2"/>
        <v>0</v>
      </c>
      <c r="BB25">
        <f t="shared" ca="1" si="2"/>
        <v>0</v>
      </c>
      <c r="BC25">
        <f t="shared" ca="1" si="8"/>
        <v>0</v>
      </c>
      <c r="BD25">
        <f t="shared" ca="1" si="3"/>
        <v>0</v>
      </c>
      <c r="BE25">
        <f t="shared" ca="1" si="3"/>
        <v>0</v>
      </c>
      <c r="BF25">
        <f t="shared" ca="1" si="3"/>
        <v>0</v>
      </c>
      <c r="BG25">
        <f t="shared" ca="1" si="3"/>
        <v>0</v>
      </c>
      <c r="BH25">
        <f t="shared" ca="1" si="3"/>
        <v>0</v>
      </c>
      <c r="BI25">
        <f t="shared" ca="1" si="3"/>
        <v>0</v>
      </c>
      <c r="BJ25">
        <f t="shared" ca="1" si="3"/>
        <v>0</v>
      </c>
      <c r="BK25">
        <f t="shared" ca="1" si="3"/>
        <v>0</v>
      </c>
      <c r="BL25">
        <f t="shared" ca="1" si="3"/>
        <v>0</v>
      </c>
      <c r="BM25">
        <f t="shared" ca="1" si="3"/>
        <v>0</v>
      </c>
      <c r="BN25">
        <f t="shared" ca="1" si="4"/>
        <v>0</v>
      </c>
      <c r="BO25">
        <f t="shared" ca="1" si="4"/>
        <v>0</v>
      </c>
      <c r="BP25">
        <f t="shared" ca="1" si="4"/>
        <v>0</v>
      </c>
      <c r="BQ25">
        <f t="shared" ca="1" si="4"/>
        <v>0</v>
      </c>
      <c r="BR25">
        <f t="shared" ca="1" si="4"/>
        <v>0</v>
      </c>
      <c r="BS25">
        <f t="shared" ca="1" si="4"/>
        <v>0</v>
      </c>
      <c r="BT25">
        <f t="shared" ca="1" si="4"/>
        <v>0</v>
      </c>
      <c r="BU25">
        <f t="shared" ca="1" si="4"/>
        <v>0</v>
      </c>
      <c r="BV25">
        <f t="shared" ca="1" si="4"/>
        <v>0</v>
      </c>
    </row>
    <row r="26" spans="1:74">
      <c r="A26" s="6" t="str">
        <f t="shared" si="5"/>
        <v>Wk08</v>
      </c>
      <c r="B26" s="6"/>
      <c r="C26" s="6"/>
      <c r="D26" s="6"/>
      <c r="E26">
        <f t="shared" si="6"/>
        <v>5.5384615384615383</v>
      </c>
      <c r="F26">
        <f t="shared" si="6"/>
        <v>6.4615384615384617</v>
      </c>
      <c r="G26">
        <f t="shared" ca="1" si="0"/>
        <v>0</v>
      </c>
      <c r="H26">
        <f t="shared" ca="1" si="0"/>
        <v>0</v>
      </c>
      <c r="I26">
        <f t="shared" ca="1" si="1"/>
        <v>0</v>
      </c>
      <c r="J26">
        <f t="shared" ca="1" si="1"/>
        <v>0</v>
      </c>
      <c r="K26">
        <f t="shared" ca="1" si="1"/>
        <v>0</v>
      </c>
      <c r="L26">
        <f t="shared" ca="1" si="1"/>
        <v>0</v>
      </c>
      <c r="M26">
        <f t="shared" ca="1" si="1"/>
        <v>0</v>
      </c>
      <c r="N26">
        <f t="shared" ca="1" si="1"/>
        <v>0</v>
      </c>
      <c r="O26">
        <f t="shared" ca="1" si="1"/>
        <v>0</v>
      </c>
      <c r="P26">
        <f t="shared" ca="1" si="1"/>
        <v>0</v>
      </c>
      <c r="Q26">
        <f t="shared" ca="1" si="1"/>
        <v>0</v>
      </c>
      <c r="R26">
        <f t="shared" ca="1" si="1"/>
        <v>0</v>
      </c>
      <c r="S26">
        <f t="shared" ca="1" si="1"/>
        <v>0</v>
      </c>
      <c r="T26">
        <f t="shared" ca="1" si="1"/>
        <v>0</v>
      </c>
      <c r="U26">
        <f t="shared" ca="1" si="1"/>
        <v>0</v>
      </c>
      <c r="V26">
        <f t="shared" ca="1" si="1"/>
        <v>0</v>
      </c>
      <c r="W26">
        <f t="shared" ca="1" si="1"/>
        <v>0</v>
      </c>
      <c r="X26">
        <f t="shared" ca="1" si="1"/>
        <v>0</v>
      </c>
      <c r="Y26">
        <f t="shared" ca="1" si="1"/>
        <v>0</v>
      </c>
      <c r="Z26">
        <f t="shared" ca="1" si="1"/>
        <v>0</v>
      </c>
      <c r="AA26">
        <f t="shared" ca="1" si="1"/>
        <v>0</v>
      </c>
      <c r="AB26">
        <f t="shared" ca="1" si="1"/>
        <v>0</v>
      </c>
      <c r="AC26">
        <f t="shared" ca="1" si="1"/>
        <v>0</v>
      </c>
      <c r="AD26">
        <f t="shared" ca="1" si="1"/>
        <v>0</v>
      </c>
      <c r="AE26">
        <f t="shared" ca="1" si="1"/>
        <v>0</v>
      </c>
      <c r="AF26">
        <f t="shared" ca="1" si="1"/>
        <v>0</v>
      </c>
      <c r="AG26">
        <f t="shared" ca="1" si="1"/>
        <v>0</v>
      </c>
      <c r="AH26">
        <f t="shared" ca="1" si="1"/>
        <v>0</v>
      </c>
      <c r="AI26">
        <f t="shared" ca="1" si="1"/>
        <v>0</v>
      </c>
      <c r="AJ26">
        <f t="shared" ca="1" si="1"/>
        <v>0</v>
      </c>
      <c r="AK26">
        <f t="shared" ca="1" si="1"/>
        <v>0</v>
      </c>
      <c r="AL26">
        <f t="shared" ca="1" si="2"/>
        <v>0</v>
      </c>
      <c r="AM26">
        <f t="shared" ca="1" si="2"/>
        <v>0</v>
      </c>
      <c r="AN26">
        <f t="shared" ca="1" si="2"/>
        <v>0</v>
      </c>
      <c r="AO26">
        <f t="shared" ca="1" si="2"/>
        <v>0</v>
      </c>
      <c r="AP26">
        <f t="shared" ca="1" si="2"/>
        <v>0</v>
      </c>
      <c r="AQ26">
        <f t="shared" ca="1" si="2"/>
        <v>0</v>
      </c>
      <c r="AR26">
        <f t="shared" ca="1" si="2"/>
        <v>0</v>
      </c>
      <c r="AS26">
        <f t="shared" ca="1" si="2"/>
        <v>0</v>
      </c>
      <c r="AT26">
        <f t="shared" ca="1" si="2"/>
        <v>0</v>
      </c>
      <c r="AU26">
        <f t="shared" ca="1" si="2"/>
        <v>0</v>
      </c>
      <c r="AV26">
        <f t="shared" ca="1" si="2"/>
        <v>0</v>
      </c>
      <c r="AW26">
        <f t="shared" ca="1" si="2"/>
        <v>0</v>
      </c>
      <c r="AX26">
        <f t="shared" ca="1" si="2"/>
        <v>0</v>
      </c>
      <c r="AY26">
        <f t="shared" ca="1" si="2"/>
        <v>0</v>
      </c>
      <c r="AZ26">
        <f t="shared" ca="1" si="2"/>
        <v>0</v>
      </c>
      <c r="BA26">
        <f t="shared" ca="1" si="2"/>
        <v>0</v>
      </c>
      <c r="BB26">
        <f t="shared" ca="1" si="2"/>
        <v>0</v>
      </c>
      <c r="BC26">
        <f t="shared" ca="1" si="8"/>
        <v>0</v>
      </c>
      <c r="BD26">
        <f t="shared" ca="1" si="3"/>
        <v>0</v>
      </c>
      <c r="BE26">
        <f t="shared" ca="1" si="3"/>
        <v>0</v>
      </c>
      <c r="BF26">
        <f t="shared" ca="1" si="3"/>
        <v>0</v>
      </c>
      <c r="BG26">
        <f t="shared" ca="1" si="3"/>
        <v>0</v>
      </c>
      <c r="BH26">
        <f t="shared" ca="1" si="3"/>
        <v>0</v>
      </c>
      <c r="BI26">
        <f t="shared" ca="1" si="3"/>
        <v>0</v>
      </c>
      <c r="BJ26">
        <f t="shared" ca="1" si="3"/>
        <v>0</v>
      </c>
      <c r="BK26">
        <f t="shared" ca="1" si="3"/>
        <v>0</v>
      </c>
      <c r="BL26">
        <f t="shared" ca="1" si="3"/>
        <v>0</v>
      </c>
      <c r="BM26">
        <f t="shared" ca="1" si="3"/>
        <v>0</v>
      </c>
      <c r="BN26">
        <f t="shared" ca="1" si="4"/>
        <v>0</v>
      </c>
      <c r="BO26">
        <f t="shared" ca="1" si="4"/>
        <v>0</v>
      </c>
      <c r="BP26">
        <f t="shared" ca="1" si="4"/>
        <v>0</v>
      </c>
      <c r="BQ26">
        <f t="shared" ca="1" si="4"/>
        <v>0</v>
      </c>
      <c r="BR26">
        <f t="shared" ca="1" si="4"/>
        <v>0</v>
      </c>
      <c r="BS26">
        <f t="shared" ca="1" si="4"/>
        <v>0</v>
      </c>
      <c r="BT26">
        <f t="shared" ca="1" si="4"/>
        <v>0</v>
      </c>
      <c r="BU26">
        <f t="shared" ca="1" si="4"/>
        <v>0</v>
      </c>
      <c r="BV26">
        <f t="shared" ca="1" si="4"/>
        <v>0</v>
      </c>
    </row>
    <row r="27" spans="1:74">
      <c r="A27" s="6" t="str">
        <f t="shared" si="5"/>
        <v>Wk09</v>
      </c>
      <c r="B27" s="6"/>
      <c r="C27" s="6"/>
      <c r="D27" s="6"/>
      <c r="E27">
        <f t="shared" si="6"/>
        <v>5.5384615384615383</v>
      </c>
      <c r="F27">
        <f t="shared" si="6"/>
        <v>6.4615384615384617</v>
      </c>
      <c r="G27">
        <f t="shared" ca="1" si="0"/>
        <v>0</v>
      </c>
      <c r="H27">
        <f t="shared" ca="1" si="0"/>
        <v>0</v>
      </c>
      <c r="I27">
        <f t="shared" ca="1" si="1"/>
        <v>0</v>
      </c>
      <c r="J27">
        <f t="shared" ca="1" si="1"/>
        <v>0</v>
      </c>
      <c r="K27">
        <f t="shared" ca="1" si="1"/>
        <v>0</v>
      </c>
      <c r="L27">
        <f t="shared" ca="1" si="1"/>
        <v>0</v>
      </c>
      <c r="M27">
        <f t="shared" ca="1" si="1"/>
        <v>0</v>
      </c>
      <c r="N27">
        <f t="shared" ca="1" si="1"/>
        <v>0</v>
      </c>
      <c r="O27">
        <f t="shared" ca="1" si="1"/>
        <v>0</v>
      </c>
      <c r="P27">
        <f t="shared" ca="1" si="1"/>
        <v>0</v>
      </c>
      <c r="Q27">
        <f t="shared" ca="1" si="1"/>
        <v>0</v>
      </c>
      <c r="R27">
        <f t="shared" ca="1" si="1"/>
        <v>0</v>
      </c>
      <c r="S27">
        <f t="shared" ca="1" si="1"/>
        <v>0</v>
      </c>
      <c r="T27">
        <f t="shared" ca="1" si="1"/>
        <v>0</v>
      </c>
      <c r="U27">
        <f t="shared" ca="1" si="1"/>
        <v>0</v>
      </c>
      <c r="V27">
        <f t="shared" ca="1" si="1"/>
        <v>0</v>
      </c>
      <c r="W27">
        <f t="shared" ca="1" si="1"/>
        <v>0</v>
      </c>
      <c r="X27">
        <f t="shared" ca="1" si="1"/>
        <v>0</v>
      </c>
      <c r="Y27">
        <f t="shared" ca="1" si="1"/>
        <v>0</v>
      </c>
      <c r="Z27">
        <f t="shared" ca="1" si="1"/>
        <v>0</v>
      </c>
      <c r="AA27">
        <f t="shared" ca="1" si="1"/>
        <v>0</v>
      </c>
      <c r="AB27">
        <f t="shared" ca="1" si="1"/>
        <v>0</v>
      </c>
      <c r="AC27">
        <f t="shared" ca="1" si="1"/>
        <v>0</v>
      </c>
      <c r="AD27">
        <f t="shared" ca="1" si="1"/>
        <v>0</v>
      </c>
      <c r="AE27">
        <f t="shared" ca="1" si="1"/>
        <v>0</v>
      </c>
      <c r="AF27">
        <f t="shared" ca="1" si="1"/>
        <v>0</v>
      </c>
      <c r="AG27">
        <f t="shared" ca="1" si="1"/>
        <v>0</v>
      </c>
      <c r="AH27">
        <f t="shared" ca="1" si="1"/>
        <v>0</v>
      </c>
      <c r="AI27">
        <f t="shared" ca="1" si="1"/>
        <v>0</v>
      </c>
      <c r="AJ27">
        <f t="shared" ca="1" si="1"/>
        <v>0</v>
      </c>
      <c r="AK27">
        <f t="shared" ca="1" si="1"/>
        <v>0</v>
      </c>
      <c r="AL27">
        <f t="shared" ca="1" si="2"/>
        <v>0</v>
      </c>
      <c r="AM27">
        <f t="shared" ca="1" si="2"/>
        <v>0</v>
      </c>
      <c r="AN27">
        <f t="shared" ca="1" si="2"/>
        <v>0</v>
      </c>
      <c r="AO27">
        <f t="shared" ca="1" si="2"/>
        <v>0</v>
      </c>
      <c r="AP27">
        <f t="shared" ca="1" si="2"/>
        <v>0</v>
      </c>
      <c r="AQ27">
        <f t="shared" ca="1" si="2"/>
        <v>0</v>
      </c>
      <c r="AR27">
        <f t="shared" ca="1" si="2"/>
        <v>0</v>
      </c>
      <c r="AS27">
        <f t="shared" ca="1" si="2"/>
        <v>0</v>
      </c>
      <c r="AT27">
        <f t="shared" ca="1" si="2"/>
        <v>0</v>
      </c>
      <c r="AU27">
        <f t="shared" ca="1" si="2"/>
        <v>0</v>
      </c>
      <c r="AV27">
        <f t="shared" ca="1" si="2"/>
        <v>0</v>
      </c>
      <c r="AW27">
        <f t="shared" ca="1" si="2"/>
        <v>0</v>
      </c>
      <c r="AX27">
        <f t="shared" ca="1" si="2"/>
        <v>0</v>
      </c>
      <c r="AY27">
        <f t="shared" ca="1" si="2"/>
        <v>0</v>
      </c>
      <c r="AZ27">
        <f t="shared" ca="1" si="2"/>
        <v>0</v>
      </c>
      <c r="BA27">
        <f t="shared" ca="1" si="2"/>
        <v>0</v>
      </c>
      <c r="BB27">
        <f t="shared" ca="1" si="2"/>
        <v>0</v>
      </c>
      <c r="BC27">
        <f t="shared" ca="1" si="8"/>
        <v>0</v>
      </c>
      <c r="BD27">
        <f t="shared" ca="1" si="3"/>
        <v>0</v>
      </c>
      <c r="BE27">
        <f t="shared" ca="1" si="3"/>
        <v>0</v>
      </c>
      <c r="BF27">
        <f t="shared" ca="1" si="3"/>
        <v>0</v>
      </c>
      <c r="BG27">
        <f t="shared" ca="1" si="3"/>
        <v>0</v>
      </c>
      <c r="BH27">
        <f t="shared" ca="1" si="3"/>
        <v>0</v>
      </c>
      <c r="BI27">
        <f t="shared" ca="1" si="3"/>
        <v>0</v>
      </c>
      <c r="BJ27">
        <f t="shared" ca="1" si="3"/>
        <v>0</v>
      </c>
      <c r="BK27">
        <f t="shared" ca="1" si="3"/>
        <v>0</v>
      </c>
      <c r="BL27">
        <f t="shared" ca="1" si="3"/>
        <v>0</v>
      </c>
      <c r="BM27">
        <f t="shared" ca="1" si="3"/>
        <v>0</v>
      </c>
      <c r="BN27">
        <f t="shared" ca="1" si="4"/>
        <v>0</v>
      </c>
      <c r="BO27">
        <f t="shared" ca="1" si="4"/>
        <v>0</v>
      </c>
      <c r="BP27">
        <f t="shared" ca="1" si="4"/>
        <v>0</v>
      </c>
      <c r="BQ27">
        <f t="shared" ca="1" si="4"/>
        <v>0</v>
      </c>
      <c r="BR27">
        <f t="shared" ca="1" si="4"/>
        <v>0</v>
      </c>
      <c r="BS27">
        <f t="shared" ca="1" si="4"/>
        <v>0</v>
      </c>
      <c r="BT27">
        <f t="shared" ca="1" si="4"/>
        <v>0</v>
      </c>
      <c r="BU27">
        <f t="shared" ca="1" si="4"/>
        <v>0</v>
      </c>
      <c r="BV27">
        <f t="shared" ca="1" si="4"/>
        <v>0</v>
      </c>
    </row>
    <row r="28" spans="1:74">
      <c r="A28" s="6" t="str">
        <f t="shared" si="5"/>
        <v>Wk10</v>
      </c>
      <c r="B28" s="6"/>
      <c r="C28" s="6"/>
      <c r="D28" s="6"/>
      <c r="E28">
        <f t="shared" si="6"/>
        <v>5.5384615384615383</v>
      </c>
      <c r="F28">
        <f t="shared" si="6"/>
        <v>6.4615384615384617</v>
      </c>
      <c r="G28">
        <f t="shared" ca="1" si="0"/>
        <v>0</v>
      </c>
      <c r="H28">
        <f t="shared" ca="1" si="0"/>
        <v>0</v>
      </c>
      <c r="I28">
        <f t="shared" ca="1" si="1"/>
        <v>0</v>
      </c>
      <c r="J28">
        <f t="shared" ca="1" si="1"/>
        <v>0</v>
      </c>
      <c r="K28">
        <f t="shared" ca="1" si="1"/>
        <v>0</v>
      </c>
      <c r="L28">
        <f t="shared" ca="1" si="1"/>
        <v>0</v>
      </c>
      <c r="M28">
        <f t="shared" ca="1" si="1"/>
        <v>0</v>
      </c>
      <c r="N28">
        <f t="shared" ca="1" si="1"/>
        <v>0</v>
      </c>
      <c r="O28">
        <f t="shared" ca="1" si="1"/>
        <v>0</v>
      </c>
      <c r="P28">
        <f t="shared" ca="1" si="1"/>
        <v>0</v>
      </c>
      <c r="Q28">
        <f t="shared" ca="1" si="1"/>
        <v>0</v>
      </c>
      <c r="R28">
        <f t="shared" ref="I28:AM31" ca="1" si="9">INDIRECT(ADDRESS(25,COLUMN(),1,,$A28))</f>
        <v>0</v>
      </c>
      <c r="S28">
        <f t="shared" ca="1" si="9"/>
        <v>0</v>
      </c>
      <c r="T28">
        <f t="shared" ca="1" si="9"/>
        <v>0</v>
      </c>
      <c r="U28">
        <f t="shared" ca="1" si="9"/>
        <v>0</v>
      </c>
      <c r="V28">
        <f t="shared" ca="1" si="9"/>
        <v>0</v>
      </c>
      <c r="W28">
        <f t="shared" ca="1" si="9"/>
        <v>0</v>
      </c>
      <c r="X28">
        <f t="shared" ca="1" si="9"/>
        <v>0</v>
      </c>
      <c r="Y28">
        <f t="shared" ca="1" si="9"/>
        <v>0</v>
      </c>
      <c r="Z28">
        <f t="shared" ca="1" si="9"/>
        <v>0</v>
      </c>
      <c r="AA28">
        <f t="shared" ca="1" si="9"/>
        <v>0</v>
      </c>
      <c r="AB28">
        <f t="shared" ca="1" si="9"/>
        <v>0</v>
      </c>
      <c r="AC28">
        <f t="shared" ca="1" si="9"/>
        <v>0</v>
      </c>
      <c r="AD28">
        <f t="shared" ca="1" si="9"/>
        <v>0</v>
      </c>
      <c r="AE28">
        <f t="shared" ca="1" si="9"/>
        <v>0</v>
      </c>
      <c r="AF28">
        <f t="shared" ca="1" si="9"/>
        <v>0</v>
      </c>
      <c r="AG28">
        <f t="shared" ca="1" si="9"/>
        <v>0</v>
      </c>
      <c r="AH28">
        <f t="shared" ca="1" si="9"/>
        <v>0</v>
      </c>
      <c r="AI28">
        <f t="shared" ca="1" si="9"/>
        <v>0</v>
      </c>
      <c r="AJ28">
        <f t="shared" ca="1" si="9"/>
        <v>0</v>
      </c>
      <c r="AK28">
        <f t="shared" ca="1" si="9"/>
        <v>0</v>
      </c>
      <c r="AL28">
        <f t="shared" ca="1" si="9"/>
        <v>0</v>
      </c>
      <c r="AM28">
        <f t="shared" ca="1" si="9"/>
        <v>0</v>
      </c>
      <c r="AN28">
        <f t="shared" ca="1" si="2"/>
        <v>0</v>
      </c>
      <c r="AO28">
        <f t="shared" ca="1" si="2"/>
        <v>0</v>
      </c>
      <c r="AP28">
        <f t="shared" ca="1" si="2"/>
        <v>0</v>
      </c>
      <c r="AQ28">
        <f t="shared" ca="1" si="2"/>
        <v>0</v>
      </c>
      <c r="AR28">
        <f t="shared" ca="1" si="2"/>
        <v>0</v>
      </c>
      <c r="AS28">
        <f t="shared" ca="1" si="2"/>
        <v>0</v>
      </c>
      <c r="AT28">
        <f t="shared" ca="1" si="2"/>
        <v>0</v>
      </c>
      <c r="AU28">
        <f t="shared" ca="1" si="2"/>
        <v>0</v>
      </c>
      <c r="AV28">
        <f t="shared" ca="1" si="2"/>
        <v>0</v>
      </c>
      <c r="AW28">
        <f t="shared" ca="1" si="2"/>
        <v>0</v>
      </c>
      <c r="AX28">
        <f t="shared" ca="1" si="2"/>
        <v>0</v>
      </c>
      <c r="AY28">
        <f t="shared" ca="1" si="2"/>
        <v>0</v>
      </c>
      <c r="AZ28">
        <f t="shared" ca="1" si="2"/>
        <v>0</v>
      </c>
      <c r="BA28">
        <f t="shared" ca="1" si="2"/>
        <v>0</v>
      </c>
      <c r="BB28">
        <f t="shared" ca="1" si="2"/>
        <v>0</v>
      </c>
      <c r="BC28">
        <f t="shared" ca="1" si="8"/>
        <v>0</v>
      </c>
      <c r="BD28">
        <f t="shared" ca="1" si="3"/>
        <v>0</v>
      </c>
      <c r="BE28">
        <f t="shared" ca="1" si="3"/>
        <v>0</v>
      </c>
      <c r="BF28">
        <f t="shared" ca="1" si="3"/>
        <v>0</v>
      </c>
      <c r="BG28">
        <f t="shared" ca="1" si="3"/>
        <v>0</v>
      </c>
      <c r="BH28">
        <f t="shared" ca="1" si="3"/>
        <v>0</v>
      </c>
      <c r="BI28">
        <f t="shared" ca="1" si="3"/>
        <v>0</v>
      </c>
      <c r="BJ28">
        <f t="shared" ca="1" si="3"/>
        <v>0</v>
      </c>
      <c r="BK28">
        <f t="shared" ca="1" si="3"/>
        <v>0</v>
      </c>
      <c r="BL28">
        <f t="shared" ca="1" si="3"/>
        <v>0</v>
      </c>
      <c r="BM28">
        <f t="shared" ca="1" si="3"/>
        <v>0</v>
      </c>
      <c r="BN28">
        <f t="shared" ca="1" si="4"/>
        <v>0</v>
      </c>
      <c r="BO28">
        <f t="shared" ca="1" si="4"/>
        <v>0</v>
      </c>
      <c r="BP28">
        <f t="shared" ca="1" si="4"/>
        <v>0</v>
      </c>
      <c r="BQ28">
        <f t="shared" ca="1" si="4"/>
        <v>0</v>
      </c>
      <c r="BR28">
        <f t="shared" ca="1" si="4"/>
        <v>0</v>
      </c>
      <c r="BS28">
        <f t="shared" ca="1" si="4"/>
        <v>0</v>
      </c>
      <c r="BT28">
        <f t="shared" ca="1" si="4"/>
        <v>0</v>
      </c>
      <c r="BU28">
        <f t="shared" ca="1" si="4"/>
        <v>0</v>
      </c>
      <c r="BV28">
        <f t="shared" ca="1" si="4"/>
        <v>0</v>
      </c>
    </row>
    <row r="29" spans="1:74">
      <c r="A29" s="6" t="str">
        <f t="shared" si="5"/>
        <v>Wk11</v>
      </c>
      <c r="B29" s="6"/>
      <c r="C29" s="6"/>
      <c r="D29" s="6"/>
      <c r="E29">
        <f t="shared" si="6"/>
        <v>5.5384615384615383</v>
      </c>
      <c r="F29">
        <f t="shared" si="6"/>
        <v>6.4615384615384617</v>
      </c>
      <c r="G29">
        <f t="shared" ca="1" si="0"/>
        <v>0</v>
      </c>
      <c r="H29">
        <f t="shared" ca="1" si="0"/>
        <v>0</v>
      </c>
      <c r="I29">
        <f t="shared" ca="1" si="9"/>
        <v>0</v>
      </c>
      <c r="J29">
        <f t="shared" ca="1" si="9"/>
        <v>0</v>
      </c>
      <c r="K29">
        <f t="shared" ca="1" si="9"/>
        <v>0</v>
      </c>
      <c r="L29">
        <f t="shared" ca="1" si="9"/>
        <v>0</v>
      </c>
      <c r="M29">
        <f t="shared" ca="1" si="9"/>
        <v>0</v>
      </c>
      <c r="N29">
        <f t="shared" ca="1" si="9"/>
        <v>0</v>
      </c>
      <c r="O29">
        <f t="shared" ca="1" si="9"/>
        <v>0</v>
      </c>
      <c r="P29">
        <f t="shared" ca="1" si="9"/>
        <v>0</v>
      </c>
      <c r="Q29">
        <f t="shared" ca="1" si="9"/>
        <v>0</v>
      </c>
      <c r="R29">
        <f t="shared" ca="1" si="9"/>
        <v>0</v>
      </c>
      <c r="S29">
        <f t="shared" ca="1" si="9"/>
        <v>0</v>
      </c>
      <c r="T29">
        <f t="shared" ca="1" si="9"/>
        <v>0</v>
      </c>
      <c r="U29">
        <f t="shared" ca="1" si="9"/>
        <v>0</v>
      </c>
      <c r="V29">
        <f t="shared" ca="1" si="9"/>
        <v>0</v>
      </c>
      <c r="W29">
        <f t="shared" ca="1" si="9"/>
        <v>0</v>
      </c>
      <c r="X29">
        <f t="shared" ca="1" si="9"/>
        <v>0</v>
      </c>
      <c r="Y29">
        <f t="shared" ca="1" si="9"/>
        <v>0</v>
      </c>
      <c r="Z29">
        <f t="shared" ca="1" si="9"/>
        <v>0</v>
      </c>
      <c r="AA29">
        <f t="shared" ca="1" si="9"/>
        <v>0</v>
      </c>
      <c r="AB29">
        <f t="shared" ca="1" si="9"/>
        <v>0</v>
      </c>
      <c r="AC29">
        <f t="shared" ca="1" si="9"/>
        <v>0</v>
      </c>
      <c r="AD29">
        <f t="shared" ca="1" si="9"/>
        <v>0</v>
      </c>
      <c r="AE29">
        <f t="shared" ca="1" si="9"/>
        <v>0</v>
      </c>
      <c r="AF29">
        <f t="shared" ca="1" si="9"/>
        <v>0</v>
      </c>
      <c r="AG29">
        <f t="shared" ca="1" si="9"/>
        <v>0</v>
      </c>
      <c r="AH29">
        <f t="shared" ca="1" si="9"/>
        <v>0</v>
      </c>
      <c r="AI29">
        <f t="shared" ca="1" si="9"/>
        <v>0</v>
      </c>
      <c r="AJ29">
        <f t="shared" ca="1" si="9"/>
        <v>0</v>
      </c>
      <c r="AK29">
        <f t="shared" ca="1" si="9"/>
        <v>0</v>
      </c>
      <c r="AL29">
        <f t="shared" ca="1" si="9"/>
        <v>0</v>
      </c>
      <c r="AM29">
        <f t="shared" ca="1" si="2"/>
        <v>0</v>
      </c>
      <c r="AN29">
        <f t="shared" ca="1" si="2"/>
        <v>0</v>
      </c>
      <c r="AO29">
        <f t="shared" ca="1" si="2"/>
        <v>0</v>
      </c>
      <c r="AP29">
        <f t="shared" ca="1" si="2"/>
        <v>0</v>
      </c>
      <c r="AQ29">
        <f t="shared" ca="1" si="2"/>
        <v>0</v>
      </c>
      <c r="AR29">
        <f t="shared" ca="1" si="2"/>
        <v>0</v>
      </c>
      <c r="AS29">
        <f t="shared" ca="1" si="2"/>
        <v>0</v>
      </c>
      <c r="AT29">
        <f t="shared" ca="1" si="2"/>
        <v>0</v>
      </c>
      <c r="AU29">
        <f t="shared" ca="1" si="2"/>
        <v>0</v>
      </c>
      <c r="AV29">
        <f t="shared" ca="1" si="2"/>
        <v>0</v>
      </c>
      <c r="AW29">
        <f t="shared" ca="1" si="2"/>
        <v>0</v>
      </c>
      <c r="AX29">
        <f t="shared" ca="1" si="2"/>
        <v>0</v>
      </c>
      <c r="AY29">
        <f t="shared" ca="1" si="2"/>
        <v>0</v>
      </c>
      <c r="AZ29">
        <f t="shared" ca="1" si="2"/>
        <v>0</v>
      </c>
      <c r="BA29">
        <f t="shared" ca="1" si="2"/>
        <v>0</v>
      </c>
      <c r="BB29">
        <f t="shared" ca="1" si="2"/>
        <v>0</v>
      </c>
      <c r="BC29">
        <f t="shared" ca="1" si="8"/>
        <v>0</v>
      </c>
      <c r="BD29">
        <f t="shared" ca="1" si="3"/>
        <v>0</v>
      </c>
      <c r="BE29">
        <f t="shared" ca="1" si="3"/>
        <v>0</v>
      </c>
      <c r="BF29">
        <f t="shared" ca="1" si="3"/>
        <v>0</v>
      </c>
      <c r="BG29">
        <f t="shared" ca="1" si="3"/>
        <v>0</v>
      </c>
      <c r="BH29">
        <f t="shared" ca="1" si="3"/>
        <v>0</v>
      </c>
      <c r="BI29">
        <f t="shared" ca="1" si="3"/>
        <v>0</v>
      </c>
      <c r="BJ29">
        <f t="shared" ca="1" si="3"/>
        <v>0</v>
      </c>
      <c r="BK29">
        <f t="shared" ca="1" si="3"/>
        <v>0</v>
      </c>
      <c r="BL29">
        <f t="shared" ca="1" si="3"/>
        <v>0</v>
      </c>
      <c r="BM29">
        <f t="shared" ca="1" si="3"/>
        <v>0</v>
      </c>
      <c r="BN29">
        <f t="shared" ca="1" si="4"/>
        <v>0</v>
      </c>
      <c r="BO29">
        <f t="shared" ca="1" si="4"/>
        <v>0</v>
      </c>
      <c r="BP29">
        <f t="shared" ca="1" si="4"/>
        <v>0</v>
      </c>
      <c r="BQ29">
        <f t="shared" ca="1" si="4"/>
        <v>0</v>
      </c>
      <c r="BR29">
        <f t="shared" ca="1" si="4"/>
        <v>0</v>
      </c>
      <c r="BS29">
        <f t="shared" ca="1" si="4"/>
        <v>0</v>
      </c>
      <c r="BT29">
        <f t="shared" ca="1" si="4"/>
        <v>0</v>
      </c>
      <c r="BU29">
        <f t="shared" ca="1" si="4"/>
        <v>0</v>
      </c>
      <c r="BV29">
        <f t="shared" ca="1" si="4"/>
        <v>0</v>
      </c>
    </row>
    <row r="30" spans="1:74">
      <c r="A30" s="6" t="str">
        <f t="shared" si="5"/>
        <v>Wk12</v>
      </c>
      <c r="B30" s="6"/>
      <c r="C30" s="6"/>
      <c r="D30" s="6"/>
      <c r="E30">
        <f t="shared" si="6"/>
        <v>5.5384615384615383</v>
      </c>
      <c r="F30">
        <f t="shared" si="6"/>
        <v>6.4615384615384617</v>
      </c>
      <c r="G30">
        <f t="shared" ca="1" si="0"/>
        <v>0</v>
      </c>
      <c r="H30">
        <f t="shared" ca="1" si="0"/>
        <v>0</v>
      </c>
      <c r="I30">
        <f t="shared" ca="1" si="9"/>
        <v>0</v>
      </c>
      <c r="J30">
        <f t="shared" ca="1" si="9"/>
        <v>0</v>
      </c>
      <c r="K30">
        <f t="shared" ca="1" si="9"/>
        <v>0</v>
      </c>
      <c r="L30">
        <f t="shared" ca="1" si="9"/>
        <v>0</v>
      </c>
      <c r="M30">
        <f t="shared" ca="1" si="9"/>
        <v>0</v>
      </c>
      <c r="N30">
        <f t="shared" ca="1" si="9"/>
        <v>0</v>
      </c>
      <c r="O30">
        <f t="shared" ca="1" si="9"/>
        <v>0</v>
      </c>
      <c r="P30">
        <f t="shared" ca="1" si="9"/>
        <v>0</v>
      </c>
      <c r="Q30">
        <f t="shared" ca="1" si="9"/>
        <v>0</v>
      </c>
      <c r="R30">
        <f t="shared" ca="1" si="9"/>
        <v>0</v>
      </c>
      <c r="S30">
        <f t="shared" ca="1" si="9"/>
        <v>0</v>
      </c>
      <c r="T30">
        <f t="shared" ca="1" si="9"/>
        <v>0</v>
      </c>
      <c r="U30">
        <f t="shared" ca="1" si="9"/>
        <v>0</v>
      </c>
      <c r="V30">
        <f t="shared" ca="1" si="9"/>
        <v>0</v>
      </c>
      <c r="W30">
        <f t="shared" ca="1" si="9"/>
        <v>0</v>
      </c>
      <c r="X30">
        <f t="shared" ca="1" si="9"/>
        <v>0</v>
      </c>
      <c r="Y30">
        <f t="shared" ca="1" si="9"/>
        <v>0</v>
      </c>
      <c r="Z30">
        <f t="shared" ca="1" si="9"/>
        <v>0</v>
      </c>
      <c r="AA30">
        <f t="shared" ca="1" si="9"/>
        <v>0</v>
      </c>
      <c r="AB30">
        <f t="shared" ca="1" si="9"/>
        <v>0</v>
      </c>
      <c r="AC30">
        <f t="shared" ca="1" si="9"/>
        <v>0</v>
      </c>
      <c r="AD30">
        <f t="shared" ca="1" si="9"/>
        <v>0</v>
      </c>
      <c r="AE30">
        <f t="shared" ca="1" si="9"/>
        <v>0</v>
      </c>
      <c r="AF30">
        <f t="shared" ca="1" si="9"/>
        <v>0</v>
      </c>
      <c r="AG30">
        <f t="shared" ca="1" si="9"/>
        <v>0</v>
      </c>
      <c r="AH30">
        <f t="shared" ca="1" si="9"/>
        <v>0</v>
      </c>
      <c r="AI30">
        <f t="shared" ca="1" si="9"/>
        <v>0</v>
      </c>
      <c r="AJ30">
        <f t="shared" ca="1" si="9"/>
        <v>0</v>
      </c>
      <c r="AK30">
        <f t="shared" ca="1" si="9"/>
        <v>0</v>
      </c>
      <c r="AL30">
        <f t="shared" ca="1" si="9"/>
        <v>0</v>
      </c>
      <c r="AM30">
        <f t="shared" ca="1" si="2"/>
        <v>0</v>
      </c>
      <c r="AN30">
        <f t="shared" ca="1" si="2"/>
        <v>0</v>
      </c>
      <c r="AO30">
        <f t="shared" ca="1" si="2"/>
        <v>0</v>
      </c>
      <c r="AP30">
        <f t="shared" ca="1" si="2"/>
        <v>0</v>
      </c>
      <c r="AQ30">
        <f t="shared" ca="1" si="2"/>
        <v>0</v>
      </c>
      <c r="AR30">
        <f t="shared" ca="1" si="2"/>
        <v>0</v>
      </c>
      <c r="AS30">
        <f t="shared" ca="1" si="2"/>
        <v>0</v>
      </c>
      <c r="AT30">
        <f t="shared" ca="1" si="2"/>
        <v>0</v>
      </c>
      <c r="AU30">
        <f t="shared" ca="1" si="2"/>
        <v>0</v>
      </c>
      <c r="AV30">
        <f t="shared" ca="1" si="2"/>
        <v>0</v>
      </c>
      <c r="AW30">
        <f t="shared" ca="1" si="2"/>
        <v>0</v>
      </c>
      <c r="AX30">
        <f t="shared" ca="1" si="2"/>
        <v>0</v>
      </c>
      <c r="AY30">
        <f t="shared" ca="1" si="2"/>
        <v>0</v>
      </c>
      <c r="AZ30">
        <f t="shared" ca="1" si="2"/>
        <v>0</v>
      </c>
      <c r="BA30">
        <f t="shared" ca="1" si="2"/>
        <v>0</v>
      </c>
      <c r="BB30">
        <f t="shared" ca="1" si="2"/>
        <v>0</v>
      </c>
      <c r="BC30">
        <f t="shared" ca="1" si="8"/>
        <v>0</v>
      </c>
      <c r="BD30">
        <f t="shared" ca="1" si="3"/>
        <v>0</v>
      </c>
      <c r="BE30">
        <f t="shared" ca="1" si="3"/>
        <v>0</v>
      </c>
      <c r="BF30">
        <f t="shared" ca="1" si="3"/>
        <v>0</v>
      </c>
      <c r="BG30">
        <f t="shared" ca="1" si="3"/>
        <v>0</v>
      </c>
      <c r="BH30">
        <f t="shared" ca="1" si="3"/>
        <v>0</v>
      </c>
      <c r="BI30">
        <f t="shared" ca="1" si="3"/>
        <v>0</v>
      </c>
      <c r="BJ30">
        <f t="shared" ca="1" si="3"/>
        <v>0</v>
      </c>
      <c r="BK30">
        <f t="shared" ca="1" si="3"/>
        <v>0</v>
      </c>
      <c r="BL30">
        <f t="shared" ca="1" si="3"/>
        <v>0</v>
      </c>
      <c r="BM30">
        <f t="shared" ca="1" si="3"/>
        <v>0</v>
      </c>
      <c r="BN30">
        <f t="shared" ca="1" si="4"/>
        <v>0</v>
      </c>
      <c r="BO30">
        <f t="shared" ca="1" si="4"/>
        <v>0</v>
      </c>
      <c r="BP30">
        <f t="shared" ca="1" si="4"/>
        <v>0</v>
      </c>
      <c r="BQ30">
        <f t="shared" ca="1" si="4"/>
        <v>0</v>
      </c>
      <c r="BR30">
        <f t="shared" ca="1" si="4"/>
        <v>0</v>
      </c>
      <c r="BS30">
        <f t="shared" ca="1" si="4"/>
        <v>0</v>
      </c>
      <c r="BT30">
        <f t="shared" ca="1" si="4"/>
        <v>0</v>
      </c>
      <c r="BU30">
        <f t="shared" ca="1" si="4"/>
        <v>0</v>
      </c>
      <c r="BV30">
        <f t="shared" ca="1" si="4"/>
        <v>0</v>
      </c>
    </row>
    <row r="31" spans="1:74">
      <c r="A31" s="6" t="str">
        <f t="shared" si="5"/>
        <v>Wk13</v>
      </c>
      <c r="B31" s="6"/>
      <c r="C31" s="6"/>
      <c r="D31" s="6"/>
      <c r="E31">
        <f t="shared" si="6"/>
        <v>5.5384615384615383</v>
      </c>
      <c r="F31">
        <f t="shared" si="6"/>
        <v>6.4615384615384617</v>
      </c>
      <c r="G31">
        <f t="shared" ca="1" si="0"/>
        <v>0</v>
      </c>
      <c r="H31">
        <f t="shared" ca="1" si="0"/>
        <v>0</v>
      </c>
      <c r="I31">
        <f t="shared" ca="1" si="9"/>
        <v>0</v>
      </c>
      <c r="J31">
        <f t="shared" ca="1" si="9"/>
        <v>0</v>
      </c>
      <c r="K31">
        <f t="shared" ca="1" si="9"/>
        <v>0</v>
      </c>
      <c r="L31">
        <f t="shared" ca="1" si="9"/>
        <v>0</v>
      </c>
      <c r="M31">
        <f t="shared" ca="1" si="9"/>
        <v>0</v>
      </c>
      <c r="N31">
        <f t="shared" ca="1" si="9"/>
        <v>0</v>
      </c>
      <c r="O31">
        <f t="shared" ca="1" si="9"/>
        <v>0</v>
      </c>
      <c r="P31">
        <f t="shared" ca="1" si="9"/>
        <v>0</v>
      </c>
      <c r="Q31">
        <f t="shared" ca="1" si="9"/>
        <v>0</v>
      </c>
      <c r="R31">
        <f t="shared" ca="1" si="9"/>
        <v>0</v>
      </c>
      <c r="S31">
        <f t="shared" ca="1" si="9"/>
        <v>0</v>
      </c>
      <c r="T31">
        <f t="shared" ca="1" si="9"/>
        <v>0</v>
      </c>
      <c r="U31">
        <f t="shared" ca="1" si="9"/>
        <v>0</v>
      </c>
      <c r="V31">
        <f t="shared" ca="1" si="9"/>
        <v>0</v>
      </c>
      <c r="W31">
        <f t="shared" ca="1" si="9"/>
        <v>0</v>
      </c>
      <c r="X31">
        <f t="shared" ca="1" si="9"/>
        <v>0</v>
      </c>
      <c r="Y31">
        <f t="shared" ca="1" si="9"/>
        <v>0</v>
      </c>
      <c r="Z31">
        <f t="shared" ca="1" si="9"/>
        <v>0</v>
      </c>
      <c r="AA31">
        <f t="shared" ca="1" si="9"/>
        <v>0</v>
      </c>
      <c r="AB31">
        <f t="shared" ca="1" si="9"/>
        <v>0</v>
      </c>
      <c r="AC31">
        <f t="shared" ca="1" si="9"/>
        <v>0</v>
      </c>
      <c r="AD31">
        <f t="shared" ca="1" si="9"/>
        <v>0</v>
      </c>
      <c r="AE31">
        <f t="shared" ca="1" si="9"/>
        <v>0</v>
      </c>
      <c r="AF31">
        <f t="shared" ca="1" si="9"/>
        <v>0</v>
      </c>
      <c r="AG31">
        <f t="shared" ca="1" si="9"/>
        <v>0</v>
      </c>
      <c r="AH31">
        <f t="shared" ca="1" si="9"/>
        <v>0</v>
      </c>
      <c r="AI31">
        <f t="shared" ca="1" si="9"/>
        <v>0</v>
      </c>
      <c r="AJ31">
        <f t="shared" ca="1" si="9"/>
        <v>0</v>
      </c>
      <c r="AK31">
        <f t="shared" ca="1" si="9"/>
        <v>0</v>
      </c>
      <c r="AL31">
        <f t="shared" ca="1" si="9"/>
        <v>0</v>
      </c>
      <c r="AM31">
        <f t="shared" ca="1" si="2"/>
        <v>0</v>
      </c>
      <c r="AN31">
        <f t="shared" ca="1" si="2"/>
        <v>0</v>
      </c>
      <c r="AO31">
        <f t="shared" ca="1" si="2"/>
        <v>0</v>
      </c>
      <c r="AP31">
        <f t="shared" ca="1" si="2"/>
        <v>0</v>
      </c>
      <c r="AQ31">
        <f t="shared" ca="1" si="2"/>
        <v>0</v>
      </c>
      <c r="AR31">
        <f t="shared" ca="1" si="2"/>
        <v>0</v>
      </c>
      <c r="AS31">
        <f t="shared" ca="1" si="2"/>
        <v>0</v>
      </c>
      <c r="AT31">
        <f t="shared" ca="1" si="2"/>
        <v>0</v>
      </c>
      <c r="AU31">
        <f t="shared" ca="1" si="2"/>
        <v>0</v>
      </c>
      <c r="AV31">
        <f t="shared" ca="1" si="2"/>
        <v>0</v>
      </c>
      <c r="AW31">
        <f t="shared" ca="1" si="2"/>
        <v>0</v>
      </c>
      <c r="AX31">
        <f t="shared" ca="1" si="2"/>
        <v>0</v>
      </c>
      <c r="AY31">
        <f t="shared" ca="1" si="2"/>
        <v>0</v>
      </c>
      <c r="AZ31">
        <f t="shared" ca="1" si="2"/>
        <v>0</v>
      </c>
      <c r="BA31">
        <f t="shared" ca="1" si="2"/>
        <v>0</v>
      </c>
      <c r="BB31">
        <f t="shared" ca="1" si="2"/>
        <v>0</v>
      </c>
      <c r="BC31">
        <f t="shared" ca="1" si="8"/>
        <v>0</v>
      </c>
      <c r="BD31">
        <f t="shared" ca="1" si="3"/>
        <v>0</v>
      </c>
      <c r="BE31">
        <f t="shared" ca="1" si="3"/>
        <v>0</v>
      </c>
      <c r="BF31">
        <f t="shared" ca="1" si="3"/>
        <v>0</v>
      </c>
      <c r="BG31">
        <f t="shared" ca="1" si="3"/>
        <v>0</v>
      </c>
      <c r="BH31">
        <f t="shared" ca="1" si="3"/>
        <v>0</v>
      </c>
      <c r="BI31">
        <f t="shared" ca="1" si="3"/>
        <v>0</v>
      </c>
      <c r="BJ31">
        <f t="shared" ca="1" si="3"/>
        <v>0</v>
      </c>
      <c r="BK31">
        <f t="shared" ca="1" si="3"/>
        <v>0</v>
      </c>
      <c r="BL31">
        <f t="shared" ca="1" si="3"/>
        <v>0</v>
      </c>
      <c r="BM31">
        <f t="shared" ca="1" si="3"/>
        <v>0</v>
      </c>
      <c r="BN31">
        <f t="shared" ca="1" si="4"/>
        <v>0</v>
      </c>
      <c r="BO31">
        <f t="shared" ca="1" si="4"/>
        <v>0</v>
      </c>
      <c r="BP31">
        <f t="shared" ca="1" si="4"/>
        <v>0</v>
      </c>
      <c r="BQ31">
        <f t="shared" ca="1" si="4"/>
        <v>0</v>
      </c>
      <c r="BR31">
        <f t="shared" ca="1" si="4"/>
        <v>0</v>
      </c>
      <c r="BS31">
        <f t="shared" ca="1" si="4"/>
        <v>0</v>
      </c>
      <c r="BT31">
        <f t="shared" ca="1" si="4"/>
        <v>0</v>
      </c>
      <c r="BU31">
        <f t="shared" ca="1" si="4"/>
        <v>0</v>
      </c>
      <c r="BV31">
        <f t="shared" ca="1" si="4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B44"/>
  <sheetViews>
    <sheetView zoomScale="85" zoomScaleNormal="85" workbookViewId="0">
      <selection activeCell="B33" sqref="B33"/>
    </sheetView>
  </sheetViews>
  <sheetFormatPr defaultRowHeight="12.75"/>
  <sheetData>
    <row r="1" spans="1:2">
      <c r="A1" s="26" t="str">
        <f>IF(ISBLANK(B1),IF((weekcnt)&lt;10,("Wk0"&amp;(weekcnt)),("Wk"&amp;(weekcnt))),B1)</f>
        <v>Wk06</v>
      </c>
      <c r="B1" s="26"/>
    </row>
    <row r="3" spans="1:2" ht="13.5" thickBot="1"/>
    <row r="4" spans="1:2">
      <c r="A4" s="77" t="s">
        <v>110</v>
      </c>
      <c r="B4" s="77" t="s">
        <v>109</v>
      </c>
    </row>
    <row r="5" spans="1:2">
      <c r="A5" s="74">
        <v>0</v>
      </c>
      <c r="B5" s="75">
        <f ca="1">histoBin(INDIRECT($A$1&amp;"!R25C11:R25C"&amp;11+[0]!playercnt-1,FALSE),A5-0.5,A5+0.5)</f>
        <v>5</v>
      </c>
    </row>
    <row r="6" spans="1:2">
      <c r="A6" s="74">
        <v>1</v>
      </c>
      <c r="B6" s="75">
        <f ca="1">histoBin(INDIRECT($A$1&amp;"!R25C11:R25C"&amp;11+[0]!playercnt-1,FALSE),A6-0.5,A6+0.5)</f>
        <v>1</v>
      </c>
    </row>
    <row r="7" spans="1:2">
      <c r="A7" s="74">
        <v>2</v>
      </c>
      <c r="B7" s="75">
        <f ca="1">histoBin(INDIRECT($A$1&amp;"!R25C11:R25C"&amp;11+[0]!playercnt-1,FALSE),A7-0.5,A7+0.5)</f>
        <v>4</v>
      </c>
    </row>
    <row r="8" spans="1:2">
      <c r="A8" s="74">
        <v>3</v>
      </c>
      <c r="B8" s="75">
        <f ca="1">histoBin(INDIRECT($A$1&amp;"!R25C11:R25C"&amp;11+[0]!playercnt-1,FALSE),A8-0.5,A8+0.5)</f>
        <v>4</v>
      </c>
    </row>
    <row r="9" spans="1:2">
      <c r="A9" s="74">
        <v>4</v>
      </c>
      <c r="B9" s="75">
        <f ca="1">histoBin(INDIRECT($A$1&amp;"!R25C11:R25C"&amp;11+[0]!playercnt-1,FALSE),A9-0.5,A9+0.5)</f>
        <v>16</v>
      </c>
    </row>
    <row r="10" spans="1:2">
      <c r="A10" s="74">
        <v>5</v>
      </c>
      <c r="B10" s="75">
        <f ca="1">histoBin(INDIRECT($A$1&amp;"!R25C11:R25C"&amp;11+[0]!playercnt-1,FALSE),A10-0.5,A10+0.5)</f>
        <v>14</v>
      </c>
    </row>
    <row r="11" spans="1:2">
      <c r="A11" s="74">
        <v>6</v>
      </c>
      <c r="B11" s="75">
        <f ca="1">histoBin(INDIRECT($A$1&amp;"!R25C11:R25C"&amp;11+[0]!playercnt-1,FALSE),A11-0.5,A11+0.5)</f>
        <v>10</v>
      </c>
    </row>
    <row r="12" spans="1:2">
      <c r="A12" s="74">
        <v>7</v>
      </c>
      <c r="B12" s="75">
        <f ca="1">histoBin(INDIRECT($A$1&amp;"!R25C11:R25C"&amp;11+[0]!playercnt-1,FALSE),A12-0.5,A12+0.5)</f>
        <v>1</v>
      </c>
    </row>
    <row r="13" spans="1:2">
      <c r="A13" s="74">
        <v>8</v>
      </c>
      <c r="B13" s="75">
        <f ca="1">histoBin(INDIRECT($A$1&amp;"!R25C11:R25C"&amp;11+[0]!playercnt-1,FALSE),A13-0.5,A13+0.5)</f>
        <v>1</v>
      </c>
    </row>
    <row r="14" spans="1:2">
      <c r="A14" s="74">
        <v>9</v>
      </c>
      <c r="B14" s="75">
        <f ca="1">histoBin(INDIRECT($A$1&amp;"!R25C11:R25C"&amp;11+[0]!playercnt-1,FALSE),A14-0.5,A14+0.5)</f>
        <v>0</v>
      </c>
    </row>
    <row r="15" spans="1:2">
      <c r="A15" s="74">
        <v>10</v>
      </c>
      <c r="B15" s="75">
        <f ca="1">histoBin(INDIRECT($A$1&amp;"!R25C11:R25C"&amp;11+[0]!playercnt-1,FALSE),A15-0.5,A15+0.5)</f>
        <v>0</v>
      </c>
    </row>
    <row r="16" spans="1:2" ht="13.5" thickBot="1">
      <c r="A16" s="76"/>
      <c r="B16" s="76"/>
    </row>
    <row r="29" spans="1:2">
      <c r="A29" t="s">
        <v>111</v>
      </c>
      <c r="B29" s="74">
        <f ca="1">MIN(INDIRECT("Standings!R8C4:R"&amp;8+playercnt-1&amp;"C4",FALSE))</f>
        <v>17</v>
      </c>
    </row>
    <row r="30" spans="1:2">
      <c r="A30" t="s">
        <v>112</v>
      </c>
      <c r="B30" s="74">
        <f ca="1">MAX(INDIRECT("Standings!R8C4:R"&amp;8+playercnt-1&amp;"C4",FALSE))</f>
        <v>39</v>
      </c>
    </row>
    <row r="31" spans="1:2" ht="13.5" thickBot="1">
      <c r="A31" t="s">
        <v>113</v>
      </c>
      <c r="B31">
        <f ca="1">IF((B30-B29)&lt;=10,1,(((B30-B29)/10)))</f>
        <v>2.2000000000000002</v>
      </c>
    </row>
    <row r="32" spans="1:2">
      <c r="A32" s="77" t="s">
        <v>110</v>
      </c>
      <c r="B32" s="77" t="s">
        <v>109</v>
      </c>
    </row>
    <row r="33" spans="1:2">
      <c r="A33" s="74">
        <f ca="1">B29</f>
        <v>17</v>
      </c>
      <c r="B33" s="75">
        <f ca="1">histoBin(INDIRECT("Standings!R8C4:R"&amp;8+playercnt-1&amp;"C4",FALSE),A33-($B$31/2),A33+($B$31/2))</f>
        <v>2</v>
      </c>
    </row>
    <row r="34" spans="1:2">
      <c r="A34" s="74">
        <f ca="1">A33+$B$31</f>
        <v>19.2</v>
      </c>
      <c r="B34" s="75">
        <f t="shared" ref="B34:B43" ca="1" si="0">histoBin(INDIRECT("Standings!R8C4:R"&amp;8+playercnt-1&amp;"C4",FALSE),A34-($B$31/2),A34+($B$31/2))</f>
        <v>1</v>
      </c>
    </row>
    <row r="35" spans="1:2">
      <c r="A35" s="74">
        <f t="shared" ref="A35:A42" ca="1" si="1">A34+$B$31</f>
        <v>21.4</v>
      </c>
      <c r="B35" s="75">
        <f t="shared" ca="1" si="0"/>
        <v>2</v>
      </c>
    </row>
    <row r="36" spans="1:2">
      <c r="A36" s="74">
        <f t="shared" ca="1" si="1"/>
        <v>23.599999999999998</v>
      </c>
      <c r="B36" s="75">
        <f t="shared" ca="1" si="0"/>
        <v>9</v>
      </c>
    </row>
    <row r="37" spans="1:2">
      <c r="A37" s="74">
        <f t="shared" ca="1" si="1"/>
        <v>25.799999999999997</v>
      </c>
      <c r="B37" s="75">
        <f t="shared" ca="1" si="0"/>
        <v>7</v>
      </c>
    </row>
    <row r="38" spans="1:2">
      <c r="A38" s="74">
        <f t="shared" ca="1" si="1"/>
        <v>27.999999999999996</v>
      </c>
      <c r="B38" s="75">
        <f t="shared" ca="1" si="0"/>
        <v>15</v>
      </c>
    </row>
    <row r="39" spans="1:2">
      <c r="A39" s="74">
        <f t="shared" ca="1" si="1"/>
        <v>30.199999999999996</v>
      </c>
      <c r="B39" s="75">
        <f t="shared" ca="1" si="0"/>
        <v>7</v>
      </c>
    </row>
    <row r="40" spans="1:2">
      <c r="A40" s="74">
        <f t="shared" ca="1" si="1"/>
        <v>32.4</v>
      </c>
      <c r="B40" s="75">
        <f t="shared" ca="1" si="0"/>
        <v>5</v>
      </c>
    </row>
    <row r="41" spans="1:2">
      <c r="A41" s="74">
        <f t="shared" ca="1" si="1"/>
        <v>34.6</v>
      </c>
      <c r="B41" s="75">
        <f t="shared" ca="1" si="0"/>
        <v>7</v>
      </c>
    </row>
    <row r="42" spans="1:2">
      <c r="A42" s="74">
        <f t="shared" ca="1" si="1"/>
        <v>36.800000000000004</v>
      </c>
      <c r="B42" s="75">
        <f t="shared" ca="1" si="0"/>
        <v>0</v>
      </c>
    </row>
    <row r="43" spans="1:2">
      <c r="A43" s="74">
        <f ca="1">A42+$B$31</f>
        <v>39.000000000000007</v>
      </c>
      <c r="B43" s="75">
        <f t="shared" ca="1" si="0"/>
        <v>1</v>
      </c>
    </row>
    <row r="44" spans="1:2" ht="13.5" thickBot="1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BN110"/>
  <sheetViews>
    <sheetView zoomScale="70" zoomScaleNormal="70" workbookViewId="0">
      <pane ySplit="2145" topLeftCell="A36" activePane="bottomLeft"/>
      <selection activeCell="CA1" sqref="BO1:CA1048576"/>
      <selection pane="bottomLeft" activeCell="G38" sqref="G38"/>
    </sheetView>
  </sheetViews>
  <sheetFormatPr defaultRowHeight="12.75"/>
  <cols>
    <col min="1" max="1" width="9.7109375" bestFit="1" customWidth="1"/>
    <col min="2" max="2" width="9.7109375" style="26" bestFit="1" customWidth="1"/>
    <col min="3" max="3" width="17.140625" bestFit="1" customWidth="1"/>
    <col min="4" max="6" width="0.7109375" customWidth="1"/>
    <col min="7" max="66" width="3.28515625" customWidth="1"/>
  </cols>
  <sheetData>
    <row r="2" spans="4:66" ht="120.75">
      <c r="D2" s="2"/>
      <c r="E2" s="2"/>
      <c r="F2" s="2"/>
      <c r="G2" s="2" t="str">
        <f t="shared" ref="G2:BN2" ca="1" si="0">INDIRECT(ADDRESS(2,COLUMN(),,,$A$33))</f>
        <v>Mrs. HomeTeam</v>
      </c>
      <c r="H2" s="2" t="str">
        <f t="shared" ca="1" si="0"/>
        <v>Mr. Favorite</v>
      </c>
      <c r="I2" s="2" t="str">
        <f t="shared" ca="1" si="0"/>
        <v>Miss CDC</v>
      </c>
      <c r="J2" s="2" t="str">
        <f t="shared" ca="1" si="0"/>
        <v>Sagarin</v>
      </c>
      <c r="K2" s="2" t="str">
        <f t="shared" ca="1" si="0"/>
        <v>Aaron, Chip</v>
      </c>
      <c r="L2" s="2" t="str">
        <f t="shared" ca="1" si="0"/>
        <v>Barker, Christopher A</v>
      </c>
      <c r="M2" s="2" t="str">
        <f t="shared" ca="1" si="0"/>
        <v>Beasley, Tate</v>
      </c>
      <c r="N2" s="2" t="str">
        <f t="shared" ca="1" si="0"/>
        <v>Beckwith, Greg</v>
      </c>
      <c r="O2" s="2" t="str">
        <f t="shared" ca="1" si="0"/>
        <v>Boykin, Jerome W</v>
      </c>
      <c r="P2" s="2" t="str">
        <f t="shared" ca="1" si="0"/>
        <v>Carroll, Adam</v>
      </c>
      <c r="Q2" s="2" t="str">
        <f t="shared" ca="1" si="0"/>
        <v>Daffron, Christopher</v>
      </c>
      <c r="R2" s="2" t="str">
        <f t="shared" ca="1" si="0"/>
        <v>Delehanty, Kyle T</v>
      </c>
      <c r="S2" s="2" t="str">
        <f t="shared" ca="1" si="0"/>
        <v>Desetto, Daniel</v>
      </c>
      <c r="T2" s="2" t="str">
        <f t="shared" ca="1" si="0"/>
        <v>Desetto, Thomas Remote</v>
      </c>
      <c r="U2" s="2" t="str">
        <f t="shared" ca="1" si="0"/>
        <v>Desing, Scott M</v>
      </c>
      <c r="V2" s="2" t="str">
        <f t="shared" ca="1" si="0"/>
        <v>Drebin, James</v>
      </c>
      <c r="W2" s="2" t="str">
        <f t="shared" ca="1" si="0"/>
        <v>Edwards, Christopher S</v>
      </c>
      <c r="X2" s="2" t="str">
        <f t="shared" ca="1" si="0"/>
        <v>Emptage, Nick</v>
      </c>
      <c r="Y2" s="2" t="str">
        <f t="shared" ca="1" si="0"/>
        <v>Ferguson, Scott Remote</v>
      </c>
      <c r="Z2" s="2" t="str">
        <f t="shared" ca="1" si="0"/>
        <v>Fonville, Chris</v>
      </c>
      <c r="AA2" s="2" t="str">
        <f t="shared" ca="1" si="0"/>
        <v>Gilmer, Justin T</v>
      </c>
      <c r="AB2" s="2" t="str">
        <f t="shared" ca="1" si="0"/>
        <v>Hendrick, Matt R</v>
      </c>
      <c r="AC2" s="2" t="str">
        <f t="shared" ca="1" si="0"/>
        <v>Holden, Brent Remote</v>
      </c>
      <c r="AD2" s="2" t="str">
        <f t="shared" ca="1" si="0"/>
        <v>Holley, Jeremy Remote</v>
      </c>
      <c r="AE2" s="2" t="str">
        <f t="shared" ca="1" si="0"/>
        <v>Inabinet, Gregory</v>
      </c>
      <c r="AF2" s="2" t="str">
        <f t="shared" ca="1" si="0"/>
        <v>James, Larry Remote</v>
      </c>
      <c r="AG2" s="2" t="str">
        <f t="shared" ca="1" si="0"/>
        <v>Johnson, Creed D</v>
      </c>
      <c r="AH2" s="2" t="str">
        <f t="shared" ca="1" si="0"/>
        <v>Locklear, Dave Remote</v>
      </c>
      <c r="AI2" s="2" t="str">
        <f t="shared" ca="1" si="0"/>
        <v>Marsh, Alexander Remote</v>
      </c>
      <c r="AJ2" s="2" t="str">
        <f t="shared" ca="1" si="0"/>
        <v>Martin, Douglas C</v>
      </c>
      <c r="AK2" s="2" t="str">
        <f t="shared" ca="1" si="0"/>
        <v>Mccoy, William M</v>
      </c>
      <c r="AL2" s="2" t="str">
        <f t="shared" ca="1" si="0"/>
        <v>Montanez, Johanna</v>
      </c>
      <c r="AM2" s="2" t="str">
        <f t="shared" ca="1" si="0"/>
        <v>Moore, Kevin B</v>
      </c>
      <c r="AN2" s="2" t="str">
        <f t="shared" ca="1" si="0"/>
        <v>Murdaugh, Stephen K</v>
      </c>
      <c r="AO2" s="2" t="str">
        <f t="shared" ca="1" si="0"/>
        <v>Murphy, William A</v>
      </c>
      <c r="AP2" s="2" t="str">
        <f t="shared" ca="1" si="0"/>
        <v>Nance, Rob Remote</v>
      </c>
      <c r="AQ2" s="2" t="str">
        <f t="shared" ca="1" si="0"/>
        <v>Neeley, Amber Remote</v>
      </c>
      <c r="AR2" s="2" t="str">
        <f t="shared" ca="1" si="0"/>
        <v>Neeley, Michael Remote</v>
      </c>
      <c r="AS2" s="2" t="str">
        <f t="shared" ca="1" si="0"/>
        <v>Neill, Charles H</v>
      </c>
      <c r="AT2" s="2" t="str">
        <f t="shared" ca="1" si="0"/>
        <v>Nguyen, Thai Remote</v>
      </c>
      <c r="AU2" s="2" t="str">
        <f t="shared" ca="1" si="0"/>
        <v>Paul, Wilmaison</v>
      </c>
      <c r="AV2" s="2" t="str">
        <f t="shared" ca="1" si="0"/>
        <v>Penrose, Tim Remote</v>
      </c>
      <c r="AW2" s="2" t="str">
        <f t="shared" ca="1" si="0"/>
        <v>Powell, LaMar</v>
      </c>
      <c r="AX2" s="2" t="str">
        <f t="shared" ca="1" si="0"/>
        <v>Reams, Byron L</v>
      </c>
      <c r="AY2" s="2" t="str">
        <f t="shared" ca="1" si="0"/>
        <v>Robbins, Dale</v>
      </c>
      <c r="AZ2" s="2" t="str">
        <f t="shared" ca="1" si="0"/>
        <v>Robbins, Thomas D</v>
      </c>
      <c r="BA2" s="2" t="str">
        <f t="shared" ca="1" si="0"/>
        <v>Ruffin, Chris</v>
      </c>
      <c r="BB2" s="2" t="str">
        <f t="shared" ca="1" si="0"/>
        <v>Sams, David</v>
      </c>
      <c r="BC2" s="2" t="str">
        <f t="shared" ca="1" si="0"/>
        <v>Sapp, Carl G</v>
      </c>
      <c r="BD2" s="2" t="str">
        <f t="shared" ca="1" si="0"/>
        <v>Staub, Kevin</v>
      </c>
      <c r="BE2" s="2" t="str">
        <f t="shared" ca="1" si="0"/>
        <v>Staub, Ryan</v>
      </c>
      <c r="BF2" s="2" t="str">
        <f t="shared" ca="1" si="0"/>
        <v>Steel, Van Remote</v>
      </c>
      <c r="BG2" s="2" t="str">
        <f t="shared" ca="1" si="0"/>
        <v>Stonecypher, David</v>
      </c>
      <c r="BH2" s="2" t="str">
        <f t="shared" ca="1" si="0"/>
        <v>Straw, Adam D</v>
      </c>
      <c r="BI2" s="2" t="str">
        <f t="shared" ca="1" si="0"/>
        <v>Warren, Jason</v>
      </c>
      <c r="BJ2" s="2" t="str">
        <f t="shared" ca="1" si="0"/>
        <v>Warren, Todd Remote</v>
      </c>
      <c r="BK2" s="2" t="str">
        <f t="shared" ca="1" si="0"/>
        <v>Wells, Seth Remote</v>
      </c>
      <c r="BL2" s="2" t="str">
        <f t="shared" ca="1" si="0"/>
        <v>White, Jarred</v>
      </c>
      <c r="BM2" s="2" t="str">
        <f t="shared" ca="1" si="0"/>
        <v>Winburn, Steve A</v>
      </c>
      <c r="BN2" s="2" t="str">
        <f t="shared" ca="1" si="0"/>
        <v>Young, Kenneth</v>
      </c>
    </row>
    <row r="3" spans="4:66">
      <c r="G3">
        <f t="shared" ref="G3:T16" ca="1" si="1">COUNTA(INDIRECT(ADDRESS(ROW(),COLUMN(),,,$A$33)))</f>
        <v>0</v>
      </c>
      <c r="H3">
        <f ca="1">(INDIRECT(ADDRESS(ROW(),COLUMN(),,,$A$33)))</f>
        <v>0</v>
      </c>
      <c r="I3">
        <f ca="1">(INDIRECT(ADDRESS(ROW(),COLUMN(),,,$A$33)))</f>
        <v>1</v>
      </c>
      <c r="J3">
        <f t="shared" ca="1" si="1"/>
        <v>0</v>
      </c>
      <c r="K3">
        <f t="shared" ca="1" si="1"/>
        <v>1</v>
      </c>
      <c r="L3">
        <f t="shared" ca="1" si="1"/>
        <v>0</v>
      </c>
      <c r="M3">
        <f t="shared" ca="1" si="1"/>
        <v>1</v>
      </c>
      <c r="N3">
        <f t="shared" ca="1" si="1"/>
        <v>1</v>
      </c>
      <c r="O3">
        <f t="shared" ca="1" si="1"/>
        <v>0</v>
      </c>
      <c r="P3">
        <f t="shared" ca="1" si="1"/>
        <v>0</v>
      </c>
      <c r="Q3">
        <f t="shared" ca="1" si="1"/>
        <v>1</v>
      </c>
      <c r="R3">
        <f t="shared" ca="1" si="1"/>
        <v>1</v>
      </c>
      <c r="S3">
        <f t="shared" ca="1" si="1"/>
        <v>1</v>
      </c>
      <c r="T3">
        <f t="shared" ca="1" si="1"/>
        <v>1</v>
      </c>
      <c r="U3">
        <f t="shared" ref="U3:AJ18" ca="1" si="2">COUNTA(INDIRECT(ADDRESS(ROW(),COLUMN(),,,$A$33)))</f>
        <v>1</v>
      </c>
      <c r="V3">
        <f t="shared" ca="1" si="2"/>
        <v>0</v>
      </c>
      <c r="W3">
        <f t="shared" ca="1" si="2"/>
        <v>0</v>
      </c>
      <c r="X3">
        <f t="shared" ca="1" si="2"/>
        <v>1</v>
      </c>
      <c r="Y3">
        <f t="shared" ca="1" si="2"/>
        <v>0</v>
      </c>
      <c r="Z3">
        <f t="shared" ca="1" si="2"/>
        <v>0</v>
      </c>
      <c r="AA3">
        <f t="shared" ca="1" si="2"/>
        <v>1</v>
      </c>
      <c r="AB3">
        <f t="shared" ca="1" si="2"/>
        <v>1</v>
      </c>
      <c r="AC3">
        <f t="shared" ca="1" si="2"/>
        <v>1</v>
      </c>
      <c r="AD3">
        <f t="shared" ca="1" si="2"/>
        <v>1</v>
      </c>
      <c r="AE3">
        <f t="shared" ca="1" si="2"/>
        <v>0</v>
      </c>
      <c r="AF3">
        <f t="shared" ca="1" si="2"/>
        <v>0</v>
      </c>
      <c r="AG3">
        <f t="shared" ca="1" si="2"/>
        <v>1</v>
      </c>
      <c r="AH3">
        <f t="shared" ca="1" si="2"/>
        <v>0</v>
      </c>
      <c r="AI3">
        <f t="shared" ca="1" si="2"/>
        <v>0</v>
      </c>
      <c r="AJ3">
        <f t="shared" ca="1" si="2"/>
        <v>0</v>
      </c>
      <c r="AK3">
        <f t="shared" ref="AG3:AV18" ca="1" si="3">COUNTA(INDIRECT(ADDRESS(ROW(),COLUMN(),,,$A$33)))</f>
        <v>1</v>
      </c>
      <c r="AL3">
        <f t="shared" ca="1" si="3"/>
        <v>0</v>
      </c>
      <c r="AM3">
        <f t="shared" ca="1" si="3"/>
        <v>0</v>
      </c>
      <c r="AN3">
        <f t="shared" ca="1" si="3"/>
        <v>0</v>
      </c>
      <c r="AO3">
        <f t="shared" ca="1" si="3"/>
        <v>0</v>
      </c>
      <c r="AP3">
        <f t="shared" ca="1" si="3"/>
        <v>1</v>
      </c>
      <c r="AQ3">
        <f t="shared" ca="1" si="3"/>
        <v>0</v>
      </c>
      <c r="AR3">
        <f t="shared" ca="1" si="3"/>
        <v>0</v>
      </c>
      <c r="AS3">
        <f t="shared" ca="1" si="3"/>
        <v>0</v>
      </c>
      <c r="AT3">
        <f t="shared" ca="1" si="3"/>
        <v>1</v>
      </c>
      <c r="AU3">
        <f t="shared" ca="1" si="3"/>
        <v>0</v>
      </c>
      <c r="AV3">
        <f t="shared" ca="1" si="3"/>
        <v>1</v>
      </c>
      <c r="AW3">
        <f t="shared" ref="AW3:BN4" ca="1" si="4">COUNTA(INDIRECT(ADDRESS(ROW(),COLUMN(),,,$A$33)))</f>
        <v>1</v>
      </c>
      <c r="AX3">
        <f t="shared" ca="1" si="4"/>
        <v>1</v>
      </c>
      <c r="AY3">
        <f t="shared" ca="1" si="4"/>
        <v>0</v>
      </c>
      <c r="AZ3">
        <f t="shared" ca="1" si="4"/>
        <v>0</v>
      </c>
      <c r="BA3">
        <f t="shared" ca="1" si="4"/>
        <v>1</v>
      </c>
      <c r="BB3">
        <f t="shared" ca="1" si="4"/>
        <v>1</v>
      </c>
      <c r="BC3">
        <f t="shared" ca="1" si="4"/>
        <v>1</v>
      </c>
      <c r="BD3">
        <f t="shared" ca="1" si="4"/>
        <v>1</v>
      </c>
      <c r="BE3">
        <f t="shared" ca="1" si="4"/>
        <v>1</v>
      </c>
      <c r="BF3">
        <f t="shared" ca="1" si="4"/>
        <v>1</v>
      </c>
      <c r="BG3">
        <f t="shared" ca="1" si="4"/>
        <v>1</v>
      </c>
      <c r="BH3">
        <f t="shared" ca="1" si="4"/>
        <v>1</v>
      </c>
      <c r="BI3">
        <f t="shared" ca="1" si="4"/>
        <v>0</v>
      </c>
      <c r="BJ3">
        <f t="shared" ca="1" si="4"/>
        <v>0</v>
      </c>
      <c r="BK3">
        <f t="shared" ca="1" si="4"/>
        <v>1</v>
      </c>
      <c r="BL3">
        <f t="shared" ca="1" si="4"/>
        <v>0</v>
      </c>
      <c r="BM3">
        <f t="shared" ca="1" si="4"/>
        <v>0</v>
      </c>
      <c r="BN3">
        <f t="shared" ca="1" si="4"/>
        <v>1</v>
      </c>
    </row>
    <row r="4" spans="4:66">
      <c r="G4">
        <f t="shared" ca="1" si="1"/>
        <v>1</v>
      </c>
      <c r="H4">
        <f t="shared" ref="H4:H22" ca="1" si="5">(INDIRECT(ADDRESS(ROW(),COLUMN(),,,$A$33)))</f>
        <v>1</v>
      </c>
      <c r="I4">
        <f t="shared" ref="I4:I22" ca="1" si="6">(INDIRECT(ADDRESS(ROW(),COLUMN(),,,$A$33)))</f>
        <v>0</v>
      </c>
      <c r="J4">
        <f t="shared" ca="1" si="1"/>
        <v>0</v>
      </c>
      <c r="K4">
        <f t="shared" ca="1" si="1"/>
        <v>0</v>
      </c>
      <c r="L4">
        <f t="shared" ca="1" si="1"/>
        <v>1</v>
      </c>
      <c r="M4">
        <f t="shared" ca="1" si="1"/>
        <v>0</v>
      </c>
      <c r="N4">
        <f t="shared" ca="1" si="1"/>
        <v>0</v>
      </c>
      <c r="O4">
        <f t="shared" ca="1" si="1"/>
        <v>1</v>
      </c>
      <c r="P4">
        <f t="shared" ca="1" si="1"/>
        <v>1</v>
      </c>
      <c r="Q4">
        <f t="shared" ca="1" si="1"/>
        <v>0</v>
      </c>
      <c r="R4">
        <f t="shared" ca="1" si="1"/>
        <v>0</v>
      </c>
      <c r="S4">
        <f t="shared" ca="1" si="1"/>
        <v>0</v>
      </c>
      <c r="T4">
        <f t="shared" ca="1" si="1"/>
        <v>0</v>
      </c>
      <c r="U4">
        <f t="shared" ca="1" si="2"/>
        <v>0</v>
      </c>
      <c r="V4">
        <f t="shared" ca="1" si="2"/>
        <v>1</v>
      </c>
      <c r="W4">
        <f t="shared" ca="1" si="2"/>
        <v>1</v>
      </c>
      <c r="X4">
        <f t="shared" ca="1" si="2"/>
        <v>0</v>
      </c>
      <c r="Y4">
        <f t="shared" ca="1" si="2"/>
        <v>1</v>
      </c>
      <c r="Z4">
        <f t="shared" ca="1" si="2"/>
        <v>1</v>
      </c>
      <c r="AA4">
        <f t="shared" ca="1" si="2"/>
        <v>0</v>
      </c>
      <c r="AB4">
        <f t="shared" ca="1" si="2"/>
        <v>0</v>
      </c>
      <c r="AC4">
        <f t="shared" ca="1" si="2"/>
        <v>0</v>
      </c>
      <c r="AD4">
        <f t="shared" ca="1" si="2"/>
        <v>0</v>
      </c>
      <c r="AE4">
        <f t="shared" ca="1" si="2"/>
        <v>1</v>
      </c>
      <c r="AF4">
        <f t="shared" ca="1" si="2"/>
        <v>1</v>
      </c>
      <c r="AG4">
        <f t="shared" ca="1" si="3"/>
        <v>0</v>
      </c>
      <c r="AH4">
        <f t="shared" ca="1" si="3"/>
        <v>1</v>
      </c>
      <c r="AI4">
        <f t="shared" ca="1" si="3"/>
        <v>1</v>
      </c>
      <c r="AJ4">
        <f t="shared" ca="1" si="3"/>
        <v>1</v>
      </c>
      <c r="AK4">
        <f t="shared" ca="1" si="3"/>
        <v>0</v>
      </c>
      <c r="AL4">
        <f t="shared" ca="1" si="3"/>
        <v>1</v>
      </c>
      <c r="AM4">
        <f t="shared" ca="1" si="3"/>
        <v>1</v>
      </c>
      <c r="AN4">
        <f t="shared" ca="1" si="3"/>
        <v>1</v>
      </c>
      <c r="AO4">
        <f t="shared" ca="1" si="3"/>
        <v>1</v>
      </c>
      <c r="AP4">
        <f t="shared" ref="AP4:BI19" ca="1" si="7">COUNTA(INDIRECT(ADDRESS(ROW(),COLUMN(),,,$A$33)))</f>
        <v>0</v>
      </c>
      <c r="AQ4">
        <f t="shared" ca="1" si="7"/>
        <v>1</v>
      </c>
      <c r="AR4">
        <f t="shared" ca="1" si="7"/>
        <v>1</v>
      </c>
      <c r="AS4">
        <f t="shared" ca="1" si="7"/>
        <v>1</v>
      </c>
      <c r="AT4">
        <f t="shared" ca="1" si="7"/>
        <v>0</v>
      </c>
      <c r="AU4">
        <f t="shared" ca="1" si="7"/>
        <v>1</v>
      </c>
      <c r="AV4">
        <f t="shared" ca="1" si="7"/>
        <v>0</v>
      </c>
      <c r="AW4">
        <f t="shared" ca="1" si="7"/>
        <v>0</v>
      </c>
      <c r="AX4">
        <f t="shared" ca="1" si="7"/>
        <v>0</v>
      </c>
      <c r="AY4">
        <f t="shared" ca="1" si="7"/>
        <v>1</v>
      </c>
      <c r="AZ4">
        <f t="shared" ca="1" si="7"/>
        <v>1</v>
      </c>
      <c r="BA4">
        <f t="shared" ca="1" si="7"/>
        <v>0</v>
      </c>
      <c r="BB4">
        <f t="shared" ca="1" si="7"/>
        <v>0</v>
      </c>
      <c r="BC4">
        <f t="shared" ca="1" si="7"/>
        <v>0</v>
      </c>
      <c r="BD4">
        <f t="shared" ca="1" si="7"/>
        <v>0</v>
      </c>
      <c r="BE4">
        <f t="shared" ca="1" si="7"/>
        <v>0</v>
      </c>
      <c r="BF4">
        <f t="shared" ca="1" si="7"/>
        <v>0</v>
      </c>
      <c r="BG4">
        <f t="shared" ca="1" si="7"/>
        <v>0</v>
      </c>
      <c r="BH4">
        <f t="shared" ca="1" si="7"/>
        <v>0</v>
      </c>
      <c r="BI4">
        <f t="shared" ca="1" si="7"/>
        <v>1</v>
      </c>
      <c r="BJ4">
        <f t="shared" ca="1" si="4"/>
        <v>1</v>
      </c>
      <c r="BK4">
        <f t="shared" ca="1" si="4"/>
        <v>0</v>
      </c>
      <c r="BL4">
        <f t="shared" ca="1" si="4"/>
        <v>1</v>
      </c>
      <c r="BM4">
        <f t="shared" ca="1" si="4"/>
        <v>1</v>
      </c>
      <c r="BN4">
        <f t="shared" ca="1" si="4"/>
        <v>0</v>
      </c>
    </row>
    <row r="5" spans="4:66">
      <c r="G5">
        <f t="shared" ca="1" si="1"/>
        <v>0</v>
      </c>
      <c r="H5">
        <f t="shared" ca="1" si="5"/>
        <v>1</v>
      </c>
      <c r="I5">
        <f t="shared" ca="1" si="6"/>
        <v>1</v>
      </c>
      <c r="J5">
        <f t="shared" ca="1" si="1"/>
        <v>0</v>
      </c>
      <c r="K5">
        <f t="shared" ca="1" si="1"/>
        <v>0</v>
      </c>
      <c r="L5">
        <f t="shared" ca="1" si="1"/>
        <v>1</v>
      </c>
      <c r="M5">
        <f t="shared" ca="1" si="1"/>
        <v>1</v>
      </c>
      <c r="N5">
        <f t="shared" ca="1" si="1"/>
        <v>0</v>
      </c>
      <c r="O5">
        <f t="shared" ca="1" si="1"/>
        <v>0</v>
      </c>
      <c r="P5">
        <f t="shared" ca="1" si="1"/>
        <v>1</v>
      </c>
      <c r="Q5">
        <f t="shared" ca="1" si="1"/>
        <v>1</v>
      </c>
      <c r="R5">
        <f t="shared" ca="1" si="1"/>
        <v>1</v>
      </c>
      <c r="S5">
        <f t="shared" ca="1" si="1"/>
        <v>0</v>
      </c>
      <c r="T5">
        <f t="shared" ca="1" si="1"/>
        <v>0</v>
      </c>
      <c r="U5">
        <f t="shared" ca="1" si="2"/>
        <v>1</v>
      </c>
      <c r="V5">
        <f t="shared" ca="1" si="2"/>
        <v>0</v>
      </c>
      <c r="W5">
        <f t="shared" ca="1" si="2"/>
        <v>0</v>
      </c>
      <c r="X5">
        <f t="shared" ca="1" si="2"/>
        <v>0</v>
      </c>
      <c r="Y5">
        <f t="shared" ca="1" si="2"/>
        <v>1</v>
      </c>
      <c r="Z5">
        <f t="shared" ca="1" si="2"/>
        <v>1</v>
      </c>
      <c r="AA5">
        <f t="shared" ca="1" si="2"/>
        <v>0</v>
      </c>
      <c r="AB5">
        <f t="shared" ca="1" si="2"/>
        <v>1</v>
      </c>
      <c r="AC5">
        <f t="shared" ca="1" si="2"/>
        <v>1</v>
      </c>
      <c r="AD5">
        <f t="shared" ca="1" si="2"/>
        <v>0</v>
      </c>
      <c r="AE5">
        <f t="shared" ca="1" si="2"/>
        <v>1</v>
      </c>
      <c r="AF5">
        <f t="shared" ca="1" si="2"/>
        <v>0</v>
      </c>
      <c r="AG5">
        <f t="shared" ca="1" si="3"/>
        <v>1</v>
      </c>
      <c r="AH5">
        <f t="shared" ca="1" si="3"/>
        <v>1</v>
      </c>
      <c r="AI5">
        <f t="shared" ca="1" si="3"/>
        <v>1</v>
      </c>
      <c r="AJ5">
        <f t="shared" ca="1" si="3"/>
        <v>1</v>
      </c>
      <c r="AK5">
        <f t="shared" ca="1" si="3"/>
        <v>1</v>
      </c>
      <c r="AL5">
        <f t="shared" ca="1" si="3"/>
        <v>1</v>
      </c>
      <c r="AM5">
        <f t="shared" ca="1" si="3"/>
        <v>1</v>
      </c>
      <c r="AN5">
        <f t="shared" ca="1" si="3"/>
        <v>1</v>
      </c>
      <c r="AO5">
        <f t="shared" ca="1" si="3"/>
        <v>1</v>
      </c>
      <c r="AP5">
        <f t="shared" ca="1" si="7"/>
        <v>1</v>
      </c>
      <c r="AQ5">
        <f t="shared" ca="1" si="7"/>
        <v>1</v>
      </c>
      <c r="AR5">
        <f t="shared" ca="1" si="7"/>
        <v>1</v>
      </c>
      <c r="AS5">
        <f t="shared" ca="1" si="7"/>
        <v>0</v>
      </c>
      <c r="AT5">
        <f t="shared" ca="1" si="7"/>
        <v>1</v>
      </c>
      <c r="AU5">
        <f t="shared" ca="1" si="7"/>
        <v>1</v>
      </c>
      <c r="AV5">
        <f t="shared" ca="1" si="7"/>
        <v>1</v>
      </c>
      <c r="AW5">
        <f t="shared" ca="1" si="7"/>
        <v>0</v>
      </c>
      <c r="AX5">
        <f t="shared" ca="1" si="7"/>
        <v>1</v>
      </c>
      <c r="AY5">
        <f t="shared" ca="1" si="7"/>
        <v>1</v>
      </c>
      <c r="AZ5">
        <f t="shared" ca="1" si="7"/>
        <v>0</v>
      </c>
      <c r="BA5">
        <f t="shared" ca="1" si="7"/>
        <v>1</v>
      </c>
      <c r="BB5">
        <f t="shared" ca="1" si="7"/>
        <v>1</v>
      </c>
      <c r="BC5">
        <f t="shared" ref="BC5:BN18" ca="1" si="8">COUNTA(INDIRECT(ADDRESS(ROW(),COLUMN(),,,$A$33)))</f>
        <v>0</v>
      </c>
      <c r="BD5">
        <f t="shared" ca="1" si="8"/>
        <v>0</v>
      </c>
      <c r="BE5">
        <f t="shared" ca="1" si="8"/>
        <v>1</v>
      </c>
      <c r="BF5">
        <f t="shared" ca="1" si="8"/>
        <v>1</v>
      </c>
      <c r="BG5">
        <f t="shared" ca="1" si="8"/>
        <v>1</v>
      </c>
      <c r="BH5">
        <f t="shared" ca="1" si="8"/>
        <v>0</v>
      </c>
      <c r="BI5">
        <f t="shared" ca="1" si="8"/>
        <v>1</v>
      </c>
      <c r="BJ5">
        <f t="shared" ca="1" si="8"/>
        <v>1</v>
      </c>
      <c r="BK5">
        <f t="shared" ca="1" si="8"/>
        <v>0</v>
      </c>
      <c r="BL5">
        <f t="shared" ca="1" si="8"/>
        <v>1</v>
      </c>
      <c r="BM5">
        <f t="shared" ca="1" si="8"/>
        <v>1</v>
      </c>
      <c r="BN5">
        <f t="shared" ca="1" si="8"/>
        <v>1</v>
      </c>
    </row>
    <row r="6" spans="4:66">
      <c r="G6">
        <f t="shared" ca="1" si="1"/>
        <v>1</v>
      </c>
      <c r="H6">
        <f t="shared" ca="1" si="5"/>
        <v>0</v>
      </c>
      <c r="I6">
        <f t="shared" ca="1" si="6"/>
        <v>0</v>
      </c>
      <c r="J6">
        <f t="shared" ca="1" si="1"/>
        <v>0</v>
      </c>
      <c r="K6">
        <f t="shared" ca="1" si="1"/>
        <v>1</v>
      </c>
      <c r="L6">
        <f t="shared" ca="1" si="1"/>
        <v>0</v>
      </c>
      <c r="M6">
        <f t="shared" ca="1" si="1"/>
        <v>0</v>
      </c>
      <c r="N6">
        <f t="shared" ca="1" si="1"/>
        <v>1</v>
      </c>
      <c r="O6">
        <f t="shared" ca="1" si="1"/>
        <v>1</v>
      </c>
      <c r="P6">
        <f t="shared" ca="1" si="1"/>
        <v>0</v>
      </c>
      <c r="Q6">
        <f t="shared" ca="1" si="1"/>
        <v>0</v>
      </c>
      <c r="R6">
        <f t="shared" ca="1" si="1"/>
        <v>0</v>
      </c>
      <c r="S6">
        <f t="shared" ca="1" si="1"/>
        <v>1</v>
      </c>
      <c r="T6">
        <f t="shared" ca="1" si="1"/>
        <v>1</v>
      </c>
      <c r="U6">
        <f t="shared" ca="1" si="2"/>
        <v>0</v>
      </c>
      <c r="V6">
        <f t="shared" ca="1" si="2"/>
        <v>1</v>
      </c>
      <c r="W6">
        <f t="shared" ca="1" si="2"/>
        <v>1</v>
      </c>
      <c r="X6">
        <f t="shared" ca="1" si="2"/>
        <v>1</v>
      </c>
      <c r="Y6">
        <f t="shared" ca="1" si="2"/>
        <v>0</v>
      </c>
      <c r="Z6">
        <f t="shared" ca="1" si="2"/>
        <v>0</v>
      </c>
      <c r="AA6">
        <f t="shared" ca="1" si="2"/>
        <v>1</v>
      </c>
      <c r="AB6">
        <f t="shared" ca="1" si="2"/>
        <v>0</v>
      </c>
      <c r="AC6">
        <f t="shared" ca="1" si="2"/>
        <v>0</v>
      </c>
      <c r="AD6">
        <f t="shared" ca="1" si="2"/>
        <v>1</v>
      </c>
      <c r="AE6">
        <f t="shared" ca="1" si="2"/>
        <v>0</v>
      </c>
      <c r="AF6">
        <f t="shared" ca="1" si="2"/>
        <v>1</v>
      </c>
      <c r="AG6">
        <f t="shared" ca="1" si="3"/>
        <v>0</v>
      </c>
      <c r="AH6">
        <f t="shared" ca="1" si="3"/>
        <v>0</v>
      </c>
      <c r="AI6">
        <f t="shared" ca="1" si="3"/>
        <v>0</v>
      </c>
      <c r="AJ6">
        <f t="shared" ca="1" si="3"/>
        <v>0</v>
      </c>
      <c r="AK6">
        <f t="shared" ca="1" si="3"/>
        <v>0</v>
      </c>
      <c r="AL6">
        <f t="shared" ca="1" si="3"/>
        <v>0</v>
      </c>
      <c r="AM6">
        <f t="shared" ca="1" si="3"/>
        <v>0</v>
      </c>
      <c r="AN6">
        <f t="shared" ca="1" si="3"/>
        <v>0</v>
      </c>
      <c r="AO6">
        <f t="shared" ca="1" si="3"/>
        <v>0</v>
      </c>
      <c r="AP6">
        <f t="shared" ca="1" si="7"/>
        <v>0</v>
      </c>
      <c r="AQ6">
        <f t="shared" ca="1" si="7"/>
        <v>0</v>
      </c>
      <c r="AR6">
        <f t="shared" ca="1" si="7"/>
        <v>0</v>
      </c>
      <c r="AS6">
        <f t="shared" ca="1" si="7"/>
        <v>1</v>
      </c>
      <c r="AT6">
        <f t="shared" ca="1" si="7"/>
        <v>0</v>
      </c>
      <c r="AU6">
        <f t="shared" ca="1" si="7"/>
        <v>0</v>
      </c>
      <c r="AV6">
        <f t="shared" ca="1" si="7"/>
        <v>0</v>
      </c>
      <c r="AW6">
        <f t="shared" ca="1" si="7"/>
        <v>1</v>
      </c>
      <c r="AX6">
        <f t="shared" ca="1" si="7"/>
        <v>0</v>
      </c>
      <c r="AY6">
        <f t="shared" ca="1" si="7"/>
        <v>0</v>
      </c>
      <c r="AZ6">
        <f t="shared" ca="1" si="7"/>
        <v>1</v>
      </c>
      <c r="BA6">
        <f t="shared" ca="1" si="7"/>
        <v>0</v>
      </c>
      <c r="BB6">
        <f t="shared" ca="1" si="7"/>
        <v>0</v>
      </c>
      <c r="BC6">
        <f t="shared" ca="1" si="8"/>
        <v>1</v>
      </c>
      <c r="BD6">
        <f t="shared" ca="1" si="8"/>
        <v>1</v>
      </c>
      <c r="BE6">
        <f t="shared" ca="1" si="8"/>
        <v>0</v>
      </c>
      <c r="BF6">
        <f t="shared" ca="1" si="8"/>
        <v>0</v>
      </c>
      <c r="BG6">
        <f t="shared" ca="1" si="8"/>
        <v>0</v>
      </c>
      <c r="BH6">
        <f t="shared" ca="1" si="8"/>
        <v>1</v>
      </c>
      <c r="BI6">
        <f t="shared" ca="1" si="8"/>
        <v>0</v>
      </c>
      <c r="BJ6">
        <f t="shared" ca="1" si="8"/>
        <v>0</v>
      </c>
      <c r="BK6">
        <f t="shared" ca="1" si="8"/>
        <v>1</v>
      </c>
      <c r="BL6">
        <f t="shared" ca="1" si="8"/>
        <v>0</v>
      </c>
      <c r="BM6">
        <f t="shared" ca="1" si="8"/>
        <v>0</v>
      </c>
      <c r="BN6">
        <f t="shared" ca="1" si="8"/>
        <v>0</v>
      </c>
    </row>
    <row r="7" spans="4:66">
      <c r="G7">
        <f t="shared" ca="1" si="1"/>
        <v>0</v>
      </c>
      <c r="H7">
        <f t="shared" ca="1" si="5"/>
        <v>0</v>
      </c>
      <c r="I7">
        <f t="shared" ca="1" si="6"/>
        <v>0</v>
      </c>
      <c r="J7">
        <f t="shared" ca="1" si="1"/>
        <v>0</v>
      </c>
      <c r="K7">
        <f t="shared" ca="1" si="1"/>
        <v>0</v>
      </c>
      <c r="L7">
        <f t="shared" ca="1" si="1"/>
        <v>0</v>
      </c>
      <c r="M7">
        <f t="shared" ca="1" si="1"/>
        <v>0</v>
      </c>
      <c r="N7">
        <f t="shared" ca="1" si="1"/>
        <v>0</v>
      </c>
      <c r="O7">
        <f t="shared" ca="1" si="1"/>
        <v>0</v>
      </c>
      <c r="P7">
        <f t="shared" ca="1" si="1"/>
        <v>1</v>
      </c>
      <c r="Q7">
        <f t="shared" ca="1" si="1"/>
        <v>0</v>
      </c>
      <c r="R7">
        <f t="shared" ca="1" si="1"/>
        <v>0</v>
      </c>
      <c r="S7">
        <f t="shared" ca="1" si="1"/>
        <v>1</v>
      </c>
      <c r="T7">
        <f t="shared" ca="1" si="1"/>
        <v>1</v>
      </c>
      <c r="U7">
        <f t="shared" ca="1" si="2"/>
        <v>0</v>
      </c>
      <c r="V7">
        <f t="shared" ca="1" si="2"/>
        <v>0</v>
      </c>
      <c r="W7">
        <f t="shared" ca="1" si="2"/>
        <v>0</v>
      </c>
      <c r="X7">
        <f t="shared" ca="1" si="2"/>
        <v>0</v>
      </c>
      <c r="Y7">
        <f t="shared" ca="1" si="2"/>
        <v>0</v>
      </c>
      <c r="Z7">
        <f t="shared" ca="1" si="2"/>
        <v>1</v>
      </c>
      <c r="AA7">
        <f t="shared" ca="1" si="2"/>
        <v>0</v>
      </c>
      <c r="AB7">
        <f t="shared" ca="1" si="2"/>
        <v>0</v>
      </c>
      <c r="AC7">
        <f t="shared" ca="1" si="2"/>
        <v>0</v>
      </c>
      <c r="AD7">
        <f t="shared" ca="1" si="2"/>
        <v>0</v>
      </c>
      <c r="AE7">
        <f t="shared" ca="1" si="2"/>
        <v>0</v>
      </c>
      <c r="AF7">
        <f t="shared" ca="1" si="2"/>
        <v>0</v>
      </c>
      <c r="AG7">
        <f t="shared" ca="1" si="3"/>
        <v>0</v>
      </c>
      <c r="AH7">
        <f t="shared" ca="1" si="3"/>
        <v>0</v>
      </c>
      <c r="AI7">
        <f t="shared" ca="1" si="3"/>
        <v>0</v>
      </c>
      <c r="AJ7">
        <f t="shared" ca="1" si="3"/>
        <v>1</v>
      </c>
      <c r="AK7">
        <f t="shared" ca="1" si="3"/>
        <v>1</v>
      </c>
      <c r="AL7">
        <f t="shared" ca="1" si="3"/>
        <v>1</v>
      </c>
      <c r="AM7">
        <f t="shared" ca="1" si="3"/>
        <v>0</v>
      </c>
      <c r="AN7">
        <f t="shared" ca="1" si="3"/>
        <v>0</v>
      </c>
      <c r="AO7">
        <f t="shared" ca="1" si="3"/>
        <v>1</v>
      </c>
      <c r="AP7">
        <f t="shared" ca="1" si="7"/>
        <v>1</v>
      </c>
      <c r="AQ7">
        <f t="shared" ca="1" si="7"/>
        <v>1</v>
      </c>
      <c r="AR7">
        <f t="shared" ca="1" si="7"/>
        <v>0</v>
      </c>
      <c r="AS7">
        <f t="shared" ca="1" si="7"/>
        <v>0</v>
      </c>
      <c r="AT7">
        <f t="shared" ca="1" si="7"/>
        <v>1</v>
      </c>
      <c r="AU7">
        <f t="shared" ca="1" si="7"/>
        <v>0</v>
      </c>
      <c r="AV7">
        <f t="shared" ca="1" si="7"/>
        <v>0</v>
      </c>
      <c r="AW7">
        <f t="shared" ca="1" si="7"/>
        <v>0</v>
      </c>
      <c r="AX7">
        <f t="shared" ca="1" si="7"/>
        <v>1</v>
      </c>
      <c r="AY7">
        <f t="shared" ca="1" si="7"/>
        <v>0</v>
      </c>
      <c r="AZ7">
        <f t="shared" ca="1" si="7"/>
        <v>0</v>
      </c>
      <c r="BA7">
        <f t="shared" ca="1" si="7"/>
        <v>1</v>
      </c>
      <c r="BB7">
        <f t="shared" ca="1" si="7"/>
        <v>1</v>
      </c>
      <c r="BC7">
        <f t="shared" ca="1" si="8"/>
        <v>1</v>
      </c>
      <c r="BD7">
        <f t="shared" ca="1" si="8"/>
        <v>0</v>
      </c>
      <c r="BE7">
        <f t="shared" ca="1" si="8"/>
        <v>1</v>
      </c>
      <c r="BF7">
        <f t="shared" ca="1" si="8"/>
        <v>0</v>
      </c>
      <c r="BG7">
        <f t="shared" ca="1" si="8"/>
        <v>0</v>
      </c>
      <c r="BH7">
        <f t="shared" ca="1" si="8"/>
        <v>0</v>
      </c>
      <c r="BI7">
        <f t="shared" ca="1" si="8"/>
        <v>1</v>
      </c>
      <c r="BJ7">
        <f t="shared" ca="1" si="8"/>
        <v>1</v>
      </c>
      <c r="BK7">
        <f t="shared" ca="1" si="8"/>
        <v>1</v>
      </c>
      <c r="BL7">
        <f t="shared" ca="1" si="8"/>
        <v>0</v>
      </c>
      <c r="BM7">
        <f t="shared" ca="1" si="8"/>
        <v>1</v>
      </c>
      <c r="BN7">
        <f t="shared" ca="1" si="8"/>
        <v>1</v>
      </c>
    </row>
    <row r="8" spans="4:66">
      <c r="G8">
        <f t="shared" ca="1" si="1"/>
        <v>1</v>
      </c>
      <c r="H8">
        <f t="shared" ca="1" si="5"/>
        <v>1</v>
      </c>
      <c r="I8">
        <f t="shared" ca="1" si="6"/>
        <v>1</v>
      </c>
      <c r="J8">
        <f t="shared" ca="1" si="1"/>
        <v>0</v>
      </c>
      <c r="K8">
        <f t="shared" ca="1" si="1"/>
        <v>1</v>
      </c>
      <c r="L8">
        <f t="shared" ca="1" si="1"/>
        <v>1</v>
      </c>
      <c r="M8">
        <f t="shared" ca="1" si="1"/>
        <v>1</v>
      </c>
      <c r="N8">
        <f t="shared" ca="1" si="1"/>
        <v>1</v>
      </c>
      <c r="O8">
        <f t="shared" ca="1" si="1"/>
        <v>1</v>
      </c>
      <c r="P8">
        <f t="shared" ca="1" si="1"/>
        <v>0</v>
      </c>
      <c r="Q8">
        <f t="shared" ca="1" si="1"/>
        <v>1</v>
      </c>
      <c r="R8">
        <f t="shared" ca="1" si="1"/>
        <v>1</v>
      </c>
      <c r="S8">
        <f t="shared" ca="1" si="1"/>
        <v>0</v>
      </c>
      <c r="T8">
        <f t="shared" ca="1" si="1"/>
        <v>0</v>
      </c>
      <c r="U8">
        <f t="shared" ca="1" si="2"/>
        <v>1</v>
      </c>
      <c r="V8">
        <f t="shared" ca="1" si="2"/>
        <v>1</v>
      </c>
      <c r="W8">
        <f t="shared" ca="1" si="2"/>
        <v>1</v>
      </c>
      <c r="X8">
        <f t="shared" ca="1" si="2"/>
        <v>1</v>
      </c>
      <c r="Y8">
        <f t="shared" ca="1" si="2"/>
        <v>1</v>
      </c>
      <c r="Z8">
        <f t="shared" ca="1" si="2"/>
        <v>0</v>
      </c>
      <c r="AA8">
        <f t="shared" ca="1" si="2"/>
        <v>1</v>
      </c>
      <c r="AB8">
        <f t="shared" ca="1" si="2"/>
        <v>1</v>
      </c>
      <c r="AC8">
        <f t="shared" ca="1" si="2"/>
        <v>1</v>
      </c>
      <c r="AD8">
        <f t="shared" ca="1" si="2"/>
        <v>1</v>
      </c>
      <c r="AE8">
        <f t="shared" ca="1" si="2"/>
        <v>1</v>
      </c>
      <c r="AF8">
        <f t="shared" ca="1" si="2"/>
        <v>1</v>
      </c>
      <c r="AG8">
        <f t="shared" ca="1" si="3"/>
        <v>1</v>
      </c>
      <c r="AH8">
        <f t="shared" ca="1" si="3"/>
        <v>1</v>
      </c>
      <c r="AI8">
        <f t="shared" ca="1" si="3"/>
        <v>1</v>
      </c>
      <c r="AJ8">
        <f t="shared" ca="1" si="3"/>
        <v>0</v>
      </c>
      <c r="AK8">
        <f t="shared" ca="1" si="3"/>
        <v>0</v>
      </c>
      <c r="AL8">
        <f t="shared" ca="1" si="3"/>
        <v>0</v>
      </c>
      <c r="AM8">
        <f t="shared" ca="1" si="3"/>
        <v>1</v>
      </c>
      <c r="AN8">
        <f t="shared" ca="1" si="3"/>
        <v>1</v>
      </c>
      <c r="AO8">
        <f t="shared" ca="1" si="3"/>
        <v>0</v>
      </c>
      <c r="AP8">
        <f t="shared" ca="1" si="7"/>
        <v>0</v>
      </c>
      <c r="AQ8">
        <f t="shared" ca="1" si="7"/>
        <v>0</v>
      </c>
      <c r="AR8">
        <f t="shared" ca="1" si="7"/>
        <v>1</v>
      </c>
      <c r="AS8">
        <f t="shared" ca="1" si="7"/>
        <v>1</v>
      </c>
      <c r="AT8">
        <f t="shared" ca="1" si="7"/>
        <v>0</v>
      </c>
      <c r="AU8">
        <f t="shared" ca="1" si="7"/>
        <v>1</v>
      </c>
      <c r="AV8">
        <f t="shared" ca="1" si="7"/>
        <v>1</v>
      </c>
      <c r="AW8">
        <f t="shared" ca="1" si="7"/>
        <v>1</v>
      </c>
      <c r="AX8">
        <f t="shared" ca="1" si="7"/>
        <v>0</v>
      </c>
      <c r="AY8">
        <f t="shared" ca="1" si="7"/>
        <v>1</v>
      </c>
      <c r="AZ8">
        <f t="shared" ca="1" si="7"/>
        <v>1</v>
      </c>
      <c r="BA8">
        <f t="shared" ca="1" si="7"/>
        <v>0</v>
      </c>
      <c r="BB8">
        <f t="shared" ca="1" si="7"/>
        <v>0</v>
      </c>
      <c r="BC8">
        <f t="shared" ca="1" si="8"/>
        <v>0</v>
      </c>
      <c r="BD8">
        <f t="shared" ca="1" si="8"/>
        <v>1</v>
      </c>
      <c r="BE8">
        <f t="shared" ca="1" si="8"/>
        <v>0</v>
      </c>
      <c r="BF8">
        <f t="shared" ca="1" si="8"/>
        <v>1</v>
      </c>
      <c r="BG8">
        <f t="shared" ca="1" si="8"/>
        <v>1</v>
      </c>
      <c r="BH8">
        <f t="shared" ca="1" si="8"/>
        <v>1</v>
      </c>
      <c r="BI8">
        <f t="shared" ca="1" si="8"/>
        <v>0</v>
      </c>
      <c r="BJ8">
        <f t="shared" ca="1" si="8"/>
        <v>0</v>
      </c>
      <c r="BK8">
        <f t="shared" ca="1" si="8"/>
        <v>0</v>
      </c>
      <c r="BL8">
        <f t="shared" ca="1" si="8"/>
        <v>1</v>
      </c>
      <c r="BM8">
        <f t="shared" ca="1" si="8"/>
        <v>0</v>
      </c>
      <c r="BN8">
        <f t="shared" ca="1" si="8"/>
        <v>0</v>
      </c>
    </row>
    <row r="9" spans="4:66">
      <c r="G9">
        <f t="shared" ca="1" si="1"/>
        <v>0</v>
      </c>
      <c r="H9">
        <f t="shared" ca="1" si="5"/>
        <v>0</v>
      </c>
      <c r="I9">
        <f t="shared" ca="1" si="6"/>
        <v>1</v>
      </c>
      <c r="J9">
        <f t="shared" ca="1" si="1"/>
        <v>0</v>
      </c>
      <c r="K9">
        <f t="shared" ca="1" si="1"/>
        <v>1</v>
      </c>
      <c r="L9">
        <f t="shared" ca="1" si="1"/>
        <v>0</v>
      </c>
      <c r="M9">
        <f t="shared" ca="1" si="1"/>
        <v>1</v>
      </c>
      <c r="N9">
        <f t="shared" ca="1" si="1"/>
        <v>0</v>
      </c>
      <c r="O9">
        <f t="shared" ca="1" si="1"/>
        <v>1</v>
      </c>
      <c r="P9">
        <f t="shared" ca="1" si="1"/>
        <v>0</v>
      </c>
      <c r="Q9">
        <f t="shared" ca="1" si="1"/>
        <v>1</v>
      </c>
      <c r="R9">
        <f t="shared" ca="1" si="1"/>
        <v>1</v>
      </c>
      <c r="S9">
        <f t="shared" ca="1" si="1"/>
        <v>1</v>
      </c>
      <c r="T9">
        <f t="shared" ca="1" si="1"/>
        <v>1</v>
      </c>
      <c r="U9">
        <f t="shared" ca="1" si="2"/>
        <v>1</v>
      </c>
      <c r="V9">
        <f t="shared" ca="1" si="2"/>
        <v>1</v>
      </c>
      <c r="W9">
        <f t="shared" ca="1" si="2"/>
        <v>1</v>
      </c>
      <c r="X9">
        <f t="shared" ca="1" si="2"/>
        <v>1</v>
      </c>
      <c r="Y9">
        <f t="shared" ca="1" si="2"/>
        <v>1</v>
      </c>
      <c r="Z9">
        <f t="shared" ca="1" si="2"/>
        <v>0</v>
      </c>
      <c r="AA9">
        <f t="shared" ca="1" si="2"/>
        <v>0</v>
      </c>
      <c r="AB9">
        <f t="shared" ca="1" si="2"/>
        <v>1</v>
      </c>
      <c r="AC9">
        <f t="shared" ca="1" si="2"/>
        <v>1</v>
      </c>
      <c r="AD9">
        <f t="shared" ca="1" si="2"/>
        <v>1</v>
      </c>
      <c r="AE9">
        <f t="shared" ca="1" si="2"/>
        <v>0</v>
      </c>
      <c r="AF9">
        <f t="shared" ca="1" si="2"/>
        <v>0</v>
      </c>
      <c r="AG9">
        <f t="shared" ca="1" si="3"/>
        <v>1</v>
      </c>
      <c r="AH9">
        <f t="shared" ca="1" si="3"/>
        <v>1</v>
      </c>
      <c r="AI9">
        <f t="shared" ca="1" si="3"/>
        <v>0</v>
      </c>
      <c r="AJ9">
        <f t="shared" ca="1" si="3"/>
        <v>1</v>
      </c>
      <c r="AK9">
        <f t="shared" ca="1" si="3"/>
        <v>1</v>
      </c>
      <c r="AL9">
        <f t="shared" ca="1" si="3"/>
        <v>0</v>
      </c>
      <c r="AM9">
        <f t="shared" ca="1" si="3"/>
        <v>1</v>
      </c>
      <c r="AN9">
        <f t="shared" ca="1" si="3"/>
        <v>0</v>
      </c>
      <c r="AO9">
        <f t="shared" ca="1" si="3"/>
        <v>0</v>
      </c>
      <c r="AP9">
        <f t="shared" ca="1" si="7"/>
        <v>1</v>
      </c>
      <c r="AQ9">
        <f t="shared" ca="1" si="7"/>
        <v>0</v>
      </c>
      <c r="AR9">
        <f t="shared" ca="1" si="7"/>
        <v>1</v>
      </c>
      <c r="AS9">
        <f t="shared" ca="1" si="7"/>
        <v>1</v>
      </c>
      <c r="AT9">
        <f t="shared" ca="1" si="7"/>
        <v>1</v>
      </c>
      <c r="AU9">
        <f t="shared" ca="1" si="7"/>
        <v>0</v>
      </c>
      <c r="AV9">
        <f t="shared" ca="1" si="7"/>
        <v>0</v>
      </c>
      <c r="AW9">
        <f t="shared" ca="1" si="7"/>
        <v>1</v>
      </c>
      <c r="AX9">
        <f t="shared" ca="1" si="7"/>
        <v>1</v>
      </c>
      <c r="AY9">
        <f t="shared" ca="1" si="7"/>
        <v>1</v>
      </c>
      <c r="AZ9">
        <f t="shared" ca="1" si="7"/>
        <v>1</v>
      </c>
      <c r="BA9">
        <f t="shared" ca="1" si="7"/>
        <v>1</v>
      </c>
      <c r="BB9">
        <f t="shared" ca="1" si="7"/>
        <v>0</v>
      </c>
      <c r="BC9">
        <f t="shared" ca="1" si="8"/>
        <v>1</v>
      </c>
      <c r="BD9">
        <f t="shared" ca="1" si="8"/>
        <v>1</v>
      </c>
      <c r="BE9">
        <f t="shared" ca="1" si="8"/>
        <v>1</v>
      </c>
      <c r="BF9">
        <f t="shared" ca="1" si="8"/>
        <v>1</v>
      </c>
      <c r="BG9">
        <f t="shared" ca="1" si="8"/>
        <v>0</v>
      </c>
      <c r="BH9">
        <f t="shared" ca="1" si="8"/>
        <v>1</v>
      </c>
      <c r="BI9">
        <f t="shared" ca="1" si="8"/>
        <v>0</v>
      </c>
      <c r="BJ9">
        <f t="shared" ca="1" si="8"/>
        <v>1</v>
      </c>
      <c r="BK9">
        <f t="shared" ca="1" si="8"/>
        <v>1</v>
      </c>
      <c r="BL9">
        <f t="shared" ca="1" si="8"/>
        <v>1</v>
      </c>
      <c r="BM9">
        <f t="shared" ca="1" si="8"/>
        <v>1</v>
      </c>
      <c r="BN9">
        <f t="shared" ca="1" si="8"/>
        <v>0</v>
      </c>
    </row>
    <row r="10" spans="4:66">
      <c r="G10">
        <f t="shared" ca="1" si="1"/>
        <v>1</v>
      </c>
      <c r="H10">
        <f t="shared" ca="1" si="5"/>
        <v>1</v>
      </c>
      <c r="I10">
        <f t="shared" ca="1" si="6"/>
        <v>0</v>
      </c>
      <c r="J10">
        <f t="shared" ca="1" si="1"/>
        <v>0</v>
      </c>
      <c r="K10">
        <f t="shared" ca="1" si="1"/>
        <v>0</v>
      </c>
      <c r="L10">
        <f t="shared" ca="1" si="1"/>
        <v>1</v>
      </c>
      <c r="M10">
        <f t="shared" ca="1" si="1"/>
        <v>0</v>
      </c>
      <c r="N10">
        <f t="shared" ca="1" si="1"/>
        <v>1</v>
      </c>
      <c r="O10">
        <f t="shared" ca="1" si="1"/>
        <v>0</v>
      </c>
      <c r="P10">
        <f t="shared" ca="1" si="1"/>
        <v>1</v>
      </c>
      <c r="Q10">
        <f t="shared" ca="1" si="1"/>
        <v>0</v>
      </c>
      <c r="R10">
        <f t="shared" ca="1" si="1"/>
        <v>0</v>
      </c>
      <c r="S10">
        <f t="shared" ca="1" si="1"/>
        <v>0</v>
      </c>
      <c r="T10">
        <f t="shared" ca="1" si="1"/>
        <v>0</v>
      </c>
      <c r="U10">
        <f t="shared" ca="1" si="2"/>
        <v>0</v>
      </c>
      <c r="V10">
        <f t="shared" ca="1" si="2"/>
        <v>0</v>
      </c>
      <c r="W10">
        <f t="shared" ca="1" si="2"/>
        <v>0</v>
      </c>
      <c r="X10">
        <f t="shared" ca="1" si="2"/>
        <v>0</v>
      </c>
      <c r="Y10">
        <f t="shared" ca="1" si="2"/>
        <v>0</v>
      </c>
      <c r="Z10">
        <f t="shared" ca="1" si="2"/>
        <v>1</v>
      </c>
      <c r="AA10">
        <f t="shared" ca="1" si="2"/>
        <v>1</v>
      </c>
      <c r="AB10">
        <f t="shared" ca="1" si="2"/>
        <v>0</v>
      </c>
      <c r="AC10">
        <f t="shared" ca="1" si="2"/>
        <v>0</v>
      </c>
      <c r="AD10">
        <f t="shared" ca="1" si="2"/>
        <v>0</v>
      </c>
      <c r="AE10">
        <f t="shared" ca="1" si="2"/>
        <v>1</v>
      </c>
      <c r="AF10">
        <f t="shared" ca="1" si="2"/>
        <v>1</v>
      </c>
      <c r="AG10">
        <f t="shared" ca="1" si="3"/>
        <v>0</v>
      </c>
      <c r="AH10">
        <f t="shared" ca="1" si="3"/>
        <v>0</v>
      </c>
      <c r="AI10">
        <f t="shared" ca="1" si="3"/>
        <v>1</v>
      </c>
      <c r="AJ10">
        <f t="shared" ca="1" si="3"/>
        <v>0</v>
      </c>
      <c r="AK10">
        <f t="shared" ca="1" si="3"/>
        <v>0</v>
      </c>
      <c r="AL10">
        <f t="shared" ca="1" si="3"/>
        <v>1</v>
      </c>
      <c r="AM10">
        <f t="shared" ca="1" si="3"/>
        <v>0</v>
      </c>
      <c r="AN10">
        <f t="shared" ca="1" si="3"/>
        <v>1</v>
      </c>
      <c r="AO10">
        <f t="shared" ca="1" si="3"/>
        <v>1</v>
      </c>
      <c r="AP10">
        <f t="shared" ca="1" si="7"/>
        <v>0</v>
      </c>
      <c r="AQ10">
        <f t="shared" ca="1" si="7"/>
        <v>1</v>
      </c>
      <c r="AR10">
        <f t="shared" ca="1" si="7"/>
        <v>0</v>
      </c>
      <c r="AS10">
        <f t="shared" ca="1" si="7"/>
        <v>0</v>
      </c>
      <c r="AT10">
        <f t="shared" ca="1" si="7"/>
        <v>0</v>
      </c>
      <c r="AU10">
        <f t="shared" ca="1" si="7"/>
        <v>1</v>
      </c>
      <c r="AV10">
        <f t="shared" ca="1" si="7"/>
        <v>1</v>
      </c>
      <c r="AW10">
        <f t="shared" ca="1" si="7"/>
        <v>0</v>
      </c>
      <c r="AX10">
        <f t="shared" ca="1" si="7"/>
        <v>0</v>
      </c>
      <c r="AY10">
        <f t="shared" ca="1" si="7"/>
        <v>0</v>
      </c>
      <c r="AZ10">
        <f t="shared" ca="1" si="7"/>
        <v>0</v>
      </c>
      <c r="BA10">
        <f t="shared" ca="1" si="7"/>
        <v>0</v>
      </c>
      <c r="BB10">
        <f t="shared" ca="1" si="7"/>
        <v>1</v>
      </c>
      <c r="BC10">
        <f t="shared" ca="1" si="8"/>
        <v>0</v>
      </c>
      <c r="BD10">
        <f t="shared" ca="1" si="8"/>
        <v>0</v>
      </c>
      <c r="BE10">
        <f t="shared" ca="1" si="8"/>
        <v>0</v>
      </c>
      <c r="BF10">
        <f t="shared" ca="1" si="8"/>
        <v>0</v>
      </c>
      <c r="BG10">
        <f t="shared" ca="1" si="8"/>
        <v>1</v>
      </c>
      <c r="BH10">
        <f t="shared" ca="1" si="8"/>
        <v>0</v>
      </c>
      <c r="BI10">
        <f t="shared" ca="1" si="8"/>
        <v>1</v>
      </c>
      <c r="BJ10">
        <f t="shared" ca="1" si="8"/>
        <v>0</v>
      </c>
      <c r="BK10">
        <f t="shared" ca="1" si="8"/>
        <v>0</v>
      </c>
      <c r="BL10">
        <f t="shared" ca="1" si="8"/>
        <v>0</v>
      </c>
      <c r="BM10">
        <f t="shared" ca="1" si="8"/>
        <v>0</v>
      </c>
      <c r="BN10">
        <f t="shared" ca="1" si="8"/>
        <v>1</v>
      </c>
    </row>
    <row r="11" spans="4:66">
      <c r="G11">
        <f t="shared" ca="1" si="1"/>
        <v>0</v>
      </c>
      <c r="H11">
        <f t="shared" ca="1" si="5"/>
        <v>1</v>
      </c>
      <c r="I11">
        <f t="shared" ca="1" si="6"/>
        <v>1</v>
      </c>
      <c r="J11">
        <f t="shared" ca="1" si="1"/>
        <v>0</v>
      </c>
      <c r="K11">
        <f t="shared" ca="1" si="1"/>
        <v>1</v>
      </c>
      <c r="L11">
        <f t="shared" ca="1" si="1"/>
        <v>1</v>
      </c>
      <c r="M11">
        <f t="shared" ca="1" si="1"/>
        <v>0</v>
      </c>
      <c r="N11">
        <f t="shared" ca="1" si="1"/>
        <v>1</v>
      </c>
      <c r="O11">
        <f t="shared" ca="1" si="1"/>
        <v>1</v>
      </c>
      <c r="P11">
        <f t="shared" ca="1" si="1"/>
        <v>0</v>
      </c>
      <c r="Q11">
        <f t="shared" ca="1" si="1"/>
        <v>0</v>
      </c>
      <c r="R11">
        <f t="shared" ca="1" si="1"/>
        <v>0</v>
      </c>
      <c r="S11">
        <f t="shared" ca="1" si="1"/>
        <v>1</v>
      </c>
      <c r="T11">
        <f t="shared" ca="1" si="1"/>
        <v>1</v>
      </c>
      <c r="U11">
        <f t="shared" ca="1" si="2"/>
        <v>1</v>
      </c>
      <c r="V11">
        <f t="shared" ca="1" si="2"/>
        <v>1</v>
      </c>
      <c r="W11">
        <f t="shared" ca="1" si="2"/>
        <v>1</v>
      </c>
      <c r="X11">
        <f t="shared" ca="1" si="2"/>
        <v>0</v>
      </c>
      <c r="Y11">
        <f t="shared" ca="1" si="2"/>
        <v>1</v>
      </c>
      <c r="Z11">
        <f t="shared" ca="1" si="2"/>
        <v>0</v>
      </c>
      <c r="AA11">
        <f t="shared" ca="1" si="2"/>
        <v>0</v>
      </c>
      <c r="AB11">
        <f t="shared" ca="1" si="2"/>
        <v>0</v>
      </c>
      <c r="AC11">
        <f t="shared" ca="1" si="2"/>
        <v>1</v>
      </c>
      <c r="AD11">
        <f t="shared" ca="1" si="2"/>
        <v>0</v>
      </c>
      <c r="AE11">
        <f t="shared" ca="1" si="2"/>
        <v>1</v>
      </c>
      <c r="AF11">
        <f t="shared" ca="1" si="2"/>
        <v>0</v>
      </c>
      <c r="AG11">
        <f t="shared" ca="1" si="3"/>
        <v>1</v>
      </c>
      <c r="AH11">
        <f t="shared" ca="1" si="3"/>
        <v>0</v>
      </c>
      <c r="AI11">
        <f t="shared" ca="1" si="3"/>
        <v>0</v>
      </c>
      <c r="AJ11">
        <f t="shared" ca="1" si="3"/>
        <v>1</v>
      </c>
      <c r="AK11">
        <f t="shared" ca="1" si="3"/>
        <v>1</v>
      </c>
      <c r="AL11">
        <f t="shared" ca="1" si="3"/>
        <v>1</v>
      </c>
      <c r="AM11">
        <f t="shared" ca="1" si="3"/>
        <v>0</v>
      </c>
      <c r="AN11">
        <f t="shared" ca="1" si="3"/>
        <v>1</v>
      </c>
      <c r="AO11">
        <f t="shared" ca="1" si="3"/>
        <v>1</v>
      </c>
      <c r="AP11">
        <f t="shared" ca="1" si="7"/>
        <v>0</v>
      </c>
      <c r="AQ11">
        <f t="shared" ca="1" si="7"/>
        <v>1</v>
      </c>
      <c r="AR11">
        <f t="shared" ca="1" si="7"/>
        <v>0</v>
      </c>
      <c r="AS11">
        <f t="shared" ca="1" si="7"/>
        <v>0</v>
      </c>
      <c r="AT11">
        <f t="shared" ca="1" si="7"/>
        <v>0</v>
      </c>
      <c r="AU11">
        <f t="shared" ca="1" si="7"/>
        <v>0</v>
      </c>
      <c r="AV11">
        <f t="shared" ca="1" si="7"/>
        <v>1</v>
      </c>
      <c r="AW11">
        <f t="shared" ca="1" si="7"/>
        <v>1</v>
      </c>
      <c r="AX11">
        <f t="shared" ca="1" si="7"/>
        <v>1</v>
      </c>
      <c r="AY11">
        <f t="shared" ca="1" si="7"/>
        <v>1</v>
      </c>
      <c r="AZ11">
        <f t="shared" ca="1" si="7"/>
        <v>0</v>
      </c>
      <c r="BA11">
        <f t="shared" ca="1" si="7"/>
        <v>1</v>
      </c>
      <c r="BB11">
        <f t="shared" ca="1" si="7"/>
        <v>1</v>
      </c>
      <c r="BC11">
        <f t="shared" ca="1" si="8"/>
        <v>0</v>
      </c>
      <c r="BD11">
        <f t="shared" ca="1" si="8"/>
        <v>0</v>
      </c>
      <c r="BE11">
        <f t="shared" ca="1" si="8"/>
        <v>1</v>
      </c>
      <c r="BF11">
        <f t="shared" ca="1" si="8"/>
        <v>0</v>
      </c>
      <c r="BG11">
        <f t="shared" ca="1" si="8"/>
        <v>1</v>
      </c>
      <c r="BH11">
        <f t="shared" ca="1" si="8"/>
        <v>0</v>
      </c>
      <c r="BI11">
        <f t="shared" ca="1" si="8"/>
        <v>0</v>
      </c>
      <c r="BJ11">
        <f t="shared" ca="1" si="8"/>
        <v>0</v>
      </c>
      <c r="BK11">
        <f t="shared" ca="1" si="8"/>
        <v>1</v>
      </c>
      <c r="BL11">
        <f t="shared" ca="1" si="8"/>
        <v>1</v>
      </c>
      <c r="BM11">
        <f t="shared" ca="1" si="8"/>
        <v>0</v>
      </c>
      <c r="BN11">
        <f t="shared" ca="1" si="8"/>
        <v>0</v>
      </c>
    </row>
    <row r="12" spans="4:66">
      <c r="G12">
        <f t="shared" ca="1" si="1"/>
        <v>1</v>
      </c>
      <c r="H12">
        <f t="shared" ca="1" si="5"/>
        <v>0</v>
      </c>
      <c r="I12">
        <f t="shared" ca="1" si="6"/>
        <v>0</v>
      </c>
      <c r="J12">
        <f t="shared" ca="1" si="1"/>
        <v>0</v>
      </c>
      <c r="K12">
        <f t="shared" ca="1" si="1"/>
        <v>0</v>
      </c>
      <c r="L12">
        <f t="shared" ca="1" si="1"/>
        <v>0</v>
      </c>
      <c r="M12">
        <f t="shared" ca="1" si="1"/>
        <v>1</v>
      </c>
      <c r="N12">
        <f t="shared" ca="1" si="1"/>
        <v>0</v>
      </c>
      <c r="O12">
        <f t="shared" ca="1" si="1"/>
        <v>0</v>
      </c>
      <c r="P12">
        <f t="shared" ca="1" si="1"/>
        <v>1</v>
      </c>
      <c r="Q12">
        <f t="shared" ca="1" si="1"/>
        <v>1</v>
      </c>
      <c r="R12">
        <f t="shared" ca="1" si="1"/>
        <v>1</v>
      </c>
      <c r="S12">
        <f t="shared" ca="1" si="1"/>
        <v>0</v>
      </c>
      <c r="T12">
        <f t="shared" ca="1" si="1"/>
        <v>0</v>
      </c>
      <c r="U12">
        <f t="shared" ca="1" si="2"/>
        <v>0</v>
      </c>
      <c r="V12">
        <f t="shared" ca="1" si="2"/>
        <v>0</v>
      </c>
      <c r="W12">
        <f t="shared" ca="1" si="2"/>
        <v>0</v>
      </c>
      <c r="X12">
        <f t="shared" ca="1" si="2"/>
        <v>1</v>
      </c>
      <c r="Y12">
        <f t="shared" ca="1" si="2"/>
        <v>0</v>
      </c>
      <c r="Z12">
        <f t="shared" ca="1" si="2"/>
        <v>1</v>
      </c>
      <c r="AA12">
        <f t="shared" ca="1" si="2"/>
        <v>1</v>
      </c>
      <c r="AB12">
        <f t="shared" ca="1" si="2"/>
        <v>1</v>
      </c>
      <c r="AC12">
        <f t="shared" ca="1" si="2"/>
        <v>0</v>
      </c>
      <c r="AD12">
        <f t="shared" ca="1" si="2"/>
        <v>1</v>
      </c>
      <c r="AE12">
        <f t="shared" ca="1" si="2"/>
        <v>0</v>
      </c>
      <c r="AF12">
        <f t="shared" ca="1" si="2"/>
        <v>1</v>
      </c>
      <c r="AG12">
        <f t="shared" ca="1" si="3"/>
        <v>0</v>
      </c>
      <c r="AH12">
        <f t="shared" ca="1" si="3"/>
        <v>1</v>
      </c>
      <c r="AI12">
        <f t="shared" ca="1" si="3"/>
        <v>1</v>
      </c>
      <c r="AJ12">
        <f t="shared" ca="1" si="3"/>
        <v>0</v>
      </c>
      <c r="AK12">
        <f t="shared" ca="1" si="3"/>
        <v>0</v>
      </c>
      <c r="AL12">
        <f t="shared" ca="1" si="3"/>
        <v>0</v>
      </c>
      <c r="AM12">
        <f t="shared" ca="1" si="3"/>
        <v>1</v>
      </c>
      <c r="AN12">
        <f t="shared" ca="1" si="3"/>
        <v>0</v>
      </c>
      <c r="AO12">
        <f t="shared" ca="1" si="3"/>
        <v>0</v>
      </c>
      <c r="AP12">
        <f t="shared" ca="1" si="7"/>
        <v>1</v>
      </c>
      <c r="AQ12">
        <f t="shared" ca="1" si="7"/>
        <v>0</v>
      </c>
      <c r="AR12">
        <f t="shared" ca="1" si="7"/>
        <v>1</v>
      </c>
      <c r="AS12">
        <f t="shared" ca="1" si="7"/>
        <v>1</v>
      </c>
      <c r="AT12">
        <f t="shared" ca="1" si="7"/>
        <v>1</v>
      </c>
      <c r="AU12">
        <f t="shared" ca="1" si="7"/>
        <v>1</v>
      </c>
      <c r="AV12">
        <f t="shared" ca="1" si="7"/>
        <v>0</v>
      </c>
      <c r="AW12">
        <f t="shared" ca="1" si="7"/>
        <v>0</v>
      </c>
      <c r="AX12">
        <f t="shared" ca="1" si="7"/>
        <v>0</v>
      </c>
      <c r="AY12">
        <f t="shared" ca="1" si="7"/>
        <v>0</v>
      </c>
      <c r="AZ12">
        <f t="shared" ca="1" si="7"/>
        <v>1</v>
      </c>
      <c r="BA12">
        <f t="shared" ca="1" si="7"/>
        <v>0</v>
      </c>
      <c r="BB12">
        <f t="shared" ca="1" si="7"/>
        <v>0</v>
      </c>
      <c r="BC12">
        <f t="shared" ca="1" si="8"/>
        <v>1</v>
      </c>
      <c r="BD12">
        <f t="shared" ca="1" si="8"/>
        <v>1</v>
      </c>
      <c r="BE12">
        <f t="shared" ca="1" si="8"/>
        <v>0</v>
      </c>
      <c r="BF12">
        <f t="shared" ca="1" si="8"/>
        <v>1</v>
      </c>
      <c r="BG12">
        <f t="shared" ca="1" si="8"/>
        <v>0</v>
      </c>
      <c r="BH12">
        <f t="shared" ca="1" si="8"/>
        <v>1</v>
      </c>
      <c r="BI12">
        <f t="shared" ca="1" si="8"/>
        <v>1</v>
      </c>
      <c r="BJ12">
        <f t="shared" ca="1" si="8"/>
        <v>1</v>
      </c>
      <c r="BK12">
        <f t="shared" ca="1" si="8"/>
        <v>0</v>
      </c>
      <c r="BL12">
        <f t="shared" ca="1" si="8"/>
        <v>0</v>
      </c>
      <c r="BM12">
        <f t="shared" ca="1" si="8"/>
        <v>1</v>
      </c>
      <c r="BN12">
        <f t="shared" ca="1" si="8"/>
        <v>1</v>
      </c>
    </row>
    <row r="13" spans="4:66">
      <c r="G13">
        <f t="shared" ca="1" si="1"/>
        <v>0</v>
      </c>
      <c r="H13">
        <f t="shared" ca="1" si="5"/>
        <v>0</v>
      </c>
      <c r="I13">
        <f t="shared" ca="1" si="6"/>
        <v>0</v>
      </c>
      <c r="J13">
        <f t="shared" ca="1" si="1"/>
        <v>0</v>
      </c>
      <c r="K13">
        <f t="shared" ca="1" si="1"/>
        <v>0</v>
      </c>
      <c r="L13">
        <f t="shared" ca="1" si="1"/>
        <v>0</v>
      </c>
      <c r="M13">
        <f t="shared" ca="1" si="1"/>
        <v>0</v>
      </c>
      <c r="N13">
        <f t="shared" ca="1" si="1"/>
        <v>0</v>
      </c>
      <c r="O13">
        <f t="shared" ca="1" si="1"/>
        <v>0</v>
      </c>
      <c r="P13">
        <f t="shared" ca="1" si="1"/>
        <v>0</v>
      </c>
      <c r="Q13">
        <f t="shared" ca="1" si="1"/>
        <v>0</v>
      </c>
      <c r="R13">
        <f t="shared" ca="1" si="1"/>
        <v>0</v>
      </c>
      <c r="S13">
        <f t="shared" ca="1" si="1"/>
        <v>1</v>
      </c>
      <c r="T13">
        <f t="shared" ca="1" si="1"/>
        <v>1</v>
      </c>
      <c r="U13">
        <f t="shared" ca="1" si="2"/>
        <v>0</v>
      </c>
      <c r="V13">
        <f t="shared" ca="1" si="2"/>
        <v>1</v>
      </c>
      <c r="W13">
        <f t="shared" ca="1" si="2"/>
        <v>1</v>
      </c>
      <c r="X13">
        <f t="shared" ca="1" si="2"/>
        <v>1</v>
      </c>
      <c r="Y13">
        <f t="shared" ca="1" si="2"/>
        <v>0</v>
      </c>
      <c r="Z13">
        <f t="shared" ca="1" si="2"/>
        <v>1</v>
      </c>
      <c r="AA13">
        <f t="shared" ca="1" si="2"/>
        <v>1</v>
      </c>
      <c r="AB13">
        <f t="shared" ca="1" si="2"/>
        <v>0</v>
      </c>
      <c r="AC13">
        <f t="shared" ca="1" si="2"/>
        <v>0</v>
      </c>
      <c r="AD13">
        <f t="shared" ca="1" si="2"/>
        <v>0</v>
      </c>
      <c r="AE13">
        <f t="shared" ca="1" si="2"/>
        <v>0</v>
      </c>
      <c r="AF13">
        <f t="shared" ca="1" si="2"/>
        <v>1</v>
      </c>
      <c r="AG13">
        <f t="shared" ca="1" si="3"/>
        <v>1</v>
      </c>
      <c r="AH13">
        <f t="shared" ca="1" si="3"/>
        <v>1</v>
      </c>
      <c r="AI13">
        <f t="shared" ca="1" si="3"/>
        <v>0</v>
      </c>
      <c r="AJ13">
        <f t="shared" ca="1" si="3"/>
        <v>1</v>
      </c>
      <c r="AK13">
        <f t="shared" ca="1" si="3"/>
        <v>0</v>
      </c>
      <c r="AL13">
        <f t="shared" ca="1" si="3"/>
        <v>0</v>
      </c>
      <c r="AM13">
        <f t="shared" ca="1" si="3"/>
        <v>1</v>
      </c>
      <c r="AN13">
        <f t="shared" ca="1" si="3"/>
        <v>0</v>
      </c>
      <c r="AO13">
        <f t="shared" ca="1" si="3"/>
        <v>0</v>
      </c>
      <c r="AP13">
        <f t="shared" ca="1" si="7"/>
        <v>0</v>
      </c>
      <c r="AQ13">
        <f t="shared" ca="1" si="7"/>
        <v>0</v>
      </c>
      <c r="AR13">
        <f t="shared" ca="1" si="7"/>
        <v>0</v>
      </c>
      <c r="AS13">
        <f t="shared" ca="1" si="7"/>
        <v>1</v>
      </c>
      <c r="AT13">
        <f t="shared" ca="1" si="7"/>
        <v>0</v>
      </c>
      <c r="AU13">
        <f t="shared" ca="1" si="7"/>
        <v>0</v>
      </c>
      <c r="AV13">
        <f t="shared" ca="1" si="7"/>
        <v>1</v>
      </c>
      <c r="AW13">
        <f t="shared" ca="1" si="7"/>
        <v>1</v>
      </c>
      <c r="AX13">
        <f t="shared" ca="1" si="7"/>
        <v>0</v>
      </c>
      <c r="AY13">
        <f t="shared" ca="1" si="7"/>
        <v>0</v>
      </c>
      <c r="AZ13">
        <f t="shared" ca="1" si="7"/>
        <v>0</v>
      </c>
      <c r="BA13">
        <f t="shared" ca="1" si="7"/>
        <v>1</v>
      </c>
      <c r="BB13">
        <f t="shared" ca="1" si="7"/>
        <v>0</v>
      </c>
      <c r="BC13">
        <f t="shared" ca="1" si="8"/>
        <v>1</v>
      </c>
      <c r="BD13">
        <f t="shared" ca="1" si="8"/>
        <v>0</v>
      </c>
      <c r="BE13">
        <f t="shared" ca="1" si="8"/>
        <v>0</v>
      </c>
      <c r="BF13">
        <f t="shared" ca="1" si="8"/>
        <v>0</v>
      </c>
      <c r="BG13">
        <f t="shared" ca="1" si="8"/>
        <v>1</v>
      </c>
      <c r="BH13">
        <f t="shared" ca="1" si="8"/>
        <v>0</v>
      </c>
      <c r="BI13">
        <f t="shared" ca="1" si="8"/>
        <v>1</v>
      </c>
      <c r="BJ13">
        <f t="shared" ca="1" si="8"/>
        <v>0</v>
      </c>
      <c r="BK13">
        <f t="shared" ca="1" si="8"/>
        <v>0</v>
      </c>
      <c r="BL13">
        <f t="shared" ca="1" si="8"/>
        <v>0</v>
      </c>
      <c r="BM13">
        <f t="shared" ca="1" si="8"/>
        <v>1</v>
      </c>
      <c r="BN13">
        <f t="shared" ca="1" si="8"/>
        <v>1</v>
      </c>
    </row>
    <row r="14" spans="4:66">
      <c r="G14">
        <f t="shared" ca="1" si="1"/>
        <v>1</v>
      </c>
      <c r="H14">
        <f t="shared" ca="1" si="5"/>
        <v>1</v>
      </c>
      <c r="I14">
        <f t="shared" ca="1" si="6"/>
        <v>1</v>
      </c>
      <c r="J14">
        <f t="shared" ca="1" si="1"/>
        <v>0</v>
      </c>
      <c r="K14">
        <f t="shared" ca="1" si="1"/>
        <v>1</v>
      </c>
      <c r="L14">
        <f t="shared" ca="1" si="1"/>
        <v>1</v>
      </c>
      <c r="M14">
        <f t="shared" ca="1" si="1"/>
        <v>1</v>
      </c>
      <c r="N14">
        <f t="shared" ca="1" si="1"/>
        <v>1</v>
      </c>
      <c r="O14">
        <f t="shared" ca="1" si="1"/>
        <v>1</v>
      </c>
      <c r="P14">
        <f t="shared" ca="1" si="1"/>
        <v>1</v>
      </c>
      <c r="Q14">
        <f t="shared" ca="1" si="1"/>
        <v>1</v>
      </c>
      <c r="R14">
        <f t="shared" ca="1" si="1"/>
        <v>1</v>
      </c>
      <c r="S14">
        <f t="shared" ca="1" si="1"/>
        <v>0</v>
      </c>
      <c r="T14">
        <f t="shared" ca="1" si="1"/>
        <v>0</v>
      </c>
      <c r="U14">
        <f t="shared" ca="1" si="2"/>
        <v>1</v>
      </c>
      <c r="V14">
        <f t="shared" ca="1" si="2"/>
        <v>0</v>
      </c>
      <c r="W14">
        <f t="shared" ca="1" si="2"/>
        <v>0</v>
      </c>
      <c r="X14">
        <f t="shared" ca="1" si="2"/>
        <v>0</v>
      </c>
      <c r="Y14">
        <f t="shared" ca="1" si="2"/>
        <v>1</v>
      </c>
      <c r="Z14">
        <f t="shared" ca="1" si="2"/>
        <v>0</v>
      </c>
      <c r="AA14">
        <f t="shared" ca="1" si="2"/>
        <v>0</v>
      </c>
      <c r="AB14">
        <f t="shared" ca="1" si="2"/>
        <v>1</v>
      </c>
      <c r="AC14">
        <f t="shared" ca="1" si="2"/>
        <v>1</v>
      </c>
      <c r="AD14">
        <f t="shared" ca="1" si="2"/>
        <v>1</v>
      </c>
      <c r="AE14">
        <f t="shared" ca="1" si="2"/>
        <v>1</v>
      </c>
      <c r="AF14">
        <f t="shared" ca="1" si="2"/>
        <v>0</v>
      </c>
      <c r="AG14">
        <f t="shared" ca="1" si="3"/>
        <v>0</v>
      </c>
      <c r="AH14">
        <f t="shared" ca="1" si="3"/>
        <v>0</v>
      </c>
      <c r="AI14">
        <f t="shared" ca="1" si="3"/>
        <v>1</v>
      </c>
      <c r="AJ14">
        <f t="shared" ca="1" si="3"/>
        <v>0</v>
      </c>
      <c r="AK14">
        <f t="shared" ca="1" si="3"/>
        <v>1</v>
      </c>
      <c r="AL14">
        <f t="shared" ca="1" si="3"/>
        <v>1</v>
      </c>
      <c r="AM14">
        <f t="shared" ca="1" si="3"/>
        <v>0</v>
      </c>
      <c r="AN14">
        <f t="shared" ca="1" si="3"/>
        <v>1</v>
      </c>
      <c r="AO14">
        <f t="shared" ca="1" si="3"/>
        <v>1</v>
      </c>
      <c r="AP14">
        <f t="shared" ca="1" si="7"/>
        <v>1</v>
      </c>
      <c r="AQ14">
        <f t="shared" ca="1" si="7"/>
        <v>1</v>
      </c>
      <c r="AR14">
        <f t="shared" ca="1" si="7"/>
        <v>1</v>
      </c>
      <c r="AS14">
        <f t="shared" ca="1" si="7"/>
        <v>0</v>
      </c>
      <c r="AT14">
        <f t="shared" ca="1" si="7"/>
        <v>1</v>
      </c>
      <c r="AU14">
        <f t="shared" ca="1" si="7"/>
        <v>1</v>
      </c>
      <c r="AV14">
        <f t="shared" ca="1" si="7"/>
        <v>0</v>
      </c>
      <c r="AW14">
        <f t="shared" ca="1" si="7"/>
        <v>0</v>
      </c>
      <c r="AX14">
        <f t="shared" ca="1" si="7"/>
        <v>1</v>
      </c>
      <c r="AY14">
        <f t="shared" ca="1" si="7"/>
        <v>1</v>
      </c>
      <c r="AZ14">
        <f t="shared" ca="1" si="7"/>
        <v>1</v>
      </c>
      <c r="BA14">
        <f t="shared" ca="1" si="7"/>
        <v>0</v>
      </c>
      <c r="BB14">
        <f t="shared" ca="1" si="7"/>
        <v>1</v>
      </c>
      <c r="BC14">
        <f t="shared" ca="1" si="8"/>
        <v>0</v>
      </c>
      <c r="BD14">
        <f t="shared" ca="1" si="8"/>
        <v>1</v>
      </c>
      <c r="BE14">
        <f t="shared" ca="1" si="8"/>
        <v>1</v>
      </c>
      <c r="BF14">
        <f t="shared" ca="1" si="8"/>
        <v>1</v>
      </c>
      <c r="BG14">
        <f t="shared" ca="1" si="8"/>
        <v>0</v>
      </c>
      <c r="BH14">
        <f t="shared" ca="1" si="8"/>
        <v>1</v>
      </c>
      <c r="BI14">
        <f t="shared" ca="1" si="8"/>
        <v>0</v>
      </c>
      <c r="BJ14">
        <f t="shared" ca="1" si="8"/>
        <v>1</v>
      </c>
      <c r="BK14">
        <f t="shared" ca="1" si="8"/>
        <v>1</v>
      </c>
      <c r="BL14">
        <f t="shared" ca="1" si="8"/>
        <v>1</v>
      </c>
      <c r="BM14">
        <f t="shared" ca="1" si="8"/>
        <v>0</v>
      </c>
      <c r="BN14">
        <f t="shared" ca="1" si="8"/>
        <v>0</v>
      </c>
    </row>
    <row r="15" spans="4:66">
      <c r="G15">
        <f t="shared" ca="1" si="1"/>
        <v>0</v>
      </c>
      <c r="H15">
        <f t="shared" ca="1" si="5"/>
        <v>1</v>
      </c>
      <c r="I15">
        <f t="shared" ca="1" si="6"/>
        <v>0</v>
      </c>
      <c r="J15">
        <f t="shared" ca="1" si="1"/>
        <v>0</v>
      </c>
      <c r="K15">
        <f t="shared" ca="1" si="1"/>
        <v>1</v>
      </c>
      <c r="L15">
        <f t="shared" ca="1" si="1"/>
        <v>0</v>
      </c>
      <c r="M15">
        <f t="shared" ca="1" si="1"/>
        <v>0</v>
      </c>
      <c r="N15">
        <f t="shared" ca="1" si="1"/>
        <v>1</v>
      </c>
      <c r="O15">
        <f t="shared" ca="1" si="1"/>
        <v>0</v>
      </c>
      <c r="P15">
        <f t="shared" ca="1" si="1"/>
        <v>0</v>
      </c>
      <c r="Q15">
        <f t="shared" ca="1" si="1"/>
        <v>0</v>
      </c>
      <c r="R15">
        <f t="shared" ca="1" si="1"/>
        <v>0</v>
      </c>
      <c r="S15">
        <f t="shared" ca="1" si="1"/>
        <v>0</v>
      </c>
      <c r="T15">
        <f t="shared" ca="1" si="1"/>
        <v>0</v>
      </c>
      <c r="U15">
        <f t="shared" ca="1" si="2"/>
        <v>1</v>
      </c>
      <c r="V15">
        <f t="shared" ca="1" si="2"/>
        <v>0</v>
      </c>
      <c r="W15">
        <f t="shared" ca="1" si="2"/>
        <v>0</v>
      </c>
      <c r="X15">
        <f t="shared" ca="1" si="2"/>
        <v>0</v>
      </c>
      <c r="Y15">
        <f t="shared" ca="1" si="2"/>
        <v>1</v>
      </c>
      <c r="Z15">
        <f t="shared" ca="1" si="2"/>
        <v>0</v>
      </c>
      <c r="AA15">
        <f t="shared" ca="1" si="2"/>
        <v>1</v>
      </c>
      <c r="AB15">
        <f t="shared" ca="1" si="2"/>
        <v>1</v>
      </c>
      <c r="AC15">
        <f t="shared" ca="1" si="2"/>
        <v>1</v>
      </c>
      <c r="AD15">
        <f t="shared" ca="1" si="2"/>
        <v>0</v>
      </c>
      <c r="AE15">
        <f t="shared" ca="1" si="2"/>
        <v>1</v>
      </c>
      <c r="AF15">
        <f t="shared" ca="1" si="2"/>
        <v>0</v>
      </c>
      <c r="AG15">
        <f t="shared" ca="1" si="3"/>
        <v>0</v>
      </c>
      <c r="AH15">
        <f t="shared" ca="1" si="3"/>
        <v>0</v>
      </c>
      <c r="AI15">
        <f t="shared" ca="1" si="3"/>
        <v>1</v>
      </c>
      <c r="AJ15">
        <f t="shared" ca="1" si="3"/>
        <v>1</v>
      </c>
      <c r="AK15">
        <f t="shared" ca="1" si="3"/>
        <v>0</v>
      </c>
      <c r="AL15">
        <f t="shared" ca="1" si="3"/>
        <v>0</v>
      </c>
      <c r="AM15">
        <f t="shared" ca="1" si="3"/>
        <v>1</v>
      </c>
      <c r="AN15">
        <f t="shared" ca="1" si="3"/>
        <v>1</v>
      </c>
      <c r="AO15">
        <f t="shared" ca="1" si="3"/>
        <v>1</v>
      </c>
      <c r="AP15">
        <f t="shared" ca="1" si="7"/>
        <v>0</v>
      </c>
      <c r="AQ15">
        <f t="shared" ca="1" si="7"/>
        <v>1</v>
      </c>
      <c r="AR15">
        <f t="shared" ca="1" si="7"/>
        <v>1</v>
      </c>
      <c r="AS15">
        <f t="shared" ca="1" si="7"/>
        <v>1</v>
      </c>
      <c r="AT15">
        <f t="shared" ca="1" si="7"/>
        <v>0</v>
      </c>
      <c r="AU15">
        <f t="shared" ca="1" si="7"/>
        <v>0</v>
      </c>
      <c r="AV15">
        <f t="shared" ca="1" si="7"/>
        <v>0</v>
      </c>
      <c r="AW15">
        <f t="shared" ca="1" si="7"/>
        <v>1</v>
      </c>
      <c r="AX15">
        <f t="shared" ca="1" si="7"/>
        <v>0</v>
      </c>
      <c r="AY15">
        <f t="shared" ca="1" si="7"/>
        <v>0</v>
      </c>
      <c r="AZ15">
        <f t="shared" ca="1" si="7"/>
        <v>0</v>
      </c>
      <c r="BA15">
        <f t="shared" ca="1" si="7"/>
        <v>0</v>
      </c>
      <c r="BB15">
        <f t="shared" ca="1" si="7"/>
        <v>0</v>
      </c>
      <c r="BC15">
        <f t="shared" ca="1" si="8"/>
        <v>0</v>
      </c>
      <c r="BD15">
        <f t="shared" ca="1" si="8"/>
        <v>0</v>
      </c>
      <c r="BE15">
        <f t="shared" ca="1" si="8"/>
        <v>0</v>
      </c>
      <c r="BF15">
        <f t="shared" ca="1" si="8"/>
        <v>1</v>
      </c>
      <c r="BG15">
        <f t="shared" ca="1" si="8"/>
        <v>1</v>
      </c>
      <c r="BH15">
        <f t="shared" ca="1" si="8"/>
        <v>1</v>
      </c>
      <c r="BI15">
        <f t="shared" ca="1" si="8"/>
        <v>0</v>
      </c>
      <c r="BJ15">
        <f t="shared" ca="1" si="8"/>
        <v>1</v>
      </c>
      <c r="BK15">
        <f t="shared" ca="1" si="8"/>
        <v>0</v>
      </c>
      <c r="BL15">
        <f t="shared" ca="1" si="8"/>
        <v>0</v>
      </c>
      <c r="BM15">
        <f t="shared" ca="1" si="8"/>
        <v>1</v>
      </c>
      <c r="BN15">
        <f t="shared" ca="1" si="8"/>
        <v>0</v>
      </c>
    </row>
    <row r="16" spans="4:66">
      <c r="G16">
        <f t="shared" ca="1" si="1"/>
        <v>1</v>
      </c>
      <c r="H16">
        <f t="shared" ca="1" si="5"/>
        <v>0</v>
      </c>
      <c r="I16">
        <f t="shared" ca="1" si="6"/>
        <v>1</v>
      </c>
      <c r="J16">
        <f t="shared" ref="J16:Y22" ca="1" si="9">COUNTA(INDIRECT(ADDRESS(ROW(),COLUMN(),,,$A$33)))</f>
        <v>0</v>
      </c>
      <c r="K16">
        <f t="shared" ca="1" si="9"/>
        <v>0</v>
      </c>
      <c r="L16">
        <f t="shared" ca="1" si="9"/>
        <v>1</v>
      </c>
      <c r="M16">
        <f t="shared" ca="1" si="9"/>
        <v>1</v>
      </c>
      <c r="N16">
        <f t="shared" ca="1" si="9"/>
        <v>0</v>
      </c>
      <c r="O16">
        <f t="shared" ca="1" si="9"/>
        <v>1</v>
      </c>
      <c r="P16">
        <f t="shared" ca="1" si="9"/>
        <v>1</v>
      </c>
      <c r="Q16">
        <f t="shared" ca="1" si="9"/>
        <v>1</v>
      </c>
      <c r="R16">
        <f t="shared" ca="1" si="9"/>
        <v>1</v>
      </c>
      <c r="S16">
        <f t="shared" ca="1" si="9"/>
        <v>1</v>
      </c>
      <c r="T16">
        <f t="shared" ca="1" si="9"/>
        <v>1</v>
      </c>
      <c r="U16">
        <f t="shared" ca="1" si="9"/>
        <v>0</v>
      </c>
      <c r="V16">
        <f t="shared" ca="1" si="9"/>
        <v>1</v>
      </c>
      <c r="W16">
        <f t="shared" ca="1" si="9"/>
        <v>1</v>
      </c>
      <c r="X16">
        <f t="shared" ca="1" si="9"/>
        <v>1</v>
      </c>
      <c r="Y16">
        <f t="shared" ca="1" si="9"/>
        <v>0</v>
      </c>
      <c r="Z16">
        <f t="shared" ca="1" si="2"/>
        <v>1</v>
      </c>
      <c r="AA16">
        <f t="shared" ca="1" si="2"/>
        <v>0</v>
      </c>
      <c r="AB16">
        <f t="shared" ca="1" si="2"/>
        <v>0</v>
      </c>
      <c r="AC16">
        <f t="shared" ca="1" si="2"/>
        <v>0</v>
      </c>
      <c r="AD16">
        <f t="shared" ca="1" si="2"/>
        <v>1</v>
      </c>
      <c r="AE16">
        <f t="shared" ca="1" si="2"/>
        <v>0</v>
      </c>
      <c r="AF16">
        <f t="shared" ca="1" si="2"/>
        <v>1</v>
      </c>
      <c r="AG16">
        <f t="shared" ca="1" si="3"/>
        <v>1</v>
      </c>
      <c r="AH16">
        <f t="shared" ca="1" si="3"/>
        <v>1</v>
      </c>
      <c r="AI16">
        <f t="shared" ca="1" si="3"/>
        <v>0</v>
      </c>
      <c r="AJ16">
        <f t="shared" ca="1" si="3"/>
        <v>0</v>
      </c>
      <c r="AK16">
        <f t="shared" ca="1" si="3"/>
        <v>1</v>
      </c>
      <c r="AL16">
        <f t="shared" ca="1" si="3"/>
        <v>1</v>
      </c>
      <c r="AM16">
        <f t="shared" ca="1" si="3"/>
        <v>0</v>
      </c>
      <c r="AN16">
        <f t="shared" ca="1" si="3"/>
        <v>0</v>
      </c>
      <c r="AO16">
        <f t="shared" ca="1" si="3"/>
        <v>0</v>
      </c>
      <c r="AP16">
        <f t="shared" ca="1" si="7"/>
        <v>1</v>
      </c>
      <c r="AQ16">
        <f t="shared" ca="1" si="7"/>
        <v>0</v>
      </c>
      <c r="AR16">
        <f t="shared" ca="1" si="7"/>
        <v>0</v>
      </c>
      <c r="AS16">
        <f t="shared" ca="1" si="7"/>
        <v>0</v>
      </c>
      <c r="AT16">
        <f t="shared" ca="1" si="7"/>
        <v>1</v>
      </c>
      <c r="AU16">
        <f t="shared" ca="1" si="7"/>
        <v>1</v>
      </c>
      <c r="AV16">
        <f t="shared" ca="1" si="7"/>
        <v>1</v>
      </c>
      <c r="AW16">
        <f t="shared" ca="1" si="7"/>
        <v>0</v>
      </c>
      <c r="AX16">
        <f t="shared" ca="1" si="7"/>
        <v>1</v>
      </c>
      <c r="AY16">
        <f t="shared" ca="1" si="7"/>
        <v>1</v>
      </c>
      <c r="AZ16">
        <f t="shared" ca="1" si="7"/>
        <v>1</v>
      </c>
      <c r="BA16">
        <f t="shared" ca="1" si="7"/>
        <v>1</v>
      </c>
      <c r="BB16">
        <f t="shared" ca="1" si="7"/>
        <v>1</v>
      </c>
      <c r="BC16">
        <f t="shared" ca="1" si="8"/>
        <v>1</v>
      </c>
      <c r="BD16">
        <f t="shared" ca="1" si="8"/>
        <v>1</v>
      </c>
      <c r="BE16">
        <f t="shared" ca="1" si="8"/>
        <v>1</v>
      </c>
      <c r="BF16">
        <f t="shared" ca="1" si="8"/>
        <v>0</v>
      </c>
      <c r="BG16">
        <f t="shared" ca="1" si="8"/>
        <v>0</v>
      </c>
      <c r="BH16">
        <f t="shared" ca="1" si="8"/>
        <v>0</v>
      </c>
      <c r="BI16">
        <f t="shared" ca="1" si="8"/>
        <v>1</v>
      </c>
      <c r="BJ16">
        <f t="shared" ca="1" si="8"/>
        <v>0</v>
      </c>
      <c r="BK16">
        <f t="shared" ca="1" si="8"/>
        <v>1</v>
      </c>
      <c r="BL16">
        <f t="shared" ca="1" si="8"/>
        <v>1</v>
      </c>
      <c r="BM16">
        <f t="shared" ca="1" si="8"/>
        <v>0</v>
      </c>
      <c r="BN16">
        <f t="shared" ca="1" si="8"/>
        <v>1</v>
      </c>
    </row>
    <row r="17" spans="3:66">
      <c r="G17">
        <f t="shared" ref="G17:G22" ca="1" si="10">COUNTA(INDIRECT(ADDRESS(ROW(),COLUMN(),,,$A$33)))</f>
        <v>0</v>
      </c>
      <c r="H17">
        <f t="shared" ca="1" si="5"/>
        <v>1</v>
      </c>
      <c r="I17">
        <f t="shared" ca="1" si="6"/>
        <v>1</v>
      </c>
      <c r="J17">
        <f t="shared" ca="1" si="9"/>
        <v>0</v>
      </c>
      <c r="K17">
        <f t="shared" ca="1" si="9"/>
        <v>0</v>
      </c>
      <c r="L17">
        <f t="shared" ca="1" si="9"/>
        <v>1</v>
      </c>
      <c r="M17">
        <f t="shared" ca="1" si="9"/>
        <v>0</v>
      </c>
      <c r="N17">
        <f t="shared" ca="1" si="9"/>
        <v>1</v>
      </c>
      <c r="O17">
        <f t="shared" ca="1" si="9"/>
        <v>0</v>
      </c>
      <c r="P17">
        <f t="shared" ca="1" si="9"/>
        <v>1</v>
      </c>
      <c r="Q17">
        <f t="shared" ca="1" si="9"/>
        <v>0</v>
      </c>
      <c r="R17">
        <f t="shared" ca="1" si="9"/>
        <v>1</v>
      </c>
      <c r="S17">
        <f t="shared" ca="1" si="9"/>
        <v>1</v>
      </c>
      <c r="T17">
        <f t="shared" ca="1" si="9"/>
        <v>0</v>
      </c>
      <c r="U17">
        <f t="shared" ca="1" si="2"/>
        <v>1</v>
      </c>
      <c r="V17">
        <f t="shared" ca="1" si="2"/>
        <v>1</v>
      </c>
      <c r="W17">
        <f t="shared" ca="1" si="2"/>
        <v>1</v>
      </c>
      <c r="X17">
        <f t="shared" ca="1" si="2"/>
        <v>1</v>
      </c>
      <c r="Y17">
        <f t="shared" ca="1" si="2"/>
        <v>0</v>
      </c>
      <c r="Z17">
        <f t="shared" ca="1" si="2"/>
        <v>0</v>
      </c>
      <c r="AA17">
        <f t="shared" ca="1" si="2"/>
        <v>1</v>
      </c>
      <c r="AB17">
        <f t="shared" ca="1" si="2"/>
        <v>1</v>
      </c>
      <c r="AC17">
        <f t="shared" ca="1" si="2"/>
        <v>0</v>
      </c>
      <c r="AD17">
        <f t="shared" ca="1" si="2"/>
        <v>1</v>
      </c>
      <c r="AE17">
        <f t="shared" ca="1" si="2"/>
        <v>1</v>
      </c>
      <c r="AF17">
        <f t="shared" ca="1" si="2"/>
        <v>1</v>
      </c>
      <c r="AG17">
        <f t="shared" ca="1" si="3"/>
        <v>1</v>
      </c>
      <c r="AH17">
        <f t="shared" ca="1" si="3"/>
        <v>0</v>
      </c>
      <c r="AI17">
        <f t="shared" ca="1" si="3"/>
        <v>1</v>
      </c>
      <c r="AJ17">
        <f t="shared" ca="1" si="3"/>
        <v>1</v>
      </c>
      <c r="AK17">
        <f t="shared" ca="1" si="3"/>
        <v>1</v>
      </c>
      <c r="AL17">
        <f t="shared" ca="1" si="3"/>
        <v>1</v>
      </c>
      <c r="AM17">
        <f t="shared" ca="1" si="3"/>
        <v>0</v>
      </c>
      <c r="AN17">
        <f t="shared" ca="1" si="3"/>
        <v>1</v>
      </c>
      <c r="AO17">
        <f t="shared" ca="1" si="3"/>
        <v>0</v>
      </c>
      <c r="AP17">
        <f t="shared" ca="1" si="7"/>
        <v>1</v>
      </c>
      <c r="AQ17">
        <f t="shared" ca="1" si="7"/>
        <v>1</v>
      </c>
      <c r="AR17">
        <f t="shared" ca="1" si="7"/>
        <v>1</v>
      </c>
      <c r="AS17">
        <f t="shared" ca="1" si="7"/>
        <v>0</v>
      </c>
      <c r="AT17">
        <f t="shared" ca="1" si="7"/>
        <v>0</v>
      </c>
      <c r="AU17">
        <f t="shared" ca="1" si="7"/>
        <v>1</v>
      </c>
      <c r="AV17">
        <f t="shared" ca="1" si="7"/>
        <v>1</v>
      </c>
      <c r="AW17">
        <f t="shared" ca="1" si="7"/>
        <v>1</v>
      </c>
      <c r="AX17">
        <f t="shared" ca="1" si="7"/>
        <v>1</v>
      </c>
      <c r="AY17">
        <f t="shared" ca="1" si="7"/>
        <v>1</v>
      </c>
      <c r="AZ17">
        <f t="shared" ca="1" si="7"/>
        <v>0</v>
      </c>
      <c r="BA17">
        <f t="shared" ca="1" si="7"/>
        <v>1</v>
      </c>
      <c r="BB17">
        <f t="shared" ca="1" si="7"/>
        <v>1</v>
      </c>
      <c r="BC17">
        <f t="shared" ca="1" si="8"/>
        <v>0</v>
      </c>
      <c r="BD17">
        <f t="shared" ca="1" si="8"/>
        <v>1</v>
      </c>
      <c r="BE17">
        <f t="shared" ca="1" si="8"/>
        <v>1</v>
      </c>
      <c r="BF17">
        <f t="shared" ca="1" si="8"/>
        <v>1</v>
      </c>
      <c r="BG17">
        <f t="shared" ca="1" si="8"/>
        <v>1</v>
      </c>
      <c r="BH17">
        <f t="shared" ca="1" si="8"/>
        <v>1</v>
      </c>
      <c r="BI17">
        <f t="shared" ca="1" si="8"/>
        <v>1</v>
      </c>
      <c r="BJ17">
        <f t="shared" ca="1" si="8"/>
        <v>1</v>
      </c>
      <c r="BK17">
        <f t="shared" ca="1" si="8"/>
        <v>1</v>
      </c>
      <c r="BL17">
        <f t="shared" ca="1" si="8"/>
        <v>1</v>
      </c>
      <c r="BM17">
        <f t="shared" ca="1" si="8"/>
        <v>0</v>
      </c>
      <c r="BN17">
        <f t="shared" ca="1" si="8"/>
        <v>0</v>
      </c>
    </row>
    <row r="18" spans="3:66">
      <c r="G18">
        <f t="shared" ca="1" si="10"/>
        <v>1</v>
      </c>
      <c r="H18">
        <f t="shared" ca="1" si="5"/>
        <v>0</v>
      </c>
      <c r="I18">
        <f t="shared" ca="1" si="6"/>
        <v>0</v>
      </c>
      <c r="J18">
        <f t="shared" ca="1" si="9"/>
        <v>0</v>
      </c>
      <c r="K18">
        <f t="shared" ca="1" si="9"/>
        <v>1</v>
      </c>
      <c r="L18">
        <f t="shared" ca="1" si="9"/>
        <v>0</v>
      </c>
      <c r="M18">
        <f t="shared" ca="1" si="9"/>
        <v>1</v>
      </c>
      <c r="N18">
        <f t="shared" ca="1" si="9"/>
        <v>0</v>
      </c>
      <c r="O18">
        <f t="shared" ca="1" si="9"/>
        <v>1</v>
      </c>
      <c r="P18">
        <f t="shared" ca="1" si="9"/>
        <v>0</v>
      </c>
      <c r="Q18">
        <f t="shared" ca="1" si="9"/>
        <v>1</v>
      </c>
      <c r="R18">
        <f t="shared" ca="1" si="9"/>
        <v>0</v>
      </c>
      <c r="S18">
        <f t="shared" ca="1" si="9"/>
        <v>0</v>
      </c>
      <c r="T18">
        <f t="shared" ca="1" si="9"/>
        <v>1</v>
      </c>
      <c r="U18">
        <f t="shared" ca="1" si="2"/>
        <v>0</v>
      </c>
      <c r="V18">
        <f t="shared" ca="1" si="2"/>
        <v>0</v>
      </c>
      <c r="W18">
        <f t="shared" ca="1" si="2"/>
        <v>0</v>
      </c>
      <c r="X18">
        <f t="shared" ca="1" si="2"/>
        <v>0</v>
      </c>
      <c r="Y18">
        <f t="shared" ca="1" si="2"/>
        <v>1</v>
      </c>
      <c r="Z18">
        <f t="shared" ca="1" si="2"/>
        <v>1</v>
      </c>
      <c r="AA18">
        <f t="shared" ca="1" si="2"/>
        <v>0</v>
      </c>
      <c r="AB18">
        <f t="shared" ca="1" si="2"/>
        <v>0</v>
      </c>
      <c r="AC18">
        <f t="shared" ca="1" si="2"/>
        <v>1</v>
      </c>
      <c r="AD18">
        <f t="shared" ca="1" si="2"/>
        <v>0</v>
      </c>
      <c r="AE18">
        <f t="shared" ca="1" si="2"/>
        <v>0</v>
      </c>
      <c r="AF18">
        <f t="shared" ca="1" si="2"/>
        <v>0</v>
      </c>
      <c r="AG18">
        <f t="shared" ca="1" si="3"/>
        <v>0</v>
      </c>
      <c r="AH18">
        <f t="shared" ca="1" si="3"/>
        <v>1</v>
      </c>
      <c r="AI18">
        <f t="shared" ca="1" si="3"/>
        <v>0</v>
      </c>
      <c r="AJ18">
        <f t="shared" ca="1" si="3"/>
        <v>0</v>
      </c>
      <c r="AK18">
        <f t="shared" ca="1" si="3"/>
        <v>0</v>
      </c>
      <c r="AL18">
        <f t="shared" ca="1" si="3"/>
        <v>0</v>
      </c>
      <c r="AM18">
        <f t="shared" ca="1" si="3"/>
        <v>1</v>
      </c>
      <c r="AN18">
        <f t="shared" ca="1" si="3"/>
        <v>0</v>
      </c>
      <c r="AO18">
        <f t="shared" ca="1" si="3"/>
        <v>1</v>
      </c>
      <c r="AP18">
        <f t="shared" ca="1" si="7"/>
        <v>0</v>
      </c>
      <c r="AQ18">
        <f t="shared" ca="1" si="7"/>
        <v>0</v>
      </c>
      <c r="AR18">
        <f t="shared" ca="1" si="7"/>
        <v>0</v>
      </c>
      <c r="AS18">
        <f t="shared" ca="1" si="7"/>
        <v>1</v>
      </c>
      <c r="AT18">
        <f t="shared" ca="1" si="7"/>
        <v>1</v>
      </c>
      <c r="AU18">
        <f t="shared" ca="1" si="7"/>
        <v>0</v>
      </c>
      <c r="AV18">
        <f t="shared" ca="1" si="7"/>
        <v>0</v>
      </c>
      <c r="AW18">
        <f t="shared" ca="1" si="7"/>
        <v>0</v>
      </c>
      <c r="AX18">
        <f t="shared" ca="1" si="7"/>
        <v>0</v>
      </c>
      <c r="AY18">
        <f t="shared" ca="1" si="7"/>
        <v>0</v>
      </c>
      <c r="AZ18">
        <f t="shared" ca="1" si="7"/>
        <v>1</v>
      </c>
      <c r="BA18">
        <f t="shared" ca="1" si="7"/>
        <v>0</v>
      </c>
      <c r="BB18">
        <f t="shared" ca="1" si="7"/>
        <v>0</v>
      </c>
      <c r="BC18">
        <f t="shared" ca="1" si="8"/>
        <v>1</v>
      </c>
      <c r="BD18">
        <f t="shared" ca="1" si="8"/>
        <v>0</v>
      </c>
      <c r="BE18">
        <f t="shared" ca="1" si="8"/>
        <v>0</v>
      </c>
      <c r="BF18">
        <f t="shared" ca="1" si="8"/>
        <v>0</v>
      </c>
      <c r="BG18">
        <f t="shared" ca="1" si="8"/>
        <v>0</v>
      </c>
      <c r="BH18">
        <f t="shared" ca="1" si="8"/>
        <v>0</v>
      </c>
      <c r="BI18">
        <f t="shared" ca="1" si="8"/>
        <v>0</v>
      </c>
      <c r="BJ18">
        <f t="shared" ca="1" si="8"/>
        <v>0</v>
      </c>
      <c r="BK18">
        <f t="shared" ca="1" si="8"/>
        <v>0</v>
      </c>
      <c r="BL18">
        <f t="shared" ca="1" si="8"/>
        <v>0</v>
      </c>
      <c r="BM18">
        <f t="shared" ca="1" si="8"/>
        <v>1</v>
      </c>
      <c r="BN18">
        <f t="shared" ca="1" si="8"/>
        <v>1</v>
      </c>
    </row>
    <row r="19" spans="3:66">
      <c r="G19">
        <f t="shared" ca="1" si="10"/>
        <v>0</v>
      </c>
      <c r="H19">
        <f t="shared" ca="1" si="5"/>
        <v>0</v>
      </c>
      <c r="I19">
        <f t="shared" ca="1" si="6"/>
        <v>0</v>
      </c>
      <c r="J19">
        <f t="shared" ca="1" si="9"/>
        <v>0</v>
      </c>
      <c r="K19">
        <f t="shared" ca="1" si="9"/>
        <v>0</v>
      </c>
      <c r="L19">
        <f t="shared" ca="1" si="9"/>
        <v>0</v>
      </c>
      <c r="M19">
        <f t="shared" ca="1" si="9"/>
        <v>0</v>
      </c>
      <c r="N19">
        <f t="shared" ca="1" si="9"/>
        <v>0</v>
      </c>
      <c r="O19">
        <f t="shared" ca="1" si="9"/>
        <v>1</v>
      </c>
      <c r="P19">
        <f t="shared" ca="1" si="9"/>
        <v>0</v>
      </c>
      <c r="Q19">
        <f t="shared" ca="1" si="9"/>
        <v>1</v>
      </c>
      <c r="R19">
        <f t="shared" ca="1" si="9"/>
        <v>0</v>
      </c>
      <c r="S19">
        <f t="shared" ca="1" si="9"/>
        <v>1</v>
      </c>
      <c r="T19">
        <f t="shared" ca="1" si="9"/>
        <v>0</v>
      </c>
      <c r="U19">
        <f t="shared" ref="U19:AJ22" ca="1" si="11">COUNTA(INDIRECT(ADDRESS(ROW(),COLUMN(),,,$A$33)))</f>
        <v>0</v>
      </c>
      <c r="V19">
        <f t="shared" ca="1" si="11"/>
        <v>0</v>
      </c>
      <c r="W19">
        <f t="shared" ca="1" si="11"/>
        <v>0</v>
      </c>
      <c r="X19">
        <f t="shared" ca="1" si="11"/>
        <v>0</v>
      </c>
      <c r="Y19">
        <f t="shared" ca="1" si="11"/>
        <v>1</v>
      </c>
      <c r="Z19">
        <f t="shared" ca="1" si="11"/>
        <v>1</v>
      </c>
      <c r="AA19">
        <f t="shared" ca="1" si="11"/>
        <v>0</v>
      </c>
      <c r="AB19">
        <f t="shared" ca="1" si="11"/>
        <v>1</v>
      </c>
      <c r="AC19">
        <f t="shared" ca="1" si="11"/>
        <v>1</v>
      </c>
      <c r="AD19">
        <f t="shared" ca="1" si="11"/>
        <v>0</v>
      </c>
      <c r="AE19">
        <f t="shared" ca="1" si="11"/>
        <v>0</v>
      </c>
      <c r="AF19">
        <f t="shared" ca="1" si="11"/>
        <v>1</v>
      </c>
      <c r="AG19">
        <f t="shared" ca="1" si="11"/>
        <v>1</v>
      </c>
      <c r="AH19">
        <f t="shared" ca="1" si="11"/>
        <v>0</v>
      </c>
      <c r="AI19">
        <f t="shared" ca="1" si="11"/>
        <v>1</v>
      </c>
      <c r="AJ19">
        <f t="shared" ca="1" si="11"/>
        <v>0</v>
      </c>
      <c r="AK19">
        <f t="shared" ref="AG19:AV22" ca="1" si="12">COUNTA(INDIRECT(ADDRESS(ROW(),COLUMN(),,,$A$33)))</f>
        <v>1</v>
      </c>
      <c r="AL19">
        <f t="shared" ca="1" si="12"/>
        <v>0</v>
      </c>
      <c r="AM19">
        <f t="shared" ca="1" si="12"/>
        <v>1</v>
      </c>
      <c r="AN19">
        <f t="shared" ca="1" si="12"/>
        <v>1</v>
      </c>
      <c r="AO19">
        <f t="shared" ca="1" si="12"/>
        <v>1</v>
      </c>
      <c r="AP19">
        <f t="shared" ca="1" si="12"/>
        <v>0</v>
      </c>
      <c r="AQ19">
        <f t="shared" ca="1" si="12"/>
        <v>0</v>
      </c>
      <c r="AR19">
        <f t="shared" ca="1" si="12"/>
        <v>1</v>
      </c>
      <c r="AS19">
        <f t="shared" ca="1" si="12"/>
        <v>1</v>
      </c>
      <c r="AT19">
        <f t="shared" ca="1" si="12"/>
        <v>0</v>
      </c>
      <c r="AU19">
        <f t="shared" ca="1" si="12"/>
        <v>0</v>
      </c>
      <c r="AV19">
        <f t="shared" ca="1" si="12"/>
        <v>0</v>
      </c>
      <c r="AW19">
        <f t="shared" ca="1" si="7"/>
        <v>0</v>
      </c>
      <c r="AX19">
        <f t="shared" ca="1" si="7"/>
        <v>0</v>
      </c>
      <c r="AY19">
        <f t="shared" ca="1" si="7"/>
        <v>0</v>
      </c>
      <c r="AZ19">
        <f t="shared" ca="1" si="7"/>
        <v>0</v>
      </c>
      <c r="BA19">
        <f t="shared" ca="1" si="7"/>
        <v>0</v>
      </c>
      <c r="BB19">
        <f t="shared" ca="1" si="7"/>
        <v>1</v>
      </c>
      <c r="BC19">
        <f t="shared" ref="BC19:BN20" ca="1" si="13">COUNTA(INDIRECT(ADDRESS(ROW(),COLUMN(),,,$A$33)))</f>
        <v>0</v>
      </c>
      <c r="BD19">
        <f t="shared" ca="1" si="13"/>
        <v>0</v>
      </c>
      <c r="BE19">
        <f t="shared" ca="1" si="13"/>
        <v>1</v>
      </c>
      <c r="BF19">
        <f t="shared" ca="1" si="13"/>
        <v>1</v>
      </c>
      <c r="BG19">
        <f t="shared" ca="1" si="13"/>
        <v>1</v>
      </c>
      <c r="BH19">
        <f t="shared" ca="1" si="13"/>
        <v>0</v>
      </c>
      <c r="BI19">
        <f t="shared" ca="1" si="13"/>
        <v>0</v>
      </c>
      <c r="BJ19">
        <f t="shared" ca="1" si="13"/>
        <v>1</v>
      </c>
      <c r="BK19">
        <f t="shared" ca="1" si="13"/>
        <v>1</v>
      </c>
      <c r="BL19">
        <f t="shared" ca="1" si="13"/>
        <v>0</v>
      </c>
      <c r="BM19">
        <f t="shared" ca="1" si="13"/>
        <v>0</v>
      </c>
      <c r="BN19">
        <f t="shared" ca="1" si="13"/>
        <v>0</v>
      </c>
    </row>
    <row r="20" spans="3:66">
      <c r="G20">
        <f t="shared" ca="1" si="10"/>
        <v>1</v>
      </c>
      <c r="H20">
        <f t="shared" ca="1" si="5"/>
        <v>1</v>
      </c>
      <c r="I20">
        <f t="shared" ca="1" si="6"/>
        <v>1</v>
      </c>
      <c r="J20">
        <f t="shared" ca="1" si="9"/>
        <v>0</v>
      </c>
      <c r="K20">
        <f t="shared" ca="1" si="9"/>
        <v>1</v>
      </c>
      <c r="L20">
        <f t="shared" ca="1" si="9"/>
        <v>1</v>
      </c>
      <c r="M20">
        <f t="shared" ca="1" si="9"/>
        <v>1</v>
      </c>
      <c r="N20">
        <f t="shared" ca="1" si="9"/>
        <v>1</v>
      </c>
      <c r="O20">
        <f t="shared" ca="1" si="9"/>
        <v>0</v>
      </c>
      <c r="P20">
        <f t="shared" ca="1" si="9"/>
        <v>1</v>
      </c>
      <c r="Q20">
        <f t="shared" ca="1" si="9"/>
        <v>0</v>
      </c>
      <c r="R20">
        <f t="shared" ca="1" si="9"/>
        <v>1</v>
      </c>
      <c r="S20">
        <f t="shared" ca="1" si="9"/>
        <v>0</v>
      </c>
      <c r="T20">
        <f t="shared" ca="1" si="9"/>
        <v>1</v>
      </c>
      <c r="U20">
        <f t="shared" ca="1" si="11"/>
        <v>1</v>
      </c>
      <c r="V20">
        <f t="shared" ca="1" si="11"/>
        <v>1</v>
      </c>
      <c r="W20">
        <f t="shared" ca="1" si="11"/>
        <v>1</v>
      </c>
      <c r="X20">
        <f t="shared" ca="1" si="11"/>
        <v>1</v>
      </c>
      <c r="Y20">
        <f t="shared" ca="1" si="11"/>
        <v>0</v>
      </c>
      <c r="Z20">
        <f t="shared" ca="1" si="11"/>
        <v>0</v>
      </c>
      <c r="AA20">
        <f t="shared" ca="1" si="11"/>
        <v>1</v>
      </c>
      <c r="AB20">
        <f t="shared" ca="1" si="11"/>
        <v>0</v>
      </c>
      <c r="AC20">
        <f t="shared" ca="1" si="11"/>
        <v>0</v>
      </c>
      <c r="AD20">
        <f t="shared" ca="1" si="11"/>
        <v>1</v>
      </c>
      <c r="AE20">
        <f t="shared" ca="1" si="11"/>
        <v>1</v>
      </c>
      <c r="AF20">
        <f t="shared" ca="1" si="11"/>
        <v>0</v>
      </c>
      <c r="AG20">
        <f t="shared" ca="1" si="12"/>
        <v>0</v>
      </c>
      <c r="AH20">
        <f t="shared" ca="1" si="12"/>
        <v>1</v>
      </c>
      <c r="AI20">
        <f t="shared" ca="1" si="12"/>
        <v>0</v>
      </c>
      <c r="AJ20">
        <f t="shared" ca="1" si="12"/>
        <v>1</v>
      </c>
      <c r="AK20">
        <f t="shared" ca="1" si="12"/>
        <v>0</v>
      </c>
      <c r="AL20">
        <f t="shared" ca="1" si="12"/>
        <v>1</v>
      </c>
      <c r="AM20">
        <f t="shared" ca="1" si="12"/>
        <v>0</v>
      </c>
      <c r="AN20">
        <f t="shared" ca="1" si="12"/>
        <v>0</v>
      </c>
      <c r="AO20">
        <f t="shared" ca="1" si="12"/>
        <v>0</v>
      </c>
      <c r="AP20">
        <f t="shared" ref="AP20:BI22" ca="1" si="14">COUNTA(INDIRECT(ADDRESS(ROW(),COLUMN(),,,$A$33)))</f>
        <v>1</v>
      </c>
      <c r="AQ20">
        <f t="shared" ca="1" si="14"/>
        <v>1</v>
      </c>
      <c r="AR20">
        <f t="shared" ca="1" si="14"/>
        <v>0</v>
      </c>
      <c r="AS20">
        <f t="shared" ca="1" si="14"/>
        <v>0</v>
      </c>
      <c r="AT20">
        <f t="shared" ca="1" si="14"/>
        <v>1</v>
      </c>
      <c r="AU20">
        <f t="shared" ca="1" si="14"/>
        <v>1</v>
      </c>
      <c r="AV20">
        <f t="shared" ca="1" si="14"/>
        <v>1</v>
      </c>
      <c r="AW20">
        <f t="shared" ca="1" si="14"/>
        <v>1</v>
      </c>
      <c r="AX20">
        <f t="shared" ca="1" si="14"/>
        <v>1</v>
      </c>
      <c r="AY20">
        <f t="shared" ca="1" si="14"/>
        <v>1</v>
      </c>
      <c r="AZ20">
        <f t="shared" ca="1" si="14"/>
        <v>1</v>
      </c>
      <c r="BA20">
        <f t="shared" ca="1" si="14"/>
        <v>1</v>
      </c>
      <c r="BB20">
        <f t="shared" ca="1" si="14"/>
        <v>0</v>
      </c>
      <c r="BC20">
        <f t="shared" ca="1" si="14"/>
        <v>1</v>
      </c>
      <c r="BD20">
        <f t="shared" ca="1" si="14"/>
        <v>1</v>
      </c>
      <c r="BE20">
        <f t="shared" ca="1" si="14"/>
        <v>0</v>
      </c>
      <c r="BF20">
        <f t="shared" ca="1" si="14"/>
        <v>0</v>
      </c>
      <c r="BG20">
        <f t="shared" ca="1" si="14"/>
        <v>0</v>
      </c>
      <c r="BH20">
        <f t="shared" ca="1" si="14"/>
        <v>1</v>
      </c>
      <c r="BI20">
        <f t="shared" ca="1" si="14"/>
        <v>1</v>
      </c>
      <c r="BJ20">
        <f t="shared" ca="1" si="13"/>
        <v>0</v>
      </c>
      <c r="BK20">
        <f t="shared" ca="1" si="13"/>
        <v>0</v>
      </c>
      <c r="BL20">
        <f t="shared" ca="1" si="13"/>
        <v>1</v>
      </c>
      <c r="BM20">
        <f t="shared" ca="1" si="13"/>
        <v>1</v>
      </c>
      <c r="BN20">
        <f t="shared" ca="1" si="13"/>
        <v>1</v>
      </c>
    </row>
    <row r="21" spans="3:66">
      <c r="G21">
        <f t="shared" ca="1" si="10"/>
        <v>0</v>
      </c>
      <c r="H21">
        <f t="shared" ca="1" si="5"/>
        <v>1</v>
      </c>
      <c r="I21">
        <f t="shared" ca="1" si="6"/>
        <v>0</v>
      </c>
      <c r="J21">
        <f t="shared" ca="1" si="9"/>
        <v>0</v>
      </c>
      <c r="K21">
        <f t="shared" ca="1" si="9"/>
        <v>0</v>
      </c>
      <c r="L21">
        <f t="shared" ca="1" si="9"/>
        <v>0</v>
      </c>
      <c r="M21">
        <f t="shared" ca="1" si="9"/>
        <v>0</v>
      </c>
      <c r="N21">
        <f t="shared" ca="1" si="9"/>
        <v>1</v>
      </c>
      <c r="O21">
        <f t="shared" ca="1" si="9"/>
        <v>0</v>
      </c>
      <c r="P21">
        <f t="shared" ca="1" si="9"/>
        <v>1</v>
      </c>
      <c r="Q21">
        <f t="shared" ca="1" si="9"/>
        <v>0</v>
      </c>
      <c r="R21">
        <f t="shared" ca="1" si="9"/>
        <v>0</v>
      </c>
      <c r="S21">
        <f t="shared" ca="1" si="9"/>
        <v>1</v>
      </c>
      <c r="T21">
        <f t="shared" ca="1" si="9"/>
        <v>1</v>
      </c>
      <c r="U21">
        <f t="shared" ca="1" si="11"/>
        <v>1</v>
      </c>
      <c r="V21">
        <f t="shared" ca="1" si="11"/>
        <v>0</v>
      </c>
      <c r="W21">
        <f t="shared" ca="1" si="11"/>
        <v>0</v>
      </c>
      <c r="X21">
        <f t="shared" ca="1" si="11"/>
        <v>0</v>
      </c>
      <c r="Y21">
        <f t="shared" ca="1" si="11"/>
        <v>0</v>
      </c>
      <c r="Z21">
        <f t="shared" ca="1" si="11"/>
        <v>1</v>
      </c>
      <c r="AA21">
        <f t="shared" ca="1" si="11"/>
        <v>1</v>
      </c>
      <c r="AB21">
        <f t="shared" ca="1" si="11"/>
        <v>1</v>
      </c>
      <c r="AC21">
        <f t="shared" ca="1" si="11"/>
        <v>0</v>
      </c>
      <c r="AD21">
        <f t="shared" ca="1" si="11"/>
        <v>0</v>
      </c>
      <c r="AE21">
        <f t="shared" ca="1" si="11"/>
        <v>1</v>
      </c>
      <c r="AF21">
        <f t="shared" ca="1" si="11"/>
        <v>0</v>
      </c>
      <c r="AG21">
        <f t="shared" ca="1" si="12"/>
        <v>0</v>
      </c>
      <c r="AH21">
        <f t="shared" ca="1" si="12"/>
        <v>0</v>
      </c>
      <c r="AI21">
        <f t="shared" ca="1" si="12"/>
        <v>0</v>
      </c>
      <c r="AJ21">
        <f t="shared" ca="1" si="12"/>
        <v>0</v>
      </c>
      <c r="AK21">
        <f t="shared" ca="1" si="12"/>
        <v>0</v>
      </c>
      <c r="AL21">
        <f t="shared" ca="1" si="12"/>
        <v>1</v>
      </c>
      <c r="AM21">
        <f t="shared" ca="1" si="12"/>
        <v>1</v>
      </c>
      <c r="AN21">
        <f t="shared" ca="1" si="12"/>
        <v>0</v>
      </c>
      <c r="AO21">
        <f t="shared" ca="1" si="12"/>
        <v>0</v>
      </c>
      <c r="AP21">
        <f t="shared" ca="1" si="14"/>
        <v>1</v>
      </c>
      <c r="AQ21">
        <f t="shared" ca="1" si="14"/>
        <v>1</v>
      </c>
      <c r="AR21">
        <f t="shared" ca="1" si="14"/>
        <v>0</v>
      </c>
      <c r="AS21">
        <f t="shared" ca="1" si="14"/>
        <v>1</v>
      </c>
      <c r="AT21">
        <f t="shared" ca="1" si="14"/>
        <v>0</v>
      </c>
      <c r="AU21">
        <f t="shared" ca="1" si="14"/>
        <v>0</v>
      </c>
      <c r="AV21">
        <f t="shared" ca="1" si="14"/>
        <v>1</v>
      </c>
      <c r="AW21">
        <f t="shared" ca="1" si="14"/>
        <v>0</v>
      </c>
      <c r="AX21">
        <f t="shared" ca="1" si="14"/>
        <v>0</v>
      </c>
      <c r="AY21">
        <f t="shared" ca="1" si="14"/>
        <v>0</v>
      </c>
      <c r="AZ21">
        <f t="shared" ca="1" si="14"/>
        <v>0</v>
      </c>
      <c r="BA21">
        <f t="shared" ca="1" si="14"/>
        <v>1</v>
      </c>
      <c r="BB21">
        <f t="shared" ca="1" si="14"/>
        <v>1</v>
      </c>
      <c r="BC21">
        <f t="shared" ref="BC21:BN22" ca="1" si="15">COUNTA(INDIRECT(ADDRESS(ROW(),COLUMN(),,,$A$33)))</f>
        <v>1</v>
      </c>
      <c r="BD21">
        <f t="shared" ca="1" si="15"/>
        <v>1</v>
      </c>
      <c r="BE21">
        <f t="shared" ca="1" si="15"/>
        <v>0</v>
      </c>
      <c r="BF21">
        <f t="shared" ca="1" si="15"/>
        <v>1</v>
      </c>
      <c r="BG21">
        <f t="shared" ca="1" si="15"/>
        <v>1</v>
      </c>
      <c r="BH21">
        <f t="shared" ca="1" si="15"/>
        <v>1</v>
      </c>
      <c r="BI21">
        <f t="shared" ca="1" si="15"/>
        <v>0</v>
      </c>
      <c r="BJ21">
        <f t="shared" ca="1" si="15"/>
        <v>0</v>
      </c>
      <c r="BK21">
        <f t="shared" ca="1" si="15"/>
        <v>1</v>
      </c>
      <c r="BL21">
        <f t="shared" ca="1" si="15"/>
        <v>1</v>
      </c>
      <c r="BM21">
        <f t="shared" ca="1" si="15"/>
        <v>0</v>
      </c>
      <c r="BN21">
        <f t="shared" ca="1" si="15"/>
        <v>1</v>
      </c>
    </row>
    <row r="22" spans="3:66">
      <c r="G22">
        <f t="shared" ca="1" si="10"/>
        <v>1</v>
      </c>
      <c r="H22">
        <f t="shared" ca="1" si="5"/>
        <v>0</v>
      </c>
      <c r="I22">
        <f t="shared" ca="1" si="6"/>
        <v>1</v>
      </c>
      <c r="J22">
        <f t="shared" ca="1" si="9"/>
        <v>0</v>
      </c>
      <c r="K22">
        <f t="shared" ca="1" si="9"/>
        <v>1</v>
      </c>
      <c r="L22">
        <f t="shared" ca="1" si="9"/>
        <v>1</v>
      </c>
      <c r="M22">
        <f t="shared" ca="1" si="9"/>
        <v>1</v>
      </c>
      <c r="N22">
        <f t="shared" ca="1" si="9"/>
        <v>0</v>
      </c>
      <c r="O22">
        <f t="shared" ca="1" si="9"/>
        <v>1</v>
      </c>
      <c r="P22">
        <f t="shared" ca="1" si="9"/>
        <v>0</v>
      </c>
      <c r="Q22">
        <f t="shared" ca="1" si="9"/>
        <v>1</v>
      </c>
      <c r="R22">
        <f t="shared" ca="1" si="9"/>
        <v>1</v>
      </c>
      <c r="S22">
        <f t="shared" ca="1" si="9"/>
        <v>0</v>
      </c>
      <c r="T22">
        <f t="shared" ca="1" si="9"/>
        <v>0</v>
      </c>
      <c r="U22">
        <f t="shared" ca="1" si="11"/>
        <v>0</v>
      </c>
      <c r="V22">
        <f t="shared" ca="1" si="11"/>
        <v>1</v>
      </c>
      <c r="W22">
        <f t="shared" ca="1" si="11"/>
        <v>1</v>
      </c>
      <c r="X22">
        <f t="shared" ca="1" si="11"/>
        <v>1</v>
      </c>
      <c r="Y22">
        <f t="shared" ca="1" si="11"/>
        <v>1</v>
      </c>
      <c r="Z22">
        <f t="shared" ca="1" si="11"/>
        <v>0</v>
      </c>
      <c r="AA22">
        <f t="shared" ca="1" si="11"/>
        <v>0</v>
      </c>
      <c r="AB22">
        <f t="shared" ca="1" si="11"/>
        <v>0</v>
      </c>
      <c r="AC22">
        <f t="shared" ca="1" si="11"/>
        <v>1</v>
      </c>
      <c r="AD22">
        <f t="shared" ca="1" si="11"/>
        <v>1</v>
      </c>
      <c r="AE22">
        <f t="shared" ca="1" si="11"/>
        <v>0</v>
      </c>
      <c r="AF22">
        <f t="shared" ca="1" si="11"/>
        <v>1</v>
      </c>
      <c r="AG22">
        <f t="shared" ca="1" si="12"/>
        <v>1</v>
      </c>
      <c r="AH22">
        <f t="shared" ca="1" si="12"/>
        <v>1</v>
      </c>
      <c r="AI22">
        <f t="shared" ca="1" si="12"/>
        <v>1</v>
      </c>
      <c r="AJ22">
        <f t="shared" ca="1" si="12"/>
        <v>1</v>
      </c>
      <c r="AK22">
        <f t="shared" ca="1" si="12"/>
        <v>1</v>
      </c>
      <c r="AL22">
        <f t="shared" ca="1" si="12"/>
        <v>0</v>
      </c>
      <c r="AM22">
        <f t="shared" ca="1" si="12"/>
        <v>0</v>
      </c>
      <c r="AN22">
        <f t="shared" ca="1" si="12"/>
        <v>1</v>
      </c>
      <c r="AO22">
        <f t="shared" ca="1" si="12"/>
        <v>1</v>
      </c>
      <c r="AP22">
        <f t="shared" ca="1" si="14"/>
        <v>0</v>
      </c>
      <c r="AQ22">
        <f t="shared" ca="1" si="14"/>
        <v>0</v>
      </c>
      <c r="AR22">
        <f t="shared" ca="1" si="14"/>
        <v>1</v>
      </c>
      <c r="AS22">
        <f t="shared" ca="1" si="14"/>
        <v>0</v>
      </c>
      <c r="AT22">
        <f t="shared" ca="1" si="14"/>
        <v>1</v>
      </c>
      <c r="AU22">
        <f t="shared" ca="1" si="14"/>
        <v>1</v>
      </c>
      <c r="AV22">
        <f t="shared" ca="1" si="14"/>
        <v>0</v>
      </c>
      <c r="AW22">
        <f t="shared" ca="1" si="14"/>
        <v>1</v>
      </c>
      <c r="AX22">
        <f t="shared" ca="1" si="14"/>
        <v>1</v>
      </c>
      <c r="AY22">
        <f t="shared" ca="1" si="14"/>
        <v>1</v>
      </c>
      <c r="AZ22">
        <f t="shared" ca="1" si="14"/>
        <v>1</v>
      </c>
      <c r="BA22">
        <f t="shared" ca="1" si="14"/>
        <v>0</v>
      </c>
      <c r="BB22">
        <f t="shared" ca="1" si="14"/>
        <v>0</v>
      </c>
      <c r="BC22">
        <f t="shared" ca="1" si="15"/>
        <v>0</v>
      </c>
      <c r="BD22">
        <f t="shared" ca="1" si="15"/>
        <v>0</v>
      </c>
      <c r="BE22">
        <f t="shared" ca="1" si="15"/>
        <v>1</v>
      </c>
      <c r="BF22">
        <f t="shared" ca="1" si="15"/>
        <v>0</v>
      </c>
      <c r="BG22">
        <f t="shared" ca="1" si="15"/>
        <v>0</v>
      </c>
      <c r="BH22">
        <f t="shared" ca="1" si="15"/>
        <v>0</v>
      </c>
      <c r="BI22">
        <f t="shared" ca="1" si="15"/>
        <v>1</v>
      </c>
      <c r="BJ22">
        <f t="shared" ca="1" si="15"/>
        <v>1</v>
      </c>
      <c r="BK22">
        <f t="shared" ca="1" si="15"/>
        <v>0</v>
      </c>
      <c r="BL22">
        <f t="shared" ca="1" si="15"/>
        <v>0</v>
      </c>
      <c r="BM22">
        <f t="shared" ca="1" si="15"/>
        <v>1</v>
      </c>
      <c r="BN22">
        <f t="shared" ca="1" si="15"/>
        <v>0</v>
      </c>
    </row>
    <row r="25" spans="3:66">
      <c r="C25">
        <f ca="1">SUM(INDIRECT("RC11:RC"&amp;11+playercnt-1,FALSE))</f>
        <v>56</v>
      </c>
      <c r="K25">
        <f ca="1">IF(SUM(K3:K22)=0,0,1)</f>
        <v>1</v>
      </c>
      <c r="L25">
        <f t="shared" ref="L25:AO25" ca="1" si="16">IF(SUM(L3:L22)=0,0,1)</f>
        <v>1</v>
      </c>
      <c r="M25">
        <f t="shared" ca="1" si="16"/>
        <v>1</v>
      </c>
      <c r="N25">
        <f t="shared" ca="1" si="16"/>
        <v>1</v>
      </c>
      <c r="O25">
        <f t="shared" ca="1" si="16"/>
        <v>1</v>
      </c>
      <c r="P25">
        <f t="shared" ca="1" si="16"/>
        <v>1</v>
      </c>
      <c r="Q25">
        <f t="shared" ca="1" si="16"/>
        <v>1</v>
      </c>
      <c r="R25">
        <f t="shared" ca="1" si="16"/>
        <v>1</v>
      </c>
      <c r="S25">
        <f t="shared" ca="1" si="16"/>
        <v>1</v>
      </c>
      <c r="T25">
        <f t="shared" ca="1" si="16"/>
        <v>1</v>
      </c>
      <c r="U25">
        <f t="shared" ca="1" si="16"/>
        <v>1</v>
      </c>
      <c r="V25">
        <f t="shared" ca="1" si="16"/>
        <v>1</v>
      </c>
      <c r="W25">
        <f t="shared" ca="1" si="16"/>
        <v>1</v>
      </c>
      <c r="X25">
        <f t="shared" ca="1" si="16"/>
        <v>1</v>
      </c>
      <c r="Y25">
        <f t="shared" ca="1" si="16"/>
        <v>1</v>
      </c>
      <c r="Z25">
        <f t="shared" ca="1" si="16"/>
        <v>1</v>
      </c>
      <c r="AA25">
        <f t="shared" ca="1" si="16"/>
        <v>1</v>
      </c>
      <c r="AB25">
        <f t="shared" ca="1" si="16"/>
        <v>1</v>
      </c>
      <c r="AC25">
        <f t="shared" ca="1" si="16"/>
        <v>1</v>
      </c>
      <c r="AD25">
        <f t="shared" ca="1" si="16"/>
        <v>1</v>
      </c>
      <c r="AE25">
        <f t="shared" ca="1" si="16"/>
        <v>1</v>
      </c>
      <c r="AF25">
        <f t="shared" ca="1" si="16"/>
        <v>1</v>
      </c>
      <c r="AG25">
        <f t="shared" ca="1" si="16"/>
        <v>1</v>
      </c>
      <c r="AH25">
        <f t="shared" ca="1" si="16"/>
        <v>1</v>
      </c>
      <c r="AI25">
        <f t="shared" ca="1" si="16"/>
        <v>1</v>
      </c>
      <c r="AJ25">
        <f t="shared" ca="1" si="16"/>
        <v>1</v>
      </c>
      <c r="AK25">
        <f t="shared" ca="1" si="16"/>
        <v>1</v>
      </c>
      <c r="AL25">
        <f t="shared" ca="1" si="16"/>
        <v>1</v>
      </c>
      <c r="AM25">
        <f t="shared" ca="1" si="16"/>
        <v>1</v>
      </c>
      <c r="AN25">
        <f t="shared" ca="1" si="16"/>
        <v>1</v>
      </c>
      <c r="AO25">
        <f t="shared" ca="1" si="16"/>
        <v>1</v>
      </c>
      <c r="AP25">
        <f t="shared" ref="AP25:AU25" ca="1" si="17">IF(SUM(AP3:AP22)=0,0,1)</f>
        <v>1</v>
      </c>
      <c r="AQ25">
        <f t="shared" ca="1" si="17"/>
        <v>1</v>
      </c>
      <c r="AR25">
        <f t="shared" ca="1" si="17"/>
        <v>1</v>
      </c>
      <c r="AS25">
        <f t="shared" ca="1" si="17"/>
        <v>1</v>
      </c>
      <c r="AT25">
        <f t="shared" ca="1" si="17"/>
        <v>1</v>
      </c>
      <c r="AU25">
        <f t="shared" ca="1" si="17"/>
        <v>1</v>
      </c>
      <c r="AV25">
        <f t="shared" ref="AV25:BA25" ca="1" si="18">IF(SUM(AV3:AV22)=0,0,1)</f>
        <v>1</v>
      </c>
      <c r="AW25">
        <f t="shared" ca="1" si="18"/>
        <v>1</v>
      </c>
      <c r="AX25">
        <f t="shared" ca="1" si="18"/>
        <v>1</v>
      </c>
      <c r="AY25">
        <f t="shared" ca="1" si="18"/>
        <v>1</v>
      </c>
      <c r="AZ25">
        <f t="shared" ca="1" si="18"/>
        <v>1</v>
      </c>
      <c r="BA25">
        <f t="shared" ca="1" si="18"/>
        <v>1</v>
      </c>
      <c r="BB25">
        <f t="shared" ref="BB25:BG25" ca="1" si="19">IF(SUM(BB3:BB22)=0,0,1)</f>
        <v>1</v>
      </c>
      <c r="BC25">
        <f t="shared" ca="1" si="19"/>
        <v>1</v>
      </c>
      <c r="BD25">
        <f t="shared" ca="1" si="19"/>
        <v>1</v>
      </c>
      <c r="BE25">
        <f t="shared" ca="1" si="19"/>
        <v>1</v>
      </c>
      <c r="BF25">
        <f t="shared" ca="1" si="19"/>
        <v>1</v>
      </c>
      <c r="BG25">
        <f t="shared" ca="1" si="19"/>
        <v>1</v>
      </c>
      <c r="BH25">
        <f ca="1">IF(SUM(BH3:BH22)=0,0,1)</f>
        <v>1</v>
      </c>
      <c r="BI25">
        <f t="shared" ref="BI25:BN25" ca="1" si="20">IF(SUM(BI3:BI22)=0,0,1)</f>
        <v>1</v>
      </c>
      <c r="BJ25">
        <f t="shared" ca="1" si="20"/>
        <v>1</v>
      </c>
      <c r="BK25">
        <f t="shared" ca="1" si="20"/>
        <v>1</v>
      </c>
      <c r="BL25">
        <f t="shared" ca="1" si="20"/>
        <v>1</v>
      </c>
      <c r="BM25">
        <f t="shared" ca="1" si="20"/>
        <v>1</v>
      </c>
      <c r="BN25">
        <f t="shared" ca="1" si="20"/>
        <v>1</v>
      </c>
    </row>
    <row r="33" spans="1:66">
      <c r="A33" s="26" t="str">
        <f>IF(ISBLANK(B33),IF((weekcnt+1)&lt;10,("Wk0"&amp;(weekcnt+1)),("Wk"&amp;(weekcnt+1))),B33)</f>
        <v>Wk07</v>
      </c>
    </row>
    <row r="34" spans="1:66" ht="111" customHeight="1">
      <c r="B34" s="22">
        <f ca="1">(SUM(INDIRECT("R42C11:R"&amp;42+playercnt-1&amp;"C"&amp;11+playercnt-1,FALSE))-(10*picks_entered))/((picks_entered^2)-picks_entered)</f>
        <v>5.2370129870129869</v>
      </c>
      <c r="C34" s="27">
        <f ca="1">AVERAGE(INDIRECT("R42C[-1]:R"&amp;42+playercnt-1&amp;"C[-1]",FALSE))</f>
        <v>5.2370129870129869</v>
      </c>
      <c r="D34" s="2"/>
      <c r="E34" s="2"/>
      <c r="F34" s="2"/>
      <c r="G34" s="2" t="str">
        <f t="shared" ref="G34:BN34" ca="1" si="21">IF((COLUMN()-10)&lt;=playercnt,INDIRECT(ADDRESS(2,COLUMN(),,,$A$33)),"")</f>
        <v>Mrs. HomeTeam</v>
      </c>
      <c r="H34" s="2" t="str">
        <f t="shared" ca="1" si="21"/>
        <v>Mr. Favorite</v>
      </c>
      <c r="I34" s="2" t="str">
        <f t="shared" ca="1" si="21"/>
        <v>Miss CDC</v>
      </c>
      <c r="J34" s="2" t="str">
        <f t="shared" ca="1" si="21"/>
        <v>Sagarin</v>
      </c>
      <c r="K34" s="2" t="str">
        <f t="shared" ca="1" si="21"/>
        <v>Aaron, Chip</v>
      </c>
      <c r="L34" s="2" t="str">
        <f t="shared" ca="1" si="21"/>
        <v>Barker, Christopher A</v>
      </c>
      <c r="M34" s="2" t="str">
        <f t="shared" ca="1" si="21"/>
        <v>Beasley, Tate</v>
      </c>
      <c r="N34" s="2" t="str">
        <f t="shared" ca="1" si="21"/>
        <v>Beckwith, Greg</v>
      </c>
      <c r="O34" s="2" t="str">
        <f t="shared" ca="1" si="21"/>
        <v>Boykin, Jerome W</v>
      </c>
      <c r="P34" s="2" t="str">
        <f t="shared" ca="1" si="21"/>
        <v>Carroll, Adam</v>
      </c>
      <c r="Q34" s="2" t="str">
        <f t="shared" ca="1" si="21"/>
        <v>Daffron, Christopher</v>
      </c>
      <c r="R34" s="2" t="str">
        <f t="shared" ca="1" si="21"/>
        <v>Delehanty, Kyle T</v>
      </c>
      <c r="S34" s="2" t="str">
        <f t="shared" ca="1" si="21"/>
        <v>Desetto, Daniel</v>
      </c>
      <c r="T34" s="2" t="str">
        <f t="shared" ca="1" si="21"/>
        <v>Desetto, Thomas Remote</v>
      </c>
      <c r="U34" s="2" t="str">
        <f t="shared" ca="1" si="21"/>
        <v>Desing, Scott M</v>
      </c>
      <c r="V34" s="2" t="str">
        <f t="shared" ca="1" si="21"/>
        <v>Drebin, James</v>
      </c>
      <c r="W34" s="2" t="str">
        <f t="shared" ca="1" si="21"/>
        <v>Edwards, Christopher S</v>
      </c>
      <c r="X34" s="2" t="str">
        <f t="shared" ca="1" si="21"/>
        <v>Emptage, Nick</v>
      </c>
      <c r="Y34" s="2" t="str">
        <f t="shared" ca="1" si="21"/>
        <v>Ferguson, Scott Remote</v>
      </c>
      <c r="Z34" s="2" t="str">
        <f t="shared" ca="1" si="21"/>
        <v>Fonville, Chris</v>
      </c>
      <c r="AA34" s="2" t="str">
        <f t="shared" ca="1" si="21"/>
        <v>Gilmer, Justin T</v>
      </c>
      <c r="AB34" s="2" t="str">
        <f t="shared" ca="1" si="21"/>
        <v>Hendrick, Matt R</v>
      </c>
      <c r="AC34" s="2" t="str">
        <f t="shared" ca="1" si="21"/>
        <v>Holden, Brent Remote</v>
      </c>
      <c r="AD34" s="2" t="str">
        <f t="shared" ca="1" si="21"/>
        <v>Holley, Jeremy Remote</v>
      </c>
      <c r="AE34" s="2" t="str">
        <f t="shared" ca="1" si="21"/>
        <v>Inabinet, Gregory</v>
      </c>
      <c r="AF34" s="2" t="str">
        <f t="shared" ca="1" si="21"/>
        <v>James, Larry Remote</v>
      </c>
      <c r="AG34" s="2" t="str">
        <f t="shared" ca="1" si="21"/>
        <v>Johnson, Creed D</v>
      </c>
      <c r="AH34" s="2" t="str">
        <f t="shared" ca="1" si="21"/>
        <v>Locklear, Dave Remote</v>
      </c>
      <c r="AI34" s="2" t="str">
        <f t="shared" ca="1" si="21"/>
        <v>Marsh, Alexander Remote</v>
      </c>
      <c r="AJ34" s="2" t="str">
        <f t="shared" ca="1" si="21"/>
        <v>Martin, Douglas C</v>
      </c>
      <c r="AK34" s="2" t="str">
        <f t="shared" ca="1" si="21"/>
        <v>Mccoy, William M</v>
      </c>
      <c r="AL34" s="2" t="str">
        <f t="shared" ca="1" si="21"/>
        <v>Montanez, Johanna</v>
      </c>
      <c r="AM34" s="2" t="str">
        <f t="shared" ca="1" si="21"/>
        <v>Moore, Kevin B</v>
      </c>
      <c r="AN34" s="2" t="str">
        <f t="shared" ca="1" si="21"/>
        <v>Murdaugh, Stephen K</v>
      </c>
      <c r="AO34" s="2" t="str">
        <f t="shared" ca="1" si="21"/>
        <v>Murphy, William A</v>
      </c>
      <c r="AP34" s="2" t="str">
        <f t="shared" ca="1" si="21"/>
        <v>Nance, Rob Remote</v>
      </c>
      <c r="AQ34" s="2" t="str">
        <f t="shared" ca="1" si="21"/>
        <v>Neeley, Amber Remote</v>
      </c>
      <c r="AR34" s="2" t="str">
        <f t="shared" ca="1" si="21"/>
        <v>Neeley, Michael Remote</v>
      </c>
      <c r="AS34" s="2" t="str">
        <f t="shared" ca="1" si="21"/>
        <v>Neill, Charles H</v>
      </c>
      <c r="AT34" s="2" t="str">
        <f t="shared" ca="1" si="21"/>
        <v>Nguyen, Thai Remote</v>
      </c>
      <c r="AU34" s="2" t="str">
        <f t="shared" ca="1" si="21"/>
        <v>Paul, Wilmaison</v>
      </c>
      <c r="AV34" s="2" t="str">
        <f t="shared" ca="1" si="21"/>
        <v>Penrose, Tim Remote</v>
      </c>
      <c r="AW34" s="2" t="str">
        <f t="shared" ca="1" si="21"/>
        <v>Powell, LaMar</v>
      </c>
      <c r="AX34" s="2" t="str">
        <f t="shared" ca="1" si="21"/>
        <v>Reams, Byron L</v>
      </c>
      <c r="AY34" s="2" t="str">
        <f t="shared" ca="1" si="21"/>
        <v>Robbins, Dale</v>
      </c>
      <c r="AZ34" s="2" t="str">
        <f t="shared" ca="1" si="21"/>
        <v>Robbins, Thomas D</v>
      </c>
      <c r="BA34" s="2" t="str">
        <f t="shared" ca="1" si="21"/>
        <v>Ruffin, Chris</v>
      </c>
      <c r="BB34" s="2" t="str">
        <f t="shared" ca="1" si="21"/>
        <v>Sams, David</v>
      </c>
      <c r="BC34" s="2" t="str">
        <f t="shared" ca="1" si="21"/>
        <v>Sapp, Carl G</v>
      </c>
      <c r="BD34" s="2" t="str">
        <f t="shared" ca="1" si="21"/>
        <v>Staub, Kevin</v>
      </c>
      <c r="BE34" s="2" t="str">
        <f t="shared" ca="1" si="21"/>
        <v>Staub, Ryan</v>
      </c>
      <c r="BF34" s="2" t="str">
        <f t="shared" ca="1" si="21"/>
        <v>Steel, Van Remote</v>
      </c>
      <c r="BG34" s="2" t="str">
        <f t="shared" ca="1" si="21"/>
        <v>Stonecypher, David</v>
      </c>
      <c r="BH34" s="2" t="str">
        <f t="shared" ca="1" si="21"/>
        <v>Straw, Adam D</v>
      </c>
      <c r="BI34" s="2" t="str">
        <f t="shared" ca="1" si="21"/>
        <v>Warren, Jason</v>
      </c>
      <c r="BJ34" s="2" t="str">
        <f t="shared" ca="1" si="21"/>
        <v>Warren, Todd Remote</v>
      </c>
      <c r="BK34" s="2" t="str">
        <f t="shared" ca="1" si="21"/>
        <v>Wells, Seth Remote</v>
      </c>
      <c r="BL34" s="2" t="str">
        <f t="shared" ca="1" si="21"/>
        <v>White, Jarred</v>
      </c>
      <c r="BM34" s="2" t="str">
        <f t="shared" ca="1" si="21"/>
        <v>Winburn, Steve A</v>
      </c>
      <c r="BN34" s="2" t="str">
        <f t="shared" ca="1" si="21"/>
        <v>Young, Kenneth</v>
      </c>
    </row>
    <row r="35" spans="1:66" ht="3" customHeight="1">
      <c r="A35" s="22"/>
      <c r="B35" s="27" t="str">
        <f ca="1">IF(INDIRECT(ADDRESS(ROW(),COLUMN()+(ROW()-33)))=10,(SUM(D35:AW35)-10)/(playercnt-1),"")</f>
        <v/>
      </c>
    </row>
    <row r="36" spans="1:66" ht="3.75" customHeight="1">
      <c r="A36" s="22"/>
      <c r="B36" s="27" t="str">
        <f ca="1">IF(INDIRECT(ADDRESS(ROW(),COLUMN()+(ROW()-33)))=10,(SUM(D36:AW36)-10)/(playercnt-1),"")</f>
        <v/>
      </c>
    </row>
    <row r="37" spans="1:66" ht="3" customHeight="1">
      <c r="B37" s="27" t="str">
        <f ca="1">IF(INDIRECT(ADDRESS(ROW(),COLUMN()+(ROW()-33)))=10,(SUM(D37:AW37)-10)/(playercnt-1),"")</f>
        <v/>
      </c>
    </row>
    <row r="38" spans="1:66">
      <c r="A38" s="22"/>
      <c r="B38" s="27">
        <f ca="1">IF(INDIRECT(ADDRESS(ROW(),COLUMN()+(ROW()-33)))=10,(SUM(INDIRECT("RC11:RC"&amp;11+playercnt-1,FALSE))-10)/(picks_entered-1),"")</f>
        <v>4.8181818181818183</v>
      </c>
      <c r="C38" t="str">
        <f t="shared" ref="C38:C53" ca="1" si="22">INDIRECT(ADDRESS(34,ROW()-31))</f>
        <v>Mrs. HomeTeam</v>
      </c>
      <c r="G38">
        <f ca="1">IF(AND(((COLUMN()-10)&lt;=playercnt),((ROW()-41)&lt;=playercnt)),SUMPRODUCT(INDIRECT(ADDRESS(3,ROW()-31,1)):INDIRECT(ADDRESS(22,ROW()-31,1)),G$3:G$22),"")</f>
        <v>10</v>
      </c>
      <c r="H38">
        <f ca="1">IF(AND(((COLUMN()-10)&lt;=playercnt),((ROW()-41)&lt;=playercnt)),SUMPRODUCT(INDIRECT(ADDRESS(3,ROW()-31,1)):INDIRECT(ADDRESS(22,ROW()-31,1)),H$3:H$22),"")</f>
        <v>5</v>
      </c>
      <c r="I38">
        <f ca="1">IF(AND(((COLUMN()-10)&lt;=playercnt),((ROW()-41)&lt;=playercnt)),SUMPRODUCT(INDIRECT(ADDRESS(3,ROW()-31,1)):INDIRECT(ADDRESS(22,ROW()-31,1)),I$3:I$22),"")</f>
        <v>5</v>
      </c>
      <c r="J38">
        <f ca="1">IF(AND(((COLUMN()-10)&lt;=playercnt),((ROW()-41)&lt;=playercnt)),SUMPRODUCT(INDIRECT(ADDRESS(3,ROW()-31,1)):INDIRECT(ADDRESS(22,ROW()-31,1)),J$3:J$22),"")</f>
        <v>0</v>
      </c>
      <c r="K38">
        <f ca="1">IF(AND(((COLUMN()-10)&lt;=playercnt),((ROW()-41)&lt;=playercnt)),SUMPRODUCT(INDIRECT(ADDRESS(3,ROW()-31,1)):INDIRECT(ADDRESS(22,ROW()-31,1)),K$3:K$22),"")</f>
        <v>6</v>
      </c>
      <c r="L38">
        <f ca="1">IF(AND(((COLUMN()-10)&lt;=playercnt),((ROW()-41)&lt;=playercnt)),SUMPRODUCT(INDIRECT(ADDRESS(3,ROW()-31,1)):INDIRECT(ADDRESS(22,ROW()-31,1)),L$3:L$22),"")</f>
        <v>7</v>
      </c>
      <c r="M38">
        <f ca="1">IF(AND(((COLUMN()-10)&lt;=playercnt),((ROW()-41)&lt;=playercnt)),SUMPRODUCT(INDIRECT(ADDRESS(3,ROW()-31,1)):INDIRECT(ADDRESS(22,ROW()-31,1)),M$3:M$22),"")</f>
        <v>7</v>
      </c>
      <c r="N38">
        <f ca="1">IF(AND(((COLUMN()-10)&lt;=playercnt),((ROW()-41)&lt;=playercnt)),SUMPRODUCT(INDIRECT(ADDRESS(3,ROW()-31,1)):INDIRECT(ADDRESS(22,ROW()-31,1)),N$3:N$22),"")</f>
        <v>5</v>
      </c>
      <c r="O38">
        <f ca="1">IF(AND(((COLUMN()-10)&lt;=playercnt),((ROW()-41)&lt;=playercnt)),SUMPRODUCT(INDIRECT(ADDRESS(3,ROW()-31,1)):INDIRECT(ADDRESS(22,ROW()-31,1)),O$3:O$22),"")</f>
        <v>7</v>
      </c>
      <c r="P38">
        <f ca="1">IF(AND(((COLUMN()-10)&lt;=playercnt),((ROW()-41)&lt;=playercnt)),SUMPRODUCT(INDIRECT(ADDRESS(3,ROW()-31,1)):INDIRECT(ADDRESS(22,ROW()-31,1)),P$3:P$22),"")</f>
        <v>6</v>
      </c>
      <c r="Q38">
        <f ca="1">IF(AND(((COLUMN()-10)&lt;=playercnt),((ROW()-41)&lt;=playercnt)),SUMPRODUCT(INDIRECT(ADDRESS(3,ROW()-31,1)):INDIRECT(ADDRESS(22,ROW()-31,1)),Q$3:Q$22),"")</f>
        <v>6</v>
      </c>
      <c r="R38">
        <f ca="1">IF(AND(((COLUMN()-10)&lt;=playercnt),((ROW()-41)&lt;=playercnt)),SUMPRODUCT(INDIRECT(ADDRESS(3,ROW()-31,1)):INDIRECT(ADDRESS(22,ROW()-31,1)),R$3:R$22),"")</f>
        <v>6</v>
      </c>
      <c r="S38">
        <f ca="1">IF(AND(((COLUMN()-10)&lt;=playercnt),((ROW()-41)&lt;=playercnt)),SUMPRODUCT(INDIRECT(ADDRESS(3,ROW()-31,1)):INDIRECT(ADDRESS(22,ROW()-31,1)),S$3:S$22),"")</f>
        <v>2</v>
      </c>
      <c r="T38">
        <f ca="1">IF(AND(((COLUMN()-10)&lt;=playercnt),((ROW()-41)&lt;=playercnt)),SUMPRODUCT(INDIRECT(ADDRESS(3,ROW()-31,1)):INDIRECT(ADDRESS(22,ROW()-31,1)),T$3:T$22),"")</f>
        <v>4</v>
      </c>
      <c r="U38">
        <f ca="1">IF(AND(((COLUMN()-10)&lt;=playercnt),((ROW()-41)&lt;=playercnt)),SUMPRODUCT(INDIRECT(ADDRESS(3,ROW()-31,1)):INDIRECT(ADDRESS(22,ROW()-31,1)),U$3:U$22),"")</f>
        <v>3</v>
      </c>
      <c r="V38">
        <f ca="1">IF(AND(((COLUMN()-10)&lt;=playercnt),((ROW()-41)&lt;=playercnt)),SUMPRODUCT(INDIRECT(ADDRESS(3,ROW()-31,1)):INDIRECT(ADDRESS(22,ROW()-31,1)),V$3:V$22),"")</f>
        <v>6</v>
      </c>
      <c r="W38">
        <f ca="1">IF(AND(((COLUMN()-10)&lt;=playercnt),((ROW()-41)&lt;=playercnt)),SUMPRODUCT(INDIRECT(ADDRESS(3,ROW()-31,1)):INDIRECT(ADDRESS(22,ROW()-31,1)),W$3:W$22),"")</f>
        <v>6</v>
      </c>
      <c r="X38">
        <f ca="1">IF(AND(((COLUMN()-10)&lt;=playercnt),((ROW()-41)&lt;=playercnt)),SUMPRODUCT(INDIRECT(ADDRESS(3,ROW()-31,1)):INDIRECT(ADDRESS(22,ROW()-31,1)),X$3:X$22),"")</f>
        <v>6</v>
      </c>
      <c r="Y38">
        <f ca="1">IF(AND(((COLUMN()-10)&lt;=playercnt),((ROW()-41)&lt;=playercnt)),SUMPRODUCT(INDIRECT(ADDRESS(3,ROW()-31,1)):INDIRECT(ADDRESS(22,ROW()-31,1)),Y$3:Y$22),"")</f>
        <v>5</v>
      </c>
      <c r="Z38">
        <f ca="1">IF(AND(((COLUMN()-10)&lt;=playercnt),((ROW()-41)&lt;=playercnt)),SUMPRODUCT(INDIRECT(ADDRESS(3,ROW()-31,1)):INDIRECT(ADDRESS(22,ROW()-31,1)),Z$3:Z$22),"")</f>
        <v>5</v>
      </c>
      <c r="AA38">
        <f ca="1">IF(AND(((COLUMN()-10)&lt;=playercnt),((ROW()-41)&lt;=playercnt)),SUMPRODUCT(INDIRECT(ADDRESS(3,ROW()-31,1)):INDIRECT(ADDRESS(22,ROW()-31,1)),AA$3:AA$22),"")</f>
        <v>5</v>
      </c>
      <c r="AB38">
        <f ca="1">IF(AND(((COLUMN()-10)&lt;=playercnt),((ROW()-41)&lt;=playercnt)),SUMPRODUCT(INDIRECT(ADDRESS(3,ROW()-31,1)):INDIRECT(ADDRESS(22,ROW()-31,1)),AB$3:AB$22),"")</f>
        <v>3</v>
      </c>
      <c r="AC38">
        <f ca="1">IF(AND(((COLUMN()-10)&lt;=playercnt),((ROW()-41)&lt;=playercnt)),SUMPRODUCT(INDIRECT(ADDRESS(3,ROW()-31,1)):INDIRECT(ADDRESS(22,ROW()-31,1)),AC$3:AC$22),"")</f>
        <v>4</v>
      </c>
      <c r="AD38">
        <f ca="1">IF(AND(((COLUMN()-10)&lt;=playercnt),((ROW()-41)&lt;=playercnt)),SUMPRODUCT(INDIRECT(ADDRESS(3,ROW()-31,1)):INDIRECT(ADDRESS(22,ROW()-31,1)),AD$3:AD$22),"")</f>
        <v>7</v>
      </c>
      <c r="AE38">
        <f ca="1">IF(AND(((COLUMN()-10)&lt;=playercnt),((ROW()-41)&lt;=playercnt)),SUMPRODUCT(INDIRECT(ADDRESS(3,ROW()-31,1)):INDIRECT(ADDRESS(22,ROW()-31,1)),AE$3:AE$22),"")</f>
        <v>5</v>
      </c>
      <c r="AF38">
        <f ca="1">IF(AND(((COLUMN()-10)&lt;=playercnt),((ROW()-41)&lt;=playercnt)),SUMPRODUCT(INDIRECT(ADDRESS(3,ROW()-31,1)):INDIRECT(ADDRESS(22,ROW()-31,1)),AF$3:AF$22),"")</f>
        <v>7</v>
      </c>
      <c r="AG38">
        <f ca="1">IF(AND(((COLUMN()-10)&lt;=playercnt),((ROW()-41)&lt;=playercnt)),SUMPRODUCT(INDIRECT(ADDRESS(3,ROW()-31,1)):INDIRECT(ADDRESS(22,ROW()-31,1)),AG$3:AG$22),"")</f>
        <v>3</v>
      </c>
      <c r="AH38">
        <f ca="1">IF(AND(((COLUMN()-10)&lt;=playercnt),((ROW()-41)&lt;=playercnt)),SUMPRODUCT(INDIRECT(ADDRESS(3,ROW()-31,1)):INDIRECT(ADDRESS(22,ROW()-31,1)),AH$3:AH$22),"")</f>
        <v>7</v>
      </c>
      <c r="AI38">
        <f ca="1">IF(AND(((COLUMN()-10)&lt;=playercnt),((ROW()-41)&lt;=playercnt)),SUMPRODUCT(INDIRECT(ADDRESS(3,ROW()-31,1)):INDIRECT(ADDRESS(22,ROW()-31,1)),AI$3:AI$22),"")</f>
        <v>6</v>
      </c>
      <c r="AJ38">
        <f ca="1">IF(AND(((COLUMN()-10)&lt;=playercnt),((ROW()-41)&lt;=playercnt)),SUMPRODUCT(INDIRECT(ADDRESS(3,ROW()-31,1)):INDIRECT(ADDRESS(22,ROW()-31,1)),AJ$3:AJ$22),"")</f>
        <v>3</v>
      </c>
      <c r="AK38">
        <f ca="1">IF(AND(((COLUMN()-10)&lt;=playercnt),((ROW()-41)&lt;=playercnt)),SUMPRODUCT(INDIRECT(ADDRESS(3,ROW()-31,1)):INDIRECT(ADDRESS(22,ROW()-31,1)),AK$3:AK$22),"")</f>
        <v>3</v>
      </c>
      <c r="AL38">
        <f ca="1">IF(AND(((COLUMN()-10)&lt;=playercnt),((ROW()-41)&lt;=playercnt)),SUMPRODUCT(INDIRECT(ADDRESS(3,ROW()-31,1)):INDIRECT(ADDRESS(22,ROW()-31,1)),AL$3:AL$22),"")</f>
        <v>5</v>
      </c>
      <c r="AM38">
        <f ca="1">IF(AND(((COLUMN()-10)&lt;=playercnt),((ROW()-41)&lt;=playercnt)),SUMPRODUCT(INDIRECT(ADDRESS(3,ROW()-31,1)):INDIRECT(ADDRESS(22,ROW()-31,1)),AM$3:AM$22),"")</f>
        <v>4</v>
      </c>
      <c r="AN38">
        <f ca="1">IF(AND(((COLUMN()-10)&lt;=playercnt),((ROW()-41)&lt;=playercnt)),SUMPRODUCT(INDIRECT(ADDRESS(3,ROW()-31,1)):INDIRECT(ADDRESS(22,ROW()-31,1)),AN$3:AN$22),"")</f>
        <v>5</v>
      </c>
      <c r="AO38">
        <f ca="1">IF(AND(((COLUMN()-10)&lt;=playercnt),((ROW()-41)&lt;=playercnt)),SUMPRODUCT(INDIRECT(ADDRESS(3,ROW()-31,1)):INDIRECT(ADDRESS(22,ROW()-31,1)),AO$3:AO$22),"")</f>
        <v>5</v>
      </c>
      <c r="AP38">
        <f ca="1">IF(AND(((COLUMN()-10)&lt;=playercnt),((ROW()-41)&lt;=playercnt)),SUMPRODUCT(INDIRECT(ADDRESS(3,ROW()-31,1)):INDIRECT(ADDRESS(22,ROW()-31,1)),AP$3:AP$22),"")</f>
        <v>4</v>
      </c>
      <c r="AQ38">
        <f ca="1">IF(AND(((COLUMN()-10)&lt;=playercnt),((ROW()-41)&lt;=playercnt)),SUMPRODUCT(INDIRECT(ADDRESS(3,ROW()-31,1)):INDIRECT(ADDRESS(22,ROW()-31,1)),AQ$3:AQ$22),"")</f>
        <v>4</v>
      </c>
      <c r="AR38">
        <f ca="1">IF(AND(((COLUMN()-10)&lt;=playercnt),((ROW()-41)&lt;=playercnt)),SUMPRODUCT(INDIRECT(ADDRESS(3,ROW()-31,1)):INDIRECT(ADDRESS(22,ROW()-31,1)),AR$3:AR$22),"")</f>
        <v>5</v>
      </c>
      <c r="AS38">
        <f ca="1">IF(AND(((COLUMN()-10)&lt;=playercnt),((ROW()-41)&lt;=playercnt)),SUMPRODUCT(INDIRECT(ADDRESS(3,ROW()-31,1)):INDIRECT(ADDRESS(22,ROW()-31,1)),AS$3:AS$22),"")</f>
        <v>5</v>
      </c>
      <c r="AT38">
        <f ca="1">IF(AND(((COLUMN()-10)&lt;=playercnt),((ROW()-41)&lt;=playercnt)),SUMPRODUCT(INDIRECT(ADDRESS(3,ROW()-31,1)):INDIRECT(ADDRESS(22,ROW()-31,1)),AT$3:AT$22),"")</f>
        <v>6</v>
      </c>
      <c r="AU38">
        <f ca="1">IF(AND(((COLUMN()-10)&lt;=playercnt),((ROW()-41)&lt;=playercnt)),SUMPRODUCT(INDIRECT(ADDRESS(3,ROW()-31,1)):INDIRECT(ADDRESS(22,ROW()-31,1)),AU$3:AU$22),"")</f>
        <v>8</v>
      </c>
      <c r="AV38">
        <f ca="1">IF(AND(((COLUMN()-10)&lt;=playercnt),((ROW()-41)&lt;=playercnt)),SUMPRODUCT(INDIRECT(ADDRESS(3,ROW()-31,1)):INDIRECT(ADDRESS(22,ROW()-31,1)),AV$3:AV$22),"")</f>
        <v>4</v>
      </c>
      <c r="AW38">
        <f ca="1">IF(AND(((COLUMN()-10)&lt;=playercnt),((ROW()-41)&lt;=playercnt)),SUMPRODUCT(INDIRECT(ADDRESS(3,ROW()-31,1)):INDIRECT(ADDRESS(22,ROW()-31,1)),AW$3:AW$22),"")</f>
        <v>4</v>
      </c>
      <c r="AX38">
        <f ca="1">IF(AND(((COLUMN()-10)&lt;=playercnt),((ROW()-41)&lt;=playercnt)),SUMPRODUCT(INDIRECT(ADDRESS(3,ROW()-31,1)):INDIRECT(ADDRESS(22,ROW()-31,1)),AX$3:AX$22),"")</f>
        <v>4</v>
      </c>
      <c r="AY38">
        <f ca="1">IF(AND(((COLUMN()-10)&lt;=playercnt),((ROW()-41)&lt;=playercnt)),SUMPRODUCT(INDIRECT(ADDRESS(3,ROW()-31,1)):INDIRECT(ADDRESS(22,ROW()-31,1)),AY$3:AY$22),"")</f>
        <v>6</v>
      </c>
      <c r="AZ38">
        <f ca="1">IF(AND(((COLUMN()-10)&lt;=playercnt),((ROW()-41)&lt;=playercnt)),SUMPRODUCT(INDIRECT(ADDRESS(3,ROW()-31,1)):INDIRECT(ADDRESS(22,ROW()-31,1)),AZ$3:AZ$22),"")</f>
        <v>9</v>
      </c>
      <c r="BA38">
        <f ca="1">IF(AND(((COLUMN()-10)&lt;=playercnt),((ROW()-41)&lt;=playercnt)),SUMPRODUCT(INDIRECT(ADDRESS(3,ROW()-31,1)):INDIRECT(ADDRESS(22,ROW()-31,1)),BA$3:BA$22),"")</f>
        <v>2</v>
      </c>
      <c r="BB38">
        <f ca="1">IF(AND(((COLUMN()-10)&lt;=playercnt),((ROW()-41)&lt;=playercnt)),SUMPRODUCT(INDIRECT(ADDRESS(3,ROW()-31,1)):INDIRECT(ADDRESS(22,ROW()-31,1)),BB$3:BB$22),"")</f>
        <v>3</v>
      </c>
      <c r="BC38">
        <f ca="1">IF(AND(((COLUMN()-10)&lt;=playercnt),((ROW()-41)&lt;=playercnt)),SUMPRODUCT(INDIRECT(ADDRESS(3,ROW()-31,1)):INDIRECT(ADDRESS(22,ROW()-31,1)),BC$3:BC$22),"")</f>
        <v>5</v>
      </c>
      <c r="BD38">
        <f ca="1">IF(AND(((COLUMN()-10)&lt;=playercnt),((ROW()-41)&lt;=playercnt)),SUMPRODUCT(INDIRECT(ADDRESS(3,ROW()-31,1)):INDIRECT(ADDRESS(22,ROW()-31,1)),BD$3:BD$22),"")</f>
        <v>6</v>
      </c>
      <c r="BE38">
        <f ca="1">IF(AND(((COLUMN()-10)&lt;=playercnt),((ROW()-41)&lt;=playercnt)),SUMPRODUCT(INDIRECT(ADDRESS(3,ROW()-31,1)):INDIRECT(ADDRESS(22,ROW()-31,1)),BE$3:BE$22),"")</f>
        <v>3</v>
      </c>
      <c r="BF38">
        <f ca="1">IF(AND(((COLUMN()-10)&lt;=playercnt),((ROW()-41)&lt;=playercnt)),SUMPRODUCT(INDIRECT(ADDRESS(3,ROW()-31,1)):INDIRECT(ADDRESS(22,ROW()-31,1)),BF$3:BF$22),"")</f>
        <v>3</v>
      </c>
      <c r="BG38">
        <f ca="1">IF(AND(((COLUMN()-10)&lt;=playercnt),((ROW()-41)&lt;=playercnt)),SUMPRODUCT(INDIRECT(ADDRESS(3,ROW()-31,1)):INDIRECT(ADDRESS(22,ROW()-31,1)),BG$3:BG$22),"")</f>
        <v>2</v>
      </c>
      <c r="BH38">
        <f ca="1">IF(AND(((COLUMN()-10)&lt;=playercnt),((ROW()-41)&lt;=playercnt)),SUMPRODUCT(INDIRECT(ADDRESS(3,ROW()-31,1)):INDIRECT(ADDRESS(22,ROW()-31,1)),BH$3:BH$22),"")</f>
        <v>5</v>
      </c>
      <c r="BI38">
        <f ca="1">IF(AND(((COLUMN()-10)&lt;=playercnt),((ROW()-41)&lt;=playercnt)),SUMPRODUCT(INDIRECT(ADDRESS(3,ROW()-31,1)):INDIRECT(ADDRESS(22,ROW()-31,1)),BI$3:BI$22),"")</f>
        <v>6</v>
      </c>
      <c r="BJ38">
        <f ca="1">IF(AND(((COLUMN()-10)&lt;=playercnt),((ROW()-41)&lt;=playercnt)),SUMPRODUCT(INDIRECT(ADDRESS(3,ROW()-31,1)):INDIRECT(ADDRESS(22,ROW()-31,1)),BJ$3:BJ$22),"")</f>
        <v>4</v>
      </c>
      <c r="BK38">
        <f ca="1">IF(AND(((COLUMN()-10)&lt;=playercnt),((ROW()-41)&lt;=playercnt)),SUMPRODUCT(INDIRECT(ADDRESS(3,ROW()-31,1)):INDIRECT(ADDRESS(22,ROW()-31,1)),BK$3:BK$22),"")</f>
        <v>3</v>
      </c>
      <c r="BL38">
        <f ca="1">IF(AND(((COLUMN()-10)&lt;=playercnt),((ROW()-41)&lt;=playercnt)),SUMPRODUCT(INDIRECT(ADDRESS(3,ROW()-31,1)):INDIRECT(ADDRESS(22,ROW()-31,1)),BL$3:BL$22),"")</f>
        <v>5</v>
      </c>
      <c r="BM38">
        <f ca="1">IF(AND(((COLUMN()-10)&lt;=playercnt),((ROW()-41)&lt;=playercnt)),SUMPRODUCT(INDIRECT(ADDRESS(3,ROW()-31,1)):INDIRECT(ADDRESS(22,ROW()-31,1)),BM$3:BM$22),"")</f>
        <v>5</v>
      </c>
      <c r="BN38">
        <f ca="1">IF(AND(((COLUMN()-10)&lt;=playercnt),((ROW()-41)&lt;=playercnt)),SUMPRODUCT(INDIRECT(ADDRESS(3,ROW()-31,1)):INDIRECT(ADDRESS(22,ROW()-31,1)),BN$3:BN$22),"")</f>
        <v>5</v>
      </c>
    </row>
    <row r="39" spans="1:66">
      <c r="A39" s="22"/>
      <c r="B39" s="27">
        <f ca="1">IF(INDIRECT(ADDRESS(ROW(),COLUMN()+(ROW()-33)))=10,(SUM(INDIRECT("RC11:RC"&amp;11+playercnt-1,FALSE))-10)/(picks_entered-1),"")</f>
        <v>5.290909090909091</v>
      </c>
      <c r="C39" t="str">
        <f t="shared" ca="1" si="22"/>
        <v>Mr. Favorite</v>
      </c>
      <c r="G39">
        <f ca="1">IF(AND(((COLUMN()-10)&lt;=playercnt),((ROW()-41)&lt;=playercnt)),SUMPRODUCT(INDIRECT(ADDRESS(3,ROW()-31,1)):INDIRECT(ADDRESS(22,ROW()-31,1)),G$3:G$22),"")</f>
        <v>5</v>
      </c>
      <c r="H39">
        <f ca="1">IF(AND(((COLUMN()-10)&lt;=playercnt),((ROW()-41)&lt;=playercnt)),SUMPRODUCT(INDIRECT(ADDRESS(3,ROW()-31,1)):INDIRECT(ADDRESS(22,ROW()-31,1)),H$3:H$22),"")</f>
        <v>10</v>
      </c>
      <c r="I39">
        <f ca="1">IF(AND(((COLUMN()-10)&lt;=playercnt),((ROW()-41)&lt;=playercnt)),SUMPRODUCT(INDIRECT(ADDRESS(3,ROW()-31,1)):INDIRECT(ADDRESS(22,ROW()-31,1)),I$3:I$22),"")</f>
        <v>6</v>
      </c>
      <c r="J39">
        <f ca="1">IF(AND(((COLUMN()-10)&lt;=playercnt),((ROW()-41)&lt;=playercnt)),SUMPRODUCT(INDIRECT(ADDRESS(3,ROW()-31,1)):INDIRECT(ADDRESS(22,ROW()-31,1)),J$3:J$22),"")</f>
        <v>0</v>
      </c>
      <c r="K39">
        <f ca="1">IF(AND(((COLUMN()-10)&lt;=playercnt),((ROW()-41)&lt;=playercnt)),SUMPRODUCT(INDIRECT(ADDRESS(3,ROW()-31,1)):INDIRECT(ADDRESS(22,ROW()-31,1)),K$3:K$22),"")</f>
        <v>5</v>
      </c>
      <c r="L39">
        <f ca="1">IF(AND(((COLUMN()-10)&lt;=playercnt),((ROW()-41)&lt;=playercnt)),SUMPRODUCT(INDIRECT(ADDRESS(3,ROW()-31,1)):INDIRECT(ADDRESS(22,ROW()-31,1)),L$3:L$22),"")</f>
        <v>8</v>
      </c>
      <c r="M39">
        <f ca="1">IF(AND(((COLUMN()-10)&lt;=playercnt),((ROW()-41)&lt;=playercnt)),SUMPRODUCT(INDIRECT(ADDRESS(3,ROW()-31,1)):INDIRECT(ADDRESS(22,ROW()-31,1)),M$3:M$22),"")</f>
        <v>4</v>
      </c>
      <c r="N39">
        <f ca="1">IF(AND(((COLUMN()-10)&lt;=playercnt),((ROW()-41)&lt;=playercnt)),SUMPRODUCT(INDIRECT(ADDRESS(3,ROW()-31,1)):INDIRECT(ADDRESS(22,ROW()-31,1)),N$3:N$22),"")</f>
        <v>8</v>
      </c>
      <c r="O39">
        <f ca="1">IF(AND(((COLUMN()-10)&lt;=playercnt),((ROW()-41)&lt;=playercnt)),SUMPRODUCT(INDIRECT(ADDRESS(3,ROW()-31,1)):INDIRECT(ADDRESS(22,ROW()-31,1)),O$3:O$22),"")</f>
        <v>4</v>
      </c>
      <c r="P39">
        <f ca="1">IF(AND(((COLUMN()-10)&lt;=playercnt),((ROW()-41)&lt;=playercnt)),SUMPRODUCT(INDIRECT(ADDRESS(3,ROW()-31,1)):INDIRECT(ADDRESS(22,ROW()-31,1)),P$3:P$22),"")</f>
        <v>7</v>
      </c>
      <c r="Q39">
        <f ca="1">IF(AND(((COLUMN()-10)&lt;=playercnt),((ROW()-41)&lt;=playercnt)),SUMPRODUCT(INDIRECT(ADDRESS(3,ROW()-31,1)):INDIRECT(ADDRESS(22,ROW()-31,1)),Q$3:Q$22),"")</f>
        <v>3</v>
      </c>
      <c r="R39">
        <f ca="1">IF(AND(((COLUMN()-10)&lt;=playercnt),((ROW()-41)&lt;=playercnt)),SUMPRODUCT(INDIRECT(ADDRESS(3,ROW()-31,1)):INDIRECT(ADDRESS(22,ROW()-31,1)),R$3:R$22),"")</f>
        <v>5</v>
      </c>
      <c r="S39">
        <f ca="1">IF(AND(((COLUMN()-10)&lt;=playercnt),((ROW()-41)&lt;=playercnt)),SUMPRODUCT(INDIRECT(ADDRESS(3,ROW()-31,1)):INDIRECT(ADDRESS(22,ROW()-31,1)),S$3:S$22),"")</f>
        <v>3</v>
      </c>
      <c r="T39">
        <f ca="1">IF(AND(((COLUMN()-10)&lt;=playercnt),((ROW()-41)&lt;=playercnt)),SUMPRODUCT(INDIRECT(ADDRESS(3,ROW()-31,1)):INDIRECT(ADDRESS(22,ROW()-31,1)),T$3:T$22),"")</f>
        <v>3</v>
      </c>
      <c r="U39">
        <f ca="1">IF(AND(((COLUMN()-10)&lt;=playercnt),((ROW()-41)&lt;=playercnt)),SUMPRODUCT(INDIRECT(ADDRESS(3,ROW()-31,1)):INDIRECT(ADDRESS(22,ROW()-31,1)),U$3:U$22),"")</f>
        <v>8</v>
      </c>
      <c r="V39">
        <f ca="1">IF(AND(((COLUMN()-10)&lt;=playercnt),((ROW()-41)&lt;=playercnt)),SUMPRODUCT(INDIRECT(ADDRESS(3,ROW()-31,1)):INDIRECT(ADDRESS(22,ROW()-31,1)),V$3:V$22),"")</f>
        <v>5</v>
      </c>
      <c r="W39">
        <f ca="1">IF(AND(((COLUMN()-10)&lt;=playercnt),((ROW()-41)&lt;=playercnt)),SUMPRODUCT(INDIRECT(ADDRESS(3,ROW()-31,1)):INDIRECT(ADDRESS(22,ROW()-31,1)),W$3:W$22),"")</f>
        <v>5</v>
      </c>
      <c r="X39">
        <f ca="1">IF(AND(((COLUMN()-10)&lt;=playercnt),((ROW()-41)&lt;=playercnt)),SUMPRODUCT(INDIRECT(ADDRESS(3,ROW()-31,1)):INDIRECT(ADDRESS(22,ROW()-31,1)),X$3:X$22),"")</f>
        <v>3</v>
      </c>
      <c r="Y39">
        <f ca="1">IF(AND(((COLUMN()-10)&lt;=playercnt),((ROW()-41)&lt;=playercnt)),SUMPRODUCT(INDIRECT(ADDRESS(3,ROW()-31,1)):INDIRECT(ADDRESS(22,ROW()-31,1)),Y$3:Y$22),"")</f>
        <v>6</v>
      </c>
      <c r="Z39">
        <f ca="1">IF(AND(((COLUMN()-10)&lt;=playercnt),((ROW()-41)&lt;=playercnt)),SUMPRODUCT(INDIRECT(ADDRESS(3,ROW()-31,1)):INDIRECT(ADDRESS(22,ROW()-31,1)),Z$3:Z$22),"")</f>
        <v>4</v>
      </c>
      <c r="AA39">
        <f ca="1">IF(AND(((COLUMN()-10)&lt;=playercnt),((ROW()-41)&lt;=playercnt)),SUMPRODUCT(INDIRECT(ADDRESS(3,ROW()-31,1)):INDIRECT(ADDRESS(22,ROW()-31,1)),AA$3:AA$22),"")</f>
        <v>6</v>
      </c>
      <c r="AB39">
        <f ca="1">IF(AND(((COLUMN()-10)&lt;=playercnt),((ROW()-41)&lt;=playercnt)),SUMPRODUCT(INDIRECT(ADDRESS(3,ROW()-31,1)):INDIRECT(ADDRESS(22,ROW()-31,1)),AB$3:AB$22),"")</f>
        <v>6</v>
      </c>
      <c r="AC39">
        <f ca="1">IF(AND(((COLUMN()-10)&lt;=playercnt),((ROW()-41)&lt;=playercnt)),SUMPRODUCT(INDIRECT(ADDRESS(3,ROW()-31,1)):INDIRECT(ADDRESS(22,ROW()-31,1)),AC$3:AC$22),"")</f>
        <v>5</v>
      </c>
      <c r="AD39">
        <f ca="1">IF(AND(((COLUMN()-10)&lt;=playercnt),((ROW()-41)&lt;=playercnt)),SUMPRODUCT(INDIRECT(ADDRESS(3,ROW()-31,1)):INDIRECT(ADDRESS(22,ROW()-31,1)),AD$3:AD$22),"")</f>
        <v>4</v>
      </c>
      <c r="AE39">
        <f ca="1">IF(AND(((COLUMN()-10)&lt;=playercnt),((ROW()-41)&lt;=playercnt)),SUMPRODUCT(INDIRECT(ADDRESS(3,ROW()-31,1)):INDIRECT(ADDRESS(22,ROW()-31,1)),AE$3:AE$22),"")</f>
        <v>10</v>
      </c>
      <c r="AF39">
        <f ca="1">IF(AND(((COLUMN()-10)&lt;=playercnt),((ROW()-41)&lt;=playercnt)),SUMPRODUCT(INDIRECT(ADDRESS(3,ROW()-31,1)):INDIRECT(ADDRESS(22,ROW()-31,1)),AF$3:AF$22),"")</f>
        <v>4</v>
      </c>
      <c r="AG39">
        <f ca="1">IF(AND(((COLUMN()-10)&lt;=playercnt),((ROW()-41)&lt;=playercnt)),SUMPRODUCT(INDIRECT(ADDRESS(3,ROW()-31,1)):INDIRECT(ADDRESS(22,ROW()-31,1)),AG$3:AG$22),"")</f>
        <v>4</v>
      </c>
      <c r="AH39">
        <f ca="1">IF(AND(((COLUMN()-10)&lt;=playercnt),((ROW()-41)&lt;=playercnt)),SUMPRODUCT(INDIRECT(ADDRESS(3,ROW()-31,1)):INDIRECT(ADDRESS(22,ROW()-31,1)),AH$3:AH$22),"")</f>
        <v>4</v>
      </c>
      <c r="AI39">
        <f ca="1">IF(AND(((COLUMN()-10)&lt;=playercnt),((ROW()-41)&lt;=playercnt)),SUMPRODUCT(INDIRECT(ADDRESS(3,ROW()-31,1)):INDIRECT(ADDRESS(22,ROW()-31,1)),AI$3:AI$22),"")</f>
        <v>7</v>
      </c>
      <c r="AJ39">
        <f ca="1">IF(AND(((COLUMN()-10)&lt;=playercnt),((ROW()-41)&lt;=playercnt)),SUMPRODUCT(INDIRECT(ADDRESS(3,ROW()-31,1)):INDIRECT(ADDRESS(22,ROW()-31,1)),AJ$3:AJ$22),"")</f>
        <v>6</v>
      </c>
      <c r="AK39">
        <f ca="1">IF(AND(((COLUMN()-10)&lt;=playercnt),((ROW()-41)&lt;=playercnt)),SUMPRODUCT(INDIRECT(ADDRESS(3,ROW()-31,1)):INDIRECT(ADDRESS(22,ROW()-31,1)),AK$3:AK$22),"")</f>
        <v>4</v>
      </c>
      <c r="AL39">
        <f ca="1">IF(AND(((COLUMN()-10)&lt;=playercnt),((ROW()-41)&lt;=playercnt)),SUMPRODUCT(INDIRECT(ADDRESS(3,ROW()-31,1)):INDIRECT(ADDRESS(22,ROW()-31,1)),AL$3:AL$22),"")</f>
        <v>8</v>
      </c>
      <c r="AM39">
        <f ca="1">IF(AND(((COLUMN()-10)&lt;=playercnt),((ROW()-41)&lt;=playercnt)),SUMPRODUCT(INDIRECT(ADDRESS(3,ROW()-31,1)):INDIRECT(ADDRESS(22,ROW()-31,1)),AM$3:AM$22),"")</f>
        <v>5</v>
      </c>
      <c r="AN39">
        <f ca="1">IF(AND(((COLUMN()-10)&lt;=playercnt),((ROW()-41)&lt;=playercnt)),SUMPRODUCT(INDIRECT(ADDRESS(3,ROW()-31,1)):INDIRECT(ADDRESS(22,ROW()-31,1)),AN$3:AN$22),"")</f>
        <v>8</v>
      </c>
      <c r="AO39">
        <f ca="1">IF(AND(((COLUMN()-10)&lt;=playercnt),((ROW()-41)&lt;=playercnt)),SUMPRODUCT(INDIRECT(ADDRESS(3,ROW()-31,1)):INDIRECT(ADDRESS(22,ROW()-31,1)),AO$3:AO$22),"")</f>
        <v>6</v>
      </c>
      <c r="AP39">
        <f ca="1">IF(AND(((COLUMN()-10)&lt;=playercnt),((ROW()-41)&lt;=playercnt)),SUMPRODUCT(INDIRECT(ADDRESS(3,ROW()-31,1)):INDIRECT(ADDRESS(22,ROW()-31,1)),AP$3:AP$22),"")</f>
        <v>5</v>
      </c>
      <c r="AQ39">
        <f ca="1">IF(AND(((COLUMN()-10)&lt;=playercnt),((ROW()-41)&lt;=playercnt)),SUMPRODUCT(INDIRECT(ADDRESS(3,ROW()-31,1)):INDIRECT(ADDRESS(22,ROW()-31,1)),AQ$3:AQ$22),"")</f>
        <v>9</v>
      </c>
      <c r="AR39">
        <f ca="1">IF(AND(((COLUMN()-10)&lt;=playercnt),((ROW()-41)&lt;=playercnt)),SUMPRODUCT(INDIRECT(ADDRESS(3,ROW()-31,1)):INDIRECT(ADDRESS(22,ROW()-31,1)),AR$3:AR$22),"")</f>
        <v>6</v>
      </c>
      <c r="AS39">
        <f ca="1">IF(AND(((COLUMN()-10)&lt;=playercnt),((ROW()-41)&lt;=playercnt)),SUMPRODUCT(INDIRECT(ADDRESS(3,ROW()-31,1)):INDIRECT(ADDRESS(22,ROW()-31,1)),AS$3:AS$22),"")</f>
        <v>4</v>
      </c>
      <c r="AT39">
        <f ca="1">IF(AND(((COLUMN()-10)&lt;=playercnt),((ROW()-41)&lt;=playercnt)),SUMPRODUCT(INDIRECT(ADDRESS(3,ROW()-31,1)):INDIRECT(ADDRESS(22,ROW()-31,1)),AT$3:AT$22),"")</f>
        <v>3</v>
      </c>
      <c r="AU39">
        <f ca="1">IF(AND(((COLUMN()-10)&lt;=playercnt),((ROW()-41)&lt;=playercnt)),SUMPRODUCT(INDIRECT(ADDRESS(3,ROW()-31,1)):INDIRECT(ADDRESS(22,ROW()-31,1)),AU$3:AU$22),"")</f>
        <v>7</v>
      </c>
      <c r="AV39">
        <f ca="1">IF(AND(((COLUMN()-10)&lt;=playercnt),((ROW()-41)&lt;=playercnt)),SUMPRODUCT(INDIRECT(ADDRESS(3,ROW()-31,1)):INDIRECT(ADDRESS(22,ROW()-31,1)),AV$3:AV$22),"")</f>
        <v>7</v>
      </c>
      <c r="AW39">
        <f ca="1">IF(AND(((COLUMN()-10)&lt;=playercnt),((ROW()-41)&lt;=playercnt)),SUMPRODUCT(INDIRECT(ADDRESS(3,ROW()-31,1)):INDIRECT(ADDRESS(22,ROW()-31,1)),AW$3:AW$22),"")</f>
        <v>5</v>
      </c>
      <c r="AX39">
        <f ca="1">IF(AND(((COLUMN()-10)&lt;=playercnt),((ROW()-41)&lt;=playercnt)),SUMPRODUCT(INDIRECT(ADDRESS(3,ROW()-31,1)):INDIRECT(ADDRESS(22,ROW()-31,1)),AX$3:AX$22),"")</f>
        <v>5</v>
      </c>
      <c r="AY39">
        <f ca="1">IF(AND(((COLUMN()-10)&lt;=playercnt),((ROW()-41)&lt;=playercnt)),SUMPRODUCT(INDIRECT(ADDRESS(3,ROW()-31,1)):INDIRECT(ADDRESS(22,ROW()-31,1)),AY$3:AY$22),"")</f>
        <v>7</v>
      </c>
      <c r="AZ39">
        <f ca="1">IF(AND(((COLUMN()-10)&lt;=playercnt),((ROW()-41)&lt;=playercnt)),SUMPRODUCT(INDIRECT(ADDRESS(3,ROW()-31,1)):INDIRECT(ADDRESS(22,ROW()-31,1)),AZ$3:AZ$22),"")</f>
        <v>4</v>
      </c>
      <c r="BA39">
        <f ca="1">IF(AND(((COLUMN()-10)&lt;=playercnt),((ROW()-41)&lt;=playercnt)),SUMPRODUCT(INDIRECT(ADDRESS(3,ROW()-31,1)):INDIRECT(ADDRESS(22,ROW()-31,1)),BA$3:BA$22),"")</f>
        <v>5</v>
      </c>
      <c r="BB39">
        <f ca="1">IF(AND(((COLUMN()-10)&lt;=playercnt),((ROW()-41)&lt;=playercnt)),SUMPRODUCT(INDIRECT(ADDRESS(3,ROW()-31,1)):INDIRECT(ADDRESS(22,ROW()-31,1)),BB$3:BB$22),"")</f>
        <v>6</v>
      </c>
      <c r="BC39">
        <f ca="1">IF(AND(((COLUMN()-10)&lt;=playercnt),((ROW()-41)&lt;=playercnt)),SUMPRODUCT(INDIRECT(ADDRESS(3,ROW()-31,1)):INDIRECT(ADDRESS(22,ROW()-31,1)),BC$3:BC$22),"")</f>
        <v>2</v>
      </c>
      <c r="BD39">
        <f ca="1">IF(AND(((COLUMN()-10)&lt;=playercnt),((ROW()-41)&lt;=playercnt)),SUMPRODUCT(INDIRECT(ADDRESS(3,ROW()-31,1)):INDIRECT(ADDRESS(22,ROW()-31,1)),BD$3:BD$22),"")</f>
        <v>5</v>
      </c>
      <c r="BE39">
        <f ca="1">IF(AND(((COLUMN()-10)&lt;=playercnt),((ROW()-41)&lt;=playercnt)),SUMPRODUCT(INDIRECT(ADDRESS(3,ROW()-31,1)):INDIRECT(ADDRESS(22,ROW()-31,1)),BE$3:BE$22),"")</f>
        <v>4</v>
      </c>
      <c r="BF39">
        <f ca="1">IF(AND(((COLUMN()-10)&lt;=playercnt),((ROW()-41)&lt;=playercnt)),SUMPRODUCT(INDIRECT(ADDRESS(3,ROW()-31,1)):INDIRECT(ADDRESS(22,ROW()-31,1)),BF$3:BF$22),"")</f>
        <v>6</v>
      </c>
      <c r="BG39">
        <f ca="1">IF(AND(((COLUMN()-10)&lt;=playercnt),((ROW()-41)&lt;=playercnt)),SUMPRODUCT(INDIRECT(ADDRESS(3,ROW()-31,1)):INDIRECT(ADDRESS(22,ROW()-31,1)),BG$3:BG$22),"")</f>
        <v>7</v>
      </c>
      <c r="BH39">
        <f ca="1">IF(AND(((COLUMN()-10)&lt;=playercnt),((ROW()-41)&lt;=playercnt)),SUMPRODUCT(INDIRECT(ADDRESS(3,ROW()-31,1)):INDIRECT(ADDRESS(22,ROW()-31,1)),BH$3:BH$22),"")</f>
        <v>6</v>
      </c>
      <c r="BI39">
        <f ca="1">IF(AND(((COLUMN()-10)&lt;=playercnt),((ROW()-41)&lt;=playercnt)),SUMPRODUCT(INDIRECT(ADDRESS(3,ROW()-31,1)):INDIRECT(ADDRESS(22,ROW()-31,1)),BI$3:BI$22),"")</f>
        <v>5</v>
      </c>
      <c r="BJ39">
        <f ca="1">IF(AND(((COLUMN()-10)&lt;=playercnt),((ROW()-41)&lt;=playercnt)),SUMPRODUCT(INDIRECT(ADDRESS(3,ROW()-31,1)):INDIRECT(ADDRESS(22,ROW()-31,1)),BJ$3:BJ$22),"")</f>
        <v>5</v>
      </c>
      <c r="BK39">
        <f ca="1">IF(AND(((COLUMN()-10)&lt;=playercnt),((ROW()-41)&lt;=playercnt)),SUMPRODUCT(INDIRECT(ADDRESS(3,ROW()-31,1)):INDIRECT(ADDRESS(22,ROW()-31,1)),BK$3:BK$22),"")</f>
        <v>4</v>
      </c>
      <c r="BL39">
        <f ca="1">IF(AND(((COLUMN()-10)&lt;=playercnt),((ROW()-41)&lt;=playercnt)),SUMPRODUCT(INDIRECT(ADDRESS(3,ROW()-31,1)):INDIRECT(ADDRESS(22,ROW()-31,1)),BL$3:BL$22),"")</f>
        <v>8</v>
      </c>
      <c r="BM39">
        <f ca="1">IF(AND(((COLUMN()-10)&lt;=playercnt),((ROW()-41)&lt;=playercnt)),SUMPRODUCT(INDIRECT(ADDRESS(3,ROW()-31,1)):INDIRECT(ADDRESS(22,ROW()-31,1)),BM$3:BM$22),"")</f>
        <v>4</v>
      </c>
      <c r="BN39">
        <f ca="1">IF(AND(((COLUMN()-10)&lt;=playercnt),((ROW()-41)&lt;=playercnt)),SUMPRODUCT(INDIRECT(ADDRESS(3,ROW()-31,1)):INDIRECT(ADDRESS(22,ROW()-31,1)),BN$3:BN$22),"")</f>
        <v>4</v>
      </c>
    </row>
    <row r="40" spans="1:66">
      <c r="B40" s="27">
        <f t="shared" ref="B40:B97" ca="1" si="23">IF(INDIRECT(ADDRESS(ROW(),COLUMN()+(ROW()-33)))=10,(SUM(INDIRECT("RC11:RC"&amp;11+playercnt-1,FALSE))-10)/(picks_entered-1),"")</f>
        <v>6.0545454545454547</v>
      </c>
      <c r="C40" t="str">
        <f t="shared" ca="1" si="22"/>
        <v>Miss CDC</v>
      </c>
      <c r="G40">
        <f ca="1">IF(AND(((COLUMN()-10)&lt;=playercnt),((ROW()-41)&lt;=playercnt)),SUMPRODUCT(INDIRECT(ADDRESS(3,ROW()-31,1)):INDIRECT(ADDRESS(22,ROW()-31,1)),G$3:G$22),"")</f>
        <v>5</v>
      </c>
      <c r="H40">
        <f ca="1">IF(AND(((COLUMN()-10)&lt;=playercnt),((ROW()-41)&lt;=playercnt)),SUMPRODUCT(INDIRECT(ADDRESS(3,ROW()-31,1)):INDIRECT(ADDRESS(22,ROW()-31,1)),H$3:H$22),"")</f>
        <v>6</v>
      </c>
      <c r="I40">
        <f ca="1">IF(AND(((COLUMN()-10)&lt;=playercnt),((ROW()-41)&lt;=playercnt)),SUMPRODUCT(INDIRECT(ADDRESS(3,ROW()-31,1)):INDIRECT(ADDRESS(22,ROW()-31,1)),I$3:I$22),"")</f>
        <v>10</v>
      </c>
      <c r="J40">
        <f ca="1">IF(AND(((COLUMN()-10)&lt;=playercnt),((ROW()-41)&lt;=playercnt)),SUMPRODUCT(INDIRECT(ADDRESS(3,ROW()-31,1)):INDIRECT(ADDRESS(22,ROW()-31,1)),J$3:J$22),"")</f>
        <v>0</v>
      </c>
      <c r="K40">
        <f ca="1">IF(AND(((COLUMN()-10)&lt;=playercnt),((ROW()-41)&lt;=playercnt)),SUMPRODUCT(INDIRECT(ADDRESS(3,ROW()-31,1)):INDIRECT(ADDRESS(22,ROW()-31,1)),K$3:K$22),"")</f>
        <v>7</v>
      </c>
      <c r="L40">
        <f ca="1">IF(AND(((COLUMN()-10)&lt;=playercnt),((ROW()-41)&lt;=playercnt)),SUMPRODUCT(INDIRECT(ADDRESS(3,ROW()-31,1)):INDIRECT(ADDRESS(22,ROW()-31,1)),L$3:L$22),"")</f>
        <v>8</v>
      </c>
      <c r="M40">
        <f ca="1">IF(AND(((COLUMN()-10)&lt;=playercnt),((ROW()-41)&lt;=playercnt)),SUMPRODUCT(INDIRECT(ADDRESS(3,ROW()-31,1)):INDIRECT(ADDRESS(22,ROW()-31,1)),M$3:M$22),"")</f>
        <v>8</v>
      </c>
      <c r="N40">
        <f ca="1">IF(AND(((COLUMN()-10)&lt;=playercnt),((ROW()-41)&lt;=playercnt)),SUMPRODUCT(INDIRECT(ADDRESS(3,ROW()-31,1)):INDIRECT(ADDRESS(22,ROW()-31,1)),N$3:N$22),"")</f>
        <v>6</v>
      </c>
      <c r="O40">
        <f ca="1">IF(AND(((COLUMN()-10)&lt;=playercnt),((ROW()-41)&lt;=playercnt)),SUMPRODUCT(INDIRECT(ADDRESS(3,ROW()-31,1)):INDIRECT(ADDRESS(22,ROW()-31,1)),O$3:O$22),"")</f>
        <v>6</v>
      </c>
      <c r="P40">
        <f ca="1">IF(AND(((COLUMN()-10)&lt;=playercnt),((ROW()-41)&lt;=playercnt)),SUMPRODUCT(INDIRECT(ADDRESS(3,ROW()-31,1)):INDIRECT(ADDRESS(22,ROW()-31,1)),P$3:P$22),"")</f>
        <v>5</v>
      </c>
      <c r="Q40">
        <f ca="1">IF(AND(((COLUMN()-10)&lt;=playercnt),((ROW()-41)&lt;=playercnt)),SUMPRODUCT(INDIRECT(ADDRESS(3,ROW()-31,1)):INDIRECT(ADDRESS(22,ROW()-31,1)),Q$3:Q$22),"")</f>
        <v>7</v>
      </c>
      <c r="R40">
        <f ca="1">IF(AND(((COLUMN()-10)&lt;=playercnt),((ROW()-41)&lt;=playercnt)),SUMPRODUCT(INDIRECT(ADDRESS(3,ROW()-31,1)):INDIRECT(ADDRESS(22,ROW()-31,1)),R$3:R$22),"")</f>
        <v>9</v>
      </c>
      <c r="S40">
        <f ca="1">IF(AND(((COLUMN()-10)&lt;=playercnt),((ROW()-41)&lt;=playercnt)),SUMPRODUCT(INDIRECT(ADDRESS(3,ROW()-31,1)):INDIRECT(ADDRESS(22,ROW()-31,1)),S$3:S$22),"")</f>
        <v>5</v>
      </c>
      <c r="T40">
        <f ca="1">IF(AND(((COLUMN()-10)&lt;=playercnt),((ROW()-41)&lt;=playercnt)),SUMPRODUCT(INDIRECT(ADDRESS(3,ROW()-31,1)):INDIRECT(ADDRESS(22,ROW()-31,1)),T$3:T$22),"")</f>
        <v>5</v>
      </c>
      <c r="U40">
        <f ca="1">IF(AND(((COLUMN()-10)&lt;=playercnt),((ROW()-41)&lt;=playercnt)),SUMPRODUCT(INDIRECT(ADDRESS(3,ROW()-31,1)):INDIRECT(ADDRESS(22,ROW()-31,1)),U$3:U$22),"")</f>
        <v>8</v>
      </c>
      <c r="V40">
        <f ca="1">IF(AND(((COLUMN()-10)&lt;=playercnt),((ROW()-41)&lt;=playercnt)),SUMPRODUCT(INDIRECT(ADDRESS(3,ROW()-31,1)):INDIRECT(ADDRESS(22,ROW()-31,1)),V$3:V$22),"")</f>
        <v>7</v>
      </c>
      <c r="W40">
        <f ca="1">IF(AND(((COLUMN()-10)&lt;=playercnt),((ROW()-41)&lt;=playercnt)),SUMPRODUCT(INDIRECT(ADDRESS(3,ROW()-31,1)):INDIRECT(ADDRESS(22,ROW()-31,1)),W$3:W$22),"")</f>
        <v>7</v>
      </c>
      <c r="X40">
        <f ca="1">IF(AND(((COLUMN()-10)&lt;=playercnt),((ROW()-41)&lt;=playercnt)),SUMPRODUCT(INDIRECT(ADDRESS(3,ROW()-31,1)):INDIRECT(ADDRESS(22,ROW()-31,1)),X$3:X$22),"")</f>
        <v>7</v>
      </c>
      <c r="Y40">
        <f ca="1">IF(AND(((COLUMN()-10)&lt;=playercnt),((ROW()-41)&lt;=playercnt)),SUMPRODUCT(INDIRECT(ADDRESS(3,ROW()-31,1)):INDIRECT(ADDRESS(22,ROW()-31,1)),Y$3:Y$22),"")</f>
        <v>6</v>
      </c>
      <c r="Z40">
        <f ca="1">IF(AND(((COLUMN()-10)&lt;=playercnt),((ROW()-41)&lt;=playercnt)),SUMPRODUCT(INDIRECT(ADDRESS(3,ROW()-31,1)):INDIRECT(ADDRESS(22,ROW()-31,1)),Z$3:Z$22),"")</f>
        <v>2</v>
      </c>
      <c r="AA40">
        <f ca="1">IF(AND(((COLUMN()-10)&lt;=playercnt),((ROW()-41)&lt;=playercnt)),SUMPRODUCT(INDIRECT(ADDRESS(3,ROW()-31,1)):INDIRECT(ADDRESS(22,ROW()-31,1)),AA$3:AA$22),"")</f>
        <v>4</v>
      </c>
      <c r="AB40">
        <f ca="1">IF(AND(((COLUMN()-10)&lt;=playercnt),((ROW()-41)&lt;=playercnt)),SUMPRODUCT(INDIRECT(ADDRESS(3,ROW()-31,1)):INDIRECT(ADDRESS(22,ROW()-31,1)),AB$3:AB$22),"")</f>
        <v>6</v>
      </c>
      <c r="AC40">
        <f ca="1">IF(AND(((COLUMN()-10)&lt;=playercnt),((ROW()-41)&lt;=playercnt)),SUMPRODUCT(INDIRECT(ADDRESS(3,ROW()-31,1)):INDIRECT(ADDRESS(22,ROW()-31,1)),AC$3:AC$22),"")</f>
        <v>7</v>
      </c>
      <c r="AD40">
        <f ca="1">IF(AND(((COLUMN()-10)&lt;=playercnt),((ROW()-41)&lt;=playercnt)),SUMPRODUCT(INDIRECT(ADDRESS(3,ROW()-31,1)):INDIRECT(ADDRESS(22,ROW()-31,1)),AD$3:AD$22),"")</f>
        <v>8</v>
      </c>
      <c r="AE40">
        <f ca="1">IF(AND(((COLUMN()-10)&lt;=playercnt),((ROW()-41)&lt;=playercnt)),SUMPRODUCT(INDIRECT(ADDRESS(3,ROW()-31,1)):INDIRECT(ADDRESS(22,ROW()-31,1)),AE$3:AE$22),"")</f>
        <v>6</v>
      </c>
      <c r="AF40">
        <f ca="1">IF(AND(((COLUMN()-10)&lt;=playercnt),((ROW()-41)&lt;=playercnt)),SUMPRODUCT(INDIRECT(ADDRESS(3,ROW()-31,1)):INDIRECT(ADDRESS(22,ROW()-31,1)),AF$3:AF$22),"")</f>
        <v>4</v>
      </c>
      <c r="AG40">
        <f ca="1">IF(AND(((COLUMN()-10)&lt;=playercnt),((ROW()-41)&lt;=playercnt)),SUMPRODUCT(INDIRECT(ADDRESS(3,ROW()-31,1)):INDIRECT(ADDRESS(22,ROW()-31,1)),AG$3:AG$22),"")</f>
        <v>8</v>
      </c>
      <c r="AH40">
        <f ca="1">IF(AND(((COLUMN()-10)&lt;=playercnt),((ROW()-41)&lt;=playercnt)),SUMPRODUCT(INDIRECT(ADDRESS(3,ROW()-31,1)):INDIRECT(ADDRESS(22,ROW()-31,1)),AH$3:AH$22),"")</f>
        <v>6</v>
      </c>
      <c r="AI40">
        <f ca="1">IF(AND(((COLUMN()-10)&lt;=playercnt),((ROW()-41)&lt;=playercnt)),SUMPRODUCT(INDIRECT(ADDRESS(3,ROW()-31,1)):INDIRECT(ADDRESS(22,ROW()-31,1)),AI$3:AI$22),"")</f>
        <v>5</v>
      </c>
      <c r="AJ40">
        <f ca="1">IF(AND(((COLUMN()-10)&lt;=playercnt),((ROW()-41)&lt;=playercnt)),SUMPRODUCT(INDIRECT(ADDRESS(3,ROW()-31,1)):INDIRECT(ADDRESS(22,ROW()-31,1)),AJ$3:AJ$22),"")</f>
        <v>6</v>
      </c>
      <c r="AK40">
        <f ca="1">IF(AND(((COLUMN()-10)&lt;=playercnt),((ROW()-41)&lt;=playercnt)),SUMPRODUCT(INDIRECT(ADDRESS(3,ROW()-31,1)):INDIRECT(ADDRESS(22,ROW()-31,1)),AK$3:AK$22),"")</f>
        <v>8</v>
      </c>
      <c r="AL40">
        <f ca="1">IF(AND(((COLUMN()-10)&lt;=playercnt),((ROW()-41)&lt;=playercnt)),SUMPRODUCT(INDIRECT(ADDRESS(3,ROW()-31,1)):INDIRECT(ADDRESS(22,ROW()-31,1)),AL$3:AL$22),"")</f>
        <v>6</v>
      </c>
      <c r="AM40">
        <f ca="1">IF(AND(((COLUMN()-10)&lt;=playercnt),((ROW()-41)&lt;=playercnt)),SUMPRODUCT(INDIRECT(ADDRESS(3,ROW()-31,1)):INDIRECT(ADDRESS(22,ROW()-31,1)),AM$3:AM$22),"")</f>
        <v>3</v>
      </c>
      <c r="AN40">
        <f ca="1">IF(AND(((COLUMN()-10)&lt;=playercnt),((ROW()-41)&lt;=playercnt)),SUMPRODUCT(INDIRECT(ADDRESS(3,ROW()-31,1)):INDIRECT(ADDRESS(22,ROW()-31,1)),AN$3:AN$22),"")</f>
        <v>6</v>
      </c>
      <c r="AO40">
        <f ca="1">IF(AND(((COLUMN()-10)&lt;=playercnt),((ROW()-41)&lt;=playercnt)),SUMPRODUCT(INDIRECT(ADDRESS(3,ROW()-31,1)):INDIRECT(ADDRESS(22,ROW()-31,1)),AO$3:AO$22),"")</f>
        <v>4</v>
      </c>
      <c r="AP40">
        <f ca="1">IF(AND(((COLUMN()-10)&lt;=playercnt),((ROW()-41)&lt;=playercnt)),SUMPRODUCT(INDIRECT(ADDRESS(3,ROW()-31,1)):INDIRECT(ADDRESS(22,ROW()-31,1)),AP$3:AP$22),"")</f>
        <v>7</v>
      </c>
      <c r="AQ40">
        <f ca="1">IF(AND(((COLUMN()-10)&lt;=playercnt),((ROW()-41)&lt;=playercnt)),SUMPRODUCT(INDIRECT(ADDRESS(3,ROW()-31,1)):INDIRECT(ADDRESS(22,ROW()-31,1)),AQ$3:AQ$22),"")</f>
        <v>5</v>
      </c>
      <c r="AR40">
        <f ca="1">IF(AND(((COLUMN()-10)&lt;=playercnt),((ROW()-41)&lt;=playercnt)),SUMPRODUCT(INDIRECT(ADDRESS(3,ROW()-31,1)):INDIRECT(ADDRESS(22,ROW()-31,1)),AR$3:AR$22),"")</f>
        <v>6</v>
      </c>
      <c r="AS40">
        <f ca="1">IF(AND(((COLUMN()-10)&lt;=playercnt),((ROW()-41)&lt;=playercnt)),SUMPRODUCT(INDIRECT(ADDRESS(3,ROW()-31,1)):INDIRECT(ADDRESS(22,ROW()-31,1)),AS$3:AS$22),"")</f>
        <v>2</v>
      </c>
      <c r="AT40">
        <f ca="1">IF(AND(((COLUMN()-10)&lt;=playercnt),((ROW()-41)&lt;=playercnt)),SUMPRODUCT(INDIRECT(ADDRESS(3,ROW()-31,1)):INDIRECT(ADDRESS(22,ROW()-31,1)),AT$3:AT$22),"")</f>
        <v>7</v>
      </c>
      <c r="AU40">
        <f ca="1">IF(AND(((COLUMN()-10)&lt;=playercnt),((ROW()-41)&lt;=playercnt)),SUMPRODUCT(INDIRECT(ADDRESS(3,ROW()-31,1)):INDIRECT(ADDRESS(22,ROW()-31,1)),AU$3:AU$22),"")</f>
        <v>7</v>
      </c>
      <c r="AV40">
        <f ca="1">IF(AND(((COLUMN()-10)&lt;=playercnt),((ROW()-41)&lt;=playercnt)),SUMPRODUCT(INDIRECT(ADDRESS(3,ROW()-31,1)):INDIRECT(ADDRESS(22,ROW()-31,1)),AV$3:AV$22),"")</f>
        <v>7</v>
      </c>
      <c r="AW40">
        <f ca="1">IF(AND(((COLUMN()-10)&lt;=playercnt),((ROW()-41)&lt;=playercnt)),SUMPRODUCT(INDIRECT(ADDRESS(3,ROW()-31,1)):INDIRECT(ADDRESS(22,ROW()-31,1)),AW$3:AW$22),"")</f>
        <v>7</v>
      </c>
      <c r="AX40">
        <f ca="1">IF(AND(((COLUMN()-10)&lt;=playercnt),((ROW()-41)&lt;=playercnt)),SUMPRODUCT(INDIRECT(ADDRESS(3,ROW()-31,1)):INDIRECT(ADDRESS(22,ROW()-31,1)),AX$3:AX$22),"")</f>
        <v>9</v>
      </c>
      <c r="AY40">
        <f ca="1">IF(AND(((COLUMN()-10)&lt;=playercnt),((ROW()-41)&lt;=playercnt)),SUMPRODUCT(INDIRECT(ADDRESS(3,ROW()-31,1)):INDIRECT(ADDRESS(22,ROW()-31,1)),AY$3:AY$22),"")</f>
        <v>9</v>
      </c>
      <c r="AZ40">
        <f ca="1">IF(AND(((COLUMN()-10)&lt;=playercnt),((ROW()-41)&lt;=playercnt)),SUMPRODUCT(INDIRECT(ADDRESS(3,ROW()-31,1)):INDIRECT(ADDRESS(22,ROW()-31,1)),AZ$3:AZ$22),"")</f>
        <v>6</v>
      </c>
      <c r="BA40">
        <f ca="1">IF(AND(((COLUMN()-10)&lt;=playercnt),((ROW()-41)&lt;=playercnt)),SUMPRODUCT(INDIRECT(ADDRESS(3,ROW()-31,1)):INDIRECT(ADDRESS(22,ROW()-31,1)),BA$3:BA$22),"")</f>
        <v>7</v>
      </c>
      <c r="BB40">
        <f ca="1">IF(AND(((COLUMN()-10)&lt;=playercnt),((ROW()-41)&lt;=playercnt)),SUMPRODUCT(INDIRECT(ADDRESS(3,ROW()-31,1)):INDIRECT(ADDRESS(22,ROW()-31,1)),BB$3:BB$22),"")</f>
        <v>6</v>
      </c>
      <c r="BC40">
        <f ca="1">IF(AND(((COLUMN()-10)&lt;=playercnt),((ROW()-41)&lt;=playercnt)),SUMPRODUCT(INDIRECT(ADDRESS(3,ROW()-31,1)):INDIRECT(ADDRESS(22,ROW()-31,1)),BC$3:BC$22),"")</f>
        <v>4</v>
      </c>
      <c r="BD40">
        <f ca="1">IF(AND(((COLUMN()-10)&lt;=playercnt),((ROW()-41)&lt;=playercnt)),SUMPRODUCT(INDIRECT(ADDRESS(3,ROW()-31,1)):INDIRECT(ADDRESS(22,ROW()-31,1)),BD$3:BD$22),"")</f>
        <v>7</v>
      </c>
      <c r="BE40">
        <f ca="1">IF(AND(((COLUMN()-10)&lt;=playercnt),((ROW()-41)&lt;=playercnt)),SUMPRODUCT(INDIRECT(ADDRESS(3,ROW()-31,1)):INDIRECT(ADDRESS(22,ROW()-31,1)),BE$3:BE$22),"")</f>
        <v>8</v>
      </c>
      <c r="BF40">
        <f ca="1">IF(AND(((COLUMN()-10)&lt;=playercnt),((ROW()-41)&lt;=playercnt)),SUMPRODUCT(INDIRECT(ADDRESS(3,ROW()-31,1)):INDIRECT(ADDRESS(22,ROW()-31,1)),BF$3:BF$22),"")</f>
        <v>6</v>
      </c>
      <c r="BG40">
        <f ca="1">IF(AND(((COLUMN()-10)&lt;=playercnt),((ROW()-41)&lt;=playercnt)),SUMPRODUCT(INDIRECT(ADDRESS(3,ROW()-31,1)):INDIRECT(ADDRESS(22,ROW()-31,1)),BG$3:BG$22),"")</f>
        <v>5</v>
      </c>
      <c r="BH40">
        <f ca="1">IF(AND(((COLUMN()-10)&lt;=playercnt),((ROW()-41)&lt;=playercnt)),SUMPRODUCT(INDIRECT(ADDRESS(3,ROW()-31,1)):INDIRECT(ADDRESS(22,ROW()-31,1)),BH$3:BH$22),"")</f>
        <v>6</v>
      </c>
      <c r="BI40">
        <f ca="1">IF(AND(((COLUMN()-10)&lt;=playercnt),((ROW()-41)&lt;=playercnt)),SUMPRODUCT(INDIRECT(ADDRESS(3,ROW()-31,1)):INDIRECT(ADDRESS(22,ROW()-31,1)),BI$3:BI$22),"")</f>
        <v>5</v>
      </c>
      <c r="BJ40">
        <f ca="1">IF(AND(((COLUMN()-10)&lt;=playercnt),((ROW()-41)&lt;=playercnt)),SUMPRODUCT(INDIRECT(ADDRESS(3,ROW()-31,1)):INDIRECT(ADDRESS(22,ROW()-31,1)),BJ$3:BJ$22),"")</f>
        <v>5</v>
      </c>
      <c r="BK40">
        <f ca="1">IF(AND(((COLUMN()-10)&lt;=playercnt),((ROW()-41)&lt;=playercnt)),SUMPRODUCT(INDIRECT(ADDRESS(3,ROW()-31,1)):INDIRECT(ADDRESS(22,ROW()-31,1)),BK$3:BK$22),"")</f>
        <v>6</v>
      </c>
      <c r="BL40">
        <f ca="1">IF(AND(((COLUMN()-10)&lt;=playercnt),((ROW()-41)&lt;=playercnt)),SUMPRODUCT(INDIRECT(ADDRESS(3,ROW()-31,1)):INDIRECT(ADDRESS(22,ROW()-31,1)),BL$3:BL$22),"")</f>
        <v>8</v>
      </c>
      <c r="BM40">
        <f ca="1">IF(AND(((COLUMN()-10)&lt;=playercnt),((ROW()-41)&lt;=playercnt)),SUMPRODUCT(INDIRECT(ADDRESS(3,ROW()-31,1)):INDIRECT(ADDRESS(22,ROW()-31,1)),BM$3:BM$22),"")</f>
        <v>4</v>
      </c>
      <c r="BN40">
        <f ca="1">IF(AND(((COLUMN()-10)&lt;=playercnt),((ROW()-41)&lt;=playercnt)),SUMPRODUCT(INDIRECT(ADDRESS(3,ROW()-31,1)):INDIRECT(ADDRESS(22,ROW()-31,1)),BN$3:BN$22),"")</f>
        <v>4</v>
      </c>
    </row>
    <row r="41" spans="1:66">
      <c r="B41" s="27" t="str">
        <f t="shared" ca="1" si="23"/>
        <v/>
      </c>
      <c r="C41" t="str">
        <f t="shared" ca="1" si="22"/>
        <v>Sagarin</v>
      </c>
      <c r="G41">
        <f ca="1">IF(AND(((COLUMN()-10)&lt;=playercnt),((ROW()-41)&lt;=playercnt)),SUMPRODUCT(INDIRECT(ADDRESS(3,ROW()-31,1)):INDIRECT(ADDRESS(22,ROW()-31,1)),G$3:G$22),"")</f>
        <v>0</v>
      </c>
      <c r="H41">
        <f ca="1">IF(AND(((COLUMN()-10)&lt;=playercnt),((ROW()-41)&lt;=playercnt)),SUMPRODUCT(INDIRECT(ADDRESS(3,ROW()-31,1)):INDIRECT(ADDRESS(22,ROW()-31,1)),H$3:H$22),"")</f>
        <v>0</v>
      </c>
      <c r="I41">
        <f ca="1">IF(AND(((COLUMN()-10)&lt;=playercnt),((ROW()-41)&lt;=playercnt)),SUMPRODUCT(INDIRECT(ADDRESS(3,ROW()-31,1)):INDIRECT(ADDRESS(22,ROW()-31,1)),I$3:I$22),"")</f>
        <v>0</v>
      </c>
      <c r="J41">
        <f ca="1">IF(AND(((COLUMN()-10)&lt;=playercnt),((ROW()-41)&lt;=playercnt)),SUMPRODUCT(INDIRECT(ADDRESS(3,ROW()-31,1)):INDIRECT(ADDRESS(22,ROW()-31,1)),J$3:J$22),"")</f>
        <v>0</v>
      </c>
      <c r="K41">
        <f ca="1">IF(AND(((COLUMN()-10)&lt;=playercnt),((ROW()-41)&lt;=playercnt)),SUMPRODUCT(INDIRECT(ADDRESS(3,ROW()-31,1)):INDIRECT(ADDRESS(22,ROW()-31,1)),K$3:K$22),"")</f>
        <v>0</v>
      </c>
      <c r="L41">
        <f ca="1">IF(AND(((COLUMN()-10)&lt;=playercnt),((ROW()-41)&lt;=playercnt)),SUMPRODUCT(INDIRECT(ADDRESS(3,ROW()-31,1)):INDIRECT(ADDRESS(22,ROW()-31,1)),L$3:L$22),"")</f>
        <v>0</v>
      </c>
      <c r="M41">
        <f ca="1">IF(AND(((COLUMN()-10)&lt;=playercnt),((ROW()-41)&lt;=playercnt)),SUMPRODUCT(INDIRECT(ADDRESS(3,ROW()-31,1)):INDIRECT(ADDRESS(22,ROW()-31,1)),M$3:M$22),"")</f>
        <v>0</v>
      </c>
      <c r="N41">
        <f ca="1">IF(AND(((COLUMN()-10)&lt;=playercnt),((ROW()-41)&lt;=playercnt)),SUMPRODUCT(INDIRECT(ADDRESS(3,ROW()-31,1)):INDIRECT(ADDRESS(22,ROW()-31,1)),N$3:N$22),"")</f>
        <v>0</v>
      </c>
      <c r="O41">
        <f ca="1">IF(AND(((COLUMN()-10)&lt;=playercnt),((ROW()-41)&lt;=playercnt)),SUMPRODUCT(INDIRECT(ADDRESS(3,ROW()-31,1)):INDIRECT(ADDRESS(22,ROW()-31,1)),O$3:O$22),"")</f>
        <v>0</v>
      </c>
      <c r="P41">
        <f ca="1">IF(AND(((COLUMN()-10)&lt;=playercnt),((ROW()-41)&lt;=playercnt)),SUMPRODUCT(INDIRECT(ADDRESS(3,ROW()-31,1)):INDIRECT(ADDRESS(22,ROW()-31,1)),P$3:P$22),"")</f>
        <v>0</v>
      </c>
      <c r="Q41">
        <f ca="1">IF(AND(((COLUMN()-10)&lt;=playercnt),((ROW()-41)&lt;=playercnt)),SUMPRODUCT(INDIRECT(ADDRESS(3,ROW()-31,1)):INDIRECT(ADDRESS(22,ROW()-31,1)),Q$3:Q$22),"")</f>
        <v>0</v>
      </c>
      <c r="R41">
        <f ca="1">IF(AND(((COLUMN()-10)&lt;=playercnt),((ROW()-41)&lt;=playercnt)),SUMPRODUCT(INDIRECT(ADDRESS(3,ROW()-31,1)):INDIRECT(ADDRESS(22,ROW()-31,1)),R$3:R$22),"")</f>
        <v>0</v>
      </c>
      <c r="S41">
        <f ca="1">IF(AND(((COLUMN()-10)&lt;=playercnt),((ROW()-41)&lt;=playercnt)),SUMPRODUCT(INDIRECT(ADDRESS(3,ROW()-31,1)):INDIRECT(ADDRESS(22,ROW()-31,1)),S$3:S$22),"")</f>
        <v>0</v>
      </c>
      <c r="T41">
        <f ca="1">IF(AND(((COLUMN()-10)&lt;=playercnt),((ROW()-41)&lt;=playercnt)),SUMPRODUCT(INDIRECT(ADDRESS(3,ROW()-31,1)):INDIRECT(ADDRESS(22,ROW()-31,1)),T$3:T$22),"")</f>
        <v>0</v>
      </c>
      <c r="U41">
        <f ca="1">IF(AND(((COLUMN()-10)&lt;=playercnt),((ROW()-41)&lt;=playercnt)),SUMPRODUCT(INDIRECT(ADDRESS(3,ROW()-31,1)):INDIRECT(ADDRESS(22,ROW()-31,1)),U$3:U$22),"")</f>
        <v>0</v>
      </c>
      <c r="V41">
        <f ca="1">IF(AND(((COLUMN()-10)&lt;=playercnt),((ROW()-41)&lt;=playercnt)),SUMPRODUCT(INDIRECT(ADDRESS(3,ROW()-31,1)):INDIRECT(ADDRESS(22,ROW()-31,1)),V$3:V$22),"")</f>
        <v>0</v>
      </c>
      <c r="W41">
        <f ca="1">IF(AND(((COLUMN()-10)&lt;=playercnt),((ROW()-41)&lt;=playercnt)),SUMPRODUCT(INDIRECT(ADDRESS(3,ROW()-31,1)):INDIRECT(ADDRESS(22,ROW()-31,1)),W$3:W$22),"")</f>
        <v>0</v>
      </c>
      <c r="X41">
        <f ca="1">IF(AND(((COLUMN()-10)&lt;=playercnt),((ROW()-41)&lt;=playercnt)),SUMPRODUCT(INDIRECT(ADDRESS(3,ROW()-31,1)):INDIRECT(ADDRESS(22,ROW()-31,1)),X$3:X$22),"")</f>
        <v>0</v>
      </c>
      <c r="Y41">
        <f ca="1">IF(AND(((COLUMN()-10)&lt;=playercnt),((ROW()-41)&lt;=playercnt)),SUMPRODUCT(INDIRECT(ADDRESS(3,ROW()-31,1)):INDIRECT(ADDRESS(22,ROW()-31,1)),Y$3:Y$22),"")</f>
        <v>0</v>
      </c>
      <c r="Z41">
        <f ca="1">IF(AND(((COLUMN()-10)&lt;=playercnt),((ROW()-41)&lt;=playercnt)),SUMPRODUCT(INDIRECT(ADDRESS(3,ROW()-31,1)):INDIRECT(ADDRESS(22,ROW()-31,1)),Z$3:Z$22),"")</f>
        <v>0</v>
      </c>
      <c r="AA41">
        <f ca="1">IF(AND(((COLUMN()-10)&lt;=playercnt),((ROW()-41)&lt;=playercnt)),SUMPRODUCT(INDIRECT(ADDRESS(3,ROW()-31,1)):INDIRECT(ADDRESS(22,ROW()-31,1)),AA$3:AA$22),"")</f>
        <v>0</v>
      </c>
      <c r="AB41">
        <f ca="1">IF(AND(((COLUMN()-10)&lt;=playercnt),((ROW()-41)&lt;=playercnt)),SUMPRODUCT(INDIRECT(ADDRESS(3,ROW()-31,1)):INDIRECT(ADDRESS(22,ROW()-31,1)),AB$3:AB$22),"")</f>
        <v>0</v>
      </c>
      <c r="AC41">
        <f ca="1">IF(AND(((COLUMN()-10)&lt;=playercnt),((ROW()-41)&lt;=playercnt)),SUMPRODUCT(INDIRECT(ADDRESS(3,ROW()-31,1)):INDIRECT(ADDRESS(22,ROW()-31,1)),AC$3:AC$22),"")</f>
        <v>0</v>
      </c>
      <c r="AD41">
        <f ca="1">IF(AND(((COLUMN()-10)&lt;=playercnt),((ROW()-41)&lt;=playercnt)),SUMPRODUCT(INDIRECT(ADDRESS(3,ROW()-31,1)):INDIRECT(ADDRESS(22,ROW()-31,1)),AD$3:AD$22),"")</f>
        <v>0</v>
      </c>
      <c r="AE41">
        <f ca="1">IF(AND(((COLUMN()-10)&lt;=playercnt),((ROW()-41)&lt;=playercnt)),SUMPRODUCT(INDIRECT(ADDRESS(3,ROW()-31,1)):INDIRECT(ADDRESS(22,ROW()-31,1)),AE$3:AE$22),"")</f>
        <v>0</v>
      </c>
      <c r="AF41">
        <f ca="1">IF(AND(((COLUMN()-10)&lt;=playercnt),((ROW()-41)&lt;=playercnt)),SUMPRODUCT(INDIRECT(ADDRESS(3,ROW()-31,1)):INDIRECT(ADDRESS(22,ROW()-31,1)),AF$3:AF$22),"")</f>
        <v>0</v>
      </c>
      <c r="AG41">
        <f ca="1">IF(AND(((COLUMN()-10)&lt;=playercnt),((ROW()-41)&lt;=playercnt)),SUMPRODUCT(INDIRECT(ADDRESS(3,ROW()-31,1)):INDIRECT(ADDRESS(22,ROW()-31,1)),AG$3:AG$22),"")</f>
        <v>0</v>
      </c>
      <c r="AH41">
        <f ca="1">IF(AND(((COLUMN()-10)&lt;=playercnt),((ROW()-41)&lt;=playercnt)),SUMPRODUCT(INDIRECT(ADDRESS(3,ROW()-31,1)):INDIRECT(ADDRESS(22,ROW()-31,1)),AH$3:AH$22),"")</f>
        <v>0</v>
      </c>
      <c r="AI41">
        <f ca="1">IF(AND(((COLUMN()-10)&lt;=playercnt),((ROW()-41)&lt;=playercnt)),SUMPRODUCT(INDIRECT(ADDRESS(3,ROW()-31,1)):INDIRECT(ADDRESS(22,ROW()-31,1)),AI$3:AI$22),"")</f>
        <v>0</v>
      </c>
      <c r="AJ41">
        <f ca="1">IF(AND(((COLUMN()-10)&lt;=playercnt),((ROW()-41)&lt;=playercnt)),SUMPRODUCT(INDIRECT(ADDRESS(3,ROW()-31,1)):INDIRECT(ADDRESS(22,ROW()-31,1)),AJ$3:AJ$22),"")</f>
        <v>0</v>
      </c>
      <c r="AK41">
        <f ca="1">IF(AND(((COLUMN()-10)&lt;=playercnt),((ROW()-41)&lt;=playercnt)),SUMPRODUCT(INDIRECT(ADDRESS(3,ROW()-31,1)):INDIRECT(ADDRESS(22,ROW()-31,1)),AK$3:AK$22),"")</f>
        <v>0</v>
      </c>
      <c r="AL41">
        <f ca="1">IF(AND(((COLUMN()-10)&lt;=playercnt),((ROW()-41)&lt;=playercnt)),SUMPRODUCT(INDIRECT(ADDRESS(3,ROW()-31,1)):INDIRECT(ADDRESS(22,ROW()-31,1)),AL$3:AL$22),"")</f>
        <v>0</v>
      </c>
      <c r="AM41">
        <f ca="1">IF(AND(((COLUMN()-10)&lt;=playercnt),((ROW()-41)&lt;=playercnt)),SUMPRODUCT(INDIRECT(ADDRESS(3,ROW()-31,1)):INDIRECT(ADDRESS(22,ROW()-31,1)),AM$3:AM$22),"")</f>
        <v>0</v>
      </c>
      <c r="AN41">
        <f ca="1">IF(AND(((COLUMN()-10)&lt;=playercnt),((ROW()-41)&lt;=playercnt)),SUMPRODUCT(INDIRECT(ADDRESS(3,ROW()-31,1)):INDIRECT(ADDRESS(22,ROW()-31,1)),AN$3:AN$22),"")</f>
        <v>0</v>
      </c>
      <c r="AO41">
        <f ca="1">IF(AND(((COLUMN()-10)&lt;=playercnt),((ROW()-41)&lt;=playercnt)),SUMPRODUCT(INDIRECT(ADDRESS(3,ROW()-31,1)):INDIRECT(ADDRESS(22,ROW()-31,1)),AO$3:AO$22),"")</f>
        <v>0</v>
      </c>
      <c r="AP41">
        <f ca="1">IF(AND(((COLUMN()-10)&lt;=playercnt),((ROW()-41)&lt;=playercnt)),SUMPRODUCT(INDIRECT(ADDRESS(3,ROW()-31,1)):INDIRECT(ADDRESS(22,ROW()-31,1)),AP$3:AP$22),"")</f>
        <v>0</v>
      </c>
      <c r="AQ41">
        <f ca="1">IF(AND(((COLUMN()-10)&lt;=playercnt),((ROW()-41)&lt;=playercnt)),SUMPRODUCT(INDIRECT(ADDRESS(3,ROW()-31,1)):INDIRECT(ADDRESS(22,ROW()-31,1)),AQ$3:AQ$22),"")</f>
        <v>0</v>
      </c>
      <c r="AR41">
        <f ca="1">IF(AND(((COLUMN()-10)&lt;=playercnt),((ROW()-41)&lt;=playercnt)),SUMPRODUCT(INDIRECT(ADDRESS(3,ROW()-31,1)):INDIRECT(ADDRESS(22,ROW()-31,1)),AR$3:AR$22),"")</f>
        <v>0</v>
      </c>
      <c r="AS41">
        <f ca="1">IF(AND(((COLUMN()-10)&lt;=playercnt),((ROW()-41)&lt;=playercnt)),SUMPRODUCT(INDIRECT(ADDRESS(3,ROW()-31,1)):INDIRECT(ADDRESS(22,ROW()-31,1)),AS$3:AS$22),"")</f>
        <v>0</v>
      </c>
      <c r="AT41">
        <f ca="1">IF(AND(((COLUMN()-10)&lt;=playercnt),((ROW()-41)&lt;=playercnt)),SUMPRODUCT(INDIRECT(ADDRESS(3,ROW()-31,1)):INDIRECT(ADDRESS(22,ROW()-31,1)),AT$3:AT$22),"")</f>
        <v>0</v>
      </c>
      <c r="AU41">
        <f ca="1">IF(AND(((COLUMN()-10)&lt;=playercnt),((ROW()-41)&lt;=playercnt)),SUMPRODUCT(INDIRECT(ADDRESS(3,ROW()-31,1)):INDIRECT(ADDRESS(22,ROW()-31,1)),AU$3:AU$22),"")</f>
        <v>0</v>
      </c>
      <c r="AV41">
        <f ca="1">IF(AND(((COLUMN()-10)&lt;=playercnt),((ROW()-41)&lt;=playercnt)),SUMPRODUCT(INDIRECT(ADDRESS(3,ROW()-31,1)):INDIRECT(ADDRESS(22,ROW()-31,1)),AV$3:AV$22),"")</f>
        <v>0</v>
      </c>
      <c r="AW41">
        <f ca="1">IF(AND(((COLUMN()-10)&lt;=playercnt),((ROW()-41)&lt;=playercnt)),SUMPRODUCT(INDIRECT(ADDRESS(3,ROW()-31,1)):INDIRECT(ADDRESS(22,ROW()-31,1)),AW$3:AW$22),"")</f>
        <v>0</v>
      </c>
      <c r="AX41">
        <f ca="1">IF(AND(((COLUMN()-10)&lt;=playercnt),((ROW()-41)&lt;=playercnt)),SUMPRODUCT(INDIRECT(ADDRESS(3,ROW()-31,1)):INDIRECT(ADDRESS(22,ROW()-31,1)),AX$3:AX$22),"")</f>
        <v>0</v>
      </c>
      <c r="AY41">
        <f ca="1">IF(AND(((COLUMN()-10)&lt;=playercnt),((ROW()-41)&lt;=playercnt)),SUMPRODUCT(INDIRECT(ADDRESS(3,ROW()-31,1)):INDIRECT(ADDRESS(22,ROW()-31,1)),AY$3:AY$22),"")</f>
        <v>0</v>
      </c>
      <c r="AZ41">
        <f ca="1">IF(AND(((COLUMN()-10)&lt;=playercnt),((ROW()-41)&lt;=playercnt)),SUMPRODUCT(INDIRECT(ADDRESS(3,ROW()-31,1)):INDIRECT(ADDRESS(22,ROW()-31,1)),AZ$3:AZ$22),"")</f>
        <v>0</v>
      </c>
      <c r="BA41">
        <f ca="1">IF(AND(((COLUMN()-10)&lt;=playercnt),((ROW()-41)&lt;=playercnt)),SUMPRODUCT(INDIRECT(ADDRESS(3,ROW()-31,1)):INDIRECT(ADDRESS(22,ROW()-31,1)),BA$3:BA$22),"")</f>
        <v>0</v>
      </c>
      <c r="BB41">
        <f ca="1">IF(AND(((COLUMN()-10)&lt;=playercnt),((ROW()-41)&lt;=playercnt)),SUMPRODUCT(INDIRECT(ADDRESS(3,ROW()-31,1)):INDIRECT(ADDRESS(22,ROW()-31,1)),BB$3:BB$22),"")</f>
        <v>0</v>
      </c>
      <c r="BC41">
        <f ca="1">IF(AND(((COLUMN()-10)&lt;=playercnt),((ROW()-41)&lt;=playercnt)),SUMPRODUCT(INDIRECT(ADDRESS(3,ROW()-31,1)):INDIRECT(ADDRESS(22,ROW()-31,1)),BC$3:BC$22),"")</f>
        <v>0</v>
      </c>
      <c r="BD41">
        <f ca="1">IF(AND(((COLUMN()-10)&lt;=playercnt),((ROW()-41)&lt;=playercnt)),SUMPRODUCT(INDIRECT(ADDRESS(3,ROW()-31,1)):INDIRECT(ADDRESS(22,ROW()-31,1)),BD$3:BD$22),"")</f>
        <v>0</v>
      </c>
      <c r="BE41">
        <f ca="1">IF(AND(((COLUMN()-10)&lt;=playercnt),((ROW()-41)&lt;=playercnt)),SUMPRODUCT(INDIRECT(ADDRESS(3,ROW()-31,1)):INDIRECT(ADDRESS(22,ROW()-31,1)),BE$3:BE$22),"")</f>
        <v>0</v>
      </c>
      <c r="BF41">
        <f ca="1">IF(AND(((COLUMN()-10)&lt;=playercnt),((ROW()-41)&lt;=playercnt)),SUMPRODUCT(INDIRECT(ADDRESS(3,ROW()-31,1)):INDIRECT(ADDRESS(22,ROW()-31,1)),BF$3:BF$22),"")</f>
        <v>0</v>
      </c>
      <c r="BG41">
        <f ca="1">IF(AND(((COLUMN()-10)&lt;=playercnt),((ROW()-41)&lt;=playercnt)),SUMPRODUCT(INDIRECT(ADDRESS(3,ROW()-31,1)):INDIRECT(ADDRESS(22,ROW()-31,1)),BG$3:BG$22),"")</f>
        <v>0</v>
      </c>
      <c r="BH41">
        <f ca="1">IF(AND(((COLUMN()-10)&lt;=playercnt),((ROW()-41)&lt;=playercnt)),SUMPRODUCT(INDIRECT(ADDRESS(3,ROW()-31,1)):INDIRECT(ADDRESS(22,ROW()-31,1)),BH$3:BH$22),"")</f>
        <v>0</v>
      </c>
      <c r="BI41">
        <f ca="1">IF(AND(((COLUMN()-10)&lt;=playercnt),((ROW()-41)&lt;=playercnt)),SUMPRODUCT(INDIRECT(ADDRESS(3,ROW()-31,1)):INDIRECT(ADDRESS(22,ROW()-31,1)),BI$3:BI$22),"")</f>
        <v>0</v>
      </c>
      <c r="BJ41">
        <f ca="1">IF(AND(((COLUMN()-10)&lt;=playercnt),((ROW()-41)&lt;=playercnt)),SUMPRODUCT(INDIRECT(ADDRESS(3,ROW()-31,1)):INDIRECT(ADDRESS(22,ROW()-31,1)),BJ$3:BJ$22),"")</f>
        <v>0</v>
      </c>
      <c r="BK41">
        <f ca="1">IF(AND(((COLUMN()-10)&lt;=playercnt),((ROW()-41)&lt;=playercnt)),SUMPRODUCT(INDIRECT(ADDRESS(3,ROW()-31,1)):INDIRECT(ADDRESS(22,ROW()-31,1)),BK$3:BK$22),"")</f>
        <v>0</v>
      </c>
      <c r="BL41">
        <f ca="1">IF(AND(((COLUMN()-10)&lt;=playercnt),((ROW()-41)&lt;=playercnt)),SUMPRODUCT(INDIRECT(ADDRESS(3,ROW()-31,1)):INDIRECT(ADDRESS(22,ROW()-31,1)),BL$3:BL$22),"")</f>
        <v>0</v>
      </c>
      <c r="BM41">
        <f ca="1">IF(AND(((COLUMN()-10)&lt;=playercnt),((ROW()-41)&lt;=playercnt)),SUMPRODUCT(INDIRECT(ADDRESS(3,ROW()-31,1)):INDIRECT(ADDRESS(22,ROW()-31,1)),BM$3:BM$22),"")</f>
        <v>0</v>
      </c>
      <c r="BN41">
        <f ca="1">IF(AND(((COLUMN()-10)&lt;=playercnt),((ROW()-41)&lt;=playercnt)),SUMPRODUCT(INDIRECT(ADDRESS(3,ROW()-31,1)):INDIRECT(ADDRESS(22,ROW()-31,1)),BN$3:BN$22),"")</f>
        <v>0</v>
      </c>
    </row>
    <row r="42" spans="1:66">
      <c r="A42" s="22">
        <f ca="1">MAX(INDIRECT("RC2:R["&amp;playercnt-1&amp;"]C2",FALSE))</f>
        <v>6.0181818181818185</v>
      </c>
      <c r="B42" s="27">
        <f t="shared" ca="1" si="23"/>
        <v>5.0727272727272723</v>
      </c>
      <c r="C42" t="str">
        <f t="shared" ca="1" si="22"/>
        <v>Aaron, Chip</v>
      </c>
      <c r="G42">
        <f ca="1">IF(AND(((COLUMN()-10)&lt;=playercnt),((ROW()-41)&lt;=playercnt)),SUMPRODUCT(INDIRECT(ADDRESS(3,ROW()-31,1)):INDIRECT(ADDRESS(22,ROW()-31,1)),G$3:G$22),"")</f>
        <v>6</v>
      </c>
      <c r="H42">
        <f ca="1">IF(AND(((COLUMN()-10)&lt;=playercnt),((ROW()-41)&lt;=playercnt)),SUMPRODUCT(INDIRECT(ADDRESS(3,ROW()-31,1)):INDIRECT(ADDRESS(22,ROW()-31,1)),H$3:H$22),"")</f>
        <v>5</v>
      </c>
      <c r="I42">
        <f ca="1">IF(AND(((COLUMN()-10)&lt;=playercnt),((ROW()-41)&lt;=playercnt)),SUMPRODUCT(INDIRECT(ADDRESS(3,ROW()-31,1)):INDIRECT(ADDRESS(22,ROW()-31,1)),I$3:I$22),"")</f>
        <v>7</v>
      </c>
      <c r="J42">
        <f ca="1">IF(AND(((COLUMN()-10)&lt;=playercnt),((ROW()-41)&lt;=playercnt)),SUMPRODUCT(INDIRECT(ADDRESS(3,ROW()-31,1)):INDIRECT(ADDRESS(22,ROW()-31,1)),J$3:J$22),"")</f>
        <v>0</v>
      </c>
      <c r="K42">
        <f ca="1">IF(AND(((COLUMN()-10)&lt;=playercnt),((ROW()-41)&lt;=playercnt)),SUMPRODUCT(INDIRECT(ADDRESS(3,ROW()-31,1)):INDIRECT(ADDRESS(22,ROW()-31,1)),K$3:K$22),"")</f>
        <v>10</v>
      </c>
      <c r="L42">
        <f ca="1">IF(AND(((COLUMN()-10)&lt;=playercnt),((ROW()-41)&lt;=playercnt)),SUMPRODUCT(INDIRECT(ADDRESS(3,ROW()-31,1)):INDIRECT(ADDRESS(22,ROW()-31,1)),L$3:L$22),"")</f>
        <v>5</v>
      </c>
      <c r="M42">
        <f ca="1">IF(AND(((COLUMN()-10)&lt;=playercnt),((ROW()-41)&lt;=playercnt)),SUMPRODUCT(INDIRECT(ADDRESS(3,ROW()-31,1)):INDIRECT(ADDRESS(22,ROW()-31,1)),M$3:M$22),"")</f>
        <v>7</v>
      </c>
      <c r="N42">
        <f ca="1">IF(AND(((COLUMN()-10)&lt;=playercnt),((ROW()-41)&lt;=playercnt)),SUMPRODUCT(INDIRECT(ADDRESS(3,ROW()-31,1)):INDIRECT(ADDRESS(22,ROW()-31,1)),N$3:N$22),"")</f>
        <v>7</v>
      </c>
      <c r="O42">
        <f ca="1">IF(AND(((COLUMN()-10)&lt;=playercnt),((ROW()-41)&lt;=playercnt)),SUMPRODUCT(INDIRECT(ADDRESS(3,ROW()-31,1)):INDIRECT(ADDRESS(22,ROW()-31,1)),O$3:O$22),"")</f>
        <v>7</v>
      </c>
      <c r="P42">
        <f ca="1">IF(AND(((COLUMN()-10)&lt;=playercnt),((ROW()-41)&lt;=playercnt)),SUMPRODUCT(INDIRECT(ADDRESS(3,ROW()-31,1)):INDIRECT(ADDRESS(22,ROW()-31,1)),P$3:P$22),"")</f>
        <v>2</v>
      </c>
      <c r="Q42">
        <f ca="1">IF(AND(((COLUMN()-10)&lt;=playercnt),((ROW()-41)&lt;=playercnt)),SUMPRODUCT(INDIRECT(ADDRESS(3,ROW()-31,1)):INDIRECT(ADDRESS(22,ROW()-31,1)),Q$3:Q$22),"")</f>
        <v>6</v>
      </c>
      <c r="R42">
        <f ca="1">IF(AND(((COLUMN()-10)&lt;=playercnt),((ROW()-41)&lt;=playercnt)),SUMPRODUCT(INDIRECT(ADDRESS(3,ROW()-31,1)):INDIRECT(ADDRESS(22,ROW()-31,1)),R$3:R$22),"")</f>
        <v>6</v>
      </c>
      <c r="S42">
        <f ca="1">IF(AND(((COLUMN()-10)&lt;=playercnt),((ROW()-41)&lt;=playercnt)),SUMPRODUCT(INDIRECT(ADDRESS(3,ROW()-31,1)):INDIRECT(ADDRESS(22,ROW()-31,1)),S$3:S$22),"")</f>
        <v>4</v>
      </c>
      <c r="T42">
        <f ca="1">IF(AND(((COLUMN()-10)&lt;=playercnt),((ROW()-41)&lt;=playercnt)),SUMPRODUCT(INDIRECT(ADDRESS(3,ROW()-31,1)):INDIRECT(ADDRESS(22,ROW()-31,1)),T$3:T$22),"")</f>
        <v>6</v>
      </c>
      <c r="U42">
        <f ca="1">IF(AND(((COLUMN()-10)&lt;=playercnt),((ROW()-41)&lt;=playercnt)),SUMPRODUCT(INDIRECT(ADDRESS(3,ROW()-31,1)):INDIRECT(ADDRESS(22,ROW()-31,1)),U$3:U$22),"")</f>
        <v>7</v>
      </c>
      <c r="V42">
        <f ca="1">IF(AND(((COLUMN()-10)&lt;=playercnt),((ROW()-41)&lt;=playercnt)),SUMPRODUCT(INDIRECT(ADDRESS(3,ROW()-31,1)):INDIRECT(ADDRESS(22,ROW()-31,1)),V$3:V$22),"")</f>
        <v>6</v>
      </c>
      <c r="W42">
        <f ca="1">IF(AND(((COLUMN()-10)&lt;=playercnt),((ROW()-41)&lt;=playercnt)),SUMPRODUCT(INDIRECT(ADDRESS(3,ROW()-31,1)):INDIRECT(ADDRESS(22,ROW()-31,1)),W$3:W$22),"")</f>
        <v>6</v>
      </c>
      <c r="X42">
        <f ca="1">IF(AND(((COLUMN()-10)&lt;=playercnt),((ROW()-41)&lt;=playercnt)),SUMPRODUCT(INDIRECT(ADDRESS(3,ROW()-31,1)):INDIRECT(ADDRESS(22,ROW()-31,1)),X$3:X$22),"")</f>
        <v>6</v>
      </c>
      <c r="Y42">
        <f ca="1">IF(AND(((COLUMN()-10)&lt;=playercnt),((ROW()-41)&lt;=playercnt)),SUMPRODUCT(INDIRECT(ADDRESS(3,ROW()-31,1)):INDIRECT(ADDRESS(22,ROW()-31,1)),Y$3:Y$22),"")</f>
        <v>7</v>
      </c>
      <c r="Z42">
        <f ca="1">IF(AND(((COLUMN()-10)&lt;=playercnt),((ROW()-41)&lt;=playercnt)),SUMPRODUCT(INDIRECT(ADDRESS(3,ROW()-31,1)):INDIRECT(ADDRESS(22,ROW()-31,1)),Z$3:Z$22),"")</f>
        <v>1</v>
      </c>
      <c r="AA42">
        <f ca="1">IF(AND(((COLUMN()-10)&lt;=playercnt),((ROW()-41)&lt;=playercnt)),SUMPRODUCT(INDIRECT(ADDRESS(3,ROW()-31,1)):INDIRECT(ADDRESS(22,ROW()-31,1)),AA$3:AA$22),"")</f>
        <v>5</v>
      </c>
      <c r="AB42">
        <f ca="1">IF(AND(((COLUMN()-10)&lt;=playercnt),((ROW()-41)&lt;=playercnt)),SUMPRODUCT(INDIRECT(ADDRESS(3,ROW()-31,1)):INDIRECT(ADDRESS(22,ROW()-31,1)),AB$3:AB$22),"")</f>
        <v>5</v>
      </c>
      <c r="AC42">
        <f ca="1">IF(AND(((COLUMN()-10)&lt;=playercnt),((ROW()-41)&lt;=playercnt)),SUMPRODUCT(INDIRECT(ADDRESS(3,ROW()-31,1)):INDIRECT(ADDRESS(22,ROW()-31,1)),AC$3:AC$22),"")</f>
        <v>8</v>
      </c>
      <c r="AD42">
        <f ca="1">IF(AND(((COLUMN()-10)&lt;=playercnt),((ROW()-41)&lt;=playercnt)),SUMPRODUCT(INDIRECT(ADDRESS(3,ROW()-31,1)):INDIRECT(ADDRESS(22,ROW()-31,1)),AD$3:AD$22),"")</f>
        <v>7</v>
      </c>
      <c r="AE42">
        <f ca="1">IF(AND(((COLUMN()-10)&lt;=playercnt),((ROW()-41)&lt;=playercnt)),SUMPRODUCT(INDIRECT(ADDRESS(3,ROW()-31,1)):INDIRECT(ADDRESS(22,ROW()-31,1)),AE$3:AE$22),"")</f>
        <v>5</v>
      </c>
      <c r="AF42">
        <f ca="1">IF(AND(((COLUMN()-10)&lt;=playercnt),((ROW()-41)&lt;=playercnt)),SUMPRODUCT(INDIRECT(ADDRESS(3,ROW()-31,1)):INDIRECT(ADDRESS(22,ROW()-31,1)),AF$3:AF$22),"")</f>
        <v>3</v>
      </c>
      <c r="AG42">
        <f ca="1">IF(AND(((COLUMN()-10)&lt;=playercnt),((ROW()-41)&lt;=playercnt)),SUMPRODUCT(INDIRECT(ADDRESS(3,ROW()-31,1)):INDIRECT(ADDRESS(22,ROW()-31,1)),AG$3:AG$22),"")</f>
        <v>5</v>
      </c>
      <c r="AH42">
        <f ca="1">IF(AND(((COLUMN()-10)&lt;=playercnt),((ROW()-41)&lt;=playercnt)),SUMPRODUCT(INDIRECT(ADDRESS(3,ROW()-31,1)):INDIRECT(ADDRESS(22,ROW()-31,1)),AH$3:AH$22),"")</f>
        <v>5</v>
      </c>
      <c r="AI42">
        <f ca="1">IF(AND(((COLUMN()-10)&lt;=playercnt),((ROW()-41)&lt;=playercnt)),SUMPRODUCT(INDIRECT(ADDRESS(3,ROW()-31,1)):INDIRECT(ADDRESS(22,ROW()-31,1)),AI$3:AI$22),"")</f>
        <v>4</v>
      </c>
      <c r="AJ42">
        <f ca="1">IF(AND(((COLUMN()-10)&lt;=playercnt),((ROW()-41)&lt;=playercnt)),SUMPRODUCT(INDIRECT(ADDRESS(3,ROW()-31,1)):INDIRECT(ADDRESS(22,ROW()-31,1)),AJ$3:AJ$22),"")</f>
        <v>5</v>
      </c>
      <c r="AK42">
        <f ca="1">IF(AND(((COLUMN()-10)&lt;=playercnt),((ROW()-41)&lt;=playercnt)),SUMPRODUCT(INDIRECT(ADDRESS(3,ROW()-31,1)):INDIRECT(ADDRESS(22,ROW()-31,1)),AK$3:AK$22),"")</f>
        <v>5</v>
      </c>
      <c r="AL42">
        <f ca="1">IF(AND(((COLUMN()-10)&lt;=playercnt),((ROW()-41)&lt;=playercnt)),SUMPRODUCT(INDIRECT(ADDRESS(3,ROW()-31,1)):INDIRECT(ADDRESS(22,ROW()-31,1)),AL$3:AL$22),"")</f>
        <v>3</v>
      </c>
      <c r="AM42">
        <f ca="1">IF(AND(((COLUMN()-10)&lt;=playercnt),((ROW()-41)&lt;=playercnt)),SUMPRODUCT(INDIRECT(ADDRESS(3,ROW()-31,1)):INDIRECT(ADDRESS(22,ROW()-31,1)),AM$3:AM$22),"")</f>
        <v>4</v>
      </c>
      <c r="AN42">
        <f ca="1">IF(AND(((COLUMN()-10)&lt;=playercnt),((ROW()-41)&lt;=playercnt)),SUMPRODUCT(INDIRECT(ADDRESS(3,ROW()-31,1)):INDIRECT(ADDRESS(22,ROW()-31,1)),AN$3:AN$22),"")</f>
        <v>5</v>
      </c>
      <c r="AO42">
        <f ca="1">IF(AND(((COLUMN()-10)&lt;=playercnt),((ROW()-41)&lt;=playercnt)),SUMPRODUCT(INDIRECT(ADDRESS(3,ROW()-31,1)):INDIRECT(ADDRESS(22,ROW()-31,1)),AO$3:AO$22),"")</f>
        <v>5</v>
      </c>
      <c r="AP42">
        <f ca="1">IF(AND(((COLUMN()-10)&lt;=playercnt),((ROW()-41)&lt;=playercnt)),SUMPRODUCT(INDIRECT(ADDRESS(3,ROW()-31,1)):INDIRECT(ADDRESS(22,ROW()-31,1)),AP$3:AP$22),"")</f>
        <v>4</v>
      </c>
      <c r="AQ42">
        <f ca="1">IF(AND(((COLUMN()-10)&lt;=playercnt),((ROW()-41)&lt;=playercnt)),SUMPRODUCT(INDIRECT(ADDRESS(3,ROW()-31,1)):INDIRECT(ADDRESS(22,ROW()-31,1)),AQ$3:AQ$22),"")</f>
        <v>4</v>
      </c>
      <c r="AR42">
        <f ca="1">IF(AND(((COLUMN()-10)&lt;=playercnt),((ROW()-41)&lt;=playercnt)),SUMPRODUCT(INDIRECT(ADDRESS(3,ROW()-31,1)):INDIRECT(ADDRESS(22,ROW()-31,1)),AR$3:AR$22),"")</f>
        <v>5</v>
      </c>
      <c r="AS42">
        <f ca="1">IF(AND(((COLUMN()-10)&lt;=playercnt),((ROW()-41)&lt;=playercnt)),SUMPRODUCT(INDIRECT(ADDRESS(3,ROW()-31,1)):INDIRECT(ADDRESS(22,ROW()-31,1)),AS$3:AS$22),"")</f>
        <v>5</v>
      </c>
      <c r="AT42">
        <f ca="1">IF(AND(((COLUMN()-10)&lt;=playercnt),((ROW()-41)&lt;=playercnt)),SUMPRODUCT(INDIRECT(ADDRESS(3,ROW()-31,1)):INDIRECT(ADDRESS(22,ROW()-31,1)),AT$3:AT$22),"")</f>
        <v>6</v>
      </c>
      <c r="AU42">
        <f ca="1">IF(AND(((COLUMN()-10)&lt;=playercnt),((ROW()-41)&lt;=playercnt)),SUMPRODUCT(INDIRECT(ADDRESS(3,ROW()-31,1)):INDIRECT(ADDRESS(22,ROW()-31,1)),AU$3:AU$22),"")</f>
        <v>4</v>
      </c>
      <c r="AV42">
        <f ca="1">IF(AND(((COLUMN()-10)&lt;=playercnt),((ROW()-41)&lt;=playercnt)),SUMPRODUCT(INDIRECT(ADDRESS(3,ROW()-31,1)):INDIRECT(ADDRESS(22,ROW()-31,1)),AV$3:AV$22),"")</f>
        <v>4</v>
      </c>
      <c r="AW42">
        <f ca="1">IF(AND(((COLUMN()-10)&lt;=playercnt),((ROW()-41)&lt;=playercnt)),SUMPRODUCT(INDIRECT(ADDRESS(3,ROW()-31,1)):INDIRECT(ADDRESS(22,ROW()-31,1)),AW$3:AW$22),"")</f>
        <v>8</v>
      </c>
      <c r="AX42">
        <f ca="1">IF(AND(((COLUMN()-10)&lt;=playercnt),((ROW()-41)&lt;=playercnt)),SUMPRODUCT(INDIRECT(ADDRESS(3,ROW()-31,1)):INDIRECT(ADDRESS(22,ROW()-31,1)),AX$3:AX$22),"")</f>
        <v>6</v>
      </c>
      <c r="AY42">
        <f ca="1">IF(AND(((COLUMN()-10)&lt;=playercnt),((ROW()-41)&lt;=playercnt)),SUMPRODUCT(INDIRECT(ADDRESS(3,ROW()-31,1)):INDIRECT(ADDRESS(22,ROW()-31,1)),AY$3:AY$22),"")</f>
        <v>6</v>
      </c>
      <c r="AZ42">
        <f ca="1">IF(AND(((COLUMN()-10)&lt;=playercnt),((ROW()-41)&lt;=playercnt)),SUMPRODUCT(INDIRECT(ADDRESS(3,ROW()-31,1)):INDIRECT(ADDRESS(22,ROW()-31,1)),AZ$3:AZ$22),"")</f>
        <v>7</v>
      </c>
      <c r="BA42">
        <f ca="1">IF(AND(((COLUMN()-10)&lt;=playercnt),((ROW()-41)&lt;=playercnt)),SUMPRODUCT(INDIRECT(ADDRESS(3,ROW()-31,1)):INDIRECT(ADDRESS(22,ROW()-31,1)),BA$3:BA$22),"")</f>
        <v>4</v>
      </c>
      <c r="BB42">
        <f ca="1">IF(AND(((COLUMN()-10)&lt;=playercnt),((ROW()-41)&lt;=playercnt)),SUMPRODUCT(INDIRECT(ADDRESS(3,ROW()-31,1)):INDIRECT(ADDRESS(22,ROW()-31,1)),BB$3:BB$22),"")</f>
        <v>3</v>
      </c>
      <c r="BC42">
        <f ca="1">IF(AND(((COLUMN()-10)&lt;=playercnt),((ROW()-41)&lt;=playercnt)),SUMPRODUCT(INDIRECT(ADDRESS(3,ROW()-31,1)):INDIRECT(ADDRESS(22,ROW()-31,1)),BC$3:BC$22),"")</f>
        <v>5</v>
      </c>
      <c r="BD42">
        <f ca="1">IF(AND(((COLUMN()-10)&lt;=playercnt),((ROW()-41)&lt;=playercnt)),SUMPRODUCT(INDIRECT(ADDRESS(3,ROW()-31,1)):INDIRECT(ADDRESS(22,ROW()-31,1)),BD$3:BD$22),"")</f>
        <v>6</v>
      </c>
      <c r="BE42">
        <f ca="1">IF(AND(((COLUMN()-10)&lt;=playercnt),((ROW()-41)&lt;=playercnt)),SUMPRODUCT(INDIRECT(ADDRESS(3,ROW()-31,1)):INDIRECT(ADDRESS(22,ROW()-31,1)),BE$3:BE$22),"")</f>
        <v>5</v>
      </c>
      <c r="BF42">
        <f ca="1">IF(AND(((COLUMN()-10)&lt;=playercnt),((ROW()-41)&lt;=playercnt)),SUMPRODUCT(INDIRECT(ADDRESS(3,ROW()-31,1)):INDIRECT(ADDRESS(22,ROW()-31,1)),BF$3:BF$22),"")</f>
        <v>5</v>
      </c>
      <c r="BG42">
        <f ca="1">IF(AND(((COLUMN()-10)&lt;=playercnt),((ROW()-41)&lt;=playercnt)),SUMPRODUCT(INDIRECT(ADDRESS(3,ROW()-31,1)):INDIRECT(ADDRESS(22,ROW()-31,1)),BG$3:BG$22),"")</f>
        <v>4</v>
      </c>
      <c r="BH42">
        <f ca="1">IF(AND(((COLUMN()-10)&lt;=playercnt),((ROW()-41)&lt;=playercnt)),SUMPRODUCT(INDIRECT(ADDRESS(3,ROW()-31,1)):INDIRECT(ADDRESS(22,ROW()-31,1)),BH$3:BH$22),"")</f>
        <v>7</v>
      </c>
      <c r="BI42">
        <f ca="1">IF(AND(((COLUMN()-10)&lt;=playercnt),((ROW()-41)&lt;=playercnt)),SUMPRODUCT(INDIRECT(ADDRESS(3,ROW()-31,1)):INDIRECT(ADDRESS(22,ROW()-31,1)),BI$3:BI$22),"")</f>
        <v>2</v>
      </c>
      <c r="BJ42">
        <f ca="1">IF(AND(((COLUMN()-10)&lt;=playercnt),((ROW()-41)&lt;=playercnt)),SUMPRODUCT(INDIRECT(ADDRESS(3,ROW()-31,1)):INDIRECT(ADDRESS(22,ROW()-31,1)),BJ$3:BJ$22),"")</f>
        <v>4</v>
      </c>
      <c r="BK42">
        <f ca="1">IF(AND(((COLUMN()-10)&lt;=playercnt),((ROW()-41)&lt;=playercnt)),SUMPRODUCT(INDIRECT(ADDRESS(3,ROW()-31,1)):INDIRECT(ADDRESS(22,ROW()-31,1)),BK$3:BK$22),"")</f>
        <v>5</v>
      </c>
      <c r="BL42">
        <f ca="1">IF(AND(((COLUMN()-10)&lt;=playercnt),((ROW()-41)&lt;=playercnt)),SUMPRODUCT(INDIRECT(ADDRESS(3,ROW()-31,1)):INDIRECT(ADDRESS(22,ROW()-31,1)),BL$3:BL$22),"")</f>
        <v>5</v>
      </c>
      <c r="BM42">
        <f ca="1">IF(AND(((COLUMN()-10)&lt;=playercnt),((ROW()-41)&lt;=playercnt)),SUMPRODUCT(INDIRECT(ADDRESS(3,ROW()-31,1)):INDIRECT(ADDRESS(22,ROW()-31,1)),BM$3:BM$22),"")</f>
        <v>5</v>
      </c>
      <c r="BN42">
        <f ca="1">IF(AND(((COLUMN()-10)&lt;=playercnt),((ROW()-41)&lt;=playercnt)),SUMPRODUCT(INDIRECT(ADDRESS(3,ROW()-31,1)):INDIRECT(ADDRESS(22,ROW()-31,1)),BN$3:BN$22),"")</f>
        <v>3</v>
      </c>
    </row>
    <row r="43" spans="1:66">
      <c r="A43" s="22">
        <f ca="1">MIN(INDIRECT("R[-1]C2:R["&amp;playercnt-2&amp;"]C2",FALSE))</f>
        <v>4.3454545454545457</v>
      </c>
      <c r="B43" s="27">
        <f t="shared" ca="1" si="23"/>
        <v>5.6181818181818182</v>
      </c>
      <c r="C43" t="str">
        <f t="shared" ca="1" si="22"/>
        <v>Barker, Christopher A</v>
      </c>
      <c r="G43">
        <f ca="1">IF(AND(((COLUMN()-10)&lt;=playercnt),((ROW()-41)&lt;=playercnt)),SUMPRODUCT(INDIRECT(ADDRESS(3,ROW()-31,1)):INDIRECT(ADDRESS(22,ROW()-31,1)),G$3:G$22),"")</f>
        <v>7</v>
      </c>
      <c r="H43">
        <f ca="1">IF(AND(((COLUMN()-10)&lt;=playercnt),((ROW()-41)&lt;=playercnt)),SUMPRODUCT(INDIRECT(ADDRESS(3,ROW()-31,1)):INDIRECT(ADDRESS(22,ROW()-31,1)),H$3:H$22),"")</f>
        <v>8</v>
      </c>
      <c r="I43">
        <f ca="1">IF(AND(((COLUMN()-10)&lt;=playercnt),((ROW()-41)&lt;=playercnt)),SUMPRODUCT(INDIRECT(ADDRESS(3,ROW()-31,1)):INDIRECT(ADDRESS(22,ROW()-31,1)),I$3:I$22),"")</f>
        <v>8</v>
      </c>
      <c r="J43">
        <f ca="1">IF(AND(((COLUMN()-10)&lt;=playercnt),((ROW()-41)&lt;=playercnt)),SUMPRODUCT(INDIRECT(ADDRESS(3,ROW()-31,1)):INDIRECT(ADDRESS(22,ROW()-31,1)),J$3:J$22),"")</f>
        <v>0</v>
      </c>
      <c r="K43">
        <f ca="1">IF(AND(((COLUMN()-10)&lt;=playercnt),((ROW()-41)&lt;=playercnt)),SUMPRODUCT(INDIRECT(ADDRESS(3,ROW()-31,1)):INDIRECT(ADDRESS(22,ROW()-31,1)),K$3:K$22),"")</f>
        <v>5</v>
      </c>
      <c r="L43">
        <f ca="1">IF(AND(((COLUMN()-10)&lt;=playercnt),((ROW()-41)&lt;=playercnt)),SUMPRODUCT(INDIRECT(ADDRESS(3,ROW()-31,1)):INDIRECT(ADDRESS(22,ROW()-31,1)),L$3:L$22),"")</f>
        <v>10</v>
      </c>
      <c r="M43">
        <f ca="1">IF(AND(((COLUMN()-10)&lt;=playercnt),((ROW()-41)&lt;=playercnt)),SUMPRODUCT(INDIRECT(ADDRESS(3,ROW()-31,1)):INDIRECT(ADDRESS(22,ROW()-31,1)),M$3:M$22),"")</f>
        <v>6</v>
      </c>
      <c r="N43">
        <f ca="1">IF(AND(((COLUMN()-10)&lt;=playercnt),((ROW()-41)&lt;=playercnt)),SUMPRODUCT(INDIRECT(ADDRESS(3,ROW()-31,1)):INDIRECT(ADDRESS(22,ROW()-31,1)),N$3:N$22),"")</f>
        <v>6</v>
      </c>
      <c r="O43">
        <f ca="1">IF(AND(((COLUMN()-10)&lt;=playercnt),((ROW()-41)&lt;=playercnt)),SUMPRODUCT(INDIRECT(ADDRESS(3,ROW()-31,1)):INDIRECT(ADDRESS(22,ROW()-31,1)),O$3:O$22),"")</f>
        <v>6</v>
      </c>
      <c r="P43">
        <f ca="1">IF(AND(((COLUMN()-10)&lt;=playercnt),((ROW()-41)&lt;=playercnt)),SUMPRODUCT(INDIRECT(ADDRESS(3,ROW()-31,1)):INDIRECT(ADDRESS(22,ROW()-31,1)),P$3:P$22),"")</f>
        <v>7</v>
      </c>
      <c r="Q43">
        <f ca="1">IF(AND(((COLUMN()-10)&lt;=playercnt),((ROW()-41)&lt;=playercnt)),SUMPRODUCT(INDIRECT(ADDRESS(3,ROW()-31,1)):INDIRECT(ADDRESS(22,ROW()-31,1)),Q$3:Q$22),"")</f>
        <v>5</v>
      </c>
      <c r="R43">
        <f ca="1">IF(AND(((COLUMN()-10)&lt;=playercnt),((ROW()-41)&lt;=playercnt)),SUMPRODUCT(INDIRECT(ADDRESS(3,ROW()-31,1)):INDIRECT(ADDRESS(22,ROW()-31,1)),R$3:R$22),"")</f>
        <v>7</v>
      </c>
      <c r="S43">
        <f ca="1">IF(AND(((COLUMN()-10)&lt;=playercnt),((ROW()-41)&lt;=playercnt)),SUMPRODUCT(INDIRECT(ADDRESS(3,ROW()-31,1)):INDIRECT(ADDRESS(22,ROW()-31,1)),S$3:S$22),"")</f>
        <v>3</v>
      </c>
      <c r="T43">
        <f ca="1">IF(AND(((COLUMN()-10)&lt;=playercnt),((ROW()-41)&lt;=playercnt)),SUMPRODUCT(INDIRECT(ADDRESS(3,ROW()-31,1)):INDIRECT(ADDRESS(22,ROW()-31,1)),T$3:T$22),"")</f>
        <v>3</v>
      </c>
      <c r="U43">
        <f ca="1">IF(AND(((COLUMN()-10)&lt;=playercnt),((ROW()-41)&lt;=playercnt)),SUMPRODUCT(INDIRECT(ADDRESS(3,ROW()-31,1)):INDIRECT(ADDRESS(22,ROW()-31,1)),U$3:U$22),"")</f>
        <v>6</v>
      </c>
      <c r="V43">
        <f ca="1">IF(AND(((COLUMN()-10)&lt;=playercnt),((ROW()-41)&lt;=playercnt)),SUMPRODUCT(INDIRECT(ADDRESS(3,ROW()-31,1)):INDIRECT(ADDRESS(22,ROW()-31,1)),V$3:V$22),"")</f>
        <v>7</v>
      </c>
      <c r="W43">
        <f ca="1">IF(AND(((COLUMN()-10)&lt;=playercnt),((ROW()-41)&lt;=playercnt)),SUMPRODUCT(INDIRECT(ADDRESS(3,ROW()-31,1)):INDIRECT(ADDRESS(22,ROW()-31,1)),W$3:W$22),"")</f>
        <v>7</v>
      </c>
      <c r="X43">
        <f ca="1">IF(AND(((COLUMN()-10)&lt;=playercnt),((ROW()-41)&lt;=playercnt)),SUMPRODUCT(INDIRECT(ADDRESS(3,ROW()-31,1)):INDIRECT(ADDRESS(22,ROW()-31,1)),X$3:X$22),"")</f>
        <v>5</v>
      </c>
      <c r="Y43">
        <f ca="1">IF(AND(((COLUMN()-10)&lt;=playercnt),((ROW()-41)&lt;=playercnt)),SUMPRODUCT(INDIRECT(ADDRESS(3,ROW()-31,1)):INDIRECT(ADDRESS(22,ROW()-31,1)),Y$3:Y$22),"")</f>
        <v>6</v>
      </c>
      <c r="Z43">
        <f ca="1">IF(AND(((COLUMN()-10)&lt;=playercnt),((ROW()-41)&lt;=playercnt)),SUMPRODUCT(INDIRECT(ADDRESS(3,ROW()-31,1)):INDIRECT(ADDRESS(22,ROW()-31,1)),Z$3:Z$22),"")</f>
        <v>4</v>
      </c>
      <c r="AA43">
        <f ca="1">IF(AND(((COLUMN()-10)&lt;=playercnt),((ROW()-41)&lt;=playercnt)),SUMPRODUCT(INDIRECT(ADDRESS(3,ROW()-31,1)):INDIRECT(ADDRESS(22,ROW()-31,1)),AA$3:AA$22),"")</f>
        <v>4</v>
      </c>
      <c r="AB43">
        <f ca="1">IF(AND(((COLUMN()-10)&lt;=playercnt),((ROW()-41)&lt;=playercnt)),SUMPRODUCT(INDIRECT(ADDRESS(3,ROW()-31,1)):INDIRECT(ADDRESS(22,ROW()-31,1)),AB$3:AB$22),"")</f>
        <v>4</v>
      </c>
      <c r="AC43">
        <f ca="1">IF(AND(((COLUMN()-10)&lt;=playercnt),((ROW()-41)&lt;=playercnt)),SUMPRODUCT(INDIRECT(ADDRESS(3,ROW()-31,1)):INDIRECT(ADDRESS(22,ROW()-31,1)),AC$3:AC$22),"")</f>
        <v>5</v>
      </c>
      <c r="AD43">
        <f ca="1">IF(AND(((COLUMN()-10)&lt;=playercnt),((ROW()-41)&lt;=playercnt)),SUMPRODUCT(INDIRECT(ADDRESS(3,ROW()-31,1)):INDIRECT(ADDRESS(22,ROW()-31,1)),AD$3:AD$22),"")</f>
        <v>6</v>
      </c>
      <c r="AE43">
        <f ca="1">IF(AND(((COLUMN()-10)&lt;=playercnt),((ROW()-41)&lt;=playercnt)),SUMPRODUCT(INDIRECT(ADDRESS(3,ROW()-31,1)):INDIRECT(ADDRESS(22,ROW()-31,1)),AE$3:AE$22),"")</f>
        <v>8</v>
      </c>
      <c r="AF43">
        <f ca="1">IF(AND(((COLUMN()-10)&lt;=playercnt),((ROW()-41)&lt;=playercnt)),SUMPRODUCT(INDIRECT(ADDRESS(3,ROW()-31,1)):INDIRECT(ADDRESS(22,ROW()-31,1)),AF$3:AF$22),"")</f>
        <v>6</v>
      </c>
      <c r="AG43">
        <f ca="1">IF(AND(((COLUMN()-10)&lt;=playercnt),((ROW()-41)&lt;=playercnt)),SUMPRODUCT(INDIRECT(ADDRESS(3,ROW()-31,1)):INDIRECT(ADDRESS(22,ROW()-31,1)),AG$3:AG$22),"")</f>
        <v>6</v>
      </c>
      <c r="AH43">
        <f ca="1">IF(AND(((COLUMN()-10)&lt;=playercnt),((ROW()-41)&lt;=playercnt)),SUMPRODUCT(INDIRECT(ADDRESS(3,ROW()-31,1)):INDIRECT(ADDRESS(22,ROW()-31,1)),AH$3:AH$22),"")</f>
        <v>6</v>
      </c>
      <c r="AI43">
        <f ca="1">IF(AND(((COLUMN()-10)&lt;=playercnt),((ROW()-41)&lt;=playercnt)),SUMPRODUCT(INDIRECT(ADDRESS(3,ROW()-31,1)):INDIRECT(ADDRESS(22,ROW()-31,1)),AI$3:AI$22),"")</f>
        <v>7</v>
      </c>
      <c r="AJ43">
        <f ca="1">IF(AND(((COLUMN()-10)&lt;=playercnt),((ROW()-41)&lt;=playercnt)),SUMPRODUCT(INDIRECT(ADDRESS(3,ROW()-31,1)):INDIRECT(ADDRESS(22,ROW()-31,1)),AJ$3:AJ$22),"")</f>
        <v>6</v>
      </c>
      <c r="AK43">
        <f ca="1">IF(AND(((COLUMN()-10)&lt;=playercnt),((ROW()-41)&lt;=playercnt)),SUMPRODUCT(INDIRECT(ADDRESS(3,ROW()-31,1)):INDIRECT(ADDRESS(22,ROW()-31,1)),AK$3:AK$22),"")</f>
        <v>6</v>
      </c>
      <c r="AL43">
        <f ca="1">IF(AND(((COLUMN()-10)&lt;=playercnt),((ROW()-41)&lt;=playercnt)),SUMPRODUCT(INDIRECT(ADDRESS(3,ROW()-31,1)):INDIRECT(ADDRESS(22,ROW()-31,1)),AL$3:AL$22),"")</f>
        <v>8</v>
      </c>
      <c r="AM43">
        <f ca="1">IF(AND(((COLUMN()-10)&lt;=playercnt),((ROW()-41)&lt;=playercnt)),SUMPRODUCT(INDIRECT(ADDRESS(3,ROW()-31,1)):INDIRECT(ADDRESS(22,ROW()-31,1)),AM$3:AM$22),"")</f>
        <v>3</v>
      </c>
      <c r="AN43">
        <f ca="1">IF(AND(((COLUMN()-10)&lt;=playercnt),((ROW()-41)&lt;=playercnt)),SUMPRODUCT(INDIRECT(ADDRESS(3,ROW()-31,1)):INDIRECT(ADDRESS(22,ROW()-31,1)),AN$3:AN$22),"")</f>
        <v>8</v>
      </c>
      <c r="AO43">
        <f ca="1">IF(AND(((COLUMN()-10)&lt;=playercnt),((ROW()-41)&lt;=playercnt)),SUMPRODUCT(INDIRECT(ADDRESS(3,ROW()-31,1)):INDIRECT(ADDRESS(22,ROW()-31,1)),AO$3:AO$22),"")</f>
        <v>6</v>
      </c>
      <c r="AP43">
        <f ca="1">IF(AND(((COLUMN()-10)&lt;=playercnt),((ROW()-41)&lt;=playercnt)),SUMPRODUCT(INDIRECT(ADDRESS(3,ROW()-31,1)):INDIRECT(ADDRESS(22,ROW()-31,1)),AP$3:AP$22),"")</f>
        <v>5</v>
      </c>
      <c r="AQ43">
        <f ca="1">IF(AND(((COLUMN()-10)&lt;=playercnt),((ROW()-41)&lt;=playercnt)),SUMPRODUCT(INDIRECT(ADDRESS(3,ROW()-31,1)):INDIRECT(ADDRESS(22,ROW()-31,1)),AQ$3:AQ$22),"")</f>
        <v>7</v>
      </c>
      <c r="AR43">
        <f ca="1">IF(AND(((COLUMN()-10)&lt;=playercnt),((ROW()-41)&lt;=playercnt)),SUMPRODUCT(INDIRECT(ADDRESS(3,ROW()-31,1)):INDIRECT(ADDRESS(22,ROW()-31,1)),AR$3:AR$22),"")</f>
        <v>6</v>
      </c>
      <c r="AS43">
        <f ca="1">IF(AND(((COLUMN()-10)&lt;=playercnt),((ROW()-41)&lt;=playercnt)),SUMPRODUCT(INDIRECT(ADDRESS(3,ROW()-31,1)):INDIRECT(ADDRESS(22,ROW()-31,1)),AS$3:AS$22),"")</f>
        <v>2</v>
      </c>
      <c r="AT43">
        <f ca="1">IF(AND(((COLUMN()-10)&lt;=playercnt),((ROW()-41)&lt;=playercnt)),SUMPRODUCT(INDIRECT(ADDRESS(3,ROW()-31,1)):INDIRECT(ADDRESS(22,ROW()-31,1)),AT$3:AT$22),"")</f>
        <v>5</v>
      </c>
      <c r="AU43">
        <f ca="1">IF(AND(((COLUMN()-10)&lt;=playercnt),((ROW()-41)&lt;=playercnt)),SUMPRODUCT(INDIRECT(ADDRESS(3,ROW()-31,1)):INDIRECT(ADDRESS(22,ROW()-31,1)),AU$3:AU$22),"")</f>
        <v>9</v>
      </c>
      <c r="AV43">
        <f ca="1">IF(AND(((COLUMN()-10)&lt;=playercnt),((ROW()-41)&lt;=playercnt)),SUMPRODUCT(INDIRECT(ADDRESS(3,ROW()-31,1)):INDIRECT(ADDRESS(22,ROW()-31,1)),AV$3:AV$22),"")</f>
        <v>7</v>
      </c>
      <c r="AW43">
        <f ca="1">IF(AND(((COLUMN()-10)&lt;=playercnt),((ROW()-41)&lt;=playercnt)),SUMPRODUCT(INDIRECT(ADDRESS(3,ROW()-31,1)):INDIRECT(ADDRESS(22,ROW()-31,1)),AW$3:AW$22),"")</f>
        <v>5</v>
      </c>
      <c r="AX43">
        <f ca="1">IF(AND(((COLUMN()-10)&lt;=playercnt),((ROW()-41)&lt;=playercnt)),SUMPRODUCT(INDIRECT(ADDRESS(3,ROW()-31,1)):INDIRECT(ADDRESS(22,ROW()-31,1)),AX$3:AX$22),"")</f>
        <v>7</v>
      </c>
      <c r="AY43">
        <f ca="1">IF(AND(((COLUMN()-10)&lt;=playercnt),((ROW()-41)&lt;=playercnt)),SUMPRODUCT(INDIRECT(ADDRESS(3,ROW()-31,1)):INDIRECT(ADDRESS(22,ROW()-31,1)),AY$3:AY$22),"")</f>
        <v>9</v>
      </c>
      <c r="AZ43">
        <f ca="1">IF(AND(((COLUMN()-10)&lt;=playercnt),((ROW()-41)&lt;=playercnt)),SUMPRODUCT(INDIRECT(ADDRESS(3,ROW()-31,1)):INDIRECT(ADDRESS(22,ROW()-31,1)),AZ$3:AZ$22),"")</f>
        <v>6</v>
      </c>
      <c r="BA43">
        <f ca="1">IF(AND(((COLUMN()-10)&lt;=playercnt),((ROW()-41)&lt;=playercnt)),SUMPRODUCT(INDIRECT(ADDRESS(3,ROW()-31,1)):INDIRECT(ADDRESS(22,ROW()-31,1)),BA$3:BA$22),"")</f>
        <v>5</v>
      </c>
      <c r="BB43">
        <f ca="1">IF(AND(((COLUMN()-10)&lt;=playercnt),((ROW()-41)&lt;=playercnt)),SUMPRODUCT(INDIRECT(ADDRESS(3,ROW()-31,1)):INDIRECT(ADDRESS(22,ROW()-31,1)),BB$3:BB$22),"")</f>
        <v>6</v>
      </c>
      <c r="BC43">
        <f ca="1">IF(AND(((COLUMN()-10)&lt;=playercnt),((ROW()-41)&lt;=playercnt)),SUMPRODUCT(INDIRECT(ADDRESS(3,ROW()-31,1)):INDIRECT(ADDRESS(22,ROW()-31,1)),BC$3:BC$22),"")</f>
        <v>2</v>
      </c>
      <c r="BD43">
        <f ca="1">IF(AND(((COLUMN()-10)&lt;=playercnt),((ROW()-41)&lt;=playercnt)),SUMPRODUCT(INDIRECT(ADDRESS(3,ROW()-31,1)):INDIRECT(ADDRESS(22,ROW()-31,1)),BD$3:BD$22),"")</f>
        <v>5</v>
      </c>
      <c r="BE43">
        <f ca="1">IF(AND(((COLUMN()-10)&lt;=playercnt),((ROW()-41)&lt;=playercnt)),SUMPRODUCT(INDIRECT(ADDRESS(3,ROW()-31,1)):INDIRECT(ADDRESS(22,ROW()-31,1)),BE$3:BE$22),"")</f>
        <v>6</v>
      </c>
      <c r="BF43">
        <f ca="1">IF(AND(((COLUMN()-10)&lt;=playercnt),((ROW()-41)&lt;=playercnt)),SUMPRODUCT(INDIRECT(ADDRESS(3,ROW()-31,1)):INDIRECT(ADDRESS(22,ROW()-31,1)),BF$3:BF$22),"")</f>
        <v>4</v>
      </c>
      <c r="BG43">
        <f ca="1">IF(AND(((COLUMN()-10)&lt;=playercnt),((ROW()-41)&lt;=playercnt)),SUMPRODUCT(INDIRECT(ADDRESS(3,ROW()-31,1)):INDIRECT(ADDRESS(22,ROW()-31,1)),BG$3:BG$22),"")</f>
        <v>5</v>
      </c>
      <c r="BH43">
        <f ca="1">IF(AND(((COLUMN()-10)&lt;=playercnt),((ROW()-41)&lt;=playercnt)),SUMPRODUCT(INDIRECT(ADDRESS(3,ROW()-31,1)):INDIRECT(ADDRESS(22,ROW()-31,1)),BH$3:BH$22),"")</f>
        <v>4</v>
      </c>
      <c r="BI43">
        <f ca="1">IF(AND(((COLUMN()-10)&lt;=playercnt),((ROW()-41)&lt;=playercnt)),SUMPRODUCT(INDIRECT(ADDRESS(3,ROW()-31,1)):INDIRECT(ADDRESS(22,ROW()-31,1)),BI$3:BI$22),"")</f>
        <v>7</v>
      </c>
      <c r="BJ43">
        <f ca="1">IF(AND(((COLUMN()-10)&lt;=playercnt),((ROW()-41)&lt;=playercnt)),SUMPRODUCT(INDIRECT(ADDRESS(3,ROW()-31,1)):INDIRECT(ADDRESS(22,ROW()-31,1)),BJ$3:BJ$22),"")</f>
        <v>5</v>
      </c>
      <c r="BK43">
        <f ca="1">IF(AND(((COLUMN()-10)&lt;=playercnt),((ROW()-41)&lt;=playercnt)),SUMPRODUCT(INDIRECT(ADDRESS(3,ROW()-31,1)):INDIRECT(ADDRESS(22,ROW()-31,1)),BK$3:BK$22),"")</f>
        <v>4</v>
      </c>
      <c r="BL43">
        <f ca="1">IF(AND(((COLUMN()-10)&lt;=playercnt),((ROW()-41)&lt;=playercnt)),SUMPRODUCT(INDIRECT(ADDRESS(3,ROW()-31,1)):INDIRECT(ADDRESS(22,ROW()-31,1)),BL$3:BL$22),"")</f>
        <v>8</v>
      </c>
      <c r="BM43">
        <f ca="1">IF(AND(((COLUMN()-10)&lt;=playercnt),((ROW()-41)&lt;=playercnt)),SUMPRODUCT(INDIRECT(ADDRESS(3,ROW()-31,1)):INDIRECT(ADDRESS(22,ROW()-31,1)),BM$3:BM$22),"")</f>
        <v>4</v>
      </c>
      <c r="BN43">
        <f ca="1">IF(AND(((COLUMN()-10)&lt;=playercnt),((ROW()-41)&lt;=playercnt)),SUMPRODUCT(INDIRECT(ADDRESS(3,ROW()-31,1)):INDIRECT(ADDRESS(22,ROW()-31,1)),BN$3:BN$22),"")</f>
        <v>4</v>
      </c>
    </row>
    <row r="44" spans="1:66" s="3" customFormat="1">
      <c r="A44" s="3">
        <f ca="1">(A42-A43)*0.1</f>
        <v>0.1672727272727273</v>
      </c>
      <c r="B44" s="109">
        <f t="shared" ca="1" si="23"/>
        <v>5.6181818181818182</v>
      </c>
      <c r="C44" s="3" t="str">
        <f t="shared" ca="1" si="22"/>
        <v>Beasley, Tate</v>
      </c>
      <c r="G44" s="3">
        <f ca="1">IF(AND(((COLUMN()-10)&lt;=playercnt),((ROW()-41)&lt;=playercnt)),SUMPRODUCT(INDIRECT(ADDRESS(3,ROW()-31,1)):INDIRECT(ADDRESS(22,ROW()-31,1)),G$3:G$22),"")</f>
        <v>7</v>
      </c>
      <c r="H44" s="3">
        <f ca="1">IF(AND(((COLUMN()-10)&lt;=playercnt),((ROW()-41)&lt;=playercnt)),SUMPRODUCT(INDIRECT(ADDRESS(3,ROW()-31,1)):INDIRECT(ADDRESS(22,ROW()-31,1)),H$3:H$22),"")</f>
        <v>4</v>
      </c>
      <c r="I44" s="3">
        <f ca="1">IF(AND(((COLUMN()-10)&lt;=playercnt),((ROW()-41)&lt;=playercnt)),SUMPRODUCT(INDIRECT(ADDRESS(3,ROW()-31,1)):INDIRECT(ADDRESS(22,ROW()-31,1)),I$3:I$22),"")</f>
        <v>8</v>
      </c>
      <c r="J44" s="3">
        <f ca="1">IF(AND(((COLUMN()-10)&lt;=playercnt),((ROW()-41)&lt;=playercnt)),SUMPRODUCT(INDIRECT(ADDRESS(3,ROW()-31,1)):INDIRECT(ADDRESS(22,ROW()-31,1)),J$3:J$22),"")</f>
        <v>0</v>
      </c>
      <c r="K44" s="3">
        <f ca="1">IF(AND(((COLUMN()-10)&lt;=playercnt),((ROW()-41)&lt;=playercnt)),SUMPRODUCT(INDIRECT(ADDRESS(3,ROW()-31,1)):INDIRECT(ADDRESS(22,ROW()-31,1)),K$3:K$22),"")</f>
        <v>7</v>
      </c>
      <c r="L44" s="3">
        <f ca="1">IF(AND(((COLUMN()-10)&lt;=playercnt),((ROW()-41)&lt;=playercnt)),SUMPRODUCT(INDIRECT(ADDRESS(3,ROW()-31,1)):INDIRECT(ADDRESS(22,ROW()-31,1)),L$3:L$22),"")</f>
        <v>6</v>
      </c>
      <c r="M44" s="3">
        <f ca="1">IF(AND(((COLUMN()-10)&lt;=playercnt),((ROW()-41)&lt;=playercnt)),SUMPRODUCT(INDIRECT(ADDRESS(3,ROW()-31,1)):INDIRECT(ADDRESS(22,ROW()-31,1)),M$3:M$22),"")</f>
        <v>10</v>
      </c>
      <c r="N44" s="3">
        <f ca="1">IF(AND(((COLUMN()-10)&lt;=playercnt),((ROW()-41)&lt;=playercnt)),SUMPRODUCT(INDIRECT(ADDRESS(3,ROW()-31,1)):INDIRECT(ADDRESS(22,ROW()-31,1)),N$3:N$22),"")</f>
        <v>4</v>
      </c>
      <c r="O44" s="3">
        <f ca="1">IF(AND(((COLUMN()-10)&lt;=playercnt),((ROW()-41)&lt;=playercnt)),SUMPRODUCT(INDIRECT(ADDRESS(3,ROW()-31,1)):INDIRECT(ADDRESS(22,ROW()-31,1)),O$3:O$22),"")</f>
        <v>6</v>
      </c>
      <c r="P44" s="3">
        <f ca="1">IF(AND(((COLUMN()-10)&lt;=playercnt),((ROW()-41)&lt;=playercnt)),SUMPRODUCT(INDIRECT(ADDRESS(3,ROW()-31,1)):INDIRECT(ADDRESS(22,ROW()-31,1)),P$3:P$22),"")</f>
        <v>5</v>
      </c>
      <c r="Q44" s="3">
        <f ca="1">IF(AND(((COLUMN()-10)&lt;=playercnt),((ROW()-41)&lt;=playercnt)),SUMPRODUCT(INDIRECT(ADDRESS(3,ROW()-31,1)):INDIRECT(ADDRESS(22,ROW()-31,1)),Q$3:Q$22),"")</f>
        <v>9</v>
      </c>
      <c r="R44" s="3">
        <f ca="1">IF(AND(((COLUMN()-10)&lt;=playercnt),((ROW()-41)&lt;=playercnt)),SUMPRODUCT(INDIRECT(ADDRESS(3,ROW()-31,1)):INDIRECT(ADDRESS(22,ROW()-31,1)),R$3:R$22),"")</f>
        <v>9</v>
      </c>
      <c r="S44" s="3">
        <f ca="1">IF(AND(((COLUMN()-10)&lt;=playercnt),((ROW()-41)&lt;=playercnt)),SUMPRODUCT(INDIRECT(ADDRESS(3,ROW()-31,1)):INDIRECT(ADDRESS(22,ROW()-31,1)),S$3:S$22),"")</f>
        <v>3</v>
      </c>
      <c r="T44" s="3">
        <f ca="1">IF(AND(((COLUMN()-10)&lt;=playercnt),((ROW()-41)&lt;=playercnt)),SUMPRODUCT(INDIRECT(ADDRESS(3,ROW()-31,1)):INDIRECT(ADDRESS(22,ROW()-31,1)),T$3:T$22),"")</f>
        <v>5</v>
      </c>
      <c r="U44" s="3">
        <f ca="1">IF(AND(((COLUMN()-10)&lt;=playercnt),((ROW()-41)&lt;=playercnt)),SUMPRODUCT(INDIRECT(ADDRESS(3,ROW()-31,1)):INDIRECT(ADDRESS(22,ROW()-31,1)),U$3:U$22),"")</f>
        <v>6</v>
      </c>
      <c r="V44" s="3">
        <f ca="1">IF(AND(((COLUMN()-10)&lt;=playercnt),((ROW()-41)&lt;=playercnt)),SUMPRODUCT(INDIRECT(ADDRESS(3,ROW()-31,1)):INDIRECT(ADDRESS(22,ROW()-31,1)),V$3:V$22),"")</f>
        <v>5</v>
      </c>
      <c r="W44" s="3">
        <f ca="1">IF(AND(((COLUMN()-10)&lt;=playercnt),((ROW()-41)&lt;=playercnt)),SUMPRODUCT(INDIRECT(ADDRESS(3,ROW()-31,1)):INDIRECT(ADDRESS(22,ROW()-31,1)),W$3:W$22),"")</f>
        <v>5</v>
      </c>
      <c r="X44" s="3">
        <f ca="1">IF(AND(((COLUMN()-10)&lt;=playercnt),((ROW()-41)&lt;=playercnt)),SUMPRODUCT(INDIRECT(ADDRESS(3,ROW()-31,1)):INDIRECT(ADDRESS(22,ROW()-31,1)),X$3:X$22),"")</f>
        <v>7</v>
      </c>
      <c r="Y44" s="3">
        <f ca="1">IF(AND(((COLUMN()-10)&lt;=playercnt),((ROW()-41)&lt;=playercnt)),SUMPRODUCT(INDIRECT(ADDRESS(3,ROW()-31,1)):INDIRECT(ADDRESS(22,ROW()-31,1)),Y$3:Y$22),"")</f>
        <v>6</v>
      </c>
      <c r="Z44" s="3">
        <f ca="1">IF(AND(((COLUMN()-10)&lt;=playercnt),((ROW()-41)&lt;=playercnt)),SUMPRODUCT(INDIRECT(ADDRESS(3,ROW()-31,1)):INDIRECT(ADDRESS(22,ROW()-31,1)),Z$3:Z$22),"")</f>
        <v>4</v>
      </c>
      <c r="AA44" s="3">
        <f ca="1">IF(AND(((COLUMN()-10)&lt;=playercnt),((ROW()-41)&lt;=playercnt)),SUMPRODUCT(INDIRECT(ADDRESS(3,ROW()-31,1)):INDIRECT(ADDRESS(22,ROW()-31,1)),AA$3:AA$22),"")</f>
        <v>4</v>
      </c>
      <c r="AB44" s="3">
        <f ca="1">IF(AND(((COLUMN()-10)&lt;=playercnt),((ROW()-41)&lt;=playercnt)),SUMPRODUCT(INDIRECT(ADDRESS(3,ROW()-31,1)):INDIRECT(ADDRESS(22,ROW()-31,1)),AB$3:AB$22),"")</f>
        <v>6</v>
      </c>
      <c r="AC44" s="3">
        <f ca="1">IF(AND(((COLUMN()-10)&lt;=playercnt),((ROW()-41)&lt;=playercnt)),SUMPRODUCT(INDIRECT(ADDRESS(3,ROW()-31,1)):INDIRECT(ADDRESS(22,ROW()-31,1)),AC$3:AC$22),"")</f>
        <v>7</v>
      </c>
      <c r="AD44" s="3">
        <f ca="1">IF(AND(((COLUMN()-10)&lt;=playercnt),((ROW()-41)&lt;=playercnt)),SUMPRODUCT(INDIRECT(ADDRESS(3,ROW()-31,1)):INDIRECT(ADDRESS(22,ROW()-31,1)),AD$3:AD$22),"")</f>
        <v>8</v>
      </c>
      <c r="AE44" s="3">
        <f ca="1">IF(AND(((COLUMN()-10)&lt;=playercnt),((ROW()-41)&lt;=playercnt)),SUMPRODUCT(INDIRECT(ADDRESS(3,ROW()-31,1)):INDIRECT(ADDRESS(22,ROW()-31,1)),AE$3:AE$22),"")</f>
        <v>4</v>
      </c>
      <c r="AF44" s="3">
        <f ca="1">IF(AND(((COLUMN()-10)&lt;=playercnt),((ROW()-41)&lt;=playercnt)),SUMPRODUCT(INDIRECT(ADDRESS(3,ROW()-31,1)):INDIRECT(ADDRESS(22,ROW()-31,1)),AF$3:AF$22),"")</f>
        <v>4</v>
      </c>
      <c r="AG44" s="3">
        <f ca="1">IF(AND(((COLUMN()-10)&lt;=playercnt),((ROW()-41)&lt;=playercnt)),SUMPRODUCT(INDIRECT(ADDRESS(3,ROW()-31,1)):INDIRECT(ADDRESS(22,ROW()-31,1)),AG$3:AG$22),"")</f>
        <v>6</v>
      </c>
      <c r="AH44" s="3">
        <f ca="1">IF(AND(((COLUMN()-10)&lt;=playercnt),((ROW()-41)&lt;=playercnt)),SUMPRODUCT(INDIRECT(ADDRESS(3,ROW()-31,1)):INDIRECT(ADDRESS(22,ROW()-31,1)),AH$3:AH$22),"")</f>
        <v>8</v>
      </c>
      <c r="AI44" s="3">
        <f ca="1">IF(AND(((COLUMN()-10)&lt;=playercnt),((ROW()-41)&lt;=playercnt)),SUMPRODUCT(INDIRECT(ADDRESS(3,ROW()-31,1)):INDIRECT(ADDRESS(22,ROW()-31,1)),AI$3:AI$22),"")</f>
        <v>5</v>
      </c>
      <c r="AJ44" s="3">
        <f ca="1">IF(AND(((COLUMN()-10)&lt;=playercnt),((ROW()-41)&lt;=playercnt)),SUMPRODUCT(INDIRECT(ADDRESS(3,ROW()-31,1)):INDIRECT(ADDRESS(22,ROW()-31,1)),AJ$3:AJ$22),"")</f>
        <v>4</v>
      </c>
      <c r="AK44" s="3">
        <f ca="1">IF(AND(((COLUMN()-10)&lt;=playercnt),((ROW()-41)&lt;=playercnt)),SUMPRODUCT(INDIRECT(ADDRESS(3,ROW()-31,1)):INDIRECT(ADDRESS(22,ROW()-31,1)),AK$3:AK$22),"")</f>
        <v>6</v>
      </c>
      <c r="AL44" s="3">
        <f ca="1">IF(AND(((COLUMN()-10)&lt;=playercnt),((ROW()-41)&lt;=playercnt)),SUMPRODUCT(INDIRECT(ADDRESS(3,ROW()-31,1)):INDIRECT(ADDRESS(22,ROW()-31,1)),AL$3:AL$22),"")</f>
        <v>4</v>
      </c>
      <c r="AM44" s="3">
        <f ca="1">IF(AND(((COLUMN()-10)&lt;=playercnt),((ROW()-41)&lt;=playercnt)),SUMPRODUCT(INDIRECT(ADDRESS(3,ROW()-31,1)):INDIRECT(ADDRESS(22,ROW()-31,1)),AM$3:AM$22),"")</f>
        <v>5</v>
      </c>
      <c r="AN44" s="3">
        <f ca="1">IF(AND(((COLUMN()-10)&lt;=playercnt),((ROW()-41)&lt;=playercnt)),SUMPRODUCT(INDIRECT(ADDRESS(3,ROW()-31,1)):INDIRECT(ADDRESS(22,ROW()-31,1)),AN$3:AN$22),"")</f>
        <v>4</v>
      </c>
      <c r="AO44" s="3">
        <f ca="1">IF(AND(((COLUMN()-10)&lt;=playercnt),((ROW()-41)&lt;=playercnt)),SUMPRODUCT(INDIRECT(ADDRESS(3,ROW()-31,1)):INDIRECT(ADDRESS(22,ROW()-31,1)),AO$3:AO$22),"")</f>
        <v>4</v>
      </c>
      <c r="AP44" s="3">
        <f ca="1">IF(AND(((COLUMN()-10)&lt;=playercnt),((ROW()-41)&lt;=playercnt)),SUMPRODUCT(INDIRECT(ADDRESS(3,ROW()-31,1)):INDIRECT(ADDRESS(22,ROW()-31,1)),AP$3:AP$22),"")</f>
        <v>7</v>
      </c>
      <c r="AQ44" s="3">
        <f ca="1">IF(AND(((COLUMN()-10)&lt;=playercnt),((ROW()-41)&lt;=playercnt)),SUMPRODUCT(INDIRECT(ADDRESS(3,ROW()-31,1)):INDIRECT(ADDRESS(22,ROW()-31,1)),AQ$3:AQ$22),"")</f>
        <v>3</v>
      </c>
      <c r="AR44" s="3">
        <f ca="1">IF(AND(((COLUMN()-10)&lt;=playercnt),((ROW()-41)&lt;=playercnt)),SUMPRODUCT(INDIRECT(ADDRESS(3,ROW()-31,1)):INDIRECT(ADDRESS(22,ROW()-31,1)),AR$3:AR$22),"")</f>
        <v>6</v>
      </c>
      <c r="AS44" s="3">
        <f ca="1">IF(AND(((COLUMN()-10)&lt;=playercnt),((ROW()-41)&lt;=playercnt)),SUMPRODUCT(INDIRECT(ADDRESS(3,ROW()-31,1)):INDIRECT(ADDRESS(22,ROW()-31,1)),AS$3:AS$22),"")</f>
        <v>4</v>
      </c>
      <c r="AT44" s="3">
        <f ca="1">IF(AND(((COLUMN()-10)&lt;=playercnt),((ROW()-41)&lt;=playercnt)),SUMPRODUCT(INDIRECT(ADDRESS(3,ROW()-31,1)):INDIRECT(ADDRESS(22,ROW()-31,1)),AT$3:AT$22),"")</f>
        <v>9</v>
      </c>
      <c r="AU44" s="3">
        <f ca="1">IF(AND(((COLUMN()-10)&lt;=playercnt),((ROW()-41)&lt;=playercnt)),SUMPRODUCT(INDIRECT(ADDRESS(3,ROW()-31,1)):INDIRECT(ADDRESS(22,ROW()-31,1)),AU$3:AU$22),"")</f>
        <v>7</v>
      </c>
      <c r="AV44" s="3">
        <f ca="1">IF(AND(((COLUMN()-10)&lt;=playercnt),((ROW()-41)&lt;=playercnt)),SUMPRODUCT(INDIRECT(ADDRESS(3,ROW()-31,1)):INDIRECT(ADDRESS(22,ROW()-31,1)),AV$3:AV$22),"")</f>
        <v>5</v>
      </c>
      <c r="AW44" s="3">
        <f ca="1">IF(AND(((COLUMN()-10)&lt;=playercnt),((ROW()-41)&lt;=playercnt)),SUMPRODUCT(INDIRECT(ADDRESS(3,ROW()-31,1)):INDIRECT(ADDRESS(22,ROW()-31,1)),AW$3:AW$22),"")</f>
        <v>5</v>
      </c>
      <c r="AX44" s="3">
        <f ca="1">IF(AND(((COLUMN()-10)&lt;=playercnt),((ROW()-41)&lt;=playercnt)),SUMPRODUCT(INDIRECT(ADDRESS(3,ROW()-31,1)):INDIRECT(ADDRESS(22,ROW()-31,1)),AX$3:AX$22),"")</f>
        <v>7</v>
      </c>
      <c r="AY44" s="3">
        <f ca="1">IF(AND(((COLUMN()-10)&lt;=playercnt),((ROW()-41)&lt;=playercnt)),SUMPRODUCT(INDIRECT(ADDRESS(3,ROW()-31,1)):INDIRECT(ADDRESS(22,ROW()-31,1)),AY$3:AY$22),"")</f>
        <v>7</v>
      </c>
      <c r="AZ44" s="3">
        <f ca="1">IF(AND(((COLUMN()-10)&lt;=playercnt),((ROW()-41)&lt;=playercnt)),SUMPRODUCT(INDIRECT(ADDRESS(3,ROW()-31,1)):INDIRECT(ADDRESS(22,ROW()-31,1)),AZ$3:AZ$22),"")</f>
        <v>8</v>
      </c>
      <c r="BA44" s="3">
        <f ca="1">IF(AND(((COLUMN()-10)&lt;=playercnt),((ROW()-41)&lt;=playercnt)),SUMPRODUCT(INDIRECT(ADDRESS(3,ROW()-31,1)):INDIRECT(ADDRESS(22,ROW()-31,1)),BA$3:BA$22),"")</f>
        <v>5</v>
      </c>
      <c r="BB44" s="3">
        <f ca="1">IF(AND(((COLUMN()-10)&lt;=playercnt),((ROW()-41)&lt;=playercnt)),SUMPRODUCT(INDIRECT(ADDRESS(3,ROW()-31,1)):INDIRECT(ADDRESS(22,ROW()-31,1)),BB$3:BB$22),"")</f>
        <v>4</v>
      </c>
      <c r="BC44" s="3">
        <f ca="1">IF(AND(((COLUMN()-10)&lt;=playercnt),((ROW()-41)&lt;=playercnt)),SUMPRODUCT(INDIRECT(ADDRESS(3,ROW()-31,1)):INDIRECT(ADDRESS(22,ROW()-31,1)),BC$3:BC$22),"")</f>
        <v>6</v>
      </c>
      <c r="BD44" s="3">
        <f ca="1">IF(AND(((COLUMN()-10)&lt;=playercnt),((ROW()-41)&lt;=playercnt)),SUMPRODUCT(INDIRECT(ADDRESS(3,ROW()-31,1)):INDIRECT(ADDRESS(22,ROW()-31,1)),BD$3:BD$22),"")</f>
        <v>7</v>
      </c>
      <c r="BE44" s="3">
        <f ca="1">IF(AND(((COLUMN()-10)&lt;=playercnt),((ROW()-41)&lt;=playercnt)),SUMPRODUCT(INDIRECT(ADDRESS(3,ROW()-31,1)):INDIRECT(ADDRESS(22,ROW()-31,1)),BE$3:BE$22),"")</f>
        <v>6</v>
      </c>
      <c r="BF44" s="3">
        <f ca="1">IF(AND(((COLUMN()-10)&lt;=playercnt),((ROW()-41)&lt;=playercnt)),SUMPRODUCT(INDIRECT(ADDRESS(3,ROW()-31,1)):INDIRECT(ADDRESS(22,ROW()-31,1)),BF$3:BF$22),"")</f>
        <v>6</v>
      </c>
      <c r="BG44" s="3">
        <f ca="1">IF(AND(((COLUMN()-10)&lt;=playercnt),((ROW()-41)&lt;=playercnt)),SUMPRODUCT(INDIRECT(ADDRESS(3,ROW()-31,1)):INDIRECT(ADDRESS(22,ROW()-31,1)),BG$3:BG$22),"")</f>
        <v>3</v>
      </c>
      <c r="BH44" s="3">
        <f ca="1">IF(AND(((COLUMN()-10)&lt;=playercnt),((ROW()-41)&lt;=playercnt)),SUMPRODUCT(INDIRECT(ADDRESS(3,ROW()-31,1)):INDIRECT(ADDRESS(22,ROW()-31,1)),BH$3:BH$22),"")</f>
        <v>6</v>
      </c>
      <c r="BI44" s="3">
        <f ca="1">IF(AND(((COLUMN()-10)&lt;=playercnt),((ROW()-41)&lt;=playercnt)),SUMPRODUCT(INDIRECT(ADDRESS(3,ROW()-31,1)):INDIRECT(ADDRESS(22,ROW()-31,1)),BI$3:BI$22),"")</f>
        <v>5</v>
      </c>
      <c r="BJ44" s="3">
        <f ca="1">IF(AND(((COLUMN()-10)&lt;=playercnt),((ROW()-41)&lt;=playercnt)),SUMPRODUCT(INDIRECT(ADDRESS(3,ROW()-31,1)):INDIRECT(ADDRESS(22,ROW()-31,1)),BJ$3:BJ$22),"")</f>
        <v>5</v>
      </c>
      <c r="BK44" s="3">
        <f ca="1">IF(AND(((COLUMN()-10)&lt;=playercnt),((ROW()-41)&lt;=playercnt)),SUMPRODUCT(INDIRECT(ADDRESS(3,ROW()-31,1)):INDIRECT(ADDRESS(22,ROW()-31,1)),BK$3:BK$22),"")</f>
        <v>4</v>
      </c>
      <c r="BL44" s="3">
        <f ca="1">IF(AND(((COLUMN()-10)&lt;=playercnt),((ROW()-41)&lt;=playercnt)),SUMPRODUCT(INDIRECT(ADDRESS(3,ROW()-31,1)):INDIRECT(ADDRESS(22,ROW()-31,1)),BL$3:BL$22),"")</f>
        <v>6</v>
      </c>
      <c r="BM44" s="3">
        <f ca="1">IF(AND(((COLUMN()-10)&lt;=playercnt),((ROW()-41)&lt;=playercnt)),SUMPRODUCT(INDIRECT(ADDRESS(3,ROW()-31,1)):INDIRECT(ADDRESS(22,ROW()-31,1)),BM$3:BM$22),"")</f>
        <v>6</v>
      </c>
      <c r="BN44" s="3">
        <f ca="1">IF(AND(((COLUMN()-10)&lt;=playercnt),((ROW()-41)&lt;=playercnt)),SUMPRODUCT(INDIRECT(ADDRESS(3,ROW()-31,1)):INDIRECT(ADDRESS(22,ROW()-31,1)),BN$3:BN$22),"")</f>
        <v>6</v>
      </c>
    </row>
    <row r="45" spans="1:66">
      <c r="B45" s="27">
        <f t="shared" ca="1" si="23"/>
        <v>5</v>
      </c>
      <c r="C45" t="str">
        <f t="shared" ca="1" si="22"/>
        <v>Beckwith, Greg</v>
      </c>
      <c r="G45">
        <f ca="1">IF(AND(((COLUMN()-10)&lt;=playercnt),((ROW()-41)&lt;=playercnt)),SUMPRODUCT(INDIRECT(ADDRESS(3,ROW()-31,1)):INDIRECT(ADDRESS(22,ROW()-31,1)),G$3:G$22),"")</f>
        <v>5</v>
      </c>
      <c r="H45">
        <f ca="1">IF(AND(((COLUMN()-10)&lt;=playercnt),((ROW()-41)&lt;=playercnt)),SUMPRODUCT(INDIRECT(ADDRESS(3,ROW()-31,1)):INDIRECT(ADDRESS(22,ROW()-31,1)),H$3:H$22),"")</f>
        <v>8</v>
      </c>
      <c r="I45">
        <f ca="1">IF(AND(((COLUMN()-10)&lt;=playercnt),((ROW()-41)&lt;=playercnt)),SUMPRODUCT(INDIRECT(ADDRESS(3,ROW()-31,1)):INDIRECT(ADDRESS(22,ROW()-31,1)),I$3:I$22),"")</f>
        <v>6</v>
      </c>
      <c r="J45">
        <f ca="1">IF(AND(((COLUMN()-10)&lt;=playercnt),((ROW()-41)&lt;=playercnt)),SUMPRODUCT(INDIRECT(ADDRESS(3,ROW()-31,1)):INDIRECT(ADDRESS(22,ROW()-31,1)),J$3:J$22),"")</f>
        <v>0</v>
      </c>
      <c r="K45">
        <f ca="1">IF(AND(((COLUMN()-10)&lt;=playercnt),((ROW()-41)&lt;=playercnt)),SUMPRODUCT(INDIRECT(ADDRESS(3,ROW()-31,1)):INDIRECT(ADDRESS(22,ROW()-31,1)),K$3:K$22),"")</f>
        <v>7</v>
      </c>
      <c r="L45">
        <f ca="1">IF(AND(((COLUMN()-10)&lt;=playercnt),((ROW()-41)&lt;=playercnt)),SUMPRODUCT(INDIRECT(ADDRESS(3,ROW()-31,1)):INDIRECT(ADDRESS(22,ROW()-31,1)),L$3:L$22),"")</f>
        <v>6</v>
      </c>
      <c r="M45">
        <f ca="1">IF(AND(((COLUMN()-10)&lt;=playercnt),((ROW()-41)&lt;=playercnt)),SUMPRODUCT(INDIRECT(ADDRESS(3,ROW()-31,1)):INDIRECT(ADDRESS(22,ROW()-31,1)),M$3:M$22),"")</f>
        <v>4</v>
      </c>
      <c r="N45">
        <f ca="1">IF(AND(((COLUMN()-10)&lt;=playercnt),((ROW()-41)&lt;=playercnt)),SUMPRODUCT(INDIRECT(ADDRESS(3,ROW()-31,1)):INDIRECT(ADDRESS(22,ROW()-31,1)),N$3:N$22),"")</f>
        <v>10</v>
      </c>
      <c r="O45">
        <f ca="1">IF(AND(((COLUMN()-10)&lt;=playercnt),((ROW()-41)&lt;=playercnt)),SUMPRODUCT(INDIRECT(ADDRESS(3,ROW()-31,1)):INDIRECT(ADDRESS(22,ROW()-31,1)),O$3:O$22),"")</f>
        <v>4</v>
      </c>
      <c r="P45">
        <f ca="1">IF(AND(((COLUMN()-10)&lt;=playercnt),((ROW()-41)&lt;=playercnt)),SUMPRODUCT(INDIRECT(ADDRESS(3,ROW()-31,1)):INDIRECT(ADDRESS(22,ROW()-31,1)),P$3:P$22),"")</f>
        <v>5</v>
      </c>
      <c r="Q45">
        <f ca="1">IF(AND(((COLUMN()-10)&lt;=playercnt),((ROW()-41)&lt;=playercnt)),SUMPRODUCT(INDIRECT(ADDRESS(3,ROW()-31,1)):INDIRECT(ADDRESS(22,ROW()-31,1)),Q$3:Q$22),"")</f>
        <v>3</v>
      </c>
      <c r="R45">
        <f ca="1">IF(AND(((COLUMN()-10)&lt;=playercnt),((ROW()-41)&lt;=playercnt)),SUMPRODUCT(INDIRECT(ADDRESS(3,ROW()-31,1)):INDIRECT(ADDRESS(22,ROW()-31,1)),R$3:R$22),"")</f>
        <v>5</v>
      </c>
      <c r="S45">
        <f ca="1">IF(AND(((COLUMN()-10)&lt;=playercnt),((ROW()-41)&lt;=playercnt)),SUMPRODUCT(INDIRECT(ADDRESS(3,ROW()-31,1)):INDIRECT(ADDRESS(22,ROW()-31,1)),S$3:S$22),"")</f>
        <v>5</v>
      </c>
      <c r="T45">
        <f ca="1">IF(AND(((COLUMN()-10)&lt;=playercnt),((ROW()-41)&lt;=playercnt)),SUMPRODUCT(INDIRECT(ADDRESS(3,ROW()-31,1)):INDIRECT(ADDRESS(22,ROW()-31,1)),T$3:T$22),"")</f>
        <v>5</v>
      </c>
      <c r="U45">
        <f ca="1">IF(AND(((COLUMN()-10)&lt;=playercnt),((ROW()-41)&lt;=playercnt)),SUMPRODUCT(INDIRECT(ADDRESS(3,ROW()-31,1)):INDIRECT(ADDRESS(22,ROW()-31,1)),U$3:U$22),"")</f>
        <v>8</v>
      </c>
      <c r="V45">
        <f ca="1">IF(AND(((COLUMN()-10)&lt;=playercnt),((ROW()-41)&lt;=playercnt)),SUMPRODUCT(INDIRECT(ADDRESS(3,ROW()-31,1)):INDIRECT(ADDRESS(22,ROW()-31,1)),V$3:V$22),"")</f>
        <v>5</v>
      </c>
      <c r="W45">
        <f ca="1">IF(AND(((COLUMN()-10)&lt;=playercnt),((ROW()-41)&lt;=playercnt)),SUMPRODUCT(INDIRECT(ADDRESS(3,ROW()-31,1)):INDIRECT(ADDRESS(22,ROW()-31,1)),W$3:W$22),"")</f>
        <v>5</v>
      </c>
      <c r="X45">
        <f ca="1">IF(AND(((COLUMN()-10)&lt;=playercnt),((ROW()-41)&lt;=playercnt)),SUMPRODUCT(INDIRECT(ADDRESS(3,ROW()-31,1)):INDIRECT(ADDRESS(22,ROW()-31,1)),X$3:X$22),"")</f>
        <v>5</v>
      </c>
      <c r="Y45">
        <f ca="1">IF(AND(((COLUMN()-10)&lt;=playercnt),((ROW()-41)&lt;=playercnt)),SUMPRODUCT(INDIRECT(ADDRESS(3,ROW()-31,1)):INDIRECT(ADDRESS(22,ROW()-31,1)),Y$3:Y$22),"")</f>
        <v>4</v>
      </c>
      <c r="Z45">
        <f ca="1">IF(AND(((COLUMN()-10)&lt;=playercnt),((ROW()-41)&lt;=playercnt)),SUMPRODUCT(INDIRECT(ADDRESS(3,ROW()-31,1)):INDIRECT(ADDRESS(22,ROW()-31,1)),Z$3:Z$22),"")</f>
        <v>2</v>
      </c>
      <c r="AA45">
        <f ca="1">IF(AND(((COLUMN()-10)&lt;=playercnt),((ROW()-41)&lt;=playercnt)),SUMPRODUCT(INDIRECT(ADDRESS(3,ROW()-31,1)):INDIRECT(ADDRESS(22,ROW()-31,1)),AA$3:AA$22),"")</f>
        <v>8</v>
      </c>
      <c r="AB45">
        <f ca="1">IF(AND(((COLUMN()-10)&lt;=playercnt),((ROW()-41)&lt;=playercnt)),SUMPRODUCT(INDIRECT(ADDRESS(3,ROW()-31,1)):INDIRECT(ADDRESS(22,ROW()-31,1)),AB$3:AB$22),"")</f>
        <v>6</v>
      </c>
      <c r="AC45">
        <f ca="1">IF(AND(((COLUMN()-10)&lt;=playercnt),((ROW()-41)&lt;=playercnt)),SUMPRODUCT(INDIRECT(ADDRESS(3,ROW()-31,1)):INDIRECT(ADDRESS(22,ROW()-31,1)),AC$3:AC$22),"")</f>
        <v>5</v>
      </c>
      <c r="AD45">
        <f ca="1">IF(AND(((COLUMN()-10)&lt;=playercnt),((ROW()-41)&lt;=playercnt)),SUMPRODUCT(INDIRECT(ADDRESS(3,ROW()-31,1)):INDIRECT(ADDRESS(22,ROW()-31,1)),AD$3:AD$22),"")</f>
        <v>6</v>
      </c>
      <c r="AE45">
        <f ca="1">IF(AND(((COLUMN()-10)&lt;=playercnt),((ROW()-41)&lt;=playercnt)),SUMPRODUCT(INDIRECT(ADDRESS(3,ROW()-31,1)):INDIRECT(ADDRESS(22,ROW()-31,1)),AE$3:AE$22),"")</f>
        <v>8</v>
      </c>
      <c r="AF45">
        <f ca="1">IF(AND(((COLUMN()-10)&lt;=playercnt),((ROW()-41)&lt;=playercnt)),SUMPRODUCT(INDIRECT(ADDRESS(3,ROW()-31,1)):INDIRECT(ADDRESS(22,ROW()-31,1)),AF$3:AF$22),"")</f>
        <v>4</v>
      </c>
      <c r="AG45">
        <f ca="1">IF(AND(((COLUMN()-10)&lt;=playercnt),((ROW()-41)&lt;=playercnt)),SUMPRODUCT(INDIRECT(ADDRESS(3,ROW()-31,1)):INDIRECT(ADDRESS(22,ROW()-31,1)),AG$3:AG$22),"")</f>
        <v>4</v>
      </c>
      <c r="AH45">
        <f ca="1">IF(AND(((COLUMN()-10)&lt;=playercnt),((ROW()-41)&lt;=playercnt)),SUMPRODUCT(INDIRECT(ADDRESS(3,ROW()-31,1)):INDIRECT(ADDRESS(22,ROW()-31,1)),AH$3:AH$22),"")</f>
        <v>2</v>
      </c>
      <c r="AI45">
        <f ca="1">IF(AND(((COLUMN()-10)&lt;=playercnt),((ROW()-41)&lt;=playercnt)),SUMPRODUCT(INDIRECT(ADDRESS(3,ROW()-31,1)):INDIRECT(ADDRESS(22,ROW()-31,1)),AI$3:AI$22),"")</f>
        <v>5</v>
      </c>
      <c r="AJ45">
        <f ca="1">IF(AND(((COLUMN()-10)&lt;=playercnt),((ROW()-41)&lt;=playercnt)),SUMPRODUCT(INDIRECT(ADDRESS(3,ROW()-31,1)):INDIRECT(ADDRESS(22,ROW()-31,1)),AJ$3:AJ$22),"")</f>
        <v>4</v>
      </c>
      <c r="AK45">
        <f ca="1">IF(AND(((COLUMN()-10)&lt;=playercnt),((ROW()-41)&lt;=playercnt)),SUMPRODUCT(INDIRECT(ADDRESS(3,ROW()-31,1)):INDIRECT(ADDRESS(22,ROW()-31,1)),AK$3:AK$22),"")</f>
        <v>4</v>
      </c>
      <c r="AL45">
        <f ca="1">IF(AND(((COLUMN()-10)&lt;=playercnt),((ROW()-41)&lt;=playercnt)),SUMPRODUCT(INDIRECT(ADDRESS(3,ROW()-31,1)):INDIRECT(ADDRESS(22,ROW()-31,1)),AL$3:AL$22),"")</f>
        <v>6</v>
      </c>
      <c r="AM45">
        <f ca="1">IF(AND(((COLUMN()-10)&lt;=playercnt),((ROW()-41)&lt;=playercnt)),SUMPRODUCT(INDIRECT(ADDRESS(3,ROW()-31,1)):INDIRECT(ADDRESS(22,ROW()-31,1)),AM$3:AM$22),"")</f>
        <v>3</v>
      </c>
      <c r="AN45">
        <f ca="1">IF(AND(((COLUMN()-10)&lt;=playercnt),((ROW()-41)&lt;=playercnt)),SUMPRODUCT(INDIRECT(ADDRESS(3,ROW()-31,1)):INDIRECT(ADDRESS(22,ROW()-31,1)),AN$3:AN$22),"")</f>
        <v>6</v>
      </c>
      <c r="AO45">
        <f ca="1">IF(AND(((COLUMN()-10)&lt;=playercnt),((ROW()-41)&lt;=playercnt)),SUMPRODUCT(INDIRECT(ADDRESS(3,ROW()-31,1)):INDIRECT(ADDRESS(22,ROW()-31,1)),AO$3:AO$22),"")</f>
        <v>4</v>
      </c>
      <c r="AP45">
        <f ca="1">IF(AND(((COLUMN()-10)&lt;=playercnt),((ROW()-41)&lt;=playercnt)),SUMPRODUCT(INDIRECT(ADDRESS(3,ROW()-31,1)):INDIRECT(ADDRESS(22,ROW()-31,1)),AP$3:AP$22),"")</f>
        <v>5</v>
      </c>
      <c r="AQ45">
        <f ca="1">IF(AND(((COLUMN()-10)&lt;=playercnt),((ROW()-41)&lt;=playercnt)),SUMPRODUCT(INDIRECT(ADDRESS(3,ROW()-31,1)):INDIRECT(ADDRESS(22,ROW()-31,1)),AQ$3:AQ$22),"")</f>
        <v>7</v>
      </c>
      <c r="AR45">
        <f ca="1">IF(AND(((COLUMN()-10)&lt;=playercnt),((ROW()-41)&lt;=playercnt)),SUMPRODUCT(INDIRECT(ADDRESS(3,ROW()-31,1)):INDIRECT(ADDRESS(22,ROW()-31,1)),AR$3:AR$22),"")</f>
        <v>4</v>
      </c>
      <c r="AS45">
        <f ca="1">IF(AND(((COLUMN()-10)&lt;=playercnt),((ROW()-41)&lt;=playercnt)),SUMPRODUCT(INDIRECT(ADDRESS(3,ROW()-31,1)):INDIRECT(ADDRESS(22,ROW()-31,1)),AS$3:AS$22),"")</f>
        <v>4</v>
      </c>
      <c r="AT45">
        <f ca="1">IF(AND(((COLUMN()-10)&lt;=playercnt),((ROW()-41)&lt;=playercnt)),SUMPRODUCT(INDIRECT(ADDRESS(3,ROW()-31,1)):INDIRECT(ADDRESS(22,ROW()-31,1)),AT$3:AT$22),"")</f>
        <v>3</v>
      </c>
      <c r="AU45">
        <f ca="1">IF(AND(((COLUMN()-10)&lt;=playercnt),((ROW()-41)&lt;=playercnt)),SUMPRODUCT(INDIRECT(ADDRESS(3,ROW()-31,1)):INDIRECT(ADDRESS(22,ROW()-31,1)),AU$3:AU$22),"")</f>
        <v>5</v>
      </c>
      <c r="AV45">
        <f ca="1">IF(AND(((COLUMN()-10)&lt;=playercnt),((ROW()-41)&lt;=playercnt)),SUMPRODUCT(INDIRECT(ADDRESS(3,ROW()-31,1)):INDIRECT(ADDRESS(22,ROW()-31,1)),AV$3:AV$22),"")</f>
        <v>7</v>
      </c>
      <c r="AW45">
        <f ca="1">IF(AND(((COLUMN()-10)&lt;=playercnt),((ROW()-41)&lt;=playercnt)),SUMPRODUCT(INDIRECT(ADDRESS(3,ROW()-31,1)):INDIRECT(ADDRESS(22,ROW()-31,1)),AW$3:AW$22),"")</f>
        <v>7</v>
      </c>
      <c r="AX45">
        <f ca="1">IF(AND(((COLUMN()-10)&lt;=playercnt),((ROW()-41)&lt;=playercnt)),SUMPRODUCT(INDIRECT(ADDRESS(3,ROW()-31,1)):INDIRECT(ADDRESS(22,ROW()-31,1)),AX$3:AX$22),"")</f>
        <v>5</v>
      </c>
      <c r="AY45">
        <f ca="1">IF(AND(((COLUMN()-10)&lt;=playercnt),((ROW()-41)&lt;=playercnt)),SUMPRODUCT(INDIRECT(ADDRESS(3,ROW()-31,1)):INDIRECT(ADDRESS(22,ROW()-31,1)),AY$3:AY$22),"")</f>
        <v>5</v>
      </c>
      <c r="AZ45">
        <f ca="1">IF(AND(((COLUMN()-10)&lt;=playercnt),((ROW()-41)&lt;=playercnt)),SUMPRODUCT(INDIRECT(ADDRESS(3,ROW()-31,1)):INDIRECT(ADDRESS(22,ROW()-31,1)),AZ$3:AZ$22),"")</f>
        <v>4</v>
      </c>
      <c r="BA45">
        <f ca="1">IF(AND(((COLUMN()-10)&lt;=playercnt),((ROW()-41)&lt;=playercnt)),SUMPRODUCT(INDIRECT(ADDRESS(3,ROW()-31,1)):INDIRECT(ADDRESS(22,ROW()-31,1)),BA$3:BA$22),"")</f>
        <v>5</v>
      </c>
      <c r="BB45">
        <f ca="1">IF(AND(((COLUMN()-10)&lt;=playercnt),((ROW()-41)&lt;=playercnt)),SUMPRODUCT(INDIRECT(ADDRESS(3,ROW()-31,1)):INDIRECT(ADDRESS(22,ROW()-31,1)),BB$3:BB$22),"")</f>
        <v>6</v>
      </c>
      <c r="BC45">
        <f ca="1">IF(AND(((COLUMN()-10)&lt;=playercnt),((ROW()-41)&lt;=playercnt)),SUMPRODUCT(INDIRECT(ADDRESS(3,ROW()-31,1)):INDIRECT(ADDRESS(22,ROW()-31,1)),BC$3:BC$22),"")</f>
        <v>4</v>
      </c>
      <c r="BD45">
        <f ca="1">IF(AND(((COLUMN()-10)&lt;=playercnt),((ROW()-41)&lt;=playercnt)),SUMPRODUCT(INDIRECT(ADDRESS(3,ROW()-31,1)):INDIRECT(ADDRESS(22,ROW()-31,1)),BD$3:BD$22),"")</f>
        <v>7</v>
      </c>
      <c r="BE45">
        <f ca="1">IF(AND(((COLUMN()-10)&lt;=playercnt),((ROW()-41)&lt;=playercnt)),SUMPRODUCT(INDIRECT(ADDRESS(3,ROW()-31,1)):INDIRECT(ADDRESS(22,ROW()-31,1)),BE$3:BE$22),"")</f>
        <v>4</v>
      </c>
      <c r="BF45">
        <f ca="1">IF(AND(((COLUMN()-10)&lt;=playercnt),((ROW()-41)&lt;=playercnt)),SUMPRODUCT(INDIRECT(ADDRESS(3,ROW()-31,1)):INDIRECT(ADDRESS(22,ROW()-31,1)),BF$3:BF$22),"")</f>
        <v>6</v>
      </c>
      <c r="BG45">
        <f ca="1">IF(AND(((COLUMN()-10)&lt;=playercnt),((ROW()-41)&lt;=playercnt)),SUMPRODUCT(INDIRECT(ADDRESS(3,ROW()-31,1)):INDIRECT(ADDRESS(22,ROW()-31,1)),BG$3:BG$22),"")</f>
        <v>7</v>
      </c>
      <c r="BH45">
        <f ca="1">IF(AND(((COLUMN()-10)&lt;=playercnt),((ROW()-41)&lt;=playercnt)),SUMPRODUCT(INDIRECT(ADDRESS(3,ROW()-31,1)):INDIRECT(ADDRESS(22,ROW()-31,1)),BH$3:BH$22),"")</f>
        <v>8</v>
      </c>
      <c r="BI45">
        <f ca="1">IF(AND(((COLUMN()-10)&lt;=playercnt),((ROW()-41)&lt;=playercnt)),SUMPRODUCT(INDIRECT(ADDRESS(3,ROW()-31,1)):INDIRECT(ADDRESS(22,ROW()-31,1)),BI$3:BI$22),"")</f>
        <v>3</v>
      </c>
      <c r="BJ45">
        <f ca="1">IF(AND(((COLUMN()-10)&lt;=playercnt),((ROW()-41)&lt;=playercnt)),SUMPRODUCT(INDIRECT(ADDRESS(3,ROW()-31,1)):INDIRECT(ADDRESS(22,ROW()-31,1)),BJ$3:BJ$22),"")</f>
        <v>3</v>
      </c>
      <c r="BK45">
        <f ca="1">IF(AND(((COLUMN()-10)&lt;=playercnt),((ROW()-41)&lt;=playercnt)),SUMPRODUCT(INDIRECT(ADDRESS(3,ROW()-31,1)):INDIRECT(ADDRESS(22,ROW()-31,1)),BK$3:BK$22),"")</f>
        <v>6</v>
      </c>
      <c r="BL45">
        <f ca="1">IF(AND(((COLUMN()-10)&lt;=playercnt),((ROW()-41)&lt;=playercnt)),SUMPRODUCT(INDIRECT(ADDRESS(3,ROW()-31,1)):INDIRECT(ADDRESS(22,ROW()-31,1)),BL$3:BL$22),"")</f>
        <v>6</v>
      </c>
      <c r="BM45">
        <f ca="1">IF(AND(((COLUMN()-10)&lt;=playercnt),((ROW()-41)&lt;=playercnt)),SUMPRODUCT(INDIRECT(ADDRESS(3,ROW()-31,1)):INDIRECT(ADDRESS(22,ROW()-31,1)),BM$3:BM$22),"")</f>
        <v>2</v>
      </c>
      <c r="BN45">
        <f ca="1">IF(AND(((COLUMN()-10)&lt;=playercnt),((ROW()-41)&lt;=playercnt)),SUMPRODUCT(INDIRECT(ADDRESS(3,ROW()-31,1)):INDIRECT(ADDRESS(22,ROW()-31,1)),BN$3:BN$22),"")</f>
        <v>4</v>
      </c>
    </row>
    <row r="46" spans="1:66">
      <c r="B46" s="27">
        <f t="shared" ca="1" si="23"/>
        <v>5</v>
      </c>
      <c r="C46" t="str">
        <f t="shared" ca="1" si="22"/>
        <v>Boykin, Jerome W</v>
      </c>
      <c r="G46">
        <f ca="1">IF(AND(((COLUMN()-10)&lt;=playercnt),((ROW()-41)&lt;=playercnt)),SUMPRODUCT(INDIRECT(ADDRESS(3,ROW()-31,1)):INDIRECT(ADDRESS(22,ROW()-31,1)),G$3:G$22),"")</f>
        <v>7</v>
      </c>
      <c r="H46">
        <f ca="1">IF(AND(((COLUMN()-10)&lt;=playercnt),((ROW()-41)&lt;=playercnt)),SUMPRODUCT(INDIRECT(ADDRESS(3,ROW()-31,1)):INDIRECT(ADDRESS(22,ROW()-31,1)),H$3:H$22),"")</f>
        <v>4</v>
      </c>
      <c r="I46">
        <f ca="1">IF(AND(((COLUMN()-10)&lt;=playercnt),((ROW()-41)&lt;=playercnt)),SUMPRODUCT(INDIRECT(ADDRESS(3,ROW()-31,1)):INDIRECT(ADDRESS(22,ROW()-31,1)),I$3:I$22),"")</f>
        <v>6</v>
      </c>
      <c r="J46">
        <f ca="1">IF(AND(((COLUMN()-10)&lt;=playercnt),((ROW()-41)&lt;=playercnt)),SUMPRODUCT(INDIRECT(ADDRESS(3,ROW()-31,1)):INDIRECT(ADDRESS(22,ROW()-31,1)),J$3:J$22),"")</f>
        <v>0</v>
      </c>
      <c r="K46">
        <f ca="1">IF(AND(((COLUMN()-10)&lt;=playercnt),((ROW()-41)&lt;=playercnt)),SUMPRODUCT(INDIRECT(ADDRESS(3,ROW()-31,1)):INDIRECT(ADDRESS(22,ROW()-31,1)),K$3:K$22),"")</f>
        <v>7</v>
      </c>
      <c r="L46">
        <f ca="1">IF(AND(((COLUMN()-10)&lt;=playercnt),((ROW()-41)&lt;=playercnt)),SUMPRODUCT(INDIRECT(ADDRESS(3,ROW()-31,1)):INDIRECT(ADDRESS(22,ROW()-31,1)),L$3:L$22),"")</f>
        <v>6</v>
      </c>
      <c r="M46">
        <f ca="1">IF(AND(((COLUMN()-10)&lt;=playercnt),((ROW()-41)&lt;=playercnt)),SUMPRODUCT(INDIRECT(ADDRESS(3,ROW()-31,1)):INDIRECT(ADDRESS(22,ROW()-31,1)),M$3:M$22),"")</f>
        <v>6</v>
      </c>
      <c r="N46">
        <f ca="1">IF(AND(((COLUMN()-10)&lt;=playercnt),((ROW()-41)&lt;=playercnt)),SUMPRODUCT(INDIRECT(ADDRESS(3,ROW()-31,1)):INDIRECT(ADDRESS(22,ROW()-31,1)),N$3:N$22),"")</f>
        <v>4</v>
      </c>
      <c r="O46">
        <f ca="1">IF(AND(((COLUMN()-10)&lt;=playercnt),((ROW()-41)&lt;=playercnt)),SUMPRODUCT(INDIRECT(ADDRESS(3,ROW()-31,1)):INDIRECT(ADDRESS(22,ROW()-31,1)),O$3:O$22),"")</f>
        <v>10</v>
      </c>
      <c r="P46">
        <f ca="1">IF(AND(((COLUMN()-10)&lt;=playercnt),((ROW()-41)&lt;=playercnt)),SUMPRODUCT(INDIRECT(ADDRESS(3,ROW()-31,1)):INDIRECT(ADDRESS(22,ROW()-31,1)),P$3:P$22),"")</f>
        <v>3</v>
      </c>
      <c r="Q46">
        <f ca="1">IF(AND(((COLUMN()-10)&lt;=playercnt),((ROW()-41)&lt;=playercnt)),SUMPRODUCT(INDIRECT(ADDRESS(3,ROW()-31,1)):INDIRECT(ADDRESS(22,ROW()-31,1)),Q$3:Q$22),"")</f>
        <v>7</v>
      </c>
      <c r="R46">
        <f ca="1">IF(AND(((COLUMN()-10)&lt;=playercnt),((ROW()-41)&lt;=playercnt)),SUMPRODUCT(INDIRECT(ADDRESS(3,ROW()-31,1)):INDIRECT(ADDRESS(22,ROW()-31,1)),R$3:R$22),"")</f>
        <v>5</v>
      </c>
      <c r="S46">
        <f ca="1">IF(AND(((COLUMN()-10)&lt;=playercnt),((ROW()-41)&lt;=playercnt)),SUMPRODUCT(INDIRECT(ADDRESS(3,ROW()-31,1)):INDIRECT(ADDRESS(22,ROW()-31,1)),S$3:S$22),"")</f>
        <v>5</v>
      </c>
      <c r="T46">
        <f ca="1">IF(AND(((COLUMN()-10)&lt;=playercnt),((ROW()-41)&lt;=playercnt)),SUMPRODUCT(INDIRECT(ADDRESS(3,ROW()-31,1)):INDIRECT(ADDRESS(22,ROW()-31,1)),T$3:T$22),"")</f>
        <v>5</v>
      </c>
      <c r="U46">
        <f ca="1">IF(AND(((COLUMN()-10)&lt;=playercnt),((ROW()-41)&lt;=playercnt)),SUMPRODUCT(INDIRECT(ADDRESS(3,ROW()-31,1)):INDIRECT(ADDRESS(22,ROW()-31,1)),U$3:U$22),"")</f>
        <v>4</v>
      </c>
      <c r="V46">
        <f ca="1">IF(AND(((COLUMN()-10)&lt;=playercnt),((ROW()-41)&lt;=playercnt)),SUMPRODUCT(INDIRECT(ADDRESS(3,ROW()-31,1)):INDIRECT(ADDRESS(22,ROW()-31,1)),V$3:V$22),"")</f>
        <v>7</v>
      </c>
      <c r="W46">
        <f ca="1">IF(AND(((COLUMN()-10)&lt;=playercnt),((ROW()-41)&lt;=playercnt)),SUMPRODUCT(INDIRECT(ADDRESS(3,ROW()-31,1)):INDIRECT(ADDRESS(22,ROW()-31,1)),W$3:W$22),"")</f>
        <v>7</v>
      </c>
      <c r="X46">
        <f ca="1">IF(AND(((COLUMN()-10)&lt;=playercnt),((ROW()-41)&lt;=playercnt)),SUMPRODUCT(INDIRECT(ADDRESS(3,ROW()-31,1)):INDIRECT(ADDRESS(22,ROW()-31,1)),X$3:X$22),"")</f>
        <v>5</v>
      </c>
      <c r="Y46">
        <f ca="1">IF(AND(((COLUMN()-10)&lt;=playercnt),((ROW()-41)&lt;=playercnt)),SUMPRODUCT(INDIRECT(ADDRESS(3,ROW()-31,1)):INDIRECT(ADDRESS(22,ROW()-31,1)),Y$3:Y$22),"")</f>
        <v>8</v>
      </c>
      <c r="Z46">
        <f ca="1">IF(AND(((COLUMN()-10)&lt;=playercnt),((ROW()-41)&lt;=playercnt)),SUMPRODUCT(INDIRECT(ADDRESS(3,ROW()-31,1)):INDIRECT(ADDRESS(22,ROW()-31,1)),Z$3:Z$22),"")</f>
        <v>4</v>
      </c>
      <c r="AA46">
        <f ca="1">IF(AND(((COLUMN()-10)&lt;=playercnt),((ROW()-41)&lt;=playercnt)),SUMPRODUCT(INDIRECT(ADDRESS(3,ROW()-31,1)):INDIRECT(ADDRESS(22,ROW()-31,1)),AA$3:AA$22),"")</f>
        <v>2</v>
      </c>
      <c r="AB46">
        <f ca="1">IF(AND(((COLUMN()-10)&lt;=playercnt),((ROW()-41)&lt;=playercnt)),SUMPRODUCT(INDIRECT(ADDRESS(3,ROW()-31,1)):INDIRECT(ADDRESS(22,ROW()-31,1)),AB$3:AB$22),"")</f>
        <v>4</v>
      </c>
      <c r="AC46">
        <f ca="1">IF(AND(((COLUMN()-10)&lt;=playercnt),((ROW()-41)&lt;=playercnt)),SUMPRODUCT(INDIRECT(ADDRESS(3,ROW()-31,1)):INDIRECT(ADDRESS(22,ROW()-31,1)),AC$3:AC$22),"")</f>
        <v>7</v>
      </c>
      <c r="AD46">
        <f ca="1">IF(AND(((COLUMN()-10)&lt;=playercnt),((ROW()-41)&lt;=playercnt)),SUMPRODUCT(INDIRECT(ADDRESS(3,ROW()-31,1)):INDIRECT(ADDRESS(22,ROW()-31,1)),AD$3:AD$22),"")</f>
        <v>6</v>
      </c>
      <c r="AE46">
        <f ca="1">IF(AND(((COLUMN()-10)&lt;=playercnt),((ROW()-41)&lt;=playercnt)),SUMPRODUCT(INDIRECT(ADDRESS(3,ROW()-31,1)):INDIRECT(ADDRESS(22,ROW()-31,1)),AE$3:AE$22),"")</f>
        <v>4</v>
      </c>
      <c r="AF46">
        <f ca="1">IF(AND(((COLUMN()-10)&lt;=playercnt),((ROW()-41)&lt;=playercnt)),SUMPRODUCT(INDIRECT(ADDRESS(3,ROW()-31,1)):INDIRECT(ADDRESS(22,ROW()-31,1)),AF$3:AF$22),"")</f>
        <v>6</v>
      </c>
      <c r="AG46">
        <f ca="1">IF(AND(((COLUMN()-10)&lt;=playercnt),((ROW()-41)&lt;=playercnt)),SUMPRODUCT(INDIRECT(ADDRESS(3,ROW()-31,1)):INDIRECT(ADDRESS(22,ROW()-31,1)),AG$3:AG$22),"")</f>
        <v>6</v>
      </c>
      <c r="AH46">
        <f ca="1">IF(AND(((COLUMN()-10)&lt;=playercnt),((ROW()-41)&lt;=playercnt)),SUMPRODUCT(INDIRECT(ADDRESS(3,ROW()-31,1)):INDIRECT(ADDRESS(22,ROW()-31,1)),AH$3:AH$22),"")</f>
        <v>6</v>
      </c>
      <c r="AI46">
        <f ca="1">IF(AND(((COLUMN()-10)&lt;=playercnt),((ROW()-41)&lt;=playercnt)),SUMPRODUCT(INDIRECT(ADDRESS(3,ROW()-31,1)):INDIRECT(ADDRESS(22,ROW()-31,1)),AI$3:AI$22),"")</f>
        <v>5</v>
      </c>
      <c r="AJ46">
        <f ca="1">IF(AND(((COLUMN()-10)&lt;=playercnt),((ROW()-41)&lt;=playercnt)),SUMPRODUCT(INDIRECT(ADDRESS(3,ROW()-31,1)):INDIRECT(ADDRESS(22,ROW()-31,1)),AJ$3:AJ$22),"")</f>
        <v>4</v>
      </c>
      <c r="AK46">
        <f ca="1">IF(AND(((COLUMN()-10)&lt;=playercnt),((ROW()-41)&lt;=playercnt)),SUMPRODUCT(INDIRECT(ADDRESS(3,ROW()-31,1)):INDIRECT(ADDRESS(22,ROW()-31,1)),AK$3:AK$22),"")</f>
        <v>6</v>
      </c>
      <c r="AL46">
        <f ca="1">IF(AND(((COLUMN()-10)&lt;=playercnt),((ROW()-41)&lt;=playercnt)),SUMPRODUCT(INDIRECT(ADDRESS(3,ROW()-31,1)):INDIRECT(ADDRESS(22,ROW()-31,1)),AL$3:AL$22),"")</f>
        <v>4</v>
      </c>
      <c r="AM46">
        <f ca="1">IF(AND(((COLUMN()-10)&lt;=playercnt),((ROW()-41)&lt;=playercnt)),SUMPRODUCT(INDIRECT(ADDRESS(3,ROW()-31,1)):INDIRECT(ADDRESS(22,ROW()-31,1)),AM$3:AM$22),"")</f>
        <v>5</v>
      </c>
      <c r="AN46">
        <f ca="1">IF(AND(((COLUMN()-10)&lt;=playercnt),((ROW()-41)&lt;=playercnt)),SUMPRODUCT(INDIRECT(ADDRESS(3,ROW()-31,1)):INDIRECT(ADDRESS(22,ROW()-31,1)),AN$3:AN$22),"")</f>
        <v>6</v>
      </c>
      <c r="AO46">
        <f ca="1">IF(AND(((COLUMN()-10)&lt;=playercnt),((ROW()-41)&lt;=playercnt)),SUMPRODUCT(INDIRECT(ADDRESS(3,ROW()-31,1)):INDIRECT(ADDRESS(22,ROW()-31,1)),AO$3:AO$22),"")</f>
        <v>6</v>
      </c>
      <c r="AP46">
        <f ca="1">IF(AND(((COLUMN()-10)&lt;=playercnt),((ROW()-41)&lt;=playercnt)),SUMPRODUCT(INDIRECT(ADDRESS(3,ROW()-31,1)):INDIRECT(ADDRESS(22,ROW()-31,1)),AP$3:AP$22),"")</f>
        <v>3</v>
      </c>
      <c r="AQ46">
        <f ca="1">IF(AND(((COLUMN()-10)&lt;=playercnt),((ROW()-41)&lt;=playercnt)),SUMPRODUCT(INDIRECT(ADDRESS(3,ROW()-31,1)):INDIRECT(ADDRESS(22,ROW()-31,1)),AQ$3:AQ$22),"")</f>
        <v>3</v>
      </c>
      <c r="AR46">
        <f ca="1">IF(AND(((COLUMN()-10)&lt;=playercnt),((ROW()-41)&lt;=playercnt)),SUMPRODUCT(INDIRECT(ADDRESS(3,ROW()-31,1)):INDIRECT(ADDRESS(22,ROW()-31,1)),AR$3:AR$22),"")</f>
        <v>6</v>
      </c>
      <c r="AS46">
        <f ca="1">IF(AND(((COLUMN()-10)&lt;=playercnt),((ROW()-41)&lt;=playercnt)),SUMPRODUCT(INDIRECT(ADDRESS(3,ROW()-31,1)):INDIRECT(ADDRESS(22,ROW()-31,1)),AS$3:AS$22),"")</f>
        <v>6</v>
      </c>
      <c r="AT46">
        <f ca="1">IF(AND(((COLUMN()-10)&lt;=playercnt),((ROW()-41)&lt;=playercnt)),SUMPRODUCT(INDIRECT(ADDRESS(3,ROW()-31,1)):INDIRECT(ADDRESS(22,ROW()-31,1)),AT$3:AT$22),"")</f>
        <v>5</v>
      </c>
      <c r="AU46">
        <f ca="1">IF(AND(((COLUMN()-10)&lt;=playercnt),((ROW()-41)&lt;=playercnt)),SUMPRODUCT(INDIRECT(ADDRESS(3,ROW()-31,1)):INDIRECT(ADDRESS(22,ROW()-31,1)),AU$3:AU$22),"")</f>
        <v>5</v>
      </c>
      <c r="AV46">
        <f ca="1">IF(AND(((COLUMN()-10)&lt;=playercnt),((ROW()-41)&lt;=playercnt)),SUMPRODUCT(INDIRECT(ADDRESS(3,ROW()-31,1)):INDIRECT(ADDRESS(22,ROW()-31,1)),AV$3:AV$22),"")</f>
        <v>3</v>
      </c>
      <c r="AW46">
        <f ca="1">IF(AND(((COLUMN()-10)&lt;=playercnt),((ROW()-41)&lt;=playercnt)),SUMPRODUCT(INDIRECT(ADDRESS(3,ROW()-31,1)):INDIRECT(ADDRESS(22,ROW()-31,1)),AW$3:AW$22),"")</f>
        <v>5</v>
      </c>
      <c r="AX46">
        <f ca="1">IF(AND(((COLUMN()-10)&lt;=playercnt),((ROW()-41)&lt;=playercnt)),SUMPRODUCT(INDIRECT(ADDRESS(3,ROW()-31,1)):INDIRECT(ADDRESS(22,ROW()-31,1)),AX$3:AX$22),"")</f>
        <v>5</v>
      </c>
      <c r="AY46">
        <f ca="1">IF(AND(((COLUMN()-10)&lt;=playercnt),((ROW()-41)&lt;=playercnt)),SUMPRODUCT(INDIRECT(ADDRESS(3,ROW()-31,1)):INDIRECT(ADDRESS(22,ROW()-31,1)),AY$3:AY$22),"")</f>
        <v>7</v>
      </c>
      <c r="AZ46">
        <f ca="1">IF(AND(((COLUMN()-10)&lt;=playercnt),((ROW()-41)&lt;=playercnt)),SUMPRODUCT(INDIRECT(ADDRESS(3,ROW()-31,1)):INDIRECT(ADDRESS(22,ROW()-31,1)),AZ$3:AZ$22),"")</f>
        <v>8</v>
      </c>
      <c r="BA46">
        <f ca="1">IF(AND(((COLUMN()-10)&lt;=playercnt),((ROW()-41)&lt;=playercnt)),SUMPRODUCT(INDIRECT(ADDRESS(3,ROW()-31,1)):INDIRECT(ADDRESS(22,ROW()-31,1)),BA$3:BA$22),"")</f>
        <v>3</v>
      </c>
      <c r="BB46">
        <f ca="1">IF(AND(((COLUMN()-10)&lt;=playercnt),((ROW()-41)&lt;=playercnt)),SUMPRODUCT(INDIRECT(ADDRESS(3,ROW()-31,1)):INDIRECT(ADDRESS(22,ROW()-31,1)),BB$3:BB$22),"")</f>
        <v>4</v>
      </c>
      <c r="BC46">
        <f ca="1">IF(AND(((COLUMN()-10)&lt;=playercnt),((ROW()-41)&lt;=playercnt)),SUMPRODUCT(INDIRECT(ADDRESS(3,ROW()-31,1)):INDIRECT(ADDRESS(22,ROW()-31,1)),BC$3:BC$22),"")</f>
        <v>4</v>
      </c>
      <c r="BD46">
        <f ca="1">IF(AND(((COLUMN()-10)&lt;=playercnt),((ROW()-41)&lt;=playercnt)),SUMPRODUCT(INDIRECT(ADDRESS(3,ROW()-31,1)):INDIRECT(ADDRESS(22,ROW()-31,1)),BD$3:BD$22),"")</f>
        <v>5</v>
      </c>
      <c r="BE46">
        <f ca="1">IF(AND(((COLUMN()-10)&lt;=playercnt),((ROW()-41)&lt;=playercnt)),SUMPRODUCT(INDIRECT(ADDRESS(3,ROW()-31,1)):INDIRECT(ADDRESS(22,ROW()-31,1)),BE$3:BE$22),"")</f>
        <v>6</v>
      </c>
      <c r="BF46">
        <f ca="1">IF(AND(((COLUMN()-10)&lt;=playercnt),((ROW()-41)&lt;=playercnt)),SUMPRODUCT(INDIRECT(ADDRESS(3,ROW()-31,1)):INDIRECT(ADDRESS(22,ROW()-31,1)),BF$3:BF$22),"")</f>
        <v>4</v>
      </c>
      <c r="BG46">
        <f ca="1">IF(AND(((COLUMN()-10)&lt;=playercnt),((ROW()-41)&lt;=playercnt)),SUMPRODUCT(INDIRECT(ADDRESS(3,ROW()-31,1)):INDIRECT(ADDRESS(22,ROW()-31,1)),BG$3:BG$22),"")</f>
        <v>3</v>
      </c>
      <c r="BH46">
        <f ca="1">IF(AND(((COLUMN()-10)&lt;=playercnt),((ROW()-41)&lt;=playercnt)),SUMPRODUCT(INDIRECT(ADDRESS(3,ROW()-31,1)):INDIRECT(ADDRESS(22,ROW()-31,1)),BH$3:BH$22),"")</f>
        <v>4</v>
      </c>
      <c r="BI46">
        <f ca="1">IF(AND(((COLUMN()-10)&lt;=playercnt),((ROW()-41)&lt;=playercnt)),SUMPRODUCT(INDIRECT(ADDRESS(3,ROW()-31,1)):INDIRECT(ADDRESS(22,ROW()-31,1)),BI$3:BI$22),"")</f>
        <v>3</v>
      </c>
      <c r="BJ46">
        <f ca="1">IF(AND(((COLUMN()-10)&lt;=playercnt),((ROW()-41)&lt;=playercnt)),SUMPRODUCT(INDIRECT(ADDRESS(3,ROW()-31,1)):INDIRECT(ADDRESS(22,ROW()-31,1)),BJ$3:BJ$22),"")</f>
        <v>5</v>
      </c>
      <c r="BK46">
        <f ca="1">IF(AND(((COLUMN()-10)&lt;=playercnt),((ROW()-41)&lt;=playercnt)),SUMPRODUCT(INDIRECT(ADDRESS(3,ROW()-31,1)):INDIRECT(ADDRESS(22,ROW()-31,1)),BK$3:BK$22),"")</f>
        <v>6</v>
      </c>
      <c r="BL46">
        <f ca="1">IF(AND(((COLUMN()-10)&lt;=playercnt),((ROW()-41)&lt;=playercnt)),SUMPRODUCT(INDIRECT(ADDRESS(3,ROW()-31,1)):INDIRECT(ADDRESS(22,ROW()-31,1)),BL$3:BL$22),"")</f>
        <v>6</v>
      </c>
      <c r="BM46">
        <f ca="1">IF(AND(((COLUMN()-10)&lt;=playercnt),((ROW()-41)&lt;=playercnt)),SUMPRODUCT(INDIRECT(ADDRESS(3,ROW()-31,1)):INDIRECT(ADDRESS(22,ROW()-31,1)),BM$3:BM$22),"")</f>
        <v>4</v>
      </c>
      <c r="BN46">
        <f ca="1">IF(AND(((COLUMN()-10)&lt;=playercnt),((ROW()-41)&lt;=playercnt)),SUMPRODUCT(INDIRECT(ADDRESS(3,ROW()-31,1)):INDIRECT(ADDRESS(22,ROW()-31,1)),BN$3:BN$22),"")</f>
        <v>2</v>
      </c>
    </row>
    <row r="47" spans="1:66">
      <c r="B47" s="27">
        <f t="shared" ca="1" si="23"/>
        <v>5.2181818181818178</v>
      </c>
      <c r="C47" t="str">
        <f t="shared" ca="1" si="22"/>
        <v>Carroll, Adam</v>
      </c>
      <c r="G47">
        <f ca="1">IF(AND(((COLUMN()-10)&lt;=playercnt),((ROW()-41)&lt;=playercnt)),SUMPRODUCT(INDIRECT(ADDRESS(3,ROW()-31,1)):INDIRECT(ADDRESS(22,ROW()-31,1)),G$3:G$22),"")</f>
        <v>6</v>
      </c>
      <c r="H47">
        <f ca="1">IF(AND(((COLUMN()-10)&lt;=playercnt),((ROW()-41)&lt;=playercnt)),SUMPRODUCT(INDIRECT(ADDRESS(3,ROW()-31,1)):INDIRECT(ADDRESS(22,ROW()-31,1)),H$3:H$22),"")</f>
        <v>7</v>
      </c>
      <c r="I47">
        <f ca="1">IF(AND(((COLUMN()-10)&lt;=playercnt),((ROW()-41)&lt;=playercnt)),SUMPRODUCT(INDIRECT(ADDRESS(3,ROW()-31,1)):INDIRECT(ADDRESS(22,ROW()-31,1)),I$3:I$22),"")</f>
        <v>5</v>
      </c>
      <c r="J47">
        <f ca="1">IF(AND(((COLUMN()-10)&lt;=playercnt),((ROW()-41)&lt;=playercnt)),SUMPRODUCT(INDIRECT(ADDRESS(3,ROW()-31,1)):INDIRECT(ADDRESS(22,ROW()-31,1)),J$3:J$22),"")</f>
        <v>0</v>
      </c>
      <c r="K47">
        <f ca="1">IF(AND(((COLUMN()-10)&lt;=playercnt),((ROW()-41)&lt;=playercnt)),SUMPRODUCT(INDIRECT(ADDRESS(3,ROW()-31,1)):INDIRECT(ADDRESS(22,ROW()-31,1)),K$3:K$22),"")</f>
        <v>2</v>
      </c>
      <c r="L47">
        <f ca="1">IF(AND(((COLUMN()-10)&lt;=playercnt),((ROW()-41)&lt;=playercnt)),SUMPRODUCT(INDIRECT(ADDRESS(3,ROW()-31,1)):INDIRECT(ADDRESS(22,ROW()-31,1)),L$3:L$22),"")</f>
        <v>7</v>
      </c>
      <c r="M47">
        <f ca="1">IF(AND(((COLUMN()-10)&lt;=playercnt),((ROW()-41)&lt;=playercnt)),SUMPRODUCT(INDIRECT(ADDRESS(3,ROW()-31,1)):INDIRECT(ADDRESS(22,ROW()-31,1)),M$3:M$22),"")</f>
        <v>5</v>
      </c>
      <c r="N47">
        <f ca="1">IF(AND(((COLUMN()-10)&lt;=playercnt),((ROW()-41)&lt;=playercnt)),SUMPRODUCT(INDIRECT(ADDRESS(3,ROW()-31,1)):INDIRECT(ADDRESS(22,ROW()-31,1)),N$3:N$22),"")</f>
        <v>5</v>
      </c>
      <c r="O47">
        <f ca="1">IF(AND(((COLUMN()-10)&lt;=playercnt),((ROW()-41)&lt;=playercnt)),SUMPRODUCT(INDIRECT(ADDRESS(3,ROW()-31,1)):INDIRECT(ADDRESS(22,ROW()-31,1)),O$3:O$22),"")</f>
        <v>3</v>
      </c>
      <c r="P47">
        <f ca="1">IF(AND(((COLUMN()-10)&lt;=playercnt),((ROW()-41)&lt;=playercnt)),SUMPRODUCT(INDIRECT(ADDRESS(3,ROW()-31,1)):INDIRECT(ADDRESS(22,ROW()-31,1)),P$3:P$22),"")</f>
        <v>10</v>
      </c>
      <c r="Q47">
        <f ca="1">IF(AND(((COLUMN()-10)&lt;=playercnt),((ROW()-41)&lt;=playercnt)),SUMPRODUCT(INDIRECT(ADDRESS(3,ROW()-31,1)):INDIRECT(ADDRESS(22,ROW()-31,1)),Q$3:Q$22),"")</f>
        <v>4</v>
      </c>
      <c r="R47">
        <f ca="1">IF(AND(((COLUMN()-10)&lt;=playercnt),((ROW()-41)&lt;=playercnt)),SUMPRODUCT(INDIRECT(ADDRESS(3,ROW()-31,1)):INDIRECT(ADDRESS(22,ROW()-31,1)),R$3:R$22),"")</f>
        <v>6</v>
      </c>
      <c r="S47">
        <f ca="1">IF(AND(((COLUMN()-10)&lt;=playercnt),((ROW()-41)&lt;=playercnt)),SUMPRODUCT(INDIRECT(ADDRESS(3,ROW()-31,1)):INDIRECT(ADDRESS(22,ROW()-31,1)),S$3:S$22),"")</f>
        <v>4</v>
      </c>
      <c r="T47">
        <f ca="1">IF(AND(((COLUMN()-10)&lt;=playercnt),((ROW()-41)&lt;=playercnt)),SUMPRODUCT(INDIRECT(ADDRESS(3,ROW()-31,1)):INDIRECT(ADDRESS(22,ROW()-31,1)),T$3:T$22),"")</f>
        <v>4</v>
      </c>
      <c r="U47">
        <f ca="1">IF(AND(((COLUMN()-10)&lt;=playercnt),((ROW()-41)&lt;=playercnt)),SUMPRODUCT(INDIRECT(ADDRESS(3,ROW()-31,1)):INDIRECT(ADDRESS(22,ROW()-31,1)),U$3:U$22),"")</f>
        <v>5</v>
      </c>
      <c r="V47">
        <f ca="1">IF(AND(((COLUMN()-10)&lt;=playercnt),((ROW()-41)&lt;=playercnt)),SUMPRODUCT(INDIRECT(ADDRESS(3,ROW()-31,1)):INDIRECT(ADDRESS(22,ROW()-31,1)),V$3:V$22),"")</f>
        <v>4</v>
      </c>
      <c r="W47">
        <f ca="1">IF(AND(((COLUMN()-10)&lt;=playercnt),((ROW()-41)&lt;=playercnt)),SUMPRODUCT(INDIRECT(ADDRESS(3,ROW()-31,1)):INDIRECT(ADDRESS(22,ROW()-31,1)),W$3:W$22),"")</f>
        <v>4</v>
      </c>
      <c r="X47">
        <f ca="1">IF(AND(((COLUMN()-10)&lt;=playercnt),((ROW()-41)&lt;=playercnt)),SUMPRODUCT(INDIRECT(ADDRESS(3,ROW()-31,1)):INDIRECT(ADDRESS(22,ROW()-31,1)),X$3:X$22),"")</f>
        <v>4</v>
      </c>
      <c r="Y47">
        <f ca="1">IF(AND(((COLUMN()-10)&lt;=playercnt),((ROW()-41)&lt;=playercnt)),SUMPRODUCT(INDIRECT(ADDRESS(3,ROW()-31,1)):INDIRECT(ADDRESS(22,ROW()-31,1)),Y$3:Y$22),"")</f>
        <v>3</v>
      </c>
      <c r="Z47">
        <f ca="1">IF(AND(((COLUMN()-10)&lt;=playercnt),((ROW()-41)&lt;=playercnt)),SUMPRODUCT(INDIRECT(ADDRESS(3,ROW()-31,1)):INDIRECT(ADDRESS(22,ROW()-31,1)),Z$3:Z$22),"")</f>
        <v>7</v>
      </c>
      <c r="AA47">
        <f ca="1">IF(AND(((COLUMN()-10)&lt;=playercnt),((ROW()-41)&lt;=playercnt)),SUMPRODUCT(INDIRECT(ADDRESS(3,ROW()-31,1)):INDIRECT(ADDRESS(22,ROW()-31,1)),AA$3:AA$22),"")</f>
        <v>5</v>
      </c>
      <c r="AB47">
        <f ca="1">IF(AND(((COLUMN()-10)&lt;=playercnt),((ROW()-41)&lt;=playercnt)),SUMPRODUCT(INDIRECT(ADDRESS(3,ROW()-31,1)):INDIRECT(ADDRESS(22,ROW()-31,1)),AB$3:AB$22),"")</f>
        <v>5</v>
      </c>
      <c r="AC47">
        <f ca="1">IF(AND(((COLUMN()-10)&lt;=playercnt),((ROW()-41)&lt;=playercnt)),SUMPRODUCT(INDIRECT(ADDRESS(3,ROW()-31,1)):INDIRECT(ADDRESS(22,ROW()-31,1)),AC$3:AC$22),"")</f>
        <v>2</v>
      </c>
      <c r="AD47">
        <f ca="1">IF(AND(((COLUMN()-10)&lt;=playercnt),((ROW()-41)&lt;=playercnt)),SUMPRODUCT(INDIRECT(ADDRESS(3,ROW()-31,1)):INDIRECT(ADDRESS(22,ROW()-31,1)),AD$3:AD$22),"")</f>
        <v>5</v>
      </c>
      <c r="AE47">
        <f ca="1">IF(AND(((COLUMN()-10)&lt;=playercnt),((ROW()-41)&lt;=playercnt)),SUMPRODUCT(INDIRECT(ADDRESS(3,ROW()-31,1)):INDIRECT(ADDRESS(22,ROW()-31,1)),AE$3:AE$22),"")</f>
        <v>7</v>
      </c>
      <c r="AF47">
        <f ca="1">IF(AND(((COLUMN()-10)&lt;=playercnt),((ROW()-41)&lt;=playercnt)),SUMPRODUCT(INDIRECT(ADDRESS(3,ROW()-31,1)):INDIRECT(ADDRESS(22,ROW()-31,1)),AF$3:AF$22),"")</f>
        <v>5</v>
      </c>
      <c r="AG47">
        <f ca="1">IF(AND(((COLUMN()-10)&lt;=playercnt),((ROW()-41)&lt;=playercnt)),SUMPRODUCT(INDIRECT(ADDRESS(3,ROW()-31,1)):INDIRECT(ADDRESS(22,ROW()-31,1)),AG$3:AG$22),"")</f>
        <v>3</v>
      </c>
      <c r="AH47">
        <f ca="1">IF(AND(((COLUMN()-10)&lt;=playercnt),((ROW()-41)&lt;=playercnt)),SUMPRODUCT(INDIRECT(ADDRESS(3,ROW()-31,1)):INDIRECT(ADDRESS(22,ROW()-31,1)),AH$3:AH$22),"")</f>
        <v>5</v>
      </c>
      <c r="AI47">
        <f ca="1">IF(AND(((COLUMN()-10)&lt;=playercnt),((ROW()-41)&lt;=playercnt)),SUMPRODUCT(INDIRECT(ADDRESS(3,ROW()-31,1)):INDIRECT(ADDRESS(22,ROW()-31,1)),AI$3:AI$22),"")</f>
        <v>6</v>
      </c>
      <c r="AJ47">
        <f ca="1">IF(AND(((COLUMN()-10)&lt;=playercnt),((ROW()-41)&lt;=playercnt)),SUMPRODUCT(INDIRECT(ADDRESS(3,ROW()-31,1)):INDIRECT(ADDRESS(22,ROW()-31,1)),AJ$3:AJ$22),"")</f>
        <v>5</v>
      </c>
      <c r="AK47">
        <f ca="1">IF(AND(((COLUMN()-10)&lt;=playercnt),((ROW()-41)&lt;=playercnt)),SUMPRODUCT(INDIRECT(ADDRESS(3,ROW()-31,1)):INDIRECT(ADDRESS(22,ROW()-31,1)),AK$3:AK$22),"")</f>
        <v>5</v>
      </c>
      <c r="AL47">
        <f ca="1">IF(AND(((COLUMN()-10)&lt;=playercnt),((ROW()-41)&lt;=playercnt)),SUMPRODUCT(INDIRECT(ADDRESS(3,ROW()-31,1)):INDIRECT(ADDRESS(22,ROW()-31,1)),AL$3:AL$22),"")</f>
        <v>9</v>
      </c>
      <c r="AM47">
        <f ca="1">IF(AND(((COLUMN()-10)&lt;=playercnt),((ROW()-41)&lt;=playercnt)),SUMPRODUCT(INDIRECT(ADDRESS(3,ROW()-31,1)):INDIRECT(ADDRESS(22,ROW()-31,1)),AM$3:AM$22),"")</f>
        <v>4</v>
      </c>
      <c r="AN47">
        <f ca="1">IF(AND(((COLUMN()-10)&lt;=playercnt),((ROW()-41)&lt;=playercnt)),SUMPRODUCT(INDIRECT(ADDRESS(3,ROW()-31,1)):INDIRECT(ADDRESS(22,ROW()-31,1)),AN$3:AN$22),"")</f>
        <v>5</v>
      </c>
      <c r="AO47">
        <f ca="1">IF(AND(((COLUMN()-10)&lt;=playercnt),((ROW()-41)&lt;=playercnt)),SUMPRODUCT(INDIRECT(ADDRESS(3,ROW()-31,1)):INDIRECT(ADDRESS(22,ROW()-31,1)),AO$3:AO$22),"")</f>
        <v>5</v>
      </c>
      <c r="AP47">
        <f ca="1">IF(AND(((COLUMN()-10)&lt;=playercnt),((ROW()-41)&lt;=playercnt)),SUMPRODUCT(INDIRECT(ADDRESS(3,ROW()-31,1)):INDIRECT(ADDRESS(22,ROW()-31,1)),AP$3:AP$22),"")</f>
        <v>8</v>
      </c>
      <c r="AQ47">
        <f ca="1">IF(AND(((COLUMN()-10)&lt;=playercnt),((ROW()-41)&lt;=playercnt)),SUMPRODUCT(INDIRECT(ADDRESS(3,ROW()-31,1)):INDIRECT(ADDRESS(22,ROW()-31,1)),AQ$3:AQ$22),"")</f>
        <v>8</v>
      </c>
      <c r="AR47">
        <f ca="1">IF(AND(((COLUMN()-10)&lt;=playercnt),((ROW()-41)&lt;=playercnt)),SUMPRODUCT(INDIRECT(ADDRESS(3,ROW()-31,1)):INDIRECT(ADDRESS(22,ROW()-31,1)),AR$3:AR$22),"")</f>
        <v>5</v>
      </c>
      <c r="AS47">
        <f ca="1">IF(AND(((COLUMN()-10)&lt;=playercnt),((ROW()-41)&lt;=playercnt)),SUMPRODUCT(INDIRECT(ADDRESS(3,ROW()-31,1)):INDIRECT(ADDRESS(22,ROW()-31,1)),AS$3:AS$22),"")</f>
        <v>3</v>
      </c>
      <c r="AT47">
        <f ca="1">IF(AND(((COLUMN()-10)&lt;=playercnt),((ROW()-41)&lt;=playercnt)),SUMPRODUCT(INDIRECT(ADDRESS(3,ROW()-31,1)):INDIRECT(ADDRESS(22,ROW()-31,1)),AT$3:AT$22),"")</f>
        <v>6</v>
      </c>
      <c r="AU47">
        <f ca="1">IF(AND(((COLUMN()-10)&lt;=playercnt),((ROW()-41)&lt;=playercnt)),SUMPRODUCT(INDIRECT(ADDRESS(3,ROW()-31,1)):INDIRECT(ADDRESS(22,ROW()-31,1)),AU$3:AU$22),"")</f>
        <v>8</v>
      </c>
      <c r="AV47">
        <f ca="1">IF(AND(((COLUMN()-10)&lt;=playercnt),((ROW()-41)&lt;=playercnt)),SUMPRODUCT(INDIRECT(ADDRESS(3,ROW()-31,1)):INDIRECT(ADDRESS(22,ROW()-31,1)),AV$3:AV$22),"")</f>
        <v>6</v>
      </c>
      <c r="AW47">
        <f ca="1">IF(AND(((COLUMN()-10)&lt;=playercnt),((ROW()-41)&lt;=playercnt)),SUMPRODUCT(INDIRECT(ADDRESS(3,ROW()-31,1)):INDIRECT(ADDRESS(22,ROW()-31,1)),AW$3:AW$22),"")</f>
        <v>2</v>
      </c>
      <c r="AX47">
        <f ca="1">IF(AND(((COLUMN()-10)&lt;=playercnt),((ROW()-41)&lt;=playercnt)),SUMPRODUCT(INDIRECT(ADDRESS(3,ROW()-31,1)):INDIRECT(ADDRESS(22,ROW()-31,1)),AX$3:AX$22),"")</f>
        <v>6</v>
      </c>
      <c r="AY47">
        <f ca="1">IF(AND(((COLUMN()-10)&lt;=playercnt),((ROW()-41)&lt;=playercnt)),SUMPRODUCT(INDIRECT(ADDRESS(3,ROW()-31,1)):INDIRECT(ADDRESS(22,ROW()-31,1)),AY$3:AY$22),"")</f>
        <v>6</v>
      </c>
      <c r="AZ47">
        <f ca="1">IF(AND(((COLUMN()-10)&lt;=playercnt),((ROW()-41)&lt;=playercnt)),SUMPRODUCT(INDIRECT(ADDRESS(3,ROW()-31,1)):INDIRECT(ADDRESS(22,ROW()-31,1)),AZ$3:AZ$22),"")</f>
        <v>5</v>
      </c>
      <c r="BA47">
        <f ca="1">IF(AND(((COLUMN()-10)&lt;=playercnt),((ROW()-41)&lt;=playercnt)),SUMPRODUCT(INDIRECT(ADDRESS(3,ROW()-31,1)):INDIRECT(ADDRESS(22,ROW()-31,1)),BA$3:BA$22),"")</f>
        <v>6</v>
      </c>
      <c r="BB47">
        <f ca="1">IF(AND(((COLUMN()-10)&lt;=playercnt),((ROW()-41)&lt;=playercnt)),SUMPRODUCT(INDIRECT(ADDRESS(3,ROW()-31,1)):INDIRECT(ADDRESS(22,ROW()-31,1)),BB$3:BB$22),"")</f>
        <v>7</v>
      </c>
      <c r="BC47">
        <f ca="1">IF(AND(((COLUMN()-10)&lt;=playercnt),((ROW()-41)&lt;=playercnt)),SUMPRODUCT(INDIRECT(ADDRESS(3,ROW()-31,1)):INDIRECT(ADDRESS(22,ROW()-31,1)),BC$3:BC$22),"")</f>
        <v>5</v>
      </c>
      <c r="BD47">
        <f ca="1">IF(AND(((COLUMN()-10)&lt;=playercnt),((ROW()-41)&lt;=playercnt)),SUMPRODUCT(INDIRECT(ADDRESS(3,ROW()-31,1)):INDIRECT(ADDRESS(22,ROW()-31,1)),BD$3:BD$22),"")</f>
        <v>6</v>
      </c>
      <c r="BE47">
        <f ca="1">IF(AND(((COLUMN()-10)&lt;=playercnt),((ROW()-41)&lt;=playercnt)),SUMPRODUCT(INDIRECT(ADDRESS(3,ROW()-31,1)):INDIRECT(ADDRESS(22,ROW()-31,1)),BE$3:BE$22),"")</f>
        <v>5</v>
      </c>
      <c r="BF47">
        <f ca="1">IF(AND(((COLUMN()-10)&lt;=playercnt),((ROW()-41)&lt;=playercnt)),SUMPRODUCT(INDIRECT(ADDRESS(3,ROW()-31,1)):INDIRECT(ADDRESS(22,ROW()-31,1)),BF$3:BF$22),"")</f>
        <v>5</v>
      </c>
      <c r="BG47">
        <f ca="1">IF(AND(((COLUMN()-10)&lt;=playercnt),((ROW()-41)&lt;=playercnt)),SUMPRODUCT(INDIRECT(ADDRESS(3,ROW()-31,1)):INDIRECT(ADDRESS(22,ROW()-31,1)),BG$3:BG$22),"")</f>
        <v>4</v>
      </c>
      <c r="BH47">
        <f ca="1">IF(AND(((COLUMN()-10)&lt;=playercnt),((ROW()-41)&lt;=playercnt)),SUMPRODUCT(INDIRECT(ADDRESS(3,ROW()-31,1)):INDIRECT(ADDRESS(22,ROW()-31,1)),BH$3:BH$22),"")</f>
        <v>5</v>
      </c>
      <c r="BI47">
        <f ca="1">IF(AND(((COLUMN()-10)&lt;=playercnt),((ROW()-41)&lt;=playercnt)),SUMPRODUCT(INDIRECT(ADDRESS(3,ROW()-31,1)):INDIRECT(ADDRESS(22,ROW()-31,1)),BI$3:BI$22),"")</f>
        <v>8</v>
      </c>
      <c r="BJ47">
        <f ca="1">IF(AND(((COLUMN()-10)&lt;=playercnt),((ROW()-41)&lt;=playercnt)),SUMPRODUCT(INDIRECT(ADDRESS(3,ROW()-31,1)):INDIRECT(ADDRESS(22,ROW()-31,1)),BJ$3:BJ$22),"")</f>
        <v>6</v>
      </c>
      <c r="BK47">
        <f ca="1">IF(AND(((COLUMN()-10)&lt;=playercnt),((ROW()-41)&lt;=playercnt)),SUMPRODUCT(INDIRECT(ADDRESS(3,ROW()-31,1)):INDIRECT(ADDRESS(22,ROW()-31,1)),BK$3:BK$22),"")</f>
        <v>5</v>
      </c>
      <c r="BL47">
        <f ca="1">IF(AND(((COLUMN()-10)&lt;=playercnt),((ROW()-41)&lt;=playercnt)),SUMPRODUCT(INDIRECT(ADDRESS(3,ROW()-31,1)):INDIRECT(ADDRESS(22,ROW()-31,1)),BL$3:BL$22),"")</f>
        <v>7</v>
      </c>
      <c r="BM47">
        <f ca="1">IF(AND(((COLUMN()-10)&lt;=playercnt),((ROW()-41)&lt;=playercnt)),SUMPRODUCT(INDIRECT(ADDRESS(3,ROW()-31,1)):INDIRECT(ADDRESS(22,ROW()-31,1)),BM$3:BM$22),"")</f>
        <v>5</v>
      </c>
      <c r="BN47">
        <f ca="1">IF(AND(((COLUMN()-10)&lt;=playercnt),((ROW()-41)&lt;=playercnt)),SUMPRODUCT(INDIRECT(ADDRESS(3,ROW()-31,1)):INDIRECT(ADDRESS(22,ROW()-31,1)),BN$3:BN$22),"")</f>
        <v>7</v>
      </c>
    </row>
    <row r="48" spans="1:66">
      <c r="B48" s="27">
        <f t="shared" ca="1" si="23"/>
        <v>5.4</v>
      </c>
      <c r="C48" t="str">
        <f t="shared" ca="1" si="22"/>
        <v>Daffron, Christopher</v>
      </c>
      <c r="G48">
        <f ca="1">IF(AND(((COLUMN()-10)&lt;=playercnt),((ROW()-41)&lt;=playercnt)),SUMPRODUCT(INDIRECT(ADDRESS(3,ROW()-31,1)):INDIRECT(ADDRESS(22,ROW()-31,1)),G$3:G$22),"")</f>
        <v>6</v>
      </c>
      <c r="H48">
        <f ca="1">IF(AND(((COLUMN()-10)&lt;=playercnt),((ROW()-41)&lt;=playercnt)),SUMPRODUCT(INDIRECT(ADDRESS(3,ROW()-31,1)):INDIRECT(ADDRESS(22,ROW()-31,1)),H$3:H$22),"")</f>
        <v>3</v>
      </c>
      <c r="I48">
        <f ca="1">IF(AND(((COLUMN()-10)&lt;=playercnt),((ROW()-41)&lt;=playercnt)),SUMPRODUCT(INDIRECT(ADDRESS(3,ROW()-31,1)):INDIRECT(ADDRESS(22,ROW()-31,1)),I$3:I$22),"")</f>
        <v>7</v>
      </c>
      <c r="J48">
        <f ca="1">IF(AND(((COLUMN()-10)&lt;=playercnt),((ROW()-41)&lt;=playercnt)),SUMPRODUCT(INDIRECT(ADDRESS(3,ROW()-31,1)):INDIRECT(ADDRESS(22,ROW()-31,1)),J$3:J$22),"")</f>
        <v>0</v>
      </c>
      <c r="K48">
        <f ca="1">IF(AND(((COLUMN()-10)&lt;=playercnt),((ROW()-41)&lt;=playercnt)),SUMPRODUCT(INDIRECT(ADDRESS(3,ROW()-31,1)):INDIRECT(ADDRESS(22,ROW()-31,1)),K$3:K$22),"")</f>
        <v>6</v>
      </c>
      <c r="L48">
        <f ca="1">IF(AND(((COLUMN()-10)&lt;=playercnt),((ROW()-41)&lt;=playercnt)),SUMPRODUCT(INDIRECT(ADDRESS(3,ROW()-31,1)):INDIRECT(ADDRESS(22,ROW()-31,1)),L$3:L$22),"")</f>
        <v>5</v>
      </c>
      <c r="M48">
        <f ca="1">IF(AND(((COLUMN()-10)&lt;=playercnt),((ROW()-41)&lt;=playercnt)),SUMPRODUCT(INDIRECT(ADDRESS(3,ROW()-31,1)):INDIRECT(ADDRESS(22,ROW()-31,1)),M$3:M$22),"")</f>
        <v>9</v>
      </c>
      <c r="N48">
        <f ca="1">IF(AND(((COLUMN()-10)&lt;=playercnt),((ROW()-41)&lt;=playercnt)),SUMPRODUCT(INDIRECT(ADDRESS(3,ROW()-31,1)):INDIRECT(ADDRESS(22,ROW()-31,1)),N$3:N$22),"")</f>
        <v>3</v>
      </c>
      <c r="O48">
        <f ca="1">IF(AND(((COLUMN()-10)&lt;=playercnt),((ROW()-41)&lt;=playercnt)),SUMPRODUCT(INDIRECT(ADDRESS(3,ROW()-31,1)):INDIRECT(ADDRESS(22,ROW()-31,1)),O$3:O$22),"")</f>
        <v>7</v>
      </c>
      <c r="P48">
        <f ca="1">IF(AND(((COLUMN()-10)&lt;=playercnt),((ROW()-41)&lt;=playercnt)),SUMPRODUCT(INDIRECT(ADDRESS(3,ROW()-31,1)):INDIRECT(ADDRESS(22,ROW()-31,1)),P$3:P$22),"")</f>
        <v>4</v>
      </c>
      <c r="Q48">
        <f ca="1">IF(AND(((COLUMN()-10)&lt;=playercnt),((ROW()-41)&lt;=playercnt)),SUMPRODUCT(INDIRECT(ADDRESS(3,ROW()-31,1)):INDIRECT(ADDRESS(22,ROW()-31,1)),Q$3:Q$22),"")</f>
        <v>10</v>
      </c>
      <c r="R48">
        <f ca="1">IF(AND(((COLUMN()-10)&lt;=playercnt),((ROW()-41)&lt;=playercnt)),SUMPRODUCT(INDIRECT(ADDRESS(3,ROW()-31,1)):INDIRECT(ADDRESS(22,ROW()-31,1)),R$3:R$22),"")</f>
        <v>8</v>
      </c>
      <c r="S48">
        <f ca="1">IF(AND(((COLUMN()-10)&lt;=playercnt),((ROW()-41)&lt;=playercnt)),SUMPRODUCT(INDIRECT(ADDRESS(3,ROW()-31,1)):INDIRECT(ADDRESS(22,ROW()-31,1)),S$3:S$22),"")</f>
        <v>4</v>
      </c>
      <c r="T48">
        <f ca="1">IF(AND(((COLUMN()-10)&lt;=playercnt),((ROW()-41)&lt;=playercnt)),SUMPRODUCT(INDIRECT(ADDRESS(3,ROW()-31,1)):INDIRECT(ADDRESS(22,ROW()-31,1)),T$3:T$22),"")</f>
        <v>4</v>
      </c>
      <c r="U48">
        <f ca="1">IF(AND(((COLUMN()-10)&lt;=playercnt),((ROW()-41)&lt;=playercnt)),SUMPRODUCT(INDIRECT(ADDRESS(3,ROW()-31,1)):INDIRECT(ADDRESS(22,ROW()-31,1)),U$3:U$22),"")</f>
        <v>5</v>
      </c>
      <c r="V48">
        <f ca="1">IF(AND(((COLUMN()-10)&lt;=playercnt),((ROW()-41)&lt;=playercnt)),SUMPRODUCT(INDIRECT(ADDRESS(3,ROW()-31,1)):INDIRECT(ADDRESS(22,ROW()-31,1)),V$3:V$22),"")</f>
        <v>4</v>
      </c>
      <c r="W48">
        <f ca="1">IF(AND(((COLUMN()-10)&lt;=playercnt),((ROW()-41)&lt;=playercnt)),SUMPRODUCT(INDIRECT(ADDRESS(3,ROW()-31,1)):INDIRECT(ADDRESS(22,ROW()-31,1)),W$3:W$22),"")</f>
        <v>4</v>
      </c>
      <c r="X48">
        <f ca="1">IF(AND(((COLUMN()-10)&lt;=playercnt),((ROW()-41)&lt;=playercnt)),SUMPRODUCT(INDIRECT(ADDRESS(3,ROW()-31,1)):INDIRECT(ADDRESS(22,ROW()-31,1)),X$3:X$22),"")</f>
        <v>6</v>
      </c>
      <c r="Y48">
        <f ca="1">IF(AND(((COLUMN()-10)&lt;=playercnt),((ROW()-41)&lt;=playercnt)),SUMPRODUCT(INDIRECT(ADDRESS(3,ROW()-31,1)):INDIRECT(ADDRESS(22,ROW()-31,1)),Y$3:Y$22),"")</f>
        <v>7</v>
      </c>
      <c r="Z48">
        <f ca="1">IF(AND(((COLUMN()-10)&lt;=playercnt),((ROW()-41)&lt;=playercnt)),SUMPRODUCT(INDIRECT(ADDRESS(3,ROW()-31,1)):INDIRECT(ADDRESS(22,ROW()-31,1)),Z$3:Z$22),"")</f>
        <v>5</v>
      </c>
      <c r="AA48">
        <f ca="1">IF(AND(((COLUMN()-10)&lt;=playercnt),((ROW()-41)&lt;=playercnt)),SUMPRODUCT(INDIRECT(ADDRESS(3,ROW()-31,1)):INDIRECT(ADDRESS(22,ROW()-31,1)),AA$3:AA$22),"")</f>
        <v>3</v>
      </c>
      <c r="AB48">
        <f ca="1">IF(AND(((COLUMN()-10)&lt;=playercnt),((ROW()-41)&lt;=playercnt)),SUMPRODUCT(INDIRECT(ADDRESS(3,ROW()-31,1)):INDIRECT(ADDRESS(22,ROW()-31,1)),AB$3:AB$22),"")</f>
        <v>7</v>
      </c>
      <c r="AC48">
        <f ca="1">IF(AND(((COLUMN()-10)&lt;=playercnt),((ROW()-41)&lt;=playercnt)),SUMPRODUCT(INDIRECT(ADDRESS(3,ROW()-31,1)):INDIRECT(ADDRESS(22,ROW()-31,1)),AC$3:AC$22),"")</f>
        <v>8</v>
      </c>
      <c r="AD48">
        <f ca="1">IF(AND(((COLUMN()-10)&lt;=playercnt),((ROW()-41)&lt;=playercnt)),SUMPRODUCT(INDIRECT(ADDRESS(3,ROW()-31,1)):INDIRECT(ADDRESS(22,ROW()-31,1)),AD$3:AD$22),"")</f>
        <v>7</v>
      </c>
      <c r="AE48">
        <f ca="1">IF(AND(((COLUMN()-10)&lt;=playercnt),((ROW()-41)&lt;=playercnt)),SUMPRODUCT(INDIRECT(ADDRESS(3,ROW()-31,1)):INDIRECT(ADDRESS(22,ROW()-31,1)),AE$3:AE$22),"")</f>
        <v>3</v>
      </c>
      <c r="AF48">
        <f ca="1">IF(AND(((COLUMN()-10)&lt;=playercnt),((ROW()-41)&lt;=playercnt)),SUMPRODUCT(INDIRECT(ADDRESS(3,ROW()-31,1)):INDIRECT(ADDRESS(22,ROW()-31,1)),AF$3:AF$22),"")</f>
        <v>5</v>
      </c>
      <c r="AG48">
        <f ca="1">IF(AND(((COLUMN()-10)&lt;=playercnt),((ROW()-41)&lt;=playercnt)),SUMPRODUCT(INDIRECT(ADDRESS(3,ROW()-31,1)):INDIRECT(ADDRESS(22,ROW()-31,1)),AG$3:AG$22),"")</f>
        <v>7</v>
      </c>
      <c r="AH48">
        <f ca="1">IF(AND(((COLUMN()-10)&lt;=playercnt),((ROW()-41)&lt;=playercnt)),SUMPRODUCT(INDIRECT(ADDRESS(3,ROW()-31,1)):INDIRECT(ADDRESS(22,ROW()-31,1)),AH$3:AH$22),"")</f>
        <v>7</v>
      </c>
      <c r="AI48">
        <f ca="1">IF(AND(((COLUMN()-10)&lt;=playercnt),((ROW()-41)&lt;=playercnt)),SUMPRODUCT(INDIRECT(ADDRESS(3,ROW()-31,1)):INDIRECT(ADDRESS(22,ROW()-31,1)),AI$3:AI$22),"")</f>
        <v>6</v>
      </c>
      <c r="AJ48">
        <f ca="1">IF(AND(((COLUMN()-10)&lt;=playercnt),((ROW()-41)&lt;=playercnt)),SUMPRODUCT(INDIRECT(ADDRESS(3,ROW()-31,1)):INDIRECT(ADDRESS(22,ROW()-31,1)),AJ$3:AJ$22),"")</f>
        <v>3</v>
      </c>
      <c r="AK48">
        <f ca="1">IF(AND(((COLUMN()-10)&lt;=playercnt),((ROW()-41)&lt;=playercnt)),SUMPRODUCT(INDIRECT(ADDRESS(3,ROW()-31,1)):INDIRECT(ADDRESS(22,ROW()-31,1)),AK$3:AK$22),"")</f>
        <v>7</v>
      </c>
      <c r="AL48">
        <f ca="1">IF(AND(((COLUMN()-10)&lt;=playercnt),((ROW()-41)&lt;=playercnt)),SUMPRODUCT(INDIRECT(ADDRESS(3,ROW()-31,1)):INDIRECT(ADDRESS(22,ROW()-31,1)),AL$3:AL$22),"")</f>
        <v>3</v>
      </c>
      <c r="AM48">
        <f ca="1">IF(AND(((COLUMN()-10)&lt;=playercnt),((ROW()-41)&lt;=playercnt)),SUMPRODUCT(INDIRECT(ADDRESS(3,ROW()-31,1)):INDIRECT(ADDRESS(22,ROW()-31,1)),AM$3:AM$22),"")</f>
        <v>6</v>
      </c>
      <c r="AN48">
        <f ca="1">IF(AND(((COLUMN()-10)&lt;=playercnt),((ROW()-41)&lt;=playercnt)),SUMPRODUCT(INDIRECT(ADDRESS(3,ROW()-31,1)):INDIRECT(ADDRESS(22,ROW()-31,1)),AN$3:AN$22),"")</f>
        <v>5</v>
      </c>
      <c r="AO48">
        <f ca="1">IF(AND(((COLUMN()-10)&lt;=playercnt),((ROW()-41)&lt;=playercnt)),SUMPRODUCT(INDIRECT(ADDRESS(3,ROW()-31,1)):INDIRECT(ADDRESS(22,ROW()-31,1)),AO$3:AO$22),"")</f>
        <v>5</v>
      </c>
      <c r="AP48">
        <f ca="1">IF(AND(((COLUMN()-10)&lt;=playercnt),((ROW()-41)&lt;=playercnt)),SUMPRODUCT(INDIRECT(ADDRESS(3,ROW()-31,1)):INDIRECT(ADDRESS(22,ROW()-31,1)),AP$3:AP$22),"")</f>
        <v>6</v>
      </c>
      <c r="AQ48">
        <f ca="1">IF(AND(((COLUMN()-10)&lt;=playercnt),((ROW()-41)&lt;=playercnt)),SUMPRODUCT(INDIRECT(ADDRESS(3,ROW()-31,1)):INDIRECT(ADDRESS(22,ROW()-31,1)),AQ$3:AQ$22),"")</f>
        <v>2</v>
      </c>
      <c r="AR48">
        <f ca="1">IF(AND(((COLUMN()-10)&lt;=playercnt),((ROW()-41)&lt;=playercnt)),SUMPRODUCT(INDIRECT(ADDRESS(3,ROW()-31,1)):INDIRECT(ADDRESS(22,ROW()-31,1)),AR$3:AR$22),"")</f>
        <v>7</v>
      </c>
      <c r="AS48">
        <f ca="1">IF(AND(((COLUMN()-10)&lt;=playercnt),((ROW()-41)&lt;=playercnt)),SUMPRODUCT(INDIRECT(ADDRESS(3,ROW()-31,1)):INDIRECT(ADDRESS(22,ROW()-31,1)),AS$3:AS$22),"")</f>
        <v>5</v>
      </c>
      <c r="AT48">
        <f ca="1">IF(AND(((COLUMN()-10)&lt;=playercnt),((ROW()-41)&lt;=playercnt)),SUMPRODUCT(INDIRECT(ADDRESS(3,ROW()-31,1)):INDIRECT(ADDRESS(22,ROW()-31,1)),AT$3:AT$22),"")</f>
        <v>8</v>
      </c>
      <c r="AU48">
        <f ca="1">IF(AND(((COLUMN()-10)&lt;=playercnt),((ROW()-41)&lt;=playercnt)),SUMPRODUCT(INDIRECT(ADDRESS(3,ROW()-31,1)):INDIRECT(ADDRESS(22,ROW()-31,1)),AU$3:AU$22),"")</f>
        <v>6</v>
      </c>
      <c r="AV48">
        <f ca="1">IF(AND(((COLUMN()-10)&lt;=playercnt),((ROW()-41)&lt;=playercnt)),SUMPRODUCT(INDIRECT(ADDRESS(3,ROW()-31,1)):INDIRECT(ADDRESS(22,ROW()-31,1)),AV$3:AV$22),"")</f>
        <v>4</v>
      </c>
      <c r="AW48">
        <f ca="1">IF(AND(((COLUMN()-10)&lt;=playercnt),((ROW()-41)&lt;=playercnt)),SUMPRODUCT(INDIRECT(ADDRESS(3,ROW()-31,1)):INDIRECT(ADDRESS(22,ROW()-31,1)),AW$3:AW$22),"")</f>
        <v>4</v>
      </c>
      <c r="AX48">
        <f ca="1">IF(AND(((COLUMN()-10)&lt;=playercnt),((ROW()-41)&lt;=playercnt)),SUMPRODUCT(INDIRECT(ADDRESS(3,ROW()-31,1)):INDIRECT(ADDRESS(22,ROW()-31,1)),AX$3:AX$22),"")</f>
        <v>6</v>
      </c>
      <c r="AY48">
        <f ca="1">IF(AND(((COLUMN()-10)&lt;=playercnt),((ROW()-41)&lt;=playercnt)),SUMPRODUCT(INDIRECT(ADDRESS(3,ROW()-31,1)):INDIRECT(ADDRESS(22,ROW()-31,1)),AY$3:AY$22),"")</f>
        <v>6</v>
      </c>
      <c r="AZ48">
        <f ca="1">IF(AND(((COLUMN()-10)&lt;=playercnt),((ROW()-41)&lt;=playercnt)),SUMPRODUCT(INDIRECT(ADDRESS(3,ROW()-31,1)):INDIRECT(ADDRESS(22,ROW()-31,1)),AZ$3:AZ$22),"")</f>
        <v>7</v>
      </c>
      <c r="BA48">
        <f ca="1">IF(AND(((COLUMN()-10)&lt;=playercnt),((ROW()-41)&lt;=playercnt)),SUMPRODUCT(INDIRECT(ADDRESS(3,ROW()-31,1)):INDIRECT(ADDRESS(22,ROW()-31,1)),BA$3:BA$22),"")</f>
        <v>4</v>
      </c>
      <c r="BB48">
        <f ca="1">IF(AND(((COLUMN()-10)&lt;=playercnt),((ROW()-41)&lt;=playercnt)),SUMPRODUCT(INDIRECT(ADDRESS(3,ROW()-31,1)):INDIRECT(ADDRESS(22,ROW()-31,1)),BB$3:BB$22),"")</f>
        <v>5</v>
      </c>
      <c r="BC48">
        <f ca="1">IF(AND(((COLUMN()-10)&lt;=playercnt),((ROW()-41)&lt;=playercnt)),SUMPRODUCT(INDIRECT(ADDRESS(3,ROW()-31,1)):INDIRECT(ADDRESS(22,ROW()-31,1)),BC$3:BC$22),"")</f>
        <v>5</v>
      </c>
      <c r="BD48">
        <f ca="1">IF(AND(((COLUMN()-10)&lt;=playercnt),((ROW()-41)&lt;=playercnt)),SUMPRODUCT(INDIRECT(ADDRESS(3,ROW()-31,1)):INDIRECT(ADDRESS(22,ROW()-31,1)),BD$3:BD$22),"")</f>
        <v>6</v>
      </c>
      <c r="BE48">
        <f ca="1">IF(AND(((COLUMN()-10)&lt;=playercnt),((ROW()-41)&lt;=playercnt)),SUMPRODUCT(INDIRECT(ADDRESS(3,ROW()-31,1)):INDIRECT(ADDRESS(22,ROW()-31,1)),BE$3:BE$22),"")</f>
        <v>7</v>
      </c>
      <c r="BF48">
        <f ca="1">IF(AND(((COLUMN()-10)&lt;=playercnt),((ROW()-41)&lt;=playercnt)),SUMPRODUCT(INDIRECT(ADDRESS(3,ROW()-31,1)):INDIRECT(ADDRESS(22,ROW()-31,1)),BF$3:BF$22),"")</f>
        <v>7</v>
      </c>
      <c r="BG48">
        <f ca="1">IF(AND(((COLUMN()-10)&lt;=playercnt),((ROW()-41)&lt;=playercnt)),SUMPRODUCT(INDIRECT(ADDRESS(3,ROW()-31,1)):INDIRECT(ADDRESS(22,ROW()-31,1)),BG$3:BG$22),"")</f>
        <v>4</v>
      </c>
      <c r="BH48">
        <f ca="1">IF(AND(((COLUMN()-10)&lt;=playercnt),((ROW()-41)&lt;=playercnt)),SUMPRODUCT(INDIRECT(ADDRESS(3,ROW()-31,1)):INDIRECT(ADDRESS(22,ROW()-31,1)),BH$3:BH$22),"")</f>
        <v>5</v>
      </c>
      <c r="BI48">
        <f ca="1">IF(AND(((COLUMN()-10)&lt;=playercnt),((ROW()-41)&lt;=playercnt)),SUMPRODUCT(INDIRECT(ADDRESS(3,ROW()-31,1)):INDIRECT(ADDRESS(22,ROW()-31,1)),BI$3:BI$22),"")</f>
        <v>4</v>
      </c>
      <c r="BJ48">
        <f ca="1">IF(AND(((COLUMN()-10)&lt;=playercnt),((ROW()-41)&lt;=playercnt)),SUMPRODUCT(INDIRECT(ADDRESS(3,ROW()-31,1)):INDIRECT(ADDRESS(22,ROW()-31,1)),BJ$3:BJ$22),"")</f>
        <v>6</v>
      </c>
      <c r="BK48">
        <f ca="1">IF(AND(((COLUMN()-10)&lt;=playercnt),((ROW()-41)&lt;=playercnt)),SUMPRODUCT(INDIRECT(ADDRESS(3,ROW()-31,1)):INDIRECT(ADDRESS(22,ROW()-31,1)),BK$3:BK$22),"")</f>
        <v>5</v>
      </c>
      <c r="BL48">
        <f ca="1">IF(AND(((COLUMN()-10)&lt;=playercnt),((ROW()-41)&lt;=playercnt)),SUMPRODUCT(INDIRECT(ADDRESS(3,ROW()-31,1)):INDIRECT(ADDRESS(22,ROW()-31,1)),BL$3:BL$22),"")</f>
        <v>5</v>
      </c>
      <c r="BM48">
        <f ca="1">IF(AND(((COLUMN()-10)&lt;=playercnt),((ROW()-41)&lt;=playercnt)),SUMPRODUCT(INDIRECT(ADDRESS(3,ROW()-31,1)):INDIRECT(ADDRESS(22,ROW()-31,1)),BM$3:BM$22),"")</f>
        <v>5</v>
      </c>
      <c r="BN48">
        <f ca="1">IF(AND(((COLUMN()-10)&lt;=playercnt),((ROW()-41)&lt;=playercnt)),SUMPRODUCT(INDIRECT(ADDRESS(3,ROW()-31,1)):INDIRECT(ADDRESS(22,ROW()-31,1)),BN$3:BN$22),"")</f>
        <v>5</v>
      </c>
    </row>
    <row r="49" spans="1:66">
      <c r="B49" s="27">
        <f t="shared" ca="1" si="23"/>
        <v>6.0181818181818185</v>
      </c>
      <c r="C49" t="str">
        <f t="shared" ca="1" si="22"/>
        <v>Delehanty, Kyle T</v>
      </c>
      <c r="G49">
        <f ca="1">IF(AND(((COLUMN()-10)&lt;=playercnt),((ROW()-41)&lt;=playercnt)),SUMPRODUCT(INDIRECT(ADDRESS(3,ROW()-31,1)):INDIRECT(ADDRESS(22,ROW()-31,1)),G$3:G$22),"")</f>
        <v>6</v>
      </c>
      <c r="H49">
        <f ca="1">IF(AND(((COLUMN()-10)&lt;=playercnt),((ROW()-41)&lt;=playercnt)),SUMPRODUCT(INDIRECT(ADDRESS(3,ROW()-31,1)):INDIRECT(ADDRESS(22,ROW()-31,1)),H$3:H$22),"")</f>
        <v>5</v>
      </c>
      <c r="I49">
        <f ca="1">IF(AND(((COLUMN()-10)&lt;=playercnt),((ROW()-41)&lt;=playercnt)),SUMPRODUCT(INDIRECT(ADDRESS(3,ROW()-31,1)):INDIRECT(ADDRESS(22,ROW()-31,1)),I$3:I$22),"")</f>
        <v>9</v>
      </c>
      <c r="J49">
        <f ca="1">IF(AND(((COLUMN()-10)&lt;=playercnt),((ROW()-41)&lt;=playercnt)),SUMPRODUCT(INDIRECT(ADDRESS(3,ROW()-31,1)):INDIRECT(ADDRESS(22,ROW()-31,1)),J$3:J$22),"")</f>
        <v>0</v>
      </c>
      <c r="K49">
        <f ca="1">IF(AND(((COLUMN()-10)&lt;=playercnt),((ROW()-41)&lt;=playercnt)),SUMPRODUCT(INDIRECT(ADDRESS(3,ROW()-31,1)):INDIRECT(ADDRESS(22,ROW()-31,1)),K$3:K$22),"")</f>
        <v>6</v>
      </c>
      <c r="L49">
        <f ca="1">IF(AND(((COLUMN()-10)&lt;=playercnt),((ROW()-41)&lt;=playercnt)),SUMPRODUCT(INDIRECT(ADDRESS(3,ROW()-31,1)):INDIRECT(ADDRESS(22,ROW()-31,1)),L$3:L$22),"")</f>
        <v>7</v>
      </c>
      <c r="M49">
        <f ca="1">IF(AND(((COLUMN()-10)&lt;=playercnt),((ROW()-41)&lt;=playercnt)),SUMPRODUCT(INDIRECT(ADDRESS(3,ROW()-31,1)):INDIRECT(ADDRESS(22,ROW()-31,1)),M$3:M$22),"")</f>
        <v>9</v>
      </c>
      <c r="N49">
        <f ca="1">IF(AND(((COLUMN()-10)&lt;=playercnt),((ROW()-41)&lt;=playercnt)),SUMPRODUCT(INDIRECT(ADDRESS(3,ROW()-31,1)):INDIRECT(ADDRESS(22,ROW()-31,1)),N$3:N$22),"")</f>
        <v>5</v>
      </c>
      <c r="O49">
        <f ca="1">IF(AND(((COLUMN()-10)&lt;=playercnt),((ROW()-41)&lt;=playercnt)),SUMPRODUCT(INDIRECT(ADDRESS(3,ROW()-31,1)):INDIRECT(ADDRESS(22,ROW()-31,1)),O$3:O$22),"")</f>
        <v>5</v>
      </c>
      <c r="P49">
        <f ca="1">IF(AND(((COLUMN()-10)&lt;=playercnt),((ROW()-41)&lt;=playercnt)),SUMPRODUCT(INDIRECT(ADDRESS(3,ROW()-31,1)):INDIRECT(ADDRESS(22,ROW()-31,1)),P$3:P$22),"")</f>
        <v>6</v>
      </c>
      <c r="Q49">
        <f ca="1">IF(AND(((COLUMN()-10)&lt;=playercnt),((ROW()-41)&lt;=playercnt)),SUMPRODUCT(INDIRECT(ADDRESS(3,ROW()-31,1)):INDIRECT(ADDRESS(22,ROW()-31,1)),Q$3:Q$22),"")</f>
        <v>8</v>
      </c>
      <c r="R49">
        <f ca="1">IF(AND(((COLUMN()-10)&lt;=playercnt),((ROW()-41)&lt;=playercnt)),SUMPRODUCT(INDIRECT(ADDRESS(3,ROW()-31,1)):INDIRECT(ADDRESS(22,ROW()-31,1)),R$3:R$22),"")</f>
        <v>10</v>
      </c>
      <c r="S49">
        <f ca="1">IF(AND(((COLUMN()-10)&lt;=playercnt),((ROW()-41)&lt;=playercnt)),SUMPRODUCT(INDIRECT(ADDRESS(3,ROW()-31,1)):INDIRECT(ADDRESS(22,ROW()-31,1)),S$3:S$22),"")</f>
        <v>4</v>
      </c>
      <c r="T49">
        <f ca="1">IF(AND(((COLUMN()-10)&lt;=playercnt),((ROW()-41)&lt;=playercnt)),SUMPRODUCT(INDIRECT(ADDRESS(3,ROW()-31,1)):INDIRECT(ADDRESS(22,ROW()-31,1)),T$3:T$22),"")</f>
        <v>4</v>
      </c>
      <c r="U49">
        <f ca="1">IF(AND(((COLUMN()-10)&lt;=playercnt),((ROW()-41)&lt;=playercnt)),SUMPRODUCT(INDIRECT(ADDRESS(3,ROW()-31,1)):INDIRECT(ADDRESS(22,ROW()-31,1)),U$3:U$22),"")</f>
        <v>7</v>
      </c>
      <c r="V49">
        <f ca="1">IF(AND(((COLUMN()-10)&lt;=playercnt),((ROW()-41)&lt;=playercnt)),SUMPRODUCT(INDIRECT(ADDRESS(3,ROW()-31,1)):INDIRECT(ADDRESS(22,ROW()-31,1)),V$3:V$22),"")</f>
        <v>6</v>
      </c>
      <c r="W49">
        <f ca="1">IF(AND(((COLUMN()-10)&lt;=playercnt),((ROW()-41)&lt;=playercnt)),SUMPRODUCT(INDIRECT(ADDRESS(3,ROW()-31,1)):INDIRECT(ADDRESS(22,ROW()-31,1)),W$3:W$22),"")</f>
        <v>6</v>
      </c>
      <c r="X49">
        <f ca="1">IF(AND(((COLUMN()-10)&lt;=playercnt),((ROW()-41)&lt;=playercnt)),SUMPRODUCT(INDIRECT(ADDRESS(3,ROW()-31,1)):INDIRECT(ADDRESS(22,ROW()-31,1)),X$3:X$22),"")</f>
        <v>8</v>
      </c>
      <c r="Y49">
        <f ca="1">IF(AND(((COLUMN()-10)&lt;=playercnt),((ROW()-41)&lt;=playercnt)),SUMPRODUCT(INDIRECT(ADDRESS(3,ROW()-31,1)):INDIRECT(ADDRESS(22,ROW()-31,1)),Y$3:Y$22),"")</f>
        <v>5</v>
      </c>
      <c r="Z49">
        <f ca="1">IF(AND(((COLUMN()-10)&lt;=playercnt),((ROW()-41)&lt;=playercnt)),SUMPRODUCT(INDIRECT(ADDRESS(3,ROW()-31,1)):INDIRECT(ADDRESS(22,ROW()-31,1)),Z$3:Z$22),"")</f>
        <v>3</v>
      </c>
      <c r="AA49">
        <f ca="1">IF(AND(((COLUMN()-10)&lt;=playercnt),((ROW()-41)&lt;=playercnt)),SUMPRODUCT(INDIRECT(ADDRESS(3,ROW()-31,1)):INDIRECT(ADDRESS(22,ROW()-31,1)),AA$3:AA$22),"")</f>
        <v>5</v>
      </c>
      <c r="AB49">
        <f ca="1">IF(AND(((COLUMN()-10)&lt;=playercnt),((ROW()-41)&lt;=playercnt)),SUMPRODUCT(INDIRECT(ADDRESS(3,ROW()-31,1)):INDIRECT(ADDRESS(22,ROW()-31,1)),AB$3:AB$22),"")</f>
        <v>7</v>
      </c>
      <c r="AC49">
        <f ca="1">IF(AND(((COLUMN()-10)&lt;=playercnt),((ROW()-41)&lt;=playercnt)),SUMPRODUCT(INDIRECT(ADDRESS(3,ROW()-31,1)):INDIRECT(ADDRESS(22,ROW()-31,1)),AC$3:AC$22),"")</f>
        <v>6</v>
      </c>
      <c r="AD49">
        <f ca="1">IF(AND(((COLUMN()-10)&lt;=playercnt),((ROW()-41)&lt;=playercnt)),SUMPRODUCT(INDIRECT(ADDRESS(3,ROW()-31,1)):INDIRECT(ADDRESS(22,ROW()-31,1)),AD$3:AD$22),"")</f>
        <v>9</v>
      </c>
      <c r="AE49">
        <f ca="1">IF(AND(((COLUMN()-10)&lt;=playercnt),((ROW()-41)&lt;=playercnt)),SUMPRODUCT(INDIRECT(ADDRESS(3,ROW()-31,1)):INDIRECT(ADDRESS(22,ROW()-31,1)),AE$3:AE$22),"")</f>
        <v>5</v>
      </c>
      <c r="AF49">
        <f ca="1">IF(AND(((COLUMN()-10)&lt;=playercnt),((ROW()-41)&lt;=playercnt)),SUMPRODUCT(INDIRECT(ADDRESS(3,ROW()-31,1)):INDIRECT(ADDRESS(22,ROW()-31,1)),AF$3:AF$22),"")</f>
        <v>5</v>
      </c>
      <c r="AG49">
        <f ca="1">IF(AND(((COLUMN()-10)&lt;=playercnt),((ROW()-41)&lt;=playercnt)),SUMPRODUCT(INDIRECT(ADDRESS(3,ROW()-31,1)):INDIRECT(ADDRESS(22,ROW()-31,1)),AG$3:AG$22),"")</f>
        <v>7</v>
      </c>
      <c r="AH49">
        <f ca="1">IF(AND(((COLUMN()-10)&lt;=playercnt),((ROW()-41)&lt;=playercnt)),SUMPRODUCT(INDIRECT(ADDRESS(3,ROW()-31,1)):INDIRECT(ADDRESS(22,ROW()-31,1)),AH$3:AH$22),"")</f>
        <v>7</v>
      </c>
      <c r="AI49">
        <f ca="1">IF(AND(((COLUMN()-10)&lt;=playercnt),((ROW()-41)&lt;=playercnt)),SUMPRODUCT(INDIRECT(ADDRESS(3,ROW()-31,1)):INDIRECT(ADDRESS(22,ROW()-31,1)),AI$3:AI$22),"")</f>
        <v>6</v>
      </c>
      <c r="AJ49">
        <f ca="1">IF(AND(((COLUMN()-10)&lt;=playercnt),((ROW()-41)&lt;=playercnt)),SUMPRODUCT(INDIRECT(ADDRESS(3,ROW()-31,1)):INDIRECT(ADDRESS(22,ROW()-31,1)),AJ$3:AJ$22),"")</f>
        <v>5</v>
      </c>
      <c r="AK49">
        <f ca="1">IF(AND(((COLUMN()-10)&lt;=playercnt),((ROW()-41)&lt;=playercnt)),SUMPRODUCT(INDIRECT(ADDRESS(3,ROW()-31,1)):INDIRECT(ADDRESS(22,ROW()-31,1)),AK$3:AK$22),"")</f>
        <v>7</v>
      </c>
      <c r="AL49">
        <f ca="1">IF(AND(((COLUMN()-10)&lt;=playercnt),((ROW()-41)&lt;=playercnt)),SUMPRODUCT(INDIRECT(ADDRESS(3,ROW()-31,1)):INDIRECT(ADDRESS(22,ROW()-31,1)),AL$3:AL$22),"")</f>
        <v>5</v>
      </c>
      <c r="AM49">
        <f ca="1">IF(AND(((COLUMN()-10)&lt;=playercnt),((ROW()-41)&lt;=playercnt)),SUMPRODUCT(INDIRECT(ADDRESS(3,ROW()-31,1)):INDIRECT(ADDRESS(22,ROW()-31,1)),AM$3:AM$22),"")</f>
        <v>4</v>
      </c>
      <c r="AN49">
        <f ca="1">IF(AND(((COLUMN()-10)&lt;=playercnt),((ROW()-41)&lt;=playercnt)),SUMPRODUCT(INDIRECT(ADDRESS(3,ROW()-31,1)):INDIRECT(ADDRESS(22,ROW()-31,1)),AN$3:AN$22),"")</f>
        <v>5</v>
      </c>
      <c r="AO49">
        <f ca="1">IF(AND(((COLUMN()-10)&lt;=playercnt),((ROW()-41)&lt;=playercnt)),SUMPRODUCT(INDIRECT(ADDRESS(3,ROW()-31,1)):INDIRECT(ADDRESS(22,ROW()-31,1)),AO$3:AO$22),"")</f>
        <v>3</v>
      </c>
      <c r="AP49">
        <f ca="1">IF(AND(((COLUMN()-10)&lt;=playercnt),((ROW()-41)&lt;=playercnt)),SUMPRODUCT(INDIRECT(ADDRESS(3,ROW()-31,1)):INDIRECT(ADDRESS(22,ROW()-31,1)),AP$3:AP$22),"")</f>
        <v>8</v>
      </c>
      <c r="AQ49">
        <f ca="1">IF(AND(((COLUMN()-10)&lt;=playercnt),((ROW()-41)&lt;=playercnt)),SUMPRODUCT(INDIRECT(ADDRESS(3,ROW()-31,1)):INDIRECT(ADDRESS(22,ROW()-31,1)),AQ$3:AQ$22),"")</f>
        <v>4</v>
      </c>
      <c r="AR49">
        <f ca="1">IF(AND(((COLUMN()-10)&lt;=playercnt),((ROW()-41)&lt;=playercnt)),SUMPRODUCT(INDIRECT(ADDRESS(3,ROW()-31,1)):INDIRECT(ADDRESS(22,ROW()-31,1)),AR$3:AR$22),"")</f>
        <v>7</v>
      </c>
      <c r="AS49">
        <f ca="1">IF(AND(((COLUMN()-10)&lt;=playercnt),((ROW()-41)&lt;=playercnt)),SUMPRODUCT(INDIRECT(ADDRESS(3,ROW()-31,1)):INDIRECT(ADDRESS(22,ROW()-31,1)),AS$3:AS$22),"")</f>
        <v>3</v>
      </c>
      <c r="AT49">
        <f ca="1">IF(AND(((COLUMN()-10)&lt;=playercnt),((ROW()-41)&lt;=playercnt)),SUMPRODUCT(INDIRECT(ADDRESS(3,ROW()-31,1)):INDIRECT(ADDRESS(22,ROW()-31,1)),AT$3:AT$22),"")</f>
        <v>8</v>
      </c>
      <c r="AU49">
        <f ca="1">IF(AND(((COLUMN()-10)&lt;=playercnt),((ROW()-41)&lt;=playercnt)),SUMPRODUCT(INDIRECT(ADDRESS(3,ROW()-31,1)):INDIRECT(ADDRESS(22,ROW()-31,1)),AU$3:AU$22),"")</f>
        <v>8</v>
      </c>
      <c r="AV49">
        <f ca="1">IF(AND(((COLUMN()-10)&lt;=playercnt),((ROW()-41)&lt;=playercnt)),SUMPRODUCT(INDIRECT(ADDRESS(3,ROW()-31,1)):INDIRECT(ADDRESS(22,ROW()-31,1)),AV$3:AV$22),"")</f>
        <v>6</v>
      </c>
      <c r="AW49">
        <f ca="1">IF(AND(((COLUMN()-10)&lt;=playercnt),((ROW()-41)&lt;=playercnt)),SUMPRODUCT(INDIRECT(ADDRESS(3,ROW()-31,1)):INDIRECT(ADDRESS(22,ROW()-31,1)),AW$3:AW$22),"")</f>
        <v>6</v>
      </c>
      <c r="AX49">
        <f ca="1">IF(AND(((COLUMN()-10)&lt;=playercnt),((ROW()-41)&lt;=playercnt)),SUMPRODUCT(INDIRECT(ADDRESS(3,ROW()-31,1)):INDIRECT(ADDRESS(22,ROW()-31,1)),AX$3:AX$22),"")</f>
        <v>8</v>
      </c>
      <c r="AY49">
        <f ca="1">IF(AND(((COLUMN()-10)&lt;=playercnt),((ROW()-41)&lt;=playercnt)),SUMPRODUCT(INDIRECT(ADDRESS(3,ROW()-31,1)):INDIRECT(ADDRESS(22,ROW()-31,1)),AY$3:AY$22),"")</f>
        <v>8</v>
      </c>
      <c r="AZ49">
        <f ca="1">IF(AND(((COLUMN()-10)&lt;=playercnt),((ROW()-41)&lt;=playercnt)),SUMPRODUCT(INDIRECT(ADDRESS(3,ROW()-31,1)):INDIRECT(ADDRESS(22,ROW()-31,1)),AZ$3:AZ$22),"")</f>
        <v>7</v>
      </c>
      <c r="BA49">
        <f ca="1">IF(AND(((COLUMN()-10)&lt;=playercnt),((ROW()-41)&lt;=playercnt)),SUMPRODUCT(INDIRECT(ADDRESS(3,ROW()-31,1)):INDIRECT(ADDRESS(22,ROW()-31,1)),BA$3:BA$22),"")</f>
        <v>6</v>
      </c>
      <c r="BB49">
        <f ca="1">IF(AND(((COLUMN()-10)&lt;=playercnt),((ROW()-41)&lt;=playercnt)),SUMPRODUCT(INDIRECT(ADDRESS(3,ROW()-31,1)):INDIRECT(ADDRESS(22,ROW()-31,1)),BB$3:BB$22),"")</f>
        <v>5</v>
      </c>
      <c r="BC49">
        <f ca="1">IF(AND(((COLUMN()-10)&lt;=playercnt),((ROW()-41)&lt;=playercnt)),SUMPRODUCT(INDIRECT(ADDRESS(3,ROW()-31,1)):INDIRECT(ADDRESS(22,ROW()-31,1)),BC$3:BC$22),"")</f>
        <v>5</v>
      </c>
      <c r="BD49">
        <f ca="1">IF(AND(((COLUMN()-10)&lt;=playercnt),((ROW()-41)&lt;=playercnt)),SUMPRODUCT(INDIRECT(ADDRESS(3,ROW()-31,1)):INDIRECT(ADDRESS(22,ROW()-31,1)),BD$3:BD$22),"")</f>
        <v>8</v>
      </c>
      <c r="BE49">
        <f ca="1">IF(AND(((COLUMN()-10)&lt;=playercnt),((ROW()-41)&lt;=playercnt)),SUMPRODUCT(INDIRECT(ADDRESS(3,ROW()-31,1)):INDIRECT(ADDRESS(22,ROW()-31,1)),BE$3:BE$22),"")</f>
        <v>7</v>
      </c>
      <c r="BF49">
        <f ca="1">IF(AND(((COLUMN()-10)&lt;=playercnt),((ROW()-41)&lt;=playercnt)),SUMPRODUCT(INDIRECT(ADDRESS(3,ROW()-31,1)):INDIRECT(ADDRESS(22,ROW()-31,1)),BF$3:BF$22),"")</f>
        <v>7</v>
      </c>
      <c r="BG49">
        <f ca="1">IF(AND(((COLUMN()-10)&lt;=playercnt),((ROW()-41)&lt;=playercnt)),SUMPRODUCT(INDIRECT(ADDRESS(3,ROW()-31,1)):INDIRECT(ADDRESS(22,ROW()-31,1)),BG$3:BG$22),"")</f>
        <v>4</v>
      </c>
      <c r="BH49">
        <f ca="1">IF(AND(((COLUMN()-10)&lt;=playercnt),((ROW()-41)&lt;=playercnt)),SUMPRODUCT(INDIRECT(ADDRESS(3,ROW()-31,1)):INDIRECT(ADDRESS(22,ROW()-31,1)),BH$3:BH$22),"")</f>
        <v>7</v>
      </c>
      <c r="BI49">
        <f ca="1">IF(AND(((COLUMN()-10)&lt;=playercnt),((ROW()-41)&lt;=playercnt)),SUMPRODUCT(INDIRECT(ADDRESS(3,ROW()-31,1)):INDIRECT(ADDRESS(22,ROW()-31,1)),BI$3:BI$22),"")</f>
        <v>6</v>
      </c>
      <c r="BJ49">
        <f ca="1">IF(AND(((COLUMN()-10)&lt;=playercnt),((ROW()-41)&lt;=playercnt)),SUMPRODUCT(INDIRECT(ADDRESS(3,ROW()-31,1)):INDIRECT(ADDRESS(22,ROW()-31,1)),BJ$3:BJ$22),"")</f>
        <v>6</v>
      </c>
      <c r="BK49">
        <f ca="1">IF(AND(((COLUMN()-10)&lt;=playercnt),((ROW()-41)&lt;=playercnt)),SUMPRODUCT(INDIRECT(ADDRESS(3,ROW()-31,1)):INDIRECT(ADDRESS(22,ROW()-31,1)),BK$3:BK$22),"")</f>
        <v>5</v>
      </c>
      <c r="BL49">
        <f ca="1">IF(AND(((COLUMN()-10)&lt;=playercnt),((ROW()-41)&lt;=playercnt)),SUMPRODUCT(INDIRECT(ADDRESS(3,ROW()-31,1)):INDIRECT(ADDRESS(22,ROW()-31,1)),BL$3:BL$22),"")</f>
        <v>7</v>
      </c>
      <c r="BM49">
        <f ca="1">IF(AND(((COLUMN()-10)&lt;=playercnt),((ROW()-41)&lt;=playercnt)),SUMPRODUCT(INDIRECT(ADDRESS(3,ROW()-31,1)):INDIRECT(ADDRESS(22,ROW()-31,1)),BM$3:BM$22),"")</f>
        <v>5</v>
      </c>
      <c r="BN49">
        <f ca="1">IF(AND(((COLUMN()-10)&lt;=playercnt),((ROW()-41)&lt;=playercnt)),SUMPRODUCT(INDIRECT(ADDRESS(3,ROW()-31,1)):INDIRECT(ADDRESS(22,ROW()-31,1)),BN$3:BN$22),"")</f>
        <v>5</v>
      </c>
    </row>
    <row r="50" spans="1:66">
      <c r="B50" s="27">
        <f t="shared" ca="1" si="23"/>
        <v>4.8545454545454545</v>
      </c>
      <c r="C50" t="str">
        <f t="shared" ca="1" si="22"/>
        <v>Desetto, Daniel</v>
      </c>
      <c r="G50">
        <f ca="1">IF(AND(((COLUMN()-10)&lt;=playercnt),((ROW()-41)&lt;=playercnt)),SUMPRODUCT(INDIRECT(ADDRESS(3,ROW()-31,1)):INDIRECT(ADDRESS(22,ROW()-31,1)),G$3:G$22),"")</f>
        <v>2</v>
      </c>
      <c r="H50">
        <f ca="1">IF(AND(((COLUMN()-10)&lt;=playercnt),((ROW()-41)&lt;=playercnt)),SUMPRODUCT(INDIRECT(ADDRESS(3,ROW()-31,1)):INDIRECT(ADDRESS(22,ROW()-31,1)),H$3:H$22),"")</f>
        <v>3</v>
      </c>
      <c r="I50">
        <f ca="1">IF(AND(((COLUMN()-10)&lt;=playercnt),((ROW()-41)&lt;=playercnt)),SUMPRODUCT(INDIRECT(ADDRESS(3,ROW()-31,1)):INDIRECT(ADDRESS(22,ROW()-31,1)),I$3:I$22),"")</f>
        <v>5</v>
      </c>
      <c r="J50">
        <f ca="1">IF(AND(((COLUMN()-10)&lt;=playercnt),((ROW()-41)&lt;=playercnt)),SUMPRODUCT(INDIRECT(ADDRESS(3,ROW()-31,1)):INDIRECT(ADDRESS(22,ROW()-31,1)),J$3:J$22),"")</f>
        <v>0</v>
      </c>
      <c r="K50">
        <f ca="1">IF(AND(((COLUMN()-10)&lt;=playercnt),((ROW()-41)&lt;=playercnt)),SUMPRODUCT(INDIRECT(ADDRESS(3,ROW()-31,1)):INDIRECT(ADDRESS(22,ROW()-31,1)),K$3:K$22),"")</f>
        <v>4</v>
      </c>
      <c r="L50">
        <f ca="1">IF(AND(((COLUMN()-10)&lt;=playercnt),((ROW()-41)&lt;=playercnt)),SUMPRODUCT(INDIRECT(ADDRESS(3,ROW()-31,1)):INDIRECT(ADDRESS(22,ROW()-31,1)),L$3:L$22),"")</f>
        <v>3</v>
      </c>
      <c r="M50">
        <f ca="1">IF(AND(((COLUMN()-10)&lt;=playercnt),((ROW()-41)&lt;=playercnt)),SUMPRODUCT(INDIRECT(ADDRESS(3,ROW()-31,1)):INDIRECT(ADDRESS(22,ROW()-31,1)),M$3:M$22),"")</f>
        <v>3</v>
      </c>
      <c r="N50">
        <f ca="1">IF(AND(((COLUMN()-10)&lt;=playercnt),((ROW()-41)&lt;=playercnt)),SUMPRODUCT(INDIRECT(ADDRESS(3,ROW()-31,1)):INDIRECT(ADDRESS(22,ROW()-31,1)),N$3:N$22),"")</f>
        <v>5</v>
      </c>
      <c r="O50">
        <f ca="1">IF(AND(((COLUMN()-10)&lt;=playercnt),((ROW()-41)&lt;=playercnt)),SUMPRODUCT(INDIRECT(ADDRESS(3,ROW()-31,1)):INDIRECT(ADDRESS(22,ROW()-31,1)),O$3:O$22),"")</f>
        <v>5</v>
      </c>
      <c r="P50">
        <f ca="1">IF(AND(((COLUMN()-10)&lt;=playercnt),((ROW()-41)&lt;=playercnt)),SUMPRODUCT(INDIRECT(ADDRESS(3,ROW()-31,1)):INDIRECT(ADDRESS(22,ROW()-31,1)),P$3:P$22),"")</f>
        <v>4</v>
      </c>
      <c r="Q50">
        <f ca="1">IF(AND(((COLUMN()-10)&lt;=playercnt),((ROW()-41)&lt;=playercnt)),SUMPRODUCT(INDIRECT(ADDRESS(3,ROW()-31,1)):INDIRECT(ADDRESS(22,ROW()-31,1)),Q$3:Q$22),"")</f>
        <v>4</v>
      </c>
      <c r="R50">
        <f ca="1">IF(AND(((COLUMN()-10)&lt;=playercnt),((ROW()-41)&lt;=playercnt)),SUMPRODUCT(INDIRECT(ADDRESS(3,ROW()-31,1)):INDIRECT(ADDRESS(22,ROW()-31,1)),R$3:R$22),"")</f>
        <v>4</v>
      </c>
      <c r="S50">
        <f ca="1">IF(AND(((COLUMN()-10)&lt;=playercnt),((ROW()-41)&lt;=playercnt)),SUMPRODUCT(INDIRECT(ADDRESS(3,ROW()-31,1)):INDIRECT(ADDRESS(22,ROW()-31,1)),S$3:S$22),"")</f>
        <v>10</v>
      </c>
      <c r="T50">
        <f ca="1">IF(AND(((COLUMN()-10)&lt;=playercnt),((ROW()-41)&lt;=playercnt)),SUMPRODUCT(INDIRECT(ADDRESS(3,ROW()-31,1)):INDIRECT(ADDRESS(22,ROW()-31,1)),T$3:T$22),"")</f>
        <v>8</v>
      </c>
      <c r="U50">
        <f ca="1">IF(AND(((COLUMN()-10)&lt;=playercnt),((ROW()-41)&lt;=playercnt)),SUMPRODUCT(INDIRECT(ADDRESS(3,ROW()-31,1)):INDIRECT(ADDRESS(22,ROW()-31,1)),U$3:U$22),"")</f>
        <v>5</v>
      </c>
      <c r="V50">
        <f ca="1">IF(AND(((COLUMN()-10)&lt;=playercnt),((ROW()-41)&lt;=playercnt)),SUMPRODUCT(INDIRECT(ADDRESS(3,ROW()-31,1)):INDIRECT(ADDRESS(22,ROW()-31,1)),V$3:V$22),"")</f>
        <v>6</v>
      </c>
      <c r="W50">
        <f ca="1">IF(AND(((COLUMN()-10)&lt;=playercnt),((ROW()-41)&lt;=playercnt)),SUMPRODUCT(INDIRECT(ADDRESS(3,ROW()-31,1)):INDIRECT(ADDRESS(22,ROW()-31,1)),W$3:W$22),"")</f>
        <v>6</v>
      </c>
      <c r="X50">
        <f ca="1">IF(AND(((COLUMN()-10)&lt;=playercnt),((ROW()-41)&lt;=playercnt)),SUMPRODUCT(INDIRECT(ADDRESS(3,ROW()-31,1)):INDIRECT(ADDRESS(22,ROW()-31,1)),X$3:X$22),"")</f>
        <v>6</v>
      </c>
      <c r="Y50">
        <f ca="1">IF(AND(((COLUMN()-10)&lt;=playercnt),((ROW()-41)&lt;=playercnt)),SUMPRODUCT(INDIRECT(ADDRESS(3,ROW()-31,1)):INDIRECT(ADDRESS(22,ROW()-31,1)),Y$3:Y$22),"")</f>
        <v>3</v>
      </c>
      <c r="Z50">
        <f ca="1">IF(AND(((COLUMN()-10)&lt;=playercnt),((ROW()-41)&lt;=playercnt)),SUMPRODUCT(INDIRECT(ADDRESS(3,ROW()-31,1)):INDIRECT(ADDRESS(22,ROW()-31,1)),Z$3:Z$22),"")</f>
        <v>5</v>
      </c>
      <c r="AA50">
        <f ca="1">IF(AND(((COLUMN()-10)&lt;=playercnt),((ROW()-41)&lt;=playercnt)),SUMPRODUCT(INDIRECT(ADDRESS(3,ROW()-31,1)):INDIRECT(ADDRESS(22,ROW()-31,1)),AA$3:AA$22),"")</f>
        <v>5</v>
      </c>
      <c r="AB50">
        <f ca="1">IF(AND(((COLUMN()-10)&lt;=playercnt),((ROW()-41)&lt;=playercnt)),SUMPRODUCT(INDIRECT(ADDRESS(3,ROW()-31,1)):INDIRECT(ADDRESS(22,ROW()-31,1)),AB$3:AB$22),"")</f>
        <v>5</v>
      </c>
      <c r="AC50">
        <f ca="1">IF(AND(((COLUMN()-10)&lt;=playercnt),((ROW()-41)&lt;=playercnt)),SUMPRODUCT(INDIRECT(ADDRESS(3,ROW()-31,1)):INDIRECT(ADDRESS(22,ROW()-31,1)),AC$3:AC$22),"")</f>
        <v>4</v>
      </c>
      <c r="AD50">
        <f ca="1">IF(AND(((COLUMN()-10)&lt;=playercnt),((ROW()-41)&lt;=playercnt)),SUMPRODUCT(INDIRECT(ADDRESS(3,ROW()-31,1)):INDIRECT(ADDRESS(22,ROW()-31,1)),AD$3:AD$22),"")</f>
        <v>5</v>
      </c>
      <c r="AE50">
        <f ca="1">IF(AND(((COLUMN()-10)&lt;=playercnt),((ROW()-41)&lt;=playercnt)),SUMPRODUCT(INDIRECT(ADDRESS(3,ROW()-31,1)):INDIRECT(ADDRESS(22,ROW()-31,1)),AE$3:AE$22),"")</f>
        <v>3</v>
      </c>
      <c r="AF50">
        <f ca="1">IF(AND(((COLUMN()-10)&lt;=playercnt),((ROW()-41)&lt;=playercnt)),SUMPRODUCT(INDIRECT(ADDRESS(3,ROW()-31,1)):INDIRECT(ADDRESS(22,ROW()-31,1)),AF$3:AF$22),"")</f>
        <v>5</v>
      </c>
      <c r="AG50">
        <f ca="1">IF(AND(((COLUMN()-10)&lt;=playercnt),((ROW()-41)&lt;=playercnt)),SUMPRODUCT(INDIRECT(ADDRESS(3,ROW()-31,1)):INDIRECT(ADDRESS(22,ROW()-31,1)),AG$3:AG$22),"")</f>
        <v>7</v>
      </c>
      <c r="AH50">
        <f ca="1">IF(AND(((COLUMN()-10)&lt;=playercnt),((ROW()-41)&lt;=playercnt)),SUMPRODUCT(INDIRECT(ADDRESS(3,ROW()-31,1)):INDIRECT(ADDRESS(22,ROW()-31,1)),AH$3:AH$22),"")</f>
        <v>3</v>
      </c>
      <c r="AI50">
        <f ca="1">IF(AND(((COLUMN()-10)&lt;=playercnt),((ROW()-41)&lt;=playercnt)),SUMPRODUCT(INDIRECT(ADDRESS(3,ROW()-31,1)):INDIRECT(ADDRESS(22,ROW()-31,1)),AI$3:AI$22),"")</f>
        <v>2</v>
      </c>
      <c r="AJ50">
        <f ca="1">IF(AND(((COLUMN()-10)&lt;=playercnt),((ROW()-41)&lt;=playercnt)),SUMPRODUCT(INDIRECT(ADDRESS(3,ROW()-31,1)):INDIRECT(ADDRESS(22,ROW()-31,1)),AJ$3:AJ$22),"")</f>
        <v>5</v>
      </c>
      <c r="AK50">
        <f ca="1">IF(AND(((COLUMN()-10)&lt;=playercnt),((ROW()-41)&lt;=playercnt)),SUMPRODUCT(INDIRECT(ADDRESS(3,ROW()-31,1)):INDIRECT(ADDRESS(22,ROW()-31,1)),AK$3:AK$22),"")</f>
        <v>7</v>
      </c>
      <c r="AL50">
        <f ca="1">IF(AND(((COLUMN()-10)&lt;=playercnt),((ROW()-41)&lt;=playercnt)),SUMPRODUCT(INDIRECT(ADDRESS(3,ROW()-31,1)):INDIRECT(ADDRESS(22,ROW()-31,1)),AL$3:AL$22),"")</f>
        <v>5</v>
      </c>
      <c r="AM50">
        <f ca="1">IF(AND(((COLUMN()-10)&lt;=playercnt),((ROW()-41)&lt;=playercnt)),SUMPRODUCT(INDIRECT(ADDRESS(3,ROW()-31,1)):INDIRECT(ADDRESS(22,ROW()-31,1)),AM$3:AM$22),"")</f>
        <v>4</v>
      </c>
      <c r="AN50">
        <f ca="1">IF(AND(((COLUMN()-10)&lt;=playercnt),((ROW()-41)&lt;=playercnt)),SUMPRODUCT(INDIRECT(ADDRESS(3,ROW()-31,1)):INDIRECT(ADDRESS(22,ROW()-31,1)),AN$3:AN$22),"")</f>
        <v>3</v>
      </c>
      <c r="AO50">
        <f ca="1">IF(AND(((COLUMN()-10)&lt;=playercnt),((ROW()-41)&lt;=playercnt)),SUMPRODUCT(INDIRECT(ADDRESS(3,ROW()-31,1)):INDIRECT(ADDRESS(22,ROW()-31,1)),AO$3:AO$22),"")</f>
        <v>3</v>
      </c>
      <c r="AP50">
        <f ca="1">IF(AND(((COLUMN()-10)&lt;=playercnt),((ROW()-41)&lt;=playercnt)),SUMPRODUCT(INDIRECT(ADDRESS(3,ROW()-31,1)):INDIRECT(ADDRESS(22,ROW()-31,1)),AP$3:AP$22),"")</f>
        <v>6</v>
      </c>
      <c r="AQ50">
        <f ca="1">IF(AND(((COLUMN()-10)&lt;=playercnt),((ROW()-41)&lt;=playercnt)),SUMPRODUCT(INDIRECT(ADDRESS(3,ROW()-31,1)):INDIRECT(ADDRESS(22,ROW()-31,1)),AQ$3:AQ$22),"")</f>
        <v>4</v>
      </c>
      <c r="AR50">
        <f ca="1">IF(AND(((COLUMN()-10)&lt;=playercnt),((ROW()-41)&lt;=playercnt)),SUMPRODUCT(INDIRECT(ADDRESS(3,ROW()-31,1)):INDIRECT(ADDRESS(22,ROW()-31,1)),AR$3:AR$22),"")</f>
        <v>3</v>
      </c>
      <c r="AS50">
        <f ca="1">IF(AND(((COLUMN()-10)&lt;=playercnt),((ROW()-41)&lt;=playercnt)),SUMPRODUCT(INDIRECT(ADDRESS(3,ROW()-31,1)):INDIRECT(ADDRESS(22,ROW()-31,1)),AS$3:AS$22),"")</f>
        <v>5</v>
      </c>
      <c r="AT50">
        <f ca="1">IF(AND(((COLUMN()-10)&lt;=playercnt),((ROW()-41)&lt;=playercnt)),SUMPRODUCT(INDIRECT(ADDRESS(3,ROW()-31,1)):INDIRECT(ADDRESS(22,ROW()-31,1)),AT$3:AT$22),"")</f>
        <v>4</v>
      </c>
      <c r="AU50">
        <f ca="1">IF(AND(((COLUMN()-10)&lt;=playercnt),((ROW()-41)&lt;=playercnt)),SUMPRODUCT(INDIRECT(ADDRESS(3,ROW()-31,1)):INDIRECT(ADDRESS(22,ROW()-31,1)),AU$3:AU$22),"")</f>
        <v>2</v>
      </c>
      <c r="AV50">
        <f ca="1">IF(AND(((COLUMN()-10)&lt;=playercnt),((ROW()-41)&lt;=playercnt)),SUMPRODUCT(INDIRECT(ADDRESS(3,ROW()-31,1)):INDIRECT(ADDRESS(22,ROW()-31,1)),AV$3:AV$22),"")</f>
        <v>6</v>
      </c>
      <c r="AW50">
        <f ca="1">IF(AND(((COLUMN()-10)&lt;=playercnt),((ROW()-41)&lt;=playercnt)),SUMPRODUCT(INDIRECT(ADDRESS(3,ROW()-31,1)):INDIRECT(ADDRESS(22,ROW()-31,1)),AW$3:AW$22),"")</f>
        <v>6</v>
      </c>
      <c r="AX50">
        <f ca="1">IF(AND(((COLUMN()-10)&lt;=playercnt),((ROW()-41)&lt;=playercnt)),SUMPRODUCT(INDIRECT(ADDRESS(3,ROW()-31,1)):INDIRECT(ADDRESS(22,ROW()-31,1)),AX$3:AX$22),"")</f>
        <v>6</v>
      </c>
      <c r="AY50">
        <f ca="1">IF(AND(((COLUMN()-10)&lt;=playercnt),((ROW()-41)&lt;=playercnt)),SUMPRODUCT(INDIRECT(ADDRESS(3,ROW()-31,1)):INDIRECT(ADDRESS(22,ROW()-31,1)),AY$3:AY$22),"")</f>
        <v>4</v>
      </c>
      <c r="AZ50">
        <f ca="1">IF(AND(((COLUMN()-10)&lt;=playercnt),((ROW()-41)&lt;=playercnt)),SUMPRODUCT(INDIRECT(ADDRESS(3,ROW()-31,1)):INDIRECT(ADDRESS(22,ROW()-31,1)),AZ$3:AZ$22),"")</f>
        <v>3</v>
      </c>
      <c r="BA50">
        <f ca="1">IF(AND(((COLUMN()-10)&lt;=playercnt),((ROW()-41)&lt;=playercnt)),SUMPRODUCT(INDIRECT(ADDRESS(3,ROW()-31,1)):INDIRECT(ADDRESS(22,ROW()-31,1)),BA$3:BA$22),"")</f>
        <v>8</v>
      </c>
      <c r="BB50">
        <f ca="1">IF(AND(((COLUMN()-10)&lt;=playercnt),((ROW()-41)&lt;=playercnt)),SUMPRODUCT(INDIRECT(ADDRESS(3,ROW()-31,1)):INDIRECT(ADDRESS(22,ROW()-31,1)),BB$3:BB$22),"")</f>
        <v>7</v>
      </c>
      <c r="BC50">
        <f ca="1">IF(AND(((COLUMN()-10)&lt;=playercnt),((ROW()-41)&lt;=playercnt)),SUMPRODUCT(INDIRECT(ADDRESS(3,ROW()-31,1)):INDIRECT(ADDRESS(22,ROW()-31,1)),BC$3:BC$22),"")</f>
        <v>7</v>
      </c>
      <c r="BD50">
        <f ca="1">IF(AND(((COLUMN()-10)&lt;=playercnt),((ROW()-41)&lt;=playercnt)),SUMPRODUCT(INDIRECT(ADDRESS(3,ROW()-31,1)):INDIRECT(ADDRESS(22,ROW()-31,1)),BD$3:BD$22),"")</f>
        <v>6</v>
      </c>
      <c r="BE50">
        <f ca="1">IF(AND(((COLUMN()-10)&lt;=playercnt),((ROW()-41)&lt;=playercnt)),SUMPRODUCT(INDIRECT(ADDRESS(3,ROW()-31,1)):INDIRECT(ADDRESS(22,ROW()-31,1)),BE$3:BE$22),"")</f>
        <v>7</v>
      </c>
      <c r="BF50">
        <f ca="1">IF(AND(((COLUMN()-10)&lt;=playercnt),((ROW()-41)&lt;=playercnt)),SUMPRODUCT(INDIRECT(ADDRESS(3,ROW()-31,1)):INDIRECT(ADDRESS(22,ROW()-31,1)),BF$3:BF$22),"")</f>
        <v>5</v>
      </c>
      <c r="BG50">
        <f ca="1">IF(AND(((COLUMN()-10)&lt;=playercnt),((ROW()-41)&lt;=playercnt)),SUMPRODUCT(INDIRECT(ADDRESS(3,ROW()-31,1)):INDIRECT(ADDRESS(22,ROW()-31,1)),BG$3:BG$22),"")</f>
        <v>6</v>
      </c>
      <c r="BH50">
        <f ca="1">IF(AND(((COLUMN()-10)&lt;=playercnt),((ROW()-41)&lt;=playercnt)),SUMPRODUCT(INDIRECT(ADDRESS(3,ROW()-31,1)):INDIRECT(ADDRESS(22,ROW()-31,1)),BH$3:BH$22),"")</f>
        <v>5</v>
      </c>
      <c r="BI50">
        <f ca="1">IF(AND(((COLUMN()-10)&lt;=playercnt),((ROW()-41)&lt;=playercnt)),SUMPRODUCT(INDIRECT(ADDRESS(3,ROW()-31,1)):INDIRECT(ADDRESS(22,ROW()-31,1)),BI$3:BI$22),"")</f>
        <v>4</v>
      </c>
      <c r="BJ50">
        <f ca="1">IF(AND(((COLUMN()-10)&lt;=playercnt),((ROW()-41)&lt;=playercnt)),SUMPRODUCT(INDIRECT(ADDRESS(3,ROW()-31,1)):INDIRECT(ADDRESS(22,ROW()-31,1)),BJ$3:BJ$22),"")</f>
        <v>4</v>
      </c>
      <c r="BK50">
        <f ca="1">IF(AND(((COLUMN()-10)&lt;=playercnt),((ROW()-41)&lt;=playercnt)),SUMPRODUCT(INDIRECT(ADDRESS(3,ROW()-31,1)):INDIRECT(ADDRESS(22,ROW()-31,1)),BK$3:BK$22),"")</f>
        <v>9</v>
      </c>
      <c r="BL50">
        <f ca="1">IF(AND(((COLUMN()-10)&lt;=playercnt),((ROW()-41)&lt;=playercnt)),SUMPRODUCT(INDIRECT(ADDRESS(3,ROW()-31,1)):INDIRECT(ADDRESS(22,ROW()-31,1)),BL$3:BL$22),"")</f>
        <v>5</v>
      </c>
      <c r="BM50">
        <f ca="1">IF(AND(((COLUMN()-10)&lt;=playercnt),((ROW()-41)&lt;=playercnt)),SUMPRODUCT(INDIRECT(ADDRESS(3,ROW()-31,1)):INDIRECT(ADDRESS(22,ROW()-31,1)),BM$3:BM$22),"")</f>
        <v>3</v>
      </c>
      <c r="BN50">
        <f ca="1">IF(AND(((COLUMN()-10)&lt;=playercnt),((ROW()-41)&lt;=playercnt)),SUMPRODUCT(INDIRECT(ADDRESS(3,ROW()-31,1)):INDIRECT(ADDRESS(22,ROW()-31,1)),BN$3:BN$22),"")</f>
        <v>5</v>
      </c>
    </row>
    <row r="51" spans="1:66">
      <c r="B51" s="27">
        <f t="shared" ca="1" si="23"/>
        <v>4.6727272727272728</v>
      </c>
      <c r="C51" t="str">
        <f t="shared" ca="1" si="22"/>
        <v>Desetto, Thomas Remote</v>
      </c>
      <c r="G51">
        <f ca="1">IF(AND(((COLUMN()-10)&lt;=playercnt),((ROW()-41)&lt;=playercnt)),SUMPRODUCT(INDIRECT(ADDRESS(3,ROW()-31,1)):INDIRECT(ADDRESS(22,ROW()-31,1)),G$3:G$22),"")</f>
        <v>4</v>
      </c>
      <c r="H51">
        <f ca="1">IF(AND(((COLUMN()-10)&lt;=playercnt),((ROW()-41)&lt;=playercnt)),SUMPRODUCT(INDIRECT(ADDRESS(3,ROW()-31,1)):INDIRECT(ADDRESS(22,ROW()-31,1)),H$3:H$22),"")</f>
        <v>3</v>
      </c>
      <c r="I51">
        <f ca="1">IF(AND(((COLUMN()-10)&lt;=playercnt),((ROW()-41)&lt;=playercnt)),SUMPRODUCT(INDIRECT(ADDRESS(3,ROW()-31,1)):INDIRECT(ADDRESS(22,ROW()-31,1)),I$3:I$22),"")</f>
        <v>5</v>
      </c>
      <c r="J51">
        <f ca="1">IF(AND(((COLUMN()-10)&lt;=playercnt),((ROW()-41)&lt;=playercnt)),SUMPRODUCT(INDIRECT(ADDRESS(3,ROW()-31,1)):INDIRECT(ADDRESS(22,ROW()-31,1)),J$3:J$22),"")</f>
        <v>0</v>
      </c>
      <c r="K51">
        <f ca="1">IF(AND(((COLUMN()-10)&lt;=playercnt),((ROW()-41)&lt;=playercnt)),SUMPRODUCT(INDIRECT(ADDRESS(3,ROW()-31,1)):INDIRECT(ADDRESS(22,ROW()-31,1)),K$3:K$22),"")</f>
        <v>6</v>
      </c>
      <c r="L51">
        <f ca="1">IF(AND(((COLUMN()-10)&lt;=playercnt),((ROW()-41)&lt;=playercnt)),SUMPRODUCT(INDIRECT(ADDRESS(3,ROW()-31,1)):INDIRECT(ADDRESS(22,ROW()-31,1)),L$3:L$22),"")</f>
        <v>3</v>
      </c>
      <c r="M51">
        <f ca="1">IF(AND(((COLUMN()-10)&lt;=playercnt),((ROW()-41)&lt;=playercnt)),SUMPRODUCT(INDIRECT(ADDRESS(3,ROW()-31,1)):INDIRECT(ADDRESS(22,ROW()-31,1)),M$3:M$22),"")</f>
        <v>5</v>
      </c>
      <c r="N51">
        <f ca="1">IF(AND(((COLUMN()-10)&lt;=playercnt),((ROW()-41)&lt;=playercnt)),SUMPRODUCT(INDIRECT(ADDRESS(3,ROW()-31,1)):INDIRECT(ADDRESS(22,ROW()-31,1)),N$3:N$22),"")</f>
        <v>5</v>
      </c>
      <c r="O51">
        <f ca="1">IF(AND(((COLUMN()-10)&lt;=playercnt),((ROW()-41)&lt;=playercnt)),SUMPRODUCT(INDIRECT(ADDRESS(3,ROW()-31,1)):INDIRECT(ADDRESS(22,ROW()-31,1)),O$3:O$22),"")</f>
        <v>5</v>
      </c>
      <c r="P51">
        <f ca="1">IF(AND(((COLUMN()-10)&lt;=playercnt),((ROW()-41)&lt;=playercnt)),SUMPRODUCT(INDIRECT(ADDRESS(3,ROW()-31,1)):INDIRECT(ADDRESS(22,ROW()-31,1)),P$3:P$22),"")</f>
        <v>4</v>
      </c>
      <c r="Q51">
        <f ca="1">IF(AND(((COLUMN()-10)&lt;=playercnt),((ROW()-41)&lt;=playercnt)),SUMPRODUCT(INDIRECT(ADDRESS(3,ROW()-31,1)):INDIRECT(ADDRESS(22,ROW()-31,1)),Q$3:Q$22),"")</f>
        <v>4</v>
      </c>
      <c r="R51">
        <f ca="1">IF(AND(((COLUMN()-10)&lt;=playercnt),((ROW()-41)&lt;=playercnt)),SUMPRODUCT(INDIRECT(ADDRESS(3,ROW()-31,1)):INDIRECT(ADDRESS(22,ROW()-31,1)),R$3:R$22),"")</f>
        <v>4</v>
      </c>
      <c r="S51">
        <f ca="1">IF(AND(((COLUMN()-10)&lt;=playercnt),((ROW()-41)&lt;=playercnt)),SUMPRODUCT(INDIRECT(ADDRESS(3,ROW()-31,1)):INDIRECT(ADDRESS(22,ROW()-31,1)),S$3:S$22),"")</f>
        <v>8</v>
      </c>
      <c r="T51">
        <f ca="1">IF(AND(((COLUMN()-10)&lt;=playercnt),((ROW()-41)&lt;=playercnt)),SUMPRODUCT(INDIRECT(ADDRESS(3,ROW()-31,1)):INDIRECT(ADDRESS(22,ROW()-31,1)),T$3:T$22),"")</f>
        <v>10</v>
      </c>
      <c r="U51">
        <f ca="1">IF(AND(((COLUMN()-10)&lt;=playercnt),((ROW()-41)&lt;=playercnt)),SUMPRODUCT(INDIRECT(ADDRESS(3,ROW()-31,1)):INDIRECT(ADDRESS(22,ROW()-31,1)),U$3:U$22),"")</f>
        <v>5</v>
      </c>
      <c r="V51">
        <f ca="1">IF(AND(((COLUMN()-10)&lt;=playercnt),((ROW()-41)&lt;=playercnt)),SUMPRODUCT(INDIRECT(ADDRESS(3,ROW()-31,1)):INDIRECT(ADDRESS(22,ROW()-31,1)),V$3:V$22),"")</f>
        <v>6</v>
      </c>
      <c r="W51">
        <f ca="1">IF(AND(((COLUMN()-10)&lt;=playercnt),((ROW()-41)&lt;=playercnt)),SUMPRODUCT(INDIRECT(ADDRESS(3,ROW()-31,1)):INDIRECT(ADDRESS(22,ROW()-31,1)),W$3:W$22),"")</f>
        <v>6</v>
      </c>
      <c r="X51">
        <f ca="1">IF(AND(((COLUMN()-10)&lt;=playercnt),((ROW()-41)&lt;=playercnt)),SUMPRODUCT(INDIRECT(ADDRESS(3,ROW()-31,1)):INDIRECT(ADDRESS(22,ROW()-31,1)),X$3:X$22),"")</f>
        <v>6</v>
      </c>
      <c r="Y51">
        <f ca="1">IF(AND(((COLUMN()-10)&lt;=playercnt),((ROW()-41)&lt;=playercnt)),SUMPRODUCT(INDIRECT(ADDRESS(3,ROW()-31,1)):INDIRECT(ADDRESS(22,ROW()-31,1)),Y$3:Y$22),"")</f>
        <v>3</v>
      </c>
      <c r="Z51">
        <f ca="1">IF(AND(((COLUMN()-10)&lt;=playercnt),((ROW()-41)&lt;=playercnt)),SUMPRODUCT(INDIRECT(ADDRESS(3,ROW()-31,1)):INDIRECT(ADDRESS(22,ROW()-31,1)),Z$3:Z$22),"")</f>
        <v>5</v>
      </c>
      <c r="AA51">
        <f ca="1">IF(AND(((COLUMN()-10)&lt;=playercnt),((ROW()-41)&lt;=playercnt)),SUMPRODUCT(INDIRECT(ADDRESS(3,ROW()-31,1)):INDIRECT(ADDRESS(22,ROW()-31,1)),AA$3:AA$22),"")</f>
        <v>5</v>
      </c>
      <c r="AB51">
        <f ca="1">IF(AND(((COLUMN()-10)&lt;=playercnt),((ROW()-41)&lt;=playercnt)),SUMPRODUCT(INDIRECT(ADDRESS(3,ROW()-31,1)):INDIRECT(ADDRESS(22,ROW()-31,1)),AB$3:AB$22),"")</f>
        <v>3</v>
      </c>
      <c r="AC51">
        <f ca="1">IF(AND(((COLUMN()-10)&lt;=playercnt),((ROW()-41)&lt;=playercnt)),SUMPRODUCT(INDIRECT(ADDRESS(3,ROW()-31,1)):INDIRECT(ADDRESS(22,ROW()-31,1)),AC$3:AC$22),"")</f>
        <v>4</v>
      </c>
      <c r="AD51">
        <f ca="1">IF(AND(((COLUMN()-10)&lt;=playercnt),((ROW()-41)&lt;=playercnt)),SUMPRODUCT(INDIRECT(ADDRESS(3,ROW()-31,1)):INDIRECT(ADDRESS(22,ROW()-31,1)),AD$3:AD$22),"")</f>
        <v>5</v>
      </c>
      <c r="AE51">
        <f ca="1">IF(AND(((COLUMN()-10)&lt;=playercnt),((ROW()-41)&lt;=playercnt)),SUMPRODUCT(INDIRECT(ADDRESS(3,ROW()-31,1)):INDIRECT(ADDRESS(22,ROW()-31,1)),AE$3:AE$22),"")</f>
        <v>3</v>
      </c>
      <c r="AF51">
        <f ca="1">IF(AND(((COLUMN()-10)&lt;=playercnt),((ROW()-41)&lt;=playercnt)),SUMPRODUCT(INDIRECT(ADDRESS(3,ROW()-31,1)):INDIRECT(ADDRESS(22,ROW()-31,1)),AF$3:AF$22),"")</f>
        <v>3</v>
      </c>
      <c r="AG51">
        <f ca="1">IF(AND(((COLUMN()-10)&lt;=playercnt),((ROW()-41)&lt;=playercnt)),SUMPRODUCT(INDIRECT(ADDRESS(3,ROW()-31,1)):INDIRECT(ADDRESS(22,ROW()-31,1)),AG$3:AG$22),"")</f>
        <v>5</v>
      </c>
      <c r="AH51">
        <f ca="1">IF(AND(((COLUMN()-10)&lt;=playercnt),((ROW()-41)&lt;=playercnt)),SUMPRODUCT(INDIRECT(ADDRESS(3,ROW()-31,1)):INDIRECT(ADDRESS(22,ROW()-31,1)),AH$3:AH$22),"")</f>
        <v>5</v>
      </c>
      <c r="AI51">
        <f ca="1">IF(AND(((COLUMN()-10)&lt;=playercnt),((ROW()-41)&lt;=playercnt)),SUMPRODUCT(INDIRECT(ADDRESS(3,ROW()-31,1)):INDIRECT(ADDRESS(22,ROW()-31,1)),AI$3:AI$22),"")</f>
        <v>0</v>
      </c>
      <c r="AJ51">
        <f ca="1">IF(AND(((COLUMN()-10)&lt;=playercnt),((ROW()-41)&lt;=playercnt)),SUMPRODUCT(INDIRECT(ADDRESS(3,ROW()-31,1)):INDIRECT(ADDRESS(22,ROW()-31,1)),AJ$3:AJ$22),"")</f>
        <v>5</v>
      </c>
      <c r="AK51">
        <f ca="1">IF(AND(((COLUMN()-10)&lt;=playercnt),((ROW()-41)&lt;=playercnt)),SUMPRODUCT(INDIRECT(ADDRESS(3,ROW()-31,1)):INDIRECT(ADDRESS(22,ROW()-31,1)),AK$3:AK$22),"")</f>
        <v>5</v>
      </c>
      <c r="AL51">
        <f ca="1">IF(AND(((COLUMN()-10)&lt;=playercnt),((ROW()-41)&lt;=playercnt)),SUMPRODUCT(INDIRECT(ADDRESS(3,ROW()-31,1)):INDIRECT(ADDRESS(22,ROW()-31,1)),AL$3:AL$22),"")</f>
        <v>5</v>
      </c>
      <c r="AM51">
        <f ca="1">IF(AND(((COLUMN()-10)&lt;=playercnt),((ROW()-41)&lt;=playercnt)),SUMPRODUCT(INDIRECT(ADDRESS(3,ROW()-31,1)):INDIRECT(ADDRESS(22,ROW()-31,1)),AM$3:AM$22),"")</f>
        <v>4</v>
      </c>
      <c r="AN51">
        <f ca="1">IF(AND(((COLUMN()-10)&lt;=playercnt),((ROW()-41)&lt;=playercnt)),SUMPRODUCT(INDIRECT(ADDRESS(3,ROW()-31,1)):INDIRECT(ADDRESS(22,ROW()-31,1)),AN$3:AN$22),"")</f>
        <v>1</v>
      </c>
      <c r="AO51">
        <f ca="1">IF(AND(((COLUMN()-10)&lt;=playercnt),((ROW()-41)&lt;=playercnt)),SUMPRODUCT(INDIRECT(ADDRESS(3,ROW()-31,1)):INDIRECT(ADDRESS(22,ROW()-31,1)),AO$3:AO$22),"")</f>
        <v>3</v>
      </c>
      <c r="AP51">
        <f ca="1">IF(AND(((COLUMN()-10)&lt;=playercnt),((ROW()-41)&lt;=playercnt)),SUMPRODUCT(INDIRECT(ADDRESS(3,ROW()-31,1)):INDIRECT(ADDRESS(22,ROW()-31,1)),AP$3:AP$22),"")</f>
        <v>6</v>
      </c>
      <c r="AQ51">
        <f ca="1">IF(AND(((COLUMN()-10)&lt;=playercnt),((ROW()-41)&lt;=playercnt)),SUMPRODUCT(INDIRECT(ADDRESS(3,ROW()-31,1)):INDIRECT(ADDRESS(22,ROW()-31,1)),AQ$3:AQ$22),"")</f>
        <v>4</v>
      </c>
      <c r="AR51">
        <f ca="1">IF(AND(((COLUMN()-10)&lt;=playercnt),((ROW()-41)&lt;=playercnt)),SUMPRODUCT(INDIRECT(ADDRESS(3,ROW()-31,1)):INDIRECT(ADDRESS(22,ROW()-31,1)),AR$3:AR$22),"")</f>
        <v>1</v>
      </c>
      <c r="AS51">
        <f ca="1">IF(AND(((COLUMN()-10)&lt;=playercnt),((ROW()-41)&lt;=playercnt)),SUMPRODUCT(INDIRECT(ADDRESS(3,ROW()-31,1)):INDIRECT(ADDRESS(22,ROW()-31,1)),AS$3:AS$22),"")</f>
        <v>5</v>
      </c>
      <c r="AT51">
        <f ca="1">IF(AND(((COLUMN()-10)&lt;=playercnt),((ROW()-41)&lt;=playercnt)),SUMPRODUCT(INDIRECT(ADDRESS(3,ROW()-31,1)):INDIRECT(ADDRESS(22,ROW()-31,1)),AT$3:AT$22),"")</f>
        <v>6</v>
      </c>
      <c r="AU51">
        <f ca="1">IF(AND(((COLUMN()-10)&lt;=playercnt),((ROW()-41)&lt;=playercnt)),SUMPRODUCT(INDIRECT(ADDRESS(3,ROW()-31,1)):INDIRECT(ADDRESS(22,ROW()-31,1)),AU$3:AU$22),"")</f>
        <v>2</v>
      </c>
      <c r="AV51">
        <f ca="1">IF(AND(((COLUMN()-10)&lt;=playercnt),((ROW()-41)&lt;=playercnt)),SUMPRODUCT(INDIRECT(ADDRESS(3,ROW()-31,1)):INDIRECT(ADDRESS(22,ROW()-31,1)),AV$3:AV$22),"")</f>
        <v>6</v>
      </c>
      <c r="AW51">
        <f ca="1">IF(AND(((COLUMN()-10)&lt;=playercnt),((ROW()-41)&lt;=playercnt)),SUMPRODUCT(INDIRECT(ADDRESS(3,ROW()-31,1)):INDIRECT(ADDRESS(22,ROW()-31,1)),AW$3:AW$22),"")</f>
        <v>6</v>
      </c>
      <c r="AX51">
        <f ca="1">IF(AND(((COLUMN()-10)&lt;=playercnt),((ROW()-41)&lt;=playercnt)),SUMPRODUCT(INDIRECT(ADDRESS(3,ROW()-31,1)):INDIRECT(ADDRESS(22,ROW()-31,1)),AX$3:AX$22),"")</f>
        <v>6</v>
      </c>
      <c r="AY51">
        <f ca="1">IF(AND(((COLUMN()-10)&lt;=playercnt),((ROW()-41)&lt;=playercnt)),SUMPRODUCT(INDIRECT(ADDRESS(3,ROW()-31,1)):INDIRECT(ADDRESS(22,ROW()-31,1)),AY$3:AY$22),"")</f>
        <v>4</v>
      </c>
      <c r="AZ51">
        <f ca="1">IF(AND(((COLUMN()-10)&lt;=playercnt),((ROW()-41)&lt;=playercnt)),SUMPRODUCT(INDIRECT(ADDRESS(3,ROW()-31,1)):INDIRECT(ADDRESS(22,ROW()-31,1)),AZ$3:AZ$22),"")</f>
        <v>5</v>
      </c>
      <c r="BA51">
        <f ca="1">IF(AND(((COLUMN()-10)&lt;=playercnt),((ROW()-41)&lt;=playercnt)),SUMPRODUCT(INDIRECT(ADDRESS(3,ROW()-31,1)):INDIRECT(ADDRESS(22,ROW()-31,1)),BA$3:BA$22),"")</f>
        <v>8</v>
      </c>
      <c r="BB51">
        <f ca="1">IF(AND(((COLUMN()-10)&lt;=playercnt),((ROW()-41)&lt;=playercnt)),SUMPRODUCT(INDIRECT(ADDRESS(3,ROW()-31,1)):INDIRECT(ADDRESS(22,ROW()-31,1)),BB$3:BB$22),"")</f>
        <v>5</v>
      </c>
      <c r="BC51">
        <f ca="1">IF(AND(((COLUMN()-10)&lt;=playercnt),((ROW()-41)&lt;=playercnt)),SUMPRODUCT(INDIRECT(ADDRESS(3,ROW()-31,1)):INDIRECT(ADDRESS(22,ROW()-31,1)),BC$3:BC$22),"")</f>
        <v>9</v>
      </c>
      <c r="BD51">
        <f ca="1">IF(AND(((COLUMN()-10)&lt;=playercnt),((ROW()-41)&lt;=playercnt)),SUMPRODUCT(INDIRECT(ADDRESS(3,ROW()-31,1)):INDIRECT(ADDRESS(22,ROW()-31,1)),BD$3:BD$22),"")</f>
        <v>6</v>
      </c>
      <c r="BE51">
        <f ca="1">IF(AND(((COLUMN()-10)&lt;=playercnt),((ROW()-41)&lt;=playercnt)),SUMPRODUCT(INDIRECT(ADDRESS(3,ROW()-31,1)):INDIRECT(ADDRESS(22,ROW()-31,1)),BE$3:BE$22),"")</f>
        <v>5</v>
      </c>
      <c r="BF51">
        <f ca="1">IF(AND(((COLUMN()-10)&lt;=playercnt),((ROW()-41)&lt;=playercnt)),SUMPRODUCT(INDIRECT(ADDRESS(3,ROW()-31,1)):INDIRECT(ADDRESS(22,ROW()-31,1)),BF$3:BF$22),"")</f>
        <v>3</v>
      </c>
      <c r="BG51">
        <f ca="1">IF(AND(((COLUMN()-10)&lt;=playercnt),((ROW()-41)&lt;=playercnt)),SUMPRODUCT(INDIRECT(ADDRESS(3,ROW()-31,1)):INDIRECT(ADDRESS(22,ROW()-31,1)),BG$3:BG$22),"")</f>
        <v>4</v>
      </c>
      <c r="BH51">
        <f ca="1">IF(AND(((COLUMN()-10)&lt;=playercnt),((ROW()-41)&lt;=playercnt)),SUMPRODUCT(INDIRECT(ADDRESS(3,ROW()-31,1)):INDIRECT(ADDRESS(22,ROW()-31,1)),BH$3:BH$22),"")</f>
        <v>5</v>
      </c>
      <c r="BI51">
        <f ca="1">IF(AND(((COLUMN()-10)&lt;=playercnt),((ROW()-41)&lt;=playercnt)),SUMPRODUCT(INDIRECT(ADDRESS(3,ROW()-31,1)):INDIRECT(ADDRESS(22,ROW()-31,1)),BI$3:BI$22),"")</f>
        <v>4</v>
      </c>
      <c r="BJ51">
        <f ca="1">IF(AND(((COLUMN()-10)&lt;=playercnt),((ROW()-41)&lt;=playercnt)),SUMPRODUCT(INDIRECT(ADDRESS(3,ROW()-31,1)):INDIRECT(ADDRESS(22,ROW()-31,1)),BJ$3:BJ$22),"")</f>
        <v>2</v>
      </c>
      <c r="BK51">
        <f ca="1">IF(AND(((COLUMN()-10)&lt;=playercnt),((ROW()-41)&lt;=playercnt)),SUMPRODUCT(INDIRECT(ADDRESS(3,ROW()-31,1)):INDIRECT(ADDRESS(22,ROW()-31,1)),BK$3:BK$22),"")</f>
        <v>7</v>
      </c>
      <c r="BL51">
        <f ca="1">IF(AND(((COLUMN()-10)&lt;=playercnt),((ROW()-41)&lt;=playercnt)),SUMPRODUCT(INDIRECT(ADDRESS(3,ROW()-31,1)):INDIRECT(ADDRESS(22,ROW()-31,1)),BL$3:BL$22),"")</f>
        <v>5</v>
      </c>
      <c r="BM51">
        <f ca="1">IF(AND(((COLUMN()-10)&lt;=playercnt),((ROW()-41)&lt;=playercnt)),SUMPRODUCT(INDIRECT(ADDRESS(3,ROW()-31,1)):INDIRECT(ADDRESS(22,ROW()-31,1)),BM$3:BM$22),"")</f>
        <v>5</v>
      </c>
      <c r="BN51">
        <f ca="1">IF(AND(((COLUMN()-10)&lt;=playercnt),((ROW()-41)&lt;=playercnt)),SUMPRODUCT(INDIRECT(ADDRESS(3,ROW()-31,1)):INDIRECT(ADDRESS(22,ROW()-31,1)),BN$3:BN$22),"")</f>
        <v>7</v>
      </c>
    </row>
    <row r="52" spans="1:66">
      <c r="B52" s="27">
        <f t="shared" ca="1" si="23"/>
        <v>5.7272727272727275</v>
      </c>
      <c r="C52" t="str">
        <f t="shared" ca="1" si="22"/>
        <v>Desing, Scott M</v>
      </c>
      <c r="G52">
        <f ca="1">IF(AND(((COLUMN()-10)&lt;=playercnt),((ROW()-41)&lt;=playercnt)),SUMPRODUCT(INDIRECT(ADDRESS(3,ROW()-31,1)):INDIRECT(ADDRESS(22,ROW()-31,1)),G$3:G$22),"")</f>
        <v>3</v>
      </c>
      <c r="H52">
        <f ca="1">IF(AND(((COLUMN()-10)&lt;=playercnt),((ROW()-41)&lt;=playercnt)),SUMPRODUCT(INDIRECT(ADDRESS(3,ROW()-31,1)):INDIRECT(ADDRESS(22,ROW()-31,1)),H$3:H$22),"")</f>
        <v>8</v>
      </c>
      <c r="I52">
        <f ca="1">IF(AND(((COLUMN()-10)&lt;=playercnt),((ROW()-41)&lt;=playercnt)),SUMPRODUCT(INDIRECT(ADDRESS(3,ROW()-31,1)):INDIRECT(ADDRESS(22,ROW()-31,1)),I$3:I$22),"")</f>
        <v>8</v>
      </c>
      <c r="J52">
        <f ca="1">IF(AND(((COLUMN()-10)&lt;=playercnt),((ROW()-41)&lt;=playercnt)),SUMPRODUCT(INDIRECT(ADDRESS(3,ROW()-31,1)):INDIRECT(ADDRESS(22,ROW()-31,1)),J$3:J$22),"")</f>
        <v>0</v>
      </c>
      <c r="K52">
        <f ca="1">IF(AND(((COLUMN()-10)&lt;=playercnt),((ROW()-41)&lt;=playercnt)),SUMPRODUCT(INDIRECT(ADDRESS(3,ROW()-31,1)):INDIRECT(ADDRESS(22,ROW()-31,1)),K$3:K$22),"")</f>
        <v>7</v>
      </c>
      <c r="L52">
        <f ca="1">IF(AND(((COLUMN()-10)&lt;=playercnt),((ROW()-41)&lt;=playercnt)),SUMPRODUCT(INDIRECT(ADDRESS(3,ROW()-31,1)):INDIRECT(ADDRESS(22,ROW()-31,1)),L$3:L$22),"")</f>
        <v>6</v>
      </c>
      <c r="M52">
        <f ca="1">IF(AND(((COLUMN()-10)&lt;=playercnt),((ROW()-41)&lt;=playercnt)),SUMPRODUCT(INDIRECT(ADDRESS(3,ROW()-31,1)):INDIRECT(ADDRESS(22,ROW()-31,1)),M$3:M$22),"")</f>
        <v>6</v>
      </c>
      <c r="N52">
        <f ca="1">IF(AND(((COLUMN()-10)&lt;=playercnt),((ROW()-41)&lt;=playercnt)),SUMPRODUCT(INDIRECT(ADDRESS(3,ROW()-31,1)):INDIRECT(ADDRESS(22,ROW()-31,1)),N$3:N$22),"")</f>
        <v>8</v>
      </c>
      <c r="O52">
        <f ca="1">IF(AND(((COLUMN()-10)&lt;=playercnt),((ROW()-41)&lt;=playercnt)),SUMPRODUCT(INDIRECT(ADDRESS(3,ROW()-31,1)):INDIRECT(ADDRESS(22,ROW()-31,1)),O$3:O$22),"")</f>
        <v>4</v>
      </c>
      <c r="P52">
        <f ca="1">IF(AND(((COLUMN()-10)&lt;=playercnt),((ROW()-41)&lt;=playercnt)),SUMPRODUCT(INDIRECT(ADDRESS(3,ROW()-31,1)):INDIRECT(ADDRESS(22,ROW()-31,1)),P$3:P$22),"")</f>
        <v>5</v>
      </c>
      <c r="Q52">
        <f ca="1">IF(AND(((COLUMN()-10)&lt;=playercnt),((ROW()-41)&lt;=playercnt)),SUMPRODUCT(INDIRECT(ADDRESS(3,ROW()-31,1)):INDIRECT(ADDRESS(22,ROW()-31,1)),Q$3:Q$22),"")</f>
        <v>5</v>
      </c>
      <c r="R52">
        <f ca="1">IF(AND(((COLUMN()-10)&lt;=playercnt),((ROW()-41)&lt;=playercnt)),SUMPRODUCT(INDIRECT(ADDRESS(3,ROW()-31,1)):INDIRECT(ADDRESS(22,ROW()-31,1)),R$3:R$22),"")</f>
        <v>7</v>
      </c>
      <c r="S52">
        <f ca="1">IF(AND(((COLUMN()-10)&lt;=playercnt),((ROW()-41)&lt;=playercnt)),SUMPRODUCT(INDIRECT(ADDRESS(3,ROW()-31,1)):INDIRECT(ADDRESS(22,ROW()-31,1)),S$3:S$22),"")</f>
        <v>5</v>
      </c>
      <c r="T52">
        <f ca="1">IF(AND(((COLUMN()-10)&lt;=playercnt),((ROW()-41)&lt;=playercnt)),SUMPRODUCT(INDIRECT(ADDRESS(3,ROW()-31,1)):INDIRECT(ADDRESS(22,ROW()-31,1)),T$3:T$22),"")</f>
        <v>5</v>
      </c>
      <c r="U52">
        <f ca="1">IF(AND(((COLUMN()-10)&lt;=playercnt),((ROW()-41)&lt;=playercnt)),SUMPRODUCT(INDIRECT(ADDRESS(3,ROW()-31,1)):INDIRECT(ADDRESS(22,ROW()-31,1)),U$3:U$22),"")</f>
        <v>10</v>
      </c>
      <c r="V52">
        <f ca="1">IF(AND(((COLUMN()-10)&lt;=playercnt),((ROW()-41)&lt;=playercnt)),SUMPRODUCT(INDIRECT(ADDRESS(3,ROW()-31,1)):INDIRECT(ADDRESS(22,ROW()-31,1)),V$3:V$22),"")</f>
        <v>5</v>
      </c>
      <c r="W52">
        <f ca="1">IF(AND(((COLUMN()-10)&lt;=playercnt),((ROW()-41)&lt;=playercnt)),SUMPRODUCT(INDIRECT(ADDRESS(3,ROW()-31,1)):INDIRECT(ADDRESS(22,ROW()-31,1)),W$3:W$22),"")</f>
        <v>5</v>
      </c>
      <c r="X52">
        <f ca="1">IF(AND(((COLUMN()-10)&lt;=playercnt),((ROW()-41)&lt;=playercnt)),SUMPRODUCT(INDIRECT(ADDRESS(3,ROW()-31,1)):INDIRECT(ADDRESS(22,ROW()-31,1)),X$3:X$22),"")</f>
        <v>5</v>
      </c>
      <c r="Y52">
        <f ca="1">IF(AND(((COLUMN()-10)&lt;=playercnt),((ROW()-41)&lt;=playercnt)),SUMPRODUCT(INDIRECT(ADDRESS(3,ROW()-31,1)):INDIRECT(ADDRESS(22,ROW()-31,1)),Y$3:Y$22),"")</f>
        <v>6</v>
      </c>
      <c r="Z52">
        <f ca="1">IF(AND(((COLUMN()-10)&lt;=playercnt),((ROW()-41)&lt;=playercnt)),SUMPRODUCT(INDIRECT(ADDRESS(3,ROW()-31,1)):INDIRECT(ADDRESS(22,ROW()-31,1)),Z$3:Z$22),"")</f>
        <v>2</v>
      </c>
      <c r="AA52">
        <f ca="1">IF(AND(((COLUMN()-10)&lt;=playercnt),((ROW()-41)&lt;=playercnt)),SUMPRODUCT(INDIRECT(ADDRESS(3,ROW()-31,1)):INDIRECT(ADDRESS(22,ROW()-31,1)),AA$3:AA$22),"")</f>
        <v>6</v>
      </c>
      <c r="AB52">
        <f ca="1">IF(AND(((COLUMN()-10)&lt;=playercnt),((ROW()-41)&lt;=playercnt)),SUMPRODUCT(INDIRECT(ADDRESS(3,ROW()-31,1)):INDIRECT(ADDRESS(22,ROW()-31,1)),AB$3:AB$22),"")</f>
        <v>8</v>
      </c>
      <c r="AC52">
        <f ca="1">IF(AND(((COLUMN()-10)&lt;=playercnt),((ROW()-41)&lt;=playercnt)),SUMPRODUCT(INDIRECT(ADDRESS(3,ROW()-31,1)):INDIRECT(ADDRESS(22,ROW()-31,1)),AC$3:AC$22),"")</f>
        <v>7</v>
      </c>
      <c r="AD52">
        <f ca="1">IF(AND(((COLUMN()-10)&lt;=playercnt),((ROW()-41)&lt;=playercnt)),SUMPRODUCT(INDIRECT(ADDRESS(3,ROW()-31,1)):INDIRECT(ADDRESS(22,ROW()-31,1)),AD$3:AD$22),"")</f>
        <v>6</v>
      </c>
      <c r="AE52">
        <f ca="1">IF(AND(((COLUMN()-10)&lt;=playercnt),((ROW()-41)&lt;=playercnt)),SUMPRODUCT(INDIRECT(ADDRESS(3,ROW()-31,1)):INDIRECT(ADDRESS(22,ROW()-31,1)),AE$3:AE$22),"")</f>
        <v>8</v>
      </c>
      <c r="AF52">
        <f ca="1">IF(AND(((COLUMN()-10)&lt;=playercnt),((ROW()-41)&lt;=playercnt)),SUMPRODUCT(INDIRECT(ADDRESS(3,ROW()-31,1)):INDIRECT(ADDRESS(22,ROW()-31,1)),AF$3:AF$22),"")</f>
        <v>2</v>
      </c>
      <c r="AG52">
        <f ca="1">IF(AND(((COLUMN()-10)&lt;=playercnt),((ROW()-41)&lt;=playercnt)),SUMPRODUCT(INDIRECT(ADDRESS(3,ROW()-31,1)):INDIRECT(ADDRESS(22,ROW()-31,1)),AG$3:AG$22),"")</f>
        <v>6</v>
      </c>
      <c r="AH52">
        <f ca="1">IF(AND(((COLUMN()-10)&lt;=playercnt),((ROW()-41)&lt;=playercnt)),SUMPRODUCT(INDIRECT(ADDRESS(3,ROW()-31,1)):INDIRECT(ADDRESS(22,ROW()-31,1)),AH$3:AH$22),"")</f>
        <v>4</v>
      </c>
      <c r="AI52">
        <f ca="1">IF(AND(((COLUMN()-10)&lt;=playercnt),((ROW()-41)&lt;=playercnt)),SUMPRODUCT(INDIRECT(ADDRESS(3,ROW()-31,1)):INDIRECT(ADDRESS(22,ROW()-31,1)),AI$3:AI$22),"")</f>
        <v>5</v>
      </c>
      <c r="AJ52">
        <f ca="1">IF(AND(((COLUMN()-10)&lt;=playercnt),((ROW()-41)&lt;=playercnt)),SUMPRODUCT(INDIRECT(ADDRESS(3,ROW()-31,1)):INDIRECT(ADDRESS(22,ROW()-31,1)),AJ$3:AJ$22),"")</f>
        <v>6</v>
      </c>
      <c r="AK52">
        <f ca="1">IF(AND(((COLUMN()-10)&lt;=playercnt),((ROW()-41)&lt;=playercnt)),SUMPRODUCT(INDIRECT(ADDRESS(3,ROW()-31,1)):INDIRECT(ADDRESS(22,ROW()-31,1)),AK$3:AK$22),"")</f>
        <v>6</v>
      </c>
      <c r="AL52">
        <f ca="1">IF(AND(((COLUMN()-10)&lt;=playercnt),((ROW()-41)&lt;=playercnt)),SUMPRODUCT(INDIRECT(ADDRESS(3,ROW()-31,1)):INDIRECT(ADDRESS(22,ROW()-31,1)),AL$3:AL$22),"")</f>
        <v>6</v>
      </c>
      <c r="AM52">
        <f ca="1">IF(AND(((COLUMN()-10)&lt;=playercnt),((ROW()-41)&lt;=playercnt)),SUMPRODUCT(INDIRECT(ADDRESS(3,ROW()-31,1)):INDIRECT(ADDRESS(22,ROW()-31,1)),AM$3:AM$22),"")</f>
        <v>5</v>
      </c>
      <c r="AN52">
        <f ca="1">IF(AND(((COLUMN()-10)&lt;=playercnt),((ROW()-41)&lt;=playercnt)),SUMPRODUCT(INDIRECT(ADDRESS(3,ROW()-31,1)):INDIRECT(ADDRESS(22,ROW()-31,1)),AN$3:AN$22),"")</f>
        <v>6</v>
      </c>
      <c r="AO52">
        <f ca="1">IF(AND(((COLUMN()-10)&lt;=playercnt),((ROW()-41)&lt;=playercnt)),SUMPRODUCT(INDIRECT(ADDRESS(3,ROW()-31,1)):INDIRECT(ADDRESS(22,ROW()-31,1)),AO$3:AO$22),"")</f>
        <v>4</v>
      </c>
      <c r="AP52">
        <f ca="1">IF(AND(((COLUMN()-10)&lt;=playercnt),((ROW()-41)&lt;=playercnt)),SUMPRODUCT(INDIRECT(ADDRESS(3,ROW()-31,1)):INDIRECT(ADDRESS(22,ROW()-31,1)),AP$3:AP$22),"")</f>
        <v>7</v>
      </c>
      <c r="AQ52">
        <f ca="1">IF(AND(((COLUMN()-10)&lt;=playercnt),((ROW()-41)&lt;=playercnt)),SUMPRODUCT(INDIRECT(ADDRESS(3,ROW()-31,1)):INDIRECT(ADDRESS(22,ROW()-31,1)),AQ$3:AQ$22),"")</f>
        <v>7</v>
      </c>
      <c r="AR52">
        <f ca="1">IF(AND(((COLUMN()-10)&lt;=playercnt),((ROW()-41)&lt;=playercnt)),SUMPRODUCT(INDIRECT(ADDRESS(3,ROW()-31,1)):INDIRECT(ADDRESS(22,ROW()-31,1)),AR$3:AR$22),"")</f>
        <v>6</v>
      </c>
      <c r="AS52">
        <f ca="1">IF(AND(((COLUMN()-10)&lt;=playercnt),((ROW()-41)&lt;=playercnt)),SUMPRODUCT(INDIRECT(ADDRESS(3,ROW()-31,1)):INDIRECT(ADDRESS(22,ROW()-31,1)),AS$3:AS$22),"")</f>
        <v>4</v>
      </c>
      <c r="AT52">
        <f ca="1">IF(AND(((COLUMN()-10)&lt;=playercnt),((ROW()-41)&lt;=playercnt)),SUMPRODUCT(INDIRECT(ADDRESS(3,ROW()-31,1)):INDIRECT(ADDRESS(22,ROW()-31,1)),AT$3:AT$22),"")</f>
        <v>5</v>
      </c>
      <c r="AU52">
        <f ca="1">IF(AND(((COLUMN()-10)&lt;=playercnt),((ROW()-41)&lt;=playercnt)),SUMPRODUCT(INDIRECT(ADDRESS(3,ROW()-31,1)):INDIRECT(ADDRESS(22,ROW()-31,1)),AU$3:AU$22),"")</f>
        <v>5</v>
      </c>
      <c r="AV52">
        <f ca="1">IF(AND(((COLUMN()-10)&lt;=playercnt),((ROW()-41)&lt;=playercnt)),SUMPRODUCT(INDIRECT(ADDRESS(3,ROW()-31,1)):INDIRECT(ADDRESS(22,ROW()-31,1)),AV$3:AV$22),"")</f>
        <v>7</v>
      </c>
      <c r="AW52">
        <f ca="1">IF(AND(((COLUMN()-10)&lt;=playercnt),((ROW()-41)&lt;=playercnt)),SUMPRODUCT(INDIRECT(ADDRESS(3,ROW()-31,1)):INDIRECT(ADDRESS(22,ROW()-31,1)),AW$3:AW$22),"")</f>
        <v>7</v>
      </c>
      <c r="AX52">
        <f ca="1">IF(AND(((COLUMN()-10)&lt;=playercnt),((ROW()-41)&lt;=playercnt)),SUMPRODUCT(INDIRECT(ADDRESS(3,ROW()-31,1)):INDIRECT(ADDRESS(22,ROW()-31,1)),AX$3:AX$22),"")</f>
        <v>7</v>
      </c>
      <c r="AY52">
        <f ca="1">IF(AND(((COLUMN()-10)&lt;=playercnt),((ROW()-41)&lt;=playercnt)),SUMPRODUCT(INDIRECT(ADDRESS(3,ROW()-31,1)):INDIRECT(ADDRESS(22,ROW()-31,1)),AY$3:AY$22),"")</f>
        <v>7</v>
      </c>
      <c r="AZ52">
        <f ca="1">IF(AND(((COLUMN()-10)&lt;=playercnt),((ROW()-41)&lt;=playercnt)),SUMPRODUCT(INDIRECT(ADDRESS(3,ROW()-31,1)):INDIRECT(ADDRESS(22,ROW()-31,1)),AZ$3:AZ$22),"")</f>
        <v>4</v>
      </c>
      <c r="BA52">
        <f ca="1">IF(AND(((COLUMN()-10)&lt;=playercnt),((ROW()-41)&lt;=playercnt)),SUMPRODUCT(INDIRECT(ADDRESS(3,ROW()-31,1)):INDIRECT(ADDRESS(22,ROW()-31,1)),BA$3:BA$22),"")</f>
        <v>7</v>
      </c>
      <c r="BB52">
        <f ca="1">IF(AND(((COLUMN()-10)&lt;=playercnt),((ROW()-41)&lt;=playercnt)),SUMPRODUCT(INDIRECT(ADDRESS(3,ROW()-31,1)):INDIRECT(ADDRESS(22,ROW()-31,1)),BB$3:BB$22),"")</f>
        <v>6</v>
      </c>
      <c r="BC52">
        <f ca="1">IF(AND(((COLUMN()-10)&lt;=playercnt),((ROW()-41)&lt;=playercnt)),SUMPRODUCT(INDIRECT(ADDRESS(3,ROW()-31,1)):INDIRECT(ADDRESS(22,ROW()-31,1)),BC$3:BC$22),"")</f>
        <v>4</v>
      </c>
      <c r="BD52">
        <f ca="1">IF(AND(((COLUMN()-10)&lt;=playercnt),((ROW()-41)&lt;=playercnt)),SUMPRODUCT(INDIRECT(ADDRESS(3,ROW()-31,1)):INDIRECT(ADDRESS(22,ROW()-31,1)),BD$3:BD$22),"")</f>
        <v>7</v>
      </c>
      <c r="BE52">
        <f ca="1">IF(AND(((COLUMN()-10)&lt;=playercnt),((ROW()-41)&lt;=playercnt)),SUMPRODUCT(INDIRECT(ADDRESS(3,ROW()-31,1)):INDIRECT(ADDRESS(22,ROW()-31,1)),BE$3:BE$22),"")</f>
        <v>6</v>
      </c>
      <c r="BF52">
        <f ca="1">IF(AND(((COLUMN()-10)&lt;=playercnt),((ROW()-41)&lt;=playercnt)),SUMPRODUCT(INDIRECT(ADDRESS(3,ROW()-31,1)):INDIRECT(ADDRESS(22,ROW()-31,1)),BF$3:BF$22),"")</f>
        <v>8</v>
      </c>
      <c r="BG52">
        <f ca="1">IF(AND(((COLUMN()-10)&lt;=playercnt),((ROW()-41)&lt;=playercnt)),SUMPRODUCT(INDIRECT(ADDRESS(3,ROW()-31,1)):INDIRECT(ADDRESS(22,ROW()-31,1)),BG$3:BG$22),"")</f>
        <v>7</v>
      </c>
      <c r="BH52">
        <f ca="1">IF(AND(((COLUMN()-10)&lt;=playercnt),((ROW()-41)&lt;=playercnt)),SUMPRODUCT(INDIRECT(ADDRESS(3,ROW()-31,1)):INDIRECT(ADDRESS(22,ROW()-31,1)),BH$3:BH$22),"")</f>
        <v>8</v>
      </c>
      <c r="BI52">
        <f ca="1">IF(AND(((COLUMN()-10)&lt;=playercnt),((ROW()-41)&lt;=playercnt)),SUMPRODUCT(INDIRECT(ADDRESS(3,ROW()-31,1)):INDIRECT(ADDRESS(22,ROW()-31,1)),BI$3:BI$22),"")</f>
        <v>3</v>
      </c>
      <c r="BJ52">
        <f ca="1">IF(AND(((COLUMN()-10)&lt;=playercnt),((ROW()-41)&lt;=playercnt)),SUMPRODUCT(INDIRECT(ADDRESS(3,ROW()-31,1)):INDIRECT(ADDRESS(22,ROW()-31,1)),BJ$3:BJ$22),"")</f>
        <v>5</v>
      </c>
      <c r="BK52">
        <f ca="1">IF(AND(((COLUMN()-10)&lt;=playercnt),((ROW()-41)&lt;=playercnt)),SUMPRODUCT(INDIRECT(ADDRESS(3,ROW()-31,1)):INDIRECT(ADDRESS(22,ROW()-31,1)),BK$3:BK$22),"")</f>
        <v>6</v>
      </c>
      <c r="BL52">
        <f ca="1">IF(AND(((COLUMN()-10)&lt;=playercnt),((ROW()-41)&lt;=playercnt)),SUMPRODUCT(INDIRECT(ADDRESS(3,ROW()-31,1)):INDIRECT(ADDRESS(22,ROW()-31,1)),BL$3:BL$22),"")</f>
        <v>8</v>
      </c>
      <c r="BM52">
        <f ca="1">IF(AND(((COLUMN()-10)&lt;=playercnt),((ROW()-41)&lt;=playercnt)),SUMPRODUCT(INDIRECT(ADDRESS(3,ROW()-31,1)):INDIRECT(ADDRESS(22,ROW()-31,1)),BM$3:BM$22),"")</f>
        <v>4</v>
      </c>
      <c r="BN52">
        <f ca="1">IF(AND(((COLUMN()-10)&lt;=playercnt),((ROW()-41)&lt;=playercnt)),SUMPRODUCT(INDIRECT(ADDRESS(3,ROW()-31,1)):INDIRECT(ADDRESS(22,ROW()-31,1)),BN$3:BN$22),"")</f>
        <v>4</v>
      </c>
    </row>
    <row r="53" spans="1:66">
      <c r="B53" s="27">
        <f t="shared" ca="1" si="23"/>
        <v>5.3636363636363633</v>
      </c>
      <c r="C53" t="str">
        <f t="shared" ca="1" si="22"/>
        <v>Drebin, James</v>
      </c>
      <c r="G53">
        <f ca="1">IF(AND(((COLUMN()-10)&lt;=playercnt),((ROW()-41)&lt;=playercnt)),SUMPRODUCT(INDIRECT(ADDRESS(3,ROW()-31,1)):INDIRECT(ADDRESS(22,ROW()-31,1)),G$3:G$22),"")</f>
        <v>6</v>
      </c>
      <c r="H53">
        <f ca="1">IF(AND(((COLUMN()-10)&lt;=playercnt),((ROW()-41)&lt;=playercnt)),SUMPRODUCT(INDIRECT(ADDRESS(3,ROW()-31,1)):INDIRECT(ADDRESS(22,ROW()-31,1)),H$3:H$22),"")</f>
        <v>5</v>
      </c>
      <c r="I53">
        <f ca="1">IF(AND(((COLUMN()-10)&lt;=playercnt),((ROW()-41)&lt;=playercnt)),SUMPRODUCT(INDIRECT(ADDRESS(3,ROW()-31,1)):INDIRECT(ADDRESS(22,ROW()-31,1)),I$3:I$22),"")</f>
        <v>7</v>
      </c>
      <c r="J53">
        <f ca="1">IF(AND(((COLUMN()-10)&lt;=playercnt),((ROW()-41)&lt;=playercnt)),SUMPRODUCT(INDIRECT(ADDRESS(3,ROW()-31,1)):INDIRECT(ADDRESS(22,ROW()-31,1)),J$3:J$22),"")</f>
        <v>0</v>
      </c>
      <c r="K53">
        <f ca="1">IF(AND(((COLUMN()-10)&lt;=playercnt),((ROW()-41)&lt;=playercnt)),SUMPRODUCT(INDIRECT(ADDRESS(3,ROW()-31,1)):INDIRECT(ADDRESS(22,ROW()-31,1)),K$3:K$22),"")</f>
        <v>6</v>
      </c>
      <c r="L53">
        <f ca="1">IF(AND(((COLUMN()-10)&lt;=playercnt),((ROW()-41)&lt;=playercnt)),SUMPRODUCT(INDIRECT(ADDRESS(3,ROW()-31,1)):INDIRECT(ADDRESS(22,ROW()-31,1)),L$3:L$22),"")</f>
        <v>7</v>
      </c>
      <c r="M53">
        <f ca="1">IF(AND(((COLUMN()-10)&lt;=playercnt),((ROW()-41)&lt;=playercnt)),SUMPRODUCT(INDIRECT(ADDRESS(3,ROW()-31,1)):INDIRECT(ADDRESS(22,ROW()-31,1)),M$3:M$22),"")</f>
        <v>5</v>
      </c>
      <c r="N53">
        <f ca="1">IF(AND(((COLUMN()-10)&lt;=playercnt),((ROW()-41)&lt;=playercnt)),SUMPRODUCT(INDIRECT(ADDRESS(3,ROW()-31,1)):INDIRECT(ADDRESS(22,ROW()-31,1)),N$3:N$22),"")</f>
        <v>5</v>
      </c>
      <c r="O53">
        <f ca="1">IF(AND(((COLUMN()-10)&lt;=playercnt),((ROW()-41)&lt;=playercnt)),SUMPRODUCT(INDIRECT(ADDRESS(3,ROW()-31,1)):INDIRECT(ADDRESS(22,ROW()-31,1)),O$3:O$22),"")</f>
        <v>7</v>
      </c>
      <c r="P53">
        <f ca="1">IF(AND(((COLUMN()-10)&lt;=playercnt),((ROW()-41)&lt;=playercnt)),SUMPRODUCT(INDIRECT(ADDRESS(3,ROW()-31,1)):INDIRECT(ADDRESS(22,ROW()-31,1)),P$3:P$22),"")</f>
        <v>4</v>
      </c>
      <c r="Q53">
        <f ca="1">IF(AND(((COLUMN()-10)&lt;=playercnt),((ROW()-41)&lt;=playercnt)),SUMPRODUCT(INDIRECT(ADDRESS(3,ROW()-31,1)):INDIRECT(ADDRESS(22,ROW()-31,1)),Q$3:Q$22),"")</f>
        <v>4</v>
      </c>
      <c r="R53">
        <f ca="1">IF(AND(((COLUMN()-10)&lt;=playercnt),((ROW()-41)&lt;=playercnt)),SUMPRODUCT(INDIRECT(ADDRESS(3,ROW()-31,1)):INDIRECT(ADDRESS(22,ROW()-31,1)),R$3:R$22),"")</f>
        <v>6</v>
      </c>
      <c r="S53">
        <f ca="1">IF(AND(((COLUMN()-10)&lt;=playercnt),((ROW()-41)&lt;=playercnt)),SUMPRODUCT(INDIRECT(ADDRESS(3,ROW()-31,1)):INDIRECT(ADDRESS(22,ROW()-31,1)),S$3:S$22),"")</f>
        <v>6</v>
      </c>
      <c r="T53">
        <f ca="1">IF(AND(((COLUMN()-10)&lt;=playercnt),((ROW()-41)&lt;=playercnt)),SUMPRODUCT(INDIRECT(ADDRESS(3,ROW()-31,1)):INDIRECT(ADDRESS(22,ROW()-31,1)),T$3:T$22),"")</f>
        <v>6</v>
      </c>
      <c r="U53">
        <f ca="1">IF(AND(((COLUMN()-10)&lt;=playercnt),((ROW()-41)&lt;=playercnt)),SUMPRODUCT(INDIRECT(ADDRESS(3,ROW()-31,1)):INDIRECT(ADDRESS(22,ROW()-31,1)),U$3:U$22),"")</f>
        <v>5</v>
      </c>
      <c r="V53">
        <f ca="1">IF(AND(((COLUMN()-10)&lt;=playercnt),((ROW()-41)&lt;=playercnt)),SUMPRODUCT(INDIRECT(ADDRESS(3,ROW()-31,1)):INDIRECT(ADDRESS(22,ROW()-31,1)),V$3:V$22),"")</f>
        <v>10</v>
      </c>
      <c r="W53">
        <f ca="1">IF(AND(((COLUMN()-10)&lt;=playercnt),((ROW()-41)&lt;=playercnt)),SUMPRODUCT(INDIRECT(ADDRESS(3,ROW()-31,1)):INDIRECT(ADDRESS(22,ROW()-31,1)),W$3:W$22),"")</f>
        <v>10</v>
      </c>
      <c r="X53">
        <f ca="1">IF(AND(((COLUMN()-10)&lt;=playercnt),((ROW()-41)&lt;=playercnt)),SUMPRODUCT(INDIRECT(ADDRESS(3,ROW()-31,1)):INDIRECT(ADDRESS(22,ROW()-31,1)),X$3:X$22),"")</f>
        <v>8</v>
      </c>
      <c r="Y53">
        <f ca="1">IF(AND(((COLUMN()-10)&lt;=playercnt),((ROW()-41)&lt;=playercnt)),SUMPRODUCT(INDIRECT(ADDRESS(3,ROW()-31,1)):INDIRECT(ADDRESS(22,ROW()-31,1)),Y$3:Y$22),"")</f>
        <v>5</v>
      </c>
      <c r="Z53">
        <f ca="1">IF(AND(((COLUMN()-10)&lt;=playercnt),((ROW()-41)&lt;=playercnt)),SUMPRODUCT(INDIRECT(ADDRESS(3,ROW()-31,1)):INDIRECT(ADDRESS(22,ROW()-31,1)),Z$3:Z$22),"")</f>
        <v>3</v>
      </c>
      <c r="AA53">
        <f ca="1">IF(AND(((COLUMN()-10)&lt;=playercnt),((ROW()-41)&lt;=playercnt)),SUMPRODUCT(INDIRECT(ADDRESS(3,ROW()-31,1)):INDIRECT(ADDRESS(22,ROW()-31,1)),AA$3:AA$22),"")</f>
        <v>5</v>
      </c>
      <c r="AB53">
        <f ca="1">IF(AND(((COLUMN()-10)&lt;=playercnt),((ROW()-41)&lt;=playercnt)),SUMPRODUCT(INDIRECT(ADDRESS(3,ROW()-31,1)):INDIRECT(ADDRESS(22,ROW()-31,1)),AB$3:AB$22),"")</f>
        <v>3</v>
      </c>
      <c r="AC53">
        <f ca="1">IF(AND(((COLUMN()-10)&lt;=playercnt),((ROW()-41)&lt;=playercnt)),SUMPRODUCT(INDIRECT(ADDRESS(3,ROW()-31,1)):INDIRECT(ADDRESS(22,ROW()-31,1)),AC$3:AC$22),"")</f>
        <v>4</v>
      </c>
      <c r="AD53">
        <f ca="1">IF(AND(((COLUMN()-10)&lt;=playercnt),((ROW()-41)&lt;=playercnt)),SUMPRODUCT(INDIRECT(ADDRESS(3,ROW()-31,1)):INDIRECT(ADDRESS(22,ROW()-31,1)),AD$3:AD$22),"")</f>
        <v>7</v>
      </c>
      <c r="AE53">
        <f ca="1">IF(AND(((COLUMN()-10)&lt;=playercnt),((ROW()-41)&lt;=playercnt)),SUMPRODUCT(INDIRECT(ADDRESS(3,ROW()-31,1)):INDIRECT(ADDRESS(22,ROW()-31,1)),AE$3:AE$22),"")</f>
        <v>5</v>
      </c>
      <c r="AF53">
        <f ca="1">IF(AND(((COLUMN()-10)&lt;=playercnt),((ROW()-41)&lt;=playercnt)),SUMPRODUCT(INDIRECT(ADDRESS(3,ROW()-31,1)):INDIRECT(ADDRESS(22,ROW()-31,1)),AF$3:AF$22),"")</f>
        <v>7</v>
      </c>
      <c r="AG53">
        <f ca="1">IF(AND(((COLUMN()-10)&lt;=playercnt),((ROW()-41)&lt;=playercnt)),SUMPRODUCT(INDIRECT(ADDRESS(3,ROW()-31,1)):INDIRECT(ADDRESS(22,ROW()-31,1)),AG$3:AG$22),"")</f>
        <v>7</v>
      </c>
      <c r="AH53">
        <f ca="1">IF(AND(((COLUMN()-10)&lt;=playercnt),((ROW()-41)&lt;=playercnt)),SUMPRODUCT(INDIRECT(ADDRESS(3,ROW()-31,1)):INDIRECT(ADDRESS(22,ROW()-31,1)),AH$3:AH$22),"")</f>
        <v>7</v>
      </c>
      <c r="AI53">
        <f ca="1">IF(AND(((COLUMN()-10)&lt;=playercnt),((ROW()-41)&lt;=playercnt)),SUMPRODUCT(INDIRECT(ADDRESS(3,ROW()-31,1)):INDIRECT(ADDRESS(22,ROW()-31,1)),AI$3:AI$22),"")</f>
        <v>4</v>
      </c>
      <c r="AJ53">
        <f ca="1">IF(AND(((COLUMN()-10)&lt;=playercnt),((ROW()-41)&lt;=playercnt)),SUMPRODUCT(INDIRECT(ADDRESS(3,ROW()-31,1)):INDIRECT(ADDRESS(22,ROW()-31,1)),AJ$3:AJ$22),"")</f>
        <v>7</v>
      </c>
      <c r="AK53">
        <f ca="1">IF(AND(((COLUMN()-10)&lt;=playercnt),((ROW()-41)&lt;=playercnt)),SUMPRODUCT(INDIRECT(ADDRESS(3,ROW()-31,1)):INDIRECT(ADDRESS(22,ROW()-31,1)),AK$3:AK$22),"")</f>
        <v>5</v>
      </c>
      <c r="AL53">
        <f ca="1">IF(AND(((COLUMN()-10)&lt;=playercnt),((ROW()-41)&lt;=playercnt)),SUMPRODUCT(INDIRECT(ADDRESS(3,ROW()-31,1)):INDIRECT(ADDRESS(22,ROW()-31,1)),AL$3:AL$22),"")</f>
        <v>5</v>
      </c>
      <c r="AM53">
        <f ca="1">IF(AND(((COLUMN()-10)&lt;=playercnt),((ROW()-41)&lt;=playercnt)),SUMPRODUCT(INDIRECT(ADDRESS(3,ROW()-31,1)):INDIRECT(ADDRESS(22,ROW()-31,1)),AM$3:AM$22),"")</f>
        <v>4</v>
      </c>
      <c r="AN53">
        <f ca="1">IF(AND(((COLUMN()-10)&lt;=playercnt),((ROW()-41)&lt;=playercnt)),SUMPRODUCT(INDIRECT(ADDRESS(3,ROW()-31,1)):INDIRECT(ADDRESS(22,ROW()-31,1)),AN$3:AN$22),"")</f>
        <v>5</v>
      </c>
      <c r="AO53">
        <f ca="1">IF(AND(((COLUMN()-10)&lt;=playercnt),((ROW()-41)&lt;=playercnt)),SUMPRODUCT(INDIRECT(ADDRESS(3,ROW()-31,1)):INDIRECT(ADDRESS(22,ROW()-31,1)),AO$3:AO$22),"")</f>
        <v>3</v>
      </c>
      <c r="AP53">
        <f ca="1">IF(AND(((COLUMN()-10)&lt;=playercnt),((ROW()-41)&lt;=playercnt)),SUMPRODUCT(INDIRECT(ADDRESS(3,ROW()-31,1)):INDIRECT(ADDRESS(22,ROW()-31,1)),AP$3:AP$22),"")</f>
        <v>4</v>
      </c>
      <c r="AQ53">
        <f ca="1">IF(AND(((COLUMN()-10)&lt;=playercnt),((ROW()-41)&lt;=playercnt)),SUMPRODUCT(INDIRECT(ADDRESS(3,ROW()-31,1)):INDIRECT(ADDRESS(22,ROW()-31,1)),AQ$3:AQ$22),"")</f>
        <v>4</v>
      </c>
      <c r="AR53">
        <f ca="1">IF(AND(((COLUMN()-10)&lt;=playercnt),((ROW()-41)&lt;=playercnt)),SUMPRODUCT(INDIRECT(ADDRESS(3,ROW()-31,1)):INDIRECT(ADDRESS(22,ROW()-31,1)),AR$3:AR$22),"")</f>
        <v>5</v>
      </c>
      <c r="AS53">
        <f ca="1">IF(AND(((COLUMN()-10)&lt;=playercnt),((ROW()-41)&lt;=playercnt)),SUMPRODUCT(INDIRECT(ADDRESS(3,ROW()-31,1)):INDIRECT(ADDRESS(22,ROW()-31,1)),AS$3:AS$22),"")</f>
        <v>5</v>
      </c>
      <c r="AT53">
        <f ca="1">IF(AND(((COLUMN()-10)&lt;=playercnt),((ROW()-41)&lt;=playercnt)),SUMPRODUCT(INDIRECT(ADDRESS(3,ROW()-31,1)):INDIRECT(ADDRESS(22,ROW()-31,1)),AT$3:AT$22),"")</f>
        <v>4</v>
      </c>
      <c r="AU53">
        <f ca="1">IF(AND(((COLUMN()-10)&lt;=playercnt),((ROW()-41)&lt;=playercnt)),SUMPRODUCT(INDIRECT(ADDRESS(3,ROW()-31,1)):INDIRECT(ADDRESS(22,ROW()-31,1)),AU$3:AU$22),"")</f>
        <v>6</v>
      </c>
      <c r="AV53">
        <f ca="1">IF(AND(((COLUMN()-10)&lt;=playercnt),((ROW()-41)&lt;=playercnt)),SUMPRODUCT(INDIRECT(ADDRESS(3,ROW()-31,1)):INDIRECT(ADDRESS(22,ROW()-31,1)),AV$3:AV$22),"")</f>
        <v>6</v>
      </c>
      <c r="AW53">
        <f ca="1">IF(AND(((COLUMN()-10)&lt;=playercnt),((ROW()-41)&lt;=playercnt)),SUMPRODUCT(INDIRECT(ADDRESS(3,ROW()-31,1)):INDIRECT(ADDRESS(22,ROW()-31,1)),AW$3:AW$22),"")</f>
        <v>8</v>
      </c>
      <c r="AX53">
        <f ca="1">IF(AND(((COLUMN()-10)&lt;=playercnt),((ROW()-41)&lt;=playercnt)),SUMPRODUCT(INDIRECT(ADDRESS(3,ROW()-31,1)):INDIRECT(ADDRESS(22,ROW()-31,1)),AX$3:AX$22),"")</f>
        <v>6</v>
      </c>
      <c r="AY53">
        <f ca="1">IF(AND(((COLUMN()-10)&lt;=playercnt),((ROW()-41)&lt;=playercnt)),SUMPRODUCT(INDIRECT(ADDRESS(3,ROW()-31,1)):INDIRECT(ADDRESS(22,ROW()-31,1)),AY$3:AY$22),"")</f>
        <v>8</v>
      </c>
      <c r="AZ53">
        <f ca="1">IF(AND(((COLUMN()-10)&lt;=playercnt),((ROW()-41)&lt;=playercnt)),SUMPRODUCT(INDIRECT(ADDRESS(3,ROW()-31,1)):INDIRECT(ADDRESS(22,ROW()-31,1)),AZ$3:AZ$22),"")</f>
        <v>7</v>
      </c>
      <c r="BA53">
        <f ca="1">IF(AND(((COLUMN()-10)&lt;=playercnt),((ROW()-41)&lt;=playercnt)),SUMPRODUCT(INDIRECT(ADDRESS(3,ROW()-31,1)):INDIRECT(ADDRESS(22,ROW()-31,1)),BA$3:BA$22),"")</f>
        <v>6</v>
      </c>
      <c r="BB53">
        <f ca="1">IF(AND(((COLUMN()-10)&lt;=playercnt),((ROW()-41)&lt;=playercnt)),SUMPRODUCT(INDIRECT(ADDRESS(3,ROW()-31,1)):INDIRECT(ADDRESS(22,ROW()-31,1)),BB$3:BB$22),"")</f>
        <v>3</v>
      </c>
      <c r="BC53">
        <f ca="1">IF(AND(((COLUMN()-10)&lt;=playercnt),((ROW()-41)&lt;=playercnt)),SUMPRODUCT(INDIRECT(ADDRESS(3,ROW()-31,1)):INDIRECT(ADDRESS(22,ROW()-31,1)),BC$3:BC$22),"")</f>
        <v>5</v>
      </c>
      <c r="BD53">
        <f ca="1">IF(AND(((COLUMN()-10)&lt;=playercnt),((ROW()-41)&lt;=playercnt)),SUMPRODUCT(INDIRECT(ADDRESS(3,ROW()-31,1)):INDIRECT(ADDRESS(22,ROW()-31,1)),BD$3:BD$22),"")</f>
        <v>6</v>
      </c>
      <c r="BE53">
        <f ca="1">IF(AND(((COLUMN()-10)&lt;=playercnt),((ROW()-41)&lt;=playercnt)),SUMPRODUCT(INDIRECT(ADDRESS(3,ROW()-31,1)):INDIRECT(ADDRESS(22,ROW()-31,1)),BE$3:BE$22),"")</f>
        <v>5</v>
      </c>
      <c r="BF53">
        <f ca="1">IF(AND(((COLUMN()-10)&lt;=playercnt),((ROW()-41)&lt;=playercnt)),SUMPRODUCT(INDIRECT(ADDRESS(3,ROW()-31,1)):INDIRECT(ADDRESS(22,ROW()-31,1)),BF$3:BF$22),"")</f>
        <v>3</v>
      </c>
      <c r="BG53">
        <f ca="1">IF(AND(((COLUMN()-10)&lt;=playercnt),((ROW()-41)&lt;=playercnt)),SUMPRODUCT(INDIRECT(ADDRESS(3,ROW()-31,1)):INDIRECT(ADDRESS(22,ROW()-31,1)),BG$3:BG$22),"")</f>
        <v>4</v>
      </c>
      <c r="BH53">
        <f ca="1">IF(AND(((COLUMN()-10)&lt;=playercnt),((ROW()-41)&lt;=playercnt)),SUMPRODUCT(INDIRECT(ADDRESS(3,ROW()-31,1)):INDIRECT(ADDRESS(22,ROW()-31,1)),BH$3:BH$22),"")</f>
        <v>5</v>
      </c>
      <c r="BI53">
        <f ca="1">IF(AND(((COLUMN()-10)&lt;=playercnt),((ROW()-41)&lt;=playercnt)),SUMPRODUCT(INDIRECT(ADDRESS(3,ROW()-31,1)):INDIRECT(ADDRESS(22,ROW()-31,1)),BI$3:BI$22),"")</f>
        <v>6</v>
      </c>
      <c r="BJ53">
        <f ca="1">IF(AND(((COLUMN()-10)&lt;=playercnt),((ROW()-41)&lt;=playercnt)),SUMPRODUCT(INDIRECT(ADDRESS(3,ROW()-31,1)):INDIRECT(ADDRESS(22,ROW()-31,1)),BJ$3:BJ$22),"")</f>
        <v>4</v>
      </c>
      <c r="BK53">
        <f ca="1">IF(AND(((COLUMN()-10)&lt;=playercnt),((ROW()-41)&lt;=playercnt)),SUMPRODUCT(INDIRECT(ADDRESS(3,ROW()-31,1)):INDIRECT(ADDRESS(22,ROW()-31,1)),BK$3:BK$22),"")</f>
        <v>5</v>
      </c>
      <c r="BL53">
        <f ca="1">IF(AND(((COLUMN()-10)&lt;=playercnt),((ROW()-41)&lt;=playercnt)),SUMPRODUCT(INDIRECT(ADDRESS(3,ROW()-31,1)):INDIRECT(ADDRESS(22,ROW()-31,1)),BL$3:BL$22),"")</f>
        <v>7</v>
      </c>
      <c r="BM53">
        <f ca="1">IF(AND(((COLUMN()-10)&lt;=playercnt),((ROW()-41)&lt;=playercnt)),SUMPRODUCT(INDIRECT(ADDRESS(3,ROW()-31,1)):INDIRECT(ADDRESS(22,ROW()-31,1)),BM$3:BM$22),"")</f>
        <v>5</v>
      </c>
      <c r="BN53">
        <f ca="1">IF(AND(((COLUMN()-10)&lt;=playercnt),((ROW()-41)&lt;=playercnt)),SUMPRODUCT(INDIRECT(ADDRESS(3,ROW()-31,1)):INDIRECT(ADDRESS(22,ROW()-31,1)),BN$3:BN$22),"")</f>
        <v>3</v>
      </c>
    </row>
    <row r="54" spans="1:66">
      <c r="A54" s="22"/>
      <c r="B54" s="27">
        <f t="shared" ca="1" si="23"/>
        <v>5.3636363636363633</v>
      </c>
      <c r="C54" t="str">
        <f ca="1">INDIRECT(ADDRESS(34,ROW()-31))</f>
        <v>Edwards, Christopher S</v>
      </c>
      <c r="G54">
        <f ca="1">IF(AND(((COLUMN()-10)&lt;=playercnt),((ROW()-41)&lt;=playercnt)),SUMPRODUCT(INDIRECT(ADDRESS(3,ROW()-31,1)):INDIRECT(ADDRESS(22,ROW()-31,1)),G$3:G$22),"")</f>
        <v>6</v>
      </c>
      <c r="H54">
        <f ca="1">IF(AND(((COLUMN()-10)&lt;=playercnt),((ROW()-41)&lt;=playercnt)),SUMPRODUCT(INDIRECT(ADDRESS(3,ROW()-31,1)):INDIRECT(ADDRESS(22,ROW()-31,1)),H$3:H$22),"")</f>
        <v>5</v>
      </c>
      <c r="I54">
        <f ca="1">IF(AND(((COLUMN()-10)&lt;=playercnt),((ROW()-41)&lt;=playercnt)),SUMPRODUCT(INDIRECT(ADDRESS(3,ROW()-31,1)):INDIRECT(ADDRESS(22,ROW()-31,1)),I$3:I$22),"")</f>
        <v>7</v>
      </c>
      <c r="J54">
        <f ca="1">IF(AND(((COLUMN()-10)&lt;=playercnt),((ROW()-41)&lt;=playercnt)),SUMPRODUCT(INDIRECT(ADDRESS(3,ROW()-31,1)):INDIRECT(ADDRESS(22,ROW()-31,1)),J$3:J$22),"")</f>
        <v>0</v>
      </c>
      <c r="K54">
        <f ca="1">IF(AND(((COLUMN()-10)&lt;=playercnt),((ROW()-41)&lt;=playercnt)),SUMPRODUCT(INDIRECT(ADDRESS(3,ROW()-31,1)):INDIRECT(ADDRESS(22,ROW()-31,1)),K$3:K$22),"")</f>
        <v>6</v>
      </c>
      <c r="L54">
        <f ca="1">IF(AND(((COLUMN()-10)&lt;=playercnt),((ROW()-41)&lt;=playercnt)),SUMPRODUCT(INDIRECT(ADDRESS(3,ROW()-31,1)):INDIRECT(ADDRESS(22,ROW()-31,1)),L$3:L$22),"")</f>
        <v>7</v>
      </c>
      <c r="M54">
        <f ca="1">IF(AND(((COLUMN()-10)&lt;=playercnt),((ROW()-41)&lt;=playercnt)),SUMPRODUCT(INDIRECT(ADDRESS(3,ROW()-31,1)):INDIRECT(ADDRESS(22,ROW()-31,1)),M$3:M$22),"")</f>
        <v>5</v>
      </c>
      <c r="N54">
        <f ca="1">IF(AND(((COLUMN()-10)&lt;=playercnt),((ROW()-41)&lt;=playercnt)),SUMPRODUCT(INDIRECT(ADDRESS(3,ROW()-31,1)):INDIRECT(ADDRESS(22,ROW()-31,1)),N$3:N$22),"")</f>
        <v>5</v>
      </c>
      <c r="O54">
        <f ca="1">IF(AND(((COLUMN()-10)&lt;=playercnt),((ROW()-41)&lt;=playercnt)),SUMPRODUCT(INDIRECT(ADDRESS(3,ROW()-31,1)):INDIRECT(ADDRESS(22,ROW()-31,1)),O$3:O$22),"")</f>
        <v>7</v>
      </c>
      <c r="P54">
        <f ca="1">IF(AND(((COLUMN()-10)&lt;=playercnt),((ROW()-41)&lt;=playercnt)),SUMPRODUCT(INDIRECT(ADDRESS(3,ROW()-31,1)):INDIRECT(ADDRESS(22,ROW()-31,1)),P$3:P$22),"")</f>
        <v>4</v>
      </c>
      <c r="Q54">
        <f ca="1">IF(AND(((COLUMN()-10)&lt;=playercnt),((ROW()-41)&lt;=playercnt)),SUMPRODUCT(INDIRECT(ADDRESS(3,ROW()-31,1)):INDIRECT(ADDRESS(22,ROW()-31,1)),Q$3:Q$22),"")</f>
        <v>4</v>
      </c>
      <c r="R54">
        <f ca="1">IF(AND(((COLUMN()-10)&lt;=playercnt),((ROW()-41)&lt;=playercnt)),SUMPRODUCT(INDIRECT(ADDRESS(3,ROW()-31,1)):INDIRECT(ADDRESS(22,ROW()-31,1)),R$3:R$22),"")</f>
        <v>6</v>
      </c>
      <c r="S54">
        <f ca="1">IF(AND(((COLUMN()-10)&lt;=playercnt),((ROW()-41)&lt;=playercnt)),SUMPRODUCT(INDIRECT(ADDRESS(3,ROW()-31,1)):INDIRECT(ADDRESS(22,ROW()-31,1)),S$3:S$22),"")</f>
        <v>6</v>
      </c>
      <c r="T54">
        <f ca="1">IF(AND(((COLUMN()-10)&lt;=playercnt),((ROW()-41)&lt;=playercnt)),SUMPRODUCT(INDIRECT(ADDRESS(3,ROW()-31,1)):INDIRECT(ADDRESS(22,ROW()-31,1)),T$3:T$22),"")</f>
        <v>6</v>
      </c>
      <c r="U54">
        <f ca="1">IF(AND(((COLUMN()-10)&lt;=playercnt),((ROW()-41)&lt;=playercnt)),SUMPRODUCT(INDIRECT(ADDRESS(3,ROW()-31,1)):INDIRECT(ADDRESS(22,ROW()-31,1)),U$3:U$22),"")</f>
        <v>5</v>
      </c>
      <c r="V54">
        <f ca="1">IF(AND(((COLUMN()-10)&lt;=playercnt),((ROW()-41)&lt;=playercnt)),SUMPRODUCT(INDIRECT(ADDRESS(3,ROW()-31,1)):INDIRECT(ADDRESS(22,ROW()-31,1)),V$3:V$22),"")</f>
        <v>10</v>
      </c>
      <c r="W54">
        <f ca="1">IF(AND(((COLUMN()-10)&lt;=playercnt),((ROW()-41)&lt;=playercnt)),SUMPRODUCT(INDIRECT(ADDRESS(3,ROW()-31,1)):INDIRECT(ADDRESS(22,ROW()-31,1)),W$3:W$22),"")</f>
        <v>10</v>
      </c>
      <c r="X54">
        <f ca="1">IF(AND(((COLUMN()-10)&lt;=playercnt),((ROW()-41)&lt;=playercnt)),SUMPRODUCT(INDIRECT(ADDRESS(3,ROW()-31,1)):INDIRECT(ADDRESS(22,ROW()-31,1)),X$3:X$22),"")</f>
        <v>8</v>
      </c>
      <c r="Y54">
        <f ca="1">IF(AND(((COLUMN()-10)&lt;=playercnt),((ROW()-41)&lt;=playercnt)),SUMPRODUCT(INDIRECT(ADDRESS(3,ROW()-31,1)):INDIRECT(ADDRESS(22,ROW()-31,1)),Y$3:Y$22),"")</f>
        <v>5</v>
      </c>
      <c r="Z54">
        <f ca="1">IF(AND(((COLUMN()-10)&lt;=playercnt),((ROW()-41)&lt;=playercnt)),SUMPRODUCT(INDIRECT(ADDRESS(3,ROW()-31,1)):INDIRECT(ADDRESS(22,ROW()-31,1)),Z$3:Z$22),"")</f>
        <v>3</v>
      </c>
      <c r="AA54">
        <f ca="1">IF(AND(((COLUMN()-10)&lt;=playercnt),((ROW()-41)&lt;=playercnt)),SUMPRODUCT(INDIRECT(ADDRESS(3,ROW()-31,1)):INDIRECT(ADDRESS(22,ROW()-31,1)),AA$3:AA$22),"")</f>
        <v>5</v>
      </c>
      <c r="AB54">
        <f ca="1">IF(AND(((COLUMN()-10)&lt;=playercnt),((ROW()-41)&lt;=playercnt)),SUMPRODUCT(INDIRECT(ADDRESS(3,ROW()-31,1)):INDIRECT(ADDRESS(22,ROW()-31,1)),AB$3:AB$22),"")</f>
        <v>3</v>
      </c>
      <c r="AC54">
        <f ca="1">IF(AND(((COLUMN()-10)&lt;=playercnt),((ROW()-41)&lt;=playercnt)),SUMPRODUCT(INDIRECT(ADDRESS(3,ROW()-31,1)):INDIRECT(ADDRESS(22,ROW()-31,1)),AC$3:AC$22),"")</f>
        <v>4</v>
      </c>
      <c r="AD54">
        <f ca="1">IF(AND(((COLUMN()-10)&lt;=playercnt),((ROW()-41)&lt;=playercnt)),SUMPRODUCT(INDIRECT(ADDRESS(3,ROW()-31,1)):INDIRECT(ADDRESS(22,ROW()-31,1)),AD$3:AD$22),"")</f>
        <v>7</v>
      </c>
      <c r="AE54">
        <f ca="1">IF(AND(((COLUMN()-10)&lt;=playercnt),((ROW()-41)&lt;=playercnt)),SUMPRODUCT(INDIRECT(ADDRESS(3,ROW()-31,1)):INDIRECT(ADDRESS(22,ROW()-31,1)),AE$3:AE$22),"")</f>
        <v>5</v>
      </c>
      <c r="AF54">
        <f ca="1">IF(AND(((COLUMN()-10)&lt;=playercnt),((ROW()-41)&lt;=playercnt)),SUMPRODUCT(INDIRECT(ADDRESS(3,ROW()-31,1)):INDIRECT(ADDRESS(22,ROW()-31,1)),AF$3:AF$22),"")</f>
        <v>7</v>
      </c>
      <c r="AG54">
        <f ca="1">IF(AND(((COLUMN()-10)&lt;=playercnt),((ROW()-41)&lt;=playercnt)),SUMPRODUCT(INDIRECT(ADDRESS(3,ROW()-31,1)):INDIRECT(ADDRESS(22,ROW()-31,1)),AG$3:AG$22),"")</f>
        <v>7</v>
      </c>
      <c r="AH54">
        <f ca="1">IF(AND(((COLUMN()-10)&lt;=playercnt),((ROW()-41)&lt;=playercnt)),SUMPRODUCT(INDIRECT(ADDRESS(3,ROW()-31,1)):INDIRECT(ADDRESS(22,ROW()-31,1)),AH$3:AH$22),"")</f>
        <v>7</v>
      </c>
      <c r="AI54">
        <f ca="1">IF(AND(((COLUMN()-10)&lt;=playercnt),((ROW()-41)&lt;=playercnt)),SUMPRODUCT(INDIRECT(ADDRESS(3,ROW()-31,1)):INDIRECT(ADDRESS(22,ROW()-31,1)),AI$3:AI$22),"")</f>
        <v>4</v>
      </c>
      <c r="AJ54">
        <f ca="1">IF(AND(((COLUMN()-10)&lt;=playercnt),((ROW()-41)&lt;=playercnt)),SUMPRODUCT(INDIRECT(ADDRESS(3,ROW()-31,1)):INDIRECT(ADDRESS(22,ROW()-31,1)),AJ$3:AJ$22),"")</f>
        <v>7</v>
      </c>
      <c r="AK54">
        <f ca="1">IF(AND(((COLUMN()-10)&lt;=playercnt),((ROW()-41)&lt;=playercnt)),SUMPRODUCT(INDIRECT(ADDRESS(3,ROW()-31,1)):INDIRECT(ADDRESS(22,ROW()-31,1)),AK$3:AK$22),"")</f>
        <v>5</v>
      </c>
      <c r="AL54">
        <f ca="1">IF(AND(((COLUMN()-10)&lt;=playercnt),((ROW()-41)&lt;=playercnt)),SUMPRODUCT(INDIRECT(ADDRESS(3,ROW()-31,1)):INDIRECT(ADDRESS(22,ROW()-31,1)),AL$3:AL$22),"")</f>
        <v>5</v>
      </c>
      <c r="AM54">
        <f ca="1">IF(AND(((COLUMN()-10)&lt;=playercnt),((ROW()-41)&lt;=playercnt)),SUMPRODUCT(INDIRECT(ADDRESS(3,ROW()-31,1)):INDIRECT(ADDRESS(22,ROW()-31,1)),AM$3:AM$22),"")</f>
        <v>4</v>
      </c>
      <c r="AN54">
        <f ca="1">IF(AND(((COLUMN()-10)&lt;=playercnt),((ROW()-41)&lt;=playercnt)),SUMPRODUCT(INDIRECT(ADDRESS(3,ROW()-31,1)):INDIRECT(ADDRESS(22,ROW()-31,1)),AN$3:AN$22),"")</f>
        <v>5</v>
      </c>
      <c r="AO54">
        <f ca="1">IF(AND(((COLUMN()-10)&lt;=playercnt),((ROW()-41)&lt;=playercnt)),SUMPRODUCT(INDIRECT(ADDRESS(3,ROW()-31,1)):INDIRECT(ADDRESS(22,ROW()-31,1)),AO$3:AO$22),"")</f>
        <v>3</v>
      </c>
      <c r="AP54">
        <f ca="1">IF(AND(((COLUMN()-10)&lt;=playercnt),((ROW()-41)&lt;=playercnt)),SUMPRODUCT(INDIRECT(ADDRESS(3,ROW()-31,1)):INDIRECT(ADDRESS(22,ROW()-31,1)),AP$3:AP$22),"")</f>
        <v>4</v>
      </c>
      <c r="AQ54">
        <f ca="1">IF(AND(((COLUMN()-10)&lt;=playercnt),((ROW()-41)&lt;=playercnt)),SUMPRODUCT(INDIRECT(ADDRESS(3,ROW()-31,1)):INDIRECT(ADDRESS(22,ROW()-31,1)),AQ$3:AQ$22),"")</f>
        <v>4</v>
      </c>
      <c r="AR54">
        <f ca="1">IF(AND(((COLUMN()-10)&lt;=playercnt),((ROW()-41)&lt;=playercnt)),SUMPRODUCT(INDIRECT(ADDRESS(3,ROW()-31,1)):INDIRECT(ADDRESS(22,ROW()-31,1)),AR$3:AR$22),"")</f>
        <v>5</v>
      </c>
      <c r="AS54">
        <f ca="1">IF(AND(((COLUMN()-10)&lt;=playercnt),((ROW()-41)&lt;=playercnt)),SUMPRODUCT(INDIRECT(ADDRESS(3,ROW()-31,1)):INDIRECT(ADDRESS(22,ROW()-31,1)),AS$3:AS$22),"")</f>
        <v>5</v>
      </c>
      <c r="AT54">
        <f ca="1">IF(AND(((COLUMN()-10)&lt;=playercnt),((ROW()-41)&lt;=playercnt)),SUMPRODUCT(INDIRECT(ADDRESS(3,ROW()-31,1)):INDIRECT(ADDRESS(22,ROW()-31,1)),AT$3:AT$22),"")</f>
        <v>4</v>
      </c>
      <c r="AU54">
        <f ca="1">IF(AND(((COLUMN()-10)&lt;=playercnt),((ROW()-41)&lt;=playercnt)),SUMPRODUCT(INDIRECT(ADDRESS(3,ROW()-31,1)):INDIRECT(ADDRESS(22,ROW()-31,1)),AU$3:AU$22),"")</f>
        <v>6</v>
      </c>
      <c r="AV54">
        <f ca="1">IF(AND(((COLUMN()-10)&lt;=playercnt),((ROW()-41)&lt;=playercnt)),SUMPRODUCT(INDIRECT(ADDRESS(3,ROW()-31,1)):INDIRECT(ADDRESS(22,ROW()-31,1)),AV$3:AV$22),"")</f>
        <v>6</v>
      </c>
      <c r="AW54">
        <f ca="1">IF(AND(((COLUMN()-10)&lt;=playercnt),((ROW()-41)&lt;=playercnt)),SUMPRODUCT(INDIRECT(ADDRESS(3,ROW()-31,1)):INDIRECT(ADDRESS(22,ROW()-31,1)),AW$3:AW$22),"")</f>
        <v>8</v>
      </c>
      <c r="AX54">
        <f ca="1">IF(AND(((COLUMN()-10)&lt;=playercnt),((ROW()-41)&lt;=playercnt)),SUMPRODUCT(INDIRECT(ADDRESS(3,ROW()-31,1)):INDIRECT(ADDRESS(22,ROW()-31,1)),AX$3:AX$22),"")</f>
        <v>6</v>
      </c>
      <c r="AY54">
        <f ca="1">IF(AND(((COLUMN()-10)&lt;=playercnt),((ROW()-41)&lt;=playercnt)),SUMPRODUCT(INDIRECT(ADDRESS(3,ROW()-31,1)):INDIRECT(ADDRESS(22,ROW()-31,1)),AY$3:AY$22),"")</f>
        <v>8</v>
      </c>
      <c r="AZ54">
        <f ca="1">IF(AND(((COLUMN()-10)&lt;=playercnt),((ROW()-41)&lt;=playercnt)),SUMPRODUCT(INDIRECT(ADDRESS(3,ROW()-31,1)):INDIRECT(ADDRESS(22,ROW()-31,1)),AZ$3:AZ$22),"")</f>
        <v>7</v>
      </c>
      <c r="BA54">
        <f ca="1">IF(AND(((COLUMN()-10)&lt;=playercnt),((ROW()-41)&lt;=playercnt)),SUMPRODUCT(INDIRECT(ADDRESS(3,ROW()-31,1)):INDIRECT(ADDRESS(22,ROW()-31,1)),BA$3:BA$22),"")</f>
        <v>6</v>
      </c>
      <c r="BB54">
        <f ca="1">IF(AND(((COLUMN()-10)&lt;=playercnt),((ROW()-41)&lt;=playercnt)),SUMPRODUCT(INDIRECT(ADDRESS(3,ROW()-31,1)):INDIRECT(ADDRESS(22,ROW()-31,1)),BB$3:BB$22),"")</f>
        <v>3</v>
      </c>
      <c r="BC54">
        <f ca="1">IF(AND(((COLUMN()-10)&lt;=playercnt),((ROW()-41)&lt;=playercnt)),SUMPRODUCT(INDIRECT(ADDRESS(3,ROW()-31,1)):INDIRECT(ADDRESS(22,ROW()-31,1)),BC$3:BC$22),"")</f>
        <v>5</v>
      </c>
      <c r="BD54">
        <f ca="1">IF(AND(((COLUMN()-10)&lt;=playercnt),((ROW()-41)&lt;=playercnt)),SUMPRODUCT(INDIRECT(ADDRESS(3,ROW()-31,1)):INDIRECT(ADDRESS(22,ROW()-31,1)),BD$3:BD$22),"")</f>
        <v>6</v>
      </c>
      <c r="BE54">
        <f ca="1">IF(AND(((COLUMN()-10)&lt;=playercnt),((ROW()-41)&lt;=playercnt)),SUMPRODUCT(INDIRECT(ADDRESS(3,ROW()-31,1)):INDIRECT(ADDRESS(22,ROW()-31,1)),BE$3:BE$22),"")</f>
        <v>5</v>
      </c>
      <c r="BF54">
        <f ca="1">IF(AND(((COLUMN()-10)&lt;=playercnt),((ROW()-41)&lt;=playercnt)),SUMPRODUCT(INDIRECT(ADDRESS(3,ROW()-31,1)):INDIRECT(ADDRESS(22,ROW()-31,1)),BF$3:BF$22),"")</f>
        <v>3</v>
      </c>
      <c r="BG54">
        <f ca="1">IF(AND(((COLUMN()-10)&lt;=playercnt),((ROW()-41)&lt;=playercnt)),SUMPRODUCT(INDIRECT(ADDRESS(3,ROW()-31,1)):INDIRECT(ADDRESS(22,ROW()-31,1)),BG$3:BG$22),"")</f>
        <v>4</v>
      </c>
      <c r="BH54">
        <f ca="1">IF(AND(((COLUMN()-10)&lt;=playercnt),((ROW()-41)&lt;=playercnt)),SUMPRODUCT(INDIRECT(ADDRESS(3,ROW()-31,1)):INDIRECT(ADDRESS(22,ROW()-31,1)),BH$3:BH$22),"")</f>
        <v>5</v>
      </c>
      <c r="BI54">
        <f ca="1">IF(AND(((COLUMN()-10)&lt;=playercnt),((ROW()-41)&lt;=playercnt)),SUMPRODUCT(INDIRECT(ADDRESS(3,ROW()-31,1)):INDIRECT(ADDRESS(22,ROW()-31,1)),BI$3:BI$22),"")</f>
        <v>6</v>
      </c>
      <c r="BJ54">
        <f ca="1">IF(AND(((COLUMN()-10)&lt;=playercnt),((ROW()-41)&lt;=playercnt)),SUMPRODUCT(INDIRECT(ADDRESS(3,ROW()-31,1)):INDIRECT(ADDRESS(22,ROW()-31,1)),BJ$3:BJ$22),"")</f>
        <v>4</v>
      </c>
      <c r="BK54">
        <f ca="1">IF(AND(((COLUMN()-10)&lt;=playercnt),((ROW()-41)&lt;=playercnt)),SUMPRODUCT(INDIRECT(ADDRESS(3,ROW()-31,1)):INDIRECT(ADDRESS(22,ROW()-31,1)),BK$3:BK$22),"")</f>
        <v>5</v>
      </c>
      <c r="BL54">
        <f ca="1">IF(AND(((COLUMN()-10)&lt;=playercnt),((ROW()-41)&lt;=playercnt)),SUMPRODUCT(INDIRECT(ADDRESS(3,ROW()-31,1)):INDIRECT(ADDRESS(22,ROW()-31,1)),BL$3:BL$22),"")</f>
        <v>7</v>
      </c>
      <c r="BM54">
        <f ca="1">IF(AND(((COLUMN()-10)&lt;=playercnt),((ROW()-41)&lt;=playercnt)),SUMPRODUCT(INDIRECT(ADDRESS(3,ROW()-31,1)):INDIRECT(ADDRESS(22,ROW()-31,1)),BM$3:BM$22),"")</f>
        <v>5</v>
      </c>
      <c r="BN54">
        <f ca="1">IF(AND(((COLUMN()-10)&lt;=playercnt),((ROW()-41)&lt;=playercnt)),SUMPRODUCT(INDIRECT(ADDRESS(3,ROW()-31,1)):INDIRECT(ADDRESS(22,ROW()-31,1)),BN$3:BN$22),"")</f>
        <v>3</v>
      </c>
    </row>
    <row r="55" spans="1:66">
      <c r="B55" s="27">
        <f t="shared" ca="1" si="23"/>
        <v>5.4</v>
      </c>
      <c r="C55" t="str">
        <f t="shared" ref="C55:C97" ca="1" si="24">INDIRECT(ADDRESS(34,ROW()-31))</f>
        <v>Emptage, Nick</v>
      </c>
      <c r="G55">
        <f ca="1">IF(AND(((COLUMN()-10)&lt;=playercnt),((ROW()-41)&lt;=playercnt)),SUMPRODUCT(INDIRECT(ADDRESS(3,ROW()-31,1)):INDIRECT(ADDRESS(22,ROW()-31,1)),G$3:G$22),"")</f>
        <v>6</v>
      </c>
      <c r="H55">
        <f ca="1">IF(AND(((COLUMN()-10)&lt;=playercnt),((ROW()-41)&lt;=playercnt)),SUMPRODUCT(INDIRECT(ADDRESS(3,ROW()-31,1)):INDIRECT(ADDRESS(22,ROW()-31,1)),H$3:H$22),"")</f>
        <v>3</v>
      </c>
      <c r="I55">
        <f ca="1">IF(AND(((COLUMN()-10)&lt;=playercnt),((ROW()-41)&lt;=playercnt)),SUMPRODUCT(INDIRECT(ADDRESS(3,ROW()-31,1)):INDIRECT(ADDRESS(22,ROW()-31,1)),I$3:I$22),"")</f>
        <v>7</v>
      </c>
      <c r="J55">
        <f ca="1">IF(AND(((COLUMN()-10)&lt;=playercnt),((ROW()-41)&lt;=playercnt)),SUMPRODUCT(INDIRECT(ADDRESS(3,ROW()-31,1)):INDIRECT(ADDRESS(22,ROW()-31,1)),J$3:J$22),"")</f>
        <v>0</v>
      </c>
      <c r="K55">
        <f ca="1">IF(AND(((COLUMN()-10)&lt;=playercnt),((ROW()-41)&lt;=playercnt)),SUMPRODUCT(INDIRECT(ADDRESS(3,ROW()-31,1)):INDIRECT(ADDRESS(22,ROW()-31,1)),K$3:K$22),"")</f>
        <v>6</v>
      </c>
      <c r="L55">
        <f ca="1">IF(AND(((COLUMN()-10)&lt;=playercnt),((ROW()-41)&lt;=playercnt)),SUMPRODUCT(INDIRECT(ADDRESS(3,ROW()-31,1)):INDIRECT(ADDRESS(22,ROW()-31,1)),L$3:L$22),"")</f>
        <v>5</v>
      </c>
      <c r="M55">
        <f ca="1">IF(AND(((COLUMN()-10)&lt;=playercnt),((ROW()-41)&lt;=playercnt)),SUMPRODUCT(INDIRECT(ADDRESS(3,ROW()-31,1)):INDIRECT(ADDRESS(22,ROW()-31,1)),M$3:M$22),"")</f>
        <v>7</v>
      </c>
      <c r="N55">
        <f ca="1">IF(AND(((COLUMN()-10)&lt;=playercnt),((ROW()-41)&lt;=playercnt)),SUMPRODUCT(INDIRECT(ADDRESS(3,ROW()-31,1)):INDIRECT(ADDRESS(22,ROW()-31,1)),N$3:N$22),"")</f>
        <v>5</v>
      </c>
      <c r="O55">
        <f ca="1">IF(AND(((COLUMN()-10)&lt;=playercnt),((ROW()-41)&lt;=playercnt)),SUMPRODUCT(INDIRECT(ADDRESS(3,ROW()-31,1)):INDIRECT(ADDRESS(22,ROW()-31,1)),O$3:O$22),"")</f>
        <v>5</v>
      </c>
      <c r="P55">
        <f ca="1">IF(AND(((COLUMN()-10)&lt;=playercnt),((ROW()-41)&lt;=playercnt)),SUMPRODUCT(INDIRECT(ADDRESS(3,ROW()-31,1)):INDIRECT(ADDRESS(22,ROW()-31,1)),P$3:P$22),"")</f>
        <v>4</v>
      </c>
      <c r="Q55">
        <f ca="1">IF(AND(((COLUMN()-10)&lt;=playercnt),((ROW()-41)&lt;=playercnt)),SUMPRODUCT(INDIRECT(ADDRESS(3,ROW()-31,1)):INDIRECT(ADDRESS(22,ROW()-31,1)),Q$3:Q$22),"")</f>
        <v>6</v>
      </c>
      <c r="R55">
        <f ca="1">IF(AND(((COLUMN()-10)&lt;=playercnt),((ROW()-41)&lt;=playercnt)),SUMPRODUCT(INDIRECT(ADDRESS(3,ROW()-31,1)):INDIRECT(ADDRESS(22,ROW()-31,1)),R$3:R$22),"")</f>
        <v>8</v>
      </c>
      <c r="S55">
        <f ca="1">IF(AND(((COLUMN()-10)&lt;=playercnt),((ROW()-41)&lt;=playercnt)),SUMPRODUCT(INDIRECT(ADDRESS(3,ROW()-31,1)):INDIRECT(ADDRESS(22,ROW()-31,1)),S$3:S$22),"")</f>
        <v>6</v>
      </c>
      <c r="T55">
        <f ca="1">IF(AND(((COLUMN()-10)&lt;=playercnt),((ROW()-41)&lt;=playercnt)),SUMPRODUCT(INDIRECT(ADDRESS(3,ROW()-31,1)):INDIRECT(ADDRESS(22,ROW()-31,1)),T$3:T$22),"")</f>
        <v>6</v>
      </c>
      <c r="U55">
        <f ca="1">IF(AND(((COLUMN()-10)&lt;=playercnt),((ROW()-41)&lt;=playercnt)),SUMPRODUCT(INDIRECT(ADDRESS(3,ROW()-31,1)):INDIRECT(ADDRESS(22,ROW()-31,1)),U$3:U$22),"")</f>
        <v>5</v>
      </c>
      <c r="V55">
        <f ca="1">IF(AND(((COLUMN()-10)&lt;=playercnt),((ROW()-41)&lt;=playercnt)),SUMPRODUCT(INDIRECT(ADDRESS(3,ROW()-31,1)):INDIRECT(ADDRESS(22,ROW()-31,1)),V$3:V$22),"")</f>
        <v>8</v>
      </c>
      <c r="W55">
        <f ca="1">IF(AND(((COLUMN()-10)&lt;=playercnt),((ROW()-41)&lt;=playercnt)),SUMPRODUCT(INDIRECT(ADDRESS(3,ROW()-31,1)):INDIRECT(ADDRESS(22,ROW()-31,1)),W$3:W$22),"")</f>
        <v>8</v>
      </c>
      <c r="X55">
        <f ca="1">IF(AND(((COLUMN()-10)&lt;=playercnt),((ROW()-41)&lt;=playercnt)),SUMPRODUCT(INDIRECT(ADDRESS(3,ROW()-31,1)):INDIRECT(ADDRESS(22,ROW()-31,1)),X$3:X$22),"")</f>
        <v>10</v>
      </c>
      <c r="Y55">
        <f ca="1">IF(AND(((COLUMN()-10)&lt;=playercnt),((ROW()-41)&lt;=playercnt)),SUMPRODUCT(INDIRECT(ADDRESS(3,ROW()-31,1)):INDIRECT(ADDRESS(22,ROW()-31,1)),Y$3:Y$22),"")</f>
        <v>3</v>
      </c>
      <c r="Z55">
        <f ca="1">IF(AND(((COLUMN()-10)&lt;=playercnt),((ROW()-41)&lt;=playercnt)),SUMPRODUCT(INDIRECT(ADDRESS(3,ROW()-31,1)):INDIRECT(ADDRESS(22,ROW()-31,1)),Z$3:Z$22),"")</f>
        <v>3</v>
      </c>
      <c r="AA55">
        <f ca="1">IF(AND(((COLUMN()-10)&lt;=playercnt),((ROW()-41)&lt;=playercnt)),SUMPRODUCT(INDIRECT(ADDRESS(3,ROW()-31,1)):INDIRECT(ADDRESS(22,ROW()-31,1)),AA$3:AA$22),"")</f>
        <v>7</v>
      </c>
      <c r="AB55">
        <f ca="1">IF(AND(((COLUMN()-10)&lt;=playercnt),((ROW()-41)&lt;=playercnt)),SUMPRODUCT(INDIRECT(ADDRESS(3,ROW()-31,1)):INDIRECT(ADDRESS(22,ROW()-31,1)),AB$3:AB$22),"")</f>
        <v>5</v>
      </c>
      <c r="AC55">
        <f ca="1">IF(AND(((COLUMN()-10)&lt;=playercnt),((ROW()-41)&lt;=playercnt)),SUMPRODUCT(INDIRECT(ADDRESS(3,ROW()-31,1)):INDIRECT(ADDRESS(22,ROW()-31,1)),AC$3:AC$22),"")</f>
        <v>4</v>
      </c>
      <c r="AD55">
        <f ca="1">IF(AND(((COLUMN()-10)&lt;=playercnt),((ROW()-41)&lt;=playercnt)),SUMPRODUCT(INDIRECT(ADDRESS(3,ROW()-31,1)):INDIRECT(ADDRESS(22,ROW()-31,1)),AD$3:AD$22),"")</f>
        <v>9</v>
      </c>
      <c r="AE55">
        <f ca="1">IF(AND(((COLUMN()-10)&lt;=playercnt),((ROW()-41)&lt;=playercnt)),SUMPRODUCT(INDIRECT(ADDRESS(3,ROW()-31,1)):INDIRECT(ADDRESS(22,ROW()-31,1)),AE$3:AE$22),"")</f>
        <v>3</v>
      </c>
      <c r="AF55">
        <f ca="1">IF(AND(((COLUMN()-10)&lt;=playercnt),((ROW()-41)&lt;=playercnt)),SUMPRODUCT(INDIRECT(ADDRESS(3,ROW()-31,1)):INDIRECT(ADDRESS(22,ROW()-31,1)),AF$3:AF$22),"")</f>
        <v>7</v>
      </c>
      <c r="AG55">
        <f ca="1">IF(AND(((COLUMN()-10)&lt;=playercnt),((ROW()-41)&lt;=playercnt)),SUMPRODUCT(INDIRECT(ADDRESS(3,ROW()-31,1)):INDIRECT(ADDRESS(22,ROW()-31,1)),AG$3:AG$22),"")</f>
        <v>7</v>
      </c>
      <c r="AH55">
        <f ca="1">IF(AND(((COLUMN()-10)&lt;=playercnt),((ROW()-41)&lt;=playercnt)),SUMPRODUCT(INDIRECT(ADDRESS(3,ROW()-31,1)):INDIRECT(ADDRESS(22,ROW()-31,1)),AH$3:AH$22),"")</f>
        <v>7</v>
      </c>
      <c r="AI55">
        <f ca="1">IF(AND(((COLUMN()-10)&lt;=playercnt),((ROW()-41)&lt;=playercnt)),SUMPRODUCT(INDIRECT(ADDRESS(3,ROW()-31,1)):INDIRECT(ADDRESS(22,ROW()-31,1)),AI$3:AI$22),"")</f>
        <v>4</v>
      </c>
      <c r="AJ55">
        <f ca="1">IF(AND(((COLUMN()-10)&lt;=playercnt),((ROW()-41)&lt;=playercnt)),SUMPRODUCT(INDIRECT(ADDRESS(3,ROW()-31,1)):INDIRECT(ADDRESS(22,ROW()-31,1)),AJ$3:AJ$22),"")</f>
        <v>5</v>
      </c>
      <c r="AK55">
        <f ca="1">IF(AND(((COLUMN()-10)&lt;=playercnt),((ROW()-41)&lt;=playercnt)),SUMPRODUCT(INDIRECT(ADDRESS(3,ROW()-31,1)):INDIRECT(ADDRESS(22,ROW()-31,1)),AK$3:AK$22),"")</f>
        <v>5</v>
      </c>
      <c r="AL55">
        <f ca="1">IF(AND(((COLUMN()-10)&lt;=playercnt),((ROW()-41)&lt;=playercnt)),SUMPRODUCT(INDIRECT(ADDRESS(3,ROW()-31,1)):INDIRECT(ADDRESS(22,ROW()-31,1)),AL$3:AL$22),"")</f>
        <v>3</v>
      </c>
      <c r="AM55">
        <f ca="1">IF(AND(((COLUMN()-10)&lt;=playercnt),((ROW()-41)&lt;=playercnt)),SUMPRODUCT(INDIRECT(ADDRESS(3,ROW()-31,1)):INDIRECT(ADDRESS(22,ROW()-31,1)),AM$3:AM$22),"")</f>
        <v>4</v>
      </c>
      <c r="AN55">
        <f ca="1">IF(AND(((COLUMN()-10)&lt;=playercnt),((ROW()-41)&lt;=playercnt)),SUMPRODUCT(INDIRECT(ADDRESS(3,ROW()-31,1)):INDIRECT(ADDRESS(22,ROW()-31,1)),AN$3:AN$22),"")</f>
        <v>3</v>
      </c>
      <c r="AO55">
        <f ca="1">IF(AND(((COLUMN()-10)&lt;=playercnt),((ROW()-41)&lt;=playercnt)),SUMPRODUCT(INDIRECT(ADDRESS(3,ROW()-31,1)):INDIRECT(ADDRESS(22,ROW()-31,1)),AO$3:AO$22),"")</f>
        <v>1</v>
      </c>
      <c r="AP55">
        <f ca="1">IF(AND(((COLUMN()-10)&lt;=playercnt),((ROW()-41)&lt;=playercnt)),SUMPRODUCT(INDIRECT(ADDRESS(3,ROW()-31,1)):INDIRECT(ADDRESS(22,ROW()-31,1)),AP$3:AP$22),"")</f>
        <v>6</v>
      </c>
      <c r="AQ55">
        <f ca="1">IF(AND(((COLUMN()-10)&lt;=playercnt),((ROW()-41)&lt;=playercnt)),SUMPRODUCT(INDIRECT(ADDRESS(3,ROW()-31,1)):INDIRECT(ADDRESS(22,ROW()-31,1)),AQ$3:AQ$22),"")</f>
        <v>2</v>
      </c>
      <c r="AR55">
        <f ca="1">IF(AND(((COLUMN()-10)&lt;=playercnt),((ROW()-41)&lt;=playercnt)),SUMPRODUCT(INDIRECT(ADDRESS(3,ROW()-31,1)):INDIRECT(ADDRESS(22,ROW()-31,1)),AR$3:AR$22),"")</f>
        <v>5</v>
      </c>
      <c r="AS55">
        <f ca="1">IF(AND(((COLUMN()-10)&lt;=playercnt),((ROW()-41)&lt;=playercnt)),SUMPRODUCT(INDIRECT(ADDRESS(3,ROW()-31,1)):INDIRECT(ADDRESS(22,ROW()-31,1)),AS$3:AS$22),"")</f>
        <v>5</v>
      </c>
      <c r="AT55">
        <f ca="1">IF(AND(((COLUMN()-10)&lt;=playercnt),((ROW()-41)&lt;=playercnt)),SUMPRODUCT(INDIRECT(ADDRESS(3,ROW()-31,1)):INDIRECT(ADDRESS(22,ROW()-31,1)),AT$3:AT$22),"")</f>
        <v>6</v>
      </c>
      <c r="AU55">
        <f ca="1">IF(AND(((COLUMN()-10)&lt;=playercnt),((ROW()-41)&lt;=playercnt)),SUMPRODUCT(INDIRECT(ADDRESS(3,ROW()-31,1)):INDIRECT(ADDRESS(22,ROW()-31,1)),AU$3:AU$22),"")</f>
        <v>6</v>
      </c>
      <c r="AV55">
        <f ca="1">IF(AND(((COLUMN()-10)&lt;=playercnt),((ROW()-41)&lt;=playercnt)),SUMPRODUCT(INDIRECT(ADDRESS(3,ROW()-31,1)):INDIRECT(ADDRESS(22,ROW()-31,1)),AV$3:AV$22),"")</f>
        <v>6</v>
      </c>
      <c r="AW55">
        <f ca="1">IF(AND(((COLUMN()-10)&lt;=playercnt),((ROW()-41)&lt;=playercnt)),SUMPRODUCT(INDIRECT(ADDRESS(3,ROW()-31,1)):INDIRECT(ADDRESS(22,ROW()-31,1)),AW$3:AW$22),"")</f>
        <v>8</v>
      </c>
      <c r="AX55">
        <f ca="1">IF(AND(((COLUMN()-10)&lt;=playercnt),((ROW()-41)&lt;=playercnt)),SUMPRODUCT(INDIRECT(ADDRESS(3,ROW()-31,1)):INDIRECT(ADDRESS(22,ROW()-31,1)),AX$3:AX$22),"")</f>
        <v>6</v>
      </c>
      <c r="AY55">
        <f ca="1">IF(AND(((COLUMN()-10)&lt;=playercnt),((ROW()-41)&lt;=playercnt)),SUMPRODUCT(INDIRECT(ADDRESS(3,ROW()-31,1)):INDIRECT(ADDRESS(22,ROW()-31,1)),AY$3:AY$22),"")</f>
        <v>6</v>
      </c>
      <c r="AZ55">
        <f ca="1">IF(AND(((COLUMN()-10)&lt;=playercnt),((ROW()-41)&lt;=playercnt)),SUMPRODUCT(INDIRECT(ADDRESS(3,ROW()-31,1)):INDIRECT(ADDRESS(22,ROW()-31,1)),AZ$3:AZ$22),"")</f>
        <v>7</v>
      </c>
      <c r="BA55">
        <f ca="1">IF(AND(((COLUMN()-10)&lt;=playercnt),((ROW()-41)&lt;=playercnt)),SUMPRODUCT(INDIRECT(ADDRESS(3,ROW()-31,1)):INDIRECT(ADDRESS(22,ROW()-31,1)),BA$3:BA$22),"")</f>
        <v>6</v>
      </c>
      <c r="BB55">
        <f ca="1">IF(AND(((COLUMN()-10)&lt;=playercnt),((ROW()-41)&lt;=playercnt)),SUMPRODUCT(INDIRECT(ADDRESS(3,ROW()-31,1)):INDIRECT(ADDRESS(22,ROW()-31,1)),BB$3:BB$22),"")</f>
        <v>3</v>
      </c>
      <c r="BC55">
        <f ca="1">IF(AND(((COLUMN()-10)&lt;=playercnt),((ROW()-41)&lt;=playercnt)),SUMPRODUCT(INDIRECT(ADDRESS(3,ROW()-31,1)):INDIRECT(ADDRESS(22,ROW()-31,1)),BC$3:BC$22),"")</f>
        <v>7</v>
      </c>
      <c r="BD55">
        <f ca="1">IF(AND(((COLUMN()-10)&lt;=playercnt),((ROW()-41)&lt;=playercnt)),SUMPRODUCT(INDIRECT(ADDRESS(3,ROW()-31,1)):INDIRECT(ADDRESS(22,ROW()-31,1)),BD$3:BD$22),"")</f>
        <v>8</v>
      </c>
      <c r="BE55">
        <f ca="1">IF(AND(((COLUMN()-10)&lt;=playercnt),((ROW()-41)&lt;=playercnt)),SUMPRODUCT(INDIRECT(ADDRESS(3,ROW()-31,1)):INDIRECT(ADDRESS(22,ROW()-31,1)),BE$3:BE$22),"")</f>
        <v>5</v>
      </c>
      <c r="BF55">
        <f ca="1">IF(AND(((COLUMN()-10)&lt;=playercnt),((ROW()-41)&lt;=playercnt)),SUMPRODUCT(INDIRECT(ADDRESS(3,ROW()-31,1)):INDIRECT(ADDRESS(22,ROW()-31,1)),BF$3:BF$22),"")</f>
        <v>5</v>
      </c>
      <c r="BG55">
        <f ca="1">IF(AND(((COLUMN()-10)&lt;=playercnt),((ROW()-41)&lt;=playercnt)),SUMPRODUCT(INDIRECT(ADDRESS(3,ROW()-31,1)):INDIRECT(ADDRESS(22,ROW()-31,1)),BG$3:BG$22),"")</f>
        <v>4</v>
      </c>
      <c r="BH55">
        <f ca="1">IF(AND(((COLUMN()-10)&lt;=playercnt),((ROW()-41)&lt;=playercnt)),SUMPRODUCT(INDIRECT(ADDRESS(3,ROW()-31,1)):INDIRECT(ADDRESS(22,ROW()-31,1)),BH$3:BH$22),"")</f>
        <v>7</v>
      </c>
      <c r="BI55">
        <f ca="1">IF(AND(((COLUMN()-10)&lt;=playercnt),((ROW()-41)&lt;=playercnt)),SUMPRODUCT(INDIRECT(ADDRESS(3,ROW()-31,1)):INDIRECT(ADDRESS(22,ROW()-31,1)),BI$3:BI$22),"")</f>
        <v>6</v>
      </c>
      <c r="BJ55">
        <f ca="1">IF(AND(((COLUMN()-10)&lt;=playercnt),((ROW()-41)&lt;=playercnt)),SUMPRODUCT(INDIRECT(ADDRESS(3,ROW()-31,1)):INDIRECT(ADDRESS(22,ROW()-31,1)),BJ$3:BJ$22),"")</f>
        <v>4</v>
      </c>
      <c r="BK55">
        <f ca="1">IF(AND(((COLUMN()-10)&lt;=playercnt),((ROW()-41)&lt;=playercnt)),SUMPRODUCT(INDIRECT(ADDRESS(3,ROW()-31,1)):INDIRECT(ADDRESS(22,ROW()-31,1)),BK$3:BK$22),"")</f>
        <v>5</v>
      </c>
      <c r="BL55">
        <f ca="1">IF(AND(((COLUMN()-10)&lt;=playercnt),((ROW()-41)&lt;=playercnt)),SUMPRODUCT(INDIRECT(ADDRESS(3,ROW()-31,1)):INDIRECT(ADDRESS(22,ROW()-31,1)),BL$3:BL$22),"")</f>
        <v>5</v>
      </c>
      <c r="BM55">
        <f ca="1">IF(AND(((COLUMN()-10)&lt;=playercnt),((ROW()-41)&lt;=playercnt)),SUMPRODUCT(INDIRECT(ADDRESS(3,ROW()-31,1)):INDIRECT(ADDRESS(22,ROW()-31,1)),BM$3:BM$22),"")</f>
        <v>5</v>
      </c>
      <c r="BN55">
        <f ca="1">IF(AND(((COLUMN()-10)&lt;=playercnt),((ROW()-41)&lt;=playercnt)),SUMPRODUCT(INDIRECT(ADDRESS(3,ROW()-31,1)):INDIRECT(ADDRESS(22,ROW()-31,1)),BN$3:BN$22),"")</f>
        <v>5</v>
      </c>
    </row>
    <row r="56" spans="1:66">
      <c r="B56" s="27">
        <f t="shared" ca="1" si="23"/>
        <v>5.1454545454545455</v>
      </c>
      <c r="C56" t="str">
        <f t="shared" ca="1" si="24"/>
        <v>Ferguson, Scott Remote</v>
      </c>
      <c r="G56">
        <f ca="1">IF(AND(((COLUMN()-10)&lt;=playercnt),((ROW()-41)&lt;=playercnt)),SUMPRODUCT(INDIRECT(ADDRESS(3,ROW()-31,1)):INDIRECT(ADDRESS(22,ROW()-31,1)),G$3:G$22),"")</f>
        <v>5</v>
      </c>
      <c r="H56">
        <f ca="1">IF(AND(((COLUMN()-10)&lt;=playercnt),((ROW()-41)&lt;=playercnt)),SUMPRODUCT(INDIRECT(ADDRESS(3,ROW()-31,1)):INDIRECT(ADDRESS(22,ROW()-31,1)),H$3:H$22),"")</f>
        <v>6</v>
      </c>
      <c r="I56">
        <f ca="1">IF(AND(((COLUMN()-10)&lt;=playercnt),((ROW()-41)&lt;=playercnt)),SUMPRODUCT(INDIRECT(ADDRESS(3,ROW()-31,1)):INDIRECT(ADDRESS(22,ROW()-31,1)),I$3:I$22),"")</f>
        <v>6</v>
      </c>
      <c r="J56">
        <f ca="1">IF(AND(((COLUMN()-10)&lt;=playercnt),((ROW()-41)&lt;=playercnt)),SUMPRODUCT(INDIRECT(ADDRESS(3,ROW()-31,1)):INDIRECT(ADDRESS(22,ROW()-31,1)),J$3:J$22),"")</f>
        <v>0</v>
      </c>
      <c r="K56">
        <f ca="1">IF(AND(((COLUMN()-10)&lt;=playercnt),((ROW()-41)&lt;=playercnt)),SUMPRODUCT(INDIRECT(ADDRESS(3,ROW()-31,1)):INDIRECT(ADDRESS(22,ROW()-31,1)),K$3:K$22),"")</f>
        <v>7</v>
      </c>
      <c r="L56">
        <f ca="1">IF(AND(((COLUMN()-10)&lt;=playercnt),((ROW()-41)&lt;=playercnt)),SUMPRODUCT(INDIRECT(ADDRESS(3,ROW()-31,1)):INDIRECT(ADDRESS(22,ROW()-31,1)),L$3:L$22),"")</f>
        <v>6</v>
      </c>
      <c r="M56">
        <f ca="1">IF(AND(((COLUMN()-10)&lt;=playercnt),((ROW()-41)&lt;=playercnt)),SUMPRODUCT(INDIRECT(ADDRESS(3,ROW()-31,1)):INDIRECT(ADDRESS(22,ROW()-31,1)),M$3:M$22),"")</f>
        <v>6</v>
      </c>
      <c r="N56">
        <f ca="1">IF(AND(((COLUMN()-10)&lt;=playercnt),((ROW()-41)&lt;=playercnt)),SUMPRODUCT(INDIRECT(ADDRESS(3,ROW()-31,1)):INDIRECT(ADDRESS(22,ROW()-31,1)),N$3:N$22),"")</f>
        <v>4</v>
      </c>
      <c r="O56">
        <f ca="1">IF(AND(((COLUMN()-10)&lt;=playercnt),((ROW()-41)&lt;=playercnt)),SUMPRODUCT(INDIRECT(ADDRESS(3,ROW()-31,1)):INDIRECT(ADDRESS(22,ROW()-31,1)),O$3:O$22),"")</f>
        <v>8</v>
      </c>
      <c r="P56">
        <f ca="1">IF(AND(((COLUMN()-10)&lt;=playercnt),((ROW()-41)&lt;=playercnt)),SUMPRODUCT(INDIRECT(ADDRESS(3,ROW()-31,1)):INDIRECT(ADDRESS(22,ROW()-31,1)),P$3:P$22),"")</f>
        <v>3</v>
      </c>
      <c r="Q56">
        <f ca="1">IF(AND(((COLUMN()-10)&lt;=playercnt),((ROW()-41)&lt;=playercnt)),SUMPRODUCT(INDIRECT(ADDRESS(3,ROW()-31,1)):INDIRECT(ADDRESS(22,ROW()-31,1)),Q$3:Q$22),"")</f>
        <v>7</v>
      </c>
      <c r="R56">
        <f ca="1">IF(AND(((COLUMN()-10)&lt;=playercnt),((ROW()-41)&lt;=playercnt)),SUMPRODUCT(INDIRECT(ADDRESS(3,ROW()-31,1)):INDIRECT(ADDRESS(22,ROW()-31,1)),R$3:R$22),"")</f>
        <v>5</v>
      </c>
      <c r="S56">
        <f ca="1">IF(AND(((COLUMN()-10)&lt;=playercnt),((ROW()-41)&lt;=playercnt)),SUMPRODUCT(INDIRECT(ADDRESS(3,ROW()-31,1)):INDIRECT(ADDRESS(22,ROW()-31,1)),S$3:S$22),"")</f>
        <v>3</v>
      </c>
      <c r="T56">
        <f ca="1">IF(AND(((COLUMN()-10)&lt;=playercnt),((ROW()-41)&lt;=playercnt)),SUMPRODUCT(INDIRECT(ADDRESS(3,ROW()-31,1)):INDIRECT(ADDRESS(22,ROW()-31,1)),T$3:T$22),"")</f>
        <v>3</v>
      </c>
      <c r="U56">
        <f ca="1">IF(AND(((COLUMN()-10)&lt;=playercnt),((ROW()-41)&lt;=playercnt)),SUMPRODUCT(INDIRECT(ADDRESS(3,ROW()-31,1)):INDIRECT(ADDRESS(22,ROW()-31,1)),U$3:U$22),"")</f>
        <v>6</v>
      </c>
      <c r="V56">
        <f ca="1">IF(AND(((COLUMN()-10)&lt;=playercnt),((ROW()-41)&lt;=playercnt)),SUMPRODUCT(INDIRECT(ADDRESS(3,ROW()-31,1)):INDIRECT(ADDRESS(22,ROW()-31,1)),V$3:V$22),"")</f>
        <v>5</v>
      </c>
      <c r="W56">
        <f ca="1">IF(AND(((COLUMN()-10)&lt;=playercnt),((ROW()-41)&lt;=playercnt)),SUMPRODUCT(INDIRECT(ADDRESS(3,ROW()-31,1)):INDIRECT(ADDRESS(22,ROW()-31,1)),W$3:W$22),"")</f>
        <v>5</v>
      </c>
      <c r="X56">
        <f ca="1">IF(AND(((COLUMN()-10)&lt;=playercnt),((ROW()-41)&lt;=playercnt)),SUMPRODUCT(INDIRECT(ADDRESS(3,ROW()-31,1)):INDIRECT(ADDRESS(22,ROW()-31,1)),X$3:X$22),"")</f>
        <v>3</v>
      </c>
      <c r="Y56">
        <f ca="1">IF(AND(((COLUMN()-10)&lt;=playercnt),((ROW()-41)&lt;=playercnt)),SUMPRODUCT(INDIRECT(ADDRESS(3,ROW()-31,1)):INDIRECT(ADDRESS(22,ROW()-31,1)),Y$3:Y$22),"")</f>
        <v>10</v>
      </c>
      <c r="Z56">
        <f ca="1">IF(AND(((COLUMN()-10)&lt;=playercnt),((ROW()-41)&lt;=playercnt)),SUMPRODUCT(INDIRECT(ADDRESS(3,ROW()-31,1)):INDIRECT(ADDRESS(22,ROW()-31,1)),Z$3:Z$22),"")</f>
        <v>4</v>
      </c>
      <c r="AA56">
        <f ca="1">IF(AND(((COLUMN()-10)&lt;=playercnt),((ROW()-41)&lt;=playercnt)),SUMPRODUCT(INDIRECT(ADDRESS(3,ROW()-31,1)):INDIRECT(ADDRESS(22,ROW()-31,1)),AA$3:AA$22),"")</f>
        <v>2</v>
      </c>
      <c r="AB56">
        <f ca="1">IF(AND(((COLUMN()-10)&lt;=playercnt),((ROW()-41)&lt;=playercnt)),SUMPRODUCT(INDIRECT(ADDRESS(3,ROW()-31,1)):INDIRECT(ADDRESS(22,ROW()-31,1)),AB$3:AB$22),"")</f>
        <v>6</v>
      </c>
      <c r="AC56">
        <f ca="1">IF(AND(((COLUMN()-10)&lt;=playercnt),((ROW()-41)&lt;=playercnt)),SUMPRODUCT(INDIRECT(ADDRESS(3,ROW()-31,1)):INDIRECT(ADDRESS(22,ROW()-31,1)),AC$3:AC$22),"")</f>
        <v>9</v>
      </c>
      <c r="AD56">
        <f ca="1">IF(AND(((COLUMN()-10)&lt;=playercnt),((ROW()-41)&lt;=playercnt)),SUMPRODUCT(INDIRECT(ADDRESS(3,ROW()-31,1)):INDIRECT(ADDRESS(22,ROW()-31,1)),AD$3:AD$22),"")</f>
        <v>4</v>
      </c>
      <c r="AE56">
        <f ca="1">IF(AND(((COLUMN()-10)&lt;=playercnt),((ROW()-41)&lt;=playercnt)),SUMPRODUCT(INDIRECT(ADDRESS(3,ROW()-31,1)):INDIRECT(ADDRESS(22,ROW()-31,1)),AE$3:AE$22),"")</f>
        <v>6</v>
      </c>
      <c r="AF56">
        <f ca="1">IF(AND(((COLUMN()-10)&lt;=playercnt),((ROW()-41)&lt;=playercnt)),SUMPRODUCT(INDIRECT(ADDRESS(3,ROW()-31,1)):INDIRECT(ADDRESS(22,ROW()-31,1)),AF$3:AF$22),"")</f>
        <v>4</v>
      </c>
      <c r="AG56">
        <f ca="1">IF(AND(((COLUMN()-10)&lt;=playercnt),((ROW()-41)&lt;=playercnt)),SUMPRODUCT(INDIRECT(ADDRESS(3,ROW()-31,1)):INDIRECT(ADDRESS(22,ROW()-31,1)),AG$3:AG$22),"")</f>
        <v>6</v>
      </c>
      <c r="AH56">
        <f ca="1">IF(AND(((COLUMN()-10)&lt;=playercnt),((ROW()-41)&lt;=playercnt)),SUMPRODUCT(INDIRECT(ADDRESS(3,ROW()-31,1)):INDIRECT(ADDRESS(22,ROW()-31,1)),AH$3:AH$22),"")</f>
        <v>6</v>
      </c>
      <c r="AI56">
        <f ca="1">IF(AND(((COLUMN()-10)&lt;=playercnt),((ROW()-41)&lt;=playercnt)),SUMPRODUCT(INDIRECT(ADDRESS(3,ROW()-31,1)):INDIRECT(ADDRESS(22,ROW()-31,1)),AI$3:AI$22),"")</f>
        <v>7</v>
      </c>
      <c r="AJ56">
        <f ca="1">IF(AND(((COLUMN()-10)&lt;=playercnt),((ROW()-41)&lt;=playercnt)),SUMPRODUCT(INDIRECT(ADDRESS(3,ROW()-31,1)):INDIRECT(ADDRESS(22,ROW()-31,1)),AJ$3:AJ$22),"")</f>
        <v>6</v>
      </c>
      <c r="AK56">
        <f ca="1">IF(AND(((COLUMN()-10)&lt;=playercnt),((ROW()-41)&lt;=playercnt)),SUMPRODUCT(INDIRECT(ADDRESS(3,ROW()-31,1)):INDIRECT(ADDRESS(22,ROW()-31,1)),AK$3:AK$22),"")</f>
        <v>6</v>
      </c>
      <c r="AL56">
        <f ca="1">IF(AND(((COLUMN()-10)&lt;=playercnt),((ROW()-41)&lt;=playercnt)),SUMPRODUCT(INDIRECT(ADDRESS(3,ROW()-31,1)):INDIRECT(ADDRESS(22,ROW()-31,1)),AL$3:AL$22),"")</f>
        <v>4</v>
      </c>
      <c r="AM56">
        <f ca="1">IF(AND(((COLUMN()-10)&lt;=playercnt),((ROW()-41)&lt;=playercnt)),SUMPRODUCT(INDIRECT(ADDRESS(3,ROW()-31,1)):INDIRECT(ADDRESS(22,ROW()-31,1)),AM$3:AM$22),"")</f>
        <v>7</v>
      </c>
      <c r="AN56">
        <f ca="1">IF(AND(((COLUMN()-10)&lt;=playercnt),((ROW()-41)&lt;=playercnt)),SUMPRODUCT(INDIRECT(ADDRESS(3,ROW()-31,1)):INDIRECT(ADDRESS(22,ROW()-31,1)),AN$3:AN$22),"")</f>
        <v>8</v>
      </c>
      <c r="AO56">
        <f ca="1">IF(AND(((COLUMN()-10)&lt;=playercnt),((ROW()-41)&lt;=playercnt)),SUMPRODUCT(INDIRECT(ADDRESS(3,ROW()-31,1)):INDIRECT(ADDRESS(22,ROW()-31,1)),AO$3:AO$22),"")</f>
        <v>8</v>
      </c>
      <c r="AP56">
        <f ca="1">IF(AND(((COLUMN()-10)&lt;=playercnt),((ROW()-41)&lt;=playercnt)),SUMPRODUCT(INDIRECT(ADDRESS(3,ROW()-31,1)):INDIRECT(ADDRESS(22,ROW()-31,1)),AP$3:AP$22),"")</f>
        <v>3</v>
      </c>
      <c r="AQ56">
        <f ca="1">IF(AND(((COLUMN()-10)&lt;=playercnt),((ROW()-41)&lt;=playercnt)),SUMPRODUCT(INDIRECT(ADDRESS(3,ROW()-31,1)):INDIRECT(ADDRESS(22,ROW()-31,1)),AQ$3:AQ$22),"")</f>
        <v>5</v>
      </c>
      <c r="AR56">
        <f ca="1">IF(AND(((COLUMN()-10)&lt;=playercnt),((ROW()-41)&lt;=playercnt)),SUMPRODUCT(INDIRECT(ADDRESS(3,ROW()-31,1)):INDIRECT(ADDRESS(22,ROW()-31,1)),AR$3:AR$22),"")</f>
        <v>8</v>
      </c>
      <c r="AS56">
        <f ca="1">IF(AND(((COLUMN()-10)&lt;=playercnt),((ROW()-41)&lt;=playercnt)),SUMPRODUCT(INDIRECT(ADDRESS(3,ROW()-31,1)):INDIRECT(ADDRESS(22,ROW()-31,1)),AS$3:AS$22),"")</f>
        <v>6</v>
      </c>
      <c r="AT56">
        <f ca="1">IF(AND(((COLUMN()-10)&lt;=playercnt),((ROW()-41)&lt;=playercnt)),SUMPRODUCT(INDIRECT(ADDRESS(3,ROW()-31,1)):INDIRECT(ADDRESS(22,ROW()-31,1)),AT$3:AT$22),"")</f>
        <v>5</v>
      </c>
      <c r="AU56">
        <f ca="1">IF(AND(((COLUMN()-10)&lt;=playercnt),((ROW()-41)&lt;=playercnt)),SUMPRODUCT(INDIRECT(ADDRESS(3,ROW()-31,1)):INDIRECT(ADDRESS(22,ROW()-31,1)),AU$3:AU$22),"")</f>
        <v>5</v>
      </c>
      <c r="AV56">
        <f ca="1">IF(AND(((COLUMN()-10)&lt;=playercnt),((ROW()-41)&lt;=playercnt)),SUMPRODUCT(INDIRECT(ADDRESS(3,ROW()-31,1)):INDIRECT(ADDRESS(22,ROW()-31,1)),AV$3:AV$22),"")</f>
        <v>3</v>
      </c>
      <c r="AW56">
        <f ca="1">IF(AND(((COLUMN()-10)&lt;=playercnt),((ROW()-41)&lt;=playercnt)),SUMPRODUCT(INDIRECT(ADDRESS(3,ROW()-31,1)):INDIRECT(ADDRESS(22,ROW()-31,1)),AW$3:AW$22),"")</f>
        <v>5</v>
      </c>
      <c r="AX56">
        <f ca="1">IF(AND(((COLUMN()-10)&lt;=playercnt),((ROW()-41)&lt;=playercnt)),SUMPRODUCT(INDIRECT(ADDRESS(3,ROW()-31,1)):INDIRECT(ADDRESS(22,ROW()-31,1)),AX$3:AX$22),"")</f>
        <v>5</v>
      </c>
      <c r="AY56">
        <f ca="1">IF(AND(((COLUMN()-10)&lt;=playercnt),((ROW()-41)&lt;=playercnt)),SUMPRODUCT(INDIRECT(ADDRESS(3,ROW()-31,1)):INDIRECT(ADDRESS(22,ROW()-31,1)),AY$3:AY$22),"")</f>
        <v>7</v>
      </c>
      <c r="AZ56">
        <f ca="1">IF(AND(((COLUMN()-10)&lt;=playercnt),((ROW()-41)&lt;=playercnt)),SUMPRODUCT(INDIRECT(ADDRESS(3,ROW()-31,1)):INDIRECT(ADDRESS(22,ROW()-31,1)),AZ$3:AZ$22),"")</f>
        <v>6</v>
      </c>
      <c r="BA56">
        <f ca="1">IF(AND(((COLUMN()-10)&lt;=playercnt),((ROW()-41)&lt;=playercnt)),SUMPRODUCT(INDIRECT(ADDRESS(3,ROW()-31,1)):INDIRECT(ADDRESS(22,ROW()-31,1)),BA$3:BA$22),"")</f>
        <v>3</v>
      </c>
      <c r="BB56">
        <f ca="1">IF(AND(((COLUMN()-10)&lt;=playercnt),((ROW()-41)&lt;=playercnt)),SUMPRODUCT(INDIRECT(ADDRESS(3,ROW()-31,1)):INDIRECT(ADDRESS(22,ROW()-31,1)),BB$3:BB$22),"")</f>
        <v>4</v>
      </c>
      <c r="BC56">
        <f ca="1">IF(AND(((COLUMN()-10)&lt;=playercnt),((ROW()-41)&lt;=playercnt)),SUMPRODUCT(INDIRECT(ADDRESS(3,ROW()-31,1)):INDIRECT(ADDRESS(22,ROW()-31,1)),BC$3:BC$22),"")</f>
        <v>2</v>
      </c>
      <c r="BD56">
        <f ca="1">IF(AND(((COLUMN()-10)&lt;=playercnt),((ROW()-41)&lt;=playercnt)),SUMPRODUCT(INDIRECT(ADDRESS(3,ROW()-31,1)):INDIRECT(ADDRESS(22,ROW()-31,1)),BD$3:BD$22),"")</f>
        <v>3</v>
      </c>
      <c r="BE56">
        <f ca="1">IF(AND(((COLUMN()-10)&lt;=playercnt),((ROW()-41)&lt;=playercnt)),SUMPRODUCT(INDIRECT(ADDRESS(3,ROW()-31,1)):INDIRECT(ADDRESS(22,ROW()-31,1)),BE$3:BE$22),"")</f>
        <v>6</v>
      </c>
      <c r="BF56">
        <f ca="1">IF(AND(((COLUMN()-10)&lt;=playercnt),((ROW()-41)&lt;=playercnt)),SUMPRODUCT(INDIRECT(ADDRESS(3,ROW()-31,1)):INDIRECT(ADDRESS(22,ROW()-31,1)),BF$3:BF$22),"")</f>
        <v>6</v>
      </c>
      <c r="BG56">
        <f ca="1">IF(AND(((COLUMN()-10)&lt;=playercnt),((ROW()-41)&lt;=playercnt)),SUMPRODUCT(INDIRECT(ADDRESS(3,ROW()-31,1)):INDIRECT(ADDRESS(22,ROW()-31,1)),BG$3:BG$22),"")</f>
        <v>5</v>
      </c>
      <c r="BH56">
        <f ca="1">IF(AND(((COLUMN()-10)&lt;=playercnt),((ROW()-41)&lt;=playercnt)),SUMPRODUCT(INDIRECT(ADDRESS(3,ROW()-31,1)):INDIRECT(ADDRESS(22,ROW()-31,1)),BH$3:BH$22),"")</f>
        <v>4</v>
      </c>
      <c r="BI56">
        <f ca="1">IF(AND(((COLUMN()-10)&lt;=playercnt),((ROW()-41)&lt;=playercnt)),SUMPRODUCT(INDIRECT(ADDRESS(3,ROW()-31,1)):INDIRECT(ADDRESS(22,ROW()-31,1)),BI$3:BI$22),"")</f>
        <v>3</v>
      </c>
      <c r="BJ56">
        <f ca="1">IF(AND(((COLUMN()-10)&lt;=playercnt),((ROW()-41)&lt;=playercnt)),SUMPRODUCT(INDIRECT(ADDRESS(3,ROW()-31,1)):INDIRECT(ADDRESS(22,ROW()-31,1)),BJ$3:BJ$22),"")</f>
        <v>7</v>
      </c>
      <c r="BK56">
        <f ca="1">IF(AND(((COLUMN()-10)&lt;=playercnt),((ROW()-41)&lt;=playercnt)),SUMPRODUCT(INDIRECT(ADDRESS(3,ROW()-31,1)):INDIRECT(ADDRESS(22,ROW()-31,1)),BK$3:BK$22),"")</f>
        <v>4</v>
      </c>
      <c r="BL56">
        <f ca="1">IF(AND(((COLUMN()-10)&lt;=playercnt),((ROW()-41)&lt;=playercnt)),SUMPRODUCT(INDIRECT(ADDRESS(3,ROW()-31,1)):INDIRECT(ADDRESS(22,ROW()-31,1)),BL$3:BL$22),"")</f>
        <v>6</v>
      </c>
      <c r="BM56">
        <f ca="1">IF(AND(((COLUMN()-10)&lt;=playercnt),((ROW()-41)&lt;=playercnt)),SUMPRODUCT(INDIRECT(ADDRESS(3,ROW()-31,1)):INDIRECT(ADDRESS(22,ROW()-31,1)),BM$3:BM$22),"")</f>
        <v>6</v>
      </c>
      <c r="BN56">
        <f ca="1">IF(AND(((COLUMN()-10)&lt;=playercnt),((ROW()-41)&lt;=playercnt)),SUMPRODUCT(INDIRECT(ADDRESS(3,ROW()-31,1)):INDIRECT(ADDRESS(22,ROW()-31,1)),BN$3:BN$22),"")</f>
        <v>2</v>
      </c>
    </row>
    <row r="57" spans="1:66">
      <c r="B57" s="27">
        <f t="shared" ca="1" si="23"/>
        <v>4.3454545454545457</v>
      </c>
      <c r="C57" t="str">
        <f t="shared" ca="1" si="24"/>
        <v>Fonville, Chris</v>
      </c>
      <c r="G57">
        <f ca="1">IF(AND(((COLUMN()-10)&lt;=playercnt),((ROW()-41)&lt;=playercnt)),SUMPRODUCT(INDIRECT(ADDRESS(3,ROW()-31,1)):INDIRECT(ADDRESS(22,ROW()-31,1)),G$3:G$22),"")</f>
        <v>5</v>
      </c>
      <c r="H57">
        <f ca="1">IF(AND(((COLUMN()-10)&lt;=playercnt),((ROW()-41)&lt;=playercnt)),SUMPRODUCT(INDIRECT(ADDRESS(3,ROW()-31,1)):INDIRECT(ADDRESS(22,ROW()-31,1)),H$3:H$22),"")</f>
        <v>4</v>
      </c>
      <c r="I57">
        <f ca="1">IF(AND(((COLUMN()-10)&lt;=playercnt),((ROW()-41)&lt;=playercnt)),SUMPRODUCT(INDIRECT(ADDRESS(3,ROW()-31,1)):INDIRECT(ADDRESS(22,ROW()-31,1)),I$3:I$22),"")</f>
        <v>2</v>
      </c>
      <c r="J57">
        <f ca="1">IF(AND(((COLUMN()-10)&lt;=playercnt),((ROW()-41)&lt;=playercnt)),SUMPRODUCT(INDIRECT(ADDRESS(3,ROW()-31,1)):INDIRECT(ADDRESS(22,ROW()-31,1)),J$3:J$22),"")</f>
        <v>0</v>
      </c>
      <c r="K57">
        <f ca="1">IF(AND(((COLUMN()-10)&lt;=playercnt),((ROW()-41)&lt;=playercnt)),SUMPRODUCT(INDIRECT(ADDRESS(3,ROW()-31,1)):INDIRECT(ADDRESS(22,ROW()-31,1)),K$3:K$22),"")</f>
        <v>1</v>
      </c>
      <c r="L57">
        <f ca="1">IF(AND(((COLUMN()-10)&lt;=playercnt),((ROW()-41)&lt;=playercnt)),SUMPRODUCT(INDIRECT(ADDRESS(3,ROW()-31,1)):INDIRECT(ADDRESS(22,ROW()-31,1)),L$3:L$22),"")</f>
        <v>4</v>
      </c>
      <c r="M57">
        <f ca="1">IF(AND(((COLUMN()-10)&lt;=playercnt),((ROW()-41)&lt;=playercnt)),SUMPRODUCT(INDIRECT(ADDRESS(3,ROW()-31,1)):INDIRECT(ADDRESS(22,ROW()-31,1)),M$3:M$22),"")</f>
        <v>4</v>
      </c>
      <c r="N57">
        <f ca="1">IF(AND(((COLUMN()-10)&lt;=playercnt),((ROW()-41)&lt;=playercnt)),SUMPRODUCT(INDIRECT(ADDRESS(3,ROW()-31,1)):INDIRECT(ADDRESS(22,ROW()-31,1)),N$3:N$22),"")</f>
        <v>2</v>
      </c>
      <c r="O57">
        <f ca="1">IF(AND(((COLUMN()-10)&lt;=playercnt),((ROW()-41)&lt;=playercnt)),SUMPRODUCT(INDIRECT(ADDRESS(3,ROW()-31,1)):INDIRECT(ADDRESS(22,ROW()-31,1)),O$3:O$22),"")</f>
        <v>4</v>
      </c>
      <c r="P57">
        <f ca="1">IF(AND(((COLUMN()-10)&lt;=playercnt),((ROW()-41)&lt;=playercnt)),SUMPRODUCT(INDIRECT(ADDRESS(3,ROW()-31,1)):INDIRECT(ADDRESS(22,ROW()-31,1)),P$3:P$22),"")</f>
        <v>7</v>
      </c>
      <c r="Q57">
        <f ca="1">IF(AND(((COLUMN()-10)&lt;=playercnt),((ROW()-41)&lt;=playercnt)),SUMPRODUCT(INDIRECT(ADDRESS(3,ROW()-31,1)):INDIRECT(ADDRESS(22,ROW()-31,1)),Q$3:Q$22),"")</f>
        <v>5</v>
      </c>
      <c r="R57">
        <f ca="1">IF(AND(((COLUMN()-10)&lt;=playercnt),((ROW()-41)&lt;=playercnt)),SUMPRODUCT(INDIRECT(ADDRESS(3,ROW()-31,1)):INDIRECT(ADDRESS(22,ROW()-31,1)),R$3:R$22),"")</f>
        <v>3</v>
      </c>
      <c r="S57">
        <f ca="1">IF(AND(((COLUMN()-10)&lt;=playercnt),((ROW()-41)&lt;=playercnt)),SUMPRODUCT(INDIRECT(ADDRESS(3,ROW()-31,1)):INDIRECT(ADDRESS(22,ROW()-31,1)),S$3:S$22),"")</f>
        <v>5</v>
      </c>
      <c r="T57">
        <f ca="1">IF(AND(((COLUMN()-10)&lt;=playercnt),((ROW()-41)&lt;=playercnt)),SUMPRODUCT(INDIRECT(ADDRESS(3,ROW()-31,1)):INDIRECT(ADDRESS(22,ROW()-31,1)),T$3:T$22),"")</f>
        <v>5</v>
      </c>
      <c r="U57">
        <f ca="1">IF(AND(((COLUMN()-10)&lt;=playercnt),((ROW()-41)&lt;=playercnt)),SUMPRODUCT(INDIRECT(ADDRESS(3,ROW()-31,1)):INDIRECT(ADDRESS(22,ROW()-31,1)),U$3:U$22),"")</f>
        <v>2</v>
      </c>
      <c r="V57">
        <f ca="1">IF(AND(((COLUMN()-10)&lt;=playercnt),((ROW()-41)&lt;=playercnt)),SUMPRODUCT(INDIRECT(ADDRESS(3,ROW()-31,1)):INDIRECT(ADDRESS(22,ROW()-31,1)),V$3:V$22),"")</f>
        <v>3</v>
      </c>
      <c r="W57">
        <f ca="1">IF(AND(((COLUMN()-10)&lt;=playercnt),((ROW()-41)&lt;=playercnt)),SUMPRODUCT(INDIRECT(ADDRESS(3,ROW()-31,1)):INDIRECT(ADDRESS(22,ROW()-31,1)),W$3:W$22),"")</f>
        <v>3</v>
      </c>
      <c r="X57">
        <f ca="1">IF(AND(((COLUMN()-10)&lt;=playercnt),((ROW()-41)&lt;=playercnt)),SUMPRODUCT(INDIRECT(ADDRESS(3,ROW()-31,1)):INDIRECT(ADDRESS(22,ROW()-31,1)),X$3:X$22),"")</f>
        <v>3</v>
      </c>
      <c r="Y57">
        <f ca="1">IF(AND(((COLUMN()-10)&lt;=playercnt),((ROW()-41)&lt;=playercnt)),SUMPRODUCT(INDIRECT(ADDRESS(3,ROW()-31,1)):INDIRECT(ADDRESS(22,ROW()-31,1)),Y$3:Y$22),"")</f>
        <v>4</v>
      </c>
      <c r="Z57">
        <f ca="1">IF(AND(((COLUMN()-10)&lt;=playercnt),((ROW()-41)&lt;=playercnt)),SUMPRODUCT(INDIRECT(ADDRESS(3,ROW()-31,1)):INDIRECT(ADDRESS(22,ROW()-31,1)),Z$3:Z$22),"")</f>
        <v>10</v>
      </c>
      <c r="AA57">
        <f ca="1">IF(AND(((COLUMN()-10)&lt;=playercnt),((ROW()-41)&lt;=playercnt)),SUMPRODUCT(INDIRECT(ADDRESS(3,ROW()-31,1)):INDIRECT(ADDRESS(22,ROW()-31,1)),AA$3:AA$22),"")</f>
        <v>4</v>
      </c>
      <c r="AB57">
        <f ca="1">IF(AND(((COLUMN()-10)&lt;=playercnt),((ROW()-41)&lt;=playercnt)),SUMPRODUCT(INDIRECT(ADDRESS(3,ROW()-31,1)):INDIRECT(ADDRESS(22,ROW()-31,1)),AB$3:AB$22),"")</f>
        <v>4</v>
      </c>
      <c r="AC57">
        <f ca="1">IF(AND(((COLUMN()-10)&lt;=playercnt),((ROW()-41)&lt;=playercnt)),SUMPRODUCT(INDIRECT(ADDRESS(3,ROW()-31,1)):INDIRECT(ADDRESS(22,ROW()-31,1)),AC$3:AC$22),"")</f>
        <v>3</v>
      </c>
      <c r="AD57">
        <f ca="1">IF(AND(((COLUMN()-10)&lt;=playercnt),((ROW()-41)&lt;=playercnt)),SUMPRODUCT(INDIRECT(ADDRESS(3,ROW()-31,1)):INDIRECT(ADDRESS(22,ROW()-31,1)),AD$3:AD$22),"")</f>
        <v>2</v>
      </c>
      <c r="AE57">
        <f ca="1">IF(AND(((COLUMN()-10)&lt;=playercnt),((ROW()-41)&lt;=playercnt)),SUMPRODUCT(INDIRECT(ADDRESS(3,ROW()-31,1)):INDIRECT(ADDRESS(22,ROW()-31,1)),AE$3:AE$22),"")</f>
        <v>4</v>
      </c>
      <c r="AF57">
        <f ca="1">IF(AND(((COLUMN()-10)&lt;=playercnt),((ROW()-41)&lt;=playercnt)),SUMPRODUCT(INDIRECT(ADDRESS(3,ROW()-31,1)):INDIRECT(ADDRESS(22,ROW()-31,1)),AF$3:AF$22),"")</f>
        <v>6</v>
      </c>
      <c r="AG57">
        <f ca="1">IF(AND(((COLUMN()-10)&lt;=playercnt),((ROW()-41)&lt;=playercnt)),SUMPRODUCT(INDIRECT(ADDRESS(3,ROW()-31,1)):INDIRECT(ADDRESS(22,ROW()-31,1)),AG$3:AG$22),"")</f>
        <v>4</v>
      </c>
      <c r="AH57">
        <f ca="1">IF(AND(((COLUMN()-10)&lt;=playercnt),((ROW()-41)&lt;=playercnt)),SUMPRODUCT(INDIRECT(ADDRESS(3,ROW()-31,1)):INDIRECT(ADDRESS(22,ROW()-31,1)),AH$3:AH$22),"")</f>
        <v>6</v>
      </c>
      <c r="AI57">
        <f ca="1">IF(AND(((COLUMN()-10)&lt;=playercnt),((ROW()-41)&lt;=playercnt)),SUMPRODUCT(INDIRECT(ADDRESS(3,ROW()-31,1)):INDIRECT(ADDRESS(22,ROW()-31,1)),AI$3:AI$22),"")</f>
        <v>5</v>
      </c>
      <c r="AJ57">
        <f ca="1">IF(AND(((COLUMN()-10)&lt;=playercnt),((ROW()-41)&lt;=playercnt)),SUMPRODUCT(INDIRECT(ADDRESS(3,ROW()-31,1)):INDIRECT(ADDRESS(22,ROW()-31,1)),AJ$3:AJ$22),"")</f>
        <v>4</v>
      </c>
      <c r="AK57">
        <f ca="1">IF(AND(((COLUMN()-10)&lt;=playercnt),((ROW()-41)&lt;=playercnt)),SUMPRODUCT(INDIRECT(ADDRESS(3,ROW()-31,1)):INDIRECT(ADDRESS(22,ROW()-31,1)),AK$3:AK$22),"")</f>
        <v>4</v>
      </c>
      <c r="AL57">
        <f ca="1">IF(AND(((COLUMN()-10)&lt;=playercnt),((ROW()-41)&lt;=playercnt)),SUMPRODUCT(INDIRECT(ADDRESS(3,ROW()-31,1)):INDIRECT(ADDRESS(22,ROW()-31,1)),AL$3:AL$22),"")</f>
        <v>6</v>
      </c>
      <c r="AM57">
        <f ca="1">IF(AND(((COLUMN()-10)&lt;=playercnt),((ROW()-41)&lt;=playercnt)),SUMPRODUCT(INDIRECT(ADDRESS(3,ROW()-31,1)):INDIRECT(ADDRESS(22,ROW()-31,1)),AM$3:AM$22),"")</f>
        <v>7</v>
      </c>
      <c r="AN57">
        <f ca="1">IF(AND(((COLUMN()-10)&lt;=playercnt),((ROW()-41)&lt;=playercnt)),SUMPRODUCT(INDIRECT(ADDRESS(3,ROW()-31,1)):INDIRECT(ADDRESS(22,ROW()-31,1)),AN$3:AN$22),"")</f>
        <v>4</v>
      </c>
      <c r="AO57">
        <f ca="1">IF(AND(((COLUMN()-10)&lt;=playercnt),((ROW()-41)&lt;=playercnt)),SUMPRODUCT(INDIRECT(ADDRESS(3,ROW()-31,1)):INDIRECT(ADDRESS(22,ROW()-31,1)),AO$3:AO$22),"")</f>
        <v>6</v>
      </c>
      <c r="AP57">
        <f ca="1">IF(AND(((COLUMN()-10)&lt;=playercnt),((ROW()-41)&lt;=playercnt)),SUMPRODUCT(INDIRECT(ADDRESS(3,ROW()-31,1)):INDIRECT(ADDRESS(22,ROW()-31,1)),AP$3:AP$22),"")</f>
        <v>5</v>
      </c>
      <c r="AQ57">
        <f ca="1">IF(AND(((COLUMN()-10)&lt;=playercnt),((ROW()-41)&lt;=playercnt)),SUMPRODUCT(INDIRECT(ADDRESS(3,ROW()-31,1)):INDIRECT(ADDRESS(22,ROW()-31,1)),AQ$3:AQ$22),"")</f>
        <v>5</v>
      </c>
      <c r="AR57">
        <f ca="1">IF(AND(((COLUMN()-10)&lt;=playercnt),((ROW()-41)&lt;=playercnt)),SUMPRODUCT(INDIRECT(ADDRESS(3,ROW()-31,1)):INDIRECT(ADDRESS(22,ROW()-31,1)),AR$3:AR$22),"")</f>
        <v>4</v>
      </c>
      <c r="AS57">
        <f ca="1">IF(AND(((COLUMN()-10)&lt;=playercnt),((ROW()-41)&lt;=playercnt)),SUMPRODUCT(INDIRECT(ADDRESS(3,ROW()-31,1)):INDIRECT(ADDRESS(22,ROW()-31,1)),AS$3:AS$22),"")</f>
        <v>6</v>
      </c>
      <c r="AT57">
        <f ca="1">IF(AND(((COLUMN()-10)&lt;=playercnt),((ROW()-41)&lt;=playercnt)),SUMPRODUCT(INDIRECT(ADDRESS(3,ROW()-31,1)):INDIRECT(ADDRESS(22,ROW()-31,1)),AT$3:AT$22),"")</f>
        <v>5</v>
      </c>
      <c r="AU57">
        <f ca="1">IF(AND(((COLUMN()-10)&lt;=playercnt),((ROW()-41)&lt;=playercnt)),SUMPRODUCT(INDIRECT(ADDRESS(3,ROW()-31,1)):INDIRECT(ADDRESS(22,ROW()-31,1)),AU$3:AU$22),"")</f>
        <v>5</v>
      </c>
      <c r="AV57">
        <f ca="1">IF(AND(((COLUMN()-10)&lt;=playercnt),((ROW()-41)&lt;=playercnt)),SUMPRODUCT(INDIRECT(ADDRESS(3,ROW()-31,1)):INDIRECT(ADDRESS(22,ROW()-31,1)),AV$3:AV$22),"")</f>
        <v>5</v>
      </c>
      <c r="AW57">
        <f ca="1">IF(AND(((COLUMN()-10)&lt;=playercnt),((ROW()-41)&lt;=playercnt)),SUMPRODUCT(INDIRECT(ADDRESS(3,ROW()-31,1)):INDIRECT(ADDRESS(22,ROW()-31,1)),AW$3:AW$22),"")</f>
        <v>1</v>
      </c>
      <c r="AX57">
        <f ca="1">IF(AND(((COLUMN()-10)&lt;=playercnt),((ROW()-41)&lt;=playercnt)),SUMPRODUCT(INDIRECT(ADDRESS(3,ROW()-31,1)):INDIRECT(ADDRESS(22,ROW()-31,1)),AX$3:AX$22),"")</f>
        <v>3</v>
      </c>
      <c r="AY57">
        <f ca="1">IF(AND(((COLUMN()-10)&lt;=playercnt),((ROW()-41)&lt;=playercnt)),SUMPRODUCT(INDIRECT(ADDRESS(3,ROW()-31,1)):INDIRECT(ADDRESS(22,ROW()-31,1)),AY$3:AY$22),"")</f>
        <v>3</v>
      </c>
      <c r="AZ57">
        <f ca="1">IF(AND(((COLUMN()-10)&lt;=playercnt),((ROW()-41)&lt;=playercnt)),SUMPRODUCT(INDIRECT(ADDRESS(3,ROW()-31,1)):INDIRECT(ADDRESS(22,ROW()-31,1)),AZ$3:AZ$22),"")</f>
        <v>4</v>
      </c>
      <c r="BA57">
        <f ca="1">IF(AND(((COLUMN()-10)&lt;=playercnt),((ROW()-41)&lt;=playercnt)),SUMPRODUCT(INDIRECT(ADDRESS(3,ROW()-31,1)):INDIRECT(ADDRESS(22,ROW()-31,1)),BA$3:BA$22),"")</f>
        <v>5</v>
      </c>
      <c r="BB57">
        <f ca="1">IF(AND(((COLUMN()-10)&lt;=playercnt),((ROW()-41)&lt;=playercnt)),SUMPRODUCT(INDIRECT(ADDRESS(3,ROW()-31,1)):INDIRECT(ADDRESS(22,ROW()-31,1)),BB$3:BB$22),"")</f>
        <v>6</v>
      </c>
      <c r="BC57">
        <f ca="1">IF(AND(((COLUMN()-10)&lt;=playercnt),((ROW()-41)&lt;=playercnt)),SUMPRODUCT(INDIRECT(ADDRESS(3,ROW()-31,1)):INDIRECT(ADDRESS(22,ROW()-31,1)),BC$3:BC$22),"")</f>
        <v>6</v>
      </c>
      <c r="BD57">
        <f ca="1">IF(AND(((COLUMN()-10)&lt;=playercnt),((ROW()-41)&lt;=playercnt)),SUMPRODUCT(INDIRECT(ADDRESS(3,ROW()-31,1)):INDIRECT(ADDRESS(22,ROW()-31,1)),BD$3:BD$22),"")</f>
        <v>3</v>
      </c>
      <c r="BE57">
        <f ca="1">IF(AND(((COLUMN()-10)&lt;=playercnt),((ROW()-41)&lt;=playercnt)),SUMPRODUCT(INDIRECT(ADDRESS(3,ROW()-31,1)):INDIRECT(ADDRESS(22,ROW()-31,1)),BE$3:BE$22),"")</f>
        <v>4</v>
      </c>
      <c r="BF57">
        <f ca="1">IF(AND(((COLUMN()-10)&lt;=playercnt),((ROW()-41)&lt;=playercnt)),SUMPRODUCT(INDIRECT(ADDRESS(3,ROW()-31,1)):INDIRECT(ADDRESS(22,ROW()-31,1)),BF$3:BF$22),"")</f>
        <v>4</v>
      </c>
      <c r="BG57">
        <f ca="1">IF(AND(((COLUMN()-10)&lt;=playercnt),((ROW()-41)&lt;=playercnt)),SUMPRODUCT(INDIRECT(ADDRESS(3,ROW()-31,1)):INDIRECT(ADDRESS(22,ROW()-31,1)),BG$3:BG$22),"")</f>
        <v>5</v>
      </c>
      <c r="BH57">
        <f ca="1">IF(AND(((COLUMN()-10)&lt;=playercnt),((ROW()-41)&lt;=playercnt)),SUMPRODUCT(INDIRECT(ADDRESS(3,ROW()-31,1)):INDIRECT(ADDRESS(22,ROW()-31,1)),BH$3:BH$22),"")</f>
        <v>2</v>
      </c>
      <c r="BI57">
        <f ca="1">IF(AND(((COLUMN()-10)&lt;=playercnt),((ROW()-41)&lt;=playercnt)),SUMPRODUCT(INDIRECT(ADDRESS(3,ROW()-31,1)):INDIRECT(ADDRESS(22,ROW()-31,1)),BI$3:BI$22),"")</f>
        <v>7</v>
      </c>
      <c r="BJ57">
        <f ca="1">IF(AND(((COLUMN()-10)&lt;=playercnt),((ROW()-41)&lt;=playercnt)),SUMPRODUCT(INDIRECT(ADDRESS(3,ROW()-31,1)):INDIRECT(ADDRESS(22,ROW()-31,1)),BJ$3:BJ$22),"")</f>
        <v>5</v>
      </c>
      <c r="BK57">
        <f ca="1">IF(AND(((COLUMN()-10)&lt;=playercnt),((ROW()-41)&lt;=playercnt)),SUMPRODUCT(INDIRECT(ADDRESS(3,ROW()-31,1)):INDIRECT(ADDRESS(22,ROW()-31,1)),BK$3:BK$22),"")</f>
        <v>4</v>
      </c>
      <c r="BL57">
        <f ca="1">IF(AND(((COLUMN()-10)&lt;=playercnt),((ROW()-41)&lt;=playercnt)),SUMPRODUCT(INDIRECT(ADDRESS(3,ROW()-31,1)):INDIRECT(ADDRESS(22,ROW()-31,1)),BL$3:BL$22),"")</f>
        <v>4</v>
      </c>
      <c r="BM57">
        <f ca="1">IF(AND(((COLUMN()-10)&lt;=playercnt),((ROW()-41)&lt;=playercnt)),SUMPRODUCT(INDIRECT(ADDRESS(3,ROW()-31,1)):INDIRECT(ADDRESS(22,ROW()-31,1)),BM$3:BM$22),"")</f>
        <v>6</v>
      </c>
      <c r="BN57">
        <f ca="1">IF(AND(((COLUMN()-10)&lt;=playercnt),((ROW()-41)&lt;=playercnt)),SUMPRODUCT(INDIRECT(ADDRESS(3,ROW()-31,1)):INDIRECT(ADDRESS(22,ROW()-31,1)),BN$3:BN$22),"")</f>
        <v>8</v>
      </c>
    </row>
    <row r="58" spans="1:66">
      <c r="B58" s="27">
        <f t="shared" ca="1" si="23"/>
        <v>4.709090909090909</v>
      </c>
      <c r="C58" t="str">
        <f t="shared" ca="1" si="24"/>
        <v>Gilmer, Justin T</v>
      </c>
      <c r="G58">
        <f ca="1">IF(AND(((COLUMN()-10)&lt;=playercnt),((ROW()-41)&lt;=playercnt)),SUMPRODUCT(INDIRECT(ADDRESS(3,ROW()-31,1)):INDIRECT(ADDRESS(22,ROW()-31,1)),G$3:G$22),"")</f>
        <v>5</v>
      </c>
      <c r="H58">
        <f ca="1">IF(AND(((COLUMN()-10)&lt;=playercnt),((ROW()-41)&lt;=playercnt)),SUMPRODUCT(INDIRECT(ADDRESS(3,ROW()-31,1)):INDIRECT(ADDRESS(22,ROW()-31,1)),H$3:H$22),"")</f>
        <v>6</v>
      </c>
      <c r="I58">
        <f ca="1">IF(AND(((COLUMN()-10)&lt;=playercnt),((ROW()-41)&lt;=playercnt)),SUMPRODUCT(INDIRECT(ADDRESS(3,ROW()-31,1)):INDIRECT(ADDRESS(22,ROW()-31,1)),I$3:I$22),"")</f>
        <v>4</v>
      </c>
      <c r="J58">
        <f ca="1">IF(AND(((COLUMN()-10)&lt;=playercnt),((ROW()-41)&lt;=playercnt)),SUMPRODUCT(INDIRECT(ADDRESS(3,ROW()-31,1)):INDIRECT(ADDRESS(22,ROW()-31,1)),J$3:J$22),"")</f>
        <v>0</v>
      </c>
      <c r="K58">
        <f ca="1">IF(AND(((COLUMN()-10)&lt;=playercnt),((ROW()-41)&lt;=playercnt)),SUMPRODUCT(INDIRECT(ADDRESS(3,ROW()-31,1)):INDIRECT(ADDRESS(22,ROW()-31,1)),K$3:K$22),"")</f>
        <v>5</v>
      </c>
      <c r="L58">
        <f ca="1">IF(AND(((COLUMN()-10)&lt;=playercnt),((ROW()-41)&lt;=playercnt)),SUMPRODUCT(INDIRECT(ADDRESS(3,ROW()-31,1)):INDIRECT(ADDRESS(22,ROW()-31,1)),L$3:L$22),"")</f>
        <v>4</v>
      </c>
      <c r="M58">
        <f ca="1">IF(AND(((COLUMN()-10)&lt;=playercnt),((ROW()-41)&lt;=playercnt)),SUMPRODUCT(INDIRECT(ADDRESS(3,ROW()-31,1)):INDIRECT(ADDRESS(22,ROW()-31,1)),M$3:M$22),"")</f>
        <v>4</v>
      </c>
      <c r="N58">
        <f ca="1">IF(AND(((COLUMN()-10)&lt;=playercnt),((ROW()-41)&lt;=playercnt)),SUMPRODUCT(INDIRECT(ADDRESS(3,ROW()-31,1)):INDIRECT(ADDRESS(22,ROW()-31,1)),N$3:N$22),"")</f>
        <v>8</v>
      </c>
      <c r="O58">
        <f ca="1">IF(AND(((COLUMN()-10)&lt;=playercnt),((ROW()-41)&lt;=playercnt)),SUMPRODUCT(INDIRECT(ADDRESS(3,ROW()-31,1)):INDIRECT(ADDRESS(22,ROW()-31,1)),O$3:O$22),"")</f>
        <v>2</v>
      </c>
      <c r="P58">
        <f ca="1">IF(AND(((COLUMN()-10)&lt;=playercnt),((ROW()-41)&lt;=playercnt)),SUMPRODUCT(INDIRECT(ADDRESS(3,ROW()-31,1)):INDIRECT(ADDRESS(22,ROW()-31,1)),P$3:P$22),"")</f>
        <v>5</v>
      </c>
      <c r="Q58">
        <f ca="1">IF(AND(((COLUMN()-10)&lt;=playercnt),((ROW()-41)&lt;=playercnt)),SUMPRODUCT(INDIRECT(ADDRESS(3,ROW()-31,1)):INDIRECT(ADDRESS(22,ROW()-31,1)),Q$3:Q$22),"")</f>
        <v>3</v>
      </c>
      <c r="R58">
        <f ca="1">IF(AND(((COLUMN()-10)&lt;=playercnt),((ROW()-41)&lt;=playercnt)),SUMPRODUCT(INDIRECT(ADDRESS(3,ROW()-31,1)):INDIRECT(ADDRESS(22,ROW()-31,1)),R$3:R$22),"")</f>
        <v>5</v>
      </c>
      <c r="S58">
        <f ca="1">IF(AND(((COLUMN()-10)&lt;=playercnt),((ROW()-41)&lt;=playercnt)),SUMPRODUCT(INDIRECT(ADDRESS(3,ROW()-31,1)):INDIRECT(ADDRESS(22,ROW()-31,1)),S$3:S$22),"")</f>
        <v>5</v>
      </c>
      <c r="T58">
        <f ca="1">IF(AND(((COLUMN()-10)&lt;=playercnt),((ROW()-41)&lt;=playercnt)),SUMPRODUCT(INDIRECT(ADDRESS(3,ROW()-31,1)):INDIRECT(ADDRESS(22,ROW()-31,1)),T$3:T$22),"")</f>
        <v>5</v>
      </c>
      <c r="U58">
        <f ca="1">IF(AND(((COLUMN()-10)&lt;=playercnt),((ROW()-41)&lt;=playercnt)),SUMPRODUCT(INDIRECT(ADDRESS(3,ROW()-31,1)):INDIRECT(ADDRESS(22,ROW()-31,1)),U$3:U$22),"")</f>
        <v>6</v>
      </c>
      <c r="V58">
        <f ca="1">IF(AND(((COLUMN()-10)&lt;=playercnt),((ROW()-41)&lt;=playercnt)),SUMPRODUCT(INDIRECT(ADDRESS(3,ROW()-31,1)):INDIRECT(ADDRESS(22,ROW()-31,1)),V$3:V$22),"")</f>
        <v>5</v>
      </c>
      <c r="W58">
        <f ca="1">IF(AND(((COLUMN()-10)&lt;=playercnt),((ROW()-41)&lt;=playercnt)),SUMPRODUCT(INDIRECT(ADDRESS(3,ROW()-31,1)):INDIRECT(ADDRESS(22,ROW()-31,1)),W$3:W$22),"")</f>
        <v>5</v>
      </c>
      <c r="X58">
        <f ca="1">IF(AND(((COLUMN()-10)&lt;=playercnt),((ROW()-41)&lt;=playercnt)),SUMPRODUCT(INDIRECT(ADDRESS(3,ROW()-31,1)):INDIRECT(ADDRESS(22,ROW()-31,1)),X$3:X$22),"")</f>
        <v>7</v>
      </c>
      <c r="Y58">
        <f ca="1">IF(AND(((COLUMN()-10)&lt;=playercnt),((ROW()-41)&lt;=playercnt)),SUMPRODUCT(INDIRECT(ADDRESS(3,ROW()-31,1)):INDIRECT(ADDRESS(22,ROW()-31,1)),Y$3:Y$22),"")</f>
        <v>2</v>
      </c>
      <c r="Z58">
        <f ca="1">IF(AND(((COLUMN()-10)&lt;=playercnt),((ROW()-41)&lt;=playercnt)),SUMPRODUCT(INDIRECT(ADDRESS(3,ROW()-31,1)):INDIRECT(ADDRESS(22,ROW()-31,1)),Z$3:Z$22),"")</f>
        <v>4</v>
      </c>
      <c r="AA58">
        <f ca="1">IF(AND(((COLUMN()-10)&lt;=playercnt),((ROW()-41)&lt;=playercnt)),SUMPRODUCT(INDIRECT(ADDRESS(3,ROW()-31,1)):INDIRECT(ADDRESS(22,ROW()-31,1)),AA$3:AA$22),"")</f>
        <v>10</v>
      </c>
      <c r="AB58">
        <f ca="1">IF(AND(((COLUMN()-10)&lt;=playercnt),((ROW()-41)&lt;=playercnt)),SUMPRODUCT(INDIRECT(ADDRESS(3,ROW()-31,1)):INDIRECT(ADDRESS(22,ROW()-31,1)),AB$3:AB$22),"")</f>
        <v>6</v>
      </c>
      <c r="AC58">
        <f ca="1">IF(AND(((COLUMN()-10)&lt;=playercnt),((ROW()-41)&lt;=playercnt)),SUMPRODUCT(INDIRECT(ADDRESS(3,ROW()-31,1)):INDIRECT(ADDRESS(22,ROW()-31,1)),AC$3:AC$22),"")</f>
        <v>3</v>
      </c>
      <c r="AD58">
        <f ca="1">IF(AND(((COLUMN()-10)&lt;=playercnt),((ROW()-41)&lt;=playercnt)),SUMPRODUCT(INDIRECT(ADDRESS(3,ROW()-31,1)):INDIRECT(ADDRESS(22,ROW()-31,1)),AD$3:AD$22),"")</f>
        <v>6</v>
      </c>
      <c r="AE58">
        <f ca="1">IF(AND(((COLUMN()-10)&lt;=playercnt),((ROW()-41)&lt;=playercnt)),SUMPRODUCT(INDIRECT(ADDRESS(3,ROW()-31,1)):INDIRECT(ADDRESS(22,ROW()-31,1)),AE$3:AE$22),"")</f>
        <v>6</v>
      </c>
      <c r="AF58">
        <f ca="1">IF(AND(((COLUMN()-10)&lt;=playercnt),((ROW()-41)&lt;=playercnt)),SUMPRODUCT(INDIRECT(ADDRESS(3,ROW()-31,1)):INDIRECT(ADDRESS(22,ROW()-31,1)),AF$3:AF$22),"")</f>
        <v>6</v>
      </c>
      <c r="AG58">
        <f ca="1">IF(AND(((COLUMN()-10)&lt;=playercnt),((ROW()-41)&lt;=playercnt)),SUMPRODUCT(INDIRECT(ADDRESS(3,ROW()-31,1)):INDIRECT(ADDRESS(22,ROW()-31,1)),AG$3:AG$22),"")</f>
        <v>4</v>
      </c>
      <c r="AH58">
        <f ca="1">IF(AND(((COLUMN()-10)&lt;=playercnt),((ROW()-41)&lt;=playercnt)),SUMPRODUCT(INDIRECT(ADDRESS(3,ROW()-31,1)):INDIRECT(ADDRESS(22,ROW()-31,1)),AH$3:AH$22),"")</f>
        <v>4</v>
      </c>
      <c r="AI58">
        <f ca="1">IF(AND(((COLUMN()-10)&lt;=playercnt),((ROW()-41)&lt;=playercnt)),SUMPRODUCT(INDIRECT(ADDRESS(3,ROW()-31,1)):INDIRECT(ADDRESS(22,ROW()-31,1)),AI$3:AI$22),"")</f>
        <v>5</v>
      </c>
      <c r="AJ58">
        <f ca="1">IF(AND(((COLUMN()-10)&lt;=playercnt),((ROW()-41)&lt;=playercnt)),SUMPRODUCT(INDIRECT(ADDRESS(3,ROW()-31,1)):INDIRECT(ADDRESS(22,ROW()-31,1)),AJ$3:AJ$22),"")</f>
        <v>4</v>
      </c>
      <c r="AK58">
        <f ca="1">IF(AND(((COLUMN()-10)&lt;=playercnt),((ROW()-41)&lt;=playercnt)),SUMPRODUCT(INDIRECT(ADDRESS(3,ROW()-31,1)):INDIRECT(ADDRESS(22,ROW()-31,1)),AK$3:AK$22),"")</f>
        <v>2</v>
      </c>
      <c r="AL58">
        <f ca="1">IF(AND(((COLUMN()-10)&lt;=playercnt),((ROW()-41)&lt;=playercnt)),SUMPRODUCT(INDIRECT(ADDRESS(3,ROW()-31,1)):INDIRECT(ADDRESS(22,ROW()-31,1)),AL$3:AL$22),"")</f>
        <v>4</v>
      </c>
      <c r="AM58">
        <f ca="1">IF(AND(((COLUMN()-10)&lt;=playercnt),((ROW()-41)&lt;=playercnt)),SUMPRODUCT(INDIRECT(ADDRESS(3,ROW()-31,1)):INDIRECT(ADDRESS(22,ROW()-31,1)),AM$3:AM$22),"")</f>
        <v>5</v>
      </c>
      <c r="AN58">
        <f ca="1">IF(AND(((COLUMN()-10)&lt;=playercnt),((ROW()-41)&lt;=playercnt)),SUMPRODUCT(INDIRECT(ADDRESS(3,ROW()-31,1)):INDIRECT(ADDRESS(22,ROW()-31,1)),AN$3:AN$22),"")</f>
        <v>4</v>
      </c>
      <c r="AO58">
        <f ca="1">IF(AND(((COLUMN()-10)&lt;=playercnt),((ROW()-41)&lt;=playercnt)),SUMPRODUCT(INDIRECT(ADDRESS(3,ROW()-31,1)):INDIRECT(ADDRESS(22,ROW()-31,1)),AO$3:AO$22),"")</f>
        <v>2</v>
      </c>
      <c r="AP58">
        <f ca="1">IF(AND(((COLUMN()-10)&lt;=playercnt),((ROW()-41)&lt;=playercnt)),SUMPRODUCT(INDIRECT(ADDRESS(3,ROW()-31,1)):INDIRECT(ADDRESS(22,ROW()-31,1)),AP$3:AP$22),"")</f>
        <v>5</v>
      </c>
      <c r="AQ58">
        <f ca="1">IF(AND(((COLUMN()-10)&lt;=playercnt),((ROW()-41)&lt;=playercnt)),SUMPRODUCT(INDIRECT(ADDRESS(3,ROW()-31,1)):INDIRECT(ADDRESS(22,ROW()-31,1)),AQ$3:AQ$22),"")</f>
        <v>5</v>
      </c>
      <c r="AR58">
        <f ca="1">IF(AND(((COLUMN()-10)&lt;=playercnt),((ROW()-41)&lt;=playercnt)),SUMPRODUCT(INDIRECT(ADDRESS(3,ROW()-31,1)):INDIRECT(ADDRESS(22,ROW()-31,1)),AR$3:AR$22),"")</f>
        <v>4</v>
      </c>
      <c r="AS58">
        <f ca="1">IF(AND(((COLUMN()-10)&lt;=playercnt),((ROW()-41)&lt;=playercnt)),SUMPRODUCT(INDIRECT(ADDRESS(3,ROW()-31,1)):INDIRECT(ADDRESS(22,ROW()-31,1)),AS$3:AS$22),"")</f>
        <v>6</v>
      </c>
      <c r="AT58">
        <f ca="1">IF(AND(((COLUMN()-10)&lt;=playercnt),((ROW()-41)&lt;=playercnt)),SUMPRODUCT(INDIRECT(ADDRESS(3,ROW()-31,1)):INDIRECT(ADDRESS(22,ROW()-31,1)),AT$3:AT$22),"")</f>
        <v>3</v>
      </c>
      <c r="AU58">
        <f ca="1">IF(AND(((COLUMN()-10)&lt;=playercnt),((ROW()-41)&lt;=playercnt)),SUMPRODUCT(INDIRECT(ADDRESS(3,ROW()-31,1)):INDIRECT(ADDRESS(22,ROW()-31,1)),AU$3:AU$22),"")</f>
        <v>5</v>
      </c>
      <c r="AV58">
        <f ca="1">IF(AND(((COLUMN()-10)&lt;=playercnt),((ROW()-41)&lt;=playercnt)),SUMPRODUCT(INDIRECT(ADDRESS(3,ROW()-31,1)):INDIRECT(ADDRESS(22,ROW()-31,1)),AV$3:AV$22),"")</f>
        <v>7</v>
      </c>
      <c r="AW58">
        <f ca="1">IF(AND(((COLUMN()-10)&lt;=playercnt),((ROW()-41)&lt;=playercnt)),SUMPRODUCT(INDIRECT(ADDRESS(3,ROW()-31,1)):INDIRECT(ADDRESS(22,ROW()-31,1)),AW$3:AW$22),"")</f>
        <v>7</v>
      </c>
      <c r="AX58">
        <f ca="1">IF(AND(((COLUMN()-10)&lt;=playercnt),((ROW()-41)&lt;=playercnt)),SUMPRODUCT(INDIRECT(ADDRESS(3,ROW()-31,1)):INDIRECT(ADDRESS(22,ROW()-31,1)),AX$3:AX$22),"")</f>
        <v>3</v>
      </c>
      <c r="AY58">
        <f ca="1">IF(AND(((COLUMN()-10)&lt;=playercnt),((ROW()-41)&lt;=playercnt)),SUMPRODUCT(INDIRECT(ADDRESS(3,ROW()-31,1)):INDIRECT(ADDRESS(22,ROW()-31,1)),AY$3:AY$22),"")</f>
        <v>3</v>
      </c>
      <c r="AZ58">
        <f ca="1">IF(AND(((COLUMN()-10)&lt;=playercnt),((ROW()-41)&lt;=playercnt)),SUMPRODUCT(INDIRECT(ADDRESS(3,ROW()-31,1)):INDIRECT(ADDRESS(22,ROW()-31,1)),AZ$3:AZ$22),"")</f>
        <v>4</v>
      </c>
      <c r="BA58">
        <f ca="1">IF(AND(((COLUMN()-10)&lt;=playercnt),((ROW()-41)&lt;=playercnt)),SUMPRODUCT(INDIRECT(ADDRESS(3,ROW()-31,1)):INDIRECT(ADDRESS(22,ROW()-31,1)),BA$3:BA$22),"")</f>
        <v>5</v>
      </c>
      <c r="BB58">
        <f ca="1">IF(AND(((COLUMN()-10)&lt;=playercnt),((ROW()-41)&lt;=playercnt)),SUMPRODUCT(INDIRECT(ADDRESS(3,ROW()-31,1)):INDIRECT(ADDRESS(22,ROW()-31,1)),BB$3:BB$22),"")</f>
        <v>4</v>
      </c>
      <c r="BC58">
        <f ca="1">IF(AND(((COLUMN()-10)&lt;=playercnt),((ROW()-41)&lt;=playercnt)),SUMPRODUCT(INDIRECT(ADDRESS(3,ROW()-31,1)):INDIRECT(ADDRESS(22,ROW()-31,1)),BC$3:BC$22),"")</f>
        <v>6</v>
      </c>
      <c r="BD58">
        <f ca="1">IF(AND(((COLUMN()-10)&lt;=playercnt),((ROW()-41)&lt;=playercnt)),SUMPRODUCT(INDIRECT(ADDRESS(3,ROW()-31,1)):INDIRECT(ADDRESS(22,ROW()-31,1)),BD$3:BD$22),"")</f>
        <v>7</v>
      </c>
      <c r="BE58">
        <f ca="1">IF(AND(((COLUMN()-10)&lt;=playercnt),((ROW()-41)&lt;=playercnt)),SUMPRODUCT(INDIRECT(ADDRESS(3,ROW()-31,1)):INDIRECT(ADDRESS(22,ROW()-31,1)),BE$3:BE$22),"")</f>
        <v>2</v>
      </c>
      <c r="BF58">
        <f ca="1">IF(AND(((COLUMN()-10)&lt;=playercnt),((ROW()-41)&lt;=playercnt)),SUMPRODUCT(INDIRECT(ADDRESS(3,ROW()-31,1)):INDIRECT(ADDRESS(22,ROW()-31,1)),BF$3:BF$22),"")</f>
        <v>6</v>
      </c>
      <c r="BG58">
        <f ca="1">IF(AND(((COLUMN()-10)&lt;=playercnt),((ROW()-41)&lt;=playercnt)),SUMPRODUCT(INDIRECT(ADDRESS(3,ROW()-31,1)):INDIRECT(ADDRESS(22,ROW()-31,1)),BG$3:BG$22),"")</f>
        <v>7</v>
      </c>
      <c r="BH58">
        <f ca="1">IF(AND(((COLUMN()-10)&lt;=playercnt),((ROW()-41)&lt;=playercnt)),SUMPRODUCT(INDIRECT(ADDRESS(3,ROW()-31,1)):INDIRECT(ADDRESS(22,ROW()-31,1)),BH$3:BH$22),"")</f>
        <v>8</v>
      </c>
      <c r="BI58">
        <f ca="1">IF(AND(((COLUMN()-10)&lt;=playercnt),((ROW()-41)&lt;=playercnt)),SUMPRODUCT(INDIRECT(ADDRESS(3,ROW()-31,1)):INDIRECT(ADDRESS(22,ROW()-31,1)),BI$3:BI$22),"")</f>
        <v>5</v>
      </c>
      <c r="BJ58">
        <f ca="1">IF(AND(((COLUMN()-10)&lt;=playercnt),((ROW()-41)&lt;=playercnt)),SUMPRODUCT(INDIRECT(ADDRESS(3,ROW()-31,1)):INDIRECT(ADDRESS(22,ROW()-31,1)),BJ$3:BJ$22),"")</f>
        <v>3</v>
      </c>
      <c r="BK58">
        <f ca="1">IF(AND(((COLUMN()-10)&lt;=playercnt),((ROW()-41)&lt;=playercnt)),SUMPRODUCT(INDIRECT(ADDRESS(3,ROW()-31,1)):INDIRECT(ADDRESS(22,ROW()-31,1)),BK$3:BK$22),"")</f>
        <v>4</v>
      </c>
      <c r="BL58">
        <f ca="1">IF(AND(((COLUMN()-10)&lt;=playercnt),((ROW()-41)&lt;=playercnt)),SUMPRODUCT(INDIRECT(ADDRESS(3,ROW()-31,1)):INDIRECT(ADDRESS(22,ROW()-31,1)),BL$3:BL$22),"")</f>
        <v>4</v>
      </c>
      <c r="BM58">
        <f ca="1">IF(AND(((COLUMN()-10)&lt;=playercnt),((ROW()-41)&lt;=playercnt)),SUMPRODUCT(INDIRECT(ADDRESS(3,ROW()-31,1)):INDIRECT(ADDRESS(22,ROW()-31,1)),BM$3:BM$22),"")</f>
        <v>4</v>
      </c>
      <c r="BN58">
        <f ca="1">IF(AND(((COLUMN()-10)&lt;=playercnt),((ROW()-41)&lt;=playercnt)),SUMPRODUCT(INDIRECT(ADDRESS(3,ROW()-31,1)):INDIRECT(ADDRESS(22,ROW()-31,1)),BN$3:BN$22),"")</f>
        <v>6</v>
      </c>
    </row>
    <row r="59" spans="1:66">
      <c r="B59" s="27">
        <f t="shared" ca="1" si="23"/>
        <v>5.4727272727272727</v>
      </c>
      <c r="C59" t="str">
        <f t="shared" ca="1" si="24"/>
        <v>Hendrick, Matt R</v>
      </c>
      <c r="G59">
        <f ca="1">IF(AND(((COLUMN()-10)&lt;=playercnt),((ROW()-41)&lt;=playercnt)),SUMPRODUCT(INDIRECT(ADDRESS(3,ROW()-31,1)):INDIRECT(ADDRESS(22,ROW()-31,1)),G$3:G$22),"")</f>
        <v>3</v>
      </c>
      <c r="H59">
        <f ca="1">IF(AND(((COLUMN()-10)&lt;=playercnt),((ROW()-41)&lt;=playercnt)),SUMPRODUCT(INDIRECT(ADDRESS(3,ROW()-31,1)):INDIRECT(ADDRESS(22,ROW()-31,1)),H$3:H$22),"")</f>
        <v>6</v>
      </c>
      <c r="I59">
        <f ca="1">IF(AND(((COLUMN()-10)&lt;=playercnt),((ROW()-41)&lt;=playercnt)),SUMPRODUCT(INDIRECT(ADDRESS(3,ROW()-31,1)):INDIRECT(ADDRESS(22,ROW()-31,1)),I$3:I$22),"")</f>
        <v>6</v>
      </c>
      <c r="J59">
        <f ca="1">IF(AND(((COLUMN()-10)&lt;=playercnt),((ROW()-41)&lt;=playercnt)),SUMPRODUCT(INDIRECT(ADDRESS(3,ROW()-31,1)):INDIRECT(ADDRESS(22,ROW()-31,1)),J$3:J$22),"")</f>
        <v>0</v>
      </c>
      <c r="K59">
        <f ca="1">IF(AND(((COLUMN()-10)&lt;=playercnt),((ROW()-41)&lt;=playercnt)),SUMPRODUCT(INDIRECT(ADDRESS(3,ROW()-31,1)):INDIRECT(ADDRESS(22,ROW()-31,1)),K$3:K$22),"")</f>
        <v>5</v>
      </c>
      <c r="L59">
        <f ca="1">IF(AND(((COLUMN()-10)&lt;=playercnt),((ROW()-41)&lt;=playercnt)),SUMPRODUCT(INDIRECT(ADDRESS(3,ROW()-31,1)):INDIRECT(ADDRESS(22,ROW()-31,1)),L$3:L$22),"")</f>
        <v>4</v>
      </c>
      <c r="M59">
        <f ca="1">IF(AND(((COLUMN()-10)&lt;=playercnt),((ROW()-41)&lt;=playercnt)),SUMPRODUCT(INDIRECT(ADDRESS(3,ROW()-31,1)):INDIRECT(ADDRESS(22,ROW()-31,1)),M$3:M$22),"")</f>
        <v>6</v>
      </c>
      <c r="N59">
        <f ca="1">IF(AND(((COLUMN()-10)&lt;=playercnt),((ROW()-41)&lt;=playercnt)),SUMPRODUCT(INDIRECT(ADDRESS(3,ROW()-31,1)):INDIRECT(ADDRESS(22,ROW()-31,1)),N$3:N$22),"")</f>
        <v>6</v>
      </c>
      <c r="O59">
        <f ca="1">IF(AND(((COLUMN()-10)&lt;=playercnt),((ROW()-41)&lt;=playercnt)),SUMPRODUCT(INDIRECT(ADDRESS(3,ROW()-31,1)):INDIRECT(ADDRESS(22,ROW()-31,1)),O$3:O$22),"")</f>
        <v>4</v>
      </c>
      <c r="P59">
        <f ca="1">IF(AND(((COLUMN()-10)&lt;=playercnt),((ROW()-41)&lt;=playercnt)),SUMPRODUCT(INDIRECT(ADDRESS(3,ROW()-31,1)):INDIRECT(ADDRESS(22,ROW()-31,1)),P$3:P$22),"")</f>
        <v>5</v>
      </c>
      <c r="Q59">
        <f ca="1">IF(AND(((COLUMN()-10)&lt;=playercnt),((ROW()-41)&lt;=playercnt)),SUMPRODUCT(INDIRECT(ADDRESS(3,ROW()-31,1)):INDIRECT(ADDRESS(22,ROW()-31,1)),Q$3:Q$22),"")</f>
        <v>7</v>
      </c>
      <c r="R59">
        <f ca="1">IF(AND(((COLUMN()-10)&lt;=playercnt),((ROW()-41)&lt;=playercnt)),SUMPRODUCT(INDIRECT(ADDRESS(3,ROW()-31,1)):INDIRECT(ADDRESS(22,ROW()-31,1)),R$3:R$22),"")</f>
        <v>7</v>
      </c>
      <c r="S59">
        <f ca="1">IF(AND(((COLUMN()-10)&lt;=playercnt),((ROW()-41)&lt;=playercnt)),SUMPRODUCT(INDIRECT(ADDRESS(3,ROW()-31,1)):INDIRECT(ADDRESS(22,ROW()-31,1)),S$3:S$22),"")</f>
        <v>5</v>
      </c>
      <c r="T59">
        <f ca="1">IF(AND(((COLUMN()-10)&lt;=playercnt),((ROW()-41)&lt;=playercnt)),SUMPRODUCT(INDIRECT(ADDRESS(3,ROW()-31,1)):INDIRECT(ADDRESS(22,ROW()-31,1)),T$3:T$22),"")</f>
        <v>3</v>
      </c>
      <c r="U59">
        <f ca="1">IF(AND(((COLUMN()-10)&lt;=playercnt),((ROW()-41)&lt;=playercnt)),SUMPRODUCT(INDIRECT(ADDRESS(3,ROW()-31,1)):INDIRECT(ADDRESS(22,ROW()-31,1)),U$3:U$22),"")</f>
        <v>8</v>
      </c>
      <c r="V59">
        <f ca="1">IF(AND(((COLUMN()-10)&lt;=playercnt),((ROW()-41)&lt;=playercnt)),SUMPRODUCT(INDIRECT(ADDRESS(3,ROW()-31,1)):INDIRECT(ADDRESS(22,ROW()-31,1)),V$3:V$22),"")</f>
        <v>3</v>
      </c>
      <c r="W59">
        <f ca="1">IF(AND(((COLUMN()-10)&lt;=playercnt),((ROW()-41)&lt;=playercnt)),SUMPRODUCT(INDIRECT(ADDRESS(3,ROW()-31,1)):INDIRECT(ADDRESS(22,ROW()-31,1)),W$3:W$22),"")</f>
        <v>3</v>
      </c>
      <c r="X59">
        <f ca="1">IF(AND(((COLUMN()-10)&lt;=playercnt),((ROW()-41)&lt;=playercnt)),SUMPRODUCT(INDIRECT(ADDRESS(3,ROW()-31,1)):INDIRECT(ADDRESS(22,ROW()-31,1)),X$3:X$22),"")</f>
        <v>5</v>
      </c>
      <c r="Y59">
        <f ca="1">IF(AND(((COLUMN()-10)&lt;=playercnt),((ROW()-41)&lt;=playercnt)),SUMPRODUCT(INDIRECT(ADDRESS(3,ROW()-31,1)):INDIRECT(ADDRESS(22,ROW()-31,1)),Y$3:Y$22),"")</f>
        <v>6</v>
      </c>
      <c r="Z59">
        <f ca="1">IF(AND(((COLUMN()-10)&lt;=playercnt),((ROW()-41)&lt;=playercnt)),SUMPRODUCT(INDIRECT(ADDRESS(3,ROW()-31,1)):INDIRECT(ADDRESS(22,ROW()-31,1)),Z$3:Z$22),"")</f>
        <v>4</v>
      </c>
      <c r="AA59">
        <f ca="1">IF(AND(((COLUMN()-10)&lt;=playercnt),((ROW()-41)&lt;=playercnt)),SUMPRODUCT(INDIRECT(ADDRESS(3,ROW()-31,1)):INDIRECT(ADDRESS(22,ROW()-31,1)),AA$3:AA$22),"")</f>
        <v>6</v>
      </c>
      <c r="AB59">
        <f ca="1">IF(AND(((COLUMN()-10)&lt;=playercnt),((ROW()-41)&lt;=playercnt)),SUMPRODUCT(INDIRECT(ADDRESS(3,ROW()-31,1)):INDIRECT(ADDRESS(22,ROW()-31,1)),AB$3:AB$22),"")</f>
        <v>10</v>
      </c>
      <c r="AC59">
        <f ca="1">IF(AND(((COLUMN()-10)&lt;=playercnt),((ROW()-41)&lt;=playercnt)),SUMPRODUCT(INDIRECT(ADDRESS(3,ROW()-31,1)):INDIRECT(ADDRESS(22,ROW()-31,1)),AC$3:AC$22),"")</f>
        <v>7</v>
      </c>
      <c r="AD59">
        <f ca="1">IF(AND(((COLUMN()-10)&lt;=playercnt),((ROW()-41)&lt;=playercnt)),SUMPRODUCT(INDIRECT(ADDRESS(3,ROW()-31,1)):INDIRECT(ADDRESS(22,ROW()-31,1)),AD$3:AD$22),"")</f>
        <v>6</v>
      </c>
      <c r="AE59">
        <f ca="1">IF(AND(((COLUMN()-10)&lt;=playercnt),((ROW()-41)&lt;=playercnt)),SUMPRODUCT(INDIRECT(ADDRESS(3,ROW()-31,1)):INDIRECT(ADDRESS(22,ROW()-31,1)),AE$3:AE$22),"")</f>
        <v>6</v>
      </c>
      <c r="AF59">
        <f ca="1">IF(AND(((COLUMN()-10)&lt;=playercnt),((ROW()-41)&lt;=playercnt)),SUMPRODUCT(INDIRECT(ADDRESS(3,ROW()-31,1)):INDIRECT(ADDRESS(22,ROW()-31,1)),AF$3:AF$22),"")</f>
        <v>4</v>
      </c>
      <c r="AG59">
        <f ca="1">IF(AND(((COLUMN()-10)&lt;=playercnt),((ROW()-41)&lt;=playercnt)),SUMPRODUCT(INDIRECT(ADDRESS(3,ROW()-31,1)):INDIRECT(ADDRESS(22,ROW()-31,1)),AG$3:AG$22),"")</f>
        <v>6</v>
      </c>
      <c r="AH59">
        <f ca="1">IF(AND(((COLUMN()-10)&lt;=playercnt),((ROW()-41)&lt;=playercnt)),SUMPRODUCT(INDIRECT(ADDRESS(3,ROW()-31,1)):INDIRECT(ADDRESS(22,ROW()-31,1)),AH$3:AH$22),"")</f>
        <v>4</v>
      </c>
      <c r="AI59">
        <f ca="1">IF(AND(((COLUMN()-10)&lt;=playercnt),((ROW()-41)&lt;=playercnt)),SUMPRODUCT(INDIRECT(ADDRESS(3,ROW()-31,1)):INDIRECT(ADDRESS(22,ROW()-31,1)),AI$3:AI$22),"")</f>
        <v>7</v>
      </c>
      <c r="AJ59">
        <f ca="1">IF(AND(((COLUMN()-10)&lt;=playercnt),((ROW()-41)&lt;=playercnt)),SUMPRODUCT(INDIRECT(ADDRESS(3,ROW()-31,1)):INDIRECT(ADDRESS(22,ROW()-31,1)),AJ$3:AJ$22),"")</f>
        <v>4</v>
      </c>
      <c r="AK59">
        <f ca="1">IF(AND(((COLUMN()-10)&lt;=playercnt),((ROW()-41)&lt;=playercnt)),SUMPRODUCT(INDIRECT(ADDRESS(3,ROW()-31,1)):INDIRECT(ADDRESS(22,ROW()-31,1)),AK$3:AK$22),"")</f>
        <v>6</v>
      </c>
      <c r="AL59">
        <f ca="1">IF(AND(((COLUMN()-10)&lt;=playercnt),((ROW()-41)&lt;=playercnt)),SUMPRODUCT(INDIRECT(ADDRESS(3,ROW()-31,1)):INDIRECT(ADDRESS(22,ROW()-31,1)),AL$3:AL$22),"")</f>
        <v>4</v>
      </c>
      <c r="AM59">
        <f ca="1">IF(AND(((COLUMN()-10)&lt;=playercnt),((ROW()-41)&lt;=playercnt)),SUMPRODUCT(INDIRECT(ADDRESS(3,ROW()-31,1)):INDIRECT(ADDRESS(22,ROW()-31,1)),AM$3:AM$22),"")</f>
        <v>7</v>
      </c>
      <c r="AN59">
        <f ca="1">IF(AND(((COLUMN()-10)&lt;=playercnt),((ROW()-41)&lt;=playercnt)),SUMPRODUCT(INDIRECT(ADDRESS(3,ROW()-31,1)):INDIRECT(ADDRESS(22,ROW()-31,1)),AN$3:AN$22),"")</f>
        <v>6</v>
      </c>
      <c r="AO59">
        <f ca="1">IF(AND(((COLUMN()-10)&lt;=playercnt),((ROW()-41)&lt;=playercnt)),SUMPRODUCT(INDIRECT(ADDRESS(3,ROW()-31,1)):INDIRECT(ADDRESS(22,ROW()-31,1)),AO$3:AO$22),"")</f>
        <v>4</v>
      </c>
      <c r="AP59">
        <f ca="1">IF(AND(((COLUMN()-10)&lt;=playercnt),((ROW()-41)&lt;=playercnt)),SUMPRODUCT(INDIRECT(ADDRESS(3,ROW()-31,1)):INDIRECT(ADDRESS(22,ROW()-31,1)),AP$3:AP$22),"")</f>
        <v>7</v>
      </c>
      <c r="AQ59">
        <f ca="1">IF(AND(((COLUMN()-10)&lt;=playercnt),((ROW()-41)&lt;=playercnt)),SUMPRODUCT(INDIRECT(ADDRESS(3,ROW()-31,1)):INDIRECT(ADDRESS(22,ROW()-31,1)),AQ$3:AQ$22),"")</f>
        <v>5</v>
      </c>
      <c r="AR59">
        <f ca="1">IF(AND(((COLUMN()-10)&lt;=playercnt),((ROW()-41)&lt;=playercnt)),SUMPRODUCT(INDIRECT(ADDRESS(3,ROW()-31,1)):INDIRECT(ADDRESS(22,ROW()-31,1)),AR$3:AR$22),"")</f>
        <v>8</v>
      </c>
      <c r="AS59">
        <f ca="1">IF(AND(((COLUMN()-10)&lt;=playercnt),((ROW()-41)&lt;=playercnt)),SUMPRODUCT(INDIRECT(ADDRESS(3,ROW()-31,1)):INDIRECT(ADDRESS(22,ROW()-31,1)),AS$3:AS$22),"")</f>
        <v>6</v>
      </c>
      <c r="AT59">
        <f ca="1">IF(AND(((COLUMN()-10)&lt;=playercnt),((ROW()-41)&lt;=playercnt)),SUMPRODUCT(INDIRECT(ADDRESS(3,ROW()-31,1)):INDIRECT(ADDRESS(22,ROW()-31,1)),AT$3:AT$22),"")</f>
        <v>5</v>
      </c>
      <c r="AU59">
        <f ca="1">IF(AND(((COLUMN()-10)&lt;=playercnt),((ROW()-41)&lt;=playercnt)),SUMPRODUCT(INDIRECT(ADDRESS(3,ROW()-31,1)):INDIRECT(ADDRESS(22,ROW()-31,1)),AU$3:AU$22),"")</f>
        <v>5</v>
      </c>
      <c r="AV59">
        <f ca="1">IF(AND(((COLUMN()-10)&lt;=playercnt),((ROW()-41)&lt;=playercnt)),SUMPRODUCT(INDIRECT(ADDRESS(3,ROW()-31,1)):INDIRECT(ADDRESS(22,ROW()-31,1)),AV$3:AV$22),"")</f>
        <v>5</v>
      </c>
      <c r="AW59">
        <f ca="1">IF(AND(((COLUMN()-10)&lt;=playercnt),((ROW()-41)&lt;=playercnt)),SUMPRODUCT(INDIRECT(ADDRESS(3,ROW()-31,1)):INDIRECT(ADDRESS(22,ROW()-31,1)),AW$3:AW$22),"")</f>
        <v>5</v>
      </c>
      <c r="AX59">
        <f ca="1">IF(AND(((COLUMN()-10)&lt;=playercnt),((ROW()-41)&lt;=playercnt)),SUMPRODUCT(INDIRECT(ADDRESS(3,ROW()-31,1)):INDIRECT(ADDRESS(22,ROW()-31,1)),AX$3:AX$22),"")</f>
        <v>5</v>
      </c>
      <c r="AY59">
        <f ca="1">IF(AND(((COLUMN()-10)&lt;=playercnt),((ROW()-41)&lt;=playercnt)),SUMPRODUCT(INDIRECT(ADDRESS(3,ROW()-31,1)):INDIRECT(ADDRESS(22,ROW()-31,1)),AY$3:AY$22),"")</f>
        <v>5</v>
      </c>
      <c r="AZ59">
        <f ca="1">IF(AND(((COLUMN()-10)&lt;=playercnt),((ROW()-41)&lt;=playercnt)),SUMPRODUCT(INDIRECT(ADDRESS(3,ROW()-31,1)):INDIRECT(ADDRESS(22,ROW()-31,1)),AZ$3:AZ$22),"")</f>
        <v>4</v>
      </c>
      <c r="BA59">
        <f ca="1">IF(AND(((COLUMN()-10)&lt;=playercnt),((ROW()-41)&lt;=playercnt)),SUMPRODUCT(INDIRECT(ADDRESS(3,ROW()-31,1)):INDIRECT(ADDRESS(22,ROW()-31,1)),BA$3:BA$22),"")</f>
        <v>5</v>
      </c>
      <c r="BB59">
        <f ca="1">IF(AND(((COLUMN()-10)&lt;=playercnt),((ROW()-41)&lt;=playercnt)),SUMPRODUCT(INDIRECT(ADDRESS(3,ROW()-31,1)):INDIRECT(ADDRESS(22,ROW()-31,1)),BB$3:BB$22),"")</f>
        <v>6</v>
      </c>
      <c r="BC59">
        <f ca="1">IF(AND(((COLUMN()-10)&lt;=playercnt),((ROW()-41)&lt;=playercnt)),SUMPRODUCT(INDIRECT(ADDRESS(3,ROW()-31,1)):INDIRECT(ADDRESS(22,ROW()-31,1)),BC$3:BC$22),"")</f>
        <v>4</v>
      </c>
      <c r="BD59">
        <f ca="1">IF(AND(((COLUMN()-10)&lt;=playercnt),((ROW()-41)&lt;=playercnt)),SUMPRODUCT(INDIRECT(ADDRESS(3,ROW()-31,1)):INDIRECT(ADDRESS(22,ROW()-31,1)),BD$3:BD$22),"")</f>
        <v>7</v>
      </c>
      <c r="BE59">
        <f ca="1">IF(AND(((COLUMN()-10)&lt;=playercnt),((ROW()-41)&lt;=playercnt)),SUMPRODUCT(INDIRECT(ADDRESS(3,ROW()-31,1)):INDIRECT(ADDRESS(22,ROW()-31,1)),BE$3:BE$22),"")</f>
        <v>6</v>
      </c>
      <c r="BF59">
        <f ca="1">IF(AND(((COLUMN()-10)&lt;=playercnt),((ROW()-41)&lt;=playercnt)),SUMPRODUCT(INDIRECT(ADDRESS(3,ROW()-31,1)):INDIRECT(ADDRESS(22,ROW()-31,1)),BF$3:BF$22),"")</f>
        <v>10</v>
      </c>
      <c r="BG59">
        <f ca="1">IF(AND(((COLUMN()-10)&lt;=playercnt),((ROW()-41)&lt;=playercnt)),SUMPRODUCT(INDIRECT(ADDRESS(3,ROW()-31,1)):INDIRECT(ADDRESS(22,ROW()-31,1)),BG$3:BG$22),"")</f>
        <v>7</v>
      </c>
      <c r="BH59">
        <f ca="1">IF(AND(((COLUMN()-10)&lt;=playercnt),((ROW()-41)&lt;=playercnt)),SUMPRODUCT(INDIRECT(ADDRESS(3,ROW()-31,1)):INDIRECT(ADDRESS(22,ROW()-31,1)),BH$3:BH$22),"")</f>
        <v>8</v>
      </c>
      <c r="BI59">
        <f ca="1">IF(AND(((COLUMN()-10)&lt;=playercnt),((ROW()-41)&lt;=playercnt)),SUMPRODUCT(INDIRECT(ADDRESS(3,ROW()-31,1)):INDIRECT(ADDRESS(22,ROW()-31,1)),BI$3:BI$22),"")</f>
        <v>3</v>
      </c>
      <c r="BJ59">
        <f ca="1">IF(AND(((COLUMN()-10)&lt;=playercnt),((ROW()-41)&lt;=playercnt)),SUMPRODUCT(INDIRECT(ADDRESS(3,ROW()-31,1)):INDIRECT(ADDRESS(22,ROW()-31,1)),BJ$3:BJ$22),"")</f>
        <v>7</v>
      </c>
      <c r="BK59">
        <f ca="1">IF(AND(((COLUMN()-10)&lt;=playercnt),((ROW()-41)&lt;=playercnt)),SUMPRODUCT(INDIRECT(ADDRESS(3,ROW()-31,1)):INDIRECT(ADDRESS(22,ROW()-31,1)),BK$3:BK$22),"")</f>
        <v>6</v>
      </c>
      <c r="BL59">
        <f ca="1">IF(AND(((COLUMN()-10)&lt;=playercnt),((ROW()-41)&lt;=playercnt)),SUMPRODUCT(INDIRECT(ADDRESS(3,ROW()-31,1)):INDIRECT(ADDRESS(22,ROW()-31,1)),BL$3:BL$22),"")</f>
        <v>6</v>
      </c>
      <c r="BM59">
        <f ca="1">IF(AND(((COLUMN()-10)&lt;=playercnt),((ROW()-41)&lt;=playercnt)),SUMPRODUCT(INDIRECT(ADDRESS(3,ROW()-31,1)):INDIRECT(ADDRESS(22,ROW()-31,1)),BM$3:BM$22),"")</f>
        <v>4</v>
      </c>
      <c r="BN59">
        <f ca="1">IF(AND(((COLUMN()-10)&lt;=playercnt),((ROW()-41)&lt;=playercnt)),SUMPRODUCT(INDIRECT(ADDRESS(3,ROW()-31,1)):INDIRECT(ADDRESS(22,ROW()-31,1)),BN$3:BN$22),"")</f>
        <v>4</v>
      </c>
    </row>
    <row r="60" spans="1:66">
      <c r="B60" s="27">
        <f t="shared" ca="1" si="23"/>
        <v>5.2181818181818178</v>
      </c>
      <c r="C60" t="str">
        <f t="shared" ca="1" si="24"/>
        <v>Holden, Brent Remote</v>
      </c>
      <c r="G60">
        <f ca="1">IF(AND(((COLUMN()-10)&lt;=playercnt),((ROW()-41)&lt;=playercnt)),SUMPRODUCT(INDIRECT(ADDRESS(3,ROW()-31,1)):INDIRECT(ADDRESS(22,ROW()-31,1)),G$3:G$22),"")</f>
        <v>4</v>
      </c>
      <c r="H60">
        <f ca="1">IF(AND(((COLUMN()-10)&lt;=playercnt),((ROW()-41)&lt;=playercnt)),SUMPRODUCT(INDIRECT(ADDRESS(3,ROW()-31,1)):INDIRECT(ADDRESS(22,ROW()-31,1)),H$3:H$22),"")</f>
        <v>5</v>
      </c>
      <c r="I60">
        <f ca="1">IF(AND(((COLUMN()-10)&lt;=playercnt),((ROW()-41)&lt;=playercnt)),SUMPRODUCT(INDIRECT(ADDRESS(3,ROW()-31,1)):INDIRECT(ADDRESS(22,ROW()-31,1)),I$3:I$22),"")</f>
        <v>7</v>
      </c>
      <c r="J60">
        <f ca="1">IF(AND(((COLUMN()-10)&lt;=playercnt),((ROW()-41)&lt;=playercnt)),SUMPRODUCT(INDIRECT(ADDRESS(3,ROW()-31,1)):INDIRECT(ADDRESS(22,ROW()-31,1)),J$3:J$22),"")</f>
        <v>0</v>
      </c>
      <c r="K60">
        <f ca="1">IF(AND(((COLUMN()-10)&lt;=playercnt),((ROW()-41)&lt;=playercnt)),SUMPRODUCT(INDIRECT(ADDRESS(3,ROW()-31,1)):INDIRECT(ADDRESS(22,ROW()-31,1)),K$3:K$22),"")</f>
        <v>8</v>
      </c>
      <c r="L60">
        <f ca="1">IF(AND(((COLUMN()-10)&lt;=playercnt),((ROW()-41)&lt;=playercnt)),SUMPRODUCT(INDIRECT(ADDRESS(3,ROW()-31,1)):INDIRECT(ADDRESS(22,ROW()-31,1)),L$3:L$22),"")</f>
        <v>5</v>
      </c>
      <c r="M60">
        <f ca="1">IF(AND(((COLUMN()-10)&lt;=playercnt),((ROW()-41)&lt;=playercnt)),SUMPRODUCT(INDIRECT(ADDRESS(3,ROW()-31,1)):INDIRECT(ADDRESS(22,ROW()-31,1)),M$3:M$22),"")</f>
        <v>7</v>
      </c>
      <c r="N60">
        <f ca="1">IF(AND(((COLUMN()-10)&lt;=playercnt),((ROW()-41)&lt;=playercnt)),SUMPRODUCT(INDIRECT(ADDRESS(3,ROW()-31,1)):INDIRECT(ADDRESS(22,ROW()-31,1)),N$3:N$22),"")</f>
        <v>5</v>
      </c>
      <c r="O60">
        <f ca="1">IF(AND(((COLUMN()-10)&lt;=playercnt),((ROW()-41)&lt;=playercnt)),SUMPRODUCT(INDIRECT(ADDRESS(3,ROW()-31,1)):INDIRECT(ADDRESS(22,ROW()-31,1)),O$3:O$22),"")</f>
        <v>7</v>
      </c>
      <c r="P60">
        <f ca="1">IF(AND(((COLUMN()-10)&lt;=playercnt),((ROW()-41)&lt;=playercnt)),SUMPRODUCT(INDIRECT(ADDRESS(3,ROW()-31,1)):INDIRECT(ADDRESS(22,ROW()-31,1)),P$3:P$22),"")</f>
        <v>2</v>
      </c>
      <c r="Q60">
        <f ca="1">IF(AND(((COLUMN()-10)&lt;=playercnt),((ROW()-41)&lt;=playercnt)),SUMPRODUCT(INDIRECT(ADDRESS(3,ROW()-31,1)):INDIRECT(ADDRESS(22,ROW()-31,1)),Q$3:Q$22),"")</f>
        <v>8</v>
      </c>
      <c r="R60">
        <f ca="1">IF(AND(((COLUMN()-10)&lt;=playercnt),((ROW()-41)&lt;=playercnt)),SUMPRODUCT(INDIRECT(ADDRESS(3,ROW()-31,1)):INDIRECT(ADDRESS(22,ROW()-31,1)),R$3:R$22),"")</f>
        <v>6</v>
      </c>
      <c r="S60">
        <f ca="1">IF(AND(((COLUMN()-10)&lt;=playercnt),((ROW()-41)&lt;=playercnt)),SUMPRODUCT(INDIRECT(ADDRESS(3,ROW()-31,1)):INDIRECT(ADDRESS(22,ROW()-31,1)),S$3:S$22),"")</f>
        <v>4</v>
      </c>
      <c r="T60">
        <f ca="1">IF(AND(((COLUMN()-10)&lt;=playercnt),((ROW()-41)&lt;=playercnt)),SUMPRODUCT(INDIRECT(ADDRESS(3,ROW()-31,1)):INDIRECT(ADDRESS(22,ROW()-31,1)),T$3:T$22),"")</f>
        <v>4</v>
      </c>
      <c r="U60">
        <f ca="1">IF(AND(((COLUMN()-10)&lt;=playercnt),((ROW()-41)&lt;=playercnt)),SUMPRODUCT(INDIRECT(ADDRESS(3,ROW()-31,1)):INDIRECT(ADDRESS(22,ROW()-31,1)),U$3:U$22),"")</f>
        <v>7</v>
      </c>
      <c r="V60">
        <f ca="1">IF(AND(((COLUMN()-10)&lt;=playercnt),((ROW()-41)&lt;=playercnt)),SUMPRODUCT(INDIRECT(ADDRESS(3,ROW()-31,1)):INDIRECT(ADDRESS(22,ROW()-31,1)),V$3:V$22),"")</f>
        <v>4</v>
      </c>
      <c r="W60">
        <f ca="1">IF(AND(((COLUMN()-10)&lt;=playercnt),((ROW()-41)&lt;=playercnt)),SUMPRODUCT(INDIRECT(ADDRESS(3,ROW()-31,1)):INDIRECT(ADDRESS(22,ROW()-31,1)),W$3:W$22),"")</f>
        <v>4</v>
      </c>
      <c r="X60">
        <f ca="1">IF(AND(((COLUMN()-10)&lt;=playercnt),((ROW()-41)&lt;=playercnt)),SUMPRODUCT(INDIRECT(ADDRESS(3,ROW()-31,1)):INDIRECT(ADDRESS(22,ROW()-31,1)),X$3:X$22),"")</f>
        <v>4</v>
      </c>
      <c r="Y60">
        <f ca="1">IF(AND(((COLUMN()-10)&lt;=playercnt),((ROW()-41)&lt;=playercnt)),SUMPRODUCT(INDIRECT(ADDRESS(3,ROW()-31,1)):INDIRECT(ADDRESS(22,ROW()-31,1)),Y$3:Y$22),"")</f>
        <v>9</v>
      </c>
      <c r="Z60">
        <f ca="1">IF(AND(((COLUMN()-10)&lt;=playercnt),((ROW()-41)&lt;=playercnt)),SUMPRODUCT(INDIRECT(ADDRESS(3,ROW()-31,1)):INDIRECT(ADDRESS(22,ROW()-31,1)),Z$3:Z$22),"")</f>
        <v>3</v>
      </c>
      <c r="AA60">
        <f ca="1">IF(AND(((COLUMN()-10)&lt;=playercnt),((ROW()-41)&lt;=playercnt)),SUMPRODUCT(INDIRECT(ADDRESS(3,ROW()-31,1)):INDIRECT(ADDRESS(22,ROW()-31,1)),AA$3:AA$22),"")</f>
        <v>3</v>
      </c>
      <c r="AB60">
        <f ca="1">IF(AND(((COLUMN()-10)&lt;=playercnt),((ROW()-41)&lt;=playercnt)),SUMPRODUCT(INDIRECT(ADDRESS(3,ROW()-31,1)):INDIRECT(ADDRESS(22,ROW()-31,1)),AB$3:AB$22),"")</f>
        <v>7</v>
      </c>
      <c r="AC60">
        <f ca="1">IF(AND(((COLUMN()-10)&lt;=playercnt),((ROW()-41)&lt;=playercnt)),SUMPRODUCT(INDIRECT(ADDRESS(3,ROW()-31,1)):INDIRECT(ADDRESS(22,ROW()-31,1)),AC$3:AC$22),"")</f>
        <v>10</v>
      </c>
      <c r="AD60">
        <f ca="1">IF(AND(((COLUMN()-10)&lt;=playercnt),((ROW()-41)&lt;=playercnt)),SUMPRODUCT(INDIRECT(ADDRESS(3,ROW()-31,1)):INDIRECT(ADDRESS(22,ROW()-31,1)),AD$3:AD$22),"")</f>
        <v>5</v>
      </c>
      <c r="AE60">
        <f ca="1">IF(AND(((COLUMN()-10)&lt;=playercnt),((ROW()-41)&lt;=playercnt)),SUMPRODUCT(INDIRECT(ADDRESS(3,ROW()-31,1)):INDIRECT(ADDRESS(22,ROW()-31,1)),AE$3:AE$22),"")</f>
        <v>5</v>
      </c>
      <c r="AF60">
        <f ca="1">IF(AND(((COLUMN()-10)&lt;=playercnt),((ROW()-41)&lt;=playercnt)),SUMPRODUCT(INDIRECT(ADDRESS(3,ROW()-31,1)):INDIRECT(ADDRESS(22,ROW()-31,1)),AF$3:AF$22),"")</f>
        <v>3</v>
      </c>
      <c r="AG60">
        <f ca="1">IF(AND(((COLUMN()-10)&lt;=playercnt),((ROW()-41)&lt;=playercnt)),SUMPRODUCT(INDIRECT(ADDRESS(3,ROW()-31,1)):INDIRECT(ADDRESS(22,ROW()-31,1)),AG$3:AG$22),"")</f>
        <v>7</v>
      </c>
      <c r="AH60">
        <f ca="1">IF(AND(((COLUMN()-10)&lt;=playercnt),((ROW()-41)&lt;=playercnt)),SUMPRODUCT(INDIRECT(ADDRESS(3,ROW()-31,1)):INDIRECT(ADDRESS(22,ROW()-31,1)),AH$3:AH$22),"")</f>
        <v>5</v>
      </c>
      <c r="AI60">
        <f ca="1">IF(AND(((COLUMN()-10)&lt;=playercnt),((ROW()-41)&lt;=playercnt)),SUMPRODUCT(INDIRECT(ADDRESS(3,ROW()-31,1)):INDIRECT(ADDRESS(22,ROW()-31,1)),AI$3:AI$22),"")</f>
        <v>6</v>
      </c>
      <c r="AJ60">
        <f ca="1">IF(AND(((COLUMN()-10)&lt;=playercnt),((ROW()-41)&lt;=playercnt)),SUMPRODUCT(INDIRECT(ADDRESS(3,ROW()-31,1)):INDIRECT(ADDRESS(22,ROW()-31,1)),AJ$3:AJ$22),"")</f>
        <v>5</v>
      </c>
      <c r="AK60">
        <f ca="1">IF(AND(((COLUMN()-10)&lt;=playercnt),((ROW()-41)&lt;=playercnt)),SUMPRODUCT(INDIRECT(ADDRESS(3,ROW()-31,1)):INDIRECT(ADDRESS(22,ROW()-31,1)),AK$3:AK$22),"")</f>
        <v>7</v>
      </c>
      <c r="AL60">
        <f ca="1">IF(AND(((COLUMN()-10)&lt;=playercnt),((ROW()-41)&lt;=playercnt)),SUMPRODUCT(INDIRECT(ADDRESS(3,ROW()-31,1)):INDIRECT(ADDRESS(22,ROW()-31,1)),AL$3:AL$22),"")</f>
        <v>3</v>
      </c>
      <c r="AM60">
        <f ca="1">IF(AND(((COLUMN()-10)&lt;=playercnt),((ROW()-41)&lt;=playercnt)),SUMPRODUCT(INDIRECT(ADDRESS(3,ROW()-31,1)):INDIRECT(ADDRESS(22,ROW()-31,1)),AM$3:AM$22),"")</f>
        <v>6</v>
      </c>
      <c r="AN60">
        <f ca="1">IF(AND(((COLUMN()-10)&lt;=playercnt),((ROW()-41)&lt;=playercnt)),SUMPRODUCT(INDIRECT(ADDRESS(3,ROW()-31,1)):INDIRECT(ADDRESS(22,ROW()-31,1)),AN$3:AN$22),"")</f>
        <v>7</v>
      </c>
      <c r="AO60">
        <f ca="1">IF(AND(((COLUMN()-10)&lt;=playercnt),((ROW()-41)&lt;=playercnt)),SUMPRODUCT(INDIRECT(ADDRESS(3,ROW()-31,1)):INDIRECT(ADDRESS(22,ROW()-31,1)),AO$3:AO$22),"")</f>
        <v>7</v>
      </c>
      <c r="AP60">
        <f ca="1">IF(AND(((COLUMN()-10)&lt;=playercnt),((ROW()-41)&lt;=playercnt)),SUMPRODUCT(INDIRECT(ADDRESS(3,ROW()-31,1)):INDIRECT(ADDRESS(22,ROW()-31,1)),AP$3:AP$22),"")</f>
        <v>4</v>
      </c>
      <c r="AQ60">
        <f ca="1">IF(AND(((COLUMN()-10)&lt;=playercnt),((ROW()-41)&lt;=playercnt)),SUMPRODUCT(INDIRECT(ADDRESS(3,ROW()-31,1)):INDIRECT(ADDRESS(22,ROW()-31,1)),AQ$3:AQ$22),"")</f>
        <v>4</v>
      </c>
      <c r="AR60">
        <f ca="1">IF(AND(((COLUMN()-10)&lt;=playercnt),((ROW()-41)&lt;=playercnt)),SUMPRODUCT(INDIRECT(ADDRESS(3,ROW()-31,1)):INDIRECT(ADDRESS(22,ROW()-31,1)),AR$3:AR$22),"")</f>
        <v>7</v>
      </c>
      <c r="AS60">
        <f ca="1">IF(AND(((COLUMN()-10)&lt;=playercnt),((ROW()-41)&lt;=playercnt)),SUMPRODUCT(INDIRECT(ADDRESS(3,ROW()-31,1)):INDIRECT(ADDRESS(22,ROW()-31,1)),AS$3:AS$22),"")</f>
        <v>5</v>
      </c>
      <c r="AT60">
        <f ca="1">IF(AND(((COLUMN()-10)&lt;=playercnt),((ROW()-41)&lt;=playercnt)),SUMPRODUCT(INDIRECT(ADDRESS(3,ROW()-31,1)):INDIRECT(ADDRESS(22,ROW()-31,1)),AT$3:AT$22),"")</f>
        <v>6</v>
      </c>
      <c r="AU60">
        <f ca="1">IF(AND(((COLUMN()-10)&lt;=playercnt),((ROW()-41)&lt;=playercnt)),SUMPRODUCT(INDIRECT(ADDRESS(3,ROW()-31,1)):INDIRECT(ADDRESS(22,ROW()-31,1)),AU$3:AU$22),"")</f>
        <v>4</v>
      </c>
      <c r="AV60">
        <f ca="1">IF(AND(((COLUMN()-10)&lt;=playercnt),((ROW()-41)&lt;=playercnt)),SUMPRODUCT(INDIRECT(ADDRESS(3,ROW()-31,1)):INDIRECT(ADDRESS(22,ROW()-31,1)),AV$3:AV$22),"")</f>
        <v>4</v>
      </c>
      <c r="AW60">
        <f ca="1">IF(AND(((COLUMN()-10)&lt;=playercnt),((ROW()-41)&lt;=playercnt)),SUMPRODUCT(INDIRECT(ADDRESS(3,ROW()-31,1)):INDIRECT(ADDRESS(22,ROW()-31,1)),AW$3:AW$22),"")</f>
        <v>6</v>
      </c>
      <c r="AX60">
        <f ca="1">IF(AND(((COLUMN()-10)&lt;=playercnt),((ROW()-41)&lt;=playercnt)),SUMPRODUCT(INDIRECT(ADDRESS(3,ROW()-31,1)):INDIRECT(ADDRESS(22,ROW()-31,1)),AX$3:AX$22),"")</f>
        <v>6</v>
      </c>
      <c r="AY60">
        <f ca="1">IF(AND(((COLUMN()-10)&lt;=playercnt),((ROW()-41)&lt;=playercnt)),SUMPRODUCT(INDIRECT(ADDRESS(3,ROW()-31,1)):INDIRECT(ADDRESS(22,ROW()-31,1)),AY$3:AY$22),"")</f>
        <v>6</v>
      </c>
      <c r="AZ60">
        <f ca="1">IF(AND(((COLUMN()-10)&lt;=playercnt),((ROW()-41)&lt;=playercnt)),SUMPRODUCT(INDIRECT(ADDRESS(3,ROW()-31,1)):INDIRECT(ADDRESS(22,ROW()-31,1)),AZ$3:AZ$22),"")</f>
        <v>5</v>
      </c>
      <c r="BA60">
        <f ca="1">IF(AND(((COLUMN()-10)&lt;=playercnt),((ROW()-41)&lt;=playercnt)),SUMPRODUCT(INDIRECT(ADDRESS(3,ROW()-31,1)):INDIRECT(ADDRESS(22,ROW()-31,1)),BA$3:BA$22),"")</f>
        <v>4</v>
      </c>
      <c r="BB60">
        <f ca="1">IF(AND(((COLUMN()-10)&lt;=playercnt),((ROW()-41)&lt;=playercnt)),SUMPRODUCT(INDIRECT(ADDRESS(3,ROW()-31,1)):INDIRECT(ADDRESS(22,ROW()-31,1)),BB$3:BB$22),"")</f>
        <v>5</v>
      </c>
      <c r="BC60">
        <f ca="1">IF(AND(((COLUMN()-10)&lt;=playercnt),((ROW()-41)&lt;=playercnt)),SUMPRODUCT(INDIRECT(ADDRESS(3,ROW()-31,1)):INDIRECT(ADDRESS(22,ROW()-31,1)),BC$3:BC$22),"")</f>
        <v>3</v>
      </c>
      <c r="BD60">
        <f ca="1">IF(AND(((COLUMN()-10)&lt;=playercnt),((ROW()-41)&lt;=playercnt)),SUMPRODUCT(INDIRECT(ADDRESS(3,ROW()-31,1)):INDIRECT(ADDRESS(22,ROW()-31,1)),BD$3:BD$22),"")</f>
        <v>4</v>
      </c>
      <c r="BE60">
        <f ca="1">IF(AND(((COLUMN()-10)&lt;=playercnt),((ROW()-41)&lt;=playercnt)),SUMPRODUCT(INDIRECT(ADDRESS(3,ROW()-31,1)):INDIRECT(ADDRESS(22,ROW()-31,1)),BE$3:BE$22),"")</f>
        <v>7</v>
      </c>
      <c r="BF60">
        <f ca="1">IF(AND(((COLUMN()-10)&lt;=playercnt),((ROW()-41)&lt;=playercnt)),SUMPRODUCT(INDIRECT(ADDRESS(3,ROW()-31,1)):INDIRECT(ADDRESS(22,ROW()-31,1)),BF$3:BF$22),"")</f>
        <v>7</v>
      </c>
      <c r="BG60">
        <f ca="1">IF(AND(((COLUMN()-10)&lt;=playercnt),((ROW()-41)&lt;=playercnt)),SUMPRODUCT(INDIRECT(ADDRESS(3,ROW()-31,1)):INDIRECT(ADDRESS(22,ROW()-31,1)),BG$3:BG$22),"")</f>
        <v>6</v>
      </c>
      <c r="BH60">
        <f ca="1">IF(AND(((COLUMN()-10)&lt;=playercnt),((ROW()-41)&lt;=playercnt)),SUMPRODUCT(INDIRECT(ADDRESS(3,ROW()-31,1)):INDIRECT(ADDRESS(22,ROW()-31,1)),BH$3:BH$22),"")</f>
        <v>5</v>
      </c>
      <c r="BI60">
        <f ca="1">IF(AND(((COLUMN()-10)&lt;=playercnt),((ROW()-41)&lt;=playercnt)),SUMPRODUCT(INDIRECT(ADDRESS(3,ROW()-31,1)):INDIRECT(ADDRESS(22,ROW()-31,1)),BI$3:BI$22),"")</f>
        <v>2</v>
      </c>
      <c r="BJ60">
        <f ca="1">IF(AND(((COLUMN()-10)&lt;=playercnt),((ROW()-41)&lt;=playercnt)),SUMPRODUCT(INDIRECT(ADDRESS(3,ROW()-31,1)):INDIRECT(ADDRESS(22,ROW()-31,1)),BJ$3:BJ$22),"")</f>
        <v>6</v>
      </c>
      <c r="BK60">
        <f ca="1">IF(AND(((COLUMN()-10)&lt;=playercnt),((ROW()-41)&lt;=playercnt)),SUMPRODUCT(INDIRECT(ADDRESS(3,ROW()-31,1)):INDIRECT(ADDRESS(22,ROW()-31,1)),BK$3:BK$22),"")</f>
        <v>5</v>
      </c>
      <c r="BL60">
        <f ca="1">IF(AND(((COLUMN()-10)&lt;=playercnt),((ROW()-41)&lt;=playercnt)),SUMPRODUCT(INDIRECT(ADDRESS(3,ROW()-31,1)):INDIRECT(ADDRESS(22,ROW()-31,1)),BL$3:BL$22),"")</f>
        <v>5</v>
      </c>
      <c r="BM60">
        <f ca="1">IF(AND(((COLUMN()-10)&lt;=playercnt),((ROW()-41)&lt;=playercnt)),SUMPRODUCT(INDIRECT(ADDRESS(3,ROW()-31,1)):INDIRECT(ADDRESS(22,ROW()-31,1)),BM$3:BM$22),"")</f>
        <v>5</v>
      </c>
      <c r="BN60">
        <f ca="1">IF(AND(((COLUMN()-10)&lt;=playercnt),((ROW()-41)&lt;=playercnt)),SUMPRODUCT(INDIRECT(ADDRESS(3,ROW()-31,1)):INDIRECT(ADDRESS(22,ROW()-31,1)),BN$3:BN$22),"")</f>
        <v>3</v>
      </c>
    </row>
    <row r="61" spans="1:66">
      <c r="B61" s="27">
        <f t="shared" ca="1" si="23"/>
        <v>5.6545454545454543</v>
      </c>
      <c r="C61" t="str">
        <f t="shared" ca="1" si="24"/>
        <v>Holley, Jeremy Remote</v>
      </c>
      <c r="G61">
        <f ca="1">IF(AND(((COLUMN()-10)&lt;=playercnt),((ROW()-41)&lt;=playercnt)),SUMPRODUCT(INDIRECT(ADDRESS(3,ROW()-31,1)):INDIRECT(ADDRESS(22,ROW()-31,1)),G$3:G$22),"")</f>
        <v>7</v>
      </c>
      <c r="H61">
        <f ca="1">IF(AND(((COLUMN()-10)&lt;=playercnt),((ROW()-41)&lt;=playercnt)),SUMPRODUCT(INDIRECT(ADDRESS(3,ROW()-31,1)):INDIRECT(ADDRESS(22,ROW()-31,1)),H$3:H$22),"")</f>
        <v>4</v>
      </c>
      <c r="I61">
        <f ca="1">IF(AND(((COLUMN()-10)&lt;=playercnt),((ROW()-41)&lt;=playercnt)),SUMPRODUCT(INDIRECT(ADDRESS(3,ROW()-31,1)):INDIRECT(ADDRESS(22,ROW()-31,1)),I$3:I$22),"")</f>
        <v>8</v>
      </c>
      <c r="J61">
        <f ca="1">IF(AND(((COLUMN()-10)&lt;=playercnt),((ROW()-41)&lt;=playercnt)),SUMPRODUCT(INDIRECT(ADDRESS(3,ROW()-31,1)):INDIRECT(ADDRESS(22,ROW()-31,1)),J$3:J$22),"")</f>
        <v>0</v>
      </c>
      <c r="K61">
        <f ca="1">IF(AND(((COLUMN()-10)&lt;=playercnt),((ROW()-41)&lt;=playercnt)),SUMPRODUCT(INDIRECT(ADDRESS(3,ROW()-31,1)):INDIRECT(ADDRESS(22,ROW()-31,1)),K$3:K$22),"")</f>
        <v>7</v>
      </c>
      <c r="L61">
        <f ca="1">IF(AND(((COLUMN()-10)&lt;=playercnt),((ROW()-41)&lt;=playercnt)),SUMPRODUCT(INDIRECT(ADDRESS(3,ROW()-31,1)):INDIRECT(ADDRESS(22,ROW()-31,1)),L$3:L$22),"")</f>
        <v>6</v>
      </c>
      <c r="M61">
        <f ca="1">IF(AND(((COLUMN()-10)&lt;=playercnt),((ROW()-41)&lt;=playercnt)),SUMPRODUCT(INDIRECT(ADDRESS(3,ROW()-31,1)):INDIRECT(ADDRESS(22,ROW()-31,1)),M$3:M$22),"")</f>
        <v>8</v>
      </c>
      <c r="N61">
        <f ca="1">IF(AND(((COLUMN()-10)&lt;=playercnt),((ROW()-41)&lt;=playercnt)),SUMPRODUCT(INDIRECT(ADDRESS(3,ROW()-31,1)):INDIRECT(ADDRESS(22,ROW()-31,1)),N$3:N$22),"")</f>
        <v>6</v>
      </c>
      <c r="O61">
        <f ca="1">IF(AND(((COLUMN()-10)&lt;=playercnt),((ROW()-41)&lt;=playercnt)),SUMPRODUCT(INDIRECT(ADDRESS(3,ROW()-31,1)):INDIRECT(ADDRESS(22,ROW()-31,1)),O$3:O$22),"")</f>
        <v>6</v>
      </c>
      <c r="P61">
        <f ca="1">IF(AND(((COLUMN()-10)&lt;=playercnt),((ROW()-41)&lt;=playercnt)),SUMPRODUCT(INDIRECT(ADDRESS(3,ROW()-31,1)):INDIRECT(ADDRESS(22,ROW()-31,1)),P$3:P$22),"")</f>
        <v>5</v>
      </c>
      <c r="Q61">
        <f ca="1">IF(AND(((COLUMN()-10)&lt;=playercnt),((ROW()-41)&lt;=playercnt)),SUMPRODUCT(INDIRECT(ADDRESS(3,ROW()-31,1)):INDIRECT(ADDRESS(22,ROW()-31,1)),Q$3:Q$22),"")</f>
        <v>7</v>
      </c>
      <c r="R61">
        <f ca="1">IF(AND(((COLUMN()-10)&lt;=playercnt),((ROW()-41)&lt;=playercnt)),SUMPRODUCT(INDIRECT(ADDRESS(3,ROW()-31,1)):INDIRECT(ADDRESS(22,ROW()-31,1)),R$3:R$22),"")</f>
        <v>9</v>
      </c>
      <c r="S61">
        <f ca="1">IF(AND(((COLUMN()-10)&lt;=playercnt),((ROW()-41)&lt;=playercnt)),SUMPRODUCT(INDIRECT(ADDRESS(3,ROW()-31,1)):INDIRECT(ADDRESS(22,ROW()-31,1)),S$3:S$22),"")</f>
        <v>5</v>
      </c>
      <c r="T61">
        <f ca="1">IF(AND(((COLUMN()-10)&lt;=playercnt),((ROW()-41)&lt;=playercnt)),SUMPRODUCT(INDIRECT(ADDRESS(3,ROW()-31,1)):INDIRECT(ADDRESS(22,ROW()-31,1)),T$3:T$22),"")</f>
        <v>5</v>
      </c>
      <c r="U61">
        <f ca="1">IF(AND(((COLUMN()-10)&lt;=playercnt),((ROW()-41)&lt;=playercnt)),SUMPRODUCT(INDIRECT(ADDRESS(3,ROW()-31,1)):INDIRECT(ADDRESS(22,ROW()-31,1)),U$3:U$22),"")</f>
        <v>6</v>
      </c>
      <c r="V61">
        <f ca="1">IF(AND(((COLUMN()-10)&lt;=playercnt),((ROW()-41)&lt;=playercnt)),SUMPRODUCT(INDIRECT(ADDRESS(3,ROW()-31,1)):INDIRECT(ADDRESS(22,ROW()-31,1)),V$3:V$22),"")</f>
        <v>7</v>
      </c>
      <c r="W61">
        <f ca="1">IF(AND(((COLUMN()-10)&lt;=playercnt),((ROW()-41)&lt;=playercnt)),SUMPRODUCT(INDIRECT(ADDRESS(3,ROW()-31,1)):INDIRECT(ADDRESS(22,ROW()-31,1)),W$3:W$22),"")</f>
        <v>7</v>
      </c>
      <c r="X61">
        <f ca="1">IF(AND(((COLUMN()-10)&lt;=playercnt),((ROW()-41)&lt;=playercnt)),SUMPRODUCT(INDIRECT(ADDRESS(3,ROW()-31,1)):INDIRECT(ADDRESS(22,ROW()-31,1)),X$3:X$22),"")</f>
        <v>9</v>
      </c>
      <c r="Y61">
        <f ca="1">IF(AND(((COLUMN()-10)&lt;=playercnt),((ROW()-41)&lt;=playercnt)),SUMPRODUCT(INDIRECT(ADDRESS(3,ROW()-31,1)):INDIRECT(ADDRESS(22,ROW()-31,1)),Y$3:Y$22),"")</f>
        <v>4</v>
      </c>
      <c r="Z61">
        <f ca="1">IF(AND(((COLUMN()-10)&lt;=playercnt),((ROW()-41)&lt;=playercnt)),SUMPRODUCT(INDIRECT(ADDRESS(3,ROW()-31,1)):INDIRECT(ADDRESS(22,ROW()-31,1)),Z$3:Z$22),"")</f>
        <v>2</v>
      </c>
      <c r="AA61">
        <f ca="1">IF(AND(((COLUMN()-10)&lt;=playercnt),((ROW()-41)&lt;=playercnt)),SUMPRODUCT(INDIRECT(ADDRESS(3,ROW()-31,1)):INDIRECT(ADDRESS(22,ROW()-31,1)),AA$3:AA$22),"")</f>
        <v>6</v>
      </c>
      <c r="AB61">
        <f ca="1">IF(AND(((COLUMN()-10)&lt;=playercnt),((ROW()-41)&lt;=playercnt)),SUMPRODUCT(INDIRECT(ADDRESS(3,ROW()-31,1)):INDIRECT(ADDRESS(22,ROW()-31,1)),AB$3:AB$22),"")</f>
        <v>6</v>
      </c>
      <c r="AC61">
        <f ca="1">IF(AND(((COLUMN()-10)&lt;=playercnt),((ROW()-41)&lt;=playercnt)),SUMPRODUCT(INDIRECT(ADDRESS(3,ROW()-31,1)):INDIRECT(ADDRESS(22,ROW()-31,1)),AC$3:AC$22),"")</f>
        <v>5</v>
      </c>
      <c r="AD61">
        <f ca="1">IF(AND(((COLUMN()-10)&lt;=playercnt),((ROW()-41)&lt;=playercnt)),SUMPRODUCT(INDIRECT(ADDRESS(3,ROW()-31,1)):INDIRECT(ADDRESS(22,ROW()-31,1)),AD$3:AD$22),"")</f>
        <v>10</v>
      </c>
      <c r="AE61">
        <f ca="1">IF(AND(((COLUMN()-10)&lt;=playercnt),((ROW()-41)&lt;=playercnt)),SUMPRODUCT(INDIRECT(ADDRESS(3,ROW()-31,1)):INDIRECT(ADDRESS(22,ROW()-31,1)),AE$3:AE$22),"")</f>
        <v>4</v>
      </c>
      <c r="AF61">
        <f ca="1">IF(AND(((COLUMN()-10)&lt;=playercnt),((ROW()-41)&lt;=playercnt)),SUMPRODUCT(INDIRECT(ADDRESS(3,ROW()-31,1)):INDIRECT(ADDRESS(22,ROW()-31,1)),AF$3:AF$22),"")</f>
        <v>6</v>
      </c>
      <c r="AG61">
        <f ca="1">IF(AND(((COLUMN()-10)&lt;=playercnt),((ROW()-41)&lt;=playercnt)),SUMPRODUCT(INDIRECT(ADDRESS(3,ROW()-31,1)):INDIRECT(ADDRESS(22,ROW()-31,1)),AG$3:AG$22),"")</f>
        <v>6</v>
      </c>
      <c r="AH61">
        <f ca="1">IF(AND(((COLUMN()-10)&lt;=playercnt),((ROW()-41)&lt;=playercnt)),SUMPRODUCT(INDIRECT(ADDRESS(3,ROW()-31,1)):INDIRECT(ADDRESS(22,ROW()-31,1)),AH$3:AH$22),"")</f>
        <v>6</v>
      </c>
      <c r="AI61">
        <f ca="1">IF(AND(((COLUMN()-10)&lt;=playercnt),((ROW()-41)&lt;=playercnt)),SUMPRODUCT(INDIRECT(ADDRESS(3,ROW()-31,1)):INDIRECT(ADDRESS(22,ROW()-31,1)),AI$3:AI$22),"")</f>
        <v>5</v>
      </c>
      <c r="AJ61">
        <f ca="1">IF(AND(((COLUMN()-10)&lt;=playercnt),((ROW()-41)&lt;=playercnt)),SUMPRODUCT(INDIRECT(ADDRESS(3,ROW()-31,1)):INDIRECT(ADDRESS(22,ROW()-31,1)),AJ$3:AJ$22),"")</f>
        <v>4</v>
      </c>
      <c r="AK61">
        <f ca="1">IF(AND(((COLUMN()-10)&lt;=playercnt),((ROW()-41)&lt;=playercnt)),SUMPRODUCT(INDIRECT(ADDRESS(3,ROW()-31,1)):INDIRECT(ADDRESS(22,ROW()-31,1)),AK$3:AK$22),"")</f>
        <v>6</v>
      </c>
      <c r="AL61">
        <f ca="1">IF(AND(((COLUMN()-10)&lt;=playercnt),((ROW()-41)&lt;=playercnt)),SUMPRODUCT(INDIRECT(ADDRESS(3,ROW()-31,1)):INDIRECT(ADDRESS(22,ROW()-31,1)),AL$3:AL$22),"")</f>
        <v>4</v>
      </c>
      <c r="AM61">
        <f ca="1">IF(AND(((COLUMN()-10)&lt;=playercnt),((ROW()-41)&lt;=playercnt)),SUMPRODUCT(INDIRECT(ADDRESS(3,ROW()-31,1)):INDIRECT(ADDRESS(22,ROW()-31,1)),AM$3:AM$22),"")</f>
        <v>3</v>
      </c>
      <c r="AN61">
        <f ca="1">IF(AND(((COLUMN()-10)&lt;=playercnt),((ROW()-41)&lt;=playercnt)),SUMPRODUCT(INDIRECT(ADDRESS(3,ROW()-31,1)):INDIRECT(ADDRESS(22,ROW()-31,1)),AN$3:AN$22),"")</f>
        <v>4</v>
      </c>
      <c r="AO61">
        <f ca="1">IF(AND(((COLUMN()-10)&lt;=playercnt),((ROW()-41)&lt;=playercnt)),SUMPRODUCT(INDIRECT(ADDRESS(3,ROW()-31,1)):INDIRECT(ADDRESS(22,ROW()-31,1)),AO$3:AO$22),"")</f>
        <v>2</v>
      </c>
      <c r="AP61">
        <f ca="1">IF(AND(((COLUMN()-10)&lt;=playercnt),((ROW()-41)&lt;=playercnt)),SUMPRODUCT(INDIRECT(ADDRESS(3,ROW()-31,1)):INDIRECT(ADDRESS(22,ROW()-31,1)),AP$3:AP$22),"")</f>
        <v>7</v>
      </c>
      <c r="AQ61">
        <f ca="1">IF(AND(((COLUMN()-10)&lt;=playercnt),((ROW()-41)&lt;=playercnt)),SUMPRODUCT(INDIRECT(ADDRESS(3,ROW()-31,1)):INDIRECT(ADDRESS(22,ROW()-31,1)),AQ$3:AQ$22),"")</f>
        <v>3</v>
      </c>
      <c r="AR61">
        <f ca="1">IF(AND(((COLUMN()-10)&lt;=playercnt),((ROW()-41)&lt;=playercnt)),SUMPRODUCT(INDIRECT(ADDRESS(3,ROW()-31,1)):INDIRECT(ADDRESS(22,ROW()-31,1)),AR$3:AR$22),"")</f>
        <v>6</v>
      </c>
      <c r="AS61">
        <f ca="1">IF(AND(((COLUMN()-10)&lt;=playercnt),((ROW()-41)&lt;=playercnt)),SUMPRODUCT(INDIRECT(ADDRESS(3,ROW()-31,1)):INDIRECT(ADDRESS(22,ROW()-31,1)),AS$3:AS$22),"")</f>
        <v>4</v>
      </c>
      <c r="AT61">
        <f ca="1">IF(AND(((COLUMN()-10)&lt;=playercnt),((ROW()-41)&lt;=playercnt)),SUMPRODUCT(INDIRECT(ADDRESS(3,ROW()-31,1)):INDIRECT(ADDRESS(22,ROW()-31,1)),AT$3:AT$22),"")</f>
        <v>7</v>
      </c>
      <c r="AU61">
        <f ca="1">IF(AND(((COLUMN()-10)&lt;=playercnt),((ROW()-41)&lt;=playercnt)),SUMPRODUCT(INDIRECT(ADDRESS(3,ROW()-31,1)):INDIRECT(ADDRESS(22,ROW()-31,1)),AU$3:AU$22),"")</f>
        <v>7</v>
      </c>
      <c r="AV61">
        <f ca="1">IF(AND(((COLUMN()-10)&lt;=playercnt),((ROW()-41)&lt;=playercnt)),SUMPRODUCT(INDIRECT(ADDRESS(3,ROW()-31,1)):INDIRECT(ADDRESS(22,ROW()-31,1)),AV$3:AV$22),"")</f>
        <v>5</v>
      </c>
      <c r="AW61">
        <f ca="1">IF(AND(((COLUMN()-10)&lt;=playercnt),((ROW()-41)&lt;=playercnt)),SUMPRODUCT(INDIRECT(ADDRESS(3,ROW()-31,1)):INDIRECT(ADDRESS(22,ROW()-31,1)),AW$3:AW$22),"")</f>
        <v>7</v>
      </c>
      <c r="AX61">
        <f ca="1">IF(AND(((COLUMN()-10)&lt;=playercnt),((ROW()-41)&lt;=playercnt)),SUMPRODUCT(INDIRECT(ADDRESS(3,ROW()-31,1)):INDIRECT(ADDRESS(22,ROW()-31,1)),AX$3:AX$22),"")</f>
        <v>7</v>
      </c>
      <c r="AY61">
        <f ca="1">IF(AND(((COLUMN()-10)&lt;=playercnt),((ROW()-41)&lt;=playercnt)),SUMPRODUCT(INDIRECT(ADDRESS(3,ROW()-31,1)):INDIRECT(ADDRESS(22,ROW()-31,1)),AY$3:AY$22),"")</f>
        <v>7</v>
      </c>
      <c r="AZ61">
        <f ca="1">IF(AND(((COLUMN()-10)&lt;=playercnt),((ROW()-41)&lt;=playercnt)),SUMPRODUCT(INDIRECT(ADDRESS(3,ROW()-31,1)):INDIRECT(ADDRESS(22,ROW()-31,1)),AZ$3:AZ$22),"")</f>
        <v>8</v>
      </c>
      <c r="BA61">
        <f ca="1">IF(AND(((COLUMN()-10)&lt;=playercnt),((ROW()-41)&lt;=playercnt)),SUMPRODUCT(INDIRECT(ADDRESS(3,ROW()-31,1)):INDIRECT(ADDRESS(22,ROW()-31,1)),BA$3:BA$22),"")</f>
        <v>5</v>
      </c>
      <c r="BB61">
        <f ca="1">IF(AND(((COLUMN()-10)&lt;=playercnt),((ROW()-41)&lt;=playercnt)),SUMPRODUCT(INDIRECT(ADDRESS(3,ROW()-31,1)):INDIRECT(ADDRESS(22,ROW()-31,1)),BB$3:BB$22),"")</f>
        <v>4</v>
      </c>
      <c r="BC61">
        <f ca="1">IF(AND(((COLUMN()-10)&lt;=playercnt),((ROW()-41)&lt;=playercnt)),SUMPRODUCT(INDIRECT(ADDRESS(3,ROW()-31,1)):INDIRECT(ADDRESS(22,ROW()-31,1)),BC$3:BC$22),"")</f>
        <v>6</v>
      </c>
      <c r="BD61">
        <f ca="1">IF(AND(((COLUMN()-10)&lt;=playercnt),((ROW()-41)&lt;=playercnt)),SUMPRODUCT(INDIRECT(ADDRESS(3,ROW()-31,1)):INDIRECT(ADDRESS(22,ROW()-31,1)),BD$3:BD$22),"")</f>
        <v>9</v>
      </c>
      <c r="BE61">
        <f ca="1">IF(AND(((COLUMN()-10)&lt;=playercnt),((ROW()-41)&lt;=playercnt)),SUMPRODUCT(INDIRECT(ADDRESS(3,ROW()-31,1)):INDIRECT(ADDRESS(22,ROW()-31,1)),BE$3:BE$22),"")</f>
        <v>6</v>
      </c>
      <c r="BF61">
        <f ca="1">IF(AND(((COLUMN()-10)&lt;=playercnt),((ROW()-41)&lt;=playercnt)),SUMPRODUCT(INDIRECT(ADDRESS(3,ROW()-31,1)):INDIRECT(ADDRESS(22,ROW()-31,1)),BF$3:BF$22),"")</f>
        <v>6</v>
      </c>
      <c r="BG61">
        <f ca="1">IF(AND(((COLUMN()-10)&lt;=playercnt),((ROW()-41)&lt;=playercnt)),SUMPRODUCT(INDIRECT(ADDRESS(3,ROW()-31,1)):INDIRECT(ADDRESS(22,ROW()-31,1)),BG$3:BG$22),"")</f>
        <v>3</v>
      </c>
      <c r="BH61">
        <f ca="1">IF(AND(((COLUMN()-10)&lt;=playercnt),((ROW()-41)&lt;=playercnt)),SUMPRODUCT(INDIRECT(ADDRESS(3,ROW()-31,1)):INDIRECT(ADDRESS(22,ROW()-31,1)),BH$3:BH$22),"")</f>
        <v>8</v>
      </c>
      <c r="BI61">
        <f ca="1">IF(AND(((COLUMN()-10)&lt;=playercnt),((ROW()-41)&lt;=playercnt)),SUMPRODUCT(INDIRECT(ADDRESS(3,ROW()-31,1)):INDIRECT(ADDRESS(22,ROW()-31,1)),BI$3:BI$22),"")</f>
        <v>5</v>
      </c>
      <c r="BJ61">
        <f ca="1">IF(AND(((COLUMN()-10)&lt;=playercnt),((ROW()-41)&lt;=playercnt)),SUMPRODUCT(INDIRECT(ADDRESS(3,ROW()-31,1)):INDIRECT(ADDRESS(22,ROW()-31,1)),BJ$3:BJ$22),"")</f>
        <v>5</v>
      </c>
      <c r="BK61">
        <f ca="1">IF(AND(((COLUMN()-10)&lt;=playercnt),((ROW()-41)&lt;=playercnt)),SUMPRODUCT(INDIRECT(ADDRESS(3,ROW()-31,1)):INDIRECT(ADDRESS(22,ROW()-31,1)),BK$3:BK$22),"")</f>
        <v>6</v>
      </c>
      <c r="BL61">
        <f ca="1">IF(AND(((COLUMN()-10)&lt;=playercnt),((ROW()-41)&lt;=playercnt)),SUMPRODUCT(INDIRECT(ADDRESS(3,ROW()-31,1)):INDIRECT(ADDRESS(22,ROW()-31,1)),BL$3:BL$22),"")</f>
        <v>6</v>
      </c>
      <c r="BM61">
        <f ca="1">IF(AND(((COLUMN()-10)&lt;=playercnt),((ROW()-41)&lt;=playercnt)),SUMPRODUCT(INDIRECT(ADDRESS(3,ROW()-31,1)):INDIRECT(ADDRESS(22,ROW()-31,1)),BM$3:BM$22),"")</f>
        <v>4</v>
      </c>
      <c r="BN61">
        <f ca="1">IF(AND(((COLUMN()-10)&lt;=playercnt),((ROW()-41)&lt;=playercnt)),SUMPRODUCT(INDIRECT(ADDRESS(3,ROW()-31,1)):INDIRECT(ADDRESS(22,ROW()-31,1)),BN$3:BN$22),"")</f>
        <v>4</v>
      </c>
    </row>
    <row r="62" spans="1:66">
      <c r="B62" s="27">
        <f t="shared" ca="1" si="23"/>
        <v>5.290909090909091</v>
      </c>
      <c r="C62" t="str">
        <f t="shared" ca="1" si="24"/>
        <v>Inabinet, Gregory</v>
      </c>
      <c r="G62">
        <f ca="1">IF(AND(((COLUMN()-10)&lt;=playercnt),((ROW()-41)&lt;=playercnt)),SUMPRODUCT(INDIRECT(ADDRESS(3,ROW()-31,1)):INDIRECT(ADDRESS(22,ROW()-31,1)),G$3:G$22),"")</f>
        <v>5</v>
      </c>
      <c r="H62">
        <f ca="1">IF(AND(((COLUMN()-10)&lt;=playercnt),((ROW()-41)&lt;=playercnt)),SUMPRODUCT(INDIRECT(ADDRESS(3,ROW()-31,1)):INDIRECT(ADDRESS(22,ROW()-31,1)),H$3:H$22),"")</f>
        <v>10</v>
      </c>
      <c r="I62">
        <f ca="1">IF(AND(((COLUMN()-10)&lt;=playercnt),((ROW()-41)&lt;=playercnt)),SUMPRODUCT(INDIRECT(ADDRESS(3,ROW()-31,1)):INDIRECT(ADDRESS(22,ROW()-31,1)),I$3:I$22),"")</f>
        <v>6</v>
      </c>
      <c r="J62">
        <f ca="1">IF(AND(((COLUMN()-10)&lt;=playercnt),((ROW()-41)&lt;=playercnt)),SUMPRODUCT(INDIRECT(ADDRESS(3,ROW()-31,1)):INDIRECT(ADDRESS(22,ROW()-31,1)),J$3:J$22),"")</f>
        <v>0</v>
      </c>
      <c r="K62">
        <f ca="1">IF(AND(((COLUMN()-10)&lt;=playercnt),((ROW()-41)&lt;=playercnt)),SUMPRODUCT(INDIRECT(ADDRESS(3,ROW()-31,1)):INDIRECT(ADDRESS(22,ROW()-31,1)),K$3:K$22),"")</f>
        <v>5</v>
      </c>
      <c r="L62">
        <f ca="1">IF(AND(((COLUMN()-10)&lt;=playercnt),((ROW()-41)&lt;=playercnt)),SUMPRODUCT(INDIRECT(ADDRESS(3,ROW()-31,1)):INDIRECT(ADDRESS(22,ROW()-31,1)),L$3:L$22),"")</f>
        <v>8</v>
      </c>
      <c r="M62">
        <f ca="1">IF(AND(((COLUMN()-10)&lt;=playercnt),((ROW()-41)&lt;=playercnt)),SUMPRODUCT(INDIRECT(ADDRESS(3,ROW()-31,1)):INDIRECT(ADDRESS(22,ROW()-31,1)),M$3:M$22),"")</f>
        <v>4</v>
      </c>
      <c r="N62">
        <f ca="1">IF(AND(((COLUMN()-10)&lt;=playercnt),((ROW()-41)&lt;=playercnt)),SUMPRODUCT(INDIRECT(ADDRESS(3,ROW()-31,1)):INDIRECT(ADDRESS(22,ROW()-31,1)),N$3:N$22),"")</f>
        <v>8</v>
      </c>
      <c r="O62">
        <f ca="1">IF(AND(((COLUMN()-10)&lt;=playercnt),((ROW()-41)&lt;=playercnt)),SUMPRODUCT(INDIRECT(ADDRESS(3,ROW()-31,1)):INDIRECT(ADDRESS(22,ROW()-31,1)),O$3:O$22),"")</f>
        <v>4</v>
      </c>
      <c r="P62">
        <f ca="1">IF(AND(((COLUMN()-10)&lt;=playercnt),((ROW()-41)&lt;=playercnt)),SUMPRODUCT(INDIRECT(ADDRESS(3,ROW()-31,1)):INDIRECT(ADDRESS(22,ROW()-31,1)),P$3:P$22),"")</f>
        <v>7</v>
      </c>
      <c r="Q62">
        <f ca="1">IF(AND(((COLUMN()-10)&lt;=playercnt),((ROW()-41)&lt;=playercnt)),SUMPRODUCT(INDIRECT(ADDRESS(3,ROW()-31,1)):INDIRECT(ADDRESS(22,ROW()-31,1)),Q$3:Q$22),"")</f>
        <v>3</v>
      </c>
      <c r="R62">
        <f ca="1">IF(AND(((COLUMN()-10)&lt;=playercnt),((ROW()-41)&lt;=playercnt)),SUMPRODUCT(INDIRECT(ADDRESS(3,ROW()-31,1)):INDIRECT(ADDRESS(22,ROW()-31,1)),R$3:R$22),"")</f>
        <v>5</v>
      </c>
      <c r="S62">
        <f ca="1">IF(AND(((COLUMN()-10)&lt;=playercnt),((ROW()-41)&lt;=playercnt)),SUMPRODUCT(INDIRECT(ADDRESS(3,ROW()-31,1)):INDIRECT(ADDRESS(22,ROW()-31,1)),S$3:S$22),"")</f>
        <v>3</v>
      </c>
      <c r="T62">
        <f ca="1">IF(AND(((COLUMN()-10)&lt;=playercnt),((ROW()-41)&lt;=playercnt)),SUMPRODUCT(INDIRECT(ADDRESS(3,ROW()-31,1)):INDIRECT(ADDRESS(22,ROW()-31,1)),T$3:T$22),"")</f>
        <v>3</v>
      </c>
      <c r="U62">
        <f ca="1">IF(AND(((COLUMN()-10)&lt;=playercnt),((ROW()-41)&lt;=playercnt)),SUMPRODUCT(INDIRECT(ADDRESS(3,ROW()-31,1)):INDIRECT(ADDRESS(22,ROW()-31,1)),U$3:U$22),"")</f>
        <v>8</v>
      </c>
      <c r="V62">
        <f ca="1">IF(AND(((COLUMN()-10)&lt;=playercnt),((ROW()-41)&lt;=playercnt)),SUMPRODUCT(INDIRECT(ADDRESS(3,ROW()-31,1)):INDIRECT(ADDRESS(22,ROW()-31,1)),V$3:V$22),"")</f>
        <v>5</v>
      </c>
      <c r="W62">
        <f ca="1">IF(AND(((COLUMN()-10)&lt;=playercnt),((ROW()-41)&lt;=playercnt)),SUMPRODUCT(INDIRECT(ADDRESS(3,ROW()-31,1)):INDIRECT(ADDRESS(22,ROW()-31,1)),W$3:W$22),"")</f>
        <v>5</v>
      </c>
      <c r="X62">
        <f ca="1">IF(AND(((COLUMN()-10)&lt;=playercnt),((ROW()-41)&lt;=playercnt)),SUMPRODUCT(INDIRECT(ADDRESS(3,ROW()-31,1)):INDIRECT(ADDRESS(22,ROW()-31,1)),X$3:X$22),"")</f>
        <v>3</v>
      </c>
      <c r="Y62">
        <f ca="1">IF(AND(((COLUMN()-10)&lt;=playercnt),((ROW()-41)&lt;=playercnt)),SUMPRODUCT(INDIRECT(ADDRESS(3,ROW()-31,1)):INDIRECT(ADDRESS(22,ROW()-31,1)),Y$3:Y$22),"")</f>
        <v>6</v>
      </c>
      <c r="Z62">
        <f ca="1">IF(AND(((COLUMN()-10)&lt;=playercnt),((ROW()-41)&lt;=playercnt)),SUMPRODUCT(INDIRECT(ADDRESS(3,ROW()-31,1)):INDIRECT(ADDRESS(22,ROW()-31,1)),Z$3:Z$22),"")</f>
        <v>4</v>
      </c>
      <c r="AA62">
        <f ca="1">IF(AND(((COLUMN()-10)&lt;=playercnt),((ROW()-41)&lt;=playercnt)),SUMPRODUCT(INDIRECT(ADDRESS(3,ROW()-31,1)):INDIRECT(ADDRESS(22,ROW()-31,1)),AA$3:AA$22),"")</f>
        <v>6</v>
      </c>
      <c r="AB62">
        <f ca="1">IF(AND(((COLUMN()-10)&lt;=playercnt),((ROW()-41)&lt;=playercnt)),SUMPRODUCT(INDIRECT(ADDRESS(3,ROW()-31,1)):INDIRECT(ADDRESS(22,ROW()-31,1)),AB$3:AB$22),"")</f>
        <v>6</v>
      </c>
      <c r="AC62">
        <f ca="1">IF(AND(((COLUMN()-10)&lt;=playercnt),((ROW()-41)&lt;=playercnt)),SUMPRODUCT(INDIRECT(ADDRESS(3,ROW()-31,1)):INDIRECT(ADDRESS(22,ROW()-31,1)),AC$3:AC$22),"")</f>
        <v>5</v>
      </c>
      <c r="AD62">
        <f ca="1">IF(AND(((COLUMN()-10)&lt;=playercnt),((ROW()-41)&lt;=playercnt)),SUMPRODUCT(INDIRECT(ADDRESS(3,ROW()-31,1)):INDIRECT(ADDRESS(22,ROW()-31,1)),AD$3:AD$22),"")</f>
        <v>4</v>
      </c>
      <c r="AE62">
        <f ca="1">IF(AND(((COLUMN()-10)&lt;=playercnt),((ROW()-41)&lt;=playercnt)),SUMPRODUCT(INDIRECT(ADDRESS(3,ROW()-31,1)):INDIRECT(ADDRESS(22,ROW()-31,1)),AE$3:AE$22),"")</f>
        <v>10</v>
      </c>
      <c r="AF62">
        <f ca="1">IF(AND(((COLUMN()-10)&lt;=playercnt),((ROW()-41)&lt;=playercnt)),SUMPRODUCT(INDIRECT(ADDRESS(3,ROW()-31,1)):INDIRECT(ADDRESS(22,ROW()-31,1)),AF$3:AF$22),"")</f>
        <v>4</v>
      </c>
      <c r="AG62">
        <f ca="1">IF(AND(((COLUMN()-10)&lt;=playercnt),((ROW()-41)&lt;=playercnt)),SUMPRODUCT(INDIRECT(ADDRESS(3,ROW()-31,1)):INDIRECT(ADDRESS(22,ROW()-31,1)),AG$3:AG$22),"")</f>
        <v>4</v>
      </c>
      <c r="AH62">
        <f ca="1">IF(AND(((COLUMN()-10)&lt;=playercnt),((ROW()-41)&lt;=playercnt)),SUMPRODUCT(INDIRECT(ADDRESS(3,ROW()-31,1)):INDIRECT(ADDRESS(22,ROW()-31,1)),AH$3:AH$22),"")</f>
        <v>4</v>
      </c>
      <c r="AI62">
        <f ca="1">IF(AND(((COLUMN()-10)&lt;=playercnt),((ROW()-41)&lt;=playercnt)),SUMPRODUCT(INDIRECT(ADDRESS(3,ROW()-31,1)):INDIRECT(ADDRESS(22,ROW()-31,1)),AI$3:AI$22),"")</f>
        <v>7</v>
      </c>
      <c r="AJ62">
        <f ca="1">IF(AND(((COLUMN()-10)&lt;=playercnt),((ROW()-41)&lt;=playercnt)),SUMPRODUCT(INDIRECT(ADDRESS(3,ROW()-31,1)):INDIRECT(ADDRESS(22,ROW()-31,1)),AJ$3:AJ$22),"")</f>
        <v>6</v>
      </c>
      <c r="AK62">
        <f ca="1">IF(AND(((COLUMN()-10)&lt;=playercnt),((ROW()-41)&lt;=playercnt)),SUMPRODUCT(INDIRECT(ADDRESS(3,ROW()-31,1)):INDIRECT(ADDRESS(22,ROW()-31,1)),AK$3:AK$22),"")</f>
        <v>4</v>
      </c>
      <c r="AL62">
        <f ca="1">IF(AND(((COLUMN()-10)&lt;=playercnt),((ROW()-41)&lt;=playercnt)),SUMPRODUCT(INDIRECT(ADDRESS(3,ROW()-31,1)):INDIRECT(ADDRESS(22,ROW()-31,1)),AL$3:AL$22),"")</f>
        <v>8</v>
      </c>
      <c r="AM62">
        <f ca="1">IF(AND(((COLUMN()-10)&lt;=playercnt),((ROW()-41)&lt;=playercnt)),SUMPRODUCT(INDIRECT(ADDRESS(3,ROW()-31,1)):INDIRECT(ADDRESS(22,ROW()-31,1)),AM$3:AM$22),"")</f>
        <v>5</v>
      </c>
      <c r="AN62">
        <f ca="1">IF(AND(((COLUMN()-10)&lt;=playercnt),((ROW()-41)&lt;=playercnt)),SUMPRODUCT(INDIRECT(ADDRESS(3,ROW()-31,1)):INDIRECT(ADDRESS(22,ROW()-31,1)),AN$3:AN$22),"")</f>
        <v>8</v>
      </c>
      <c r="AO62">
        <f ca="1">IF(AND(((COLUMN()-10)&lt;=playercnt),((ROW()-41)&lt;=playercnt)),SUMPRODUCT(INDIRECT(ADDRESS(3,ROW()-31,1)):INDIRECT(ADDRESS(22,ROW()-31,1)),AO$3:AO$22),"")</f>
        <v>6</v>
      </c>
      <c r="AP62">
        <f ca="1">IF(AND(((COLUMN()-10)&lt;=playercnt),((ROW()-41)&lt;=playercnt)),SUMPRODUCT(INDIRECT(ADDRESS(3,ROW()-31,1)):INDIRECT(ADDRESS(22,ROW()-31,1)),AP$3:AP$22),"")</f>
        <v>5</v>
      </c>
      <c r="AQ62">
        <f ca="1">IF(AND(((COLUMN()-10)&lt;=playercnt),((ROW()-41)&lt;=playercnt)),SUMPRODUCT(INDIRECT(ADDRESS(3,ROW()-31,1)):INDIRECT(ADDRESS(22,ROW()-31,1)),AQ$3:AQ$22),"")</f>
        <v>9</v>
      </c>
      <c r="AR62">
        <f ca="1">IF(AND(((COLUMN()-10)&lt;=playercnt),((ROW()-41)&lt;=playercnt)),SUMPRODUCT(INDIRECT(ADDRESS(3,ROW()-31,1)):INDIRECT(ADDRESS(22,ROW()-31,1)),AR$3:AR$22),"")</f>
        <v>6</v>
      </c>
      <c r="AS62">
        <f ca="1">IF(AND(((COLUMN()-10)&lt;=playercnt),((ROW()-41)&lt;=playercnt)),SUMPRODUCT(INDIRECT(ADDRESS(3,ROW()-31,1)):INDIRECT(ADDRESS(22,ROW()-31,1)),AS$3:AS$22),"")</f>
        <v>4</v>
      </c>
      <c r="AT62">
        <f ca="1">IF(AND(((COLUMN()-10)&lt;=playercnt),((ROW()-41)&lt;=playercnt)),SUMPRODUCT(INDIRECT(ADDRESS(3,ROW()-31,1)):INDIRECT(ADDRESS(22,ROW()-31,1)),AT$3:AT$22),"")</f>
        <v>3</v>
      </c>
      <c r="AU62">
        <f ca="1">IF(AND(((COLUMN()-10)&lt;=playercnt),((ROW()-41)&lt;=playercnt)),SUMPRODUCT(INDIRECT(ADDRESS(3,ROW()-31,1)):INDIRECT(ADDRESS(22,ROW()-31,1)),AU$3:AU$22),"")</f>
        <v>7</v>
      </c>
      <c r="AV62">
        <f ca="1">IF(AND(((COLUMN()-10)&lt;=playercnt),((ROW()-41)&lt;=playercnt)),SUMPRODUCT(INDIRECT(ADDRESS(3,ROW()-31,1)):INDIRECT(ADDRESS(22,ROW()-31,1)),AV$3:AV$22),"")</f>
        <v>7</v>
      </c>
      <c r="AW62">
        <f ca="1">IF(AND(((COLUMN()-10)&lt;=playercnt),((ROW()-41)&lt;=playercnt)),SUMPRODUCT(INDIRECT(ADDRESS(3,ROW()-31,1)):INDIRECT(ADDRESS(22,ROW()-31,1)),AW$3:AW$22),"")</f>
        <v>5</v>
      </c>
      <c r="AX62">
        <f ca="1">IF(AND(((COLUMN()-10)&lt;=playercnt),((ROW()-41)&lt;=playercnt)),SUMPRODUCT(INDIRECT(ADDRESS(3,ROW()-31,1)):INDIRECT(ADDRESS(22,ROW()-31,1)),AX$3:AX$22),"")</f>
        <v>5</v>
      </c>
      <c r="AY62">
        <f ca="1">IF(AND(((COLUMN()-10)&lt;=playercnt),((ROW()-41)&lt;=playercnt)),SUMPRODUCT(INDIRECT(ADDRESS(3,ROW()-31,1)):INDIRECT(ADDRESS(22,ROW()-31,1)),AY$3:AY$22),"")</f>
        <v>7</v>
      </c>
      <c r="AZ62">
        <f ca="1">IF(AND(((COLUMN()-10)&lt;=playercnt),((ROW()-41)&lt;=playercnt)),SUMPRODUCT(INDIRECT(ADDRESS(3,ROW()-31,1)):INDIRECT(ADDRESS(22,ROW()-31,1)),AZ$3:AZ$22),"")</f>
        <v>4</v>
      </c>
      <c r="BA62">
        <f ca="1">IF(AND(((COLUMN()-10)&lt;=playercnt),((ROW()-41)&lt;=playercnt)),SUMPRODUCT(INDIRECT(ADDRESS(3,ROW()-31,1)):INDIRECT(ADDRESS(22,ROW()-31,1)),BA$3:BA$22),"")</f>
        <v>5</v>
      </c>
      <c r="BB62">
        <f ca="1">IF(AND(((COLUMN()-10)&lt;=playercnt),((ROW()-41)&lt;=playercnt)),SUMPRODUCT(INDIRECT(ADDRESS(3,ROW()-31,1)):INDIRECT(ADDRESS(22,ROW()-31,1)),BB$3:BB$22),"")</f>
        <v>6</v>
      </c>
      <c r="BC62">
        <f ca="1">IF(AND(((COLUMN()-10)&lt;=playercnt),((ROW()-41)&lt;=playercnt)),SUMPRODUCT(INDIRECT(ADDRESS(3,ROW()-31,1)):INDIRECT(ADDRESS(22,ROW()-31,1)),BC$3:BC$22),"")</f>
        <v>2</v>
      </c>
      <c r="BD62">
        <f ca="1">IF(AND(((COLUMN()-10)&lt;=playercnt),((ROW()-41)&lt;=playercnt)),SUMPRODUCT(INDIRECT(ADDRESS(3,ROW()-31,1)):INDIRECT(ADDRESS(22,ROW()-31,1)),BD$3:BD$22),"")</f>
        <v>5</v>
      </c>
      <c r="BE62">
        <f ca="1">IF(AND(((COLUMN()-10)&lt;=playercnt),((ROW()-41)&lt;=playercnt)),SUMPRODUCT(INDIRECT(ADDRESS(3,ROW()-31,1)):INDIRECT(ADDRESS(22,ROW()-31,1)),BE$3:BE$22),"")</f>
        <v>4</v>
      </c>
      <c r="BF62">
        <f ca="1">IF(AND(((COLUMN()-10)&lt;=playercnt),((ROW()-41)&lt;=playercnt)),SUMPRODUCT(INDIRECT(ADDRESS(3,ROW()-31,1)):INDIRECT(ADDRESS(22,ROW()-31,1)),BF$3:BF$22),"")</f>
        <v>6</v>
      </c>
      <c r="BG62">
        <f ca="1">IF(AND(((COLUMN()-10)&lt;=playercnt),((ROW()-41)&lt;=playercnt)),SUMPRODUCT(INDIRECT(ADDRESS(3,ROW()-31,1)):INDIRECT(ADDRESS(22,ROW()-31,1)),BG$3:BG$22),"")</f>
        <v>7</v>
      </c>
      <c r="BH62">
        <f ca="1">IF(AND(((COLUMN()-10)&lt;=playercnt),((ROW()-41)&lt;=playercnt)),SUMPRODUCT(INDIRECT(ADDRESS(3,ROW()-31,1)):INDIRECT(ADDRESS(22,ROW()-31,1)),BH$3:BH$22),"")</f>
        <v>6</v>
      </c>
      <c r="BI62">
        <f ca="1">IF(AND(((COLUMN()-10)&lt;=playercnt),((ROW()-41)&lt;=playercnt)),SUMPRODUCT(INDIRECT(ADDRESS(3,ROW()-31,1)):INDIRECT(ADDRESS(22,ROW()-31,1)),BI$3:BI$22),"")</f>
        <v>5</v>
      </c>
      <c r="BJ62">
        <f ca="1">IF(AND(((COLUMN()-10)&lt;=playercnt),((ROW()-41)&lt;=playercnt)),SUMPRODUCT(INDIRECT(ADDRESS(3,ROW()-31,1)):INDIRECT(ADDRESS(22,ROW()-31,1)),BJ$3:BJ$22),"")</f>
        <v>5</v>
      </c>
      <c r="BK62">
        <f ca="1">IF(AND(((COLUMN()-10)&lt;=playercnt),((ROW()-41)&lt;=playercnt)),SUMPRODUCT(INDIRECT(ADDRESS(3,ROW()-31,1)):INDIRECT(ADDRESS(22,ROW()-31,1)),BK$3:BK$22),"")</f>
        <v>4</v>
      </c>
      <c r="BL62">
        <f ca="1">IF(AND(((COLUMN()-10)&lt;=playercnt),((ROW()-41)&lt;=playercnt)),SUMPRODUCT(INDIRECT(ADDRESS(3,ROW()-31,1)):INDIRECT(ADDRESS(22,ROW()-31,1)),BL$3:BL$22),"")</f>
        <v>8</v>
      </c>
      <c r="BM62">
        <f ca="1">IF(AND(((COLUMN()-10)&lt;=playercnt),((ROW()-41)&lt;=playercnt)),SUMPRODUCT(INDIRECT(ADDRESS(3,ROW()-31,1)):INDIRECT(ADDRESS(22,ROW()-31,1)),BM$3:BM$22),"")</f>
        <v>4</v>
      </c>
      <c r="BN62">
        <f ca="1">IF(AND(((COLUMN()-10)&lt;=playercnt),((ROW()-41)&lt;=playercnt)),SUMPRODUCT(INDIRECT(ADDRESS(3,ROW()-31,1)):INDIRECT(ADDRESS(22,ROW()-31,1)),BN$3:BN$22),"")</f>
        <v>4</v>
      </c>
    </row>
    <row r="63" spans="1:66">
      <c r="B63" s="27">
        <f t="shared" ca="1" si="23"/>
        <v>4.7454545454545451</v>
      </c>
      <c r="C63" t="str">
        <f t="shared" ca="1" si="24"/>
        <v>James, Larry Remote</v>
      </c>
      <c r="G63">
        <f ca="1">IF(AND(((COLUMN()-10)&lt;=playercnt),((ROW()-41)&lt;=playercnt)),SUMPRODUCT(INDIRECT(ADDRESS(3,ROW()-31,1)):INDIRECT(ADDRESS(22,ROW()-31,1)),G$3:G$22),"")</f>
        <v>7</v>
      </c>
      <c r="H63">
        <f ca="1">IF(AND(((COLUMN()-10)&lt;=playercnt),((ROW()-41)&lt;=playercnt)),SUMPRODUCT(INDIRECT(ADDRESS(3,ROW()-31,1)):INDIRECT(ADDRESS(22,ROW()-31,1)),H$3:H$22),"")</f>
        <v>4</v>
      </c>
      <c r="I63">
        <f ca="1">IF(AND(((COLUMN()-10)&lt;=playercnt),((ROW()-41)&lt;=playercnt)),SUMPRODUCT(INDIRECT(ADDRESS(3,ROW()-31,1)):INDIRECT(ADDRESS(22,ROW()-31,1)),I$3:I$22),"")</f>
        <v>4</v>
      </c>
      <c r="J63">
        <f ca="1">IF(AND(((COLUMN()-10)&lt;=playercnt),((ROW()-41)&lt;=playercnt)),SUMPRODUCT(INDIRECT(ADDRESS(3,ROW()-31,1)):INDIRECT(ADDRESS(22,ROW()-31,1)),J$3:J$22),"")</f>
        <v>0</v>
      </c>
      <c r="K63">
        <f ca="1">IF(AND(((COLUMN()-10)&lt;=playercnt),((ROW()-41)&lt;=playercnt)),SUMPRODUCT(INDIRECT(ADDRESS(3,ROW()-31,1)):INDIRECT(ADDRESS(22,ROW()-31,1)),K$3:K$22),"")</f>
        <v>3</v>
      </c>
      <c r="L63">
        <f ca="1">IF(AND(((COLUMN()-10)&lt;=playercnt),((ROW()-41)&lt;=playercnt)),SUMPRODUCT(INDIRECT(ADDRESS(3,ROW()-31,1)):INDIRECT(ADDRESS(22,ROW()-31,1)),L$3:L$22),"")</f>
        <v>6</v>
      </c>
      <c r="M63">
        <f ca="1">IF(AND(((COLUMN()-10)&lt;=playercnt),((ROW()-41)&lt;=playercnt)),SUMPRODUCT(INDIRECT(ADDRESS(3,ROW()-31,1)):INDIRECT(ADDRESS(22,ROW()-31,1)),M$3:M$22),"")</f>
        <v>4</v>
      </c>
      <c r="N63">
        <f ca="1">IF(AND(((COLUMN()-10)&lt;=playercnt),((ROW()-41)&lt;=playercnt)),SUMPRODUCT(INDIRECT(ADDRESS(3,ROW()-31,1)):INDIRECT(ADDRESS(22,ROW()-31,1)),N$3:N$22),"")</f>
        <v>4</v>
      </c>
      <c r="O63">
        <f ca="1">IF(AND(((COLUMN()-10)&lt;=playercnt),((ROW()-41)&lt;=playercnt)),SUMPRODUCT(INDIRECT(ADDRESS(3,ROW()-31,1)):INDIRECT(ADDRESS(22,ROW()-31,1)),O$3:O$22),"")</f>
        <v>6</v>
      </c>
      <c r="P63">
        <f ca="1">IF(AND(((COLUMN()-10)&lt;=playercnt),((ROW()-41)&lt;=playercnt)),SUMPRODUCT(INDIRECT(ADDRESS(3,ROW()-31,1)):INDIRECT(ADDRESS(22,ROW()-31,1)),P$3:P$22),"")</f>
        <v>5</v>
      </c>
      <c r="Q63">
        <f ca="1">IF(AND(((COLUMN()-10)&lt;=playercnt),((ROW()-41)&lt;=playercnt)),SUMPRODUCT(INDIRECT(ADDRESS(3,ROW()-31,1)):INDIRECT(ADDRESS(22,ROW()-31,1)),Q$3:Q$22),"")</f>
        <v>5</v>
      </c>
      <c r="R63">
        <f ca="1">IF(AND(((COLUMN()-10)&lt;=playercnt),((ROW()-41)&lt;=playercnt)),SUMPRODUCT(INDIRECT(ADDRESS(3,ROW()-31,1)):INDIRECT(ADDRESS(22,ROW()-31,1)),R$3:R$22),"")</f>
        <v>5</v>
      </c>
      <c r="S63">
        <f ca="1">IF(AND(((COLUMN()-10)&lt;=playercnt),((ROW()-41)&lt;=playercnt)),SUMPRODUCT(INDIRECT(ADDRESS(3,ROW()-31,1)):INDIRECT(ADDRESS(22,ROW()-31,1)),S$3:S$22),"")</f>
        <v>5</v>
      </c>
      <c r="T63">
        <f ca="1">IF(AND(((COLUMN()-10)&lt;=playercnt),((ROW()-41)&lt;=playercnt)),SUMPRODUCT(INDIRECT(ADDRESS(3,ROW()-31,1)):INDIRECT(ADDRESS(22,ROW()-31,1)),T$3:T$22),"")</f>
        <v>3</v>
      </c>
      <c r="U63">
        <f ca="1">IF(AND(((COLUMN()-10)&lt;=playercnt),((ROW()-41)&lt;=playercnt)),SUMPRODUCT(INDIRECT(ADDRESS(3,ROW()-31,1)):INDIRECT(ADDRESS(22,ROW()-31,1)),U$3:U$22),"")</f>
        <v>2</v>
      </c>
      <c r="V63">
        <f ca="1">IF(AND(((COLUMN()-10)&lt;=playercnt),((ROW()-41)&lt;=playercnt)),SUMPRODUCT(INDIRECT(ADDRESS(3,ROW()-31,1)):INDIRECT(ADDRESS(22,ROW()-31,1)),V$3:V$22),"")</f>
        <v>7</v>
      </c>
      <c r="W63">
        <f ca="1">IF(AND(((COLUMN()-10)&lt;=playercnt),((ROW()-41)&lt;=playercnt)),SUMPRODUCT(INDIRECT(ADDRESS(3,ROW()-31,1)):INDIRECT(ADDRESS(22,ROW()-31,1)),W$3:W$22),"")</f>
        <v>7</v>
      </c>
      <c r="X63">
        <f ca="1">IF(AND(((COLUMN()-10)&lt;=playercnt),((ROW()-41)&lt;=playercnt)),SUMPRODUCT(INDIRECT(ADDRESS(3,ROW()-31,1)):INDIRECT(ADDRESS(22,ROW()-31,1)),X$3:X$22),"")</f>
        <v>7</v>
      </c>
      <c r="Y63">
        <f ca="1">IF(AND(((COLUMN()-10)&lt;=playercnt),((ROW()-41)&lt;=playercnt)),SUMPRODUCT(INDIRECT(ADDRESS(3,ROW()-31,1)):INDIRECT(ADDRESS(22,ROW()-31,1)),Y$3:Y$22),"")</f>
        <v>4</v>
      </c>
      <c r="Z63">
        <f ca="1">IF(AND(((COLUMN()-10)&lt;=playercnt),((ROW()-41)&lt;=playercnt)),SUMPRODUCT(INDIRECT(ADDRESS(3,ROW()-31,1)):INDIRECT(ADDRESS(22,ROW()-31,1)),Z$3:Z$22),"")</f>
        <v>6</v>
      </c>
      <c r="AA63">
        <f ca="1">IF(AND(((COLUMN()-10)&lt;=playercnt),((ROW()-41)&lt;=playercnt)),SUMPRODUCT(INDIRECT(ADDRESS(3,ROW()-31,1)):INDIRECT(ADDRESS(22,ROW()-31,1)),AA$3:AA$22),"")</f>
        <v>6</v>
      </c>
      <c r="AB63">
        <f ca="1">IF(AND(((COLUMN()-10)&lt;=playercnt),((ROW()-41)&lt;=playercnt)),SUMPRODUCT(INDIRECT(ADDRESS(3,ROW()-31,1)):INDIRECT(ADDRESS(22,ROW()-31,1)),AB$3:AB$22),"")</f>
        <v>4</v>
      </c>
      <c r="AC63">
        <f ca="1">IF(AND(((COLUMN()-10)&lt;=playercnt),((ROW()-41)&lt;=playercnt)),SUMPRODUCT(INDIRECT(ADDRESS(3,ROW()-31,1)):INDIRECT(ADDRESS(22,ROW()-31,1)),AC$3:AC$22),"")</f>
        <v>3</v>
      </c>
      <c r="AD63">
        <f ca="1">IF(AND(((COLUMN()-10)&lt;=playercnt),((ROW()-41)&lt;=playercnt)),SUMPRODUCT(INDIRECT(ADDRESS(3,ROW()-31,1)):INDIRECT(ADDRESS(22,ROW()-31,1)),AD$3:AD$22),"")</f>
        <v>6</v>
      </c>
      <c r="AE63">
        <f ca="1">IF(AND(((COLUMN()-10)&lt;=playercnt),((ROW()-41)&lt;=playercnt)),SUMPRODUCT(INDIRECT(ADDRESS(3,ROW()-31,1)):INDIRECT(ADDRESS(22,ROW()-31,1)),AE$3:AE$22),"")</f>
        <v>4</v>
      </c>
      <c r="AF63">
        <f ca="1">IF(AND(((COLUMN()-10)&lt;=playercnt),((ROW()-41)&lt;=playercnt)),SUMPRODUCT(INDIRECT(ADDRESS(3,ROW()-31,1)):INDIRECT(ADDRESS(22,ROW()-31,1)),AF$3:AF$22),"")</f>
        <v>10</v>
      </c>
      <c r="AG63">
        <f ca="1">IF(AND(((COLUMN()-10)&lt;=playercnt),((ROW()-41)&lt;=playercnt)),SUMPRODUCT(INDIRECT(ADDRESS(3,ROW()-31,1)):INDIRECT(ADDRESS(22,ROW()-31,1)),AG$3:AG$22),"")</f>
        <v>6</v>
      </c>
      <c r="AH63">
        <f ca="1">IF(AND(((COLUMN()-10)&lt;=playercnt),((ROW()-41)&lt;=playercnt)),SUMPRODUCT(INDIRECT(ADDRESS(3,ROW()-31,1)):INDIRECT(ADDRESS(22,ROW()-31,1)),AH$3:AH$22),"")</f>
        <v>6</v>
      </c>
      <c r="AI63">
        <f ca="1">IF(AND(((COLUMN()-10)&lt;=playercnt),((ROW()-41)&lt;=playercnt)),SUMPRODUCT(INDIRECT(ADDRESS(3,ROW()-31,1)):INDIRECT(ADDRESS(22,ROW()-31,1)),AI$3:AI$22),"")</f>
        <v>7</v>
      </c>
      <c r="AJ63">
        <f ca="1">IF(AND(((COLUMN()-10)&lt;=playercnt),((ROW()-41)&lt;=playercnt)),SUMPRODUCT(INDIRECT(ADDRESS(3,ROW()-31,1)):INDIRECT(ADDRESS(22,ROW()-31,1)),AJ$3:AJ$22),"")</f>
        <v>4</v>
      </c>
      <c r="AK63">
        <f ca="1">IF(AND(((COLUMN()-10)&lt;=playercnt),((ROW()-41)&lt;=playercnt)),SUMPRODUCT(INDIRECT(ADDRESS(3,ROW()-31,1)):INDIRECT(ADDRESS(22,ROW()-31,1)),AK$3:AK$22),"")</f>
        <v>4</v>
      </c>
      <c r="AL63">
        <f ca="1">IF(AND(((COLUMN()-10)&lt;=playercnt),((ROW()-41)&lt;=playercnt)),SUMPRODUCT(INDIRECT(ADDRESS(3,ROW()-31,1)):INDIRECT(ADDRESS(22,ROW()-31,1)),AL$3:AL$22),"")</f>
        <v>4</v>
      </c>
      <c r="AM63">
        <f ca="1">IF(AND(((COLUMN()-10)&lt;=playercnt),((ROW()-41)&lt;=playercnt)),SUMPRODUCT(INDIRECT(ADDRESS(3,ROW()-31,1)):INDIRECT(ADDRESS(22,ROW()-31,1)),AM$3:AM$22),"")</f>
        <v>5</v>
      </c>
      <c r="AN63">
        <f ca="1">IF(AND(((COLUMN()-10)&lt;=playercnt),((ROW()-41)&lt;=playercnt)),SUMPRODUCT(INDIRECT(ADDRESS(3,ROW()-31,1)):INDIRECT(ADDRESS(22,ROW()-31,1)),AN$3:AN$22),"")</f>
        <v>6</v>
      </c>
      <c r="AO63">
        <f ca="1">IF(AND(((COLUMN()-10)&lt;=playercnt),((ROW()-41)&lt;=playercnt)),SUMPRODUCT(INDIRECT(ADDRESS(3,ROW()-31,1)):INDIRECT(ADDRESS(22,ROW()-31,1)),AO$3:AO$22),"")</f>
        <v>4</v>
      </c>
      <c r="AP63">
        <f ca="1">IF(AND(((COLUMN()-10)&lt;=playercnt),((ROW()-41)&lt;=playercnt)),SUMPRODUCT(INDIRECT(ADDRESS(3,ROW()-31,1)):INDIRECT(ADDRESS(22,ROW()-31,1)),AP$3:AP$22),"")</f>
        <v>3</v>
      </c>
      <c r="AQ63">
        <f ca="1">IF(AND(((COLUMN()-10)&lt;=playercnt),((ROW()-41)&lt;=playercnt)),SUMPRODUCT(INDIRECT(ADDRESS(3,ROW()-31,1)):INDIRECT(ADDRESS(22,ROW()-31,1)),AQ$3:AQ$22),"")</f>
        <v>3</v>
      </c>
      <c r="AR63">
        <f ca="1">IF(AND(((COLUMN()-10)&lt;=playercnt),((ROW()-41)&lt;=playercnt)),SUMPRODUCT(INDIRECT(ADDRESS(3,ROW()-31,1)):INDIRECT(ADDRESS(22,ROW()-31,1)),AR$3:AR$22),"")</f>
        <v>6</v>
      </c>
      <c r="AS63">
        <f ca="1">IF(AND(((COLUMN()-10)&lt;=playercnt),((ROW()-41)&lt;=playercnt)),SUMPRODUCT(INDIRECT(ADDRESS(3,ROW()-31,1)):INDIRECT(ADDRESS(22,ROW()-31,1)),AS$3:AS$22),"")</f>
        <v>6</v>
      </c>
      <c r="AT63">
        <f ca="1">IF(AND(((COLUMN()-10)&lt;=playercnt),((ROW()-41)&lt;=playercnt)),SUMPRODUCT(INDIRECT(ADDRESS(3,ROW()-31,1)):INDIRECT(ADDRESS(22,ROW()-31,1)),AT$3:AT$22),"")</f>
        <v>3</v>
      </c>
      <c r="AU63">
        <f ca="1">IF(AND(((COLUMN()-10)&lt;=playercnt),((ROW()-41)&lt;=playercnt)),SUMPRODUCT(INDIRECT(ADDRESS(3,ROW()-31,1)):INDIRECT(ADDRESS(22,ROW()-31,1)),AU$3:AU$22),"")</f>
        <v>7</v>
      </c>
      <c r="AV63">
        <f ca="1">IF(AND(((COLUMN()-10)&lt;=playercnt),((ROW()-41)&lt;=playercnt)),SUMPRODUCT(INDIRECT(ADDRESS(3,ROW()-31,1)):INDIRECT(ADDRESS(22,ROW()-31,1)),AV$3:AV$22),"")</f>
        <v>5</v>
      </c>
      <c r="AW63">
        <f ca="1">IF(AND(((COLUMN()-10)&lt;=playercnt),((ROW()-41)&lt;=playercnt)),SUMPRODUCT(INDIRECT(ADDRESS(3,ROW()-31,1)):INDIRECT(ADDRESS(22,ROW()-31,1)),AW$3:AW$22),"")</f>
        <v>5</v>
      </c>
      <c r="AX63">
        <f ca="1">IF(AND(((COLUMN()-10)&lt;=playercnt),((ROW()-41)&lt;=playercnt)),SUMPRODUCT(INDIRECT(ADDRESS(3,ROW()-31,1)):INDIRECT(ADDRESS(22,ROW()-31,1)),AX$3:AX$22),"")</f>
        <v>3</v>
      </c>
      <c r="AY63">
        <f ca="1">IF(AND(((COLUMN()-10)&lt;=playercnt),((ROW()-41)&lt;=playercnt)),SUMPRODUCT(INDIRECT(ADDRESS(3,ROW()-31,1)):INDIRECT(ADDRESS(22,ROW()-31,1)),AY$3:AY$22),"")</f>
        <v>5</v>
      </c>
      <c r="AZ63">
        <f ca="1">IF(AND(((COLUMN()-10)&lt;=playercnt),((ROW()-41)&lt;=playercnt)),SUMPRODUCT(INDIRECT(ADDRESS(3,ROW()-31,1)):INDIRECT(ADDRESS(22,ROW()-31,1)),AZ$3:AZ$22),"")</f>
        <v>6</v>
      </c>
      <c r="BA63">
        <f ca="1">IF(AND(((COLUMN()-10)&lt;=playercnt),((ROW()-41)&lt;=playercnt)),SUMPRODUCT(INDIRECT(ADDRESS(3,ROW()-31,1)):INDIRECT(ADDRESS(22,ROW()-31,1)),BA$3:BA$22),"")</f>
        <v>3</v>
      </c>
      <c r="BB63">
        <f ca="1">IF(AND(((COLUMN()-10)&lt;=playercnt),((ROW()-41)&lt;=playercnt)),SUMPRODUCT(INDIRECT(ADDRESS(3,ROW()-31,1)):INDIRECT(ADDRESS(22,ROW()-31,1)),BB$3:BB$22),"")</f>
        <v>4</v>
      </c>
      <c r="BC63">
        <f ca="1">IF(AND(((COLUMN()-10)&lt;=playercnt),((ROW()-41)&lt;=playercnt)),SUMPRODUCT(INDIRECT(ADDRESS(3,ROW()-31,1)):INDIRECT(ADDRESS(22,ROW()-31,1)),BC$3:BC$22),"")</f>
        <v>4</v>
      </c>
      <c r="BD63">
        <f ca="1">IF(AND(((COLUMN()-10)&lt;=playercnt),((ROW()-41)&lt;=playercnt)),SUMPRODUCT(INDIRECT(ADDRESS(3,ROW()-31,1)):INDIRECT(ADDRESS(22,ROW()-31,1)),BD$3:BD$22),"")</f>
        <v>5</v>
      </c>
      <c r="BE63">
        <f ca="1">IF(AND(((COLUMN()-10)&lt;=playercnt),((ROW()-41)&lt;=playercnt)),SUMPRODUCT(INDIRECT(ADDRESS(3,ROW()-31,1)):INDIRECT(ADDRESS(22,ROW()-31,1)),BE$3:BE$22),"")</f>
        <v>4</v>
      </c>
      <c r="BF63">
        <f ca="1">IF(AND(((COLUMN()-10)&lt;=playercnt),((ROW()-41)&lt;=playercnt)),SUMPRODUCT(INDIRECT(ADDRESS(3,ROW()-31,1)):INDIRECT(ADDRESS(22,ROW()-31,1)),BF$3:BF$22),"")</f>
        <v>4</v>
      </c>
      <c r="BG63">
        <f ca="1">IF(AND(((COLUMN()-10)&lt;=playercnt),((ROW()-41)&lt;=playercnt)),SUMPRODUCT(INDIRECT(ADDRESS(3,ROW()-31,1)):INDIRECT(ADDRESS(22,ROW()-31,1)),BG$3:BG$22),"")</f>
        <v>5</v>
      </c>
      <c r="BH63">
        <f ca="1">IF(AND(((COLUMN()-10)&lt;=playercnt),((ROW()-41)&lt;=playercnt)),SUMPRODUCT(INDIRECT(ADDRESS(3,ROW()-31,1)):INDIRECT(ADDRESS(22,ROW()-31,1)),BH$3:BH$22),"")</f>
        <v>4</v>
      </c>
      <c r="BI63">
        <f ca="1">IF(AND(((COLUMN()-10)&lt;=playercnt),((ROW()-41)&lt;=playercnt)),SUMPRODUCT(INDIRECT(ADDRESS(3,ROW()-31,1)):INDIRECT(ADDRESS(22,ROW()-31,1)),BI$3:BI$22),"")</f>
        <v>7</v>
      </c>
      <c r="BJ63">
        <f ca="1">IF(AND(((COLUMN()-10)&lt;=playercnt),((ROW()-41)&lt;=playercnt)),SUMPRODUCT(INDIRECT(ADDRESS(3,ROW()-31,1)):INDIRECT(ADDRESS(22,ROW()-31,1)),BJ$3:BJ$22),"")</f>
        <v>5</v>
      </c>
      <c r="BK63">
        <f ca="1">IF(AND(((COLUMN()-10)&lt;=playercnt),((ROW()-41)&lt;=playercnt)),SUMPRODUCT(INDIRECT(ADDRESS(3,ROW()-31,1)):INDIRECT(ADDRESS(22,ROW()-31,1)),BK$3:BK$22),"")</f>
        <v>4</v>
      </c>
      <c r="BL63">
        <f ca="1">IF(AND(((COLUMN()-10)&lt;=playercnt),((ROW()-41)&lt;=playercnt)),SUMPRODUCT(INDIRECT(ADDRESS(3,ROW()-31,1)):INDIRECT(ADDRESS(22,ROW()-31,1)),BL$3:BL$22),"")</f>
        <v>4</v>
      </c>
      <c r="BM63">
        <f ca="1">IF(AND(((COLUMN()-10)&lt;=playercnt),((ROW()-41)&lt;=playercnt)),SUMPRODUCT(INDIRECT(ADDRESS(3,ROW()-31,1)):INDIRECT(ADDRESS(22,ROW()-31,1)),BM$3:BM$22),"")</f>
        <v>4</v>
      </c>
      <c r="BN63">
        <f ca="1">IF(AND(((COLUMN()-10)&lt;=playercnt),((ROW()-41)&lt;=playercnt)),SUMPRODUCT(INDIRECT(ADDRESS(3,ROW()-31,1)):INDIRECT(ADDRESS(22,ROW()-31,1)),BN$3:BN$22),"")</f>
        <v>4</v>
      </c>
    </row>
    <row r="64" spans="1:66">
      <c r="B64" s="27">
        <f t="shared" ca="1" si="23"/>
        <v>5.581818181818182</v>
      </c>
      <c r="C64" t="str">
        <f t="shared" ca="1" si="24"/>
        <v>Johnson, Creed D</v>
      </c>
      <c r="G64">
        <f ca="1">IF(AND(((COLUMN()-10)&lt;=playercnt),((ROW()-41)&lt;=playercnt)),SUMPRODUCT(INDIRECT(ADDRESS(3,ROW()-31,1)):INDIRECT(ADDRESS(22,ROW()-31,1)),G$3:G$22),"")</f>
        <v>3</v>
      </c>
      <c r="H64">
        <f ca="1">IF(AND(((COLUMN()-10)&lt;=playercnt),((ROW()-41)&lt;=playercnt)),SUMPRODUCT(INDIRECT(ADDRESS(3,ROW()-31,1)):INDIRECT(ADDRESS(22,ROW()-31,1)),H$3:H$22),"")</f>
        <v>4</v>
      </c>
      <c r="I64">
        <f ca="1">IF(AND(((COLUMN()-10)&lt;=playercnt),((ROW()-41)&lt;=playercnt)),SUMPRODUCT(INDIRECT(ADDRESS(3,ROW()-31,1)):INDIRECT(ADDRESS(22,ROW()-31,1)),I$3:I$22),"")</f>
        <v>8</v>
      </c>
      <c r="J64">
        <f ca="1">IF(AND(((COLUMN()-10)&lt;=playercnt),((ROW()-41)&lt;=playercnt)),SUMPRODUCT(INDIRECT(ADDRESS(3,ROW()-31,1)):INDIRECT(ADDRESS(22,ROW()-31,1)),J$3:J$22),"")</f>
        <v>0</v>
      </c>
      <c r="K64">
        <f ca="1">IF(AND(((COLUMN()-10)&lt;=playercnt),((ROW()-41)&lt;=playercnt)),SUMPRODUCT(INDIRECT(ADDRESS(3,ROW()-31,1)):INDIRECT(ADDRESS(22,ROW()-31,1)),K$3:K$22),"")</f>
        <v>5</v>
      </c>
      <c r="L64">
        <f ca="1">IF(AND(((COLUMN()-10)&lt;=playercnt),((ROW()-41)&lt;=playercnt)),SUMPRODUCT(INDIRECT(ADDRESS(3,ROW()-31,1)):INDIRECT(ADDRESS(22,ROW()-31,1)),L$3:L$22),"")</f>
        <v>6</v>
      </c>
      <c r="M64">
        <f ca="1">IF(AND(((COLUMN()-10)&lt;=playercnt),((ROW()-41)&lt;=playercnt)),SUMPRODUCT(INDIRECT(ADDRESS(3,ROW()-31,1)):INDIRECT(ADDRESS(22,ROW()-31,1)),M$3:M$22),"")</f>
        <v>6</v>
      </c>
      <c r="N64">
        <f ca="1">IF(AND(((COLUMN()-10)&lt;=playercnt),((ROW()-41)&lt;=playercnt)),SUMPRODUCT(INDIRECT(ADDRESS(3,ROW()-31,1)):INDIRECT(ADDRESS(22,ROW()-31,1)),N$3:N$22),"")</f>
        <v>4</v>
      </c>
      <c r="O64">
        <f ca="1">IF(AND(((COLUMN()-10)&lt;=playercnt),((ROW()-41)&lt;=playercnt)),SUMPRODUCT(INDIRECT(ADDRESS(3,ROW()-31,1)):INDIRECT(ADDRESS(22,ROW()-31,1)),O$3:O$22),"")</f>
        <v>6</v>
      </c>
      <c r="P64">
        <f ca="1">IF(AND(((COLUMN()-10)&lt;=playercnt),((ROW()-41)&lt;=playercnt)),SUMPRODUCT(INDIRECT(ADDRESS(3,ROW()-31,1)):INDIRECT(ADDRESS(22,ROW()-31,1)),P$3:P$22),"")</f>
        <v>3</v>
      </c>
      <c r="Q64">
        <f ca="1">IF(AND(((COLUMN()-10)&lt;=playercnt),((ROW()-41)&lt;=playercnt)),SUMPRODUCT(INDIRECT(ADDRESS(3,ROW()-31,1)):INDIRECT(ADDRESS(22,ROW()-31,1)),Q$3:Q$22),"")</f>
        <v>7</v>
      </c>
      <c r="R64">
        <f ca="1">IF(AND(((COLUMN()-10)&lt;=playercnt),((ROW()-41)&lt;=playercnt)),SUMPRODUCT(INDIRECT(ADDRESS(3,ROW()-31,1)):INDIRECT(ADDRESS(22,ROW()-31,1)),R$3:R$22),"")</f>
        <v>7</v>
      </c>
      <c r="S64">
        <f ca="1">IF(AND(((COLUMN()-10)&lt;=playercnt),((ROW()-41)&lt;=playercnt)),SUMPRODUCT(INDIRECT(ADDRESS(3,ROW()-31,1)):INDIRECT(ADDRESS(22,ROW()-31,1)),S$3:S$22),"")</f>
        <v>7</v>
      </c>
      <c r="T64">
        <f ca="1">IF(AND(((COLUMN()-10)&lt;=playercnt),((ROW()-41)&lt;=playercnt)),SUMPRODUCT(INDIRECT(ADDRESS(3,ROW()-31,1)):INDIRECT(ADDRESS(22,ROW()-31,1)),T$3:T$22),"")</f>
        <v>5</v>
      </c>
      <c r="U64">
        <f ca="1">IF(AND(((COLUMN()-10)&lt;=playercnt),((ROW()-41)&lt;=playercnt)),SUMPRODUCT(INDIRECT(ADDRESS(3,ROW()-31,1)):INDIRECT(ADDRESS(22,ROW()-31,1)),U$3:U$22),"")</f>
        <v>6</v>
      </c>
      <c r="V64">
        <f ca="1">IF(AND(((COLUMN()-10)&lt;=playercnt),((ROW()-41)&lt;=playercnt)),SUMPRODUCT(INDIRECT(ADDRESS(3,ROW()-31,1)):INDIRECT(ADDRESS(22,ROW()-31,1)),V$3:V$22),"")</f>
        <v>7</v>
      </c>
      <c r="W64">
        <f ca="1">IF(AND(((COLUMN()-10)&lt;=playercnt),((ROW()-41)&lt;=playercnt)),SUMPRODUCT(INDIRECT(ADDRESS(3,ROW()-31,1)):INDIRECT(ADDRESS(22,ROW()-31,1)),W$3:W$22),"")</f>
        <v>7</v>
      </c>
      <c r="X64">
        <f ca="1">IF(AND(((COLUMN()-10)&lt;=playercnt),((ROW()-41)&lt;=playercnt)),SUMPRODUCT(INDIRECT(ADDRESS(3,ROW()-31,1)):INDIRECT(ADDRESS(22,ROW()-31,1)),X$3:X$22),"")</f>
        <v>7</v>
      </c>
      <c r="Y64">
        <f ca="1">IF(AND(((COLUMN()-10)&lt;=playercnt),((ROW()-41)&lt;=playercnt)),SUMPRODUCT(INDIRECT(ADDRESS(3,ROW()-31,1)):INDIRECT(ADDRESS(22,ROW()-31,1)),Y$3:Y$22),"")</f>
        <v>6</v>
      </c>
      <c r="Z64">
        <f ca="1">IF(AND(((COLUMN()-10)&lt;=playercnt),((ROW()-41)&lt;=playercnt)),SUMPRODUCT(INDIRECT(ADDRESS(3,ROW()-31,1)):INDIRECT(ADDRESS(22,ROW()-31,1)),Z$3:Z$22),"")</f>
        <v>4</v>
      </c>
      <c r="AA64">
        <f ca="1">IF(AND(((COLUMN()-10)&lt;=playercnt),((ROW()-41)&lt;=playercnt)),SUMPRODUCT(INDIRECT(ADDRESS(3,ROW()-31,1)):INDIRECT(ADDRESS(22,ROW()-31,1)),AA$3:AA$22),"")</f>
        <v>4</v>
      </c>
      <c r="AB64">
        <f ca="1">IF(AND(((COLUMN()-10)&lt;=playercnt),((ROW()-41)&lt;=playercnt)),SUMPRODUCT(INDIRECT(ADDRESS(3,ROW()-31,1)):INDIRECT(ADDRESS(22,ROW()-31,1)),AB$3:AB$22),"")</f>
        <v>6</v>
      </c>
      <c r="AC64">
        <f ca="1">IF(AND(((COLUMN()-10)&lt;=playercnt),((ROW()-41)&lt;=playercnt)),SUMPRODUCT(INDIRECT(ADDRESS(3,ROW()-31,1)):INDIRECT(ADDRESS(22,ROW()-31,1)),AC$3:AC$22),"")</f>
        <v>7</v>
      </c>
      <c r="AD64">
        <f ca="1">IF(AND(((COLUMN()-10)&lt;=playercnt),((ROW()-41)&lt;=playercnt)),SUMPRODUCT(INDIRECT(ADDRESS(3,ROW()-31,1)):INDIRECT(ADDRESS(22,ROW()-31,1)),AD$3:AD$22),"")</f>
        <v>6</v>
      </c>
      <c r="AE64">
        <f ca="1">IF(AND(((COLUMN()-10)&lt;=playercnt),((ROW()-41)&lt;=playercnt)),SUMPRODUCT(INDIRECT(ADDRESS(3,ROW()-31,1)):INDIRECT(ADDRESS(22,ROW()-31,1)),AE$3:AE$22),"")</f>
        <v>4</v>
      </c>
      <c r="AF64">
        <f ca="1">IF(AND(((COLUMN()-10)&lt;=playercnt),((ROW()-41)&lt;=playercnt)),SUMPRODUCT(INDIRECT(ADDRESS(3,ROW()-31,1)):INDIRECT(ADDRESS(22,ROW()-31,1)),AF$3:AF$22),"")</f>
        <v>6</v>
      </c>
      <c r="AG64">
        <f ca="1">IF(AND(((COLUMN()-10)&lt;=playercnt),((ROW()-41)&lt;=playercnt)),SUMPRODUCT(INDIRECT(ADDRESS(3,ROW()-31,1)):INDIRECT(ADDRESS(22,ROW()-31,1)),AG$3:AG$22),"")</f>
        <v>10</v>
      </c>
      <c r="AH64">
        <f ca="1">IF(AND(((COLUMN()-10)&lt;=playercnt),((ROW()-41)&lt;=playercnt)),SUMPRODUCT(INDIRECT(ADDRESS(3,ROW()-31,1)):INDIRECT(ADDRESS(22,ROW()-31,1)),AH$3:AH$22),"")</f>
        <v>6</v>
      </c>
      <c r="AI64">
        <f ca="1">IF(AND(((COLUMN()-10)&lt;=playercnt),((ROW()-41)&lt;=playercnt)),SUMPRODUCT(INDIRECT(ADDRESS(3,ROW()-31,1)):INDIRECT(ADDRESS(22,ROW()-31,1)),AI$3:AI$22),"")</f>
        <v>5</v>
      </c>
      <c r="AJ64">
        <f ca="1">IF(AND(((COLUMN()-10)&lt;=playercnt),((ROW()-41)&lt;=playercnt)),SUMPRODUCT(INDIRECT(ADDRESS(3,ROW()-31,1)):INDIRECT(ADDRESS(22,ROW()-31,1)),AJ$3:AJ$22),"")</f>
        <v>6</v>
      </c>
      <c r="AK64">
        <f ca="1">IF(AND(((COLUMN()-10)&lt;=playercnt),((ROW()-41)&lt;=playercnt)),SUMPRODUCT(INDIRECT(ADDRESS(3,ROW()-31,1)):INDIRECT(ADDRESS(22,ROW()-31,1)),AK$3:AK$22),"")</f>
        <v>8</v>
      </c>
      <c r="AL64">
        <f ca="1">IF(AND(((COLUMN()-10)&lt;=playercnt),((ROW()-41)&lt;=playercnt)),SUMPRODUCT(INDIRECT(ADDRESS(3,ROW()-31,1)):INDIRECT(ADDRESS(22,ROW()-31,1)),AL$3:AL$22),"")</f>
        <v>4</v>
      </c>
      <c r="AM64">
        <f ca="1">IF(AND(((COLUMN()-10)&lt;=playercnt),((ROW()-41)&lt;=playercnt)),SUMPRODUCT(INDIRECT(ADDRESS(3,ROW()-31,1)):INDIRECT(ADDRESS(22,ROW()-31,1)),AM$3:AM$22),"")</f>
        <v>5</v>
      </c>
      <c r="AN64">
        <f ca="1">IF(AND(((COLUMN()-10)&lt;=playercnt),((ROW()-41)&lt;=playercnt)),SUMPRODUCT(INDIRECT(ADDRESS(3,ROW()-31,1)):INDIRECT(ADDRESS(22,ROW()-31,1)),AN$3:AN$22),"")</f>
        <v>6</v>
      </c>
      <c r="AO64">
        <f ca="1">IF(AND(((COLUMN()-10)&lt;=playercnt),((ROW()-41)&lt;=playercnt)),SUMPRODUCT(INDIRECT(ADDRESS(3,ROW()-31,1)):INDIRECT(ADDRESS(22,ROW()-31,1)),AO$3:AO$22),"")</f>
        <v>4</v>
      </c>
      <c r="AP64">
        <f ca="1">IF(AND(((COLUMN()-10)&lt;=playercnt),((ROW()-41)&lt;=playercnt)),SUMPRODUCT(INDIRECT(ADDRESS(3,ROW()-31,1)):INDIRECT(ADDRESS(22,ROW()-31,1)),AP$3:AP$22),"")</f>
        <v>5</v>
      </c>
      <c r="AQ64">
        <f ca="1">IF(AND(((COLUMN()-10)&lt;=playercnt),((ROW()-41)&lt;=playercnt)),SUMPRODUCT(INDIRECT(ADDRESS(3,ROW()-31,1)):INDIRECT(ADDRESS(22,ROW()-31,1)),AQ$3:AQ$22),"")</f>
        <v>3</v>
      </c>
      <c r="AR64">
        <f ca="1">IF(AND(((COLUMN()-10)&lt;=playercnt),((ROW()-41)&lt;=playercnt)),SUMPRODUCT(INDIRECT(ADDRESS(3,ROW()-31,1)):INDIRECT(ADDRESS(22,ROW()-31,1)),AR$3:AR$22),"")</f>
        <v>6</v>
      </c>
      <c r="AS64">
        <f ca="1">IF(AND(((COLUMN()-10)&lt;=playercnt),((ROW()-41)&lt;=playercnt)),SUMPRODUCT(INDIRECT(ADDRESS(3,ROW()-31,1)):INDIRECT(ADDRESS(22,ROW()-31,1)),AS$3:AS$22),"")</f>
        <v>4</v>
      </c>
      <c r="AT64">
        <f ca="1">IF(AND(((COLUMN()-10)&lt;=playercnt),((ROW()-41)&lt;=playercnt)),SUMPRODUCT(INDIRECT(ADDRESS(3,ROW()-31,1)):INDIRECT(ADDRESS(22,ROW()-31,1)),AT$3:AT$22),"")</f>
        <v>5</v>
      </c>
      <c r="AU64">
        <f ca="1">IF(AND(((COLUMN()-10)&lt;=playercnt),((ROW()-41)&lt;=playercnt)),SUMPRODUCT(INDIRECT(ADDRESS(3,ROW()-31,1)):INDIRECT(ADDRESS(22,ROW()-31,1)),AU$3:AU$22),"")</f>
        <v>5</v>
      </c>
      <c r="AV64">
        <f ca="1">IF(AND(((COLUMN()-10)&lt;=playercnt),((ROW()-41)&lt;=playercnt)),SUMPRODUCT(INDIRECT(ADDRESS(3,ROW()-31,1)):INDIRECT(ADDRESS(22,ROW()-31,1)),AV$3:AV$22),"")</f>
        <v>7</v>
      </c>
      <c r="AW64">
        <f ca="1">IF(AND(((COLUMN()-10)&lt;=playercnt),((ROW()-41)&lt;=playercnt)),SUMPRODUCT(INDIRECT(ADDRESS(3,ROW()-31,1)):INDIRECT(ADDRESS(22,ROW()-31,1)),AW$3:AW$22),"")</f>
        <v>7</v>
      </c>
      <c r="AX64">
        <f ca="1">IF(AND(((COLUMN()-10)&lt;=playercnt),((ROW()-41)&lt;=playercnt)),SUMPRODUCT(INDIRECT(ADDRESS(3,ROW()-31,1)):INDIRECT(ADDRESS(22,ROW()-31,1)),AX$3:AX$22),"")</f>
        <v>7</v>
      </c>
      <c r="AY64">
        <f ca="1">IF(AND(((COLUMN()-10)&lt;=playercnt),((ROW()-41)&lt;=playercnt)),SUMPRODUCT(INDIRECT(ADDRESS(3,ROW()-31,1)):INDIRECT(ADDRESS(22,ROW()-31,1)),AY$3:AY$22),"")</f>
        <v>7</v>
      </c>
      <c r="AZ64">
        <f ca="1">IF(AND(((COLUMN()-10)&lt;=playercnt),((ROW()-41)&lt;=playercnt)),SUMPRODUCT(INDIRECT(ADDRESS(3,ROW()-31,1)):INDIRECT(ADDRESS(22,ROW()-31,1)),AZ$3:AZ$22),"")</f>
        <v>4</v>
      </c>
      <c r="BA64">
        <f ca="1">IF(AND(((COLUMN()-10)&lt;=playercnt),((ROW()-41)&lt;=playercnt)),SUMPRODUCT(INDIRECT(ADDRESS(3,ROW()-31,1)):INDIRECT(ADDRESS(22,ROW()-31,1)),BA$3:BA$22),"")</f>
        <v>7</v>
      </c>
      <c r="BB64">
        <f ca="1">IF(AND(((COLUMN()-10)&lt;=playercnt),((ROW()-41)&lt;=playercnt)),SUMPRODUCT(INDIRECT(ADDRESS(3,ROW()-31,1)):INDIRECT(ADDRESS(22,ROW()-31,1)),BB$3:BB$22),"")</f>
        <v>6</v>
      </c>
      <c r="BC64">
        <f ca="1">IF(AND(((COLUMN()-10)&lt;=playercnt),((ROW()-41)&lt;=playercnt)),SUMPRODUCT(INDIRECT(ADDRESS(3,ROW()-31,1)):INDIRECT(ADDRESS(22,ROW()-31,1)),BC$3:BC$22),"")</f>
        <v>4</v>
      </c>
      <c r="BD64">
        <f ca="1">IF(AND(((COLUMN()-10)&lt;=playercnt),((ROW()-41)&lt;=playercnt)),SUMPRODUCT(INDIRECT(ADDRESS(3,ROW()-31,1)):INDIRECT(ADDRESS(22,ROW()-31,1)),BD$3:BD$22),"")</f>
        <v>5</v>
      </c>
      <c r="BE64">
        <f ca="1">IF(AND(((COLUMN()-10)&lt;=playercnt),((ROW()-41)&lt;=playercnt)),SUMPRODUCT(INDIRECT(ADDRESS(3,ROW()-31,1)):INDIRECT(ADDRESS(22,ROW()-31,1)),BE$3:BE$22),"")</f>
        <v>8</v>
      </c>
      <c r="BF64">
        <f ca="1">IF(AND(((COLUMN()-10)&lt;=playercnt),((ROW()-41)&lt;=playercnt)),SUMPRODUCT(INDIRECT(ADDRESS(3,ROW()-31,1)):INDIRECT(ADDRESS(22,ROW()-31,1)),BF$3:BF$22),"")</f>
        <v>6</v>
      </c>
      <c r="BG64">
        <f ca="1">IF(AND(((COLUMN()-10)&lt;=playercnt),((ROW()-41)&lt;=playercnt)),SUMPRODUCT(INDIRECT(ADDRESS(3,ROW()-31,1)):INDIRECT(ADDRESS(22,ROW()-31,1)),BG$3:BG$22),"")</f>
        <v>7</v>
      </c>
      <c r="BH64">
        <f ca="1">IF(AND(((COLUMN()-10)&lt;=playercnt),((ROW()-41)&lt;=playercnt)),SUMPRODUCT(INDIRECT(ADDRESS(3,ROW()-31,1)):INDIRECT(ADDRESS(22,ROW()-31,1)),BH$3:BH$22),"")</f>
        <v>4</v>
      </c>
      <c r="BI64">
        <f ca="1">IF(AND(((COLUMN()-10)&lt;=playercnt),((ROW()-41)&lt;=playercnt)),SUMPRODUCT(INDIRECT(ADDRESS(3,ROW()-31,1)):INDIRECT(ADDRESS(22,ROW()-31,1)),BI$3:BI$22),"")</f>
        <v>5</v>
      </c>
      <c r="BJ64">
        <f ca="1">IF(AND(((COLUMN()-10)&lt;=playercnt),((ROW()-41)&lt;=playercnt)),SUMPRODUCT(INDIRECT(ADDRESS(3,ROW()-31,1)):INDIRECT(ADDRESS(22,ROW()-31,1)),BJ$3:BJ$22),"")</f>
        <v>5</v>
      </c>
      <c r="BK64">
        <f ca="1">IF(AND(((COLUMN()-10)&lt;=playercnt),((ROW()-41)&lt;=playercnt)),SUMPRODUCT(INDIRECT(ADDRESS(3,ROW()-31,1)):INDIRECT(ADDRESS(22,ROW()-31,1)),BK$3:BK$22),"")</f>
        <v>6</v>
      </c>
      <c r="BL64">
        <f ca="1">IF(AND(((COLUMN()-10)&lt;=playercnt),((ROW()-41)&lt;=playercnt)),SUMPRODUCT(INDIRECT(ADDRESS(3,ROW()-31,1)):INDIRECT(ADDRESS(22,ROW()-31,1)),BL$3:BL$22),"")</f>
        <v>6</v>
      </c>
      <c r="BM64">
        <f ca="1">IF(AND(((COLUMN()-10)&lt;=playercnt),((ROW()-41)&lt;=playercnt)),SUMPRODUCT(INDIRECT(ADDRESS(3,ROW()-31,1)):INDIRECT(ADDRESS(22,ROW()-31,1)),BM$3:BM$22),"")</f>
        <v>4</v>
      </c>
      <c r="BN64">
        <f ca="1">IF(AND(((COLUMN()-10)&lt;=playercnt),((ROW()-41)&lt;=playercnt)),SUMPRODUCT(INDIRECT(ADDRESS(3,ROW()-31,1)):INDIRECT(ADDRESS(22,ROW()-31,1)),BN$3:BN$22),"")</f>
        <v>4</v>
      </c>
    </row>
    <row r="65" spans="2:66">
      <c r="B65" s="27">
        <f t="shared" ca="1" si="23"/>
        <v>5.290909090909091</v>
      </c>
      <c r="C65" t="str">
        <f t="shared" ca="1" si="24"/>
        <v>Locklear, Dave Remote</v>
      </c>
      <c r="G65">
        <f ca="1">IF(AND(((COLUMN()-10)&lt;=playercnt),((ROW()-41)&lt;=playercnt)),SUMPRODUCT(INDIRECT(ADDRESS(3,ROW()-31,1)):INDIRECT(ADDRESS(22,ROW()-31,1)),G$3:G$22),"")</f>
        <v>7</v>
      </c>
      <c r="H65">
        <f ca="1">IF(AND(((COLUMN()-10)&lt;=playercnt),((ROW()-41)&lt;=playercnt)),SUMPRODUCT(INDIRECT(ADDRESS(3,ROW()-31,1)):INDIRECT(ADDRESS(22,ROW()-31,1)),H$3:H$22),"")</f>
        <v>4</v>
      </c>
      <c r="I65">
        <f ca="1">IF(AND(((COLUMN()-10)&lt;=playercnt),((ROW()-41)&lt;=playercnt)),SUMPRODUCT(INDIRECT(ADDRESS(3,ROW()-31,1)):INDIRECT(ADDRESS(22,ROW()-31,1)),I$3:I$22),"")</f>
        <v>6</v>
      </c>
      <c r="J65">
        <f ca="1">IF(AND(((COLUMN()-10)&lt;=playercnt),((ROW()-41)&lt;=playercnt)),SUMPRODUCT(INDIRECT(ADDRESS(3,ROW()-31,1)):INDIRECT(ADDRESS(22,ROW()-31,1)),J$3:J$22),"")</f>
        <v>0</v>
      </c>
      <c r="K65">
        <f ca="1">IF(AND(((COLUMN()-10)&lt;=playercnt),((ROW()-41)&lt;=playercnt)),SUMPRODUCT(INDIRECT(ADDRESS(3,ROW()-31,1)):INDIRECT(ADDRESS(22,ROW()-31,1)),K$3:K$22),"")</f>
        <v>5</v>
      </c>
      <c r="L65">
        <f ca="1">IF(AND(((COLUMN()-10)&lt;=playercnt),((ROW()-41)&lt;=playercnt)),SUMPRODUCT(INDIRECT(ADDRESS(3,ROW()-31,1)):INDIRECT(ADDRESS(22,ROW()-31,1)),L$3:L$22),"")</f>
        <v>6</v>
      </c>
      <c r="M65">
        <f ca="1">IF(AND(((COLUMN()-10)&lt;=playercnt),((ROW()-41)&lt;=playercnt)),SUMPRODUCT(INDIRECT(ADDRESS(3,ROW()-31,1)):INDIRECT(ADDRESS(22,ROW()-31,1)),M$3:M$22),"")</f>
        <v>8</v>
      </c>
      <c r="N65">
        <f ca="1">IF(AND(((COLUMN()-10)&lt;=playercnt),((ROW()-41)&lt;=playercnt)),SUMPRODUCT(INDIRECT(ADDRESS(3,ROW()-31,1)):INDIRECT(ADDRESS(22,ROW()-31,1)),N$3:N$22),"")</f>
        <v>2</v>
      </c>
      <c r="O65">
        <f ca="1">IF(AND(((COLUMN()-10)&lt;=playercnt),((ROW()-41)&lt;=playercnt)),SUMPRODUCT(INDIRECT(ADDRESS(3,ROW()-31,1)):INDIRECT(ADDRESS(22,ROW()-31,1)),O$3:O$22),"")</f>
        <v>6</v>
      </c>
      <c r="P65">
        <f ca="1">IF(AND(((COLUMN()-10)&lt;=playercnt),((ROW()-41)&lt;=playercnt)),SUMPRODUCT(INDIRECT(ADDRESS(3,ROW()-31,1)):INDIRECT(ADDRESS(22,ROW()-31,1)),P$3:P$22),"")</f>
        <v>5</v>
      </c>
      <c r="Q65">
        <f ca="1">IF(AND(((COLUMN()-10)&lt;=playercnt),((ROW()-41)&lt;=playercnt)),SUMPRODUCT(INDIRECT(ADDRESS(3,ROW()-31,1)):INDIRECT(ADDRESS(22,ROW()-31,1)),Q$3:Q$22),"")</f>
        <v>7</v>
      </c>
      <c r="R65">
        <f ca="1">IF(AND(((COLUMN()-10)&lt;=playercnt),((ROW()-41)&lt;=playercnt)),SUMPRODUCT(INDIRECT(ADDRESS(3,ROW()-31,1)):INDIRECT(ADDRESS(22,ROW()-31,1)),R$3:R$22),"")</f>
        <v>7</v>
      </c>
      <c r="S65">
        <f ca="1">IF(AND(((COLUMN()-10)&lt;=playercnt),((ROW()-41)&lt;=playercnt)),SUMPRODUCT(INDIRECT(ADDRESS(3,ROW()-31,1)):INDIRECT(ADDRESS(22,ROW()-31,1)),S$3:S$22),"")</f>
        <v>3</v>
      </c>
      <c r="T65">
        <f ca="1">IF(AND(((COLUMN()-10)&lt;=playercnt),((ROW()-41)&lt;=playercnt)),SUMPRODUCT(INDIRECT(ADDRESS(3,ROW()-31,1)):INDIRECT(ADDRESS(22,ROW()-31,1)),T$3:T$22),"")</f>
        <v>5</v>
      </c>
      <c r="U65">
        <f ca="1">IF(AND(((COLUMN()-10)&lt;=playercnt),((ROW()-41)&lt;=playercnt)),SUMPRODUCT(INDIRECT(ADDRESS(3,ROW()-31,1)):INDIRECT(ADDRESS(22,ROW()-31,1)),U$3:U$22),"")</f>
        <v>4</v>
      </c>
      <c r="V65">
        <f ca="1">IF(AND(((COLUMN()-10)&lt;=playercnt),((ROW()-41)&lt;=playercnt)),SUMPRODUCT(INDIRECT(ADDRESS(3,ROW()-31,1)):INDIRECT(ADDRESS(22,ROW()-31,1)),V$3:V$22),"")</f>
        <v>7</v>
      </c>
      <c r="W65">
        <f ca="1">IF(AND(((COLUMN()-10)&lt;=playercnt),((ROW()-41)&lt;=playercnt)),SUMPRODUCT(INDIRECT(ADDRESS(3,ROW()-31,1)):INDIRECT(ADDRESS(22,ROW()-31,1)),W$3:W$22),"")</f>
        <v>7</v>
      </c>
      <c r="X65">
        <f ca="1">IF(AND(((COLUMN()-10)&lt;=playercnt),((ROW()-41)&lt;=playercnt)),SUMPRODUCT(INDIRECT(ADDRESS(3,ROW()-31,1)):INDIRECT(ADDRESS(22,ROW()-31,1)),X$3:X$22),"")</f>
        <v>7</v>
      </c>
      <c r="Y65">
        <f ca="1">IF(AND(((COLUMN()-10)&lt;=playercnt),((ROW()-41)&lt;=playercnt)),SUMPRODUCT(INDIRECT(ADDRESS(3,ROW()-31,1)):INDIRECT(ADDRESS(22,ROW()-31,1)),Y$3:Y$22),"")</f>
        <v>6</v>
      </c>
      <c r="Z65">
        <f ca="1">IF(AND(((COLUMN()-10)&lt;=playercnt),((ROW()-41)&lt;=playercnt)),SUMPRODUCT(INDIRECT(ADDRESS(3,ROW()-31,1)):INDIRECT(ADDRESS(22,ROW()-31,1)),Z$3:Z$22),"")</f>
        <v>6</v>
      </c>
      <c r="AA65">
        <f ca="1">IF(AND(((COLUMN()-10)&lt;=playercnt),((ROW()-41)&lt;=playercnt)),SUMPRODUCT(INDIRECT(ADDRESS(3,ROW()-31,1)):INDIRECT(ADDRESS(22,ROW()-31,1)),AA$3:AA$22),"")</f>
        <v>4</v>
      </c>
      <c r="AB65">
        <f ca="1">IF(AND(((COLUMN()-10)&lt;=playercnt),((ROW()-41)&lt;=playercnt)),SUMPRODUCT(INDIRECT(ADDRESS(3,ROW()-31,1)):INDIRECT(ADDRESS(22,ROW()-31,1)),AB$3:AB$22),"")</f>
        <v>4</v>
      </c>
      <c r="AC65">
        <f ca="1">IF(AND(((COLUMN()-10)&lt;=playercnt),((ROW()-41)&lt;=playercnt)),SUMPRODUCT(INDIRECT(ADDRESS(3,ROW()-31,1)):INDIRECT(ADDRESS(22,ROW()-31,1)),AC$3:AC$22),"")</f>
        <v>5</v>
      </c>
      <c r="AD65">
        <f ca="1">IF(AND(((COLUMN()-10)&lt;=playercnt),((ROW()-41)&lt;=playercnt)),SUMPRODUCT(INDIRECT(ADDRESS(3,ROW()-31,1)):INDIRECT(ADDRESS(22,ROW()-31,1)),AD$3:AD$22),"")</f>
        <v>6</v>
      </c>
      <c r="AE65">
        <f ca="1">IF(AND(((COLUMN()-10)&lt;=playercnt),((ROW()-41)&lt;=playercnt)),SUMPRODUCT(INDIRECT(ADDRESS(3,ROW()-31,1)):INDIRECT(ADDRESS(22,ROW()-31,1)),AE$3:AE$22),"")</f>
        <v>4</v>
      </c>
      <c r="AF65">
        <f ca="1">IF(AND(((COLUMN()-10)&lt;=playercnt),((ROW()-41)&lt;=playercnt)),SUMPRODUCT(INDIRECT(ADDRESS(3,ROW()-31,1)):INDIRECT(ADDRESS(22,ROW()-31,1)),AF$3:AF$22),"")</f>
        <v>6</v>
      </c>
      <c r="AG65">
        <f ca="1">IF(AND(((COLUMN()-10)&lt;=playercnt),((ROW()-41)&lt;=playercnt)),SUMPRODUCT(INDIRECT(ADDRESS(3,ROW()-31,1)):INDIRECT(ADDRESS(22,ROW()-31,1)),AG$3:AG$22),"")</f>
        <v>6</v>
      </c>
      <c r="AH65">
        <f ca="1">IF(AND(((COLUMN()-10)&lt;=playercnt),((ROW()-41)&lt;=playercnt)),SUMPRODUCT(INDIRECT(ADDRESS(3,ROW()-31,1)):INDIRECT(ADDRESS(22,ROW()-31,1)),AH$3:AH$22),"")</f>
        <v>10</v>
      </c>
      <c r="AI65">
        <f ca="1">IF(AND(((COLUMN()-10)&lt;=playercnt),((ROW()-41)&lt;=playercnt)),SUMPRODUCT(INDIRECT(ADDRESS(3,ROW()-31,1)):INDIRECT(ADDRESS(22,ROW()-31,1)),AI$3:AI$22),"")</f>
        <v>5</v>
      </c>
      <c r="AJ65">
        <f ca="1">IF(AND(((COLUMN()-10)&lt;=playercnt),((ROW()-41)&lt;=playercnt)),SUMPRODUCT(INDIRECT(ADDRESS(3,ROW()-31,1)):INDIRECT(ADDRESS(22,ROW()-31,1)),AJ$3:AJ$22),"")</f>
        <v>6</v>
      </c>
      <c r="AK65">
        <f ca="1">IF(AND(((COLUMN()-10)&lt;=playercnt),((ROW()-41)&lt;=playercnt)),SUMPRODUCT(INDIRECT(ADDRESS(3,ROW()-31,1)):INDIRECT(ADDRESS(22,ROW()-31,1)),AK$3:AK$22),"")</f>
        <v>4</v>
      </c>
      <c r="AL65">
        <f ca="1">IF(AND(((COLUMN()-10)&lt;=playercnt),((ROW()-41)&lt;=playercnt)),SUMPRODUCT(INDIRECT(ADDRESS(3,ROW()-31,1)):INDIRECT(ADDRESS(22,ROW()-31,1)),AL$3:AL$22),"")</f>
        <v>4</v>
      </c>
      <c r="AM65">
        <f ca="1">IF(AND(((COLUMN()-10)&lt;=playercnt),((ROW()-41)&lt;=playercnt)),SUMPRODUCT(INDIRECT(ADDRESS(3,ROW()-31,1)):INDIRECT(ADDRESS(22,ROW()-31,1)),AM$3:AM$22),"")</f>
        <v>7</v>
      </c>
      <c r="AN65">
        <f ca="1">IF(AND(((COLUMN()-10)&lt;=playercnt),((ROW()-41)&lt;=playercnt)),SUMPRODUCT(INDIRECT(ADDRESS(3,ROW()-31,1)):INDIRECT(ADDRESS(22,ROW()-31,1)),AN$3:AN$22),"")</f>
        <v>4</v>
      </c>
      <c r="AO65">
        <f ca="1">IF(AND(((COLUMN()-10)&lt;=playercnt),((ROW()-41)&lt;=playercnt)),SUMPRODUCT(INDIRECT(ADDRESS(3,ROW()-31,1)):INDIRECT(ADDRESS(22,ROW()-31,1)),AO$3:AO$22),"")</f>
        <v>4</v>
      </c>
      <c r="AP65">
        <f ca="1">IF(AND(((COLUMN()-10)&lt;=playercnt),((ROW()-41)&lt;=playercnt)),SUMPRODUCT(INDIRECT(ADDRESS(3,ROW()-31,1)):INDIRECT(ADDRESS(22,ROW()-31,1)),AP$3:AP$22),"")</f>
        <v>5</v>
      </c>
      <c r="AQ65">
        <f ca="1">IF(AND(((COLUMN()-10)&lt;=playercnt),((ROW()-41)&lt;=playercnt)),SUMPRODUCT(INDIRECT(ADDRESS(3,ROW()-31,1)):INDIRECT(ADDRESS(22,ROW()-31,1)),AQ$3:AQ$22),"")</f>
        <v>3</v>
      </c>
      <c r="AR65">
        <f ca="1">IF(AND(((COLUMN()-10)&lt;=playercnt),((ROW()-41)&lt;=playercnt)),SUMPRODUCT(INDIRECT(ADDRESS(3,ROW()-31,1)):INDIRECT(ADDRESS(22,ROW()-31,1)),AR$3:AR$22),"")</f>
        <v>6</v>
      </c>
      <c r="AS65">
        <f ca="1">IF(AND(((COLUMN()-10)&lt;=playercnt),((ROW()-41)&lt;=playercnt)),SUMPRODUCT(INDIRECT(ADDRESS(3,ROW()-31,1)):INDIRECT(ADDRESS(22,ROW()-31,1)),AS$3:AS$22),"")</f>
        <v>6</v>
      </c>
      <c r="AT65">
        <f ca="1">IF(AND(((COLUMN()-10)&lt;=playercnt),((ROW()-41)&lt;=playercnt)),SUMPRODUCT(INDIRECT(ADDRESS(3,ROW()-31,1)):INDIRECT(ADDRESS(22,ROW()-31,1)),AT$3:AT$22),"")</f>
        <v>7</v>
      </c>
      <c r="AU65">
        <f ca="1">IF(AND(((COLUMN()-10)&lt;=playercnt),((ROW()-41)&lt;=playercnt)),SUMPRODUCT(INDIRECT(ADDRESS(3,ROW()-31,1)):INDIRECT(ADDRESS(22,ROW()-31,1)),AU$3:AU$22),"")</f>
        <v>7</v>
      </c>
      <c r="AV65">
        <f ca="1">IF(AND(((COLUMN()-10)&lt;=playercnt),((ROW()-41)&lt;=playercnt)),SUMPRODUCT(INDIRECT(ADDRESS(3,ROW()-31,1)):INDIRECT(ADDRESS(22,ROW()-31,1)),AV$3:AV$22),"")</f>
        <v>5</v>
      </c>
      <c r="AW65">
        <f ca="1">IF(AND(((COLUMN()-10)&lt;=playercnt),((ROW()-41)&lt;=playercnt)),SUMPRODUCT(INDIRECT(ADDRESS(3,ROW()-31,1)):INDIRECT(ADDRESS(22,ROW()-31,1)),AW$3:AW$22),"")</f>
        <v>5</v>
      </c>
      <c r="AX65">
        <f ca="1">IF(AND(((COLUMN()-10)&lt;=playercnt),((ROW()-41)&lt;=playercnt)),SUMPRODUCT(INDIRECT(ADDRESS(3,ROW()-31,1)):INDIRECT(ADDRESS(22,ROW()-31,1)),AX$3:AX$22),"")</f>
        <v>5</v>
      </c>
      <c r="AY65">
        <f ca="1">IF(AND(((COLUMN()-10)&lt;=playercnt),((ROW()-41)&lt;=playercnt)),SUMPRODUCT(INDIRECT(ADDRESS(3,ROW()-31,1)):INDIRECT(ADDRESS(22,ROW()-31,1)),AY$3:AY$22),"")</f>
        <v>7</v>
      </c>
      <c r="AZ65">
        <f ca="1">IF(AND(((COLUMN()-10)&lt;=playercnt),((ROW()-41)&lt;=playercnt)),SUMPRODUCT(INDIRECT(ADDRESS(3,ROW()-31,1)):INDIRECT(ADDRESS(22,ROW()-31,1)),AZ$3:AZ$22),"")</f>
        <v>8</v>
      </c>
      <c r="BA65">
        <f ca="1">IF(AND(((COLUMN()-10)&lt;=playercnt),((ROW()-41)&lt;=playercnt)),SUMPRODUCT(INDIRECT(ADDRESS(3,ROW()-31,1)):INDIRECT(ADDRESS(22,ROW()-31,1)),BA$3:BA$22),"")</f>
        <v>5</v>
      </c>
      <c r="BB65">
        <f ca="1">IF(AND(((COLUMN()-10)&lt;=playercnt),((ROW()-41)&lt;=playercnt)),SUMPRODUCT(INDIRECT(ADDRESS(3,ROW()-31,1)):INDIRECT(ADDRESS(22,ROW()-31,1)),BB$3:BB$22),"")</f>
        <v>2</v>
      </c>
      <c r="BC65">
        <f ca="1">IF(AND(((COLUMN()-10)&lt;=playercnt),((ROW()-41)&lt;=playercnt)),SUMPRODUCT(INDIRECT(ADDRESS(3,ROW()-31,1)):INDIRECT(ADDRESS(22,ROW()-31,1)),BC$3:BC$22),"")</f>
        <v>6</v>
      </c>
      <c r="BD65">
        <f ca="1">IF(AND(((COLUMN()-10)&lt;=playercnt),((ROW()-41)&lt;=playercnt)),SUMPRODUCT(INDIRECT(ADDRESS(3,ROW()-31,1)):INDIRECT(ADDRESS(22,ROW()-31,1)),BD$3:BD$22),"")</f>
        <v>5</v>
      </c>
      <c r="BE65">
        <f ca="1">IF(AND(((COLUMN()-10)&lt;=playercnt),((ROW()-41)&lt;=playercnt)),SUMPRODUCT(INDIRECT(ADDRESS(3,ROW()-31,1)):INDIRECT(ADDRESS(22,ROW()-31,1)),BE$3:BE$22),"")</f>
        <v>4</v>
      </c>
      <c r="BF65">
        <f ca="1">IF(AND(((COLUMN()-10)&lt;=playercnt),((ROW()-41)&lt;=playercnt)),SUMPRODUCT(INDIRECT(ADDRESS(3,ROW()-31,1)):INDIRECT(ADDRESS(22,ROW()-31,1)),BF$3:BF$22),"")</f>
        <v>4</v>
      </c>
      <c r="BG65">
        <f ca="1">IF(AND(((COLUMN()-10)&lt;=playercnt),((ROW()-41)&lt;=playercnt)),SUMPRODUCT(INDIRECT(ADDRESS(3,ROW()-31,1)):INDIRECT(ADDRESS(22,ROW()-31,1)),BG$3:BG$22),"")</f>
        <v>3</v>
      </c>
      <c r="BH65">
        <f ca="1">IF(AND(((COLUMN()-10)&lt;=playercnt),((ROW()-41)&lt;=playercnt)),SUMPRODUCT(INDIRECT(ADDRESS(3,ROW()-31,1)):INDIRECT(ADDRESS(22,ROW()-31,1)),BH$3:BH$22),"")</f>
        <v>4</v>
      </c>
      <c r="BI65">
        <f ca="1">IF(AND(((COLUMN()-10)&lt;=playercnt),((ROW()-41)&lt;=playercnt)),SUMPRODUCT(INDIRECT(ADDRESS(3,ROW()-31,1)):INDIRECT(ADDRESS(22,ROW()-31,1)),BI$3:BI$22),"")</f>
        <v>7</v>
      </c>
      <c r="BJ65">
        <f ca="1">IF(AND(((COLUMN()-10)&lt;=playercnt),((ROW()-41)&lt;=playercnt)),SUMPRODUCT(INDIRECT(ADDRESS(3,ROW()-31,1)):INDIRECT(ADDRESS(22,ROW()-31,1)),BJ$3:BJ$22),"")</f>
        <v>5</v>
      </c>
      <c r="BK65">
        <f ca="1">IF(AND(((COLUMN()-10)&lt;=playercnt),((ROW()-41)&lt;=playercnt)),SUMPRODUCT(INDIRECT(ADDRESS(3,ROW()-31,1)):INDIRECT(ADDRESS(22,ROW()-31,1)),BK$3:BK$22),"")</f>
        <v>2</v>
      </c>
      <c r="BL65">
        <f ca="1">IF(AND(((COLUMN()-10)&lt;=playercnt),((ROW()-41)&lt;=playercnt)),SUMPRODUCT(INDIRECT(ADDRESS(3,ROW()-31,1)):INDIRECT(ADDRESS(22,ROW()-31,1)),BL$3:BL$22),"")</f>
        <v>6</v>
      </c>
      <c r="BM65">
        <f ca="1">IF(AND(((COLUMN()-10)&lt;=playercnt),((ROW()-41)&lt;=playercnt)),SUMPRODUCT(INDIRECT(ADDRESS(3,ROW()-31,1)):INDIRECT(ADDRESS(22,ROW()-31,1)),BM$3:BM$22),"")</f>
        <v>8</v>
      </c>
      <c r="BN65">
        <f ca="1">IF(AND(((COLUMN()-10)&lt;=playercnt),((ROW()-41)&lt;=playercnt)),SUMPRODUCT(INDIRECT(ADDRESS(3,ROW()-31,1)):INDIRECT(ADDRESS(22,ROW()-31,1)),BN$3:BN$22),"")</f>
        <v>6</v>
      </c>
    </row>
    <row r="66" spans="2:66">
      <c r="B66" s="27">
        <f t="shared" ca="1" si="23"/>
        <v>5.1454545454545455</v>
      </c>
      <c r="C66" t="str">
        <f t="shared" ca="1" si="24"/>
        <v>Marsh, Alexander Remote</v>
      </c>
      <c r="G66">
        <f ca="1">IF(AND(((COLUMN()-10)&lt;=playercnt),((ROW()-41)&lt;=playercnt)),SUMPRODUCT(INDIRECT(ADDRESS(3,ROW()-31,1)):INDIRECT(ADDRESS(22,ROW()-31,1)),G$3:G$22),"")</f>
        <v>6</v>
      </c>
      <c r="H66">
        <f ca="1">IF(AND(((COLUMN()-10)&lt;=playercnt),((ROW()-41)&lt;=playercnt)),SUMPRODUCT(INDIRECT(ADDRESS(3,ROW()-31,1)):INDIRECT(ADDRESS(22,ROW()-31,1)),H$3:H$22),"")</f>
        <v>7</v>
      </c>
      <c r="I66">
        <f ca="1">IF(AND(((COLUMN()-10)&lt;=playercnt),((ROW()-41)&lt;=playercnt)),SUMPRODUCT(INDIRECT(ADDRESS(3,ROW()-31,1)):INDIRECT(ADDRESS(22,ROW()-31,1)),I$3:I$22),"")</f>
        <v>5</v>
      </c>
      <c r="J66">
        <f ca="1">IF(AND(((COLUMN()-10)&lt;=playercnt),((ROW()-41)&lt;=playercnt)),SUMPRODUCT(INDIRECT(ADDRESS(3,ROW()-31,1)):INDIRECT(ADDRESS(22,ROW()-31,1)),J$3:J$22),"")</f>
        <v>0</v>
      </c>
      <c r="K66">
        <f ca="1">IF(AND(((COLUMN()-10)&lt;=playercnt),((ROW()-41)&lt;=playercnt)),SUMPRODUCT(INDIRECT(ADDRESS(3,ROW()-31,1)):INDIRECT(ADDRESS(22,ROW()-31,1)),K$3:K$22),"")</f>
        <v>4</v>
      </c>
      <c r="L66">
        <f ca="1">IF(AND(((COLUMN()-10)&lt;=playercnt),((ROW()-41)&lt;=playercnt)),SUMPRODUCT(INDIRECT(ADDRESS(3,ROW()-31,1)):INDIRECT(ADDRESS(22,ROW()-31,1)),L$3:L$22),"")</f>
        <v>7</v>
      </c>
      <c r="M66">
        <f ca="1">IF(AND(((COLUMN()-10)&lt;=playercnt),((ROW()-41)&lt;=playercnt)),SUMPRODUCT(INDIRECT(ADDRESS(3,ROW()-31,1)):INDIRECT(ADDRESS(22,ROW()-31,1)),M$3:M$22),"")</f>
        <v>5</v>
      </c>
      <c r="N66">
        <f ca="1">IF(AND(((COLUMN()-10)&lt;=playercnt),((ROW()-41)&lt;=playercnt)),SUMPRODUCT(INDIRECT(ADDRESS(3,ROW()-31,1)):INDIRECT(ADDRESS(22,ROW()-31,1)),N$3:N$22),"")</f>
        <v>5</v>
      </c>
      <c r="O66">
        <f ca="1">IF(AND(((COLUMN()-10)&lt;=playercnt),((ROW()-41)&lt;=playercnt)),SUMPRODUCT(INDIRECT(ADDRESS(3,ROW()-31,1)):INDIRECT(ADDRESS(22,ROW()-31,1)),O$3:O$22),"")</f>
        <v>5</v>
      </c>
      <c r="P66">
        <f ca="1">IF(AND(((COLUMN()-10)&lt;=playercnt),((ROW()-41)&lt;=playercnt)),SUMPRODUCT(INDIRECT(ADDRESS(3,ROW()-31,1)):INDIRECT(ADDRESS(22,ROW()-31,1)),P$3:P$22),"")</f>
        <v>6</v>
      </c>
      <c r="Q66">
        <f ca="1">IF(AND(((COLUMN()-10)&lt;=playercnt),((ROW()-41)&lt;=playercnt)),SUMPRODUCT(INDIRECT(ADDRESS(3,ROW()-31,1)):INDIRECT(ADDRESS(22,ROW()-31,1)),Q$3:Q$22),"")</f>
        <v>6</v>
      </c>
      <c r="R66">
        <f ca="1">IF(AND(((COLUMN()-10)&lt;=playercnt),((ROW()-41)&lt;=playercnt)),SUMPRODUCT(INDIRECT(ADDRESS(3,ROW()-31,1)):INDIRECT(ADDRESS(22,ROW()-31,1)),R$3:R$22),"")</f>
        <v>6</v>
      </c>
      <c r="S66">
        <f ca="1">IF(AND(((COLUMN()-10)&lt;=playercnt),((ROW()-41)&lt;=playercnt)),SUMPRODUCT(INDIRECT(ADDRESS(3,ROW()-31,1)):INDIRECT(ADDRESS(22,ROW()-31,1)),S$3:S$22),"")</f>
        <v>2</v>
      </c>
      <c r="T66">
        <f ca="1">IF(AND(((COLUMN()-10)&lt;=playercnt),((ROW()-41)&lt;=playercnt)),SUMPRODUCT(INDIRECT(ADDRESS(3,ROW()-31,1)):INDIRECT(ADDRESS(22,ROW()-31,1)),T$3:T$22),"")</f>
        <v>0</v>
      </c>
      <c r="U66">
        <f ca="1">IF(AND(((COLUMN()-10)&lt;=playercnt),((ROW()-41)&lt;=playercnt)),SUMPRODUCT(INDIRECT(ADDRESS(3,ROW()-31,1)):INDIRECT(ADDRESS(22,ROW()-31,1)),U$3:U$22),"")</f>
        <v>5</v>
      </c>
      <c r="V66">
        <f ca="1">IF(AND(((COLUMN()-10)&lt;=playercnt),((ROW()-41)&lt;=playercnt)),SUMPRODUCT(INDIRECT(ADDRESS(3,ROW()-31,1)):INDIRECT(ADDRESS(22,ROW()-31,1)),V$3:V$22),"")</f>
        <v>4</v>
      </c>
      <c r="W66">
        <f ca="1">IF(AND(((COLUMN()-10)&lt;=playercnt),((ROW()-41)&lt;=playercnt)),SUMPRODUCT(INDIRECT(ADDRESS(3,ROW()-31,1)):INDIRECT(ADDRESS(22,ROW()-31,1)),W$3:W$22),"")</f>
        <v>4</v>
      </c>
      <c r="X66">
        <f ca="1">IF(AND(((COLUMN()-10)&lt;=playercnt),((ROW()-41)&lt;=playercnt)),SUMPRODUCT(INDIRECT(ADDRESS(3,ROW()-31,1)):INDIRECT(ADDRESS(22,ROW()-31,1)),X$3:X$22),"")</f>
        <v>4</v>
      </c>
      <c r="Y66">
        <f ca="1">IF(AND(((COLUMN()-10)&lt;=playercnt),((ROW()-41)&lt;=playercnt)),SUMPRODUCT(INDIRECT(ADDRESS(3,ROW()-31,1)):INDIRECT(ADDRESS(22,ROW()-31,1)),Y$3:Y$22),"")</f>
        <v>7</v>
      </c>
      <c r="Z66">
        <f ca="1">IF(AND(((COLUMN()-10)&lt;=playercnt),((ROW()-41)&lt;=playercnt)),SUMPRODUCT(INDIRECT(ADDRESS(3,ROW()-31,1)):INDIRECT(ADDRESS(22,ROW()-31,1)),Z$3:Z$22),"")</f>
        <v>5</v>
      </c>
      <c r="AA66">
        <f ca="1">IF(AND(((COLUMN()-10)&lt;=playercnt),((ROW()-41)&lt;=playercnt)),SUMPRODUCT(INDIRECT(ADDRESS(3,ROW()-31,1)):INDIRECT(ADDRESS(22,ROW()-31,1)),AA$3:AA$22),"")</f>
        <v>5</v>
      </c>
      <c r="AB66">
        <f ca="1">IF(AND(((COLUMN()-10)&lt;=playercnt),((ROW()-41)&lt;=playercnt)),SUMPRODUCT(INDIRECT(ADDRESS(3,ROW()-31,1)):INDIRECT(ADDRESS(22,ROW()-31,1)),AB$3:AB$22),"")</f>
        <v>7</v>
      </c>
      <c r="AC66">
        <f ca="1">IF(AND(((COLUMN()-10)&lt;=playercnt),((ROW()-41)&lt;=playercnt)),SUMPRODUCT(INDIRECT(ADDRESS(3,ROW()-31,1)):INDIRECT(ADDRESS(22,ROW()-31,1)),AC$3:AC$22),"")</f>
        <v>6</v>
      </c>
      <c r="AD66">
        <f ca="1">IF(AND(((COLUMN()-10)&lt;=playercnt),((ROW()-41)&lt;=playercnt)),SUMPRODUCT(INDIRECT(ADDRESS(3,ROW()-31,1)):INDIRECT(ADDRESS(22,ROW()-31,1)),AD$3:AD$22),"")</f>
        <v>5</v>
      </c>
      <c r="AE66">
        <f ca="1">IF(AND(((COLUMN()-10)&lt;=playercnt),((ROW()-41)&lt;=playercnt)),SUMPRODUCT(INDIRECT(ADDRESS(3,ROW()-31,1)):INDIRECT(ADDRESS(22,ROW()-31,1)),AE$3:AE$22),"")</f>
        <v>7</v>
      </c>
      <c r="AF66">
        <f ca="1">IF(AND(((COLUMN()-10)&lt;=playercnt),((ROW()-41)&lt;=playercnt)),SUMPRODUCT(INDIRECT(ADDRESS(3,ROW()-31,1)):INDIRECT(ADDRESS(22,ROW()-31,1)),AF$3:AF$22),"")</f>
        <v>7</v>
      </c>
      <c r="AG66">
        <f ca="1">IF(AND(((COLUMN()-10)&lt;=playercnt),((ROW()-41)&lt;=playercnt)),SUMPRODUCT(INDIRECT(ADDRESS(3,ROW()-31,1)):INDIRECT(ADDRESS(22,ROW()-31,1)),AG$3:AG$22),"")</f>
        <v>5</v>
      </c>
      <c r="AH66">
        <f ca="1">IF(AND(((COLUMN()-10)&lt;=playercnt),((ROW()-41)&lt;=playercnt)),SUMPRODUCT(INDIRECT(ADDRESS(3,ROW()-31,1)):INDIRECT(ADDRESS(22,ROW()-31,1)),AH$3:AH$22),"")</f>
        <v>5</v>
      </c>
      <c r="AI66">
        <f ca="1">IF(AND(((COLUMN()-10)&lt;=playercnt),((ROW()-41)&lt;=playercnt)),SUMPRODUCT(INDIRECT(ADDRESS(3,ROW()-31,1)):INDIRECT(ADDRESS(22,ROW()-31,1)),AI$3:AI$22),"")</f>
        <v>10</v>
      </c>
      <c r="AJ66">
        <f ca="1">IF(AND(((COLUMN()-10)&lt;=playercnt),((ROW()-41)&lt;=playercnt)),SUMPRODUCT(INDIRECT(ADDRESS(3,ROW()-31,1)):INDIRECT(ADDRESS(22,ROW()-31,1)),AJ$3:AJ$22),"")</f>
        <v>5</v>
      </c>
      <c r="AK66">
        <f ca="1">IF(AND(((COLUMN()-10)&lt;=playercnt),((ROW()-41)&lt;=playercnt)),SUMPRODUCT(INDIRECT(ADDRESS(3,ROW()-31,1)):INDIRECT(ADDRESS(22,ROW()-31,1)),AK$3:AK$22),"")</f>
        <v>5</v>
      </c>
      <c r="AL66">
        <f ca="1">IF(AND(((COLUMN()-10)&lt;=playercnt),((ROW()-41)&lt;=playercnt)),SUMPRODUCT(INDIRECT(ADDRESS(3,ROW()-31,1)):INDIRECT(ADDRESS(22,ROW()-31,1)),AL$3:AL$22),"")</f>
        <v>5</v>
      </c>
      <c r="AM66">
        <f ca="1">IF(AND(((COLUMN()-10)&lt;=playercnt),((ROW()-41)&lt;=playercnt)),SUMPRODUCT(INDIRECT(ADDRESS(3,ROW()-31,1)):INDIRECT(ADDRESS(22,ROW()-31,1)),AM$3:AM$22),"")</f>
        <v>6</v>
      </c>
      <c r="AN66">
        <f ca="1">IF(AND(((COLUMN()-10)&lt;=playercnt),((ROW()-41)&lt;=playercnt)),SUMPRODUCT(INDIRECT(ADDRESS(3,ROW()-31,1)):INDIRECT(ADDRESS(22,ROW()-31,1)),AN$3:AN$22),"")</f>
        <v>9</v>
      </c>
      <c r="AO66">
        <f ca="1">IF(AND(((COLUMN()-10)&lt;=playercnt),((ROW()-41)&lt;=playercnt)),SUMPRODUCT(INDIRECT(ADDRESS(3,ROW()-31,1)):INDIRECT(ADDRESS(22,ROW()-31,1)),AO$3:AO$22),"")</f>
        <v>7</v>
      </c>
      <c r="AP66">
        <f ca="1">IF(AND(((COLUMN()-10)&lt;=playercnt),((ROW()-41)&lt;=playercnt)),SUMPRODUCT(INDIRECT(ADDRESS(3,ROW()-31,1)):INDIRECT(ADDRESS(22,ROW()-31,1)),AP$3:AP$22),"")</f>
        <v>4</v>
      </c>
      <c r="AQ66">
        <f ca="1">IF(AND(((COLUMN()-10)&lt;=playercnt),((ROW()-41)&lt;=playercnt)),SUMPRODUCT(INDIRECT(ADDRESS(3,ROW()-31,1)):INDIRECT(ADDRESS(22,ROW()-31,1)),AQ$3:AQ$22),"")</f>
        <v>6</v>
      </c>
      <c r="AR66">
        <f ca="1">IF(AND(((COLUMN()-10)&lt;=playercnt),((ROW()-41)&lt;=playercnt)),SUMPRODUCT(INDIRECT(ADDRESS(3,ROW()-31,1)):INDIRECT(ADDRESS(22,ROW()-31,1)),AR$3:AR$22),"")</f>
        <v>9</v>
      </c>
      <c r="AS66">
        <f ca="1">IF(AND(((COLUMN()-10)&lt;=playercnt),((ROW()-41)&lt;=playercnt)),SUMPRODUCT(INDIRECT(ADDRESS(3,ROW()-31,1)):INDIRECT(ADDRESS(22,ROW()-31,1)),AS$3:AS$22),"")</f>
        <v>5</v>
      </c>
      <c r="AT66">
        <f ca="1">IF(AND(((COLUMN()-10)&lt;=playercnt),((ROW()-41)&lt;=playercnt)),SUMPRODUCT(INDIRECT(ADDRESS(3,ROW()-31,1)):INDIRECT(ADDRESS(22,ROW()-31,1)),AT$3:AT$22),"")</f>
        <v>4</v>
      </c>
      <c r="AU66">
        <f ca="1">IF(AND(((COLUMN()-10)&lt;=playercnt),((ROW()-41)&lt;=playercnt)),SUMPRODUCT(INDIRECT(ADDRESS(3,ROW()-31,1)):INDIRECT(ADDRESS(22,ROW()-31,1)),AU$3:AU$22),"")</f>
        <v>8</v>
      </c>
      <c r="AV66">
        <f ca="1">IF(AND(((COLUMN()-10)&lt;=playercnt),((ROW()-41)&lt;=playercnt)),SUMPRODUCT(INDIRECT(ADDRESS(3,ROW()-31,1)):INDIRECT(ADDRESS(22,ROW()-31,1)),AV$3:AV$22),"")</f>
        <v>4</v>
      </c>
      <c r="AW66">
        <f ca="1">IF(AND(((COLUMN()-10)&lt;=playercnt),((ROW()-41)&lt;=playercnt)),SUMPRODUCT(INDIRECT(ADDRESS(3,ROW()-31,1)):INDIRECT(ADDRESS(22,ROW()-31,1)),AW$3:AW$22),"")</f>
        <v>4</v>
      </c>
      <c r="AX66">
        <f ca="1">IF(AND(((COLUMN()-10)&lt;=playercnt),((ROW()-41)&lt;=playercnt)),SUMPRODUCT(INDIRECT(ADDRESS(3,ROW()-31,1)):INDIRECT(ADDRESS(22,ROW()-31,1)),AX$3:AX$22),"")</f>
        <v>4</v>
      </c>
      <c r="AY66">
        <f ca="1">IF(AND(((COLUMN()-10)&lt;=playercnt),((ROW()-41)&lt;=playercnt)),SUMPRODUCT(INDIRECT(ADDRESS(3,ROW()-31,1)):INDIRECT(ADDRESS(22,ROW()-31,1)),AY$3:AY$22),"")</f>
        <v>6</v>
      </c>
      <c r="AZ66">
        <f ca="1">IF(AND(((COLUMN()-10)&lt;=playercnt),((ROW()-41)&lt;=playercnt)),SUMPRODUCT(INDIRECT(ADDRESS(3,ROW()-31,1)):INDIRECT(ADDRESS(22,ROW()-31,1)),AZ$3:AZ$22),"")</f>
        <v>5</v>
      </c>
      <c r="BA66">
        <f ca="1">IF(AND(((COLUMN()-10)&lt;=playercnt),((ROW()-41)&lt;=playercnt)),SUMPRODUCT(INDIRECT(ADDRESS(3,ROW()-31,1)):INDIRECT(ADDRESS(22,ROW()-31,1)),BA$3:BA$22),"")</f>
        <v>2</v>
      </c>
      <c r="BB66">
        <f ca="1">IF(AND(((COLUMN()-10)&lt;=playercnt),((ROW()-41)&lt;=playercnt)),SUMPRODUCT(INDIRECT(ADDRESS(3,ROW()-31,1)):INDIRECT(ADDRESS(22,ROW()-31,1)),BB$3:BB$22),"")</f>
        <v>5</v>
      </c>
      <c r="BC66">
        <f ca="1">IF(AND(((COLUMN()-10)&lt;=playercnt),((ROW()-41)&lt;=playercnt)),SUMPRODUCT(INDIRECT(ADDRESS(3,ROW()-31,1)):INDIRECT(ADDRESS(22,ROW()-31,1)),BC$3:BC$22),"")</f>
        <v>1</v>
      </c>
      <c r="BD66">
        <f ca="1">IF(AND(((COLUMN()-10)&lt;=playercnt),((ROW()-41)&lt;=playercnt)),SUMPRODUCT(INDIRECT(ADDRESS(3,ROW()-31,1)):INDIRECT(ADDRESS(22,ROW()-31,1)),BD$3:BD$22),"")</f>
        <v>4</v>
      </c>
      <c r="BE66">
        <f ca="1">IF(AND(((COLUMN()-10)&lt;=playercnt),((ROW()-41)&lt;=playercnt)),SUMPRODUCT(INDIRECT(ADDRESS(3,ROW()-31,1)):INDIRECT(ADDRESS(22,ROW()-31,1)),BE$3:BE$22),"")</f>
        <v>5</v>
      </c>
      <c r="BF66">
        <f ca="1">IF(AND(((COLUMN()-10)&lt;=playercnt),((ROW()-41)&lt;=playercnt)),SUMPRODUCT(INDIRECT(ADDRESS(3,ROW()-31,1)):INDIRECT(ADDRESS(22,ROW()-31,1)),BF$3:BF$22),"")</f>
        <v>7</v>
      </c>
      <c r="BG66">
        <f ca="1">IF(AND(((COLUMN()-10)&lt;=playercnt),((ROW()-41)&lt;=playercnt)),SUMPRODUCT(INDIRECT(ADDRESS(3,ROW()-31,1)):INDIRECT(ADDRESS(22,ROW()-31,1)),BG$3:BG$22),"")</f>
        <v>6</v>
      </c>
      <c r="BH66">
        <f ca="1">IF(AND(((COLUMN()-10)&lt;=playercnt),((ROW()-41)&lt;=playercnt)),SUMPRODUCT(INDIRECT(ADDRESS(3,ROW()-31,1)):INDIRECT(ADDRESS(22,ROW()-31,1)),BH$3:BH$22),"")</f>
        <v>5</v>
      </c>
      <c r="BI66">
        <f ca="1">IF(AND(((COLUMN()-10)&lt;=playercnt),((ROW()-41)&lt;=playercnt)),SUMPRODUCT(INDIRECT(ADDRESS(3,ROW()-31,1)):INDIRECT(ADDRESS(22,ROW()-31,1)),BI$3:BI$22),"")</f>
        <v>6</v>
      </c>
      <c r="BJ66">
        <f ca="1">IF(AND(((COLUMN()-10)&lt;=playercnt),((ROW()-41)&lt;=playercnt)),SUMPRODUCT(INDIRECT(ADDRESS(3,ROW()-31,1)):INDIRECT(ADDRESS(22,ROW()-31,1)),BJ$3:BJ$22),"")</f>
        <v>8</v>
      </c>
      <c r="BK66">
        <f ca="1">IF(AND(((COLUMN()-10)&lt;=playercnt),((ROW()-41)&lt;=playercnt)),SUMPRODUCT(INDIRECT(ADDRESS(3,ROW()-31,1)):INDIRECT(ADDRESS(22,ROW()-31,1)),BK$3:BK$22),"")</f>
        <v>3</v>
      </c>
      <c r="BL66">
        <f ca="1">IF(AND(((COLUMN()-10)&lt;=playercnt),((ROW()-41)&lt;=playercnt)),SUMPRODUCT(INDIRECT(ADDRESS(3,ROW()-31,1)):INDIRECT(ADDRESS(22,ROW()-31,1)),BL$3:BL$22),"")</f>
        <v>5</v>
      </c>
      <c r="BM66">
        <f ca="1">IF(AND(((COLUMN()-10)&lt;=playercnt),((ROW()-41)&lt;=playercnt)),SUMPRODUCT(INDIRECT(ADDRESS(3,ROW()-31,1)):INDIRECT(ADDRESS(22,ROW()-31,1)),BM$3:BM$22),"")</f>
        <v>5</v>
      </c>
      <c r="BN66">
        <f ca="1">IF(AND(((COLUMN()-10)&lt;=playercnt),((ROW()-41)&lt;=playercnt)),SUMPRODUCT(INDIRECT(ADDRESS(3,ROW()-31,1)):INDIRECT(ADDRESS(22,ROW()-31,1)),BN$3:BN$22),"")</f>
        <v>3</v>
      </c>
    </row>
    <row r="67" spans="2:66">
      <c r="B67" s="27">
        <f t="shared" ca="1" si="23"/>
        <v>5.2545454545454549</v>
      </c>
      <c r="C67" t="str">
        <f t="shared" ca="1" si="24"/>
        <v>Martin, Douglas C</v>
      </c>
      <c r="G67">
        <f ca="1">IF(AND(((COLUMN()-10)&lt;=playercnt),((ROW()-41)&lt;=playercnt)),SUMPRODUCT(INDIRECT(ADDRESS(3,ROW()-31,1)):INDIRECT(ADDRESS(22,ROW()-31,1)),G$3:G$22),"")</f>
        <v>3</v>
      </c>
      <c r="H67">
        <f ca="1">IF(AND(((COLUMN()-10)&lt;=playercnt),((ROW()-41)&lt;=playercnt)),SUMPRODUCT(INDIRECT(ADDRESS(3,ROW()-31,1)):INDIRECT(ADDRESS(22,ROW()-31,1)),H$3:H$22),"")</f>
        <v>6</v>
      </c>
      <c r="I67">
        <f ca="1">IF(AND(((COLUMN()-10)&lt;=playercnt),((ROW()-41)&lt;=playercnt)),SUMPRODUCT(INDIRECT(ADDRESS(3,ROW()-31,1)):INDIRECT(ADDRESS(22,ROW()-31,1)),I$3:I$22),"")</f>
        <v>6</v>
      </c>
      <c r="J67">
        <f ca="1">IF(AND(((COLUMN()-10)&lt;=playercnt),((ROW()-41)&lt;=playercnt)),SUMPRODUCT(INDIRECT(ADDRESS(3,ROW()-31,1)):INDIRECT(ADDRESS(22,ROW()-31,1)),J$3:J$22),"")</f>
        <v>0</v>
      </c>
      <c r="K67">
        <f ca="1">IF(AND(((COLUMN()-10)&lt;=playercnt),((ROW()-41)&lt;=playercnt)),SUMPRODUCT(INDIRECT(ADDRESS(3,ROW()-31,1)):INDIRECT(ADDRESS(22,ROW()-31,1)),K$3:K$22),"")</f>
        <v>5</v>
      </c>
      <c r="L67">
        <f ca="1">IF(AND(((COLUMN()-10)&lt;=playercnt),((ROW()-41)&lt;=playercnt)),SUMPRODUCT(INDIRECT(ADDRESS(3,ROW()-31,1)):INDIRECT(ADDRESS(22,ROW()-31,1)),L$3:L$22),"")</f>
        <v>6</v>
      </c>
      <c r="M67">
        <f ca="1">IF(AND(((COLUMN()-10)&lt;=playercnt),((ROW()-41)&lt;=playercnt)),SUMPRODUCT(INDIRECT(ADDRESS(3,ROW()-31,1)):INDIRECT(ADDRESS(22,ROW()-31,1)),M$3:M$22),"")</f>
        <v>4</v>
      </c>
      <c r="N67">
        <f ca="1">IF(AND(((COLUMN()-10)&lt;=playercnt),((ROW()-41)&lt;=playercnt)),SUMPRODUCT(INDIRECT(ADDRESS(3,ROW()-31,1)):INDIRECT(ADDRESS(22,ROW()-31,1)),N$3:N$22),"")</f>
        <v>4</v>
      </c>
      <c r="O67">
        <f ca="1">IF(AND(((COLUMN()-10)&lt;=playercnt),((ROW()-41)&lt;=playercnt)),SUMPRODUCT(INDIRECT(ADDRESS(3,ROW()-31,1)):INDIRECT(ADDRESS(22,ROW()-31,1)),O$3:O$22),"")</f>
        <v>4</v>
      </c>
      <c r="P67">
        <f ca="1">IF(AND(((COLUMN()-10)&lt;=playercnt),((ROW()-41)&lt;=playercnt)),SUMPRODUCT(INDIRECT(ADDRESS(3,ROW()-31,1)):INDIRECT(ADDRESS(22,ROW()-31,1)),P$3:P$22),"")</f>
        <v>5</v>
      </c>
      <c r="Q67">
        <f ca="1">IF(AND(((COLUMN()-10)&lt;=playercnt),((ROW()-41)&lt;=playercnt)),SUMPRODUCT(INDIRECT(ADDRESS(3,ROW()-31,1)):INDIRECT(ADDRESS(22,ROW()-31,1)),Q$3:Q$22),"")</f>
        <v>3</v>
      </c>
      <c r="R67">
        <f ca="1">IF(AND(((COLUMN()-10)&lt;=playercnt),((ROW()-41)&lt;=playercnt)),SUMPRODUCT(INDIRECT(ADDRESS(3,ROW()-31,1)):INDIRECT(ADDRESS(22,ROW()-31,1)),R$3:R$22),"")</f>
        <v>5</v>
      </c>
      <c r="S67">
        <f ca="1">IF(AND(((COLUMN()-10)&lt;=playercnt),((ROW()-41)&lt;=playercnt)),SUMPRODUCT(INDIRECT(ADDRESS(3,ROW()-31,1)):INDIRECT(ADDRESS(22,ROW()-31,1)),S$3:S$22),"")</f>
        <v>5</v>
      </c>
      <c r="T67">
        <f ca="1">IF(AND(((COLUMN()-10)&lt;=playercnt),((ROW()-41)&lt;=playercnt)),SUMPRODUCT(INDIRECT(ADDRESS(3,ROW()-31,1)):INDIRECT(ADDRESS(22,ROW()-31,1)),T$3:T$22),"")</f>
        <v>5</v>
      </c>
      <c r="U67">
        <f ca="1">IF(AND(((COLUMN()-10)&lt;=playercnt),((ROW()-41)&lt;=playercnt)),SUMPRODUCT(INDIRECT(ADDRESS(3,ROW()-31,1)):INDIRECT(ADDRESS(22,ROW()-31,1)),U$3:U$22),"")</f>
        <v>6</v>
      </c>
      <c r="V67">
        <f ca="1">IF(AND(((COLUMN()-10)&lt;=playercnt),((ROW()-41)&lt;=playercnt)),SUMPRODUCT(INDIRECT(ADDRESS(3,ROW()-31,1)):INDIRECT(ADDRESS(22,ROW()-31,1)),V$3:V$22),"")</f>
        <v>7</v>
      </c>
      <c r="W67">
        <f ca="1">IF(AND(((COLUMN()-10)&lt;=playercnt),((ROW()-41)&lt;=playercnt)),SUMPRODUCT(INDIRECT(ADDRESS(3,ROW()-31,1)):INDIRECT(ADDRESS(22,ROW()-31,1)),W$3:W$22),"")</f>
        <v>7</v>
      </c>
      <c r="X67">
        <f ca="1">IF(AND(((COLUMN()-10)&lt;=playercnt),((ROW()-41)&lt;=playercnt)),SUMPRODUCT(INDIRECT(ADDRESS(3,ROW()-31,1)):INDIRECT(ADDRESS(22,ROW()-31,1)),X$3:X$22),"")</f>
        <v>5</v>
      </c>
      <c r="Y67">
        <f ca="1">IF(AND(((COLUMN()-10)&lt;=playercnt),((ROW()-41)&lt;=playercnt)),SUMPRODUCT(INDIRECT(ADDRESS(3,ROW()-31,1)):INDIRECT(ADDRESS(22,ROW()-31,1)),Y$3:Y$22),"")</f>
        <v>6</v>
      </c>
      <c r="Z67">
        <f ca="1">IF(AND(((COLUMN()-10)&lt;=playercnt),((ROW()-41)&lt;=playercnt)),SUMPRODUCT(INDIRECT(ADDRESS(3,ROW()-31,1)):INDIRECT(ADDRESS(22,ROW()-31,1)),Z$3:Z$22),"")</f>
        <v>4</v>
      </c>
      <c r="AA67">
        <f ca="1">IF(AND(((COLUMN()-10)&lt;=playercnt),((ROW()-41)&lt;=playercnt)),SUMPRODUCT(INDIRECT(ADDRESS(3,ROW()-31,1)):INDIRECT(ADDRESS(22,ROW()-31,1)),AA$3:AA$22),"")</f>
        <v>4</v>
      </c>
      <c r="AB67">
        <f ca="1">IF(AND(((COLUMN()-10)&lt;=playercnt),((ROW()-41)&lt;=playercnt)),SUMPRODUCT(INDIRECT(ADDRESS(3,ROW()-31,1)):INDIRECT(ADDRESS(22,ROW()-31,1)),AB$3:AB$22),"")</f>
        <v>4</v>
      </c>
      <c r="AC67">
        <f ca="1">IF(AND(((COLUMN()-10)&lt;=playercnt),((ROW()-41)&lt;=playercnt)),SUMPRODUCT(INDIRECT(ADDRESS(3,ROW()-31,1)):INDIRECT(ADDRESS(22,ROW()-31,1)),AC$3:AC$22),"")</f>
        <v>5</v>
      </c>
      <c r="AD67">
        <f ca="1">IF(AND(((COLUMN()-10)&lt;=playercnt),((ROW()-41)&lt;=playercnt)),SUMPRODUCT(INDIRECT(ADDRESS(3,ROW()-31,1)):INDIRECT(ADDRESS(22,ROW()-31,1)),AD$3:AD$22),"")</f>
        <v>4</v>
      </c>
      <c r="AE67">
        <f ca="1">IF(AND(((COLUMN()-10)&lt;=playercnt),((ROW()-41)&lt;=playercnt)),SUMPRODUCT(INDIRECT(ADDRESS(3,ROW()-31,1)):INDIRECT(ADDRESS(22,ROW()-31,1)),AE$3:AE$22),"")</f>
        <v>6</v>
      </c>
      <c r="AF67">
        <f ca="1">IF(AND(((COLUMN()-10)&lt;=playercnt),((ROW()-41)&lt;=playercnt)),SUMPRODUCT(INDIRECT(ADDRESS(3,ROW()-31,1)):INDIRECT(ADDRESS(22,ROW()-31,1)),AF$3:AF$22),"")</f>
        <v>4</v>
      </c>
      <c r="AG67">
        <f ca="1">IF(AND(((COLUMN()-10)&lt;=playercnt),((ROW()-41)&lt;=playercnt)),SUMPRODUCT(INDIRECT(ADDRESS(3,ROW()-31,1)):INDIRECT(ADDRESS(22,ROW()-31,1)),AG$3:AG$22),"")</f>
        <v>6</v>
      </c>
      <c r="AH67">
        <f ca="1">IF(AND(((COLUMN()-10)&lt;=playercnt),((ROW()-41)&lt;=playercnt)),SUMPRODUCT(INDIRECT(ADDRESS(3,ROW()-31,1)):INDIRECT(ADDRESS(22,ROW()-31,1)),AH$3:AH$22),"")</f>
        <v>6</v>
      </c>
      <c r="AI67">
        <f ca="1">IF(AND(((COLUMN()-10)&lt;=playercnt),((ROW()-41)&lt;=playercnt)),SUMPRODUCT(INDIRECT(ADDRESS(3,ROW()-31,1)):INDIRECT(ADDRESS(22,ROW()-31,1)),AI$3:AI$22),"")</f>
        <v>5</v>
      </c>
      <c r="AJ67">
        <f ca="1">IF(AND(((COLUMN()-10)&lt;=playercnt),((ROW()-41)&lt;=playercnt)),SUMPRODUCT(INDIRECT(ADDRESS(3,ROW()-31,1)):INDIRECT(ADDRESS(22,ROW()-31,1)),AJ$3:AJ$22),"")</f>
        <v>10</v>
      </c>
      <c r="AK67">
        <f ca="1">IF(AND(((COLUMN()-10)&lt;=playercnt),((ROW()-41)&lt;=playercnt)),SUMPRODUCT(INDIRECT(ADDRESS(3,ROW()-31,1)):INDIRECT(ADDRESS(22,ROW()-31,1)),AK$3:AK$22),"")</f>
        <v>6</v>
      </c>
      <c r="AL67">
        <f ca="1">IF(AND(((COLUMN()-10)&lt;=playercnt),((ROW()-41)&lt;=playercnt)),SUMPRODUCT(INDIRECT(ADDRESS(3,ROW()-31,1)):INDIRECT(ADDRESS(22,ROW()-31,1)),AL$3:AL$22),"")</f>
        <v>6</v>
      </c>
      <c r="AM67">
        <f ca="1">IF(AND(((COLUMN()-10)&lt;=playercnt),((ROW()-41)&lt;=playercnt)),SUMPRODUCT(INDIRECT(ADDRESS(3,ROW()-31,1)):INDIRECT(ADDRESS(22,ROW()-31,1)),AM$3:AM$22),"")</f>
        <v>5</v>
      </c>
      <c r="AN67">
        <f ca="1">IF(AND(((COLUMN()-10)&lt;=playercnt),((ROW()-41)&lt;=playercnt)),SUMPRODUCT(INDIRECT(ADDRESS(3,ROW()-31,1)):INDIRECT(ADDRESS(22,ROW()-31,1)),AN$3:AN$22),"")</f>
        <v>6</v>
      </c>
      <c r="AO67">
        <f ca="1">IF(AND(((COLUMN()-10)&lt;=playercnt),((ROW()-41)&lt;=playercnt)),SUMPRODUCT(INDIRECT(ADDRESS(3,ROW()-31,1)):INDIRECT(ADDRESS(22,ROW()-31,1)),AO$3:AO$22),"")</f>
        <v>6</v>
      </c>
      <c r="AP67">
        <f ca="1">IF(AND(((COLUMN()-10)&lt;=playercnt),((ROW()-41)&lt;=playercnt)),SUMPRODUCT(INDIRECT(ADDRESS(3,ROW()-31,1)):INDIRECT(ADDRESS(22,ROW()-31,1)),AP$3:AP$22),"")</f>
        <v>5</v>
      </c>
      <c r="AQ67">
        <f ca="1">IF(AND(((COLUMN()-10)&lt;=playercnt),((ROW()-41)&lt;=playercnt)),SUMPRODUCT(INDIRECT(ADDRESS(3,ROW()-31,1)):INDIRECT(ADDRESS(22,ROW()-31,1)),AQ$3:AQ$22),"")</f>
        <v>7</v>
      </c>
      <c r="AR67">
        <f ca="1">IF(AND(((COLUMN()-10)&lt;=playercnt),((ROW()-41)&lt;=playercnt)),SUMPRODUCT(INDIRECT(ADDRESS(3,ROW()-31,1)):INDIRECT(ADDRESS(22,ROW()-31,1)),AR$3:AR$22),"")</f>
        <v>6</v>
      </c>
      <c r="AS67">
        <f ca="1">IF(AND(((COLUMN()-10)&lt;=playercnt),((ROW()-41)&lt;=playercnt)),SUMPRODUCT(INDIRECT(ADDRESS(3,ROW()-31,1)):INDIRECT(ADDRESS(22,ROW()-31,1)),AS$3:AS$22),"")</f>
        <v>4</v>
      </c>
      <c r="AT67">
        <f ca="1">IF(AND(((COLUMN()-10)&lt;=playercnt),((ROW()-41)&lt;=playercnt)),SUMPRODUCT(INDIRECT(ADDRESS(3,ROW()-31,1)):INDIRECT(ADDRESS(22,ROW()-31,1)),AT$3:AT$22),"")</f>
        <v>5</v>
      </c>
      <c r="AU67">
        <f ca="1">IF(AND(((COLUMN()-10)&lt;=playercnt),((ROW()-41)&lt;=playercnt)),SUMPRODUCT(INDIRECT(ADDRESS(3,ROW()-31,1)):INDIRECT(ADDRESS(22,ROW()-31,1)),AU$3:AU$22),"")</f>
        <v>5</v>
      </c>
      <c r="AV67">
        <f ca="1">IF(AND(((COLUMN()-10)&lt;=playercnt),((ROW()-41)&lt;=playercnt)),SUMPRODUCT(INDIRECT(ADDRESS(3,ROW()-31,1)):INDIRECT(ADDRESS(22,ROW()-31,1)),AV$3:AV$22),"")</f>
        <v>5</v>
      </c>
      <c r="AW67">
        <f ca="1">IF(AND(((COLUMN()-10)&lt;=playercnt),((ROW()-41)&lt;=playercnt)),SUMPRODUCT(INDIRECT(ADDRESS(3,ROW()-31,1)):INDIRECT(ADDRESS(22,ROW()-31,1)),AW$3:AW$22),"")</f>
        <v>7</v>
      </c>
      <c r="AX67">
        <f ca="1">IF(AND(((COLUMN()-10)&lt;=playercnt),((ROW()-41)&lt;=playercnt)),SUMPRODUCT(INDIRECT(ADDRESS(3,ROW()-31,1)):INDIRECT(ADDRESS(22,ROW()-31,1)),AX$3:AX$22),"")</f>
        <v>7</v>
      </c>
      <c r="AY67">
        <f ca="1">IF(AND(((COLUMN()-10)&lt;=playercnt),((ROW()-41)&lt;=playercnt)),SUMPRODUCT(INDIRECT(ADDRESS(3,ROW()-31,1)):INDIRECT(ADDRESS(22,ROW()-31,1)),AY$3:AY$22),"")</f>
        <v>7</v>
      </c>
      <c r="AZ67">
        <f ca="1">IF(AND(((COLUMN()-10)&lt;=playercnt),((ROW()-41)&lt;=playercnt)),SUMPRODUCT(INDIRECT(ADDRESS(3,ROW()-31,1)):INDIRECT(ADDRESS(22,ROW()-31,1)),AZ$3:AZ$22),"")</f>
        <v>4</v>
      </c>
      <c r="BA67">
        <f ca="1">IF(AND(((COLUMN()-10)&lt;=playercnt),((ROW()-41)&lt;=playercnt)),SUMPRODUCT(INDIRECT(ADDRESS(3,ROW()-31,1)):INDIRECT(ADDRESS(22,ROW()-31,1)),BA$3:BA$22),"")</f>
        <v>7</v>
      </c>
      <c r="BB67">
        <f ca="1">IF(AND(((COLUMN()-10)&lt;=playercnt),((ROW()-41)&lt;=playercnt)),SUMPRODUCT(INDIRECT(ADDRESS(3,ROW()-31,1)):INDIRECT(ADDRESS(22,ROW()-31,1)),BB$3:BB$22),"")</f>
        <v>4</v>
      </c>
      <c r="BC67">
        <f ca="1">IF(AND(((COLUMN()-10)&lt;=playercnt),((ROW()-41)&lt;=playercnt)),SUMPRODUCT(INDIRECT(ADDRESS(3,ROW()-31,1)):INDIRECT(ADDRESS(22,ROW()-31,1)),BC$3:BC$22),"")</f>
        <v>4</v>
      </c>
      <c r="BD67">
        <f ca="1">IF(AND(((COLUMN()-10)&lt;=playercnt),((ROW()-41)&lt;=playercnt)),SUMPRODUCT(INDIRECT(ADDRESS(3,ROW()-31,1)):INDIRECT(ADDRESS(22,ROW()-31,1)),BD$3:BD$22),"")</f>
        <v>3</v>
      </c>
      <c r="BE67">
        <f ca="1">IF(AND(((COLUMN()-10)&lt;=playercnt),((ROW()-41)&lt;=playercnt)),SUMPRODUCT(INDIRECT(ADDRESS(3,ROW()-31,1)):INDIRECT(ADDRESS(22,ROW()-31,1)),BE$3:BE$22),"")</f>
        <v>6</v>
      </c>
      <c r="BF67">
        <f ca="1">IF(AND(((COLUMN()-10)&lt;=playercnt),((ROW()-41)&lt;=playercnt)),SUMPRODUCT(INDIRECT(ADDRESS(3,ROW()-31,1)):INDIRECT(ADDRESS(22,ROW()-31,1)),BF$3:BF$22),"")</f>
        <v>4</v>
      </c>
      <c r="BG67">
        <f ca="1">IF(AND(((COLUMN()-10)&lt;=playercnt),((ROW()-41)&lt;=playercnt)),SUMPRODUCT(INDIRECT(ADDRESS(3,ROW()-31,1)):INDIRECT(ADDRESS(22,ROW()-31,1)),BG$3:BG$22),"")</f>
        <v>5</v>
      </c>
      <c r="BH67">
        <f ca="1">IF(AND(((COLUMN()-10)&lt;=playercnt),((ROW()-41)&lt;=playercnt)),SUMPRODUCT(INDIRECT(ADDRESS(3,ROW()-31,1)):INDIRECT(ADDRESS(22,ROW()-31,1)),BH$3:BH$22),"")</f>
        <v>4</v>
      </c>
      <c r="BI67">
        <f ca="1">IF(AND(((COLUMN()-10)&lt;=playercnt),((ROW()-41)&lt;=playercnt)),SUMPRODUCT(INDIRECT(ADDRESS(3,ROW()-31,1)):INDIRECT(ADDRESS(22,ROW()-31,1)),BI$3:BI$22),"")</f>
        <v>7</v>
      </c>
      <c r="BJ67">
        <f ca="1">IF(AND(((COLUMN()-10)&lt;=playercnt),((ROW()-41)&lt;=playercnt)),SUMPRODUCT(INDIRECT(ADDRESS(3,ROW()-31,1)):INDIRECT(ADDRESS(22,ROW()-31,1)),BJ$3:BJ$22),"")</f>
        <v>7</v>
      </c>
      <c r="BK67">
        <f ca="1">IF(AND(((COLUMN()-10)&lt;=playercnt),((ROW()-41)&lt;=playercnt)),SUMPRODUCT(INDIRECT(ADDRESS(3,ROW()-31,1)):INDIRECT(ADDRESS(22,ROW()-31,1)),BK$3:BK$22),"")</f>
        <v>4</v>
      </c>
      <c r="BL67">
        <f ca="1">IF(AND(((COLUMN()-10)&lt;=playercnt),((ROW()-41)&lt;=playercnt)),SUMPRODUCT(INDIRECT(ADDRESS(3,ROW()-31,1)):INDIRECT(ADDRESS(22,ROW()-31,1)),BL$3:BL$22),"")</f>
        <v>6</v>
      </c>
      <c r="BM67">
        <f ca="1">IF(AND(((COLUMN()-10)&lt;=playercnt),((ROW()-41)&lt;=playercnt)),SUMPRODUCT(INDIRECT(ADDRESS(3,ROW()-31,1)):INDIRECT(ADDRESS(22,ROW()-31,1)),BM$3:BM$22),"")</f>
        <v>8</v>
      </c>
      <c r="BN67">
        <f ca="1">IF(AND(((COLUMN()-10)&lt;=playercnt),((ROW()-41)&lt;=playercnt)),SUMPRODUCT(INDIRECT(ADDRESS(3,ROW()-31,1)):INDIRECT(ADDRESS(22,ROW()-31,1)),BN$3:BN$22),"")</f>
        <v>4</v>
      </c>
    </row>
    <row r="68" spans="2:66">
      <c r="B68" s="27">
        <f t="shared" ca="1" si="23"/>
        <v>5.581818181818182</v>
      </c>
      <c r="C68" t="str">
        <f t="shared" ca="1" si="24"/>
        <v>Mccoy, William M</v>
      </c>
      <c r="G68">
        <f ca="1">IF(AND(((COLUMN()-10)&lt;=playercnt),((ROW()-41)&lt;=playercnt)),SUMPRODUCT(INDIRECT(ADDRESS(3,ROW()-31,1)):INDIRECT(ADDRESS(22,ROW()-31,1)),G$3:G$22),"")</f>
        <v>3</v>
      </c>
      <c r="H68">
        <f ca="1">IF(AND(((COLUMN()-10)&lt;=playercnt),((ROW()-41)&lt;=playercnt)),SUMPRODUCT(INDIRECT(ADDRESS(3,ROW()-31,1)):INDIRECT(ADDRESS(22,ROW()-31,1)),H$3:H$22),"")</f>
        <v>4</v>
      </c>
      <c r="I68">
        <f ca="1">IF(AND(((COLUMN()-10)&lt;=playercnt),((ROW()-41)&lt;=playercnt)),SUMPRODUCT(INDIRECT(ADDRESS(3,ROW()-31,1)):INDIRECT(ADDRESS(22,ROW()-31,1)),I$3:I$22),"")</f>
        <v>8</v>
      </c>
      <c r="J68">
        <f ca="1">IF(AND(((COLUMN()-10)&lt;=playercnt),((ROW()-41)&lt;=playercnt)),SUMPRODUCT(INDIRECT(ADDRESS(3,ROW()-31,1)):INDIRECT(ADDRESS(22,ROW()-31,1)),J$3:J$22),"")</f>
        <v>0</v>
      </c>
      <c r="K68">
        <f ca="1">IF(AND(((COLUMN()-10)&lt;=playercnt),((ROW()-41)&lt;=playercnt)),SUMPRODUCT(INDIRECT(ADDRESS(3,ROW()-31,1)):INDIRECT(ADDRESS(22,ROW()-31,1)),K$3:K$22),"")</f>
        <v>5</v>
      </c>
      <c r="L68">
        <f ca="1">IF(AND(((COLUMN()-10)&lt;=playercnt),((ROW()-41)&lt;=playercnt)),SUMPRODUCT(INDIRECT(ADDRESS(3,ROW()-31,1)):INDIRECT(ADDRESS(22,ROW()-31,1)),L$3:L$22),"")</f>
        <v>6</v>
      </c>
      <c r="M68">
        <f ca="1">IF(AND(((COLUMN()-10)&lt;=playercnt),((ROW()-41)&lt;=playercnt)),SUMPRODUCT(INDIRECT(ADDRESS(3,ROW()-31,1)):INDIRECT(ADDRESS(22,ROW()-31,1)),M$3:M$22),"")</f>
        <v>6</v>
      </c>
      <c r="N68">
        <f ca="1">IF(AND(((COLUMN()-10)&lt;=playercnt),((ROW()-41)&lt;=playercnt)),SUMPRODUCT(INDIRECT(ADDRESS(3,ROW()-31,1)):INDIRECT(ADDRESS(22,ROW()-31,1)),N$3:N$22),"")</f>
        <v>4</v>
      </c>
      <c r="O68">
        <f ca="1">IF(AND(((COLUMN()-10)&lt;=playercnt),((ROW()-41)&lt;=playercnt)),SUMPRODUCT(INDIRECT(ADDRESS(3,ROW()-31,1)):INDIRECT(ADDRESS(22,ROW()-31,1)),O$3:O$22),"")</f>
        <v>6</v>
      </c>
      <c r="P68">
        <f ca="1">IF(AND(((COLUMN()-10)&lt;=playercnt),((ROW()-41)&lt;=playercnt)),SUMPRODUCT(INDIRECT(ADDRESS(3,ROW()-31,1)):INDIRECT(ADDRESS(22,ROW()-31,1)),P$3:P$22),"")</f>
        <v>5</v>
      </c>
      <c r="Q68">
        <f ca="1">IF(AND(((COLUMN()-10)&lt;=playercnt),((ROW()-41)&lt;=playercnt)),SUMPRODUCT(INDIRECT(ADDRESS(3,ROW()-31,1)):INDIRECT(ADDRESS(22,ROW()-31,1)),Q$3:Q$22),"")</f>
        <v>7</v>
      </c>
      <c r="R68">
        <f ca="1">IF(AND(((COLUMN()-10)&lt;=playercnt),((ROW()-41)&lt;=playercnt)),SUMPRODUCT(INDIRECT(ADDRESS(3,ROW()-31,1)):INDIRECT(ADDRESS(22,ROW()-31,1)),R$3:R$22),"")</f>
        <v>7</v>
      </c>
      <c r="S68">
        <f ca="1">IF(AND(((COLUMN()-10)&lt;=playercnt),((ROW()-41)&lt;=playercnt)),SUMPRODUCT(INDIRECT(ADDRESS(3,ROW()-31,1)):INDIRECT(ADDRESS(22,ROW()-31,1)),S$3:S$22),"")</f>
        <v>7</v>
      </c>
      <c r="T68">
        <f ca="1">IF(AND(((COLUMN()-10)&lt;=playercnt),((ROW()-41)&lt;=playercnt)),SUMPRODUCT(INDIRECT(ADDRESS(3,ROW()-31,1)):INDIRECT(ADDRESS(22,ROW()-31,1)),T$3:T$22),"")</f>
        <v>5</v>
      </c>
      <c r="U68">
        <f ca="1">IF(AND(((COLUMN()-10)&lt;=playercnt),((ROW()-41)&lt;=playercnt)),SUMPRODUCT(INDIRECT(ADDRESS(3,ROW()-31,1)):INDIRECT(ADDRESS(22,ROW()-31,1)),U$3:U$22),"")</f>
        <v>6</v>
      </c>
      <c r="V68">
        <f ca="1">IF(AND(((COLUMN()-10)&lt;=playercnt),((ROW()-41)&lt;=playercnt)),SUMPRODUCT(INDIRECT(ADDRESS(3,ROW()-31,1)):INDIRECT(ADDRESS(22,ROW()-31,1)),V$3:V$22),"")</f>
        <v>5</v>
      </c>
      <c r="W68">
        <f ca="1">IF(AND(((COLUMN()-10)&lt;=playercnt),((ROW()-41)&lt;=playercnt)),SUMPRODUCT(INDIRECT(ADDRESS(3,ROW()-31,1)):INDIRECT(ADDRESS(22,ROW()-31,1)),W$3:W$22),"")</f>
        <v>5</v>
      </c>
      <c r="X68">
        <f ca="1">IF(AND(((COLUMN()-10)&lt;=playercnt),((ROW()-41)&lt;=playercnt)),SUMPRODUCT(INDIRECT(ADDRESS(3,ROW()-31,1)):INDIRECT(ADDRESS(22,ROW()-31,1)),X$3:X$22),"")</f>
        <v>5</v>
      </c>
      <c r="Y68">
        <f ca="1">IF(AND(((COLUMN()-10)&lt;=playercnt),((ROW()-41)&lt;=playercnt)),SUMPRODUCT(INDIRECT(ADDRESS(3,ROW()-31,1)):INDIRECT(ADDRESS(22,ROW()-31,1)),Y$3:Y$22),"")</f>
        <v>6</v>
      </c>
      <c r="Z68">
        <f ca="1">IF(AND(((COLUMN()-10)&lt;=playercnt),((ROW()-41)&lt;=playercnt)),SUMPRODUCT(INDIRECT(ADDRESS(3,ROW()-31,1)):INDIRECT(ADDRESS(22,ROW()-31,1)),Z$3:Z$22),"")</f>
        <v>4</v>
      </c>
      <c r="AA68">
        <f ca="1">IF(AND(((COLUMN()-10)&lt;=playercnt),((ROW()-41)&lt;=playercnt)),SUMPRODUCT(INDIRECT(ADDRESS(3,ROW()-31,1)):INDIRECT(ADDRESS(22,ROW()-31,1)),AA$3:AA$22),"")</f>
        <v>2</v>
      </c>
      <c r="AB68">
        <f ca="1">IF(AND(((COLUMN()-10)&lt;=playercnt),((ROW()-41)&lt;=playercnt)),SUMPRODUCT(INDIRECT(ADDRESS(3,ROW()-31,1)):INDIRECT(ADDRESS(22,ROW()-31,1)),AB$3:AB$22),"")</f>
        <v>6</v>
      </c>
      <c r="AC68">
        <f ca="1">IF(AND(((COLUMN()-10)&lt;=playercnt),((ROW()-41)&lt;=playercnt)),SUMPRODUCT(INDIRECT(ADDRESS(3,ROW()-31,1)):INDIRECT(ADDRESS(22,ROW()-31,1)),AC$3:AC$22),"")</f>
        <v>7</v>
      </c>
      <c r="AD68">
        <f ca="1">IF(AND(((COLUMN()-10)&lt;=playercnt),((ROW()-41)&lt;=playercnt)),SUMPRODUCT(INDIRECT(ADDRESS(3,ROW()-31,1)):INDIRECT(ADDRESS(22,ROW()-31,1)),AD$3:AD$22),"")</f>
        <v>6</v>
      </c>
      <c r="AE68">
        <f ca="1">IF(AND(((COLUMN()-10)&lt;=playercnt),((ROW()-41)&lt;=playercnt)),SUMPRODUCT(INDIRECT(ADDRESS(3,ROW()-31,1)):INDIRECT(ADDRESS(22,ROW()-31,1)),AE$3:AE$22),"")</f>
        <v>4</v>
      </c>
      <c r="AF68">
        <f ca="1">IF(AND(((COLUMN()-10)&lt;=playercnt),((ROW()-41)&lt;=playercnt)),SUMPRODUCT(INDIRECT(ADDRESS(3,ROW()-31,1)):INDIRECT(ADDRESS(22,ROW()-31,1)),AF$3:AF$22),"")</f>
        <v>4</v>
      </c>
      <c r="AG68">
        <f ca="1">IF(AND(((COLUMN()-10)&lt;=playercnt),((ROW()-41)&lt;=playercnt)),SUMPRODUCT(INDIRECT(ADDRESS(3,ROW()-31,1)):INDIRECT(ADDRESS(22,ROW()-31,1)),AG$3:AG$22),"")</f>
        <v>8</v>
      </c>
      <c r="AH68">
        <f ca="1">IF(AND(((COLUMN()-10)&lt;=playercnt),((ROW()-41)&lt;=playercnt)),SUMPRODUCT(INDIRECT(ADDRESS(3,ROW()-31,1)):INDIRECT(ADDRESS(22,ROW()-31,1)),AH$3:AH$22),"")</f>
        <v>4</v>
      </c>
      <c r="AI68">
        <f ca="1">IF(AND(((COLUMN()-10)&lt;=playercnt),((ROW()-41)&lt;=playercnt)),SUMPRODUCT(INDIRECT(ADDRESS(3,ROW()-31,1)):INDIRECT(ADDRESS(22,ROW()-31,1)),AI$3:AI$22),"")</f>
        <v>5</v>
      </c>
      <c r="AJ68">
        <f ca="1">IF(AND(((COLUMN()-10)&lt;=playercnt),((ROW()-41)&lt;=playercnt)),SUMPRODUCT(INDIRECT(ADDRESS(3,ROW()-31,1)):INDIRECT(ADDRESS(22,ROW()-31,1)),AJ$3:AJ$22),"")</f>
        <v>6</v>
      </c>
      <c r="AK68">
        <f ca="1">IF(AND(((COLUMN()-10)&lt;=playercnt),((ROW()-41)&lt;=playercnt)),SUMPRODUCT(INDIRECT(ADDRESS(3,ROW()-31,1)):INDIRECT(ADDRESS(22,ROW()-31,1)),AK$3:AK$22),"")</f>
        <v>10</v>
      </c>
      <c r="AL68">
        <f ca="1">IF(AND(((COLUMN()-10)&lt;=playercnt),((ROW()-41)&lt;=playercnt)),SUMPRODUCT(INDIRECT(ADDRESS(3,ROW()-31,1)):INDIRECT(ADDRESS(22,ROW()-31,1)),AL$3:AL$22),"")</f>
        <v>6</v>
      </c>
      <c r="AM68">
        <f ca="1">IF(AND(((COLUMN()-10)&lt;=playercnt),((ROW()-41)&lt;=playercnt)),SUMPRODUCT(INDIRECT(ADDRESS(3,ROW()-31,1)):INDIRECT(ADDRESS(22,ROW()-31,1)),AM$3:AM$22),"")</f>
        <v>3</v>
      </c>
      <c r="AN68">
        <f ca="1">IF(AND(((COLUMN()-10)&lt;=playercnt),((ROW()-41)&lt;=playercnt)),SUMPRODUCT(INDIRECT(ADDRESS(3,ROW()-31,1)):INDIRECT(ADDRESS(22,ROW()-31,1)),AN$3:AN$22),"")</f>
        <v>6</v>
      </c>
      <c r="AO68">
        <f ca="1">IF(AND(((COLUMN()-10)&lt;=playercnt),((ROW()-41)&lt;=playercnt)),SUMPRODUCT(INDIRECT(ADDRESS(3,ROW()-31,1)):INDIRECT(ADDRESS(22,ROW()-31,1)),AO$3:AO$22),"")</f>
        <v>6</v>
      </c>
      <c r="AP68">
        <f ca="1">IF(AND(((COLUMN()-10)&lt;=playercnt),((ROW()-41)&lt;=playercnt)),SUMPRODUCT(INDIRECT(ADDRESS(3,ROW()-31,1)):INDIRECT(ADDRESS(22,ROW()-31,1)),AP$3:AP$22),"")</f>
        <v>7</v>
      </c>
      <c r="AQ68">
        <f ca="1">IF(AND(((COLUMN()-10)&lt;=playercnt),((ROW()-41)&lt;=playercnt)),SUMPRODUCT(INDIRECT(ADDRESS(3,ROW()-31,1)):INDIRECT(ADDRESS(22,ROW()-31,1)),AQ$3:AQ$22),"")</f>
        <v>5</v>
      </c>
      <c r="AR68">
        <f ca="1">IF(AND(((COLUMN()-10)&lt;=playercnt),((ROW()-41)&lt;=playercnt)),SUMPRODUCT(INDIRECT(ADDRESS(3,ROW()-31,1)):INDIRECT(ADDRESS(22,ROW()-31,1)),AR$3:AR$22),"")</f>
        <v>6</v>
      </c>
      <c r="AS68">
        <f ca="1">IF(AND(((COLUMN()-10)&lt;=playercnt),((ROW()-41)&lt;=playercnt)),SUMPRODUCT(INDIRECT(ADDRESS(3,ROW()-31,1)):INDIRECT(ADDRESS(22,ROW()-31,1)),AS$3:AS$22),"")</f>
        <v>2</v>
      </c>
      <c r="AT68">
        <f ca="1">IF(AND(((COLUMN()-10)&lt;=playercnt),((ROW()-41)&lt;=playercnt)),SUMPRODUCT(INDIRECT(ADDRESS(3,ROW()-31,1)):INDIRECT(ADDRESS(22,ROW()-31,1)),AT$3:AT$22),"")</f>
        <v>7</v>
      </c>
      <c r="AU68">
        <f ca="1">IF(AND(((COLUMN()-10)&lt;=playercnt),((ROW()-41)&lt;=playercnt)),SUMPRODUCT(INDIRECT(ADDRESS(3,ROW()-31,1)):INDIRECT(ADDRESS(22,ROW()-31,1)),AU$3:AU$22),"")</f>
        <v>5</v>
      </c>
      <c r="AV68">
        <f ca="1">IF(AND(((COLUMN()-10)&lt;=playercnt),((ROW()-41)&lt;=playercnt)),SUMPRODUCT(INDIRECT(ADDRESS(3,ROW()-31,1)):INDIRECT(ADDRESS(22,ROW()-31,1)),AV$3:AV$22),"")</f>
        <v>5</v>
      </c>
      <c r="AW68">
        <f ca="1">IF(AND(((COLUMN()-10)&lt;=playercnt),((ROW()-41)&lt;=playercnt)),SUMPRODUCT(INDIRECT(ADDRESS(3,ROW()-31,1)):INDIRECT(ADDRESS(22,ROW()-31,1)),AW$3:AW$22),"")</f>
        <v>5</v>
      </c>
      <c r="AX68">
        <f ca="1">IF(AND(((COLUMN()-10)&lt;=playercnt),((ROW()-41)&lt;=playercnt)),SUMPRODUCT(INDIRECT(ADDRESS(3,ROW()-31,1)):INDIRECT(ADDRESS(22,ROW()-31,1)),AX$3:AX$22),"")</f>
        <v>9</v>
      </c>
      <c r="AY68">
        <f ca="1">IF(AND(((COLUMN()-10)&lt;=playercnt),((ROW()-41)&lt;=playercnt)),SUMPRODUCT(INDIRECT(ADDRESS(3,ROW()-31,1)):INDIRECT(ADDRESS(22,ROW()-31,1)),AY$3:AY$22),"")</f>
        <v>7</v>
      </c>
      <c r="AZ68">
        <f ca="1">IF(AND(((COLUMN()-10)&lt;=playercnt),((ROW()-41)&lt;=playercnt)),SUMPRODUCT(INDIRECT(ADDRESS(3,ROW()-31,1)):INDIRECT(ADDRESS(22,ROW()-31,1)),AZ$3:AZ$22),"")</f>
        <v>4</v>
      </c>
      <c r="BA68">
        <f ca="1">IF(AND(((COLUMN()-10)&lt;=playercnt),((ROW()-41)&lt;=playercnt)),SUMPRODUCT(INDIRECT(ADDRESS(3,ROW()-31,1)):INDIRECT(ADDRESS(22,ROW()-31,1)),BA$3:BA$22),"")</f>
        <v>7</v>
      </c>
      <c r="BB68">
        <f ca="1">IF(AND(((COLUMN()-10)&lt;=playercnt),((ROW()-41)&lt;=playercnt)),SUMPRODUCT(INDIRECT(ADDRESS(3,ROW()-31,1)):INDIRECT(ADDRESS(22,ROW()-31,1)),BB$3:BB$22),"")</f>
        <v>8</v>
      </c>
      <c r="BC68">
        <f ca="1">IF(AND(((COLUMN()-10)&lt;=playercnt),((ROW()-41)&lt;=playercnt)),SUMPRODUCT(INDIRECT(ADDRESS(3,ROW()-31,1)):INDIRECT(ADDRESS(22,ROW()-31,1)),BC$3:BC$22),"")</f>
        <v>4</v>
      </c>
      <c r="BD68">
        <f ca="1">IF(AND(((COLUMN()-10)&lt;=playercnt),((ROW()-41)&lt;=playercnt)),SUMPRODUCT(INDIRECT(ADDRESS(3,ROW()-31,1)):INDIRECT(ADDRESS(22,ROW()-31,1)),BD$3:BD$22),"")</f>
        <v>5</v>
      </c>
      <c r="BE68">
        <f ca="1">IF(AND(((COLUMN()-10)&lt;=playercnt),((ROW()-41)&lt;=playercnt)),SUMPRODUCT(INDIRECT(ADDRESS(3,ROW()-31,1)):INDIRECT(ADDRESS(22,ROW()-31,1)),BE$3:BE$22),"")</f>
        <v>10</v>
      </c>
      <c r="BF68">
        <f ca="1">IF(AND(((COLUMN()-10)&lt;=playercnt),((ROW()-41)&lt;=playercnt)),SUMPRODUCT(INDIRECT(ADDRESS(3,ROW()-31,1)):INDIRECT(ADDRESS(22,ROW()-31,1)),BF$3:BF$22),"")</f>
        <v>6</v>
      </c>
      <c r="BG68">
        <f ca="1">IF(AND(((COLUMN()-10)&lt;=playercnt),((ROW()-41)&lt;=playercnt)),SUMPRODUCT(INDIRECT(ADDRESS(3,ROW()-31,1)):INDIRECT(ADDRESS(22,ROW()-31,1)),BG$3:BG$22),"")</f>
        <v>5</v>
      </c>
      <c r="BH68">
        <f ca="1">IF(AND(((COLUMN()-10)&lt;=playercnt),((ROW()-41)&lt;=playercnt)),SUMPRODUCT(INDIRECT(ADDRESS(3,ROW()-31,1)):INDIRECT(ADDRESS(22,ROW()-31,1)),BH$3:BH$22),"")</f>
        <v>4</v>
      </c>
      <c r="BI68">
        <f ca="1">IF(AND(((COLUMN()-10)&lt;=playercnt),((ROW()-41)&lt;=playercnt)),SUMPRODUCT(INDIRECT(ADDRESS(3,ROW()-31,1)):INDIRECT(ADDRESS(22,ROW()-31,1)),BI$3:BI$22),"")</f>
        <v>5</v>
      </c>
      <c r="BJ68">
        <f ca="1">IF(AND(((COLUMN()-10)&lt;=playercnt),((ROW()-41)&lt;=playercnt)),SUMPRODUCT(INDIRECT(ADDRESS(3,ROW()-31,1)):INDIRECT(ADDRESS(22,ROW()-31,1)),BJ$3:BJ$22),"")</f>
        <v>7</v>
      </c>
      <c r="BK68">
        <f ca="1">IF(AND(((COLUMN()-10)&lt;=playercnt),((ROW()-41)&lt;=playercnt)),SUMPRODUCT(INDIRECT(ADDRESS(3,ROW()-31,1)):INDIRECT(ADDRESS(22,ROW()-31,1)),BK$3:BK$22),"")</f>
        <v>8</v>
      </c>
      <c r="BL68">
        <f ca="1">IF(AND(((COLUMN()-10)&lt;=playercnt),((ROW()-41)&lt;=playercnt)),SUMPRODUCT(INDIRECT(ADDRESS(3,ROW()-31,1)):INDIRECT(ADDRESS(22,ROW()-31,1)),BL$3:BL$22),"")</f>
        <v>6</v>
      </c>
      <c r="BM68">
        <f ca="1">IF(AND(((COLUMN()-10)&lt;=playercnt),((ROW()-41)&lt;=playercnt)),SUMPRODUCT(INDIRECT(ADDRESS(3,ROW()-31,1)):INDIRECT(ADDRESS(22,ROW()-31,1)),BM$3:BM$22),"")</f>
        <v>4</v>
      </c>
      <c r="BN68">
        <f ca="1">IF(AND(((COLUMN()-10)&lt;=playercnt),((ROW()-41)&lt;=playercnt)),SUMPRODUCT(INDIRECT(ADDRESS(3,ROW()-31,1)):INDIRECT(ADDRESS(22,ROW()-31,1)),BN$3:BN$22),"")</f>
        <v>4</v>
      </c>
    </row>
    <row r="69" spans="2:66">
      <c r="B69" s="27">
        <f t="shared" ca="1" si="23"/>
        <v>5.2545454545454549</v>
      </c>
      <c r="C69" t="str">
        <f t="shared" ca="1" si="24"/>
        <v>Montanez, Johanna</v>
      </c>
      <c r="G69">
        <f ca="1">IF(AND(((COLUMN()-10)&lt;=playercnt),((ROW()-41)&lt;=playercnt)),SUMPRODUCT(INDIRECT(ADDRESS(3,ROW()-31,1)):INDIRECT(ADDRESS(22,ROW()-31,1)),G$3:G$22),"")</f>
        <v>5</v>
      </c>
      <c r="H69">
        <f ca="1">IF(AND(((COLUMN()-10)&lt;=playercnt),((ROW()-41)&lt;=playercnt)),SUMPRODUCT(INDIRECT(ADDRESS(3,ROW()-31,1)):INDIRECT(ADDRESS(22,ROW()-31,1)),H$3:H$22),"")</f>
        <v>8</v>
      </c>
      <c r="I69">
        <f ca="1">IF(AND(((COLUMN()-10)&lt;=playercnt),((ROW()-41)&lt;=playercnt)),SUMPRODUCT(INDIRECT(ADDRESS(3,ROW()-31,1)):INDIRECT(ADDRESS(22,ROW()-31,1)),I$3:I$22),"")</f>
        <v>6</v>
      </c>
      <c r="J69">
        <f ca="1">IF(AND(((COLUMN()-10)&lt;=playercnt),((ROW()-41)&lt;=playercnt)),SUMPRODUCT(INDIRECT(ADDRESS(3,ROW()-31,1)):INDIRECT(ADDRESS(22,ROW()-31,1)),J$3:J$22),"")</f>
        <v>0</v>
      </c>
      <c r="K69">
        <f ca="1">IF(AND(((COLUMN()-10)&lt;=playercnt),((ROW()-41)&lt;=playercnt)),SUMPRODUCT(INDIRECT(ADDRESS(3,ROW()-31,1)):INDIRECT(ADDRESS(22,ROW()-31,1)),K$3:K$22),"")</f>
        <v>3</v>
      </c>
      <c r="L69">
        <f ca="1">IF(AND(((COLUMN()-10)&lt;=playercnt),((ROW()-41)&lt;=playercnt)),SUMPRODUCT(INDIRECT(ADDRESS(3,ROW()-31,1)):INDIRECT(ADDRESS(22,ROW()-31,1)),L$3:L$22),"")</f>
        <v>8</v>
      </c>
      <c r="M69">
        <f ca="1">IF(AND(((COLUMN()-10)&lt;=playercnt),((ROW()-41)&lt;=playercnt)),SUMPRODUCT(INDIRECT(ADDRESS(3,ROW()-31,1)):INDIRECT(ADDRESS(22,ROW()-31,1)),M$3:M$22),"")</f>
        <v>4</v>
      </c>
      <c r="N69">
        <f ca="1">IF(AND(((COLUMN()-10)&lt;=playercnt),((ROW()-41)&lt;=playercnt)),SUMPRODUCT(INDIRECT(ADDRESS(3,ROW()-31,1)):INDIRECT(ADDRESS(22,ROW()-31,1)),N$3:N$22),"")</f>
        <v>6</v>
      </c>
      <c r="O69">
        <f ca="1">IF(AND(((COLUMN()-10)&lt;=playercnt),((ROW()-41)&lt;=playercnt)),SUMPRODUCT(INDIRECT(ADDRESS(3,ROW()-31,1)):INDIRECT(ADDRESS(22,ROW()-31,1)),O$3:O$22),"")</f>
        <v>4</v>
      </c>
      <c r="P69">
        <f ca="1">IF(AND(((COLUMN()-10)&lt;=playercnt),((ROW()-41)&lt;=playercnt)),SUMPRODUCT(INDIRECT(ADDRESS(3,ROW()-31,1)):INDIRECT(ADDRESS(22,ROW()-31,1)),P$3:P$22),"")</f>
        <v>9</v>
      </c>
      <c r="Q69">
        <f ca="1">IF(AND(((COLUMN()-10)&lt;=playercnt),((ROW()-41)&lt;=playercnt)),SUMPRODUCT(INDIRECT(ADDRESS(3,ROW()-31,1)):INDIRECT(ADDRESS(22,ROW()-31,1)),Q$3:Q$22),"")</f>
        <v>3</v>
      </c>
      <c r="R69">
        <f ca="1">IF(AND(((COLUMN()-10)&lt;=playercnt),((ROW()-41)&lt;=playercnt)),SUMPRODUCT(INDIRECT(ADDRESS(3,ROW()-31,1)):INDIRECT(ADDRESS(22,ROW()-31,1)),R$3:R$22),"")</f>
        <v>5</v>
      </c>
      <c r="S69">
        <f ca="1">IF(AND(((COLUMN()-10)&lt;=playercnt),((ROW()-41)&lt;=playercnt)),SUMPRODUCT(INDIRECT(ADDRESS(3,ROW()-31,1)):INDIRECT(ADDRESS(22,ROW()-31,1)),S$3:S$22),"")</f>
        <v>5</v>
      </c>
      <c r="T69">
        <f ca="1">IF(AND(((COLUMN()-10)&lt;=playercnt),((ROW()-41)&lt;=playercnt)),SUMPRODUCT(INDIRECT(ADDRESS(3,ROW()-31,1)):INDIRECT(ADDRESS(22,ROW()-31,1)),T$3:T$22),"")</f>
        <v>5</v>
      </c>
      <c r="U69">
        <f ca="1">IF(AND(((COLUMN()-10)&lt;=playercnt),((ROW()-41)&lt;=playercnt)),SUMPRODUCT(INDIRECT(ADDRESS(3,ROW()-31,1)):INDIRECT(ADDRESS(22,ROW()-31,1)),U$3:U$22),"")</f>
        <v>6</v>
      </c>
      <c r="V69">
        <f ca="1">IF(AND(((COLUMN()-10)&lt;=playercnt),((ROW()-41)&lt;=playercnt)),SUMPRODUCT(INDIRECT(ADDRESS(3,ROW()-31,1)):INDIRECT(ADDRESS(22,ROW()-31,1)),V$3:V$22),"")</f>
        <v>5</v>
      </c>
      <c r="W69">
        <f ca="1">IF(AND(((COLUMN()-10)&lt;=playercnt),((ROW()-41)&lt;=playercnt)),SUMPRODUCT(INDIRECT(ADDRESS(3,ROW()-31,1)):INDIRECT(ADDRESS(22,ROW()-31,1)),W$3:W$22),"")</f>
        <v>5</v>
      </c>
      <c r="X69">
        <f ca="1">IF(AND(((COLUMN()-10)&lt;=playercnt),((ROW()-41)&lt;=playercnt)),SUMPRODUCT(INDIRECT(ADDRESS(3,ROW()-31,1)):INDIRECT(ADDRESS(22,ROW()-31,1)),X$3:X$22),"")</f>
        <v>3</v>
      </c>
      <c r="Y69">
        <f ca="1">IF(AND(((COLUMN()-10)&lt;=playercnt),((ROW()-41)&lt;=playercnt)),SUMPRODUCT(INDIRECT(ADDRESS(3,ROW()-31,1)):INDIRECT(ADDRESS(22,ROW()-31,1)),Y$3:Y$22),"")</f>
        <v>4</v>
      </c>
      <c r="Z69">
        <f ca="1">IF(AND(((COLUMN()-10)&lt;=playercnt),((ROW()-41)&lt;=playercnt)),SUMPRODUCT(INDIRECT(ADDRESS(3,ROW()-31,1)):INDIRECT(ADDRESS(22,ROW()-31,1)),Z$3:Z$22),"")</f>
        <v>6</v>
      </c>
      <c r="AA69">
        <f ca="1">IF(AND(((COLUMN()-10)&lt;=playercnt),((ROW()-41)&lt;=playercnt)),SUMPRODUCT(INDIRECT(ADDRESS(3,ROW()-31,1)):INDIRECT(ADDRESS(22,ROW()-31,1)),AA$3:AA$22),"")</f>
        <v>4</v>
      </c>
      <c r="AB69">
        <f ca="1">IF(AND(((COLUMN()-10)&lt;=playercnt),((ROW()-41)&lt;=playercnt)),SUMPRODUCT(INDIRECT(ADDRESS(3,ROW()-31,1)):INDIRECT(ADDRESS(22,ROW()-31,1)),AB$3:AB$22),"")</f>
        <v>4</v>
      </c>
      <c r="AC69">
        <f ca="1">IF(AND(((COLUMN()-10)&lt;=playercnt),((ROW()-41)&lt;=playercnt)),SUMPRODUCT(INDIRECT(ADDRESS(3,ROW()-31,1)):INDIRECT(ADDRESS(22,ROW()-31,1)),AC$3:AC$22),"")</f>
        <v>3</v>
      </c>
      <c r="AD69">
        <f ca="1">IF(AND(((COLUMN()-10)&lt;=playercnt),((ROW()-41)&lt;=playercnt)),SUMPRODUCT(INDIRECT(ADDRESS(3,ROW()-31,1)):INDIRECT(ADDRESS(22,ROW()-31,1)),AD$3:AD$22),"")</f>
        <v>4</v>
      </c>
      <c r="AE69">
        <f ca="1">IF(AND(((COLUMN()-10)&lt;=playercnt),((ROW()-41)&lt;=playercnt)),SUMPRODUCT(INDIRECT(ADDRESS(3,ROW()-31,1)):INDIRECT(ADDRESS(22,ROW()-31,1)),AE$3:AE$22),"")</f>
        <v>8</v>
      </c>
      <c r="AF69">
        <f ca="1">IF(AND(((COLUMN()-10)&lt;=playercnt),((ROW()-41)&lt;=playercnt)),SUMPRODUCT(INDIRECT(ADDRESS(3,ROW()-31,1)):INDIRECT(ADDRESS(22,ROW()-31,1)),AF$3:AF$22),"")</f>
        <v>4</v>
      </c>
      <c r="AG69">
        <f ca="1">IF(AND(((COLUMN()-10)&lt;=playercnt),((ROW()-41)&lt;=playercnt)),SUMPRODUCT(INDIRECT(ADDRESS(3,ROW()-31,1)):INDIRECT(ADDRESS(22,ROW()-31,1)),AG$3:AG$22),"")</f>
        <v>4</v>
      </c>
      <c r="AH69">
        <f ca="1">IF(AND(((COLUMN()-10)&lt;=playercnt),((ROW()-41)&lt;=playercnt)),SUMPRODUCT(INDIRECT(ADDRESS(3,ROW()-31,1)):INDIRECT(ADDRESS(22,ROW()-31,1)),AH$3:AH$22),"")</f>
        <v>4</v>
      </c>
      <c r="AI69">
        <f ca="1">IF(AND(((COLUMN()-10)&lt;=playercnt),((ROW()-41)&lt;=playercnt)),SUMPRODUCT(INDIRECT(ADDRESS(3,ROW()-31,1)):INDIRECT(ADDRESS(22,ROW()-31,1)),AI$3:AI$22),"")</f>
        <v>5</v>
      </c>
      <c r="AJ69">
        <f ca="1">IF(AND(((COLUMN()-10)&lt;=playercnt),((ROW()-41)&lt;=playercnt)),SUMPRODUCT(INDIRECT(ADDRESS(3,ROW()-31,1)):INDIRECT(ADDRESS(22,ROW()-31,1)),AJ$3:AJ$22),"")</f>
        <v>6</v>
      </c>
      <c r="AK69">
        <f ca="1">IF(AND(((COLUMN()-10)&lt;=playercnt),((ROW()-41)&lt;=playercnt)),SUMPRODUCT(INDIRECT(ADDRESS(3,ROW()-31,1)):INDIRECT(ADDRESS(22,ROW()-31,1)),AK$3:AK$22),"")</f>
        <v>6</v>
      </c>
      <c r="AL69">
        <f ca="1">IF(AND(((COLUMN()-10)&lt;=playercnt),((ROW()-41)&lt;=playercnt)),SUMPRODUCT(INDIRECT(ADDRESS(3,ROW()-31,1)):INDIRECT(ADDRESS(22,ROW()-31,1)),AL$3:AL$22),"")</f>
        <v>10</v>
      </c>
      <c r="AM69">
        <f ca="1">IF(AND(((COLUMN()-10)&lt;=playercnt),((ROW()-41)&lt;=playercnt)),SUMPRODUCT(INDIRECT(ADDRESS(3,ROW()-31,1)):INDIRECT(ADDRESS(22,ROW()-31,1)),AM$3:AM$22),"")</f>
        <v>3</v>
      </c>
      <c r="AN69">
        <f ca="1">IF(AND(((COLUMN()-10)&lt;=playercnt),((ROW()-41)&lt;=playercnt)),SUMPRODUCT(INDIRECT(ADDRESS(3,ROW()-31,1)):INDIRECT(ADDRESS(22,ROW()-31,1)),AN$3:AN$22),"")</f>
        <v>6</v>
      </c>
      <c r="AO69">
        <f ca="1">IF(AND(((COLUMN()-10)&lt;=playercnt),((ROW()-41)&lt;=playercnt)),SUMPRODUCT(INDIRECT(ADDRESS(3,ROW()-31,1)):INDIRECT(ADDRESS(22,ROW()-31,1)),AO$3:AO$22),"")</f>
        <v>6</v>
      </c>
      <c r="AP69">
        <f ca="1">IF(AND(((COLUMN()-10)&lt;=playercnt),((ROW()-41)&lt;=playercnt)),SUMPRODUCT(INDIRECT(ADDRESS(3,ROW()-31,1)):INDIRECT(ADDRESS(22,ROW()-31,1)),AP$3:AP$22),"")</f>
        <v>7</v>
      </c>
      <c r="AQ69">
        <f ca="1">IF(AND(((COLUMN()-10)&lt;=playercnt),((ROW()-41)&lt;=playercnt)),SUMPRODUCT(INDIRECT(ADDRESS(3,ROW()-31,1)):INDIRECT(ADDRESS(22,ROW()-31,1)),AQ$3:AQ$22),"")</f>
        <v>9</v>
      </c>
      <c r="AR69">
        <f ca="1">IF(AND(((COLUMN()-10)&lt;=playercnt),((ROW()-41)&lt;=playercnt)),SUMPRODUCT(INDIRECT(ADDRESS(3,ROW()-31,1)):INDIRECT(ADDRESS(22,ROW()-31,1)),AR$3:AR$22),"")</f>
        <v>4</v>
      </c>
      <c r="AS69">
        <f ca="1">IF(AND(((COLUMN()-10)&lt;=playercnt),((ROW()-41)&lt;=playercnt)),SUMPRODUCT(INDIRECT(ADDRESS(3,ROW()-31,1)):INDIRECT(ADDRESS(22,ROW()-31,1)),AS$3:AS$22),"")</f>
        <v>2</v>
      </c>
      <c r="AT69">
        <f ca="1">IF(AND(((COLUMN()-10)&lt;=playercnt),((ROW()-41)&lt;=playercnt)),SUMPRODUCT(INDIRECT(ADDRESS(3,ROW()-31,1)):INDIRECT(ADDRESS(22,ROW()-31,1)),AT$3:AT$22),"")</f>
        <v>5</v>
      </c>
      <c r="AU69">
        <f ca="1">IF(AND(((COLUMN()-10)&lt;=playercnt),((ROW()-41)&lt;=playercnt)),SUMPRODUCT(INDIRECT(ADDRESS(3,ROW()-31,1)):INDIRECT(ADDRESS(22,ROW()-31,1)),AU$3:AU$22),"")</f>
        <v>7</v>
      </c>
      <c r="AV69">
        <f ca="1">IF(AND(((COLUMN()-10)&lt;=playercnt),((ROW()-41)&lt;=playercnt)),SUMPRODUCT(INDIRECT(ADDRESS(3,ROW()-31,1)):INDIRECT(ADDRESS(22,ROW()-31,1)),AV$3:AV$22),"")</f>
        <v>7</v>
      </c>
      <c r="AW69">
        <f ca="1">IF(AND(((COLUMN()-10)&lt;=playercnt),((ROW()-41)&lt;=playercnt)),SUMPRODUCT(INDIRECT(ADDRESS(3,ROW()-31,1)):INDIRECT(ADDRESS(22,ROW()-31,1)),AW$3:AW$22),"")</f>
        <v>3</v>
      </c>
      <c r="AX69">
        <f ca="1">IF(AND(((COLUMN()-10)&lt;=playercnt),((ROW()-41)&lt;=playercnt)),SUMPRODUCT(INDIRECT(ADDRESS(3,ROW()-31,1)):INDIRECT(ADDRESS(22,ROW()-31,1)),AX$3:AX$22),"")</f>
        <v>7</v>
      </c>
      <c r="AY69">
        <f ca="1">IF(AND(((COLUMN()-10)&lt;=playercnt),((ROW()-41)&lt;=playercnt)),SUMPRODUCT(INDIRECT(ADDRESS(3,ROW()-31,1)):INDIRECT(ADDRESS(22,ROW()-31,1)),AY$3:AY$22),"")</f>
        <v>7</v>
      </c>
      <c r="AZ69">
        <f ca="1">IF(AND(((COLUMN()-10)&lt;=playercnt),((ROW()-41)&lt;=playercnt)),SUMPRODUCT(INDIRECT(ADDRESS(3,ROW()-31,1)):INDIRECT(ADDRESS(22,ROW()-31,1)),AZ$3:AZ$22),"")</f>
        <v>4</v>
      </c>
      <c r="BA69">
        <f ca="1">IF(AND(((COLUMN()-10)&lt;=playercnt),((ROW()-41)&lt;=playercnt)),SUMPRODUCT(INDIRECT(ADDRESS(3,ROW()-31,1)):INDIRECT(ADDRESS(22,ROW()-31,1)),BA$3:BA$22),"")</f>
        <v>7</v>
      </c>
      <c r="BB69">
        <f ca="1">IF(AND(((COLUMN()-10)&lt;=playercnt),((ROW()-41)&lt;=playercnt)),SUMPRODUCT(INDIRECT(ADDRESS(3,ROW()-31,1)):INDIRECT(ADDRESS(22,ROW()-31,1)),BB$3:BB$22),"")</f>
        <v>8</v>
      </c>
      <c r="BC69">
        <f ca="1">IF(AND(((COLUMN()-10)&lt;=playercnt),((ROW()-41)&lt;=playercnt)),SUMPRODUCT(INDIRECT(ADDRESS(3,ROW()-31,1)):INDIRECT(ADDRESS(22,ROW()-31,1)),BC$3:BC$22),"")</f>
        <v>4</v>
      </c>
      <c r="BD69">
        <f ca="1">IF(AND(((COLUMN()-10)&lt;=playercnt),((ROW()-41)&lt;=playercnt)),SUMPRODUCT(INDIRECT(ADDRESS(3,ROW()-31,1)):INDIRECT(ADDRESS(22,ROW()-31,1)),BD$3:BD$22),"")</f>
        <v>5</v>
      </c>
      <c r="BE69">
        <f ca="1">IF(AND(((COLUMN()-10)&lt;=playercnt),((ROW()-41)&lt;=playercnt)),SUMPRODUCT(INDIRECT(ADDRESS(3,ROW()-31,1)):INDIRECT(ADDRESS(22,ROW()-31,1)),BE$3:BE$22),"")</f>
        <v>6</v>
      </c>
      <c r="BF69">
        <f ca="1">IF(AND(((COLUMN()-10)&lt;=playercnt),((ROW()-41)&lt;=playercnt)),SUMPRODUCT(INDIRECT(ADDRESS(3,ROW()-31,1)):INDIRECT(ADDRESS(22,ROW()-31,1)),BF$3:BF$22),"")</f>
        <v>4</v>
      </c>
      <c r="BG69">
        <f ca="1">IF(AND(((COLUMN()-10)&lt;=playercnt),((ROW()-41)&lt;=playercnt)),SUMPRODUCT(INDIRECT(ADDRESS(3,ROW()-31,1)):INDIRECT(ADDRESS(22,ROW()-31,1)),BG$3:BG$22),"")</f>
        <v>5</v>
      </c>
      <c r="BH69">
        <f ca="1">IF(AND(((COLUMN()-10)&lt;=playercnt),((ROW()-41)&lt;=playercnt)),SUMPRODUCT(INDIRECT(ADDRESS(3,ROW()-31,1)):INDIRECT(ADDRESS(22,ROW()-31,1)),BH$3:BH$22),"")</f>
        <v>4</v>
      </c>
      <c r="BI69">
        <f ca="1">IF(AND(((COLUMN()-10)&lt;=playercnt),((ROW()-41)&lt;=playercnt)),SUMPRODUCT(INDIRECT(ADDRESS(3,ROW()-31,1)):INDIRECT(ADDRESS(22,ROW()-31,1)),BI$3:BI$22),"")</f>
        <v>7</v>
      </c>
      <c r="BJ69">
        <f ca="1">IF(AND(((COLUMN()-10)&lt;=playercnt),((ROW()-41)&lt;=playercnt)),SUMPRODUCT(INDIRECT(ADDRESS(3,ROW()-31,1)):INDIRECT(ADDRESS(22,ROW()-31,1)),BJ$3:BJ$22),"")</f>
        <v>5</v>
      </c>
      <c r="BK69">
        <f ca="1">IF(AND(((COLUMN()-10)&lt;=playercnt),((ROW()-41)&lt;=playercnt)),SUMPRODUCT(INDIRECT(ADDRESS(3,ROW()-31,1)):INDIRECT(ADDRESS(22,ROW()-31,1)),BK$3:BK$22),"")</f>
        <v>6</v>
      </c>
      <c r="BL69">
        <f ca="1">IF(AND(((COLUMN()-10)&lt;=playercnt),((ROW()-41)&lt;=playercnt)),SUMPRODUCT(INDIRECT(ADDRESS(3,ROW()-31,1)):INDIRECT(ADDRESS(22,ROW()-31,1)),BL$3:BL$22),"")</f>
        <v>8</v>
      </c>
      <c r="BM69">
        <f ca="1">IF(AND(((COLUMN()-10)&lt;=playercnt),((ROW()-41)&lt;=playercnt)),SUMPRODUCT(INDIRECT(ADDRESS(3,ROW()-31,1)):INDIRECT(ADDRESS(22,ROW()-31,1)),BM$3:BM$22),"")</f>
        <v>4</v>
      </c>
      <c r="BN69">
        <f ca="1">IF(AND(((COLUMN()-10)&lt;=playercnt),((ROW()-41)&lt;=playercnt)),SUMPRODUCT(INDIRECT(ADDRESS(3,ROW()-31,1)):INDIRECT(ADDRESS(22,ROW()-31,1)),BN$3:BN$22),"")</f>
        <v>6</v>
      </c>
    </row>
    <row r="70" spans="2:66">
      <c r="B70" s="27">
        <f t="shared" ca="1" si="23"/>
        <v>4.7454545454545451</v>
      </c>
      <c r="C70" t="str">
        <f t="shared" ca="1" si="24"/>
        <v>Moore, Kevin B</v>
      </c>
      <c r="G70">
        <f ca="1">IF(AND(((COLUMN()-10)&lt;=playercnt),((ROW()-41)&lt;=playercnt)),SUMPRODUCT(INDIRECT(ADDRESS(3,ROW()-31,1)):INDIRECT(ADDRESS(22,ROW()-31,1)),G$3:G$22),"")</f>
        <v>4</v>
      </c>
      <c r="H70">
        <f ca="1">IF(AND(((COLUMN()-10)&lt;=playercnt),((ROW()-41)&lt;=playercnt)),SUMPRODUCT(INDIRECT(ADDRESS(3,ROW()-31,1)):INDIRECT(ADDRESS(22,ROW()-31,1)),H$3:H$22),"")</f>
        <v>5</v>
      </c>
      <c r="I70">
        <f ca="1">IF(AND(((COLUMN()-10)&lt;=playercnt),((ROW()-41)&lt;=playercnt)),SUMPRODUCT(INDIRECT(ADDRESS(3,ROW()-31,1)):INDIRECT(ADDRESS(22,ROW()-31,1)),I$3:I$22),"")</f>
        <v>3</v>
      </c>
      <c r="J70">
        <f ca="1">IF(AND(((COLUMN()-10)&lt;=playercnt),((ROW()-41)&lt;=playercnt)),SUMPRODUCT(INDIRECT(ADDRESS(3,ROW()-31,1)):INDIRECT(ADDRESS(22,ROW()-31,1)),J$3:J$22),"")</f>
        <v>0</v>
      </c>
      <c r="K70">
        <f ca="1">IF(AND(((COLUMN()-10)&lt;=playercnt),((ROW()-41)&lt;=playercnt)),SUMPRODUCT(INDIRECT(ADDRESS(3,ROW()-31,1)):INDIRECT(ADDRESS(22,ROW()-31,1)),K$3:K$22),"")</f>
        <v>4</v>
      </c>
      <c r="L70">
        <f ca="1">IF(AND(((COLUMN()-10)&lt;=playercnt),((ROW()-41)&lt;=playercnt)),SUMPRODUCT(INDIRECT(ADDRESS(3,ROW()-31,1)):INDIRECT(ADDRESS(22,ROW()-31,1)),L$3:L$22),"")</f>
        <v>3</v>
      </c>
      <c r="M70">
        <f ca="1">IF(AND(((COLUMN()-10)&lt;=playercnt),((ROW()-41)&lt;=playercnt)),SUMPRODUCT(INDIRECT(ADDRESS(3,ROW()-31,1)):INDIRECT(ADDRESS(22,ROW()-31,1)),M$3:M$22),"")</f>
        <v>5</v>
      </c>
      <c r="N70">
        <f ca="1">IF(AND(((COLUMN()-10)&lt;=playercnt),((ROW()-41)&lt;=playercnt)),SUMPRODUCT(INDIRECT(ADDRESS(3,ROW()-31,1)):INDIRECT(ADDRESS(22,ROW()-31,1)),N$3:N$22),"")</f>
        <v>3</v>
      </c>
      <c r="O70">
        <f ca="1">IF(AND(((COLUMN()-10)&lt;=playercnt),((ROW()-41)&lt;=playercnt)),SUMPRODUCT(INDIRECT(ADDRESS(3,ROW()-31,1)):INDIRECT(ADDRESS(22,ROW()-31,1)),O$3:O$22),"")</f>
        <v>5</v>
      </c>
      <c r="P70">
        <f ca="1">IF(AND(((COLUMN()-10)&lt;=playercnt),((ROW()-41)&lt;=playercnt)),SUMPRODUCT(INDIRECT(ADDRESS(3,ROW()-31,1)):INDIRECT(ADDRESS(22,ROW()-31,1)),P$3:P$22),"")</f>
        <v>4</v>
      </c>
      <c r="Q70">
        <f ca="1">IF(AND(((COLUMN()-10)&lt;=playercnt),((ROW()-41)&lt;=playercnt)),SUMPRODUCT(INDIRECT(ADDRESS(3,ROW()-31,1)):INDIRECT(ADDRESS(22,ROW()-31,1)),Q$3:Q$22),"")</f>
        <v>6</v>
      </c>
      <c r="R70">
        <f ca="1">IF(AND(((COLUMN()-10)&lt;=playercnt),((ROW()-41)&lt;=playercnt)),SUMPRODUCT(INDIRECT(ADDRESS(3,ROW()-31,1)):INDIRECT(ADDRESS(22,ROW()-31,1)),R$3:R$22),"")</f>
        <v>4</v>
      </c>
      <c r="S70">
        <f ca="1">IF(AND(((COLUMN()-10)&lt;=playercnt),((ROW()-41)&lt;=playercnt)),SUMPRODUCT(INDIRECT(ADDRESS(3,ROW()-31,1)):INDIRECT(ADDRESS(22,ROW()-31,1)),S$3:S$22),"")</f>
        <v>4</v>
      </c>
      <c r="T70">
        <f ca="1">IF(AND(((COLUMN()-10)&lt;=playercnt),((ROW()-41)&lt;=playercnt)),SUMPRODUCT(INDIRECT(ADDRESS(3,ROW()-31,1)):INDIRECT(ADDRESS(22,ROW()-31,1)),T$3:T$22),"")</f>
        <v>4</v>
      </c>
      <c r="U70">
        <f ca="1">IF(AND(((COLUMN()-10)&lt;=playercnt),((ROW()-41)&lt;=playercnt)),SUMPRODUCT(INDIRECT(ADDRESS(3,ROW()-31,1)):INDIRECT(ADDRESS(22,ROW()-31,1)),U$3:U$22),"")</f>
        <v>5</v>
      </c>
      <c r="V70">
        <f ca="1">IF(AND(((COLUMN()-10)&lt;=playercnt),((ROW()-41)&lt;=playercnt)),SUMPRODUCT(INDIRECT(ADDRESS(3,ROW()-31,1)):INDIRECT(ADDRESS(22,ROW()-31,1)),V$3:V$22),"")</f>
        <v>4</v>
      </c>
      <c r="W70">
        <f ca="1">IF(AND(((COLUMN()-10)&lt;=playercnt),((ROW()-41)&lt;=playercnt)),SUMPRODUCT(INDIRECT(ADDRESS(3,ROW()-31,1)):INDIRECT(ADDRESS(22,ROW()-31,1)),W$3:W$22),"")</f>
        <v>4</v>
      </c>
      <c r="X70">
        <f ca="1">IF(AND(((COLUMN()-10)&lt;=playercnt),((ROW()-41)&lt;=playercnt)),SUMPRODUCT(INDIRECT(ADDRESS(3,ROW()-31,1)):INDIRECT(ADDRESS(22,ROW()-31,1)),X$3:X$22),"")</f>
        <v>4</v>
      </c>
      <c r="Y70">
        <f ca="1">IF(AND(((COLUMN()-10)&lt;=playercnt),((ROW()-41)&lt;=playercnt)),SUMPRODUCT(INDIRECT(ADDRESS(3,ROW()-31,1)):INDIRECT(ADDRESS(22,ROW()-31,1)),Y$3:Y$22),"")</f>
        <v>7</v>
      </c>
      <c r="Z70">
        <f ca="1">IF(AND(((COLUMN()-10)&lt;=playercnt),((ROW()-41)&lt;=playercnt)),SUMPRODUCT(INDIRECT(ADDRESS(3,ROW()-31,1)):INDIRECT(ADDRESS(22,ROW()-31,1)),Z$3:Z$22),"")</f>
        <v>7</v>
      </c>
      <c r="AA70">
        <f ca="1">IF(AND(((COLUMN()-10)&lt;=playercnt),((ROW()-41)&lt;=playercnt)),SUMPRODUCT(INDIRECT(ADDRESS(3,ROW()-31,1)):INDIRECT(ADDRESS(22,ROW()-31,1)),AA$3:AA$22),"")</f>
        <v>5</v>
      </c>
      <c r="AB70">
        <f ca="1">IF(AND(((COLUMN()-10)&lt;=playercnt),((ROW()-41)&lt;=playercnt)),SUMPRODUCT(INDIRECT(ADDRESS(3,ROW()-31,1)):INDIRECT(ADDRESS(22,ROW()-31,1)),AB$3:AB$22),"")</f>
        <v>7</v>
      </c>
      <c r="AC70">
        <f ca="1">IF(AND(((COLUMN()-10)&lt;=playercnt),((ROW()-41)&lt;=playercnt)),SUMPRODUCT(INDIRECT(ADDRESS(3,ROW()-31,1)):INDIRECT(ADDRESS(22,ROW()-31,1)),AC$3:AC$22),"")</f>
        <v>6</v>
      </c>
      <c r="AD70">
        <f ca="1">IF(AND(((COLUMN()-10)&lt;=playercnt),((ROW()-41)&lt;=playercnt)),SUMPRODUCT(INDIRECT(ADDRESS(3,ROW()-31,1)):INDIRECT(ADDRESS(22,ROW()-31,1)),AD$3:AD$22),"")</f>
        <v>3</v>
      </c>
      <c r="AE70">
        <f ca="1">IF(AND(((COLUMN()-10)&lt;=playercnt),((ROW()-41)&lt;=playercnt)),SUMPRODUCT(INDIRECT(ADDRESS(3,ROW()-31,1)):INDIRECT(ADDRESS(22,ROW()-31,1)),AE$3:AE$22),"")</f>
        <v>5</v>
      </c>
      <c r="AF70">
        <f ca="1">IF(AND(((COLUMN()-10)&lt;=playercnt),((ROW()-41)&lt;=playercnt)),SUMPRODUCT(INDIRECT(ADDRESS(3,ROW()-31,1)):INDIRECT(ADDRESS(22,ROW()-31,1)),AF$3:AF$22),"")</f>
        <v>5</v>
      </c>
      <c r="AG70">
        <f ca="1">IF(AND(((COLUMN()-10)&lt;=playercnt),((ROW()-41)&lt;=playercnt)),SUMPRODUCT(INDIRECT(ADDRESS(3,ROW()-31,1)):INDIRECT(ADDRESS(22,ROW()-31,1)),AG$3:AG$22),"")</f>
        <v>5</v>
      </c>
      <c r="AH70">
        <f ca="1">IF(AND(((COLUMN()-10)&lt;=playercnt),((ROW()-41)&lt;=playercnt)),SUMPRODUCT(INDIRECT(ADDRESS(3,ROW()-31,1)):INDIRECT(ADDRESS(22,ROW()-31,1)),AH$3:AH$22),"")</f>
        <v>7</v>
      </c>
      <c r="AI70">
        <f ca="1">IF(AND(((COLUMN()-10)&lt;=playercnt),((ROW()-41)&lt;=playercnt)),SUMPRODUCT(INDIRECT(ADDRESS(3,ROW()-31,1)):INDIRECT(ADDRESS(22,ROW()-31,1)),AI$3:AI$22),"")</f>
        <v>6</v>
      </c>
      <c r="AJ70">
        <f ca="1">IF(AND(((COLUMN()-10)&lt;=playercnt),((ROW()-41)&lt;=playercnt)),SUMPRODUCT(INDIRECT(ADDRESS(3,ROW()-31,1)):INDIRECT(ADDRESS(22,ROW()-31,1)),AJ$3:AJ$22),"")</f>
        <v>5</v>
      </c>
      <c r="AK70">
        <f ca="1">IF(AND(((COLUMN()-10)&lt;=playercnt),((ROW()-41)&lt;=playercnt)),SUMPRODUCT(INDIRECT(ADDRESS(3,ROW()-31,1)):INDIRECT(ADDRESS(22,ROW()-31,1)),AK$3:AK$22),"")</f>
        <v>3</v>
      </c>
      <c r="AL70">
        <f ca="1">IF(AND(((COLUMN()-10)&lt;=playercnt),((ROW()-41)&lt;=playercnt)),SUMPRODUCT(INDIRECT(ADDRESS(3,ROW()-31,1)):INDIRECT(ADDRESS(22,ROW()-31,1)),AL$3:AL$22),"")</f>
        <v>3</v>
      </c>
      <c r="AM70">
        <f ca="1">IF(AND(((COLUMN()-10)&lt;=playercnt),((ROW()-41)&lt;=playercnt)),SUMPRODUCT(INDIRECT(ADDRESS(3,ROW()-31,1)):INDIRECT(ADDRESS(22,ROW()-31,1)),AM$3:AM$22),"")</f>
        <v>10</v>
      </c>
      <c r="AN70">
        <f ca="1">IF(AND(((COLUMN()-10)&lt;=playercnt),((ROW()-41)&lt;=playercnt)),SUMPRODUCT(INDIRECT(ADDRESS(3,ROW()-31,1)):INDIRECT(ADDRESS(22,ROW()-31,1)),AN$3:AN$22),"")</f>
        <v>5</v>
      </c>
      <c r="AO70">
        <f ca="1">IF(AND(((COLUMN()-10)&lt;=playercnt),((ROW()-41)&lt;=playercnt)),SUMPRODUCT(INDIRECT(ADDRESS(3,ROW()-31,1)):INDIRECT(ADDRESS(22,ROW()-31,1)),AO$3:AO$22),"")</f>
        <v>5</v>
      </c>
      <c r="AP70">
        <f ca="1">IF(AND(((COLUMN()-10)&lt;=playercnt),((ROW()-41)&lt;=playercnt)),SUMPRODUCT(INDIRECT(ADDRESS(3,ROW()-31,1)):INDIRECT(ADDRESS(22,ROW()-31,1)),AP$3:AP$22),"")</f>
        <v>4</v>
      </c>
      <c r="AQ70">
        <f ca="1">IF(AND(((COLUMN()-10)&lt;=playercnt),((ROW()-41)&lt;=playercnt)),SUMPRODUCT(INDIRECT(ADDRESS(3,ROW()-31,1)):INDIRECT(ADDRESS(22,ROW()-31,1)),AQ$3:AQ$22),"")</f>
        <v>4</v>
      </c>
      <c r="AR70">
        <f ca="1">IF(AND(((COLUMN()-10)&lt;=playercnt),((ROW()-41)&lt;=playercnt)),SUMPRODUCT(INDIRECT(ADDRESS(3,ROW()-31,1)):INDIRECT(ADDRESS(22,ROW()-31,1)),AR$3:AR$22),"")</f>
        <v>7</v>
      </c>
      <c r="AS70">
        <f ca="1">IF(AND(((COLUMN()-10)&lt;=playercnt),((ROW()-41)&lt;=playercnt)),SUMPRODUCT(INDIRECT(ADDRESS(3,ROW()-31,1)):INDIRECT(ADDRESS(22,ROW()-31,1)),AS$3:AS$22),"")</f>
        <v>9</v>
      </c>
      <c r="AT70">
        <f ca="1">IF(AND(((COLUMN()-10)&lt;=playercnt),((ROW()-41)&lt;=playercnt)),SUMPRODUCT(INDIRECT(ADDRESS(3,ROW()-31,1)):INDIRECT(ADDRESS(22,ROW()-31,1)),AT$3:AT$22),"")</f>
        <v>4</v>
      </c>
      <c r="AU70">
        <f ca="1">IF(AND(((COLUMN()-10)&lt;=playercnt),((ROW()-41)&lt;=playercnt)),SUMPRODUCT(INDIRECT(ADDRESS(3,ROW()-31,1)):INDIRECT(ADDRESS(22,ROW()-31,1)),AU$3:AU$22),"")</f>
        <v>4</v>
      </c>
      <c r="AV70">
        <f ca="1">IF(AND(((COLUMN()-10)&lt;=playercnt),((ROW()-41)&lt;=playercnt)),SUMPRODUCT(INDIRECT(ADDRESS(3,ROW()-31,1)):INDIRECT(ADDRESS(22,ROW()-31,1)),AV$3:AV$22),"")</f>
        <v>4</v>
      </c>
      <c r="AW70">
        <f ca="1">IF(AND(((COLUMN()-10)&lt;=playercnt),((ROW()-41)&lt;=playercnt)),SUMPRODUCT(INDIRECT(ADDRESS(3,ROW()-31,1)):INDIRECT(ADDRESS(22,ROW()-31,1)),AW$3:AW$22),"")</f>
        <v>4</v>
      </c>
      <c r="AX70">
        <f ca="1">IF(AND(((COLUMN()-10)&lt;=playercnt),((ROW()-41)&lt;=playercnt)),SUMPRODUCT(INDIRECT(ADDRESS(3,ROW()-31,1)):INDIRECT(ADDRESS(22,ROW()-31,1)),AX$3:AX$22),"")</f>
        <v>2</v>
      </c>
      <c r="AY70">
        <f ca="1">IF(AND(((COLUMN()-10)&lt;=playercnt),((ROW()-41)&lt;=playercnt)),SUMPRODUCT(INDIRECT(ADDRESS(3,ROW()-31,1)):INDIRECT(ADDRESS(22,ROW()-31,1)),AY$3:AY$22),"")</f>
        <v>4</v>
      </c>
      <c r="AZ70">
        <f ca="1">IF(AND(((COLUMN()-10)&lt;=playercnt),((ROW()-41)&lt;=playercnt)),SUMPRODUCT(INDIRECT(ADDRESS(3,ROW()-31,1)):INDIRECT(ADDRESS(22,ROW()-31,1)),AZ$3:AZ$22),"")</f>
        <v>5</v>
      </c>
      <c r="BA70">
        <f ca="1">IF(AND(((COLUMN()-10)&lt;=playercnt),((ROW()-41)&lt;=playercnt)),SUMPRODUCT(INDIRECT(ADDRESS(3,ROW()-31,1)):INDIRECT(ADDRESS(22,ROW()-31,1)),BA$3:BA$22),"")</f>
        <v>4</v>
      </c>
      <c r="BB70">
        <f ca="1">IF(AND(((COLUMN()-10)&lt;=playercnt),((ROW()-41)&lt;=playercnt)),SUMPRODUCT(INDIRECT(ADDRESS(3,ROW()-31,1)):INDIRECT(ADDRESS(22,ROW()-31,1)),BB$3:BB$22),"")</f>
        <v>3</v>
      </c>
      <c r="BC70">
        <f ca="1">IF(AND(((COLUMN()-10)&lt;=playercnt),((ROW()-41)&lt;=playercnt)),SUMPRODUCT(INDIRECT(ADDRESS(3,ROW()-31,1)):INDIRECT(ADDRESS(22,ROW()-31,1)),BC$3:BC$22),"")</f>
        <v>5</v>
      </c>
      <c r="BD70">
        <f ca="1">IF(AND(((COLUMN()-10)&lt;=playercnt),((ROW()-41)&lt;=playercnt)),SUMPRODUCT(INDIRECT(ADDRESS(3,ROW()-31,1)):INDIRECT(ADDRESS(22,ROW()-31,1)),BD$3:BD$22),"")</f>
        <v>4</v>
      </c>
      <c r="BE70">
        <f ca="1">IF(AND(((COLUMN()-10)&lt;=playercnt),((ROW()-41)&lt;=playercnt)),SUMPRODUCT(INDIRECT(ADDRESS(3,ROW()-31,1)):INDIRECT(ADDRESS(22,ROW()-31,1)),BE$3:BE$22),"")</f>
        <v>3</v>
      </c>
      <c r="BF70">
        <f ca="1">IF(AND(((COLUMN()-10)&lt;=playercnt),((ROW()-41)&lt;=playercnt)),SUMPRODUCT(INDIRECT(ADDRESS(3,ROW()-31,1)):INDIRECT(ADDRESS(22,ROW()-31,1)),BF$3:BF$22),"")</f>
        <v>7</v>
      </c>
      <c r="BG70">
        <f ca="1">IF(AND(((COLUMN()-10)&lt;=playercnt),((ROW()-41)&lt;=playercnt)),SUMPRODUCT(INDIRECT(ADDRESS(3,ROW()-31,1)):INDIRECT(ADDRESS(22,ROW()-31,1)),BG$3:BG$22),"")</f>
        <v>6</v>
      </c>
      <c r="BH70">
        <f ca="1">IF(AND(((COLUMN()-10)&lt;=playercnt),((ROW()-41)&lt;=playercnt)),SUMPRODUCT(INDIRECT(ADDRESS(3,ROW()-31,1)):INDIRECT(ADDRESS(22,ROW()-31,1)),BH$3:BH$22),"")</f>
        <v>5</v>
      </c>
      <c r="BI70">
        <f ca="1">IF(AND(((COLUMN()-10)&lt;=playercnt),((ROW()-41)&lt;=playercnt)),SUMPRODUCT(INDIRECT(ADDRESS(3,ROW()-31,1)):INDIRECT(ADDRESS(22,ROW()-31,1)),BI$3:BI$22),"")</f>
        <v>4</v>
      </c>
      <c r="BJ70">
        <f ca="1">IF(AND(((COLUMN()-10)&lt;=playercnt),((ROW()-41)&lt;=playercnt)),SUMPRODUCT(INDIRECT(ADDRESS(3,ROW()-31,1)):INDIRECT(ADDRESS(22,ROW()-31,1)),BJ$3:BJ$22),"")</f>
        <v>6</v>
      </c>
      <c r="BK70">
        <f ca="1">IF(AND(((COLUMN()-10)&lt;=playercnt),((ROW()-41)&lt;=playercnt)),SUMPRODUCT(INDIRECT(ADDRESS(3,ROW()-31,1)):INDIRECT(ADDRESS(22,ROW()-31,1)),BK$3:BK$22),"")</f>
        <v>3</v>
      </c>
      <c r="BL70">
        <f ca="1">IF(AND(((COLUMN()-10)&lt;=playercnt),((ROW()-41)&lt;=playercnt)),SUMPRODUCT(INDIRECT(ADDRESS(3,ROW()-31,1)):INDIRECT(ADDRESS(22,ROW()-31,1)),BL$3:BL$22),"")</f>
        <v>5</v>
      </c>
      <c r="BM70">
        <f ca="1">IF(AND(((COLUMN()-10)&lt;=playercnt),((ROW()-41)&lt;=playercnt)),SUMPRODUCT(INDIRECT(ADDRESS(3,ROW()-31,1)):INDIRECT(ADDRESS(22,ROW()-31,1)),BM$3:BM$22),"")</f>
        <v>7</v>
      </c>
      <c r="BN70">
        <f ca="1">IF(AND(((COLUMN()-10)&lt;=playercnt),((ROW()-41)&lt;=playercnt)),SUMPRODUCT(INDIRECT(ADDRESS(3,ROW()-31,1)):INDIRECT(ADDRESS(22,ROW()-31,1)),BN$3:BN$22),"")</f>
        <v>5</v>
      </c>
    </row>
    <row r="71" spans="2:66">
      <c r="B71" s="27">
        <f t="shared" ca="1" si="23"/>
        <v>5.1818181818181817</v>
      </c>
      <c r="C71" t="str">
        <f t="shared" ca="1" si="24"/>
        <v>Murdaugh, Stephen K</v>
      </c>
      <c r="G71">
        <f ca="1">IF(AND(((COLUMN()-10)&lt;=playercnt),((ROW()-41)&lt;=playercnt)),SUMPRODUCT(INDIRECT(ADDRESS(3,ROW()-31,1)):INDIRECT(ADDRESS(22,ROW()-31,1)),G$3:G$22),"")</f>
        <v>5</v>
      </c>
      <c r="H71">
        <f ca="1">IF(AND(((COLUMN()-10)&lt;=playercnt),((ROW()-41)&lt;=playercnt)),SUMPRODUCT(INDIRECT(ADDRESS(3,ROW()-31,1)):INDIRECT(ADDRESS(22,ROW()-31,1)),H$3:H$22),"")</f>
        <v>8</v>
      </c>
      <c r="I71">
        <f ca="1">IF(AND(((COLUMN()-10)&lt;=playercnt),((ROW()-41)&lt;=playercnt)),SUMPRODUCT(INDIRECT(ADDRESS(3,ROW()-31,1)):INDIRECT(ADDRESS(22,ROW()-31,1)),I$3:I$22),"")</f>
        <v>6</v>
      </c>
      <c r="J71">
        <f ca="1">IF(AND(((COLUMN()-10)&lt;=playercnt),((ROW()-41)&lt;=playercnt)),SUMPRODUCT(INDIRECT(ADDRESS(3,ROW()-31,1)):INDIRECT(ADDRESS(22,ROW()-31,1)),J$3:J$22),"")</f>
        <v>0</v>
      </c>
      <c r="K71">
        <f ca="1">IF(AND(((COLUMN()-10)&lt;=playercnt),((ROW()-41)&lt;=playercnt)),SUMPRODUCT(INDIRECT(ADDRESS(3,ROW()-31,1)):INDIRECT(ADDRESS(22,ROW()-31,1)),K$3:K$22),"")</f>
        <v>5</v>
      </c>
      <c r="L71">
        <f ca="1">IF(AND(((COLUMN()-10)&lt;=playercnt),((ROW()-41)&lt;=playercnt)),SUMPRODUCT(INDIRECT(ADDRESS(3,ROW()-31,1)):INDIRECT(ADDRESS(22,ROW()-31,1)),L$3:L$22),"")</f>
        <v>8</v>
      </c>
      <c r="M71">
        <f ca="1">IF(AND(((COLUMN()-10)&lt;=playercnt),((ROW()-41)&lt;=playercnt)),SUMPRODUCT(INDIRECT(ADDRESS(3,ROW()-31,1)):INDIRECT(ADDRESS(22,ROW()-31,1)),M$3:M$22),"")</f>
        <v>4</v>
      </c>
      <c r="N71">
        <f ca="1">IF(AND(((COLUMN()-10)&lt;=playercnt),((ROW()-41)&lt;=playercnt)),SUMPRODUCT(INDIRECT(ADDRESS(3,ROW()-31,1)):INDIRECT(ADDRESS(22,ROW()-31,1)),N$3:N$22),"")</f>
        <v>6</v>
      </c>
      <c r="O71">
        <f ca="1">IF(AND(((COLUMN()-10)&lt;=playercnt),((ROW()-41)&lt;=playercnt)),SUMPRODUCT(INDIRECT(ADDRESS(3,ROW()-31,1)):INDIRECT(ADDRESS(22,ROW()-31,1)),O$3:O$22),"")</f>
        <v>6</v>
      </c>
      <c r="P71">
        <f ca="1">IF(AND(((COLUMN()-10)&lt;=playercnt),((ROW()-41)&lt;=playercnt)),SUMPRODUCT(INDIRECT(ADDRESS(3,ROW()-31,1)):INDIRECT(ADDRESS(22,ROW()-31,1)),P$3:P$22),"")</f>
        <v>5</v>
      </c>
      <c r="Q71">
        <f ca="1">IF(AND(((COLUMN()-10)&lt;=playercnt),((ROW()-41)&lt;=playercnt)),SUMPRODUCT(INDIRECT(ADDRESS(3,ROW()-31,1)):INDIRECT(ADDRESS(22,ROW()-31,1)),Q$3:Q$22),"")</f>
        <v>5</v>
      </c>
      <c r="R71">
        <f ca="1">IF(AND(((COLUMN()-10)&lt;=playercnt),((ROW()-41)&lt;=playercnt)),SUMPRODUCT(INDIRECT(ADDRESS(3,ROW()-31,1)):INDIRECT(ADDRESS(22,ROW()-31,1)),R$3:R$22),"")</f>
        <v>5</v>
      </c>
      <c r="S71">
        <f ca="1">IF(AND(((COLUMN()-10)&lt;=playercnt),((ROW()-41)&lt;=playercnt)),SUMPRODUCT(INDIRECT(ADDRESS(3,ROW()-31,1)):INDIRECT(ADDRESS(22,ROW()-31,1)),S$3:S$22),"")</f>
        <v>3</v>
      </c>
      <c r="T71">
        <f ca="1">IF(AND(((COLUMN()-10)&lt;=playercnt),((ROW()-41)&lt;=playercnt)),SUMPRODUCT(INDIRECT(ADDRESS(3,ROW()-31,1)):INDIRECT(ADDRESS(22,ROW()-31,1)),T$3:T$22),"")</f>
        <v>1</v>
      </c>
      <c r="U71">
        <f ca="1">IF(AND(((COLUMN()-10)&lt;=playercnt),((ROW()-41)&lt;=playercnt)),SUMPRODUCT(INDIRECT(ADDRESS(3,ROW()-31,1)):INDIRECT(ADDRESS(22,ROW()-31,1)),U$3:U$22),"")</f>
        <v>6</v>
      </c>
      <c r="V71">
        <f ca="1">IF(AND(((COLUMN()-10)&lt;=playercnt),((ROW()-41)&lt;=playercnt)),SUMPRODUCT(INDIRECT(ADDRESS(3,ROW()-31,1)):INDIRECT(ADDRESS(22,ROW()-31,1)),V$3:V$22),"")</f>
        <v>5</v>
      </c>
      <c r="W71">
        <f ca="1">IF(AND(((COLUMN()-10)&lt;=playercnt),((ROW()-41)&lt;=playercnt)),SUMPRODUCT(INDIRECT(ADDRESS(3,ROW()-31,1)):INDIRECT(ADDRESS(22,ROW()-31,1)),W$3:W$22),"")</f>
        <v>5</v>
      </c>
      <c r="X71">
        <f ca="1">IF(AND(((COLUMN()-10)&lt;=playercnt),((ROW()-41)&lt;=playercnt)),SUMPRODUCT(INDIRECT(ADDRESS(3,ROW()-31,1)):INDIRECT(ADDRESS(22,ROW()-31,1)),X$3:X$22),"")</f>
        <v>3</v>
      </c>
      <c r="Y71">
        <f ca="1">IF(AND(((COLUMN()-10)&lt;=playercnt),((ROW()-41)&lt;=playercnt)),SUMPRODUCT(INDIRECT(ADDRESS(3,ROW()-31,1)):INDIRECT(ADDRESS(22,ROW()-31,1)),Y$3:Y$22),"")</f>
        <v>8</v>
      </c>
      <c r="Z71">
        <f ca="1">IF(AND(((COLUMN()-10)&lt;=playercnt),((ROW()-41)&lt;=playercnt)),SUMPRODUCT(INDIRECT(ADDRESS(3,ROW()-31,1)):INDIRECT(ADDRESS(22,ROW()-31,1)),Z$3:Z$22),"")</f>
        <v>4</v>
      </c>
      <c r="AA71">
        <f ca="1">IF(AND(((COLUMN()-10)&lt;=playercnt),((ROW()-41)&lt;=playercnt)),SUMPRODUCT(INDIRECT(ADDRESS(3,ROW()-31,1)):INDIRECT(ADDRESS(22,ROW()-31,1)),AA$3:AA$22),"")</f>
        <v>4</v>
      </c>
      <c r="AB71">
        <f ca="1">IF(AND(((COLUMN()-10)&lt;=playercnt),((ROW()-41)&lt;=playercnt)),SUMPRODUCT(INDIRECT(ADDRESS(3,ROW()-31,1)):INDIRECT(ADDRESS(22,ROW()-31,1)),AB$3:AB$22),"")</f>
        <v>6</v>
      </c>
      <c r="AC71">
        <f ca="1">IF(AND(((COLUMN()-10)&lt;=playercnt),((ROW()-41)&lt;=playercnt)),SUMPRODUCT(INDIRECT(ADDRESS(3,ROW()-31,1)):INDIRECT(ADDRESS(22,ROW()-31,1)),AC$3:AC$22),"")</f>
        <v>7</v>
      </c>
      <c r="AD71">
        <f ca="1">IF(AND(((COLUMN()-10)&lt;=playercnt),((ROW()-41)&lt;=playercnt)),SUMPRODUCT(INDIRECT(ADDRESS(3,ROW()-31,1)):INDIRECT(ADDRESS(22,ROW()-31,1)),AD$3:AD$22),"")</f>
        <v>4</v>
      </c>
      <c r="AE71">
        <f ca="1">IF(AND(((COLUMN()-10)&lt;=playercnt),((ROW()-41)&lt;=playercnt)),SUMPRODUCT(INDIRECT(ADDRESS(3,ROW()-31,1)):INDIRECT(ADDRESS(22,ROW()-31,1)),AE$3:AE$22),"")</f>
        <v>8</v>
      </c>
      <c r="AF71">
        <f ca="1">IF(AND(((COLUMN()-10)&lt;=playercnt),((ROW()-41)&lt;=playercnt)),SUMPRODUCT(INDIRECT(ADDRESS(3,ROW()-31,1)):INDIRECT(ADDRESS(22,ROW()-31,1)),AF$3:AF$22),"")</f>
        <v>6</v>
      </c>
      <c r="AG71">
        <f ca="1">IF(AND(((COLUMN()-10)&lt;=playercnt),((ROW()-41)&lt;=playercnt)),SUMPRODUCT(INDIRECT(ADDRESS(3,ROW()-31,1)):INDIRECT(ADDRESS(22,ROW()-31,1)),AG$3:AG$22),"")</f>
        <v>6</v>
      </c>
      <c r="AH71">
        <f ca="1">IF(AND(((COLUMN()-10)&lt;=playercnt),((ROW()-41)&lt;=playercnt)),SUMPRODUCT(INDIRECT(ADDRESS(3,ROW()-31,1)):INDIRECT(ADDRESS(22,ROW()-31,1)),AH$3:AH$22),"")</f>
        <v>4</v>
      </c>
      <c r="AI71">
        <f ca="1">IF(AND(((COLUMN()-10)&lt;=playercnt),((ROW()-41)&lt;=playercnt)),SUMPRODUCT(INDIRECT(ADDRESS(3,ROW()-31,1)):INDIRECT(ADDRESS(22,ROW()-31,1)),AI$3:AI$22),"")</f>
        <v>9</v>
      </c>
      <c r="AJ71">
        <f ca="1">IF(AND(((COLUMN()-10)&lt;=playercnt),((ROW()-41)&lt;=playercnt)),SUMPRODUCT(INDIRECT(ADDRESS(3,ROW()-31,1)):INDIRECT(ADDRESS(22,ROW()-31,1)),AJ$3:AJ$22),"")</f>
        <v>6</v>
      </c>
      <c r="AK71">
        <f ca="1">IF(AND(((COLUMN()-10)&lt;=playercnt),((ROW()-41)&lt;=playercnt)),SUMPRODUCT(INDIRECT(ADDRESS(3,ROW()-31,1)):INDIRECT(ADDRESS(22,ROW()-31,1)),AK$3:AK$22),"")</f>
        <v>6</v>
      </c>
      <c r="AL71">
        <f ca="1">IF(AND(((COLUMN()-10)&lt;=playercnt),((ROW()-41)&lt;=playercnt)),SUMPRODUCT(INDIRECT(ADDRESS(3,ROW()-31,1)):INDIRECT(ADDRESS(22,ROW()-31,1)),AL$3:AL$22),"")</f>
        <v>6</v>
      </c>
      <c r="AM71">
        <f ca="1">IF(AND(((COLUMN()-10)&lt;=playercnt),((ROW()-41)&lt;=playercnt)),SUMPRODUCT(INDIRECT(ADDRESS(3,ROW()-31,1)):INDIRECT(ADDRESS(22,ROW()-31,1)),AM$3:AM$22),"")</f>
        <v>5</v>
      </c>
      <c r="AN71">
        <f ca="1">IF(AND(((COLUMN()-10)&lt;=playercnt),((ROW()-41)&lt;=playercnt)),SUMPRODUCT(INDIRECT(ADDRESS(3,ROW()-31,1)):INDIRECT(ADDRESS(22,ROW()-31,1)),AN$3:AN$22),"")</f>
        <v>10</v>
      </c>
      <c r="AO71">
        <f ca="1">IF(AND(((COLUMN()-10)&lt;=playercnt),((ROW()-41)&lt;=playercnt)),SUMPRODUCT(INDIRECT(ADDRESS(3,ROW()-31,1)):INDIRECT(ADDRESS(22,ROW()-31,1)),AO$3:AO$22),"")</f>
        <v>8</v>
      </c>
      <c r="AP71">
        <f ca="1">IF(AND(((COLUMN()-10)&lt;=playercnt),((ROW()-41)&lt;=playercnt)),SUMPRODUCT(INDIRECT(ADDRESS(3,ROW()-31,1)):INDIRECT(ADDRESS(22,ROW()-31,1)),AP$3:AP$22),"")</f>
        <v>3</v>
      </c>
      <c r="AQ71">
        <f ca="1">IF(AND(((COLUMN()-10)&lt;=playercnt),((ROW()-41)&lt;=playercnt)),SUMPRODUCT(INDIRECT(ADDRESS(3,ROW()-31,1)):INDIRECT(ADDRESS(22,ROW()-31,1)),AQ$3:AQ$22),"")</f>
        <v>7</v>
      </c>
      <c r="AR71">
        <f ca="1">IF(AND(((COLUMN()-10)&lt;=playercnt),((ROW()-41)&lt;=playercnt)),SUMPRODUCT(INDIRECT(ADDRESS(3,ROW()-31,1)):INDIRECT(ADDRESS(22,ROW()-31,1)),AR$3:AR$22),"")</f>
        <v>8</v>
      </c>
      <c r="AS71">
        <f ca="1">IF(AND(((COLUMN()-10)&lt;=playercnt),((ROW()-41)&lt;=playercnt)),SUMPRODUCT(INDIRECT(ADDRESS(3,ROW()-31,1)):INDIRECT(ADDRESS(22,ROW()-31,1)),AS$3:AS$22),"")</f>
        <v>4</v>
      </c>
      <c r="AT71">
        <f ca="1">IF(AND(((COLUMN()-10)&lt;=playercnt),((ROW()-41)&lt;=playercnt)),SUMPRODUCT(INDIRECT(ADDRESS(3,ROW()-31,1)):INDIRECT(ADDRESS(22,ROW()-31,1)),AT$3:AT$22),"")</f>
        <v>3</v>
      </c>
      <c r="AU71">
        <f ca="1">IF(AND(((COLUMN()-10)&lt;=playercnt),((ROW()-41)&lt;=playercnt)),SUMPRODUCT(INDIRECT(ADDRESS(3,ROW()-31,1)):INDIRECT(ADDRESS(22,ROW()-31,1)),AU$3:AU$22),"")</f>
        <v>7</v>
      </c>
      <c r="AV71">
        <f ca="1">IF(AND(((COLUMN()-10)&lt;=playercnt),((ROW()-41)&lt;=playercnt)),SUMPRODUCT(INDIRECT(ADDRESS(3,ROW()-31,1)):INDIRECT(ADDRESS(22,ROW()-31,1)),AV$3:AV$22),"")</f>
        <v>5</v>
      </c>
      <c r="AW71">
        <f ca="1">IF(AND(((COLUMN()-10)&lt;=playercnt),((ROW()-41)&lt;=playercnt)),SUMPRODUCT(INDIRECT(ADDRESS(3,ROW()-31,1)):INDIRECT(ADDRESS(22,ROW()-31,1)),AW$3:AW$22),"")</f>
        <v>5</v>
      </c>
      <c r="AX71">
        <f ca="1">IF(AND(((COLUMN()-10)&lt;=playercnt),((ROW()-41)&lt;=playercnt)),SUMPRODUCT(INDIRECT(ADDRESS(3,ROW()-31,1)):INDIRECT(ADDRESS(22,ROW()-31,1)),AX$3:AX$22),"")</f>
        <v>5</v>
      </c>
      <c r="AY71">
        <f ca="1">IF(AND(((COLUMN()-10)&lt;=playercnt),((ROW()-41)&lt;=playercnt)),SUMPRODUCT(INDIRECT(ADDRESS(3,ROW()-31,1)):INDIRECT(ADDRESS(22,ROW()-31,1)),AY$3:AY$22),"")</f>
        <v>7</v>
      </c>
      <c r="AZ71">
        <f ca="1">IF(AND(((COLUMN()-10)&lt;=playercnt),((ROW()-41)&lt;=playercnt)),SUMPRODUCT(INDIRECT(ADDRESS(3,ROW()-31,1)):INDIRECT(ADDRESS(22,ROW()-31,1)),AZ$3:AZ$22),"")</f>
        <v>4</v>
      </c>
      <c r="BA71">
        <f ca="1">IF(AND(((COLUMN()-10)&lt;=playercnt),((ROW()-41)&lt;=playercnt)),SUMPRODUCT(INDIRECT(ADDRESS(3,ROW()-31,1)):INDIRECT(ADDRESS(22,ROW()-31,1)),BA$3:BA$22),"")</f>
        <v>3</v>
      </c>
      <c r="BB71">
        <f ca="1">IF(AND(((COLUMN()-10)&lt;=playercnt),((ROW()-41)&lt;=playercnt)),SUMPRODUCT(INDIRECT(ADDRESS(3,ROW()-31,1)):INDIRECT(ADDRESS(22,ROW()-31,1)),BB$3:BB$22),"")</f>
        <v>6</v>
      </c>
      <c r="BC71">
        <f ca="1">IF(AND(((COLUMN()-10)&lt;=playercnt),((ROW()-41)&lt;=playercnt)),SUMPRODUCT(INDIRECT(ADDRESS(3,ROW()-31,1)):INDIRECT(ADDRESS(22,ROW()-31,1)),BC$3:BC$22),"")</f>
        <v>0</v>
      </c>
      <c r="BD71">
        <f ca="1">IF(AND(((COLUMN()-10)&lt;=playercnt),((ROW()-41)&lt;=playercnt)),SUMPRODUCT(INDIRECT(ADDRESS(3,ROW()-31,1)):INDIRECT(ADDRESS(22,ROW()-31,1)),BD$3:BD$22),"")</f>
        <v>3</v>
      </c>
      <c r="BE71">
        <f ca="1">IF(AND(((COLUMN()-10)&lt;=playercnt),((ROW()-41)&lt;=playercnt)),SUMPRODUCT(INDIRECT(ADDRESS(3,ROW()-31,1)):INDIRECT(ADDRESS(22,ROW()-31,1)),BE$3:BE$22),"")</f>
        <v>6</v>
      </c>
      <c r="BF71">
        <f ca="1">IF(AND(((COLUMN()-10)&lt;=playercnt),((ROW()-41)&lt;=playercnt)),SUMPRODUCT(INDIRECT(ADDRESS(3,ROW()-31,1)):INDIRECT(ADDRESS(22,ROW()-31,1)),BF$3:BF$22),"")</f>
        <v>6</v>
      </c>
      <c r="BG71">
        <f ca="1">IF(AND(((COLUMN()-10)&lt;=playercnt),((ROW()-41)&lt;=playercnt)),SUMPRODUCT(INDIRECT(ADDRESS(3,ROW()-31,1)):INDIRECT(ADDRESS(22,ROW()-31,1)),BG$3:BG$22),"")</f>
        <v>7</v>
      </c>
      <c r="BH71">
        <f ca="1">IF(AND(((COLUMN()-10)&lt;=playercnt),((ROW()-41)&lt;=playercnt)),SUMPRODUCT(INDIRECT(ADDRESS(3,ROW()-31,1)):INDIRECT(ADDRESS(22,ROW()-31,1)),BH$3:BH$22),"")</f>
        <v>4</v>
      </c>
      <c r="BI71">
        <f ca="1">IF(AND(((COLUMN()-10)&lt;=playercnt),((ROW()-41)&lt;=playercnt)),SUMPRODUCT(INDIRECT(ADDRESS(3,ROW()-31,1)):INDIRECT(ADDRESS(22,ROW()-31,1)),BI$3:BI$22),"")</f>
        <v>5</v>
      </c>
      <c r="BJ71">
        <f ca="1">IF(AND(((COLUMN()-10)&lt;=playercnt),((ROW()-41)&lt;=playercnt)),SUMPRODUCT(INDIRECT(ADDRESS(3,ROW()-31,1)):INDIRECT(ADDRESS(22,ROW()-31,1)),BJ$3:BJ$22),"")</f>
        <v>7</v>
      </c>
      <c r="BK71">
        <f ca="1">IF(AND(((COLUMN()-10)&lt;=playercnt),((ROW()-41)&lt;=playercnt)),SUMPRODUCT(INDIRECT(ADDRESS(3,ROW()-31,1)):INDIRECT(ADDRESS(22,ROW()-31,1)),BK$3:BK$22),"")</f>
        <v>4</v>
      </c>
      <c r="BL71">
        <f ca="1">IF(AND(((COLUMN()-10)&lt;=playercnt),((ROW()-41)&lt;=playercnt)),SUMPRODUCT(INDIRECT(ADDRESS(3,ROW()-31,1)):INDIRECT(ADDRESS(22,ROW()-31,1)),BL$3:BL$22),"")</f>
        <v>6</v>
      </c>
      <c r="BM71">
        <f ca="1">IF(AND(((COLUMN()-10)&lt;=playercnt),((ROW()-41)&lt;=playercnt)),SUMPRODUCT(INDIRECT(ADDRESS(3,ROW()-31,1)):INDIRECT(ADDRESS(22,ROW()-31,1)),BM$3:BM$22),"")</f>
        <v>4</v>
      </c>
      <c r="BN71">
        <f ca="1">IF(AND(((COLUMN()-10)&lt;=playercnt),((ROW()-41)&lt;=playercnt)),SUMPRODUCT(INDIRECT(ADDRESS(3,ROW()-31,1)):INDIRECT(ADDRESS(22,ROW()-31,1)),BN$3:BN$22),"")</f>
        <v>2</v>
      </c>
    </row>
    <row r="72" spans="2:66">
      <c r="B72" s="27">
        <f t="shared" ca="1" si="23"/>
        <v>4.5272727272727273</v>
      </c>
      <c r="C72" t="str">
        <f t="shared" ca="1" si="24"/>
        <v>Murphy, William A</v>
      </c>
      <c r="G72">
        <f ca="1">IF(AND(((COLUMN()-10)&lt;=playercnt),((ROW()-41)&lt;=playercnt)),SUMPRODUCT(INDIRECT(ADDRESS(3,ROW()-31,1)):INDIRECT(ADDRESS(22,ROW()-31,1)),G$3:G$22),"")</f>
        <v>5</v>
      </c>
      <c r="H72">
        <f ca="1">IF(AND(((COLUMN()-10)&lt;=playercnt),((ROW()-41)&lt;=playercnt)),SUMPRODUCT(INDIRECT(ADDRESS(3,ROW()-31,1)):INDIRECT(ADDRESS(22,ROW()-31,1)),H$3:H$22),"")</f>
        <v>6</v>
      </c>
      <c r="I72">
        <f ca="1">IF(AND(((COLUMN()-10)&lt;=playercnt),((ROW()-41)&lt;=playercnt)),SUMPRODUCT(INDIRECT(ADDRESS(3,ROW()-31,1)):INDIRECT(ADDRESS(22,ROW()-31,1)),I$3:I$22),"")</f>
        <v>4</v>
      </c>
      <c r="J72">
        <f ca="1">IF(AND(((COLUMN()-10)&lt;=playercnt),((ROW()-41)&lt;=playercnt)),SUMPRODUCT(INDIRECT(ADDRESS(3,ROW()-31,1)):INDIRECT(ADDRESS(22,ROW()-31,1)),J$3:J$22),"")</f>
        <v>0</v>
      </c>
      <c r="K72">
        <f ca="1">IF(AND(((COLUMN()-10)&lt;=playercnt),((ROW()-41)&lt;=playercnt)),SUMPRODUCT(INDIRECT(ADDRESS(3,ROW()-31,1)):INDIRECT(ADDRESS(22,ROW()-31,1)),K$3:K$22),"")</f>
        <v>5</v>
      </c>
      <c r="L72">
        <f ca="1">IF(AND(((COLUMN()-10)&lt;=playercnt),((ROW()-41)&lt;=playercnt)),SUMPRODUCT(INDIRECT(ADDRESS(3,ROW()-31,1)):INDIRECT(ADDRESS(22,ROW()-31,1)),L$3:L$22),"")</f>
        <v>6</v>
      </c>
      <c r="M72">
        <f ca="1">IF(AND(((COLUMN()-10)&lt;=playercnt),((ROW()-41)&lt;=playercnt)),SUMPRODUCT(INDIRECT(ADDRESS(3,ROW()-31,1)):INDIRECT(ADDRESS(22,ROW()-31,1)),M$3:M$22),"")</f>
        <v>4</v>
      </c>
      <c r="N72">
        <f ca="1">IF(AND(((COLUMN()-10)&lt;=playercnt),((ROW()-41)&lt;=playercnt)),SUMPRODUCT(INDIRECT(ADDRESS(3,ROW()-31,1)):INDIRECT(ADDRESS(22,ROW()-31,1)),N$3:N$22),"")</f>
        <v>4</v>
      </c>
      <c r="O72">
        <f ca="1">IF(AND(((COLUMN()-10)&lt;=playercnt),((ROW()-41)&lt;=playercnt)),SUMPRODUCT(INDIRECT(ADDRESS(3,ROW()-31,1)):INDIRECT(ADDRESS(22,ROW()-31,1)),O$3:O$22),"")</f>
        <v>6</v>
      </c>
      <c r="P72">
        <f ca="1">IF(AND(((COLUMN()-10)&lt;=playercnt),((ROW()-41)&lt;=playercnt)),SUMPRODUCT(INDIRECT(ADDRESS(3,ROW()-31,1)):INDIRECT(ADDRESS(22,ROW()-31,1)),P$3:P$22),"")</f>
        <v>5</v>
      </c>
      <c r="Q72">
        <f ca="1">IF(AND(((COLUMN()-10)&lt;=playercnt),((ROW()-41)&lt;=playercnt)),SUMPRODUCT(INDIRECT(ADDRESS(3,ROW()-31,1)):INDIRECT(ADDRESS(22,ROW()-31,1)),Q$3:Q$22),"")</f>
        <v>5</v>
      </c>
      <c r="R72">
        <f ca="1">IF(AND(((COLUMN()-10)&lt;=playercnt),((ROW()-41)&lt;=playercnt)),SUMPRODUCT(INDIRECT(ADDRESS(3,ROW()-31,1)):INDIRECT(ADDRESS(22,ROW()-31,1)),R$3:R$22),"")</f>
        <v>3</v>
      </c>
      <c r="S72">
        <f ca="1">IF(AND(((COLUMN()-10)&lt;=playercnt),((ROW()-41)&lt;=playercnt)),SUMPRODUCT(INDIRECT(ADDRESS(3,ROW()-31,1)):INDIRECT(ADDRESS(22,ROW()-31,1)),S$3:S$22),"")</f>
        <v>3</v>
      </c>
      <c r="T72">
        <f ca="1">IF(AND(((COLUMN()-10)&lt;=playercnt),((ROW()-41)&lt;=playercnt)),SUMPRODUCT(INDIRECT(ADDRESS(3,ROW()-31,1)):INDIRECT(ADDRESS(22,ROW()-31,1)),T$3:T$22),"")</f>
        <v>3</v>
      </c>
      <c r="U72">
        <f ca="1">IF(AND(((COLUMN()-10)&lt;=playercnt),((ROW()-41)&lt;=playercnt)),SUMPRODUCT(INDIRECT(ADDRESS(3,ROW()-31,1)):INDIRECT(ADDRESS(22,ROW()-31,1)),U$3:U$22),"")</f>
        <v>4</v>
      </c>
      <c r="V72">
        <f ca="1">IF(AND(((COLUMN()-10)&lt;=playercnt),((ROW()-41)&lt;=playercnt)),SUMPRODUCT(INDIRECT(ADDRESS(3,ROW()-31,1)):INDIRECT(ADDRESS(22,ROW()-31,1)),V$3:V$22),"")</f>
        <v>3</v>
      </c>
      <c r="W72">
        <f ca="1">IF(AND(((COLUMN()-10)&lt;=playercnt),((ROW()-41)&lt;=playercnt)),SUMPRODUCT(INDIRECT(ADDRESS(3,ROW()-31,1)):INDIRECT(ADDRESS(22,ROW()-31,1)),W$3:W$22),"")</f>
        <v>3</v>
      </c>
      <c r="X72">
        <f ca="1">IF(AND(((COLUMN()-10)&lt;=playercnt),((ROW()-41)&lt;=playercnt)),SUMPRODUCT(INDIRECT(ADDRESS(3,ROW()-31,1)):INDIRECT(ADDRESS(22,ROW()-31,1)),X$3:X$22),"")</f>
        <v>1</v>
      </c>
      <c r="Y72">
        <f ca="1">IF(AND(((COLUMN()-10)&lt;=playercnt),((ROW()-41)&lt;=playercnt)),SUMPRODUCT(INDIRECT(ADDRESS(3,ROW()-31,1)):INDIRECT(ADDRESS(22,ROW()-31,1)),Y$3:Y$22),"")</f>
        <v>8</v>
      </c>
      <c r="Z72">
        <f ca="1">IF(AND(((COLUMN()-10)&lt;=playercnt),((ROW()-41)&lt;=playercnt)),SUMPRODUCT(INDIRECT(ADDRESS(3,ROW()-31,1)):INDIRECT(ADDRESS(22,ROW()-31,1)),Z$3:Z$22),"")</f>
        <v>6</v>
      </c>
      <c r="AA72">
        <f ca="1">IF(AND(((COLUMN()-10)&lt;=playercnt),((ROW()-41)&lt;=playercnt)),SUMPRODUCT(INDIRECT(ADDRESS(3,ROW()-31,1)):INDIRECT(ADDRESS(22,ROW()-31,1)),AA$3:AA$22),"")</f>
        <v>2</v>
      </c>
      <c r="AB72">
        <f ca="1">IF(AND(((COLUMN()-10)&lt;=playercnt),((ROW()-41)&lt;=playercnt)),SUMPRODUCT(INDIRECT(ADDRESS(3,ROW()-31,1)):INDIRECT(ADDRESS(22,ROW()-31,1)),AB$3:AB$22),"")</f>
        <v>4</v>
      </c>
      <c r="AC72">
        <f ca="1">IF(AND(((COLUMN()-10)&lt;=playercnt),((ROW()-41)&lt;=playercnt)),SUMPRODUCT(INDIRECT(ADDRESS(3,ROW()-31,1)):INDIRECT(ADDRESS(22,ROW()-31,1)),AC$3:AC$22),"")</f>
        <v>7</v>
      </c>
      <c r="AD72">
        <f ca="1">IF(AND(((COLUMN()-10)&lt;=playercnt),((ROW()-41)&lt;=playercnt)),SUMPRODUCT(INDIRECT(ADDRESS(3,ROW()-31,1)):INDIRECT(ADDRESS(22,ROW()-31,1)),AD$3:AD$22),"")</f>
        <v>2</v>
      </c>
      <c r="AE72">
        <f ca="1">IF(AND(((COLUMN()-10)&lt;=playercnt),((ROW()-41)&lt;=playercnt)),SUMPRODUCT(INDIRECT(ADDRESS(3,ROW()-31,1)):INDIRECT(ADDRESS(22,ROW()-31,1)),AE$3:AE$22),"")</f>
        <v>6</v>
      </c>
      <c r="AF72">
        <f ca="1">IF(AND(((COLUMN()-10)&lt;=playercnt),((ROW()-41)&lt;=playercnt)),SUMPRODUCT(INDIRECT(ADDRESS(3,ROW()-31,1)):INDIRECT(ADDRESS(22,ROW()-31,1)),AF$3:AF$22),"")</f>
        <v>4</v>
      </c>
      <c r="AG72">
        <f ca="1">IF(AND(((COLUMN()-10)&lt;=playercnt),((ROW()-41)&lt;=playercnt)),SUMPRODUCT(INDIRECT(ADDRESS(3,ROW()-31,1)):INDIRECT(ADDRESS(22,ROW()-31,1)),AG$3:AG$22),"")</f>
        <v>4</v>
      </c>
      <c r="AH72">
        <f ca="1">IF(AND(((COLUMN()-10)&lt;=playercnt),((ROW()-41)&lt;=playercnt)),SUMPRODUCT(INDIRECT(ADDRESS(3,ROW()-31,1)):INDIRECT(ADDRESS(22,ROW()-31,1)),AH$3:AH$22),"")</f>
        <v>4</v>
      </c>
      <c r="AI72">
        <f ca="1">IF(AND(((COLUMN()-10)&lt;=playercnt),((ROW()-41)&lt;=playercnt)),SUMPRODUCT(INDIRECT(ADDRESS(3,ROW()-31,1)):INDIRECT(ADDRESS(22,ROW()-31,1)),AI$3:AI$22),"")</f>
        <v>7</v>
      </c>
      <c r="AJ72">
        <f ca="1">IF(AND(((COLUMN()-10)&lt;=playercnt),((ROW()-41)&lt;=playercnt)),SUMPRODUCT(INDIRECT(ADDRESS(3,ROW()-31,1)):INDIRECT(ADDRESS(22,ROW()-31,1)),AJ$3:AJ$22),"")</f>
        <v>6</v>
      </c>
      <c r="AK72">
        <f ca="1">IF(AND(((COLUMN()-10)&lt;=playercnt),((ROW()-41)&lt;=playercnt)),SUMPRODUCT(INDIRECT(ADDRESS(3,ROW()-31,1)):INDIRECT(ADDRESS(22,ROW()-31,1)),AK$3:AK$22),"")</f>
        <v>6</v>
      </c>
      <c r="AL72">
        <f ca="1">IF(AND(((COLUMN()-10)&lt;=playercnt),((ROW()-41)&lt;=playercnt)),SUMPRODUCT(INDIRECT(ADDRESS(3,ROW()-31,1)):INDIRECT(ADDRESS(22,ROW()-31,1)),AL$3:AL$22),"")</f>
        <v>6</v>
      </c>
      <c r="AM72">
        <f ca="1">IF(AND(((COLUMN()-10)&lt;=playercnt),((ROW()-41)&lt;=playercnt)),SUMPRODUCT(INDIRECT(ADDRESS(3,ROW()-31,1)):INDIRECT(ADDRESS(22,ROW()-31,1)),AM$3:AM$22),"")</f>
        <v>5</v>
      </c>
      <c r="AN72">
        <f ca="1">IF(AND(((COLUMN()-10)&lt;=playercnt),((ROW()-41)&lt;=playercnt)),SUMPRODUCT(INDIRECT(ADDRESS(3,ROW()-31,1)):INDIRECT(ADDRESS(22,ROW()-31,1)),AN$3:AN$22),"")</f>
        <v>8</v>
      </c>
      <c r="AO72">
        <f ca="1">IF(AND(((COLUMN()-10)&lt;=playercnt),((ROW()-41)&lt;=playercnt)),SUMPRODUCT(INDIRECT(ADDRESS(3,ROW()-31,1)):INDIRECT(ADDRESS(22,ROW()-31,1)),AO$3:AO$22),"")</f>
        <v>10</v>
      </c>
      <c r="AP72">
        <f ca="1">IF(AND(((COLUMN()-10)&lt;=playercnt),((ROW()-41)&lt;=playercnt)),SUMPRODUCT(INDIRECT(ADDRESS(3,ROW()-31,1)):INDIRECT(ADDRESS(22,ROW()-31,1)),AP$3:AP$22),"")</f>
        <v>3</v>
      </c>
      <c r="AQ72">
        <f ca="1">IF(AND(((COLUMN()-10)&lt;=playercnt),((ROW()-41)&lt;=playercnt)),SUMPRODUCT(INDIRECT(ADDRESS(3,ROW()-31,1)):INDIRECT(ADDRESS(22,ROW()-31,1)),AQ$3:AQ$22),"")</f>
        <v>7</v>
      </c>
      <c r="AR72">
        <f ca="1">IF(AND(((COLUMN()-10)&lt;=playercnt),((ROW()-41)&lt;=playercnt)),SUMPRODUCT(INDIRECT(ADDRESS(3,ROW()-31,1)):INDIRECT(ADDRESS(22,ROW()-31,1)),AR$3:AR$22),"")</f>
        <v>6</v>
      </c>
      <c r="AS72">
        <f ca="1">IF(AND(((COLUMN()-10)&lt;=playercnt),((ROW()-41)&lt;=playercnt)),SUMPRODUCT(INDIRECT(ADDRESS(3,ROW()-31,1)):INDIRECT(ADDRESS(22,ROW()-31,1)),AS$3:AS$22),"")</f>
        <v>4</v>
      </c>
      <c r="AT72">
        <f ca="1">IF(AND(((COLUMN()-10)&lt;=playercnt),((ROW()-41)&lt;=playercnt)),SUMPRODUCT(INDIRECT(ADDRESS(3,ROW()-31,1)):INDIRECT(ADDRESS(22,ROW()-31,1)),AT$3:AT$22),"")</f>
        <v>5</v>
      </c>
      <c r="AU72">
        <f ca="1">IF(AND(((COLUMN()-10)&lt;=playercnt),((ROW()-41)&lt;=playercnt)),SUMPRODUCT(INDIRECT(ADDRESS(3,ROW()-31,1)):INDIRECT(ADDRESS(22,ROW()-31,1)),AU$3:AU$22),"")</f>
        <v>5</v>
      </c>
      <c r="AV72">
        <f ca="1">IF(AND(((COLUMN()-10)&lt;=playercnt),((ROW()-41)&lt;=playercnt)),SUMPRODUCT(INDIRECT(ADDRESS(3,ROW()-31,1)):INDIRECT(ADDRESS(22,ROW()-31,1)),AV$3:AV$22),"")</f>
        <v>3</v>
      </c>
      <c r="AW72">
        <f ca="1">IF(AND(((COLUMN()-10)&lt;=playercnt),((ROW()-41)&lt;=playercnt)),SUMPRODUCT(INDIRECT(ADDRESS(3,ROW()-31,1)):INDIRECT(ADDRESS(22,ROW()-31,1)),AW$3:AW$22),"")</f>
        <v>3</v>
      </c>
      <c r="AX72">
        <f ca="1">IF(AND(((COLUMN()-10)&lt;=playercnt),((ROW()-41)&lt;=playercnt)),SUMPRODUCT(INDIRECT(ADDRESS(3,ROW()-31,1)):INDIRECT(ADDRESS(22,ROW()-31,1)),AX$3:AX$22),"")</f>
        <v>5</v>
      </c>
      <c r="AY72">
        <f ca="1">IF(AND(((COLUMN()-10)&lt;=playercnt),((ROW()-41)&lt;=playercnt)),SUMPRODUCT(INDIRECT(ADDRESS(3,ROW()-31,1)):INDIRECT(ADDRESS(22,ROW()-31,1)),AY$3:AY$22),"")</f>
        <v>5</v>
      </c>
      <c r="AZ72">
        <f ca="1">IF(AND(((COLUMN()-10)&lt;=playercnt),((ROW()-41)&lt;=playercnt)),SUMPRODUCT(INDIRECT(ADDRESS(3,ROW()-31,1)):INDIRECT(ADDRESS(22,ROW()-31,1)),AZ$3:AZ$22),"")</f>
        <v>4</v>
      </c>
      <c r="BA72">
        <f ca="1">IF(AND(((COLUMN()-10)&lt;=playercnt),((ROW()-41)&lt;=playercnt)),SUMPRODUCT(INDIRECT(ADDRESS(3,ROW()-31,1)):INDIRECT(ADDRESS(22,ROW()-31,1)),BA$3:BA$22),"")</f>
        <v>3</v>
      </c>
      <c r="BB72">
        <f ca="1">IF(AND(((COLUMN()-10)&lt;=playercnt),((ROW()-41)&lt;=playercnt)),SUMPRODUCT(INDIRECT(ADDRESS(3,ROW()-31,1)):INDIRECT(ADDRESS(22,ROW()-31,1)),BB$3:BB$22),"")</f>
        <v>6</v>
      </c>
      <c r="BC72">
        <f ca="1">IF(AND(((COLUMN()-10)&lt;=playercnt),((ROW()-41)&lt;=playercnt)),SUMPRODUCT(INDIRECT(ADDRESS(3,ROW()-31,1)):INDIRECT(ADDRESS(22,ROW()-31,1)),BC$3:BC$22),"")</f>
        <v>2</v>
      </c>
      <c r="BD72">
        <f ca="1">IF(AND(((COLUMN()-10)&lt;=playercnt),((ROW()-41)&lt;=playercnt)),SUMPRODUCT(INDIRECT(ADDRESS(3,ROW()-31,1)):INDIRECT(ADDRESS(22,ROW()-31,1)),BD$3:BD$22),"")</f>
        <v>1</v>
      </c>
      <c r="BE72">
        <f ca="1">IF(AND(((COLUMN()-10)&lt;=playercnt),((ROW()-41)&lt;=playercnt)),SUMPRODUCT(INDIRECT(ADDRESS(3,ROW()-31,1)):INDIRECT(ADDRESS(22,ROW()-31,1)),BE$3:BE$22),"")</f>
        <v>6</v>
      </c>
      <c r="BF72">
        <f ca="1">IF(AND(((COLUMN()-10)&lt;=playercnt),((ROW()-41)&lt;=playercnt)),SUMPRODUCT(INDIRECT(ADDRESS(3,ROW()-31,1)):INDIRECT(ADDRESS(22,ROW()-31,1)),BF$3:BF$22),"")</f>
        <v>4</v>
      </c>
      <c r="BG72">
        <f ca="1">IF(AND(((COLUMN()-10)&lt;=playercnt),((ROW()-41)&lt;=playercnt)),SUMPRODUCT(INDIRECT(ADDRESS(3,ROW()-31,1)):INDIRECT(ADDRESS(22,ROW()-31,1)),BG$3:BG$22),"")</f>
        <v>5</v>
      </c>
      <c r="BH72">
        <f ca="1">IF(AND(((COLUMN()-10)&lt;=playercnt),((ROW()-41)&lt;=playercnt)),SUMPRODUCT(INDIRECT(ADDRESS(3,ROW()-31,1)):INDIRECT(ADDRESS(22,ROW()-31,1)),BH$3:BH$22),"")</f>
        <v>2</v>
      </c>
      <c r="BI72">
        <f ca="1">IF(AND(((COLUMN()-10)&lt;=playercnt),((ROW()-41)&lt;=playercnt)),SUMPRODUCT(INDIRECT(ADDRESS(3,ROW()-31,1)):INDIRECT(ADDRESS(22,ROW()-31,1)),BI$3:BI$22),"")</f>
        <v>5</v>
      </c>
      <c r="BJ72">
        <f ca="1">IF(AND(((COLUMN()-10)&lt;=playercnt),((ROW()-41)&lt;=playercnt)),SUMPRODUCT(INDIRECT(ADDRESS(3,ROW()-31,1)):INDIRECT(ADDRESS(22,ROW()-31,1)),BJ$3:BJ$22),"")</f>
        <v>7</v>
      </c>
      <c r="BK72">
        <f ca="1">IF(AND(((COLUMN()-10)&lt;=playercnt),((ROW()-41)&lt;=playercnt)),SUMPRODUCT(INDIRECT(ADDRESS(3,ROW()-31,1)):INDIRECT(ADDRESS(22,ROW()-31,1)),BK$3:BK$22),"")</f>
        <v>4</v>
      </c>
      <c r="BL72">
        <f ca="1">IF(AND(((COLUMN()-10)&lt;=playercnt),((ROW()-41)&lt;=playercnt)),SUMPRODUCT(INDIRECT(ADDRESS(3,ROW()-31,1)):INDIRECT(ADDRESS(22,ROW()-31,1)),BL$3:BL$22),"")</f>
        <v>4</v>
      </c>
      <c r="BM72">
        <f ca="1">IF(AND(((COLUMN()-10)&lt;=playercnt),((ROW()-41)&lt;=playercnt)),SUMPRODUCT(INDIRECT(ADDRESS(3,ROW()-31,1)):INDIRECT(ADDRESS(22,ROW()-31,1)),BM$3:BM$22),"")</f>
        <v>6</v>
      </c>
      <c r="BN72">
        <f ca="1">IF(AND(((COLUMN()-10)&lt;=playercnt),((ROW()-41)&lt;=playercnt)),SUMPRODUCT(INDIRECT(ADDRESS(3,ROW()-31,1)):INDIRECT(ADDRESS(22,ROW()-31,1)),BN$3:BN$22),"")</f>
        <v>4</v>
      </c>
    </row>
    <row r="73" spans="2:66">
      <c r="B73" s="27">
        <f t="shared" ca="1" si="23"/>
        <v>5.6545454545454543</v>
      </c>
      <c r="C73" t="str">
        <f t="shared" ca="1" si="24"/>
        <v>Nance, Rob Remote</v>
      </c>
      <c r="G73">
        <f ca="1">IF(AND(((COLUMN()-10)&lt;=playercnt),((ROW()-41)&lt;=playercnt)),SUMPRODUCT(INDIRECT(ADDRESS(3,ROW()-31,1)):INDIRECT(ADDRESS(22,ROW()-31,1)),G$3:G$22),"")</f>
        <v>4</v>
      </c>
      <c r="H73">
        <f ca="1">IF(AND(((COLUMN()-10)&lt;=playercnt),((ROW()-41)&lt;=playercnt)),SUMPRODUCT(INDIRECT(ADDRESS(3,ROW()-31,1)):INDIRECT(ADDRESS(22,ROW()-31,1)),H$3:H$22),"")</f>
        <v>5</v>
      </c>
      <c r="I73">
        <f ca="1">IF(AND(((COLUMN()-10)&lt;=playercnt),((ROW()-41)&lt;=playercnt)),SUMPRODUCT(INDIRECT(ADDRESS(3,ROW()-31,1)):INDIRECT(ADDRESS(22,ROW()-31,1)),I$3:I$22),"")</f>
        <v>7</v>
      </c>
      <c r="J73">
        <f ca="1">IF(AND(((COLUMN()-10)&lt;=playercnt),((ROW()-41)&lt;=playercnt)),SUMPRODUCT(INDIRECT(ADDRESS(3,ROW()-31,1)):INDIRECT(ADDRESS(22,ROW()-31,1)),J$3:J$22),"")</f>
        <v>0</v>
      </c>
      <c r="K73">
        <f ca="1">IF(AND(((COLUMN()-10)&lt;=playercnt),((ROW()-41)&lt;=playercnt)),SUMPRODUCT(INDIRECT(ADDRESS(3,ROW()-31,1)):INDIRECT(ADDRESS(22,ROW()-31,1)),K$3:K$22),"")</f>
        <v>4</v>
      </c>
      <c r="L73">
        <f ca="1">IF(AND(((COLUMN()-10)&lt;=playercnt),((ROW()-41)&lt;=playercnt)),SUMPRODUCT(INDIRECT(ADDRESS(3,ROW()-31,1)):INDIRECT(ADDRESS(22,ROW()-31,1)),L$3:L$22),"")</f>
        <v>5</v>
      </c>
      <c r="M73">
        <f ca="1">IF(AND(((COLUMN()-10)&lt;=playercnt),((ROW()-41)&lt;=playercnt)),SUMPRODUCT(INDIRECT(ADDRESS(3,ROW()-31,1)):INDIRECT(ADDRESS(22,ROW()-31,1)),M$3:M$22),"")</f>
        <v>7</v>
      </c>
      <c r="N73">
        <f ca="1">IF(AND(((COLUMN()-10)&lt;=playercnt),((ROW()-41)&lt;=playercnt)),SUMPRODUCT(INDIRECT(ADDRESS(3,ROW()-31,1)):INDIRECT(ADDRESS(22,ROW()-31,1)),N$3:N$22),"")</f>
        <v>5</v>
      </c>
      <c r="O73">
        <f ca="1">IF(AND(((COLUMN()-10)&lt;=playercnt),((ROW()-41)&lt;=playercnt)),SUMPRODUCT(INDIRECT(ADDRESS(3,ROW()-31,1)):INDIRECT(ADDRESS(22,ROW()-31,1)),O$3:O$22),"")</f>
        <v>3</v>
      </c>
      <c r="P73">
        <f ca="1">IF(AND(((COLUMN()-10)&lt;=playercnt),((ROW()-41)&lt;=playercnt)),SUMPRODUCT(INDIRECT(ADDRESS(3,ROW()-31,1)):INDIRECT(ADDRESS(22,ROW()-31,1)),P$3:P$22),"")</f>
        <v>8</v>
      </c>
      <c r="Q73">
        <f ca="1">IF(AND(((COLUMN()-10)&lt;=playercnt),((ROW()-41)&lt;=playercnt)),SUMPRODUCT(INDIRECT(ADDRESS(3,ROW()-31,1)):INDIRECT(ADDRESS(22,ROW()-31,1)),Q$3:Q$22),"")</f>
        <v>6</v>
      </c>
      <c r="R73">
        <f ca="1">IF(AND(((COLUMN()-10)&lt;=playercnt),((ROW()-41)&lt;=playercnt)),SUMPRODUCT(INDIRECT(ADDRESS(3,ROW()-31,1)):INDIRECT(ADDRESS(22,ROW()-31,1)),R$3:R$22),"")</f>
        <v>8</v>
      </c>
      <c r="S73">
        <f ca="1">IF(AND(((COLUMN()-10)&lt;=playercnt),((ROW()-41)&lt;=playercnt)),SUMPRODUCT(INDIRECT(ADDRESS(3,ROW()-31,1)):INDIRECT(ADDRESS(22,ROW()-31,1)),S$3:S$22),"")</f>
        <v>6</v>
      </c>
      <c r="T73">
        <f ca="1">IF(AND(((COLUMN()-10)&lt;=playercnt),((ROW()-41)&lt;=playercnt)),SUMPRODUCT(INDIRECT(ADDRESS(3,ROW()-31,1)):INDIRECT(ADDRESS(22,ROW()-31,1)),T$3:T$22),"")</f>
        <v>6</v>
      </c>
      <c r="U73">
        <f ca="1">IF(AND(((COLUMN()-10)&lt;=playercnt),((ROW()-41)&lt;=playercnt)),SUMPRODUCT(INDIRECT(ADDRESS(3,ROW()-31,1)):INDIRECT(ADDRESS(22,ROW()-31,1)),U$3:U$22),"")</f>
        <v>7</v>
      </c>
      <c r="V73">
        <f ca="1">IF(AND(((COLUMN()-10)&lt;=playercnt),((ROW()-41)&lt;=playercnt)),SUMPRODUCT(INDIRECT(ADDRESS(3,ROW()-31,1)):INDIRECT(ADDRESS(22,ROW()-31,1)),V$3:V$22),"")</f>
        <v>4</v>
      </c>
      <c r="W73">
        <f ca="1">IF(AND(((COLUMN()-10)&lt;=playercnt),((ROW()-41)&lt;=playercnt)),SUMPRODUCT(INDIRECT(ADDRESS(3,ROW()-31,1)):INDIRECT(ADDRESS(22,ROW()-31,1)),W$3:W$22),"")</f>
        <v>4</v>
      </c>
      <c r="X73">
        <f ca="1">IF(AND(((COLUMN()-10)&lt;=playercnt),((ROW()-41)&lt;=playercnt)),SUMPRODUCT(INDIRECT(ADDRESS(3,ROW()-31,1)):INDIRECT(ADDRESS(22,ROW()-31,1)),X$3:X$22),"")</f>
        <v>6</v>
      </c>
      <c r="Y73">
        <f ca="1">IF(AND(((COLUMN()-10)&lt;=playercnt),((ROW()-41)&lt;=playercnt)),SUMPRODUCT(INDIRECT(ADDRESS(3,ROW()-31,1)):INDIRECT(ADDRESS(22,ROW()-31,1)),Y$3:Y$22),"")</f>
        <v>3</v>
      </c>
      <c r="Z73">
        <f ca="1">IF(AND(((COLUMN()-10)&lt;=playercnt),((ROW()-41)&lt;=playercnt)),SUMPRODUCT(INDIRECT(ADDRESS(3,ROW()-31,1)):INDIRECT(ADDRESS(22,ROW()-31,1)),Z$3:Z$22),"")</f>
        <v>5</v>
      </c>
      <c r="AA73">
        <f ca="1">IF(AND(((COLUMN()-10)&lt;=playercnt),((ROW()-41)&lt;=playercnt)),SUMPRODUCT(INDIRECT(ADDRESS(3,ROW()-31,1)):INDIRECT(ADDRESS(22,ROW()-31,1)),AA$3:AA$22),"")</f>
        <v>5</v>
      </c>
      <c r="AB73">
        <f ca="1">IF(AND(((COLUMN()-10)&lt;=playercnt),((ROW()-41)&lt;=playercnt)),SUMPRODUCT(INDIRECT(ADDRESS(3,ROW()-31,1)):INDIRECT(ADDRESS(22,ROW()-31,1)),AB$3:AB$22),"")</f>
        <v>7</v>
      </c>
      <c r="AC73">
        <f ca="1">IF(AND(((COLUMN()-10)&lt;=playercnt),((ROW()-41)&lt;=playercnt)),SUMPRODUCT(INDIRECT(ADDRESS(3,ROW()-31,1)):INDIRECT(ADDRESS(22,ROW()-31,1)),AC$3:AC$22),"")</f>
        <v>4</v>
      </c>
      <c r="AD73">
        <f ca="1">IF(AND(((COLUMN()-10)&lt;=playercnt),((ROW()-41)&lt;=playercnt)),SUMPRODUCT(INDIRECT(ADDRESS(3,ROW()-31,1)):INDIRECT(ADDRESS(22,ROW()-31,1)),AD$3:AD$22),"")</f>
        <v>7</v>
      </c>
      <c r="AE73">
        <f ca="1">IF(AND(((COLUMN()-10)&lt;=playercnt),((ROW()-41)&lt;=playercnt)),SUMPRODUCT(INDIRECT(ADDRESS(3,ROW()-31,1)):INDIRECT(ADDRESS(22,ROW()-31,1)),AE$3:AE$22),"")</f>
        <v>5</v>
      </c>
      <c r="AF73">
        <f ca="1">IF(AND(((COLUMN()-10)&lt;=playercnt),((ROW()-41)&lt;=playercnt)),SUMPRODUCT(INDIRECT(ADDRESS(3,ROW()-31,1)):INDIRECT(ADDRESS(22,ROW()-31,1)),AF$3:AF$22),"")</f>
        <v>3</v>
      </c>
      <c r="AG73">
        <f ca="1">IF(AND(((COLUMN()-10)&lt;=playercnt),((ROW()-41)&lt;=playercnt)),SUMPRODUCT(INDIRECT(ADDRESS(3,ROW()-31,1)):INDIRECT(ADDRESS(22,ROW()-31,1)),AG$3:AG$22),"")</f>
        <v>5</v>
      </c>
      <c r="AH73">
        <f ca="1">IF(AND(((COLUMN()-10)&lt;=playercnt),((ROW()-41)&lt;=playercnt)),SUMPRODUCT(INDIRECT(ADDRESS(3,ROW()-31,1)):INDIRECT(ADDRESS(22,ROW()-31,1)),AH$3:AH$22),"")</f>
        <v>5</v>
      </c>
      <c r="AI73">
        <f ca="1">IF(AND(((COLUMN()-10)&lt;=playercnt),((ROW()-41)&lt;=playercnt)),SUMPRODUCT(INDIRECT(ADDRESS(3,ROW()-31,1)):INDIRECT(ADDRESS(22,ROW()-31,1)),AI$3:AI$22),"")</f>
        <v>4</v>
      </c>
      <c r="AJ73">
        <f ca="1">IF(AND(((COLUMN()-10)&lt;=playercnt),((ROW()-41)&lt;=playercnt)),SUMPRODUCT(INDIRECT(ADDRESS(3,ROW()-31,1)):INDIRECT(ADDRESS(22,ROW()-31,1)),AJ$3:AJ$22),"")</f>
        <v>5</v>
      </c>
      <c r="AK73">
        <f ca="1">IF(AND(((COLUMN()-10)&lt;=playercnt),((ROW()-41)&lt;=playercnt)),SUMPRODUCT(INDIRECT(ADDRESS(3,ROW()-31,1)):INDIRECT(ADDRESS(22,ROW()-31,1)),AK$3:AK$22),"")</f>
        <v>7</v>
      </c>
      <c r="AL73">
        <f ca="1">IF(AND(((COLUMN()-10)&lt;=playercnt),((ROW()-41)&lt;=playercnt)),SUMPRODUCT(INDIRECT(ADDRESS(3,ROW()-31,1)):INDIRECT(ADDRESS(22,ROW()-31,1)),AL$3:AL$22),"")</f>
        <v>7</v>
      </c>
      <c r="AM73">
        <f ca="1">IF(AND(((COLUMN()-10)&lt;=playercnt),((ROW()-41)&lt;=playercnt)),SUMPRODUCT(INDIRECT(ADDRESS(3,ROW()-31,1)):INDIRECT(ADDRESS(22,ROW()-31,1)),AM$3:AM$22),"")</f>
        <v>4</v>
      </c>
      <c r="AN73">
        <f ca="1">IF(AND(((COLUMN()-10)&lt;=playercnt),((ROW()-41)&lt;=playercnt)),SUMPRODUCT(INDIRECT(ADDRESS(3,ROW()-31,1)):INDIRECT(ADDRESS(22,ROW()-31,1)),AN$3:AN$22),"")</f>
        <v>3</v>
      </c>
      <c r="AO73">
        <f ca="1">IF(AND(((COLUMN()-10)&lt;=playercnt),((ROW()-41)&lt;=playercnt)),SUMPRODUCT(INDIRECT(ADDRESS(3,ROW()-31,1)):INDIRECT(ADDRESS(22,ROW()-31,1)),AO$3:AO$22),"")</f>
        <v>3</v>
      </c>
      <c r="AP73">
        <f ca="1">IF(AND(((COLUMN()-10)&lt;=playercnt),((ROW()-41)&lt;=playercnt)),SUMPRODUCT(INDIRECT(ADDRESS(3,ROW()-31,1)):INDIRECT(ADDRESS(22,ROW()-31,1)),AP$3:AP$22),"")</f>
        <v>10</v>
      </c>
      <c r="AQ73">
        <f ca="1">IF(AND(((COLUMN()-10)&lt;=playercnt),((ROW()-41)&lt;=playercnt)),SUMPRODUCT(INDIRECT(ADDRESS(3,ROW()-31,1)):INDIRECT(ADDRESS(22,ROW()-31,1)),AQ$3:AQ$22),"")</f>
        <v>6</v>
      </c>
      <c r="AR73">
        <f ca="1">IF(AND(((COLUMN()-10)&lt;=playercnt),((ROW()-41)&lt;=playercnt)),SUMPRODUCT(INDIRECT(ADDRESS(3,ROW()-31,1)):INDIRECT(ADDRESS(22,ROW()-31,1)),AR$3:AR$22),"")</f>
        <v>5</v>
      </c>
      <c r="AS73">
        <f ca="1">IF(AND(((COLUMN()-10)&lt;=playercnt),((ROW()-41)&lt;=playercnt)),SUMPRODUCT(INDIRECT(ADDRESS(3,ROW()-31,1)):INDIRECT(ADDRESS(22,ROW()-31,1)),AS$3:AS$22),"")</f>
        <v>3</v>
      </c>
      <c r="AT73">
        <f ca="1">IF(AND(((COLUMN()-10)&lt;=playercnt),((ROW()-41)&lt;=playercnt)),SUMPRODUCT(INDIRECT(ADDRESS(3,ROW()-31,1)):INDIRECT(ADDRESS(22,ROW()-31,1)),AT$3:AT$22),"")</f>
        <v>8</v>
      </c>
      <c r="AU73">
        <f ca="1">IF(AND(((COLUMN()-10)&lt;=playercnt),((ROW()-41)&lt;=playercnt)),SUMPRODUCT(INDIRECT(ADDRESS(3,ROW()-31,1)):INDIRECT(ADDRESS(22,ROW()-31,1)),AU$3:AU$22),"")</f>
        <v>6</v>
      </c>
      <c r="AV73">
        <f ca="1">IF(AND(((COLUMN()-10)&lt;=playercnt),((ROW()-41)&lt;=playercnt)),SUMPRODUCT(INDIRECT(ADDRESS(3,ROW()-31,1)):INDIRECT(ADDRESS(22,ROW()-31,1)),AV$3:AV$22),"")</f>
        <v>6</v>
      </c>
      <c r="AW73">
        <f ca="1">IF(AND(((COLUMN()-10)&lt;=playercnt),((ROW()-41)&lt;=playercnt)),SUMPRODUCT(INDIRECT(ADDRESS(3,ROW()-31,1)):INDIRECT(ADDRESS(22,ROW()-31,1)),AW$3:AW$22),"")</f>
        <v>4</v>
      </c>
      <c r="AX73">
        <f ca="1">IF(AND(((COLUMN()-10)&lt;=playercnt),((ROW()-41)&lt;=playercnt)),SUMPRODUCT(INDIRECT(ADDRESS(3,ROW()-31,1)):INDIRECT(ADDRESS(22,ROW()-31,1)),AX$3:AX$22),"")</f>
        <v>8</v>
      </c>
      <c r="AY73">
        <f ca="1">IF(AND(((COLUMN()-10)&lt;=playercnt),((ROW()-41)&lt;=playercnt)),SUMPRODUCT(INDIRECT(ADDRESS(3,ROW()-31,1)):INDIRECT(ADDRESS(22,ROW()-31,1)),AY$3:AY$22),"")</f>
        <v>6</v>
      </c>
      <c r="AZ73">
        <f ca="1">IF(AND(((COLUMN()-10)&lt;=playercnt),((ROW()-41)&lt;=playercnt)),SUMPRODUCT(INDIRECT(ADDRESS(3,ROW()-31,1)):INDIRECT(ADDRESS(22,ROW()-31,1)),AZ$3:AZ$22),"")</f>
        <v>5</v>
      </c>
      <c r="BA73">
        <f ca="1">IF(AND(((COLUMN()-10)&lt;=playercnt),((ROW()-41)&lt;=playercnt)),SUMPRODUCT(INDIRECT(ADDRESS(3,ROW()-31,1)):INDIRECT(ADDRESS(22,ROW()-31,1)),BA$3:BA$22),"")</f>
        <v>8</v>
      </c>
      <c r="BB73">
        <f ca="1">IF(AND(((COLUMN()-10)&lt;=playercnt),((ROW()-41)&lt;=playercnt)),SUMPRODUCT(INDIRECT(ADDRESS(3,ROW()-31,1)):INDIRECT(ADDRESS(22,ROW()-31,1)),BB$3:BB$22),"")</f>
        <v>7</v>
      </c>
      <c r="BC73">
        <f ca="1">IF(AND(((COLUMN()-10)&lt;=playercnt),((ROW()-41)&lt;=playercnt)),SUMPRODUCT(INDIRECT(ADDRESS(3,ROW()-31,1)):INDIRECT(ADDRESS(22,ROW()-31,1)),BC$3:BC$22),"")</f>
        <v>7</v>
      </c>
      <c r="BD73">
        <f ca="1">IF(AND(((COLUMN()-10)&lt;=playercnt),((ROW()-41)&lt;=playercnt)),SUMPRODUCT(INDIRECT(ADDRESS(3,ROW()-31,1)):INDIRECT(ADDRESS(22,ROW()-31,1)),BD$3:BD$22),"")</f>
        <v>8</v>
      </c>
      <c r="BE73">
        <f ca="1">IF(AND(((COLUMN()-10)&lt;=playercnt),((ROW()-41)&lt;=playercnt)),SUMPRODUCT(INDIRECT(ADDRESS(3,ROW()-31,1)):INDIRECT(ADDRESS(22,ROW()-31,1)),BE$3:BE$22),"")</f>
        <v>7</v>
      </c>
      <c r="BF73">
        <f ca="1">IF(AND(((COLUMN()-10)&lt;=playercnt),((ROW()-41)&lt;=playercnt)),SUMPRODUCT(INDIRECT(ADDRESS(3,ROW()-31,1)):INDIRECT(ADDRESS(22,ROW()-31,1)),BF$3:BF$22),"")</f>
        <v>7</v>
      </c>
      <c r="BG73">
        <f ca="1">IF(AND(((COLUMN()-10)&lt;=playercnt),((ROW()-41)&lt;=playercnt)),SUMPRODUCT(INDIRECT(ADDRESS(3,ROW()-31,1)):INDIRECT(ADDRESS(22,ROW()-31,1)),BG$3:BG$22),"")</f>
        <v>4</v>
      </c>
      <c r="BH73">
        <f ca="1">IF(AND(((COLUMN()-10)&lt;=playercnt),((ROW()-41)&lt;=playercnt)),SUMPRODUCT(INDIRECT(ADDRESS(3,ROW()-31,1)):INDIRECT(ADDRESS(22,ROW()-31,1)),BH$3:BH$22),"")</f>
        <v>7</v>
      </c>
      <c r="BI73">
        <f ca="1">IF(AND(((COLUMN()-10)&lt;=playercnt),((ROW()-41)&lt;=playercnt)),SUMPRODUCT(INDIRECT(ADDRESS(3,ROW()-31,1)):INDIRECT(ADDRESS(22,ROW()-31,1)),BI$3:BI$22),"")</f>
        <v>6</v>
      </c>
      <c r="BJ73">
        <f ca="1">IF(AND(((COLUMN()-10)&lt;=playercnt),((ROW()-41)&lt;=playercnt)),SUMPRODUCT(INDIRECT(ADDRESS(3,ROW()-31,1)):INDIRECT(ADDRESS(22,ROW()-31,1)),BJ$3:BJ$22),"")</f>
        <v>6</v>
      </c>
      <c r="BK73">
        <f ca="1">IF(AND(((COLUMN()-10)&lt;=playercnt),((ROW()-41)&lt;=playercnt)),SUMPRODUCT(INDIRECT(ADDRESS(3,ROW()-31,1)):INDIRECT(ADDRESS(22,ROW()-31,1)),BK$3:BK$22),"")</f>
        <v>7</v>
      </c>
      <c r="BL73">
        <f ca="1">IF(AND(((COLUMN()-10)&lt;=playercnt),((ROW()-41)&lt;=playercnt)),SUMPRODUCT(INDIRECT(ADDRESS(3,ROW()-31,1)):INDIRECT(ADDRESS(22,ROW()-31,1)),BL$3:BL$22),"")</f>
        <v>7</v>
      </c>
      <c r="BM73">
        <f ca="1">IF(AND(((COLUMN()-10)&lt;=playercnt),((ROW()-41)&lt;=playercnt)),SUMPRODUCT(INDIRECT(ADDRESS(3,ROW()-31,1)):INDIRECT(ADDRESS(22,ROW()-31,1)),BM$3:BM$22),"")</f>
        <v>5</v>
      </c>
      <c r="BN73">
        <f ca="1">IF(AND(((COLUMN()-10)&lt;=playercnt),((ROW()-41)&lt;=playercnt)),SUMPRODUCT(INDIRECT(ADDRESS(3,ROW()-31,1)):INDIRECT(ADDRESS(22,ROW()-31,1)),BN$3:BN$22),"")</f>
        <v>7</v>
      </c>
    </row>
    <row r="74" spans="2:66">
      <c r="B74" s="27">
        <f t="shared" ca="1" si="23"/>
        <v>5.0363636363636362</v>
      </c>
      <c r="C74" t="str">
        <f t="shared" ca="1" si="24"/>
        <v>Neeley, Amber Remote</v>
      </c>
      <c r="G74">
        <f ca="1">IF(AND(((COLUMN()-10)&lt;=playercnt),((ROW()-41)&lt;=playercnt)),SUMPRODUCT(INDIRECT(ADDRESS(3,ROW()-31,1)):INDIRECT(ADDRESS(22,ROW()-31,1)),G$3:G$22),"")</f>
        <v>4</v>
      </c>
      <c r="H74">
        <f ca="1">IF(AND(((COLUMN()-10)&lt;=playercnt),((ROW()-41)&lt;=playercnt)),SUMPRODUCT(INDIRECT(ADDRESS(3,ROW()-31,1)):INDIRECT(ADDRESS(22,ROW()-31,1)),H$3:H$22),"")</f>
        <v>9</v>
      </c>
      <c r="I74">
        <f ca="1">IF(AND(((COLUMN()-10)&lt;=playercnt),((ROW()-41)&lt;=playercnt)),SUMPRODUCT(INDIRECT(ADDRESS(3,ROW()-31,1)):INDIRECT(ADDRESS(22,ROW()-31,1)),I$3:I$22),"")</f>
        <v>5</v>
      </c>
      <c r="J74">
        <f ca="1">IF(AND(((COLUMN()-10)&lt;=playercnt),((ROW()-41)&lt;=playercnt)),SUMPRODUCT(INDIRECT(ADDRESS(3,ROW()-31,1)):INDIRECT(ADDRESS(22,ROW()-31,1)),J$3:J$22),"")</f>
        <v>0</v>
      </c>
      <c r="K74">
        <f ca="1">IF(AND(((COLUMN()-10)&lt;=playercnt),((ROW()-41)&lt;=playercnt)),SUMPRODUCT(INDIRECT(ADDRESS(3,ROW()-31,1)):INDIRECT(ADDRESS(22,ROW()-31,1)),K$3:K$22),"")</f>
        <v>4</v>
      </c>
      <c r="L74">
        <f ca="1">IF(AND(((COLUMN()-10)&lt;=playercnt),((ROW()-41)&lt;=playercnt)),SUMPRODUCT(INDIRECT(ADDRESS(3,ROW()-31,1)):INDIRECT(ADDRESS(22,ROW()-31,1)),L$3:L$22),"")</f>
        <v>7</v>
      </c>
      <c r="M74">
        <f ca="1">IF(AND(((COLUMN()-10)&lt;=playercnt),((ROW()-41)&lt;=playercnt)),SUMPRODUCT(INDIRECT(ADDRESS(3,ROW()-31,1)):INDIRECT(ADDRESS(22,ROW()-31,1)),M$3:M$22),"")</f>
        <v>3</v>
      </c>
      <c r="N74">
        <f ca="1">IF(AND(((COLUMN()-10)&lt;=playercnt),((ROW()-41)&lt;=playercnt)),SUMPRODUCT(INDIRECT(ADDRESS(3,ROW()-31,1)):INDIRECT(ADDRESS(22,ROW()-31,1)),N$3:N$22),"")</f>
        <v>7</v>
      </c>
      <c r="O74">
        <f ca="1">IF(AND(((COLUMN()-10)&lt;=playercnt),((ROW()-41)&lt;=playercnt)),SUMPRODUCT(INDIRECT(ADDRESS(3,ROW()-31,1)):INDIRECT(ADDRESS(22,ROW()-31,1)),O$3:O$22),"")</f>
        <v>3</v>
      </c>
      <c r="P74">
        <f ca="1">IF(AND(((COLUMN()-10)&lt;=playercnt),((ROW()-41)&lt;=playercnt)),SUMPRODUCT(INDIRECT(ADDRESS(3,ROW()-31,1)):INDIRECT(ADDRESS(22,ROW()-31,1)),P$3:P$22),"")</f>
        <v>8</v>
      </c>
      <c r="Q74">
        <f ca="1">IF(AND(((COLUMN()-10)&lt;=playercnt),((ROW()-41)&lt;=playercnt)),SUMPRODUCT(INDIRECT(ADDRESS(3,ROW()-31,1)):INDIRECT(ADDRESS(22,ROW()-31,1)),Q$3:Q$22),"")</f>
        <v>2</v>
      </c>
      <c r="R74">
        <f ca="1">IF(AND(((COLUMN()-10)&lt;=playercnt),((ROW()-41)&lt;=playercnt)),SUMPRODUCT(INDIRECT(ADDRESS(3,ROW()-31,1)):INDIRECT(ADDRESS(22,ROW()-31,1)),R$3:R$22),"")</f>
        <v>4</v>
      </c>
      <c r="S74">
        <f ca="1">IF(AND(((COLUMN()-10)&lt;=playercnt),((ROW()-41)&lt;=playercnt)),SUMPRODUCT(INDIRECT(ADDRESS(3,ROW()-31,1)):INDIRECT(ADDRESS(22,ROW()-31,1)),S$3:S$22),"")</f>
        <v>4</v>
      </c>
      <c r="T74">
        <f ca="1">IF(AND(((COLUMN()-10)&lt;=playercnt),((ROW()-41)&lt;=playercnt)),SUMPRODUCT(INDIRECT(ADDRESS(3,ROW()-31,1)):INDIRECT(ADDRESS(22,ROW()-31,1)),T$3:T$22),"")</f>
        <v>4</v>
      </c>
      <c r="U74">
        <f ca="1">IF(AND(((COLUMN()-10)&lt;=playercnt),((ROW()-41)&lt;=playercnt)),SUMPRODUCT(INDIRECT(ADDRESS(3,ROW()-31,1)):INDIRECT(ADDRESS(22,ROW()-31,1)),U$3:U$22),"")</f>
        <v>7</v>
      </c>
      <c r="V74">
        <f ca="1">IF(AND(((COLUMN()-10)&lt;=playercnt),((ROW()-41)&lt;=playercnt)),SUMPRODUCT(INDIRECT(ADDRESS(3,ROW()-31,1)):INDIRECT(ADDRESS(22,ROW()-31,1)),V$3:V$22),"")</f>
        <v>4</v>
      </c>
      <c r="W74">
        <f ca="1">IF(AND(((COLUMN()-10)&lt;=playercnt),((ROW()-41)&lt;=playercnt)),SUMPRODUCT(INDIRECT(ADDRESS(3,ROW()-31,1)):INDIRECT(ADDRESS(22,ROW()-31,1)),W$3:W$22),"")</f>
        <v>4</v>
      </c>
      <c r="X74">
        <f ca="1">IF(AND(((COLUMN()-10)&lt;=playercnt),((ROW()-41)&lt;=playercnt)),SUMPRODUCT(INDIRECT(ADDRESS(3,ROW()-31,1)):INDIRECT(ADDRESS(22,ROW()-31,1)),X$3:X$22),"")</f>
        <v>2</v>
      </c>
      <c r="Y74">
        <f ca="1">IF(AND(((COLUMN()-10)&lt;=playercnt),((ROW()-41)&lt;=playercnt)),SUMPRODUCT(INDIRECT(ADDRESS(3,ROW()-31,1)):INDIRECT(ADDRESS(22,ROW()-31,1)),Y$3:Y$22),"")</f>
        <v>5</v>
      </c>
      <c r="Z74">
        <f ca="1">IF(AND(((COLUMN()-10)&lt;=playercnt),((ROW()-41)&lt;=playercnt)),SUMPRODUCT(INDIRECT(ADDRESS(3,ROW()-31,1)):INDIRECT(ADDRESS(22,ROW()-31,1)),Z$3:Z$22),"")</f>
        <v>5</v>
      </c>
      <c r="AA74">
        <f ca="1">IF(AND(((COLUMN()-10)&lt;=playercnt),((ROW()-41)&lt;=playercnt)),SUMPRODUCT(INDIRECT(ADDRESS(3,ROW()-31,1)):INDIRECT(ADDRESS(22,ROW()-31,1)),AA$3:AA$22),"")</f>
        <v>5</v>
      </c>
      <c r="AB74">
        <f ca="1">IF(AND(((COLUMN()-10)&lt;=playercnt),((ROW()-41)&lt;=playercnt)),SUMPRODUCT(INDIRECT(ADDRESS(3,ROW()-31,1)):INDIRECT(ADDRESS(22,ROW()-31,1)),AB$3:AB$22),"")</f>
        <v>5</v>
      </c>
      <c r="AC74">
        <f ca="1">IF(AND(((COLUMN()-10)&lt;=playercnt),((ROW()-41)&lt;=playercnt)),SUMPRODUCT(INDIRECT(ADDRESS(3,ROW()-31,1)):INDIRECT(ADDRESS(22,ROW()-31,1)),AC$3:AC$22),"")</f>
        <v>4</v>
      </c>
      <c r="AD74">
        <f ca="1">IF(AND(((COLUMN()-10)&lt;=playercnt),((ROW()-41)&lt;=playercnt)),SUMPRODUCT(INDIRECT(ADDRESS(3,ROW()-31,1)):INDIRECT(ADDRESS(22,ROW()-31,1)),AD$3:AD$22),"")</f>
        <v>3</v>
      </c>
      <c r="AE74">
        <f ca="1">IF(AND(((COLUMN()-10)&lt;=playercnt),((ROW()-41)&lt;=playercnt)),SUMPRODUCT(INDIRECT(ADDRESS(3,ROW()-31,1)):INDIRECT(ADDRESS(22,ROW()-31,1)),AE$3:AE$22),"")</f>
        <v>9</v>
      </c>
      <c r="AF74">
        <f ca="1">IF(AND(((COLUMN()-10)&lt;=playercnt),((ROW()-41)&lt;=playercnt)),SUMPRODUCT(INDIRECT(ADDRESS(3,ROW()-31,1)):INDIRECT(ADDRESS(22,ROW()-31,1)),AF$3:AF$22),"")</f>
        <v>3</v>
      </c>
      <c r="AG74">
        <f ca="1">IF(AND(((COLUMN()-10)&lt;=playercnt),((ROW()-41)&lt;=playercnt)),SUMPRODUCT(INDIRECT(ADDRESS(3,ROW()-31,1)):INDIRECT(ADDRESS(22,ROW()-31,1)),AG$3:AG$22),"")</f>
        <v>3</v>
      </c>
      <c r="AH74">
        <f ca="1">IF(AND(((COLUMN()-10)&lt;=playercnt),((ROW()-41)&lt;=playercnt)),SUMPRODUCT(INDIRECT(ADDRESS(3,ROW()-31,1)):INDIRECT(ADDRESS(22,ROW()-31,1)),AH$3:AH$22),"")</f>
        <v>3</v>
      </c>
      <c r="AI74">
        <f ca="1">IF(AND(((COLUMN()-10)&lt;=playercnt),((ROW()-41)&lt;=playercnt)),SUMPRODUCT(INDIRECT(ADDRESS(3,ROW()-31,1)):INDIRECT(ADDRESS(22,ROW()-31,1)),AI$3:AI$22),"")</f>
        <v>6</v>
      </c>
      <c r="AJ74">
        <f ca="1">IF(AND(((COLUMN()-10)&lt;=playercnt),((ROW()-41)&lt;=playercnt)),SUMPRODUCT(INDIRECT(ADDRESS(3,ROW()-31,1)):INDIRECT(ADDRESS(22,ROW()-31,1)),AJ$3:AJ$22),"")</f>
        <v>7</v>
      </c>
      <c r="AK74">
        <f ca="1">IF(AND(((COLUMN()-10)&lt;=playercnt),((ROW()-41)&lt;=playercnt)),SUMPRODUCT(INDIRECT(ADDRESS(3,ROW()-31,1)):INDIRECT(ADDRESS(22,ROW()-31,1)),AK$3:AK$22),"")</f>
        <v>5</v>
      </c>
      <c r="AL74">
        <f ca="1">IF(AND(((COLUMN()-10)&lt;=playercnt),((ROW()-41)&lt;=playercnt)),SUMPRODUCT(INDIRECT(ADDRESS(3,ROW()-31,1)):INDIRECT(ADDRESS(22,ROW()-31,1)),AL$3:AL$22),"")</f>
        <v>9</v>
      </c>
      <c r="AM74">
        <f ca="1">IF(AND(((COLUMN()-10)&lt;=playercnt),((ROW()-41)&lt;=playercnt)),SUMPRODUCT(INDIRECT(ADDRESS(3,ROW()-31,1)):INDIRECT(ADDRESS(22,ROW()-31,1)),AM$3:AM$22),"")</f>
        <v>4</v>
      </c>
      <c r="AN74">
        <f ca="1">IF(AND(((COLUMN()-10)&lt;=playercnt),((ROW()-41)&lt;=playercnt)),SUMPRODUCT(INDIRECT(ADDRESS(3,ROW()-31,1)):INDIRECT(ADDRESS(22,ROW()-31,1)),AN$3:AN$22),"")</f>
        <v>7</v>
      </c>
      <c r="AO74">
        <f ca="1">IF(AND(((COLUMN()-10)&lt;=playercnt),((ROW()-41)&lt;=playercnt)),SUMPRODUCT(INDIRECT(ADDRESS(3,ROW()-31,1)):INDIRECT(ADDRESS(22,ROW()-31,1)),AO$3:AO$22),"")</f>
        <v>7</v>
      </c>
      <c r="AP74">
        <f ca="1">IF(AND(((COLUMN()-10)&lt;=playercnt),((ROW()-41)&lt;=playercnt)),SUMPRODUCT(INDIRECT(ADDRESS(3,ROW()-31,1)):INDIRECT(ADDRESS(22,ROW()-31,1)),AP$3:AP$22),"")</f>
        <v>6</v>
      </c>
      <c r="AQ74">
        <f ca="1">IF(AND(((COLUMN()-10)&lt;=playercnt),((ROW()-41)&lt;=playercnt)),SUMPRODUCT(INDIRECT(ADDRESS(3,ROW()-31,1)):INDIRECT(ADDRESS(22,ROW()-31,1)),AQ$3:AQ$22),"")</f>
        <v>10</v>
      </c>
      <c r="AR74">
        <f ca="1">IF(AND(((COLUMN()-10)&lt;=playercnt),((ROW()-41)&lt;=playercnt)),SUMPRODUCT(INDIRECT(ADDRESS(3,ROW()-31,1)):INDIRECT(ADDRESS(22,ROW()-31,1)),AR$3:AR$22),"")</f>
        <v>5</v>
      </c>
      <c r="AS74">
        <f ca="1">IF(AND(((COLUMN()-10)&lt;=playercnt),((ROW()-41)&lt;=playercnt)),SUMPRODUCT(INDIRECT(ADDRESS(3,ROW()-31,1)):INDIRECT(ADDRESS(22,ROW()-31,1)),AS$3:AS$22),"")</f>
        <v>3</v>
      </c>
      <c r="AT74">
        <f ca="1">IF(AND(((COLUMN()-10)&lt;=playercnt),((ROW()-41)&lt;=playercnt)),SUMPRODUCT(INDIRECT(ADDRESS(3,ROW()-31,1)):INDIRECT(ADDRESS(22,ROW()-31,1)),AT$3:AT$22),"")</f>
        <v>4</v>
      </c>
      <c r="AU74">
        <f ca="1">IF(AND(((COLUMN()-10)&lt;=playercnt),((ROW()-41)&lt;=playercnt)),SUMPRODUCT(INDIRECT(ADDRESS(3,ROW()-31,1)):INDIRECT(ADDRESS(22,ROW()-31,1)),AU$3:AU$22),"")</f>
        <v>6</v>
      </c>
      <c r="AV74">
        <f ca="1">IF(AND(((COLUMN()-10)&lt;=playercnt),((ROW()-41)&lt;=playercnt)),SUMPRODUCT(INDIRECT(ADDRESS(3,ROW()-31,1)):INDIRECT(ADDRESS(22,ROW()-31,1)),AV$3:AV$22),"")</f>
        <v>6</v>
      </c>
      <c r="AW74">
        <f ca="1">IF(AND(((COLUMN()-10)&lt;=playercnt),((ROW()-41)&lt;=playercnt)),SUMPRODUCT(INDIRECT(ADDRESS(3,ROW()-31,1)):INDIRECT(ADDRESS(22,ROW()-31,1)),AW$3:AW$22),"")</f>
        <v>4</v>
      </c>
      <c r="AX74">
        <f ca="1">IF(AND(((COLUMN()-10)&lt;=playercnt),((ROW()-41)&lt;=playercnt)),SUMPRODUCT(INDIRECT(ADDRESS(3,ROW()-31,1)):INDIRECT(ADDRESS(22,ROW()-31,1)),AX$3:AX$22),"")</f>
        <v>6</v>
      </c>
      <c r="AY74">
        <f ca="1">IF(AND(((COLUMN()-10)&lt;=playercnt),((ROW()-41)&lt;=playercnt)),SUMPRODUCT(INDIRECT(ADDRESS(3,ROW()-31,1)):INDIRECT(ADDRESS(22,ROW()-31,1)),AY$3:AY$22),"")</f>
        <v>6</v>
      </c>
      <c r="AZ74">
        <f ca="1">IF(AND(((COLUMN()-10)&lt;=playercnt),((ROW()-41)&lt;=playercnt)),SUMPRODUCT(INDIRECT(ADDRESS(3,ROW()-31,1)):INDIRECT(ADDRESS(22,ROW()-31,1)),AZ$3:AZ$22),"")</f>
        <v>3</v>
      </c>
      <c r="BA74">
        <f ca="1">IF(AND(((COLUMN()-10)&lt;=playercnt),((ROW()-41)&lt;=playercnt)),SUMPRODUCT(INDIRECT(ADDRESS(3,ROW()-31,1)):INDIRECT(ADDRESS(22,ROW()-31,1)),BA$3:BA$22),"")</f>
        <v>6</v>
      </c>
      <c r="BB74">
        <f ca="1">IF(AND(((COLUMN()-10)&lt;=playercnt),((ROW()-41)&lt;=playercnt)),SUMPRODUCT(INDIRECT(ADDRESS(3,ROW()-31,1)):INDIRECT(ADDRESS(22,ROW()-31,1)),BB$3:BB$22),"")</f>
        <v>7</v>
      </c>
      <c r="BC74">
        <f ca="1">IF(AND(((COLUMN()-10)&lt;=playercnt),((ROW()-41)&lt;=playercnt)),SUMPRODUCT(INDIRECT(ADDRESS(3,ROW()-31,1)):INDIRECT(ADDRESS(22,ROW()-31,1)),BC$3:BC$22),"")</f>
        <v>3</v>
      </c>
      <c r="BD74">
        <f ca="1">IF(AND(((COLUMN()-10)&lt;=playercnt),((ROW()-41)&lt;=playercnt)),SUMPRODUCT(INDIRECT(ADDRESS(3,ROW()-31,1)):INDIRECT(ADDRESS(22,ROW()-31,1)),BD$3:BD$22),"")</f>
        <v>4</v>
      </c>
      <c r="BE74">
        <f ca="1">IF(AND(((COLUMN()-10)&lt;=playercnt),((ROW()-41)&lt;=playercnt)),SUMPRODUCT(INDIRECT(ADDRESS(3,ROW()-31,1)):INDIRECT(ADDRESS(22,ROW()-31,1)),BE$3:BE$22),"")</f>
        <v>5</v>
      </c>
      <c r="BF74">
        <f ca="1">IF(AND(((COLUMN()-10)&lt;=playercnt),((ROW()-41)&lt;=playercnt)),SUMPRODUCT(INDIRECT(ADDRESS(3,ROW()-31,1)):INDIRECT(ADDRESS(22,ROW()-31,1)),BF$3:BF$22),"")</f>
        <v>5</v>
      </c>
      <c r="BG74">
        <f ca="1">IF(AND(((COLUMN()-10)&lt;=playercnt),((ROW()-41)&lt;=playercnt)),SUMPRODUCT(INDIRECT(ADDRESS(3,ROW()-31,1)):INDIRECT(ADDRESS(22,ROW()-31,1)),BG$3:BG$22),"")</f>
        <v>6</v>
      </c>
      <c r="BH74">
        <f ca="1">IF(AND(((COLUMN()-10)&lt;=playercnt),((ROW()-41)&lt;=playercnt)),SUMPRODUCT(INDIRECT(ADDRESS(3,ROW()-31,1)):INDIRECT(ADDRESS(22,ROW()-31,1)),BH$3:BH$22),"")</f>
        <v>5</v>
      </c>
      <c r="BI74">
        <f ca="1">IF(AND(((COLUMN()-10)&lt;=playercnt),((ROW()-41)&lt;=playercnt)),SUMPRODUCT(INDIRECT(ADDRESS(3,ROW()-31,1)):INDIRECT(ADDRESS(22,ROW()-31,1)),BI$3:BI$22),"")</f>
        <v>6</v>
      </c>
      <c r="BJ74">
        <f ca="1">IF(AND(((COLUMN()-10)&lt;=playercnt),((ROW()-41)&lt;=playercnt)),SUMPRODUCT(INDIRECT(ADDRESS(3,ROW()-31,1)):INDIRECT(ADDRESS(22,ROW()-31,1)),BJ$3:BJ$22),"")</f>
        <v>6</v>
      </c>
      <c r="BK74">
        <f ca="1">IF(AND(((COLUMN()-10)&lt;=playercnt),((ROW()-41)&lt;=playercnt)),SUMPRODUCT(INDIRECT(ADDRESS(3,ROW()-31,1)):INDIRECT(ADDRESS(22,ROW()-31,1)),BK$3:BK$22),"")</f>
        <v>5</v>
      </c>
      <c r="BL74">
        <f ca="1">IF(AND(((COLUMN()-10)&lt;=playercnt),((ROW()-41)&lt;=playercnt)),SUMPRODUCT(INDIRECT(ADDRESS(3,ROW()-31,1)):INDIRECT(ADDRESS(22,ROW()-31,1)),BL$3:BL$22),"")</f>
        <v>7</v>
      </c>
      <c r="BM74">
        <f ca="1">IF(AND(((COLUMN()-10)&lt;=playercnt),((ROW()-41)&lt;=playercnt)),SUMPRODUCT(INDIRECT(ADDRESS(3,ROW()-31,1)):INDIRECT(ADDRESS(22,ROW()-31,1)),BM$3:BM$22),"")</f>
        <v>5</v>
      </c>
      <c r="BN74">
        <f ca="1">IF(AND(((COLUMN()-10)&lt;=playercnt),((ROW()-41)&lt;=playercnt)),SUMPRODUCT(INDIRECT(ADDRESS(3,ROW()-31,1)):INDIRECT(ADDRESS(22,ROW()-31,1)),BN$3:BN$22),"")</f>
        <v>5</v>
      </c>
    </row>
    <row r="75" spans="2:66">
      <c r="B75" s="27">
        <f t="shared" ca="1" si="23"/>
        <v>5.5090909090909088</v>
      </c>
      <c r="C75" t="str">
        <f t="shared" ca="1" si="24"/>
        <v>Neeley, Michael Remote</v>
      </c>
      <c r="G75">
        <f ca="1">IF(AND(((COLUMN()-10)&lt;=playercnt),((ROW()-41)&lt;=playercnt)),SUMPRODUCT(INDIRECT(ADDRESS(3,ROW()-31,1)):INDIRECT(ADDRESS(22,ROW()-31,1)),G$3:G$22),"")</f>
        <v>5</v>
      </c>
      <c r="H75">
        <f ca="1">IF(AND(((COLUMN()-10)&lt;=playercnt),((ROW()-41)&lt;=playercnt)),SUMPRODUCT(INDIRECT(ADDRESS(3,ROW()-31,1)):INDIRECT(ADDRESS(22,ROW()-31,1)),H$3:H$22),"")</f>
        <v>6</v>
      </c>
      <c r="I75">
        <f ca="1">IF(AND(((COLUMN()-10)&lt;=playercnt),((ROW()-41)&lt;=playercnt)),SUMPRODUCT(INDIRECT(ADDRESS(3,ROW()-31,1)):INDIRECT(ADDRESS(22,ROW()-31,1)),I$3:I$22),"")</f>
        <v>6</v>
      </c>
      <c r="J75">
        <f ca="1">IF(AND(((COLUMN()-10)&lt;=playercnt),((ROW()-41)&lt;=playercnt)),SUMPRODUCT(INDIRECT(ADDRESS(3,ROW()-31,1)):INDIRECT(ADDRESS(22,ROW()-31,1)),J$3:J$22),"")</f>
        <v>0</v>
      </c>
      <c r="K75">
        <f ca="1">IF(AND(((COLUMN()-10)&lt;=playercnt),((ROW()-41)&lt;=playercnt)),SUMPRODUCT(INDIRECT(ADDRESS(3,ROW()-31,1)):INDIRECT(ADDRESS(22,ROW()-31,1)),K$3:K$22),"")</f>
        <v>5</v>
      </c>
      <c r="L75">
        <f ca="1">IF(AND(((COLUMN()-10)&lt;=playercnt),((ROW()-41)&lt;=playercnt)),SUMPRODUCT(INDIRECT(ADDRESS(3,ROW()-31,1)):INDIRECT(ADDRESS(22,ROW()-31,1)),L$3:L$22),"")</f>
        <v>6</v>
      </c>
      <c r="M75">
        <f ca="1">IF(AND(((COLUMN()-10)&lt;=playercnt),((ROW()-41)&lt;=playercnt)),SUMPRODUCT(INDIRECT(ADDRESS(3,ROW()-31,1)):INDIRECT(ADDRESS(22,ROW()-31,1)),M$3:M$22),"")</f>
        <v>6</v>
      </c>
      <c r="N75">
        <f ca="1">IF(AND(((COLUMN()-10)&lt;=playercnt),((ROW()-41)&lt;=playercnt)),SUMPRODUCT(INDIRECT(ADDRESS(3,ROW()-31,1)):INDIRECT(ADDRESS(22,ROW()-31,1)),N$3:N$22),"")</f>
        <v>4</v>
      </c>
      <c r="O75">
        <f ca="1">IF(AND(((COLUMN()-10)&lt;=playercnt),((ROW()-41)&lt;=playercnt)),SUMPRODUCT(INDIRECT(ADDRESS(3,ROW()-31,1)):INDIRECT(ADDRESS(22,ROW()-31,1)),O$3:O$22),"")</f>
        <v>6</v>
      </c>
      <c r="P75">
        <f ca="1">IF(AND(((COLUMN()-10)&lt;=playercnt),((ROW()-41)&lt;=playercnt)),SUMPRODUCT(INDIRECT(ADDRESS(3,ROW()-31,1)):INDIRECT(ADDRESS(22,ROW()-31,1)),P$3:P$22),"")</f>
        <v>5</v>
      </c>
      <c r="Q75">
        <f ca="1">IF(AND(((COLUMN()-10)&lt;=playercnt),((ROW()-41)&lt;=playercnt)),SUMPRODUCT(INDIRECT(ADDRESS(3,ROW()-31,1)):INDIRECT(ADDRESS(22,ROW()-31,1)),Q$3:Q$22),"")</f>
        <v>7</v>
      </c>
      <c r="R75">
        <f ca="1">IF(AND(((COLUMN()-10)&lt;=playercnt),((ROW()-41)&lt;=playercnt)),SUMPRODUCT(INDIRECT(ADDRESS(3,ROW()-31,1)):INDIRECT(ADDRESS(22,ROW()-31,1)),R$3:R$22),"")</f>
        <v>7</v>
      </c>
      <c r="S75">
        <f ca="1">IF(AND(((COLUMN()-10)&lt;=playercnt),((ROW()-41)&lt;=playercnt)),SUMPRODUCT(INDIRECT(ADDRESS(3,ROW()-31,1)):INDIRECT(ADDRESS(22,ROW()-31,1)),S$3:S$22),"")</f>
        <v>3</v>
      </c>
      <c r="T75">
        <f ca="1">IF(AND(((COLUMN()-10)&lt;=playercnt),((ROW()-41)&lt;=playercnt)),SUMPRODUCT(INDIRECT(ADDRESS(3,ROW()-31,1)):INDIRECT(ADDRESS(22,ROW()-31,1)),T$3:T$22),"")</f>
        <v>1</v>
      </c>
      <c r="U75">
        <f ca="1">IF(AND(((COLUMN()-10)&lt;=playercnt),((ROW()-41)&lt;=playercnt)),SUMPRODUCT(INDIRECT(ADDRESS(3,ROW()-31,1)):INDIRECT(ADDRESS(22,ROW()-31,1)),U$3:U$22),"")</f>
        <v>6</v>
      </c>
      <c r="V75">
        <f ca="1">IF(AND(((COLUMN()-10)&lt;=playercnt),((ROW()-41)&lt;=playercnt)),SUMPRODUCT(INDIRECT(ADDRESS(3,ROW()-31,1)):INDIRECT(ADDRESS(22,ROW()-31,1)),V$3:V$22),"")</f>
        <v>5</v>
      </c>
      <c r="W75">
        <f ca="1">IF(AND(((COLUMN()-10)&lt;=playercnt),((ROW()-41)&lt;=playercnt)),SUMPRODUCT(INDIRECT(ADDRESS(3,ROW()-31,1)):INDIRECT(ADDRESS(22,ROW()-31,1)),W$3:W$22),"")</f>
        <v>5</v>
      </c>
      <c r="X75">
        <f ca="1">IF(AND(((COLUMN()-10)&lt;=playercnt),((ROW()-41)&lt;=playercnt)),SUMPRODUCT(INDIRECT(ADDRESS(3,ROW()-31,1)):INDIRECT(ADDRESS(22,ROW()-31,1)),X$3:X$22),"")</f>
        <v>5</v>
      </c>
      <c r="Y75">
        <f ca="1">IF(AND(((COLUMN()-10)&lt;=playercnt),((ROW()-41)&lt;=playercnt)),SUMPRODUCT(INDIRECT(ADDRESS(3,ROW()-31,1)):INDIRECT(ADDRESS(22,ROW()-31,1)),Y$3:Y$22),"")</f>
        <v>8</v>
      </c>
      <c r="Z75">
        <f ca="1">IF(AND(((COLUMN()-10)&lt;=playercnt),((ROW()-41)&lt;=playercnt)),SUMPRODUCT(INDIRECT(ADDRESS(3,ROW()-31,1)):INDIRECT(ADDRESS(22,ROW()-31,1)),Z$3:Z$22),"")</f>
        <v>4</v>
      </c>
      <c r="AA75">
        <f ca="1">IF(AND(((COLUMN()-10)&lt;=playercnt),((ROW()-41)&lt;=playercnt)),SUMPRODUCT(INDIRECT(ADDRESS(3,ROW()-31,1)):INDIRECT(ADDRESS(22,ROW()-31,1)),AA$3:AA$22),"")</f>
        <v>4</v>
      </c>
      <c r="AB75">
        <f ca="1">IF(AND(((COLUMN()-10)&lt;=playercnt),((ROW()-41)&lt;=playercnt)),SUMPRODUCT(INDIRECT(ADDRESS(3,ROW()-31,1)):INDIRECT(ADDRESS(22,ROW()-31,1)),AB$3:AB$22),"")</f>
        <v>8</v>
      </c>
      <c r="AC75">
        <f ca="1">IF(AND(((COLUMN()-10)&lt;=playercnt),((ROW()-41)&lt;=playercnt)),SUMPRODUCT(INDIRECT(ADDRESS(3,ROW()-31,1)):INDIRECT(ADDRESS(22,ROW()-31,1)),AC$3:AC$22),"")</f>
        <v>7</v>
      </c>
      <c r="AD75">
        <f ca="1">IF(AND(((COLUMN()-10)&lt;=playercnt),((ROW()-41)&lt;=playercnt)),SUMPRODUCT(INDIRECT(ADDRESS(3,ROW()-31,1)):INDIRECT(ADDRESS(22,ROW()-31,1)),AD$3:AD$22),"")</f>
        <v>6</v>
      </c>
      <c r="AE75">
        <f ca="1">IF(AND(((COLUMN()-10)&lt;=playercnt),((ROW()-41)&lt;=playercnt)),SUMPRODUCT(INDIRECT(ADDRESS(3,ROW()-31,1)):INDIRECT(ADDRESS(22,ROW()-31,1)),AE$3:AE$22),"")</f>
        <v>6</v>
      </c>
      <c r="AF75">
        <f ca="1">IF(AND(((COLUMN()-10)&lt;=playercnt),((ROW()-41)&lt;=playercnt)),SUMPRODUCT(INDIRECT(ADDRESS(3,ROW()-31,1)):INDIRECT(ADDRESS(22,ROW()-31,1)),AF$3:AF$22),"")</f>
        <v>6</v>
      </c>
      <c r="AG75">
        <f ca="1">IF(AND(((COLUMN()-10)&lt;=playercnt),((ROW()-41)&lt;=playercnt)),SUMPRODUCT(INDIRECT(ADDRESS(3,ROW()-31,1)):INDIRECT(ADDRESS(22,ROW()-31,1)),AG$3:AG$22),"")</f>
        <v>6</v>
      </c>
      <c r="AH75">
        <f ca="1">IF(AND(((COLUMN()-10)&lt;=playercnt),((ROW()-41)&lt;=playercnt)),SUMPRODUCT(INDIRECT(ADDRESS(3,ROW()-31,1)):INDIRECT(ADDRESS(22,ROW()-31,1)),AH$3:AH$22),"")</f>
        <v>6</v>
      </c>
      <c r="AI75">
        <f ca="1">IF(AND(((COLUMN()-10)&lt;=playercnt),((ROW()-41)&lt;=playercnt)),SUMPRODUCT(INDIRECT(ADDRESS(3,ROW()-31,1)):INDIRECT(ADDRESS(22,ROW()-31,1)),AI$3:AI$22),"")</f>
        <v>9</v>
      </c>
      <c r="AJ75">
        <f ca="1">IF(AND(((COLUMN()-10)&lt;=playercnt),((ROW()-41)&lt;=playercnt)),SUMPRODUCT(INDIRECT(ADDRESS(3,ROW()-31,1)):INDIRECT(ADDRESS(22,ROW()-31,1)),AJ$3:AJ$22),"")</f>
        <v>6</v>
      </c>
      <c r="AK75">
        <f ca="1">IF(AND(((COLUMN()-10)&lt;=playercnt),((ROW()-41)&lt;=playercnt)),SUMPRODUCT(INDIRECT(ADDRESS(3,ROW()-31,1)):INDIRECT(ADDRESS(22,ROW()-31,1)),AK$3:AK$22),"")</f>
        <v>6</v>
      </c>
      <c r="AL75">
        <f ca="1">IF(AND(((COLUMN()-10)&lt;=playercnt),((ROW()-41)&lt;=playercnt)),SUMPRODUCT(INDIRECT(ADDRESS(3,ROW()-31,1)):INDIRECT(ADDRESS(22,ROW()-31,1)),AL$3:AL$22),"")</f>
        <v>4</v>
      </c>
      <c r="AM75">
        <f ca="1">IF(AND(((COLUMN()-10)&lt;=playercnt),((ROW()-41)&lt;=playercnt)),SUMPRODUCT(INDIRECT(ADDRESS(3,ROW()-31,1)):INDIRECT(ADDRESS(22,ROW()-31,1)),AM$3:AM$22),"")</f>
        <v>7</v>
      </c>
      <c r="AN75">
        <f ca="1">IF(AND(((COLUMN()-10)&lt;=playercnt),((ROW()-41)&lt;=playercnt)),SUMPRODUCT(INDIRECT(ADDRESS(3,ROW()-31,1)):INDIRECT(ADDRESS(22,ROW()-31,1)),AN$3:AN$22),"")</f>
        <v>8</v>
      </c>
      <c r="AO75">
        <f ca="1">IF(AND(((COLUMN()-10)&lt;=playercnt),((ROW()-41)&lt;=playercnt)),SUMPRODUCT(INDIRECT(ADDRESS(3,ROW()-31,1)):INDIRECT(ADDRESS(22,ROW()-31,1)),AO$3:AO$22),"")</f>
        <v>6</v>
      </c>
      <c r="AP75">
        <f ca="1">IF(AND(((COLUMN()-10)&lt;=playercnt),((ROW()-41)&lt;=playercnt)),SUMPRODUCT(INDIRECT(ADDRESS(3,ROW()-31,1)):INDIRECT(ADDRESS(22,ROW()-31,1)),AP$3:AP$22),"")</f>
        <v>5</v>
      </c>
      <c r="AQ75">
        <f ca="1">IF(AND(((COLUMN()-10)&lt;=playercnt),((ROW()-41)&lt;=playercnt)),SUMPRODUCT(INDIRECT(ADDRESS(3,ROW()-31,1)):INDIRECT(ADDRESS(22,ROW()-31,1)),AQ$3:AQ$22),"")</f>
        <v>5</v>
      </c>
      <c r="AR75">
        <f ca="1">IF(AND(((COLUMN()-10)&lt;=playercnt),((ROW()-41)&lt;=playercnt)),SUMPRODUCT(INDIRECT(ADDRESS(3,ROW()-31,1)):INDIRECT(ADDRESS(22,ROW()-31,1)),AR$3:AR$22),"")</f>
        <v>10</v>
      </c>
      <c r="AS75">
        <f ca="1">IF(AND(((COLUMN()-10)&lt;=playercnt),((ROW()-41)&lt;=playercnt)),SUMPRODUCT(INDIRECT(ADDRESS(3,ROW()-31,1)):INDIRECT(ADDRESS(22,ROW()-31,1)),AS$3:AS$22),"")</f>
        <v>6</v>
      </c>
      <c r="AT75">
        <f ca="1">IF(AND(((COLUMN()-10)&lt;=playercnt),((ROW()-41)&lt;=playercnt)),SUMPRODUCT(INDIRECT(ADDRESS(3,ROW()-31,1)):INDIRECT(ADDRESS(22,ROW()-31,1)),AT$3:AT$22),"")</f>
        <v>5</v>
      </c>
      <c r="AU75">
        <f ca="1">IF(AND(((COLUMN()-10)&lt;=playercnt),((ROW()-41)&lt;=playercnt)),SUMPRODUCT(INDIRECT(ADDRESS(3,ROW()-31,1)):INDIRECT(ADDRESS(22,ROW()-31,1)),AU$3:AU$22),"")</f>
        <v>7</v>
      </c>
      <c r="AV75">
        <f ca="1">IF(AND(((COLUMN()-10)&lt;=playercnt),((ROW()-41)&lt;=playercnt)),SUMPRODUCT(INDIRECT(ADDRESS(3,ROW()-31,1)):INDIRECT(ADDRESS(22,ROW()-31,1)),AV$3:AV$22),"")</f>
        <v>3</v>
      </c>
      <c r="AW75">
        <f ca="1">IF(AND(((COLUMN()-10)&lt;=playercnt),((ROW()-41)&lt;=playercnt)),SUMPRODUCT(INDIRECT(ADDRESS(3,ROW()-31,1)):INDIRECT(ADDRESS(22,ROW()-31,1)),AW$3:AW$22),"")</f>
        <v>5</v>
      </c>
      <c r="AX75">
        <f ca="1">IF(AND(((COLUMN()-10)&lt;=playercnt),((ROW()-41)&lt;=playercnt)),SUMPRODUCT(INDIRECT(ADDRESS(3,ROW()-31,1)):INDIRECT(ADDRESS(22,ROW()-31,1)),AX$3:AX$22),"")</f>
        <v>5</v>
      </c>
      <c r="AY75">
        <f ca="1">IF(AND(((COLUMN()-10)&lt;=playercnt),((ROW()-41)&lt;=playercnt)),SUMPRODUCT(INDIRECT(ADDRESS(3,ROW()-31,1)):INDIRECT(ADDRESS(22,ROW()-31,1)),AY$3:AY$22),"")</f>
        <v>7</v>
      </c>
      <c r="AZ75">
        <f ca="1">IF(AND(((COLUMN()-10)&lt;=playercnt),((ROW()-41)&lt;=playercnt)),SUMPRODUCT(INDIRECT(ADDRESS(3,ROW()-31,1)):INDIRECT(ADDRESS(22,ROW()-31,1)),AZ$3:AZ$22),"")</f>
        <v>6</v>
      </c>
      <c r="BA75">
        <f ca="1">IF(AND(((COLUMN()-10)&lt;=playercnt),((ROW()-41)&lt;=playercnt)),SUMPRODUCT(INDIRECT(ADDRESS(3,ROW()-31,1)):INDIRECT(ADDRESS(22,ROW()-31,1)),BA$3:BA$22),"")</f>
        <v>3</v>
      </c>
      <c r="BB75">
        <f ca="1">IF(AND(((COLUMN()-10)&lt;=playercnt),((ROW()-41)&lt;=playercnt)),SUMPRODUCT(INDIRECT(ADDRESS(3,ROW()-31,1)):INDIRECT(ADDRESS(22,ROW()-31,1)),BB$3:BB$22),"")</f>
        <v>4</v>
      </c>
      <c r="BC75">
        <f ca="1">IF(AND(((COLUMN()-10)&lt;=playercnt),((ROW()-41)&lt;=playercnt)),SUMPRODUCT(INDIRECT(ADDRESS(3,ROW()-31,1)):INDIRECT(ADDRESS(22,ROW()-31,1)),BC$3:BC$22),"")</f>
        <v>2</v>
      </c>
      <c r="BD75">
        <f ca="1">IF(AND(((COLUMN()-10)&lt;=playercnt),((ROW()-41)&lt;=playercnt)),SUMPRODUCT(INDIRECT(ADDRESS(3,ROW()-31,1)):INDIRECT(ADDRESS(22,ROW()-31,1)),BD$3:BD$22),"")</f>
        <v>5</v>
      </c>
      <c r="BE75">
        <f ca="1">IF(AND(((COLUMN()-10)&lt;=playercnt),((ROW()-41)&lt;=playercnt)),SUMPRODUCT(INDIRECT(ADDRESS(3,ROW()-31,1)):INDIRECT(ADDRESS(22,ROW()-31,1)),BE$3:BE$22),"")</f>
        <v>6</v>
      </c>
      <c r="BF75">
        <f ca="1">IF(AND(((COLUMN()-10)&lt;=playercnt),((ROW()-41)&lt;=playercnt)),SUMPRODUCT(INDIRECT(ADDRESS(3,ROW()-31,1)):INDIRECT(ADDRESS(22,ROW()-31,1)),BF$3:BF$22),"")</f>
        <v>8</v>
      </c>
      <c r="BG75">
        <f ca="1">IF(AND(((COLUMN()-10)&lt;=playercnt),((ROW()-41)&lt;=playercnt)),SUMPRODUCT(INDIRECT(ADDRESS(3,ROW()-31,1)):INDIRECT(ADDRESS(22,ROW()-31,1)),BG$3:BG$22),"")</f>
        <v>5</v>
      </c>
      <c r="BH75">
        <f ca="1">IF(AND(((COLUMN()-10)&lt;=playercnt),((ROW()-41)&lt;=playercnt)),SUMPRODUCT(INDIRECT(ADDRESS(3,ROW()-31,1)):INDIRECT(ADDRESS(22,ROW()-31,1)),BH$3:BH$22),"")</f>
        <v>6</v>
      </c>
      <c r="BI75">
        <f ca="1">IF(AND(((COLUMN()-10)&lt;=playercnt),((ROW()-41)&lt;=playercnt)),SUMPRODUCT(INDIRECT(ADDRESS(3,ROW()-31,1)):INDIRECT(ADDRESS(22,ROW()-31,1)),BI$3:BI$22),"")</f>
        <v>5</v>
      </c>
      <c r="BJ75">
        <f ca="1">IF(AND(((COLUMN()-10)&lt;=playercnt),((ROW()-41)&lt;=playercnt)),SUMPRODUCT(INDIRECT(ADDRESS(3,ROW()-31,1)):INDIRECT(ADDRESS(22,ROW()-31,1)),BJ$3:BJ$22),"")</f>
        <v>9</v>
      </c>
      <c r="BK75">
        <f ca="1">IF(AND(((COLUMN()-10)&lt;=playercnt),((ROW()-41)&lt;=playercnt)),SUMPRODUCT(INDIRECT(ADDRESS(3,ROW()-31,1)):INDIRECT(ADDRESS(22,ROW()-31,1)),BK$3:BK$22),"")</f>
        <v>4</v>
      </c>
      <c r="BL75">
        <f ca="1">IF(AND(((COLUMN()-10)&lt;=playercnt),((ROW()-41)&lt;=playercnt)),SUMPRODUCT(INDIRECT(ADDRESS(3,ROW()-31,1)):INDIRECT(ADDRESS(22,ROW()-31,1)),BL$3:BL$22),"")</f>
        <v>6</v>
      </c>
      <c r="BM75">
        <f ca="1">IF(AND(((COLUMN()-10)&lt;=playercnt),((ROW()-41)&lt;=playercnt)),SUMPRODUCT(INDIRECT(ADDRESS(3,ROW()-31,1)):INDIRECT(ADDRESS(22,ROW()-31,1)),BM$3:BM$22),"")</f>
        <v>6</v>
      </c>
      <c r="BN75">
        <f ca="1">IF(AND(((COLUMN()-10)&lt;=playercnt),((ROW()-41)&lt;=playercnt)),SUMPRODUCT(INDIRECT(ADDRESS(3,ROW()-31,1)):INDIRECT(ADDRESS(22,ROW()-31,1)),BN$3:BN$22),"")</f>
        <v>2</v>
      </c>
    </row>
    <row r="76" spans="2:66">
      <c r="B76" s="27">
        <f t="shared" ca="1" si="23"/>
        <v>4.3818181818181818</v>
      </c>
      <c r="C76" t="str">
        <f t="shared" ca="1" si="24"/>
        <v>Neill, Charles H</v>
      </c>
      <c r="G76">
        <f ca="1">IF(AND(((COLUMN()-10)&lt;=playercnt),((ROW()-41)&lt;=playercnt)),SUMPRODUCT(INDIRECT(ADDRESS(3,ROW()-31,1)):INDIRECT(ADDRESS(22,ROW()-31,1)),G$3:G$22),"")</f>
        <v>5</v>
      </c>
      <c r="H76">
        <f ca="1">IF(AND(((COLUMN()-10)&lt;=playercnt),((ROW()-41)&lt;=playercnt)),SUMPRODUCT(INDIRECT(ADDRESS(3,ROW()-31,1)):INDIRECT(ADDRESS(22,ROW()-31,1)),H$3:H$22),"")</f>
        <v>4</v>
      </c>
      <c r="I76">
        <f ca="1">IF(AND(((COLUMN()-10)&lt;=playercnt),((ROW()-41)&lt;=playercnt)),SUMPRODUCT(INDIRECT(ADDRESS(3,ROW()-31,1)):INDIRECT(ADDRESS(22,ROW()-31,1)),I$3:I$22),"")</f>
        <v>2</v>
      </c>
      <c r="J76">
        <f ca="1">IF(AND(((COLUMN()-10)&lt;=playercnt),((ROW()-41)&lt;=playercnt)),SUMPRODUCT(INDIRECT(ADDRESS(3,ROW()-31,1)):INDIRECT(ADDRESS(22,ROW()-31,1)),J$3:J$22),"")</f>
        <v>0</v>
      </c>
      <c r="K76">
        <f ca="1">IF(AND(((COLUMN()-10)&lt;=playercnt),((ROW()-41)&lt;=playercnt)),SUMPRODUCT(INDIRECT(ADDRESS(3,ROW()-31,1)):INDIRECT(ADDRESS(22,ROW()-31,1)),K$3:K$22),"")</f>
        <v>5</v>
      </c>
      <c r="L76">
        <f ca="1">IF(AND(((COLUMN()-10)&lt;=playercnt),((ROW()-41)&lt;=playercnt)),SUMPRODUCT(INDIRECT(ADDRESS(3,ROW()-31,1)):INDIRECT(ADDRESS(22,ROW()-31,1)),L$3:L$22),"")</f>
        <v>2</v>
      </c>
      <c r="M76">
        <f ca="1">IF(AND(((COLUMN()-10)&lt;=playercnt),((ROW()-41)&lt;=playercnt)),SUMPRODUCT(INDIRECT(ADDRESS(3,ROW()-31,1)):INDIRECT(ADDRESS(22,ROW()-31,1)),M$3:M$22),"")</f>
        <v>4</v>
      </c>
      <c r="N76">
        <f ca="1">IF(AND(((COLUMN()-10)&lt;=playercnt),((ROW()-41)&lt;=playercnt)),SUMPRODUCT(INDIRECT(ADDRESS(3,ROW()-31,1)):INDIRECT(ADDRESS(22,ROW()-31,1)),N$3:N$22),"")</f>
        <v>4</v>
      </c>
      <c r="O76">
        <f ca="1">IF(AND(((COLUMN()-10)&lt;=playercnt),((ROW()-41)&lt;=playercnt)),SUMPRODUCT(INDIRECT(ADDRESS(3,ROW()-31,1)):INDIRECT(ADDRESS(22,ROW()-31,1)),O$3:O$22),"")</f>
        <v>6</v>
      </c>
      <c r="P76">
        <f ca="1">IF(AND(((COLUMN()-10)&lt;=playercnt),((ROW()-41)&lt;=playercnt)),SUMPRODUCT(INDIRECT(ADDRESS(3,ROW()-31,1)):INDIRECT(ADDRESS(22,ROW()-31,1)),P$3:P$22),"")</f>
        <v>3</v>
      </c>
      <c r="Q76">
        <f ca="1">IF(AND(((COLUMN()-10)&lt;=playercnt),((ROW()-41)&lt;=playercnt)),SUMPRODUCT(INDIRECT(ADDRESS(3,ROW()-31,1)):INDIRECT(ADDRESS(22,ROW()-31,1)),Q$3:Q$22),"")</f>
        <v>5</v>
      </c>
      <c r="R76">
        <f ca="1">IF(AND(((COLUMN()-10)&lt;=playercnt),((ROW()-41)&lt;=playercnt)),SUMPRODUCT(INDIRECT(ADDRESS(3,ROW()-31,1)):INDIRECT(ADDRESS(22,ROW()-31,1)),R$3:R$22),"")</f>
        <v>3</v>
      </c>
      <c r="S76">
        <f ca="1">IF(AND(((COLUMN()-10)&lt;=playercnt),((ROW()-41)&lt;=playercnt)),SUMPRODUCT(INDIRECT(ADDRESS(3,ROW()-31,1)):INDIRECT(ADDRESS(22,ROW()-31,1)),S$3:S$22),"")</f>
        <v>5</v>
      </c>
      <c r="T76">
        <f ca="1">IF(AND(((COLUMN()-10)&lt;=playercnt),((ROW()-41)&lt;=playercnt)),SUMPRODUCT(INDIRECT(ADDRESS(3,ROW()-31,1)):INDIRECT(ADDRESS(22,ROW()-31,1)),T$3:T$22),"")</f>
        <v>5</v>
      </c>
      <c r="U76">
        <f ca="1">IF(AND(((COLUMN()-10)&lt;=playercnt),((ROW()-41)&lt;=playercnt)),SUMPRODUCT(INDIRECT(ADDRESS(3,ROW()-31,1)):INDIRECT(ADDRESS(22,ROW()-31,1)),U$3:U$22),"")</f>
        <v>4</v>
      </c>
      <c r="V76">
        <f ca="1">IF(AND(((COLUMN()-10)&lt;=playercnt),((ROW()-41)&lt;=playercnt)),SUMPRODUCT(INDIRECT(ADDRESS(3,ROW()-31,1)):INDIRECT(ADDRESS(22,ROW()-31,1)),V$3:V$22),"")</f>
        <v>5</v>
      </c>
      <c r="W76">
        <f ca="1">IF(AND(((COLUMN()-10)&lt;=playercnt),((ROW()-41)&lt;=playercnt)),SUMPRODUCT(INDIRECT(ADDRESS(3,ROW()-31,1)):INDIRECT(ADDRESS(22,ROW()-31,1)),W$3:W$22),"")</f>
        <v>5</v>
      </c>
      <c r="X76">
        <f ca="1">IF(AND(((COLUMN()-10)&lt;=playercnt),((ROW()-41)&lt;=playercnt)),SUMPRODUCT(INDIRECT(ADDRESS(3,ROW()-31,1)):INDIRECT(ADDRESS(22,ROW()-31,1)),X$3:X$22),"")</f>
        <v>5</v>
      </c>
      <c r="Y76">
        <f ca="1">IF(AND(((COLUMN()-10)&lt;=playercnt),((ROW()-41)&lt;=playercnt)),SUMPRODUCT(INDIRECT(ADDRESS(3,ROW()-31,1)):INDIRECT(ADDRESS(22,ROW()-31,1)),Y$3:Y$22),"")</f>
        <v>6</v>
      </c>
      <c r="Z76">
        <f ca="1">IF(AND(((COLUMN()-10)&lt;=playercnt),((ROW()-41)&lt;=playercnt)),SUMPRODUCT(INDIRECT(ADDRESS(3,ROW()-31,1)):INDIRECT(ADDRESS(22,ROW()-31,1)),Z$3:Z$22),"")</f>
        <v>6</v>
      </c>
      <c r="AA76">
        <f ca="1">IF(AND(((COLUMN()-10)&lt;=playercnt),((ROW()-41)&lt;=playercnt)),SUMPRODUCT(INDIRECT(ADDRESS(3,ROW()-31,1)):INDIRECT(ADDRESS(22,ROW()-31,1)),AA$3:AA$22),"")</f>
        <v>6</v>
      </c>
      <c r="AB76">
        <f ca="1">IF(AND(((COLUMN()-10)&lt;=playercnt),((ROW()-41)&lt;=playercnt)),SUMPRODUCT(INDIRECT(ADDRESS(3,ROW()-31,1)):INDIRECT(ADDRESS(22,ROW()-31,1)),AB$3:AB$22),"")</f>
        <v>6</v>
      </c>
      <c r="AC76">
        <f ca="1">IF(AND(((COLUMN()-10)&lt;=playercnt),((ROW()-41)&lt;=playercnt)),SUMPRODUCT(INDIRECT(ADDRESS(3,ROW()-31,1)):INDIRECT(ADDRESS(22,ROW()-31,1)),AC$3:AC$22),"")</f>
        <v>5</v>
      </c>
      <c r="AD76">
        <f ca="1">IF(AND(((COLUMN()-10)&lt;=playercnt),((ROW()-41)&lt;=playercnt)),SUMPRODUCT(INDIRECT(ADDRESS(3,ROW()-31,1)):INDIRECT(ADDRESS(22,ROW()-31,1)),AD$3:AD$22),"")</f>
        <v>4</v>
      </c>
      <c r="AE76">
        <f ca="1">IF(AND(((COLUMN()-10)&lt;=playercnt),((ROW()-41)&lt;=playercnt)),SUMPRODUCT(INDIRECT(ADDRESS(3,ROW()-31,1)):INDIRECT(ADDRESS(22,ROW()-31,1)),AE$3:AE$22),"")</f>
        <v>4</v>
      </c>
      <c r="AF76">
        <f ca="1">IF(AND(((COLUMN()-10)&lt;=playercnt),((ROW()-41)&lt;=playercnt)),SUMPRODUCT(INDIRECT(ADDRESS(3,ROW()-31,1)):INDIRECT(ADDRESS(22,ROW()-31,1)),AF$3:AF$22),"")</f>
        <v>6</v>
      </c>
      <c r="AG76">
        <f ca="1">IF(AND(((COLUMN()-10)&lt;=playercnt),((ROW()-41)&lt;=playercnt)),SUMPRODUCT(INDIRECT(ADDRESS(3,ROW()-31,1)):INDIRECT(ADDRESS(22,ROW()-31,1)),AG$3:AG$22),"")</f>
        <v>4</v>
      </c>
      <c r="AH76">
        <f ca="1">IF(AND(((COLUMN()-10)&lt;=playercnt),((ROW()-41)&lt;=playercnt)),SUMPRODUCT(INDIRECT(ADDRESS(3,ROW()-31,1)):INDIRECT(ADDRESS(22,ROW()-31,1)),AH$3:AH$22),"")</f>
        <v>6</v>
      </c>
      <c r="AI76">
        <f ca="1">IF(AND(((COLUMN()-10)&lt;=playercnt),((ROW()-41)&lt;=playercnt)),SUMPRODUCT(INDIRECT(ADDRESS(3,ROW()-31,1)):INDIRECT(ADDRESS(22,ROW()-31,1)),AI$3:AI$22),"")</f>
        <v>5</v>
      </c>
      <c r="AJ76">
        <f ca="1">IF(AND(((COLUMN()-10)&lt;=playercnt),((ROW()-41)&lt;=playercnt)),SUMPRODUCT(INDIRECT(ADDRESS(3,ROW()-31,1)):INDIRECT(ADDRESS(22,ROW()-31,1)),AJ$3:AJ$22),"")</f>
        <v>4</v>
      </c>
      <c r="AK76">
        <f ca="1">IF(AND(((COLUMN()-10)&lt;=playercnt),((ROW()-41)&lt;=playercnt)),SUMPRODUCT(INDIRECT(ADDRESS(3,ROW()-31,1)):INDIRECT(ADDRESS(22,ROW()-31,1)),AK$3:AK$22),"")</f>
        <v>2</v>
      </c>
      <c r="AL76">
        <f ca="1">IF(AND(((COLUMN()-10)&lt;=playercnt),((ROW()-41)&lt;=playercnt)),SUMPRODUCT(INDIRECT(ADDRESS(3,ROW()-31,1)):INDIRECT(ADDRESS(22,ROW()-31,1)),AL$3:AL$22),"")</f>
        <v>2</v>
      </c>
      <c r="AM76">
        <f ca="1">IF(AND(((COLUMN()-10)&lt;=playercnt),((ROW()-41)&lt;=playercnt)),SUMPRODUCT(INDIRECT(ADDRESS(3,ROW()-31,1)):INDIRECT(ADDRESS(22,ROW()-31,1)),AM$3:AM$22),"")</f>
        <v>9</v>
      </c>
      <c r="AN76">
        <f ca="1">IF(AND(((COLUMN()-10)&lt;=playercnt),((ROW()-41)&lt;=playercnt)),SUMPRODUCT(INDIRECT(ADDRESS(3,ROW()-31,1)):INDIRECT(ADDRESS(22,ROW()-31,1)),AN$3:AN$22),"")</f>
        <v>4</v>
      </c>
      <c r="AO76">
        <f ca="1">IF(AND(((COLUMN()-10)&lt;=playercnt),((ROW()-41)&lt;=playercnt)),SUMPRODUCT(INDIRECT(ADDRESS(3,ROW()-31,1)):INDIRECT(ADDRESS(22,ROW()-31,1)),AO$3:AO$22),"")</f>
        <v>4</v>
      </c>
      <c r="AP76">
        <f ca="1">IF(AND(((COLUMN()-10)&lt;=playercnt),((ROW()-41)&lt;=playercnt)),SUMPRODUCT(INDIRECT(ADDRESS(3,ROW()-31,1)):INDIRECT(ADDRESS(22,ROW()-31,1)),AP$3:AP$22),"")</f>
        <v>3</v>
      </c>
      <c r="AQ76">
        <f ca="1">IF(AND(((COLUMN()-10)&lt;=playercnt),((ROW()-41)&lt;=playercnt)),SUMPRODUCT(INDIRECT(ADDRESS(3,ROW()-31,1)):INDIRECT(ADDRESS(22,ROW()-31,1)),AQ$3:AQ$22),"")</f>
        <v>3</v>
      </c>
      <c r="AR76">
        <f ca="1">IF(AND(((COLUMN()-10)&lt;=playercnt),((ROW()-41)&lt;=playercnt)),SUMPRODUCT(INDIRECT(ADDRESS(3,ROW()-31,1)):INDIRECT(ADDRESS(22,ROW()-31,1)),AR$3:AR$22),"")</f>
        <v>6</v>
      </c>
      <c r="AS76">
        <f ca="1">IF(AND(((COLUMN()-10)&lt;=playercnt),((ROW()-41)&lt;=playercnt)),SUMPRODUCT(INDIRECT(ADDRESS(3,ROW()-31,1)):INDIRECT(ADDRESS(22,ROW()-31,1)),AS$3:AS$22),"")</f>
        <v>10</v>
      </c>
      <c r="AT76">
        <f ca="1">IF(AND(((COLUMN()-10)&lt;=playercnt),((ROW()-41)&lt;=playercnt)),SUMPRODUCT(INDIRECT(ADDRESS(3,ROW()-31,1)):INDIRECT(ADDRESS(22,ROW()-31,1)),AT$3:AT$22),"")</f>
        <v>3</v>
      </c>
      <c r="AU76">
        <f ca="1">IF(AND(((COLUMN()-10)&lt;=playercnt),((ROW()-41)&lt;=playercnt)),SUMPRODUCT(INDIRECT(ADDRESS(3,ROW()-31,1)):INDIRECT(ADDRESS(22,ROW()-31,1)),AU$3:AU$22),"")</f>
        <v>3</v>
      </c>
      <c r="AV76">
        <f ca="1">IF(AND(((COLUMN()-10)&lt;=playercnt),((ROW()-41)&lt;=playercnt)),SUMPRODUCT(INDIRECT(ADDRESS(3,ROW()-31,1)):INDIRECT(ADDRESS(22,ROW()-31,1)),AV$3:AV$22),"")</f>
        <v>3</v>
      </c>
      <c r="AW76">
        <f ca="1">IF(AND(((COLUMN()-10)&lt;=playercnt),((ROW()-41)&lt;=playercnt)),SUMPRODUCT(INDIRECT(ADDRESS(3,ROW()-31,1)):INDIRECT(ADDRESS(22,ROW()-31,1)),AW$3:AW$22),"")</f>
        <v>5</v>
      </c>
      <c r="AX76">
        <f ca="1">IF(AND(((COLUMN()-10)&lt;=playercnt),((ROW()-41)&lt;=playercnt)),SUMPRODUCT(INDIRECT(ADDRESS(3,ROW()-31,1)):INDIRECT(ADDRESS(22,ROW()-31,1)),AX$3:AX$22),"")</f>
        <v>1</v>
      </c>
      <c r="AY76">
        <f ca="1">IF(AND(((COLUMN()-10)&lt;=playercnt),((ROW()-41)&lt;=playercnt)),SUMPRODUCT(INDIRECT(ADDRESS(3,ROW()-31,1)):INDIRECT(ADDRESS(22,ROW()-31,1)),AY$3:AY$22),"")</f>
        <v>3</v>
      </c>
      <c r="AZ76">
        <f ca="1">IF(AND(((COLUMN()-10)&lt;=playercnt),((ROW()-41)&lt;=playercnt)),SUMPRODUCT(INDIRECT(ADDRESS(3,ROW()-31,1)):INDIRECT(ADDRESS(22,ROW()-31,1)),AZ$3:AZ$22),"")</f>
        <v>6</v>
      </c>
      <c r="BA76">
        <f ca="1">IF(AND(((COLUMN()-10)&lt;=playercnt),((ROW()-41)&lt;=playercnt)),SUMPRODUCT(INDIRECT(ADDRESS(3,ROW()-31,1)):INDIRECT(ADDRESS(22,ROW()-31,1)),BA$3:BA$22),"")</f>
        <v>3</v>
      </c>
      <c r="BB76">
        <f ca="1">IF(AND(((COLUMN()-10)&lt;=playercnt),((ROW()-41)&lt;=playercnt)),SUMPRODUCT(INDIRECT(ADDRESS(3,ROW()-31,1)):INDIRECT(ADDRESS(22,ROW()-31,1)),BB$3:BB$22),"")</f>
        <v>2</v>
      </c>
      <c r="BC76">
        <f ca="1">IF(AND(((COLUMN()-10)&lt;=playercnt),((ROW()-41)&lt;=playercnt)),SUMPRODUCT(INDIRECT(ADDRESS(3,ROW()-31,1)):INDIRECT(ADDRESS(22,ROW()-31,1)),BC$3:BC$22),"")</f>
        <v>6</v>
      </c>
      <c r="BD76">
        <f ca="1">IF(AND(((COLUMN()-10)&lt;=playercnt),((ROW()-41)&lt;=playercnt)),SUMPRODUCT(INDIRECT(ADDRESS(3,ROW()-31,1)):INDIRECT(ADDRESS(22,ROW()-31,1)),BD$3:BD$22),"")</f>
        <v>5</v>
      </c>
      <c r="BE76">
        <f ca="1">IF(AND(((COLUMN()-10)&lt;=playercnt),((ROW()-41)&lt;=playercnt)),SUMPRODUCT(INDIRECT(ADDRESS(3,ROW()-31,1)):INDIRECT(ADDRESS(22,ROW()-31,1)),BE$3:BE$22),"")</f>
        <v>2</v>
      </c>
      <c r="BF76">
        <f ca="1">IF(AND(((COLUMN()-10)&lt;=playercnt),((ROW()-41)&lt;=playercnt)),SUMPRODUCT(INDIRECT(ADDRESS(3,ROW()-31,1)):INDIRECT(ADDRESS(22,ROW()-31,1)),BF$3:BF$22),"")</f>
        <v>6</v>
      </c>
      <c r="BG76">
        <f ca="1">IF(AND(((COLUMN()-10)&lt;=playercnt),((ROW()-41)&lt;=playercnt)),SUMPRODUCT(INDIRECT(ADDRESS(3,ROW()-31,1)):INDIRECT(ADDRESS(22,ROW()-31,1)),BG$3:BG$22),"")</f>
        <v>5</v>
      </c>
      <c r="BH76">
        <f ca="1">IF(AND(((COLUMN()-10)&lt;=playercnt),((ROW()-41)&lt;=playercnt)),SUMPRODUCT(INDIRECT(ADDRESS(3,ROW()-31,1)):INDIRECT(ADDRESS(22,ROW()-31,1)),BH$3:BH$22),"")</f>
        <v>6</v>
      </c>
      <c r="BI76">
        <f ca="1">IF(AND(((COLUMN()-10)&lt;=playercnt),((ROW()-41)&lt;=playercnt)),SUMPRODUCT(INDIRECT(ADDRESS(3,ROW()-31,1)):INDIRECT(ADDRESS(22,ROW()-31,1)),BI$3:BI$22),"")</f>
        <v>3</v>
      </c>
      <c r="BJ76">
        <f ca="1">IF(AND(((COLUMN()-10)&lt;=playercnt),((ROW()-41)&lt;=playercnt)),SUMPRODUCT(INDIRECT(ADDRESS(3,ROW()-31,1)):INDIRECT(ADDRESS(22,ROW()-31,1)),BJ$3:BJ$22),"")</f>
        <v>5</v>
      </c>
      <c r="BK76">
        <f ca="1">IF(AND(((COLUMN()-10)&lt;=playercnt),((ROW()-41)&lt;=playercnt)),SUMPRODUCT(INDIRECT(ADDRESS(3,ROW()-31,1)):INDIRECT(ADDRESS(22,ROW()-31,1)),BK$3:BK$22),"")</f>
        <v>4</v>
      </c>
      <c r="BL76">
        <f ca="1">IF(AND(((COLUMN()-10)&lt;=playercnt),((ROW()-41)&lt;=playercnt)),SUMPRODUCT(INDIRECT(ADDRESS(3,ROW()-31,1)):INDIRECT(ADDRESS(22,ROW()-31,1)),BL$3:BL$22),"")</f>
        <v>4</v>
      </c>
      <c r="BM76">
        <f ca="1">IF(AND(((COLUMN()-10)&lt;=playercnt),((ROW()-41)&lt;=playercnt)),SUMPRODUCT(INDIRECT(ADDRESS(3,ROW()-31,1)):INDIRECT(ADDRESS(22,ROW()-31,1)),BM$3:BM$22),"")</f>
        <v>6</v>
      </c>
      <c r="BN76">
        <f ca="1">IF(AND(((COLUMN()-10)&lt;=playercnt),((ROW()-41)&lt;=playercnt)),SUMPRODUCT(INDIRECT(ADDRESS(3,ROW()-31,1)):INDIRECT(ADDRESS(22,ROW()-31,1)),BN$3:BN$22),"")</f>
        <v>4</v>
      </c>
    </row>
    <row r="77" spans="2:66">
      <c r="B77" s="27">
        <f t="shared" ca="1" si="23"/>
        <v>5.3636363636363633</v>
      </c>
      <c r="C77" t="str">
        <f t="shared" ca="1" si="24"/>
        <v>Nguyen, Thai Remote</v>
      </c>
      <c r="G77">
        <f ca="1">IF(AND(((COLUMN()-10)&lt;=playercnt),((ROW()-41)&lt;=playercnt)),SUMPRODUCT(INDIRECT(ADDRESS(3,ROW()-31,1)):INDIRECT(ADDRESS(22,ROW()-31,1)),G$3:G$22),"")</f>
        <v>6</v>
      </c>
      <c r="H77">
        <f ca="1">IF(AND(((COLUMN()-10)&lt;=playercnt),((ROW()-41)&lt;=playercnt)),SUMPRODUCT(INDIRECT(ADDRESS(3,ROW()-31,1)):INDIRECT(ADDRESS(22,ROW()-31,1)),H$3:H$22),"")</f>
        <v>3</v>
      </c>
      <c r="I77">
        <f ca="1">IF(AND(((COLUMN()-10)&lt;=playercnt),((ROW()-41)&lt;=playercnt)),SUMPRODUCT(INDIRECT(ADDRESS(3,ROW()-31,1)):INDIRECT(ADDRESS(22,ROW()-31,1)),I$3:I$22),"")</f>
        <v>7</v>
      </c>
      <c r="J77">
        <f ca="1">IF(AND(((COLUMN()-10)&lt;=playercnt),((ROW()-41)&lt;=playercnt)),SUMPRODUCT(INDIRECT(ADDRESS(3,ROW()-31,1)):INDIRECT(ADDRESS(22,ROW()-31,1)),J$3:J$22),"")</f>
        <v>0</v>
      </c>
      <c r="K77">
        <f ca="1">IF(AND(((COLUMN()-10)&lt;=playercnt),((ROW()-41)&lt;=playercnt)),SUMPRODUCT(INDIRECT(ADDRESS(3,ROW()-31,1)):INDIRECT(ADDRESS(22,ROW()-31,1)),K$3:K$22),"")</f>
        <v>6</v>
      </c>
      <c r="L77">
        <f ca="1">IF(AND(((COLUMN()-10)&lt;=playercnt),((ROW()-41)&lt;=playercnt)),SUMPRODUCT(INDIRECT(ADDRESS(3,ROW()-31,1)):INDIRECT(ADDRESS(22,ROW()-31,1)),L$3:L$22),"")</f>
        <v>5</v>
      </c>
      <c r="M77">
        <f ca="1">IF(AND(((COLUMN()-10)&lt;=playercnt),((ROW()-41)&lt;=playercnt)),SUMPRODUCT(INDIRECT(ADDRESS(3,ROW()-31,1)):INDIRECT(ADDRESS(22,ROW()-31,1)),M$3:M$22),"")</f>
        <v>9</v>
      </c>
      <c r="N77">
        <f ca="1">IF(AND(((COLUMN()-10)&lt;=playercnt),((ROW()-41)&lt;=playercnt)),SUMPRODUCT(INDIRECT(ADDRESS(3,ROW()-31,1)):INDIRECT(ADDRESS(22,ROW()-31,1)),N$3:N$22),"")</f>
        <v>3</v>
      </c>
      <c r="O77">
        <f ca="1">IF(AND(((COLUMN()-10)&lt;=playercnt),((ROW()-41)&lt;=playercnt)),SUMPRODUCT(INDIRECT(ADDRESS(3,ROW()-31,1)):INDIRECT(ADDRESS(22,ROW()-31,1)),O$3:O$22),"")</f>
        <v>5</v>
      </c>
      <c r="P77">
        <f ca="1">IF(AND(((COLUMN()-10)&lt;=playercnt),((ROW()-41)&lt;=playercnt)),SUMPRODUCT(INDIRECT(ADDRESS(3,ROW()-31,1)):INDIRECT(ADDRESS(22,ROW()-31,1)),P$3:P$22),"")</f>
        <v>6</v>
      </c>
      <c r="Q77">
        <f ca="1">IF(AND(((COLUMN()-10)&lt;=playercnt),((ROW()-41)&lt;=playercnt)),SUMPRODUCT(INDIRECT(ADDRESS(3,ROW()-31,1)):INDIRECT(ADDRESS(22,ROW()-31,1)),Q$3:Q$22),"")</f>
        <v>8</v>
      </c>
      <c r="R77">
        <f ca="1">IF(AND(((COLUMN()-10)&lt;=playercnt),((ROW()-41)&lt;=playercnt)),SUMPRODUCT(INDIRECT(ADDRESS(3,ROW()-31,1)):INDIRECT(ADDRESS(22,ROW()-31,1)),R$3:R$22),"")</f>
        <v>8</v>
      </c>
      <c r="S77">
        <f ca="1">IF(AND(((COLUMN()-10)&lt;=playercnt),((ROW()-41)&lt;=playercnt)),SUMPRODUCT(INDIRECT(ADDRESS(3,ROW()-31,1)):INDIRECT(ADDRESS(22,ROW()-31,1)),S$3:S$22),"")</f>
        <v>4</v>
      </c>
      <c r="T77">
        <f ca="1">IF(AND(((COLUMN()-10)&lt;=playercnt),((ROW()-41)&lt;=playercnt)),SUMPRODUCT(INDIRECT(ADDRESS(3,ROW()-31,1)):INDIRECT(ADDRESS(22,ROW()-31,1)),T$3:T$22),"")</f>
        <v>6</v>
      </c>
      <c r="U77">
        <f ca="1">IF(AND(((COLUMN()-10)&lt;=playercnt),((ROW()-41)&lt;=playercnt)),SUMPRODUCT(INDIRECT(ADDRESS(3,ROW()-31,1)):INDIRECT(ADDRESS(22,ROW()-31,1)),U$3:U$22),"")</f>
        <v>5</v>
      </c>
      <c r="V77">
        <f ca="1">IF(AND(((COLUMN()-10)&lt;=playercnt),((ROW()-41)&lt;=playercnt)),SUMPRODUCT(INDIRECT(ADDRESS(3,ROW()-31,1)):INDIRECT(ADDRESS(22,ROW()-31,1)),V$3:V$22),"")</f>
        <v>4</v>
      </c>
      <c r="W77">
        <f ca="1">IF(AND(((COLUMN()-10)&lt;=playercnt),((ROW()-41)&lt;=playercnt)),SUMPRODUCT(INDIRECT(ADDRESS(3,ROW()-31,1)):INDIRECT(ADDRESS(22,ROW()-31,1)),W$3:W$22),"")</f>
        <v>4</v>
      </c>
      <c r="X77">
        <f ca="1">IF(AND(((COLUMN()-10)&lt;=playercnt),((ROW()-41)&lt;=playercnt)),SUMPRODUCT(INDIRECT(ADDRESS(3,ROW()-31,1)):INDIRECT(ADDRESS(22,ROW()-31,1)),X$3:X$22),"")</f>
        <v>6</v>
      </c>
      <c r="Y77">
        <f ca="1">IF(AND(((COLUMN()-10)&lt;=playercnt),((ROW()-41)&lt;=playercnt)),SUMPRODUCT(INDIRECT(ADDRESS(3,ROW()-31,1)):INDIRECT(ADDRESS(22,ROW()-31,1)),Y$3:Y$22),"")</f>
        <v>5</v>
      </c>
      <c r="Z77">
        <f ca="1">IF(AND(((COLUMN()-10)&lt;=playercnt),((ROW()-41)&lt;=playercnt)),SUMPRODUCT(INDIRECT(ADDRESS(3,ROW()-31,1)):INDIRECT(ADDRESS(22,ROW()-31,1)),Z$3:Z$22),"")</f>
        <v>5</v>
      </c>
      <c r="AA77">
        <f ca="1">IF(AND(((COLUMN()-10)&lt;=playercnt),((ROW()-41)&lt;=playercnt)),SUMPRODUCT(INDIRECT(ADDRESS(3,ROW()-31,1)):INDIRECT(ADDRESS(22,ROW()-31,1)),AA$3:AA$22),"")</f>
        <v>3</v>
      </c>
      <c r="AB77">
        <f ca="1">IF(AND(((COLUMN()-10)&lt;=playercnt),((ROW()-41)&lt;=playercnt)),SUMPRODUCT(INDIRECT(ADDRESS(3,ROW()-31,1)):INDIRECT(ADDRESS(22,ROW()-31,1)),AB$3:AB$22),"")</f>
        <v>5</v>
      </c>
      <c r="AC77">
        <f ca="1">IF(AND(((COLUMN()-10)&lt;=playercnt),((ROW()-41)&lt;=playercnt)),SUMPRODUCT(INDIRECT(ADDRESS(3,ROW()-31,1)):INDIRECT(ADDRESS(22,ROW()-31,1)),AC$3:AC$22),"")</f>
        <v>6</v>
      </c>
      <c r="AD77">
        <f ca="1">IF(AND(((COLUMN()-10)&lt;=playercnt),((ROW()-41)&lt;=playercnt)),SUMPRODUCT(INDIRECT(ADDRESS(3,ROW()-31,1)):INDIRECT(ADDRESS(22,ROW()-31,1)),AD$3:AD$22),"")</f>
        <v>7</v>
      </c>
      <c r="AE77">
        <f ca="1">IF(AND(((COLUMN()-10)&lt;=playercnt),((ROW()-41)&lt;=playercnt)),SUMPRODUCT(INDIRECT(ADDRESS(3,ROW()-31,1)):INDIRECT(ADDRESS(22,ROW()-31,1)),AE$3:AE$22),"")</f>
        <v>3</v>
      </c>
      <c r="AF77">
        <f ca="1">IF(AND(((COLUMN()-10)&lt;=playercnt),((ROW()-41)&lt;=playercnt)),SUMPRODUCT(INDIRECT(ADDRESS(3,ROW()-31,1)):INDIRECT(ADDRESS(22,ROW()-31,1)),AF$3:AF$22),"")</f>
        <v>3</v>
      </c>
      <c r="AG77">
        <f ca="1">IF(AND(((COLUMN()-10)&lt;=playercnt),((ROW()-41)&lt;=playercnt)),SUMPRODUCT(INDIRECT(ADDRESS(3,ROW()-31,1)):INDIRECT(ADDRESS(22,ROW()-31,1)),AG$3:AG$22),"")</f>
        <v>5</v>
      </c>
      <c r="AH77">
        <f ca="1">IF(AND(((COLUMN()-10)&lt;=playercnt),((ROW()-41)&lt;=playercnt)),SUMPRODUCT(INDIRECT(ADDRESS(3,ROW()-31,1)):INDIRECT(ADDRESS(22,ROW()-31,1)),AH$3:AH$22),"")</f>
        <v>7</v>
      </c>
      <c r="AI77">
        <f ca="1">IF(AND(((COLUMN()-10)&lt;=playercnt),((ROW()-41)&lt;=playercnt)),SUMPRODUCT(INDIRECT(ADDRESS(3,ROW()-31,1)):INDIRECT(ADDRESS(22,ROW()-31,1)),AI$3:AI$22),"")</f>
        <v>4</v>
      </c>
      <c r="AJ77">
        <f ca="1">IF(AND(((COLUMN()-10)&lt;=playercnt),((ROW()-41)&lt;=playercnt)),SUMPRODUCT(INDIRECT(ADDRESS(3,ROW()-31,1)):INDIRECT(ADDRESS(22,ROW()-31,1)),AJ$3:AJ$22),"")</f>
        <v>5</v>
      </c>
      <c r="AK77">
        <f ca="1">IF(AND(((COLUMN()-10)&lt;=playercnt),((ROW()-41)&lt;=playercnt)),SUMPRODUCT(INDIRECT(ADDRESS(3,ROW()-31,1)):INDIRECT(ADDRESS(22,ROW()-31,1)),AK$3:AK$22),"")</f>
        <v>7</v>
      </c>
      <c r="AL77">
        <f ca="1">IF(AND(((COLUMN()-10)&lt;=playercnt),((ROW()-41)&lt;=playercnt)),SUMPRODUCT(INDIRECT(ADDRESS(3,ROW()-31,1)):INDIRECT(ADDRESS(22,ROW()-31,1)),AL$3:AL$22),"")</f>
        <v>5</v>
      </c>
      <c r="AM77">
        <f ca="1">IF(AND(((COLUMN()-10)&lt;=playercnt),((ROW()-41)&lt;=playercnt)),SUMPRODUCT(INDIRECT(ADDRESS(3,ROW()-31,1)):INDIRECT(ADDRESS(22,ROW()-31,1)),AM$3:AM$22),"")</f>
        <v>4</v>
      </c>
      <c r="AN77">
        <f ca="1">IF(AND(((COLUMN()-10)&lt;=playercnt),((ROW()-41)&lt;=playercnt)),SUMPRODUCT(INDIRECT(ADDRESS(3,ROW()-31,1)):INDIRECT(ADDRESS(22,ROW()-31,1)),AN$3:AN$22),"")</f>
        <v>3</v>
      </c>
      <c r="AO77">
        <f ca="1">IF(AND(((COLUMN()-10)&lt;=playercnt),((ROW()-41)&lt;=playercnt)),SUMPRODUCT(INDIRECT(ADDRESS(3,ROW()-31,1)):INDIRECT(ADDRESS(22,ROW()-31,1)),AO$3:AO$22),"")</f>
        <v>5</v>
      </c>
      <c r="AP77">
        <f ca="1">IF(AND(((COLUMN()-10)&lt;=playercnt),((ROW()-41)&lt;=playercnt)),SUMPRODUCT(INDIRECT(ADDRESS(3,ROW()-31,1)):INDIRECT(ADDRESS(22,ROW()-31,1)),AP$3:AP$22),"")</f>
        <v>8</v>
      </c>
      <c r="AQ77">
        <f ca="1">IF(AND(((COLUMN()-10)&lt;=playercnt),((ROW()-41)&lt;=playercnt)),SUMPRODUCT(INDIRECT(ADDRESS(3,ROW()-31,1)):INDIRECT(ADDRESS(22,ROW()-31,1)),AQ$3:AQ$22),"")</f>
        <v>4</v>
      </c>
      <c r="AR77">
        <f ca="1">IF(AND(((COLUMN()-10)&lt;=playercnt),((ROW()-41)&lt;=playercnt)),SUMPRODUCT(INDIRECT(ADDRESS(3,ROW()-31,1)):INDIRECT(ADDRESS(22,ROW()-31,1)),AR$3:AR$22),"")</f>
        <v>5</v>
      </c>
      <c r="AS77">
        <f ca="1">IF(AND(((COLUMN()-10)&lt;=playercnt),((ROW()-41)&lt;=playercnt)),SUMPRODUCT(INDIRECT(ADDRESS(3,ROW()-31,1)):INDIRECT(ADDRESS(22,ROW()-31,1)),AS$3:AS$22),"")</f>
        <v>3</v>
      </c>
      <c r="AT77">
        <f ca="1">IF(AND(((COLUMN()-10)&lt;=playercnt),((ROW()-41)&lt;=playercnt)),SUMPRODUCT(INDIRECT(ADDRESS(3,ROW()-31,1)):INDIRECT(ADDRESS(22,ROW()-31,1)),AT$3:AT$22),"")</f>
        <v>10</v>
      </c>
      <c r="AU77">
        <f ca="1">IF(AND(((COLUMN()-10)&lt;=playercnt),((ROW()-41)&lt;=playercnt)),SUMPRODUCT(INDIRECT(ADDRESS(3,ROW()-31,1)):INDIRECT(ADDRESS(22,ROW()-31,1)),AU$3:AU$22),"")</f>
        <v>6</v>
      </c>
      <c r="AV77">
        <f ca="1">IF(AND(((COLUMN()-10)&lt;=playercnt),((ROW()-41)&lt;=playercnt)),SUMPRODUCT(INDIRECT(ADDRESS(3,ROW()-31,1)):INDIRECT(ADDRESS(22,ROW()-31,1)),AV$3:AV$22),"")</f>
        <v>4</v>
      </c>
      <c r="AW77">
        <f ca="1">IF(AND(((COLUMN()-10)&lt;=playercnt),((ROW()-41)&lt;=playercnt)),SUMPRODUCT(INDIRECT(ADDRESS(3,ROW()-31,1)):INDIRECT(ADDRESS(22,ROW()-31,1)),AW$3:AW$22),"")</f>
        <v>4</v>
      </c>
      <c r="AX77">
        <f ca="1">IF(AND(((COLUMN()-10)&lt;=playercnt),((ROW()-41)&lt;=playercnt)),SUMPRODUCT(INDIRECT(ADDRESS(3,ROW()-31,1)):INDIRECT(ADDRESS(22,ROW()-31,1)),AX$3:AX$22),"")</f>
        <v>8</v>
      </c>
      <c r="AY77">
        <f ca="1">IF(AND(((COLUMN()-10)&lt;=playercnt),((ROW()-41)&lt;=playercnt)),SUMPRODUCT(INDIRECT(ADDRESS(3,ROW()-31,1)):INDIRECT(ADDRESS(22,ROW()-31,1)),AY$3:AY$22),"")</f>
        <v>6</v>
      </c>
      <c r="AZ77">
        <f ca="1">IF(AND(((COLUMN()-10)&lt;=playercnt),((ROW()-41)&lt;=playercnt)),SUMPRODUCT(INDIRECT(ADDRESS(3,ROW()-31,1)):INDIRECT(ADDRESS(22,ROW()-31,1)),AZ$3:AZ$22),"")</f>
        <v>7</v>
      </c>
      <c r="BA77">
        <f ca="1">IF(AND(((COLUMN()-10)&lt;=playercnt),((ROW()-41)&lt;=playercnt)),SUMPRODUCT(INDIRECT(ADDRESS(3,ROW()-31,1)):INDIRECT(ADDRESS(22,ROW()-31,1)),BA$3:BA$22),"")</f>
        <v>6</v>
      </c>
      <c r="BB77">
        <f ca="1">IF(AND(((COLUMN()-10)&lt;=playercnt),((ROW()-41)&lt;=playercnt)),SUMPRODUCT(INDIRECT(ADDRESS(3,ROW()-31,1)):INDIRECT(ADDRESS(22,ROW()-31,1)),BB$3:BB$22),"")</f>
        <v>5</v>
      </c>
      <c r="BC77">
        <f ca="1">IF(AND(((COLUMN()-10)&lt;=playercnt),((ROW()-41)&lt;=playercnt)),SUMPRODUCT(INDIRECT(ADDRESS(3,ROW()-31,1)):INDIRECT(ADDRESS(22,ROW()-31,1)),BC$3:BC$22),"")</f>
        <v>7</v>
      </c>
      <c r="BD77">
        <f ca="1">IF(AND(((COLUMN()-10)&lt;=playercnt),((ROW()-41)&lt;=playercnt)),SUMPRODUCT(INDIRECT(ADDRESS(3,ROW()-31,1)):INDIRECT(ADDRESS(22,ROW()-31,1)),BD$3:BD$22),"")</f>
        <v>6</v>
      </c>
      <c r="BE77">
        <f ca="1">IF(AND(((COLUMN()-10)&lt;=playercnt),((ROW()-41)&lt;=playercnt)),SUMPRODUCT(INDIRECT(ADDRESS(3,ROW()-31,1)):INDIRECT(ADDRESS(22,ROW()-31,1)),BE$3:BE$22),"")</f>
        <v>7</v>
      </c>
      <c r="BF77">
        <f ca="1">IF(AND(((COLUMN()-10)&lt;=playercnt),((ROW()-41)&lt;=playercnt)),SUMPRODUCT(INDIRECT(ADDRESS(3,ROW()-31,1)):INDIRECT(ADDRESS(22,ROW()-31,1)),BF$3:BF$22),"")</f>
        <v>5</v>
      </c>
      <c r="BG77">
        <f ca="1">IF(AND(((COLUMN()-10)&lt;=playercnt),((ROW()-41)&lt;=playercnt)),SUMPRODUCT(INDIRECT(ADDRESS(3,ROW()-31,1)):INDIRECT(ADDRESS(22,ROW()-31,1)),BG$3:BG$22),"")</f>
        <v>2</v>
      </c>
      <c r="BH77">
        <f ca="1">IF(AND(((COLUMN()-10)&lt;=playercnt),((ROW()-41)&lt;=playercnt)),SUMPRODUCT(INDIRECT(ADDRESS(3,ROW()-31,1)):INDIRECT(ADDRESS(22,ROW()-31,1)),BH$3:BH$22),"")</f>
        <v>5</v>
      </c>
      <c r="BI77">
        <f ca="1">IF(AND(((COLUMN()-10)&lt;=playercnt),((ROW()-41)&lt;=playercnt)),SUMPRODUCT(INDIRECT(ADDRESS(3,ROW()-31,1)):INDIRECT(ADDRESS(22,ROW()-31,1)),BI$3:BI$22),"")</f>
        <v>6</v>
      </c>
      <c r="BJ77">
        <f ca="1">IF(AND(((COLUMN()-10)&lt;=playercnt),((ROW()-41)&lt;=playercnt)),SUMPRODUCT(INDIRECT(ADDRESS(3,ROW()-31,1)):INDIRECT(ADDRESS(22,ROW()-31,1)),BJ$3:BJ$22),"")</f>
        <v>6</v>
      </c>
      <c r="BK77">
        <f ca="1">IF(AND(((COLUMN()-10)&lt;=playercnt),((ROW()-41)&lt;=playercnt)),SUMPRODUCT(INDIRECT(ADDRESS(3,ROW()-31,1)):INDIRECT(ADDRESS(22,ROW()-31,1)),BK$3:BK$22),"")</f>
        <v>5</v>
      </c>
      <c r="BL77">
        <f ca="1">IF(AND(((COLUMN()-10)&lt;=playercnt),((ROW()-41)&lt;=playercnt)),SUMPRODUCT(INDIRECT(ADDRESS(3,ROW()-31,1)):INDIRECT(ADDRESS(22,ROW()-31,1)),BL$3:BL$22),"")</f>
        <v>5</v>
      </c>
      <c r="BM77">
        <f ca="1">IF(AND(((COLUMN()-10)&lt;=playercnt),((ROW()-41)&lt;=playercnt)),SUMPRODUCT(INDIRECT(ADDRESS(3,ROW()-31,1)):INDIRECT(ADDRESS(22,ROW()-31,1)),BM$3:BM$22),"")</f>
        <v>7</v>
      </c>
      <c r="BN77">
        <f ca="1">IF(AND(((COLUMN()-10)&lt;=playercnt),((ROW()-41)&lt;=playercnt)),SUMPRODUCT(INDIRECT(ADDRESS(3,ROW()-31,1)):INDIRECT(ADDRESS(22,ROW()-31,1)),BN$3:BN$22),"")</f>
        <v>7</v>
      </c>
    </row>
    <row r="78" spans="2:66">
      <c r="B78" s="27">
        <f t="shared" ca="1" si="23"/>
        <v>5.581818181818182</v>
      </c>
      <c r="C78" t="str">
        <f t="shared" ca="1" si="24"/>
        <v>Paul, Wilmaison</v>
      </c>
      <c r="G78">
        <f ca="1">IF(AND(((COLUMN()-10)&lt;=playercnt),((ROW()-41)&lt;=playercnt)),SUMPRODUCT(INDIRECT(ADDRESS(3,ROW()-31,1)):INDIRECT(ADDRESS(22,ROW()-31,1)),G$3:G$22),"")</f>
        <v>8</v>
      </c>
      <c r="H78">
        <f ca="1">IF(AND(((COLUMN()-10)&lt;=playercnt),((ROW()-41)&lt;=playercnt)),SUMPRODUCT(INDIRECT(ADDRESS(3,ROW()-31,1)):INDIRECT(ADDRESS(22,ROW()-31,1)),H$3:H$22),"")</f>
        <v>7</v>
      </c>
      <c r="I78">
        <f ca="1">IF(AND(((COLUMN()-10)&lt;=playercnt),((ROW()-41)&lt;=playercnt)),SUMPRODUCT(INDIRECT(ADDRESS(3,ROW()-31,1)):INDIRECT(ADDRESS(22,ROW()-31,1)),I$3:I$22),"")</f>
        <v>7</v>
      </c>
      <c r="J78">
        <f ca="1">IF(AND(((COLUMN()-10)&lt;=playercnt),((ROW()-41)&lt;=playercnt)),SUMPRODUCT(INDIRECT(ADDRESS(3,ROW()-31,1)):INDIRECT(ADDRESS(22,ROW()-31,1)),J$3:J$22),"")</f>
        <v>0</v>
      </c>
      <c r="K78">
        <f ca="1">IF(AND(((COLUMN()-10)&lt;=playercnt),((ROW()-41)&lt;=playercnt)),SUMPRODUCT(INDIRECT(ADDRESS(3,ROW()-31,1)):INDIRECT(ADDRESS(22,ROW()-31,1)),K$3:K$22),"")</f>
        <v>4</v>
      </c>
      <c r="L78">
        <f ca="1">IF(AND(((COLUMN()-10)&lt;=playercnt),((ROW()-41)&lt;=playercnt)),SUMPRODUCT(INDIRECT(ADDRESS(3,ROW()-31,1)):INDIRECT(ADDRESS(22,ROW()-31,1)),L$3:L$22),"")</f>
        <v>9</v>
      </c>
      <c r="M78">
        <f ca="1">IF(AND(((COLUMN()-10)&lt;=playercnt),((ROW()-41)&lt;=playercnt)),SUMPRODUCT(INDIRECT(ADDRESS(3,ROW()-31,1)):INDIRECT(ADDRESS(22,ROW()-31,1)),M$3:M$22),"")</f>
        <v>7</v>
      </c>
      <c r="N78">
        <f ca="1">IF(AND(((COLUMN()-10)&lt;=playercnt),((ROW()-41)&lt;=playercnt)),SUMPRODUCT(INDIRECT(ADDRESS(3,ROW()-31,1)):INDIRECT(ADDRESS(22,ROW()-31,1)),N$3:N$22),"")</f>
        <v>5</v>
      </c>
      <c r="O78">
        <f ca="1">IF(AND(((COLUMN()-10)&lt;=playercnt),((ROW()-41)&lt;=playercnt)),SUMPRODUCT(INDIRECT(ADDRESS(3,ROW()-31,1)):INDIRECT(ADDRESS(22,ROW()-31,1)),O$3:O$22),"")</f>
        <v>5</v>
      </c>
      <c r="P78">
        <f ca="1">IF(AND(((COLUMN()-10)&lt;=playercnt),((ROW()-41)&lt;=playercnt)),SUMPRODUCT(INDIRECT(ADDRESS(3,ROW()-31,1)):INDIRECT(ADDRESS(22,ROW()-31,1)),P$3:P$22),"")</f>
        <v>8</v>
      </c>
      <c r="Q78">
        <f ca="1">IF(AND(((COLUMN()-10)&lt;=playercnt),((ROW()-41)&lt;=playercnt)),SUMPRODUCT(INDIRECT(ADDRESS(3,ROW()-31,1)):INDIRECT(ADDRESS(22,ROW()-31,1)),Q$3:Q$22),"")</f>
        <v>6</v>
      </c>
      <c r="R78">
        <f ca="1">IF(AND(((COLUMN()-10)&lt;=playercnt),((ROW()-41)&lt;=playercnt)),SUMPRODUCT(INDIRECT(ADDRESS(3,ROW()-31,1)):INDIRECT(ADDRESS(22,ROW()-31,1)),R$3:R$22),"")</f>
        <v>8</v>
      </c>
      <c r="S78">
        <f ca="1">IF(AND(((COLUMN()-10)&lt;=playercnt),((ROW()-41)&lt;=playercnt)),SUMPRODUCT(INDIRECT(ADDRESS(3,ROW()-31,1)):INDIRECT(ADDRESS(22,ROW()-31,1)),S$3:S$22),"")</f>
        <v>2</v>
      </c>
      <c r="T78">
        <f ca="1">IF(AND(((COLUMN()-10)&lt;=playercnt),((ROW()-41)&lt;=playercnt)),SUMPRODUCT(INDIRECT(ADDRESS(3,ROW()-31,1)):INDIRECT(ADDRESS(22,ROW()-31,1)),T$3:T$22),"")</f>
        <v>2</v>
      </c>
      <c r="U78">
        <f ca="1">IF(AND(((COLUMN()-10)&lt;=playercnt),((ROW()-41)&lt;=playercnt)),SUMPRODUCT(INDIRECT(ADDRESS(3,ROW()-31,1)):INDIRECT(ADDRESS(22,ROW()-31,1)),U$3:U$22),"")</f>
        <v>5</v>
      </c>
      <c r="V78">
        <f ca="1">IF(AND(((COLUMN()-10)&lt;=playercnt),((ROW()-41)&lt;=playercnt)),SUMPRODUCT(INDIRECT(ADDRESS(3,ROW()-31,1)):INDIRECT(ADDRESS(22,ROW()-31,1)),V$3:V$22),"")</f>
        <v>6</v>
      </c>
      <c r="W78">
        <f ca="1">IF(AND(((COLUMN()-10)&lt;=playercnt),((ROW()-41)&lt;=playercnt)),SUMPRODUCT(INDIRECT(ADDRESS(3,ROW()-31,1)):INDIRECT(ADDRESS(22,ROW()-31,1)),W$3:W$22),"")</f>
        <v>6</v>
      </c>
      <c r="X78">
        <f ca="1">IF(AND(((COLUMN()-10)&lt;=playercnt),((ROW()-41)&lt;=playercnt)),SUMPRODUCT(INDIRECT(ADDRESS(3,ROW()-31,1)):INDIRECT(ADDRESS(22,ROW()-31,1)),X$3:X$22),"")</f>
        <v>6</v>
      </c>
      <c r="Y78">
        <f ca="1">IF(AND(((COLUMN()-10)&lt;=playercnt),((ROW()-41)&lt;=playercnt)),SUMPRODUCT(INDIRECT(ADDRESS(3,ROW()-31,1)):INDIRECT(ADDRESS(22,ROW()-31,1)),Y$3:Y$22),"")</f>
        <v>5</v>
      </c>
      <c r="Z78">
        <f ca="1">IF(AND(((COLUMN()-10)&lt;=playercnt),((ROW()-41)&lt;=playercnt)),SUMPRODUCT(INDIRECT(ADDRESS(3,ROW()-31,1)):INDIRECT(ADDRESS(22,ROW()-31,1)),Z$3:Z$22),"")</f>
        <v>5</v>
      </c>
      <c r="AA78">
        <f ca="1">IF(AND(((COLUMN()-10)&lt;=playercnt),((ROW()-41)&lt;=playercnt)),SUMPRODUCT(INDIRECT(ADDRESS(3,ROW()-31,1)):INDIRECT(ADDRESS(22,ROW()-31,1)),AA$3:AA$22),"")</f>
        <v>5</v>
      </c>
      <c r="AB78">
        <f ca="1">IF(AND(((COLUMN()-10)&lt;=playercnt),((ROW()-41)&lt;=playercnt)),SUMPRODUCT(INDIRECT(ADDRESS(3,ROW()-31,1)):INDIRECT(ADDRESS(22,ROW()-31,1)),AB$3:AB$22),"")</f>
        <v>5</v>
      </c>
      <c r="AC78">
        <f ca="1">IF(AND(((COLUMN()-10)&lt;=playercnt),((ROW()-41)&lt;=playercnt)),SUMPRODUCT(INDIRECT(ADDRESS(3,ROW()-31,1)):INDIRECT(ADDRESS(22,ROW()-31,1)),AC$3:AC$22),"")</f>
        <v>4</v>
      </c>
      <c r="AD78">
        <f ca="1">IF(AND(((COLUMN()-10)&lt;=playercnt),((ROW()-41)&lt;=playercnt)),SUMPRODUCT(INDIRECT(ADDRESS(3,ROW()-31,1)):INDIRECT(ADDRESS(22,ROW()-31,1)),AD$3:AD$22),"")</f>
        <v>7</v>
      </c>
      <c r="AE78">
        <f ca="1">IF(AND(((COLUMN()-10)&lt;=playercnt),((ROW()-41)&lt;=playercnt)),SUMPRODUCT(INDIRECT(ADDRESS(3,ROW()-31,1)):INDIRECT(ADDRESS(22,ROW()-31,1)),AE$3:AE$22),"")</f>
        <v>7</v>
      </c>
      <c r="AF78">
        <f ca="1">IF(AND(((COLUMN()-10)&lt;=playercnt),((ROW()-41)&lt;=playercnt)),SUMPRODUCT(INDIRECT(ADDRESS(3,ROW()-31,1)):INDIRECT(ADDRESS(22,ROW()-31,1)),AF$3:AF$22),"")</f>
        <v>7</v>
      </c>
      <c r="AG78">
        <f ca="1">IF(AND(((COLUMN()-10)&lt;=playercnt),((ROW()-41)&lt;=playercnt)),SUMPRODUCT(INDIRECT(ADDRESS(3,ROW()-31,1)):INDIRECT(ADDRESS(22,ROW()-31,1)),AG$3:AG$22),"")</f>
        <v>5</v>
      </c>
      <c r="AH78">
        <f ca="1">IF(AND(((COLUMN()-10)&lt;=playercnt),((ROW()-41)&lt;=playercnt)),SUMPRODUCT(INDIRECT(ADDRESS(3,ROW()-31,1)):INDIRECT(ADDRESS(22,ROW()-31,1)),AH$3:AH$22),"")</f>
        <v>7</v>
      </c>
      <c r="AI78">
        <f ca="1">IF(AND(((COLUMN()-10)&lt;=playercnt),((ROW()-41)&lt;=playercnt)),SUMPRODUCT(INDIRECT(ADDRESS(3,ROW()-31,1)):INDIRECT(ADDRESS(22,ROW()-31,1)),AI$3:AI$22),"")</f>
        <v>8</v>
      </c>
      <c r="AJ78">
        <f ca="1">IF(AND(((COLUMN()-10)&lt;=playercnt),((ROW()-41)&lt;=playercnt)),SUMPRODUCT(INDIRECT(ADDRESS(3,ROW()-31,1)):INDIRECT(ADDRESS(22,ROW()-31,1)),AJ$3:AJ$22),"")</f>
        <v>5</v>
      </c>
      <c r="AK78">
        <f ca="1">IF(AND(((COLUMN()-10)&lt;=playercnt),((ROW()-41)&lt;=playercnt)),SUMPRODUCT(INDIRECT(ADDRESS(3,ROW()-31,1)):INDIRECT(ADDRESS(22,ROW()-31,1)),AK$3:AK$22),"")</f>
        <v>5</v>
      </c>
      <c r="AL78">
        <f ca="1">IF(AND(((COLUMN()-10)&lt;=playercnt),((ROW()-41)&lt;=playercnt)),SUMPRODUCT(INDIRECT(ADDRESS(3,ROW()-31,1)):INDIRECT(ADDRESS(22,ROW()-31,1)),AL$3:AL$22),"")</f>
        <v>7</v>
      </c>
      <c r="AM78">
        <f ca="1">IF(AND(((COLUMN()-10)&lt;=playercnt),((ROW()-41)&lt;=playercnt)),SUMPRODUCT(INDIRECT(ADDRESS(3,ROW()-31,1)):INDIRECT(ADDRESS(22,ROW()-31,1)),AM$3:AM$22),"")</f>
        <v>4</v>
      </c>
      <c r="AN78">
        <f ca="1">IF(AND(((COLUMN()-10)&lt;=playercnt),((ROW()-41)&lt;=playercnt)),SUMPRODUCT(INDIRECT(ADDRESS(3,ROW()-31,1)):INDIRECT(ADDRESS(22,ROW()-31,1)),AN$3:AN$22),"")</f>
        <v>7</v>
      </c>
      <c r="AO78">
        <f ca="1">IF(AND(((COLUMN()-10)&lt;=playercnt),((ROW()-41)&lt;=playercnt)),SUMPRODUCT(INDIRECT(ADDRESS(3,ROW()-31,1)):INDIRECT(ADDRESS(22,ROW()-31,1)),AO$3:AO$22),"")</f>
        <v>5</v>
      </c>
      <c r="AP78">
        <f ca="1">IF(AND(((COLUMN()-10)&lt;=playercnt),((ROW()-41)&lt;=playercnt)),SUMPRODUCT(INDIRECT(ADDRESS(3,ROW()-31,1)):INDIRECT(ADDRESS(22,ROW()-31,1)),AP$3:AP$22),"")</f>
        <v>6</v>
      </c>
      <c r="AQ78">
        <f ca="1">IF(AND(((COLUMN()-10)&lt;=playercnt),((ROW()-41)&lt;=playercnt)),SUMPRODUCT(INDIRECT(ADDRESS(3,ROW()-31,1)):INDIRECT(ADDRESS(22,ROW()-31,1)),AQ$3:AQ$22),"")</f>
        <v>6</v>
      </c>
      <c r="AR78">
        <f ca="1">IF(AND(((COLUMN()-10)&lt;=playercnt),((ROW()-41)&lt;=playercnt)),SUMPRODUCT(INDIRECT(ADDRESS(3,ROW()-31,1)):INDIRECT(ADDRESS(22,ROW()-31,1)),AR$3:AR$22),"")</f>
        <v>7</v>
      </c>
      <c r="AS78">
        <f ca="1">IF(AND(((COLUMN()-10)&lt;=playercnt),((ROW()-41)&lt;=playercnt)),SUMPRODUCT(INDIRECT(ADDRESS(3,ROW()-31,1)):INDIRECT(ADDRESS(22,ROW()-31,1)),AS$3:AS$22),"")</f>
        <v>3</v>
      </c>
      <c r="AT78">
        <f ca="1">IF(AND(((COLUMN()-10)&lt;=playercnt),((ROW()-41)&lt;=playercnt)),SUMPRODUCT(INDIRECT(ADDRESS(3,ROW()-31,1)):INDIRECT(ADDRESS(22,ROW()-31,1)),AT$3:AT$22),"")</f>
        <v>6</v>
      </c>
      <c r="AU78">
        <f ca="1">IF(AND(((COLUMN()-10)&lt;=playercnt),((ROW()-41)&lt;=playercnt)),SUMPRODUCT(INDIRECT(ADDRESS(3,ROW()-31,1)):INDIRECT(ADDRESS(22,ROW()-31,1)),AU$3:AU$22),"")</f>
        <v>10</v>
      </c>
      <c r="AV78">
        <f ca="1">IF(AND(((COLUMN()-10)&lt;=playercnt),((ROW()-41)&lt;=playercnt)),SUMPRODUCT(INDIRECT(ADDRESS(3,ROW()-31,1)):INDIRECT(ADDRESS(22,ROW()-31,1)),AV$3:AV$22),"")</f>
        <v>6</v>
      </c>
      <c r="AW78">
        <f ca="1">IF(AND(((COLUMN()-10)&lt;=playercnt),((ROW()-41)&lt;=playercnt)),SUMPRODUCT(INDIRECT(ADDRESS(3,ROW()-31,1)):INDIRECT(ADDRESS(22,ROW()-31,1)),AW$3:AW$22),"")</f>
        <v>4</v>
      </c>
      <c r="AX78">
        <f ca="1">IF(AND(((COLUMN()-10)&lt;=playercnt),((ROW()-41)&lt;=playercnt)),SUMPRODUCT(INDIRECT(ADDRESS(3,ROW()-31,1)):INDIRECT(ADDRESS(22,ROW()-31,1)),AX$3:AX$22),"")</f>
        <v>6</v>
      </c>
      <c r="AY78">
        <f ca="1">IF(AND(((COLUMN()-10)&lt;=playercnt),((ROW()-41)&lt;=playercnt)),SUMPRODUCT(INDIRECT(ADDRESS(3,ROW()-31,1)):INDIRECT(ADDRESS(22,ROW()-31,1)),AY$3:AY$22),"")</f>
        <v>8</v>
      </c>
      <c r="AZ78">
        <f ca="1">IF(AND(((COLUMN()-10)&lt;=playercnt),((ROW()-41)&lt;=playercnt)),SUMPRODUCT(INDIRECT(ADDRESS(3,ROW()-31,1)):INDIRECT(ADDRESS(22,ROW()-31,1)),AZ$3:AZ$22),"")</f>
        <v>7</v>
      </c>
      <c r="BA78">
        <f ca="1">IF(AND(((COLUMN()-10)&lt;=playercnt),((ROW()-41)&lt;=playercnt)),SUMPRODUCT(INDIRECT(ADDRESS(3,ROW()-31,1)):INDIRECT(ADDRESS(22,ROW()-31,1)),BA$3:BA$22),"")</f>
        <v>4</v>
      </c>
      <c r="BB78">
        <f ca="1">IF(AND(((COLUMN()-10)&lt;=playercnt),((ROW()-41)&lt;=playercnt)),SUMPRODUCT(INDIRECT(ADDRESS(3,ROW()-31,1)):INDIRECT(ADDRESS(22,ROW()-31,1)),BB$3:BB$22),"")</f>
        <v>5</v>
      </c>
      <c r="BC78">
        <f ca="1">IF(AND(((COLUMN()-10)&lt;=playercnt),((ROW()-41)&lt;=playercnt)),SUMPRODUCT(INDIRECT(ADDRESS(3,ROW()-31,1)):INDIRECT(ADDRESS(22,ROW()-31,1)),BC$3:BC$22),"")</f>
        <v>3</v>
      </c>
      <c r="BD78">
        <f ca="1">IF(AND(((COLUMN()-10)&lt;=playercnt),((ROW()-41)&lt;=playercnt)),SUMPRODUCT(INDIRECT(ADDRESS(3,ROW()-31,1)):INDIRECT(ADDRESS(22,ROW()-31,1)),BD$3:BD$22),"")</f>
        <v>6</v>
      </c>
      <c r="BE78">
        <f ca="1">IF(AND(((COLUMN()-10)&lt;=playercnt),((ROW()-41)&lt;=playercnt)),SUMPRODUCT(INDIRECT(ADDRESS(3,ROW()-31,1)):INDIRECT(ADDRESS(22,ROW()-31,1)),BE$3:BE$22),"")</f>
        <v>5</v>
      </c>
      <c r="BF78">
        <f ca="1">IF(AND(((COLUMN()-10)&lt;=playercnt),((ROW()-41)&lt;=playercnt)),SUMPRODUCT(INDIRECT(ADDRESS(3,ROW()-31,1)):INDIRECT(ADDRESS(22,ROW()-31,1)),BF$3:BF$22),"")</f>
        <v>5</v>
      </c>
      <c r="BG78">
        <f ca="1">IF(AND(((COLUMN()-10)&lt;=playercnt),((ROW()-41)&lt;=playercnt)),SUMPRODUCT(INDIRECT(ADDRESS(3,ROW()-31,1)):INDIRECT(ADDRESS(22,ROW()-31,1)),BG$3:BG$22),"")</f>
        <v>4</v>
      </c>
      <c r="BH78">
        <f ca="1">IF(AND(((COLUMN()-10)&lt;=playercnt),((ROW()-41)&lt;=playercnt)),SUMPRODUCT(INDIRECT(ADDRESS(3,ROW()-31,1)):INDIRECT(ADDRESS(22,ROW()-31,1)),BH$3:BH$22),"")</f>
        <v>5</v>
      </c>
      <c r="BI78">
        <f ca="1">IF(AND(((COLUMN()-10)&lt;=playercnt),((ROW()-41)&lt;=playercnt)),SUMPRODUCT(INDIRECT(ADDRESS(3,ROW()-31,1)):INDIRECT(ADDRESS(22,ROW()-31,1)),BI$3:BI$22),"")</f>
        <v>8</v>
      </c>
      <c r="BJ78">
        <f ca="1">IF(AND(((COLUMN()-10)&lt;=playercnt),((ROW()-41)&lt;=playercnt)),SUMPRODUCT(INDIRECT(ADDRESS(3,ROW()-31,1)):INDIRECT(ADDRESS(22,ROW()-31,1)),BJ$3:BJ$22),"")</f>
        <v>6</v>
      </c>
      <c r="BK78">
        <f ca="1">IF(AND(((COLUMN()-10)&lt;=playercnt),((ROW()-41)&lt;=playercnt)),SUMPRODUCT(INDIRECT(ADDRESS(3,ROW()-31,1)):INDIRECT(ADDRESS(22,ROW()-31,1)),BK$3:BK$22),"")</f>
        <v>3</v>
      </c>
      <c r="BL78">
        <f ca="1">IF(AND(((COLUMN()-10)&lt;=playercnt),((ROW()-41)&lt;=playercnt)),SUMPRODUCT(INDIRECT(ADDRESS(3,ROW()-31,1)):INDIRECT(ADDRESS(22,ROW()-31,1)),BL$3:BL$22),"")</f>
        <v>7</v>
      </c>
      <c r="BM78">
        <f ca="1">IF(AND(((COLUMN()-10)&lt;=playercnt),((ROW()-41)&lt;=playercnt)),SUMPRODUCT(INDIRECT(ADDRESS(3,ROW()-31,1)):INDIRECT(ADDRESS(22,ROW()-31,1)),BM$3:BM$22),"")</f>
        <v>5</v>
      </c>
      <c r="BN78">
        <f ca="1">IF(AND(((COLUMN()-10)&lt;=playercnt),((ROW()-41)&lt;=playercnt)),SUMPRODUCT(INDIRECT(ADDRESS(3,ROW()-31,1)):INDIRECT(ADDRESS(22,ROW()-31,1)),BN$3:BN$22),"")</f>
        <v>5</v>
      </c>
    </row>
    <row r="79" spans="2:66">
      <c r="B79" s="27">
        <f t="shared" ca="1" si="23"/>
        <v>5.3272727272727272</v>
      </c>
      <c r="C79" t="str">
        <f t="shared" ca="1" si="24"/>
        <v>Penrose, Tim Remote</v>
      </c>
      <c r="G79">
        <f ca="1">IF(AND(((COLUMN()-10)&lt;=playercnt),((ROW()-41)&lt;=playercnt)),SUMPRODUCT(INDIRECT(ADDRESS(3,ROW()-31,1)):INDIRECT(ADDRESS(22,ROW()-31,1)),G$3:G$22),"")</f>
        <v>4</v>
      </c>
      <c r="H79">
        <f ca="1">IF(AND(((COLUMN()-10)&lt;=playercnt),((ROW()-41)&lt;=playercnt)),SUMPRODUCT(INDIRECT(ADDRESS(3,ROW()-31,1)):INDIRECT(ADDRESS(22,ROW()-31,1)),H$3:H$22),"")</f>
        <v>7</v>
      </c>
      <c r="I79">
        <f ca="1">IF(AND(((COLUMN()-10)&lt;=playercnt),((ROW()-41)&lt;=playercnt)),SUMPRODUCT(INDIRECT(ADDRESS(3,ROW()-31,1)):INDIRECT(ADDRESS(22,ROW()-31,1)),I$3:I$22),"")</f>
        <v>7</v>
      </c>
      <c r="J79">
        <f ca="1">IF(AND(((COLUMN()-10)&lt;=playercnt),((ROW()-41)&lt;=playercnt)),SUMPRODUCT(INDIRECT(ADDRESS(3,ROW()-31,1)):INDIRECT(ADDRESS(22,ROW()-31,1)),J$3:J$22),"")</f>
        <v>0</v>
      </c>
      <c r="K79">
        <f ca="1">IF(AND(((COLUMN()-10)&lt;=playercnt),((ROW()-41)&lt;=playercnt)),SUMPRODUCT(INDIRECT(ADDRESS(3,ROW()-31,1)):INDIRECT(ADDRESS(22,ROW()-31,1)),K$3:K$22),"")</f>
        <v>4</v>
      </c>
      <c r="L79">
        <f ca="1">IF(AND(((COLUMN()-10)&lt;=playercnt),((ROW()-41)&lt;=playercnt)),SUMPRODUCT(INDIRECT(ADDRESS(3,ROW()-31,1)):INDIRECT(ADDRESS(22,ROW()-31,1)),L$3:L$22),"")</f>
        <v>7</v>
      </c>
      <c r="M79">
        <f ca="1">IF(AND(((COLUMN()-10)&lt;=playercnt),((ROW()-41)&lt;=playercnt)),SUMPRODUCT(INDIRECT(ADDRESS(3,ROW()-31,1)):INDIRECT(ADDRESS(22,ROW()-31,1)),M$3:M$22),"")</f>
        <v>5</v>
      </c>
      <c r="N79">
        <f ca="1">IF(AND(((COLUMN()-10)&lt;=playercnt),((ROW()-41)&lt;=playercnt)),SUMPRODUCT(INDIRECT(ADDRESS(3,ROW()-31,1)):INDIRECT(ADDRESS(22,ROW()-31,1)),N$3:N$22),"")</f>
        <v>7</v>
      </c>
      <c r="O79">
        <f ca="1">IF(AND(((COLUMN()-10)&lt;=playercnt),((ROW()-41)&lt;=playercnt)),SUMPRODUCT(INDIRECT(ADDRESS(3,ROW()-31,1)):INDIRECT(ADDRESS(22,ROW()-31,1)),O$3:O$22),"")</f>
        <v>3</v>
      </c>
      <c r="P79">
        <f ca="1">IF(AND(((COLUMN()-10)&lt;=playercnt),((ROW()-41)&lt;=playercnt)),SUMPRODUCT(INDIRECT(ADDRESS(3,ROW()-31,1)):INDIRECT(ADDRESS(22,ROW()-31,1)),P$3:P$22),"")</f>
        <v>6</v>
      </c>
      <c r="Q79">
        <f ca="1">IF(AND(((COLUMN()-10)&lt;=playercnt),((ROW()-41)&lt;=playercnt)),SUMPRODUCT(INDIRECT(ADDRESS(3,ROW()-31,1)):INDIRECT(ADDRESS(22,ROW()-31,1)),Q$3:Q$22),"")</f>
        <v>4</v>
      </c>
      <c r="R79">
        <f ca="1">IF(AND(((COLUMN()-10)&lt;=playercnt),((ROW()-41)&lt;=playercnt)),SUMPRODUCT(INDIRECT(ADDRESS(3,ROW()-31,1)):INDIRECT(ADDRESS(22,ROW()-31,1)),R$3:R$22),"")</f>
        <v>6</v>
      </c>
      <c r="S79">
        <f ca="1">IF(AND(((COLUMN()-10)&lt;=playercnt),((ROW()-41)&lt;=playercnt)),SUMPRODUCT(INDIRECT(ADDRESS(3,ROW()-31,1)):INDIRECT(ADDRESS(22,ROW()-31,1)),S$3:S$22),"")</f>
        <v>6</v>
      </c>
      <c r="T79">
        <f ca="1">IF(AND(((COLUMN()-10)&lt;=playercnt),((ROW()-41)&lt;=playercnt)),SUMPRODUCT(INDIRECT(ADDRESS(3,ROW()-31,1)):INDIRECT(ADDRESS(22,ROW()-31,1)),T$3:T$22),"")</f>
        <v>6</v>
      </c>
      <c r="U79">
        <f ca="1">IF(AND(((COLUMN()-10)&lt;=playercnt),((ROW()-41)&lt;=playercnt)),SUMPRODUCT(INDIRECT(ADDRESS(3,ROW()-31,1)):INDIRECT(ADDRESS(22,ROW()-31,1)),U$3:U$22),"")</f>
        <v>7</v>
      </c>
      <c r="V79">
        <f ca="1">IF(AND(((COLUMN()-10)&lt;=playercnt),((ROW()-41)&lt;=playercnt)),SUMPRODUCT(INDIRECT(ADDRESS(3,ROW()-31,1)):INDIRECT(ADDRESS(22,ROW()-31,1)),V$3:V$22),"")</f>
        <v>6</v>
      </c>
      <c r="W79">
        <f ca="1">IF(AND(((COLUMN()-10)&lt;=playercnt),((ROW()-41)&lt;=playercnt)),SUMPRODUCT(INDIRECT(ADDRESS(3,ROW()-31,1)):INDIRECT(ADDRESS(22,ROW()-31,1)),W$3:W$22),"")</f>
        <v>6</v>
      </c>
      <c r="X79">
        <f ca="1">IF(AND(((COLUMN()-10)&lt;=playercnt),((ROW()-41)&lt;=playercnt)),SUMPRODUCT(INDIRECT(ADDRESS(3,ROW()-31,1)):INDIRECT(ADDRESS(22,ROW()-31,1)),X$3:X$22),"")</f>
        <v>6</v>
      </c>
      <c r="Y79">
        <f ca="1">IF(AND(((COLUMN()-10)&lt;=playercnt),((ROW()-41)&lt;=playercnt)),SUMPRODUCT(INDIRECT(ADDRESS(3,ROW()-31,1)):INDIRECT(ADDRESS(22,ROW()-31,1)),Y$3:Y$22),"")</f>
        <v>3</v>
      </c>
      <c r="Z79">
        <f ca="1">IF(AND(((COLUMN()-10)&lt;=playercnt),((ROW()-41)&lt;=playercnt)),SUMPRODUCT(INDIRECT(ADDRESS(3,ROW()-31,1)):INDIRECT(ADDRESS(22,ROW()-31,1)),Z$3:Z$22),"")</f>
        <v>5</v>
      </c>
      <c r="AA79">
        <f ca="1">IF(AND(((COLUMN()-10)&lt;=playercnt),((ROW()-41)&lt;=playercnt)),SUMPRODUCT(INDIRECT(ADDRESS(3,ROW()-31,1)):INDIRECT(ADDRESS(22,ROW()-31,1)),AA$3:AA$22),"")</f>
        <v>7</v>
      </c>
      <c r="AB79">
        <f ca="1">IF(AND(((COLUMN()-10)&lt;=playercnt),((ROW()-41)&lt;=playercnt)),SUMPRODUCT(INDIRECT(ADDRESS(3,ROW()-31,1)):INDIRECT(ADDRESS(22,ROW()-31,1)),AB$3:AB$22),"")</f>
        <v>5</v>
      </c>
      <c r="AC79">
        <f ca="1">IF(AND(((COLUMN()-10)&lt;=playercnt),((ROW()-41)&lt;=playercnt)),SUMPRODUCT(INDIRECT(ADDRESS(3,ROW()-31,1)):INDIRECT(ADDRESS(22,ROW()-31,1)),AC$3:AC$22),"")</f>
        <v>4</v>
      </c>
      <c r="AD79">
        <f ca="1">IF(AND(((COLUMN()-10)&lt;=playercnt),((ROW()-41)&lt;=playercnt)),SUMPRODUCT(INDIRECT(ADDRESS(3,ROW()-31,1)):INDIRECT(ADDRESS(22,ROW()-31,1)),AD$3:AD$22),"")</f>
        <v>5</v>
      </c>
      <c r="AE79">
        <f ca="1">IF(AND(((COLUMN()-10)&lt;=playercnt),((ROW()-41)&lt;=playercnt)),SUMPRODUCT(INDIRECT(ADDRESS(3,ROW()-31,1)):INDIRECT(ADDRESS(22,ROW()-31,1)),AE$3:AE$22),"")</f>
        <v>7</v>
      </c>
      <c r="AF79">
        <f ca="1">IF(AND(((COLUMN()-10)&lt;=playercnt),((ROW()-41)&lt;=playercnt)),SUMPRODUCT(INDIRECT(ADDRESS(3,ROW()-31,1)):INDIRECT(ADDRESS(22,ROW()-31,1)),AF$3:AF$22),"")</f>
        <v>5</v>
      </c>
      <c r="AG79">
        <f ca="1">IF(AND(((COLUMN()-10)&lt;=playercnt),((ROW()-41)&lt;=playercnt)),SUMPRODUCT(INDIRECT(ADDRESS(3,ROW()-31,1)):INDIRECT(ADDRESS(22,ROW()-31,1)),AG$3:AG$22),"")</f>
        <v>7</v>
      </c>
      <c r="AH79">
        <f ca="1">IF(AND(((COLUMN()-10)&lt;=playercnt),((ROW()-41)&lt;=playercnt)),SUMPRODUCT(INDIRECT(ADDRESS(3,ROW()-31,1)):INDIRECT(ADDRESS(22,ROW()-31,1)),AH$3:AH$22),"")</f>
        <v>5</v>
      </c>
      <c r="AI79">
        <f ca="1">IF(AND(((COLUMN()-10)&lt;=playercnt),((ROW()-41)&lt;=playercnt)),SUMPRODUCT(INDIRECT(ADDRESS(3,ROW()-31,1)):INDIRECT(ADDRESS(22,ROW()-31,1)),AI$3:AI$22),"")</f>
        <v>4</v>
      </c>
      <c r="AJ79">
        <f ca="1">IF(AND(((COLUMN()-10)&lt;=playercnt),((ROW()-41)&lt;=playercnt)),SUMPRODUCT(INDIRECT(ADDRESS(3,ROW()-31,1)):INDIRECT(ADDRESS(22,ROW()-31,1)),AJ$3:AJ$22),"")</f>
        <v>5</v>
      </c>
      <c r="AK79">
        <f ca="1">IF(AND(((COLUMN()-10)&lt;=playercnt),((ROW()-41)&lt;=playercnt)),SUMPRODUCT(INDIRECT(ADDRESS(3,ROW()-31,1)):INDIRECT(ADDRESS(22,ROW()-31,1)),AK$3:AK$22),"")</f>
        <v>5</v>
      </c>
      <c r="AL79">
        <f ca="1">IF(AND(((COLUMN()-10)&lt;=playercnt),((ROW()-41)&lt;=playercnt)),SUMPRODUCT(INDIRECT(ADDRESS(3,ROW()-31,1)):INDIRECT(ADDRESS(22,ROW()-31,1)),AL$3:AL$22),"")</f>
        <v>7</v>
      </c>
      <c r="AM79">
        <f ca="1">IF(AND(((COLUMN()-10)&lt;=playercnt),((ROW()-41)&lt;=playercnt)),SUMPRODUCT(INDIRECT(ADDRESS(3,ROW()-31,1)):INDIRECT(ADDRESS(22,ROW()-31,1)),AM$3:AM$22),"")</f>
        <v>4</v>
      </c>
      <c r="AN79">
        <f ca="1">IF(AND(((COLUMN()-10)&lt;=playercnt),((ROW()-41)&lt;=playercnt)),SUMPRODUCT(INDIRECT(ADDRESS(3,ROW()-31,1)):INDIRECT(ADDRESS(22,ROW()-31,1)),AN$3:AN$22),"")</f>
        <v>5</v>
      </c>
      <c r="AO79">
        <f ca="1">IF(AND(((COLUMN()-10)&lt;=playercnt),((ROW()-41)&lt;=playercnt)),SUMPRODUCT(INDIRECT(ADDRESS(3,ROW()-31,1)):INDIRECT(ADDRESS(22,ROW()-31,1)),AO$3:AO$22),"")</f>
        <v>3</v>
      </c>
      <c r="AP79">
        <f ca="1">IF(AND(((COLUMN()-10)&lt;=playercnt),((ROW()-41)&lt;=playercnt)),SUMPRODUCT(INDIRECT(ADDRESS(3,ROW()-31,1)):INDIRECT(ADDRESS(22,ROW()-31,1)),AP$3:AP$22),"")</f>
        <v>6</v>
      </c>
      <c r="AQ79">
        <f ca="1">IF(AND(((COLUMN()-10)&lt;=playercnt),((ROW()-41)&lt;=playercnt)),SUMPRODUCT(INDIRECT(ADDRESS(3,ROW()-31,1)):INDIRECT(ADDRESS(22,ROW()-31,1)),AQ$3:AQ$22),"")</f>
        <v>6</v>
      </c>
      <c r="AR79">
        <f ca="1">IF(AND(((COLUMN()-10)&lt;=playercnt),((ROW()-41)&lt;=playercnt)),SUMPRODUCT(INDIRECT(ADDRESS(3,ROW()-31,1)):INDIRECT(ADDRESS(22,ROW()-31,1)),AR$3:AR$22),"")</f>
        <v>3</v>
      </c>
      <c r="AS79">
        <f ca="1">IF(AND(((COLUMN()-10)&lt;=playercnt),((ROW()-41)&lt;=playercnt)),SUMPRODUCT(INDIRECT(ADDRESS(3,ROW()-31,1)):INDIRECT(ADDRESS(22,ROW()-31,1)),AS$3:AS$22),"")</f>
        <v>3</v>
      </c>
      <c r="AT79">
        <f ca="1">IF(AND(((COLUMN()-10)&lt;=playercnt),((ROW()-41)&lt;=playercnt)),SUMPRODUCT(INDIRECT(ADDRESS(3,ROW()-31,1)):INDIRECT(ADDRESS(22,ROW()-31,1)),AT$3:AT$22),"")</f>
        <v>4</v>
      </c>
      <c r="AU79">
        <f ca="1">IF(AND(((COLUMN()-10)&lt;=playercnt),((ROW()-41)&lt;=playercnt)),SUMPRODUCT(INDIRECT(ADDRESS(3,ROW()-31,1)):INDIRECT(ADDRESS(22,ROW()-31,1)),AU$3:AU$22),"")</f>
        <v>6</v>
      </c>
      <c r="AV79">
        <f ca="1">IF(AND(((COLUMN()-10)&lt;=playercnt),((ROW()-41)&lt;=playercnt)),SUMPRODUCT(INDIRECT(ADDRESS(3,ROW()-31,1)):INDIRECT(ADDRESS(22,ROW()-31,1)),AV$3:AV$22),"")</f>
        <v>10</v>
      </c>
      <c r="AW79">
        <f ca="1">IF(AND(((COLUMN()-10)&lt;=playercnt),((ROW()-41)&lt;=playercnt)),SUMPRODUCT(INDIRECT(ADDRESS(3,ROW()-31,1)):INDIRECT(ADDRESS(22,ROW()-31,1)),AW$3:AW$22),"")</f>
        <v>6</v>
      </c>
      <c r="AX79">
        <f ca="1">IF(AND(((COLUMN()-10)&lt;=playercnt),((ROW()-41)&lt;=playercnt)),SUMPRODUCT(INDIRECT(ADDRESS(3,ROW()-31,1)):INDIRECT(ADDRESS(22,ROW()-31,1)),AX$3:AX$22),"")</f>
        <v>6</v>
      </c>
      <c r="AY79">
        <f ca="1">IF(AND(((COLUMN()-10)&lt;=playercnt),((ROW()-41)&lt;=playercnt)),SUMPRODUCT(INDIRECT(ADDRESS(3,ROW()-31,1)):INDIRECT(ADDRESS(22,ROW()-31,1)),AY$3:AY$22),"")</f>
        <v>6</v>
      </c>
      <c r="AZ79">
        <f ca="1">IF(AND(((COLUMN()-10)&lt;=playercnt),((ROW()-41)&lt;=playercnt)),SUMPRODUCT(INDIRECT(ADDRESS(3,ROW()-31,1)):INDIRECT(ADDRESS(22,ROW()-31,1)),AZ$3:AZ$22),"")</f>
        <v>3</v>
      </c>
      <c r="BA79">
        <f ca="1">IF(AND(((COLUMN()-10)&lt;=playercnt),((ROW()-41)&lt;=playercnt)),SUMPRODUCT(INDIRECT(ADDRESS(3,ROW()-31,1)):INDIRECT(ADDRESS(22,ROW()-31,1)),BA$3:BA$22),"")</f>
        <v>8</v>
      </c>
      <c r="BB79">
        <f ca="1">IF(AND(((COLUMN()-10)&lt;=playercnt),((ROW()-41)&lt;=playercnt)),SUMPRODUCT(INDIRECT(ADDRESS(3,ROW()-31,1)):INDIRECT(ADDRESS(22,ROW()-31,1)),BB$3:BB$22),"")</f>
        <v>7</v>
      </c>
      <c r="BC79">
        <f ca="1">IF(AND(((COLUMN()-10)&lt;=playercnt),((ROW()-41)&lt;=playercnt)),SUMPRODUCT(INDIRECT(ADDRESS(3,ROW()-31,1)):INDIRECT(ADDRESS(22,ROW()-31,1)),BC$3:BC$22),"")</f>
        <v>5</v>
      </c>
      <c r="BD79">
        <f ca="1">IF(AND(((COLUMN()-10)&lt;=playercnt),((ROW()-41)&lt;=playercnt)),SUMPRODUCT(INDIRECT(ADDRESS(3,ROW()-31,1)):INDIRECT(ADDRESS(22,ROW()-31,1)),BD$3:BD$22),"")</f>
        <v>6</v>
      </c>
      <c r="BE79">
        <f ca="1">IF(AND(((COLUMN()-10)&lt;=playercnt),((ROW()-41)&lt;=playercnt)),SUMPRODUCT(INDIRECT(ADDRESS(3,ROW()-31,1)):INDIRECT(ADDRESS(22,ROW()-31,1)),BE$3:BE$22),"")</f>
        <v>5</v>
      </c>
      <c r="BF79">
        <f ca="1">IF(AND(((COLUMN()-10)&lt;=playercnt),((ROW()-41)&lt;=playercnt)),SUMPRODUCT(INDIRECT(ADDRESS(3,ROW()-31,1)):INDIRECT(ADDRESS(22,ROW()-31,1)),BF$3:BF$22),"")</f>
        <v>5</v>
      </c>
      <c r="BG79">
        <f ca="1">IF(AND(((COLUMN()-10)&lt;=playercnt),((ROW()-41)&lt;=playercnt)),SUMPRODUCT(INDIRECT(ADDRESS(3,ROW()-31,1)):INDIRECT(ADDRESS(22,ROW()-31,1)),BG$3:BG$22),"")</f>
        <v>8</v>
      </c>
      <c r="BH79">
        <f ca="1">IF(AND(((COLUMN()-10)&lt;=playercnt),((ROW()-41)&lt;=playercnt)),SUMPRODUCT(INDIRECT(ADDRESS(3,ROW()-31,1)):INDIRECT(ADDRESS(22,ROW()-31,1)),BH$3:BH$22),"")</f>
        <v>5</v>
      </c>
      <c r="BI79">
        <f ca="1">IF(AND(((COLUMN()-10)&lt;=playercnt),((ROW()-41)&lt;=playercnt)),SUMPRODUCT(INDIRECT(ADDRESS(3,ROW()-31,1)):INDIRECT(ADDRESS(22,ROW()-31,1)),BI$3:BI$22),"")</f>
        <v>6</v>
      </c>
      <c r="BJ79">
        <f ca="1">IF(AND(((COLUMN()-10)&lt;=playercnt),((ROW()-41)&lt;=playercnt)),SUMPRODUCT(INDIRECT(ADDRESS(3,ROW()-31,1)):INDIRECT(ADDRESS(22,ROW()-31,1)),BJ$3:BJ$22),"")</f>
        <v>2</v>
      </c>
      <c r="BK79">
        <f ca="1">IF(AND(((COLUMN()-10)&lt;=playercnt),((ROW()-41)&lt;=playercnt)),SUMPRODUCT(INDIRECT(ADDRESS(3,ROW()-31,1)):INDIRECT(ADDRESS(22,ROW()-31,1)),BK$3:BK$22),"")</f>
        <v>5</v>
      </c>
      <c r="BL79">
        <f ca="1">IF(AND(((COLUMN()-10)&lt;=playercnt),((ROW()-41)&lt;=playercnt)),SUMPRODUCT(INDIRECT(ADDRESS(3,ROW()-31,1)):INDIRECT(ADDRESS(22,ROW()-31,1)),BL$3:BL$22),"")</f>
        <v>7</v>
      </c>
      <c r="BM79">
        <f ca="1">IF(AND(((COLUMN()-10)&lt;=playercnt),((ROW()-41)&lt;=playercnt)),SUMPRODUCT(INDIRECT(ADDRESS(3,ROW()-31,1)):INDIRECT(ADDRESS(22,ROW()-31,1)),BM$3:BM$22),"")</f>
        <v>3</v>
      </c>
      <c r="BN79">
        <f ca="1">IF(AND(((COLUMN()-10)&lt;=playercnt),((ROW()-41)&lt;=playercnt)),SUMPRODUCT(INDIRECT(ADDRESS(3,ROW()-31,1)):INDIRECT(ADDRESS(22,ROW()-31,1)),BN$3:BN$22),"")</f>
        <v>7</v>
      </c>
    </row>
    <row r="80" spans="2:66">
      <c r="B80" s="27">
        <f t="shared" ca="1" si="23"/>
        <v>5.2181818181818178</v>
      </c>
      <c r="C80" t="str">
        <f t="shared" ca="1" si="24"/>
        <v>Powell, LaMar</v>
      </c>
      <c r="G80">
        <f ca="1">IF(AND(((COLUMN()-10)&lt;=playercnt),((ROW()-41)&lt;=playercnt)),SUMPRODUCT(INDIRECT(ADDRESS(3,ROW()-31,1)):INDIRECT(ADDRESS(22,ROW()-31,1)),G$3:G$22),"")</f>
        <v>4</v>
      </c>
      <c r="H80">
        <f ca="1">IF(AND(((COLUMN()-10)&lt;=playercnt),((ROW()-41)&lt;=playercnt)),SUMPRODUCT(INDIRECT(ADDRESS(3,ROW()-31,1)):INDIRECT(ADDRESS(22,ROW()-31,1)),H$3:H$22),"")</f>
        <v>5</v>
      </c>
      <c r="I80">
        <f ca="1">IF(AND(((COLUMN()-10)&lt;=playercnt),((ROW()-41)&lt;=playercnt)),SUMPRODUCT(INDIRECT(ADDRESS(3,ROW()-31,1)):INDIRECT(ADDRESS(22,ROW()-31,1)),I$3:I$22),"")</f>
        <v>7</v>
      </c>
      <c r="J80">
        <f ca="1">IF(AND(((COLUMN()-10)&lt;=playercnt),((ROW()-41)&lt;=playercnt)),SUMPRODUCT(INDIRECT(ADDRESS(3,ROW()-31,1)):INDIRECT(ADDRESS(22,ROW()-31,1)),J$3:J$22),"")</f>
        <v>0</v>
      </c>
      <c r="K80">
        <f ca="1">IF(AND(((COLUMN()-10)&lt;=playercnt),((ROW()-41)&lt;=playercnt)),SUMPRODUCT(INDIRECT(ADDRESS(3,ROW()-31,1)):INDIRECT(ADDRESS(22,ROW()-31,1)),K$3:K$22),"")</f>
        <v>8</v>
      </c>
      <c r="L80">
        <f ca="1">IF(AND(((COLUMN()-10)&lt;=playercnt),((ROW()-41)&lt;=playercnt)),SUMPRODUCT(INDIRECT(ADDRESS(3,ROW()-31,1)):INDIRECT(ADDRESS(22,ROW()-31,1)),L$3:L$22),"")</f>
        <v>5</v>
      </c>
      <c r="M80">
        <f ca="1">IF(AND(((COLUMN()-10)&lt;=playercnt),((ROW()-41)&lt;=playercnt)),SUMPRODUCT(INDIRECT(ADDRESS(3,ROW()-31,1)):INDIRECT(ADDRESS(22,ROW()-31,1)),M$3:M$22),"")</f>
        <v>5</v>
      </c>
      <c r="N80">
        <f ca="1">IF(AND(((COLUMN()-10)&lt;=playercnt),((ROW()-41)&lt;=playercnt)),SUMPRODUCT(INDIRECT(ADDRESS(3,ROW()-31,1)):INDIRECT(ADDRESS(22,ROW()-31,1)),N$3:N$22),"")</f>
        <v>7</v>
      </c>
      <c r="O80">
        <f ca="1">IF(AND(((COLUMN()-10)&lt;=playercnt),((ROW()-41)&lt;=playercnt)),SUMPRODUCT(INDIRECT(ADDRESS(3,ROW()-31,1)):INDIRECT(ADDRESS(22,ROW()-31,1)),O$3:O$22),"")</f>
        <v>5</v>
      </c>
      <c r="P80">
        <f ca="1">IF(AND(((COLUMN()-10)&lt;=playercnt),((ROW()-41)&lt;=playercnt)),SUMPRODUCT(INDIRECT(ADDRESS(3,ROW()-31,1)):INDIRECT(ADDRESS(22,ROW()-31,1)),P$3:P$22),"")</f>
        <v>2</v>
      </c>
      <c r="Q80">
        <f ca="1">IF(AND(((COLUMN()-10)&lt;=playercnt),((ROW()-41)&lt;=playercnt)),SUMPRODUCT(INDIRECT(ADDRESS(3,ROW()-31,1)):INDIRECT(ADDRESS(22,ROW()-31,1)),Q$3:Q$22),"")</f>
        <v>4</v>
      </c>
      <c r="R80">
        <f ca="1">IF(AND(((COLUMN()-10)&lt;=playercnt),((ROW()-41)&lt;=playercnt)),SUMPRODUCT(INDIRECT(ADDRESS(3,ROW()-31,1)):INDIRECT(ADDRESS(22,ROW()-31,1)),R$3:R$22),"")</f>
        <v>6</v>
      </c>
      <c r="S80">
        <f ca="1">IF(AND(((COLUMN()-10)&lt;=playercnt),((ROW()-41)&lt;=playercnt)),SUMPRODUCT(INDIRECT(ADDRESS(3,ROW()-31,1)):INDIRECT(ADDRESS(22,ROW()-31,1)),S$3:S$22),"")</f>
        <v>6</v>
      </c>
      <c r="T80">
        <f ca="1">IF(AND(((COLUMN()-10)&lt;=playercnt),((ROW()-41)&lt;=playercnt)),SUMPRODUCT(INDIRECT(ADDRESS(3,ROW()-31,1)):INDIRECT(ADDRESS(22,ROW()-31,1)),T$3:T$22),"")</f>
        <v>6</v>
      </c>
      <c r="U80">
        <f ca="1">IF(AND(((COLUMN()-10)&lt;=playercnt),((ROW()-41)&lt;=playercnt)),SUMPRODUCT(INDIRECT(ADDRESS(3,ROW()-31,1)):INDIRECT(ADDRESS(22,ROW()-31,1)),U$3:U$22),"")</f>
        <v>7</v>
      </c>
      <c r="V80">
        <f ca="1">IF(AND(((COLUMN()-10)&lt;=playercnt),((ROW()-41)&lt;=playercnt)),SUMPRODUCT(INDIRECT(ADDRESS(3,ROW()-31,1)):INDIRECT(ADDRESS(22,ROW()-31,1)),V$3:V$22),"")</f>
        <v>8</v>
      </c>
      <c r="W80">
        <f ca="1">IF(AND(((COLUMN()-10)&lt;=playercnt),((ROW()-41)&lt;=playercnt)),SUMPRODUCT(INDIRECT(ADDRESS(3,ROW()-31,1)):INDIRECT(ADDRESS(22,ROW()-31,1)),W$3:W$22),"")</f>
        <v>8</v>
      </c>
      <c r="X80">
        <f ca="1">IF(AND(((COLUMN()-10)&lt;=playercnt),((ROW()-41)&lt;=playercnt)),SUMPRODUCT(INDIRECT(ADDRESS(3,ROW()-31,1)):INDIRECT(ADDRESS(22,ROW()-31,1)),X$3:X$22),"")</f>
        <v>8</v>
      </c>
      <c r="Y80">
        <f ca="1">IF(AND(((COLUMN()-10)&lt;=playercnt),((ROW()-41)&lt;=playercnt)),SUMPRODUCT(INDIRECT(ADDRESS(3,ROW()-31,1)):INDIRECT(ADDRESS(22,ROW()-31,1)),Y$3:Y$22),"")</f>
        <v>5</v>
      </c>
      <c r="Z80">
        <f ca="1">IF(AND(((COLUMN()-10)&lt;=playercnt),((ROW()-41)&lt;=playercnt)),SUMPRODUCT(INDIRECT(ADDRESS(3,ROW()-31,1)):INDIRECT(ADDRESS(22,ROW()-31,1)),Z$3:Z$22),"")</f>
        <v>1</v>
      </c>
      <c r="AA80">
        <f ca="1">IF(AND(((COLUMN()-10)&lt;=playercnt),((ROW()-41)&lt;=playercnt)),SUMPRODUCT(INDIRECT(ADDRESS(3,ROW()-31,1)):INDIRECT(ADDRESS(22,ROW()-31,1)),AA$3:AA$22),"")</f>
        <v>7</v>
      </c>
      <c r="AB80">
        <f ca="1">IF(AND(((COLUMN()-10)&lt;=playercnt),((ROW()-41)&lt;=playercnt)),SUMPRODUCT(INDIRECT(ADDRESS(3,ROW()-31,1)):INDIRECT(ADDRESS(22,ROW()-31,1)),AB$3:AB$22),"")</f>
        <v>5</v>
      </c>
      <c r="AC80">
        <f ca="1">IF(AND(((COLUMN()-10)&lt;=playercnt),((ROW()-41)&lt;=playercnt)),SUMPRODUCT(INDIRECT(ADDRESS(3,ROW()-31,1)):INDIRECT(ADDRESS(22,ROW()-31,1)),AC$3:AC$22),"")</f>
        <v>6</v>
      </c>
      <c r="AD80">
        <f ca="1">IF(AND(((COLUMN()-10)&lt;=playercnt),((ROW()-41)&lt;=playercnt)),SUMPRODUCT(INDIRECT(ADDRESS(3,ROW()-31,1)):INDIRECT(ADDRESS(22,ROW()-31,1)),AD$3:AD$22),"")</f>
        <v>7</v>
      </c>
      <c r="AE80">
        <f ca="1">IF(AND(((COLUMN()-10)&lt;=playercnt),((ROW()-41)&lt;=playercnt)),SUMPRODUCT(INDIRECT(ADDRESS(3,ROW()-31,1)):INDIRECT(ADDRESS(22,ROW()-31,1)),AE$3:AE$22),"")</f>
        <v>5</v>
      </c>
      <c r="AF80">
        <f ca="1">IF(AND(((COLUMN()-10)&lt;=playercnt),((ROW()-41)&lt;=playercnt)),SUMPRODUCT(INDIRECT(ADDRESS(3,ROW()-31,1)):INDIRECT(ADDRESS(22,ROW()-31,1)),AF$3:AF$22),"")</f>
        <v>5</v>
      </c>
      <c r="AG80">
        <f ca="1">IF(AND(((COLUMN()-10)&lt;=playercnt),((ROW()-41)&lt;=playercnt)),SUMPRODUCT(INDIRECT(ADDRESS(3,ROW()-31,1)):INDIRECT(ADDRESS(22,ROW()-31,1)),AG$3:AG$22),"")</f>
        <v>7</v>
      </c>
      <c r="AH80">
        <f ca="1">IF(AND(((COLUMN()-10)&lt;=playercnt),((ROW()-41)&lt;=playercnt)),SUMPRODUCT(INDIRECT(ADDRESS(3,ROW()-31,1)):INDIRECT(ADDRESS(22,ROW()-31,1)),AH$3:AH$22),"")</f>
        <v>5</v>
      </c>
      <c r="AI80">
        <f ca="1">IF(AND(((COLUMN()-10)&lt;=playercnt),((ROW()-41)&lt;=playercnt)),SUMPRODUCT(INDIRECT(ADDRESS(3,ROW()-31,1)):INDIRECT(ADDRESS(22,ROW()-31,1)),AI$3:AI$22),"")</f>
        <v>4</v>
      </c>
      <c r="AJ80">
        <f ca="1">IF(AND(((COLUMN()-10)&lt;=playercnt),((ROW()-41)&lt;=playercnt)),SUMPRODUCT(INDIRECT(ADDRESS(3,ROW()-31,1)):INDIRECT(ADDRESS(22,ROW()-31,1)),AJ$3:AJ$22),"")</f>
        <v>7</v>
      </c>
      <c r="AK80">
        <f ca="1">IF(AND(((COLUMN()-10)&lt;=playercnt),((ROW()-41)&lt;=playercnt)),SUMPRODUCT(INDIRECT(ADDRESS(3,ROW()-31,1)):INDIRECT(ADDRESS(22,ROW()-31,1)),AK$3:AK$22),"")</f>
        <v>5</v>
      </c>
      <c r="AL80">
        <f ca="1">IF(AND(((COLUMN()-10)&lt;=playercnt),((ROW()-41)&lt;=playercnt)),SUMPRODUCT(INDIRECT(ADDRESS(3,ROW()-31,1)):INDIRECT(ADDRESS(22,ROW()-31,1)),AL$3:AL$22),"")</f>
        <v>3</v>
      </c>
      <c r="AM80">
        <f ca="1">IF(AND(((COLUMN()-10)&lt;=playercnt),((ROW()-41)&lt;=playercnt)),SUMPRODUCT(INDIRECT(ADDRESS(3,ROW()-31,1)):INDIRECT(ADDRESS(22,ROW()-31,1)),AM$3:AM$22),"")</f>
        <v>4</v>
      </c>
      <c r="AN80">
        <f ca="1">IF(AND(((COLUMN()-10)&lt;=playercnt),((ROW()-41)&lt;=playercnt)),SUMPRODUCT(INDIRECT(ADDRESS(3,ROW()-31,1)):INDIRECT(ADDRESS(22,ROW()-31,1)),AN$3:AN$22),"")</f>
        <v>5</v>
      </c>
      <c r="AO80">
        <f ca="1">IF(AND(((COLUMN()-10)&lt;=playercnt),((ROW()-41)&lt;=playercnt)),SUMPRODUCT(INDIRECT(ADDRESS(3,ROW()-31,1)):INDIRECT(ADDRESS(22,ROW()-31,1)),AO$3:AO$22),"")</f>
        <v>3</v>
      </c>
      <c r="AP80">
        <f ca="1">IF(AND(((COLUMN()-10)&lt;=playercnt),((ROW()-41)&lt;=playercnt)),SUMPRODUCT(INDIRECT(ADDRESS(3,ROW()-31,1)):INDIRECT(ADDRESS(22,ROW()-31,1)),AP$3:AP$22),"")</f>
        <v>4</v>
      </c>
      <c r="AQ80">
        <f ca="1">IF(AND(((COLUMN()-10)&lt;=playercnt),((ROW()-41)&lt;=playercnt)),SUMPRODUCT(INDIRECT(ADDRESS(3,ROW()-31,1)):INDIRECT(ADDRESS(22,ROW()-31,1)),AQ$3:AQ$22),"")</f>
        <v>4</v>
      </c>
      <c r="AR80">
        <f ca="1">IF(AND(((COLUMN()-10)&lt;=playercnt),((ROW()-41)&lt;=playercnt)),SUMPRODUCT(INDIRECT(ADDRESS(3,ROW()-31,1)):INDIRECT(ADDRESS(22,ROW()-31,1)),AR$3:AR$22),"")</f>
        <v>5</v>
      </c>
      <c r="AS80">
        <f ca="1">IF(AND(((COLUMN()-10)&lt;=playercnt),((ROW()-41)&lt;=playercnt)),SUMPRODUCT(INDIRECT(ADDRESS(3,ROW()-31,1)):INDIRECT(ADDRESS(22,ROW()-31,1)),AS$3:AS$22),"")</f>
        <v>5</v>
      </c>
      <c r="AT80">
        <f ca="1">IF(AND(((COLUMN()-10)&lt;=playercnt),((ROW()-41)&lt;=playercnt)),SUMPRODUCT(INDIRECT(ADDRESS(3,ROW()-31,1)):INDIRECT(ADDRESS(22,ROW()-31,1)),AT$3:AT$22),"")</f>
        <v>4</v>
      </c>
      <c r="AU80">
        <f ca="1">IF(AND(((COLUMN()-10)&lt;=playercnt),((ROW()-41)&lt;=playercnt)),SUMPRODUCT(INDIRECT(ADDRESS(3,ROW()-31,1)):INDIRECT(ADDRESS(22,ROW()-31,1)),AU$3:AU$22),"")</f>
        <v>4</v>
      </c>
      <c r="AV80">
        <f ca="1">IF(AND(((COLUMN()-10)&lt;=playercnt),((ROW()-41)&lt;=playercnt)),SUMPRODUCT(INDIRECT(ADDRESS(3,ROW()-31,1)):INDIRECT(ADDRESS(22,ROW()-31,1)),AV$3:AV$22),"")</f>
        <v>6</v>
      </c>
      <c r="AW80">
        <f ca="1">IF(AND(((COLUMN()-10)&lt;=playercnt),((ROW()-41)&lt;=playercnt)),SUMPRODUCT(INDIRECT(ADDRESS(3,ROW()-31,1)):INDIRECT(ADDRESS(22,ROW()-31,1)),AW$3:AW$22),"")</f>
        <v>10</v>
      </c>
      <c r="AX80">
        <f ca="1">IF(AND(((COLUMN()-10)&lt;=playercnt),((ROW()-41)&lt;=playercnt)),SUMPRODUCT(INDIRECT(ADDRESS(3,ROW()-31,1)):INDIRECT(ADDRESS(22,ROW()-31,1)),AX$3:AX$22),"")</f>
        <v>6</v>
      </c>
      <c r="AY80">
        <f ca="1">IF(AND(((COLUMN()-10)&lt;=playercnt),((ROW()-41)&lt;=playercnt)),SUMPRODUCT(INDIRECT(ADDRESS(3,ROW()-31,1)):INDIRECT(ADDRESS(22,ROW()-31,1)),AY$3:AY$22),"")</f>
        <v>6</v>
      </c>
      <c r="AZ80">
        <f ca="1">IF(AND(((COLUMN()-10)&lt;=playercnt),((ROW()-41)&lt;=playercnt)),SUMPRODUCT(INDIRECT(ADDRESS(3,ROW()-31,1)):INDIRECT(ADDRESS(22,ROW()-31,1)),AZ$3:AZ$22),"")</f>
        <v>5</v>
      </c>
      <c r="BA80">
        <f ca="1">IF(AND(((COLUMN()-10)&lt;=playercnt),((ROW()-41)&lt;=playercnt)),SUMPRODUCT(INDIRECT(ADDRESS(3,ROW()-31,1)):INDIRECT(ADDRESS(22,ROW()-31,1)),BA$3:BA$22),"")</f>
        <v>6</v>
      </c>
      <c r="BB80">
        <f ca="1">IF(AND(((COLUMN()-10)&lt;=playercnt),((ROW()-41)&lt;=playercnt)),SUMPRODUCT(INDIRECT(ADDRESS(3,ROW()-31,1)):INDIRECT(ADDRESS(22,ROW()-31,1)),BB$3:BB$22),"")</f>
        <v>3</v>
      </c>
      <c r="BC80">
        <f ca="1">IF(AND(((COLUMN()-10)&lt;=playercnt),((ROW()-41)&lt;=playercnt)),SUMPRODUCT(INDIRECT(ADDRESS(3,ROW()-31,1)):INDIRECT(ADDRESS(22,ROW()-31,1)),BC$3:BC$22),"")</f>
        <v>5</v>
      </c>
      <c r="BD80">
        <f ca="1">IF(AND(((COLUMN()-10)&lt;=playercnt),((ROW()-41)&lt;=playercnt)),SUMPRODUCT(INDIRECT(ADDRESS(3,ROW()-31,1)):INDIRECT(ADDRESS(22,ROW()-31,1)),BD$3:BD$22),"")</f>
        <v>6</v>
      </c>
      <c r="BE80">
        <f ca="1">IF(AND(((COLUMN()-10)&lt;=playercnt),((ROW()-41)&lt;=playercnt)),SUMPRODUCT(INDIRECT(ADDRESS(3,ROW()-31,1)):INDIRECT(ADDRESS(22,ROW()-31,1)),BE$3:BE$22),"")</f>
        <v>5</v>
      </c>
      <c r="BF80">
        <f ca="1">IF(AND(((COLUMN()-10)&lt;=playercnt),((ROW()-41)&lt;=playercnt)),SUMPRODUCT(INDIRECT(ADDRESS(3,ROW()-31,1)):INDIRECT(ADDRESS(22,ROW()-31,1)),BF$3:BF$22),"")</f>
        <v>5</v>
      </c>
      <c r="BG80">
        <f ca="1">IF(AND(((COLUMN()-10)&lt;=playercnt),((ROW()-41)&lt;=playercnt)),SUMPRODUCT(INDIRECT(ADDRESS(3,ROW()-31,1)):INDIRECT(ADDRESS(22,ROW()-31,1)),BG$3:BG$22),"")</f>
        <v>6</v>
      </c>
      <c r="BH80">
        <f ca="1">IF(AND(((COLUMN()-10)&lt;=playercnt),((ROW()-41)&lt;=playercnt)),SUMPRODUCT(INDIRECT(ADDRESS(3,ROW()-31,1)):INDIRECT(ADDRESS(22,ROW()-31,1)),BH$3:BH$22),"")</f>
        <v>7</v>
      </c>
      <c r="BI80">
        <f ca="1">IF(AND(((COLUMN()-10)&lt;=playercnt),((ROW()-41)&lt;=playercnt)),SUMPRODUCT(INDIRECT(ADDRESS(3,ROW()-31,1)):INDIRECT(ADDRESS(22,ROW()-31,1)),BI$3:BI$22),"")</f>
        <v>4</v>
      </c>
      <c r="BJ80">
        <f ca="1">IF(AND(((COLUMN()-10)&lt;=playercnt),((ROW()-41)&lt;=playercnt)),SUMPRODUCT(INDIRECT(ADDRESS(3,ROW()-31,1)):INDIRECT(ADDRESS(22,ROW()-31,1)),BJ$3:BJ$22),"")</f>
        <v>4</v>
      </c>
      <c r="BK80">
        <f ca="1">IF(AND(((COLUMN()-10)&lt;=playercnt),((ROW()-41)&lt;=playercnt)),SUMPRODUCT(INDIRECT(ADDRESS(3,ROW()-31,1)):INDIRECT(ADDRESS(22,ROW()-31,1)),BK$3:BK$22),"")</f>
        <v>5</v>
      </c>
      <c r="BL80">
        <f ca="1">IF(AND(((COLUMN()-10)&lt;=playercnt),((ROW()-41)&lt;=playercnt)),SUMPRODUCT(INDIRECT(ADDRESS(3,ROW()-31,1)):INDIRECT(ADDRESS(22,ROW()-31,1)),BL$3:BL$22),"")</f>
        <v>5</v>
      </c>
      <c r="BM80">
        <f ca="1">IF(AND(((COLUMN()-10)&lt;=playercnt),((ROW()-41)&lt;=playercnt)),SUMPRODUCT(INDIRECT(ADDRESS(3,ROW()-31,1)):INDIRECT(ADDRESS(22,ROW()-31,1)),BM$3:BM$22),"")</f>
        <v>5</v>
      </c>
      <c r="BN80">
        <f ca="1">IF(AND(((COLUMN()-10)&lt;=playercnt),((ROW()-41)&lt;=playercnt)),SUMPRODUCT(INDIRECT(ADDRESS(3,ROW()-31,1)):INDIRECT(ADDRESS(22,ROW()-31,1)),BN$3:BN$22),"")</f>
        <v>3</v>
      </c>
    </row>
    <row r="81" spans="2:66">
      <c r="B81" s="27">
        <f t="shared" ca="1" si="23"/>
        <v>5.8</v>
      </c>
      <c r="C81" t="str">
        <f t="shared" ca="1" si="24"/>
        <v>Reams, Byron L</v>
      </c>
      <c r="G81">
        <f ca="1">IF(AND(((COLUMN()-10)&lt;=playercnt),((ROW()-41)&lt;=playercnt)),SUMPRODUCT(INDIRECT(ADDRESS(3,ROW()-31,1)):INDIRECT(ADDRESS(22,ROW()-31,1)),G$3:G$22),"")</f>
        <v>4</v>
      </c>
      <c r="H81">
        <f ca="1">IF(AND(((COLUMN()-10)&lt;=playercnt),((ROW()-41)&lt;=playercnt)),SUMPRODUCT(INDIRECT(ADDRESS(3,ROW()-31,1)):INDIRECT(ADDRESS(22,ROW()-31,1)),H$3:H$22),"")</f>
        <v>5</v>
      </c>
      <c r="I81">
        <f ca="1">IF(AND(((COLUMN()-10)&lt;=playercnt),((ROW()-41)&lt;=playercnt)),SUMPRODUCT(INDIRECT(ADDRESS(3,ROW()-31,1)):INDIRECT(ADDRESS(22,ROW()-31,1)),I$3:I$22),"")</f>
        <v>9</v>
      </c>
      <c r="J81">
        <f ca="1">IF(AND(((COLUMN()-10)&lt;=playercnt),((ROW()-41)&lt;=playercnt)),SUMPRODUCT(INDIRECT(ADDRESS(3,ROW()-31,1)):INDIRECT(ADDRESS(22,ROW()-31,1)),J$3:J$22),"")</f>
        <v>0</v>
      </c>
      <c r="K81">
        <f ca="1">IF(AND(((COLUMN()-10)&lt;=playercnt),((ROW()-41)&lt;=playercnt)),SUMPRODUCT(INDIRECT(ADDRESS(3,ROW()-31,1)):INDIRECT(ADDRESS(22,ROW()-31,1)),K$3:K$22),"")</f>
        <v>6</v>
      </c>
      <c r="L81">
        <f ca="1">IF(AND(((COLUMN()-10)&lt;=playercnt),((ROW()-41)&lt;=playercnt)),SUMPRODUCT(INDIRECT(ADDRESS(3,ROW()-31,1)):INDIRECT(ADDRESS(22,ROW()-31,1)),L$3:L$22),"")</f>
        <v>7</v>
      </c>
      <c r="M81">
        <f ca="1">IF(AND(((COLUMN()-10)&lt;=playercnt),((ROW()-41)&lt;=playercnt)),SUMPRODUCT(INDIRECT(ADDRESS(3,ROW()-31,1)):INDIRECT(ADDRESS(22,ROW()-31,1)),M$3:M$22),"")</f>
        <v>7</v>
      </c>
      <c r="N81">
        <f ca="1">IF(AND(((COLUMN()-10)&lt;=playercnt),((ROW()-41)&lt;=playercnt)),SUMPRODUCT(INDIRECT(ADDRESS(3,ROW()-31,1)):INDIRECT(ADDRESS(22,ROW()-31,1)),N$3:N$22),"")</f>
        <v>5</v>
      </c>
      <c r="O81">
        <f ca="1">IF(AND(((COLUMN()-10)&lt;=playercnt),((ROW()-41)&lt;=playercnt)),SUMPRODUCT(INDIRECT(ADDRESS(3,ROW()-31,1)):INDIRECT(ADDRESS(22,ROW()-31,1)),O$3:O$22),"")</f>
        <v>5</v>
      </c>
      <c r="P81">
        <f ca="1">IF(AND(((COLUMN()-10)&lt;=playercnt),((ROW()-41)&lt;=playercnt)),SUMPRODUCT(INDIRECT(ADDRESS(3,ROW()-31,1)):INDIRECT(ADDRESS(22,ROW()-31,1)),P$3:P$22),"")</f>
        <v>6</v>
      </c>
      <c r="Q81">
        <f ca="1">IF(AND(((COLUMN()-10)&lt;=playercnt),((ROW()-41)&lt;=playercnt)),SUMPRODUCT(INDIRECT(ADDRESS(3,ROW()-31,1)):INDIRECT(ADDRESS(22,ROW()-31,1)),Q$3:Q$22),"")</f>
        <v>6</v>
      </c>
      <c r="R81">
        <f ca="1">IF(AND(((COLUMN()-10)&lt;=playercnt),((ROW()-41)&lt;=playercnt)),SUMPRODUCT(INDIRECT(ADDRESS(3,ROW()-31,1)):INDIRECT(ADDRESS(22,ROW()-31,1)),R$3:R$22),"")</f>
        <v>8</v>
      </c>
      <c r="S81">
        <f ca="1">IF(AND(((COLUMN()-10)&lt;=playercnt),((ROW()-41)&lt;=playercnt)),SUMPRODUCT(INDIRECT(ADDRESS(3,ROW()-31,1)):INDIRECT(ADDRESS(22,ROW()-31,1)),S$3:S$22),"")</f>
        <v>6</v>
      </c>
      <c r="T81">
        <f ca="1">IF(AND(((COLUMN()-10)&lt;=playercnt),((ROW()-41)&lt;=playercnt)),SUMPRODUCT(INDIRECT(ADDRESS(3,ROW()-31,1)):INDIRECT(ADDRESS(22,ROW()-31,1)),T$3:T$22),"")</f>
        <v>6</v>
      </c>
      <c r="U81">
        <f ca="1">IF(AND(((COLUMN()-10)&lt;=playercnt),((ROW()-41)&lt;=playercnt)),SUMPRODUCT(INDIRECT(ADDRESS(3,ROW()-31,1)):INDIRECT(ADDRESS(22,ROW()-31,1)),U$3:U$22),"")</f>
        <v>7</v>
      </c>
      <c r="V81">
        <f ca="1">IF(AND(((COLUMN()-10)&lt;=playercnt),((ROW()-41)&lt;=playercnt)),SUMPRODUCT(INDIRECT(ADDRESS(3,ROW()-31,1)):INDIRECT(ADDRESS(22,ROW()-31,1)),V$3:V$22),"")</f>
        <v>6</v>
      </c>
      <c r="W81">
        <f ca="1">IF(AND(((COLUMN()-10)&lt;=playercnt),((ROW()-41)&lt;=playercnt)),SUMPRODUCT(INDIRECT(ADDRESS(3,ROW()-31,1)):INDIRECT(ADDRESS(22,ROW()-31,1)),W$3:W$22),"")</f>
        <v>6</v>
      </c>
      <c r="X81">
        <f ca="1">IF(AND(((COLUMN()-10)&lt;=playercnt),((ROW()-41)&lt;=playercnt)),SUMPRODUCT(INDIRECT(ADDRESS(3,ROW()-31,1)):INDIRECT(ADDRESS(22,ROW()-31,1)),X$3:X$22),"")</f>
        <v>6</v>
      </c>
      <c r="Y81">
        <f ca="1">IF(AND(((COLUMN()-10)&lt;=playercnt),((ROW()-41)&lt;=playercnt)),SUMPRODUCT(INDIRECT(ADDRESS(3,ROW()-31,1)):INDIRECT(ADDRESS(22,ROW()-31,1)),Y$3:Y$22),"")</f>
        <v>5</v>
      </c>
      <c r="Z81">
        <f ca="1">IF(AND(((COLUMN()-10)&lt;=playercnt),((ROW()-41)&lt;=playercnt)),SUMPRODUCT(INDIRECT(ADDRESS(3,ROW()-31,1)):INDIRECT(ADDRESS(22,ROW()-31,1)),Z$3:Z$22),"")</f>
        <v>3</v>
      </c>
      <c r="AA81">
        <f ca="1">IF(AND(((COLUMN()-10)&lt;=playercnt),((ROW()-41)&lt;=playercnt)),SUMPRODUCT(INDIRECT(ADDRESS(3,ROW()-31,1)):INDIRECT(ADDRESS(22,ROW()-31,1)),AA$3:AA$22),"")</f>
        <v>3</v>
      </c>
      <c r="AB81">
        <f ca="1">IF(AND(((COLUMN()-10)&lt;=playercnt),((ROW()-41)&lt;=playercnt)),SUMPRODUCT(INDIRECT(ADDRESS(3,ROW()-31,1)):INDIRECT(ADDRESS(22,ROW()-31,1)),AB$3:AB$22),"")</f>
        <v>5</v>
      </c>
      <c r="AC81">
        <f ca="1">IF(AND(((COLUMN()-10)&lt;=playercnt),((ROW()-41)&lt;=playercnt)),SUMPRODUCT(INDIRECT(ADDRESS(3,ROW()-31,1)):INDIRECT(ADDRESS(22,ROW()-31,1)),AC$3:AC$22),"")</f>
        <v>6</v>
      </c>
      <c r="AD81">
        <f ca="1">IF(AND(((COLUMN()-10)&lt;=playercnt),((ROW()-41)&lt;=playercnt)),SUMPRODUCT(INDIRECT(ADDRESS(3,ROW()-31,1)):INDIRECT(ADDRESS(22,ROW()-31,1)),AD$3:AD$22),"")</f>
        <v>7</v>
      </c>
      <c r="AE81">
        <f ca="1">IF(AND(((COLUMN()-10)&lt;=playercnt),((ROW()-41)&lt;=playercnt)),SUMPRODUCT(INDIRECT(ADDRESS(3,ROW()-31,1)):INDIRECT(ADDRESS(22,ROW()-31,1)),AE$3:AE$22),"")</f>
        <v>5</v>
      </c>
      <c r="AF81">
        <f ca="1">IF(AND(((COLUMN()-10)&lt;=playercnt),((ROW()-41)&lt;=playercnt)),SUMPRODUCT(INDIRECT(ADDRESS(3,ROW()-31,1)):INDIRECT(ADDRESS(22,ROW()-31,1)),AF$3:AF$22),"")</f>
        <v>3</v>
      </c>
      <c r="AG81">
        <f ca="1">IF(AND(((COLUMN()-10)&lt;=playercnt),((ROW()-41)&lt;=playercnt)),SUMPRODUCT(INDIRECT(ADDRESS(3,ROW()-31,1)):INDIRECT(ADDRESS(22,ROW()-31,1)),AG$3:AG$22),"")</f>
        <v>7</v>
      </c>
      <c r="AH81">
        <f ca="1">IF(AND(((COLUMN()-10)&lt;=playercnt),((ROW()-41)&lt;=playercnt)),SUMPRODUCT(INDIRECT(ADDRESS(3,ROW()-31,1)):INDIRECT(ADDRESS(22,ROW()-31,1)),AH$3:AH$22),"")</f>
        <v>5</v>
      </c>
      <c r="AI81">
        <f ca="1">IF(AND(((COLUMN()-10)&lt;=playercnt),((ROW()-41)&lt;=playercnt)),SUMPRODUCT(INDIRECT(ADDRESS(3,ROW()-31,1)):INDIRECT(ADDRESS(22,ROW()-31,1)),AI$3:AI$22),"")</f>
        <v>4</v>
      </c>
      <c r="AJ81">
        <f ca="1">IF(AND(((COLUMN()-10)&lt;=playercnt),((ROW()-41)&lt;=playercnt)),SUMPRODUCT(INDIRECT(ADDRESS(3,ROW()-31,1)):INDIRECT(ADDRESS(22,ROW()-31,1)),AJ$3:AJ$22),"")</f>
        <v>7</v>
      </c>
      <c r="AK81">
        <f ca="1">IF(AND(((COLUMN()-10)&lt;=playercnt),((ROW()-41)&lt;=playercnt)),SUMPRODUCT(INDIRECT(ADDRESS(3,ROW()-31,1)):INDIRECT(ADDRESS(22,ROW()-31,1)),AK$3:AK$22),"")</f>
        <v>9</v>
      </c>
      <c r="AL81">
        <f ca="1">IF(AND(((COLUMN()-10)&lt;=playercnt),((ROW()-41)&lt;=playercnt)),SUMPRODUCT(INDIRECT(ADDRESS(3,ROW()-31,1)):INDIRECT(ADDRESS(22,ROW()-31,1)),AL$3:AL$22),"")</f>
        <v>7</v>
      </c>
      <c r="AM81">
        <f ca="1">IF(AND(((COLUMN()-10)&lt;=playercnt),((ROW()-41)&lt;=playercnt)),SUMPRODUCT(INDIRECT(ADDRESS(3,ROW()-31,1)):INDIRECT(ADDRESS(22,ROW()-31,1)),AM$3:AM$22),"")</f>
        <v>2</v>
      </c>
      <c r="AN81">
        <f ca="1">IF(AND(((COLUMN()-10)&lt;=playercnt),((ROW()-41)&lt;=playercnt)),SUMPRODUCT(INDIRECT(ADDRESS(3,ROW()-31,1)):INDIRECT(ADDRESS(22,ROW()-31,1)),AN$3:AN$22),"")</f>
        <v>5</v>
      </c>
      <c r="AO81">
        <f ca="1">IF(AND(((COLUMN()-10)&lt;=playercnt),((ROW()-41)&lt;=playercnt)),SUMPRODUCT(INDIRECT(ADDRESS(3,ROW()-31,1)):INDIRECT(ADDRESS(22,ROW()-31,1)),AO$3:AO$22),"")</f>
        <v>5</v>
      </c>
      <c r="AP81">
        <f ca="1">IF(AND(((COLUMN()-10)&lt;=playercnt),((ROW()-41)&lt;=playercnt)),SUMPRODUCT(INDIRECT(ADDRESS(3,ROW()-31,1)):INDIRECT(ADDRESS(22,ROW()-31,1)),AP$3:AP$22),"")</f>
        <v>8</v>
      </c>
      <c r="AQ81">
        <f ca="1">IF(AND(((COLUMN()-10)&lt;=playercnt),((ROW()-41)&lt;=playercnt)),SUMPRODUCT(INDIRECT(ADDRESS(3,ROW()-31,1)):INDIRECT(ADDRESS(22,ROW()-31,1)),AQ$3:AQ$22),"")</f>
        <v>6</v>
      </c>
      <c r="AR81">
        <f ca="1">IF(AND(((COLUMN()-10)&lt;=playercnt),((ROW()-41)&lt;=playercnt)),SUMPRODUCT(INDIRECT(ADDRESS(3,ROW()-31,1)):INDIRECT(ADDRESS(22,ROW()-31,1)),AR$3:AR$22),"")</f>
        <v>5</v>
      </c>
      <c r="AS81">
        <f ca="1">IF(AND(((COLUMN()-10)&lt;=playercnt),((ROW()-41)&lt;=playercnt)),SUMPRODUCT(INDIRECT(ADDRESS(3,ROW()-31,1)):INDIRECT(ADDRESS(22,ROW()-31,1)),AS$3:AS$22),"")</f>
        <v>1</v>
      </c>
      <c r="AT81">
        <f ca="1">IF(AND(((COLUMN()-10)&lt;=playercnt),((ROW()-41)&lt;=playercnt)),SUMPRODUCT(INDIRECT(ADDRESS(3,ROW()-31,1)):INDIRECT(ADDRESS(22,ROW()-31,1)),AT$3:AT$22),"")</f>
        <v>8</v>
      </c>
      <c r="AU81">
        <f ca="1">IF(AND(((COLUMN()-10)&lt;=playercnt),((ROW()-41)&lt;=playercnt)),SUMPRODUCT(INDIRECT(ADDRESS(3,ROW()-31,1)):INDIRECT(ADDRESS(22,ROW()-31,1)),AU$3:AU$22),"")</f>
        <v>6</v>
      </c>
      <c r="AV81">
        <f ca="1">IF(AND(((COLUMN()-10)&lt;=playercnt),((ROW()-41)&lt;=playercnt)),SUMPRODUCT(INDIRECT(ADDRESS(3,ROW()-31,1)):INDIRECT(ADDRESS(22,ROW()-31,1)),AV$3:AV$22),"")</f>
        <v>6</v>
      </c>
      <c r="AW81">
        <f ca="1">IF(AND(((COLUMN()-10)&lt;=playercnt),((ROW()-41)&lt;=playercnt)),SUMPRODUCT(INDIRECT(ADDRESS(3,ROW()-31,1)):INDIRECT(ADDRESS(22,ROW()-31,1)),AW$3:AW$22),"")</f>
        <v>6</v>
      </c>
      <c r="AX81">
        <f ca="1">IF(AND(((COLUMN()-10)&lt;=playercnt),((ROW()-41)&lt;=playercnt)),SUMPRODUCT(INDIRECT(ADDRESS(3,ROW()-31,1)):INDIRECT(ADDRESS(22,ROW()-31,1)),AX$3:AX$22),"")</f>
        <v>10</v>
      </c>
      <c r="AY81">
        <f ca="1">IF(AND(((COLUMN()-10)&lt;=playercnt),((ROW()-41)&lt;=playercnt)),SUMPRODUCT(INDIRECT(ADDRESS(3,ROW()-31,1)):INDIRECT(ADDRESS(22,ROW()-31,1)),AY$3:AY$22),"")</f>
        <v>8</v>
      </c>
      <c r="AZ81">
        <f ca="1">IF(AND(((COLUMN()-10)&lt;=playercnt),((ROW()-41)&lt;=playercnt)),SUMPRODUCT(INDIRECT(ADDRESS(3,ROW()-31,1)):INDIRECT(ADDRESS(22,ROW()-31,1)),AZ$3:AZ$22),"")</f>
        <v>5</v>
      </c>
      <c r="BA81">
        <f ca="1">IF(AND(((COLUMN()-10)&lt;=playercnt),((ROW()-41)&lt;=playercnt)),SUMPRODUCT(INDIRECT(ADDRESS(3,ROW()-31,1)):INDIRECT(ADDRESS(22,ROW()-31,1)),BA$3:BA$22),"")</f>
        <v>8</v>
      </c>
      <c r="BB81">
        <f ca="1">IF(AND(((COLUMN()-10)&lt;=playercnt),((ROW()-41)&lt;=playercnt)),SUMPRODUCT(INDIRECT(ADDRESS(3,ROW()-31,1)):INDIRECT(ADDRESS(22,ROW()-31,1)),BB$3:BB$22),"")</f>
        <v>7</v>
      </c>
      <c r="BC81">
        <f ca="1">IF(AND(((COLUMN()-10)&lt;=playercnt),((ROW()-41)&lt;=playercnt)),SUMPRODUCT(INDIRECT(ADDRESS(3,ROW()-31,1)):INDIRECT(ADDRESS(22,ROW()-31,1)),BC$3:BC$22),"")</f>
        <v>5</v>
      </c>
      <c r="BD81">
        <f ca="1">IF(AND(((COLUMN()-10)&lt;=playercnt),((ROW()-41)&lt;=playercnt)),SUMPRODUCT(INDIRECT(ADDRESS(3,ROW()-31,1)):INDIRECT(ADDRESS(22,ROW()-31,1)),BD$3:BD$22),"")</f>
        <v>6</v>
      </c>
      <c r="BE81">
        <f ca="1">IF(AND(((COLUMN()-10)&lt;=playercnt),((ROW()-41)&lt;=playercnt)),SUMPRODUCT(INDIRECT(ADDRESS(3,ROW()-31,1)):INDIRECT(ADDRESS(22,ROW()-31,1)),BE$3:BE$22),"")</f>
        <v>9</v>
      </c>
      <c r="BF81">
        <f ca="1">IF(AND(((COLUMN()-10)&lt;=playercnt),((ROW()-41)&lt;=playercnt)),SUMPRODUCT(INDIRECT(ADDRESS(3,ROW()-31,1)):INDIRECT(ADDRESS(22,ROW()-31,1)),BF$3:BF$22),"")</f>
        <v>5</v>
      </c>
      <c r="BG81">
        <f ca="1">IF(AND(((COLUMN()-10)&lt;=playercnt),((ROW()-41)&lt;=playercnt)),SUMPRODUCT(INDIRECT(ADDRESS(3,ROW()-31,1)):INDIRECT(ADDRESS(22,ROW()-31,1)),BG$3:BG$22),"")</f>
        <v>4</v>
      </c>
      <c r="BH81">
        <f ca="1">IF(AND(((COLUMN()-10)&lt;=playercnt),((ROW()-41)&lt;=playercnt)),SUMPRODUCT(INDIRECT(ADDRESS(3,ROW()-31,1)):INDIRECT(ADDRESS(22,ROW()-31,1)),BH$3:BH$22),"")</f>
        <v>5</v>
      </c>
      <c r="BI81">
        <f ca="1">IF(AND(((COLUMN()-10)&lt;=playercnt),((ROW()-41)&lt;=playercnt)),SUMPRODUCT(INDIRECT(ADDRESS(3,ROW()-31,1)):INDIRECT(ADDRESS(22,ROW()-31,1)),BI$3:BI$22),"")</f>
        <v>6</v>
      </c>
      <c r="BJ81">
        <f ca="1">IF(AND(((COLUMN()-10)&lt;=playercnt),((ROW()-41)&lt;=playercnt)),SUMPRODUCT(INDIRECT(ADDRESS(3,ROW()-31,1)):INDIRECT(ADDRESS(22,ROW()-31,1)),BJ$3:BJ$22),"")</f>
        <v>6</v>
      </c>
      <c r="BK81">
        <f ca="1">IF(AND(((COLUMN()-10)&lt;=playercnt),((ROW()-41)&lt;=playercnt)),SUMPRODUCT(INDIRECT(ADDRESS(3,ROW()-31,1)):INDIRECT(ADDRESS(22,ROW()-31,1)),BK$3:BK$22),"")</f>
        <v>7</v>
      </c>
      <c r="BL81">
        <f ca="1">IF(AND(((COLUMN()-10)&lt;=playercnt),((ROW()-41)&lt;=playercnt)),SUMPRODUCT(INDIRECT(ADDRESS(3,ROW()-31,1)):INDIRECT(ADDRESS(22,ROW()-31,1)),BL$3:BL$22),"")</f>
        <v>7</v>
      </c>
      <c r="BM81">
        <f ca="1">IF(AND(((COLUMN()-10)&lt;=playercnt),((ROW()-41)&lt;=playercnt)),SUMPRODUCT(INDIRECT(ADDRESS(3,ROW()-31,1)):INDIRECT(ADDRESS(22,ROW()-31,1)),BM$3:BM$22),"")</f>
        <v>5</v>
      </c>
      <c r="BN81">
        <f ca="1">IF(AND(((COLUMN()-10)&lt;=playercnt),((ROW()-41)&lt;=playercnt)),SUMPRODUCT(INDIRECT(ADDRESS(3,ROW()-31,1)):INDIRECT(ADDRESS(22,ROW()-31,1)),BN$3:BN$22),"")</f>
        <v>5</v>
      </c>
    </row>
    <row r="82" spans="2:66">
      <c r="B82" s="27">
        <f t="shared" ca="1" si="23"/>
        <v>5.9818181818181815</v>
      </c>
      <c r="C82" t="str">
        <f t="shared" ca="1" si="24"/>
        <v>Robbins, Dale</v>
      </c>
      <c r="G82">
        <f ca="1">IF(AND(((COLUMN()-10)&lt;=playercnt),((ROW()-41)&lt;=playercnt)),SUMPRODUCT(INDIRECT(ADDRESS(3,ROW()-31,1)):INDIRECT(ADDRESS(22,ROW()-31,1)),G$3:G$22),"")</f>
        <v>6</v>
      </c>
      <c r="H82">
        <f ca="1">IF(AND(((COLUMN()-10)&lt;=playercnt),((ROW()-41)&lt;=playercnt)),SUMPRODUCT(INDIRECT(ADDRESS(3,ROW()-31,1)):INDIRECT(ADDRESS(22,ROW()-31,1)),H$3:H$22),"")</f>
        <v>7</v>
      </c>
      <c r="I82">
        <f ca="1">IF(AND(((COLUMN()-10)&lt;=playercnt),((ROW()-41)&lt;=playercnt)),SUMPRODUCT(INDIRECT(ADDRESS(3,ROW()-31,1)):INDIRECT(ADDRESS(22,ROW()-31,1)),I$3:I$22),"")</f>
        <v>9</v>
      </c>
      <c r="J82">
        <f ca="1">IF(AND(((COLUMN()-10)&lt;=playercnt),((ROW()-41)&lt;=playercnt)),SUMPRODUCT(INDIRECT(ADDRESS(3,ROW()-31,1)):INDIRECT(ADDRESS(22,ROW()-31,1)),J$3:J$22),"")</f>
        <v>0</v>
      </c>
      <c r="K82">
        <f ca="1">IF(AND(((COLUMN()-10)&lt;=playercnt),((ROW()-41)&lt;=playercnt)),SUMPRODUCT(INDIRECT(ADDRESS(3,ROW()-31,1)):INDIRECT(ADDRESS(22,ROW()-31,1)),K$3:K$22),"")</f>
        <v>6</v>
      </c>
      <c r="L82">
        <f ca="1">IF(AND(((COLUMN()-10)&lt;=playercnt),((ROW()-41)&lt;=playercnt)),SUMPRODUCT(INDIRECT(ADDRESS(3,ROW()-31,1)):INDIRECT(ADDRESS(22,ROW()-31,1)),L$3:L$22),"")</f>
        <v>9</v>
      </c>
      <c r="M82">
        <f ca="1">IF(AND(((COLUMN()-10)&lt;=playercnt),((ROW()-41)&lt;=playercnt)),SUMPRODUCT(INDIRECT(ADDRESS(3,ROW()-31,1)):INDIRECT(ADDRESS(22,ROW()-31,1)),M$3:M$22),"")</f>
        <v>7</v>
      </c>
      <c r="N82">
        <f ca="1">IF(AND(((COLUMN()-10)&lt;=playercnt),((ROW()-41)&lt;=playercnt)),SUMPRODUCT(INDIRECT(ADDRESS(3,ROW()-31,1)):INDIRECT(ADDRESS(22,ROW()-31,1)),N$3:N$22),"")</f>
        <v>5</v>
      </c>
      <c r="O82">
        <f ca="1">IF(AND(((COLUMN()-10)&lt;=playercnt),((ROW()-41)&lt;=playercnt)),SUMPRODUCT(INDIRECT(ADDRESS(3,ROW()-31,1)):INDIRECT(ADDRESS(22,ROW()-31,1)),O$3:O$22),"")</f>
        <v>7</v>
      </c>
      <c r="P82">
        <f ca="1">IF(AND(((COLUMN()-10)&lt;=playercnt),((ROW()-41)&lt;=playercnt)),SUMPRODUCT(INDIRECT(ADDRESS(3,ROW()-31,1)):INDIRECT(ADDRESS(22,ROW()-31,1)),P$3:P$22),"")</f>
        <v>6</v>
      </c>
      <c r="Q82">
        <f ca="1">IF(AND(((COLUMN()-10)&lt;=playercnt),((ROW()-41)&lt;=playercnt)),SUMPRODUCT(INDIRECT(ADDRESS(3,ROW()-31,1)):INDIRECT(ADDRESS(22,ROW()-31,1)),Q$3:Q$22),"")</f>
        <v>6</v>
      </c>
      <c r="R82">
        <f ca="1">IF(AND(((COLUMN()-10)&lt;=playercnt),((ROW()-41)&lt;=playercnt)),SUMPRODUCT(INDIRECT(ADDRESS(3,ROW()-31,1)):INDIRECT(ADDRESS(22,ROW()-31,1)),R$3:R$22),"")</f>
        <v>8</v>
      </c>
      <c r="S82">
        <f ca="1">IF(AND(((COLUMN()-10)&lt;=playercnt),((ROW()-41)&lt;=playercnt)),SUMPRODUCT(INDIRECT(ADDRESS(3,ROW()-31,1)):INDIRECT(ADDRESS(22,ROW()-31,1)),S$3:S$22),"")</f>
        <v>4</v>
      </c>
      <c r="T82">
        <f ca="1">IF(AND(((COLUMN()-10)&lt;=playercnt),((ROW()-41)&lt;=playercnt)),SUMPRODUCT(INDIRECT(ADDRESS(3,ROW()-31,1)):INDIRECT(ADDRESS(22,ROW()-31,1)),T$3:T$22),"")</f>
        <v>4</v>
      </c>
      <c r="U82">
        <f ca="1">IF(AND(((COLUMN()-10)&lt;=playercnt),((ROW()-41)&lt;=playercnt)),SUMPRODUCT(INDIRECT(ADDRESS(3,ROW()-31,1)):INDIRECT(ADDRESS(22,ROW()-31,1)),U$3:U$22),"")</f>
        <v>7</v>
      </c>
      <c r="V82">
        <f ca="1">IF(AND(((COLUMN()-10)&lt;=playercnt),((ROW()-41)&lt;=playercnt)),SUMPRODUCT(INDIRECT(ADDRESS(3,ROW()-31,1)):INDIRECT(ADDRESS(22,ROW()-31,1)),V$3:V$22),"")</f>
        <v>8</v>
      </c>
      <c r="W82">
        <f ca="1">IF(AND(((COLUMN()-10)&lt;=playercnt),((ROW()-41)&lt;=playercnt)),SUMPRODUCT(INDIRECT(ADDRESS(3,ROW()-31,1)):INDIRECT(ADDRESS(22,ROW()-31,1)),W$3:W$22),"")</f>
        <v>8</v>
      </c>
      <c r="X82">
        <f ca="1">IF(AND(((COLUMN()-10)&lt;=playercnt),((ROW()-41)&lt;=playercnt)),SUMPRODUCT(INDIRECT(ADDRESS(3,ROW()-31,1)):INDIRECT(ADDRESS(22,ROW()-31,1)),X$3:X$22),"")</f>
        <v>6</v>
      </c>
      <c r="Y82">
        <f ca="1">IF(AND(((COLUMN()-10)&lt;=playercnt),((ROW()-41)&lt;=playercnt)),SUMPRODUCT(INDIRECT(ADDRESS(3,ROW()-31,1)):INDIRECT(ADDRESS(22,ROW()-31,1)),Y$3:Y$22),"")</f>
        <v>7</v>
      </c>
      <c r="Z82">
        <f ca="1">IF(AND(((COLUMN()-10)&lt;=playercnt),((ROW()-41)&lt;=playercnt)),SUMPRODUCT(INDIRECT(ADDRESS(3,ROW()-31,1)):INDIRECT(ADDRESS(22,ROW()-31,1)),Z$3:Z$22),"")</f>
        <v>3</v>
      </c>
      <c r="AA82">
        <f ca="1">IF(AND(((COLUMN()-10)&lt;=playercnt),((ROW()-41)&lt;=playercnt)),SUMPRODUCT(INDIRECT(ADDRESS(3,ROW()-31,1)):INDIRECT(ADDRESS(22,ROW()-31,1)),AA$3:AA$22),"")</f>
        <v>3</v>
      </c>
      <c r="AB82">
        <f ca="1">IF(AND(((COLUMN()-10)&lt;=playercnt),((ROW()-41)&lt;=playercnt)),SUMPRODUCT(INDIRECT(ADDRESS(3,ROW()-31,1)):INDIRECT(ADDRESS(22,ROW()-31,1)),AB$3:AB$22),"")</f>
        <v>5</v>
      </c>
      <c r="AC82">
        <f ca="1">IF(AND(((COLUMN()-10)&lt;=playercnt),((ROW()-41)&lt;=playercnt)),SUMPRODUCT(INDIRECT(ADDRESS(3,ROW()-31,1)):INDIRECT(ADDRESS(22,ROW()-31,1)),AC$3:AC$22),"")</f>
        <v>6</v>
      </c>
      <c r="AD82">
        <f ca="1">IF(AND(((COLUMN()-10)&lt;=playercnt),((ROW()-41)&lt;=playercnt)),SUMPRODUCT(INDIRECT(ADDRESS(3,ROW()-31,1)):INDIRECT(ADDRESS(22,ROW()-31,1)),AD$3:AD$22),"")</f>
        <v>7</v>
      </c>
      <c r="AE82">
        <f ca="1">IF(AND(((COLUMN()-10)&lt;=playercnt),((ROW()-41)&lt;=playercnt)),SUMPRODUCT(INDIRECT(ADDRESS(3,ROW()-31,1)):INDIRECT(ADDRESS(22,ROW()-31,1)),AE$3:AE$22),"")</f>
        <v>7</v>
      </c>
      <c r="AF82">
        <f ca="1">IF(AND(((COLUMN()-10)&lt;=playercnt),((ROW()-41)&lt;=playercnt)),SUMPRODUCT(INDIRECT(ADDRESS(3,ROW()-31,1)):INDIRECT(ADDRESS(22,ROW()-31,1)),AF$3:AF$22),"")</f>
        <v>5</v>
      </c>
      <c r="AG82">
        <f ca="1">IF(AND(((COLUMN()-10)&lt;=playercnt),((ROW()-41)&lt;=playercnt)),SUMPRODUCT(INDIRECT(ADDRESS(3,ROW()-31,1)):INDIRECT(ADDRESS(22,ROW()-31,1)),AG$3:AG$22),"")</f>
        <v>7</v>
      </c>
      <c r="AH82">
        <f ca="1">IF(AND(((COLUMN()-10)&lt;=playercnt),((ROW()-41)&lt;=playercnt)),SUMPRODUCT(INDIRECT(ADDRESS(3,ROW()-31,1)):INDIRECT(ADDRESS(22,ROW()-31,1)),AH$3:AH$22),"")</f>
        <v>7</v>
      </c>
      <c r="AI82">
        <f ca="1">IF(AND(((COLUMN()-10)&lt;=playercnt),((ROW()-41)&lt;=playercnt)),SUMPRODUCT(INDIRECT(ADDRESS(3,ROW()-31,1)):INDIRECT(ADDRESS(22,ROW()-31,1)),AI$3:AI$22),"")</f>
        <v>6</v>
      </c>
      <c r="AJ82">
        <f ca="1">IF(AND(((COLUMN()-10)&lt;=playercnt),((ROW()-41)&lt;=playercnt)),SUMPRODUCT(INDIRECT(ADDRESS(3,ROW()-31,1)):INDIRECT(ADDRESS(22,ROW()-31,1)),AJ$3:AJ$22),"")</f>
        <v>7</v>
      </c>
      <c r="AK82">
        <f ca="1">IF(AND(((COLUMN()-10)&lt;=playercnt),((ROW()-41)&lt;=playercnt)),SUMPRODUCT(INDIRECT(ADDRESS(3,ROW()-31,1)):INDIRECT(ADDRESS(22,ROW()-31,1)),AK$3:AK$22),"")</f>
        <v>7</v>
      </c>
      <c r="AL82">
        <f ca="1">IF(AND(((COLUMN()-10)&lt;=playercnt),((ROW()-41)&lt;=playercnt)),SUMPRODUCT(INDIRECT(ADDRESS(3,ROW()-31,1)):INDIRECT(ADDRESS(22,ROW()-31,1)),AL$3:AL$22),"")</f>
        <v>7</v>
      </c>
      <c r="AM82">
        <f ca="1">IF(AND(((COLUMN()-10)&lt;=playercnt),((ROW()-41)&lt;=playercnt)),SUMPRODUCT(INDIRECT(ADDRESS(3,ROW()-31,1)):INDIRECT(ADDRESS(22,ROW()-31,1)),AM$3:AM$22),"")</f>
        <v>4</v>
      </c>
      <c r="AN82">
        <f ca="1">IF(AND(((COLUMN()-10)&lt;=playercnt),((ROW()-41)&lt;=playercnt)),SUMPRODUCT(INDIRECT(ADDRESS(3,ROW()-31,1)):INDIRECT(ADDRESS(22,ROW()-31,1)),AN$3:AN$22),"")</f>
        <v>7</v>
      </c>
      <c r="AO82">
        <f ca="1">IF(AND(((COLUMN()-10)&lt;=playercnt),((ROW()-41)&lt;=playercnt)),SUMPRODUCT(INDIRECT(ADDRESS(3,ROW()-31,1)):INDIRECT(ADDRESS(22,ROW()-31,1)),AO$3:AO$22),"")</f>
        <v>5</v>
      </c>
      <c r="AP82">
        <f ca="1">IF(AND(((COLUMN()-10)&lt;=playercnt),((ROW()-41)&lt;=playercnt)),SUMPRODUCT(INDIRECT(ADDRESS(3,ROW()-31,1)):INDIRECT(ADDRESS(22,ROW()-31,1)),AP$3:AP$22),"")</f>
        <v>6</v>
      </c>
      <c r="AQ82">
        <f ca="1">IF(AND(((COLUMN()-10)&lt;=playercnt),((ROW()-41)&lt;=playercnt)),SUMPRODUCT(INDIRECT(ADDRESS(3,ROW()-31,1)):INDIRECT(ADDRESS(22,ROW()-31,1)),AQ$3:AQ$22),"")</f>
        <v>6</v>
      </c>
      <c r="AR82">
        <f ca="1">IF(AND(((COLUMN()-10)&lt;=playercnt),((ROW()-41)&lt;=playercnt)),SUMPRODUCT(INDIRECT(ADDRESS(3,ROW()-31,1)):INDIRECT(ADDRESS(22,ROW()-31,1)),AR$3:AR$22),"")</f>
        <v>7</v>
      </c>
      <c r="AS82">
        <f ca="1">IF(AND(((COLUMN()-10)&lt;=playercnt),((ROW()-41)&lt;=playercnt)),SUMPRODUCT(INDIRECT(ADDRESS(3,ROW()-31,1)):INDIRECT(ADDRESS(22,ROW()-31,1)),AS$3:AS$22),"")</f>
        <v>3</v>
      </c>
      <c r="AT82">
        <f ca="1">IF(AND(((COLUMN()-10)&lt;=playercnt),((ROW()-41)&lt;=playercnt)),SUMPRODUCT(INDIRECT(ADDRESS(3,ROW()-31,1)):INDIRECT(ADDRESS(22,ROW()-31,1)),AT$3:AT$22),"")</f>
        <v>6</v>
      </c>
      <c r="AU82">
        <f ca="1">IF(AND(((COLUMN()-10)&lt;=playercnt),((ROW()-41)&lt;=playercnt)),SUMPRODUCT(INDIRECT(ADDRESS(3,ROW()-31,1)):INDIRECT(ADDRESS(22,ROW()-31,1)),AU$3:AU$22),"")</f>
        <v>8</v>
      </c>
      <c r="AV82">
        <f ca="1">IF(AND(((COLUMN()-10)&lt;=playercnt),((ROW()-41)&lt;=playercnt)),SUMPRODUCT(INDIRECT(ADDRESS(3,ROW()-31,1)):INDIRECT(ADDRESS(22,ROW()-31,1)),AV$3:AV$22),"")</f>
        <v>6</v>
      </c>
      <c r="AW82">
        <f ca="1">IF(AND(((COLUMN()-10)&lt;=playercnt),((ROW()-41)&lt;=playercnt)),SUMPRODUCT(INDIRECT(ADDRESS(3,ROW()-31,1)):INDIRECT(ADDRESS(22,ROW()-31,1)),AW$3:AW$22),"")</f>
        <v>6</v>
      </c>
      <c r="AX82">
        <f ca="1">IF(AND(((COLUMN()-10)&lt;=playercnt),((ROW()-41)&lt;=playercnt)),SUMPRODUCT(INDIRECT(ADDRESS(3,ROW()-31,1)):INDIRECT(ADDRESS(22,ROW()-31,1)),AX$3:AX$22),"")</f>
        <v>8</v>
      </c>
      <c r="AY82">
        <f ca="1">IF(AND(((COLUMN()-10)&lt;=playercnt),((ROW()-41)&lt;=playercnt)),SUMPRODUCT(INDIRECT(ADDRESS(3,ROW()-31,1)):INDIRECT(ADDRESS(22,ROW()-31,1)),AY$3:AY$22),"")</f>
        <v>10</v>
      </c>
      <c r="AZ82">
        <f ca="1">IF(AND(((COLUMN()-10)&lt;=playercnt),((ROW()-41)&lt;=playercnt)),SUMPRODUCT(INDIRECT(ADDRESS(3,ROW()-31,1)):INDIRECT(ADDRESS(22,ROW()-31,1)),AZ$3:AZ$22),"")</f>
        <v>7</v>
      </c>
      <c r="BA82">
        <f ca="1">IF(AND(((COLUMN()-10)&lt;=playercnt),((ROW()-41)&lt;=playercnt)),SUMPRODUCT(INDIRECT(ADDRESS(3,ROW()-31,1)):INDIRECT(ADDRESS(22,ROW()-31,1)),BA$3:BA$22),"")</f>
        <v>6</v>
      </c>
      <c r="BB82">
        <f ca="1">IF(AND(((COLUMN()-10)&lt;=playercnt),((ROW()-41)&lt;=playercnt)),SUMPRODUCT(INDIRECT(ADDRESS(3,ROW()-31,1)):INDIRECT(ADDRESS(22,ROW()-31,1)),BB$3:BB$22),"")</f>
        <v>5</v>
      </c>
      <c r="BC82">
        <f ca="1">IF(AND(((COLUMN()-10)&lt;=playercnt),((ROW()-41)&lt;=playercnt)),SUMPRODUCT(INDIRECT(ADDRESS(3,ROW()-31,1)):INDIRECT(ADDRESS(22,ROW()-31,1)),BC$3:BC$22),"")</f>
        <v>3</v>
      </c>
      <c r="BD82">
        <f ca="1">IF(AND(((COLUMN()-10)&lt;=playercnt),((ROW()-41)&lt;=playercnt)),SUMPRODUCT(INDIRECT(ADDRESS(3,ROW()-31,1)):INDIRECT(ADDRESS(22,ROW()-31,1)),BD$3:BD$22),"")</f>
        <v>6</v>
      </c>
      <c r="BE82">
        <f ca="1">IF(AND(((COLUMN()-10)&lt;=playercnt),((ROW()-41)&lt;=playercnt)),SUMPRODUCT(INDIRECT(ADDRESS(3,ROW()-31,1)):INDIRECT(ADDRESS(22,ROW()-31,1)),BE$3:BE$22),"")</f>
        <v>7</v>
      </c>
      <c r="BF82">
        <f ca="1">IF(AND(((COLUMN()-10)&lt;=playercnt),((ROW()-41)&lt;=playercnt)),SUMPRODUCT(INDIRECT(ADDRESS(3,ROW()-31,1)):INDIRECT(ADDRESS(22,ROW()-31,1)),BF$3:BF$22),"")</f>
        <v>5</v>
      </c>
      <c r="BG82">
        <f ca="1">IF(AND(((COLUMN()-10)&lt;=playercnt),((ROW()-41)&lt;=playercnt)),SUMPRODUCT(INDIRECT(ADDRESS(3,ROW()-31,1)):INDIRECT(ADDRESS(22,ROW()-31,1)),BG$3:BG$22),"")</f>
        <v>4</v>
      </c>
      <c r="BH82">
        <f ca="1">IF(AND(((COLUMN()-10)&lt;=playercnt),((ROW()-41)&lt;=playercnt)),SUMPRODUCT(INDIRECT(ADDRESS(3,ROW()-31,1)):INDIRECT(ADDRESS(22,ROW()-31,1)),BH$3:BH$22),"")</f>
        <v>5</v>
      </c>
      <c r="BI82">
        <f ca="1">IF(AND(((COLUMN()-10)&lt;=playercnt),((ROW()-41)&lt;=playercnt)),SUMPRODUCT(INDIRECT(ADDRESS(3,ROW()-31,1)):INDIRECT(ADDRESS(22,ROW()-31,1)),BI$3:BI$22),"")</f>
        <v>6</v>
      </c>
      <c r="BJ82">
        <f ca="1">IF(AND(((COLUMN()-10)&lt;=playercnt),((ROW()-41)&lt;=playercnt)),SUMPRODUCT(INDIRECT(ADDRESS(3,ROW()-31,1)):INDIRECT(ADDRESS(22,ROW()-31,1)),BJ$3:BJ$22),"")</f>
        <v>6</v>
      </c>
      <c r="BK82">
        <f ca="1">IF(AND(((COLUMN()-10)&lt;=playercnt),((ROW()-41)&lt;=playercnt)),SUMPRODUCT(INDIRECT(ADDRESS(3,ROW()-31,1)):INDIRECT(ADDRESS(22,ROW()-31,1)),BK$3:BK$22),"")</f>
        <v>5</v>
      </c>
      <c r="BL82">
        <f ca="1">IF(AND(((COLUMN()-10)&lt;=playercnt),((ROW()-41)&lt;=playercnt)),SUMPRODUCT(INDIRECT(ADDRESS(3,ROW()-31,1)):INDIRECT(ADDRESS(22,ROW()-31,1)),BL$3:BL$22),"")</f>
        <v>9</v>
      </c>
      <c r="BM82">
        <f ca="1">IF(AND(((COLUMN()-10)&lt;=playercnt),((ROW()-41)&lt;=playercnt)),SUMPRODUCT(INDIRECT(ADDRESS(3,ROW()-31,1)):INDIRECT(ADDRESS(22,ROW()-31,1)),BM$3:BM$22),"")</f>
        <v>5</v>
      </c>
      <c r="BN82">
        <f ca="1">IF(AND(((COLUMN()-10)&lt;=playercnt),((ROW()-41)&lt;=playercnt)),SUMPRODUCT(INDIRECT(ADDRESS(3,ROW()-31,1)):INDIRECT(ADDRESS(22,ROW()-31,1)),BN$3:BN$22),"")</f>
        <v>3</v>
      </c>
    </row>
    <row r="83" spans="2:66">
      <c r="B83" s="27">
        <f t="shared" ca="1" si="23"/>
        <v>5.1818181818181817</v>
      </c>
      <c r="C83" t="str">
        <f t="shared" ca="1" si="24"/>
        <v>Robbins, Thomas D</v>
      </c>
      <c r="G83">
        <f ca="1">IF(AND(((COLUMN()-10)&lt;=playercnt),((ROW()-41)&lt;=playercnt)),SUMPRODUCT(INDIRECT(ADDRESS(3,ROW()-31,1)):INDIRECT(ADDRESS(22,ROW()-31,1)),G$3:G$22),"")</f>
        <v>9</v>
      </c>
      <c r="H83">
        <f ca="1">IF(AND(((COLUMN()-10)&lt;=playercnt),((ROW()-41)&lt;=playercnt)),SUMPRODUCT(INDIRECT(ADDRESS(3,ROW()-31,1)):INDIRECT(ADDRESS(22,ROW()-31,1)),H$3:H$22),"")</f>
        <v>4</v>
      </c>
      <c r="I83">
        <f ca="1">IF(AND(((COLUMN()-10)&lt;=playercnt),((ROW()-41)&lt;=playercnt)),SUMPRODUCT(INDIRECT(ADDRESS(3,ROW()-31,1)):INDIRECT(ADDRESS(22,ROW()-31,1)),I$3:I$22),"")</f>
        <v>6</v>
      </c>
      <c r="J83">
        <f ca="1">IF(AND(((COLUMN()-10)&lt;=playercnt),((ROW()-41)&lt;=playercnt)),SUMPRODUCT(INDIRECT(ADDRESS(3,ROW()-31,1)):INDIRECT(ADDRESS(22,ROW()-31,1)),J$3:J$22),"")</f>
        <v>0</v>
      </c>
      <c r="K83">
        <f ca="1">IF(AND(((COLUMN()-10)&lt;=playercnt),((ROW()-41)&lt;=playercnt)),SUMPRODUCT(INDIRECT(ADDRESS(3,ROW()-31,1)):INDIRECT(ADDRESS(22,ROW()-31,1)),K$3:K$22),"")</f>
        <v>7</v>
      </c>
      <c r="L83">
        <f ca="1">IF(AND(((COLUMN()-10)&lt;=playercnt),((ROW()-41)&lt;=playercnt)),SUMPRODUCT(INDIRECT(ADDRESS(3,ROW()-31,1)):INDIRECT(ADDRESS(22,ROW()-31,1)),L$3:L$22),"")</f>
        <v>6</v>
      </c>
      <c r="M83">
        <f ca="1">IF(AND(((COLUMN()-10)&lt;=playercnt),((ROW()-41)&lt;=playercnt)),SUMPRODUCT(INDIRECT(ADDRESS(3,ROW()-31,1)):INDIRECT(ADDRESS(22,ROW()-31,1)),M$3:M$22),"")</f>
        <v>8</v>
      </c>
      <c r="N83">
        <f ca="1">IF(AND(((COLUMN()-10)&lt;=playercnt),((ROW()-41)&lt;=playercnt)),SUMPRODUCT(INDIRECT(ADDRESS(3,ROW()-31,1)):INDIRECT(ADDRESS(22,ROW()-31,1)),N$3:N$22),"")</f>
        <v>4</v>
      </c>
      <c r="O83">
        <f ca="1">IF(AND(((COLUMN()-10)&lt;=playercnt),((ROW()-41)&lt;=playercnt)),SUMPRODUCT(INDIRECT(ADDRESS(3,ROW()-31,1)):INDIRECT(ADDRESS(22,ROW()-31,1)),O$3:O$22),"")</f>
        <v>8</v>
      </c>
      <c r="P83">
        <f ca="1">IF(AND(((COLUMN()-10)&lt;=playercnt),((ROW()-41)&lt;=playercnt)),SUMPRODUCT(INDIRECT(ADDRESS(3,ROW()-31,1)):INDIRECT(ADDRESS(22,ROW()-31,1)),P$3:P$22),"")</f>
        <v>5</v>
      </c>
      <c r="Q83">
        <f ca="1">IF(AND(((COLUMN()-10)&lt;=playercnt),((ROW()-41)&lt;=playercnt)),SUMPRODUCT(INDIRECT(ADDRESS(3,ROW()-31,1)):INDIRECT(ADDRESS(22,ROW()-31,1)),Q$3:Q$22),"")</f>
        <v>7</v>
      </c>
      <c r="R83">
        <f ca="1">IF(AND(((COLUMN()-10)&lt;=playercnt),((ROW()-41)&lt;=playercnt)),SUMPRODUCT(INDIRECT(ADDRESS(3,ROW()-31,1)):INDIRECT(ADDRESS(22,ROW()-31,1)),R$3:R$22),"")</f>
        <v>7</v>
      </c>
      <c r="S83">
        <f ca="1">IF(AND(((COLUMN()-10)&lt;=playercnt),((ROW()-41)&lt;=playercnt)),SUMPRODUCT(INDIRECT(ADDRESS(3,ROW()-31,1)):INDIRECT(ADDRESS(22,ROW()-31,1)),S$3:S$22),"")</f>
        <v>3</v>
      </c>
      <c r="T83">
        <f ca="1">IF(AND(((COLUMN()-10)&lt;=playercnt),((ROW()-41)&lt;=playercnt)),SUMPRODUCT(INDIRECT(ADDRESS(3,ROW()-31,1)):INDIRECT(ADDRESS(22,ROW()-31,1)),T$3:T$22),"")</f>
        <v>5</v>
      </c>
      <c r="U83">
        <f ca="1">IF(AND(((COLUMN()-10)&lt;=playercnt),((ROW()-41)&lt;=playercnt)),SUMPRODUCT(INDIRECT(ADDRESS(3,ROW()-31,1)):INDIRECT(ADDRESS(22,ROW()-31,1)),U$3:U$22),"")</f>
        <v>4</v>
      </c>
      <c r="V83">
        <f ca="1">IF(AND(((COLUMN()-10)&lt;=playercnt),((ROW()-41)&lt;=playercnt)),SUMPRODUCT(INDIRECT(ADDRESS(3,ROW()-31,1)):INDIRECT(ADDRESS(22,ROW()-31,1)),V$3:V$22),"")</f>
        <v>7</v>
      </c>
      <c r="W83">
        <f ca="1">IF(AND(((COLUMN()-10)&lt;=playercnt),((ROW()-41)&lt;=playercnt)),SUMPRODUCT(INDIRECT(ADDRESS(3,ROW()-31,1)):INDIRECT(ADDRESS(22,ROW()-31,1)),W$3:W$22),"")</f>
        <v>7</v>
      </c>
      <c r="X83">
        <f ca="1">IF(AND(((COLUMN()-10)&lt;=playercnt),((ROW()-41)&lt;=playercnt)),SUMPRODUCT(INDIRECT(ADDRESS(3,ROW()-31,1)):INDIRECT(ADDRESS(22,ROW()-31,1)),X$3:X$22),"")</f>
        <v>7</v>
      </c>
      <c r="Y83">
        <f ca="1">IF(AND(((COLUMN()-10)&lt;=playercnt),((ROW()-41)&lt;=playercnt)),SUMPRODUCT(INDIRECT(ADDRESS(3,ROW()-31,1)):INDIRECT(ADDRESS(22,ROW()-31,1)),Y$3:Y$22),"")</f>
        <v>6</v>
      </c>
      <c r="Z83">
        <f ca="1">IF(AND(((COLUMN()-10)&lt;=playercnt),((ROW()-41)&lt;=playercnt)),SUMPRODUCT(INDIRECT(ADDRESS(3,ROW()-31,1)):INDIRECT(ADDRESS(22,ROW()-31,1)),Z$3:Z$22),"")</f>
        <v>4</v>
      </c>
      <c r="AA83">
        <f ca="1">IF(AND(((COLUMN()-10)&lt;=playercnt),((ROW()-41)&lt;=playercnt)),SUMPRODUCT(INDIRECT(ADDRESS(3,ROW()-31,1)):INDIRECT(ADDRESS(22,ROW()-31,1)),AA$3:AA$22),"")</f>
        <v>4</v>
      </c>
      <c r="AB83">
        <f ca="1">IF(AND(((COLUMN()-10)&lt;=playercnt),((ROW()-41)&lt;=playercnt)),SUMPRODUCT(INDIRECT(ADDRESS(3,ROW()-31,1)):INDIRECT(ADDRESS(22,ROW()-31,1)),AB$3:AB$22),"")</f>
        <v>4</v>
      </c>
      <c r="AC83">
        <f ca="1">IF(AND(((COLUMN()-10)&lt;=playercnt),((ROW()-41)&lt;=playercnt)),SUMPRODUCT(INDIRECT(ADDRESS(3,ROW()-31,1)):INDIRECT(ADDRESS(22,ROW()-31,1)),AC$3:AC$22),"")</f>
        <v>5</v>
      </c>
      <c r="AD83">
        <f ca="1">IF(AND(((COLUMN()-10)&lt;=playercnt),((ROW()-41)&lt;=playercnt)),SUMPRODUCT(INDIRECT(ADDRESS(3,ROW()-31,1)):INDIRECT(ADDRESS(22,ROW()-31,1)),AD$3:AD$22),"")</f>
        <v>8</v>
      </c>
      <c r="AE83">
        <f ca="1">IF(AND(((COLUMN()-10)&lt;=playercnt),((ROW()-41)&lt;=playercnt)),SUMPRODUCT(INDIRECT(ADDRESS(3,ROW()-31,1)):INDIRECT(ADDRESS(22,ROW()-31,1)),AE$3:AE$22),"")</f>
        <v>4</v>
      </c>
      <c r="AF83">
        <f ca="1">IF(AND(((COLUMN()-10)&lt;=playercnt),((ROW()-41)&lt;=playercnt)),SUMPRODUCT(INDIRECT(ADDRESS(3,ROW()-31,1)):INDIRECT(ADDRESS(22,ROW()-31,1)),AF$3:AF$22),"")</f>
        <v>6</v>
      </c>
      <c r="AG83">
        <f ca="1">IF(AND(((COLUMN()-10)&lt;=playercnt),((ROW()-41)&lt;=playercnt)),SUMPRODUCT(INDIRECT(ADDRESS(3,ROW()-31,1)):INDIRECT(ADDRESS(22,ROW()-31,1)),AG$3:AG$22),"")</f>
        <v>4</v>
      </c>
      <c r="AH83">
        <f ca="1">IF(AND(((COLUMN()-10)&lt;=playercnt),((ROW()-41)&lt;=playercnt)),SUMPRODUCT(INDIRECT(ADDRESS(3,ROW()-31,1)):INDIRECT(ADDRESS(22,ROW()-31,1)),AH$3:AH$22),"")</f>
        <v>8</v>
      </c>
      <c r="AI83">
        <f ca="1">IF(AND(((COLUMN()-10)&lt;=playercnt),((ROW()-41)&lt;=playercnt)),SUMPRODUCT(INDIRECT(ADDRESS(3,ROW()-31,1)):INDIRECT(ADDRESS(22,ROW()-31,1)),AI$3:AI$22),"")</f>
        <v>5</v>
      </c>
      <c r="AJ83">
        <f ca="1">IF(AND(((COLUMN()-10)&lt;=playercnt),((ROW()-41)&lt;=playercnt)),SUMPRODUCT(INDIRECT(ADDRESS(3,ROW()-31,1)):INDIRECT(ADDRESS(22,ROW()-31,1)),AJ$3:AJ$22),"")</f>
        <v>4</v>
      </c>
      <c r="AK83">
        <f ca="1">IF(AND(((COLUMN()-10)&lt;=playercnt),((ROW()-41)&lt;=playercnt)),SUMPRODUCT(INDIRECT(ADDRESS(3,ROW()-31,1)):INDIRECT(ADDRESS(22,ROW()-31,1)),AK$3:AK$22),"")</f>
        <v>4</v>
      </c>
      <c r="AL83">
        <f ca="1">IF(AND(((COLUMN()-10)&lt;=playercnt),((ROW()-41)&lt;=playercnt)),SUMPRODUCT(INDIRECT(ADDRESS(3,ROW()-31,1)):INDIRECT(ADDRESS(22,ROW()-31,1)),AL$3:AL$22),"")</f>
        <v>4</v>
      </c>
      <c r="AM83">
        <f ca="1">IF(AND(((COLUMN()-10)&lt;=playercnt),((ROW()-41)&lt;=playercnt)),SUMPRODUCT(INDIRECT(ADDRESS(3,ROW()-31,1)):INDIRECT(ADDRESS(22,ROW()-31,1)),AM$3:AM$22),"")</f>
        <v>5</v>
      </c>
      <c r="AN83">
        <f ca="1">IF(AND(((COLUMN()-10)&lt;=playercnt),((ROW()-41)&lt;=playercnt)),SUMPRODUCT(INDIRECT(ADDRESS(3,ROW()-31,1)):INDIRECT(ADDRESS(22,ROW()-31,1)),AN$3:AN$22),"")</f>
        <v>4</v>
      </c>
      <c r="AO83">
        <f ca="1">IF(AND(((COLUMN()-10)&lt;=playercnt),((ROW()-41)&lt;=playercnt)),SUMPRODUCT(INDIRECT(ADDRESS(3,ROW()-31,1)):INDIRECT(ADDRESS(22,ROW()-31,1)),AO$3:AO$22),"")</f>
        <v>4</v>
      </c>
      <c r="AP83">
        <f ca="1">IF(AND(((COLUMN()-10)&lt;=playercnt),((ROW()-41)&lt;=playercnt)),SUMPRODUCT(INDIRECT(ADDRESS(3,ROW()-31,1)):INDIRECT(ADDRESS(22,ROW()-31,1)),AP$3:AP$22),"")</f>
        <v>5</v>
      </c>
      <c r="AQ83">
        <f ca="1">IF(AND(((COLUMN()-10)&lt;=playercnt),((ROW()-41)&lt;=playercnt)),SUMPRODUCT(INDIRECT(ADDRESS(3,ROW()-31,1)):INDIRECT(ADDRESS(22,ROW()-31,1)),AQ$3:AQ$22),"")</f>
        <v>3</v>
      </c>
      <c r="AR83">
        <f ca="1">IF(AND(((COLUMN()-10)&lt;=playercnt),((ROW()-41)&lt;=playercnt)),SUMPRODUCT(INDIRECT(ADDRESS(3,ROW()-31,1)):INDIRECT(ADDRESS(22,ROW()-31,1)),AR$3:AR$22),"")</f>
        <v>6</v>
      </c>
      <c r="AS83">
        <f ca="1">IF(AND(((COLUMN()-10)&lt;=playercnt),((ROW()-41)&lt;=playercnt)),SUMPRODUCT(INDIRECT(ADDRESS(3,ROW()-31,1)):INDIRECT(ADDRESS(22,ROW()-31,1)),AS$3:AS$22),"")</f>
        <v>6</v>
      </c>
      <c r="AT83">
        <f ca="1">IF(AND(((COLUMN()-10)&lt;=playercnt),((ROW()-41)&lt;=playercnt)),SUMPRODUCT(INDIRECT(ADDRESS(3,ROW()-31,1)):INDIRECT(ADDRESS(22,ROW()-31,1)),AT$3:AT$22),"")</f>
        <v>7</v>
      </c>
      <c r="AU83">
        <f ca="1">IF(AND(((COLUMN()-10)&lt;=playercnt),((ROW()-41)&lt;=playercnt)),SUMPRODUCT(INDIRECT(ADDRESS(3,ROW()-31,1)):INDIRECT(ADDRESS(22,ROW()-31,1)),AU$3:AU$22),"")</f>
        <v>7</v>
      </c>
      <c r="AV83">
        <f ca="1">IF(AND(((COLUMN()-10)&lt;=playercnt),((ROW()-41)&lt;=playercnt)),SUMPRODUCT(INDIRECT(ADDRESS(3,ROW()-31,1)):INDIRECT(ADDRESS(22,ROW()-31,1)),AV$3:AV$22),"")</f>
        <v>3</v>
      </c>
      <c r="AW83">
        <f ca="1">IF(AND(((COLUMN()-10)&lt;=playercnt),((ROW()-41)&lt;=playercnt)),SUMPRODUCT(INDIRECT(ADDRESS(3,ROW()-31,1)):INDIRECT(ADDRESS(22,ROW()-31,1)),AW$3:AW$22),"")</f>
        <v>5</v>
      </c>
      <c r="AX83">
        <f ca="1">IF(AND(((COLUMN()-10)&lt;=playercnt),((ROW()-41)&lt;=playercnt)),SUMPRODUCT(INDIRECT(ADDRESS(3,ROW()-31,1)):INDIRECT(ADDRESS(22,ROW()-31,1)),AX$3:AX$22),"")</f>
        <v>5</v>
      </c>
      <c r="AY83">
        <f ca="1">IF(AND(((COLUMN()-10)&lt;=playercnt),((ROW()-41)&lt;=playercnt)),SUMPRODUCT(INDIRECT(ADDRESS(3,ROW()-31,1)):INDIRECT(ADDRESS(22,ROW()-31,1)),AY$3:AY$22),"")</f>
        <v>7</v>
      </c>
      <c r="AZ83">
        <f ca="1">IF(AND(((COLUMN()-10)&lt;=playercnt),((ROW()-41)&lt;=playercnt)),SUMPRODUCT(INDIRECT(ADDRESS(3,ROW()-31,1)):INDIRECT(ADDRESS(22,ROW()-31,1)),AZ$3:AZ$22),"")</f>
        <v>10</v>
      </c>
      <c r="BA83">
        <f ca="1">IF(AND(((COLUMN()-10)&lt;=playercnt),((ROW()-41)&lt;=playercnt)),SUMPRODUCT(INDIRECT(ADDRESS(3,ROW()-31,1)):INDIRECT(ADDRESS(22,ROW()-31,1)),BA$3:BA$22),"")</f>
        <v>3</v>
      </c>
      <c r="BB83">
        <f ca="1">IF(AND(((COLUMN()-10)&lt;=playercnt),((ROW()-41)&lt;=playercnt)),SUMPRODUCT(INDIRECT(ADDRESS(3,ROW()-31,1)):INDIRECT(ADDRESS(22,ROW()-31,1)),BB$3:BB$22),"")</f>
        <v>2</v>
      </c>
      <c r="BC83">
        <f ca="1">IF(AND(((COLUMN()-10)&lt;=playercnt),((ROW()-41)&lt;=playercnt)),SUMPRODUCT(INDIRECT(ADDRESS(3,ROW()-31,1)):INDIRECT(ADDRESS(22,ROW()-31,1)),BC$3:BC$22),"")</f>
        <v>6</v>
      </c>
      <c r="BD83">
        <f ca="1">IF(AND(((COLUMN()-10)&lt;=playercnt),((ROW()-41)&lt;=playercnt)),SUMPRODUCT(INDIRECT(ADDRESS(3,ROW()-31,1)):INDIRECT(ADDRESS(22,ROW()-31,1)),BD$3:BD$22),"")</f>
        <v>7</v>
      </c>
      <c r="BE83">
        <f ca="1">IF(AND(((COLUMN()-10)&lt;=playercnt),((ROW()-41)&lt;=playercnt)),SUMPRODUCT(INDIRECT(ADDRESS(3,ROW()-31,1)):INDIRECT(ADDRESS(22,ROW()-31,1)),BE$3:BE$22),"")</f>
        <v>4</v>
      </c>
      <c r="BF83">
        <f ca="1">IF(AND(((COLUMN()-10)&lt;=playercnt),((ROW()-41)&lt;=playercnt)),SUMPRODUCT(INDIRECT(ADDRESS(3,ROW()-31,1)):INDIRECT(ADDRESS(22,ROW()-31,1)),BF$3:BF$22),"")</f>
        <v>4</v>
      </c>
      <c r="BG83">
        <f ca="1">IF(AND(((COLUMN()-10)&lt;=playercnt),((ROW()-41)&lt;=playercnt)),SUMPRODUCT(INDIRECT(ADDRESS(3,ROW()-31,1)):INDIRECT(ADDRESS(22,ROW()-31,1)),BG$3:BG$22),"")</f>
        <v>1</v>
      </c>
      <c r="BH83">
        <f ca="1">IF(AND(((COLUMN()-10)&lt;=playercnt),((ROW()-41)&lt;=playercnt)),SUMPRODUCT(INDIRECT(ADDRESS(3,ROW()-31,1)):INDIRECT(ADDRESS(22,ROW()-31,1)),BH$3:BH$22),"")</f>
        <v>6</v>
      </c>
      <c r="BI83">
        <f ca="1">IF(AND(((COLUMN()-10)&lt;=playercnt),((ROW()-41)&lt;=playercnt)),SUMPRODUCT(INDIRECT(ADDRESS(3,ROW()-31,1)):INDIRECT(ADDRESS(22,ROW()-31,1)),BI$3:BI$22),"")</f>
        <v>5</v>
      </c>
      <c r="BJ83">
        <f ca="1">IF(AND(((COLUMN()-10)&lt;=playercnt),((ROW()-41)&lt;=playercnt)),SUMPRODUCT(INDIRECT(ADDRESS(3,ROW()-31,1)):INDIRECT(ADDRESS(22,ROW()-31,1)),BJ$3:BJ$22),"")</f>
        <v>5</v>
      </c>
      <c r="BK83">
        <f ca="1">IF(AND(((COLUMN()-10)&lt;=playercnt),((ROW()-41)&lt;=playercnt)),SUMPRODUCT(INDIRECT(ADDRESS(3,ROW()-31,1)):INDIRECT(ADDRESS(22,ROW()-31,1)),BK$3:BK$22),"")</f>
        <v>4</v>
      </c>
      <c r="BL83">
        <f ca="1">IF(AND(((COLUMN()-10)&lt;=playercnt),((ROW()-41)&lt;=playercnt)),SUMPRODUCT(INDIRECT(ADDRESS(3,ROW()-31,1)):INDIRECT(ADDRESS(22,ROW()-31,1)),BL$3:BL$22),"")</f>
        <v>6</v>
      </c>
      <c r="BM83">
        <f ca="1">IF(AND(((COLUMN()-10)&lt;=playercnt),((ROW()-41)&lt;=playercnt)),SUMPRODUCT(INDIRECT(ADDRESS(3,ROW()-31,1)):INDIRECT(ADDRESS(22,ROW()-31,1)),BM$3:BM$22),"")</f>
        <v>6</v>
      </c>
      <c r="BN83">
        <f ca="1">IF(AND(((COLUMN()-10)&lt;=playercnt),((ROW()-41)&lt;=playercnt)),SUMPRODUCT(INDIRECT(ADDRESS(3,ROW()-31,1)):INDIRECT(ADDRESS(22,ROW()-31,1)),BN$3:BN$22),"")</f>
        <v>4</v>
      </c>
    </row>
    <row r="84" spans="2:66">
      <c r="B84" s="27">
        <f t="shared" ca="1" si="23"/>
        <v>5.4363636363636365</v>
      </c>
      <c r="C84" t="str">
        <f t="shared" ca="1" si="24"/>
        <v>Ruffin, Chris</v>
      </c>
      <c r="G84">
        <f ca="1">IF(AND(((COLUMN()-10)&lt;=playercnt),((ROW()-41)&lt;=playercnt)),SUMPRODUCT(INDIRECT(ADDRESS(3,ROW()-31,1)):INDIRECT(ADDRESS(22,ROW()-31,1)),G$3:G$22),"")</f>
        <v>2</v>
      </c>
      <c r="H84">
        <f ca="1">IF(AND(((COLUMN()-10)&lt;=playercnt),((ROW()-41)&lt;=playercnt)),SUMPRODUCT(INDIRECT(ADDRESS(3,ROW()-31,1)):INDIRECT(ADDRESS(22,ROW()-31,1)),H$3:H$22),"")</f>
        <v>5</v>
      </c>
      <c r="I84">
        <f ca="1">IF(AND(((COLUMN()-10)&lt;=playercnt),((ROW()-41)&lt;=playercnt)),SUMPRODUCT(INDIRECT(ADDRESS(3,ROW()-31,1)):INDIRECT(ADDRESS(22,ROW()-31,1)),I$3:I$22),"")</f>
        <v>7</v>
      </c>
      <c r="J84">
        <f ca="1">IF(AND(((COLUMN()-10)&lt;=playercnt),((ROW()-41)&lt;=playercnt)),SUMPRODUCT(INDIRECT(ADDRESS(3,ROW()-31,1)):INDIRECT(ADDRESS(22,ROW()-31,1)),J$3:J$22),"")</f>
        <v>0</v>
      </c>
      <c r="K84">
        <f ca="1">IF(AND(((COLUMN()-10)&lt;=playercnt),((ROW()-41)&lt;=playercnt)),SUMPRODUCT(INDIRECT(ADDRESS(3,ROW()-31,1)):INDIRECT(ADDRESS(22,ROW()-31,1)),K$3:K$22),"")</f>
        <v>4</v>
      </c>
      <c r="L84">
        <f ca="1">IF(AND(((COLUMN()-10)&lt;=playercnt),((ROW()-41)&lt;=playercnt)),SUMPRODUCT(INDIRECT(ADDRESS(3,ROW()-31,1)):INDIRECT(ADDRESS(22,ROW()-31,1)),L$3:L$22),"")</f>
        <v>5</v>
      </c>
      <c r="M84">
        <f ca="1">IF(AND(((COLUMN()-10)&lt;=playercnt),((ROW()-41)&lt;=playercnt)),SUMPRODUCT(INDIRECT(ADDRESS(3,ROW()-31,1)):INDIRECT(ADDRESS(22,ROW()-31,1)),M$3:M$22),"")</f>
        <v>5</v>
      </c>
      <c r="N84">
        <f ca="1">IF(AND(((COLUMN()-10)&lt;=playercnt),((ROW()-41)&lt;=playercnt)),SUMPRODUCT(INDIRECT(ADDRESS(3,ROW()-31,1)):INDIRECT(ADDRESS(22,ROW()-31,1)),N$3:N$22),"")</f>
        <v>5</v>
      </c>
      <c r="O84">
        <f ca="1">IF(AND(((COLUMN()-10)&lt;=playercnt),((ROW()-41)&lt;=playercnt)),SUMPRODUCT(INDIRECT(ADDRESS(3,ROW()-31,1)):INDIRECT(ADDRESS(22,ROW()-31,1)),O$3:O$22),"")</f>
        <v>3</v>
      </c>
      <c r="P84">
        <f ca="1">IF(AND(((COLUMN()-10)&lt;=playercnt),((ROW()-41)&lt;=playercnt)),SUMPRODUCT(INDIRECT(ADDRESS(3,ROW()-31,1)):INDIRECT(ADDRESS(22,ROW()-31,1)),P$3:P$22),"")</f>
        <v>6</v>
      </c>
      <c r="Q84">
        <f ca="1">IF(AND(((COLUMN()-10)&lt;=playercnt),((ROW()-41)&lt;=playercnt)),SUMPRODUCT(INDIRECT(ADDRESS(3,ROW()-31,1)):INDIRECT(ADDRESS(22,ROW()-31,1)),Q$3:Q$22),"")</f>
        <v>4</v>
      </c>
      <c r="R84">
        <f ca="1">IF(AND(((COLUMN()-10)&lt;=playercnt),((ROW()-41)&lt;=playercnt)),SUMPRODUCT(INDIRECT(ADDRESS(3,ROW()-31,1)):INDIRECT(ADDRESS(22,ROW()-31,1)),R$3:R$22),"")</f>
        <v>6</v>
      </c>
      <c r="S84">
        <f ca="1">IF(AND(((COLUMN()-10)&lt;=playercnt),((ROW()-41)&lt;=playercnt)),SUMPRODUCT(INDIRECT(ADDRESS(3,ROW()-31,1)):INDIRECT(ADDRESS(22,ROW()-31,1)),S$3:S$22),"")</f>
        <v>8</v>
      </c>
      <c r="T84">
        <f ca="1">IF(AND(((COLUMN()-10)&lt;=playercnt),((ROW()-41)&lt;=playercnt)),SUMPRODUCT(INDIRECT(ADDRESS(3,ROW()-31,1)):INDIRECT(ADDRESS(22,ROW()-31,1)),T$3:T$22),"")</f>
        <v>8</v>
      </c>
      <c r="U84">
        <f ca="1">IF(AND(((COLUMN()-10)&lt;=playercnt),((ROW()-41)&lt;=playercnt)),SUMPRODUCT(INDIRECT(ADDRESS(3,ROW()-31,1)):INDIRECT(ADDRESS(22,ROW()-31,1)),U$3:U$22),"")</f>
        <v>7</v>
      </c>
      <c r="V84">
        <f ca="1">IF(AND(((COLUMN()-10)&lt;=playercnt),((ROW()-41)&lt;=playercnt)),SUMPRODUCT(INDIRECT(ADDRESS(3,ROW()-31,1)):INDIRECT(ADDRESS(22,ROW()-31,1)),V$3:V$22),"")</f>
        <v>6</v>
      </c>
      <c r="W84">
        <f ca="1">IF(AND(((COLUMN()-10)&lt;=playercnt),((ROW()-41)&lt;=playercnt)),SUMPRODUCT(INDIRECT(ADDRESS(3,ROW()-31,1)):INDIRECT(ADDRESS(22,ROW()-31,1)),W$3:W$22),"")</f>
        <v>6</v>
      </c>
      <c r="X84">
        <f ca="1">IF(AND(((COLUMN()-10)&lt;=playercnt),((ROW()-41)&lt;=playercnt)),SUMPRODUCT(INDIRECT(ADDRESS(3,ROW()-31,1)):INDIRECT(ADDRESS(22,ROW()-31,1)),X$3:X$22),"")</f>
        <v>6</v>
      </c>
      <c r="Y84">
        <f ca="1">IF(AND(((COLUMN()-10)&lt;=playercnt),((ROW()-41)&lt;=playercnt)),SUMPRODUCT(INDIRECT(ADDRESS(3,ROW()-31,1)):INDIRECT(ADDRESS(22,ROW()-31,1)),Y$3:Y$22),"")</f>
        <v>3</v>
      </c>
      <c r="Z84">
        <f ca="1">IF(AND(((COLUMN()-10)&lt;=playercnt),((ROW()-41)&lt;=playercnt)),SUMPRODUCT(INDIRECT(ADDRESS(3,ROW()-31,1)):INDIRECT(ADDRESS(22,ROW()-31,1)),Z$3:Z$22),"")</f>
        <v>5</v>
      </c>
      <c r="AA84">
        <f ca="1">IF(AND(((COLUMN()-10)&lt;=playercnt),((ROW()-41)&lt;=playercnt)),SUMPRODUCT(INDIRECT(ADDRESS(3,ROW()-31,1)):INDIRECT(ADDRESS(22,ROW()-31,1)),AA$3:AA$22),"")</f>
        <v>5</v>
      </c>
      <c r="AB84">
        <f ca="1">IF(AND(((COLUMN()-10)&lt;=playercnt),((ROW()-41)&lt;=playercnt)),SUMPRODUCT(INDIRECT(ADDRESS(3,ROW()-31,1)):INDIRECT(ADDRESS(22,ROW()-31,1)),AB$3:AB$22),"")</f>
        <v>5</v>
      </c>
      <c r="AC84">
        <f ca="1">IF(AND(((COLUMN()-10)&lt;=playercnt),((ROW()-41)&lt;=playercnt)),SUMPRODUCT(INDIRECT(ADDRESS(3,ROW()-31,1)):INDIRECT(ADDRESS(22,ROW()-31,1)),AC$3:AC$22),"")</f>
        <v>4</v>
      </c>
      <c r="AD84">
        <f ca="1">IF(AND(((COLUMN()-10)&lt;=playercnt),((ROW()-41)&lt;=playercnt)),SUMPRODUCT(INDIRECT(ADDRESS(3,ROW()-31,1)):INDIRECT(ADDRESS(22,ROW()-31,1)),AD$3:AD$22),"")</f>
        <v>5</v>
      </c>
      <c r="AE84">
        <f ca="1">IF(AND(((COLUMN()-10)&lt;=playercnt),((ROW()-41)&lt;=playercnt)),SUMPRODUCT(INDIRECT(ADDRESS(3,ROW()-31,1)):INDIRECT(ADDRESS(22,ROW()-31,1)),AE$3:AE$22),"")</f>
        <v>5</v>
      </c>
      <c r="AF84">
        <f ca="1">IF(AND(((COLUMN()-10)&lt;=playercnt),((ROW()-41)&lt;=playercnt)),SUMPRODUCT(INDIRECT(ADDRESS(3,ROW()-31,1)):INDIRECT(ADDRESS(22,ROW()-31,1)),AF$3:AF$22),"")</f>
        <v>3</v>
      </c>
      <c r="AG84">
        <f ca="1">IF(AND(((COLUMN()-10)&lt;=playercnt),((ROW()-41)&lt;=playercnt)),SUMPRODUCT(INDIRECT(ADDRESS(3,ROW()-31,1)):INDIRECT(ADDRESS(22,ROW()-31,1)),AG$3:AG$22),"")</f>
        <v>7</v>
      </c>
      <c r="AH84">
        <f ca="1">IF(AND(((COLUMN()-10)&lt;=playercnt),((ROW()-41)&lt;=playercnt)),SUMPRODUCT(INDIRECT(ADDRESS(3,ROW()-31,1)):INDIRECT(ADDRESS(22,ROW()-31,1)),AH$3:AH$22),"")</f>
        <v>5</v>
      </c>
      <c r="AI84">
        <f ca="1">IF(AND(((COLUMN()-10)&lt;=playercnt),((ROW()-41)&lt;=playercnt)),SUMPRODUCT(INDIRECT(ADDRESS(3,ROW()-31,1)):INDIRECT(ADDRESS(22,ROW()-31,1)),AI$3:AI$22),"")</f>
        <v>2</v>
      </c>
      <c r="AJ84">
        <f ca="1">IF(AND(((COLUMN()-10)&lt;=playercnt),((ROW()-41)&lt;=playercnt)),SUMPRODUCT(INDIRECT(ADDRESS(3,ROW()-31,1)):INDIRECT(ADDRESS(22,ROW()-31,1)),AJ$3:AJ$22),"")</f>
        <v>7</v>
      </c>
      <c r="AK84">
        <f ca="1">IF(AND(((COLUMN()-10)&lt;=playercnt),((ROW()-41)&lt;=playercnt)),SUMPRODUCT(INDIRECT(ADDRESS(3,ROW()-31,1)):INDIRECT(ADDRESS(22,ROW()-31,1)),AK$3:AK$22),"")</f>
        <v>7</v>
      </c>
      <c r="AL84">
        <f ca="1">IF(AND(((COLUMN()-10)&lt;=playercnt),((ROW()-41)&lt;=playercnt)),SUMPRODUCT(INDIRECT(ADDRESS(3,ROW()-31,1)):INDIRECT(ADDRESS(22,ROW()-31,1)),AL$3:AL$22),"")</f>
        <v>7</v>
      </c>
      <c r="AM84">
        <f ca="1">IF(AND(((COLUMN()-10)&lt;=playercnt),((ROW()-41)&lt;=playercnt)),SUMPRODUCT(INDIRECT(ADDRESS(3,ROW()-31,1)):INDIRECT(ADDRESS(22,ROW()-31,1)),AM$3:AM$22),"")</f>
        <v>4</v>
      </c>
      <c r="AN84">
        <f ca="1">IF(AND(((COLUMN()-10)&lt;=playercnt),((ROW()-41)&lt;=playercnt)),SUMPRODUCT(INDIRECT(ADDRESS(3,ROW()-31,1)):INDIRECT(ADDRESS(22,ROW()-31,1)),AN$3:AN$22),"")</f>
        <v>3</v>
      </c>
      <c r="AO84">
        <f ca="1">IF(AND(((COLUMN()-10)&lt;=playercnt),((ROW()-41)&lt;=playercnt)),SUMPRODUCT(INDIRECT(ADDRESS(3,ROW()-31,1)):INDIRECT(ADDRESS(22,ROW()-31,1)),AO$3:AO$22),"")</f>
        <v>3</v>
      </c>
      <c r="AP84">
        <f ca="1">IF(AND(((COLUMN()-10)&lt;=playercnt),((ROW()-41)&lt;=playercnt)),SUMPRODUCT(INDIRECT(ADDRESS(3,ROW()-31,1)):INDIRECT(ADDRESS(22,ROW()-31,1)),AP$3:AP$22),"")</f>
        <v>8</v>
      </c>
      <c r="AQ84">
        <f ca="1">IF(AND(((COLUMN()-10)&lt;=playercnt),((ROW()-41)&lt;=playercnt)),SUMPRODUCT(INDIRECT(ADDRESS(3,ROW()-31,1)):INDIRECT(ADDRESS(22,ROW()-31,1)),AQ$3:AQ$22),"")</f>
        <v>6</v>
      </c>
      <c r="AR84">
        <f ca="1">IF(AND(((COLUMN()-10)&lt;=playercnt),((ROW()-41)&lt;=playercnt)),SUMPRODUCT(INDIRECT(ADDRESS(3,ROW()-31,1)):INDIRECT(ADDRESS(22,ROW()-31,1)),AR$3:AR$22),"")</f>
        <v>3</v>
      </c>
      <c r="AS84">
        <f ca="1">IF(AND(((COLUMN()-10)&lt;=playercnt),((ROW()-41)&lt;=playercnt)),SUMPRODUCT(INDIRECT(ADDRESS(3,ROW()-31,1)):INDIRECT(ADDRESS(22,ROW()-31,1)),AS$3:AS$22),"")</f>
        <v>3</v>
      </c>
      <c r="AT84">
        <f ca="1">IF(AND(((COLUMN()-10)&lt;=playercnt),((ROW()-41)&lt;=playercnt)),SUMPRODUCT(INDIRECT(ADDRESS(3,ROW()-31,1)):INDIRECT(ADDRESS(22,ROW()-31,1)),AT$3:AT$22),"")</f>
        <v>6</v>
      </c>
      <c r="AU84">
        <f ca="1">IF(AND(((COLUMN()-10)&lt;=playercnt),((ROW()-41)&lt;=playercnt)),SUMPRODUCT(INDIRECT(ADDRESS(3,ROW()-31,1)):INDIRECT(ADDRESS(22,ROW()-31,1)),AU$3:AU$22),"")</f>
        <v>4</v>
      </c>
      <c r="AV84">
        <f ca="1">IF(AND(((COLUMN()-10)&lt;=playercnt),((ROW()-41)&lt;=playercnt)),SUMPRODUCT(INDIRECT(ADDRESS(3,ROW()-31,1)):INDIRECT(ADDRESS(22,ROW()-31,1)),AV$3:AV$22),"")</f>
        <v>8</v>
      </c>
      <c r="AW84">
        <f ca="1">IF(AND(((COLUMN()-10)&lt;=playercnt),((ROW()-41)&lt;=playercnt)),SUMPRODUCT(INDIRECT(ADDRESS(3,ROW()-31,1)):INDIRECT(ADDRESS(22,ROW()-31,1)),AW$3:AW$22),"")</f>
        <v>6</v>
      </c>
      <c r="AX84">
        <f ca="1">IF(AND(((COLUMN()-10)&lt;=playercnt),((ROW()-41)&lt;=playercnt)),SUMPRODUCT(INDIRECT(ADDRESS(3,ROW()-31,1)):INDIRECT(ADDRESS(22,ROW()-31,1)),AX$3:AX$22),"")</f>
        <v>8</v>
      </c>
      <c r="AY84">
        <f ca="1">IF(AND(((COLUMN()-10)&lt;=playercnt),((ROW()-41)&lt;=playercnt)),SUMPRODUCT(INDIRECT(ADDRESS(3,ROW()-31,1)):INDIRECT(ADDRESS(22,ROW()-31,1)),AY$3:AY$22),"")</f>
        <v>6</v>
      </c>
      <c r="AZ84">
        <f ca="1">IF(AND(((COLUMN()-10)&lt;=playercnt),((ROW()-41)&lt;=playercnt)),SUMPRODUCT(INDIRECT(ADDRESS(3,ROW()-31,1)):INDIRECT(ADDRESS(22,ROW()-31,1)),AZ$3:AZ$22),"")</f>
        <v>3</v>
      </c>
      <c r="BA84">
        <f ca="1">IF(AND(((COLUMN()-10)&lt;=playercnt),((ROW()-41)&lt;=playercnt)),SUMPRODUCT(INDIRECT(ADDRESS(3,ROW()-31,1)):INDIRECT(ADDRESS(22,ROW()-31,1)),BA$3:BA$22),"")</f>
        <v>10</v>
      </c>
      <c r="BB84">
        <f ca="1">IF(AND(((COLUMN()-10)&lt;=playercnt),((ROW()-41)&lt;=playercnt)),SUMPRODUCT(INDIRECT(ADDRESS(3,ROW()-31,1)):INDIRECT(ADDRESS(22,ROW()-31,1)),BB$3:BB$22),"")</f>
        <v>7</v>
      </c>
      <c r="BC84">
        <f ca="1">IF(AND(((COLUMN()-10)&lt;=playercnt),((ROW()-41)&lt;=playercnt)),SUMPRODUCT(INDIRECT(ADDRESS(3,ROW()-31,1)):INDIRECT(ADDRESS(22,ROW()-31,1)),BC$3:BC$22),"")</f>
        <v>7</v>
      </c>
      <c r="BD84">
        <f ca="1">IF(AND(((COLUMN()-10)&lt;=playercnt),((ROW()-41)&lt;=playercnt)),SUMPRODUCT(INDIRECT(ADDRESS(3,ROW()-31,1)):INDIRECT(ADDRESS(22,ROW()-31,1)),BD$3:BD$22),"")</f>
        <v>6</v>
      </c>
      <c r="BE84">
        <f ca="1">IF(AND(((COLUMN()-10)&lt;=playercnt),((ROW()-41)&lt;=playercnt)),SUMPRODUCT(INDIRECT(ADDRESS(3,ROW()-31,1)):INDIRECT(ADDRESS(22,ROW()-31,1)),BE$3:BE$22),"")</f>
        <v>7</v>
      </c>
      <c r="BF84">
        <f ca="1">IF(AND(((COLUMN()-10)&lt;=playercnt),((ROW()-41)&lt;=playercnt)),SUMPRODUCT(INDIRECT(ADDRESS(3,ROW()-31,1)):INDIRECT(ADDRESS(22,ROW()-31,1)),BF$3:BF$22),"")</f>
        <v>5</v>
      </c>
      <c r="BG84">
        <f ca="1">IF(AND(((COLUMN()-10)&lt;=playercnt),((ROW()-41)&lt;=playercnt)),SUMPRODUCT(INDIRECT(ADDRESS(3,ROW()-31,1)):INDIRECT(ADDRESS(22,ROW()-31,1)),BG$3:BG$22),"")</f>
        <v>6</v>
      </c>
      <c r="BH84">
        <f ca="1">IF(AND(((COLUMN()-10)&lt;=playercnt),((ROW()-41)&lt;=playercnt)),SUMPRODUCT(INDIRECT(ADDRESS(3,ROW()-31,1)):INDIRECT(ADDRESS(22,ROW()-31,1)),BH$3:BH$22),"")</f>
        <v>5</v>
      </c>
      <c r="BI84">
        <f ca="1">IF(AND(((COLUMN()-10)&lt;=playercnt),((ROW()-41)&lt;=playercnt)),SUMPRODUCT(INDIRECT(ADDRESS(3,ROW()-31,1)):INDIRECT(ADDRESS(22,ROW()-31,1)),BI$3:BI$22),"")</f>
        <v>6</v>
      </c>
      <c r="BJ84">
        <f ca="1">IF(AND(((COLUMN()-10)&lt;=playercnt),((ROW()-41)&lt;=playercnt)),SUMPRODUCT(INDIRECT(ADDRESS(3,ROW()-31,1)):INDIRECT(ADDRESS(22,ROW()-31,1)),BJ$3:BJ$22),"")</f>
        <v>4</v>
      </c>
      <c r="BK84">
        <f ca="1">IF(AND(((COLUMN()-10)&lt;=playercnt),((ROW()-41)&lt;=playercnt)),SUMPRODUCT(INDIRECT(ADDRESS(3,ROW()-31,1)):INDIRECT(ADDRESS(22,ROW()-31,1)),BK$3:BK$22),"")</f>
        <v>7</v>
      </c>
      <c r="BL84">
        <f ca="1">IF(AND(((COLUMN()-10)&lt;=playercnt),((ROW()-41)&lt;=playercnt)),SUMPRODUCT(INDIRECT(ADDRESS(3,ROW()-31,1)):INDIRECT(ADDRESS(22,ROW()-31,1)),BL$3:BL$22),"")</f>
        <v>7</v>
      </c>
      <c r="BM84">
        <f ca="1">IF(AND(((COLUMN()-10)&lt;=playercnt),((ROW()-41)&lt;=playercnt)),SUMPRODUCT(INDIRECT(ADDRESS(3,ROW()-31,1)):INDIRECT(ADDRESS(22,ROW()-31,1)),BM$3:BM$22),"")</f>
        <v>5</v>
      </c>
      <c r="BN84">
        <f ca="1">IF(AND(((COLUMN()-10)&lt;=playercnt),((ROW()-41)&lt;=playercnt)),SUMPRODUCT(INDIRECT(ADDRESS(3,ROW()-31,1)):INDIRECT(ADDRESS(22,ROW()-31,1)),BN$3:BN$22),"")</f>
        <v>7</v>
      </c>
    </row>
    <row r="85" spans="2:66">
      <c r="B85" s="27">
        <f t="shared" ca="1" si="23"/>
        <v>5.1090909090909093</v>
      </c>
      <c r="C85" t="str">
        <f t="shared" ca="1" si="24"/>
        <v>Sams, David</v>
      </c>
      <c r="G85">
        <f ca="1">IF(AND(((COLUMN()-10)&lt;=playercnt),((ROW()-41)&lt;=playercnt)),SUMPRODUCT(INDIRECT(ADDRESS(3,ROW()-31,1)):INDIRECT(ADDRESS(22,ROW()-31,1)),G$3:G$22),"")</f>
        <v>3</v>
      </c>
      <c r="H85">
        <f ca="1">IF(AND(((COLUMN()-10)&lt;=playercnt),((ROW()-41)&lt;=playercnt)),SUMPRODUCT(INDIRECT(ADDRESS(3,ROW()-31,1)):INDIRECT(ADDRESS(22,ROW()-31,1)),H$3:H$22),"")</f>
        <v>6</v>
      </c>
      <c r="I85">
        <f ca="1">IF(AND(((COLUMN()-10)&lt;=playercnt),((ROW()-41)&lt;=playercnt)),SUMPRODUCT(INDIRECT(ADDRESS(3,ROW()-31,1)):INDIRECT(ADDRESS(22,ROW()-31,1)),I$3:I$22),"")</f>
        <v>6</v>
      </c>
      <c r="J85">
        <f ca="1">IF(AND(((COLUMN()-10)&lt;=playercnt),((ROW()-41)&lt;=playercnt)),SUMPRODUCT(INDIRECT(ADDRESS(3,ROW()-31,1)):INDIRECT(ADDRESS(22,ROW()-31,1)),J$3:J$22),"")</f>
        <v>0</v>
      </c>
      <c r="K85">
        <f ca="1">IF(AND(((COLUMN()-10)&lt;=playercnt),((ROW()-41)&lt;=playercnt)),SUMPRODUCT(INDIRECT(ADDRESS(3,ROW()-31,1)):INDIRECT(ADDRESS(22,ROW()-31,1)),K$3:K$22),"")</f>
        <v>3</v>
      </c>
      <c r="L85">
        <f ca="1">IF(AND(((COLUMN()-10)&lt;=playercnt),((ROW()-41)&lt;=playercnt)),SUMPRODUCT(INDIRECT(ADDRESS(3,ROW()-31,1)):INDIRECT(ADDRESS(22,ROW()-31,1)),L$3:L$22),"")</f>
        <v>6</v>
      </c>
      <c r="M85">
        <f ca="1">IF(AND(((COLUMN()-10)&lt;=playercnt),((ROW()-41)&lt;=playercnt)),SUMPRODUCT(INDIRECT(ADDRESS(3,ROW()-31,1)):INDIRECT(ADDRESS(22,ROW()-31,1)),M$3:M$22),"")</f>
        <v>4</v>
      </c>
      <c r="N85">
        <f ca="1">IF(AND(((COLUMN()-10)&lt;=playercnt),((ROW()-41)&lt;=playercnt)),SUMPRODUCT(INDIRECT(ADDRESS(3,ROW()-31,1)):INDIRECT(ADDRESS(22,ROW()-31,1)),N$3:N$22),"")</f>
        <v>6</v>
      </c>
      <c r="O85">
        <f ca="1">IF(AND(((COLUMN()-10)&lt;=playercnt),((ROW()-41)&lt;=playercnt)),SUMPRODUCT(INDIRECT(ADDRESS(3,ROW()-31,1)):INDIRECT(ADDRESS(22,ROW()-31,1)),O$3:O$22),"")</f>
        <v>4</v>
      </c>
      <c r="P85">
        <f ca="1">IF(AND(((COLUMN()-10)&lt;=playercnt),((ROW()-41)&lt;=playercnt)),SUMPRODUCT(INDIRECT(ADDRESS(3,ROW()-31,1)):INDIRECT(ADDRESS(22,ROW()-31,1)),P$3:P$22),"")</f>
        <v>7</v>
      </c>
      <c r="Q85">
        <f ca="1">IF(AND(((COLUMN()-10)&lt;=playercnt),((ROW()-41)&lt;=playercnt)),SUMPRODUCT(INDIRECT(ADDRESS(3,ROW()-31,1)):INDIRECT(ADDRESS(22,ROW()-31,1)),Q$3:Q$22),"")</f>
        <v>5</v>
      </c>
      <c r="R85">
        <f ca="1">IF(AND(((COLUMN()-10)&lt;=playercnt),((ROW()-41)&lt;=playercnt)),SUMPRODUCT(INDIRECT(ADDRESS(3,ROW()-31,1)):INDIRECT(ADDRESS(22,ROW()-31,1)),R$3:R$22),"")</f>
        <v>5</v>
      </c>
      <c r="S85">
        <f ca="1">IF(AND(((COLUMN()-10)&lt;=playercnt),((ROW()-41)&lt;=playercnt)),SUMPRODUCT(INDIRECT(ADDRESS(3,ROW()-31,1)):INDIRECT(ADDRESS(22,ROW()-31,1)),S$3:S$22),"")</f>
        <v>7</v>
      </c>
      <c r="T85">
        <f ca="1">IF(AND(((COLUMN()-10)&lt;=playercnt),((ROW()-41)&lt;=playercnt)),SUMPRODUCT(INDIRECT(ADDRESS(3,ROW()-31,1)):INDIRECT(ADDRESS(22,ROW()-31,1)),T$3:T$22),"")</f>
        <v>5</v>
      </c>
      <c r="U85">
        <f ca="1">IF(AND(((COLUMN()-10)&lt;=playercnt),((ROW()-41)&lt;=playercnt)),SUMPRODUCT(INDIRECT(ADDRESS(3,ROW()-31,1)):INDIRECT(ADDRESS(22,ROW()-31,1)),U$3:U$22),"")</f>
        <v>6</v>
      </c>
      <c r="V85">
        <f ca="1">IF(AND(((COLUMN()-10)&lt;=playercnt),((ROW()-41)&lt;=playercnt)),SUMPRODUCT(INDIRECT(ADDRESS(3,ROW()-31,1)):INDIRECT(ADDRESS(22,ROW()-31,1)),V$3:V$22),"")</f>
        <v>3</v>
      </c>
      <c r="W85">
        <f ca="1">IF(AND(((COLUMN()-10)&lt;=playercnt),((ROW()-41)&lt;=playercnt)),SUMPRODUCT(INDIRECT(ADDRESS(3,ROW()-31,1)):INDIRECT(ADDRESS(22,ROW()-31,1)),W$3:W$22),"")</f>
        <v>3</v>
      </c>
      <c r="X85">
        <f ca="1">IF(AND(((COLUMN()-10)&lt;=playercnt),((ROW()-41)&lt;=playercnt)),SUMPRODUCT(INDIRECT(ADDRESS(3,ROW()-31,1)):INDIRECT(ADDRESS(22,ROW()-31,1)),X$3:X$22),"")</f>
        <v>3</v>
      </c>
      <c r="Y85">
        <f ca="1">IF(AND(((COLUMN()-10)&lt;=playercnt),((ROW()-41)&lt;=playercnt)),SUMPRODUCT(INDIRECT(ADDRESS(3,ROW()-31,1)):INDIRECT(ADDRESS(22,ROW()-31,1)),Y$3:Y$22),"")</f>
        <v>4</v>
      </c>
      <c r="Z85">
        <f ca="1">IF(AND(((COLUMN()-10)&lt;=playercnt),((ROW()-41)&lt;=playercnt)),SUMPRODUCT(INDIRECT(ADDRESS(3,ROW()-31,1)):INDIRECT(ADDRESS(22,ROW()-31,1)),Z$3:Z$22),"")</f>
        <v>6</v>
      </c>
      <c r="AA85">
        <f ca="1">IF(AND(((COLUMN()-10)&lt;=playercnt),((ROW()-41)&lt;=playercnt)),SUMPRODUCT(INDIRECT(ADDRESS(3,ROW()-31,1)):INDIRECT(ADDRESS(22,ROW()-31,1)),AA$3:AA$22),"")</f>
        <v>4</v>
      </c>
      <c r="AB85">
        <f ca="1">IF(AND(((COLUMN()-10)&lt;=playercnt),((ROW()-41)&lt;=playercnt)),SUMPRODUCT(INDIRECT(ADDRESS(3,ROW()-31,1)):INDIRECT(ADDRESS(22,ROW()-31,1)),AB$3:AB$22),"")</f>
        <v>6</v>
      </c>
      <c r="AC85">
        <f ca="1">IF(AND(((COLUMN()-10)&lt;=playercnt),((ROW()-41)&lt;=playercnt)),SUMPRODUCT(INDIRECT(ADDRESS(3,ROW()-31,1)):INDIRECT(ADDRESS(22,ROW()-31,1)),AC$3:AC$22),"")</f>
        <v>5</v>
      </c>
      <c r="AD85">
        <f ca="1">IF(AND(((COLUMN()-10)&lt;=playercnt),((ROW()-41)&lt;=playercnt)),SUMPRODUCT(INDIRECT(ADDRESS(3,ROW()-31,1)):INDIRECT(ADDRESS(22,ROW()-31,1)),AD$3:AD$22),"")</f>
        <v>4</v>
      </c>
      <c r="AE85">
        <f ca="1">IF(AND(((COLUMN()-10)&lt;=playercnt),((ROW()-41)&lt;=playercnt)),SUMPRODUCT(INDIRECT(ADDRESS(3,ROW()-31,1)):INDIRECT(ADDRESS(22,ROW()-31,1)),AE$3:AE$22),"")</f>
        <v>6</v>
      </c>
      <c r="AF85">
        <f ca="1">IF(AND(((COLUMN()-10)&lt;=playercnt),((ROW()-41)&lt;=playercnt)),SUMPRODUCT(INDIRECT(ADDRESS(3,ROW()-31,1)):INDIRECT(ADDRESS(22,ROW()-31,1)),AF$3:AF$22),"")</f>
        <v>4</v>
      </c>
      <c r="AG85">
        <f ca="1">IF(AND(((COLUMN()-10)&lt;=playercnt),((ROW()-41)&lt;=playercnt)),SUMPRODUCT(INDIRECT(ADDRESS(3,ROW()-31,1)):INDIRECT(ADDRESS(22,ROW()-31,1)),AG$3:AG$22),"")</f>
        <v>6</v>
      </c>
      <c r="AH85">
        <f ca="1">IF(AND(((COLUMN()-10)&lt;=playercnt),((ROW()-41)&lt;=playercnt)),SUMPRODUCT(INDIRECT(ADDRESS(3,ROW()-31,1)):INDIRECT(ADDRESS(22,ROW()-31,1)),AH$3:AH$22),"")</f>
        <v>2</v>
      </c>
      <c r="AI85">
        <f ca="1">IF(AND(((COLUMN()-10)&lt;=playercnt),((ROW()-41)&lt;=playercnt)),SUMPRODUCT(INDIRECT(ADDRESS(3,ROW()-31,1)):INDIRECT(ADDRESS(22,ROW()-31,1)),AI$3:AI$22),"")</f>
        <v>5</v>
      </c>
      <c r="AJ85">
        <f ca="1">IF(AND(((COLUMN()-10)&lt;=playercnt),((ROW()-41)&lt;=playercnt)),SUMPRODUCT(INDIRECT(ADDRESS(3,ROW()-31,1)):INDIRECT(ADDRESS(22,ROW()-31,1)),AJ$3:AJ$22),"")</f>
        <v>4</v>
      </c>
      <c r="AK85">
        <f ca="1">IF(AND(((COLUMN()-10)&lt;=playercnt),((ROW()-41)&lt;=playercnt)),SUMPRODUCT(INDIRECT(ADDRESS(3,ROW()-31,1)):INDIRECT(ADDRESS(22,ROW()-31,1)),AK$3:AK$22),"")</f>
        <v>8</v>
      </c>
      <c r="AL85">
        <f ca="1">IF(AND(((COLUMN()-10)&lt;=playercnt),((ROW()-41)&lt;=playercnt)),SUMPRODUCT(INDIRECT(ADDRESS(3,ROW()-31,1)):INDIRECT(ADDRESS(22,ROW()-31,1)),AL$3:AL$22),"")</f>
        <v>8</v>
      </c>
      <c r="AM85">
        <f ca="1">IF(AND(((COLUMN()-10)&lt;=playercnt),((ROW()-41)&lt;=playercnt)),SUMPRODUCT(INDIRECT(ADDRESS(3,ROW()-31,1)):INDIRECT(ADDRESS(22,ROW()-31,1)),AM$3:AM$22),"")</f>
        <v>3</v>
      </c>
      <c r="AN85">
        <f ca="1">IF(AND(((COLUMN()-10)&lt;=playercnt),((ROW()-41)&lt;=playercnt)),SUMPRODUCT(INDIRECT(ADDRESS(3,ROW()-31,1)):INDIRECT(ADDRESS(22,ROW()-31,1)),AN$3:AN$22),"")</f>
        <v>6</v>
      </c>
      <c r="AO85">
        <f ca="1">IF(AND(((COLUMN()-10)&lt;=playercnt),((ROW()-41)&lt;=playercnt)),SUMPRODUCT(INDIRECT(ADDRESS(3,ROW()-31,1)):INDIRECT(ADDRESS(22,ROW()-31,1)),AO$3:AO$22),"")</f>
        <v>6</v>
      </c>
      <c r="AP85">
        <f ca="1">IF(AND(((COLUMN()-10)&lt;=playercnt),((ROW()-41)&lt;=playercnt)),SUMPRODUCT(INDIRECT(ADDRESS(3,ROW()-31,1)):INDIRECT(ADDRESS(22,ROW()-31,1)),AP$3:AP$22),"")</f>
        <v>7</v>
      </c>
      <c r="AQ85">
        <f ca="1">IF(AND(((COLUMN()-10)&lt;=playercnt),((ROW()-41)&lt;=playercnt)),SUMPRODUCT(INDIRECT(ADDRESS(3,ROW()-31,1)):INDIRECT(ADDRESS(22,ROW()-31,1)),AQ$3:AQ$22),"")</f>
        <v>7</v>
      </c>
      <c r="AR85">
        <f ca="1">IF(AND(((COLUMN()-10)&lt;=playercnt),((ROW()-41)&lt;=playercnt)),SUMPRODUCT(INDIRECT(ADDRESS(3,ROW()-31,1)):INDIRECT(ADDRESS(22,ROW()-31,1)),AR$3:AR$22),"")</f>
        <v>4</v>
      </c>
      <c r="AS85">
        <f ca="1">IF(AND(((COLUMN()-10)&lt;=playercnt),((ROW()-41)&lt;=playercnt)),SUMPRODUCT(INDIRECT(ADDRESS(3,ROW()-31,1)):INDIRECT(ADDRESS(22,ROW()-31,1)),AS$3:AS$22),"")</f>
        <v>2</v>
      </c>
      <c r="AT85">
        <f ca="1">IF(AND(((COLUMN()-10)&lt;=playercnt),((ROW()-41)&lt;=playercnt)),SUMPRODUCT(INDIRECT(ADDRESS(3,ROW()-31,1)):INDIRECT(ADDRESS(22,ROW()-31,1)),AT$3:AT$22),"")</f>
        <v>5</v>
      </c>
      <c r="AU85">
        <f ca="1">IF(AND(((COLUMN()-10)&lt;=playercnt),((ROW()-41)&lt;=playercnt)),SUMPRODUCT(INDIRECT(ADDRESS(3,ROW()-31,1)):INDIRECT(ADDRESS(22,ROW()-31,1)),AU$3:AU$22),"")</f>
        <v>5</v>
      </c>
      <c r="AV85">
        <f ca="1">IF(AND(((COLUMN()-10)&lt;=playercnt),((ROW()-41)&lt;=playercnt)),SUMPRODUCT(INDIRECT(ADDRESS(3,ROW()-31,1)):INDIRECT(ADDRESS(22,ROW()-31,1)),AV$3:AV$22),"")</f>
        <v>7</v>
      </c>
      <c r="AW85">
        <f ca="1">IF(AND(((COLUMN()-10)&lt;=playercnt),((ROW()-41)&lt;=playercnt)),SUMPRODUCT(INDIRECT(ADDRESS(3,ROW()-31,1)):INDIRECT(ADDRESS(22,ROW()-31,1)),AW$3:AW$22),"")</f>
        <v>3</v>
      </c>
      <c r="AX85">
        <f ca="1">IF(AND(((COLUMN()-10)&lt;=playercnt),((ROW()-41)&lt;=playercnt)),SUMPRODUCT(INDIRECT(ADDRESS(3,ROW()-31,1)):INDIRECT(ADDRESS(22,ROW()-31,1)),AX$3:AX$22),"")</f>
        <v>7</v>
      </c>
      <c r="AY85">
        <f ca="1">IF(AND(((COLUMN()-10)&lt;=playercnt),((ROW()-41)&lt;=playercnt)),SUMPRODUCT(INDIRECT(ADDRESS(3,ROW()-31,1)):INDIRECT(ADDRESS(22,ROW()-31,1)),AY$3:AY$22),"")</f>
        <v>5</v>
      </c>
      <c r="AZ85">
        <f ca="1">IF(AND(((COLUMN()-10)&lt;=playercnt),((ROW()-41)&lt;=playercnt)),SUMPRODUCT(INDIRECT(ADDRESS(3,ROW()-31,1)):INDIRECT(ADDRESS(22,ROW()-31,1)),AZ$3:AZ$22),"")</f>
        <v>2</v>
      </c>
      <c r="BA85">
        <f ca="1">IF(AND(((COLUMN()-10)&lt;=playercnt),((ROW()-41)&lt;=playercnt)),SUMPRODUCT(INDIRECT(ADDRESS(3,ROW()-31,1)):INDIRECT(ADDRESS(22,ROW()-31,1)),BA$3:BA$22),"")</f>
        <v>7</v>
      </c>
      <c r="BB85">
        <f ca="1">IF(AND(((COLUMN()-10)&lt;=playercnt),((ROW()-41)&lt;=playercnt)),SUMPRODUCT(INDIRECT(ADDRESS(3,ROW()-31,1)):INDIRECT(ADDRESS(22,ROW()-31,1)),BB$3:BB$22),"")</f>
        <v>10</v>
      </c>
      <c r="BC85">
        <f ca="1">IF(AND(((COLUMN()-10)&lt;=playercnt),((ROW()-41)&lt;=playercnt)),SUMPRODUCT(INDIRECT(ADDRESS(3,ROW()-31,1)):INDIRECT(ADDRESS(22,ROW()-31,1)),BC$3:BC$22),"")</f>
        <v>4</v>
      </c>
      <c r="BD85">
        <f ca="1">IF(AND(((COLUMN()-10)&lt;=playercnt),((ROW()-41)&lt;=playercnt)),SUMPRODUCT(INDIRECT(ADDRESS(3,ROW()-31,1)):INDIRECT(ADDRESS(22,ROW()-31,1)),BD$3:BD$22),"")</f>
        <v>5</v>
      </c>
      <c r="BE85">
        <f ca="1">IF(AND(((COLUMN()-10)&lt;=playercnt),((ROW()-41)&lt;=playercnt)),SUMPRODUCT(INDIRECT(ADDRESS(3,ROW()-31,1)):INDIRECT(ADDRESS(22,ROW()-31,1)),BE$3:BE$22),"")</f>
        <v>8</v>
      </c>
      <c r="BF85">
        <f ca="1">IF(AND(((COLUMN()-10)&lt;=playercnt),((ROW()-41)&lt;=playercnt)),SUMPRODUCT(INDIRECT(ADDRESS(3,ROW()-31,1)):INDIRECT(ADDRESS(22,ROW()-31,1)),BF$3:BF$22),"")</f>
        <v>6</v>
      </c>
      <c r="BG85">
        <f ca="1">IF(AND(((COLUMN()-10)&lt;=playercnt),((ROW()-41)&lt;=playercnt)),SUMPRODUCT(INDIRECT(ADDRESS(3,ROW()-31,1)):INDIRECT(ADDRESS(22,ROW()-31,1)),BG$3:BG$22),"")</f>
        <v>7</v>
      </c>
      <c r="BH85">
        <f ca="1">IF(AND(((COLUMN()-10)&lt;=playercnt),((ROW()-41)&lt;=playercnt)),SUMPRODUCT(INDIRECT(ADDRESS(3,ROW()-31,1)):INDIRECT(ADDRESS(22,ROW()-31,1)),BH$3:BH$22),"")</f>
        <v>4</v>
      </c>
      <c r="BI85">
        <f ca="1">IF(AND(((COLUMN()-10)&lt;=playercnt),((ROW()-41)&lt;=playercnt)),SUMPRODUCT(INDIRECT(ADDRESS(3,ROW()-31,1)):INDIRECT(ADDRESS(22,ROW()-31,1)),BI$3:BI$22),"")</f>
        <v>5</v>
      </c>
      <c r="BJ85">
        <f ca="1">IF(AND(((COLUMN()-10)&lt;=playercnt),((ROW()-41)&lt;=playercnt)),SUMPRODUCT(INDIRECT(ADDRESS(3,ROW()-31,1)):INDIRECT(ADDRESS(22,ROW()-31,1)),BJ$3:BJ$22),"")</f>
        <v>5</v>
      </c>
      <c r="BK85">
        <f ca="1">IF(AND(((COLUMN()-10)&lt;=playercnt),((ROW()-41)&lt;=playercnt)),SUMPRODUCT(INDIRECT(ADDRESS(3,ROW()-31,1)):INDIRECT(ADDRESS(22,ROW()-31,1)),BK$3:BK$22),"")</f>
        <v>8</v>
      </c>
      <c r="BL85">
        <f ca="1">IF(AND(((COLUMN()-10)&lt;=playercnt),((ROW()-41)&lt;=playercnt)),SUMPRODUCT(INDIRECT(ADDRESS(3,ROW()-31,1)):INDIRECT(ADDRESS(22,ROW()-31,1)),BL$3:BL$22),"")</f>
        <v>6</v>
      </c>
      <c r="BM85">
        <f ca="1">IF(AND(((COLUMN()-10)&lt;=playercnt),((ROW()-41)&lt;=playercnt)),SUMPRODUCT(INDIRECT(ADDRESS(3,ROW()-31,1)):INDIRECT(ADDRESS(22,ROW()-31,1)),BM$3:BM$22),"")</f>
        <v>2</v>
      </c>
      <c r="BN85">
        <f ca="1">IF(AND(((COLUMN()-10)&lt;=playercnt),((ROW()-41)&lt;=playercnt)),SUMPRODUCT(INDIRECT(ADDRESS(3,ROW()-31,1)):INDIRECT(ADDRESS(22,ROW()-31,1)),BN$3:BN$22),"")</f>
        <v>6</v>
      </c>
    </row>
    <row r="86" spans="2:66" ht="13.5" customHeight="1">
      <c r="B86" s="27">
        <f t="shared" ca="1" si="23"/>
        <v>4.6363636363636367</v>
      </c>
      <c r="C86" t="str">
        <f t="shared" ca="1" si="24"/>
        <v>Sapp, Carl G</v>
      </c>
      <c r="G86">
        <f ca="1">IF(AND(((COLUMN()-10)&lt;=playercnt),((ROW()-41)&lt;=playercnt)),SUMPRODUCT(INDIRECT(ADDRESS(3,ROW()-31,1)):INDIRECT(ADDRESS(22,ROW()-31,1)),G$3:G$22),"")</f>
        <v>5</v>
      </c>
      <c r="H86">
        <f ca="1">IF(AND(((COLUMN()-10)&lt;=playercnt),((ROW()-41)&lt;=playercnt)),SUMPRODUCT(INDIRECT(ADDRESS(3,ROW()-31,1)):INDIRECT(ADDRESS(22,ROW()-31,1)),H$3:H$22),"")</f>
        <v>2</v>
      </c>
      <c r="I86">
        <f ca="1">IF(AND(((COLUMN()-10)&lt;=playercnt),((ROW()-41)&lt;=playercnt)),SUMPRODUCT(INDIRECT(ADDRESS(3,ROW()-31,1)):INDIRECT(ADDRESS(22,ROW()-31,1)),I$3:I$22),"")</f>
        <v>4</v>
      </c>
      <c r="J86">
        <f ca="1">IF(AND(((COLUMN()-10)&lt;=playercnt),((ROW()-41)&lt;=playercnt)),SUMPRODUCT(INDIRECT(ADDRESS(3,ROW()-31,1)):INDIRECT(ADDRESS(22,ROW()-31,1)),J$3:J$22),"")</f>
        <v>0</v>
      </c>
      <c r="K86">
        <f ca="1">IF(AND(((COLUMN()-10)&lt;=playercnt),((ROW()-41)&lt;=playercnt)),SUMPRODUCT(INDIRECT(ADDRESS(3,ROW()-31,1)):INDIRECT(ADDRESS(22,ROW()-31,1)),K$3:K$22),"")</f>
        <v>5</v>
      </c>
      <c r="L86">
        <f ca="1">IF(AND(((COLUMN()-10)&lt;=playercnt),((ROW()-41)&lt;=playercnt)),SUMPRODUCT(INDIRECT(ADDRESS(3,ROW()-31,1)):INDIRECT(ADDRESS(22,ROW()-31,1)),L$3:L$22),"")</f>
        <v>2</v>
      </c>
      <c r="M86">
        <f ca="1">IF(AND(((COLUMN()-10)&lt;=playercnt),((ROW()-41)&lt;=playercnt)),SUMPRODUCT(INDIRECT(ADDRESS(3,ROW()-31,1)):INDIRECT(ADDRESS(22,ROW()-31,1)),M$3:M$22),"")</f>
        <v>6</v>
      </c>
      <c r="N86">
        <f ca="1">IF(AND(((COLUMN()-10)&lt;=playercnt),((ROW()-41)&lt;=playercnt)),SUMPRODUCT(INDIRECT(ADDRESS(3,ROW()-31,1)):INDIRECT(ADDRESS(22,ROW()-31,1)),N$3:N$22),"")</f>
        <v>4</v>
      </c>
      <c r="O86">
        <f ca="1">IF(AND(((COLUMN()-10)&lt;=playercnt),((ROW()-41)&lt;=playercnt)),SUMPRODUCT(INDIRECT(ADDRESS(3,ROW()-31,1)):INDIRECT(ADDRESS(22,ROW()-31,1)),O$3:O$22),"")</f>
        <v>4</v>
      </c>
      <c r="P86">
        <f ca="1">IF(AND(((COLUMN()-10)&lt;=playercnt),((ROW()-41)&lt;=playercnt)),SUMPRODUCT(INDIRECT(ADDRESS(3,ROW()-31,1)):INDIRECT(ADDRESS(22,ROW()-31,1)),P$3:P$22),"")</f>
        <v>5</v>
      </c>
      <c r="Q86">
        <f ca="1">IF(AND(((COLUMN()-10)&lt;=playercnt),((ROW()-41)&lt;=playercnt)),SUMPRODUCT(INDIRECT(ADDRESS(3,ROW()-31,1)):INDIRECT(ADDRESS(22,ROW()-31,1)),Q$3:Q$22),"")</f>
        <v>5</v>
      </c>
      <c r="R86">
        <f ca="1">IF(AND(((COLUMN()-10)&lt;=playercnt),((ROW()-41)&lt;=playercnt)),SUMPRODUCT(INDIRECT(ADDRESS(3,ROW()-31,1)):INDIRECT(ADDRESS(22,ROW()-31,1)),R$3:R$22),"")</f>
        <v>5</v>
      </c>
      <c r="S86">
        <f ca="1">IF(AND(((COLUMN()-10)&lt;=playercnt),((ROW()-41)&lt;=playercnt)),SUMPRODUCT(INDIRECT(ADDRESS(3,ROW()-31,1)):INDIRECT(ADDRESS(22,ROW()-31,1)),S$3:S$22),"")</f>
        <v>7</v>
      </c>
      <c r="T86">
        <f ca="1">IF(AND(((COLUMN()-10)&lt;=playercnt),((ROW()-41)&lt;=playercnt)),SUMPRODUCT(INDIRECT(ADDRESS(3,ROW()-31,1)):INDIRECT(ADDRESS(22,ROW()-31,1)),T$3:T$22),"")</f>
        <v>9</v>
      </c>
      <c r="U86">
        <f ca="1">IF(AND(((COLUMN()-10)&lt;=playercnt),((ROW()-41)&lt;=playercnt)),SUMPRODUCT(INDIRECT(ADDRESS(3,ROW()-31,1)):INDIRECT(ADDRESS(22,ROW()-31,1)),U$3:U$22),"")</f>
        <v>4</v>
      </c>
      <c r="V86">
        <f ca="1">IF(AND(((COLUMN()-10)&lt;=playercnt),((ROW()-41)&lt;=playercnt)),SUMPRODUCT(INDIRECT(ADDRESS(3,ROW()-31,1)):INDIRECT(ADDRESS(22,ROW()-31,1)),V$3:V$22),"")</f>
        <v>5</v>
      </c>
      <c r="W86">
        <f ca="1">IF(AND(((COLUMN()-10)&lt;=playercnt),((ROW()-41)&lt;=playercnt)),SUMPRODUCT(INDIRECT(ADDRESS(3,ROW()-31,1)):INDIRECT(ADDRESS(22,ROW()-31,1)),W$3:W$22),"")</f>
        <v>5</v>
      </c>
      <c r="X86">
        <f ca="1">IF(AND(((COLUMN()-10)&lt;=playercnt),((ROW()-41)&lt;=playercnt)),SUMPRODUCT(INDIRECT(ADDRESS(3,ROW()-31,1)):INDIRECT(ADDRESS(22,ROW()-31,1)),X$3:X$22),"")</f>
        <v>7</v>
      </c>
      <c r="Y86">
        <f ca="1">IF(AND(((COLUMN()-10)&lt;=playercnt),((ROW()-41)&lt;=playercnt)),SUMPRODUCT(INDIRECT(ADDRESS(3,ROW()-31,1)):INDIRECT(ADDRESS(22,ROW()-31,1)),Y$3:Y$22),"")</f>
        <v>2</v>
      </c>
      <c r="Z86">
        <f ca="1">IF(AND(((COLUMN()-10)&lt;=playercnt),((ROW()-41)&lt;=playercnt)),SUMPRODUCT(INDIRECT(ADDRESS(3,ROW()-31,1)):INDIRECT(ADDRESS(22,ROW()-31,1)),Z$3:Z$22),"")</f>
        <v>6</v>
      </c>
      <c r="AA86">
        <f ca="1">IF(AND(((COLUMN()-10)&lt;=playercnt),((ROW()-41)&lt;=playercnt)),SUMPRODUCT(INDIRECT(ADDRESS(3,ROW()-31,1)):INDIRECT(ADDRESS(22,ROW()-31,1)),AA$3:AA$22),"")</f>
        <v>6</v>
      </c>
      <c r="AB86">
        <f ca="1">IF(AND(((COLUMN()-10)&lt;=playercnt),((ROW()-41)&lt;=playercnt)),SUMPRODUCT(INDIRECT(ADDRESS(3,ROW()-31,1)):INDIRECT(ADDRESS(22,ROW()-31,1)),AB$3:AB$22),"")</f>
        <v>4</v>
      </c>
      <c r="AC86">
        <f ca="1">IF(AND(((COLUMN()-10)&lt;=playercnt),((ROW()-41)&lt;=playercnt)),SUMPRODUCT(INDIRECT(ADDRESS(3,ROW()-31,1)):INDIRECT(ADDRESS(22,ROW()-31,1)),AC$3:AC$22),"")</f>
        <v>3</v>
      </c>
      <c r="AD86">
        <f ca="1">IF(AND(((COLUMN()-10)&lt;=playercnt),((ROW()-41)&lt;=playercnt)),SUMPRODUCT(INDIRECT(ADDRESS(3,ROW()-31,1)):INDIRECT(ADDRESS(22,ROW()-31,1)),AD$3:AD$22),"")</f>
        <v>6</v>
      </c>
      <c r="AE86">
        <f ca="1">IF(AND(((COLUMN()-10)&lt;=playercnt),((ROW()-41)&lt;=playercnt)),SUMPRODUCT(INDIRECT(ADDRESS(3,ROW()-31,1)):INDIRECT(ADDRESS(22,ROW()-31,1)),AE$3:AE$22),"")</f>
        <v>2</v>
      </c>
      <c r="AF86">
        <f ca="1">IF(AND(((COLUMN()-10)&lt;=playercnt),((ROW()-41)&lt;=playercnt)),SUMPRODUCT(INDIRECT(ADDRESS(3,ROW()-31,1)):INDIRECT(ADDRESS(22,ROW()-31,1)),AF$3:AF$22),"")</f>
        <v>4</v>
      </c>
      <c r="AG86">
        <f ca="1">IF(AND(((COLUMN()-10)&lt;=playercnt),((ROW()-41)&lt;=playercnt)),SUMPRODUCT(INDIRECT(ADDRESS(3,ROW()-31,1)):INDIRECT(ADDRESS(22,ROW()-31,1)),AG$3:AG$22),"")</f>
        <v>4</v>
      </c>
      <c r="AH86">
        <f ca="1">IF(AND(((COLUMN()-10)&lt;=playercnt),((ROW()-41)&lt;=playercnt)),SUMPRODUCT(INDIRECT(ADDRESS(3,ROW()-31,1)):INDIRECT(ADDRESS(22,ROW()-31,1)),AH$3:AH$22),"")</f>
        <v>6</v>
      </c>
      <c r="AI86">
        <f ca="1">IF(AND(((COLUMN()-10)&lt;=playercnt),((ROW()-41)&lt;=playercnt)),SUMPRODUCT(INDIRECT(ADDRESS(3,ROW()-31,1)):INDIRECT(ADDRESS(22,ROW()-31,1)),AI$3:AI$22),"")</f>
        <v>1</v>
      </c>
      <c r="AJ86">
        <f ca="1">IF(AND(((COLUMN()-10)&lt;=playercnt),((ROW()-41)&lt;=playercnt)),SUMPRODUCT(INDIRECT(ADDRESS(3,ROW()-31,1)):INDIRECT(ADDRESS(22,ROW()-31,1)),AJ$3:AJ$22),"")</f>
        <v>4</v>
      </c>
      <c r="AK86">
        <f ca="1">IF(AND(((COLUMN()-10)&lt;=playercnt),((ROW()-41)&lt;=playercnt)),SUMPRODUCT(INDIRECT(ADDRESS(3,ROW()-31,1)):INDIRECT(ADDRESS(22,ROW()-31,1)),AK$3:AK$22),"")</f>
        <v>4</v>
      </c>
      <c r="AL86">
        <f ca="1">IF(AND(((COLUMN()-10)&lt;=playercnt),((ROW()-41)&lt;=playercnt)),SUMPRODUCT(INDIRECT(ADDRESS(3,ROW()-31,1)):INDIRECT(ADDRESS(22,ROW()-31,1)),AL$3:AL$22),"")</f>
        <v>4</v>
      </c>
      <c r="AM86">
        <f ca="1">IF(AND(((COLUMN()-10)&lt;=playercnt),((ROW()-41)&lt;=playercnt)),SUMPRODUCT(INDIRECT(ADDRESS(3,ROW()-31,1)):INDIRECT(ADDRESS(22,ROW()-31,1)),AM$3:AM$22),"")</f>
        <v>5</v>
      </c>
      <c r="AN86">
        <f ca="1">IF(AND(((COLUMN()-10)&lt;=playercnt),((ROW()-41)&lt;=playercnt)),SUMPRODUCT(INDIRECT(ADDRESS(3,ROW()-31,1)):INDIRECT(ADDRESS(22,ROW()-31,1)),AN$3:AN$22),"")</f>
        <v>0</v>
      </c>
      <c r="AO86">
        <f ca="1">IF(AND(((COLUMN()-10)&lt;=playercnt),((ROW()-41)&lt;=playercnt)),SUMPRODUCT(INDIRECT(ADDRESS(3,ROW()-31,1)):INDIRECT(ADDRESS(22,ROW()-31,1)),AO$3:AO$22),"")</f>
        <v>2</v>
      </c>
      <c r="AP86">
        <f ca="1">IF(AND(((COLUMN()-10)&lt;=playercnt),((ROW()-41)&lt;=playercnt)),SUMPRODUCT(INDIRECT(ADDRESS(3,ROW()-31,1)):INDIRECT(ADDRESS(22,ROW()-31,1)),AP$3:AP$22),"")</f>
        <v>7</v>
      </c>
      <c r="AQ86">
        <f ca="1">IF(AND(((COLUMN()-10)&lt;=playercnt),((ROW()-41)&lt;=playercnt)),SUMPRODUCT(INDIRECT(ADDRESS(3,ROW()-31,1)):INDIRECT(ADDRESS(22,ROW()-31,1)),AQ$3:AQ$22),"")</f>
        <v>3</v>
      </c>
      <c r="AR86">
        <f ca="1">IF(AND(((COLUMN()-10)&lt;=playercnt),((ROW()-41)&lt;=playercnt)),SUMPRODUCT(INDIRECT(ADDRESS(3,ROW()-31,1)):INDIRECT(ADDRESS(22,ROW()-31,1)),AR$3:AR$22),"")</f>
        <v>2</v>
      </c>
      <c r="AS86">
        <f ca="1">IF(AND(((COLUMN()-10)&lt;=playercnt),((ROW()-41)&lt;=playercnt)),SUMPRODUCT(INDIRECT(ADDRESS(3,ROW()-31,1)):INDIRECT(ADDRESS(22,ROW()-31,1)),AS$3:AS$22),"")</f>
        <v>6</v>
      </c>
      <c r="AT86">
        <f ca="1">IF(AND(((COLUMN()-10)&lt;=playercnt),((ROW()-41)&lt;=playercnt)),SUMPRODUCT(INDIRECT(ADDRESS(3,ROW()-31,1)):INDIRECT(ADDRESS(22,ROW()-31,1)),AT$3:AT$22),"")</f>
        <v>7</v>
      </c>
      <c r="AU86">
        <f ca="1">IF(AND(((COLUMN()-10)&lt;=playercnt),((ROW()-41)&lt;=playercnt)),SUMPRODUCT(INDIRECT(ADDRESS(3,ROW()-31,1)):INDIRECT(ADDRESS(22,ROW()-31,1)),AU$3:AU$22),"")</f>
        <v>3</v>
      </c>
      <c r="AV86">
        <f ca="1">IF(AND(((COLUMN()-10)&lt;=playercnt),((ROW()-41)&lt;=playercnt)),SUMPRODUCT(INDIRECT(ADDRESS(3,ROW()-31,1)):INDIRECT(ADDRESS(22,ROW()-31,1)),AV$3:AV$22),"")</f>
        <v>5</v>
      </c>
      <c r="AW86">
        <f ca="1">IF(AND(((COLUMN()-10)&lt;=playercnt),((ROW()-41)&lt;=playercnt)),SUMPRODUCT(INDIRECT(ADDRESS(3,ROW()-31,1)):INDIRECT(ADDRESS(22,ROW()-31,1)),AW$3:AW$22),"")</f>
        <v>5</v>
      </c>
      <c r="AX86">
        <f ca="1">IF(AND(((COLUMN()-10)&lt;=playercnt),((ROW()-41)&lt;=playercnt)),SUMPRODUCT(INDIRECT(ADDRESS(3,ROW()-31,1)):INDIRECT(ADDRESS(22,ROW()-31,1)),AX$3:AX$22),"")</f>
        <v>5</v>
      </c>
      <c r="AY86">
        <f ca="1">IF(AND(((COLUMN()-10)&lt;=playercnt),((ROW()-41)&lt;=playercnt)),SUMPRODUCT(INDIRECT(ADDRESS(3,ROW()-31,1)):INDIRECT(ADDRESS(22,ROW()-31,1)),AY$3:AY$22),"")</f>
        <v>3</v>
      </c>
      <c r="AZ86">
        <f ca="1">IF(AND(((COLUMN()-10)&lt;=playercnt),((ROW()-41)&lt;=playercnt)),SUMPRODUCT(INDIRECT(ADDRESS(3,ROW()-31,1)):INDIRECT(ADDRESS(22,ROW()-31,1)),AZ$3:AZ$22),"")</f>
        <v>6</v>
      </c>
      <c r="BA86">
        <f ca="1">IF(AND(((COLUMN()-10)&lt;=playercnt),((ROW()-41)&lt;=playercnt)),SUMPRODUCT(INDIRECT(ADDRESS(3,ROW()-31,1)):INDIRECT(ADDRESS(22,ROW()-31,1)),BA$3:BA$22),"")</f>
        <v>7</v>
      </c>
      <c r="BB86">
        <f ca="1">IF(AND(((COLUMN()-10)&lt;=playercnt),((ROW()-41)&lt;=playercnt)),SUMPRODUCT(INDIRECT(ADDRESS(3,ROW()-31,1)):INDIRECT(ADDRESS(22,ROW()-31,1)),BB$3:BB$22),"")</f>
        <v>4</v>
      </c>
      <c r="BC86">
        <f ca="1">IF(AND(((COLUMN()-10)&lt;=playercnt),((ROW()-41)&lt;=playercnt)),SUMPRODUCT(INDIRECT(ADDRESS(3,ROW()-31,1)):INDIRECT(ADDRESS(22,ROW()-31,1)),BC$3:BC$22),"")</f>
        <v>10</v>
      </c>
      <c r="BD86">
        <f ca="1">IF(AND(((COLUMN()-10)&lt;=playercnt),((ROW()-41)&lt;=playercnt)),SUMPRODUCT(INDIRECT(ADDRESS(3,ROW()-31,1)):INDIRECT(ADDRESS(22,ROW()-31,1)),BD$3:BD$22),"")</f>
        <v>7</v>
      </c>
      <c r="BE86">
        <f ca="1">IF(AND(((COLUMN()-10)&lt;=playercnt),((ROW()-41)&lt;=playercnt)),SUMPRODUCT(INDIRECT(ADDRESS(3,ROW()-31,1)):INDIRECT(ADDRESS(22,ROW()-31,1)),BE$3:BE$22),"")</f>
        <v>4</v>
      </c>
      <c r="BF86">
        <f ca="1">IF(AND(((COLUMN()-10)&lt;=playercnt),((ROW()-41)&lt;=playercnt)),SUMPRODUCT(INDIRECT(ADDRESS(3,ROW()-31,1)):INDIRECT(ADDRESS(22,ROW()-31,1)),BF$3:BF$22),"")</f>
        <v>4</v>
      </c>
      <c r="BG86">
        <f ca="1">IF(AND(((COLUMN()-10)&lt;=playercnt),((ROW()-41)&lt;=playercnt)),SUMPRODUCT(INDIRECT(ADDRESS(3,ROW()-31,1)):INDIRECT(ADDRESS(22,ROW()-31,1)),BG$3:BG$22),"")</f>
        <v>3</v>
      </c>
      <c r="BH86">
        <f ca="1">IF(AND(((COLUMN()-10)&lt;=playercnt),((ROW()-41)&lt;=playercnt)),SUMPRODUCT(INDIRECT(ADDRESS(3,ROW()-31,1)):INDIRECT(ADDRESS(22,ROW()-31,1)),BH$3:BH$22),"")</f>
        <v>6</v>
      </c>
      <c r="BI86">
        <f ca="1">IF(AND(((COLUMN()-10)&lt;=playercnt),((ROW()-41)&lt;=playercnt)),SUMPRODUCT(INDIRECT(ADDRESS(3,ROW()-31,1)):INDIRECT(ADDRESS(22,ROW()-31,1)),BI$3:BI$22),"")</f>
        <v>5</v>
      </c>
      <c r="BJ86">
        <f ca="1">IF(AND(((COLUMN()-10)&lt;=playercnt),((ROW()-41)&lt;=playercnt)),SUMPRODUCT(INDIRECT(ADDRESS(3,ROW()-31,1)):INDIRECT(ADDRESS(22,ROW()-31,1)),BJ$3:BJ$22),"")</f>
        <v>3</v>
      </c>
      <c r="BK86">
        <f ca="1">IF(AND(((COLUMN()-10)&lt;=playercnt),((ROW()-41)&lt;=playercnt)),SUMPRODUCT(INDIRECT(ADDRESS(3,ROW()-31,1)):INDIRECT(ADDRESS(22,ROW()-31,1)),BK$3:BK$22),"")</f>
        <v>6</v>
      </c>
      <c r="BL86">
        <f ca="1">IF(AND(((COLUMN()-10)&lt;=playercnt),((ROW()-41)&lt;=playercnt)),SUMPRODUCT(INDIRECT(ADDRESS(3,ROW()-31,1)):INDIRECT(ADDRESS(22,ROW()-31,1)),BL$3:BL$22),"")</f>
        <v>4</v>
      </c>
      <c r="BM86">
        <f ca="1">IF(AND(((COLUMN()-10)&lt;=playercnt),((ROW()-41)&lt;=playercnt)),SUMPRODUCT(INDIRECT(ADDRESS(3,ROW()-31,1)):INDIRECT(ADDRESS(22,ROW()-31,1)),BM$3:BM$22),"")</f>
        <v>6</v>
      </c>
      <c r="BN86">
        <f ca="1">IF(AND(((COLUMN()-10)&lt;=playercnt),((ROW()-41)&lt;=playercnt)),SUMPRODUCT(INDIRECT(ADDRESS(3,ROW()-31,1)):INDIRECT(ADDRESS(22,ROW()-31,1)),BN$3:BN$22),"")</f>
        <v>8</v>
      </c>
    </row>
    <row r="87" spans="2:66">
      <c r="B87" s="27">
        <f t="shared" ca="1" si="23"/>
        <v>5.5454545454545459</v>
      </c>
      <c r="C87" t="str">
        <f t="shared" ca="1" si="24"/>
        <v>Staub, Kevin</v>
      </c>
      <c r="G87">
        <f ca="1">IF(AND(((COLUMN()-10)&lt;=playercnt),((ROW()-41)&lt;=playercnt)),SUMPRODUCT(INDIRECT(ADDRESS(3,ROW()-31,1)):INDIRECT(ADDRESS(22,ROW()-31,1)),G$3:G$22),"")</f>
        <v>6</v>
      </c>
      <c r="H87">
        <f ca="1">IF(AND(((COLUMN()-10)&lt;=playercnt),((ROW()-41)&lt;=playercnt)),SUMPRODUCT(INDIRECT(ADDRESS(3,ROW()-31,1)):INDIRECT(ADDRESS(22,ROW()-31,1)),H$3:H$22),"")</f>
        <v>5</v>
      </c>
      <c r="I87">
        <f ca="1">IF(AND(((COLUMN()-10)&lt;=playercnt),((ROW()-41)&lt;=playercnt)),SUMPRODUCT(INDIRECT(ADDRESS(3,ROW()-31,1)):INDIRECT(ADDRESS(22,ROW()-31,1)),I$3:I$22),"")</f>
        <v>7</v>
      </c>
      <c r="J87">
        <f ca="1">IF(AND(((COLUMN()-10)&lt;=playercnt),((ROW()-41)&lt;=playercnt)),SUMPRODUCT(INDIRECT(ADDRESS(3,ROW()-31,1)):INDIRECT(ADDRESS(22,ROW()-31,1)),J$3:J$22),"")</f>
        <v>0</v>
      </c>
      <c r="K87">
        <f ca="1">IF(AND(((COLUMN()-10)&lt;=playercnt),((ROW()-41)&lt;=playercnt)),SUMPRODUCT(INDIRECT(ADDRESS(3,ROW()-31,1)):INDIRECT(ADDRESS(22,ROW()-31,1)),K$3:K$22),"")</f>
        <v>6</v>
      </c>
      <c r="L87">
        <f ca="1">IF(AND(((COLUMN()-10)&lt;=playercnt),((ROW()-41)&lt;=playercnt)),SUMPRODUCT(INDIRECT(ADDRESS(3,ROW()-31,1)):INDIRECT(ADDRESS(22,ROW()-31,1)),L$3:L$22),"")</f>
        <v>5</v>
      </c>
      <c r="M87">
        <f ca="1">IF(AND(((COLUMN()-10)&lt;=playercnt),((ROW()-41)&lt;=playercnt)),SUMPRODUCT(INDIRECT(ADDRESS(3,ROW()-31,1)):INDIRECT(ADDRESS(22,ROW()-31,1)),M$3:M$22),"")</f>
        <v>7</v>
      </c>
      <c r="N87">
        <f ca="1">IF(AND(((COLUMN()-10)&lt;=playercnt),((ROW()-41)&lt;=playercnt)),SUMPRODUCT(INDIRECT(ADDRESS(3,ROW()-31,1)):INDIRECT(ADDRESS(22,ROW()-31,1)),N$3:N$22),"")</f>
        <v>7</v>
      </c>
      <c r="O87">
        <f ca="1">IF(AND(((COLUMN()-10)&lt;=playercnt),((ROW()-41)&lt;=playercnt)),SUMPRODUCT(INDIRECT(ADDRESS(3,ROW()-31,1)):INDIRECT(ADDRESS(22,ROW()-31,1)),O$3:O$22),"")</f>
        <v>5</v>
      </c>
      <c r="P87">
        <f ca="1">IF(AND(((COLUMN()-10)&lt;=playercnt),((ROW()-41)&lt;=playercnt)),SUMPRODUCT(INDIRECT(ADDRESS(3,ROW()-31,1)):INDIRECT(ADDRESS(22,ROW()-31,1)),P$3:P$22),"")</f>
        <v>6</v>
      </c>
      <c r="Q87">
        <f ca="1">IF(AND(((COLUMN()-10)&lt;=playercnt),((ROW()-41)&lt;=playercnt)),SUMPRODUCT(INDIRECT(ADDRESS(3,ROW()-31,1)):INDIRECT(ADDRESS(22,ROW()-31,1)),Q$3:Q$22),"")</f>
        <v>6</v>
      </c>
      <c r="R87">
        <f ca="1">IF(AND(((COLUMN()-10)&lt;=playercnt),((ROW()-41)&lt;=playercnt)),SUMPRODUCT(INDIRECT(ADDRESS(3,ROW()-31,1)):INDIRECT(ADDRESS(22,ROW()-31,1)),R$3:R$22),"")</f>
        <v>8</v>
      </c>
      <c r="S87">
        <f ca="1">IF(AND(((COLUMN()-10)&lt;=playercnt),((ROW()-41)&lt;=playercnt)),SUMPRODUCT(INDIRECT(ADDRESS(3,ROW()-31,1)):INDIRECT(ADDRESS(22,ROW()-31,1)),S$3:S$22),"")</f>
        <v>6</v>
      </c>
      <c r="T87">
        <f ca="1">IF(AND(((COLUMN()-10)&lt;=playercnt),((ROW()-41)&lt;=playercnt)),SUMPRODUCT(INDIRECT(ADDRESS(3,ROW()-31,1)):INDIRECT(ADDRESS(22,ROW()-31,1)),T$3:T$22),"")</f>
        <v>6</v>
      </c>
      <c r="U87">
        <f ca="1">IF(AND(((COLUMN()-10)&lt;=playercnt),((ROW()-41)&lt;=playercnt)),SUMPRODUCT(INDIRECT(ADDRESS(3,ROW()-31,1)):INDIRECT(ADDRESS(22,ROW()-31,1)),U$3:U$22),"")</f>
        <v>7</v>
      </c>
      <c r="V87">
        <f ca="1">IF(AND(((COLUMN()-10)&lt;=playercnt),((ROW()-41)&lt;=playercnt)),SUMPRODUCT(INDIRECT(ADDRESS(3,ROW()-31,1)):INDIRECT(ADDRESS(22,ROW()-31,1)),V$3:V$22),"")</f>
        <v>6</v>
      </c>
      <c r="W87">
        <f ca="1">IF(AND(((COLUMN()-10)&lt;=playercnt),((ROW()-41)&lt;=playercnt)),SUMPRODUCT(INDIRECT(ADDRESS(3,ROW()-31,1)):INDIRECT(ADDRESS(22,ROW()-31,1)),W$3:W$22),"")</f>
        <v>6</v>
      </c>
      <c r="X87">
        <f ca="1">IF(AND(((COLUMN()-10)&lt;=playercnt),((ROW()-41)&lt;=playercnt)),SUMPRODUCT(INDIRECT(ADDRESS(3,ROW()-31,1)):INDIRECT(ADDRESS(22,ROW()-31,1)),X$3:X$22),"")</f>
        <v>8</v>
      </c>
      <c r="Y87">
        <f ca="1">IF(AND(((COLUMN()-10)&lt;=playercnt),((ROW()-41)&lt;=playercnt)),SUMPRODUCT(INDIRECT(ADDRESS(3,ROW()-31,1)):INDIRECT(ADDRESS(22,ROW()-31,1)),Y$3:Y$22),"")</f>
        <v>3</v>
      </c>
      <c r="Z87">
        <f ca="1">IF(AND(((COLUMN()-10)&lt;=playercnt),((ROW()-41)&lt;=playercnt)),SUMPRODUCT(INDIRECT(ADDRESS(3,ROW()-31,1)):INDIRECT(ADDRESS(22,ROW()-31,1)),Z$3:Z$22),"")</f>
        <v>3</v>
      </c>
      <c r="AA87">
        <f ca="1">IF(AND(((COLUMN()-10)&lt;=playercnt),((ROW()-41)&lt;=playercnt)),SUMPRODUCT(INDIRECT(ADDRESS(3,ROW()-31,1)):INDIRECT(ADDRESS(22,ROW()-31,1)),AA$3:AA$22),"")</f>
        <v>7</v>
      </c>
      <c r="AB87">
        <f ca="1">IF(AND(((COLUMN()-10)&lt;=playercnt),((ROW()-41)&lt;=playercnt)),SUMPRODUCT(INDIRECT(ADDRESS(3,ROW()-31,1)):INDIRECT(ADDRESS(22,ROW()-31,1)),AB$3:AB$22),"")</f>
        <v>7</v>
      </c>
      <c r="AC87">
        <f ca="1">IF(AND(((COLUMN()-10)&lt;=playercnt),((ROW()-41)&lt;=playercnt)),SUMPRODUCT(INDIRECT(ADDRESS(3,ROW()-31,1)):INDIRECT(ADDRESS(22,ROW()-31,1)),AC$3:AC$22),"")</f>
        <v>4</v>
      </c>
      <c r="AD87">
        <f ca="1">IF(AND(((COLUMN()-10)&lt;=playercnt),((ROW()-41)&lt;=playercnt)),SUMPRODUCT(INDIRECT(ADDRESS(3,ROW()-31,1)):INDIRECT(ADDRESS(22,ROW()-31,1)),AD$3:AD$22),"")</f>
        <v>9</v>
      </c>
      <c r="AE87">
        <f ca="1">IF(AND(((COLUMN()-10)&lt;=playercnt),((ROW()-41)&lt;=playercnt)),SUMPRODUCT(INDIRECT(ADDRESS(3,ROW()-31,1)):INDIRECT(ADDRESS(22,ROW()-31,1)),AE$3:AE$22),"")</f>
        <v>5</v>
      </c>
      <c r="AF87">
        <f ca="1">IF(AND(((COLUMN()-10)&lt;=playercnt),((ROW()-41)&lt;=playercnt)),SUMPRODUCT(INDIRECT(ADDRESS(3,ROW()-31,1)):INDIRECT(ADDRESS(22,ROW()-31,1)),AF$3:AF$22),"")</f>
        <v>5</v>
      </c>
      <c r="AG87">
        <f ca="1">IF(AND(((COLUMN()-10)&lt;=playercnt),((ROW()-41)&lt;=playercnt)),SUMPRODUCT(INDIRECT(ADDRESS(3,ROW()-31,1)):INDIRECT(ADDRESS(22,ROW()-31,1)),AG$3:AG$22),"")</f>
        <v>5</v>
      </c>
      <c r="AH87">
        <f ca="1">IF(AND(((COLUMN()-10)&lt;=playercnt),((ROW()-41)&lt;=playercnt)),SUMPRODUCT(INDIRECT(ADDRESS(3,ROW()-31,1)):INDIRECT(ADDRESS(22,ROW()-31,1)),AH$3:AH$22),"")</f>
        <v>5</v>
      </c>
      <c r="AI87">
        <f ca="1">IF(AND(((COLUMN()-10)&lt;=playercnt),((ROW()-41)&lt;=playercnt)),SUMPRODUCT(INDIRECT(ADDRESS(3,ROW()-31,1)):INDIRECT(ADDRESS(22,ROW()-31,1)),AI$3:AI$22),"")</f>
        <v>4</v>
      </c>
      <c r="AJ87">
        <f ca="1">IF(AND(((COLUMN()-10)&lt;=playercnt),((ROW()-41)&lt;=playercnt)),SUMPRODUCT(INDIRECT(ADDRESS(3,ROW()-31,1)):INDIRECT(ADDRESS(22,ROW()-31,1)),AJ$3:AJ$22),"")</f>
        <v>3</v>
      </c>
      <c r="AK87">
        <f ca="1">IF(AND(((COLUMN()-10)&lt;=playercnt),((ROW()-41)&lt;=playercnt)),SUMPRODUCT(INDIRECT(ADDRESS(3,ROW()-31,1)):INDIRECT(ADDRESS(22,ROW()-31,1)),AK$3:AK$22),"")</f>
        <v>5</v>
      </c>
      <c r="AL87">
        <f ca="1">IF(AND(((COLUMN()-10)&lt;=playercnt),((ROW()-41)&lt;=playercnt)),SUMPRODUCT(INDIRECT(ADDRESS(3,ROW()-31,1)):INDIRECT(ADDRESS(22,ROW()-31,1)),AL$3:AL$22),"")</f>
        <v>5</v>
      </c>
      <c r="AM87">
        <f ca="1">IF(AND(((COLUMN()-10)&lt;=playercnt),((ROW()-41)&lt;=playercnt)),SUMPRODUCT(INDIRECT(ADDRESS(3,ROW()-31,1)):INDIRECT(ADDRESS(22,ROW()-31,1)),AM$3:AM$22),"")</f>
        <v>4</v>
      </c>
      <c r="AN87">
        <f ca="1">IF(AND(((COLUMN()-10)&lt;=playercnt),((ROW()-41)&lt;=playercnt)),SUMPRODUCT(INDIRECT(ADDRESS(3,ROW()-31,1)):INDIRECT(ADDRESS(22,ROW()-31,1)),AN$3:AN$22),"")</f>
        <v>3</v>
      </c>
      <c r="AO87">
        <f ca="1">IF(AND(((COLUMN()-10)&lt;=playercnt),((ROW()-41)&lt;=playercnt)),SUMPRODUCT(INDIRECT(ADDRESS(3,ROW()-31,1)):INDIRECT(ADDRESS(22,ROW()-31,1)),AO$3:AO$22),"")</f>
        <v>1</v>
      </c>
      <c r="AP87">
        <f ca="1">IF(AND(((COLUMN()-10)&lt;=playercnt),((ROW()-41)&lt;=playercnt)),SUMPRODUCT(INDIRECT(ADDRESS(3,ROW()-31,1)):INDIRECT(ADDRESS(22,ROW()-31,1)),AP$3:AP$22),"")</f>
        <v>8</v>
      </c>
      <c r="AQ87">
        <f ca="1">IF(AND(((COLUMN()-10)&lt;=playercnt),((ROW()-41)&lt;=playercnt)),SUMPRODUCT(INDIRECT(ADDRESS(3,ROW()-31,1)):INDIRECT(ADDRESS(22,ROW()-31,1)),AQ$3:AQ$22),"")</f>
        <v>4</v>
      </c>
      <c r="AR87">
        <f ca="1">IF(AND(((COLUMN()-10)&lt;=playercnt),((ROW()-41)&lt;=playercnt)),SUMPRODUCT(INDIRECT(ADDRESS(3,ROW()-31,1)):INDIRECT(ADDRESS(22,ROW()-31,1)),AR$3:AR$22),"")</f>
        <v>5</v>
      </c>
      <c r="AS87">
        <f ca="1">IF(AND(((COLUMN()-10)&lt;=playercnt),((ROW()-41)&lt;=playercnt)),SUMPRODUCT(INDIRECT(ADDRESS(3,ROW()-31,1)):INDIRECT(ADDRESS(22,ROW()-31,1)),AS$3:AS$22),"")</f>
        <v>5</v>
      </c>
      <c r="AT87">
        <f ca="1">IF(AND(((COLUMN()-10)&lt;=playercnt),((ROW()-41)&lt;=playercnt)),SUMPRODUCT(INDIRECT(ADDRESS(3,ROW()-31,1)):INDIRECT(ADDRESS(22,ROW()-31,1)),AT$3:AT$22),"")</f>
        <v>6</v>
      </c>
      <c r="AU87">
        <f ca="1">IF(AND(((COLUMN()-10)&lt;=playercnt),((ROW()-41)&lt;=playercnt)),SUMPRODUCT(INDIRECT(ADDRESS(3,ROW()-31,1)):INDIRECT(ADDRESS(22,ROW()-31,1)),AU$3:AU$22),"")</f>
        <v>6</v>
      </c>
      <c r="AV87">
        <f ca="1">IF(AND(((COLUMN()-10)&lt;=playercnt),((ROW()-41)&lt;=playercnt)),SUMPRODUCT(INDIRECT(ADDRESS(3,ROW()-31,1)):INDIRECT(ADDRESS(22,ROW()-31,1)),AV$3:AV$22),"")</f>
        <v>6</v>
      </c>
      <c r="AW87">
        <f ca="1">IF(AND(((COLUMN()-10)&lt;=playercnt),((ROW()-41)&lt;=playercnt)),SUMPRODUCT(INDIRECT(ADDRESS(3,ROW()-31,1)):INDIRECT(ADDRESS(22,ROW()-31,1)),AW$3:AW$22),"")</f>
        <v>6</v>
      </c>
      <c r="AX87">
        <f ca="1">IF(AND(((COLUMN()-10)&lt;=playercnt),((ROW()-41)&lt;=playercnt)),SUMPRODUCT(INDIRECT(ADDRESS(3,ROW()-31,1)):INDIRECT(ADDRESS(22,ROW()-31,1)),AX$3:AX$22),"")</f>
        <v>6</v>
      </c>
      <c r="AY87">
        <f ca="1">IF(AND(((COLUMN()-10)&lt;=playercnt),((ROW()-41)&lt;=playercnt)),SUMPRODUCT(INDIRECT(ADDRESS(3,ROW()-31,1)):INDIRECT(ADDRESS(22,ROW()-31,1)),AY$3:AY$22),"")</f>
        <v>6</v>
      </c>
      <c r="AZ87">
        <f ca="1">IF(AND(((COLUMN()-10)&lt;=playercnt),((ROW()-41)&lt;=playercnt)),SUMPRODUCT(INDIRECT(ADDRESS(3,ROW()-31,1)):INDIRECT(ADDRESS(22,ROW()-31,1)),AZ$3:AZ$22),"")</f>
        <v>7</v>
      </c>
      <c r="BA87">
        <f ca="1">IF(AND(((COLUMN()-10)&lt;=playercnt),((ROW()-41)&lt;=playercnt)),SUMPRODUCT(INDIRECT(ADDRESS(3,ROW()-31,1)):INDIRECT(ADDRESS(22,ROW()-31,1)),BA$3:BA$22),"")</f>
        <v>6</v>
      </c>
      <c r="BB87">
        <f ca="1">IF(AND(((COLUMN()-10)&lt;=playercnt),((ROW()-41)&lt;=playercnt)),SUMPRODUCT(INDIRECT(ADDRESS(3,ROW()-31,1)):INDIRECT(ADDRESS(22,ROW()-31,1)),BB$3:BB$22),"")</f>
        <v>5</v>
      </c>
      <c r="BC87">
        <f ca="1">IF(AND(((COLUMN()-10)&lt;=playercnt),((ROW()-41)&lt;=playercnt)),SUMPRODUCT(INDIRECT(ADDRESS(3,ROW()-31,1)):INDIRECT(ADDRESS(22,ROW()-31,1)),BC$3:BC$22),"")</f>
        <v>7</v>
      </c>
      <c r="BD87">
        <f ca="1">IF(AND(((COLUMN()-10)&lt;=playercnt),((ROW()-41)&lt;=playercnt)),SUMPRODUCT(INDIRECT(ADDRESS(3,ROW()-31,1)):INDIRECT(ADDRESS(22,ROW()-31,1)),BD$3:BD$22),"")</f>
        <v>10</v>
      </c>
      <c r="BE87">
        <f ca="1">IF(AND(((COLUMN()-10)&lt;=playercnt),((ROW()-41)&lt;=playercnt)),SUMPRODUCT(INDIRECT(ADDRESS(3,ROW()-31,1)):INDIRECT(ADDRESS(22,ROW()-31,1)),BE$3:BE$22),"")</f>
        <v>5</v>
      </c>
      <c r="BF87">
        <f ca="1">IF(AND(((COLUMN()-10)&lt;=playercnt),((ROW()-41)&lt;=playercnt)),SUMPRODUCT(INDIRECT(ADDRESS(3,ROW()-31,1)):INDIRECT(ADDRESS(22,ROW()-31,1)),BF$3:BF$22),"")</f>
        <v>7</v>
      </c>
      <c r="BG87">
        <f ca="1">IF(AND(((COLUMN()-10)&lt;=playercnt),((ROW()-41)&lt;=playercnt)),SUMPRODUCT(INDIRECT(ADDRESS(3,ROW()-31,1)):INDIRECT(ADDRESS(22,ROW()-31,1)),BG$3:BG$22),"")</f>
        <v>4</v>
      </c>
      <c r="BH87">
        <f ca="1">IF(AND(((COLUMN()-10)&lt;=playercnt),((ROW()-41)&lt;=playercnt)),SUMPRODUCT(INDIRECT(ADDRESS(3,ROW()-31,1)):INDIRECT(ADDRESS(22,ROW()-31,1)),BH$3:BH$22),"")</f>
        <v>9</v>
      </c>
      <c r="BI87">
        <f ca="1">IF(AND(((COLUMN()-10)&lt;=playercnt),((ROW()-41)&lt;=playercnt)),SUMPRODUCT(INDIRECT(ADDRESS(3,ROW()-31,1)):INDIRECT(ADDRESS(22,ROW()-31,1)),BI$3:BI$22),"")</f>
        <v>4</v>
      </c>
      <c r="BJ87">
        <f ca="1">IF(AND(((COLUMN()-10)&lt;=playercnt),((ROW()-41)&lt;=playercnt)),SUMPRODUCT(INDIRECT(ADDRESS(3,ROW()-31,1)):INDIRECT(ADDRESS(22,ROW()-31,1)),BJ$3:BJ$22),"")</f>
        <v>4</v>
      </c>
      <c r="BK87">
        <f ca="1">IF(AND(((COLUMN()-10)&lt;=playercnt),((ROW()-41)&lt;=playercnt)),SUMPRODUCT(INDIRECT(ADDRESS(3,ROW()-31,1)):INDIRECT(ADDRESS(22,ROW()-31,1)),BK$3:BK$22),"")</f>
        <v>7</v>
      </c>
      <c r="BL87">
        <f ca="1">IF(AND(((COLUMN()-10)&lt;=playercnt),((ROW()-41)&lt;=playercnt)),SUMPRODUCT(INDIRECT(ADDRESS(3,ROW()-31,1)):INDIRECT(ADDRESS(22,ROW()-31,1)),BL$3:BL$22),"")</f>
        <v>7</v>
      </c>
      <c r="BM87">
        <f ca="1">IF(AND(((COLUMN()-10)&lt;=playercnt),((ROW()-41)&lt;=playercnt)),SUMPRODUCT(INDIRECT(ADDRESS(3,ROW()-31,1)):INDIRECT(ADDRESS(22,ROW()-31,1)),BM$3:BM$22),"")</f>
        <v>3</v>
      </c>
      <c r="BN87">
        <f ca="1">IF(AND(((COLUMN()-10)&lt;=playercnt),((ROW()-41)&lt;=playercnt)),SUMPRODUCT(INDIRECT(ADDRESS(3,ROW()-31,1)):INDIRECT(ADDRESS(22,ROW()-31,1)),BN$3:BN$22),"")</f>
        <v>5</v>
      </c>
    </row>
    <row r="88" spans="2:66">
      <c r="B88" s="27">
        <f t="shared" ca="1" si="23"/>
        <v>5.581818181818182</v>
      </c>
      <c r="C88" t="str">
        <f t="shared" ca="1" si="24"/>
        <v>Staub, Ryan</v>
      </c>
      <c r="G88">
        <f ca="1">IF(AND(((COLUMN()-10)&lt;=playercnt),((ROW()-41)&lt;=playercnt)),SUMPRODUCT(INDIRECT(ADDRESS(3,ROW()-31,1)):INDIRECT(ADDRESS(22,ROW()-31,1)),G$3:G$22),"")</f>
        <v>3</v>
      </c>
      <c r="H88">
        <f ca="1">IF(AND(((COLUMN()-10)&lt;=playercnt),((ROW()-41)&lt;=playercnt)),SUMPRODUCT(INDIRECT(ADDRESS(3,ROW()-31,1)):INDIRECT(ADDRESS(22,ROW()-31,1)),H$3:H$22),"")</f>
        <v>4</v>
      </c>
      <c r="I88">
        <f ca="1">IF(AND(((COLUMN()-10)&lt;=playercnt),((ROW()-41)&lt;=playercnt)),SUMPRODUCT(INDIRECT(ADDRESS(3,ROW()-31,1)):INDIRECT(ADDRESS(22,ROW()-31,1)),I$3:I$22),"")</f>
        <v>8</v>
      </c>
      <c r="J88">
        <f ca="1">IF(AND(((COLUMN()-10)&lt;=playercnt),((ROW()-41)&lt;=playercnt)),SUMPRODUCT(INDIRECT(ADDRESS(3,ROW()-31,1)):INDIRECT(ADDRESS(22,ROW()-31,1)),J$3:J$22),"")</f>
        <v>0</v>
      </c>
      <c r="K88">
        <f ca="1">IF(AND(((COLUMN()-10)&lt;=playercnt),((ROW()-41)&lt;=playercnt)),SUMPRODUCT(INDIRECT(ADDRESS(3,ROW()-31,1)):INDIRECT(ADDRESS(22,ROW()-31,1)),K$3:K$22),"")</f>
        <v>5</v>
      </c>
      <c r="L88">
        <f ca="1">IF(AND(((COLUMN()-10)&lt;=playercnt),((ROW()-41)&lt;=playercnt)),SUMPRODUCT(INDIRECT(ADDRESS(3,ROW()-31,1)):INDIRECT(ADDRESS(22,ROW()-31,1)),L$3:L$22),"")</f>
        <v>6</v>
      </c>
      <c r="M88">
        <f ca="1">IF(AND(((COLUMN()-10)&lt;=playercnt),((ROW()-41)&lt;=playercnt)),SUMPRODUCT(INDIRECT(ADDRESS(3,ROW()-31,1)):INDIRECT(ADDRESS(22,ROW()-31,1)),M$3:M$22),"")</f>
        <v>6</v>
      </c>
      <c r="N88">
        <f ca="1">IF(AND(((COLUMN()-10)&lt;=playercnt),((ROW()-41)&lt;=playercnt)),SUMPRODUCT(INDIRECT(ADDRESS(3,ROW()-31,1)):INDIRECT(ADDRESS(22,ROW()-31,1)),N$3:N$22),"")</f>
        <v>4</v>
      </c>
      <c r="O88">
        <f ca="1">IF(AND(((COLUMN()-10)&lt;=playercnt),((ROW()-41)&lt;=playercnt)),SUMPRODUCT(INDIRECT(ADDRESS(3,ROW()-31,1)):INDIRECT(ADDRESS(22,ROW()-31,1)),O$3:O$22),"")</f>
        <v>6</v>
      </c>
      <c r="P88">
        <f ca="1">IF(AND(((COLUMN()-10)&lt;=playercnt),((ROW()-41)&lt;=playercnt)),SUMPRODUCT(INDIRECT(ADDRESS(3,ROW()-31,1)):INDIRECT(ADDRESS(22,ROW()-31,1)),P$3:P$22),"")</f>
        <v>5</v>
      </c>
      <c r="Q88">
        <f ca="1">IF(AND(((COLUMN()-10)&lt;=playercnt),((ROW()-41)&lt;=playercnt)),SUMPRODUCT(INDIRECT(ADDRESS(3,ROW()-31,1)):INDIRECT(ADDRESS(22,ROW()-31,1)),Q$3:Q$22),"")</f>
        <v>7</v>
      </c>
      <c r="R88">
        <f ca="1">IF(AND(((COLUMN()-10)&lt;=playercnt),((ROW()-41)&lt;=playercnt)),SUMPRODUCT(INDIRECT(ADDRESS(3,ROW()-31,1)):INDIRECT(ADDRESS(22,ROW()-31,1)),R$3:R$22),"")</f>
        <v>7</v>
      </c>
      <c r="S88">
        <f ca="1">IF(AND(((COLUMN()-10)&lt;=playercnt),((ROW()-41)&lt;=playercnt)),SUMPRODUCT(INDIRECT(ADDRESS(3,ROW()-31,1)):INDIRECT(ADDRESS(22,ROW()-31,1)),S$3:S$22),"")</f>
        <v>7</v>
      </c>
      <c r="T88">
        <f ca="1">IF(AND(((COLUMN()-10)&lt;=playercnt),((ROW()-41)&lt;=playercnt)),SUMPRODUCT(INDIRECT(ADDRESS(3,ROW()-31,1)):INDIRECT(ADDRESS(22,ROW()-31,1)),T$3:T$22),"")</f>
        <v>5</v>
      </c>
      <c r="U88">
        <f ca="1">IF(AND(((COLUMN()-10)&lt;=playercnt),((ROW()-41)&lt;=playercnt)),SUMPRODUCT(INDIRECT(ADDRESS(3,ROW()-31,1)):INDIRECT(ADDRESS(22,ROW()-31,1)),U$3:U$22),"")</f>
        <v>6</v>
      </c>
      <c r="V88">
        <f ca="1">IF(AND(((COLUMN()-10)&lt;=playercnt),((ROW()-41)&lt;=playercnt)),SUMPRODUCT(INDIRECT(ADDRESS(3,ROW()-31,1)):INDIRECT(ADDRESS(22,ROW()-31,1)),V$3:V$22),"")</f>
        <v>5</v>
      </c>
      <c r="W88">
        <f ca="1">IF(AND(((COLUMN()-10)&lt;=playercnt),((ROW()-41)&lt;=playercnt)),SUMPRODUCT(INDIRECT(ADDRESS(3,ROW()-31,1)):INDIRECT(ADDRESS(22,ROW()-31,1)),W$3:W$22),"")</f>
        <v>5</v>
      </c>
      <c r="X88">
        <f ca="1">IF(AND(((COLUMN()-10)&lt;=playercnt),((ROW()-41)&lt;=playercnt)),SUMPRODUCT(INDIRECT(ADDRESS(3,ROW()-31,1)):INDIRECT(ADDRESS(22,ROW()-31,1)),X$3:X$22),"")</f>
        <v>5</v>
      </c>
      <c r="Y88">
        <f ca="1">IF(AND(((COLUMN()-10)&lt;=playercnt),((ROW()-41)&lt;=playercnt)),SUMPRODUCT(INDIRECT(ADDRESS(3,ROW()-31,1)):INDIRECT(ADDRESS(22,ROW()-31,1)),Y$3:Y$22),"")</f>
        <v>6</v>
      </c>
      <c r="Z88">
        <f ca="1">IF(AND(((COLUMN()-10)&lt;=playercnt),((ROW()-41)&lt;=playercnt)),SUMPRODUCT(INDIRECT(ADDRESS(3,ROW()-31,1)):INDIRECT(ADDRESS(22,ROW()-31,1)),Z$3:Z$22),"")</f>
        <v>4</v>
      </c>
      <c r="AA88">
        <f ca="1">IF(AND(((COLUMN()-10)&lt;=playercnt),((ROW()-41)&lt;=playercnt)),SUMPRODUCT(INDIRECT(ADDRESS(3,ROW()-31,1)):INDIRECT(ADDRESS(22,ROW()-31,1)),AA$3:AA$22),"")</f>
        <v>2</v>
      </c>
      <c r="AB88">
        <f ca="1">IF(AND(((COLUMN()-10)&lt;=playercnt),((ROW()-41)&lt;=playercnt)),SUMPRODUCT(INDIRECT(ADDRESS(3,ROW()-31,1)):INDIRECT(ADDRESS(22,ROW()-31,1)),AB$3:AB$22),"")</f>
        <v>6</v>
      </c>
      <c r="AC88">
        <f ca="1">IF(AND(((COLUMN()-10)&lt;=playercnt),((ROW()-41)&lt;=playercnt)),SUMPRODUCT(INDIRECT(ADDRESS(3,ROW()-31,1)):INDIRECT(ADDRESS(22,ROW()-31,1)),AC$3:AC$22),"")</f>
        <v>7</v>
      </c>
      <c r="AD88">
        <f ca="1">IF(AND(((COLUMN()-10)&lt;=playercnt),((ROW()-41)&lt;=playercnt)),SUMPRODUCT(INDIRECT(ADDRESS(3,ROW()-31,1)):INDIRECT(ADDRESS(22,ROW()-31,1)),AD$3:AD$22),"")</f>
        <v>6</v>
      </c>
      <c r="AE88">
        <f ca="1">IF(AND(((COLUMN()-10)&lt;=playercnt),((ROW()-41)&lt;=playercnt)),SUMPRODUCT(INDIRECT(ADDRESS(3,ROW()-31,1)):INDIRECT(ADDRESS(22,ROW()-31,1)),AE$3:AE$22),"")</f>
        <v>4</v>
      </c>
      <c r="AF88">
        <f ca="1">IF(AND(((COLUMN()-10)&lt;=playercnt),((ROW()-41)&lt;=playercnt)),SUMPRODUCT(INDIRECT(ADDRESS(3,ROW()-31,1)):INDIRECT(ADDRESS(22,ROW()-31,1)),AF$3:AF$22),"")</f>
        <v>4</v>
      </c>
      <c r="AG88">
        <f ca="1">IF(AND(((COLUMN()-10)&lt;=playercnt),((ROW()-41)&lt;=playercnt)),SUMPRODUCT(INDIRECT(ADDRESS(3,ROW()-31,1)):INDIRECT(ADDRESS(22,ROW()-31,1)),AG$3:AG$22),"")</f>
        <v>8</v>
      </c>
      <c r="AH88">
        <f ca="1">IF(AND(((COLUMN()-10)&lt;=playercnt),((ROW()-41)&lt;=playercnt)),SUMPRODUCT(INDIRECT(ADDRESS(3,ROW()-31,1)):INDIRECT(ADDRESS(22,ROW()-31,1)),AH$3:AH$22),"")</f>
        <v>4</v>
      </c>
      <c r="AI88">
        <f ca="1">IF(AND(((COLUMN()-10)&lt;=playercnt),((ROW()-41)&lt;=playercnt)),SUMPRODUCT(INDIRECT(ADDRESS(3,ROW()-31,1)):INDIRECT(ADDRESS(22,ROW()-31,1)),AI$3:AI$22),"")</f>
        <v>5</v>
      </c>
      <c r="AJ88">
        <f ca="1">IF(AND(((COLUMN()-10)&lt;=playercnt),((ROW()-41)&lt;=playercnt)),SUMPRODUCT(INDIRECT(ADDRESS(3,ROW()-31,1)):INDIRECT(ADDRESS(22,ROW()-31,1)),AJ$3:AJ$22),"")</f>
        <v>6</v>
      </c>
      <c r="AK88">
        <f ca="1">IF(AND(((COLUMN()-10)&lt;=playercnt),((ROW()-41)&lt;=playercnt)),SUMPRODUCT(INDIRECT(ADDRESS(3,ROW()-31,1)):INDIRECT(ADDRESS(22,ROW()-31,1)),AK$3:AK$22),"")</f>
        <v>10</v>
      </c>
      <c r="AL88">
        <f ca="1">IF(AND(((COLUMN()-10)&lt;=playercnt),((ROW()-41)&lt;=playercnt)),SUMPRODUCT(INDIRECT(ADDRESS(3,ROW()-31,1)):INDIRECT(ADDRESS(22,ROW()-31,1)),AL$3:AL$22),"")</f>
        <v>6</v>
      </c>
      <c r="AM88">
        <f ca="1">IF(AND(((COLUMN()-10)&lt;=playercnt),((ROW()-41)&lt;=playercnt)),SUMPRODUCT(INDIRECT(ADDRESS(3,ROW()-31,1)):INDIRECT(ADDRESS(22,ROW()-31,1)),AM$3:AM$22),"")</f>
        <v>3</v>
      </c>
      <c r="AN88">
        <f ca="1">IF(AND(((COLUMN()-10)&lt;=playercnt),((ROW()-41)&lt;=playercnt)),SUMPRODUCT(INDIRECT(ADDRESS(3,ROW()-31,1)):INDIRECT(ADDRESS(22,ROW()-31,1)),AN$3:AN$22),"")</f>
        <v>6</v>
      </c>
      <c r="AO88">
        <f ca="1">IF(AND(((COLUMN()-10)&lt;=playercnt),((ROW()-41)&lt;=playercnt)),SUMPRODUCT(INDIRECT(ADDRESS(3,ROW()-31,1)):INDIRECT(ADDRESS(22,ROW()-31,1)),AO$3:AO$22),"")</f>
        <v>6</v>
      </c>
      <c r="AP88">
        <f ca="1">IF(AND(((COLUMN()-10)&lt;=playercnt),((ROW()-41)&lt;=playercnt)),SUMPRODUCT(INDIRECT(ADDRESS(3,ROW()-31,1)):INDIRECT(ADDRESS(22,ROW()-31,1)),AP$3:AP$22),"")</f>
        <v>7</v>
      </c>
      <c r="AQ88">
        <f ca="1">IF(AND(((COLUMN()-10)&lt;=playercnt),((ROW()-41)&lt;=playercnt)),SUMPRODUCT(INDIRECT(ADDRESS(3,ROW()-31,1)):INDIRECT(ADDRESS(22,ROW()-31,1)),AQ$3:AQ$22),"")</f>
        <v>5</v>
      </c>
      <c r="AR88">
        <f ca="1">IF(AND(((COLUMN()-10)&lt;=playercnt),((ROW()-41)&lt;=playercnt)),SUMPRODUCT(INDIRECT(ADDRESS(3,ROW()-31,1)):INDIRECT(ADDRESS(22,ROW()-31,1)),AR$3:AR$22),"")</f>
        <v>6</v>
      </c>
      <c r="AS88">
        <f ca="1">IF(AND(((COLUMN()-10)&lt;=playercnt),((ROW()-41)&lt;=playercnt)),SUMPRODUCT(INDIRECT(ADDRESS(3,ROW()-31,1)):INDIRECT(ADDRESS(22,ROW()-31,1)),AS$3:AS$22),"")</f>
        <v>2</v>
      </c>
      <c r="AT88">
        <f ca="1">IF(AND(((COLUMN()-10)&lt;=playercnt),((ROW()-41)&lt;=playercnt)),SUMPRODUCT(INDIRECT(ADDRESS(3,ROW()-31,1)):INDIRECT(ADDRESS(22,ROW()-31,1)),AT$3:AT$22),"")</f>
        <v>7</v>
      </c>
      <c r="AU88">
        <f ca="1">IF(AND(((COLUMN()-10)&lt;=playercnt),((ROW()-41)&lt;=playercnt)),SUMPRODUCT(INDIRECT(ADDRESS(3,ROW()-31,1)):INDIRECT(ADDRESS(22,ROW()-31,1)),AU$3:AU$22),"")</f>
        <v>5</v>
      </c>
      <c r="AV88">
        <f ca="1">IF(AND(((COLUMN()-10)&lt;=playercnt),((ROW()-41)&lt;=playercnt)),SUMPRODUCT(INDIRECT(ADDRESS(3,ROW()-31,1)):INDIRECT(ADDRESS(22,ROW()-31,1)),AV$3:AV$22),"")</f>
        <v>5</v>
      </c>
      <c r="AW88">
        <f ca="1">IF(AND(((COLUMN()-10)&lt;=playercnt),((ROW()-41)&lt;=playercnt)),SUMPRODUCT(INDIRECT(ADDRESS(3,ROW()-31,1)):INDIRECT(ADDRESS(22,ROW()-31,1)),AW$3:AW$22),"")</f>
        <v>5</v>
      </c>
      <c r="AX88">
        <f ca="1">IF(AND(((COLUMN()-10)&lt;=playercnt),((ROW()-41)&lt;=playercnt)),SUMPRODUCT(INDIRECT(ADDRESS(3,ROW()-31,1)):INDIRECT(ADDRESS(22,ROW()-31,1)),AX$3:AX$22),"")</f>
        <v>9</v>
      </c>
      <c r="AY88">
        <f ca="1">IF(AND(((COLUMN()-10)&lt;=playercnt),((ROW()-41)&lt;=playercnt)),SUMPRODUCT(INDIRECT(ADDRESS(3,ROW()-31,1)):INDIRECT(ADDRESS(22,ROW()-31,1)),AY$3:AY$22),"")</f>
        <v>7</v>
      </c>
      <c r="AZ88">
        <f ca="1">IF(AND(((COLUMN()-10)&lt;=playercnt),((ROW()-41)&lt;=playercnt)),SUMPRODUCT(INDIRECT(ADDRESS(3,ROW()-31,1)):INDIRECT(ADDRESS(22,ROW()-31,1)),AZ$3:AZ$22),"")</f>
        <v>4</v>
      </c>
      <c r="BA88">
        <f ca="1">IF(AND(((COLUMN()-10)&lt;=playercnt),((ROW()-41)&lt;=playercnt)),SUMPRODUCT(INDIRECT(ADDRESS(3,ROW()-31,1)):INDIRECT(ADDRESS(22,ROW()-31,1)),BA$3:BA$22),"")</f>
        <v>7</v>
      </c>
      <c r="BB88">
        <f ca="1">IF(AND(((COLUMN()-10)&lt;=playercnt),((ROW()-41)&lt;=playercnt)),SUMPRODUCT(INDIRECT(ADDRESS(3,ROW()-31,1)):INDIRECT(ADDRESS(22,ROW()-31,1)),BB$3:BB$22),"")</f>
        <v>8</v>
      </c>
      <c r="BC88">
        <f ca="1">IF(AND(((COLUMN()-10)&lt;=playercnt),((ROW()-41)&lt;=playercnt)),SUMPRODUCT(INDIRECT(ADDRESS(3,ROW()-31,1)):INDIRECT(ADDRESS(22,ROW()-31,1)),BC$3:BC$22),"")</f>
        <v>4</v>
      </c>
      <c r="BD88">
        <f ca="1">IF(AND(((COLUMN()-10)&lt;=playercnt),((ROW()-41)&lt;=playercnt)),SUMPRODUCT(INDIRECT(ADDRESS(3,ROW()-31,1)):INDIRECT(ADDRESS(22,ROW()-31,1)),BD$3:BD$22),"")</f>
        <v>5</v>
      </c>
      <c r="BE88">
        <f ca="1">IF(AND(((COLUMN()-10)&lt;=playercnt),((ROW()-41)&lt;=playercnt)),SUMPRODUCT(INDIRECT(ADDRESS(3,ROW()-31,1)):INDIRECT(ADDRESS(22,ROW()-31,1)),BE$3:BE$22),"")</f>
        <v>10</v>
      </c>
      <c r="BF88">
        <f ca="1">IF(AND(((COLUMN()-10)&lt;=playercnt),((ROW()-41)&lt;=playercnt)),SUMPRODUCT(INDIRECT(ADDRESS(3,ROW()-31,1)):INDIRECT(ADDRESS(22,ROW()-31,1)),BF$3:BF$22),"")</f>
        <v>6</v>
      </c>
      <c r="BG88">
        <f ca="1">IF(AND(((COLUMN()-10)&lt;=playercnt),((ROW()-41)&lt;=playercnt)),SUMPRODUCT(INDIRECT(ADDRESS(3,ROW()-31,1)):INDIRECT(ADDRESS(22,ROW()-31,1)),BG$3:BG$22),"")</f>
        <v>5</v>
      </c>
      <c r="BH88">
        <f ca="1">IF(AND(((COLUMN()-10)&lt;=playercnt),((ROW()-41)&lt;=playercnt)),SUMPRODUCT(INDIRECT(ADDRESS(3,ROW()-31,1)):INDIRECT(ADDRESS(22,ROW()-31,1)),BH$3:BH$22),"")</f>
        <v>4</v>
      </c>
      <c r="BI88">
        <f ca="1">IF(AND(((COLUMN()-10)&lt;=playercnt),((ROW()-41)&lt;=playercnt)),SUMPRODUCT(INDIRECT(ADDRESS(3,ROW()-31,1)):INDIRECT(ADDRESS(22,ROW()-31,1)),BI$3:BI$22),"")</f>
        <v>5</v>
      </c>
      <c r="BJ88">
        <f ca="1">IF(AND(((COLUMN()-10)&lt;=playercnt),((ROW()-41)&lt;=playercnt)),SUMPRODUCT(INDIRECT(ADDRESS(3,ROW()-31,1)):INDIRECT(ADDRESS(22,ROW()-31,1)),BJ$3:BJ$22),"")</f>
        <v>7</v>
      </c>
      <c r="BK88">
        <f ca="1">IF(AND(((COLUMN()-10)&lt;=playercnt),((ROW()-41)&lt;=playercnt)),SUMPRODUCT(INDIRECT(ADDRESS(3,ROW()-31,1)):INDIRECT(ADDRESS(22,ROW()-31,1)),BK$3:BK$22),"")</f>
        <v>8</v>
      </c>
      <c r="BL88">
        <f ca="1">IF(AND(((COLUMN()-10)&lt;=playercnt),((ROW()-41)&lt;=playercnt)),SUMPRODUCT(INDIRECT(ADDRESS(3,ROW()-31,1)):INDIRECT(ADDRESS(22,ROW()-31,1)),BL$3:BL$22),"")</f>
        <v>6</v>
      </c>
      <c r="BM88">
        <f ca="1">IF(AND(((COLUMN()-10)&lt;=playercnt),((ROW()-41)&lt;=playercnt)),SUMPRODUCT(INDIRECT(ADDRESS(3,ROW()-31,1)):INDIRECT(ADDRESS(22,ROW()-31,1)),BM$3:BM$22),"")</f>
        <v>4</v>
      </c>
      <c r="BN88">
        <f ca="1">IF(AND(((COLUMN()-10)&lt;=playercnt),((ROW()-41)&lt;=playercnt)),SUMPRODUCT(INDIRECT(ADDRESS(3,ROW()-31,1)):INDIRECT(ADDRESS(22,ROW()-31,1)),BN$3:BN$22),"")</f>
        <v>4</v>
      </c>
    </row>
    <row r="89" spans="2:66">
      <c r="B89" s="27">
        <f t="shared" ca="1" si="23"/>
        <v>5.4727272727272727</v>
      </c>
      <c r="C89" t="str">
        <f t="shared" ca="1" si="24"/>
        <v>Steel, Van Remote</v>
      </c>
      <c r="G89">
        <f ca="1">IF(AND(((COLUMN()-10)&lt;=playercnt),((ROW()-41)&lt;=playercnt)),SUMPRODUCT(INDIRECT(ADDRESS(3,ROW()-31,1)):INDIRECT(ADDRESS(22,ROW()-31,1)),G$3:G$22),"")</f>
        <v>3</v>
      </c>
      <c r="H89">
        <f ca="1">IF(AND(((COLUMN()-10)&lt;=playercnt),((ROW()-41)&lt;=playercnt)),SUMPRODUCT(INDIRECT(ADDRESS(3,ROW()-31,1)):INDIRECT(ADDRESS(22,ROW()-31,1)),H$3:H$22),"")</f>
        <v>6</v>
      </c>
      <c r="I89">
        <f ca="1">IF(AND(((COLUMN()-10)&lt;=playercnt),((ROW()-41)&lt;=playercnt)),SUMPRODUCT(INDIRECT(ADDRESS(3,ROW()-31,1)):INDIRECT(ADDRESS(22,ROW()-31,1)),I$3:I$22),"")</f>
        <v>6</v>
      </c>
      <c r="J89">
        <f ca="1">IF(AND(((COLUMN()-10)&lt;=playercnt),((ROW()-41)&lt;=playercnt)),SUMPRODUCT(INDIRECT(ADDRESS(3,ROW()-31,1)):INDIRECT(ADDRESS(22,ROW()-31,1)),J$3:J$22),"")</f>
        <v>0</v>
      </c>
      <c r="K89">
        <f ca="1">IF(AND(((COLUMN()-10)&lt;=playercnt),((ROW()-41)&lt;=playercnt)),SUMPRODUCT(INDIRECT(ADDRESS(3,ROW()-31,1)):INDIRECT(ADDRESS(22,ROW()-31,1)),K$3:K$22),"")</f>
        <v>5</v>
      </c>
      <c r="L89">
        <f ca="1">IF(AND(((COLUMN()-10)&lt;=playercnt),((ROW()-41)&lt;=playercnt)),SUMPRODUCT(INDIRECT(ADDRESS(3,ROW()-31,1)):INDIRECT(ADDRESS(22,ROW()-31,1)),L$3:L$22),"")</f>
        <v>4</v>
      </c>
      <c r="M89">
        <f ca="1">IF(AND(((COLUMN()-10)&lt;=playercnt),((ROW()-41)&lt;=playercnt)),SUMPRODUCT(INDIRECT(ADDRESS(3,ROW()-31,1)):INDIRECT(ADDRESS(22,ROW()-31,1)),M$3:M$22),"")</f>
        <v>6</v>
      </c>
      <c r="N89">
        <f ca="1">IF(AND(((COLUMN()-10)&lt;=playercnt),((ROW()-41)&lt;=playercnt)),SUMPRODUCT(INDIRECT(ADDRESS(3,ROW()-31,1)):INDIRECT(ADDRESS(22,ROW()-31,1)),N$3:N$22),"")</f>
        <v>6</v>
      </c>
      <c r="O89">
        <f ca="1">IF(AND(((COLUMN()-10)&lt;=playercnt),((ROW()-41)&lt;=playercnt)),SUMPRODUCT(INDIRECT(ADDRESS(3,ROW()-31,1)):INDIRECT(ADDRESS(22,ROW()-31,1)),O$3:O$22),"")</f>
        <v>4</v>
      </c>
      <c r="P89">
        <f ca="1">IF(AND(((COLUMN()-10)&lt;=playercnt),((ROW()-41)&lt;=playercnt)),SUMPRODUCT(INDIRECT(ADDRESS(3,ROW()-31,1)):INDIRECT(ADDRESS(22,ROW()-31,1)),P$3:P$22),"")</f>
        <v>5</v>
      </c>
      <c r="Q89">
        <f ca="1">IF(AND(((COLUMN()-10)&lt;=playercnt),((ROW()-41)&lt;=playercnt)),SUMPRODUCT(INDIRECT(ADDRESS(3,ROW()-31,1)):INDIRECT(ADDRESS(22,ROW()-31,1)),Q$3:Q$22),"")</f>
        <v>7</v>
      </c>
      <c r="R89">
        <f ca="1">IF(AND(((COLUMN()-10)&lt;=playercnt),((ROW()-41)&lt;=playercnt)),SUMPRODUCT(INDIRECT(ADDRESS(3,ROW()-31,1)):INDIRECT(ADDRESS(22,ROW()-31,1)),R$3:R$22),"")</f>
        <v>7</v>
      </c>
      <c r="S89">
        <f ca="1">IF(AND(((COLUMN()-10)&lt;=playercnt),((ROW()-41)&lt;=playercnt)),SUMPRODUCT(INDIRECT(ADDRESS(3,ROW()-31,1)):INDIRECT(ADDRESS(22,ROW()-31,1)),S$3:S$22),"")</f>
        <v>5</v>
      </c>
      <c r="T89">
        <f ca="1">IF(AND(((COLUMN()-10)&lt;=playercnt),((ROW()-41)&lt;=playercnt)),SUMPRODUCT(INDIRECT(ADDRESS(3,ROW()-31,1)):INDIRECT(ADDRESS(22,ROW()-31,1)),T$3:T$22),"")</f>
        <v>3</v>
      </c>
      <c r="U89">
        <f ca="1">IF(AND(((COLUMN()-10)&lt;=playercnt),((ROW()-41)&lt;=playercnt)),SUMPRODUCT(INDIRECT(ADDRESS(3,ROW()-31,1)):INDIRECT(ADDRESS(22,ROW()-31,1)),U$3:U$22),"")</f>
        <v>8</v>
      </c>
      <c r="V89">
        <f ca="1">IF(AND(((COLUMN()-10)&lt;=playercnt),((ROW()-41)&lt;=playercnt)),SUMPRODUCT(INDIRECT(ADDRESS(3,ROW()-31,1)):INDIRECT(ADDRESS(22,ROW()-31,1)),V$3:V$22),"")</f>
        <v>3</v>
      </c>
      <c r="W89">
        <f ca="1">IF(AND(((COLUMN()-10)&lt;=playercnt),((ROW()-41)&lt;=playercnt)),SUMPRODUCT(INDIRECT(ADDRESS(3,ROW()-31,1)):INDIRECT(ADDRESS(22,ROW()-31,1)),W$3:W$22),"")</f>
        <v>3</v>
      </c>
      <c r="X89">
        <f ca="1">IF(AND(((COLUMN()-10)&lt;=playercnt),((ROW()-41)&lt;=playercnt)),SUMPRODUCT(INDIRECT(ADDRESS(3,ROW()-31,1)):INDIRECT(ADDRESS(22,ROW()-31,1)),X$3:X$22),"")</f>
        <v>5</v>
      </c>
      <c r="Y89">
        <f ca="1">IF(AND(((COLUMN()-10)&lt;=playercnt),((ROW()-41)&lt;=playercnt)),SUMPRODUCT(INDIRECT(ADDRESS(3,ROW()-31,1)):INDIRECT(ADDRESS(22,ROW()-31,1)),Y$3:Y$22),"")</f>
        <v>6</v>
      </c>
      <c r="Z89">
        <f ca="1">IF(AND(((COLUMN()-10)&lt;=playercnt),((ROW()-41)&lt;=playercnt)),SUMPRODUCT(INDIRECT(ADDRESS(3,ROW()-31,1)):INDIRECT(ADDRESS(22,ROW()-31,1)),Z$3:Z$22),"")</f>
        <v>4</v>
      </c>
      <c r="AA89">
        <f ca="1">IF(AND(((COLUMN()-10)&lt;=playercnt),((ROW()-41)&lt;=playercnt)),SUMPRODUCT(INDIRECT(ADDRESS(3,ROW()-31,1)):INDIRECT(ADDRESS(22,ROW()-31,1)),AA$3:AA$22),"")</f>
        <v>6</v>
      </c>
      <c r="AB89">
        <f ca="1">IF(AND(((COLUMN()-10)&lt;=playercnt),((ROW()-41)&lt;=playercnt)),SUMPRODUCT(INDIRECT(ADDRESS(3,ROW()-31,1)):INDIRECT(ADDRESS(22,ROW()-31,1)),AB$3:AB$22),"")</f>
        <v>10</v>
      </c>
      <c r="AC89">
        <f ca="1">IF(AND(((COLUMN()-10)&lt;=playercnt),((ROW()-41)&lt;=playercnt)),SUMPRODUCT(INDIRECT(ADDRESS(3,ROW()-31,1)):INDIRECT(ADDRESS(22,ROW()-31,1)),AC$3:AC$22),"")</f>
        <v>7</v>
      </c>
      <c r="AD89">
        <f ca="1">IF(AND(((COLUMN()-10)&lt;=playercnt),((ROW()-41)&lt;=playercnt)),SUMPRODUCT(INDIRECT(ADDRESS(3,ROW()-31,1)):INDIRECT(ADDRESS(22,ROW()-31,1)),AD$3:AD$22),"")</f>
        <v>6</v>
      </c>
      <c r="AE89">
        <f ca="1">IF(AND(((COLUMN()-10)&lt;=playercnt),((ROW()-41)&lt;=playercnt)),SUMPRODUCT(INDIRECT(ADDRESS(3,ROW()-31,1)):INDIRECT(ADDRESS(22,ROW()-31,1)),AE$3:AE$22),"")</f>
        <v>6</v>
      </c>
      <c r="AF89">
        <f ca="1">IF(AND(((COLUMN()-10)&lt;=playercnt),((ROW()-41)&lt;=playercnt)),SUMPRODUCT(INDIRECT(ADDRESS(3,ROW()-31,1)):INDIRECT(ADDRESS(22,ROW()-31,1)),AF$3:AF$22),"")</f>
        <v>4</v>
      </c>
      <c r="AG89">
        <f ca="1">IF(AND(((COLUMN()-10)&lt;=playercnt),((ROW()-41)&lt;=playercnt)),SUMPRODUCT(INDIRECT(ADDRESS(3,ROW()-31,1)):INDIRECT(ADDRESS(22,ROW()-31,1)),AG$3:AG$22),"")</f>
        <v>6</v>
      </c>
      <c r="AH89">
        <f ca="1">IF(AND(((COLUMN()-10)&lt;=playercnt),((ROW()-41)&lt;=playercnt)),SUMPRODUCT(INDIRECT(ADDRESS(3,ROW()-31,1)):INDIRECT(ADDRESS(22,ROW()-31,1)),AH$3:AH$22),"")</f>
        <v>4</v>
      </c>
      <c r="AI89">
        <f ca="1">IF(AND(((COLUMN()-10)&lt;=playercnt),((ROW()-41)&lt;=playercnt)),SUMPRODUCT(INDIRECT(ADDRESS(3,ROW()-31,1)):INDIRECT(ADDRESS(22,ROW()-31,1)),AI$3:AI$22),"")</f>
        <v>7</v>
      </c>
      <c r="AJ89">
        <f ca="1">IF(AND(((COLUMN()-10)&lt;=playercnt),((ROW()-41)&lt;=playercnt)),SUMPRODUCT(INDIRECT(ADDRESS(3,ROW()-31,1)):INDIRECT(ADDRESS(22,ROW()-31,1)),AJ$3:AJ$22),"")</f>
        <v>4</v>
      </c>
      <c r="AK89">
        <f ca="1">IF(AND(((COLUMN()-10)&lt;=playercnt),((ROW()-41)&lt;=playercnt)),SUMPRODUCT(INDIRECT(ADDRESS(3,ROW()-31,1)):INDIRECT(ADDRESS(22,ROW()-31,1)),AK$3:AK$22),"")</f>
        <v>6</v>
      </c>
      <c r="AL89">
        <f ca="1">IF(AND(((COLUMN()-10)&lt;=playercnt),((ROW()-41)&lt;=playercnt)),SUMPRODUCT(INDIRECT(ADDRESS(3,ROW()-31,1)):INDIRECT(ADDRESS(22,ROW()-31,1)),AL$3:AL$22),"")</f>
        <v>4</v>
      </c>
      <c r="AM89">
        <f ca="1">IF(AND(((COLUMN()-10)&lt;=playercnt),((ROW()-41)&lt;=playercnt)),SUMPRODUCT(INDIRECT(ADDRESS(3,ROW()-31,1)):INDIRECT(ADDRESS(22,ROW()-31,1)),AM$3:AM$22),"")</f>
        <v>7</v>
      </c>
      <c r="AN89">
        <f ca="1">IF(AND(((COLUMN()-10)&lt;=playercnt),((ROW()-41)&lt;=playercnt)),SUMPRODUCT(INDIRECT(ADDRESS(3,ROW()-31,1)):INDIRECT(ADDRESS(22,ROW()-31,1)),AN$3:AN$22),"")</f>
        <v>6</v>
      </c>
      <c r="AO89">
        <f ca="1">IF(AND(((COLUMN()-10)&lt;=playercnt),((ROW()-41)&lt;=playercnt)),SUMPRODUCT(INDIRECT(ADDRESS(3,ROW()-31,1)):INDIRECT(ADDRESS(22,ROW()-31,1)),AO$3:AO$22),"")</f>
        <v>4</v>
      </c>
      <c r="AP89">
        <f ca="1">IF(AND(((COLUMN()-10)&lt;=playercnt),((ROW()-41)&lt;=playercnt)),SUMPRODUCT(INDIRECT(ADDRESS(3,ROW()-31,1)):INDIRECT(ADDRESS(22,ROW()-31,1)),AP$3:AP$22),"")</f>
        <v>7</v>
      </c>
      <c r="AQ89">
        <f ca="1">IF(AND(((COLUMN()-10)&lt;=playercnt),((ROW()-41)&lt;=playercnt)),SUMPRODUCT(INDIRECT(ADDRESS(3,ROW()-31,1)):INDIRECT(ADDRESS(22,ROW()-31,1)),AQ$3:AQ$22),"")</f>
        <v>5</v>
      </c>
      <c r="AR89">
        <f ca="1">IF(AND(((COLUMN()-10)&lt;=playercnt),((ROW()-41)&lt;=playercnt)),SUMPRODUCT(INDIRECT(ADDRESS(3,ROW()-31,1)):INDIRECT(ADDRESS(22,ROW()-31,1)),AR$3:AR$22),"")</f>
        <v>8</v>
      </c>
      <c r="AS89">
        <f ca="1">IF(AND(((COLUMN()-10)&lt;=playercnt),((ROW()-41)&lt;=playercnt)),SUMPRODUCT(INDIRECT(ADDRESS(3,ROW()-31,1)):INDIRECT(ADDRESS(22,ROW()-31,1)),AS$3:AS$22),"")</f>
        <v>6</v>
      </c>
      <c r="AT89">
        <f ca="1">IF(AND(((COLUMN()-10)&lt;=playercnt),((ROW()-41)&lt;=playercnt)),SUMPRODUCT(INDIRECT(ADDRESS(3,ROW()-31,1)):INDIRECT(ADDRESS(22,ROW()-31,1)),AT$3:AT$22),"")</f>
        <v>5</v>
      </c>
      <c r="AU89">
        <f ca="1">IF(AND(((COLUMN()-10)&lt;=playercnt),((ROW()-41)&lt;=playercnt)),SUMPRODUCT(INDIRECT(ADDRESS(3,ROW()-31,1)):INDIRECT(ADDRESS(22,ROW()-31,1)),AU$3:AU$22),"")</f>
        <v>5</v>
      </c>
      <c r="AV89">
        <f ca="1">IF(AND(((COLUMN()-10)&lt;=playercnt),((ROW()-41)&lt;=playercnt)),SUMPRODUCT(INDIRECT(ADDRESS(3,ROW()-31,1)):INDIRECT(ADDRESS(22,ROW()-31,1)),AV$3:AV$22),"")</f>
        <v>5</v>
      </c>
      <c r="AW89">
        <f ca="1">IF(AND(((COLUMN()-10)&lt;=playercnt),((ROW()-41)&lt;=playercnt)),SUMPRODUCT(INDIRECT(ADDRESS(3,ROW()-31,1)):INDIRECT(ADDRESS(22,ROW()-31,1)),AW$3:AW$22),"")</f>
        <v>5</v>
      </c>
      <c r="AX89">
        <f ca="1">IF(AND(((COLUMN()-10)&lt;=playercnt),((ROW()-41)&lt;=playercnt)),SUMPRODUCT(INDIRECT(ADDRESS(3,ROW()-31,1)):INDIRECT(ADDRESS(22,ROW()-31,1)),AX$3:AX$22),"")</f>
        <v>5</v>
      </c>
      <c r="AY89">
        <f ca="1">IF(AND(((COLUMN()-10)&lt;=playercnt),((ROW()-41)&lt;=playercnt)),SUMPRODUCT(INDIRECT(ADDRESS(3,ROW()-31,1)):INDIRECT(ADDRESS(22,ROW()-31,1)),AY$3:AY$22),"")</f>
        <v>5</v>
      </c>
      <c r="AZ89">
        <f ca="1">IF(AND(((COLUMN()-10)&lt;=playercnt),((ROW()-41)&lt;=playercnt)),SUMPRODUCT(INDIRECT(ADDRESS(3,ROW()-31,1)):INDIRECT(ADDRESS(22,ROW()-31,1)),AZ$3:AZ$22),"")</f>
        <v>4</v>
      </c>
      <c r="BA89">
        <f ca="1">IF(AND(((COLUMN()-10)&lt;=playercnt),((ROW()-41)&lt;=playercnt)),SUMPRODUCT(INDIRECT(ADDRESS(3,ROW()-31,1)):INDIRECT(ADDRESS(22,ROW()-31,1)),BA$3:BA$22),"")</f>
        <v>5</v>
      </c>
      <c r="BB89">
        <f ca="1">IF(AND(((COLUMN()-10)&lt;=playercnt),((ROW()-41)&lt;=playercnt)),SUMPRODUCT(INDIRECT(ADDRESS(3,ROW()-31,1)):INDIRECT(ADDRESS(22,ROW()-31,1)),BB$3:BB$22),"")</f>
        <v>6</v>
      </c>
      <c r="BC89">
        <f ca="1">IF(AND(((COLUMN()-10)&lt;=playercnt),((ROW()-41)&lt;=playercnt)),SUMPRODUCT(INDIRECT(ADDRESS(3,ROW()-31,1)):INDIRECT(ADDRESS(22,ROW()-31,1)),BC$3:BC$22),"")</f>
        <v>4</v>
      </c>
      <c r="BD89">
        <f ca="1">IF(AND(((COLUMN()-10)&lt;=playercnt),((ROW()-41)&lt;=playercnt)),SUMPRODUCT(INDIRECT(ADDRESS(3,ROW()-31,1)):INDIRECT(ADDRESS(22,ROW()-31,1)),BD$3:BD$22),"")</f>
        <v>7</v>
      </c>
      <c r="BE89">
        <f ca="1">IF(AND(((COLUMN()-10)&lt;=playercnt),((ROW()-41)&lt;=playercnt)),SUMPRODUCT(INDIRECT(ADDRESS(3,ROW()-31,1)):INDIRECT(ADDRESS(22,ROW()-31,1)),BE$3:BE$22),"")</f>
        <v>6</v>
      </c>
      <c r="BF89">
        <f ca="1">IF(AND(((COLUMN()-10)&lt;=playercnt),((ROW()-41)&lt;=playercnt)),SUMPRODUCT(INDIRECT(ADDRESS(3,ROW()-31,1)):INDIRECT(ADDRESS(22,ROW()-31,1)),BF$3:BF$22),"")</f>
        <v>10</v>
      </c>
      <c r="BG89">
        <f ca="1">IF(AND(((COLUMN()-10)&lt;=playercnt),((ROW()-41)&lt;=playercnt)),SUMPRODUCT(INDIRECT(ADDRESS(3,ROW()-31,1)):INDIRECT(ADDRESS(22,ROW()-31,1)),BG$3:BG$22),"")</f>
        <v>7</v>
      </c>
      <c r="BH89">
        <f ca="1">IF(AND(((COLUMN()-10)&lt;=playercnt),((ROW()-41)&lt;=playercnt)),SUMPRODUCT(INDIRECT(ADDRESS(3,ROW()-31,1)):INDIRECT(ADDRESS(22,ROW()-31,1)),BH$3:BH$22),"")</f>
        <v>8</v>
      </c>
      <c r="BI89">
        <f ca="1">IF(AND(((COLUMN()-10)&lt;=playercnt),((ROW()-41)&lt;=playercnt)),SUMPRODUCT(INDIRECT(ADDRESS(3,ROW()-31,1)):INDIRECT(ADDRESS(22,ROW()-31,1)),BI$3:BI$22),"")</f>
        <v>3</v>
      </c>
      <c r="BJ89">
        <f ca="1">IF(AND(((COLUMN()-10)&lt;=playercnt),((ROW()-41)&lt;=playercnt)),SUMPRODUCT(INDIRECT(ADDRESS(3,ROW()-31,1)):INDIRECT(ADDRESS(22,ROW()-31,1)),BJ$3:BJ$22),"")</f>
        <v>7</v>
      </c>
      <c r="BK89">
        <f ca="1">IF(AND(((COLUMN()-10)&lt;=playercnt),((ROW()-41)&lt;=playercnt)),SUMPRODUCT(INDIRECT(ADDRESS(3,ROW()-31,1)):INDIRECT(ADDRESS(22,ROW()-31,1)),BK$3:BK$22),"")</f>
        <v>6</v>
      </c>
      <c r="BL89">
        <f ca="1">IF(AND(((COLUMN()-10)&lt;=playercnt),((ROW()-41)&lt;=playercnt)),SUMPRODUCT(INDIRECT(ADDRESS(3,ROW()-31,1)):INDIRECT(ADDRESS(22,ROW()-31,1)),BL$3:BL$22),"")</f>
        <v>6</v>
      </c>
      <c r="BM89">
        <f ca="1">IF(AND(((COLUMN()-10)&lt;=playercnt),((ROW()-41)&lt;=playercnt)),SUMPRODUCT(INDIRECT(ADDRESS(3,ROW()-31,1)):INDIRECT(ADDRESS(22,ROW()-31,1)),BM$3:BM$22),"")</f>
        <v>4</v>
      </c>
      <c r="BN89">
        <f ca="1">IF(AND(((COLUMN()-10)&lt;=playercnt),((ROW()-41)&lt;=playercnt)),SUMPRODUCT(INDIRECT(ADDRESS(3,ROW()-31,1)):INDIRECT(ADDRESS(22,ROW()-31,1)),BN$3:BN$22),"")</f>
        <v>4</v>
      </c>
    </row>
    <row r="90" spans="2:66">
      <c r="B90" s="27">
        <f t="shared" ca="1" si="23"/>
        <v>4.8909090909090907</v>
      </c>
      <c r="C90" t="str">
        <f t="shared" ca="1" si="24"/>
        <v>Stonecypher, David</v>
      </c>
      <c r="G90">
        <f ca="1">IF(AND(((COLUMN()-10)&lt;=playercnt),((ROW()-41)&lt;=playercnt)),SUMPRODUCT(INDIRECT(ADDRESS(3,ROW()-31,1)):INDIRECT(ADDRESS(22,ROW()-31,1)),G$3:G$22),"")</f>
        <v>2</v>
      </c>
      <c r="H90">
        <f ca="1">IF(AND(((COLUMN()-10)&lt;=playercnt),((ROW()-41)&lt;=playercnt)),SUMPRODUCT(INDIRECT(ADDRESS(3,ROW()-31,1)):INDIRECT(ADDRESS(22,ROW()-31,1)),H$3:H$22),"")</f>
        <v>7</v>
      </c>
      <c r="I90">
        <f ca="1">IF(AND(((COLUMN()-10)&lt;=playercnt),((ROW()-41)&lt;=playercnt)),SUMPRODUCT(INDIRECT(ADDRESS(3,ROW()-31,1)):INDIRECT(ADDRESS(22,ROW()-31,1)),I$3:I$22),"")</f>
        <v>5</v>
      </c>
      <c r="J90">
        <f ca="1">IF(AND(((COLUMN()-10)&lt;=playercnt),((ROW()-41)&lt;=playercnt)),SUMPRODUCT(INDIRECT(ADDRESS(3,ROW()-31,1)):INDIRECT(ADDRESS(22,ROW()-31,1)),J$3:J$22),"")</f>
        <v>0</v>
      </c>
      <c r="K90">
        <f ca="1">IF(AND(((COLUMN()-10)&lt;=playercnt),((ROW()-41)&lt;=playercnt)),SUMPRODUCT(INDIRECT(ADDRESS(3,ROW()-31,1)):INDIRECT(ADDRESS(22,ROW()-31,1)),K$3:K$22),"")</f>
        <v>4</v>
      </c>
      <c r="L90">
        <f ca="1">IF(AND(((COLUMN()-10)&lt;=playercnt),((ROW()-41)&lt;=playercnt)),SUMPRODUCT(INDIRECT(ADDRESS(3,ROW()-31,1)):INDIRECT(ADDRESS(22,ROW()-31,1)),L$3:L$22),"")</f>
        <v>5</v>
      </c>
      <c r="M90">
        <f ca="1">IF(AND(((COLUMN()-10)&lt;=playercnt),((ROW()-41)&lt;=playercnt)),SUMPRODUCT(INDIRECT(ADDRESS(3,ROW()-31,1)):INDIRECT(ADDRESS(22,ROW()-31,1)),M$3:M$22),"")</f>
        <v>3</v>
      </c>
      <c r="N90">
        <f ca="1">IF(AND(((COLUMN()-10)&lt;=playercnt),((ROW()-41)&lt;=playercnt)),SUMPRODUCT(INDIRECT(ADDRESS(3,ROW()-31,1)):INDIRECT(ADDRESS(22,ROW()-31,1)),N$3:N$22),"")</f>
        <v>7</v>
      </c>
      <c r="O90">
        <f ca="1">IF(AND(((COLUMN()-10)&lt;=playercnt),((ROW()-41)&lt;=playercnt)),SUMPRODUCT(INDIRECT(ADDRESS(3,ROW()-31,1)):INDIRECT(ADDRESS(22,ROW()-31,1)),O$3:O$22),"")</f>
        <v>3</v>
      </c>
      <c r="P90">
        <f ca="1">IF(AND(((COLUMN()-10)&lt;=playercnt),((ROW()-41)&lt;=playercnt)),SUMPRODUCT(INDIRECT(ADDRESS(3,ROW()-31,1)):INDIRECT(ADDRESS(22,ROW()-31,1)),P$3:P$22),"")</f>
        <v>4</v>
      </c>
      <c r="Q90">
        <f ca="1">IF(AND(((COLUMN()-10)&lt;=playercnt),((ROW()-41)&lt;=playercnt)),SUMPRODUCT(INDIRECT(ADDRESS(3,ROW()-31,1)):INDIRECT(ADDRESS(22,ROW()-31,1)),Q$3:Q$22),"")</f>
        <v>4</v>
      </c>
      <c r="R90">
        <f ca="1">IF(AND(((COLUMN()-10)&lt;=playercnt),((ROW()-41)&lt;=playercnt)),SUMPRODUCT(INDIRECT(ADDRESS(3,ROW()-31,1)):INDIRECT(ADDRESS(22,ROW()-31,1)),R$3:R$22),"")</f>
        <v>4</v>
      </c>
      <c r="S90">
        <f ca="1">IF(AND(((COLUMN()-10)&lt;=playercnt),((ROW()-41)&lt;=playercnt)),SUMPRODUCT(INDIRECT(ADDRESS(3,ROW()-31,1)):INDIRECT(ADDRESS(22,ROW()-31,1)),S$3:S$22),"")</f>
        <v>6</v>
      </c>
      <c r="T90">
        <f ca="1">IF(AND(((COLUMN()-10)&lt;=playercnt),((ROW()-41)&lt;=playercnt)),SUMPRODUCT(INDIRECT(ADDRESS(3,ROW()-31,1)):INDIRECT(ADDRESS(22,ROW()-31,1)),T$3:T$22),"")</f>
        <v>4</v>
      </c>
      <c r="U90">
        <f ca="1">IF(AND(((COLUMN()-10)&lt;=playercnt),((ROW()-41)&lt;=playercnt)),SUMPRODUCT(INDIRECT(ADDRESS(3,ROW()-31,1)):INDIRECT(ADDRESS(22,ROW()-31,1)),U$3:U$22),"")</f>
        <v>7</v>
      </c>
      <c r="V90">
        <f ca="1">IF(AND(((COLUMN()-10)&lt;=playercnt),((ROW()-41)&lt;=playercnt)),SUMPRODUCT(INDIRECT(ADDRESS(3,ROW()-31,1)):INDIRECT(ADDRESS(22,ROW()-31,1)),V$3:V$22),"")</f>
        <v>4</v>
      </c>
      <c r="W90">
        <f ca="1">IF(AND(((COLUMN()-10)&lt;=playercnt),((ROW()-41)&lt;=playercnt)),SUMPRODUCT(INDIRECT(ADDRESS(3,ROW()-31,1)):INDIRECT(ADDRESS(22,ROW()-31,1)),W$3:W$22),"")</f>
        <v>4</v>
      </c>
      <c r="X90">
        <f ca="1">IF(AND(((COLUMN()-10)&lt;=playercnt),((ROW()-41)&lt;=playercnt)),SUMPRODUCT(INDIRECT(ADDRESS(3,ROW()-31,1)):INDIRECT(ADDRESS(22,ROW()-31,1)),X$3:X$22),"")</f>
        <v>4</v>
      </c>
      <c r="Y90">
        <f ca="1">IF(AND(((COLUMN()-10)&lt;=playercnt),((ROW()-41)&lt;=playercnt)),SUMPRODUCT(INDIRECT(ADDRESS(3,ROW()-31,1)):INDIRECT(ADDRESS(22,ROW()-31,1)),Y$3:Y$22),"")</f>
        <v>5</v>
      </c>
      <c r="Z90">
        <f ca="1">IF(AND(((COLUMN()-10)&lt;=playercnt),((ROW()-41)&lt;=playercnt)),SUMPRODUCT(INDIRECT(ADDRESS(3,ROW()-31,1)):INDIRECT(ADDRESS(22,ROW()-31,1)),Z$3:Z$22),"")</f>
        <v>5</v>
      </c>
      <c r="AA90">
        <f ca="1">IF(AND(((COLUMN()-10)&lt;=playercnt),((ROW()-41)&lt;=playercnt)),SUMPRODUCT(INDIRECT(ADDRESS(3,ROW()-31,1)):INDIRECT(ADDRESS(22,ROW()-31,1)),AA$3:AA$22),"")</f>
        <v>7</v>
      </c>
      <c r="AB90">
        <f ca="1">IF(AND(((COLUMN()-10)&lt;=playercnt),((ROW()-41)&lt;=playercnt)),SUMPRODUCT(INDIRECT(ADDRESS(3,ROW()-31,1)):INDIRECT(ADDRESS(22,ROW()-31,1)),AB$3:AB$22),"")</f>
        <v>7</v>
      </c>
      <c r="AC90">
        <f ca="1">IF(AND(((COLUMN()-10)&lt;=playercnt),((ROW()-41)&lt;=playercnt)),SUMPRODUCT(INDIRECT(ADDRESS(3,ROW()-31,1)):INDIRECT(ADDRESS(22,ROW()-31,1)),AC$3:AC$22),"")</f>
        <v>6</v>
      </c>
      <c r="AD90">
        <f ca="1">IF(AND(((COLUMN()-10)&lt;=playercnt),((ROW()-41)&lt;=playercnt)),SUMPRODUCT(INDIRECT(ADDRESS(3,ROW()-31,1)):INDIRECT(ADDRESS(22,ROW()-31,1)),AD$3:AD$22),"")</f>
        <v>3</v>
      </c>
      <c r="AE90">
        <f ca="1">IF(AND(((COLUMN()-10)&lt;=playercnt),((ROW()-41)&lt;=playercnt)),SUMPRODUCT(INDIRECT(ADDRESS(3,ROW()-31,1)):INDIRECT(ADDRESS(22,ROW()-31,1)),AE$3:AE$22),"")</f>
        <v>7</v>
      </c>
      <c r="AF90">
        <f ca="1">IF(AND(((COLUMN()-10)&lt;=playercnt),((ROW()-41)&lt;=playercnt)),SUMPRODUCT(INDIRECT(ADDRESS(3,ROW()-31,1)):INDIRECT(ADDRESS(22,ROW()-31,1)),AF$3:AF$22),"")</f>
        <v>5</v>
      </c>
      <c r="AG90">
        <f ca="1">IF(AND(((COLUMN()-10)&lt;=playercnt),((ROW()-41)&lt;=playercnt)),SUMPRODUCT(INDIRECT(ADDRESS(3,ROW()-31,1)):INDIRECT(ADDRESS(22,ROW()-31,1)),AG$3:AG$22),"")</f>
        <v>7</v>
      </c>
      <c r="AH90">
        <f ca="1">IF(AND(((COLUMN()-10)&lt;=playercnt),((ROW()-41)&lt;=playercnt)),SUMPRODUCT(INDIRECT(ADDRESS(3,ROW()-31,1)):INDIRECT(ADDRESS(22,ROW()-31,1)),AH$3:AH$22),"")</f>
        <v>3</v>
      </c>
      <c r="AI90">
        <f ca="1">IF(AND(((COLUMN()-10)&lt;=playercnt),((ROW()-41)&lt;=playercnt)),SUMPRODUCT(INDIRECT(ADDRESS(3,ROW()-31,1)):INDIRECT(ADDRESS(22,ROW()-31,1)),AI$3:AI$22),"")</f>
        <v>6</v>
      </c>
      <c r="AJ90">
        <f ca="1">IF(AND(((COLUMN()-10)&lt;=playercnt),((ROW()-41)&lt;=playercnt)),SUMPRODUCT(INDIRECT(ADDRESS(3,ROW()-31,1)):INDIRECT(ADDRESS(22,ROW()-31,1)),AJ$3:AJ$22),"")</f>
        <v>5</v>
      </c>
      <c r="AK90">
        <f ca="1">IF(AND(((COLUMN()-10)&lt;=playercnt),((ROW()-41)&lt;=playercnt)),SUMPRODUCT(INDIRECT(ADDRESS(3,ROW()-31,1)):INDIRECT(ADDRESS(22,ROW()-31,1)),AK$3:AK$22),"")</f>
        <v>5</v>
      </c>
      <c r="AL90">
        <f ca="1">IF(AND(((COLUMN()-10)&lt;=playercnt),((ROW()-41)&lt;=playercnt)),SUMPRODUCT(INDIRECT(ADDRESS(3,ROW()-31,1)):INDIRECT(ADDRESS(22,ROW()-31,1)),AL$3:AL$22),"")</f>
        <v>5</v>
      </c>
      <c r="AM90">
        <f ca="1">IF(AND(((COLUMN()-10)&lt;=playercnt),((ROW()-41)&lt;=playercnt)),SUMPRODUCT(INDIRECT(ADDRESS(3,ROW()-31,1)):INDIRECT(ADDRESS(22,ROW()-31,1)),AM$3:AM$22),"")</f>
        <v>6</v>
      </c>
      <c r="AN90">
        <f ca="1">IF(AND(((COLUMN()-10)&lt;=playercnt),((ROW()-41)&lt;=playercnt)),SUMPRODUCT(INDIRECT(ADDRESS(3,ROW()-31,1)):INDIRECT(ADDRESS(22,ROW()-31,1)),AN$3:AN$22),"")</f>
        <v>7</v>
      </c>
      <c r="AO90">
        <f ca="1">IF(AND(((COLUMN()-10)&lt;=playercnt),((ROW()-41)&lt;=playercnt)),SUMPRODUCT(INDIRECT(ADDRESS(3,ROW()-31,1)):INDIRECT(ADDRESS(22,ROW()-31,1)),AO$3:AO$22),"")</f>
        <v>5</v>
      </c>
      <c r="AP90">
        <f ca="1">IF(AND(((COLUMN()-10)&lt;=playercnt),((ROW()-41)&lt;=playercnt)),SUMPRODUCT(INDIRECT(ADDRESS(3,ROW()-31,1)):INDIRECT(ADDRESS(22,ROW()-31,1)),AP$3:AP$22),"")</f>
        <v>4</v>
      </c>
      <c r="AQ90">
        <f ca="1">IF(AND(((COLUMN()-10)&lt;=playercnt),((ROW()-41)&lt;=playercnt)),SUMPRODUCT(INDIRECT(ADDRESS(3,ROW()-31,1)):INDIRECT(ADDRESS(22,ROW()-31,1)),AQ$3:AQ$22),"")</f>
        <v>6</v>
      </c>
      <c r="AR90">
        <f ca="1">IF(AND(((COLUMN()-10)&lt;=playercnt),((ROW()-41)&lt;=playercnt)),SUMPRODUCT(INDIRECT(ADDRESS(3,ROW()-31,1)):INDIRECT(ADDRESS(22,ROW()-31,1)),AR$3:AR$22),"")</f>
        <v>5</v>
      </c>
      <c r="AS90">
        <f ca="1">IF(AND(((COLUMN()-10)&lt;=playercnt),((ROW()-41)&lt;=playercnt)),SUMPRODUCT(INDIRECT(ADDRESS(3,ROW()-31,1)):INDIRECT(ADDRESS(22,ROW()-31,1)),AS$3:AS$22),"")</f>
        <v>5</v>
      </c>
      <c r="AT90">
        <f ca="1">IF(AND(((COLUMN()-10)&lt;=playercnt),((ROW()-41)&lt;=playercnt)),SUMPRODUCT(INDIRECT(ADDRESS(3,ROW()-31,1)):INDIRECT(ADDRESS(22,ROW()-31,1)),AT$3:AT$22),"")</f>
        <v>2</v>
      </c>
      <c r="AU90">
        <f ca="1">IF(AND(((COLUMN()-10)&lt;=playercnt),((ROW()-41)&lt;=playercnt)),SUMPRODUCT(INDIRECT(ADDRESS(3,ROW()-31,1)):INDIRECT(ADDRESS(22,ROW()-31,1)),AU$3:AU$22),"")</f>
        <v>4</v>
      </c>
      <c r="AV90">
        <f ca="1">IF(AND(((COLUMN()-10)&lt;=playercnt),((ROW()-41)&lt;=playercnt)),SUMPRODUCT(INDIRECT(ADDRESS(3,ROW()-31,1)):INDIRECT(ADDRESS(22,ROW()-31,1)),AV$3:AV$22),"")</f>
        <v>8</v>
      </c>
      <c r="AW90">
        <f ca="1">IF(AND(((COLUMN()-10)&lt;=playercnt),((ROW()-41)&lt;=playercnt)),SUMPRODUCT(INDIRECT(ADDRESS(3,ROW()-31,1)):INDIRECT(ADDRESS(22,ROW()-31,1)),AW$3:AW$22),"")</f>
        <v>6</v>
      </c>
      <c r="AX90">
        <f ca="1">IF(AND(((COLUMN()-10)&lt;=playercnt),((ROW()-41)&lt;=playercnt)),SUMPRODUCT(INDIRECT(ADDRESS(3,ROW()-31,1)):INDIRECT(ADDRESS(22,ROW()-31,1)),AX$3:AX$22),"")</f>
        <v>4</v>
      </c>
      <c r="AY90">
        <f ca="1">IF(AND(((COLUMN()-10)&lt;=playercnt),((ROW()-41)&lt;=playercnt)),SUMPRODUCT(INDIRECT(ADDRESS(3,ROW()-31,1)):INDIRECT(ADDRESS(22,ROW()-31,1)),AY$3:AY$22),"")</f>
        <v>4</v>
      </c>
      <c r="AZ90">
        <f ca="1">IF(AND(((COLUMN()-10)&lt;=playercnt),((ROW()-41)&lt;=playercnt)),SUMPRODUCT(INDIRECT(ADDRESS(3,ROW()-31,1)):INDIRECT(ADDRESS(22,ROW()-31,1)),AZ$3:AZ$22),"")</f>
        <v>1</v>
      </c>
      <c r="BA90">
        <f ca="1">IF(AND(((COLUMN()-10)&lt;=playercnt),((ROW()-41)&lt;=playercnt)),SUMPRODUCT(INDIRECT(ADDRESS(3,ROW()-31,1)):INDIRECT(ADDRESS(22,ROW()-31,1)),BA$3:BA$22),"")</f>
        <v>6</v>
      </c>
      <c r="BB90">
        <f ca="1">IF(AND(((COLUMN()-10)&lt;=playercnt),((ROW()-41)&lt;=playercnt)),SUMPRODUCT(INDIRECT(ADDRESS(3,ROW()-31,1)):INDIRECT(ADDRESS(22,ROW()-31,1)),BB$3:BB$22),"")</f>
        <v>7</v>
      </c>
      <c r="BC90">
        <f ca="1">IF(AND(((COLUMN()-10)&lt;=playercnt),((ROW()-41)&lt;=playercnt)),SUMPRODUCT(INDIRECT(ADDRESS(3,ROW()-31,1)):INDIRECT(ADDRESS(22,ROW()-31,1)),BC$3:BC$22),"")</f>
        <v>3</v>
      </c>
      <c r="BD90">
        <f ca="1">IF(AND(((COLUMN()-10)&lt;=playercnt),((ROW()-41)&lt;=playercnt)),SUMPRODUCT(INDIRECT(ADDRESS(3,ROW()-31,1)):INDIRECT(ADDRESS(22,ROW()-31,1)),BD$3:BD$22),"")</f>
        <v>4</v>
      </c>
      <c r="BE90">
        <f ca="1">IF(AND(((COLUMN()-10)&lt;=playercnt),((ROW()-41)&lt;=playercnt)),SUMPRODUCT(INDIRECT(ADDRESS(3,ROW()-31,1)):INDIRECT(ADDRESS(22,ROW()-31,1)),BE$3:BE$22),"")</f>
        <v>5</v>
      </c>
      <c r="BF90">
        <f ca="1">IF(AND(((COLUMN()-10)&lt;=playercnt),((ROW()-41)&lt;=playercnt)),SUMPRODUCT(INDIRECT(ADDRESS(3,ROW()-31,1)):INDIRECT(ADDRESS(22,ROW()-31,1)),BF$3:BF$22),"")</f>
        <v>7</v>
      </c>
      <c r="BG90">
        <f ca="1">IF(AND(((COLUMN()-10)&lt;=playercnt),((ROW()-41)&lt;=playercnt)),SUMPRODUCT(INDIRECT(ADDRESS(3,ROW()-31,1)):INDIRECT(ADDRESS(22,ROW()-31,1)),BG$3:BG$22),"")</f>
        <v>10</v>
      </c>
      <c r="BH90">
        <f ca="1">IF(AND(((COLUMN()-10)&lt;=playercnt),((ROW()-41)&lt;=playercnt)),SUMPRODUCT(INDIRECT(ADDRESS(3,ROW()-31,1)):INDIRECT(ADDRESS(22,ROW()-31,1)),BH$3:BH$22),"")</f>
        <v>5</v>
      </c>
      <c r="BI90">
        <f ca="1">IF(AND(((COLUMN()-10)&lt;=playercnt),((ROW()-41)&lt;=playercnt)),SUMPRODUCT(INDIRECT(ADDRESS(3,ROW()-31,1)):INDIRECT(ADDRESS(22,ROW()-31,1)),BI$3:BI$22),"")</f>
        <v>4</v>
      </c>
      <c r="BJ90">
        <f ca="1">IF(AND(((COLUMN()-10)&lt;=playercnt),((ROW()-41)&lt;=playercnt)),SUMPRODUCT(INDIRECT(ADDRESS(3,ROW()-31,1)):INDIRECT(ADDRESS(22,ROW()-31,1)),BJ$3:BJ$22),"")</f>
        <v>4</v>
      </c>
      <c r="BK90">
        <f ca="1">IF(AND(((COLUMN()-10)&lt;=playercnt),((ROW()-41)&lt;=playercnt)),SUMPRODUCT(INDIRECT(ADDRESS(3,ROW()-31,1)):INDIRECT(ADDRESS(22,ROW()-31,1)),BK$3:BK$22),"")</f>
        <v>5</v>
      </c>
      <c r="BL90">
        <f ca="1">IF(AND(((COLUMN()-10)&lt;=playercnt),((ROW()-41)&lt;=playercnt)),SUMPRODUCT(INDIRECT(ADDRESS(3,ROW()-31,1)):INDIRECT(ADDRESS(22,ROW()-31,1)),BL$3:BL$22),"")</f>
        <v>5</v>
      </c>
      <c r="BM90">
        <f ca="1">IF(AND(((COLUMN()-10)&lt;=playercnt),((ROW()-41)&lt;=playercnt)),SUMPRODUCT(INDIRECT(ADDRESS(3,ROW()-31,1)):INDIRECT(ADDRESS(22,ROW()-31,1)),BM$3:BM$22),"")</f>
        <v>3</v>
      </c>
      <c r="BN90">
        <f ca="1">IF(AND(((COLUMN()-10)&lt;=playercnt),((ROW()-41)&lt;=playercnt)),SUMPRODUCT(INDIRECT(ADDRESS(3,ROW()-31,1)):INDIRECT(ADDRESS(22,ROW()-31,1)),BN$3:BN$22),"")</f>
        <v>5</v>
      </c>
    </row>
    <row r="91" spans="2:66">
      <c r="B91" s="27">
        <f t="shared" ca="1" si="23"/>
        <v>5.3272727272727272</v>
      </c>
      <c r="C91" t="str">
        <f t="shared" ca="1" si="24"/>
        <v>Straw, Adam D</v>
      </c>
      <c r="G91">
        <f ca="1">IF(AND(((COLUMN()-10)&lt;=playercnt),((ROW()-41)&lt;=playercnt)),SUMPRODUCT(INDIRECT(ADDRESS(3,ROW()-31,1)):INDIRECT(ADDRESS(22,ROW()-31,1)),G$3:G$22),"")</f>
        <v>5</v>
      </c>
      <c r="H91">
        <f ca="1">IF(AND(((COLUMN()-10)&lt;=playercnt),((ROW()-41)&lt;=playercnt)),SUMPRODUCT(INDIRECT(ADDRESS(3,ROW()-31,1)):INDIRECT(ADDRESS(22,ROW()-31,1)),H$3:H$22),"")</f>
        <v>6</v>
      </c>
      <c r="I91">
        <f ca="1">IF(AND(((COLUMN()-10)&lt;=playercnt),((ROW()-41)&lt;=playercnt)),SUMPRODUCT(INDIRECT(ADDRESS(3,ROW()-31,1)):INDIRECT(ADDRESS(22,ROW()-31,1)),I$3:I$22),"")</f>
        <v>6</v>
      </c>
      <c r="J91">
        <f ca="1">IF(AND(((COLUMN()-10)&lt;=playercnt),((ROW()-41)&lt;=playercnt)),SUMPRODUCT(INDIRECT(ADDRESS(3,ROW()-31,1)):INDIRECT(ADDRESS(22,ROW()-31,1)),J$3:J$22),"")</f>
        <v>0</v>
      </c>
      <c r="K91">
        <f ca="1">IF(AND(((COLUMN()-10)&lt;=playercnt),((ROW()-41)&lt;=playercnt)),SUMPRODUCT(INDIRECT(ADDRESS(3,ROW()-31,1)):INDIRECT(ADDRESS(22,ROW()-31,1)),K$3:K$22),"")</f>
        <v>7</v>
      </c>
      <c r="L91">
        <f ca="1">IF(AND(((COLUMN()-10)&lt;=playercnt),((ROW()-41)&lt;=playercnt)),SUMPRODUCT(INDIRECT(ADDRESS(3,ROW()-31,1)):INDIRECT(ADDRESS(22,ROW()-31,1)),L$3:L$22),"")</f>
        <v>4</v>
      </c>
      <c r="M91">
        <f ca="1">IF(AND(((COLUMN()-10)&lt;=playercnt),((ROW()-41)&lt;=playercnt)),SUMPRODUCT(INDIRECT(ADDRESS(3,ROW()-31,1)):INDIRECT(ADDRESS(22,ROW()-31,1)),M$3:M$22),"")</f>
        <v>6</v>
      </c>
      <c r="N91">
        <f ca="1">IF(AND(((COLUMN()-10)&lt;=playercnt),((ROW()-41)&lt;=playercnt)),SUMPRODUCT(INDIRECT(ADDRESS(3,ROW()-31,1)):INDIRECT(ADDRESS(22,ROW()-31,1)),N$3:N$22),"")</f>
        <v>8</v>
      </c>
      <c r="O91">
        <f ca="1">IF(AND(((COLUMN()-10)&lt;=playercnt),((ROW()-41)&lt;=playercnt)),SUMPRODUCT(INDIRECT(ADDRESS(3,ROW()-31,1)):INDIRECT(ADDRESS(22,ROW()-31,1)),O$3:O$22),"")</f>
        <v>4</v>
      </c>
      <c r="P91">
        <f ca="1">IF(AND(((COLUMN()-10)&lt;=playercnt),((ROW()-41)&lt;=playercnt)),SUMPRODUCT(INDIRECT(ADDRESS(3,ROW()-31,1)):INDIRECT(ADDRESS(22,ROW()-31,1)),P$3:P$22),"")</f>
        <v>5</v>
      </c>
      <c r="Q91">
        <f ca="1">IF(AND(((COLUMN()-10)&lt;=playercnt),((ROW()-41)&lt;=playercnt)),SUMPRODUCT(INDIRECT(ADDRESS(3,ROW()-31,1)):INDIRECT(ADDRESS(22,ROW()-31,1)),Q$3:Q$22),"")</f>
        <v>5</v>
      </c>
      <c r="R91">
        <f ca="1">IF(AND(((COLUMN()-10)&lt;=playercnt),((ROW()-41)&lt;=playercnt)),SUMPRODUCT(INDIRECT(ADDRESS(3,ROW()-31,1)):INDIRECT(ADDRESS(22,ROW()-31,1)),R$3:R$22),"")</f>
        <v>7</v>
      </c>
      <c r="S91">
        <f ca="1">IF(AND(((COLUMN()-10)&lt;=playercnt),((ROW()-41)&lt;=playercnt)),SUMPRODUCT(INDIRECT(ADDRESS(3,ROW()-31,1)):INDIRECT(ADDRESS(22,ROW()-31,1)),S$3:S$22),"")</f>
        <v>5</v>
      </c>
      <c r="T91">
        <f ca="1">IF(AND(((COLUMN()-10)&lt;=playercnt),((ROW()-41)&lt;=playercnt)),SUMPRODUCT(INDIRECT(ADDRESS(3,ROW()-31,1)):INDIRECT(ADDRESS(22,ROW()-31,1)),T$3:T$22),"")</f>
        <v>5</v>
      </c>
      <c r="U91">
        <f ca="1">IF(AND(((COLUMN()-10)&lt;=playercnt),((ROW()-41)&lt;=playercnt)),SUMPRODUCT(INDIRECT(ADDRESS(3,ROW()-31,1)):INDIRECT(ADDRESS(22,ROW()-31,1)),U$3:U$22),"")</f>
        <v>8</v>
      </c>
      <c r="V91">
        <f ca="1">IF(AND(((COLUMN()-10)&lt;=playercnt),((ROW()-41)&lt;=playercnt)),SUMPRODUCT(INDIRECT(ADDRESS(3,ROW()-31,1)):INDIRECT(ADDRESS(22,ROW()-31,1)),V$3:V$22),"")</f>
        <v>5</v>
      </c>
      <c r="W91">
        <f ca="1">IF(AND(((COLUMN()-10)&lt;=playercnt),((ROW()-41)&lt;=playercnt)),SUMPRODUCT(INDIRECT(ADDRESS(3,ROW()-31,1)):INDIRECT(ADDRESS(22,ROW()-31,1)),W$3:W$22),"")</f>
        <v>5</v>
      </c>
      <c r="X91">
        <f ca="1">IF(AND(((COLUMN()-10)&lt;=playercnt),((ROW()-41)&lt;=playercnt)),SUMPRODUCT(INDIRECT(ADDRESS(3,ROW()-31,1)):INDIRECT(ADDRESS(22,ROW()-31,1)),X$3:X$22),"")</f>
        <v>7</v>
      </c>
      <c r="Y91">
        <f ca="1">IF(AND(((COLUMN()-10)&lt;=playercnt),((ROW()-41)&lt;=playercnt)),SUMPRODUCT(INDIRECT(ADDRESS(3,ROW()-31,1)):INDIRECT(ADDRESS(22,ROW()-31,1)),Y$3:Y$22),"")</f>
        <v>4</v>
      </c>
      <c r="Z91">
        <f ca="1">IF(AND(((COLUMN()-10)&lt;=playercnt),((ROW()-41)&lt;=playercnt)),SUMPRODUCT(INDIRECT(ADDRESS(3,ROW()-31,1)):INDIRECT(ADDRESS(22,ROW()-31,1)),Z$3:Z$22),"")</f>
        <v>2</v>
      </c>
      <c r="AA91">
        <f ca="1">IF(AND(((COLUMN()-10)&lt;=playercnt),((ROW()-41)&lt;=playercnt)),SUMPRODUCT(INDIRECT(ADDRESS(3,ROW()-31,1)):INDIRECT(ADDRESS(22,ROW()-31,1)),AA$3:AA$22),"")</f>
        <v>8</v>
      </c>
      <c r="AB91">
        <f ca="1">IF(AND(((COLUMN()-10)&lt;=playercnt),((ROW()-41)&lt;=playercnt)),SUMPRODUCT(INDIRECT(ADDRESS(3,ROW()-31,1)):INDIRECT(ADDRESS(22,ROW()-31,1)),AB$3:AB$22),"")</f>
        <v>8</v>
      </c>
      <c r="AC91">
        <f ca="1">IF(AND(((COLUMN()-10)&lt;=playercnt),((ROW()-41)&lt;=playercnt)),SUMPRODUCT(INDIRECT(ADDRESS(3,ROW()-31,1)):INDIRECT(ADDRESS(22,ROW()-31,1)),AC$3:AC$22),"")</f>
        <v>5</v>
      </c>
      <c r="AD91">
        <f ca="1">IF(AND(((COLUMN()-10)&lt;=playercnt),((ROW()-41)&lt;=playercnt)),SUMPRODUCT(INDIRECT(ADDRESS(3,ROW()-31,1)):INDIRECT(ADDRESS(22,ROW()-31,1)),AD$3:AD$22),"")</f>
        <v>8</v>
      </c>
      <c r="AE91">
        <f ca="1">IF(AND(((COLUMN()-10)&lt;=playercnt),((ROW()-41)&lt;=playercnt)),SUMPRODUCT(INDIRECT(ADDRESS(3,ROW()-31,1)):INDIRECT(ADDRESS(22,ROW()-31,1)),AE$3:AE$22),"")</f>
        <v>6</v>
      </c>
      <c r="AF91">
        <f ca="1">IF(AND(((COLUMN()-10)&lt;=playercnt),((ROW()-41)&lt;=playercnt)),SUMPRODUCT(INDIRECT(ADDRESS(3,ROW()-31,1)):INDIRECT(ADDRESS(22,ROW()-31,1)),AF$3:AF$22),"")</f>
        <v>4</v>
      </c>
      <c r="AG91">
        <f ca="1">IF(AND(((COLUMN()-10)&lt;=playercnt),((ROW()-41)&lt;=playercnt)),SUMPRODUCT(INDIRECT(ADDRESS(3,ROW()-31,1)):INDIRECT(ADDRESS(22,ROW()-31,1)),AG$3:AG$22),"")</f>
        <v>4</v>
      </c>
      <c r="AH91">
        <f ca="1">IF(AND(((COLUMN()-10)&lt;=playercnt),((ROW()-41)&lt;=playercnt)),SUMPRODUCT(INDIRECT(ADDRESS(3,ROW()-31,1)):INDIRECT(ADDRESS(22,ROW()-31,1)),AH$3:AH$22),"")</f>
        <v>4</v>
      </c>
      <c r="AI91">
        <f ca="1">IF(AND(((COLUMN()-10)&lt;=playercnt),((ROW()-41)&lt;=playercnt)),SUMPRODUCT(INDIRECT(ADDRESS(3,ROW()-31,1)):INDIRECT(ADDRESS(22,ROW()-31,1)),AI$3:AI$22),"")</f>
        <v>5</v>
      </c>
      <c r="AJ91">
        <f ca="1">IF(AND(((COLUMN()-10)&lt;=playercnt),((ROW()-41)&lt;=playercnt)),SUMPRODUCT(INDIRECT(ADDRESS(3,ROW()-31,1)):INDIRECT(ADDRESS(22,ROW()-31,1)),AJ$3:AJ$22),"")</f>
        <v>4</v>
      </c>
      <c r="AK91">
        <f ca="1">IF(AND(((COLUMN()-10)&lt;=playercnt),((ROW()-41)&lt;=playercnt)),SUMPRODUCT(INDIRECT(ADDRESS(3,ROW()-31,1)):INDIRECT(ADDRESS(22,ROW()-31,1)),AK$3:AK$22),"")</f>
        <v>4</v>
      </c>
      <c r="AL91">
        <f ca="1">IF(AND(((COLUMN()-10)&lt;=playercnt),((ROW()-41)&lt;=playercnt)),SUMPRODUCT(INDIRECT(ADDRESS(3,ROW()-31,1)):INDIRECT(ADDRESS(22,ROW()-31,1)),AL$3:AL$22),"")</f>
        <v>4</v>
      </c>
      <c r="AM91">
        <f ca="1">IF(AND(((COLUMN()-10)&lt;=playercnt),((ROW()-41)&lt;=playercnt)),SUMPRODUCT(INDIRECT(ADDRESS(3,ROW()-31,1)):INDIRECT(ADDRESS(22,ROW()-31,1)),AM$3:AM$22),"")</f>
        <v>5</v>
      </c>
      <c r="AN91">
        <f ca="1">IF(AND(((COLUMN()-10)&lt;=playercnt),((ROW()-41)&lt;=playercnt)),SUMPRODUCT(INDIRECT(ADDRESS(3,ROW()-31,1)):INDIRECT(ADDRESS(22,ROW()-31,1)),AN$3:AN$22),"")</f>
        <v>4</v>
      </c>
      <c r="AO91">
        <f ca="1">IF(AND(((COLUMN()-10)&lt;=playercnt),((ROW()-41)&lt;=playercnt)),SUMPRODUCT(INDIRECT(ADDRESS(3,ROW()-31,1)):INDIRECT(ADDRESS(22,ROW()-31,1)),AO$3:AO$22),"")</f>
        <v>2</v>
      </c>
      <c r="AP91">
        <f ca="1">IF(AND(((COLUMN()-10)&lt;=playercnt),((ROW()-41)&lt;=playercnt)),SUMPRODUCT(INDIRECT(ADDRESS(3,ROW()-31,1)):INDIRECT(ADDRESS(22,ROW()-31,1)),AP$3:AP$22),"")</f>
        <v>7</v>
      </c>
      <c r="AQ91">
        <f ca="1">IF(AND(((COLUMN()-10)&lt;=playercnt),((ROW()-41)&lt;=playercnt)),SUMPRODUCT(INDIRECT(ADDRESS(3,ROW()-31,1)):INDIRECT(ADDRESS(22,ROW()-31,1)),AQ$3:AQ$22),"")</f>
        <v>5</v>
      </c>
      <c r="AR91">
        <f ca="1">IF(AND(((COLUMN()-10)&lt;=playercnt),((ROW()-41)&lt;=playercnt)),SUMPRODUCT(INDIRECT(ADDRESS(3,ROW()-31,1)):INDIRECT(ADDRESS(22,ROW()-31,1)),AR$3:AR$22),"")</f>
        <v>6</v>
      </c>
      <c r="AS91">
        <f ca="1">IF(AND(((COLUMN()-10)&lt;=playercnt),((ROW()-41)&lt;=playercnt)),SUMPRODUCT(INDIRECT(ADDRESS(3,ROW()-31,1)):INDIRECT(ADDRESS(22,ROW()-31,1)),AS$3:AS$22),"")</f>
        <v>6</v>
      </c>
      <c r="AT91">
        <f ca="1">IF(AND(((COLUMN()-10)&lt;=playercnt),((ROW()-41)&lt;=playercnt)),SUMPRODUCT(INDIRECT(ADDRESS(3,ROW()-31,1)):INDIRECT(ADDRESS(22,ROW()-31,1)),AT$3:AT$22),"")</f>
        <v>5</v>
      </c>
      <c r="AU91">
        <f ca="1">IF(AND(((COLUMN()-10)&lt;=playercnt),((ROW()-41)&lt;=playercnt)),SUMPRODUCT(INDIRECT(ADDRESS(3,ROW()-31,1)):INDIRECT(ADDRESS(22,ROW()-31,1)),AU$3:AU$22),"")</f>
        <v>5</v>
      </c>
      <c r="AV91">
        <f ca="1">IF(AND(((COLUMN()-10)&lt;=playercnt),((ROW()-41)&lt;=playercnt)),SUMPRODUCT(INDIRECT(ADDRESS(3,ROW()-31,1)):INDIRECT(ADDRESS(22,ROW()-31,1)),AV$3:AV$22),"")</f>
        <v>5</v>
      </c>
      <c r="AW91">
        <f ca="1">IF(AND(((COLUMN()-10)&lt;=playercnt),((ROW()-41)&lt;=playercnt)),SUMPRODUCT(INDIRECT(ADDRESS(3,ROW()-31,1)):INDIRECT(ADDRESS(22,ROW()-31,1)),AW$3:AW$22),"")</f>
        <v>7</v>
      </c>
      <c r="AX91">
        <f ca="1">IF(AND(((COLUMN()-10)&lt;=playercnt),((ROW()-41)&lt;=playercnt)),SUMPRODUCT(INDIRECT(ADDRESS(3,ROW()-31,1)):INDIRECT(ADDRESS(22,ROW()-31,1)),AX$3:AX$22),"")</f>
        <v>5</v>
      </c>
      <c r="AY91">
        <f ca="1">IF(AND(((COLUMN()-10)&lt;=playercnt),((ROW()-41)&lt;=playercnt)),SUMPRODUCT(INDIRECT(ADDRESS(3,ROW()-31,1)):INDIRECT(ADDRESS(22,ROW()-31,1)),AY$3:AY$22),"")</f>
        <v>5</v>
      </c>
      <c r="AZ91">
        <f ca="1">IF(AND(((COLUMN()-10)&lt;=playercnt),((ROW()-41)&lt;=playercnt)),SUMPRODUCT(INDIRECT(ADDRESS(3,ROW()-31,1)):INDIRECT(ADDRESS(22,ROW()-31,1)),AZ$3:AZ$22),"")</f>
        <v>6</v>
      </c>
      <c r="BA91">
        <f ca="1">IF(AND(((COLUMN()-10)&lt;=playercnt),((ROW()-41)&lt;=playercnt)),SUMPRODUCT(INDIRECT(ADDRESS(3,ROW()-31,1)):INDIRECT(ADDRESS(22,ROW()-31,1)),BA$3:BA$22),"")</f>
        <v>5</v>
      </c>
      <c r="BB91">
        <f ca="1">IF(AND(((COLUMN()-10)&lt;=playercnt),((ROW()-41)&lt;=playercnt)),SUMPRODUCT(INDIRECT(ADDRESS(3,ROW()-31,1)):INDIRECT(ADDRESS(22,ROW()-31,1)),BB$3:BB$22),"")</f>
        <v>4</v>
      </c>
      <c r="BC91">
        <f ca="1">IF(AND(((COLUMN()-10)&lt;=playercnt),((ROW()-41)&lt;=playercnt)),SUMPRODUCT(INDIRECT(ADDRESS(3,ROW()-31,1)):INDIRECT(ADDRESS(22,ROW()-31,1)),BC$3:BC$22),"")</f>
        <v>6</v>
      </c>
      <c r="BD91">
        <f ca="1">IF(AND(((COLUMN()-10)&lt;=playercnt),((ROW()-41)&lt;=playercnt)),SUMPRODUCT(INDIRECT(ADDRESS(3,ROW()-31,1)):INDIRECT(ADDRESS(22,ROW()-31,1)),BD$3:BD$22),"")</f>
        <v>9</v>
      </c>
      <c r="BE91">
        <f ca="1">IF(AND(((COLUMN()-10)&lt;=playercnt),((ROW()-41)&lt;=playercnt)),SUMPRODUCT(INDIRECT(ADDRESS(3,ROW()-31,1)):INDIRECT(ADDRESS(22,ROW()-31,1)),BE$3:BE$22),"")</f>
        <v>4</v>
      </c>
      <c r="BF91">
        <f ca="1">IF(AND(((COLUMN()-10)&lt;=playercnt),((ROW()-41)&lt;=playercnt)),SUMPRODUCT(INDIRECT(ADDRESS(3,ROW()-31,1)):INDIRECT(ADDRESS(22,ROW()-31,1)),BF$3:BF$22),"")</f>
        <v>8</v>
      </c>
      <c r="BG91">
        <f ca="1">IF(AND(((COLUMN()-10)&lt;=playercnt),((ROW()-41)&lt;=playercnt)),SUMPRODUCT(INDIRECT(ADDRESS(3,ROW()-31,1)):INDIRECT(ADDRESS(22,ROW()-31,1)),BG$3:BG$22),"")</f>
        <v>5</v>
      </c>
      <c r="BH91">
        <f ca="1">IF(AND(((COLUMN()-10)&lt;=playercnt),((ROW()-41)&lt;=playercnt)),SUMPRODUCT(INDIRECT(ADDRESS(3,ROW()-31,1)):INDIRECT(ADDRESS(22,ROW()-31,1)),BH$3:BH$22),"")</f>
        <v>10</v>
      </c>
      <c r="BI91">
        <f ca="1">IF(AND(((COLUMN()-10)&lt;=playercnt),((ROW()-41)&lt;=playercnt)),SUMPRODUCT(INDIRECT(ADDRESS(3,ROW()-31,1)):INDIRECT(ADDRESS(22,ROW()-31,1)),BI$3:BI$22),"")</f>
        <v>3</v>
      </c>
      <c r="BJ91">
        <f ca="1">IF(AND(((COLUMN()-10)&lt;=playercnt),((ROW()-41)&lt;=playercnt)),SUMPRODUCT(INDIRECT(ADDRESS(3,ROW()-31,1)):INDIRECT(ADDRESS(22,ROW()-31,1)),BJ$3:BJ$22),"")</f>
        <v>5</v>
      </c>
      <c r="BK91">
        <f ca="1">IF(AND(((COLUMN()-10)&lt;=playercnt),((ROW()-41)&lt;=playercnt)),SUMPRODUCT(INDIRECT(ADDRESS(3,ROW()-31,1)):INDIRECT(ADDRESS(22,ROW()-31,1)),BK$3:BK$22),"")</f>
        <v>6</v>
      </c>
      <c r="BL91">
        <f ca="1">IF(AND(((COLUMN()-10)&lt;=playercnt),((ROW()-41)&lt;=playercnt)),SUMPRODUCT(INDIRECT(ADDRESS(3,ROW()-31,1)):INDIRECT(ADDRESS(22,ROW()-31,1)),BL$3:BL$22),"")</f>
        <v>6</v>
      </c>
      <c r="BM91">
        <f ca="1">IF(AND(((COLUMN()-10)&lt;=playercnt),((ROW()-41)&lt;=playercnt)),SUMPRODUCT(INDIRECT(ADDRESS(3,ROW()-31,1)):INDIRECT(ADDRESS(22,ROW()-31,1)),BM$3:BM$22),"")</f>
        <v>4</v>
      </c>
      <c r="BN91">
        <f ca="1">IF(AND(((COLUMN()-10)&lt;=playercnt),((ROW()-41)&lt;=playercnt)),SUMPRODUCT(INDIRECT(ADDRESS(3,ROW()-31,1)):INDIRECT(ADDRESS(22,ROW()-31,1)),BN$3:BN$22),"")</f>
        <v>4</v>
      </c>
    </row>
    <row r="92" spans="2:66">
      <c r="B92" s="27">
        <f t="shared" ca="1" si="23"/>
        <v>5.0727272727272723</v>
      </c>
      <c r="C92" t="str">
        <f t="shared" ca="1" si="24"/>
        <v>Warren, Jason</v>
      </c>
      <c r="G92">
        <f ca="1">IF(AND(((COLUMN()-10)&lt;=playercnt),((ROW()-41)&lt;=playercnt)),SUMPRODUCT(INDIRECT(ADDRESS(3,ROW()-31,1)):INDIRECT(ADDRESS(22,ROW()-31,1)),G$3:G$22),"")</f>
        <v>6</v>
      </c>
      <c r="H92">
        <f ca="1">IF(AND(((COLUMN()-10)&lt;=playercnt),((ROW()-41)&lt;=playercnt)),SUMPRODUCT(INDIRECT(ADDRESS(3,ROW()-31,1)):INDIRECT(ADDRESS(22,ROW()-31,1)),H$3:H$22),"")</f>
        <v>5</v>
      </c>
      <c r="I92">
        <f ca="1">IF(AND(((COLUMN()-10)&lt;=playercnt),((ROW()-41)&lt;=playercnt)),SUMPRODUCT(INDIRECT(ADDRESS(3,ROW()-31,1)):INDIRECT(ADDRESS(22,ROW()-31,1)),I$3:I$22),"")</f>
        <v>5</v>
      </c>
      <c r="J92">
        <f ca="1">IF(AND(((COLUMN()-10)&lt;=playercnt),((ROW()-41)&lt;=playercnt)),SUMPRODUCT(INDIRECT(ADDRESS(3,ROW()-31,1)):INDIRECT(ADDRESS(22,ROW()-31,1)),J$3:J$22),"")</f>
        <v>0</v>
      </c>
      <c r="K92">
        <f ca="1">IF(AND(((COLUMN()-10)&lt;=playercnt),((ROW()-41)&lt;=playercnt)),SUMPRODUCT(INDIRECT(ADDRESS(3,ROW()-31,1)):INDIRECT(ADDRESS(22,ROW()-31,1)),K$3:K$22),"")</f>
        <v>2</v>
      </c>
      <c r="L92">
        <f ca="1">IF(AND(((COLUMN()-10)&lt;=playercnt),((ROW()-41)&lt;=playercnt)),SUMPRODUCT(INDIRECT(ADDRESS(3,ROW()-31,1)):INDIRECT(ADDRESS(22,ROW()-31,1)),L$3:L$22),"")</f>
        <v>7</v>
      </c>
      <c r="M92">
        <f ca="1">IF(AND(((COLUMN()-10)&lt;=playercnt),((ROW()-41)&lt;=playercnt)),SUMPRODUCT(INDIRECT(ADDRESS(3,ROW()-31,1)):INDIRECT(ADDRESS(22,ROW()-31,1)),M$3:M$22),"")</f>
        <v>5</v>
      </c>
      <c r="N92">
        <f ca="1">IF(AND(((COLUMN()-10)&lt;=playercnt),((ROW()-41)&lt;=playercnt)),SUMPRODUCT(INDIRECT(ADDRESS(3,ROW()-31,1)):INDIRECT(ADDRESS(22,ROW()-31,1)),N$3:N$22),"")</f>
        <v>3</v>
      </c>
      <c r="O92">
        <f ca="1">IF(AND(((COLUMN()-10)&lt;=playercnt),((ROW()-41)&lt;=playercnt)),SUMPRODUCT(INDIRECT(ADDRESS(3,ROW()-31,1)):INDIRECT(ADDRESS(22,ROW()-31,1)),O$3:O$22),"")</f>
        <v>3</v>
      </c>
      <c r="P92">
        <f ca="1">IF(AND(((COLUMN()-10)&lt;=playercnt),((ROW()-41)&lt;=playercnt)),SUMPRODUCT(INDIRECT(ADDRESS(3,ROW()-31,1)):INDIRECT(ADDRESS(22,ROW()-31,1)),P$3:P$22),"")</f>
        <v>8</v>
      </c>
      <c r="Q92">
        <f ca="1">IF(AND(((COLUMN()-10)&lt;=playercnt),((ROW()-41)&lt;=playercnt)),SUMPRODUCT(INDIRECT(ADDRESS(3,ROW()-31,1)):INDIRECT(ADDRESS(22,ROW()-31,1)),Q$3:Q$22),"")</f>
        <v>4</v>
      </c>
      <c r="R92">
        <f ca="1">IF(AND(((COLUMN()-10)&lt;=playercnt),((ROW()-41)&lt;=playercnt)),SUMPRODUCT(INDIRECT(ADDRESS(3,ROW()-31,1)):INDIRECT(ADDRESS(22,ROW()-31,1)),R$3:R$22),"")</f>
        <v>6</v>
      </c>
      <c r="S92">
        <f ca="1">IF(AND(((COLUMN()-10)&lt;=playercnt),((ROW()-41)&lt;=playercnt)),SUMPRODUCT(INDIRECT(ADDRESS(3,ROW()-31,1)):INDIRECT(ADDRESS(22,ROW()-31,1)),S$3:S$22),"")</f>
        <v>4</v>
      </c>
      <c r="T92">
        <f ca="1">IF(AND(((COLUMN()-10)&lt;=playercnt),((ROW()-41)&lt;=playercnt)),SUMPRODUCT(INDIRECT(ADDRESS(3,ROW()-31,1)):INDIRECT(ADDRESS(22,ROW()-31,1)),T$3:T$22),"")</f>
        <v>4</v>
      </c>
      <c r="U92">
        <f ca="1">IF(AND(((COLUMN()-10)&lt;=playercnt),((ROW()-41)&lt;=playercnt)),SUMPRODUCT(INDIRECT(ADDRESS(3,ROW()-31,1)):INDIRECT(ADDRESS(22,ROW()-31,1)),U$3:U$22),"")</f>
        <v>3</v>
      </c>
      <c r="V92">
        <f ca="1">IF(AND(((COLUMN()-10)&lt;=playercnt),((ROW()-41)&lt;=playercnt)),SUMPRODUCT(INDIRECT(ADDRESS(3,ROW()-31,1)):INDIRECT(ADDRESS(22,ROW()-31,1)),V$3:V$22),"")</f>
        <v>6</v>
      </c>
      <c r="W92">
        <f ca="1">IF(AND(((COLUMN()-10)&lt;=playercnt),((ROW()-41)&lt;=playercnt)),SUMPRODUCT(INDIRECT(ADDRESS(3,ROW()-31,1)):INDIRECT(ADDRESS(22,ROW()-31,1)),W$3:W$22),"")</f>
        <v>6</v>
      </c>
      <c r="X92">
        <f ca="1">IF(AND(((COLUMN()-10)&lt;=playercnt),((ROW()-41)&lt;=playercnt)),SUMPRODUCT(INDIRECT(ADDRESS(3,ROW()-31,1)):INDIRECT(ADDRESS(22,ROW()-31,1)),X$3:X$22),"")</f>
        <v>6</v>
      </c>
      <c r="Y92">
        <f ca="1">IF(AND(((COLUMN()-10)&lt;=playercnt),((ROW()-41)&lt;=playercnt)),SUMPRODUCT(INDIRECT(ADDRESS(3,ROW()-31,1)):INDIRECT(ADDRESS(22,ROW()-31,1)),Y$3:Y$22),"")</f>
        <v>3</v>
      </c>
      <c r="Z92">
        <f ca="1">IF(AND(((COLUMN()-10)&lt;=playercnt),((ROW()-41)&lt;=playercnt)),SUMPRODUCT(INDIRECT(ADDRESS(3,ROW()-31,1)):INDIRECT(ADDRESS(22,ROW()-31,1)),Z$3:Z$22),"")</f>
        <v>7</v>
      </c>
      <c r="AA92">
        <f ca="1">IF(AND(((COLUMN()-10)&lt;=playercnt),((ROW()-41)&lt;=playercnt)),SUMPRODUCT(INDIRECT(ADDRESS(3,ROW()-31,1)):INDIRECT(ADDRESS(22,ROW()-31,1)),AA$3:AA$22),"")</f>
        <v>5</v>
      </c>
      <c r="AB92">
        <f ca="1">IF(AND(((COLUMN()-10)&lt;=playercnt),((ROW()-41)&lt;=playercnt)),SUMPRODUCT(INDIRECT(ADDRESS(3,ROW()-31,1)):INDIRECT(ADDRESS(22,ROW()-31,1)),AB$3:AB$22),"")</f>
        <v>3</v>
      </c>
      <c r="AC92">
        <f ca="1">IF(AND(((COLUMN()-10)&lt;=playercnt),((ROW()-41)&lt;=playercnt)),SUMPRODUCT(INDIRECT(ADDRESS(3,ROW()-31,1)):INDIRECT(ADDRESS(22,ROW()-31,1)),AC$3:AC$22),"")</f>
        <v>2</v>
      </c>
      <c r="AD92">
        <f ca="1">IF(AND(((COLUMN()-10)&lt;=playercnt),((ROW()-41)&lt;=playercnt)),SUMPRODUCT(INDIRECT(ADDRESS(3,ROW()-31,1)):INDIRECT(ADDRESS(22,ROW()-31,1)),AD$3:AD$22),"")</f>
        <v>5</v>
      </c>
      <c r="AE92">
        <f ca="1">IF(AND(((COLUMN()-10)&lt;=playercnt),((ROW()-41)&lt;=playercnt)),SUMPRODUCT(INDIRECT(ADDRESS(3,ROW()-31,1)):INDIRECT(ADDRESS(22,ROW()-31,1)),AE$3:AE$22),"")</f>
        <v>5</v>
      </c>
      <c r="AF92">
        <f ca="1">IF(AND(((COLUMN()-10)&lt;=playercnt),((ROW()-41)&lt;=playercnt)),SUMPRODUCT(INDIRECT(ADDRESS(3,ROW()-31,1)):INDIRECT(ADDRESS(22,ROW()-31,1)),AF$3:AF$22),"")</f>
        <v>7</v>
      </c>
      <c r="AG92">
        <f ca="1">IF(AND(((COLUMN()-10)&lt;=playercnt),((ROW()-41)&lt;=playercnt)),SUMPRODUCT(INDIRECT(ADDRESS(3,ROW()-31,1)):INDIRECT(ADDRESS(22,ROW()-31,1)),AG$3:AG$22),"")</f>
        <v>5</v>
      </c>
      <c r="AH92">
        <f ca="1">IF(AND(((COLUMN()-10)&lt;=playercnt),((ROW()-41)&lt;=playercnt)),SUMPRODUCT(INDIRECT(ADDRESS(3,ROW()-31,1)):INDIRECT(ADDRESS(22,ROW()-31,1)),AH$3:AH$22),"")</f>
        <v>7</v>
      </c>
      <c r="AI92">
        <f ca="1">IF(AND(((COLUMN()-10)&lt;=playercnt),((ROW()-41)&lt;=playercnt)),SUMPRODUCT(INDIRECT(ADDRESS(3,ROW()-31,1)):INDIRECT(ADDRESS(22,ROW()-31,1)),AI$3:AI$22),"")</f>
        <v>6</v>
      </c>
      <c r="AJ92">
        <f ca="1">IF(AND(((COLUMN()-10)&lt;=playercnt),((ROW()-41)&lt;=playercnt)),SUMPRODUCT(INDIRECT(ADDRESS(3,ROW()-31,1)):INDIRECT(ADDRESS(22,ROW()-31,1)),AJ$3:AJ$22),"")</f>
        <v>7</v>
      </c>
      <c r="AK92">
        <f ca="1">IF(AND(((COLUMN()-10)&lt;=playercnt),((ROW()-41)&lt;=playercnt)),SUMPRODUCT(INDIRECT(ADDRESS(3,ROW()-31,1)):INDIRECT(ADDRESS(22,ROW()-31,1)),AK$3:AK$22),"")</f>
        <v>5</v>
      </c>
      <c r="AL92">
        <f ca="1">IF(AND(((COLUMN()-10)&lt;=playercnt),((ROW()-41)&lt;=playercnt)),SUMPRODUCT(INDIRECT(ADDRESS(3,ROW()-31,1)):INDIRECT(ADDRESS(22,ROW()-31,1)),AL$3:AL$22),"")</f>
        <v>7</v>
      </c>
      <c r="AM92">
        <f ca="1">IF(AND(((COLUMN()-10)&lt;=playercnt),((ROW()-41)&lt;=playercnt)),SUMPRODUCT(INDIRECT(ADDRESS(3,ROW()-31,1)):INDIRECT(ADDRESS(22,ROW()-31,1)),AM$3:AM$22),"")</f>
        <v>4</v>
      </c>
      <c r="AN92">
        <f ca="1">IF(AND(((COLUMN()-10)&lt;=playercnt),((ROW()-41)&lt;=playercnt)),SUMPRODUCT(INDIRECT(ADDRESS(3,ROW()-31,1)):INDIRECT(ADDRESS(22,ROW()-31,1)),AN$3:AN$22),"")</f>
        <v>5</v>
      </c>
      <c r="AO92">
        <f ca="1">IF(AND(((COLUMN()-10)&lt;=playercnt),((ROW()-41)&lt;=playercnt)),SUMPRODUCT(INDIRECT(ADDRESS(3,ROW()-31,1)):INDIRECT(ADDRESS(22,ROW()-31,1)),AO$3:AO$22),"")</f>
        <v>5</v>
      </c>
      <c r="AP92">
        <f ca="1">IF(AND(((COLUMN()-10)&lt;=playercnt),((ROW()-41)&lt;=playercnt)),SUMPRODUCT(INDIRECT(ADDRESS(3,ROW()-31,1)):INDIRECT(ADDRESS(22,ROW()-31,1)),AP$3:AP$22),"")</f>
        <v>6</v>
      </c>
      <c r="AQ92">
        <f ca="1">IF(AND(((COLUMN()-10)&lt;=playercnt),((ROW()-41)&lt;=playercnt)),SUMPRODUCT(INDIRECT(ADDRESS(3,ROW()-31,1)):INDIRECT(ADDRESS(22,ROW()-31,1)),AQ$3:AQ$22),"")</f>
        <v>6</v>
      </c>
      <c r="AR92">
        <f ca="1">IF(AND(((COLUMN()-10)&lt;=playercnt),((ROW()-41)&lt;=playercnt)),SUMPRODUCT(INDIRECT(ADDRESS(3,ROW()-31,1)):INDIRECT(ADDRESS(22,ROW()-31,1)),AR$3:AR$22),"")</f>
        <v>5</v>
      </c>
      <c r="AS92">
        <f ca="1">IF(AND(((COLUMN()-10)&lt;=playercnt),((ROW()-41)&lt;=playercnt)),SUMPRODUCT(INDIRECT(ADDRESS(3,ROW()-31,1)):INDIRECT(ADDRESS(22,ROW()-31,1)),AS$3:AS$22),"")</f>
        <v>3</v>
      </c>
      <c r="AT92">
        <f ca="1">IF(AND(((COLUMN()-10)&lt;=playercnt),((ROW()-41)&lt;=playercnt)),SUMPRODUCT(INDIRECT(ADDRESS(3,ROW()-31,1)):INDIRECT(ADDRESS(22,ROW()-31,1)),AT$3:AT$22),"")</f>
        <v>6</v>
      </c>
      <c r="AU92">
        <f ca="1">IF(AND(((COLUMN()-10)&lt;=playercnt),((ROW()-41)&lt;=playercnt)),SUMPRODUCT(INDIRECT(ADDRESS(3,ROW()-31,1)):INDIRECT(ADDRESS(22,ROW()-31,1)),AU$3:AU$22),"")</f>
        <v>8</v>
      </c>
      <c r="AV92">
        <f ca="1">IF(AND(((COLUMN()-10)&lt;=playercnt),((ROW()-41)&lt;=playercnt)),SUMPRODUCT(INDIRECT(ADDRESS(3,ROW()-31,1)):INDIRECT(ADDRESS(22,ROW()-31,1)),AV$3:AV$22),"")</f>
        <v>6</v>
      </c>
      <c r="AW92">
        <f ca="1">IF(AND(((COLUMN()-10)&lt;=playercnt),((ROW()-41)&lt;=playercnt)),SUMPRODUCT(INDIRECT(ADDRESS(3,ROW()-31,1)):INDIRECT(ADDRESS(22,ROW()-31,1)),AW$3:AW$22),"")</f>
        <v>4</v>
      </c>
      <c r="AX92">
        <f ca="1">IF(AND(((COLUMN()-10)&lt;=playercnt),((ROW()-41)&lt;=playercnt)),SUMPRODUCT(INDIRECT(ADDRESS(3,ROW()-31,1)):INDIRECT(ADDRESS(22,ROW()-31,1)),AX$3:AX$22),"")</f>
        <v>6</v>
      </c>
      <c r="AY92">
        <f ca="1">IF(AND(((COLUMN()-10)&lt;=playercnt),((ROW()-41)&lt;=playercnt)),SUMPRODUCT(INDIRECT(ADDRESS(3,ROW()-31,1)):INDIRECT(ADDRESS(22,ROW()-31,1)),AY$3:AY$22),"")</f>
        <v>6</v>
      </c>
      <c r="AZ92">
        <f ca="1">IF(AND(((COLUMN()-10)&lt;=playercnt),((ROW()-41)&lt;=playercnt)),SUMPRODUCT(INDIRECT(ADDRESS(3,ROW()-31,1)):INDIRECT(ADDRESS(22,ROW()-31,1)),AZ$3:AZ$22),"")</f>
        <v>5</v>
      </c>
      <c r="BA92">
        <f ca="1">IF(AND(((COLUMN()-10)&lt;=playercnt),((ROW()-41)&lt;=playercnt)),SUMPRODUCT(INDIRECT(ADDRESS(3,ROW()-31,1)):INDIRECT(ADDRESS(22,ROW()-31,1)),BA$3:BA$22),"")</f>
        <v>6</v>
      </c>
      <c r="BB92">
        <f ca="1">IF(AND(((COLUMN()-10)&lt;=playercnt),((ROW()-41)&lt;=playercnt)),SUMPRODUCT(INDIRECT(ADDRESS(3,ROW()-31,1)):INDIRECT(ADDRESS(22,ROW()-31,1)),BB$3:BB$22),"")</f>
        <v>5</v>
      </c>
      <c r="BC92">
        <f ca="1">IF(AND(((COLUMN()-10)&lt;=playercnt),((ROW()-41)&lt;=playercnt)),SUMPRODUCT(INDIRECT(ADDRESS(3,ROW()-31,1)):INDIRECT(ADDRESS(22,ROW()-31,1)),BC$3:BC$22),"")</f>
        <v>5</v>
      </c>
      <c r="BD92">
        <f ca="1">IF(AND(((COLUMN()-10)&lt;=playercnt),((ROW()-41)&lt;=playercnt)),SUMPRODUCT(INDIRECT(ADDRESS(3,ROW()-31,1)):INDIRECT(ADDRESS(22,ROW()-31,1)),BD$3:BD$22),"")</f>
        <v>4</v>
      </c>
      <c r="BE92">
        <f ca="1">IF(AND(((COLUMN()-10)&lt;=playercnt),((ROW()-41)&lt;=playercnt)),SUMPRODUCT(INDIRECT(ADDRESS(3,ROW()-31,1)):INDIRECT(ADDRESS(22,ROW()-31,1)),BE$3:BE$22),"")</f>
        <v>5</v>
      </c>
      <c r="BF92">
        <f ca="1">IF(AND(((COLUMN()-10)&lt;=playercnt),((ROW()-41)&lt;=playercnt)),SUMPRODUCT(INDIRECT(ADDRESS(3,ROW()-31,1)):INDIRECT(ADDRESS(22,ROW()-31,1)),BF$3:BF$22),"")</f>
        <v>3</v>
      </c>
      <c r="BG92">
        <f ca="1">IF(AND(((COLUMN()-10)&lt;=playercnt),((ROW()-41)&lt;=playercnt)),SUMPRODUCT(INDIRECT(ADDRESS(3,ROW()-31,1)):INDIRECT(ADDRESS(22,ROW()-31,1)),BG$3:BG$22),"")</f>
        <v>4</v>
      </c>
      <c r="BH92">
        <f ca="1">IF(AND(((COLUMN()-10)&lt;=playercnt),((ROW()-41)&lt;=playercnt)),SUMPRODUCT(INDIRECT(ADDRESS(3,ROW()-31,1)):INDIRECT(ADDRESS(22,ROW()-31,1)),BH$3:BH$22),"")</f>
        <v>3</v>
      </c>
      <c r="BI92">
        <f ca="1">IF(AND(((COLUMN()-10)&lt;=playercnt),((ROW()-41)&lt;=playercnt)),SUMPRODUCT(INDIRECT(ADDRESS(3,ROW()-31,1)):INDIRECT(ADDRESS(22,ROW()-31,1)),BI$3:BI$22),"")</f>
        <v>10</v>
      </c>
      <c r="BJ92">
        <f ca="1">IF(AND(((COLUMN()-10)&lt;=playercnt),((ROW()-41)&lt;=playercnt)),SUMPRODUCT(INDIRECT(ADDRESS(3,ROW()-31,1)):INDIRECT(ADDRESS(22,ROW()-31,1)),BJ$3:BJ$22),"")</f>
        <v>6</v>
      </c>
      <c r="BK92">
        <f ca="1">IF(AND(((COLUMN()-10)&lt;=playercnt),((ROW()-41)&lt;=playercnt)),SUMPRODUCT(INDIRECT(ADDRESS(3,ROW()-31,1)):INDIRECT(ADDRESS(22,ROW()-31,1)),BK$3:BK$22),"")</f>
        <v>3</v>
      </c>
      <c r="BL92">
        <f ca="1">IF(AND(((COLUMN()-10)&lt;=playercnt),((ROW()-41)&lt;=playercnt)),SUMPRODUCT(INDIRECT(ADDRESS(3,ROW()-31,1)):INDIRECT(ADDRESS(22,ROW()-31,1)),BL$3:BL$22),"")</f>
        <v>5</v>
      </c>
      <c r="BM92">
        <f ca="1">IF(AND(((COLUMN()-10)&lt;=playercnt),((ROW()-41)&lt;=playercnt)),SUMPRODUCT(INDIRECT(ADDRESS(3,ROW()-31,1)):INDIRECT(ADDRESS(22,ROW()-31,1)),BM$3:BM$22),"")</f>
        <v>7</v>
      </c>
      <c r="BN92">
        <f ca="1">IF(AND(((COLUMN()-10)&lt;=playercnt),((ROW()-41)&lt;=playercnt)),SUMPRODUCT(INDIRECT(ADDRESS(3,ROW()-31,1)):INDIRECT(ADDRESS(22,ROW()-31,1)),BN$3:BN$22),"")</f>
        <v>7</v>
      </c>
    </row>
    <row r="93" spans="2:66">
      <c r="B93" s="27">
        <f t="shared" ca="1" si="23"/>
        <v>5.2545454545454549</v>
      </c>
      <c r="C93" t="str">
        <f t="shared" ca="1" si="24"/>
        <v>Warren, Todd Remote</v>
      </c>
      <c r="G93">
        <f ca="1">IF(AND(((COLUMN()-10)&lt;=playercnt),((ROW()-41)&lt;=playercnt)),SUMPRODUCT(INDIRECT(ADDRESS(3,ROW()-31,1)):INDIRECT(ADDRESS(22,ROW()-31,1)),G$3:G$22),"")</f>
        <v>4</v>
      </c>
      <c r="H93">
        <f ca="1">IF(AND(((COLUMN()-10)&lt;=playercnt),((ROW()-41)&lt;=playercnt)),SUMPRODUCT(INDIRECT(ADDRESS(3,ROW()-31,1)):INDIRECT(ADDRESS(22,ROW()-31,1)),H$3:H$22),"")</f>
        <v>5</v>
      </c>
      <c r="I93">
        <f ca="1">IF(AND(((COLUMN()-10)&lt;=playercnt),((ROW()-41)&lt;=playercnt)),SUMPRODUCT(INDIRECT(ADDRESS(3,ROW()-31,1)):INDIRECT(ADDRESS(22,ROW()-31,1)),I$3:I$22),"")</f>
        <v>5</v>
      </c>
      <c r="J93">
        <f ca="1">IF(AND(((COLUMN()-10)&lt;=playercnt),((ROW()-41)&lt;=playercnt)),SUMPRODUCT(INDIRECT(ADDRESS(3,ROW()-31,1)):INDIRECT(ADDRESS(22,ROW()-31,1)),J$3:J$22),"")</f>
        <v>0</v>
      </c>
      <c r="K93">
        <f ca="1">IF(AND(((COLUMN()-10)&lt;=playercnt),((ROW()-41)&lt;=playercnt)),SUMPRODUCT(INDIRECT(ADDRESS(3,ROW()-31,1)):INDIRECT(ADDRESS(22,ROW()-31,1)),K$3:K$22),"")</f>
        <v>4</v>
      </c>
      <c r="L93">
        <f ca="1">IF(AND(((COLUMN()-10)&lt;=playercnt),((ROW()-41)&lt;=playercnt)),SUMPRODUCT(INDIRECT(ADDRESS(3,ROW()-31,1)):INDIRECT(ADDRESS(22,ROW()-31,1)),L$3:L$22),"")</f>
        <v>5</v>
      </c>
      <c r="M93">
        <f ca="1">IF(AND(((COLUMN()-10)&lt;=playercnt),((ROW()-41)&lt;=playercnt)),SUMPRODUCT(INDIRECT(ADDRESS(3,ROW()-31,1)):INDIRECT(ADDRESS(22,ROW()-31,1)),M$3:M$22),"")</f>
        <v>5</v>
      </c>
      <c r="N93">
        <f ca="1">IF(AND(((COLUMN()-10)&lt;=playercnt),((ROW()-41)&lt;=playercnt)),SUMPRODUCT(INDIRECT(ADDRESS(3,ROW()-31,1)):INDIRECT(ADDRESS(22,ROW()-31,1)),N$3:N$22),"")</f>
        <v>3</v>
      </c>
      <c r="O93">
        <f ca="1">IF(AND(((COLUMN()-10)&lt;=playercnt),((ROW()-41)&lt;=playercnt)),SUMPRODUCT(INDIRECT(ADDRESS(3,ROW()-31,1)):INDIRECT(ADDRESS(22,ROW()-31,1)),O$3:O$22),"")</f>
        <v>5</v>
      </c>
      <c r="P93">
        <f ca="1">IF(AND(((COLUMN()-10)&lt;=playercnt),((ROW()-41)&lt;=playercnt)),SUMPRODUCT(INDIRECT(ADDRESS(3,ROW()-31,1)):INDIRECT(ADDRESS(22,ROW()-31,1)),P$3:P$22),"")</f>
        <v>6</v>
      </c>
      <c r="Q93">
        <f ca="1">IF(AND(((COLUMN()-10)&lt;=playercnt),((ROW()-41)&lt;=playercnt)),SUMPRODUCT(INDIRECT(ADDRESS(3,ROW()-31,1)):INDIRECT(ADDRESS(22,ROW()-31,1)),Q$3:Q$22),"")</f>
        <v>6</v>
      </c>
      <c r="R93">
        <f ca="1">IF(AND(((COLUMN()-10)&lt;=playercnt),((ROW()-41)&lt;=playercnt)),SUMPRODUCT(INDIRECT(ADDRESS(3,ROW()-31,1)):INDIRECT(ADDRESS(22,ROW()-31,1)),R$3:R$22),"")</f>
        <v>6</v>
      </c>
      <c r="S93">
        <f ca="1">IF(AND(((COLUMN()-10)&lt;=playercnt),((ROW()-41)&lt;=playercnt)),SUMPRODUCT(INDIRECT(ADDRESS(3,ROW()-31,1)):INDIRECT(ADDRESS(22,ROW()-31,1)),S$3:S$22),"")</f>
        <v>4</v>
      </c>
      <c r="T93">
        <f ca="1">IF(AND(((COLUMN()-10)&lt;=playercnt),((ROW()-41)&lt;=playercnt)),SUMPRODUCT(INDIRECT(ADDRESS(3,ROW()-31,1)):INDIRECT(ADDRESS(22,ROW()-31,1)),T$3:T$22),"")</f>
        <v>2</v>
      </c>
      <c r="U93">
        <f ca="1">IF(AND(((COLUMN()-10)&lt;=playercnt),((ROW()-41)&lt;=playercnt)),SUMPRODUCT(INDIRECT(ADDRESS(3,ROW()-31,1)):INDIRECT(ADDRESS(22,ROW()-31,1)),U$3:U$22),"")</f>
        <v>5</v>
      </c>
      <c r="V93">
        <f ca="1">IF(AND(((COLUMN()-10)&lt;=playercnt),((ROW()-41)&lt;=playercnt)),SUMPRODUCT(INDIRECT(ADDRESS(3,ROW()-31,1)):INDIRECT(ADDRESS(22,ROW()-31,1)),V$3:V$22),"")</f>
        <v>4</v>
      </c>
      <c r="W93">
        <f ca="1">IF(AND(((COLUMN()-10)&lt;=playercnt),((ROW()-41)&lt;=playercnt)),SUMPRODUCT(INDIRECT(ADDRESS(3,ROW()-31,1)):INDIRECT(ADDRESS(22,ROW()-31,1)),W$3:W$22),"")</f>
        <v>4</v>
      </c>
      <c r="X93">
        <f ca="1">IF(AND(((COLUMN()-10)&lt;=playercnt),((ROW()-41)&lt;=playercnt)),SUMPRODUCT(INDIRECT(ADDRESS(3,ROW()-31,1)):INDIRECT(ADDRESS(22,ROW()-31,1)),X$3:X$22),"")</f>
        <v>4</v>
      </c>
      <c r="Y93">
        <f ca="1">IF(AND(((COLUMN()-10)&lt;=playercnt),((ROW()-41)&lt;=playercnt)),SUMPRODUCT(INDIRECT(ADDRESS(3,ROW()-31,1)):INDIRECT(ADDRESS(22,ROW()-31,1)),Y$3:Y$22),"")</f>
        <v>7</v>
      </c>
      <c r="Z93">
        <f ca="1">IF(AND(((COLUMN()-10)&lt;=playercnt),((ROW()-41)&lt;=playercnt)),SUMPRODUCT(INDIRECT(ADDRESS(3,ROW()-31,1)):INDIRECT(ADDRESS(22,ROW()-31,1)),Z$3:Z$22),"")</f>
        <v>5</v>
      </c>
      <c r="AA93">
        <f ca="1">IF(AND(((COLUMN()-10)&lt;=playercnt),((ROW()-41)&lt;=playercnt)),SUMPRODUCT(INDIRECT(ADDRESS(3,ROW()-31,1)):INDIRECT(ADDRESS(22,ROW()-31,1)),AA$3:AA$22),"")</f>
        <v>3</v>
      </c>
      <c r="AB93">
        <f ca="1">IF(AND(((COLUMN()-10)&lt;=playercnt),((ROW()-41)&lt;=playercnt)),SUMPRODUCT(INDIRECT(ADDRESS(3,ROW()-31,1)):INDIRECT(ADDRESS(22,ROW()-31,1)),AB$3:AB$22),"")</f>
        <v>7</v>
      </c>
      <c r="AC93">
        <f ca="1">IF(AND(((COLUMN()-10)&lt;=playercnt),((ROW()-41)&lt;=playercnt)),SUMPRODUCT(INDIRECT(ADDRESS(3,ROW()-31,1)):INDIRECT(ADDRESS(22,ROW()-31,1)),AC$3:AC$22),"")</f>
        <v>6</v>
      </c>
      <c r="AD93">
        <f ca="1">IF(AND(((COLUMN()-10)&lt;=playercnt),((ROW()-41)&lt;=playercnt)),SUMPRODUCT(INDIRECT(ADDRESS(3,ROW()-31,1)):INDIRECT(ADDRESS(22,ROW()-31,1)),AD$3:AD$22),"")</f>
        <v>5</v>
      </c>
      <c r="AE93">
        <f ca="1">IF(AND(((COLUMN()-10)&lt;=playercnt),((ROW()-41)&lt;=playercnt)),SUMPRODUCT(INDIRECT(ADDRESS(3,ROW()-31,1)):INDIRECT(ADDRESS(22,ROW()-31,1)),AE$3:AE$22),"")</f>
        <v>5</v>
      </c>
      <c r="AF93">
        <f ca="1">IF(AND(((COLUMN()-10)&lt;=playercnt),((ROW()-41)&lt;=playercnt)),SUMPRODUCT(INDIRECT(ADDRESS(3,ROW()-31,1)):INDIRECT(ADDRESS(22,ROW()-31,1)),AF$3:AF$22),"")</f>
        <v>5</v>
      </c>
      <c r="AG93">
        <f ca="1">IF(AND(((COLUMN()-10)&lt;=playercnt),((ROW()-41)&lt;=playercnt)),SUMPRODUCT(INDIRECT(ADDRESS(3,ROW()-31,1)):INDIRECT(ADDRESS(22,ROW()-31,1)),AG$3:AG$22),"")</f>
        <v>5</v>
      </c>
      <c r="AH93">
        <f ca="1">IF(AND(((COLUMN()-10)&lt;=playercnt),((ROW()-41)&lt;=playercnt)),SUMPRODUCT(INDIRECT(ADDRESS(3,ROW()-31,1)):INDIRECT(ADDRESS(22,ROW()-31,1)),AH$3:AH$22),"")</f>
        <v>5</v>
      </c>
      <c r="AI93">
        <f ca="1">IF(AND(((COLUMN()-10)&lt;=playercnt),((ROW()-41)&lt;=playercnt)),SUMPRODUCT(INDIRECT(ADDRESS(3,ROW()-31,1)):INDIRECT(ADDRESS(22,ROW()-31,1)),AI$3:AI$22),"")</f>
        <v>8</v>
      </c>
      <c r="AJ93">
        <f ca="1">IF(AND(((COLUMN()-10)&lt;=playercnt),((ROW()-41)&lt;=playercnt)),SUMPRODUCT(INDIRECT(ADDRESS(3,ROW()-31,1)):INDIRECT(ADDRESS(22,ROW()-31,1)),AJ$3:AJ$22),"")</f>
        <v>7</v>
      </c>
      <c r="AK93">
        <f ca="1">IF(AND(((COLUMN()-10)&lt;=playercnt),((ROW()-41)&lt;=playercnt)),SUMPRODUCT(INDIRECT(ADDRESS(3,ROW()-31,1)):INDIRECT(ADDRESS(22,ROW()-31,1)),AK$3:AK$22),"")</f>
        <v>7</v>
      </c>
      <c r="AL93">
        <f ca="1">IF(AND(((COLUMN()-10)&lt;=playercnt),((ROW()-41)&lt;=playercnt)),SUMPRODUCT(INDIRECT(ADDRESS(3,ROW()-31,1)):INDIRECT(ADDRESS(22,ROW()-31,1)),AL$3:AL$22),"")</f>
        <v>5</v>
      </c>
      <c r="AM93">
        <f ca="1">IF(AND(((COLUMN()-10)&lt;=playercnt),((ROW()-41)&lt;=playercnt)),SUMPRODUCT(INDIRECT(ADDRESS(3,ROW()-31,1)):INDIRECT(ADDRESS(22,ROW()-31,1)),AM$3:AM$22),"")</f>
        <v>6</v>
      </c>
      <c r="AN93">
        <f ca="1">IF(AND(((COLUMN()-10)&lt;=playercnt),((ROW()-41)&lt;=playercnt)),SUMPRODUCT(INDIRECT(ADDRESS(3,ROW()-31,1)):INDIRECT(ADDRESS(22,ROW()-31,1)),AN$3:AN$22),"")</f>
        <v>7</v>
      </c>
      <c r="AO93">
        <f ca="1">IF(AND(((COLUMN()-10)&lt;=playercnt),((ROW()-41)&lt;=playercnt)),SUMPRODUCT(INDIRECT(ADDRESS(3,ROW()-31,1)):INDIRECT(ADDRESS(22,ROW()-31,1)),AO$3:AO$22),"")</f>
        <v>7</v>
      </c>
      <c r="AP93">
        <f ca="1">IF(AND(((COLUMN()-10)&lt;=playercnt),((ROW()-41)&lt;=playercnt)),SUMPRODUCT(INDIRECT(ADDRESS(3,ROW()-31,1)):INDIRECT(ADDRESS(22,ROW()-31,1)),AP$3:AP$22),"")</f>
        <v>6</v>
      </c>
      <c r="AQ93">
        <f ca="1">IF(AND(((COLUMN()-10)&lt;=playercnt),((ROW()-41)&lt;=playercnt)),SUMPRODUCT(INDIRECT(ADDRESS(3,ROW()-31,1)):INDIRECT(ADDRESS(22,ROW()-31,1)),AQ$3:AQ$22),"")</f>
        <v>6</v>
      </c>
      <c r="AR93">
        <f ca="1">IF(AND(((COLUMN()-10)&lt;=playercnt),((ROW()-41)&lt;=playercnt)),SUMPRODUCT(INDIRECT(ADDRESS(3,ROW()-31,1)):INDIRECT(ADDRESS(22,ROW()-31,1)),AR$3:AR$22),"")</f>
        <v>9</v>
      </c>
      <c r="AS93">
        <f ca="1">IF(AND(((COLUMN()-10)&lt;=playercnt),((ROW()-41)&lt;=playercnt)),SUMPRODUCT(INDIRECT(ADDRESS(3,ROW()-31,1)):INDIRECT(ADDRESS(22,ROW()-31,1)),AS$3:AS$22),"")</f>
        <v>5</v>
      </c>
      <c r="AT93">
        <f ca="1">IF(AND(((COLUMN()-10)&lt;=playercnt),((ROW()-41)&lt;=playercnt)),SUMPRODUCT(INDIRECT(ADDRESS(3,ROW()-31,1)):INDIRECT(ADDRESS(22,ROW()-31,1)),AT$3:AT$22),"")</f>
        <v>6</v>
      </c>
      <c r="AU93">
        <f ca="1">IF(AND(((COLUMN()-10)&lt;=playercnt),((ROW()-41)&lt;=playercnt)),SUMPRODUCT(INDIRECT(ADDRESS(3,ROW()-31,1)):INDIRECT(ADDRESS(22,ROW()-31,1)),AU$3:AU$22),"")</f>
        <v>6</v>
      </c>
      <c r="AV93">
        <f ca="1">IF(AND(((COLUMN()-10)&lt;=playercnt),((ROW()-41)&lt;=playercnt)),SUMPRODUCT(INDIRECT(ADDRESS(3,ROW()-31,1)):INDIRECT(ADDRESS(22,ROW()-31,1)),AV$3:AV$22),"")</f>
        <v>2</v>
      </c>
      <c r="AW93">
        <f ca="1">IF(AND(((COLUMN()-10)&lt;=playercnt),((ROW()-41)&lt;=playercnt)),SUMPRODUCT(INDIRECT(ADDRESS(3,ROW()-31,1)):INDIRECT(ADDRESS(22,ROW()-31,1)),AW$3:AW$22),"")</f>
        <v>4</v>
      </c>
      <c r="AX93">
        <f ca="1">IF(AND(((COLUMN()-10)&lt;=playercnt),((ROW()-41)&lt;=playercnt)),SUMPRODUCT(INDIRECT(ADDRESS(3,ROW()-31,1)):INDIRECT(ADDRESS(22,ROW()-31,1)),AX$3:AX$22),"")</f>
        <v>6</v>
      </c>
      <c r="AY93">
        <f ca="1">IF(AND(((COLUMN()-10)&lt;=playercnt),((ROW()-41)&lt;=playercnt)),SUMPRODUCT(INDIRECT(ADDRESS(3,ROW()-31,1)):INDIRECT(ADDRESS(22,ROW()-31,1)),AY$3:AY$22),"")</f>
        <v>6</v>
      </c>
      <c r="AZ93">
        <f ca="1">IF(AND(((COLUMN()-10)&lt;=playercnt),((ROW()-41)&lt;=playercnt)),SUMPRODUCT(INDIRECT(ADDRESS(3,ROW()-31,1)):INDIRECT(ADDRESS(22,ROW()-31,1)),AZ$3:AZ$22),"")</f>
        <v>5</v>
      </c>
      <c r="BA93">
        <f ca="1">IF(AND(((COLUMN()-10)&lt;=playercnt),((ROW()-41)&lt;=playercnt)),SUMPRODUCT(INDIRECT(ADDRESS(3,ROW()-31,1)):INDIRECT(ADDRESS(22,ROW()-31,1)),BA$3:BA$22),"")</f>
        <v>4</v>
      </c>
      <c r="BB93">
        <f ca="1">IF(AND(((COLUMN()-10)&lt;=playercnt),((ROW()-41)&lt;=playercnt)),SUMPRODUCT(INDIRECT(ADDRESS(3,ROW()-31,1)):INDIRECT(ADDRESS(22,ROW()-31,1)),BB$3:BB$22),"")</f>
        <v>5</v>
      </c>
      <c r="BC93">
        <f ca="1">IF(AND(((COLUMN()-10)&lt;=playercnt),((ROW()-41)&lt;=playercnt)),SUMPRODUCT(INDIRECT(ADDRESS(3,ROW()-31,1)):INDIRECT(ADDRESS(22,ROW()-31,1)),BC$3:BC$22),"")</f>
        <v>3</v>
      </c>
      <c r="BD93">
        <f ca="1">IF(AND(((COLUMN()-10)&lt;=playercnt),((ROW()-41)&lt;=playercnt)),SUMPRODUCT(INDIRECT(ADDRESS(3,ROW()-31,1)):INDIRECT(ADDRESS(22,ROW()-31,1)),BD$3:BD$22),"")</f>
        <v>4</v>
      </c>
      <c r="BE93">
        <f ca="1">IF(AND(((COLUMN()-10)&lt;=playercnt),((ROW()-41)&lt;=playercnt)),SUMPRODUCT(INDIRECT(ADDRESS(3,ROW()-31,1)):INDIRECT(ADDRESS(22,ROW()-31,1)),BE$3:BE$22),"")</f>
        <v>7</v>
      </c>
      <c r="BF93">
        <f ca="1">IF(AND(((COLUMN()-10)&lt;=playercnt),((ROW()-41)&lt;=playercnt)),SUMPRODUCT(INDIRECT(ADDRESS(3,ROW()-31,1)):INDIRECT(ADDRESS(22,ROW()-31,1)),BF$3:BF$22),"")</f>
        <v>7</v>
      </c>
      <c r="BG93">
        <f ca="1">IF(AND(((COLUMN()-10)&lt;=playercnt),((ROW()-41)&lt;=playercnt)),SUMPRODUCT(INDIRECT(ADDRESS(3,ROW()-31,1)):INDIRECT(ADDRESS(22,ROW()-31,1)),BG$3:BG$22),"")</f>
        <v>4</v>
      </c>
      <c r="BH93">
        <f ca="1">IF(AND(((COLUMN()-10)&lt;=playercnt),((ROW()-41)&lt;=playercnt)),SUMPRODUCT(INDIRECT(ADDRESS(3,ROW()-31,1)):INDIRECT(ADDRESS(22,ROW()-31,1)),BH$3:BH$22),"")</f>
        <v>5</v>
      </c>
      <c r="BI93">
        <f ca="1">IF(AND(((COLUMN()-10)&lt;=playercnt),((ROW()-41)&lt;=playercnt)),SUMPRODUCT(INDIRECT(ADDRESS(3,ROW()-31,1)):INDIRECT(ADDRESS(22,ROW()-31,1)),BI$3:BI$22),"")</f>
        <v>6</v>
      </c>
      <c r="BJ93">
        <f ca="1">IF(AND(((COLUMN()-10)&lt;=playercnt),((ROW()-41)&lt;=playercnt)),SUMPRODUCT(INDIRECT(ADDRESS(3,ROW()-31,1)):INDIRECT(ADDRESS(22,ROW()-31,1)),BJ$3:BJ$22),"")</f>
        <v>10</v>
      </c>
      <c r="BK93">
        <f ca="1">IF(AND(((COLUMN()-10)&lt;=playercnt),((ROW()-41)&lt;=playercnt)),SUMPRODUCT(INDIRECT(ADDRESS(3,ROW()-31,1)):INDIRECT(ADDRESS(22,ROW()-31,1)),BK$3:BK$22),"")</f>
        <v>5</v>
      </c>
      <c r="BL93">
        <f ca="1">IF(AND(((COLUMN()-10)&lt;=playercnt),((ROW()-41)&lt;=playercnt)),SUMPRODUCT(INDIRECT(ADDRESS(3,ROW()-31,1)):INDIRECT(ADDRESS(22,ROW()-31,1)),BL$3:BL$22),"")</f>
        <v>5</v>
      </c>
      <c r="BM93">
        <f ca="1">IF(AND(((COLUMN()-10)&lt;=playercnt),((ROW()-41)&lt;=playercnt)),SUMPRODUCT(INDIRECT(ADDRESS(3,ROW()-31,1)):INDIRECT(ADDRESS(22,ROW()-31,1)),BM$3:BM$22),"")</f>
        <v>7</v>
      </c>
      <c r="BN93">
        <f ca="1">IF(AND(((COLUMN()-10)&lt;=playercnt),((ROW()-41)&lt;=playercnt)),SUMPRODUCT(INDIRECT(ADDRESS(3,ROW()-31,1)):INDIRECT(ADDRESS(22,ROW()-31,1)),BN$3:BN$22),"")</f>
        <v>3</v>
      </c>
    </row>
    <row r="94" spans="2:66">
      <c r="B94" s="27">
        <f t="shared" ca="1" si="23"/>
        <v>5.1090909090909093</v>
      </c>
      <c r="C94" t="str">
        <f t="shared" ca="1" si="24"/>
        <v>Wells, Seth Remote</v>
      </c>
      <c r="G94">
        <f ca="1">IF(AND(((COLUMN()-10)&lt;=playercnt),((ROW()-41)&lt;=playercnt)),SUMPRODUCT(INDIRECT(ADDRESS(3,ROW()-31,1)):INDIRECT(ADDRESS(22,ROW()-31,1)),G$3:G$22),"")</f>
        <v>3</v>
      </c>
      <c r="H94">
        <f ca="1">IF(AND(((COLUMN()-10)&lt;=playercnt),((ROW()-41)&lt;=playercnt)),SUMPRODUCT(INDIRECT(ADDRESS(3,ROW()-31,1)):INDIRECT(ADDRESS(22,ROW()-31,1)),H$3:H$22),"")</f>
        <v>4</v>
      </c>
      <c r="I94">
        <f ca="1">IF(AND(((COLUMN()-10)&lt;=playercnt),((ROW()-41)&lt;=playercnt)),SUMPRODUCT(INDIRECT(ADDRESS(3,ROW()-31,1)):INDIRECT(ADDRESS(22,ROW()-31,1)),I$3:I$22),"")</f>
        <v>6</v>
      </c>
      <c r="J94">
        <f ca="1">IF(AND(((COLUMN()-10)&lt;=playercnt),((ROW()-41)&lt;=playercnt)),SUMPRODUCT(INDIRECT(ADDRESS(3,ROW()-31,1)):INDIRECT(ADDRESS(22,ROW()-31,1)),J$3:J$22),"")</f>
        <v>0</v>
      </c>
      <c r="K94">
        <f ca="1">IF(AND(((COLUMN()-10)&lt;=playercnt),((ROW()-41)&lt;=playercnt)),SUMPRODUCT(INDIRECT(ADDRESS(3,ROW()-31,1)):INDIRECT(ADDRESS(22,ROW()-31,1)),K$3:K$22),"")</f>
        <v>5</v>
      </c>
      <c r="L94">
        <f ca="1">IF(AND(((COLUMN()-10)&lt;=playercnt),((ROW()-41)&lt;=playercnt)),SUMPRODUCT(INDIRECT(ADDRESS(3,ROW()-31,1)):INDIRECT(ADDRESS(22,ROW()-31,1)),L$3:L$22),"")</f>
        <v>4</v>
      </c>
      <c r="M94">
        <f ca="1">IF(AND(((COLUMN()-10)&lt;=playercnt),((ROW()-41)&lt;=playercnt)),SUMPRODUCT(INDIRECT(ADDRESS(3,ROW()-31,1)):INDIRECT(ADDRESS(22,ROW()-31,1)),M$3:M$22),"")</f>
        <v>4</v>
      </c>
      <c r="N94">
        <f ca="1">IF(AND(((COLUMN()-10)&lt;=playercnt),((ROW()-41)&lt;=playercnt)),SUMPRODUCT(INDIRECT(ADDRESS(3,ROW()-31,1)):INDIRECT(ADDRESS(22,ROW()-31,1)),N$3:N$22),"")</f>
        <v>6</v>
      </c>
      <c r="O94">
        <f ca="1">IF(AND(((COLUMN()-10)&lt;=playercnt),((ROW()-41)&lt;=playercnt)),SUMPRODUCT(INDIRECT(ADDRESS(3,ROW()-31,1)):INDIRECT(ADDRESS(22,ROW()-31,1)),O$3:O$22),"")</f>
        <v>6</v>
      </c>
      <c r="P94">
        <f ca="1">IF(AND(((COLUMN()-10)&lt;=playercnt),((ROW()-41)&lt;=playercnt)),SUMPRODUCT(INDIRECT(ADDRESS(3,ROW()-31,1)):INDIRECT(ADDRESS(22,ROW()-31,1)),P$3:P$22),"")</f>
        <v>5</v>
      </c>
      <c r="Q94">
        <f ca="1">IF(AND(((COLUMN()-10)&lt;=playercnt),((ROW()-41)&lt;=playercnt)),SUMPRODUCT(INDIRECT(ADDRESS(3,ROW()-31,1)):INDIRECT(ADDRESS(22,ROW()-31,1)),Q$3:Q$22),"")</f>
        <v>5</v>
      </c>
      <c r="R94">
        <f ca="1">IF(AND(((COLUMN()-10)&lt;=playercnt),((ROW()-41)&lt;=playercnt)),SUMPRODUCT(INDIRECT(ADDRESS(3,ROW()-31,1)):INDIRECT(ADDRESS(22,ROW()-31,1)),R$3:R$22),"")</f>
        <v>5</v>
      </c>
      <c r="S94">
        <f ca="1">IF(AND(((COLUMN()-10)&lt;=playercnt),((ROW()-41)&lt;=playercnt)),SUMPRODUCT(INDIRECT(ADDRESS(3,ROW()-31,1)):INDIRECT(ADDRESS(22,ROW()-31,1)),S$3:S$22),"")</f>
        <v>9</v>
      </c>
      <c r="T94">
        <f ca="1">IF(AND(((COLUMN()-10)&lt;=playercnt),((ROW()-41)&lt;=playercnt)),SUMPRODUCT(INDIRECT(ADDRESS(3,ROW()-31,1)):INDIRECT(ADDRESS(22,ROW()-31,1)),T$3:T$22),"")</f>
        <v>7</v>
      </c>
      <c r="U94">
        <f ca="1">IF(AND(((COLUMN()-10)&lt;=playercnt),((ROW()-41)&lt;=playercnt)),SUMPRODUCT(INDIRECT(ADDRESS(3,ROW()-31,1)):INDIRECT(ADDRESS(22,ROW()-31,1)),U$3:U$22),"")</f>
        <v>6</v>
      </c>
      <c r="V94">
        <f ca="1">IF(AND(((COLUMN()-10)&lt;=playercnt),((ROW()-41)&lt;=playercnt)),SUMPRODUCT(INDIRECT(ADDRESS(3,ROW()-31,1)):INDIRECT(ADDRESS(22,ROW()-31,1)),V$3:V$22),"")</f>
        <v>5</v>
      </c>
      <c r="W94">
        <f ca="1">IF(AND(((COLUMN()-10)&lt;=playercnt),((ROW()-41)&lt;=playercnt)),SUMPRODUCT(INDIRECT(ADDRESS(3,ROW()-31,1)):INDIRECT(ADDRESS(22,ROW()-31,1)),W$3:W$22),"")</f>
        <v>5</v>
      </c>
      <c r="X94">
        <f ca="1">IF(AND(((COLUMN()-10)&lt;=playercnt),((ROW()-41)&lt;=playercnt)),SUMPRODUCT(INDIRECT(ADDRESS(3,ROW()-31,1)):INDIRECT(ADDRESS(22,ROW()-31,1)),X$3:X$22),"")</f>
        <v>5</v>
      </c>
      <c r="Y94">
        <f ca="1">IF(AND(((COLUMN()-10)&lt;=playercnt),((ROW()-41)&lt;=playercnt)),SUMPRODUCT(INDIRECT(ADDRESS(3,ROW()-31,1)):INDIRECT(ADDRESS(22,ROW()-31,1)),Y$3:Y$22),"")</f>
        <v>4</v>
      </c>
      <c r="Z94">
        <f ca="1">IF(AND(((COLUMN()-10)&lt;=playercnt),((ROW()-41)&lt;=playercnt)),SUMPRODUCT(INDIRECT(ADDRESS(3,ROW()-31,1)):INDIRECT(ADDRESS(22,ROW()-31,1)),Z$3:Z$22),"")</f>
        <v>4</v>
      </c>
      <c r="AA94">
        <f ca="1">IF(AND(((COLUMN()-10)&lt;=playercnt),((ROW()-41)&lt;=playercnt)),SUMPRODUCT(INDIRECT(ADDRESS(3,ROW()-31,1)):INDIRECT(ADDRESS(22,ROW()-31,1)),AA$3:AA$22),"")</f>
        <v>4</v>
      </c>
      <c r="AB94">
        <f ca="1">IF(AND(((COLUMN()-10)&lt;=playercnt),((ROW()-41)&lt;=playercnt)),SUMPRODUCT(INDIRECT(ADDRESS(3,ROW()-31,1)):INDIRECT(ADDRESS(22,ROW()-31,1)),AB$3:AB$22),"")</f>
        <v>6</v>
      </c>
      <c r="AC94">
        <f ca="1">IF(AND(((COLUMN()-10)&lt;=playercnt),((ROW()-41)&lt;=playercnt)),SUMPRODUCT(INDIRECT(ADDRESS(3,ROW()-31,1)):INDIRECT(ADDRESS(22,ROW()-31,1)),AC$3:AC$22),"")</f>
        <v>5</v>
      </c>
      <c r="AD94">
        <f ca="1">IF(AND(((COLUMN()-10)&lt;=playercnt),((ROW()-41)&lt;=playercnt)),SUMPRODUCT(INDIRECT(ADDRESS(3,ROW()-31,1)):INDIRECT(ADDRESS(22,ROW()-31,1)),AD$3:AD$22),"")</f>
        <v>6</v>
      </c>
      <c r="AE94">
        <f ca="1">IF(AND(((COLUMN()-10)&lt;=playercnt),((ROW()-41)&lt;=playercnt)),SUMPRODUCT(INDIRECT(ADDRESS(3,ROW()-31,1)):INDIRECT(ADDRESS(22,ROW()-31,1)),AE$3:AE$22),"")</f>
        <v>4</v>
      </c>
      <c r="AF94">
        <f ca="1">IF(AND(((COLUMN()-10)&lt;=playercnt),((ROW()-41)&lt;=playercnt)),SUMPRODUCT(INDIRECT(ADDRESS(3,ROW()-31,1)):INDIRECT(ADDRESS(22,ROW()-31,1)),AF$3:AF$22),"")</f>
        <v>4</v>
      </c>
      <c r="AG94">
        <f ca="1">IF(AND(((COLUMN()-10)&lt;=playercnt),((ROW()-41)&lt;=playercnt)),SUMPRODUCT(INDIRECT(ADDRESS(3,ROW()-31,1)):INDIRECT(ADDRESS(22,ROW()-31,1)),AG$3:AG$22),"")</f>
        <v>6</v>
      </c>
      <c r="AH94">
        <f ca="1">IF(AND(((COLUMN()-10)&lt;=playercnt),((ROW()-41)&lt;=playercnt)),SUMPRODUCT(INDIRECT(ADDRESS(3,ROW()-31,1)):INDIRECT(ADDRESS(22,ROW()-31,1)),AH$3:AH$22),"")</f>
        <v>2</v>
      </c>
      <c r="AI94">
        <f ca="1">IF(AND(((COLUMN()-10)&lt;=playercnt),((ROW()-41)&lt;=playercnt)),SUMPRODUCT(INDIRECT(ADDRESS(3,ROW()-31,1)):INDIRECT(ADDRESS(22,ROW()-31,1)),AI$3:AI$22),"")</f>
        <v>3</v>
      </c>
      <c r="AJ94">
        <f ca="1">IF(AND(((COLUMN()-10)&lt;=playercnt),((ROW()-41)&lt;=playercnt)),SUMPRODUCT(INDIRECT(ADDRESS(3,ROW()-31,1)):INDIRECT(ADDRESS(22,ROW()-31,1)),AJ$3:AJ$22),"")</f>
        <v>4</v>
      </c>
      <c r="AK94">
        <f ca="1">IF(AND(((COLUMN()-10)&lt;=playercnt),((ROW()-41)&lt;=playercnt)),SUMPRODUCT(INDIRECT(ADDRESS(3,ROW()-31,1)):INDIRECT(ADDRESS(22,ROW()-31,1)),AK$3:AK$22),"")</f>
        <v>8</v>
      </c>
      <c r="AL94">
        <f ca="1">IF(AND(((COLUMN()-10)&lt;=playercnt),((ROW()-41)&lt;=playercnt)),SUMPRODUCT(INDIRECT(ADDRESS(3,ROW()-31,1)):INDIRECT(ADDRESS(22,ROW()-31,1)),AL$3:AL$22),"")</f>
        <v>6</v>
      </c>
      <c r="AM94">
        <f ca="1">IF(AND(((COLUMN()-10)&lt;=playercnt),((ROW()-41)&lt;=playercnt)),SUMPRODUCT(INDIRECT(ADDRESS(3,ROW()-31,1)):INDIRECT(ADDRESS(22,ROW()-31,1)),AM$3:AM$22),"")</f>
        <v>3</v>
      </c>
      <c r="AN94">
        <f ca="1">IF(AND(((COLUMN()-10)&lt;=playercnt),((ROW()-41)&lt;=playercnt)),SUMPRODUCT(INDIRECT(ADDRESS(3,ROW()-31,1)):INDIRECT(ADDRESS(22,ROW()-31,1)),AN$3:AN$22),"")</f>
        <v>4</v>
      </c>
      <c r="AO94">
        <f ca="1">IF(AND(((COLUMN()-10)&lt;=playercnt),((ROW()-41)&lt;=playercnt)),SUMPRODUCT(INDIRECT(ADDRESS(3,ROW()-31,1)):INDIRECT(ADDRESS(22,ROW()-31,1)),AO$3:AO$22),"")</f>
        <v>4</v>
      </c>
      <c r="AP94">
        <f ca="1">IF(AND(((COLUMN()-10)&lt;=playercnt),((ROW()-41)&lt;=playercnt)),SUMPRODUCT(INDIRECT(ADDRESS(3,ROW()-31,1)):INDIRECT(ADDRESS(22,ROW()-31,1)),AP$3:AP$22),"")</f>
        <v>7</v>
      </c>
      <c r="AQ94">
        <f ca="1">IF(AND(((COLUMN()-10)&lt;=playercnt),((ROW()-41)&lt;=playercnt)),SUMPRODUCT(INDIRECT(ADDRESS(3,ROW()-31,1)):INDIRECT(ADDRESS(22,ROW()-31,1)),AQ$3:AQ$22),"")</f>
        <v>5</v>
      </c>
      <c r="AR94">
        <f ca="1">IF(AND(((COLUMN()-10)&lt;=playercnt),((ROW()-41)&lt;=playercnt)),SUMPRODUCT(INDIRECT(ADDRESS(3,ROW()-31,1)):INDIRECT(ADDRESS(22,ROW()-31,1)),AR$3:AR$22),"")</f>
        <v>4</v>
      </c>
      <c r="AS94">
        <f ca="1">IF(AND(((COLUMN()-10)&lt;=playercnt),((ROW()-41)&lt;=playercnt)),SUMPRODUCT(INDIRECT(ADDRESS(3,ROW()-31,1)):INDIRECT(ADDRESS(22,ROW()-31,1)),AS$3:AS$22),"")</f>
        <v>4</v>
      </c>
      <c r="AT94">
        <f ca="1">IF(AND(((COLUMN()-10)&lt;=playercnt),((ROW()-41)&lt;=playercnt)),SUMPRODUCT(INDIRECT(ADDRESS(3,ROW()-31,1)):INDIRECT(ADDRESS(22,ROW()-31,1)),AT$3:AT$22),"")</f>
        <v>5</v>
      </c>
      <c r="AU94">
        <f ca="1">IF(AND(((COLUMN()-10)&lt;=playercnt),((ROW()-41)&lt;=playercnt)),SUMPRODUCT(INDIRECT(ADDRESS(3,ROW()-31,1)):INDIRECT(ADDRESS(22,ROW()-31,1)),AU$3:AU$22),"")</f>
        <v>3</v>
      </c>
      <c r="AV94">
        <f ca="1">IF(AND(((COLUMN()-10)&lt;=playercnt),((ROW()-41)&lt;=playercnt)),SUMPRODUCT(INDIRECT(ADDRESS(3,ROW()-31,1)):INDIRECT(ADDRESS(22,ROW()-31,1)),AV$3:AV$22),"")</f>
        <v>5</v>
      </c>
      <c r="AW94">
        <f ca="1">IF(AND(((COLUMN()-10)&lt;=playercnt),((ROW()-41)&lt;=playercnt)),SUMPRODUCT(INDIRECT(ADDRESS(3,ROW()-31,1)):INDIRECT(ADDRESS(22,ROW()-31,1)),AW$3:AW$22),"")</f>
        <v>5</v>
      </c>
      <c r="AX94">
        <f ca="1">IF(AND(((COLUMN()-10)&lt;=playercnt),((ROW()-41)&lt;=playercnt)),SUMPRODUCT(INDIRECT(ADDRESS(3,ROW()-31,1)):INDIRECT(ADDRESS(22,ROW()-31,1)),AX$3:AX$22),"")</f>
        <v>7</v>
      </c>
      <c r="AY94">
        <f ca="1">IF(AND(((COLUMN()-10)&lt;=playercnt),((ROW()-41)&lt;=playercnt)),SUMPRODUCT(INDIRECT(ADDRESS(3,ROW()-31,1)):INDIRECT(ADDRESS(22,ROW()-31,1)),AY$3:AY$22),"")</f>
        <v>5</v>
      </c>
      <c r="AZ94">
        <f ca="1">IF(AND(((COLUMN()-10)&lt;=playercnt),((ROW()-41)&lt;=playercnt)),SUMPRODUCT(INDIRECT(ADDRESS(3,ROW()-31,1)):INDIRECT(ADDRESS(22,ROW()-31,1)),AZ$3:AZ$22),"")</f>
        <v>4</v>
      </c>
      <c r="BA94">
        <f ca="1">IF(AND(((COLUMN()-10)&lt;=playercnt),((ROW()-41)&lt;=playercnt)),SUMPRODUCT(INDIRECT(ADDRESS(3,ROW()-31,1)):INDIRECT(ADDRESS(22,ROW()-31,1)),BA$3:BA$22),"")</f>
        <v>7</v>
      </c>
      <c r="BB94">
        <f ca="1">IF(AND(((COLUMN()-10)&lt;=playercnt),((ROW()-41)&lt;=playercnt)),SUMPRODUCT(INDIRECT(ADDRESS(3,ROW()-31,1)):INDIRECT(ADDRESS(22,ROW()-31,1)),BB$3:BB$22),"")</f>
        <v>8</v>
      </c>
      <c r="BC94">
        <f ca="1">IF(AND(((COLUMN()-10)&lt;=playercnt),((ROW()-41)&lt;=playercnt)),SUMPRODUCT(INDIRECT(ADDRESS(3,ROW()-31,1)):INDIRECT(ADDRESS(22,ROW()-31,1)),BC$3:BC$22),"")</f>
        <v>6</v>
      </c>
      <c r="BD94">
        <f ca="1">IF(AND(((COLUMN()-10)&lt;=playercnt),((ROW()-41)&lt;=playercnt)),SUMPRODUCT(INDIRECT(ADDRESS(3,ROW()-31,1)):INDIRECT(ADDRESS(22,ROW()-31,1)),BD$3:BD$22),"")</f>
        <v>7</v>
      </c>
      <c r="BE94">
        <f ca="1">IF(AND(((COLUMN()-10)&lt;=playercnt),((ROW()-41)&lt;=playercnt)),SUMPRODUCT(INDIRECT(ADDRESS(3,ROW()-31,1)):INDIRECT(ADDRESS(22,ROW()-31,1)),BE$3:BE$22),"")</f>
        <v>8</v>
      </c>
      <c r="BF94">
        <f ca="1">IF(AND(((COLUMN()-10)&lt;=playercnt),((ROW()-41)&lt;=playercnt)),SUMPRODUCT(INDIRECT(ADDRESS(3,ROW()-31,1)):INDIRECT(ADDRESS(22,ROW()-31,1)),BF$3:BF$22),"")</f>
        <v>6</v>
      </c>
      <c r="BG94">
        <f ca="1">IF(AND(((COLUMN()-10)&lt;=playercnt),((ROW()-41)&lt;=playercnt)),SUMPRODUCT(INDIRECT(ADDRESS(3,ROW()-31,1)):INDIRECT(ADDRESS(22,ROW()-31,1)),BG$3:BG$22),"")</f>
        <v>5</v>
      </c>
      <c r="BH94">
        <f ca="1">IF(AND(((COLUMN()-10)&lt;=playercnt),((ROW()-41)&lt;=playercnt)),SUMPRODUCT(INDIRECT(ADDRESS(3,ROW()-31,1)):INDIRECT(ADDRESS(22,ROW()-31,1)),BH$3:BH$22),"")</f>
        <v>6</v>
      </c>
      <c r="BI94">
        <f ca="1">IF(AND(((COLUMN()-10)&lt;=playercnt),((ROW()-41)&lt;=playercnt)),SUMPRODUCT(INDIRECT(ADDRESS(3,ROW()-31,1)):INDIRECT(ADDRESS(22,ROW()-31,1)),BI$3:BI$22),"")</f>
        <v>3</v>
      </c>
      <c r="BJ94">
        <f ca="1">IF(AND(((COLUMN()-10)&lt;=playercnt),((ROW()-41)&lt;=playercnt)),SUMPRODUCT(INDIRECT(ADDRESS(3,ROW()-31,1)):INDIRECT(ADDRESS(22,ROW()-31,1)),BJ$3:BJ$22),"")</f>
        <v>5</v>
      </c>
      <c r="BK94">
        <f ca="1">IF(AND(((COLUMN()-10)&lt;=playercnt),((ROW()-41)&lt;=playercnt)),SUMPRODUCT(INDIRECT(ADDRESS(3,ROW()-31,1)):INDIRECT(ADDRESS(22,ROW()-31,1)),BK$3:BK$22),"")</f>
        <v>10</v>
      </c>
      <c r="BL94">
        <f ca="1">IF(AND(((COLUMN()-10)&lt;=playercnt),((ROW()-41)&lt;=playercnt)),SUMPRODUCT(INDIRECT(ADDRESS(3,ROW()-31,1)):INDIRECT(ADDRESS(22,ROW()-31,1)),BL$3:BL$22),"")</f>
        <v>6</v>
      </c>
      <c r="BM94">
        <f ca="1">IF(AND(((COLUMN()-10)&lt;=playercnt),((ROW()-41)&lt;=playercnt)),SUMPRODUCT(INDIRECT(ADDRESS(3,ROW()-31,1)):INDIRECT(ADDRESS(22,ROW()-31,1)),BM$3:BM$22),"")</f>
        <v>2</v>
      </c>
      <c r="BN94">
        <f ca="1">IF(AND(((COLUMN()-10)&lt;=playercnt),((ROW()-41)&lt;=playercnt)),SUMPRODUCT(INDIRECT(ADDRESS(3,ROW()-31,1)):INDIRECT(ADDRESS(22,ROW()-31,1)),BN$3:BN$22),"")</f>
        <v>4</v>
      </c>
    </row>
    <row r="95" spans="2:66">
      <c r="B95" s="27">
        <f t="shared" ca="1" si="23"/>
        <v>5.872727272727273</v>
      </c>
      <c r="C95" t="str">
        <f t="shared" ca="1" si="24"/>
        <v>White, Jarred</v>
      </c>
      <c r="G95">
        <f ca="1">IF(AND(((COLUMN()-10)&lt;=playercnt),((ROW()-41)&lt;=playercnt)),SUMPRODUCT(INDIRECT(ADDRESS(3,ROW()-31,1)):INDIRECT(ADDRESS(22,ROW()-31,1)),G$3:G$22),"")</f>
        <v>5</v>
      </c>
      <c r="H95">
        <f ca="1">IF(AND(((COLUMN()-10)&lt;=playercnt),((ROW()-41)&lt;=playercnt)),SUMPRODUCT(INDIRECT(ADDRESS(3,ROW()-31,1)):INDIRECT(ADDRESS(22,ROW()-31,1)),H$3:H$22),"")</f>
        <v>8</v>
      </c>
      <c r="I95">
        <f ca="1">IF(AND(((COLUMN()-10)&lt;=playercnt),((ROW()-41)&lt;=playercnt)),SUMPRODUCT(INDIRECT(ADDRESS(3,ROW()-31,1)):INDIRECT(ADDRESS(22,ROW()-31,1)),I$3:I$22),"")</f>
        <v>8</v>
      </c>
      <c r="J95">
        <f ca="1">IF(AND(((COLUMN()-10)&lt;=playercnt),((ROW()-41)&lt;=playercnt)),SUMPRODUCT(INDIRECT(ADDRESS(3,ROW()-31,1)):INDIRECT(ADDRESS(22,ROW()-31,1)),J$3:J$22),"")</f>
        <v>0</v>
      </c>
      <c r="K95">
        <f ca="1">IF(AND(((COLUMN()-10)&lt;=playercnt),((ROW()-41)&lt;=playercnt)),SUMPRODUCT(INDIRECT(ADDRESS(3,ROW()-31,1)):INDIRECT(ADDRESS(22,ROW()-31,1)),K$3:K$22),"")</f>
        <v>5</v>
      </c>
      <c r="L95">
        <f ca="1">IF(AND(((COLUMN()-10)&lt;=playercnt),((ROW()-41)&lt;=playercnt)),SUMPRODUCT(INDIRECT(ADDRESS(3,ROW()-31,1)):INDIRECT(ADDRESS(22,ROW()-31,1)),L$3:L$22),"")</f>
        <v>8</v>
      </c>
      <c r="M95">
        <f ca="1">IF(AND(((COLUMN()-10)&lt;=playercnt),((ROW()-41)&lt;=playercnt)),SUMPRODUCT(INDIRECT(ADDRESS(3,ROW()-31,1)):INDIRECT(ADDRESS(22,ROW()-31,1)),M$3:M$22),"")</f>
        <v>6</v>
      </c>
      <c r="N95">
        <f ca="1">IF(AND(((COLUMN()-10)&lt;=playercnt),((ROW()-41)&lt;=playercnt)),SUMPRODUCT(INDIRECT(ADDRESS(3,ROW()-31,1)):INDIRECT(ADDRESS(22,ROW()-31,1)),N$3:N$22),"")</f>
        <v>6</v>
      </c>
      <c r="O95">
        <f ca="1">IF(AND(((COLUMN()-10)&lt;=playercnt),((ROW()-41)&lt;=playercnt)),SUMPRODUCT(INDIRECT(ADDRESS(3,ROW()-31,1)):INDIRECT(ADDRESS(22,ROW()-31,1)),O$3:O$22),"")</f>
        <v>6</v>
      </c>
      <c r="P95">
        <f ca="1">IF(AND(((COLUMN()-10)&lt;=playercnt),((ROW()-41)&lt;=playercnt)),SUMPRODUCT(INDIRECT(ADDRESS(3,ROW()-31,1)):INDIRECT(ADDRESS(22,ROW()-31,1)),P$3:P$22),"")</f>
        <v>7</v>
      </c>
      <c r="Q95">
        <f ca="1">IF(AND(((COLUMN()-10)&lt;=playercnt),((ROW()-41)&lt;=playercnt)),SUMPRODUCT(INDIRECT(ADDRESS(3,ROW()-31,1)):INDIRECT(ADDRESS(22,ROW()-31,1)),Q$3:Q$22),"")</f>
        <v>5</v>
      </c>
      <c r="R95">
        <f ca="1">IF(AND(((COLUMN()-10)&lt;=playercnt),((ROW()-41)&lt;=playercnt)),SUMPRODUCT(INDIRECT(ADDRESS(3,ROW()-31,1)):INDIRECT(ADDRESS(22,ROW()-31,1)),R$3:R$22),"")</f>
        <v>7</v>
      </c>
      <c r="S95">
        <f ca="1">IF(AND(((COLUMN()-10)&lt;=playercnt),((ROW()-41)&lt;=playercnt)),SUMPRODUCT(INDIRECT(ADDRESS(3,ROW()-31,1)):INDIRECT(ADDRESS(22,ROW()-31,1)),S$3:S$22),"")</f>
        <v>5</v>
      </c>
      <c r="T95">
        <f ca="1">IF(AND(((COLUMN()-10)&lt;=playercnt),((ROW()-41)&lt;=playercnt)),SUMPRODUCT(INDIRECT(ADDRESS(3,ROW()-31,1)):INDIRECT(ADDRESS(22,ROW()-31,1)),T$3:T$22),"")</f>
        <v>5</v>
      </c>
      <c r="U95">
        <f ca="1">IF(AND(((COLUMN()-10)&lt;=playercnt),((ROW()-41)&lt;=playercnt)),SUMPRODUCT(INDIRECT(ADDRESS(3,ROW()-31,1)):INDIRECT(ADDRESS(22,ROW()-31,1)),U$3:U$22),"")</f>
        <v>8</v>
      </c>
      <c r="V95">
        <f ca="1">IF(AND(((COLUMN()-10)&lt;=playercnt),((ROW()-41)&lt;=playercnt)),SUMPRODUCT(INDIRECT(ADDRESS(3,ROW()-31,1)):INDIRECT(ADDRESS(22,ROW()-31,1)),V$3:V$22),"")</f>
        <v>7</v>
      </c>
      <c r="W95">
        <f ca="1">IF(AND(((COLUMN()-10)&lt;=playercnt),((ROW()-41)&lt;=playercnt)),SUMPRODUCT(INDIRECT(ADDRESS(3,ROW()-31,1)):INDIRECT(ADDRESS(22,ROW()-31,1)),W$3:W$22),"")</f>
        <v>7</v>
      </c>
      <c r="X95">
        <f ca="1">IF(AND(((COLUMN()-10)&lt;=playercnt),((ROW()-41)&lt;=playercnt)),SUMPRODUCT(INDIRECT(ADDRESS(3,ROW()-31,1)):INDIRECT(ADDRESS(22,ROW()-31,1)),X$3:X$22),"")</f>
        <v>5</v>
      </c>
      <c r="Y95">
        <f ca="1">IF(AND(((COLUMN()-10)&lt;=playercnt),((ROW()-41)&lt;=playercnt)),SUMPRODUCT(INDIRECT(ADDRESS(3,ROW()-31,1)):INDIRECT(ADDRESS(22,ROW()-31,1)),Y$3:Y$22),"")</f>
        <v>6</v>
      </c>
      <c r="Z95">
        <f ca="1">IF(AND(((COLUMN()-10)&lt;=playercnt),((ROW()-41)&lt;=playercnt)),SUMPRODUCT(INDIRECT(ADDRESS(3,ROW()-31,1)):INDIRECT(ADDRESS(22,ROW()-31,1)),Z$3:Z$22),"")</f>
        <v>4</v>
      </c>
      <c r="AA95">
        <f ca="1">IF(AND(((COLUMN()-10)&lt;=playercnt),((ROW()-41)&lt;=playercnt)),SUMPRODUCT(INDIRECT(ADDRESS(3,ROW()-31,1)):INDIRECT(ADDRESS(22,ROW()-31,1)),AA$3:AA$22),"")</f>
        <v>4</v>
      </c>
      <c r="AB95">
        <f ca="1">IF(AND(((COLUMN()-10)&lt;=playercnt),((ROW()-41)&lt;=playercnt)),SUMPRODUCT(INDIRECT(ADDRESS(3,ROW()-31,1)):INDIRECT(ADDRESS(22,ROW()-31,1)),AB$3:AB$22),"")</f>
        <v>6</v>
      </c>
      <c r="AC95">
        <f ca="1">IF(AND(((COLUMN()-10)&lt;=playercnt),((ROW()-41)&lt;=playercnt)),SUMPRODUCT(INDIRECT(ADDRESS(3,ROW()-31,1)):INDIRECT(ADDRESS(22,ROW()-31,1)),AC$3:AC$22),"")</f>
        <v>5</v>
      </c>
      <c r="AD95">
        <f ca="1">IF(AND(((COLUMN()-10)&lt;=playercnt),((ROW()-41)&lt;=playercnt)),SUMPRODUCT(INDIRECT(ADDRESS(3,ROW()-31,1)):INDIRECT(ADDRESS(22,ROW()-31,1)),AD$3:AD$22),"")</f>
        <v>6</v>
      </c>
      <c r="AE95">
        <f ca="1">IF(AND(((COLUMN()-10)&lt;=playercnt),((ROW()-41)&lt;=playercnt)),SUMPRODUCT(INDIRECT(ADDRESS(3,ROW()-31,1)):INDIRECT(ADDRESS(22,ROW()-31,1)),AE$3:AE$22),"")</f>
        <v>8</v>
      </c>
      <c r="AF95">
        <f ca="1">IF(AND(((COLUMN()-10)&lt;=playercnt),((ROW()-41)&lt;=playercnt)),SUMPRODUCT(INDIRECT(ADDRESS(3,ROW()-31,1)):INDIRECT(ADDRESS(22,ROW()-31,1)),AF$3:AF$22),"")</f>
        <v>4</v>
      </c>
      <c r="AG95">
        <f ca="1">IF(AND(((COLUMN()-10)&lt;=playercnt),((ROW()-41)&lt;=playercnt)),SUMPRODUCT(INDIRECT(ADDRESS(3,ROW()-31,1)):INDIRECT(ADDRESS(22,ROW()-31,1)),AG$3:AG$22),"")</f>
        <v>6</v>
      </c>
      <c r="AH95">
        <f ca="1">IF(AND(((COLUMN()-10)&lt;=playercnt),((ROW()-41)&lt;=playercnt)),SUMPRODUCT(INDIRECT(ADDRESS(3,ROW()-31,1)):INDIRECT(ADDRESS(22,ROW()-31,1)),AH$3:AH$22),"")</f>
        <v>6</v>
      </c>
      <c r="AI95">
        <f ca="1">IF(AND(((COLUMN()-10)&lt;=playercnt),((ROW()-41)&lt;=playercnt)),SUMPRODUCT(INDIRECT(ADDRESS(3,ROW()-31,1)):INDIRECT(ADDRESS(22,ROW()-31,1)),AI$3:AI$22),"")</f>
        <v>5</v>
      </c>
      <c r="AJ95">
        <f ca="1">IF(AND(((COLUMN()-10)&lt;=playercnt),((ROW()-41)&lt;=playercnt)),SUMPRODUCT(INDIRECT(ADDRESS(3,ROW()-31,1)):INDIRECT(ADDRESS(22,ROW()-31,1)),AJ$3:AJ$22),"")</f>
        <v>6</v>
      </c>
      <c r="AK95">
        <f ca="1">IF(AND(((COLUMN()-10)&lt;=playercnt),((ROW()-41)&lt;=playercnt)),SUMPRODUCT(INDIRECT(ADDRESS(3,ROW()-31,1)):INDIRECT(ADDRESS(22,ROW()-31,1)),AK$3:AK$22),"")</f>
        <v>6</v>
      </c>
      <c r="AL95">
        <f ca="1">IF(AND(((COLUMN()-10)&lt;=playercnt),((ROW()-41)&lt;=playercnt)),SUMPRODUCT(INDIRECT(ADDRESS(3,ROW()-31,1)):INDIRECT(ADDRESS(22,ROW()-31,1)),AL$3:AL$22),"")</f>
        <v>8</v>
      </c>
      <c r="AM95">
        <f ca="1">IF(AND(((COLUMN()-10)&lt;=playercnt),((ROW()-41)&lt;=playercnt)),SUMPRODUCT(INDIRECT(ADDRESS(3,ROW()-31,1)):INDIRECT(ADDRESS(22,ROW()-31,1)),AM$3:AM$22),"")</f>
        <v>5</v>
      </c>
      <c r="AN95">
        <f ca="1">IF(AND(((COLUMN()-10)&lt;=playercnt),((ROW()-41)&lt;=playercnt)),SUMPRODUCT(INDIRECT(ADDRESS(3,ROW()-31,1)):INDIRECT(ADDRESS(22,ROW()-31,1)),AN$3:AN$22),"")</f>
        <v>6</v>
      </c>
      <c r="AO95">
        <f ca="1">IF(AND(((COLUMN()-10)&lt;=playercnt),((ROW()-41)&lt;=playercnt)),SUMPRODUCT(INDIRECT(ADDRESS(3,ROW()-31,1)):INDIRECT(ADDRESS(22,ROW()-31,1)),AO$3:AO$22),"")</f>
        <v>4</v>
      </c>
      <c r="AP95">
        <f ca="1">IF(AND(((COLUMN()-10)&lt;=playercnt),((ROW()-41)&lt;=playercnt)),SUMPRODUCT(INDIRECT(ADDRESS(3,ROW()-31,1)):INDIRECT(ADDRESS(22,ROW()-31,1)),AP$3:AP$22),"")</f>
        <v>7</v>
      </c>
      <c r="AQ95">
        <f ca="1">IF(AND(((COLUMN()-10)&lt;=playercnt),((ROW()-41)&lt;=playercnt)),SUMPRODUCT(INDIRECT(ADDRESS(3,ROW()-31,1)):INDIRECT(ADDRESS(22,ROW()-31,1)),AQ$3:AQ$22),"")</f>
        <v>7</v>
      </c>
      <c r="AR95">
        <f ca="1">IF(AND(((COLUMN()-10)&lt;=playercnt),((ROW()-41)&lt;=playercnt)),SUMPRODUCT(INDIRECT(ADDRESS(3,ROW()-31,1)):INDIRECT(ADDRESS(22,ROW()-31,1)),AR$3:AR$22),"")</f>
        <v>6</v>
      </c>
      <c r="AS95">
        <f ca="1">IF(AND(((COLUMN()-10)&lt;=playercnt),((ROW()-41)&lt;=playercnt)),SUMPRODUCT(INDIRECT(ADDRESS(3,ROW()-31,1)):INDIRECT(ADDRESS(22,ROW()-31,1)),AS$3:AS$22),"")</f>
        <v>4</v>
      </c>
      <c r="AT95">
        <f ca="1">IF(AND(((COLUMN()-10)&lt;=playercnt),((ROW()-41)&lt;=playercnt)),SUMPRODUCT(INDIRECT(ADDRESS(3,ROW()-31,1)):INDIRECT(ADDRESS(22,ROW()-31,1)),AT$3:AT$22),"")</f>
        <v>5</v>
      </c>
      <c r="AU95">
        <f ca="1">IF(AND(((COLUMN()-10)&lt;=playercnt),((ROW()-41)&lt;=playercnt)),SUMPRODUCT(INDIRECT(ADDRESS(3,ROW()-31,1)):INDIRECT(ADDRESS(22,ROW()-31,1)),AU$3:AU$22),"")</f>
        <v>7</v>
      </c>
      <c r="AV95">
        <f ca="1">IF(AND(((COLUMN()-10)&lt;=playercnt),((ROW()-41)&lt;=playercnt)),SUMPRODUCT(INDIRECT(ADDRESS(3,ROW()-31,1)):INDIRECT(ADDRESS(22,ROW()-31,1)),AV$3:AV$22),"")</f>
        <v>7</v>
      </c>
      <c r="AW95">
        <f ca="1">IF(AND(((COLUMN()-10)&lt;=playercnt),((ROW()-41)&lt;=playercnt)),SUMPRODUCT(INDIRECT(ADDRESS(3,ROW()-31,1)):INDIRECT(ADDRESS(22,ROW()-31,1)),AW$3:AW$22),"")</f>
        <v>5</v>
      </c>
      <c r="AX95">
        <f ca="1">IF(AND(((COLUMN()-10)&lt;=playercnt),((ROW()-41)&lt;=playercnt)),SUMPRODUCT(INDIRECT(ADDRESS(3,ROW()-31,1)):INDIRECT(ADDRESS(22,ROW()-31,1)),AX$3:AX$22),"")</f>
        <v>7</v>
      </c>
      <c r="AY95">
        <f ca="1">IF(AND(((COLUMN()-10)&lt;=playercnt),((ROW()-41)&lt;=playercnt)),SUMPRODUCT(INDIRECT(ADDRESS(3,ROW()-31,1)):INDIRECT(ADDRESS(22,ROW()-31,1)),AY$3:AY$22),"")</f>
        <v>9</v>
      </c>
      <c r="AZ95">
        <f ca="1">IF(AND(((COLUMN()-10)&lt;=playercnt),((ROW()-41)&lt;=playercnt)),SUMPRODUCT(INDIRECT(ADDRESS(3,ROW()-31,1)):INDIRECT(ADDRESS(22,ROW()-31,1)),AZ$3:AZ$22),"")</f>
        <v>6</v>
      </c>
      <c r="BA95">
        <f ca="1">IF(AND(((COLUMN()-10)&lt;=playercnt),((ROW()-41)&lt;=playercnt)),SUMPRODUCT(INDIRECT(ADDRESS(3,ROW()-31,1)):INDIRECT(ADDRESS(22,ROW()-31,1)),BA$3:BA$22),"")</f>
        <v>7</v>
      </c>
      <c r="BB95">
        <f ca="1">IF(AND(((COLUMN()-10)&lt;=playercnt),((ROW()-41)&lt;=playercnt)),SUMPRODUCT(INDIRECT(ADDRESS(3,ROW()-31,1)):INDIRECT(ADDRESS(22,ROW()-31,1)),BB$3:BB$22),"")</f>
        <v>6</v>
      </c>
      <c r="BC95">
        <f ca="1">IF(AND(((COLUMN()-10)&lt;=playercnt),((ROW()-41)&lt;=playercnt)),SUMPRODUCT(INDIRECT(ADDRESS(3,ROW()-31,1)):INDIRECT(ADDRESS(22,ROW()-31,1)),BC$3:BC$22),"")</f>
        <v>4</v>
      </c>
      <c r="BD95">
        <f ca="1">IF(AND(((COLUMN()-10)&lt;=playercnt),((ROW()-41)&lt;=playercnt)),SUMPRODUCT(INDIRECT(ADDRESS(3,ROW()-31,1)):INDIRECT(ADDRESS(22,ROW()-31,1)),BD$3:BD$22),"")</f>
        <v>7</v>
      </c>
      <c r="BE95">
        <f ca="1">IF(AND(((COLUMN()-10)&lt;=playercnt),((ROW()-41)&lt;=playercnt)),SUMPRODUCT(INDIRECT(ADDRESS(3,ROW()-31,1)):INDIRECT(ADDRESS(22,ROW()-31,1)),BE$3:BE$22),"")</f>
        <v>6</v>
      </c>
      <c r="BF95">
        <f ca="1">IF(AND(((COLUMN()-10)&lt;=playercnt),((ROW()-41)&lt;=playercnt)),SUMPRODUCT(INDIRECT(ADDRESS(3,ROW()-31,1)):INDIRECT(ADDRESS(22,ROW()-31,1)),BF$3:BF$22),"")</f>
        <v>6</v>
      </c>
      <c r="BG95">
        <f ca="1">IF(AND(((COLUMN()-10)&lt;=playercnt),((ROW()-41)&lt;=playercnt)),SUMPRODUCT(INDIRECT(ADDRESS(3,ROW()-31,1)):INDIRECT(ADDRESS(22,ROW()-31,1)),BG$3:BG$22),"")</f>
        <v>5</v>
      </c>
      <c r="BH95">
        <f ca="1">IF(AND(((COLUMN()-10)&lt;=playercnt),((ROW()-41)&lt;=playercnt)),SUMPRODUCT(INDIRECT(ADDRESS(3,ROW()-31,1)):INDIRECT(ADDRESS(22,ROW()-31,1)),BH$3:BH$22),"")</f>
        <v>6</v>
      </c>
      <c r="BI95">
        <f ca="1">IF(AND(((COLUMN()-10)&lt;=playercnt),((ROW()-41)&lt;=playercnt)),SUMPRODUCT(INDIRECT(ADDRESS(3,ROW()-31,1)):INDIRECT(ADDRESS(22,ROW()-31,1)),BI$3:BI$22),"")</f>
        <v>5</v>
      </c>
      <c r="BJ95">
        <f ca="1">IF(AND(((COLUMN()-10)&lt;=playercnt),((ROW()-41)&lt;=playercnt)),SUMPRODUCT(INDIRECT(ADDRESS(3,ROW()-31,1)):INDIRECT(ADDRESS(22,ROW()-31,1)),BJ$3:BJ$22),"")</f>
        <v>5</v>
      </c>
      <c r="BK95">
        <f ca="1">IF(AND(((COLUMN()-10)&lt;=playercnt),((ROW()-41)&lt;=playercnt)),SUMPRODUCT(INDIRECT(ADDRESS(3,ROW()-31,1)):INDIRECT(ADDRESS(22,ROW()-31,1)),BK$3:BK$22),"")</f>
        <v>6</v>
      </c>
      <c r="BL95">
        <f ca="1">IF(AND(((COLUMN()-10)&lt;=playercnt),((ROW()-41)&lt;=playercnt)),SUMPRODUCT(INDIRECT(ADDRESS(3,ROW()-31,1)):INDIRECT(ADDRESS(22,ROW()-31,1)),BL$3:BL$22),"")</f>
        <v>10</v>
      </c>
      <c r="BM95">
        <f ca="1">IF(AND(((COLUMN()-10)&lt;=playercnt),((ROW()-41)&lt;=playercnt)),SUMPRODUCT(INDIRECT(ADDRESS(3,ROW()-31,1)):INDIRECT(ADDRESS(22,ROW()-31,1)),BM$3:BM$22),"")</f>
        <v>4</v>
      </c>
      <c r="BN95">
        <f ca="1">IF(AND(((COLUMN()-10)&lt;=playercnt),((ROW()-41)&lt;=playercnt)),SUMPRODUCT(INDIRECT(ADDRESS(3,ROW()-31,1)):INDIRECT(ADDRESS(22,ROW()-31,1)),BN$3:BN$22),"")</f>
        <v>4</v>
      </c>
    </row>
    <row r="96" spans="2:66">
      <c r="B96" s="27">
        <f t="shared" ca="1" si="23"/>
        <v>4.8181818181818183</v>
      </c>
      <c r="C96" t="str">
        <f t="shared" ca="1" si="24"/>
        <v>Winburn, Steve A</v>
      </c>
      <c r="G96">
        <f ca="1">IF(AND(((COLUMN()-10)&lt;=playercnt),((ROW()-41)&lt;=playercnt)),SUMPRODUCT(INDIRECT(ADDRESS(3,ROW()-31,1)):INDIRECT(ADDRESS(22,ROW()-31,1)),G$3:G$22),"")</f>
        <v>5</v>
      </c>
      <c r="H96">
        <f ca="1">IF(AND(((COLUMN()-10)&lt;=playercnt),((ROW()-41)&lt;=playercnt)),SUMPRODUCT(INDIRECT(ADDRESS(3,ROW()-31,1)):INDIRECT(ADDRESS(22,ROW()-31,1)),H$3:H$22),"")</f>
        <v>4</v>
      </c>
      <c r="I96">
        <f ca="1">IF(AND(((COLUMN()-10)&lt;=playercnt),((ROW()-41)&lt;=playercnt)),SUMPRODUCT(INDIRECT(ADDRESS(3,ROW()-31,1)):INDIRECT(ADDRESS(22,ROW()-31,1)),I$3:I$22),"")</f>
        <v>4</v>
      </c>
      <c r="J96">
        <f ca="1">IF(AND(((COLUMN()-10)&lt;=playercnt),((ROW()-41)&lt;=playercnt)),SUMPRODUCT(INDIRECT(ADDRESS(3,ROW()-31,1)):INDIRECT(ADDRESS(22,ROW()-31,1)),J$3:J$22),"")</f>
        <v>0</v>
      </c>
      <c r="K96">
        <f ca="1">IF(AND(((COLUMN()-10)&lt;=playercnt),((ROW()-41)&lt;=playercnt)),SUMPRODUCT(INDIRECT(ADDRESS(3,ROW()-31,1)):INDIRECT(ADDRESS(22,ROW()-31,1)),K$3:K$22),"")</f>
        <v>5</v>
      </c>
      <c r="L96">
        <f ca="1">IF(AND(((COLUMN()-10)&lt;=playercnt),((ROW()-41)&lt;=playercnt)),SUMPRODUCT(INDIRECT(ADDRESS(3,ROW()-31,1)):INDIRECT(ADDRESS(22,ROW()-31,1)),L$3:L$22),"")</f>
        <v>4</v>
      </c>
      <c r="M96">
        <f ca="1">IF(AND(((COLUMN()-10)&lt;=playercnt),((ROW()-41)&lt;=playercnt)),SUMPRODUCT(INDIRECT(ADDRESS(3,ROW()-31,1)):INDIRECT(ADDRESS(22,ROW()-31,1)),M$3:M$22),"")</f>
        <v>6</v>
      </c>
      <c r="N96">
        <f ca="1">IF(AND(((COLUMN()-10)&lt;=playercnt),((ROW()-41)&lt;=playercnt)),SUMPRODUCT(INDIRECT(ADDRESS(3,ROW()-31,1)):INDIRECT(ADDRESS(22,ROW()-31,1)),N$3:N$22),"")</f>
        <v>2</v>
      </c>
      <c r="O96">
        <f ca="1">IF(AND(((COLUMN()-10)&lt;=playercnt),((ROW()-41)&lt;=playercnt)),SUMPRODUCT(INDIRECT(ADDRESS(3,ROW()-31,1)):INDIRECT(ADDRESS(22,ROW()-31,1)),O$3:O$22),"")</f>
        <v>4</v>
      </c>
      <c r="P96">
        <f ca="1">IF(AND(((COLUMN()-10)&lt;=playercnt),((ROW()-41)&lt;=playercnt)),SUMPRODUCT(INDIRECT(ADDRESS(3,ROW()-31,1)):INDIRECT(ADDRESS(22,ROW()-31,1)),P$3:P$22),"")</f>
        <v>5</v>
      </c>
      <c r="Q96">
        <f ca="1">IF(AND(((COLUMN()-10)&lt;=playercnt),((ROW()-41)&lt;=playercnt)),SUMPRODUCT(INDIRECT(ADDRESS(3,ROW()-31,1)):INDIRECT(ADDRESS(22,ROW()-31,1)),Q$3:Q$22),"")</f>
        <v>5</v>
      </c>
      <c r="R96">
        <f ca="1">IF(AND(((COLUMN()-10)&lt;=playercnt),((ROW()-41)&lt;=playercnt)),SUMPRODUCT(INDIRECT(ADDRESS(3,ROW()-31,1)):INDIRECT(ADDRESS(22,ROW()-31,1)),R$3:R$22),"")</f>
        <v>5</v>
      </c>
      <c r="S96">
        <f ca="1">IF(AND(((COLUMN()-10)&lt;=playercnt),((ROW()-41)&lt;=playercnt)),SUMPRODUCT(INDIRECT(ADDRESS(3,ROW()-31,1)):INDIRECT(ADDRESS(22,ROW()-31,1)),S$3:S$22),"")</f>
        <v>3</v>
      </c>
      <c r="T96">
        <f ca="1">IF(AND(((COLUMN()-10)&lt;=playercnt),((ROW()-41)&lt;=playercnt)),SUMPRODUCT(INDIRECT(ADDRESS(3,ROW()-31,1)):INDIRECT(ADDRESS(22,ROW()-31,1)),T$3:T$22),"")</f>
        <v>5</v>
      </c>
      <c r="U96">
        <f ca="1">IF(AND(((COLUMN()-10)&lt;=playercnt),((ROW()-41)&lt;=playercnt)),SUMPRODUCT(INDIRECT(ADDRESS(3,ROW()-31,1)):INDIRECT(ADDRESS(22,ROW()-31,1)),U$3:U$22),"")</f>
        <v>4</v>
      </c>
      <c r="V96">
        <f ca="1">IF(AND(((COLUMN()-10)&lt;=playercnt),((ROW()-41)&lt;=playercnt)),SUMPRODUCT(INDIRECT(ADDRESS(3,ROW()-31,1)):INDIRECT(ADDRESS(22,ROW()-31,1)),V$3:V$22),"")</f>
        <v>5</v>
      </c>
      <c r="W96">
        <f ca="1">IF(AND(((COLUMN()-10)&lt;=playercnt),((ROW()-41)&lt;=playercnt)),SUMPRODUCT(INDIRECT(ADDRESS(3,ROW()-31,1)):INDIRECT(ADDRESS(22,ROW()-31,1)),W$3:W$22),"")</f>
        <v>5</v>
      </c>
      <c r="X96">
        <f ca="1">IF(AND(((COLUMN()-10)&lt;=playercnt),((ROW()-41)&lt;=playercnt)),SUMPRODUCT(INDIRECT(ADDRESS(3,ROW()-31,1)):INDIRECT(ADDRESS(22,ROW()-31,1)),X$3:X$22),"")</f>
        <v>5</v>
      </c>
      <c r="Y96">
        <f ca="1">IF(AND(((COLUMN()-10)&lt;=playercnt),((ROW()-41)&lt;=playercnt)),SUMPRODUCT(INDIRECT(ADDRESS(3,ROW()-31,1)):INDIRECT(ADDRESS(22,ROW()-31,1)),Y$3:Y$22),"")</f>
        <v>6</v>
      </c>
      <c r="Z96">
        <f ca="1">IF(AND(((COLUMN()-10)&lt;=playercnt),((ROW()-41)&lt;=playercnt)),SUMPRODUCT(INDIRECT(ADDRESS(3,ROW()-31,1)):INDIRECT(ADDRESS(22,ROW()-31,1)),Z$3:Z$22),"")</f>
        <v>6</v>
      </c>
      <c r="AA96">
        <f ca="1">IF(AND(((COLUMN()-10)&lt;=playercnt),((ROW()-41)&lt;=playercnt)),SUMPRODUCT(INDIRECT(ADDRESS(3,ROW()-31,1)):INDIRECT(ADDRESS(22,ROW()-31,1)),AA$3:AA$22),"")</f>
        <v>4</v>
      </c>
      <c r="AB96">
        <f ca="1">IF(AND(((COLUMN()-10)&lt;=playercnt),((ROW()-41)&lt;=playercnt)),SUMPRODUCT(INDIRECT(ADDRESS(3,ROW()-31,1)):INDIRECT(ADDRESS(22,ROW()-31,1)),AB$3:AB$22),"")</f>
        <v>4</v>
      </c>
      <c r="AC96">
        <f ca="1">IF(AND(((COLUMN()-10)&lt;=playercnt),((ROW()-41)&lt;=playercnt)),SUMPRODUCT(INDIRECT(ADDRESS(3,ROW()-31,1)):INDIRECT(ADDRESS(22,ROW()-31,1)),AC$3:AC$22),"")</f>
        <v>5</v>
      </c>
      <c r="AD96">
        <f ca="1">IF(AND(((COLUMN()-10)&lt;=playercnt),((ROW()-41)&lt;=playercnt)),SUMPRODUCT(INDIRECT(ADDRESS(3,ROW()-31,1)):INDIRECT(ADDRESS(22,ROW()-31,1)),AD$3:AD$22),"")</f>
        <v>4</v>
      </c>
      <c r="AE96">
        <f ca="1">IF(AND(((COLUMN()-10)&lt;=playercnt),((ROW()-41)&lt;=playercnt)),SUMPRODUCT(INDIRECT(ADDRESS(3,ROW()-31,1)):INDIRECT(ADDRESS(22,ROW()-31,1)),AE$3:AE$22),"")</f>
        <v>4</v>
      </c>
      <c r="AF96">
        <f ca="1">IF(AND(((COLUMN()-10)&lt;=playercnt),((ROW()-41)&lt;=playercnt)),SUMPRODUCT(INDIRECT(ADDRESS(3,ROW()-31,1)):INDIRECT(ADDRESS(22,ROW()-31,1)),AF$3:AF$22),"")</f>
        <v>4</v>
      </c>
      <c r="AG96">
        <f ca="1">IF(AND(((COLUMN()-10)&lt;=playercnt),((ROW()-41)&lt;=playercnt)),SUMPRODUCT(INDIRECT(ADDRESS(3,ROW()-31,1)):INDIRECT(ADDRESS(22,ROW()-31,1)),AG$3:AG$22),"")</f>
        <v>4</v>
      </c>
      <c r="AH96">
        <f ca="1">IF(AND(((COLUMN()-10)&lt;=playercnt),((ROW()-41)&lt;=playercnt)),SUMPRODUCT(INDIRECT(ADDRESS(3,ROW()-31,1)):INDIRECT(ADDRESS(22,ROW()-31,1)),AH$3:AH$22),"")</f>
        <v>8</v>
      </c>
      <c r="AI96">
        <f ca="1">IF(AND(((COLUMN()-10)&lt;=playercnt),((ROW()-41)&lt;=playercnt)),SUMPRODUCT(INDIRECT(ADDRESS(3,ROW()-31,1)):INDIRECT(ADDRESS(22,ROW()-31,1)),AI$3:AI$22),"")</f>
        <v>5</v>
      </c>
      <c r="AJ96">
        <f ca="1">IF(AND(((COLUMN()-10)&lt;=playercnt),((ROW()-41)&lt;=playercnt)),SUMPRODUCT(INDIRECT(ADDRESS(3,ROW()-31,1)):INDIRECT(ADDRESS(22,ROW()-31,1)),AJ$3:AJ$22),"")</f>
        <v>8</v>
      </c>
      <c r="AK96">
        <f ca="1">IF(AND(((COLUMN()-10)&lt;=playercnt),((ROW()-41)&lt;=playercnt)),SUMPRODUCT(INDIRECT(ADDRESS(3,ROW()-31,1)):INDIRECT(ADDRESS(22,ROW()-31,1)),AK$3:AK$22),"")</f>
        <v>4</v>
      </c>
      <c r="AL96">
        <f ca="1">IF(AND(((COLUMN()-10)&lt;=playercnt),((ROW()-41)&lt;=playercnt)),SUMPRODUCT(INDIRECT(ADDRESS(3,ROW()-31,1)):INDIRECT(ADDRESS(22,ROW()-31,1)),AL$3:AL$22),"")</f>
        <v>4</v>
      </c>
      <c r="AM96">
        <f ca="1">IF(AND(((COLUMN()-10)&lt;=playercnt),((ROW()-41)&lt;=playercnt)),SUMPRODUCT(INDIRECT(ADDRESS(3,ROW()-31,1)):INDIRECT(ADDRESS(22,ROW()-31,1)),AM$3:AM$22),"")</f>
        <v>7</v>
      </c>
      <c r="AN96">
        <f ca="1">IF(AND(((COLUMN()-10)&lt;=playercnt),((ROW()-41)&lt;=playercnt)),SUMPRODUCT(INDIRECT(ADDRESS(3,ROW()-31,1)):INDIRECT(ADDRESS(22,ROW()-31,1)),AN$3:AN$22),"")</f>
        <v>4</v>
      </c>
      <c r="AO96">
        <f ca="1">IF(AND(((COLUMN()-10)&lt;=playercnt),((ROW()-41)&lt;=playercnt)),SUMPRODUCT(INDIRECT(ADDRESS(3,ROW()-31,1)):INDIRECT(ADDRESS(22,ROW()-31,1)),AO$3:AO$22),"")</f>
        <v>6</v>
      </c>
      <c r="AP96">
        <f ca="1">IF(AND(((COLUMN()-10)&lt;=playercnt),((ROW()-41)&lt;=playercnt)),SUMPRODUCT(INDIRECT(ADDRESS(3,ROW()-31,1)):INDIRECT(ADDRESS(22,ROW()-31,1)),AP$3:AP$22),"")</f>
        <v>5</v>
      </c>
      <c r="AQ96">
        <f ca="1">IF(AND(((COLUMN()-10)&lt;=playercnt),((ROW()-41)&lt;=playercnt)),SUMPRODUCT(INDIRECT(ADDRESS(3,ROW()-31,1)):INDIRECT(ADDRESS(22,ROW()-31,1)),AQ$3:AQ$22),"")</f>
        <v>5</v>
      </c>
      <c r="AR96">
        <f ca="1">IF(AND(((COLUMN()-10)&lt;=playercnt),((ROW()-41)&lt;=playercnt)),SUMPRODUCT(INDIRECT(ADDRESS(3,ROW()-31,1)):INDIRECT(ADDRESS(22,ROW()-31,1)),AR$3:AR$22),"")</f>
        <v>6</v>
      </c>
      <c r="AS96">
        <f ca="1">IF(AND(((COLUMN()-10)&lt;=playercnt),((ROW()-41)&lt;=playercnt)),SUMPRODUCT(INDIRECT(ADDRESS(3,ROW()-31,1)):INDIRECT(ADDRESS(22,ROW()-31,1)),AS$3:AS$22),"")</f>
        <v>6</v>
      </c>
      <c r="AT96">
        <f ca="1">IF(AND(((COLUMN()-10)&lt;=playercnt),((ROW()-41)&lt;=playercnt)),SUMPRODUCT(INDIRECT(ADDRESS(3,ROW()-31,1)):INDIRECT(ADDRESS(22,ROW()-31,1)),AT$3:AT$22),"")</f>
        <v>7</v>
      </c>
      <c r="AU96">
        <f ca="1">IF(AND(((COLUMN()-10)&lt;=playercnt),((ROW()-41)&lt;=playercnt)),SUMPRODUCT(INDIRECT(ADDRESS(3,ROW()-31,1)):INDIRECT(ADDRESS(22,ROW()-31,1)),AU$3:AU$22),"")</f>
        <v>5</v>
      </c>
      <c r="AV96">
        <f ca="1">IF(AND(((COLUMN()-10)&lt;=playercnt),((ROW()-41)&lt;=playercnt)),SUMPRODUCT(INDIRECT(ADDRESS(3,ROW()-31,1)):INDIRECT(ADDRESS(22,ROW()-31,1)),AV$3:AV$22),"")</f>
        <v>3</v>
      </c>
      <c r="AW96">
        <f ca="1">IF(AND(((COLUMN()-10)&lt;=playercnt),((ROW()-41)&lt;=playercnt)),SUMPRODUCT(INDIRECT(ADDRESS(3,ROW()-31,1)):INDIRECT(ADDRESS(22,ROW()-31,1)),AW$3:AW$22),"")</f>
        <v>5</v>
      </c>
      <c r="AX96">
        <f ca="1">IF(AND(((COLUMN()-10)&lt;=playercnt),((ROW()-41)&lt;=playercnt)),SUMPRODUCT(INDIRECT(ADDRESS(3,ROW()-31,1)):INDIRECT(ADDRESS(22,ROW()-31,1)),AX$3:AX$22),"")</f>
        <v>5</v>
      </c>
      <c r="AY96">
        <f ca="1">IF(AND(((COLUMN()-10)&lt;=playercnt),((ROW()-41)&lt;=playercnt)),SUMPRODUCT(INDIRECT(ADDRESS(3,ROW()-31,1)):INDIRECT(ADDRESS(22,ROW()-31,1)),AY$3:AY$22),"")</f>
        <v>5</v>
      </c>
      <c r="AZ96">
        <f ca="1">IF(AND(((COLUMN()-10)&lt;=playercnt),((ROW()-41)&lt;=playercnt)),SUMPRODUCT(INDIRECT(ADDRESS(3,ROW()-31,1)):INDIRECT(ADDRESS(22,ROW()-31,1)),AZ$3:AZ$22),"")</f>
        <v>6</v>
      </c>
      <c r="BA96">
        <f ca="1">IF(AND(((COLUMN()-10)&lt;=playercnt),((ROW()-41)&lt;=playercnt)),SUMPRODUCT(INDIRECT(ADDRESS(3,ROW()-31,1)):INDIRECT(ADDRESS(22,ROW()-31,1)),BA$3:BA$22),"")</f>
        <v>5</v>
      </c>
      <c r="BB96">
        <f ca="1">IF(AND(((COLUMN()-10)&lt;=playercnt),((ROW()-41)&lt;=playercnt)),SUMPRODUCT(INDIRECT(ADDRESS(3,ROW()-31,1)):INDIRECT(ADDRESS(22,ROW()-31,1)),BB$3:BB$22),"")</f>
        <v>2</v>
      </c>
      <c r="BC96">
        <f ca="1">IF(AND(((COLUMN()-10)&lt;=playercnt),((ROW()-41)&lt;=playercnt)),SUMPRODUCT(INDIRECT(ADDRESS(3,ROW()-31,1)):INDIRECT(ADDRESS(22,ROW()-31,1)),BC$3:BC$22),"")</f>
        <v>6</v>
      </c>
      <c r="BD96">
        <f ca="1">IF(AND(((COLUMN()-10)&lt;=playercnt),((ROW()-41)&lt;=playercnt)),SUMPRODUCT(INDIRECT(ADDRESS(3,ROW()-31,1)):INDIRECT(ADDRESS(22,ROW()-31,1)),BD$3:BD$22),"")</f>
        <v>3</v>
      </c>
      <c r="BE96">
        <f ca="1">IF(AND(((COLUMN()-10)&lt;=playercnt),((ROW()-41)&lt;=playercnt)),SUMPRODUCT(INDIRECT(ADDRESS(3,ROW()-31,1)):INDIRECT(ADDRESS(22,ROW()-31,1)),BE$3:BE$22),"")</f>
        <v>4</v>
      </c>
      <c r="BF96">
        <f ca="1">IF(AND(((COLUMN()-10)&lt;=playercnt),((ROW()-41)&lt;=playercnt)),SUMPRODUCT(INDIRECT(ADDRESS(3,ROW()-31,1)):INDIRECT(ADDRESS(22,ROW()-31,1)),BF$3:BF$22),"")</f>
        <v>4</v>
      </c>
      <c r="BG96">
        <f ca="1">IF(AND(((COLUMN()-10)&lt;=playercnt),((ROW()-41)&lt;=playercnt)),SUMPRODUCT(INDIRECT(ADDRESS(3,ROW()-31,1)):INDIRECT(ADDRESS(22,ROW()-31,1)),BG$3:BG$22),"")</f>
        <v>3</v>
      </c>
      <c r="BH96">
        <f ca="1">IF(AND(((COLUMN()-10)&lt;=playercnt),((ROW()-41)&lt;=playercnt)),SUMPRODUCT(INDIRECT(ADDRESS(3,ROW()-31,1)):INDIRECT(ADDRESS(22,ROW()-31,1)),BH$3:BH$22),"")</f>
        <v>4</v>
      </c>
      <c r="BI96">
        <f ca="1">IF(AND(((COLUMN()-10)&lt;=playercnt),((ROW()-41)&lt;=playercnt)),SUMPRODUCT(INDIRECT(ADDRESS(3,ROW()-31,1)):INDIRECT(ADDRESS(22,ROW()-31,1)),BI$3:BI$22),"")</f>
        <v>7</v>
      </c>
      <c r="BJ96">
        <f ca="1">IF(AND(((COLUMN()-10)&lt;=playercnt),((ROW()-41)&lt;=playercnt)),SUMPRODUCT(INDIRECT(ADDRESS(3,ROW()-31,1)):INDIRECT(ADDRESS(22,ROW()-31,1)),BJ$3:BJ$22),"")</f>
        <v>7</v>
      </c>
      <c r="BK96">
        <f ca="1">IF(AND(((COLUMN()-10)&lt;=playercnt),((ROW()-41)&lt;=playercnt)),SUMPRODUCT(INDIRECT(ADDRESS(3,ROW()-31,1)):INDIRECT(ADDRESS(22,ROW()-31,1)),BK$3:BK$22),"")</f>
        <v>2</v>
      </c>
      <c r="BL96">
        <f ca="1">IF(AND(((COLUMN()-10)&lt;=playercnt),((ROW()-41)&lt;=playercnt)),SUMPRODUCT(INDIRECT(ADDRESS(3,ROW()-31,1)):INDIRECT(ADDRESS(22,ROW()-31,1)),BL$3:BL$22),"")</f>
        <v>4</v>
      </c>
      <c r="BM96">
        <f ca="1">IF(AND(((COLUMN()-10)&lt;=playercnt),((ROW()-41)&lt;=playercnt)),SUMPRODUCT(INDIRECT(ADDRESS(3,ROW()-31,1)):INDIRECT(ADDRESS(22,ROW()-31,1)),BM$3:BM$22),"")</f>
        <v>10</v>
      </c>
      <c r="BN96">
        <f ca="1">IF(AND(((COLUMN()-10)&lt;=playercnt),((ROW()-41)&lt;=playercnt)),SUMPRODUCT(INDIRECT(ADDRESS(3,ROW()-31,1)):INDIRECT(ADDRESS(22,ROW()-31,1)),BN$3:BN$22),"")</f>
        <v>6</v>
      </c>
    </row>
    <row r="97" spans="2:66">
      <c r="B97" s="27">
        <f t="shared" ca="1" si="23"/>
        <v>4.6363636363636367</v>
      </c>
      <c r="C97" t="str">
        <f t="shared" ca="1" si="24"/>
        <v>Young, Kenneth</v>
      </c>
      <c r="G97">
        <f ca="1">IF(AND(((COLUMN()-10)&lt;=playercnt),((ROW()-41)&lt;=playercnt)),SUMPRODUCT(INDIRECT(ADDRESS(3,ROW()-31,1)):INDIRECT(ADDRESS(22,ROW()-31,1)),G$3:G$22),"")</f>
        <v>5</v>
      </c>
      <c r="H97">
        <f ca="1">IF(AND(((COLUMN()-10)&lt;=playercnt),((ROW()-41)&lt;=playercnt)),SUMPRODUCT(INDIRECT(ADDRESS(3,ROW()-31,1)):INDIRECT(ADDRESS(22,ROW()-31,1)),H$3:H$22),"")</f>
        <v>4</v>
      </c>
      <c r="I97">
        <f ca="1">IF(AND(((COLUMN()-10)&lt;=playercnt),((ROW()-41)&lt;=playercnt)),SUMPRODUCT(INDIRECT(ADDRESS(3,ROW()-31,1)):INDIRECT(ADDRESS(22,ROW()-31,1)),I$3:I$22),"")</f>
        <v>4</v>
      </c>
      <c r="J97">
        <f ca="1">IF(AND(((COLUMN()-10)&lt;=playercnt),((ROW()-41)&lt;=playercnt)),SUMPRODUCT(INDIRECT(ADDRESS(3,ROW()-31,1)):INDIRECT(ADDRESS(22,ROW()-31,1)),J$3:J$22),"")</f>
        <v>0</v>
      </c>
      <c r="K97">
        <f ca="1">IF(AND(((COLUMN()-10)&lt;=playercnt),((ROW()-41)&lt;=playercnt)),SUMPRODUCT(INDIRECT(ADDRESS(3,ROW()-31,1)):INDIRECT(ADDRESS(22,ROW()-31,1)),K$3:K$22),"")</f>
        <v>3</v>
      </c>
      <c r="L97">
        <f ca="1">IF(AND(((COLUMN()-10)&lt;=playercnt),((ROW()-41)&lt;=playercnt)),SUMPRODUCT(INDIRECT(ADDRESS(3,ROW()-31,1)):INDIRECT(ADDRESS(22,ROW()-31,1)),L$3:L$22),"")</f>
        <v>4</v>
      </c>
      <c r="M97">
        <f ca="1">IF(AND(((COLUMN()-10)&lt;=playercnt),((ROW()-41)&lt;=playercnt)),SUMPRODUCT(INDIRECT(ADDRESS(3,ROW()-31,1)):INDIRECT(ADDRESS(22,ROW()-31,1)),M$3:M$22),"")</f>
        <v>6</v>
      </c>
      <c r="N97">
        <f ca="1">IF(AND(((COLUMN()-10)&lt;=playercnt),((ROW()-41)&lt;=playercnt)),SUMPRODUCT(INDIRECT(ADDRESS(3,ROW()-31,1)):INDIRECT(ADDRESS(22,ROW()-31,1)),N$3:N$22),"")</f>
        <v>4</v>
      </c>
      <c r="O97">
        <f ca="1">IF(AND(((COLUMN()-10)&lt;=playercnt),((ROW()-41)&lt;=playercnt)),SUMPRODUCT(INDIRECT(ADDRESS(3,ROW()-31,1)):INDIRECT(ADDRESS(22,ROW()-31,1)),O$3:O$22),"")</f>
        <v>2</v>
      </c>
      <c r="P97">
        <f ca="1">IF(AND(((COLUMN()-10)&lt;=playercnt),((ROW()-41)&lt;=playercnt)),SUMPRODUCT(INDIRECT(ADDRESS(3,ROW()-31,1)):INDIRECT(ADDRESS(22,ROW()-31,1)),P$3:P$22),"")</f>
        <v>7</v>
      </c>
      <c r="Q97">
        <f ca="1">IF(AND(((COLUMN()-10)&lt;=playercnt),((ROW()-41)&lt;=playercnt)),SUMPRODUCT(INDIRECT(ADDRESS(3,ROW()-31,1)):INDIRECT(ADDRESS(22,ROW()-31,1)),Q$3:Q$22),"")</f>
        <v>5</v>
      </c>
      <c r="R97">
        <f ca="1">IF(AND(((COLUMN()-10)&lt;=playercnt),((ROW()-41)&lt;=playercnt)),SUMPRODUCT(INDIRECT(ADDRESS(3,ROW()-31,1)):INDIRECT(ADDRESS(22,ROW()-31,1)),R$3:R$22),"")</f>
        <v>5</v>
      </c>
      <c r="S97">
        <f ca="1">IF(AND(((COLUMN()-10)&lt;=playercnt),((ROW()-41)&lt;=playercnt)),SUMPRODUCT(INDIRECT(ADDRESS(3,ROW()-31,1)):INDIRECT(ADDRESS(22,ROW()-31,1)),S$3:S$22),"")</f>
        <v>5</v>
      </c>
      <c r="T97">
        <f ca="1">IF(AND(((COLUMN()-10)&lt;=playercnt),((ROW()-41)&lt;=playercnt)),SUMPRODUCT(INDIRECT(ADDRESS(3,ROW()-31,1)):INDIRECT(ADDRESS(22,ROW()-31,1)),T$3:T$22),"")</f>
        <v>7</v>
      </c>
      <c r="U97">
        <f ca="1">IF(AND(((COLUMN()-10)&lt;=playercnt),((ROW()-41)&lt;=playercnt)),SUMPRODUCT(INDIRECT(ADDRESS(3,ROW()-31,1)):INDIRECT(ADDRESS(22,ROW()-31,1)),U$3:U$22),"")</f>
        <v>4</v>
      </c>
      <c r="V97">
        <f ca="1">IF(AND(((COLUMN()-10)&lt;=playercnt),((ROW()-41)&lt;=playercnt)),SUMPRODUCT(INDIRECT(ADDRESS(3,ROW()-31,1)):INDIRECT(ADDRESS(22,ROW()-31,1)),V$3:V$22),"")</f>
        <v>3</v>
      </c>
      <c r="W97">
        <f ca="1">IF(AND(((COLUMN()-10)&lt;=playercnt),((ROW()-41)&lt;=playercnt)),SUMPRODUCT(INDIRECT(ADDRESS(3,ROW()-31,1)):INDIRECT(ADDRESS(22,ROW()-31,1)),W$3:W$22),"")</f>
        <v>3</v>
      </c>
      <c r="X97">
        <f ca="1">IF(AND(((COLUMN()-10)&lt;=playercnt),((ROW()-41)&lt;=playercnt)),SUMPRODUCT(INDIRECT(ADDRESS(3,ROW()-31,1)):INDIRECT(ADDRESS(22,ROW()-31,1)),X$3:X$22),"")</f>
        <v>5</v>
      </c>
      <c r="Y97">
        <f ca="1">IF(AND(((COLUMN()-10)&lt;=playercnt),((ROW()-41)&lt;=playercnt)),SUMPRODUCT(INDIRECT(ADDRESS(3,ROW()-31,1)):INDIRECT(ADDRESS(22,ROW()-31,1)),Y$3:Y$22),"")</f>
        <v>2</v>
      </c>
      <c r="Z97">
        <f ca="1">IF(AND(((COLUMN()-10)&lt;=playercnt),((ROW()-41)&lt;=playercnt)),SUMPRODUCT(INDIRECT(ADDRESS(3,ROW()-31,1)):INDIRECT(ADDRESS(22,ROW()-31,1)),Z$3:Z$22),"")</f>
        <v>8</v>
      </c>
      <c r="AA97">
        <f ca="1">IF(AND(((COLUMN()-10)&lt;=playercnt),((ROW()-41)&lt;=playercnt)),SUMPRODUCT(INDIRECT(ADDRESS(3,ROW()-31,1)):INDIRECT(ADDRESS(22,ROW()-31,1)),AA$3:AA$22),"")</f>
        <v>6</v>
      </c>
      <c r="AB97">
        <f ca="1">IF(AND(((COLUMN()-10)&lt;=playercnt),((ROW()-41)&lt;=playercnt)),SUMPRODUCT(INDIRECT(ADDRESS(3,ROW()-31,1)):INDIRECT(ADDRESS(22,ROW()-31,1)),AB$3:AB$22),"")</f>
        <v>4</v>
      </c>
      <c r="AC97">
        <f ca="1">IF(AND(((COLUMN()-10)&lt;=playercnt),((ROW()-41)&lt;=playercnt)),SUMPRODUCT(INDIRECT(ADDRESS(3,ROW()-31,1)):INDIRECT(ADDRESS(22,ROW()-31,1)),AC$3:AC$22),"")</f>
        <v>3</v>
      </c>
      <c r="AD97">
        <f ca="1">IF(AND(((COLUMN()-10)&lt;=playercnt),((ROW()-41)&lt;=playercnt)),SUMPRODUCT(INDIRECT(ADDRESS(3,ROW()-31,1)):INDIRECT(ADDRESS(22,ROW()-31,1)),AD$3:AD$22),"")</f>
        <v>4</v>
      </c>
      <c r="AE97">
        <f ca="1">IF(AND(((COLUMN()-10)&lt;=playercnt),((ROW()-41)&lt;=playercnt)),SUMPRODUCT(INDIRECT(ADDRESS(3,ROW()-31,1)):INDIRECT(ADDRESS(22,ROW()-31,1)),AE$3:AE$22),"")</f>
        <v>4</v>
      </c>
      <c r="AF97">
        <f ca="1">IF(AND(((COLUMN()-10)&lt;=playercnt),((ROW()-41)&lt;=playercnt)),SUMPRODUCT(INDIRECT(ADDRESS(3,ROW()-31,1)):INDIRECT(ADDRESS(22,ROW()-31,1)),AF$3:AF$22),"")</f>
        <v>4</v>
      </c>
      <c r="AG97">
        <f ca="1">IF(AND(((COLUMN()-10)&lt;=playercnt),((ROW()-41)&lt;=playercnt)),SUMPRODUCT(INDIRECT(ADDRESS(3,ROW()-31,1)):INDIRECT(ADDRESS(22,ROW()-31,1)),AG$3:AG$22),"")</f>
        <v>4</v>
      </c>
      <c r="AH97">
        <f ca="1">IF(AND(((COLUMN()-10)&lt;=playercnt),((ROW()-41)&lt;=playercnt)),SUMPRODUCT(INDIRECT(ADDRESS(3,ROW()-31,1)):INDIRECT(ADDRESS(22,ROW()-31,1)),AH$3:AH$22),"")</f>
        <v>6</v>
      </c>
      <c r="AI97">
        <f ca="1">IF(AND(((COLUMN()-10)&lt;=playercnt),((ROW()-41)&lt;=playercnt)),SUMPRODUCT(INDIRECT(ADDRESS(3,ROW()-31,1)):INDIRECT(ADDRESS(22,ROW()-31,1)),AI$3:AI$22),"")</f>
        <v>3</v>
      </c>
      <c r="AJ97">
        <f ca="1">IF(AND(((COLUMN()-10)&lt;=playercnt),((ROW()-41)&lt;=playercnt)),SUMPRODUCT(INDIRECT(ADDRESS(3,ROW()-31,1)):INDIRECT(ADDRESS(22,ROW()-31,1)),AJ$3:AJ$22),"")</f>
        <v>4</v>
      </c>
      <c r="AK97">
        <f ca="1">IF(AND(((COLUMN()-10)&lt;=playercnt),((ROW()-41)&lt;=playercnt)),SUMPRODUCT(INDIRECT(ADDRESS(3,ROW()-31,1)):INDIRECT(ADDRESS(22,ROW()-31,1)),AK$3:AK$22),"")</f>
        <v>4</v>
      </c>
      <c r="AL97">
        <f ca="1">IF(AND(((COLUMN()-10)&lt;=playercnt),((ROW()-41)&lt;=playercnt)),SUMPRODUCT(INDIRECT(ADDRESS(3,ROW()-31,1)):INDIRECT(ADDRESS(22,ROW()-31,1)),AL$3:AL$22),"")</f>
        <v>6</v>
      </c>
      <c r="AM97">
        <f ca="1">IF(AND(((COLUMN()-10)&lt;=playercnt),((ROW()-41)&lt;=playercnt)),SUMPRODUCT(INDIRECT(ADDRESS(3,ROW()-31,1)):INDIRECT(ADDRESS(22,ROW()-31,1)),AM$3:AM$22),"")</f>
        <v>5</v>
      </c>
      <c r="AN97">
        <f ca="1">IF(AND(((COLUMN()-10)&lt;=playercnt),((ROW()-41)&lt;=playercnt)),SUMPRODUCT(INDIRECT(ADDRESS(3,ROW()-31,1)):INDIRECT(ADDRESS(22,ROW()-31,1)),AN$3:AN$22),"")</f>
        <v>2</v>
      </c>
      <c r="AO97">
        <f ca="1">IF(AND(((COLUMN()-10)&lt;=playercnt),((ROW()-41)&lt;=playercnt)),SUMPRODUCT(INDIRECT(ADDRESS(3,ROW()-31,1)):INDIRECT(ADDRESS(22,ROW()-31,1)),AO$3:AO$22),"")</f>
        <v>4</v>
      </c>
      <c r="AP97">
        <f ca="1">IF(AND(((COLUMN()-10)&lt;=playercnt),((ROW()-41)&lt;=playercnt)),SUMPRODUCT(INDIRECT(ADDRESS(3,ROW()-31,1)):INDIRECT(ADDRESS(22,ROW()-31,1)),AP$3:AP$22),"")</f>
        <v>7</v>
      </c>
      <c r="AQ97">
        <f ca="1">IF(AND(((COLUMN()-10)&lt;=playercnt),((ROW()-41)&lt;=playercnt)),SUMPRODUCT(INDIRECT(ADDRESS(3,ROW()-31,1)):INDIRECT(ADDRESS(22,ROW()-31,1)),AQ$3:AQ$22),"")</f>
        <v>5</v>
      </c>
      <c r="AR97">
        <f ca="1">IF(AND(((COLUMN()-10)&lt;=playercnt),((ROW()-41)&lt;=playercnt)),SUMPRODUCT(INDIRECT(ADDRESS(3,ROW()-31,1)):INDIRECT(ADDRESS(22,ROW()-31,1)),AR$3:AR$22),"")</f>
        <v>2</v>
      </c>
      <c r="AS97">
        <f ca="1">IF(AND(((COLUMN()-10)&lt;=playercnt),((ROW()-41)&lt;=playercnt)),SUMPRODUCT(INDIRECT(ADDRESS(3,ROW()-31,1)):INDIRECT(ADDRESS(22,ROW()-31,1)),AS$3:AS$22),"")</f>
        <v>4</v>
      </c>
      <c r="AT97">
        <f ca="1">IF(AND(((COLUMN()-10)&lt;=playercnt),((ROW()-41)&lt;=playercnt)),SUMPRODUCT(INDIRECT(ADDRESS(3,ROW()-31,1)):INDIRECT(ADDRESS(22,ROW()-31,1)),AT$3:AT$22),"")</f>
        <v>7</v>
      </c>
      <c r="AU97">
        <f ca="1">IF(AND(((COLUMN()-10)&lt;=playercnt),((ROW()-41)&lt;=playercnt)),SUMPRODUCT(INDIRECT(ADDRESS(3,ROW()-31,1)):INDIRECT(ADDRESS(22,ROW()-31,1)),AU$3:AU$22),"")</f>
        <v>5</v>
      </c>
      <c r="AV97">
        <f ca="1">IF(AND(((COLUMN()-10)&lt;=playercnt),((ROW()-41)&lt;=playercnt)),SUMPRODUCT(INDIRECT(ADDRESS(3,ROW()-31,1)):INDIRECT(ADDRESS(22,ROW()-31,1)),AV$3:AV$22),"")</f>
        <v>7</v>
      </c>
      <c r="AW97">
        <f ca="1">IF(AND(((COLUMN()-10)&lt;=playercnt),((ROW()-41)&lt;=playercnt)),SUMPRODUCT(INDIRECT(ADDRESS(3,ROW()-31,1)):INDIRECT(ADDRESS(22,ROW()-31,1)),AW$3:AW$22),"")</f>
        <v>3</v>
      </c>
      <c r="AX97">
        <f ca="1">IF(AND(((COLUMN()-10)&lt;=playercnt),((ROW()-41)&lt;=playercnt)),SUMPRODUCT(INDIRECT(ADDRESS(3,ROW()-31,1)):INDIRECT(ADDRESS(22,ROW()-31,1)),AX$3:AX$22),"")</f>
        <v>5</v>
      </c>
      <c r="AY97">
        <f ca="1">IF(AND(((COLUMN()-10)&lt;=playercnt),((ROW()-41)&lt;=playercnt)),SUMPRODUCT(INDIRECT(ADDRESS(3,ROW()-31,1)):INDIRECT(ADDRESS(22,ROW()-31,1)),AY$3:AY$22),"")</f>
        <v>3</v>
      </c>
      <c r="AZ97">
        <f ca="1">IF(AND(((COLUMN()-10)&lt;=playercnt),((ROW()-41)&lt;=playercnt)),SUMPRODUCT(INDIRECT(ADDRESS(3,ROW()-31,1)):INDIRECT(ADDRESS(22,ROW()-31,1)),AZ$3:AZ$22),"")</f>
        <v>4</v>
      </c>
      <c r="BA97">
        <f ca="1">IF(AND(((COLUMN()-10)&lt;=playercnt),((ROW()-41)&lt;=playercnt)),SUMPRODUCT(INDIRECT(ADDRESS(3,ROW()-31,1)):INDIRECT(ADDRESS(22,ROW()-31,1)),BA$3:BA$22),"")</f>
        <v>7</v>
      </c>
      <c r="BB97">
        <f ca="1">IF(AND(((COLUMN()-10)&lt;=playercnt),((ROW()-41)&lt;=playercnt)),SUMPRODUCT(INDIRECT(ADDRESS(3,ROW()-31,1)):INDIRECT(ADDRESS(22,ROW()-31,1)),BB$3:BB$22),"")</f>
        <v>6</v>
      </c>
      <c r="BC97">
        <f ca="1">IF(AND(((COLUMN()-10)&lt;=playercnt),((ROW()-41)&lt;=playercnt)),SUMPRODUCT(INDIRECT(ADDRESS(3,ROW()-31,1)):INDIRECT(ADDRESS(22,ROW()-31,1)),BC$3:BC$22),"")</f>
        <v>8</v>
      </c>
      <c r="BD97">
        <f ca="1">IF(AND(((COLUMN()-10)&lt;=playercnt),((ROW()-41)&lt;=playercnt)),SUMPRODUCT(INDIRECT(ADDRESS(3,ROW()-31,1)):INDIRECT(ADDRESS(22,ROW()-31,1)),BD$3:BD$22),"")</f>
        <v>5</v>
      </c>
      <c r="BE97">
        <f ca="1">IF(AND(((COLUMN()-10)&lt;=playercnt),((ROW()-41)&lt;=playercnt)),SUMPRODUCT(INDIRECT(ADDRESS(3,ROW()-31,1)):INDIRECT(ADDRESS(22,ROW()-31,1)),BE$3:BE$22),"")</f>
        <v>4</v>
      </c>
      <c r="BF97">
        <f ca="1">IF(AND(((COLUMN()-10)&lt;=playercnt),((ROW()-41)&lt;=playercnt)),SUMPRODUCT(INDIRECT(ADDRESS(3,ROW()-31,1)):INDIRECT(ADDRESS(22,ROW()-31,1)),BF$3:BF$22),"")</f>
        <v>4</v>
      </c>
      <c r="BG97">
        <f ca="1">IF(AND(((COLUMN()-10)&lt;=playercnt),((ROW()-41)&lt;=playercnt)),SUMPRODUCT(INDIRECT(ADDRESS(3,ROW()-31,1)):INDIRECT(ADDRESS(22,ROW()-31,1)),BG$3:BG$22),"")</f>
        <v>5</v>
      </c>
      <c r="BH97">
        <f ca="1">IF(AND(((COLUMN()-10)&lt;=playercnt),((ROW()-41)&lt;=playercnt)),SUMPRODUCT(INDIRECT(ADDRESS(3,ROW()-31,1)):INDIRECT(ADDRESS(22,ROW()-31,1)),BH$3:BH$22),"")</f>
        <v>4</v>
      </c>
      <c r="BI97">
        <f ca="1">IF(AND(((COLUMN()-10)&lt;=playercnt),((ROW()-41)&lt;=playercnt)),SUMPRODUCT(INDIRECT(ADDRESS(3,ROW()-31,1)):INDIRECT(ADDRESS(22,ROW()-31,1)),BI$3:BI$22),"")</f>
        <v>7</v>
      </c>
      <c r="BJ97">
        <f ca="1">IF(AND(((COLUMN()-10)&lt;=playercnt),((ROW()-41)&lt;=playercnt)),SUMPRODUCT(INDIRECT(ADDRESS(3,ROW()-31,1)):INDIRECT(ADDRESS(22,ROW()-31,1)),BJ$3:BJ$22),"")</f>
        <v>3</v>
      </c>
      <c r="BK97">
        <f ca="1">IF(AND(((COLUMN()-10)&lt;=playercnt),((ROW()-41)&lt;=playercnt)),SUMPRODUCT(INDIRECT(ADDRESS(3,ROW()-31,1)):INDIRECT(ADDRESS(22,ROW()-31,1)),BK$3:BK$22),"")</f>
        <v>4</v>
      </c>
      <c r="BL97">
        <f ca="1">IF(AND(((COLUMN()-10)&lt;=playercnt),((ROW()-41)&lt;=playercnt)),SUMPRODUCT(INDIRECT(ADDRESS(3,ROW()-31,1)):INDIRECT(ADDRESS(22,ROW()-31,1)),BL$3:BL$22),"")</f>
        <v>4</v>
      </c>
      <c r="BM97">
        <f ca="1">IF(AND(((COLUMN()-10)&lt;=playercnt),((ROW()-41)&lt;=playercnt)),SUMPRODUCT(INDIRECT(ADDRESS(3,ROW()-31,1)):INDIRECT(ADDRESS(22,ROW()-31,1)),BM$3:BM$22),"")</f>
        <v>6</v>
      </c>
      <c r="BN97">
        <f ca="1">IF(AND(((COLUMN()-10)&lt;=playercnt),((ROW()-41)&lt;=playercnt)),SUMPRODUCT(INDIRECT(ADDRESS(3,ROW()-31,1)):INDIRECT(ADDRESS(22,ROW()-31,1)),BN$3:BN$22),"")</f>
        <v>10</v>
      </c>
    </row>
    <row r="110" spans="2:66">
      <c r="B110" s="26" t="str">
        <f t="shared" ref="B110" ca="1" si="25">IF(INDIRECT(ADDRESS(ROW(),COLUMN()+(ROW()-33)))=10,(SUM(INDIRECT("RC11:RC"&amp;11+playercnt-1,FALSE))-10)/(picks_entered-1),"")</f>
        <v/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</row>
  </sheetData>
  <phoneticPr fontId="6" type="noConversion"/>
  <conditionalFormatting sqref="G38:BN97">
    <cfRule type="expression" dxfId="246" priority="1" stopIfTrue="1">
      <formula>MOD(G38,10) = 0</formula>
    </cfRule>
    <cfRule type="expression" dxfId="245" priority="2" stopIfTrue="1">
      <formula>MOD(G38,8) = 1</formula>
    </cfRule>
    <cfRule type="expression" dxfId="244" priority="3" stopIfTrue="1">
      <formula>MOD(G38,6) = 2</formula>
    </cfRule>
  </conditionalFormatting>
  <conditionalFormatting sqref="B35:B37">
    <cfRule type="cellIs" dxfId="243" priority="4" stopIfTrue="1" operator="greaterThan">
      <formula>$A$35-$A$37</formula>
    </cfRule>
    <cfRule type="cellIs" dxfId="242" priority="5" stopIfTrue="1" operator="lessThan">
      <formula>$A$36+$A$37</formula>
    </cfRule>
  </conditionalFormatting>
  <conditionalFormatting sqref="B38:B97">
    <cfRule type="cellIs" dxfId="241" priority="6" stopIfTrue="1" operator="greaterThan">
      <formula>$A$42-$A$44</formula>
    </cfRule>
    <cfRule type="cellIs" dxfId="24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11"/>
  <dimension ref="A1:W34"/>
  <sheetViews>
    <sheetView workbookViewId="0">
      <selection activeCell="A4" sqref="A4"/>
    </sheetView>
  </sheetViews>
  <sheetFormatPr defaultRowHeight="12.75"/>
  <cols>
    <col min="3" max="3" width="10.28515625" bestFit="1" customWidth="1"/>
    <col min="4" max="4" width="3.28515625" bestFit="1" customWidth="1"/>
    <col min="5" max="23" width="3.28515625" customWidth="1"/>
  </cols>
  <sheetData>
    <row r="1" spans="1:23">
      <c r="A1" t="s">
        <v>130</v>
      </c>
    </row>
    <row r="2" spans="1:23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>
      <c r="A4">
        <f>weekcnt*10</f>
        <v>60</v>
      </c>
    </row>
    <row r="34" spans="4:23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39" priority="1" stopIfTrue="1" operator="equal">
      <formula>10</formula>
    </cfRule>
    <cfRule type="cellIs" dxfId="238" priority="2" stopIfTrue="1" operator="equal">
      <formula>9</formula>
    </cfRule>
    <cfRule type="cellIs" dxfId="23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>
      <c r="B1" s="6"/>
      <c r="I1">
        <f>COUNTA(K1:BW1)</f>
        <v>0</v>
      </c>
      <c r="J1">
        <f>SUM(K1:BW1)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>
      <c r="A3" s="59">
        <v>1</v>
      </c>
      <c r="B3" s="67" t="s">
        <v>150</v>
      </c>
      <c r="C3" s="65"/>
      <c r="D3" s="64">
        <v>13</v>
      </c>
      <c r="E3" s="64">
        <f>IF(ISBLANK($D3),"0",IF(($D4-$D3)&lt;($C4-$C3),1,0))</f>
        <v>1</v>
      </c>
      <c r="F3" s="64">
        <f ca="1">COUNTA(INDIRECT("RC11:RC"&amp;11+playercnt-1,FALSE))</f>
        <v>36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/>
      <c r="M3" s="69"/>
      <c r="N3" s="69" t="s">
        <v>314</v>
      </c>
      <c r="O3" s="69" t="s">
        <v>314</v>
      </c>
      <c r="P3" s="69"/>
      <c r="Q3" s="69"/>
      <c r="R3" s="69"/>
      <c r="S3" s="69" t="s">
        <v>314</v>
      </c>
      <c r="T3" s="69"/>
      <c r="U3" s="69" t="s">
        <v>314</v>
      </c>
      <c r="V3" s="69"/>
      <c r="W3" s="69"/>
      <c r="X3" s="69"/>
      <c r="Y3" s="69"/>
      <c r="Z3" s="69" t="s">
        <v>314</v>
      </c>
      <c r="AA3" s="69"/>
      <c r="AB3" s="69"/>
      <c r="AC3" s="69" t="s">
        <v>314</v>
      </c>
      <c r="AD3" s="69"/>
      <c r="AE3" s="69" t="s">
        <v>314</v>
      </c>
      <c r="AF3" s="69"/>
      <c r="AG3" s="69"/>
      <c r="AH3" s="69" t="s">
        <v>314</v>
      </c>
      <c r="AI3" s="69"/>
      <c r="AJ3" s="69" t="s">
        <v>314</v>
      </c>
      <c r="AK3" s="69" t="s">
        <v>314</v>
      </c>
      <c r="AL3" s="69" t="s">
        <v>314</v>
      </c>
      <c r="AM3" s="69" t="s">
        <v>314</v>
      </c>
      <c r="AN3" s="69" t="s">
        <v>314</v>
      </c>
      <c r="AO3" s="69" t="s">
        <v>314</v>
      </c>
      <c r="AP3" s="69"/>
      <c r="AQ3" s="69" t="s">
        <v>314</v>
      </c>
      <c r="AR3" s="96" t="s">
        <v>314</v>
      </c>
      <c r="AS3" s="69" t="s">
        <v>314</v>
      </c>
      <c r="AT3" s="69" t="s">
        <v>314</v>
      </c>
      <c r="AU3" s="69" t="s">
        <v>314</v>
      </c>
      <c r="AV3" s="69" t="s">
        <v>314</v>
      </c>
      <c r="AW3" s="69" t="s">
        <v>314</v>
      </c>
      <c r="AX3" s="69" t="s">
        <v>314</v>
      </c>
      <c r="AY3" s="69" t="s">
        <v>314</v>
      </c>
      <c r="AZ3" s="69" t="s">
        <v>314</v>
      </c>
      <c r="BA3" s="69" t="s">
        <v>314</v>
      </c>
      <c r="BB3" s="69" t="s">
        <v>314</v>
      </c>
      <c r="BC3" s="69" t="s">
        <v>314</v>
      </c>
      <c r="BD3" s="69" t="s">
        <v>314</v>
      </c>
      <c r="BE3" s="96" t="s">
        <v>314</v>
      </c>
      <c r="BF3" s="69" t="s">
        <v>314</v>
      </c>
      <c r="BG3" s="69"/>
      <c r="BH3" s="69"/>
      <c r="BI3" s="69" t="s">
        <v>314</v>
      </c>
      <c r="BJ3" s="69"/>
      <c r="BK3" s="69" t="s">
        <v>314</v>
      </c>
      <c r="BL3" s="69" t="s">
        <v>314</v>
      </c>
      <c r="BM3" s="69" t="s">
        <v>314</v>
      </c>
      <c r="BN3" s="69" t="s">
        <v>314</v>
      </c>
    </row>
    <row r="4" spans="1:66">
      <c r="A4" s="61" t="s">
        <v>3</v>
      </c>
      <c r="B4" s="68" t="s">
        <v>160</v>
      </c>
      <c r="C4" s="66">
        <v>3.5</v>
      </c>
      <c r="D4" s="64">
        <v>10</v>
      </c>
      <c r="E4" s="64">
        <f>IF(ISBLANK($D4),"0",IF(($D4-$D3)&gt;($C4-$C3),1,0))</f>
        <v>0</v>
      </c>
      <c r="F4" s="64">
        <f t="shared" ref="F4:F22" ca="1" si="1">COUNTA(INDIRECT("RC11:RC"&amp;11+playercnt-1,FALSE))</f>
        <v>18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314</v>
      </c>
      <c r="N4" s="70"/>
      <c r="O4" s="70"/>
      <c r="P4" s="70" t="s">
        <v>314</v>
      </c>
      <c r="Q4" s="70" t="s">
        <v>314</v>
      </c>
      <c r="R4" s="70"/>
      <c r="S4" s="70"/>
      <c r="T4" s="70" t="s">
        <v>314</v>
      </c>
      <c r="U4" s="97"/>
      <c r="V4" s="70" t="s">
        <v>314</v>
      </c>
      <c r="W4" s="70" t="s">
        <v>314</v>
      </c>
      <c r="X4" s="70" t="s">
        <v>314</v>
      </c>
      <c r="Y4" s="70" t="s">
        <v>314</v>
      </c>
      <c r="Z4" s="70"/>
      <c r="AA4" s="70" t="s">
        <v>314</v>
      </c>
      <c r="AB4" s="70" t="s">
        <v>314</v>
      </c>
      <c r="AC4" s="70"/>
      <c r="AD4" s="70" t="s">
        <v>314</v>
      </c>
      <c r="AE4" s="70"/>
      <c r="AF4" s="70" t="s">
        <v>314</v>
      </c>
      <c r="AG4" s="70" t="s">
        <v>314</v>
      </c>
      <c r="AH4" s="70"/>
      <c r="AI4" s="70" t="s">
        <v>314</v>
      </c>
      <c r="AJ4" s="70"/>
      <c r="AK4" s="70"/>
      <c r="AL4" s="70"/>
      <c r="AM4" s="70"/>
      <c r="AN4" s="70"/>
      <c r="AO4" s="70"/>
      <c r="AP4" s="70" t="s">
        <v>314</v>
      </c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 t="s">
        <v>314</v>
      </c>
      <c r="BH4" s="70" t="s">
        <v>314</v>
      </c>
      <c r="BI4" s="70"/>
      <c r="BJ4" s="70" t="s">
        <v>314</v>
      </c>
      <c r="BK4" s="70"/>
      <c r="BL4" s="70"/>
      <c r="BM4" s="70"/>
      <c r="BN4" s="70"/>
    </row>
    <row r="5" spans="1:66">
      <c r="A5" s="59">
        <v>2</v>
      </c>
      <c r="B5" s="67" t="s">
        <v>139</v>
      </c>
      <c r="C5" s="65">
        <v>3.5</v>
      </c>
      <c r="D5" s="64">
        <v>17</v>
      </c>
      <c r="E5" s="64">
        <f>IF(ISBLANK($D5),"0",IF(($D6-$D5)&lt;($C6-$C5),1,0))</f>
        <v>0</v>
      </c>
      <c r="F5" s="64">
        <f t="shared" ca="1" si="1"/>
        <v>42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314</v>
      </c>
      <c r="L5" s="69"/>
      <c r="M5" s="69" t="s">
        <v>314</v>
      </c>
      <c r="N5" s="69" t="s">
        <v>314</v>
      </c>
      <c r="O5" s="69" t="s">
        <v>314</v>
      </c>
      <c r="P5" s="69" t="s">
        <v>314</v>
      </c>
      <c r="Q5" s="69"/>
      <c r="R5" s="69"/>
      <c r="S5" s="69" t="s">
        <v>314</v>
      </c>
      <c r="T5" s="69" t="s">
        <v>314</v>
      </c>
      <c r="U5" s="96" t="s">
        <v>314</v>
      </c>
      <c r="V5" s="69"/>
      <c r="W5" s="69" t="s">
        <v>314</v>
      </c>
      <c r="X5" s="69" t="s">
        <v>314</v>
      </c>
      <c r="Y5" s="69" t="s">
        <v>314</v>
      </c>
      <c r="Z5" s="69" t="s">
        <v>314</v>
      </c>
      <c r="AA5" s="69" t="s">
        <v>314</v>
      </c>
      <c r="AB5" s="69"/>
      <c r="AC5" s="69" t="s">
        <v>314</v>
      </c>
      <c r="AD5" s="69" t="s">
        <v>314</v>
      </c>
      <c r="AE5" s="69" t="s">
        <v>314</v>
      </c>
      <c r="AF5" s="69" t="s">
        <v>314</v>
      </c>
      <c r="AG5" s="69" t="s">
        <v>314</v>
      </c>
      <c r="AH5" s="69"/>
      <c r="AI5" s="69" t="s">
        <v>314</v>
      </c>
      <c r="AJ5" s="69" t="s">
        <v>314</v>
      </c>
      <c r="AK5" s="69"/>
      <c r="AL5" s="69" t="s">
        <v>314</v>
      </c>
      <c r="AM5" s="69" t="s">
        <v>314</v>
      </c>
      <c r="AN5" s="69" t="s">
        <v>314</v>
      </c>
      <c r="AO5" s="69"/>
      <c r="AP5" s="69"/>
      <c r="AQ5" s="69" t="s">
        <v>314</v>
      </c>
      <c r="AR5" s="96" t="s">
        <v>314</v>
      </c>
      <c r="AS5" s="69"/>
      <c r="AT5" s="69" t="s">
        <v>314</v>
      </c>
      <c r="AU5" s="69" t="s">
        <v>314</v>
      </c>
      <c r="AV5" s="69" t="s">
        <v>314</v>
      </c>
      <c r="AW5" s="69" t="s">
        <v>314</v>
      </c>
      <c r="AX5" s="69" t="s">
        <v>314</v>
      </c>
      <c r="AY5" s="69" t="s">
        <v>314</v>
      </c>
      <c r="AZ5" s="69"/>
      <c r="BA5" s="69"/>
      <c r="BB5" s="69" t="s">
        <v>314</v>
      </c>
      <c r="BC5" s="69" t="s">
        <v>314</v>
      </c>
      <c r="BD5" s="69" t="s">
        <v>314</v>
      </c>
      <c r="BE5" s="69" t="s">
        <v>314</v>
      </c>
      <c r="BF5" s="69" t="s">
        <v>314</v>
      </c>
      <c r="BG5" s="69" t="s">
        <v>314</v>
      </c>
      <c r="BH5" s="69"/>
      <c r="BI5" s="69" t="s">
        <v>314</v>
      </c>
      <c r="BJ5" s="69" t="s">
        <v>314</v>
      </c>
      <c r="BK5" s="69"/>
      <c r="BL5" s="69" t="s">
        <v>314</v>
      </c>
      <c r="BM5" s="69" t="s">
        <v>314</v>
      </c>
      <c r="BN5" s="69" t="s">
        <v>314</v>
      </c>
    </row>
    <row r="6" spans="1:66">
      <c r="A6" s="61" t="s">
        <v>3</v>
      </c>
      <c r="B6" s="68" t="s">
        <v>144</v>
      </c>
      <c r="C6" s="66"/>
      <c r="D6" s="64">
        <v>14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/>
      <c r="Q6" s="70" t="s">
        <v>314</v>
      </c>
      <c r="R6" s="70"/>
      <c r="S6" s="70"/>
      <c r="T6" s="70"/>
      <c r="U6" s="70"/>
      <c r="V6" s="70" t="s">
        <v>314</v>
      </c>
      <c r="W6" s="70"/>
      <c r="X6" s="70"/>
      <c r="Y6" s="70"/>
      <c r="Z6" s="70"/>
      <c r="AA6" s="70"/>
      <c r="AB6" s="70" t="s">
        <v>314</v>
      </c>
      <c r="AC6" s="70"/>
      <c r="AD6" s="70"/>
      <c r="AE6" s="70"/>
      <c r="AF6" s="70"/>
      <c r="AG6" s="70"/>
      <c r="AH6" s="70" t="s">
        <v>314</v>
      </c>
      <c r="AI6" s="70"/>
      <c r="AJ6" s="70"/>
      <c r="AK6" s="70" t="s">
        <v>314</v>
      </c>
      <c r="AL6" s="70"/>
      <c r="AM6" s="70"/>
      <c r="AN6" s="70"/>
      <c r="AO6" s="70" t="s">
        <v>314</v>
      </c>
      <c r="AP6" s="70" t="s">
        <v>314</v>
      </c>
      <c r="AQ6" s="70"/>
      <c r="AR6" s="70"/>
      <c r="AS6" s="70" t="s">
        <v>314</v>
      </c>
      <c r="AT6" s="70"/>
      <c r="AU6" s="70"/>
      <c r="AV6" s="70"/>
      <c r="AW6" s="70"/>
      <c r="AX6" s="70"/>
      <c r="AY6" s="70"/>
      <c r="AZ6" s="70" t="s">
        <v>314</v>
      </c>
      <c r="BA6" s="70" t="s">
        <v>314</v>
      </c>
      <c r="BB6" s="70"/>
      <c r="BC6" s="70"/>
      <c r="BD6" s="70"/>
      <c r="BE6" s="97"/>
      <c r="BF6" s="70"/>
      <c r="BG6" s="70"/>
      <c r="BH6" s="70" t="s">
        <v>314</v>
      </c>
      <c r="BI6" s="70"/>
      <c r="BJ6" s="70"/>
      <c r="BK6" s="70" t="s">
        <v>314</v>
      </c>
      <c r="BL6" s="70"/>
      <c r="BM6" s="70"/>
      <c r="BN6" s="70"/>
    </row>
    <row r="7" spans="1:66">
      <c r="A7" s="59">
        <v>3</v>
      </c>
      <c r="B7" s="67" t="s">
        <v>158</v>
      </c>
      <c r="C7" s="65">
        <v>10.5</v>
      </c>
      <c r="D7" s="64">
        <v>23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/>
      <c r="N7" s="69"/>
      <c r="O7" s="69" t="s">
        <v>314</v>
      </c>
      <c r="P7" s="69"/>
      <c r="Q7" s="69" t="s">
        <v>314</v>
      </c>
      <c r="R7" s="96"/>
      <c r="S7" s="96" t="s">
        <v>314</v>
      </c>
      <c r="T7" s="96"/>
      <c r="U7" s="96" t="s">
        <v>314</v>
      </c>
      <c r="V7" s="69"/>
      <c r="W7" s="69"/>
      <c r="X7" s="69" t="s">
        <v>314</v>
      </c>
      <c r="Y7" s="69" t="s">
        <v>314</v>
      </c>
      <c r="Z7" s="69"/>
      <c r="AA7" s="69" t="s">
        <v>314</v>
      </c>
      <c r="AB7" s="69" t="s">
        <v>314</v>
      </c>
      <c r="AC7" s="69" t="s">
        <v>314</v>
      </c>
      <c r="AD7" s="69"/>
      <c r="AE7" s="69"/>
      <c r="AF7" s="69" t="s">
        <v>314</v>
      </c>
      <c r="AG7" s="69"/>
      <c r="AH7" s="69" t="s">
        <v>314</v>
      </c>
      <c r="AI7" s="69" t="s">
        <v>314</v>
      </c>
      <c r="AJ7" s="69"/>
      <c r="AK7" s="69"/>
      <c r="AL7" s="69" t="s">
        <v>314</v>
      </c>
      <c r="AM7" s="69" t="s">
        <v>314</v>
      </c>
      <c r="AN7" s="69" t="s">
        <v>314</v>
      </c>
      <c r="AO7" s="69"/>
      <c r="AP7" s="69" t="s">
        <v>314</v>
      </c>
      <c r="AQ7" s="69" t="s">
        <v>314</v>
      </c>
      <c r="AR7" s="96" t="s">
        <v>314</v>
      </c>
      <c r="AS7" s="69"/>
      <c r="AT7" s="69"/>
      <c r="AU7" s="69"/>
      <c r="AV7" s="69" t="s">
        <v>314</v>
      </c>
      <c r="AW7" s="69" t="s">
        <v>314</v>
      </c>
      <c r="AX7" s="69"/>
      <c r="AY7" s="69"/>
      <c r="AZ7" s="69" t="s">
        <v>314</v>
      </c>
      <c r="BA7" s="69"/>
      <c r="BB7" s="69" t="s">
        <v>314</v>
      </c>
      <c r="BC7" s="69" t="s">
        <v>314</v>
      </c>
      <c r="BD7" s="69"/>
      <c r="BE7" s="96" t="s">
        <v>314</v>
      </c>
      <c r="BF7" s="69" t="s">
        <v>314</v>
      </c>
      <c r="BG7" s="69" t="s">
        <v>314</v>
      </c>
      <c r="BH7" s="69" t="s">
        <v>314</v>
      </c>
      <c r="BI7" s="69"/>
      <c r="BJ7" s="69" t="s">
        <v>314</v>
      </c>
      <c r="BK7" s="69"/>
      <c r="BL7" s="69" t="s">
        <v>314</v>
      </c>
      <c r="BM7" s="69"/>
      <c r="BN7" s="69" t="s">
        <v>314</v>
      </c>
    </row>
    <row r="8" spans="1:66">
      <c r="A8" s="61" t="s">
        <v>3</v>
      </c>
      <c r="B8" s="68" t="s">
        <v>210</v>
      </c>
      <c r="C8" s="66"/>
      <c r="D8" s="64">
        <v>33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314</v>
      </c>
      <c r="L8" s="70"/>
      <c r="M8" s="70" t="s">
        <v>314</v>
      </c>
      <c r="N8" s="70" t="s">
        <v>314</v>
      </c>
      <c r="O8" s="70"/>
      <c r="P8" s="70" t="s">
        <v>314</v>
      </c>
      <c r="Q8" s="70"/>
      <c r="R8" s="97"/>
      <c r="S8" s="97"/>
      <c r="T8" s="97" t="s">
        <v>314</v>
      </c>
      <c r="U8" s="97"/>
      <c r="V8" s="70" t="s">
        <v>314</v>
      </c>
      <c r="W8" s="70" t="s">
        <v>314</v>
      </c>
      <c r="X8" s="70"/>
      <c r="Y8" s="70"/>
      <c r="Z8" s="70" t="s">
        <v>314</v>
      </c>
      <c r="AA8" s="70"/>
      <c r="AB8" s="70"/>
      <c r="AC8" s="70"/>
      <c r="AD8" s="70" t="s">
        <v>314</v>
      </c>
      <c r="AE8" s="70" t="s">
        <v>314</v>
      </c>
      <c r="AF8" s="70"/>
      <c r="AG8" s="70" t="s">
        <v>314</v>
      </c>
      <c r="AH8" s="70"/>
      <c r="AI8" s="70"/>
      <c r="AJ8" s="70" t="s">
        <v>314</v>
      </c>
      <c r="AK8" s="70" t="s">
        <v>314</v>
      </c>
      <c r="AL8" s="70"/>
      <c r="AM8" s="70"/>
      <c r="AN8" s="70"/>
      <c r="AO8" s="70" t="s">
        <v>314</v>
      </c>
      <c r="AP8" s="70"/>
      <c r="AQ8" s="70"/>
      <c r="AR8" s="70"/>
      <c r="AS8" s="70" t="s">
        <v>314</v>
      </c>
      <c r="AT8" s="70" t="s">
        <v>314</v>
      </c>
      <c r="AU8" s="70" t="s">
        <v>314</v>
      </c>
      <c r="AV8" s="70"/>
      <c r="AW8" s="70"/>
      <c r="AX8" s="70" t="s">
        <v>314</v>
      </c>
      <c r="AY8" s="70" t="s">
        <v>314</v>
      </c>
      <c r="AZ8" s="70"/>
      <c r="BA8" s="70" t="s">
        <v>314</v>
      </c>
      <c r="BB8" s="70"/>
      <c r="BC8" s="70"/>
      <c r="BD8" s="70" t="s">
        <v>314</v>
      </c>
      <c r="BE8" s="70"/>
      <c r="BF8" s="70"/>
      <c r="BG8" s="70"/>
      <c r="BH8" s="70"/>
      <c r="BI8" s="70" t="s">
        <v>314</v>
      </c>
      <c r="BJ8" s="70"/>
      <c r="BK8" s="70" t="s">
        <v>314</v>
      </c>
      <c r="BL8" s="70"/>
      <c r="BM8" s="70" t="s">
        <v>314</v>
      </c>
      <c r="BN8" s="70"/>
    </row>
    <row r="9" spans="1:66">
      <c r="A9" s="59">
        <v>4</v>
      </c>
      <c r="B9" s="108" t="s">
        <v>137</v>
      </c>
      <c r="C9" s="65">
        <v>8.5</v>
      </c>
      <c r="D9" s="81">
        <v>14</v>
      </c>
      <c r="E9" s="64">
        <f>IF(ISBLANK($D9),"0",IF(($D10-$D9)&lt;($C10-$C9),1,0))</f>
        <v>0</v>
      </c>
      <c r="F9" s="64">
        <f t="shared" ca="1" si="1"/>
        <v>39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 t="s">
        <v>314</v>
      </c>
      <c r="N9" s="69" t="s">
        <v>314</v>
      </c>
      <c r="O9" s="69" t="s">
        <v>314</v>
      </c>
      <c r="P9" s="69" t="s">
        <v>314</v>
      </c>
      <c r="Q9" s="69" t="s">
        <v>314</v>
      </c>
      <c r="R9" s="96"/>
      <c r="S9" s="96" t="s">
        <v>314</v>
      </c>
      <c r="T9" s="96" t="s">
        <v>314</v>
      </c>
      <c r="U9" s="96"/>
      <c r="V9" s="69" t="s">
        <v>314</v>
      </c>
      <c r="W9" s="69" t="s">
        <v>314</v>
      </c>
      <c r="X9" s="69" t="s">
        <v>314</v>
      </c>
      <c r="Y9" s="69" t="s">
        <v>314</v>
      </c>
      <c r="Z9" s="69" t="s">
        <v>314</v>
      </c>
      <c r="AA9" s="69" t="s">
        <v>314</v>
      </c>
      <c r="AB9" s="69" t="s">
        <v>314</v>
      </c>
      <c r="AC9" s="69"/>
      <c r="AD9" s="69"/>
      <c r="AE9" s="69" t="s">
        <v>314</v>
      </c>
      <c r="AF9" s="69" t="s">
        <v>314</v>
      </c>
      <c r="AG9" s="69"/>
      <c r="AH9" s="69"/>
      <c r="AI9" s="69" t="s">
        <v>314</v>
      </c>
      <c r="AJ9" s="69" t="s">
        <v>314</v>
      </c>
      <c r="AK9" s="69" t="s">
        <v>314</v>
      </c>
      <c r="AL9" s="69" t="s">
        <v>314</v>
      </c>
      <c r="AM9" s="69" t="s">
        <v>314</v>
      </c>
      <c r="AN9" s="69" t="s">
        <v>314</v>
      </c>
      <c r="AO9" s="69"/>
      <c r="AP9" s="69" t="s">
        <v>314</v>
      </c>
      <c r="AQ9" s="69" t="s">
        <v>314</v>
      </c>
      <c r="AR9" s="96" t="s">
        <v>314</v>
      </c>
      <c r="AS9" s="69"/>
      <c r="AT9" s="69" t="s">
        <v>314</v>
      </c>
      <c r="AU9" s="69" t="s">
        <v>314</v>
      </c>
      <c r="AV9" s="69" t="s">
        <v>314</v>
      </c>
      <c r="AW9" s="69" t="s">
        <v>314</v>
      </c>
      <c r="AX9" s="69"/>
      <c r="AY9" s="69"/>
      <c r="AZ9" s="69" t="s">
        <v>314</v>
      </c>
      <c r="BA9" s="69" t="s">
        <v>314</v>
      </c>
      <c r="BB9" s="69" t="s">
        <v>314</v>
      </c>
      <c r="BC9" s="69" t="s">
        <v>314</v>
      </c>
      <c r="BD9" s="69"/>
      <c r="BE9" s="96" t="s">
        <v>314</v>
      </c>
      <c r="BF9" s="69" t="s">
        <v>314</v>
      </c>
      <c r="BG9" s="69"/>
      <c r="BH9" s="69" t="s">
        <v>314</v>
      </c>
      <c r="BI9" s="69"/>
      <c r="BJ9" s="69" t="s">
        <v>314</v>
      </c>
      <c r="BK9" s="69"/>
      <c r="BL9" s="69" t="s">
        <v>314</v>
      </c>
      <c r="BM9" s="69"/>
      <c r="BN9" s="69"/>
    </row>
    <row r="10" spans="1:66">
      <c r="A10" s="61" t="s">
        <v>3</v>
      </c>
      <c r="B10" s="68" t="s">
        <v>205</v>
      </c>
      <c r="C10" s="66"/>
      <c r="D10" s="64">
        <v>16</v>
      </c>
      <c r="E10" s="64">
        <f>IF(ISBLANK($D10),"0",IF(($D10-$D9)&gt;($C10-$C9),1,0))</f>
        <v>1</v>
      </c>
      <c r="F10" s="64">
        <f t="shared" ca="1" si="1"/>
        <v>15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 t="s">
        <v>314</v>
      </c>
      <c r="V10" s="70"/>
      <c r="W10" s="70"/>
      <c r="X10" s="70"/>
      <c r="Y10" s="70"/>
      <c r="Z10" s="70"/>
      <c r="AA10" s="70"/>
      <c r="AB10" s="70"/>
      <c r="AC10" s="70" t="s">
        <v>314</v>
      </c>
      <c r="AD10" s="70" t="s">
        <v>314</v>
      </c>
      <c r="AE10" s="70"/>
      <c r="AF10" s="70"/>
      <c r="AG10" s="70" t="s">
        <v>314</v>
      </c>
      <c r="AH10" s="70" t="s">
        <v>314</v>
      </c>
      <c r="AI10" s="70"/>
      <c r="AJ10" s="70"/>
      <c r="AK10" s="70"/>
      <c r="AL10" s="70"/>
      <c r="AM10" s="70"/>
      <c r="AN10" s="70"/>
      <c r="AO10" s="70" t="s">
        <v>314</v>
      </c>
      <c r="AP10" s="70"/>
      <c r="AQ10" s="70"/>
      <c r="AR10" s="70"/>
      <c r="AS10" s="70" t="s">
        <v>314</v>
      </c>
      <c r="AT10" s="70"/>
      <c r="AU10" s="70"/>
      <c r="AV10" s="70"/>
      <c r="AW10" s="70"/>
      <c r="AX10" s="70" t="s">
        <v>314</v>
      </c>
      <c r="AY10" s="70" t="s">
        <v>314</v>
      </c>
      <c r="AZ10" s="70"/>
      <c r="BA10" s="70"/>
      <c r="BB10" s="70"/>
      <c r="BC10" s="70"/>
      <c r="BD10" s="70" t="s">
        <v>314</v>
      </c>
      <c r="BE10" s="70"/>
      <c r="BF10" s="70"/>
      <c r="BG10" s="70" t="s">
        <v>314</v>
      </c>
      <c r="BH10" s="70"/>
      <c r="BI10" s="70" t="s">
        <v>314</v>
      </c>
      <c r="BJ10" s="70"/>
      <c r="BK10" s="70" t="s">
        <v>314</v>
      </c>
      <c r="BL10" s="70"/>
      <c r="BM10" s="70" t="s">
        <v>314</v>
      </c>
      <c r="BN10" s="70" t="s">
        <v>314</v>
      </c>
    </row>
    <row r="11" spans="1:66">
      <c r="A11" s="59">
        <v>5</v>
      </c>
      <c r="B11" s="67" t="s">
        <v>243</v>
      </c>
      <c r="C11" s="65"/>
      <c r="D11" s="64">
        <v>24</v>
      </c>
      <c r="E11" s="64">
        <f>IF(ISBLANK($D11),"0",IF(($D12-$D11)&lt;($C12-$C11),1,0))</f>
        <v>0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314</v>
      </c>
      <c r="N11" s="69"/>
      <c r="O11" s="69"/>
      <c r="P11" s="69"/>
      <c r="Q11" s="69" t="s">
        <v>314</v>
      </c>
      <c r="R11" s="96"/>
      <c r="S11" s="96"/>
      <c r="T11" s="96" t="s">
        <v>314</v>
      </c>
      <c r="U11" s="69" t="s">
        <v>314</v>
      </c>
      <c r="V11" s="69"/>
      <c r="W11" s="69"/>
      <c r="X11" s="69" t="s">
        <v>314</v>
      </c>
      <c r="Y11" s="69"/>
      <c r="Z11" s="69"/>
      <c r="AA11" s="69"/>
      <c r="AB11" s="69" t="s">
        <v>314</v>
      </c>
      <c r="AC11" s="69"/>
      <c r="AD11" s="69"/>
      <c r="AE11" s="69"/>
      <c r="AF11" s="69"/>
      <c r="AG11" s="69" t="s">
        <v>314</v>
      </c>
      <c r="AH11" s="69" t="s">
        <v>314</v>
      </c>
      <c r="AI11" s="69"/>
      <c r="AJ11" s="69" t="s">
        <v>314</v>
      </c>
      <c r="AK11" s="69"/>
      <c r="AL11" s="69"/>
      <c r="AM11" s="69" t="s">
        <v>314</v>
      </c>
      <c r="AN11" s="69" t="s">
        <v>314</v>
      </c>
      <c r="AO11" s="69" t="s">
        <v>314</v>
      </c>
      <c r="AP11" s="69"/>
      <c r="AQ11" s="69"/>
      <c r="AR11" s="69" t="s">
        <v>314</v>
      </c>
      <c r="AS11" s="69"/>
      <c r="AT11" s="69" t="s">
        <v>314</v>
      </c>
      <c r="AU11" s="69" t="s">
        <v>314</v>
      </c>
      <c r="AV11" s="69" t="s">
        <v>314</v>
      </c>
      <c r="AW11" s="69" t="s">
        <v>314</v>
      </c>
      <c r="AX11" s="69" t="s">
        <v>314</v>
      </c>
      <c r="AY11" s="69"/>
      <c r="AZ11" s="69"/>
      <c r="BA11" s="69"/>
      <c r="BB11" s="69" t="s">
        <v>314</v>
      </c>
      <c r="BC11" s="69"/>
      <c r="BD11" s="69"/>
      <c r="BE11" s="96" t="s">
        <v>314</v>
      </c>
      <c r="BF11" s="69"/>
      <c r="BG11" s="69"/>
      <c r="BH11" s="69"/>
      <c r="BI11" s="69"/>
      <c r="BJ11" s="69"/>
      <c r="BK11" s="69" t="s">
        <v>314</v>
      </c>
      <c r="BL11" s="69" t="s">
        <v>314</v>
      </c>
      <c r="BM11" s="69"/>
      <c r="BN11" s="69"/>
    </row>
    <row r="12" spans="1:66">
      <c r="A12" s="61" t="s">
        <v>3</v>
      </c>
      <c r="B12" s="68" t="s">
        <v>188</v>
      </c>
      <c r="C12" s="66">
        <v>2.5</v>
      </c>
      <c r="D12" s="64">
        <v>31</v>
      </c>
      <c r="E12" s="64">
        <f>IF(ISBLANK($D12),"0",IF(($D12-$D11)&gt;($C12-$C11),1,0))</f>
        <v>1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/>
      <c r="M12" s="70"/>
      <c r="N12" s="70" t="s">
        <v>314</v>
      </c>
      <c r="O12" s="70" t="s">
        <v>314</v>
      </c>
      <c r="P12" s="70" t="s">
        <v>314</v>
      </c>
      <c r="Q12" s="70"/>
      <c r="R12" s="97"/>
      <c r="S12" s="97" t="s">
        <v>314</v>
      </c>
      <c r="T12" s="97"/>
      <c r="U12" s="97"/>
      <c r="V12" s="70" t="s">
        <v>314</v>
      </c>
      <c r="W12" s="70" t="s">
        <v>314</v>
      </c>
      <c r="X12" s="70"/>
      <c r="Y12" s="70" t="s">
        <v>314</v>
      </c>
      <c r="Z12" s="70" t="s">
        <v>314</v>
      </c>
      <c r="AA12" s="70" t="s">
        <v>314</v>
      </c>
      <c r="AB12" s="70"/>
      <c r="AC12" s="70" t="s">
        <v>314</v>
      </c>
      <c r="AD12" s="70" t="s">
        <v>314</v>
      </c>
      <c r="AE12" s="70" t="s">
        <v>314</v>
      </c>
      <c r="AF12" s="70" t="s">
        <v>314</v>
      </c>
      <c r="AG12" s="70"/>
      <c r="AH12" s="70"/>
      <c r="AI12" s="70" t="s">
        <v>314</v>
      </c>
      <c r="AJ12" s="70"/>
      <c r="AK12" s="70" t="s">
        <v>314</v>
      </c>
      <c r="AL12" s="70" t="s">
        <v>314</v>
      </c>
      <c r="AM12" s="70"/>
      <c r="AN12" s="70"/>
      <c r="AO12" s="70"/>
      <c r="AP12" s="70" t="s">
        <v>314</v>
      </c>
      <c r="AQ12" s="70" t="s">
        <v>314</v>
      </c>
      <c r="AR12" s="97"/>
      <c r="AS12" s="70" t="s">
        <v>314</v>
      </c>
      <c r="AT12" s="70"/>
      <c r="AU12" s="70"/>
      <c r="AV12" s="70"/>
      <c r="AW12" s="70"/>
      <c r="AX12" s="70"/>
      <c r="AY12" s="70" t="s">
        <v>314</v>
      </c>
      <c r="AZ12" s="70" t="s">
        <v>314</v>
      </c>
      <c r="BA12" s="70" t="s">
        <v>314</v>
      </c>
      <c r="BB12" s="70"/>
      <c r="BC12" s="70" t="s">
        <v>314</v>
      </c>
      <c r="BD12" s="70" t="s">
        <v>314</v>
      </c>
      <c r="BE12" s="70"/>
      <c r="BF12" s="70" t="s">
        <v>314</v>
      </c>
      <c r="BG12" s="70" t="s">
        <v>314</v>
      </c>
      <c r="BH12" s="70" t="s">
        <v>314</v>
      </c>
      <c r="BI12" s="70" t="s">
        <v>314</v>
      </c>
      <c r="BJ12" s="70" t="s">
        <v>314</v>
      </c>
      <c r="BK12" s="70"/>
      <c r="BL12" s="70"/>
      <c r="BM12" s="70" t="s">
        <v>314</v>
      </c>
      <c r="BN12" s="70" t="s">
        <v>314</v>
      </c>
    </row>
    <row r="13" spans="1:66">
      <c r="A13" s="59">
        <v>6</v>
      </c>
      <c r="B13" s="67" t="s">
        <v>148</v>
      </c>
      <c r="C13" s="65">
        <v>2.5</v>
      </c>
      <c r="D13" s="64">
        <v>33</v>
      </c>
      <c r="E13" s="64">
        <f>IF(ISBLANK($D13),"0",IF(($D14-$D13)&lt;($C14-$C13),1,0))</f>
        <v>1</v>
      </c>
      <c r="F13" s="64">
        <f t="shared" ca="1" si="1"/>
        <v>39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/>
      <c r="M13" s="69" t="s">
        <v>314</v>
      </c>
      <c r="N13" s="69" t="s">
        <v>314</v>
      </c>
      <c r="O13" s="69" t="s">
        <v>314</v>
      </c>
      <c r="P13" s="69" t="s">
        <v>314</v>
      </c>
      <c r="Q13" s="69" t="s">
        <v>314</v>
      </c>
      <c r="R13" s="96"/>
      <c r="S13" s="96"/>
      <c r="T13" s="96" t="s">
        <v>314</v>
      </c>
      <c r="U13" s="69"/>
      <c r="V13" s="69"/>
      <c r="W13" s="69" t="s">
        <v>314</v>
      </c>
      <c r="X13" s="69" t="s">
        <v>314</v>
      </c>
      <c r="Y13" s="69"/>
      <c r="Z13" s="69" t="s">
        <v>314</v>
      </c>
      <c r="AA13" s="69" t="s">
        <v>314</v>
      </c>
      <c r="AB13" s="69" t="s">
        <v>314</v>
      </c>
      <c r="AC13" s="69"/>
      <c r="AD13" s="69" t="s">
        <v>314</v>
      </c>
      <c r="AE13" s="69" t="s">
        <v>314</v>
      </c>
      <c r="AF13" s="69"/>
      <c r="AG13" s="69" t="s">
        <v>314</v>
      </c>
      <c r="AH13" s="69" t="s">
        <v>314</v>
      </c>
      <c r="AI13" s="69" t="s">
        <v>314</v>
      </c>
      <c r="AJ13" s="69" t="s">
        <v>314</v>
      </c>
      <c r="AK13" s="69" t="s">
        <v>314</v>
      </c>
      <c r="AL13" s="69"/>
      <c r="AM13" s="69"/>
      <c r="AN13" s="69" t="s">
        <v>314</v>
      </c>
      <c r="AO13" s="69"/>
      <c r="AP13" s="69" t="s">
        <v>314</v>
      </c>
      <c r="AQ13" s="69" t="s">
        <v>314</v>
      </c>
      <c r="AR13" s="96"/>
      <c r="AS13" s="69" t="s">
        <v>314</v>
      </c>
      <c r="AT13" s="69"/>
      <c r="AU13" s="69"/>
      <c r="AV13" s="69" t="s">
        <v>314</v>
      </c>
      <c r="AW13" s="69" t="s">
        <v>314</v>
      </c>
      <c r="AX13" s="69" t="s">
        <v>314</v>
      </c>
      <c r="AY13" s="69" t="s">
        <v>314</v>
      </c>
      <c r="AZ13" s="69" t="s">
        <v>314</v>
      </c>
      <c r="BA13" s="69" t="s">
        <v>314</v>
      </c>
      <c r="BB13" s="69" t="s">
        <v>314</v>
      </c>
      <c r="BC13" s="69" t="s">
        <v>314</v>
      </c>
      <c r="BD13" s="69"/>
      <c r="BE13" s="96" t="s">
        <v>314</v>
      </c>
      <c r="BF13" s="69" t="s">
        <v>314</v>
      </c>
      <c r="BG13" s="69" t="s">
        <v>314</v>
      </c>
      <c r="BH13" s="69"/>
      <c r="BI13" s="69" t="s">
        <v>314</v>
      </c>
      <c r="BJ13" s="69" t="s">
        <v>314</v>
      </c>
      <c r="BK13" s="69"/>
      <c r="BL13" s="69" t="s">
        <v>314</v>
      </c>
      <c r="BM13" s="69" t="s">
        <v>314</v>
      </c>
      <c r="BN13" s="69" t="s">
        <v>314</v>
      </c>
    </row>
    <row r="14" spans="1:66">
      <c r="A14" s="61" t="s">
        <v>3</v>
      </c>
      <c r="B14" s="68" t="s">
        <v>164</v>
      </c>
      <c r="C14" s="66"/>
      <c r="D14" s="64">
        <v>24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/>
      <c r="Q14" s="70"/>
      <c r="R14" s="97"/>
      <c r="S14" s="97" t="s">
        <v>314</v>
      </c>
      <c r="T14" s="97"/>
      <c r="U14" s="97" t="s">
        <v>314</v>
      </c>
      <c r="V14" s="70" t="s">
        <v>314</v>
      </c>
      <c r="W14" s="70"/>
      <c r="X14" s="70"/>
      <c r="Y14" s="70" t="s">
        <v>314</v>
      </c>
      <c r="Z14" s="70"/>
      <c r="AA14" s="70"/>
      <c r="AB14" s="70"/>
      <c r="AC14" s="70" t="s">
        <v>314</v>
      </c>
      <c r="AD14" s="70"/>
      <c r="AE14" s="70"/>
      <c r="AF14" s="70" t="s">
        <v>314</v>
      </c>
      <c r="AG14" s="70"/>
      <c r="AH14" s="70"/>
      <c r="AI14" s="70"/>
      <c r="AJ14" s="70"/>
      <c r="AK14" s="70"/>
      <c r="AL14" s="70" t="s">
        <v>314</v>
      </c>
      <c r="AM14" s="70" t="s">
        <v>314</v>
      </c>
      <c r="AN14" s="70"/>
      <c r="AO14" s="70" t="s">
        <v>314</v>
      </c>
      <c r="AP14" s="70"/>
      <c r="AQ14" s="70"/>
      <c r="AR14" s="70" t="s">
        <v>314</v>
      </c>
      <c r="AS14" s="70"/>
      <c r="AT14" s="70" t="s">
        <v>314</v>
      </c>
      <c r="AU14" s="70" t="s">
        <v>314</v>
      </c>
      <c r="AV14" s="70"/>
      <c r="AW14" s="70"/>
      <c r="AX14" s="70"/>
      <c r="AY14" s="70"/>
      <c r="AZ14" s="70"/>
      <c r="BA14" s="70"/>
      <c r="BB14" s="70"/>
      <c r="BC14" s="70"/>
      <c r="BD14" s="70" t="s">
        <v>314</v>
      </c>
      <c r="BE14" s="70"/>
      <c r="BF14" s="70"/>
      <c r="BG14" s="70"/>
      <c r="BH14" s="70" t="s">
        <v>314</v>
      </c>
      <c r="BI14" s="70"/>
      <c r="BJ14" s="70"/>
      <c r="BK14" s="70" t="s">
        <v>314</v>
      </c>
      <c r="BL14" s="70"/>
      <c r="BM14" s="70"/>
      <c r="BN14" s="70"/>
    </row>
    <row r="15" spans="1:66">
      <c r="A15" s="59">
        <v>7</v>
      </c>
      <c r="B15" s="67" t="s">
        <v>241</v>
      </c>
      <c r="C15" s="65"/>
      <c r="D15" s="64">
        <v>6</v>
      </c>
      <c r="E15" s="64">
        <f>IF(ISBLANK($D15),"0",IF(($D16-$D15)&lt;($C16-$C15),1,0))</f>
        <v>0</v>
      </c>
      <c r="F15" s="64">
        <f t="shared" ca="1" si="1"/>
        <v>11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/>
      <c r="Q15" s="69" t="s">
        <v>314</v>
      </c>
      <c r="R15" s="96"/>
      <c r="S15" s="96"/>
      <c r="T15" s="96"/>
      <c r="U15" s="96"/>
      <c r="V15" s="69"/>
      <c r="W15" s="69"/>
      <c r="X15" s="69" t="s">
        <v>314</v>
      </c>
      <c r="Y15" s="69"/>
      <c r="Z15" s="69"/>
      <c r="AA15" s="69"/>
      <c r="AB15" s="69"/>
      <c r="AC15" s="69"/>
      <c r="AD15" s="69"/>
      <c r="AE15" s="69"/>
      <c r="AF15" s="69"/>
      <c r="AG15" s="69"/>
      <c r="AH15" s="69" t="s">
        <v>314</v>
      </c>
      <c r="AI15" s="69" t="s">
        <v>314</v>
      </c>
      <c r="AJ15" s="69"/>
      <c r="AK15" s="69"/>
      <c r="AL15" s="69"/>
      <c r="AM15" s="69" t="s">
        <v>314</v>
      </c>
      <c r="AN15" s="69"/>
      <c r="AO15" s="69" t="s">
        <v>314</v>
      </c>
      <c r="AP15" s="69"/>
      <c r="AQ15" s="69"/>
      <c r="AR15" s="69"/>
      <c r="AS15" s="69"/>
      <c r="AT15" s="69"/>
      <c r="AU15" s="69"/>
      <c r="AV15" s="69" t="s">
        <v>314</v>
      </c>
      <c r="AW15" s="69"/>
      <c r="AX15" s="69"/>
      <c r="AY15" s="69"/>
      <c r="AZ15" s="69"/>
      <c r="BA15" s="69"/>
      <c r="BB15" s="69"/>
      <c r="BC15" s="69"/>
      <c r="BD15" s="69"/>
      <c r="BE15" s="96"/>
      <c r="BF15" s="69" t="s">
        <v>314</v>
      </c>
      <c r="BG15" s="69"/>
      <c r="BH15" s="69"/>
      <c r="BI15" s="69"/>
      <c r="BJ15" s="69" t="s">
        <v>314</v>
      </c>
      <c r="BK15" s="69" t="s">
        <v>314</v>
      </c>
      <c r="BL15" s="69" t="s">
        <v>314</v>
      </c>
      <c r="BM15" s="69"/>
      <c r="BN15" s="69"/>
    </row>
    <row r="16" spans="1:66">
      <c r="A16" s="61" t="s">
        <v>3</v>
      </c>
      <c r="B16" s="68" t="s">
        <v>159</v>
      </c>
      <c r="C16" s="66">
        <v>10.5</v>
      </c>
      <c r="D16" s="64">
        <v>52</v>
      </c>
      <c r="E16" s="64">
        <f>IF(ISBLANK($D16),"0",IF(($D16-$D15)&gt;($C16-$C15),1,0))</f>
        <v>1</v>
      </c>
      <c r="F16" s="64">
        <f t="shared" ca="1" si="1"/>
        <v>43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314</v>
      </c>
      <c r="L16" s="70"/>
      <c r="M16" s="70" t="s">
        <v>314</v>
      </c>
      <c r="N16" s="70" t="s">
        <v>314</v>
      </c>
      <c r="O16" s="70" t="s">
        <v>314</v>
      </c>
      <c r="P16" s="70" t="s">
        <v>314</v>
      </c>
      <c r="Q16" s="70"/>
      <c r="R16" s="70"/>
      <c r="S16" s="70" t="s">
        <v>314</v>
      </c>
      <c r="T16" s="70" t="s">
        <v>314</v>
      </c>
      <c r="U16" s="70" t="s">
        <v>314</v>
      </c>
      <c r="V16" s="70" t="s">
        <v>314</v>
      </c>
      <c r="W16" s="70" t="s">
        <v>314</v>
      </c>
      <c r="X16" s="70"/>
      <c r="Y16" s="70" t="s">
        <v>314</v>
      </c>
      <c r="Z16" s="70" t="s">
        <v>314</v>
      </c>
      <c r="AA16" s="70" t="s">
        <v>314</v>
      </c>
      <c r="AB16" s="70" t="s">
        <v>314</v>
      </c>
      <c r="AC16" s="70" t="s">
        <v>314</v>
      </c>
      <c r="AD16" s="70" t="s">
        <v>314</v>
      </c>
      <c r="AE16" s="70" t="s">
        <v>314</v>
      </c>
      <c r="AF16" s="70" t="s">
        <v>314</v>
      </c>
      <c r="AG16" s="70" t="s">
        <v>314</v>
      </c>
      <c r="AH16" s="70"/>
      <c r="AI16" s="70"/>
      <c r="AJ16" s="70" t="s">
        <v>314</v>
      </c>
      <c r="AK16" s="70" t="s">
        <v>314</v>
      </c>
      <c r="AL16" s="70" t="s">
        <v>314</v>
      </c>
      <c r="AM16" s="70"/>
      <c r="AN16" s="70" t="s">
        <v>314</v>
      </c>
      <c r="AO16" s="70"/>
      <c r="AP16" s="70" t="s">
        <v>314</v>
      </c>
      <c r="AQ16" s="70" t="s">
        <v>314</v>
      </c>
      <c r="AR16" s="97" t="s">
        <v>314</v>
      </c>
      <c r="AS16" s="70" t="s">
        <v>314</v>
      </c>
      <c r="AT16" s="70" t="s">
        <v>314</v>
      </c>
      <c r="AU16" s="70" t="s">
        <v>314</v>
      </c>
      <c r="AV16" s="70"/>
      <c r="AW16" s="70" t="s">
        <v>314</v>
      </c>
      <c r="AX16" s="70" t="s">
        <v>314</v>
      </c>
      <c r="AY16" s="70" t="s">
        <v>314</v>
      </c>
      <c r="AZ16" s="70" t="s">
        <v>314</v>
      </c>
      <c r="BA16" s="70" t="s">
        <v>314</v>
      </c>
      <c r="BB16" s="70" t="s">
        <v>314</v>
      </c>
      <c r="BC16" s="70" t="s">
        <v>314</v>
      </c>
      <c r="BD16" s="70" t="s">
        <v>314</v>
      </c>
      <c r="BE16" s="70" t="s">
        <v>314</v>
      </c>
      <c r="BF16" s="70"/>
      <c r="BG16" s="70" t="s">
        <v>314</v>
      </c>
      <c r="BH16" s="70" t="s">
        <v>314</v>
      </c>
      <c r="BI16" s="70" t="s">
        <v>314</v>
      </c>
      <c r="BJ16" s="70"/>
      <c r="BK16" s="70"/>
      <c r="BL16" s="70"/>
      <c r="BM16" s="70" t="s">
        <v>314</v>
      </c>
      <c r="BN16" s="70" t="s">
        <v>314</v>
      </c>
    </row>
    <row r="17" spans="1:66">
      <c r="A17" s="59">
        <v>8</v>
      </c>
      <c r="B17" s="67" t="s">
        <v>156</v>
      </c>
      <c r="C17" s="65">
        <v>7.5</v>
      </c>
      <c r="D17" s="64">
        <v>19</v>
      </c>
      <c r="E17" s="64">
        <f>IF(ISBLANK($D17),"0",IF(($D18-$D17)&lt;($C18-$C17),1,0))</f>
        <v>0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/>
      <c r="M17" s="69" t="s">
        <v>314</v>
      </c>
      <c r="N17" s="69" t="s">
        <v>314</v>
      </c>
      <c r="O17" s="69" t="s">
        <v>314</v>
      </c>
      <c r="P17" s="69" t="s">
        <v>314</v>
      </c>
      <c r="Q17" s="69" t="s">
        <v>314</v>
      </c>
      <c r="R17" s="69"/>
      <c r="S17" s="69" t="s">
        <v>314</v>
      </c>
      <c r="T17" s="69" t="s">
        <v>314</v>
      </c>
      <c r="U17" s="69" t="s">
        <v>314</v>
      </c>
      <c r="V17" s="69" t="s">
        <v>314</v>
      </c>
      <c r="W17" s="69" t="s">
        <v>314</v>
      </c>
      <c r="X17" s="69" t="s">
        <v>314</v>
      </c>
      <c r="Y17" s="69"/>
      <c r="Z17" s="69" t="s">
        <v>314</v>
      </c>
      <c r="AA17" s="69" t="s">
        <v>314</v>
      </c>
      <c r="AB17" s="69" t="s">
        <v>314</v>
      </c>
      <c r="AC17" s="69"/>
      <c r="AD17" s="69" t="s">
        <v>314</v>
      </c>
      <c r="AE17" s="69"/>
      <c r="AF17" s="69" t="s">
        <v>314</v>
      </c>
      <c r="AG17" s="69" t="s">
        <v>314</v>
      </c>
      <c r="AH17" s="69" t="s">
        <v>314</v>
      </c>
      <c r="AI17" s="69"/>
      <c r="AJ17" s="69" t="s">
        <v>314</v>
      </c>
      <c r="AK17" s="69" t="s">
        <v>314</v>
      </c>
      <c r="AL17" s="69" t="s">
        <v>314</v>
      </c>
      <c r="AM17" s="69" t="s">
        <v>314</v>
      </c>
      <c r="AN17" s="69" t="s">
        <v>314</v>
      </c>
      <c r="AO17" s="69" t="s">
        <v>314</v>
      </c>
      <c r="AP17" s="69" t="s">
        <v>314</v>
      </c>
      <c r="AQ17" s="69" t="s">
        <v>314</v>
      </c>
      <c r="AR17" s="96" t="s">
        <v>314</v>
      </c>
      <c r="AS17" s="69"/>
      <c r="AT17" s="69"/>
      <c r="AU17" s="69" t="s">
        <v>314</v>
      </c>
      <c r="AV17" s="69"/>
      <c r="AW17" s="69" t="s">
        <v>314</v>
      </c>
      <c r="AX17" s="69"/>
      <c r="AY17" s="69" t="s">
        <v>314</v>
      </c>
      <c r="AZ17" s="69"/>
      <c r="BA17" s="69"/>
      <c r="BB17" s="69" t="s">
        <v>314</v>
      </c>
      <c r="BC17" s="69" t="s">
        <v>314</v>
      </c>
      <c r="BD17" s="69" t="s">
        <v>314</v>
      </c>
      <c r="BE17" s="69" t="s">
        <v>314</v>
      </c>
      <c r="BF17" s="69" t="s">
        <v>314</v>
      </c>
      <c r="BG17" s="69"/>
      <c r="BH17" s="69"/>
      <c r="BI17" s="69"/>
      <c r="BJ17" s="69" t="s">
        <v>314</v>
      </c>
      <c r="BK17" s="69"/>
      <c r="BL17" s="69" t="s">
        <v>314</v>
      </c>
      <c r="BM17" s="69" t="s">
        <v>314</v>
      </c>
      <c r="BN17" s="69"/>
    </row>
    <row r="18" spans="1:66">
      <c r="A18" s="61" t="s">
        <v>3</v>
      </c>
      <c r="B18" s="68" t="s">
        <v>152</v>
      </c>
      <c r="C18" s="66"/>
      <c r="D18" s="64">
        <v>13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 t="s">
        <v>314</v>
      </c>
      <c r="Z18" s="70"/>
      <c r="AA18" s="70"/>
      <c r="AB18" s="70"/>
      <c r="AC18" s="70" t="s">
        <v>314</v>
      </c>
      <c r="AD18" s="70"/>
      <c r="AE18" s="70" t="s">
        <v>314</v>
      </c>
      <c r="AF18" s="70"/>
      <c r="AG18" s="70"/>
      <c r="AH18" s="70"/>
      <c r="AI18" s="70" t="s">
        <v>314</v>
      </c>
      <c r="AJ18" s="70"/>
      <c r="AK18" s="70"/>
      <c r="AL18" s="70"/>
      <c r="AM18" s="70"/>
      <c r="AN18" s="70"/>
      <c r="AO18" s="70"/>
      <c r="AP18" s="70"/>
      <c r="AQ18" s="70"/>
      <c r="AR18" s="70"/>
      <c r="AS18" s="70" t="s">
        <v>314</v>
      </c>
      <c r="AT18" s="70" t="s">
        <v>314</v>
      </c>
      <c r="AU18" s="70"/>
      <c r="AV18" s="70" t="s">
        <v>314</v>
      </c>
      <c r="AW18" s="70"/>
      <c r="AX18" s="70" t="s">
        <v>314</v>
      </c>
      <c r="AY18" s="70"/>
      <c r="AZ18" s="70" t="s">
        <v>314</v>
      </c>
      <c r="BA18" s="70" t="s">
        <v>314</v>
      </c>
      <c r="BB18" s="70"/>
      <c r="BC18" s="70"/>
      <c r="BD18" s="70"/>
      <c r="BE18" s="97"/>
      <c r="BF18" s="70"/>
      <c r="BG18" s="70" t="s">
        <v>314</v>
      </c>
      <c r="BH18" s="70" t="s">
        <v>314</v>
      </c>
      <c r="BI18" s="70" t="s">
        <v>314</v>
      </c>
      <c r="BJ18" s="70"/>
      <c r="BK18" s="70" t="s">
        <v>314</v>
      </c>
      <c r="BL18" s="70"/>
      <c r="BM18" s="70"/>
      <c r="BN18" s="70" t="s">
        <v>314</v>
      </c>
    </row>
    <row r="19" spans="1:66">
      <c r="A19" s="59">
        <v>9</v>
      </c>
      <c r="B19" s="67" t="s">
        <v>140</v>
      </c>
      <c r="C19" s="65">
        <v>4.5</v>
      </c>
      <c r="D19" s="64">
        <v>47</v>
      </c>
      <c r="E19" s="64">
        <f>IF(ISBLANK($D19),"0",IF(($D20-$D19)&lt;($C20-$C19),1,0))</f>
        <v>0</v>
      </c>
      <c r="F19" s="64">
        <f t="shared" ca="1" si="1"/>
        <v>28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314</v>
      </c>
      <c r="N19" s="69"/>
      <c r="O19" s="69" t="s">
        <v>314</v>
      </c>
      <c r="P19" s="69" t="s">
        <v>314</v>
      </c>
      <c r="Q19" s="69"/>
      <c r="R19" s="69"/>
      <c r="S19" s="69" t="s">
        <v>314</v>
      </c>
      <c r="T19" s="69" t="s">
        <v>314</v>
      </c>
      <c r="U19" s="96" t="s">
        <v>314</v>
      </c>
      <c r="V19" s="69"/>
      <c r="W19" s="69" t="s">
        <v>314</v>
      </c>
      <c r="X19" s="69"/>
      <c r="Y19" s="69" t="s">
        <v>314</v>
      </c>
      <c r="Z19" s="69"/>
      <c r="AA19" s="69"/>
      <c r="AB19" s="69"/>
      <c r="AC19" s="69"/>
      <c r="AD19" s="69" t="s">
        <v>314</v>
      </c>
      <c r="AE19" s="69" t="s">
        <v>314</v>
      </c>
      <c r="AF19" s="69"/>
      <c r="AG19" s="69" t="s">
        <v>314</v>
      </c>
      <c r="AH19" s="69"/>
      <c r="AI19" s="69"/>
      <c r="AJ19" s="69" t="s">
        <v>314</v>
      </c>
      <c r="AK19" s="69" t="s">
        <v>314</v>
      </c>
      <c r="AL19" s="69"/>
      <c r="AM19" s="69" t="s">
        <v>314</v>
      </c>
      <c r="AN19" s="69"/>
      <c r="AO19" s="69" t="s">
        <v>314</v>
      </c>
      <c r="AP19" s="69"/>
      <c r="AQ19" s="69" t="s">
        <v>314</v>
      </c>
      <c r="AR19" s="69"/>
      <c r="AS19" s="69" t="s">
        <v>314</v>
      </c>
      <c r="AT19" s="69" t="s">
        <v>314</v>
      </c>
      <c r="AU19" s="69" t="s">
        <v>314</v>
      </c>
      <c r="AV19" s="69"/>
      <c r="AW19" s="69"/>
      <c r="AX19" s="69"/>
      <c r="AY19" s="69" t="s">
        <v>314</v>
      </c>
      <c r="AZ19" s="69"/>
      <c r="BA19" s="69"/>
      <c r="BB19" s="69"/>
      <c r="BC19" s="69" t="s">
        <v>314</v>
      </c>
      <c r="BD19" s="69" t="s">
        <v>314</v>
      </c>
      <c r="BE19" s="69" t="s">
        <v>314</v>
      </c>
      <c r="BF19" s="69" t="s">
        <v>314</v>
      </c>
      <c r="BG19" s="69"/>
      <c r="BH19" s="69"/>
      <c r="BI19" s="69"/>
      <c r="BJ19" s="69" t="s">
        <v>314</v>
      </c>
      <c r="BK19" s="69"/>
      <c r="BL19" s="69" t="s">
        <v>314</v>
      </c>
      <c r="BM19" s="69" t="s">
        <v>314</v>
      </c>
      <c r="BN19" s="69" t="s">
        <v>314</v>
      </c>
    </row>
    <row r="20" spans="1:66">
      <c r="A20" s="61" t="s">
        <v>3</v>
      </c>
      <c r="B20" s="68" t="s">
        <v>187</v>
      </c>
      <c r="C20" s="66"/>
      <c r="D20" s="64">
        <v>50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/>
      <c r="M20" s="70"/>
      <c r="N20" s="70" t="s">
        <v>314</v>
      </c>
      <c r="O20" s="70"/>
      <c r="P20" s="70"/>
      <c r="Q20" s="70" t="s">
        <v>314</v>
      </c>
      <c r="R20" s="70"/>
      <c r="S20" s="70"/>
      <c r="T20" s="70"/>
      <c r="U20" s="70"/>
      <c r="V20" s="70" t="s">
        <v>314</v>
      </c>
      <c r="W20" s="70"/>
      <c r="X20" s="70" t="s">
        <v>314</v>
      </c>
      <c r="Y20" s="70"/>
      <c r="Z20" s="70" t="s">
        <v>314</v>
      </c>
      <c r="AA20" s="70" t="s">
        <v>314</v>
      </c>
      <c r="AB20" s="70" t="s">
        <v>314</v>
      </c>
      <c r="AC20" s="70" t="s">
        <v>314</v>
      </c>
      <c r="AD20" s="70"/>
      <c r="AE20" s="70"/>
      <c r="AF20" s="70" t="s">
        <v>314</v>
      </c>
      <c r="AG20" s="70"/>
      <c r="AH20" s="70" t="s">
        <v>314</v>
      </c>
      <c r="AI20" s="70" t="s">
        <v>314</v>
      </c>
      <c r="AJ20" s="70"/>
      <c r="AK20" s="70"/>
      <c r="AL20" s="70" t="s">
        <v>314</v>
      </c>
      <c r="AM20" s="70"/>
      <c r="AN20" s="70" t="s">
        <v>314</v>
      </c>
      <c r="AO20" s="70"/>
      <c r="AP20" s="70" t="s">
        <v>314</v>
      </c>
      <c r="AQ20" s="70"/>
      <c r="AR20" s="97" t="s">
        <v>314</v>
      </c>
      <c r="AS20" s="70"/>
      <c r="AT20" s="70"/>
      <c r="AU20" s="70"/>
      <c r="AV20" s="70" t="s">
        <v>314</v>
      </c>
      <c r="AW20" s="70" t="s">
        <v>314</v>
      </c>
      <c r="AX20" s="70" t="s">
        <v>314</v>
      </c>
      <c r="AY20" s="70"/>
      <c r="AZ20" s="70" t="s">
        <v>314</v>
      </c>
      <c r="BA20" s="70" t="s">
        <v>314</v>
      </c>
      <c r="BB20" s="70" t="s">
        <v>314</v>
      </c>
      <c r="BC20" s="70"/>
      <c r="BD20" s="70"/>
      <c r="BE20" s="97"/>
      <c r="BF20" s="70"/>
      <c r="BG20" s="70" t="s">
        <v>314</v>
      </c>
      <c r="BH20" s="70" t="s">
        <v>314</v>
      </c>
      <c r="BI20" s="70" t="s">
        <v>314</v>
      </c>
      <c r="BJ20" s="70"/>
      <c r="BK20" s="70" t="s">
        <v>314</v>
      </c>
      <c r="BL20" s="70"/>
      <c r="BM20" s="70"/>
      <c r="BN20" s="70"/>
    </row>
    <row r="21" spans="1:66">
      <c r="A21" s="59">
        <v>10</v>
      </c>
      <c r="B21" s="67" t="s">
        <v>248</v>
      </c>
      <c r="C21" s="65"/>
      <c r="D21" s="64">
        <v>34</v>
      </c>
      <c r="E21" s="64">
        <f>IF(ISBLANK($D21),"0",IF(($D22-$D21)&lt;($C22-$C21),1,0))</f>
        <v>0</v>
      </c>
      <c r="F21" s="64">
        <f t="shared" ca="1" si="1"/>
        <v>16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314</v>
      </c>
      <c r="L21" s="69"/>
      <c r="M21" s="69"/>
      <c r="N21" s="69"/>
      <c r="O21" s="69"/>
      <c r="P21" s="69"/>
      <c r="Q21" s="69"/>
      <c r="R21" s="69"/>
      <c r="S21" s="69" t="s">
        <v>314</v>
      </c>
      <c r="T21" s="69"/>
      <c r="U21" s="96"/>
      <c r="V21" s="69"/>
      <c r="W21" s="69"/>
      <c r="X21" s="69"/>
      <c r="Y21" s="69"/>
      <c r="Z21" s="69"/>
      <c r="AA21" s="69"/>
      <c r="AB21" s="69" t="s">
        <v>314</v>
      </c>
      <c r="AC21" s="69" t="s">
        <v>314</v>
      </c>
      <c r="AD21" s="69"/>
      <c r="AE21" s="69" t="s">
        <v>314</v>
      </c>
      <c r="AF21" s="69"/>
      <c r="AG21" s="69"/>
      <c r="AH21" s="69"/>
      <c r="AI21" s="69" t="s">
        <v>314</v>
      </c>
      <c r="AJ21" s="69"/>
      <c r="AK21" s="69"/>
      <c r="AL21" s="69"/>
      <c r="AM21" s="69"/>
      <c r="AN21" s="69" t="s">
        <v>314</v>
      </c>
      <c r="AO21" s="69"/>
      <c r="AP21" s="69"/>
      <c r="AQ21" s="69"/>
      <c r="AR21" s="96" t="s">
        <v>314</v>
      </c>
      <c r="AS21" s="69"/>
      <c r="AT21" s="69" t="s">
        <v>314</v>
      </c>
      <c r="AU21" s="69"/>
      <c r="AV21" s="69"/>
      <c r="AW21" s="69" t="s">
        <v>314</v>
      </c>
      <c r="AX21" s="69"/>
      <c r="AY21" s="69" t="s">
        <v>314</v>
      </c>
      <c r="AZ21" s="69"/>
      <c r="BA21" s="69" t="s">
        <v>314</v>
      </c>
      <c r="BB21" s="69"/>
      <c r="BC21" s="69" t="s">
        <v>314</v>
      </c>
      <c r="BD21" s="69"/>
      <c r="BE21" s="96" t="s">
        <v>314</v>
      </c>
      <c r="BF21" s="69"/>
      <c r="BG21" s="69" t="s">
        <v>314</v>
      </c>
      <c r="BH21" s="69"/>
      <c r="BI21" s="69"/>
      <c r="BJ21" s="69"/>
      <c r="BK21" s="69" t="s">
        <v>314</v>
      </c>
      <c r="BL21" s="69"/>
      <c r="BM21" s="69"/>
      <c r="BN21" s="69"/>
    </row>
    <row r="22" spans="1:66">
      <c r="A22" s="61" t="s">
        <v>3</v>
      </c>
      <c r="B22" s="68" t="s">
        <v>155</v>
      </c>
      <c r="C22" s="66">
        <v>3.5</v>
      </c>
      <c r="D22" s="64">
        <v>45</v>
      </c>
      <c r="E22" s="64">
        <f>IF(ISBLANK($D22),"0",IF(($D22-$D21)&gt;($C22-$C21),1,0))</f>
        <v>1</v>
      </c>
      <c r="F22" s="64">
        <f t="shared" ca="1" si="1"/>
        <v>38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/>
      <c r="M22" s="70" t="s">
        <v>314</v>
      </c>
      <c r="N22" s="70" t="s">
        <v>314</v>
      </c>
      <c r="O22" s="70" t="s">
        <v>314</v>
      </c>
      <c r="P22" s="70" t="s">
        <v>314</v>
      </c>
      <c r="Q22" s="70" t="s">
        <v>314</v>
      </c>
      <c r="R22" s="70"/>
      <c r="S22" s="70"/>
      <c r="T22" s="70" t="s">
        <v>314</v>
      </c>
      <c r="U22" s="70" t="s">
        <v>314</v>
      </c>
      <c r="V22" s="70" t="s">
        <v>314</v>
      </c>
      <c r="W22" s="70" t="s">
        <v>314</v>
      </c>
      <c r="X22" s="70" t="s">
        <v>314</v>
      </c>
      <c r="Y22" s="70" t="s">
        <v>314</v>
      </c>
      <c r="Z22" s="70" t="s">
        <v>314</v>
      </c>
      <c r="AA22" s="70" t="s">
        <v>314</v>
      </c>
      <c r="AB22" s="70"/>
      <c r="AC22" s="70"/>
      <c r="AD22" s="70" t="s">
        <v>314</v>
      </c>
      <c r="AE22" s="70"/>
      <c r="AF22" s="70" t="s">
        <v>314</v>
      </c>
      <c r="AG22" s="70" t="s">
        <v>314</v>
      </c>
      <c r="AH22" s="70" t="s">
        <v>314</v>
      </c>
      <c r="AI22" s="70"/>
      <c r="AJ22" s="70" t="s">
        <v>314</v>
      </c>
      <c r="AK22" s="70" t="s">
        <v>314</v>
      </c>
      <c r="AL22" s="70" t="s">
        <v>314</v>
      </c>
      <c r="AM22" s="70" t="s">
        <v>314</v>
      </c>
      <c r="AN22" s="70"/>
      <c r="AO22" s="70" t="s">
        <v>314</v>
      </c>
      <c r="AP22" s="70" t="s">
        <v>314</v>
      </c>
      <c r="AQ22" s="70" t="s">
        <v>314</v>
      </c>
      <c r="AR22" s="70"/>
      <c r="AS22" s="70" t="s">
        <v>314</v>
      </c>
      <c r="AT22" s="70"/>
      <c r="AU22" s="70" t="s">
        <v>314</v>
      </c>
      <c r="AV22" s="70" t="s">
        <v>314</v>
      </c>
      <c r="AW22" s="70"/>
      <c r="AX22" s="70" t="s">
        <v>314</v>
      </c>
      <c r="AY22" s="70"/>
      <c r="AZ22" s="70" t="s">
        <v>314</v>
      </c>
      <c r="BA22" s="70"/>
      <c r="BB22" s="70" t="s">
        <v>314</v>
      </c>
      <c r="BC22" s="70"/>
      <c r="BD22" s="70" t="s">
        <v>314</v>
      </c>
      <c r="BE22" s="70"/>
      <c r="BF22" s="70" t="s">
        <v>314</v>
      </c>
      <c r="BG22" s="70"/>
      <c r="BH22" s="70" t="s">
        <v>314</v>
      </c>
      <c r="BI22" s="70" t="s">
        <v>314</v>
      </c>
      <c r="BJ22" s="70" t="s">
        <v>314</v>
      </c>
      <c r="BK22" s="70"/>
      <c r="BL22" s="70" t="s">
        <v>314</v>
      </c>
      <c r="BM22" s="70" t="s">
        <v>314</v>
      </c>
      <c r="BN22" s="70" t="s">
        <v>314</v>
      </c>
    </row>
    <row r="23" spans="1:66">
      <c r="A23" s="59"/>
      <c r="B23" s="67" t="str">
        <f>B21&amp; " - score"</f>
        <v>Mississippi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24</v>
      </c>
      <c r="L23" s="78"/>
      <c r="M23" s="78">
        <v>21</v>
      </c>
      <c r="N23" s="80">
        <v>20</v>
      </c>
      <c r="O23" s="78">
        <v>17</v>
      </c>
      <c r="P23" s="78">
        <v>21</v>
      </c>
      <c r="Q23" s="78">
        <v>28</v>
      </c>
      <c r="R23" s="78"/>
      <c r="S23" s="78">
        <v>35</v>
      </c>
      <c r="T23" s="78">
        <v>17</v>
      </c>
      <c r="U23" s="78">
        <v>21</v>
      </c>
      <c r="V23" s="78">
        <v>14</v>
      </c>
      <c r="W23" s="78">
        <v>17</v>
      </c>
      <c r="X23" s="78">
        <v>10</v>
      </c>
      <c r="Y23" s="78">
        <v>21</v>
      </c>
      <c r="Z23" s="78">
        <v>17</v>
      </c>
      <c r="AA23" s="78">
        <v>17</v>
      </c>
      <c r="AB23" s="78">
        <v>45</v>
      </c>
      <c r="AC23" s="78">
        <v>33</v>
      </c>
      <c r="AD23" s="78">
        <v>41</v>
      </c>
      <c r="AE23" s="78">
        <v>44</v>
      </c>
      <c r="AF23" s="78">
        <v>27</v>
      </c>
      <c r="AG23" s="78">
        <v>24</v>
      </c>
      <c r="AH23" s="78">
        <v>24</v>
      </c>
      <c r="AI23" s="78">
        <v>30</v>
      </c>
      <c r="AJ23" s="78">
        <v>17</v>
      </c>
      <c r="AK23" s="78">
        <v>23</v>
      </c>
      <c r="AL23" s="78">
        <v>28</v>
      </c>
      <c r="AM23" s="78">
        <v>24</v>
      </c>
      <c r="AN23" s="78">
        <v>31</v>
      </c>
      <c r="AO23" s="78">
        <v>17</v>
      </c>
      <c r="AP23" s="78">
        <v>13</v>
      </c>
      <c r="AQ23" s="78">
        <v>16</v>
      </c>
      <c r="AR23" s="78">
        <v>27</v>
      </c>
      <c r="AS23" s="78">
        <v>24</v>
      </c>
      <c r="AT23" s="78">
        <v>30</v>
      </c>
      <c r="AU23" s="78">
        <v>7</v>
      </c>
      <c r="AV23" s="78">
        <v>21</v>
      </c>
      <c r="AW23" s="78">
        <v>24</v>
      </c>
      <c r="AX23" s="78">
        <v>23</v>
      </c>
      <c r="AY23" s="78">
        <v>31</v>
      </c>
      <c r="AZ23" s="78">
        <v>24</v>
      </c>
      <c r="BA23" s="78">
        <v>21</v>
      </c>
      <c r="BB23" s="78">
        <v>17</v>
      </c>
      <c r="BC23" s="78">
        <v>14</v>
      </c>
      <c r="BD23" s="78">
        <v>27</v>
      </c>
      <c r="BE23" s="78">
        <v>38</v>
      </c>
      <c r="BF23" s="78">
        <v>41</v>
      </c>
      <c r="BG23" s="78">
        <v>28</v>
      </c>
      <c r="BH23" s="78">
        <v>23</v>
      </c>
      <c r="BI23" s="78">
        <v>21</v>
      </c>
      <c r="BJ23" s="78">
        <v>31</v>
      </c>
      <c r="BK23" s="78">
        <v>28</v>
      </c>
      <c r="BL23" s="78">
        <v>38</v>
      </c>
      <c r="BM23" s="78">
        <v>20</v>
      </c>
      <c r="BN23" s="78">
        <v>14</v>
      </c>
    </row>
    <row r="24" spans="1:66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/>
      <c r="K24" s="79">
        <v>21</v>
      </c>
      <c r="L24" s="79"/>
      <c r="M24" s="79">
        <v>35</v>
      </c>
      <c r="N24" s="79">
        <v>38</v>
      </c>
      <c r="O24" s="79">
        <v>31</v>
      </c>
      <c r="P24" s="79">
        <v>35</v>
      </c>
      <c r="Q24" s="79">
        <v>35</v>
      </c>
      <c r="R24" s="79"/>
      <c r="S24" s="79">
        <v>32</v>
      </c>
      <c r="T24" s="79">
        <v>38</v>
      </c>
      <c r="U24" s="79">
        <v>35</v>
      </c>
      <c r="V24" s="79">
        <v>21</v>
      </c>
      <c r="W24" s="79">
        <v>23</v>
      </c>
      <c r="X24" s="79">
        <v>35</v>
      </c>
      <c r="Y24" s="79">
        <v>35</v>
      </c>
      <c r="Z24" s="79">
        <v>24</v>
      </c>
      <c r="AA24" s="79">
        <v>28</v>
      </c>
      <c r="AB24" s="79">
        <v>42</v>
      </c>
      <c r="AC24" s="79">
        <v>21</v>
      </c>
      <c r="AD24" s="79">
        <v>45</v>
      </c>
      <c r="AE24" s="79">
        <v>35</v>
      </c>
      <c r="AF24" s="79">
        <v>31</v>
      </c>
      <c r="AG24" s="79">
        <v>31</v>
      </c>
      <c r="AH24" s="79">
        <v>33</v>
      </c>
      <c r="AI24" s="79">
        <v>23</v>
      </c>
      <c r="AJ24" s="79">
        <v>27</v>
      </c>
      <c r="AK24" s="79">
        <v>30</v>
      </c>
      <c r="AL24" s="79">
        <v>35</v>
      </c>
      <c r="AM24" s="79">
        <v>28</v>
      </c>
      <c r="AN24" s="79">
        <v>28</v>
      </c>
      <c r="AO24" s="79">
        <v>34</v>
      </c>
      <c r="AP24" s="79">
        <v>21</v>
      </c>
      <c r="AQ24" s="79">
        <v>24</v>
      </c>
      <c r="AR24" s="79">
        <v>30</v>
      </c>
      <c r="AS24" s="79">
        <v>38</v>
      </c>
      <c r="AT24" s="79">
        <v>31</v>
      </c>
      <c r="AU24" s="79">
        <v>14</v>
      </c>
      <c r="AV24" s="79">
        <v>31</v>
      </c>
      <c r="AW24" s="79">
        <v>21</v>
      </c>
      <c r="AX24" s="79">
        <v>41</v>
      </c>
      <c r="AY24" s="79">
        <v>20</v>
      </c>
      <c r="AZ24" s="79">
        <v>30</v>
      </c>
      <c r="BA24" s="79">
        <v>14</v>
      </c>
      <c r="BB24" s="79">
        <v>35</v>
      </c>
      <c r="BC24" s="79">
        <v>10</v>
      </c>
      <c r="BD24" s="79">
        <v>35</v>
      </c>
      <c r="BE24" s="79">
        <v>31</v>
      </c>
      <c r="BF24" s="79">
        <v>48</v>
      </c>
      <c r="BG24" s="79">
        <v>18</v>
      </c>
      <c r="BH24" s="79">
        <v>34</v>
      </c>
      <c r="BI24" s="79">
        <v>28</v>
      </c>
      <c r="BJ24" s="79">
        <v>38</v>
      </c>
      <c r="BK24" s="79">
        <v>31</v>
      </c>
      <c r="BL24" s="79">
        <v>45</v>
      </c>
      <c r="BM24" s="79">
        <v>27</v>
      </c>
      <c r="BN24" s="79">
        <v>28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4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5</v>
      </c>
      <c r="P25" s="36">
        <f t="shared" si="3"/>
        <v>5</v>
      </c>
      <c r="Q25" s="36">
        <f t="shared" si="3"/>
        <v>4</v>
      </c>
      <c r="R25" s="36">
        <f t="shared" si="3"/>
        <v>0</v>
      </c>
      <c r="S25" s="36">
        <f t="shared" si="3"/>
        <v>3</v>
      </c>
      <c r="T25" s="36">
        <f t="shared" si="3"/>
        <v>4</v>
      </c>
      <c r="U25" s="36">
        <f t="shared" si="3"/>
        <v>4</v>
      </c>
      <c r="V25" s="36">
        <f t="shared" si="3"/>
        <v>6</v>
      </c>
      <c r="W25" s="36">
        <f t="shared" si="3"/>
        <v>5</v>
      </c>
      <c r="X25" s="36">
        <f t="shared" si="3"/>
        <v>3</v>
      </c>
      <c r="Y25" s="36">
        <f t="shared" si="3"/>
        <v>4</v>
      </c>
      <c r="Z25" s="36">
        <f t="shared" si="3"/>
        <v>7</v>
      </c>
      <c r="AA25" s="36">
        <f t="shared" si="3"/>
        <v>5</v>
      </c>
      <c r="AB25" s="36">
        <f t="shared" si="3"/>
        <v>4</v>
      </c>
      <c r="AC25" s="36">
        <f t="shared" si="3"/>
        <v>6</v>
      </c>
      <c r="AD25" s="36">
        <f t="shared" si="3"/>
        <v>6</v>
      </c>
      <c r="AE25" s="36">
        <f t="shared" si="3"/>
        <v>6</v>
      </c>
      <c r="AF25" s="36">
        <f t="shared" si="3"/>
        <v>4</v>
      </c>
      <c r="AG25" s="36">
        <f t="shared" si="3"/>
        <v>5</v>
      </c>
      <c r="AH25" s="36">
        <f t="shared" si="3"/>
        <v>6</v>
      </c>
      <c r="AI25" s="36">
        <f t="shared" si="3"/>
        <v>4</v>
      </c>
      <c r="AJ25" s="36">
        <f t="shared" si="3"/>
        <v>5</v>
      </c>
      <c r="AK25" s="36">
        <f t="shared" si="3"/>
        <v>7</v>
      </c>
      <c r="AL25" s="36">
        <f t="shared" si="3"/>
        <v>5</v>
      </c>
      <c r="AM25" s="36">
        <f t="shared" si="3"/>
        <v>2</v>
      </c>
      <c r="AN25" s="36">
        <f t="shared" si="3"/>
        <v>4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3</v>
      </c>
      <c r="AS25" s="36">
        <f t="shared" si="3"/>
        <v>9</v>
      </c>
      <c r="AT25" s="36">
        <f t="shared" si="3"/>
        <v>4</v>
      </c>
      <c r="AU25" s="36">
        <f t="shared" si="3"/>
        <v>4</v>
      </c>
      <c r="AV25" s="36">
        <f t="shared" si="3"/>
        <v>5</v>
      </c>
      <c r="AW25" s="36">
        <f t="shared" si="3"/>
        <v>4</v>
      </c>
      <c r="AX25" s="36">
        <f t="shared" si="3"/>
        <v>8</v>
      </c>
      <c r="AY25" s="36">
        <f t="shared" si="3"/>
        <v>6</v>
      </c>
      <c r="AZ25" s="36">
        <f t="shared" si="3"/>
        <v>8</v>
      </c>
      <c r="BA25" s="36">
        <f t="shared" si="3"/>
        <v>8</v>
      </c>
      <c r="BB25" s="36">
        <f t="shared" si="3"/>
        <v>5</v>
      </c>
      <c r="BC25" s="36">
        <f t="shared" si="3"/>
        <v>4</v>
      </c>
      <c r="BD25" s="36">
        <f t="shared" si="3"/>
        <v>6</v>
      </c>
      <c r="BE25" s="36">
        <f t="shared" si="3"/>
        <v>3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4</v>
      </c>
      <c r="BG25" s="36">
        <f t="shared" si="4"/>
        <v>6</v>
      </c>
      <c r="BH25" s="36">
        <f t="shared" si="4"/>
        <v>6</v>
      </c>
      <c r="BI25" s="36">
        <f t="shared" si="4"/>
        <v>9</v>
      </c>
      <c r="BJ25" s="36">
        <f t="shared" si="4"/>
        <v>3</v>
      </c>
      <c r="BK25" s="36">
        <f t="shared" si="4"/>
        <v>6</v>
      </c>
      <c r="BL25" s="36">
        <f t="shared" si="4"/>
        <v>3</v>
      </c>
      <c r="BM25" s="36">
        <f t="shared" ref="BM25:BN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7</v>
      </c>
      <c r="BN25" s="36">
        <f t="shared" si="5"/>
        <v>7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AP26" si="6">ABS((K23-K24)-($D21-$D22))</f>
        <v>14</v>
      </c>
      <c r="L26" s="71">
        <f t="shared" si="6"/>
        <v>11</v>
      </c>
      <c r="M26" s="71">
        <f t="shared" si="6"/>
        <v>3</v>
      </c>
      <c r="N26" s="71">
        <f t="shared" si="6"/>
        <v>7</v>
      </c>
      <c r="O26" s="71">
        <f t="shared" si="6"/>
        <v>3</v>
      </c>
      <c r="P26" s="71">
        <f t="shared" si="6"/>
        <v>3</v>
      </c>
      <c r="Q26" s="71">
        <f t="shared" si="6"/>
        <v>4</v>
      </c>
      <c r="R26" s="71">
        <f t="shared" si="6"/>
        <v>11</v>
      </c>
      <c r="S26" s="71">
        <f t="shared" si="6"/>
        <v>14</v>
      </c>
      <c r="T26" s="71">
        <f t="shared" si="6"/>
        <v>10</v>
      </c>
      <c r="U26" s="71">
        <f t="shared" si="6"/>
        <v>3</v>
      </c>
      <c r="V26" s="71">
        <f t="shared" si="6"/>
        <v>4</v>
      </c>
      <c r="W26" s="71">
        <f t="shared" si="6"/>
        <v>5</v>
      </c>
      <c r="X26" s="71">
        <f t="shared" si="6"/>
        <v>14</v>
      </c>
      <c r="Y26" s="71">
        <f t="shared" si="6"/>
        <v>3</v>
      </c>
      <c r="Z26" s="71">
        <f t="shared" si="6"/>
        <v>4</v>
      </c>
      <c r="AA26" s="71">
        <f t="shared" si="6"/>
        <v>0</v>
      </c>
      <c r="AB26" s="71">
        <f t="shared" si="6"/>
        <v>14</v>
      </c>
      <c r="AC26" s="71">
        <f t="shared" si="6"/>
        <v>23</v>
      </c>
      <c r="AD26" s="71">
        <f t="shared" si="6"/>
        <v>7</v>
      </c>
      <c r="AE26" s="71">
        <f t="shared" si="6"/>
        <v>20</v>
      </c>
      <c r="AF26" s="71">
        <f t="shared" si="6"/>
        <v>7</v>
      </c>
      <c r="AG26" s="71">
        <f t="shared" si="6"/>
        <v>4</v>
      </c>
      <c r="AH26" s="71">
        <f t="shared" si="6"/>
        <v>2</v>
      </c>
      <c r="AI26" s="71">
        <f t="shared" si="6"/>
        <v>18</v>
      </c>
      <c r="AJ26" s="71">
        <f t="shared" si="6"/>
        <v>1</v>
      </c>
      <c r="AK26" s="71">
        <f t="shared" si="6"/>
        <v>4</v>
      </c>
      <c r="AL26" s="71">
        <f t="shared" si="6"/>
        <v>4</v>
      </c>
      <c r="AM26" s="71">
        <f t="shared" si="6"/>
        <v>7</v>
      </c>
      <c r="AN26" s="71">
        <f t="shared" si="6"/>
        <v>14</v>
      </c>
      <c r="AO26" s="71">
        <f t="shared" si="6"/>
        <v>6</v>
      </c>
      <c r="AP26" s="71">
        <f t="shared" si="6"/>
        <v>3</v>
      </c>
      <c r="AQ26" s="71">
        <f t="shared" ref="AQ26:BN26" si="7">ABS((AQ23-AQ24)-($D21-$D22))</f>
        <v>3</v>
      </c>
      <c r="AR26" s="71">
        <f t="shared" si="7"/>
        <v>8</v>
      </c>
      <c r="AS26" s="71">
        <f t="shared" si="7"/>
        <v>3</v>
      </c>
      <c r="AT26" s="71">
        <f t="shared" si="7"/>
        <v>10</v>
      </c>
      <c r="AU26" s="71">
        <f t="shared" si="7"/>
        <v>4</v>
      </c>
      <c r="AV26" s="71">
        <f t="shared" si="7"/>
        <v>1</v>
      </c>
      <c r="AW26" s="71">
        <f t="shared" si="7"/>
        <v>14</v>
      </c>
      <c r="AX26" s="71">
        <f t="shared" si="7"/>
        <v>7</v>
      </c>
      <c r="AY26" s="71">
        <f t="shared" si="7"/>
        <v>22</v>
      </c>
      <c r="AZ26" s="71">
        <f t="shared" si="7"/>
        <v>5</v>
      </c>
      <c r="BA26" s="71">
        <f t="shared" si="7"/>
        <v>18</v>
      </c>
      <c r="BB26" s="71">
        <f t="shared" si="7"/>
        <v>7</v>
      </c>
      <c r="BC26" s="71">
        <f t="shared" si="7"/>
        <v>15</v>
      </c>
      <c r="BD26" s="71">
        <f t="shared" si="7"/>
        <v>3</v>
      </c>
      <c r="BE26" s="71">
        <f t="shared" si="7"/>
        <v>18</v>
      </c>
      <c r="BF26" s="71">
        <f t="shared" si="7"/>
        <v>4</v>
      </c>
      <c r="BG26" s="71">
        <f t="shared" si="7"/>
        <v>21</v>
      </c>
      <c r="BH26" s="71">
        <f t="shared" si="7"/>
        <v>0</v>
      </c>
      <c r="BI26" s="71">
        <f t="shared" si="7"/>
        <v>4</v>
      </c>
      <c r="BJ26" s="71">
        <f t="shared" si="7"/>
        <v>4</v>
      </c>
      <c r="BK26" s="71">
        <f t="shared" si="7"/>
        <v>8</v>
      </c>
      <c r="BL26" s="71">
        <f t="shared" si="7"/>
        <v>4</v>
      </c>
      <c r="BM26" s="71">
        <f t="shared" si="7"/>
        <v>4</v>
      </c>
      <c r="BN26" s="71">
        <f t="shared" si="7"/>
        <v>3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AP27" si="8">ABS(($D21+$D22)-(K23+K24))</f>
        <v>34</v>
      </c>
      <c r="L27" s="71">
        <f t="shared" si="8"/>
        <v>79</v>
      </c>
      <c r="M27" s="71">
        <f t="shared" si="8"/>
        <v>23</v>
      </c>
      <c r="N27" s="71">
        <f t="shared" si="8"/>
        <v>21</v>
      </c>
      <c r="O27" s="71">
        <f t="shared" si="8"/>
        <v>31</v>
      </c>
      <c r="P27" s="71">
        <f t="shared" si="8"/>
        <v>23</v>
      </c>
      <c r="Q27" s="71">
        <f t="shared" si="8"/>
        <v>16</v>
      </c>
      <c r="R27" s="71">
        <f t="shared" si="8"/>
        <v>79</v>
      </c>
      <c r="S27" s="71">
        <f t="shared" si="8"/>
        <v>12</v>
      </c>
      <c r="T27" s="71">
        <f t="shared" si="8"/>
        <v>24</v>
      </c>
      <c r="U27" s="71">
        <f t="shared" si="8"/>
        <v>23</v>
      </c>
      <c r="V27" s="71">
        <f t="shared" si="8"/>
        <v>44</v>
      </c>
      <c r="W27" s="71">
        <f t="shared" si="8"/>
        <v>39</v>
      </c>
      <c r="X27" s="71">
        <f t="shared" si="8"/>
        <v>34</v>
      </c>
      <c r="Y27" s="71">
        <f t="shared" si="8"/>
        <v>23</v>
      </c>
      <c r="Z27" s="71">
        <f t="shared" si="8"/>
        <v>38</v>
      </c>
      <c r="AA27" s="71">
        <f t="shared" si="8"/>
        <v>34</v>
      </c>
      <c r="AB27" s="71">
        <f t="shared" si="8"/>
        <v>8</v>
      </c>
      <c r="AC27" s="71">
        <f t="shared" si="8"/>
        <v>25</v>
      </c>
      <c r="AD27" s="71">
        <f t="shared" si="8"/>
        <v>7</v>
      </c>
      <c r="AE27" s="71">
        <f t="shared" si="8"/>
        <v>0</v>
      </c>
      <c r="AF27" s="71">
        <f t="shared" si="8"/>
        <v>21</v>
      </c>
      <c r="AG27" s="71">
        <f t="shared" si="8"/>
        <v>24</v>
      </c>
      <c r="AH27" s="71">
        <f t="shared" si="8"/>
        <v>22</v>
      </c>
      <c r="AI27" s="71">
        <f t="shared" si="8"/>
        <v>26</v>
      </c>
      <c r="AJ27" s="71">
        <f t="shared" si="8"/>
        <v>35</v>
      </c>
      <c r="AK27" s="71">
        <f t="shared" si="8"/>
        <v>26</v>
      </c>
      <c r="AL27" s="71">
        <f t="shared" si="8"/>
        <v>16</v>
      </c>
      <c r="AM27" s="71">
        <f t="shared" si="8"/>
        <v>27</v>
      </c>
      <c r="AN27" s="71">
        <f t="shared" si="8"/>
        <v>20</v>
      </c>
      <c r="AO27" s="71">
        <f t="shared" si="8"/>
        <v>28</v>
      </c>
      <c r="AP27" s="71">
        <f t="shared" si="8"/>
        <v>45</v>
      </c>
      <c r="AQ27" s="71">
        <f t="shared" ref="AQ27:BN27" si="9">ABS(($D21+$D22)-(AQ23+AQ24))</f>
        <v>39</v>
      </c>
      <c r="AR27" s="71">
        <f t="shared" si="9"/>
        <v>22</v>
      </c>
      <c r="AS27" s="71">
        <f t="shared" si="9"/>
        <v>17</v>
      </c>
      <c r="AT27" s="71">
        <f t="shared" si="9"/>
        <v>18</v>
      </c>
      <c r="AU27" s="71">
        <f t="shared" si="9"/>
        <v>58</v>
      </c>
      <c r="AV27" s="71">
        <f t="shared" si="9"/>
        <v>27</v>
      </c>
      <c r="AW27" s="71">
        <f t="shared" si="9"/>
        <v>34</v>
      </c>
      <c r="AX27" s="71">
        <f t="shared" si="9"/>
        <v>15</v>
      </c>
      <c r="AY27" s="71">
        <f t="shared" si="9"/>
        <v>28</v>
      </c>
      <c r="AZ27" s="71">
        <f t="shared" si="9"/>
        <v>25</v>
      </c>
      <c r="BA27" s="71">
        <f t="shared" si="9"/>
        <v>44</v>
      </c>
      <c r="BB27" s="71">
        <f t="shared" si="9"/>
        <v>27</v>
      </c>
      <c r="BC27" s="71">
        <f t="shared" si="9"/>
        <v>55</v>
      </c>
      <c r="BD27" s="71">
        <f t="shared" si="9"/>
        <v>17</v>
      </c>
      <c r="BE27" s="71">
        <f t="shared" si="9"/>
        <v>10</v>
      </c>
      <c r="BF27" s="71">
        <f t="shared" si="9"/>
        <v>10</v>
      </c>
      <c r="BG27" s="71">
        <f t="shared" si="9"/>
        <v>33</v>
      </c>
      <c r="BH27" s="71">
        <f t="shared" si="9"/>
        <v>22</v>
      </c>
      <c r="BI27" s="71">
        <f t="shared" si="9"/>
        <v>30</v>
      </c>
      <c r="BJ27" s="71">
        <f t="shared" si="9"/>
        <v>10</v>
      </c>
      <c r="BK27" s="71">
        <f t="shared" si="9"/>
        <v>20</v>
      </c>
      <c r="BL27" s="71">
        <f t="shared" si="9"/>
        <v>4</v>
      </c>
      <c r="BM27" s="71">
        <f t="shared" si="9"/>
        <v>32</v>
      </c>
      <c r="BN27" s="71">
        <f t="shared" si="9"/>
        <v>37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AP28" ca="1" si="10">IF(COUNTA($D$3:$D$22)&lt;2,"",IF(K36=MAX(INDIRECT("R36C11:R36C"&amp;11+playercnt-1,FALSE)),1,""))</f>
        <v/>
      </c>
      <c r="L28" s="72" t="str">
        <f t="shared" ca="1" si="10"/>
        <v/>
      </c>
      <c r="M28" s="72" t="str">
        <f t="shared" ca="1" si="10"/>
        <v/>
      </c>
      <c r="N28" s="72" t="str">
        <f t="shared" ca="1" si="10"/>
        <v/>
      </c>
      <c r="O28" s="72" t="str">
        <f t="shared" ca="1" si="10"/>
        <v/>
      </c>
      <c r="P28" s="72" t="str">
        <f t="shared" ca="1" si="10"/>
        <v/>
      </c>
      <c r="Q28" s="72" t="str">
        <f t="shared" ca="1" si="10"/>
        <v/>
      </c>
      <c r="R28" s="72" t="str">
        <f t="shared" ca="1" si="10"/>
        <v/>
      </c>
      <c r="S28" s="72" t="str">
        <f t="shared" ca="1" si="10"/>
        <v/>
      </c>
      <c r="T28" s="72" t="str">
        <f t="shared" ca="1" si="10"/>
        <v/>
      </c>
      <c r="U28" s="72" t="str">
        <f t="shared" ca="1" si="10"/>
        <v/>
      </c>
      <c r="V28" s="72" t="str">
        <f t="shared" ca="1" si="10"/>
        <v/>
      </c>
      <c r="W28" s="72" t="str">
        <f t="shared" ca="1" si="10"/>
        <v/>
      </c>
      <c r="X28" s="72" t="str">
        <f t="shared" ca="1" si="10"/>
        <v/>
      </c>
      <c r="Y28" s="72" t="str">
        <f t="shared" ca="1" si="10"/>
        <v/>
      </c>
      <c r="Z28" s="72" t="str">
        <f t="shared" ca="1" si="10"/>
        <v/>
      </c>
      <c r="AA28" s="72" t="str">
        <f t="shared" ca="1" si="10"/>
        <v/>
      </c>
      <c r="AB28" s="72" t="str">
        <f t="shared" ca="1" si="10"/>
        <v/>
      </c>
      <c r="AC28" s="72" t="str">
        <f t="shared" ca="1" si="10"/>
        <v/>
      </c>
      <c r="AD28" s="72" t="str">
        <f t="shared" ca="1" si="10"/>
        <v/>
      </c>
      <c r="AE28" s="72" t="str">
        <f t="shared" ca="1" si="10"/>
        <v/>
      </c>
      <c r="AF28" s="72" t="str">
        <f t="shared" ca="1" si="10"/>
        <v/>
      </c>
      <c r="AG28" s="72" t="str">
        <f t="shared" ca="1" si="10"/>
        <v/>
      </c>
      <c r="AH28" s="72" t="str">
        <f t="shared" ca="1" si="10"/>
        <v/>
      </c>
      <c r="AI28" s="72" t="str">
        <f t="shared" ca="1" si="10"/>
        <v/>
      </c>
      <c r="AJ28" s="72" t="str">
        <f t="shared" ca="1" si="10"/>
        <v/>
      </c>
      <c r="AK28" s="72" t="str">
        <f t="shared" ca="1" si="10"/>
        <v/>
      </c>
      <c r="AL28" s="72" t="str">
        <f t="shared" ca="1" si="10"/>
        <v/>
      </c>
      <c r="AM28" s="72" t="str">
        <f t="shared" ca="1" si="10"/>
        <v/>
      </c>
      <c r="AN28" s="72" t="str">
        <f t="shared" ca="1" si="10"/>
        <v/>
      </c>
      <c r="AO28" s="72" t="str">
        <f t="shared" ca="1" si="10"/>
        <v/>
      </c>
      <c r="AP28" s="72" t="str">
        <f t="shared" ca="1" si="10"/>
        <v/>
      </c>
      <c r="AQ28" s="72" t="str">
        <f t="shared" ref="AQ28:BN28" ca="1" si="11">IF(COUNTA($D$3:$D$22)&lt;2,"",IF(AQ36=MAX(INDIRECT("R36C11:R36C"&amp;11+playercnt-1,FALSE)),1,""))</f>
        <v/>
      </c>
      <c r="AR28" s="72" t="str">
        <f t="shared" ca="1" si="11"/>
        <v/>
      </c>
      <c r="AS28" s="72">
        <f t="shared" ca="1" si="11"/>
        <v>1</v>
      </c>
      <c r="AT28" s="72" t="str">
        <f t="shared" ca="1" si="11"/>
        <v/>
      </c>
      <c r="AU28" s="72" t="str">
        <f t="shared" ca="1" si="11"/>
        <v/>
      </c>
      <c r="AV28" s="72" t="str">
        <f t="shared" ca="1" si="11"/>
        <v/>
      </c>
      <c r="AW28" s="72" t="str">
        <f t="shared" ca="1" si="11"/>
        <v/>
      </c>
      <c r="AX28" s="72" t="str">
        <f t="shared" ca="1" si="11"/>
        <v/>
      </c>
      <c r="AY28" s="72" t="str">
        <f t="shared" ca="1" si="11"/>
        <v/>
      </c>
      <c r="AZ28" s="72" t="str">
        <f t="shared" ca="1" si="11"/>
        <v/>
      </c>
      <c r="BA28" s="72" t="str">
        <f t="shared" ca="1" si="11"/>
        <v/>
      </c>
      <c r="BB28" s="72" t="str">
        <f t="shared" ca="1" si="11"/>
        <v/>
      </c>
      <c r="BC28" s="72" t="str">
        <f t="shared" ca="1" si="11"/>
        <v/>
      </c>
      <c r="BD28" s="72" t="str">
        <f t="shared" ca="1" si="11"/>
        <v/>
      </c>
      <c r="BE28" s="72" t="str">
        <f t="shared" ca="1" si="11"/>
        <v/>
      </c>
      <c r="BF28" s="72" t="str">
        <f t="shared" ca="1" si="11"/>
        <v/>
      </c>
      <c r="BG28" s="72" t="str">
        <f t="shared" ca="1" si="11"/>
        <v/>
      </c>
      <c r="BH28" s="72" t="str">
        <f t="shared" ca="1" si="11"/>
        <v/>
      </c>
      <c r="BI28" s="72" t="str">
        <f t="shared" ca="1" si="11"/>
        <v/>
      </c>
      <c r="BJ28" s="72" t="str">
        <f t="shared" ca="1" si="11"/>
        <v/>
      </c>
      <c r="BK28" s="72" t="str">
        <f t="shared" ca="1" si="11"/>
        <v/>
      </c>
      <c r="BL28" s="72" t="str">
        <f t="shared" ca="1" si="11"/>
        <v/>
      </c>
      <c r="BM28" s="72" t="str">
        <f t="shared" ca="1" si="11"/>
        <v/>
      </c>
      <c r="BN28" s="72" t="str">
        <f t="shared" ca="1" si="11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12">COUNTA(L$3,L$5,L$7,L$9,L$11,L$13,L$15,L$17,L$19,L$21)</f>
        <v>0</v>
      </c>
      <c r="M29" s="71">
        <f t="shared" si="12"/>
        <v>6</v>
      </c>
      <c r="N29" s="71">
        <f t="shared" si="12"/>
        <v>5</v>
      </c>
      <c r="O29" s="71">
        <f t="shared" si="12"/>
        <v>7</v>
      </c>
      <c r="P29" s="71">
        <f t="shared" si="12"/>
        <v>5</v>
      </c>
      <c r="Q29" s="71">
        <f t="shared" si="12"/>
        <v>6</v>
      </c>
      <c r="R29" s="71">
        <f t="shared" si="12"/>
        <v>0</v>
      </c>
      <c r="S29" s="71">
        <f t="shared" si="12"/>
        <v>7</v>
      </c>
      <c r="T29" s="71">
        <f t="shared" si="12"/>
        <v>6</v>
      </c>
      <c r="U29" s="71">
        <f t="shared" si="12"/>
        <v>6</v>
      </c>
      <c r="V29" s="71">
        <f t="shared" si="12"/>
        <v>2</v>
      </c>
      <c r="W29" s="71">
        <f t="shared" si="12"/>
        <v>5</v>
      </c>
      <c r="X29" s="71">
        <f t="shared" si="12"/>
        <v>7</v>
      </c>
      <c r="Y29" s="71">
        <f t="shared" si="12"/>
        <v>4</v>
      </c>
      <c r="Z29" s="71">
        <f t="shared" si="12"/>
        <v>5</v>
      </c>
      <c r="AA29" s="71">
        <f t="shared" si="12"/>
        <v>5</v>
      </c>
      <c r="AB29" s="71">
        <f t="shared" si="12"/>
        <v>6</v>
      </c>
      <c r="AC29" s="71">
        <f t="shared" si="12"/>
        <v>4</v>
      </c>
      <c r="AD29" s="71">
        <f t="shared" si="12"/>
        <v>4</v>
      </c>
      <c r="AE29" s="71">
        <f t="shared" si="12"/>
        <v>6</v>
      </c>
      <c r="AF29" s="71">
        <f t="shared" si="12"/>
        <v>4</v>
      </c>
      <c r="AG29" s="71">
        <f t="shared" si="12"/>
        <v>5</v>
      </c>
      <c r="AH29" s="71">
        <f t="shared" si="12"/>
        <v>6</v>
      </c>
      <c r="AI29" s="71">
        <f t="shared" si="12"/>
        <v>6</v>
      </c>
      <c r="AJ29" s="71">
        <f t="shared" si="12"/>
        <v>7</v>
      </c>
      <c r="AK29" s="71">
        <f t="shared" si="12"/>
        <v>5</v>
      </c>
      <c r="AL29" s="71">
        <f t="shared" si="12"/>
        <v>5</v>
      </c>
      <c r="AM29" s="71">
        <f t="shared" si="12"/>
        <v>8</v>
      </c>
      <c r="AN29" s="71">
        <f t="shared" si="12"/>
        <v>8</v>
      </c>
      <c r="AO29" s="71">
        <f t="shared" si="12"/>
        <v>5</v>
      </c>
      <c r="AP29" s="71">
        <f t="shared" si="12"/>
        <v>4</v>
      </c>
      <c r="AQ29" s="71">
        <f t="shared" si="12"/>
        <v>7</v>
      </c>
      <c r="AR29" s="71">
        <f t="shared" si="12"/>
        <v>7</v>
      </c>
      <c r="AS29" s="71">
        <f t="shared" si="12"/>
        <v>3</v>
      </c>
      <c r="AT29" s="71">
        <f t="shared" si="12"/>
        <v>6</v>
      </c>
      <c r="AU29" s="71">
        <f t="shared" si="12"/>
        <v>6</v>
      </c>
      <c r="AV29" s="71">
        <f t="shared" si="12"/>
        <v>7</v>
      </c>
      <c r="AW29" s="71">
        <f t="shared" si="12"/>
        <v>8</v>
      </c>
      <c r="AX29" s="71">
        <f t="shared" si="12"/>
        <v>4</v>
      </c>
      <c r="AY29" s="71">
        <f t="shared" si="12"/>
        <v>6</v>
      </c>
      <c r="AZ29" s="71">
        <f t="shared" si="12"/>
        <v>4</v>
      </c>
      <c r="BA29" s="71">
        <f t="shared" si="12"/>
        <v>4</v>
      </c>
      <c r="BB29" s="71">
        <f t="shared" si="12"/>
        <v>7</v>
      </c>
      <c r="BC29" s="71">
        <f t="shared" si="12"/>
        <v>8</v>
      </c>
      <c r="BD29" s="71">
        <f t="shared" si="12"/>
        <v>4</v>
      </c>
      <c r="BE29" s="71">
        <f t="shared" si="12"/>
        <v>9</v>
      </c>
      <c r="BF29" s="71">
        <f t="shared" si="12"/>
        <v>8</v>
      </c>
      <c r="BG29" s="71">
        <f t="shared" si="12"/>
        <v>4</v>
      </c>
      <c r="BH29" s="71">
        <f t="shared" si="12"/>
        <v>2</v>
      </c>
      <c r="BI29" s="71">
        <f t="shared" si="12"/>
        <v>3</v>
      </c>
      <c r="BJ29" s="71">
        <f t="shared" si="12"/>
        <v>7</v>
      </c>
      <c r="BK29" s="71">
        <f t="shared" si="12"/>
        <v>4</v>
      </c>
      <c r="BL29" s="71">
        <f t="shared" si="12"/>
        <v>9</v>
      </c>
      <c r="BM29" s="71">
        <f t="shared" si="12"/>
        <v>5</v>
      </c>
      <c r="BN29" s="71">
        <f t="shared" si="12"/>
        <v>5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13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13"/>
        <v>2</v>
      </c>
      <c r="N30" s="73">
        <f t="shared" si="13"/>
        <v>3</v>
      </c>
      <c r="O30" s="73">
        <f t="shared" si="13"/>
        <v>1</v>
      </c>
      <c r="P30" s="73">
        <f t="shared" si="13"/>
        <v>1</v>
      </c>
      <c r="Q30" s="73">
        <f t="shared" si="13"/>
        <v>4</v>
      </c>
      <c r="R30" s="73">
        <f t="shared" si="13"/>
        <v>10</v>
      </c>
      <c r="S30" s="73">
        <f t="shared" si="13"/>
        <v>3</v>
      </c>
      <c r="T30" s="73">
        <f t="shared" si="13"/>
        <v>2</v>
      </c>
      <c r="U30" s="73">
        <f t="shared" si="13"/>
        <v>4</v>
      </c>
      <c r="V30" s="73">
        <f t="shared" si="13"/>
        <v>4</v>
      </c>
      <c r="W30" s="73">
        <f t="shared" si="13"/>
        <v>1</v>
      </c>
      <c r="X30" s="73">
        <f t="shared" si="13"/>
        <v>3</v>
      </c>
      <c r="Y30" s="73">
        <f t="shared" si="13"/>
        <v>2</v>
      </c>
      <c r="Z30" s="73">
        <f t="shared" si="13"/>
        <v>3</v>
      </c>
      <c r="AA30" s="73">
        <f t="shared" si="13"/>
        <v>1</v>
      </c>
      <c r="AB30" s="73">
        <f t="shared" si="13"/>
        <v>4</v>
      </c>
      <c r="AC30" s="73">
        <f t="shared" si="13"/>
        <v>6</v>
      </c>
      <c r="AD30" s="73">
        <f t="shared" si="13"/>
        <v>2</v>
      </c>
      <c r="AE30" s="73">
        <f t="shared" si="13"/>
        <v>4</v>
      </c>
      <c r="AF30" s="73">
        <f t="shared" si="13"/>
        <v>2</v>
      </c>
      <c r="AG30" s="73">
        <f t="shared" si="13"/>
        <v>3</v>
      </c>
      <c r="AH30" s="73">
        <f t="shared" si="13"/>
        <v>6</v>
      </c>
      <c r="AI30" s="73">
        <f t="shared" si="13"/>
        <v>4</v>
      </c>
      <c r="AJ30" s="73">
        <f t="shared" si="13"/>
        <v>3</v>
      </c>
      <c r="AK30" s="73">
        <f t="shared" si="13"/>
        <v>3</v>
      </c>
      <c r="AL30" s="73">
        <f t="shared" si="13"/>
        <v>3</v>
      </c>
      <c r="AM30" s="73">
        <f t="shared" si="13"/>
        <v>4</v>
      </c>
      <c r="AN30" s="73">
        <f t="shared" si="13"/>
        <v>4</v>
      </c>
      <c r="AO30" s="73">
        <f t="shared" si="13"/>
        <v>7</v>
      </c>
      <c r="AP30" s="73">
        <f t="shared" si="13"/>
        <v>2</v>
      </c>
      <c r="AQ30" s="73">
        <f t="shared" si="13"/>
        <v>1</v>
      </c>
      <c r="AR30" s="73">
        <f t="shared" si="13"/>
        <v>5</v>
      </c>
      <c r="AS30" s="73">
        <f t="shared" si="13"/>
        <v>5</v>
      </c>
      <c r="AT30" s="73">
        <f t="shared" si="13"/>
        <v>6</v>
      </c>
      <c r="AU30" s="73">
        <f t="shared" si="13"/>
        <v>4</v>
      </c>
      <c r="AV30" s="73">
        <f t="shared" si="13"/>
        <v>5</v>
      </c>
      <c r="AW30" s="73">
        <f t="shared" si="13"/>
        <v>4</v>
      </c>
      <c r="AX30" s="73">
        <f t="shared" si="13"/>
        <v>6</v>
      </c>
      <c r="AY30" s="73">
        <f t="shared" si="13"/>
        <v>4</v>
      </c>
      <c r="AZ30" s="73">
        <f t="shared" si="13"/>
        <v>4</v>
      </c>
      <c r="BA30" s="73">
        <f t="shared" si="13"/>
        <v>6</v>
      </c>
      <c r="BB30" s="73">
        <f t="shared" si="13"/>
        <v>3</v>
      </c>
      <c r="BC30" s="73">
        <f t="shared" si="13"/>
        <v>2</v>
      </c>
      <c r="BD30" s="73">
        <f t="shared" si="13"/>
        <v>4</v>
      </c>
      <c r="BE30" s="73">
        <f t="shared" si="13"/>
        <v>3</v>
      </c>
      <c r="BF30" s="73">
        <f t="shared" si="13"/>
        <v>2</v>
      </c>
      <c r="BG30" s="73">
        <f t="shared" si="13"/>
        <v>4</v>
      </c>
      <c r="BH30" s="73">
        <f t="shared" si="13"/>
        <v>4</v>
      </c>
      <c r="BI30" s="73">
        <f t="shared" si="13"/>
        <v>5</v>
      </c>
      <c r="BJ30" s="73">
        <f t="shared" si="13"/>
        <v>1</v>
      </c>
      <c r="BK30" s="73">
        <f t="shared" si="13"/>
        <v>10</v>
      </c>
      <c r="BL30" s="73">
        <f t="shared" si="13"/>
        <v>3</v>
      </c>
      <c r="BM30" s="73">
        <f t="shared" si="13"/>
        <v>3</v>
      </c>
      <c r="BN30" s="73">
        <f t="shared" si="13"/>
        <v>3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14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14"/>
        <v>3</v>
      </c>
      <c r="N31" s="71">
        <f t="shared" ca="1" si="14"/>
        <v>2</v>
      </c>
      <c r="O31" s="71">
        <f t="shared" ca="1" si="14"/>
        <v>0</v>
      </c>
      <c r="P31" s="71">
        <f t="shared" ca="1" si="14"/>
        <v>2</v>
      </c>
      <c r="Q31" s="71">
        <f t="shared" ca="1" si="14"/>
        <v>5</v>
      </c>
      <c r="R31" s="71">
        <f t="shared" ca="1" si="14"/>
        <v>10</v>
      </c>
      <c r="S31" s="71">
        <f t="shared" ca="1" si="14"/>
        <v>2</v>
      </c>
      <c r="T31" s="71">
        <f t="shared" ca="1" si="14"/>
        <v>3</v>
      </c>
      <c r="U31" s="71">
        <f t="shared" ca="1" si="14"/>
        <v>3</v>
      </c>
      <c r="V31" s="71">
        <f t="shared" ca="1" si="14"/>
        <v>5</v>
      </c>
      <c r="W31" s="71">
        <f t="shared" ca="1" si="14"/>
        <v>2</v>
      </c>
      <c r="X31" s="71">
        <f t="shared" ca="1" si="14"/>
        <v>4</v>
      </c>
      <c r="Y31" s="71">
        <f t="shared" ca="1" si="14"/>
        <v>3</v>
      </c>
      <c r="Z31" s="71">
        <f t="shared" ca="1" si="14"/>
        <v>2</v>
      </c>
      <c r="AA31" s="71">
        <f t="shared" ca="1" si="14"/>
        <v>2</v>
      </c>
      <c r="AB31" s="71">
        <f t="shared" ca="1" si="14"/>
        <v>5</v>
      </c>
      <c r="AC31" s="71">
        <f t="shared" ca="1" si="14"/>
        <v>5</v>
      </c>
      <c r="AD31" s="71">
        <f t="shared" ca="1" si="14"/>
        <v>3</v>
      </c>
      <c r="AE31" s="71">
        <f t="shared" ca="1" si="14"/>
        <v>3</v>
      </c>
      <c r="AF31" s="71">
        <f t="shared" ca="1" si="14"/>
        <v>3</v>
      </c>
      <c r="AG31" s="71">
        <f t="shared" ca="1" si="14"/>
        <v>4</v>
      </c>
      <c r="AH31" s="71">
        <f t="shared" ca="1" si="14"/>
        <v>5</v>
      </c>
      <c r="AI31" s="71">
        <f t="shared" ca="1" si="14"/>
        <v>5</v>
      </c>
      <c r="AJ31" s="71">
        <f t="shared" ca="1" si="14"/>
        <v>2</v>
      </c>
      <c r="AK31" s="71">
        <f t="shared" ca="1" si="14"/>
        <v>2</v>
      </c>
      <c r="AL31" s="71">
        <f t="shared" ca="1" si="14"/>
        <v>2</v>
      </c>
      <c r="AM31" s="71">
        <f t="shared" ca="1" si="14"/>
        <v>3</v>
      </c>
      <c r="AN31" s="71">
        <f t="shared" ca="1" si="14"/>
        <v>3</v>
      </c>
      <c r="AO31" s="71">
        <f t="shared" ca="1" si="14"/>
        <v>6</v>
      </c>
      <c r="AP31" s="71">
        <f t="shared" ca="1" si="14"/>
        <v>3</v>
      </c>
      <c r="AQ31" s="71">
        <f t="shared" ca="1" si="14"/>
        <v>0</v>
      </c>
      <c r="AR31" s="71">
        <f t="shared" ca="1" si="14"/>
        <v>4</v>
      </c>
      <c r="AS31" s="71">
        <f t="shared" ca="1" si="14"/>
        <v>4</v>
      </c>
      <c r="AT31" s="71">
        <f t="shared" ca="1" si="14"/>
        <v>5</v>
      </c>
      <c r="AU31" s="71">
        <f t="shared" ca="1" si="14"/>
        <v>3</v>
      </c>
      <c r="AV31" s="71">
        <f t="shared" ca="1" si="14"/>
        <v>4</v>
      </c>
      <c r="AW31" s="71">
        <f t="shared" ca="1" si="14"/>
        <v>3</v>
      </c>
      <c r="AX31" s="71">
        <f t="shared" ca="1" si="14"/>
        <v>5</v>
      </c>
      <c r="AY31" s="71">
        <f t="shared" ca="1" si="14"/>
        <v>3</v>
      </c>
      <c r="AZ31" s="71">
        <f t="shared" ca="1" si="14"/>
        <v>3</v>
      </c>
      <c r="BA31" s="71">
        <f t="shared" ca="1" si="14"/>
        <v>5</v>
      </c>
      <c r="BB31" s="71">
        <f t="shared" ca="1" si="14"/>
        <v>2</v>
      </c>
      <c r="BC31" s="71">
        <f t="shared" ca="1" si="14"/>
        <v>1</v>
      </c>
      <c r="BD31" s="71">
        <f t="shared" ca="1" si="14"/>
        <v>3</v>
      </c>
      <c r="BE31" s="71">
        <f t="shared" ca="1" si="14"/>
        <v>2</v>
      </c>
      <c r="BF31" s="71">
        <f t="shared" ca="1" si="14"/>
        <v>1</v>
      </c>
      <c r="BG31" s="71">
        <f t="shared" ca="1" si="14"/>
        <v>5</v>
      </c>
      <c r="BH31" s="71">
        <f t="shared" ca="1" si="14"/>
        <v>5</v>
      </c>
      <c r="BI31" s="71">
        <f t="shared" ca="1" si="14"/>
        <v>4</v>
      </c>
      <c r="BJ31" s="71">
        <f t="shared" ca="1" si="14"/>
        <v>2</v>
      </c>
      <c r="BK31" s="71">
        <f t="shared" ca="1" si="14"/>
        <v>9</v>
      </c>
      <c r="BL31" s="71">
        <f t="shared" ca="1" si="14"/>
        <v>2</v>
      </c>
      <c r="BM31" s="71">
        <f t="shared" ca="1" si="14"/>
        <v>2</v>
      </c>
      <c r="BN31" s="71">
        <f t="shared" ca="1" si="14"/>
        <v>2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5">COUNTA(K3:K22)</f>
        <v>10</v>
      </c>
      <c r="L35" s="35">
        <f t="shared" si="15"/>
        <v>0</v>
      </c>
      <c r="M35" s="35">
        <f t="shared" si="15"/>
        <v>10</v>
      </c>
      <c r="N35" s="35">
        <f t="shared" si="15"/>
        <v>10</v>
      </c>
      <c r="O35" s="35">
        <f t="shared" si="15"/>
        <v>10</v>
      </c>
      <c r="P35" s="35">
        <f t="shared" si="15"/>
        <v>10</v>
      </c>
      <c r="Q35" s="35">
        <f t="shared" si="15"/>
        <v>10</v>
      </c>
      <c r="R35" s="35">
        <f t="shared" ref="R35:AB35" si="16">COUNTA(R3:R22)</f>
        <v>0</v>
      </c>
      <c r="S35" s="35">
        <f t="shared" si="16"/>
        <v>10</v>
      </c>
      <c r="T35" s="35">
        <f t="shared" si="16"/>
        <v>10</v>
      </c>
      <c r="U35" s="35">
        <f t="shared" si="16"/>
        <v>10</v>
      </c>
      <c r="V35" s="35">
        <f t="shared" si="16"/>
        <v>10</v>
      </c>
      <c r="W35" s="35">
        <f t="shared" si="16"/>
        <v>10</v>
      </c>
      <c r="X35" s="35">
        <f t="shared" si="16"/>
        <v>10</v>
      </c>
      <c r="Y35" s="35">
        <f t="shared" si="16"/>
        <v>10</v>
      </c>
      <c r="Z35" s="35">
        <f t="shared" si="16"/>
        <v>10</v>
      </c>
      <c r="AA35" s="35">
        <f t="shared" si="16"/>
        <v>10</v>
      </c>
      <c r="AB35" s="35">
        <f t="shared" si="16"/>
        <v>10</v>
      </c>
      <c r="AC35" s="35">
        <f t="shared" si="15"/>
        <v>10</v>
      </c>
      <c r="AD35" s="35">
        <f t="shared" si="15"/>
        <v>10</v>
      </c>
      <c r="AE35" s="35">
        <f t="shared" si="15"/>
        <v>10</v>
      </c>
      <c r="AF35" s="35">
        <f t="shared" si="15"/>
        <v>10</v>
      </c>
      <c r="AG35" s="35">
        <f t="shared" si="15"/>
        <v>10</v>
      </c>
      <c r="AH35" s="35">
        <f t="shared" si="15"/>
        <v>10</v>
      </c>
      <c r="AI35" s="35">
        <f t="shared" si="15"/>
        <v>10</v>
      </c>
      <c r="AJ35" s="35">
        <f t="shared" si="15"/>
        <v>10</v>
      </c>
      <c r="AK35" s="35">
        <f t="shared" si="15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17">COUNTA(AP3:AP22)</f>
        <v>10</v>
      </c>
      <c r="AQ35" s="35">
        <f t="shared" si="17"/>
        <v>10</v>
      </c>
      <c r="AR35" s="35">
        <f t="shared" si="17"/>
        <v>10</v>
      </c>
      <c r="AS35" s="35">
        <f t="shared" si="17"/>
        <v>10</v>
      </c>
      <c r="AT35" s="35">
        <f t="shared" si="17"/>
        <v>10</v>
      </c>
      <c r="AU35" s="35">
        <f t="shared" si="17"/>
        <v>10</v>
      </c>
      <c r="AV35" s="35">
        <f t="shared" ref="AV35:BA35" si="18">COUNTA(AV3:AV22)</f>
        <v>10</v>
      </c>
      <c r="AW35" s="35">
        <f t="shared" si="18"/>
        <v>10</v>
      </c>
      <c r="AX35" s="35">
        <f t="shared" si="18"/>
        <v>10</v>
      </c>
      <c r="AY35" s="35">
        <f t="shared" si="18"/>
        <v>10</v>
      </c>
      <c r="AZ35" s="35">
        <f t="shared" si="18"/>
        <v>10</v>
      </c>
      <c r="BA35" s="35">
        <f t="shared" si="18"/>
        <v>10</v>
      </c>
      <c r="BB35" s="35">
        <f t="shared" ref="BB35:BG35" si="19">COUNTA(BB3:BB22)</f>
        <v>10</v>
      </c>
      <c r="BC35" s="35">
        <f t="shared" si="19"/>
        <v>10</v>
      </c>
      <c r="BD35" s="35">
        <f t="shared" si="19"/>
        <v>10</v>
      </c>
      <c r="BE35" s="35">
        <f t="shared" si="19"/>
        <v>10</v>
      </c>
      <c r="BF35" s="35">
        <f t="shared" si="19"/>
        <v>10</v>
      </c>
      <c r="BG35" s="35">
        <f t="shared" si="19"/>
        <v>10</v>
      </c>
      <c r="BH35" s="35">
        <f t="shared" ref="BH35:BL35" si="20">COUNTA(BH3:BH22)</f>
        <v>10</v>
      </c>
      <c r="BI35" s="35">
        <f t="shared" si="20"/>
        <v>10</v>
      </c>
      <c r="BJ35" s="35">
        <f t="shared" si="20"/>
        <v>10</v>
      </c>
      <c r="BK35" s="35">
        <f t="shared" si="20"/>
        <v>10</v>
      </c>
      <c r="BL35" s="35">
        <f t="shared" si="20"/>
        <v>10</v>
      </c>
      <c r="BM35" s="35">
        <f t="shared" ref="BM35:BN35" si="21">COUNTA(BM3:BM22)</f>
        <v>10</v>
      </c>
      <c r="BN35" s="35">
        <f t="shared" si="21"/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AP36" si="22">COUNTA(K23:K24)*((10000000*K25)+(1000000*(COUNTA(K21)*$E21+COUNTA(K22)*$E22))-(COUNTA($D$21:$D$22)*1000*K26)-(COUNTA($D$21:$D$22)*K27))</f>
        <v>119943864</v>
      </c>
      <c r="L36" s="32">
        <f t="shared" si="22"/>
        <v>0</v>
      </c>
      <c r="M36" s="32">
        <f t="shared" si="22"/>
        <v>81987908</v>
      </c>
      <c r="N36" s="32">
        <f t="shared" si="22"/>
        <v>141971916</v>
      </c>
      <c r="O36" s="32">
        <f t="shared" si="22"/>
        <v>101987876</v>
      </c>
      <c r="P36" s="32">
        <f t="shared" si="22"/>
        <v>101987908</v>
      </c>
      <c r="Q36" s="32">
        <f t="shared" si="22"/>
        <v>81983936</v>
      </c>
      <c r="R36" s="32">
        <f t="shared" si="22"/>
        <v>0</v>
      </c>
      <c r="S36" s="32">
        <f t="shared" si="22"/>
        <v>59943952</v>
      </c>
      <c r="T36" s="32">
        <f t="shared" si="22"/>
        <v>81959904</v>
      </c>
      <c r="U36" s="32">
        <f t="shared" si="22"/>
        <v>81987908</v>
      </c>
      <c r="V36" s="32">
        <f t="shared" si="22"/>
        <v>121983824</v>
      </c>
      <c r="W36" s="32">
        <f t="shared" si="22"/>
        <v>101979844</v>
      </c>
      <c r="X36" s="32">
        <f t="shared" si="22"/>
        <v>61943864</v>
      </c>
      <c r="Y36" s="32">
        <f t="shared" si="22"/>
        <v>81987908</v>
      </c>
      <c r="Z36" s="32">
        <f t="shared" si="22"/>
        <v>141983848</v>
      </c>
      <c r="AA36" s="32">
        <f t="shared" si="22"/>
        <v>101999864</v>
      </c>
      <c r="AB36" s="32">
        <f t="shared" si="22"/>
        <v>79943968</v>
      </c>
      <c r="AC36" s="32">
        <f t="shared" si="22"/>
        <v>119907900</v>
      </c>
      <c r="AD36" s="32">
        <f t="shared" si="22"/>
        <v>121971972</v>
      </c>
      <c r="AE36" s="32">
        <f t="shared" si="22"/>
        <v>119920000</v>
      </c>
      <c r="AF36" s="32">
        <f t="shared" si="22"/>
        <v>81971916</v>
      </c>
      <c r="AG36" s="32">
        <f t="shared" si="22"/>
        <v>101983904</v>
      </c>
      <c r="AH36" s="32">
        <f t="shared" si="22"/>
        <v>121991912</v>
      </c>
      <c r="AI36" s="32">
        <f t="shared" si="22"/>
        <v>79927896</v>
      </c>
      <c r="AJ36" s="32">
        <f t="shared" si="22"/>
        <v>101995860</v>
      </c>
      <c r="AK36" s="32">
        <f t="shared" si="22"/>
        <v>141983896</v>
      </c>
      <c r="AL36" s="32">
        <f t="shared" si="22"/>
        <v>101983936</v>
      </c>
      <c r="AM36" s="32">
        <f t="shared" si="22"/>
        <v>41971892</v>
      </c>
      <c r="AN36" s="32">
        <f t="shared" si="22"/>
        <v>79943920</v>
      </c>
      <c r="AO36" s="32">
        <f t="shared" si="22"/>
        <v>101975888</v>
      </c>
      <c r="AP36" s="32">
        <f t="shared" si="22"/>
        <v>121987820</v>
      </c>
      <c r="AQ36" s="32">
        <f t="shared" ref="AQ36:BN36" si="23">COUNTA(AQ23:AQ24)*((10000000*AQ25)+(1000000*(COUNTA(AQ21)*$E21+COUNTA(AQ22)*$E22))-(COUNTA($D$21:$D$22)*1000*AQ26)-(COUNTA($D$21:$D$22)*AQ27))</f>
        <v>101987844</v>
      </c>
      <c r="AR36" s="32">
        <f t="shared" si="23"/>
        <v>59967912</v>
      </c>
      <c r="AS36" s="32">
        <f t="shared" si="23"/>
        <v>181987932</v>
      </c>
      <c r="AT36" s="32">
        <f t="shared" si="23"/>
        <v>79959928</v>
      </c>
      <c r="AU36" s="32">
        <f t="shared" si="23"/>
        <v>81983768</v>
      </c>
      <c r="AV36" s="32">
        <f t="shared" si="23"/>
        <v>101995892</v>
      </c>
      <c r="AW36" s="32">
        <f t="shared" si="23"/>
        <v>79943864</v>
      </c>
      <c r="AX36" s="32">
        <f t="shared" si="23"/>
        <v>161971940</v>
      </c>
      <c r="AY36" s="32">
        <f t="shared" si="23"/>
        <v>119911888</v>
      </c>
      <c r="AZ36" s="32">
        <f t="shared" si="23"/>
        <v>161979900</v>
      </c>
      <c r="BA36" s="32">
        <f t="shared" si="23"/>
        <v>159927824</v>
      </c>
      <c r="BB36" s="32">
        <f t="shared" si="23"/>
        <v>101971892</v>
      </c>
      <c r="BC36" s="32">
        <f t="shared" si="23"/>
        <v>79939780</v>
      </c>
      <c r="BD36" s="32">
        <f t="shared" si="23"/>
        <v>121987932</v>
      </c>
      <c r="BE36" s="32">
        <f t="shared" si="23"/>
        <v>59927960</v>
      </c>
      <c r="BF36" s="32">
        <f t="shared" si="23"/>
        <v>81983960</v>
      </c>
      <c r="BG36" s="32">
        <f t="shared" si="23"/>
        <v>119915868</v>
      </c>
      <c r="BH36" s="32">
        <f t="shared" si="23"/>
        <v>121999912</v>
      </c>
      <c r="BI36" s="32">
        <f t="shared" si="23"/>
        <v>181983880</v>
      </c>
      <c r="BJ36" s="32">
        <f t="shared" si="23"/>
        <v>61983960</v>
      </c>
      <c r="BK36" s="32">
        <f t="shared" si="23"/>
        <v>119967920</v>
      </c>
      <c r="BL36" s="32">
        <f t="shared" si="23"/>
        <v>61983984</v>
      </c>
      <c r="BM36" s="32">
        <f t="shared" si="23"/>
        <v>141983872</v>
      </c>
      <c r="BN36" s="32">
        <f t="shared" si="23"/>
        <v>141987852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ca="1" si="24">IF(L35&lt;&gt;10, L$2,"")</f>
        <v>Barker, Christopher A</v>
      </c>
      <c r="M39" s="3" t="str">
        <f t="shared" si="24"/>
        <v/>
      </c>
      <c r="N39" s="3" t="str">
        <f t="shared" si="24"/>
        <v/>
      </c>
      <c r="O39" s="3" t="str">
        <f t="shared" si="24"/>
        <v/>
      </c>
      <c r="P39" s="3" t="str">
        <f t="shared" si="24"/>
        <v/>
      </c>
      <c r="Q39" s="3" t="str">
        <f t="shared" si="24"/>
        <v/>
      </c>
      <c r="R39" s="3" t="str">
        <f t="shared" ca="1" si="24"/>
        <v>Delehanty, Kyle T</v>
      </c>
      <c r="S39" s="3" t="str">
        <f t="shared" si="24"/>
        <v/>
      </c>
      <c r="T39" s="3" t="str">
        <f t="shared" si="24"/>
        <v/>
      </c>
      <c r="U39" s="3" t="str">
        <f t="shared" si="24"/>
        <v/>
      </c>
      <c r="V39" s="3" t="str">
        <f t="shared" si="24"/>
        <v/>
      </c>
      <c r="W39" s="3" t="str">
        <f t="shared" si="24"/>
        <v/>
      </c>
      <c r="X39" s="3" t="str">
        <f t="shared" si="24"/>
        <v/>
      </c>
      <c r="Y39" s="3" t="str">
        <f t="shared" si="24"/>
        <v/>
      </c>
      <c r="Z39" s="3" t="str">
        <f t="shared" si="24"/>
        <v/>
      </c>
      <c r="AA39" s="3" t="str">
        <f t="shared" si="24"/>
        <v/>
      </c>
      <c r="AB39" s="3" t="str">
        <f t="shared" si="24"/>
        <v/>
      </c>
      <c r="AC39" s="3" t="str">
        <f t="shared" si="24"/>
        <v/>
      </c>
      <c r="AD39" s="3" t="str">
        <f t="shared" si="24"/>
        <v/>
      </c>
      <c r="AE39" s="3" t="str">
        <f t="shared" si="24"/>
        <v/>
      </c>
      <c r="AF39" s="3" t="str">
        <f t="shared" si="24"/>
        <v/>
      </c>
      <c r="AG39" s="3" t="str">
        <f t="shared" si="24"/>
        <v/>
      </c>
      <c r="AH39" s="3" t="str">
        <f t="shared" si="24"/>
        <v/>
      </c>
      <c r="AI39" s="3" t="str">
        <f t="shared" si="24"/>
        <v/>
      </c>
      <c r="AJ39" s="3" t="str">
        <f t="shared" si="24"/>
        <v/>
      </c>
      <c r="AK39" s="3" t="str">
        <f t="shared" si="24"/>
        <v/>
      </c>
      <c r="AL39" s="3" t="str">
        <f t="shared" si="24"/>
        <v/>
      </c>
      <c r="AM39" s="3" t="str">
        <f t="shared" si="24"/>
        <v/>
      </c>
      <c r="AN39" s="3" t="str">
        <f t="shared" si="24"/>
        <v/>
      </c>
      <c r="AO39" s="3" t="str">
        <f t="shared" si="24"/>
        <v/>
      </c>
      <c r="AP39" s="3" t="str">
        <f t="shared" si="24"/>
        <v/>
      </c>
      <c r="AQ39" s="3" t="str">
        <f t="shared" si="24"/>
        <v/>
      </c>
      <c r="AR39" s="3" t="str">
        <f t="shared" si="24"/>
        <v/>
      </c>
      <c r="AS39" s="3" t="str">
        <f t="shared" si="24"/>
        <v/>
      </c>
      <c r="AT39" s="3" t="str">
        <f t="shared" si="24"/>
        <v/>
      </c>
      <c r="AU39" s="3" t="str">
        <f t="shared" si="24"/>
        <v/>
      </c>
      <c r="AV39" s="3" t="str">
        <f t="shared" ref="AV39:BA39" si="25">IF(AV35&lt;&gt;10, AV$2,"")</f>
        <v/>
      </c>
      <c r="AW39" s="3" t="str">
        <f t="shared" si="25"/>
        <v/>
      </c>
      <c r="AX39" s="3" t="str">
        <f t="shared" si="25"/>
        <v/>
      </c>
      <c r="AY39" s="3" t="str">
        <f t="shared" si="25"/>
        <v/>
      </c>
      <c r="AZ39" s="3" t="str">
        <f t="shared" si="25"/>
        <v/>
      </c>
      <c r="BA39" s="3" t="str">
        <f t="shared" si="25"/>
        <v/>
      </c>
      <c r="BB39" s="3" t="str">
        <f t="shared" ref="BB39:BG39" si="26">IF(BB35&lt;&gt;10, BB$2,"")</f>
        <v/>
      </c>
      <c r="BC39" s="3" t="str">
        <f t="shared" si="26"/>
        <v/>
      </c>
      <c r="BD39" s="3" t="str">
        <f t="shared" si="26"/>
        <v/>
      </c>
      <c r="BE39" s="3" t="str">
        <f t="shared" si="26"/>
        <v/>
      </c>
      <c r="BF39" s="3" t="str">
        <f t="shared" si="26"/>
        <v/>
      </c>
      <c r="BG39" s="3" t="str">
        <f t="shared" si="26"/>
        <v/>
      </c>
      <c r="BH39" s="3" t="str">
        <f t="shared" ref="BH39:BL39" si="27">IF(BH35&lt;&gt;10, BH$2,"")</f>
        <v/>
      </c>
      <c r="BI39" s="3" t="str">
        <f t="shared" si="27"/>
        <v/>
      </c>
      <c r="BJ39" s="3" t="str">
        <f t="shared" si="27"/>
        <v/>
      </c>
      <c r="BK39" s="3" t="str">
        <f t="shared" si="27"/>
        <v/>
      </c>
      <c r="BL39" s="3" t="str">
        <f t="shared" si="27"/>
        <v/>
      </c>
      <c r="BM39" s="3" t="str">
        <f t="shared" ref="BM39:BN39" si="28">IF(BM35&lt;&gt;10, BM$2,"")</f>
        <v/>
      </c>
      <c r="BN39" s="3" t="str">
        <f t="shared" si="28"/>
        <v/>
      </c>
    </row>
    <row r="40" spans="1:66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29">IF(L$1 &lt; 1,L$2,"")</f>
        <v>Barker, Christopher A</v>
      </c>
      <c r="M40" s="3" t="str">
        <f t="shared" ca="1" si="29"/>
        <v>Beasley, Tate</v>
      </c>
      <c r="N40" s="3" t="str">
        <f t="shared" ca="1" si="29"/>
        <v>Beckwith, Greg</v>
      </c>
      <c r="O40" s="3" t="str">
        <f t="shared" ca="1" si="29"/>
        <v>Boykin, Jerome W</v>
      </c>
      <c r="P40" s="3" t="str">
        <f t="shared" ca="1" si="29"/>
        <v>Carroll, Adam</v>
      </c>
      <c r="Q40" s="3" t="str">
        <f t="shared" ca="1" si="29"/>
        <v>Daffron, Christopher</v>
      </c>
      <c r="R40" s="3" t="str">
        <f t="shared" ca="1" si="29"/>
        <v>Delehanty, Kyle T</v>
      </c>
      <c r="S40" s="3" t="str">
        <f t="shared" ca="1" si="29"/>
        <v>Desetto, Daniel</v>
      </c>
      <c r="T40" s="3" t="str">
        <f t="shared" ca="1" si="29"/>
        <v>Desetto, Thomas Remote</v>
      </c>
      <c r="U40" s="3" t="str">
        <f t="shared" ca="1" si="29"/>
        <v>Desing, Scott M</v>
      </c>
      <c r="V40" s="3" t="str">
        <f t="shared" ca="1" si="29"/>
        <v>Drebin, James</v>
      </c>
      <c r="W40" s="3" t="str">
        <f t="shared" ca="1" si="29"/>
        <v>Edwards, Christopher S</v>
      </c>
      <c r="X40" s="3" t="str">
        <f t="shared" ca="1" si="29"/>
        <v>Emptage, Nick</v>
      </c>
      <c r="Y40" s="3" t="str">
        <f t="shared" ca="1" si="29"/>
        <v>Ferguson, Scott Remote</v>
      </c>
      <c r="Z40" s="3" t="str">
        <f t="shared" ca="1" si="29"/>
        <v>Fonville, Chris</v>
      </c>
      <c r="AA40" s="3" t="str">
        <f t="shared" ca="1" si="29"/>
        <v>Gilmer, Justin T</v>
      </c>
      <c r="AB40" s="3" t="str">
        <f t="shared" ca="1" si="29"/>
        <v>Hendrick, Matt R</v>
      </c>
      <c r="AC40" s="3" t="str">
        <f t="shared" ca="1" si="29"/>
        <v>Holden, Brent Remote</v>
      </c>
      <c r="AD40" s="3" t="str">
        <f t="shared" ca="1" si="29"/>
        <v>Holley, Jeremy Remote</v>
      </c>
      <c r="AE40" s="3" t="str">
        <f t="shared" ca="1" si="29"/>
        <v>Inabinet, Gregory</v>
      </c>
      <c r="AF40" s="3" t="str">
        <f t="shared" ca="1" si="29"/>
        <v>James, Larry Remote</v>
      </c>
      <c r="AG40" s="3" t="str">
        <f t="shared" ca="1" si="29"/>
        <v>Johnson, Creed D</v>
      </c>
      <c r="AH40" s="3" t="str">
        <f t="shared" ca="1" si="29"/>
        <v>Locklear, Dave Remote</v>
      </c>
      <c r="AI40" s="3" t="str">
        <f t="shared" ca="1" si="29"/>
        <v>Marsh, Alexander Remote</v>
      </c>
      <c r="AJ40" s="3" t="str">
        <f t="shared" ca="1" si="29"/>
        <v>Martin, Douglas C</v>
      </c>
      <c r="AK40" s="3" t="str">
        <f t="shared" ca="1" si="29"/>
        <v>Mccoy, William M</v>
      </c>
      <c r="AL40" s="3" t="str">
        <f t="shared" ca="1" si="29"/>
        <v>Montanez, Johanna</v>
      </c>
      <c r="AM40" s="3" t="str">
        <f t="shared" ca="1" si="29"/>
        <v>Moore, Kevin B</v>
      </c>
      <c r="AN40" s="3" t="str">
        <f t="shared" ca="1" si="29"/>
        <v>Murdaugh, Stephen K</v>
      </c>
      <c r="AO40" s="3" t="str">
        <f t="shared" ca="1" si="29"/>
        <v>Murphy, William A</v>
      </c>
      <c r="AP40" s="3" t="str">
        <f t="shared" ca="1" si="29"/>
        <v>Nance, Rob Remote</v>
      </c>
      <c r="AQ40" s="3" t="str">
        <f t="shared" ca="1" si="29"/>
        <v>Neeley, Amber Remote</v>
      </c>
      <c r="AR40" s="3" t="str">
        <f t="shared" ca="1" si="29"/>
        <v>Neeley, Michael Remote</v>
      </c>
      <c r="AS40" s="3" t="str">
        <f t="shared" ca="1" si="29"/>
        <v>Neill, Charles H</v>
      </c>
      <c r="AT40" s="3" t="str">
        <f t="shared" ca="1" si="29"/>
        <v>Nguyen, Thai Remote</v>
      </c>
      <c r="AU40" s="3" t="str">
        <f t="shared" ca="1" si="29"/>
        <v>Paul, Wilmaison</v>
      </c>
      <c r="AV40" s="3" t="str">
        <f t="shared" ca="1" si="29"/>
        <v>Penrose, Tim Remote</v>
      </c>
      <c r="AW40" s="3" t="str">
        <f t="shared" ca="1" si="29"/>
        <v>Powell, LaMar</v>
      </c>
      <c r="AX40" s="3" t="str">
        <f t="shared" ca="1" si="29"/>
        <v>Reams, Byron L</v>
      </c>
      <c r="AY40" s="3" t="str">
        <f t="shared" ca="1" si="29"/>
        <v>Robbins, Dale</v>
      </c>
      <c r="AZ40" s="3" t="str">
        <f t="shared" ca="1" si="29"/>
        <v>Robbins, Thomas D</v>
      </c>
      <c r="BA40" s="3" t="str">
        <f t="shared" ca="1" si="29"/>
        <v>Ruffin, Chris</v>
      </c>
      <c r="BB40" s="3" t="str">
        <f t="shared" ca="1" si="29"/>
        <v>Sams, David</v>
      </c>
      <c r="BC40" s="3" t="str">
        <f t="shared" ca="1" si="29"/>
        <v>Sapp, Carl G</v>
      </c>
      <c r="BD40" s="3" t="str">
        <f t="shared" ca="1" si="29"/>
        <v>Staub, Kevin</v>
      </c>
      <c r="BE40" s="3" t="str">
        <f t="shared" ca="1" si="29"/>
        <v>Staub, Ryan</v>
      </c>
      <c r="BF40" s="3" t="str">
        <f t="shared" ca="1" si="29"/>
        <v>Steel, Van Remote</v>
      </c>
      <c r="BG40" s="3" t="str">
        <f t="shared" ca="1" si="29"/>
        <v>Stonecypher, David</v>
      </c>
      <c r="BH40" s="3" t="str">
        <f t="shared" ca="1" si="29"/>
        <v>Straw, Adam D</v>
      </c>
      <c r="BI40" s="3" t="str">
        <f t="shared" ca="1" si="29"/>
        <v>Warren, Jason</v>
      </c>
      <c r="BJ40" s="3" t="str">
        <f t="shared" ca="1" si="29"/>
        <v>Warren, Todd Remote</v>
      </c>
      <c r="BK40" s="3" t="str">
        <f t="shared" ca="1" si="29"/>
        <v>Wells, Seth Remote</v>
      </c>
      <c r="BL40" s="3" t="str">
        <f t="shared" ca="1" si="29"/>
        <v>White, Jarred</v>
      </c>
      <c r="BM40" s="3" t="str">
        <f t="shared" ca="1" si="29"/>
        <v>Winburn, Steve A</v>
      </c>
      <c r="BN40" s="3" t="str">
        <f t="shared" ca="1" si="29"/>
        <v>Young, Kenneth</v>
      </c>
    </row>
    <row r="41" spans="1:66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Barker, Christopher A;Delehanty, Kyle T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3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30" stopIfTrue="1" operator="equal">
      <formula>0</formula>
    </cfRule>
  </conditionalFormatting>
  <conditionalFormatting sqref="D26:J28 K28:BE28">
    <cfRule type="cellIs" dxfId="234" priority="31" stopIfTrue="1" operator="equal">
      <formula>1</formula>
    </cfRule>
  </conditionalFormatting>
  <conditionalFormatting sqref="H3:I3 F23 H5:I5 H7:I7 H9:I9 H11:I11 H13:I13 H15:I15 H17:I17 H19:I19 H21:I21">
    <cfRule type="cellIs" dxfId="233" priority="32" stopIfTrue="1" operator="equal">
      <formula>0</formula>
    </cfRule>
  </conditionalFormatting>
  <conditionalFormatting sqref="H4:I4 F24 H6:I6 H8:I8 H10:I10 H12:I12 H14:I14 H16:I16 H18:I18 H20:I20 H22:I22">
    <cfRule type="cellIs" dxfId="232" priority="33" stopIfTrue="1" operator="equal">
      <formula>0</formula>
    </cfRule>
  </conditionalFormatting>
  <conditionalFormatting sqref="F3 F5 F7 F9 F11 F13 F15 F17 F19 F21">
    <cfRule type="cellIs" dxfId="23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36" stopIfTrue="1">
      <formula>AND(COUNTA(J4)=1,$E4=1,SUM($E3:$E4)=1)</formula>
    </cfRule>
    <cfRule type="expression" dxfId="22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38" stopIfTrue="1">
      <formula>AND(COUNTA(J3)=1,$E3=1,SUM($E3:$E4)=1)</formula>
    </cfRule>
    <cfRule type="expression" dxfId="226" priority="39" stopIfTrue="1">
      <formula>AND(COUNTA(J3)=1,$E3=0,SUM($E3:$E4)=1)</formula>
    </cfRule>
  </conditionalFormatting>
  <conditionalFormatting sqref="BF23:BN23">
    <cfRule type="cellIs" dxfId="225" priority="7" stopIfTrue="1" operator="equal">
      <formula>0</formula>
    </cfRule>
  </conditionalFormatting>
  <conditionalFormatting sqref="BF24:BN24">
    <cfRule type="cellIs" dxfId="224" priority="6" stopIfTrue="1" operator="equal">
      <formula>0</formula>
    </cfRule>
  </conditionalFormatting>
  <conditionalFormatting sqref="BF28:BN28">
    <cfRule type="cellIs" dxfId="22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22" priority="3" stopIfTrue="1">
      <formula>AND(COUNTA(BF4)=1,$E4=1,SUM($E3:$E4)=1)</formula>
    </cfRule>
    <cfRule type="expression" dxfId="22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0" priority="1" stopIfTrue="1">
      <formula>AND(COUNTA(BF3)=1,$E3=1,SUM($E3:$E4)=1)</formula>
    </cfRule>
    <cfRule type="expression" dxfId="2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>
      <c r="B1" s="6"/>
      <c r="I1">
        <f>COUNTA(K1:BW1)</f>
        <v>0</v>
      </c>
      <c r="J1">
        <f>SUM(K1:BW1)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>
      <c r="A3" s="59">
        <v>1</v>
      </c>
      <c r="B3" s="67" t="s">
        <v>192</v>
      </c>
      <c r="C3" s="65">
        <v>14.5</v>
      </c>
      <c r="D3" s="64">
        <v>62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 t="s">
        <v>314</v>
      </c>
      <c r="M3" s="69" t="s">
        <v>314</v>
      </c>
      <c r="N3" s="69" t="s">
        <v>314</v>
      </c>
      <c r="O3" s="69" t="s">
        <v>314</v>
      </c>
      <c r="P3" s="69"/>
      <c r="Q3" s="69" t="s">
        <v>314</v>
      </c>
      <c r="R3" s="69" t="s">
        <v>314</v>
      </c>
      <c r="S3" s="69"/>
      <c r="T3" s="69"/>
      <c r="U3" s="69"/>
      <c r="V3" s="69"/>
      <c r="W3" s="69" t="s">
        <v>314</v>
      </c>
      <c r="X3" s="69" t="s">
        <v>314</v>
      </c>
      <c r="Y3" s="69" t="s">
        <v>314</v>
      </c>
      <c r="Z3" s="69"/>
      <c r="AA3" s="69" t="s">
        <v>314</v>
      </c>
      <c r="AB3" s="69" t="s">
        <v>314</v>
      </c>
      <c r="AC3" s="69" t="s">
        <v>314</v>
      </c>
      <c r="AD3" s="69" t="s">
        <v>314</v>
      </c>
      <c r="AE3" s="69" t="s">
        <v>314</v>
      </c>
      <c r="AF3" s="69" t="s">
        <v>314</v>
      </c>
      <c r="AG3" s="69"/>
      <c r="AH3" s="69" t="s">
        <v>314</v>
      </c>
      <c r="AI3" s="69" t="s">
        <v>314</v>
      </c>
      <c r="AJ3" s="69" t="s">
        <v>314</v>
      </c>
      <c r="AK3" s="69"/>
      <c r="AL3" s="69"/>
      <c r="AM3" s="69" t="s">
        <v>314</v>
      </c>
      <c r="AN3" s="69"/>
      <c r="AO3" s="69"/>
      <c r="AP3" s="69"/>
      <c r="AQ3" s="69" t="s">
        <v>314</v>
      </c>
      <c r="AR3" s="96" t="s">
        <v>314</v>
      </c>
      <c r="AS3" s="69"/>
      <c r="AT3" s="69"/>
      <c r="AU3" s="69" t="s">
        <v>314</v>
      </c>
      <c r="AV3" s="69" t="s">
        <v>314</v>
      </c>
      <c r="AW3" s="69"/>
      <c r="AX3" s="69"/>
      <c r="AY3" s="69" t="s">
        <v>314</v>
      </c>
      <c r="AZ3" s="69"/>
      <c r="BA3" s="69"/>
      <c r="BB3" s="69" t="s">
        <v>314</v>
      </c>
      <c r="BC3" s="69" t="s">
        <v>314</v>
      </c>
      <c r="BD3" s="69" t="s">
        <v>314</v>
      </c>
      <c r="BE3" s="96" t="s">
        <v>314</v>
      </c>
      <c r="BF3" s="69"/>
      <c r="BG3" s="69"/>
      <c r="BH3" s="69" t="s">
        <v>314</v>
      </c>
      <c r="BI3" s="69"/>
      <c r="BJ3" s="69" t="s">
        <v>314</v>
      </c>
      <c r="BK3" s="69"/>
      <c r="BL3" s="69" t="s">
        <v>314</v>
      </c>
      <c r="BM3" s="69" t="s">
        <v>314</v>
      </c>
      <c r="BN3" s="69"/>
    </row>
    <row r="4" spans="1:66">
      <c r="A4" s="61" t="s">
        <v>3</v>
      </c>
      <c r="B4" s="68" t="s">
        <v>146</v>
      </c>
      <c r="C4" s="66"/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22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 t="s">
        <v>314</v>
      </c>
      <c r="Q4" s="70"/>
      <c r="R4" s="70"/>
      <c r="S4" s="70" t="s">
        <v>314</v>
      </c>
      <c r="T4" s="70" t="s">
        <v>314</v>
      </c>
      <c r="U4" s="97" t="s">
        <v>314</v>
      </c>
      <c r="V4" s="70" t="s">
        <v>314</v>
      </c>
      <c r="W4" s="70"/>
      <c r="X4" s="70"/>
      <c r="Y4" s="70"/>
      <c r="Z4" s="70" t="s">
        <v>314</v>
      </c>
      <c r="AA4" s="70"/>
      <c r="AB4" s="70"/>
      <c r="AC4" s="70"/>
      <c r="AD4" s="70"/>
      <c r="AE4" s="70"/>
      <c r="AF4" s="70"/>
      <c r="AG4" s="70" t="s">
        <v>314</v>
      </c>
      <c r="AH4" s="70"/>
      <c r="AI4" s="70"/>
      <c r="AJ4" s="70"/>
      <c r="AK4" s="70" t="s">
        <v>314</v>
      </c>
      <c r="AL4" s="70" t="s">
        <v>314</v>
      </c>
      <c r="AM4" s="70"/>
      <c r="AN4" s="70" t="s">
        <v>314</v>
      </c>
      <c r="AO4" s="70" t="s">
        <v>314</v>
      </c>
      <c r="AP4" s="70"/>
      <c r="AQ4" s="70"/>
      <c r="AR4" s="70"/>
      <c r="AS4" s="70" t="s">
        <v>314</v>
      </c>
      <c r="AT4" s="70" t="s">
        <v>314</v>
      </c>
      <c r="AU4" s="70"/>
      <c r="AV4" s="70"/>
      <c r="AW4" s="70" t="s">
        <v>314</v>
      </c>
      <c r="AX4" s="70" t="s">
        <v>314</v>
      </c>
      <c r="AY4" s="70"/>
      <c r="AZ4" s="70" t="s">
        <v>314</v>
      </c>
      <c r="BA4" s="70" t="s">
        <v>314</v>
      </c>
      <c r="BB4" s="70"/>
      <c r="BC4" s="70"/>
      <c r="BD4" s="70"/>
      <c r="BE4" s="70"/>
      <c r="BF4" s="70" t="s">
        <v>314</v>
      </c>
      <c r="BG4" s="70" t="s">
        <v>314</v>
      </c>
      <c r="BH4" s="70"/>
      <c r="BI4" s="70" t="s">
        <v>314</v>
      </c>
      <c r="BJ4" s="70"/>
      <c r="BK4" s="70" t="s">
        <v>314</v>
      </c>
      <c r="BL4" s="70"/>
      <c r="BM4" s="70"/>
      <c r="BN4" s="70" t="s">
        <v>314</v>
      </c>
    </row>
    <row r="5" spans="1:66">
      <c r="A5" s="59">
        <v>2</v>
      </c>
      <c r="B5" s="67" t="s">
        <v>203</v>
      </c>
      <c r="C5" s="65"/>
      <c r="D5" s="64">
        <v>39</v>
      </c>
      <c r="E5" s="64">
        <f>IF(ISBLANK($D5),"0",IF(($D6-$D5)&lt;($C6-$C5),1,0))</f>
        <v>1</v>
      </c>
      <c r="F5" s="64">
        <f t="shared" ca="1" si="1"/>
        <v>29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314</v>
      </c>
      <c r="M5" s="69" t="s">
        <v>314</v>
      </c>
      <c r="N5" s="69"/>
      <c r="O5" s="69"/>
      <c r="P5" s="69"/>
      <c r="Q5" s="69" t="s">
        <v>314</v>
      </c>
      <c r="R5" s="69" t="s">
        <v>314</v>
      </c>
      <c r="S5" s="69"/>
      <c r="T5" s="69"/>
      <c r="U5" s="96"/>
      <c r="V5" s="69"/>
      <c r="W5" s="69"/>
      <c r="X5" s="69" t="s">
        <v>314</v>
      </c>
      <c r="Y5" s="69" t="s">
        <v>314</v>
      </c>
      <c r="Z5" s="69" t="s">
        <v>314</v>
      </c>
      <c r="AA5" s="69"/>
      <c r="AB5" s="69" t="s">
        <v>314</v>
      </c>
      <c r="AC5" s="69" t="s">
        <v>314</v>
      </c>
      <c r="AD5" s="69"/>
      <c r="AE5" s="69"/>
      <c r="AF5" s="69" t="s">
        <v>314</v>
      </c>
      <c r="AG5" s="69" t="s">
        <v>314</v>
      </c>
      <c r="AH5" s="69" t="s">
        <v>314</v>
      </c>
      <c r="AI5" s="69"/>
      <c r="AJ5" s="69"/>
      <c r="AK5" s="69"/>
      <c r="AL5" s="69"/>
      <c r="AM5" s="69" t="s">
        <v>314</v>
      </c>
      <c r="AN5" s="69"/>
      <c r="AO5" s="69"/>
      <c r="AP5" s="69"/>
      <c r="AQ5" s="69" t="s">
        <v>314</v>
      </c>
      <c r="AR5" s="96"/>
      <c r="AS5" s="69" t="s">
        <v>314</v>
      </c>
      <c r="AT5" s="69" t="s">
        <v>314</v>
      </c>
      <c r="AU5" s="69" t="s">
        <v>314</v>
      </c>
      <c r="AV5" s="69" t="s">
        <v>314</v>
      </c>
      <c r="AW5" s="69"/>
      <c r="AX5" s="69"/>
      <c r="AY5" s="69" t="s">
        <v>314</v>
      </c>
      <c r="AZ5" s="69" t="s">
        <v>314</v>
      </c>
      <c r="BA5" s="69" t="s">
        <v>314</v>
      </c>
      <c r="BB5" s="69"/>
      <c r="BC5" s="69"/>
      <c r="BD5" s="69" t="s">
        <v>314</v>
      </c>
      <c r="BE5" s="69" t="s">
        <v>314</v>
      </c>
      <c r="BF5" s="69" t="s">
        <v>314</v>
      </c>
      <c r="BG5" s="69"/>
      <c r="BH5" s="69" t="s">
        <v>314</v>
      </c>
      <c r="BI5" s="69"/>
      <c r="BJ5" s="69" t="s">
        <v>314</v>
      </c>
      <c r="BK5" s="69" t="s">
        <v>314</v>
      </c>
      <c r="BL5" s="69" t="s">
        <v>314</v>
      </c>
      <c r="BM5" s="69"/>
      <c r="BN5" s="69" t="s">
        <v>314</v>
      </c>
    </row>
    <row r="6" spans="1:66">
      <c r="A6" s="61" t="s">
        <v>3</v>
      </c>
      <c r="B6" s="68" t="s">
        <v>193</v>
      </c>
      <c r="C6" s="66">
        <v>6.5</v>
      </c>
      <c r="D6" s="64">
        <v>42</v>
      </c>
      <c r="E6" s="64">
        <f>IF(ISBLANK($D6),"0",IF(($D6-$D5)&gt;($C6-$C5),1,0))</f>
        <v>0</v>
      </c>
      <c r="F6" s="64">
        <f t="shared" ca="1" si="1"/>
        <v>26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314</v>
      </c>
      <c r="L6" s="70"/>
      <c r="M6" s="70"/>
      <c r="N6" s="70" t="s">
        <v>314</v>
      </c>
      <c r="O6" s="70" t="s">
        <v>314</v>
      </c>
      <c r="P6" s="70" t="s">
        <v>314</v>
      </c>
      <c r="Q6" s="70"/>
      <c r="R6" s="70"/>
      <c r="S6" s="70" t="s">
        <v>314</v>
      </c>
      <c r="T6" s="70" t="s">
        <v>314</v>
      </c>
      <c r="U6" s="70" t="s">
        <v>314</v>
      </c>
      <c r="V6" s="70" t="s">
        <v>314</v>
      </c>
      <c r="W6" s="70" t="s">
        <v>314</v>
      </c>
      <c r="X6" s="70"/>
      <c r="Y6" s="70"/>
      <c r="Z6" s="70"/>
      <c r="AA6" s="70" t="s">
        <v>314</v>
      </c>
      <c r="AB6" s="70"/>
      <c r="AC6" s="70"/>
      <c r="AD6" s="70" t="s">
        <v>314</v>
      </c>
      <c r="AE6" s="70" t="s">
        <v>314</v>
      </c>
      <c r="AF6" s="70"/>
      <c r="AG6" s="70"/>
      <c r="AH6" s="70"/>
      <c r="AI6" s="70" t="s">
        <v>314</v>
      </c>
      <c r="AJ6" s="70" t="s">
        <v>314</v>
      </c>
      <c r="AK6" s="70" t="s">
        <v>314</v>
      </c>
      <c r="AL6" s="70" t="s">
        <v>314</v>
      </c>
      <c r="AM6" s="70"/>
      <c r="AN6" s="70" t="s">
        <v>314</v>
      </c>
      <c r="AO6" s="70" t="s">
        <v>314</v>
      </c>
      <c r="AP6" s="70"/>
      <c r="AQ6" s="70"/>
      <c r="AR6" s="70" t="s">
        <v>314</v>
      </c>
      <c r="AS6" s="70"/>
      <c r="AT6" s="70"/>
      <c r="AU6" s="70"/>
      <c r="AV6" s="70"/>
      <c r="AW6" s="70" t="s">
        <v>314</v>
      </c>
      <c r="AX6" s="70" t="s">
        <v>314</v>
      </c>
      <c r="AY6" s="70"/>
      <c r="AZ6" s="70"/>
      <c r="BA6" s="70"/>
      <c r="BB6" s="70" t="s">
        <v>314</v>
      </c>
      <c r="BC6" s="70" t="s">
        <v>314</v>
      </c>
      <c r="BD6" s="70"/>
      <c r="BE6" s="97"/>
      <c r="BF6" s="70"/>
      <c r="BG6" s="70" t="s">
        <v>314</v>
      </c>
      <c r="BH6" s="70"/>
      <c r="BI6" s="70" t="s">
        <v>314</v>
      </c>
      <c r="BJ6" s="70"/>
      <c r="BK6" s="70"/>
      <c r="BL6" s="70"/>
      <c r="BM6" s="70" t="s">
        <v>314</v>
      </c>
      <c r="BN6" s="70"/>
    </row>
    <row r="7" spans="1:66">
      <c r="A7" s="59">
        <v>3</v>
      </c>
      <c r="B7" s="67" t="s">
        <v>247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22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314</v>
      </c>
      <c r="L7" s="69"/>
      <c r="M7" s="69" t="s">
        <v>314</v>
      </c>
      <c r="N7" s="69"/>
      <c r="O7" s="69"/>
      <c r="P7" s="69" t="s">
        <v>314</v>
      </c>
      <c r="Q7" s="69"/>
      <c r="R7" s="96" t="s">
        <v>314</v>
      </c>
      <c r="S7" s="96" t="s">
        <v>314</v>
      </c>
      <c r="T7" s="96" t="s">
        <v>314</v>
      </c>
      <c r="U7" s="96"/>
      <c r="V7" s="69"/>
      <c r="W7" s="69"/>
      <c r="X7" s="69"/>
      <c r="Y7" s="69"/>
      <c r="Z7" s="69" t="s">
        <v>314</v>
      </c>
      <c r="AA7" s="69" t="s">
        <v>314</v>
      </c>
      <c r="AB7" s="69"/>
      <c r="AC7" s="69" t="s">
        <v>314</v>
      </c>
      <c r="AD7" s="69"/>
      <c r="AE7" s="69" t="s">
        <v>314</v>
      </c>
      <c r="AF7" s="69" t="s">
        <v>314</v>
      </c>
      <c r="AG7" s="69"/>
      <c r="AH7" s="69"/>
      <c r="AI7" s="69"/>
      <c r="AJ7" s="69" t="s">
        <v>314</v>
      </c>
      <c r="AK7" s="69"/>
      <c r="AL7" s="69"/>
      <c r="AM7" s="69"/>
      <c r="AN7" s="69" t="s">
        <v>314</v>
      </c>
      <c r="AO7" s="69"/>
      <c r="AP7" s="69"/>
      <c r="AQ7" s="69"/>
      <c r="AR7" s="96" t="s">
        <v>314</v>
      </c>
      <c r="AS7" s="69"/>
      <c r="AT7" s="69" t="s">
        <v>314</v>
      </c>
      <c r="AU7" s="69" t="s">
        <v>314</v>
      </c>
      <c r="AV7" s="69"/>
      <c r="AW7" s="69"/>
      <c r="AX7" s="69"/>
      <c r="AY7" s="69"/>
      <c r="AZ7" s="69" t="s">
        <v>314</v>
      </c>
      <c r="BA7" s="69" t="s">
        <v>314</v>
      </c>
      <c r="BB7" s="69"/>
      <c r="BC7" s="69"/>
      <c r="BD7" s="69" t="s">
        <v>314</v>
      </c>
      <c r="BE7" s="96"/>
      <c r="BF7" s="69"/>
      <c r="BG7" s="69"/>
      <c r="BH7" s="69"/>
      <c r="BI7" s="69" t="s">
        <v>314</v>
      </c>
      <c r="BJ7" s="69" t="s">
        <v>314</v>
      </c>
      <c r="BK7" s="69" t="s">
        <v>314</v>
      </c>
      <c r="BL7" s="69"/>
      <c r="BM7" s="69"/>
      <c r="BN7" s="69"/>
    </row>
    <row r="8" spans="1:66">
      <c r="A8" s="61" t="s">
        <v>3</v>
      </c>
      <c r="B8" s="68" t="s">
        <v>234</v>
      </c>
      <c r="C8" s="66">
        <v>7.5</v>
      </c>
      <c r="D8" s="64">
        <v>38</v>
      </c>
      <c r="E8" s="64">
        <f>IF(ISBLANK($D8),"0",IF(($D8-$D7)&gt;($C8-$C7),1,0))</f>
        <v>0</v>
      </c>
      <c r="F8" s="64">
        <f t="shared" ca="1" si="1"/>
        <v>33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 t="s">
        <v>314</v>
      </c>
      <c r="M8" s="70"/>
      <c r="N8" s="70" t="s">
        <v>314</v>
      </c>
      <c r="O8" s="70" t="s">
        <v>314</v>
      </c>
      <c r="P8" s="70"/>
      <c r="Q8" s="70" t="s">
        <v>314</v>
      </c>
      <c r="R8" s="97"/>
      <c r="S8" s="97"/>
      <c r="T8" s="97"/>
      <c r="U8" s="97" t="s">
        <v>314</v>
      </c>
      <c r="V8" s="70" t="s">
        <v>314</v>
      </c>
      <c r="W8" s="70" t="s">
        <v>314</v>
      </c>
      <c r="X8" s="70" t="s">
        <v>314</v>
      </c>
      <c r="Y8" s="70" t="s">
        <v>314</v>
      </c>
      <c r="Z8" s="70"/>
      <c r="AA8" s="70"/>
      <c r="AB8" s="70" t="s">
        <v>314</v>
      </c>
      <c r="AC8" s="70"/>
      <c r="AD8" s="70" t="s">
        <v>314</v>
      </c>
      <c r="AE8" s="70"/>
      <c r="AF8" s="70"/>
      <c r="AG8" s="70" t="s">
        <v>314</v>
      </c>
      <c r="AH8" s="70" t="s">
        <v>314</v>
      </c>
      <c r="AI8" s="70" t="s">
        <v>314</v>
      </c>
      <c r="AJ8" s="70"/>
      <c r="AK8" s="70" t="s">
        <v>314</v>
      </c>
      <c r="AL8" s="70" t="s">
        <v>314</v>
      </c>
      <c r="AM8" s="70" t="s">
        <v>314</v>
      </c>
      <c r="AN8" s="70"/>
      <c r="AO8" s="70" t="s">
        <v>314</v>
      </c>
      <c r="AP8" s="70"/>
      <c r="AQ8" s="70" t="s">
        <v>314</v>
      </c>
      <c r="AR8" s="70"/>
      <c r="AS8" s="70" t="s">
        <v>314</v>
      </c>
      <c r="AT8" s="70"/>
      <c r="AU8" s="70"/>
      <c r="AV8" s="70" t="s">
        <v>314</v>
      </c>
      <c r="AW8" s="70" t="s">
        <v>314</v>
      </c>
      <c r="AX8" s="70" t="s">
        <v>314</v>
      </c>
      <c r="AY8" s="70" t="s">
        <v>314</v>
      </c>
      <c r="AZ8" s="70"/>
      <c r="BA8" s="70"/>
      <c r="BB8" s="70" t="s">
        <v>314</v>
      </c>
      <c r="BC8" s="70" t="s">
        <v>314</v>
      </c>
      <c r="BD8" s="70"/>
      <c r="BE8" s="70" t="s">
        <v>314</v>
      </c>
      <c r="BF8" s="70" t="s">
        <v>314</v>
      </c>
      <c r="BG8" s="70" t="s">
        <v>314</v>
      </c>
      <c r="BH8" s="70" t="s">
        <v>314</v>
      </c>
      <c r="BI8" s="70"/>
      <c r="BJ8" s="70"/>
      <c r="BK8" s="70"/>
      <c r="BL8" s="70" t="s">
        <v>314</v>
      </c>
      <c r="BM8" s="70" t="s">
        <v>314</v>
      </c>
      <c r="BN8" s="70" t="s">
        <v>314</v>
      </c>
    </row>
    <row r="9" spans="1:66">
      <c r="A9" s="59">
        <v>4</v>
      </c>
      <c r="B9" s="108" t="s">
        <v>150</v>
      </c>
      <c r="C9" s="65"/>
      <c r="D9" s="81">
        <v>14</v>
      </c>
      <c r="E9" s="64">
        <f>IF(ISBLANK($D9),"0",IF(($D10-$D9)&lt;($C10-$C9),1,0))</f>
        <v>0</v>
      </c>
      <c r="F9" s="64">
        <f t="shared" ca="1" si="1"/>
        <v>29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 t="s">
        <v>314</v>
      </c>
      <c r="M9" s="69"/>
      <c r="N9" s="69" t="s">
        <v>314</v>
      </c>
      <c r="O9" s="69" t="s">
        <v>314</v>
      </c>
      <c r="P9" s="69"/>
      <c r="Q9" s="69" t="s">
        <v>314</v>
      </c>
      <c r="R9" s="96" t="s">
        <v>314</v>
      </c>
      <c r="S9" s="96"/>
      <c r="T9" s="96" t="s">
        <v>314</v>
      </c>
      <c r="U9" s="96" t="s">
        <v>314</v>
      </c>
      <c r="V9" s="69" t="s">
        <v>314</v>
      </c>
      <c r="W9" s="69" t="s">
        <v>314</v>
      </c>
      <c r="X9" s="69"/>
      <c r="Y9" s="69" t="s">
        <v>314</v>
      </c>
      <c r="Z9" s="69"/>
      <c r="AA9" s="69"/>
      <c r="AB9" s="69"/>
      <c r="AC9" s="69" t="s">
        <v>314</v>
      </c>
      <c r="AD9" s="69"/>
      <c r="AE9" s="69" t="s">
        <v>314</v>
      </c>
      <c r="AF9" s="69"/>
      <c r="AG9" s="69"/>
      <c r="AH9" s="69"/>
      <c r="AI9" s="69" t="s">
        <v>314</v>
      </c>
      <c r="AJ9" s="69"/>
      <c r="AK9" s="69"/>
      <c r="AL9" s="69"/>
      <c r="AM9" s="69" t="s">
        <v>314</v>
      </c>
      <c r="AN9" s="69" t="s">
        <v>314</v>
      </c>
      <c r="AO9" s="69" t="s">
        <v>314</v>
      </c>
      <c r="AP9" s="69"/>
      <c r="AQ9" s="69"/>
      <c r="AR9" s="96"/>
      <c r="AS9" s="69" t="s">
        <v>314</v>
      </c>
      <c r="AT9" s="69" t="s">
        <v>314</v>
      </c>
      <c r="AU9" s="69" t="s">
        <v>314</v>
      </c>
      <c r="AV9" s="69"/>
      <c r="AW9" s="69"/>
      <c r="AX9" s="69" t="s">
        <v>314</v>
      </c>
      <c r="AY9" s="69" t="s">
        <v>314</v>
      </c>
      <c r="AZ9" s="69"/>
      <c r="BA9" s="69"/>
      <c r="BB9" s="69"/>
      <c r="BC9" s="69" t="s">
        <v>314</v>
      </c>
      <c r="BD9" s="69" t="s">
        <v>314</v>
      </c>
      <c r="BE9" s="96" t="s">
        <v>314</v>
      </c>
      <c r="BF9" s="69"/>
      <c r="BG9" s="69"/>
      <c r="BH9" s="69" t="s">
        <v>314</v>
      </c>
      <c r="BI9" s="69"/>
      <c r="BJ9" s="69"/>
      <c r="BK9" s="69" t="s">
        <v>314</v>
      </c>
      <c r="BL9" s="69" t="s">
        <v>314</v>
      </c>
      <c r="BM9" s="69" t="s">
        <v>314</v>
      </c>
      <c r="BN9" s="69"/>
    </row>
    <row r="10" spans="1:66">
      <c r="A10" s="61" t="s">
        <v>3</v>
      </c>
      <c r="B10" s="68" t="s">
        <v>138</v>
      </c>
      <c r="C10" s="66">
        <v>6.5</v>
      </c>
      <c r="D10" s="64">
        <v>27</v>
      </c>
      <c r="E10" s="64">
        <f>IF(ISBLANK($D10),"0",IF(($D10-$D9)&gt;($C10-$C9),1,0))</f>
        <v>1</v>
      </c>
      <c r="F10" s="64">
        <f t="shared" ca="1" si="1"/>
        <v>26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 t="s">
        <v>314</v>
      </c>
      <c r="N10" s="70"/>
      <c r="O10" s="70"/>
      <c r="P10" s="70" t="s">
        <v>314</v>
      </c>
      <c r="Q10" s="70"/>
      <c r="R10" s="97"/>
      <c r="S10" s="97" t="s">
        <v>314</v>
      </c>
      <c r="T10" s="97"/>
      <c r="U10" s="70"/>
      <c r="V10" s="70"/>
      <c r="W10" s="70"/>
      <c r="X10" s="70" t="s">
        <v>314</v>
      </c>
      <c r="Y10" s="70"/>
      <c r="Z10" s="70" t="s">
        <v>314</v>
      </c>
      <c r="AA10" s="70" t="s">
        <v>314</v>
      </c>
      <c r="AB10" s="70" t="s">
        <v>314</v>
      </c>
      <c r="AC10" s="70"/>
      <c r="AD10" s="70" t="s">
        <v>314</v>
      </c>
      <c r="AE10" s="70"/>
      <c r="AF10" s="70" t="s">
        <v>314</v>
      </c>
      <c r="AG10" s="70" t="s">
        <v>314</v>
      </c>
      <c r="AH10" s="70" t="s">
        <v>314</v>
      </c>
      <c r="AI10" s="70"/>
      <c r="AJ10" s="70" t="s">
        <v>314</v>
      </c>
      <c r="AK10" s="70" t="s">
        <v>314</v>
      </c>
      <c r="AL10" s="70" t="s">
        <v>314</v>
      </c>
      <c r="AM10" s="70"/>
      <c r="AN10" s="70"/>
      <c r="AO10" s="70"/>
      <c r="AP10" s="70"/>
      <c r="AQ10" s="70" t="s">
        <v>314</v>
      </c>
      <c r="AR10" s="70" t="s">
        <v>314</v>
      </c>
      <c r="AS10" s="70"/>
      <c r="AT10" s="70"/>
      <c r="AU10" s="70"/>
      <c r="AV10" s="70" t="s">
        <v>314</v>
      </c>
      <c r="AW10" s="70" t="s">
        <v>314</v>
      </c>
      <c r="AX10" s="70"/>
      <c r="AY10" s="70"/>
      <c r="AZ10" s="70" t="s">
        <v>314</v>
      </c>
      <c r="BA10" s="70" t="s">
        <v>314</v>
      </c>
      <c r="BB10" s="70" t="s">
        <v>314</v>
      </c>
      <c r="BC10" s="70"/>
      <c r="BD10" s="70"/>
      <c r="BE10" s="70"/>
      <c r="BF10" s="70" t="s">
        <v>314</v>
      </c>
      <c r="BG10" s="70" t="s">
        <v>314</v>
      </c>
      <c r="BH10" s="70"/>
      <c r="BI10" s="70" t="s">
        <v>314</v>
      </c>
      <c r="BJ10" s="70" t="s">
        <v>314</v>
      </c>
      <c r="BK10" s="70"/>
      <c r="BL10" s="70"/>
      <c r="BM10" s="70"/>
      <c r="BN10" s="70" t="s">
        <v>314</v>
      </c>
    </row>
    <row r="11" spans="1:66">
      <c r="A11" s="59">
        <v>5</v>
      </c>
      <c r="B11" s="67" t="s">
        <v>169</v>
      </c>
      <c r="C11" s="65">
        <v>4.5</v>
      </c>
      <c r="D11" s="64">
        <v>30</v>
      </c>
      <c r="E11" s="64">
        <f>IF(ISBLANK($D11),"0",IF(($D12-$D11)&lt;($C12-$C11),1,0))</f>
        <v>0</v>
      </c>
      <c r="F11" s="64">
        <f t="shared" ca="1" si="1"/>
        <v>41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314</v>
      </c>
      <c r="L11" s="69" t="s">
        <v>314</v>
      </c>
      <c r="M11" s="69" t="s">
        <v>314</v>
      </c>
      <c r="N11" s="69" t="s">
        <v>314</v>
      </c>
      <c r="O11" s="69" t="s">
        <v>314</v>
      </c>
      <c r="P11" s="69" t="s">
        <v>314</v>
      </c>
      <c r="Q11" s="69" t="s">
        <v>314</v>
      </c>
      <c r="R11" s="96"/>
      <c r="S11" s="96" t="s">
        <v>314</v>
      </c>
      <c r="T11" s="96" t="s">
        <v>314</v>
      </c>
      <c r="U11" s="69" t="s">
        <v>314</v>
      </c>
      <c r="V11" s="69"/>
      <c r="W11" s="69" t="s">
        <v>314</v>
      </c>
      <c r="X11" s="69" t="s">
        <v>314</v>
      </c>
      <c r="Y11" s="69" t="s">
        <v>314</v>
      </c>
      <c r="Z11" s="69" t="s">
        <v>314</v>
      </c>
      <c r="AA11" s="69"/>
      <c r="AB11" s="69" t="s">
        <v>314</v>
      </c>
      <c r="AC11" s="69" t="s">
        <v>314</v>
      </c>
      <c r="AD11" s="69"/>
      <c r="AE11" s="69"/>
      <c r="AF11" s="69" t="s">
        <v>314</v>
      </c>
      <c r="AG11" s="69" t="s">
        <v>314</v>
      </c>
      <c r="AH11" s="69"/>
      <c r="AI11" s="69" t="s">
        <v>314</v>
      </c>
      <c r="AJ11" s="69" t="s">
        <v>314</v>
      </c>
      <c r="AK11" s="69" t="s">
        <v>314</v>
      </c>
      <c r="AL11" s="69" t="s">
        <v>314</v>
      </c>
      <c r="AM11" s="69" t="s">
        <v>314</v>
      </c>
      <c r="AN11" s="69"/>
      <c r="AO11" s="69" t="s">
        <v>314</v>
      </c>
      <c r="AP11" s="69"/>
      <c r="AQ11" s="69" t="s">
        <v>314</v>
      </c>
      <c r="AR11" s="69" t="s">
        <v>314</v>
      </c>
      <c r="AS11" s="69"/>
      <c r="AT11" s="69"/>
      <c r="AU11" s="69"/>
      <c r="AV11" s="69"/>
      <c r="AW11" s="69" t="s">
        <v>314</v>
      </c>
      <c r="AX11" s="69" t="s">
        <v>314</v>
      </c>
      <c r="AY11" s="69" t="s">
        <v>314</v>
      </c>
      <c r="AZ11" s="69"/>
      <c r="BA11" s="69" t="s">
        <v>314</v>
      </c>
      <c r="BB11" s="69" t="s">
        <v>314</v>
      </c>
      <c r="BC11" s="69"/>
      <c r="BD11" s="69" t="s">
        <v>314</v>
      </c>
      <c r="BE11" s="96" t="s">
        <v>314</v>
      </c>
      <c r="BF11" s="69" t="s">
        <v>314</v>
      </c>
      <c r="BG11" s="69" t="s">
        <v>314</v>
      </c>
      <c r="BH11" s="69" t="s">
        <v>314</v>
      </c>
      <c r="BI11" s="69" t="s">
        <v>314</v>
      </c>
      <c r="BJ11" s="69" t="s">
        <v>314</v>
      </c>
      <c r="BK11" s="69"/>
      <c r="BL11" s="69" t="s">
        <v>314</v>
      </c>
      <c r="BM11" s="69" t="s">
        <v>314</v>
      </c>
      <c r="BN11" s="69" t="s">
        <v>314</v>
      </c>
    </row>
    <row r="12" spans="1:66">
      <c r="A12" s="61" t="s">
        <v>3</v>
      </c>
      <c r="B12" s="68" t="s">
        <v>165</v>
      </c>
      <c r="C12" s="66"/>
      <c r="D12" s="64">
        <v>33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 t="s">
        <v>314</v>
      </c>
      <c r="S12" s="97"/>
      <c r="T12" s="97"/>
      <c r="U12" s="97"/>
      <c r="V12" s="70" t="s">
        <v>314</v>
      </c>
      <c r="W12" s="70"/>
      <c r="X12" s="70"/>
      <c r="Y12" s="70"/>
      <c r="Z12" s="70"/>
      <c r="AA12" s="70" t="s">
        <v>314</v>
      </c>
      <c r="AB12" s="70"/>
      <c r="AC12" s="70"/>
      <c r="AD12" s="70" t="s">
        <v>314</v>
      </c>
      <c r="AE12" s="70" t="s">
        <v>314</v>
      </c>
      <c r="AF12" s="70"/>
      <c r="AG12" s="70"/>
      <c r="AH12" s="70" t="s">
        <v>314</v>
      </c>
      <c r="AI12" s="70"/>
      <c r="AJ12" s="70"/>
      <c r="AK12" s="70"/>
      <c r="AL12" s="70"/>
      <c r="AM12" s="70"/>
      <c r="AN12" s="70" t="s">
        <v>314</v>
      </c>
      <c r="AO12" s="70"/>
      <c r="AP12" s="70"/>
      <c r="AQ12" s="70"/>
      <c r="AR12" s="97"/>
      <c r="AS12" s="70" t="s">
        <v>314</v>
      </c>
      <c r="AT12" s="70" t="s">
        <v>314</v>
      </c>
      <c r="AU12" s="70" t="s">
        <v>314</v>
      </c>
      <c r="AV12" s="70" t="s">
        <v>314</v>
      </c>
      <c r="AW12" s="70"/>
      <c r="AX12" s="70"/>
      <c r="AY12" s="70"/>
      <c r="AZ12" s="70" t="s">
        <v>314</v>
      </c>
      <c r="BA12" s="70"/>
      <c r="BB12" s="70"/>
      <c r="BC12" s="70" t="s">
        <v>314</v>
      </c>
      <c r="BD12" s="70"/>
      <c r="BE12" s="70"/>
      <c r="BF12" s="70"/>
      <c r="BG12" s="70"/>
      <c r="BH12" s="70"/>
      <c r="BI12" s="70"/>
      <c r="BJ12" s="70"/>
      <c r="BK12" s="70" t="s">
        <v>314</v>
      </c>
      <c r="BL12" s="70"/>
      <c r="BM12" s="70"/>
      <c r="BN12" s="70"/>
    </row>
    <row r="13" spans="1:66">
      <c r="A13" s="59">
        <v>6</v>
      </c>
      <c r="B13" s="67" t="s">
        <v>164</v>
      </c>
      <c r="C13" s="65">
        <v>10.5</v>
      </c>
      <c r="D13" s="64">
        <v>48</v>
      </c>
      <c r="E13" s="64">
        <f>IF(ISBLANK($D13),"0",IF(($D14-$D13)&lt;($C14-$C13),1,0))</f>
        <v>1</v>
      </c>
      <c r="F13" s="64">
        <f t="shared" ca="1" si="1"/>
        <v>38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314</v>
      </c>
      <c r="M13" s="69" t="s">
        <v>314</v>
      </c>
      <c r="N13" s="69" t="s">
        <v>314</v>
      </c>
      <c r="O13" s="69" t="s">
        <v>314</v>
      </c>
      <c r="P13" s="69" t="s">
        <v>314</v>
      </c>
      <c r="Q13" s="69"/>
      <c r="R13" s="96" t="s">
        <v>314</v>
      </c>
      <c r="S13" s="96" t="s">
        <v>314</v>
      </c>
      <c r="T13" s="96" t="s">
        <v>314</v>
      </c>
      <c r="U13" s="69" t="s">
        <v>314</v>
      </c>
      <c r="V13" s="69" t="s">
        <v>314</v>
      </c>
      <c r="W13" s="69" t="s">
        <v>314</v>
      </c>
      <c r="X13" s="69"/>
      <c r="Y13" s="69"/>
      <c r="Z13" s="69" t="s">
        <v>314</v>
      </c>
      <c r="AA13" s="69" t="s">
        <v>314</v>
      </c>
      <c r="AB13" s="69" t="s">
        <v>314</v>
      </c>
      <c r="AC13" s="69" t="s">
        <v>314</v>
      </c>
      <c r="AD13" s="69" t="s">
        <v>314</v>
      </c>
      <c r="AE13" s="69" t="s">
        <v>314</v>
      </c>
      <c r="AF13" s="69"/>
      <c r="AG13" s="69" t="s">
        <v>314</v>
      </c>
      <c r="AH13" s="69" t="s">
        <v>314</v>
      </c>
      <c r="AI13" s="69"/>
      <c r="AJ13" s="69" t="s">
        <v>314</v>
      </c>
      <c r="AK13" s="69"/>
      <c r="AL13" s="69"/>
      <c r="AM13" s="69" t="s">
        <v>314</v>
      </c>
      <c r="AN13" s="69" t="s">
        <v>314</v>
      </c>
      <c r="AO13" s="69" t="s">
        <v>314</v>
      </c>
      <c r="AP13" s="69"/>
      <c r="AQ13" s="69" t="s">
        <v>314</v>
      </c>
      <c r="AR13" s="96"/>
      <c r="AS13" s="69"/>
      <c r="AT13" s="69" t="s">
        <v>314</v>
      </c>
      <c r="AU13" s="69" t="s">
        <v>314</v>
      </c>
      <c r="AV13" s="69" t="s">
        <v>314</v>
      </c>
      <c r="AW13" s="69"/>
      <c r="AX13" s="69" t="s">
        <v>314</v>
      </c>
      <c r="AY13" s="69"/>
      <c r="AZ13" s="69"/>
      <c r="BA13" s="69" t="s">
        <v>314</v>
      </c>
      <c r="BB13" s="69"/>
      <c r="BC13" s="69" t="s">
        <v>314</v>
      </c>
      <c r="BD13" s="69" t="s">
        <v>314</v>
      </c>
      <c r="BE13" s="96" t="s">
        <v>314</v>
      </c>
      <c r="BF13" s="69" t="s">
        <v>314</v>
      </c>
      <c r="BG13" s="69"/>
      <c r="BH13" s="69"/>
      <c r="BI13" s="69" t="s">
        <v>314</v>
      </c>
      <c r="BJ13" s="69" t="s">
        <v>314</v>
      </c>
      <c r="BK13" s="69"/>
      <c r="BL13" s="69" t="s">
        <v>314</v>
      </c>
      <c r="BM13" s="69" t="s">
        <v>314</v>
      </c>
      <c r="BN13" s="69" t="s">
        <v>314</v>
      </c>
    </row>
    <row r="14" spans="1:66">
      <c r="A14" s="61" t="s">
        <v>3</v>
      </c>
      <c r="B14" s="68" t="s">
        <v>196</v>
      </c>
      <c r="C14" s="66"/>
      <c r="D14" s="64">
        <v>23</v>
      </c>
      <c r="E14" s="64">
        <f>IF(ISBLANK($D14),"0",IF(($D14-$D13)&gt;($C14-$C13),1,0))</f>
        <v>0</v>
      </c>
      <c r="F14" s="64">
        <f t="shared" ca="1" si="1"/>
        <v>17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314</v>
      </c>
      <c r="L14" s="70"/>
      <c r="M14" s="70"/>
      <c r="N14" s="70"/>
      <c r="O14" s="70"/>
      <c r="P14" s="70"/>
      <c r="Q14" s="70" t="s">
        <v>314</v>
      </c>
      <c r="R14" s="97"/>
      <c r="S14" s="97"/>
      <c r="T14" s="97"/>
      <c r="U14" s="97"/>
      <c r="V14" s="70"/>
      <c r="W14" s="70"/>
      <c r="X14" s="70" t="s">
        <v>314</v>
      </c>
      <c r="Y14" s="70" t="s">
        <v>314</v>
      </c>
      <c r="Z14" s="70"/>
      <c r="AA14" s="70"/>
      <c r="AB14" s="70"/>
      <c r="AC14" s="70"/>
      <c r="AD14" s="70"/>
      <c r="AE14" s="70"/>
      <c r="AF14" s="70" t="s">
        <v>314</v>
      </c>
      <c r="AG14" s="70"/>
      <c r="AH14" s="70"/>
      <c r="AI14" s="70" t="s">
        <v>314</v>
      </c>
      <c r="AJ14" s="70"/>
      <c r="AK14" s="70" t="s">
        <v>314</v>
      </c>
      <c r="AL14" s="70" t="s">
        <v>314</v>
      </c>
      <c r="AM14" s="70"/>
      <c r="AN14" s="70"/>
      <c r="AO14" s="70"/>
      <c r="AP14" s="70"/>
      <c r="AQ14" s="70"/>
      <c r="AR14" s="70" t="s">
        <v>314</v>
      </c>
      <c r="AS14" s="70" t="s">
        <v>314</v>
      </c>
      <c r="AT14" s="70"/>
      <c r="AU14" s="70"/>
      <c r="AV14" s="70"/>
      <c r="AW14" s="70" t="s">
        <v>314</v>
      </c>
      <c r="AX14" s="70"/>
      <c r="AY14" s="70" t="s">
        <v>314</v>
      </c>
      <c r="AZ14" s="70" t="s">
        <v>314</v>
      </c>
      <c r="BA14" s="70"/>
      <c r="BB14" s="70" t="s">
        <v>314</v>
      </c>
      <c r="BC14" s="70"/>
      <c r="BD14" s="70"/>
      <c r="BE14" s="70"/>
      <c r="BF14" s="70"/>
      <c r="BG14" s="70" t="s">
        <v>314</v>
      </c>
      <c r="BH14" s="70" t="s">
        <v>314</v>
      </c>
      <c r="BI14" s="70"/>
      <c r="BJ14" s="70"/>
      <c r="BK14" s="70" t="s">
        <v>314</v>
      </c>
      <c r="BL14" s="70"/>
      <c r="BM14" s="70"/>
      <c r="BN14" s="70"/>
    </row>
    <row r="15" spans="1:66">
      <c r="A15" s="59">
        <v>7</v>
      </c>
      <c r="B15" s="67" t="s">
        <v>182</v>
      </c>
      <c r="C15" s="65"/>
      <c r="D15" s="64">
        <v>3</v>
      </c>
      <c r="E15" s="64">
        <f>IF(ISBLANK($D15),"0",IF(($D16-$D15)&lt;($C16-$C15),1,0))</f>
        <v>0</v>
      </c>
      <c r="F15" s="64">
        <f t="shared" ca="1" si="1"/>
        <v>29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314</v>
      </c>
      <c r="M15" s="69"/>
      <c r="N15" s="69"/>
      <c r="O15" s="69" t="s">
        <v>314</v>
      </c>
      <c r="P15" s="69" t="s">
        <v>314</v>
      </c>
      <c r="Q15" s="69"/>
      <c r="R15" s="96" t="s">
        <v>314</v>
      </c>
      <c r="S15" s="96" t="s">
        <v>314</v>
      </c>
      <c r="T15" s="96" t="s">
        <v>314</v>
      </c>
      <c r="U15" s="96"/>
      <c r="V15" s="69"/>
      <c r="W15" s="69"/>
      <c r="X15" s="69" t="s">
        <v>314</v>
      </c>
      <c r="Y15" s="69" t="s">
        <v>314</v>
      </c>
      <c r="Z15" s="69" t="s">
        <v>314</v>
      </c>
      <c r="AA15" s="69"/>
      <c r="AB15" s="69"/>
      <c r="AC15" s="69" t="s">
        <v>314</v>
      </c>
      <c r="AD15" s="69" t="s">
        <v>314</v>
      </c>
      <c r="AE15" s="69" t="s">
        <v>314</v>
      </c>
      <c r="AF15" s="69"/>
      <c r="AG15" s="69" t="s">
        <v>314</v>
      </c>
      <c r="AH15" s="69"/>
      <c r="AI15" s="69" t="s">
        <v>314</v>
      </c>
      <c r="AJ15" s="69"/>
      <c r="AK15" s="69"/>
      <c r="AL15" s="69" t="s">
        <v>314</v>
      </c>
      <c r="AM15" s="69" t="s">
        <v>314</v>
      </c>
      <c r="AN15" s="69"/>
      <c r="AO15" s="69"/>
      <c r="AP15" s="69"/>
      <c r="AQ15" s="69"/>
      <c r="AR15" s="69"/>
      <c r="AS15" s="69" t="s">
        <v>314</v>
      </c>
      <c r="AT15" s="69" t="s">
        <v>314</v>
      </c>
      <c r="AU15" s="69"/>
      <c r="AV15" s="69" t="s">
        <v>314</v>
      </c>
      <c r="AW15" s="69" t="s">
        <v>314</v>
      </c>
      <c r="AX15" s="69" t="s">
        <v>314</v>
      </c>
      <c r="AY15" s="69"/>
      <c r="AZ15" s="69" t="s">
        <v>314</v>
      </c>
      <c r="BA15" s="69"/>
      <c r="BB15" s="69"/>
      <c r="BC15" s="69" t="s">
        <v>314</v>
      </c>
      <c r="BD15" s="69"/>
      <c r="BE15" s="96"/>
      <c r="BF15" s="69"/>
      <c r="BG15" s="69" t="s">
        <v>314</v>
      </c>
      <c r="BH15" s="69"/>
      <c r="BI15" s="69" t="s">
        <v>314</v>
      </c>
      <c r="BJ15" s="69" t="s">
        <v>314</v>
      </c>
      <c r="BK15" s="69" t="s">
        <v>314</v>
      </c>
      <c r="BL15" s="69" t="s">
        <v>314</v>
      </c>
      <c r="BM15" s="69"/>
      <c r="BN15" s="69" t="s">
        <v>314</v>
      </c>
    </row>
    <row r="16" spans="1:66">
      <c r="A16" s="61" t="s">
        <v>3</v>
      </c>
      <c r="B16" s="68" t="s">
        <v>198</v>
      </c>
      <c r="C16" s="66">
        <v>15.5</v>
      </c>
      <c r="D16" s="64">
        <v>42</v>
      </c>
      <c r="E16" s="64">
        <f>IF(ISBLANK($D16),"0",IF(($D16-$D15)&gt;($C16-$C15),1,0))</f>
        <v>1</v>
      </c>
      <c r="F16" s="64">
        <f t="shared" ca="1" si="1"/>
        <v>26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314</v>
      </c>
      <c r="L16" s="70"/>
      <c r="M16" s="70" t="s">
        <v>314</v>
      </c>
      <c r="N16" s="70" t="s">
        <v>314</v>
      </c>
      <c r="O16" s="70"/>
      <c r="P16" s="70"/>
      <c r="Q16" s="70" t="s">
        <v>314</v>
      </c>
      <c r="R16" s="70"/>
      <c r="S16" s="70"/>
      <c r="T16" s="70"/>
      <c r="U16" s="70" t="s">
        <v>314</v>
      </c>
      <c r="V16" s="70" t="s">
        <v>314</v>
      </c>
      <c r="W16" s="70" t="s">
        <v>314</v>
      </c>
      <c r="X16" s="70"/>
      <c r="Y16" s="70"/>
      <c r="Z16" s="70"/>
      <c r="AA16" s="70" t="s">
        <v>314</v>
      </c>
      <c r="AB16" s="70" t="s">
        <v>314</v>
      </c>
      <c r="AC16" s="70"/>
      <c r="AD16" s="70"/>
      <c r="AE16" s="70"/>
      <c r="AF16" s="70" t="s">
        <v>314</v>
      </c>
      <c r="AG16" s="70"/>
      <c r="AH16" s="70" t="s">
        <v>314</v>
      </c>
      <c r="AI16" s="70"/>
      <c r="AJ16" s="70" t="s">
        <v>314</v>
      </c>
      <c r="AK16" s="70" t="s">
        <v>314</v>
      </c>
      <c r="AL16" s="70"/>
      <c r="AM16" s="70"/>
      <c r="AN16" s="70" t="s">
        <v>314</v>
      </c>
      <c r="AO16" s="70" t="s">
        <v>314</v>
      </c>
      <c r="AP16" s="70"/>
      <c r="AQ16" s="70" t="s">
        <v>314</v>
      </c>
      <c r="AR16" s="97" t="s">
        <v>314</v>
      </c>
      <c r="AS16" s="70"/>
      <c r="AT16" s="70"/>
      <c r="AU16" s="70" t="s">
        <v>314</v>
      </c>
      <c r="AV16" s="70"/>
      <c r="AW16" s="70"/>
      <c r="AX16" s="70"/>
      <c r="AY16" s="70" t="s">
        <v>314</v>
      </c>
      <c r="AZ16" s="70"/>
      <c r="BA16" s="70" t="s">
        <v>314</v>
      </c>
      <c r="BB16" s="70" t="s">
        <v>314</v>
      </c>
      <c r="BC16" s="70"/>
      <c r="BD16" s="70" t="s">
        <v>314</v>
      </c>
      <c r="BE16" s="70" t="s">
        <v>314</v>
      </c>
      <c r="BF16" s="70" t="s">
        <v>314</v>
      </c>
      <c r="BG16" s="70"/>
      <c r="BH16" s="70" t="s">
        <v>314</v>
      </c>
      <c r="BI16" s="70"/>
      <c r="BJ16" s="70"/>
      <c r="BK16" s="70"/>
      <c r="BL16" s="70"/>
      <c r="BM16" s="70" t="s">
        <v>314</v>
      </c>
      <c r="BN16" s="70"/>
    </row>
    <row r="17" spans="1:66">
      <c r="A17" s="59">
        <v>8</v>
      </c>
      <c r="B17" s="67" t="s">
        <v>273</v>
      </c>
      <c r="C17" s="65"/>
      <c r="D17" s="64">
        <v>19</v>
      </c>
      <c r="E17" s="64">
        <f>IF(ISBLANK($D17),"0",IF(($D18-$D17)&lt;($C18-$C17),1,0))</f>
        <v>1</v>
      </c>
      <c r="F17" s="64">
        <f t="shared" ca="1" si="1"/>
        <v>31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314</v>
      </c>
      <c r="N17" s="69"/>
      <c r="O17" s="69"/>
      <c r="P17" s="69"/>
      <c r="Q17" s="69"/>
      <c r="R17" s="69"/>
      <c r="S17" s="69"/>
      <c r="T17" s="69"/>
      <c r="U17" s="69" t="s">
        <v>314</v>
      </c>
      <c r="V17" s="69" t="s">
        <v>314</v>
      </c>
      <c r="W17" s="69" t="s">
        <v>314</v>
      </c>
      <c r="X17" s="69" t="s">
        <v>314</v>
      </c>
      <c r="Y17" s="69"/>
      <c r="Z17" s="69" t="s">
        <v>314</v>
      </c>
      <c r="AA17" s="69" t="s">
        <v>314</v>
      </c>
      <c r="AB17" s="69" t="s">
        <v>314</v>
      </c>
      <c r="AC17" s="69" t="s">
        <v>314</v>
      </c>
      <c r="AD17" s="69"/>
      <c r="AE17" s="69"/>
      <c r="AF17" s="69" t="s">
        <v>314</v>
      </c>
      <c r="AG17" s="69"/>
      <c r="AH17" s="69"/>
      <c r="AI17" s="69"/>
      <c r="AJ17" s="69" t="s">
        <v>314</v>
      </c>
      <c r="AK17" s="69" t="s">
        <v>314</v>
      </c>
      <c r="AL17" s="69" t="s">
        <v>314</v>
      </c>
      <c r="AM17" s="69" t="s">
        <v>314</v>
      </c>
      <c r="AN17" s="69" t="s">
        <v>314</v>
      </c>
      <c r="AO17" s="69" t="s">
        <v>314</v>
      </c>
      <c r="AP17" s="69"/>
      <c r="AQ17" s="69" t="s">
        <v>314</v>
      </c>
      <c r="AR17" s="96" t="s">
        <v>314</v>
      </c>
      <c r="AS17" s="69"/>
      <c r="AT17" s="69"/>
      <c r="AU17" s="69"/>
      <c r="AV17" s="69"/>
      <c r="AW17" s="69" t="s">
        <v>314</v>
      </c>
      <c r="AX17" s="69" t="s">
        <v>314</v>
      </c>
      <c r="AY17" s="69" t="s">
        <v>314</v>
      </c>
      <c r="AZ17" s="69" t="s">
        <v>314</v>
      </c>
      <c r="BA17" s="69" t="s">
        <v>314</v>
      </c>
      <c r="BB17" s="69"/>
      <c r="BC17" s="69"/>
      <c r="BD17" s="69"/>
      <c r="BE17" s="69" t="s">
        <v>314</v>
      </c>
      <c r="BF17" s="69"/>
      <c r="BG17" s="69"/>
      <c r="BH17" s="69" t="s">
        <v>314</v>
      </c>
      <c r="BI17" s="69" t="s">
        <v>314</v>
      </c>
      <c r="BJ17" s="69" t="s">
        <v>314</v>
      </c>
      <c r="BK17" s="69" t="s">
        <v>314</v>
      </c>
      <c r="BL17" s="69" t="s">
        <v>314</v>
      </c>
      <c r="BM17" s="69" t="s">
        <v>314</v>
      </c>
      <c r="BN17" s="69" t="s">
        <v>314</v>
      </c>
    </row>
    <row r="18" spans="1:66">
      <c r="A18" s="61" t="s">
        <v>3</v>
      </c>
      <c r="B18" s="68" t="s">
        <v>236</v>
      </c>
      <c r="C18" s="66">
        <v>3.5</v>
      </c>
      <c r="D18" s="64">
        <v>20</v>
      </c>
      <c r="E18" s="64">
        <f>IF(ISBLANK($D18),"0",IF(($D18-$D17)&gt;($C18-$C17),1,0))</f>
        <v>0</v>
      </c>
      <c r="F18" s="64">
        <f t="shared" ca="1" si="1"/>
        <v>24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 t="s">
        <v>314</v>
      </c>
      <c r="M18" s="70"/>
      <c r="N18" s="70" t="s">
        <v>314</v>
      </c>
      <c r="O18" s="70" t="s">
        <v>314</v>
      </c>
      <c r="P18" s="70" t="s">
        <v>314</v>
      </c>
      <c r="Q18" s="70" t="s">
        <v>314</v>
      </c>
      <c r="R18" s="70" t="s">
        <v>314</v>
      </c>
      <c r="S18" s="70" t="s">
        <v>314</v>
      </c>
      <c r="T18" s="70" t="s">
        <v>314</v>
      </c>
      <c r="U18" s="97"/>
      <c r="V18" s="70"/>
      <c r="W18" s="70"/>
      <c r="X18" s="70"/>
      <c r="Y18" s="70" t="s">
        <v>314</v>
      </c>
      <c r="Z18" s="70"/>
      <c r="AA18" s="70"/>
      <c r="AB18" s="70"/>
      <c r="AC18" s="70"/>
      <c r="AD18" s="70" t="s">
        <v>314</v>
      </c>
      <c r="AE18" s="70" t="s">
        <v>314</v>
      </c>
      <c r="AF18" s="70"/>
      <c r="AG18" s="70" t="s">
        <v>314</v>
      </c>
      <c r="AH18" s="70" t="s">
        <v>314</v>
      </c>
      <c r="AI18" s="70" t="s">
        <v>314</v>
      </c>
      <c r="AJ18" s="70"/>
      <c r="AK18" s="70"/>
      <c r="AL18" s="70"/>
      <c r="AM18" s="70"/>
      <c r="AN18" s="70"/>
      <c r="AO18" s="70"/>
      <c r="AP18" s="70"/>
      <c r="AQ18" s="70"/>
      <c r="AR18" s="70"/>
      <c r="AS18" s="70" t="s">
        <v>314</v>
      </c>
      <c r="AT18" s="70" t="s">
        <v>314</v>
      </c>
      <c r="AU18" s="70" t="s">
        <v>314</v>
      </c>
      <c r="AV18" s="70" t="s">
        <v>314</v>
      </c>
      <c r="AW18" s="70"/>
      <c r="AX18" s="70"/>
      <c r="AY18" s="70"/>
      <c r="AZ18" s="70"/>
      <c r="BA18" s="70"/>
      <c r="BB18" s="70" t="s">
        <v>314</v>
      </c>
      <c r="BC18" s="70" t="s">
        <v>314</v>
      </c>
      <c r="BD18" s="70" t="s">
        <v>314</v>
      </c>
      <c r="BE18" s="97"/>
      <c r="BF18" s="70" t="s">
        <v>314</v>
      </c>
      <c r="BG18" s="70" t="s">
        <v>314</v>
      </c>
      <c r="BH18" s="70"/>
      <c r="BI18" s="70"/>
      <c r="BJ18" s="70"/>
      <c r="BK18" s="70"/>
      <c r="BL18" s="70"/>
      <c r="BM18" s="70"/>
      <c r="BN18" s="70"/>
    </row>
    <row r="19" spans="1:66">
      <c r="A19" s="59">
        <v>9</v>
      </c>
      <c r="B19" s="67" t="s">
        <v>246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29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314</v>
      </c>
      <c r="L19" s="69"/>
      <c r="M19" s="69" t="s">
        <v>314</v>
      </c>
      <c r="N19" s="69" t="s">
        <v>314</v>
      </c>
      <c r="O19" s="69"/>
      <c r="P19" s="69"/>
      <c r="Q19" s="69" t="s">
        <v>314</v>
      </c>
      <c r="R19" s="69" t="s">
        <v>314</v>
      </c>
      <c r="S19" s="69" t="s">
        <v>314</v>
      </c>
      <c r="T19" s="69" t="s">
        <v>314</v>
      </c>
      <c r="U19" s="96" t="s">
        <v>314</v>
      </c>
      <c r="V19" s="69"/>
      <c r="W19" s="69"/>
      <c r="X19" s="69"/>
      <c r="Y19" s="69"/>
      <c r="Z19" s="69" t="s">
        <v>314</v>
      </c>
      <c r="AA19" s="69"/>
      <c r="AB19" s="69" t="s">
        <v>314</v>
      </c>
      <c r="AC19" s="69" t="s">
        <v>314</v>
      </c>
      <c r="AD19" s="69"/>
      <c r="AE19" s="69" t="s">
        <v>314</v>
      </c>
      <c r="AF19" s="69" t="s">
        <v>314</v>
      </c>
      <c r="AG19" s="69" t="s">
        <v>314</v>
      </c>
      <c r="AH19" s="69" t="s">
        <v>314</v>
      </c>
      <c r="AI19" s="69"/>
      <c r="AJ19" s="69"/>
      <c r="AK19" s="69" t="s">
        <v>314</v>
      </c>
      <c r="AL19" s="69"/>
      <c r="AM19" s="69" t="s">
        <v>314</v>
      </c>
      <c r="AN19" s="69"/>
      <c r="AO19" s="69"/>
      <c r="AP19" s="69"/>
      <c r="AQ19" s="69"/>
      <c r="AR19" s="69" t="s">
        <v>314</v>
      </c>
      <c r="AS19" s="69" t="s">
        <v>314</v>
      </c>
      <c r="AT19" s="69" t="s">
        <v>314</v>
      </c>
      <c r="AU19" s="69"/>
      <c r="AV19" s="69"/>
      <c r="AW19" s="69"/>
      <c r="AX19" s="69"/>
      <c r="AY19" s="69" t="s">
        <v>314</v>
      </c>
      <c r="AZ19" s="69" t="s">
        <v>314</v>
      </c>
      <c r="BA19" s="69" t="s">
        <v>314</v>
      </c>
      <c r="BB19" s="69"/>
      <c r="BC19" s="69"/>
      <c r="BD19" s="69"/>
      <c r="BE19" s="69"/>
      <c r="BF19" s="69" t="s">
        <v>314</v>
      </c>
      <c r="BG19" s="69" t="s">
        <v>314</v>
      </c>
      <c r="BH19" s="69" t="s">
        <v>314</v>
      </c>
      <c r="BI19" s="69"/>
      <c r="BJ19" s="69"/>
      <c r="BK19" s="69" t="s">
        <v>314</v>
      </c>
      <c r="BL19" s="69"/>
      <c r="BM19" s="69" t="s">
        <v>314</v>
      </c>
      <c r="BN19" s="69" t="s">
        <v>314</v>
      </c>
    </row>
    <row r="20" spans="1:66">
      <c r="A20" s="61" t="s">
        <v>3</v>
      </c>
      <c r="B20" s="68" t="s">
        <v>245</v>
      </c>
      <c r="C20" s="66">
        <v>16.5</v>
      </c>
      <c r="D20" s="64">
        <v>45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314</v>
      </c>
      <c r="M20" s="70"/>
      <c r="N20" s="70"/>
      <c r="O20" s="70" t="s">
        <v>314</v>
      </c>
      <c r="P20" s="70" t="s">
        <v>314</v>
      </c>
      <c r="Q20" s="70"/>
      <c r="R20" s="70"/>
      <c r="S20" s="70"/>
      <c r="T20" s="70"/>
      <c r="U20" s="70"/>
      <c r="V20" s="70" t="s">
        <v>314</v>
      </c>
      <c r="W20" s="70" t="s">
        <v>314</v>
      </c>
      <c r="X20" s="70" t="s">
        <v>314</v>
      </c>
      <c r="Y20" s="70" t="s">
        <v>314</v>
      </c>
      <c r="Z20" s="70"/>
      <c r="AA20" s="70" t="s">
        <v>314</v>
      </c>
      <c r="AB20" s="70"/>
      <c r="AC20" s="70"/>
      <c r="AD20" s="70" t="s">
        <v>314</v>
      </c>
      <c r="AE20" s="70"/>
      <c r="AF20" s="70"/>
      <c r="AG20" s="70"/>
      <c r="AH20" s="70"/>
      <c r="AI20" s="70" t="s">
        <v>314</v>
      </c>
      <c r="AJ20" s="70" t="s">
        <v>314</v>
      </c>
      <c r="AK20" s="70"/>
      <c r="AL20" s="70" t="s">
        <v>314</v>
      </c>
      <c r="AM20" s="70"/>
      <c r="AN20" s="70" t="s">
        <v>314</v>
      </c>
      <c r="AO20" s="70" t="s">
        <v>314</v>
      </c>
      <c r="AP20" s="70"/>
      <c r="AQ20" s="70" t="s">
        <v>314</v>
      </c>
      <c r="AR20" s="97"/>
      <c r="AS20" s="70"/>
      <c r="AT20" s="70"/>
      <c r="AU20" s="70" t="s">
        <v>314</v>
      </c>
      <c r="AV20" s="70" t="s">
        <v>314</v>
      </c>
      <c r="AW20" s="70" t="s">
        <v>314</v>
      </c>
      <c r="AX20" s="70" t="s">
        <v>314</v>
      </c>
      <c r="AY20" s="70"/>
      <c r="AZ20" s="70"/>
      <c r="BA20" s="70"/>
      <c r="BB20" s="70" t="s">
        <v>314</v>
      </c>
      <c r="BC20" s="70" t="s">
        <v>314</v>
      </c>
      <c r="BD20" s="70" t="s">
        <v>314</v>
      </c>
      <c r="BE20" s="97" t="s">
        <v>314</v>
      </c>
      <c r="BF20" s="70"/>
      <c r="BG20" s="70"/>
      <c r="BH20" s="70"/>
      <c r="BI20" s="70" t="s">
        <v>314</v>
      </c>
      <c r="BJ20" s="70" t="s">
        <v>314</v>
      </c>
      <c r="BK20" s="70"/>
      <c r="BL20" s="70" t="s">
        <v>314</v>
      </c>
      <c r="BM20" s="70"/>
      <c r="BN20" s="70"/>
    </row>
    <row r="21" spans="1:66">
      <c r="A21" s="59">
        <v>10</v>
      </c>
      <c r="B21" s="67" t="s">
        <v>153</v>
      </c>
      <c r="C21" s="65">
        <v>11.5</v>
      </c>
      <c r="D21" s="64">
        <v>45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314</v>
      </c>
      <c r="O21" s="69"/>
      <c r="P21" s="69"/>
      <c r="Q21" s="69" t="s">
        <v>314</v>
      </c>
      <c r="R21" s="69"/>
      <c r="S21" s="69" t="s">
        <v>314</v>
      </c>
      <c r="T21" s="69"/>
      <c r="U21" s="96"/>
      <c r="V21" s="69" t="s">
        <v>314</v>
      </c>
      <c r="W21" s="69"/>
      <c r="X21" s="69"/>
      <c r="Y21" s="69" t="s">
        <v>314</v>
      </c>
      <c r="Z21" s="69"/>
      <c r="AA21" s="69"/>
      <c r="AB21" s="69"/>
      <c r="AC21" s="69"/>
      <c r="AD21" s="69" t="s">
        <v>314</v>
      </c>
      <c r="AE21" s="69"/>
      <c r="AF21" s="69"/>
      <c r="AG21" s="69"/>
      <c r="AH21" s="69" t="s">
        <v>314</v>
      </c>
      <c r="AI21" s="69"/>
      <c r="AJ21" s="69"/>
      <c r="AK21" s="69"/>
      <c r="AL21" s="69"/>
      <c r="AM21" s="69"/>
      <c r="AN21" s="69" t="s">
        <v>314</v>
      </c>
      <c r="AO21" s="69"/>
      <c r="AP21" s="69"/>
      <c r="AQ21" s="69" t="s">
        <v>314</v>
      </c>
      <c r="AR21" s="96" t="s">
        <v>314</v>
      </c>
      <c r="AS21" s="69"/>
      <c r="AT21" s="69"/>
      <c r="AU21" s="69"/>
      <c r="AV21" s="69"/>
      <c r="AW21" s="69"/>
      <c r="AX21" s="69"/>
      <c r="AY21" s="69" t="s">
        <v>314</v>
      </c>
      <c r="AZ21" s="69"/>
      <c r="BA21" s="69" t="s">
        <v>314</v>
      </c>
      <c r="BB21" s="69"/>
      <c r="BC21" s="69"/>
      <c r="BD21" s="69"/>
      <c r="BE21" s="96"/>
      <c r="BF21" s="69"/>
      <c r="BG21" s="69" t="s">
        <v>314</v>
      </c>
      <c r="BH21" s="69" t="s">
        <v>314</v>
      </c>
      <c r="BI21" s="69" t="s">
        <v>314</v>
      </c>
      <c r="BJ21" s="69"/>
      <c r="BK21" s="69"/>
      <c r="BL21" s="69" t="s">
        <v>314</v>
      </c>
      <c r="BM21" s="69"/>
      <c r="BN21" s="69" t="s">
        <v>314</v>
      </c>
    </row>
    <row r="22" spans="1:66">
      <c r="A22" s="61" t="s">
        <v>3</v>
      </c>
      <c r="B22" s="68" t="s">
        <v>167</v>
      </c>
      <c r="C22" s="66"/>
      <c r="D22" s="64">
        <v>24</v>
      </c>
      <c r="E22" s="64">
        <f>IF(ISBLANK($D22),"0",IF(($D22-$D21)&gt;($C22-$C21),1,0))</f>
        <v>0</v>
      </c>
      <c r="F22" s="64">
        <f t="shared" ca="1" si="1"/>
        <v>38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 t="s">
        <v>314</v>
      </c>
      <c r="M22" s="70" t="s">
        <v>314</v>
      </c>
      <c r="N22" s="70"/>
      <c r="O22" s="70" t="s">
        <v>314</v>
      </c>
      <c r="P22" s="70" t="s">
        <v>314</v>
      </c>
      <c r="Q22" s="70"/>
      <c r="R22" s="70" t="s">
        <v>314</v>
      </c>
      <c r="S22" s="70"/>
      <c r="T22" s="70" t="s">
        <v>314</v>
      </c>
      <c r="U22" s="70" t="s">
        <v>314</v>
      </c>
      <c r="V22" s="70"/>
      <c r="W22" s="70" t="s">
        <v>314</v>
      </c>
      <c r="X22" s="70" t="s">
        <v>314</v>
      </c>
      <c r="Y22" s="70"/>
      <c r="Z22" s="70" t="s">
        <v>314</v>
      </c>
      <c r="AA22" s="70" t="s">
        <v>314</v>
      </c>
      <c r="AB22" s="70" t="s">
        <v>314</v>
      </c>
      <c r="AC22" s="70" t="s">
        <v>314</v>
      </c>
      <c r="AD22" s="70"/>
      <c r="AE22" s="70" t="s">
        <v>314</v>
      </c>
      <c r="AF22" s="70" t="s">
        <v>314</v>
      </c>
      <c r="AG22" s="70" t="s">
        <v>314</v>
      </c>
      <c r="AH22" s="70"/>
      <c r="AI22" s="70" t="s">
        <v>314</v>
      </c>
      <c r="AJ22" s="70" t="s">
        <v>314</v>
      </c>
      <c r="AK22" s="70" t="s">
        <v>314</v>
      </c>
      <c r="AL22" s="70" t="s">
        <v>314</v>
      </c>
      <c r="AM22" s="70" t="s">
        <v>314</v>
      </c>
      <c r="AN22" s="70"/>
      <c r="AO22" s="70" t="s">
        <v>314</v>
      </c>
      <c r="AP22" s="70"/>
      <c r="AQ22" s="70"/>
      <c r="AR22" s="70"/>
      <c r="AS22" s="70" t="s">
        <v>314</v>
      </c>
      <c r="AT22" s="70" t="s">
        <v>314</v>
      </c>
      <c r="AU22" s="70" t="s">
        <v>314</v>
      </c>
      <c r="AV22" s="70" t="s">
        <v>314</v>
      </c>
      <c r="AW22" s="70" t="s">
        <v>314</v>
      </c>
      <c r="AX22" s="70" t="s">
        <v>314</v>
      </c>
      <c r="AY22" s="70"/>
      <c r="AZ22" s="70" t="s">
        <v>314</v>
      </c>
      <c r="BA22" s="70"/>
      <c r="BB22" s="70" t="s">
        <v>314</v>
      </c>
      <c r="BC22" s="70" t="s">
        <v>314</v>
      </c>
      <c r="BD22" s="70" t="s">
        <v>314</v>
      </c>
      <c r="BE22" s="70" t="s">
        <v>314</v>
      </c>
      <c r="BF22" s="70" t="s">
        <v>314</v>
      </c>
      <c r="BG22" s="70"/>
      <c r="BH22" s="70"/>
      <c r="BI22" s="70"/>
      <c r="BJ22" s="70" t="s">
        <v>314</v>
      </c>
      <c r="BK22" s="70" t="s">
        <v>314</v>
      </c>
      <c r="BL22" s="70"/>
      <c r="BM22" s="70" t="s">
        <v>314</v>
      </c>
      <c r="BN22" s="70"/>
    </row>
    <row r="23" spans="1:66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/>
      <c r="K23" s="78">
        <v>28</v>
      </c>
      <c r="L23" s="78">
        <v>34</v>
      </c>
      <c r="M23" s="78">
        <v>35</v>
      </c>
      <c r="N23" s="80">
        <v>42</v>
      </c>
      <c r="O23" s="78">
        <v>21</v>
      </c>
      <c r="P23" s="78">
        <v>31</v>
      </c>
      <c r="Q23" s="78">
        <v>35</v>
      </c>
      <c r="R23" s="78">
        <v>33</v>
      </c>
      <c r="S23" s="78">
        <v>27</v>
      </c>
      <c r="T23" s="78">
        <v>16</v>
      </c>
      <c r="U23" s="78">
        <v>28</v>
      </c>
      <c r="V23" s="78">
        <v>32</v>
      </c>
      <c r="W23" s="78">
        <v>20</v>
      </c>
      <c r="X23" s="78">
        <v>17</v>
      </c>
      <c r="Y23" s="78">
        <v>35</v>
      </c>
      <c r="Z23" s="78">
        <v>24</v>
      </c>
      <c r="AA23" s="78">
        <v>21</v>
      </c>
      <c r="AB23" s="78">
        <v>17</v>
      </c>
      <c r="AC23" s="78">
        <v>24</v>
      </c>
      <c r="AD23" s="78">
        <v>33</v>
      </c>
      <c r="AE23" s="78">
        <v>36</v>
      </c>
      <c r="AF23" s="78">
        <v>31</v>
      </c>
      <c r="AG23" s="78">
        <v>31</v>
      </c>
      <c r="AH23" s="78">
        <v>29</v>
      </c>
      <c r="AI23" s="78">
        <v>27</v>
      </c>
      <c r="AJ23" s="78">
        <v>27</v>
      </c>
      <c r="AK23" s="78">
        <v>33</v>
      </c>
      <c r="AL23" s="78">
        <v>24</v>
      </c>
      <c r="AM23" s="78">
        <v>21</v>
      </c>
      <c r="AN23" s="78">
        <v>28</v>
      </c>
      <c r="AO23" s="78">
        <v>31</v>
      </c>
      <c r="AP23" s="78"/>
      <c r="AQ23" s="78">
        <v>34</v>
      </c>
      <c r="AR23" s="78">
        <v>35</v>
      </c>
      <c r="AS23" s="78">
        <v>21</v>
      </c>
      <c r="AT23" s="78">
        <v>30</v>
      </c>
      <c r="AU23" s="78">
        <v>28</v>
      </c>
      <c r="AV23" s="78">
        <v>27</v>
      </c>
      <c r="AW23" s="78">
        <v>31</v>
      </c>
      <c r="AX23" s="78">
        <v>26</v>
      </c>
      <c r="AY23" s="78">
        <v>28</v>
      </c>
      <c r="AZ23" s="78">
        <v>23</v>
      </c>
      <c r="BA23" s="78">
        <v>34</v>
      </c>
      <c r="BB23" s="78">
        <v>14</v>
      </c>
      <c r="BC23" s="78">
        <v>14</v>
      </c>
      <c r="BD23" s="78">
        <v>28</v>
      </c>
      <c r="BE23" s="78">
        <v>31</v>
      </c>
      <c r="BF23" s="78">
        <v>40</v>
      </c>
      <c r="BG23" s="78">
        <v>22</v>
      </c>
      <c r="BH23" s="78">
        <v>12</v>
      </c>
      <c r="BI23" s="78">
        <v>24</v>
      </c>
      <c r="BJ23" s="78">
        <v>28</v>
      </c>
      <c r="BK23" s="78">
        <v>28</v>
      </c>
      <c r="BL23" s="78">
        <v>31</v>
      </c>
      <c r="BM23" s="78">
        <v>27</v>
      </c>
      <c r="BN23" s="78">
        <v>28</v>
      </c>
    </row>
    <row r="24" spans="1:66">
      <c r="A24" s="61"/>
      <c r="B24" s="68" t="str">
        <f>B22&amp; " - score"</f>
        <v>Virginia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/>
      <c r="K24" s="79">
        <v>21</v>
      </c>
      <c r="L24" s="79">
        <v>27</v>
      </c>
      <c r="M24" s="79">
        <v>28</v>
      </c>
      <c r="N24" s="79">
        <v>10</v>
      </c>
      <c r="O24" s="79">
        <v>20</v>
      </c>
      <c r="P24" s="79">
        <v>28</v>
      </c>
      <c r="Q24" s="79">
        <v>20</v>
      </c>
      <c r="R24" s="79">
        <v>27</v>
      </c>
      <c r="S24" s="79">
        <v>13</v>
      </c>
      <c r="T24" s="79">
        <v>6</v>
      </c>
      <c r="U24" s="79">
        <v>35</v>
      </c>
      <c r="V24" s="79">
        <v>14</v>
      </c>
      <c r="W24" s="79">
        <v>17</v>
      </c>
      <c r="X24" s="79">
        <v>20</v>
      </c>
      <c r="Y24" s="79">
        <v>10</v>
      </c>
      <c r="Z24" s="79">
        <v>21</v>
      </c>
      <c r="AA24" s="79">
        <v>20</v>
      </c>
      <c r="AB24" s="79">
        <v>12</v>
      </c>
      <c r="AC24" s="79">
        <v>21</v>
      </c>
      <c r="AD24" s="79">
        <v>20</v>
      </c>
      <c r="AE24" s="79">
        <v>27</v>
      </c>
      <c r="AF24" s="79">
        <v>24</v>
      </c>
      <c r="AG24" s="79">
        <v>27</v>
      </c>
      <c r="AH24" s="79">
        <v>17</v>
      </c>
      <c r="AI24" s="79">
        <v>16</v>
      </c>
      <c r="AJ24" s="79">
        <v>21</v>
      </c>
      <c r="AK24" s="79">
        <v>24</v>
      </c>
      <c r="AL24" s="79">
        <v>21</v>
      </c>
      <c r="AM24" s="79">
        <v>19</v>
      </c>
      <c r="AN24" s="79">
        <v>12</v>
      </c>
      <c r="AO24" s="79">
        <v>20</v>
      </c>
      <c r="AP24" s="79"/>
      <c r="AQ24" s="79">
        <v>16</v>
      </c>
      <c r="AR24" s="79">
        <v>23</v>
      </c>
      <c r="AS24" s="79">
        <v>24</v>
      </c>
      <c r="AT24" s="79">
        <v>24</v>
      </c>
      <c r="AU24" s="79">
        <v>21</v>
      </c>
      <c r="AV24" s="79">
        <v>17</v>
      </c>
      <c r="AW24" s="79">
        <v>21</v>
      </c>
      <c r="AX24" s="79">
        <v>24</v>
      </c>
      <c r="AY24" s="79">
        <v>13</v>
      </c>
      <c r="AZ24" s="79">
        <v>17</v>
      </c>
      <c r="BA24" s="79">
        <v>14</v>
      </c>
      <c r="BB24" s="79">
        <v>3</v>
      </c>
      <c r="BC24" s="79">
        <v>21</v>
      </c>
      <c r="BD24" s="79">
        <v>17</v>
      </c>
      <c r="BE24" s="79">
        <v>28</v>
      </c>
      <c r="BF24" s="79">
        <v>41</v>
      </c>
      <c r="BG24" s="79">
        <v>10</v>
      </c>
      <c r="BH24" s="79">
        <v>0</v>
      </c>
      <c r="BI24" s="79">
        <v>10</v>
      </c>
      <c r="BJ24" s="79">
        <v>21</v>
      </c>
      <c r="BK24" s="79">
        <v>24</v>
      </c>
      <c r="BL24" s="79">
        <v>17</v>
      </c>
      <c r="BM24" s="79">
        <v>21</v>
      </c>
      <c r="BN24" s="79">
        <v>14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6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3</v>
      </c>
      <c r="P25" s="36">
        <f t="shared" si="3"/>
        <v>4</v>
      </c>
      <c r="Q25" s="36">
        <f t="shared" si="3"/>
        <v>4</v>
      </c>
      <c r="R25" s="36">
        <f t="shared" si="3"/>
        <v>5</v>
      </c>
      <c r="S25" s="36">
        <f t="shared" si="3"/>
        <v>4</v>
      </c>
      <c r="T25" s="36">
        <f t="shared" si="3"/>
        <v>2</v>
      </c>
      <c r="U25" s="36">
        <f t="shared" si="3"/>
        <v>3</v>
      </c>
      <c r="V25" s="36">
        <f t="shared" si="3"/>
        <v>6</v>
      </c>
      <c r="W25" s="36">
        <f t="shared" si="3"/>
        <v>5</v>
      </c>
      <c r="X25" s="36">
        <f t="shared" si="3"/>
        <v>5</v>
      </c>
      <c r="Y25" s="36">
        <f t="shared" si="3"/>
        <v>4</v>
      </c>
      <c r="Z25" s="36">
        <f t="shared" si="3"/>
        <v>5</v>
      </c>
      <c r="AA25" s="36">
        <f t="shared" si="3"/>
        <v>8</v>
      </c>
      <c r="AB25" s="36">
        <f t="shared" si="3"/>
        <v>6</v>
      </c>
      <c r="AC25" s="36">
        <f t="shared" si="3"/>
        <v>5</v>
      </c>
      <c r="AD25" s="36">
        <f t="shared" si="3"/>
        <v>6</v>
      </c>
      <c r="AE25" s="36">
        <f t="shared" si="3"/>
        <v>4</v>
      </c>
      <c r="AF25" s="36">
        <f t="shared" si="3"/>
        <v>6</v>
      </c>
      <c r="AG25" s="36">
        <f t="shared" si="3"/>
        <v>3</v>
      </c>
      <c r="AH25" s="36">
        <f t="shared" si="3"/>
        <v>7</v>
      </c>
      <c r="AI25" s="36">
        <f t="shared" si="3"/>
        <v>2</v>
      </c>
      <c r="AJ25" s="36">
        <f t="shared" si="3"/>
        <v>7</v>
      </c>
      <c r="AK25" s="36">
        <f t="shared" si="3"/>
        <v>3</v>
      </c>
      <c r="AL25" s="36">
        <f t="shared" si="3"/>
        <v>3</v>
      </c>
      <c r="AM25" s="36">
        <f t="shared" si="3"/>
        <v>4</v>
      </c>
      <c r="AN25" s="36">
        <f t="shared" si="3"/>
        <v>7</v>
      </c>
      <c r="AO25" s="36">
        <f t="shared" si="3"/>
        <v>4</v>
      </c>
      <c r="AP25" s="36">
        <f t="shared" si="3"/>
        <v>0</v>
      </c>
      <c r="AQ25" s="36">
        <f t="shared" si="3"/>
        <v>8</v>
      </c>
      <c r="AR25" s="36">
        <f t="shared" si="3"/>
        <v>6</v>
      </c>
      <c r="AS25" s="36">
        <f t="shared" si="3"/>
        <v>2</v>
      </c>
      <c r="AT25" s="36">
        <f t="shared" si="3"/>
        <v>4</v>
      </c>
      <c r="AU25" s="36">
        <f t="shared" si="3"/>
        <v>7</v>
      </c>
      <c r="AV25" s="36">
        <f t="shared" si="3"/>
        <v>6</v>
      </c>
      <c r="AW25" s="36">
        <f t="shared" si="3"/>
        <v>3</v>
      </c>
      <c r="AX25" s="36">
        <f t="shared" si="3"/>
        <v>3</v>
      </c>
      <c r="AY25" s="36">
        <f t="shared" si="3"/>
        <v>5</v>
      </c>
      <c r="AZ25" s="36">
        <f t="shared" si="3"/>
        <v>5</v>
      </c>
      <c r="BA25" s="36">
        <f t="shared" si="3"/>
        <v>7</v>
      </c>
      <c r="BB25" s="36">
        <f t="shared" si="3"/>
        <v>4</v>
      </c>
      <c r="BC25" s="36">
        <f t="shared" si="3"/>
        <v>4</v>
      </c>
      <c r="BD25" s="36">
        <f t="shared" si="3"/>
        <v>6</v>
      </c>
      <c r="BE25" s="36">
        <f t="shared" si="3"/>
        <v>6</v>
      </c>
      <c r="BF25" s="36">
        <f t="shared" si="3"/>
        <v>4</v>
      </c>
      <c r="BG25" s="36">
        <f t="shared" si="3"/>
        <v>2</v>
      </c>
      <c r="BH25" s="36">
        <f t="shared" si="3"/>
        <v>5</v>
      </c>
      <c r="BI25" s="36">
        <f t="shared" si="3"/>
        <v>6</v>
      </c>
      <c r="BJ25" s="36">
        <f t="shared" si="3"/>
        <v>7</v>
      </c>
      <c r="BK25" s="36">
        <f t="shared" si="3"/>
        <v>4</v>
      </c>
      <c r="BL25" s="36">
        <f t="shared" si="3"/>
        <v>6</v>
      </c>
      <c r="BM25" s="36">
        <f t="shared" si="3"/>
        <v>4</v>
      </c>
      <c r="BN25" s="36">
        <f t="shared" si="3"/>
        <v>5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14</v>
      </c>
      <c r="L26" s="71">
        <f t="shared" si="4"/>
        <v>14</v>
      </c>
      <c r="M26" s="71">
        <f t="shared" si="4"/>
        <v>14</v>
      </c>
      <c r="N26" s="71">
        <f t="shared" si="4"/>
        <v>11</v>
      </c>
      <c r="O26" s="71">
        <f t="shared" si="4"/>
        <v>20</v>
      </c>
      <c r="P26" s="71">
        <f t="shared" si="4"/>
        <v>18</v>
      </c>
      <c r="Q26" s="71">
        <f t="shared" si="4"/>
        <v>6</v>
      </c>
      <c r="R26" s="71">
        <f t="shared" si="4"/>
        <v>15</v>
      </c>
      <c r="S26" s="71">
        <f t="shared" si="4"/>
        <v>7</v>
      </c>
      <c r="T26" s="71">
        <f t="shared" si="4"/>
        <v>11</v>
      </c>
      <c r="U26" s="71">
        <f t="shared" si="4"/>
        <v>28</v>
      </c>
      <c r="V26" s="71">
        <f t="shared" si="4"/>
        <v>3</v>
      </c>
      <c r="W26" s="71">
        <f t="shared" si="4"/>
        <v>18</v>
      </c>
      <c r="X26" s="71">
        <f t="shared" si="4"/>
        <v>24</v>
      </c>
      <c r="Y26" s="71">
        <f t="shared" si="4"/>
        <v>4</v>
      </c>
      <c r="Z26" s="71">
        <f t="shared" si="4"/>
        <v>18</v>
      </c>
      <c r="AA26" s="71">
        <f t="shared" si="4"/>
        <v>20</v>
      </c>
      <c r="AB26" s="71">
        <f t="shared" si="4"/>
        <v>16</v>
      </c>
      <c r="AC26" s="71">
        <f t="shared" si="4"/>
        <v>18</v>
      </c>
      <c r="AD26" s="71">
        <f t="shared" si="4"/>
        <v>8</v>
      </c>
      <c r="AE26" s="71">
        <f t="shared" si="4"/>
        <v>12</v>
      </c>
      <c r="AF26" s="71">
        <f t="shared" si="4"/>
        <v>14</v>
      </c>
      <c r="AG26" s="71">
        <f t="shared" si="4"/>
        <v>17</v>
      </c>
      <c r="AH26" s="71">
        <f t="shared" si="4"/>
        <v>9</v>
      </c>
      <c r="AI26" s="71">
        <f t="shared" si="4"/>
        <v>10</v>
      </c>
      <c r="AJ26" s="71">
        <f t="shared" si="4"/>
        <v>15</v>
      </c>
      <c r="AK26" s="71">
        <f t="shared" si="4"/>
        <v>12</v>
      </c>
      <c r="AL26" s="71">
        <f t="shared" si="4"/>
        <v>18</v>
      </c>
      <c r="AM26" s="71">
        <f t="shared" si="4"/>
        <v>19</v>
      </c>
      <c r="AN26" s="71">
        <f t="shared" si="4"/>
        <v>5</v>
      </c>
      <c r="AO26" s="71">
        <f t="shared" si="4"/>
        <v>10</v>
      </c>
      <c r="AP26" s="71">
        <f t="shared" si="4"/>
        <v>21</v>
      </c>
      <c r="AQ26" s="71">
        <f t="shared" si="4"/>
        <v>3</v>
      </c>
      <c r="AR26" s="71">
        <f t="shared" si="4"/>
        <v>9</v>
      </c>
      <c r="AS26" s="71">
        <f t="shared" si="4"/>
        <v>24</v>
      </c>
      <c r="AT26" s="71">
        <f t="shared" si="4"/>
        <v>15</v>
      </c>
      <c r="AU26" s="71">
        <f t="shared" si="4"/>
        <v>14</v>
      </c>
      <c r="AV26" s="71">
        <f t="shared" si="4"/>
        <v>11</v>
      </c>
      <c r="AW26" s="71">
        <f t="shared" si="4"/>
        <v>11</v>
      </c>
      <c r="AX26" s="71">
        <f t="shared" si="4"/>
        <v>19</v>
      </c>
      <c r="AY26" s="71">
        <f t="shared" si="4"/>
        <v>6</v>
      </c>
      <c r="AZ26" s="71">
        <f t="shared" si="4"/>
        <v>15</v>
      </c>
      <c r="BA26" s="71">
        <f t="shared" si="4"/>
        <v>1</v>
      </c>
      <c r="BB26" s="71">
        <f t="shared" si="4"/>
        <v>10</v>
      </c>
      <c r="BC26" s="71">
        <f t="shared" si="4"/>
        <v>28</v>
      </c>
      <c r="BD26" s="71">
        <f t="shared" si="4"/>
        <v>10</v>
      </c>
      <c r="BE26" s="71">
        <f t="shared" si="4"/>
        <v>18</v>
      </c>
      <c r="BF26" s="71">
        <f t="shared" si="4"/>
        <v>22</v>
      </c>
      <c r="BG26" s="71">
        <f t="shared" si="4"/>
        <v>9</v>
      </c>
      <c r="BH26" s="71">
        <f t="shared" si="4"/>
        <v>9</v>
      </c>
      <c r="BI26" s="71">
        <f t="shared" si="4"/>
        <v>7</v>
      </c>
      <c r="BJ26" s="71">
        <f t="shared" si="4"/>
        <v>14</v>
      </c>
      <c r="BK26" s="71">
        <f t="shared" si="4"/>
        <v>17</v>
      </c>
      <c r="BL26" s="71">
        <f t="shared" si="4"/>
        <v>7</v>
      </c>
      <c r="BM26" s="71">
        <f t="shared" si="4"/>
        <v>15</v>
      </c>
      <c r="BN26" s="71">
        <f t="shared" si="4"/>
        <v>7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20</v>
      </c>
      <c r="L27" s="71">
        <f t="shared" si="5"/>
        <v>8</v>
      </c>
      <c r="M27" s="71">
        <f t="shared" si="5"/>
        <v>6</v>
      </c>
      <c r="N27" s="71">
        <f t="shared" si="5"/>
        <v>17</v>
      </c>
      <c r="O27" s="71">
        <f t="shared" si="5"/>
        <v>28</v>
      </c>
      <c r="P27" s="71">
        <f t="shared" si="5"/>
        <v>10</v>
      </c>
      <c r="Q27" s="71">
        <f t="shared" si="5"/>
        <v>14</v>
      </c>
      <c r="R27" s="71">
        <f t="shared" si="5"/>
        <v>9</v>
      </c>
      <c r="S27" s="71">
        <f t="shared" si="5"/>
        <v>29</v>
      </c>
      <c r="T27" s="71">
        <f t="shared" si="5"/>
        <v>47</v>
      </c>
      <c r="U27" s="71">
        <f t="shared" si="5"/>
        <v>6</v>
      </c>
      <c r="V27" s="71">
        <f t="shared" si="5"/>
        <v>23</v>
      </c>
      <c r="W27" s="71">
        <f t="shared" si="5"/>
        <v>32</v>
      </c>
      <c r="X27" s="71">
        <f t="shared" si="5"/>
        <v>32</v>
      </c>
      <c r="Y27" s="71">
        <f t="shared" si="5"/>
        <v>24</v>
      </c>
      <c r="Z27" s="71">
        <f t="shared" si="5"/>
        <v>24</v>
      </c>
      <c r="AA27" s="71">
        <f t="shared" si="5"/>
        <v>28</v>
      </c>
      <c r="AB27" s="71">
        <f t="shared" si="5"/>
        <v>40</v>
      </c>
      <c r="AC27" s="71">
        <f t="shared" si="5"/>
        <v>24</v>
      </c>
      <c r="AD27" s="71">
        <f t="shared" si="5"/>
        <v>16</v>
      </c>
      <c r="AE27" s="71">
        <f t="shared" si="5"/>
        <v>6</v>
      </c>
      <c r="AF27" s="71">
        <f t="shared" si="5"/>
        <v>14</v>
      </c>
      <c r="AG27" s="71">
        <f t="shared" si="5"/>
        <v>11</v>
      </c>
      <c r="AH27" s="71">
        <f t="shared" si="5"/>
        <v>23</v>
      </c>
      <c r="AI27" s="71">
        <f t="shared" si="5"/>
        <v>26</v>
      </c>
      <c r="AJ27" s="71">
        <f t="shared" si="5"/>
        <v>21</v>
      </c>
      <c r="AK27" s="71">
        <f t="shared" si="5"/>
        <v>12</v>
      </c>
      <c r="AL27" s="71">
        <f t="shared" si="5"/>
        <v>24</v>
      </c>
      <c r="AM27" s="71">
        <f t="shared" si="5"/>
        <v>29</v>
      </c>
      <c r="AN27" s="71">
        <f t="shared" si="5"/>
        <v>29</v>
      </c>
      <c r="AO27" s="71">
        <f t="shared" si="5"/>
        <v>18</v>
      </c>
      <c r="AP27" s="71">
        <f t="shared" si="5"/>
        <v>69</v>
      </c>
      <c r="AQ27" s="71">
        <f t="shared" si="5"/>
        <v>19</v>
      </c>
      <c r="AR27" s="71">
        <f t="shared" si="5"/>
        <v>11</v>
      </c>
      <c r="AS27" s="71">
        <f t="shared" si="5"/>
        <v>24</v>
      </c>
      <c r="AT27" s="71">
        <f t="shared" si="5"/>
        <v>15</v>
      </c>
      <c r="AU27" s="71">
        <f t="shared" si="5"/>
        <v>20</v>
      </c>
      <c r="AV27" s="71">
        <f t="shared" si="5"/>
        <v>25</v>
      </c>
      <c r="AW27" s="71">
        <f t="shared" si="5"/>
        <v>17</v>
      </c>
      <c r="AX27" s="71">
        <f t="shared" si="5"/>
        <v>19</v>
      </c>
      <c r="AY27" s="71">
        <f t="shared" si="5"/>
        <v>28</v>
      </c>
      <c r="AZ27" s="71">
        <f t="shared" si="5"/>
        <v>29</v>
      </c>
      <c r="BA27" s="71">
        <f t="shared" si="5"/>
        <v>21</v>
      </c>
      <c r="BB27" s="71">
        <f t="shared" si="5"/>
        <v>52</v>
      </c>
      <c r="BC27" s="71">
        <f t="shared" si="5"/>
        <v>34</v>
      </c>
      <c r="BD27" s="71">
        <f t="shared" si="5"/>
        <v>24</v>
      </c>
      <c r="BE27" s="71">
        <f t="shared" si="5"/>
        <v>10</v>
      </c>
      <c r="BF27" s="71">
        <f t="shared" si="5"/>
        <v>12</v>
      </c>
      <c r="BG27" s="71">
        <f t="shared" si="5"/>
        <v>37</v>
      </c>
      <c r="BH27" s="71">
        <f t="shared" si="5"/>
        <v>57</v>
      </c>
      <c r="BI27" s="71">
        <f t="shared" si="5"/>
        <v>35</v>
      </c>
      <c r="BJ27" s="71">
        <f t="shared" si="5"/>
        <v>20</v>
      </c>
      <c r="BK27" s="71">
        <f t="shared" si="5"/>
        <v>17</v>
      </c>
      <c r="BL27" s="71">
        <f t="shared" si="5"/>
        <v>21</v>
      </c>
      <c r="BM27" s="71">
        <f t="shared" si="5"/>
        <v>21</v>
      </c>
      <c r="BN27" s="71">
        <f t="shared" si="5"/>
        <v>27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>
        <f t="shared" ca="1" si="6"/>
        <v>1</v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0.46785714285714286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6</v>
      </c>
      <c r="M29" s="71">
        <f t="shared" si="7"/>
        <v>7</v>
      </c>
      <c r="N29" s="71">
        <f t="shared" si="7"/>
        <v>6</v>
      </c>
      <c r="O29" s="71">
        <f t="shared" si="7"/>
        <v>5</v>
      </c>
      <c r="P29" s="71">
        <f t="shared" si="7"/>
        <v>4</v>
      </c>
      <c r="Q29" s="71">
        <f t="shared" si="7"/>
        <v>6</v>
      </c>
      <c r="R29" s="71">
        <f t="shared" si="7"/>
        <v>7</v>
      </c>
      <c r="S29" s="71">
        <f t="shared" si="7"/>
        <v>6</v>
      </c>
      <c r="T29" s="71">
        <f t="shared" si="7"/>
        <v>6</v>
      </c>
      <c r="U29" s="71">
        <f t="shared" si="7"/>
        <v>5</v>
      </c>
      <c r="V29" s="71">
        <f t="shared" si="7"/>
        <v>4</v>
      </c>
      <c r="W29" s="71">
        <f t="shared" si="7"/>
        <v>5</v>
      </c>
      <c r="X29" s="71">
        <f t="shared" si="7"/>
        <v>5</v>
      </c>
      <c r="Y29" s="71">
        <f t="shared" si="7"/>
        <v>6</v>
      </c>
      <c r="Z29" s="71">
        <f t="shared" si="7"/>
        <v>7</v>
      </c>
      <c r="AA29" s="71">
        <f t="shared" si="7"/>
        <v>4</v>
      </c>
      <c r="AB29" s="71">
        <f t="shared" si="7"/>
        <v>6</v>
      </c>
      <c r="AC29" s="71">
        <f t="shared" si="7"/>
        <v>9</v>
      </c>
      <c r="AD29" s="71">
        <f t="shared" si="7"/>
        <v>4</v>
      </c>
      <c r="AE29" s="71">
        <f t="shared" si="7"/>
        <v>6</v>
      </c>
      <c r="AF29" s="71">
        <f t="shared" si="7"/>
        <v>6</v>
      </c>
      <c r="AG29" s="71">
        <f t="shared" si="7"/>
        <v>5</v>
      </c>
      <c r="AH29" s="71">
        <f t="shared" si="7"/>
        <v>5</v>
      </c>
      <c r="AI29" s="71">
        <f t="shared" si="7"/>
        <v>4</v>
      </c>
      <c r="AJ29" s="71">
        <f t="shared" si="7"/>
        <v>5</v>
      </c>
      <c r="AK29" s="71">
        <f t="shared" si="7"/>
        <v>3</v>
      </c>
      <c r="AL29" s="71">
        <f t="shared" si="7"/>
        <v>3</v>
      </c>
      <c r="AM29" s="71">
        <f t="shared" si="7"/>
        <v>8</v>
      </c>
      <c r="AN29" s="71">
        <f t="shared" si="7"/>
        <v>5</v>
      </c>
      <c r="AO29" s="71">
        <f t="shared" si="7"/>
        <v>4</v>
      </c>
      <c r="AP29" s="71">
        <f t="shared" si="7"/>
        <v>0</v>
      </c>
      <c r="AQ29" s="71">
        <f t="shared" si="7"/>
        <v>6</v>
      </c>
      <c r="AR29" s="71">
        <f t="shared" si="7"/>
        <v>6</v>
      </c>
      <c r="AS29" s="71">
        <f t="shared" si="7"/>
        <v>4</v>
      </c>
      <c r="AT29" s="71">
        <f t="shared" si="7"/>
        <v>6</v>
      </c>
      <c r="AU29" s="71">
        <f t="shared" si="7"/>
        <v>5</v>
      </c>
      <c r="AV29" s="71">
        <f t="shared" si="7"/>
        <v>4</v>
      </c>
      <c r="AW29" s="71">
        <f t="shared" si="7"/>
        <v>3</v>
      </c>
      <c r="AX29" s="71">
        <f t="shared" si="7"/>
        <v>5</v>
      </c>
      <c r="AY29" s="71">
        <f t="shared" si="7"/>
        <v>7</v>
      </c>
      <c r="AZ29" s="71">
        <f t="shared" si="7"/>
        <v>5</v>
      </c>
      <c r="BA29" s="71">
        <f t="shared" si="7"/>
        <v>7</v>
      </c>
      <c r="BB29" s="71">
        <f t="shared" si="7"/>
        <v>2</v>
      </c>
      <c r="BC29" s="71">
        <f t="shared" si="7"/>
        <v>4</v>
      </c>
      <c r="BD29" s="71">
        <f t="shared" si="7"/>
        <v>6</v>
      </c>
      <c r="BE29" s="71">
        <f t="shared" si="7"/>
        <v>6</v>
      </c>
      <c r="BF29" s="71">
        <f t="shared" si="7"/>
        <v>4</v>
      </c>
      <c r="BG29" s="71">
        <f t="shared" si="7"/>
        <v>4</v>
      </c>
      <c r="BH29" s="71">
        <f t="shared" si="7"/>
        <v>7</v>
      </c>
      <c r="BI29" s="71">
        <f t="shared" si="7"/>
        <v>6</v>
      </c>
      <c r="BJ29" s="71">
        <f t="shared" si="7"/>
        <v>7</v>
      </c>
      <c r="BK29" s="71">
        <f t="shared" si="7"/>
        <v>6</v>
      </c>
      <c r="BL29" s="71">
        <f t="shared" si="7"/>
        <v>8</v>
      </c>
      <c r="BM29" s="71">
        <f t="shared" si="7"/>
        <v>6</v>
      </c>
      <c r="BN29" s="71">
        <f t="shared" si="7"/>
        <v>7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-18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2</v>
      </c>
      <c r="O30" s="73">
        <f t="shared" si="8"/>
        <v>3</v>
      </c>
      <c r="P30" s="73">
        <f t="shared" si="8"/>
        <v>4</v>
      </c>
      <c r="Q30" s="73">
        <f t="shared" si="8"/>
        <v>4</v>
      </c>
      <c r="R30" s="73">
        <f t="shared" si="8"/>
        <v>7</v>
      </c>
      <c r="S30" s="73">
        <f t="shared" si="8"/>
        <v>4</v>
      </c>
      <c r="T30" s="73">
        <f t="shared" si="8"/>
        <v>6</v>
      </c>
      <c r="U30" s="73">
        <f t="shared" si="8"/>
        <v>5</v>
      </c>
      <c r="V30" s="73">
        <f t="shared" si="8"/>
        <v>4</v>
      </c>
      <c r="W30" s="73">
        <f t="shared" si="8"/>
        <v>3</v>
      </c>
      <c r="X30" s="73">
        <f t="shared" si="8"/>
        <v>5</v>
      </c>
      <c r="Y30" s="73">
        <f t="shared" si="8"/>
        <v>4</v>
      </c>
      <c r="Z30" s="73">
        <f t="shared" si="8"/>
        <v>7</v>
      </c>
      <c r="AA30" s="73">
        <f t="shared" si="8"/>
        <v>4</v>
      </c>
      <c r="AB30" s="73">
        <f t="shared" si="8"/>
        <v>4</v>
      </c>
      <c r="AC30" s="73">
        <f t="shared" si="8"/>
        <v>7</v>
      </c>
      <c r="AD30" s="73">
        <f t="shared" si="8"/>
        <v>2</v>
      </c>
      <c r="AE30" s="73">
        <f t="shared" si="8"/>
        <v>6</v>
      </c>
      <c r="AF30" s="73">
        <f t="shared" si="8"/>
        <v>6</v>
      </c>
      <c r="AG30" s="73">
        <f t="shared" si="8"/>
        <v>5</v>
      </c>
      <c r="AH30" s="73">
        <f t="shared" si="8"/>
        <v>3</v>
      </c>
      <c r="AI30" s="73">
        <f t="shared" si="8"/>
        <v>4</v>
      </c>
      <c r="AJ30" s="73">
        <f t="shared" si="8"/>
        <v>3</v>
      </c>
      <c r="AK30" s="73">
        <f t="shared" si="8"/>
        <v>5</v>
      </c>
      <c r="AL30" s="73">
        <f t="shared" si="8"/>
        <v>5</v>
      </c>
      <c r="AM30" s="73">
        <f t="shared" si="8"/>
        <v>6</v>
      </c>
      <c r="AN30" s="73">
        <f t="shared" si="8"/>
        <v>5</v>
      </c>
      <c r="AO30" s="73">
        <f t="shared" si="8"/>
        <v>4</v>
      </c>
      <c r="AP30" s="73">
        <f t="shared" si="8"/>
        <v>10</v>
      </c>
      <c r="AQ30" s="73">
        <f t="shared" si="8"/>
        <v>2</v>
      </c>
      <c r="AR30" s="73">
        <f t="shared" si="8"/>
        <v>4</v>
      </c>
      <c r="AS30" s="73">
        <f t="shared" si="8"/>
        <v>8</v>
      </c>
      <c r="AT30" s="73">
        <f t="shared" si="8"/>
        <v>8</v>
      </c>
      <c r="AU30" s="73">
        <f t="shared" si="8"/>
        <v>5</v>
      </c>
      <c r="AV30" s="73">
        <f t="shared" si="8"/>
        <v>4</v>
      </c>
      <c r="AW30" s="73">
        <f t="shared" si="8"/>
        <v>5</v>
      </c>
      <c r="AX30" s="73">
        <f t="shared" si="8"/>
        <v>5</v>
      </c>
      <c r="AY30" s="73">
        <f t="shared" si="8"/>
        <v>5</v>
      </c>
      <c r="AZ30" s="73">
        <f t="shared" si="8"/>
        <v>9</v>
      </c>
      <c r="BA30" s="73">
        <f t="shared" si="8"/>
        <v>5</v>
      </c>
      <c r="BB30" s="73">
        <f t="shared" si="8"/>
        <v>2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4</v>
      </c>
      <c r="BG30" s="73">
        <f t="shared" si="8"/>
        <v>4</v>
      </c>
      <c r="BH30" s="73">
        <f t="shared" si="8"/>
        <v>5</v>
      </c>
      <c r="BI30" s="73">
        <f t="shared" si="8"/>
        <v>4</v>
      </c>
      <c r="BJ30" s="73">
        <f t="shared" si="8"/>
        <v>5</v>
      </c>
      <c r="BK30" s="73">
        <f t="shared" si="8"/>
        <v>10</v>
      </c>
      <c r="BL30" s="73">
        <f t="shared" si="8"/>
        <v>4</v>
      </c>
      <c r="BM30" s="73">
        <f t="shared" si="8"/>
        <v>4</v>
      </c>
      <c r="BN30" s="73">
        <f t="shared" si="8"/>
        <v>5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4</v>
      </c>
      <c r="O31" s="71">
        <f t="shared" ca="1" si="9"/>
        <v>3</v>
      </c>
      <c r="P31" s="71">
        <f t="shared" ca="1" si="9"/>
        <v>6</v>
      </c>
      <c r="Q31" s="71">
        <f t="shared" ca="1" si="9"/>
        <v>4</v>
      </c>
      <c r="R31" s="71">
        <f t="shared" ca="1" si="9"/>
        <v>3</v>
      </c>
      <c r="S31" s="71">
        <f t="shared" ca="1" si="9"/>
        <v>6</v>
      </c>
      <c r="T31" s="71">
        <f t="shared" ca="1" si="9"/>
        <v>4</v>
      </c>
      <c r="U31" s="71">
        <f t="shared" ca="1" si="9"/>
        <v>3</v>
      </c>
      <c r="V31" s="71">
        <f t="shared" ca="1" si="9"/>
        <v>6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6</v>
      </c>
      <c r="AB31" s="71">
        <f t="shared" ca="1" si="9"/>
        <v>2</v>
      </c>
      <c r="AC31" s="71">
        <f t="shared" ca="1" si="9"/>
        <v>1</v>
      </c>
      <c r="AD31" s="71">
        <f t="shared" ca="1" si="9"/>
        <v>6</v>
      </c>
      <c r="AE31" s="71">
        <f t="shared" ca="1" si="9"/>
        <v>4</v>
      </c>
      <c r="AF31" s="71">
        <f t="shared" ca="1" si="9"/>
        <v>4</v>
      </c>
      <c r="AG31" s="71">
        <f t="shared" ca="1" si="9"/>
        <v>3</v>
      </c>
      <c r="AH31" s="71">
        <f t="shared" ca="1" si="9"/>
        <v>5</v>
      </c>
      <c r="AI31" s="71">
        <f t="shared" ca="1" si="9"/>
        <v>4</v>
      </c>
      <c r="AJ31" s="71">
        <f t="shared" ca="1" si="9"/>
        <v>5</v>
      </c>
      <c r="AK31" s="71">
        <f t="shared" ca="1" si="9"/>
        <v>5</v>
      </c>
      <c r="AL31" s="71">
        <f t="shared" ca="1" si="9"/>
        <v>5</v>
      </c>
      <c r="AM31" s="71">
        <f t="shared" ca="1" si="9"/>
        <v>0</v>
      </c>
      <c r="AN31" s="71">
        <f t="shared" ca="1" si="9"/>
        <v>7</v>
      </c>
      <c r="AO31" s="71">
        <f t="shared" ca="1" si="9"/>
        <v>4</v>
      </c>
      <c r="AP31" s="71">
        <f t="shared" ca="1" si="9"/>
        <v>10</v>
      </c>
      <c r="AQ31" s="71">
        <f t="shared" ca="1" si="9"/>
        <v>4</v>
      </c>
      <c r="AR31" s="71">
        <f t="shared" ca="1" si="9"/>
        <v>6</v>
      </c>
      <c r="AS31" s="71">
        <f t="shared" ca="1" si="9"/>
        <v>4</v>
      </c>
      <c r="AT31" s="71">
        <f t="shared" ca="1" si="9"/>
        <v>4</v>
      </c>
      <c r="AU31" s="71">
        <f t="shared" ca="1" si="9"/>
        <v>5</v>
      </c>
      <c r="AV31" s="71">
        <f t="shared" ca="1" si="9"/>
        <v>4</v>
      </c>
      <c r="AW31" s="71">
        <f t="shared" ca="1" si="9"/>
        <v>5</v>
      </c>
      <c r="AX31" s="71">
        <f t="shared" ca="1" si="9"/>
        <v>3</v>
      </c>
      <c r="AY31" s="71">
        <f t="shared" ca="1" si="9"/>
        <v>3</v>
      </c>
      <c r="AZ31" s="71">
        <f t="shared" ca="1" si="9"/>
        <v>5</v>
      </c>
      <c r="BA31" s="71">
        <f t="shared" ca="1" si="9"/>
        <v>5</v>
      </c>
      <c r="BB31" s="71">
        <f t="shared" ca="1" si="9"/>
        <v>6</v>
      </c>
      <c r="BC31" s="71">
        <f t="shared" ca="1" si="9"/>
        <v>4</v>
      </c>
      <c r="BD31" s="71">
        <f t="shared" ca="1" si="9"/>
        <v>4</v>
      </c>
      <c r="BE31" s="71">
        <f t="shared" ca="1" si="9"/>
        <v>2</v>
      </c>
      <c r="BF31" s="71">
        <f t="shared" ca="1" si="9"/>
        <v>4</v>
      </c>
      <c r="BG31" s="71">
        <f t="shared" ca="1" si="9"/>
        <v>6</v>
      </c>
      <c r="BH31" s="71">
        <f t="shared" ca="1" si="9"/>
        <v>3</v>
      </c>
      <c r="BI31" s="71">
        <f t="shared" ca="1" si="9"/>
        <v>6</v>
      </c>
      <c r="BJ31" s="71">
        <f t="shared" ca="1" si="9"/>
        <v>3</v>
      </c>
      <c r="BK31" s="71">
        <f t="shared" ca="1" si="9"/>
        <v>4</v>
      </c>
      <c r="BL31" s="71">
        <f t="shared" ca="1" si="9"/>
        <v>2</v>
      </c>
      <c r="BM31" s="71">
        <f t="shared" ca="1" si="9"/>
        <v>2</v>
      </c>
      <c r="BN31" s="71">
        <f t="shared" ca="1" si="9"/>
        <v>3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59943920</v>
      </c>
      <c r="L36" s="32">
        <f t="shared" si="12"/>
        <v>79943968</v>
      </c>
      <c r="M36" s="32">
        <f t="shared" si="12"/>
        <v>139943976</v>
      </c>
      <c r="N36" s="32">
        <f t="shared" si="12"/>
        <v>81955932</v>
      </c>
      <c r="O36" s="32">
        <f t="shared" si="12"/>
        <v>59919888</v>
      </c>
      <c r="P36" s="32">
        <f t="shared" si="12"/>
        <v>79927960</v>
      </c>
      <c r="Q36" s="32">
        <f t="shared" si="12"/>
        <v>81975944</v>
      </c>
      <c r="R36" s="32">
        <f t="shared" si="12"/>
        <v>99939964</v>
      </c>
      <c r="S36" s="32">
        <f t="shared" si="12"/>
        <v>81971884</v>
      </c>
      <c r="T36" s="32">
        <f t="shared" si="12"/>
        <v>39955812</v>
      </c>
      <c r="U36" s="32">
        <f t="shared" si="12"/>
        <v>59887976</v>
      </c>
      <c r="V36" s="32">
        <f t="shared" si="12"/>
        <v>121987908</v>
      </c>
      <c r="W36" s="32">
        <f t="shared" si="12"/>
        <v>99927872</v>
      </c>
      <c r="X36" s="32">
        <f t="shared" si="12"/>
        <v>99903872</v>
      </c>
      <c r="Y36" s="32">
        <f t="shared" si="12"/>
        <v>81983904</v>
      </c>
      <c r="Z36" s="32">
        <f t="shared" si="12"/>
        <v>99927904</v>
      </c>
      <c r="AA36" s="32">
        <f t="shared" si="12"/>
        <v>159919888</v>
      </c>
      <c r="AB36" s="32">
        <f t="shared" si="12"/>
        <v>119935840</v>
      </c>
      <c r="AC36" s="32">
        <f t="shared" si="12"/>
        <v>99927904</v>
      </c>
      <c r="AD36" s="32">
        <f t="shared" si="12"/>
        <v>121967936</v>
      </c>
      <c r="AE36" s="32">
        <f t="shared" si="12"/>
        <v>79951976</v>
      </c>
      <c r="AF36" s="32">
        <f t="shared" si="12"/>
        <v>119943944</v>
      </c>
      <c r="AG36" s="32">
        <f t="shared" si="12"/>
        <v>59931956</v>
      </c>
      <c r="AH36" s="32">
        <f t="shared" si="12"/>
        <v>141963908</v>
      </c>
      <c r="AI36" s="32">
        <f t="shared" si="12"/>
        <v>39959896</v>
      </c>
      <c r="AJ36" s="32">
        <f t="shared" si="12"/>
        <v>139939916</v>
      </c>
      <c r="AK36" s="32">
        <f t="shared" si="12"/>
        <v>59951952</v>
      </c>
      <c r="AL36" s="32">
        <f t="shared" si="12"/>
        <v>59927904</v>
      </c>
      <c r="AM36" s="32">
        <f t="shared" si="12"/>
        <v>79923884</v>
      </c>
      <c r="AN36" s="32">
        <f t="shared" si="12"/>
        <v>141979884</v>
      </c>
      <c r="AO36" s="32">
        <f t="shared" si="12"/>
        <v>79959928</v>
      </c>
      <c r="AP36" s="32">
        <f t="shared" si="12"/>
        <v>0</v>
      </c>
      <c r="AQ36" s="32">
        <f t="shared" si="12"/>
        <v>161987924</v>
      </c>
      <c r="AR36" s="32">
        <f t="shared" si="12"/>
        <v>121963956</v>
      </c>
      <c r="AS36" s="32">
        <f t="shared" si="12"/>
        <v>39903904</v>
      </c>
      <c r="AT36" s="32">
        <f t="shared" si="12"/>
        <v>79939940</v>
      </c>
      <c r="AU36" s="32">
        <f t="shared" si="12"/>
        <v>139943920</v>
      </c>
      <c r="AV36" s="32">
        <f t="shared" si="12"/>
        <v>119955900</v>
      </c>
      <c r="AW36" s="32">
        <f t="shared" si="12"/>
        <v>59955932</v>
      </c>
      <c r="AX36" s="32">
        <f t="shared" si="12"/>
        <v>59923924</v>
      </c>
      <c r="AY36" s="32">
        <f t="shared" si="12"/>
        <v>101975888</v>
      </c>
      <c r="AZ36" s="32">
        <f t="shared" si="12"/>
        <v>99939884</v>
      </c>
      <c r="BA36" s="32">
        <f t="shared" si="12"/>
        <v>141995916</v>
      </c>
      <c r="BB36" s="32">
        <f t="shared" si="12"/>
        <v>79959792</v>
      </c>
      <c r="BC36" s="32">
        <f t="shared" si="12"/>
        <v>79887864</v>
      </c>
      <c r="BD36" s="32">
        <f t="shared" si="12"/>
        <v>119959904</v>
      </c>
      <c r="BE36" s="32">
        <f t="shared" si="12"/>
        <v>119927960</v>
      </c>
      <c r="BF36" s="32">
        <f t="shared" si="12"/>
        <v>79911952</v>
      </c>
      <c r="BG36" s="32">
        <f t="shared" si="12"/>
        <v>41963852</v>
      </c>
      <c r="BH36" s="32">
        <f t="shared" si="12"/>
        <v>101963772</v>
      </c>
      <c r="BI36" s="32">
        <f t="shared" si="12"/>
        <v>121971860</v>
      </c>
      <c r="BJ36" s="32">
        <f t="shared" si="12"/>
        <v>139943920</v>
      </c>
      <c r="BK36" s="32">
        <f t="shared" si="12"/>
        <v>79931932</v>
      </c>
      <c r="BL36" s="32">
        <f t="shared" si="12"/>
        <v>121971916</v>
      </c>
      <c r="BM36" s="32">
        <f t="shared" si="12"/>
        <v>79939916</v>
      </c>
      <c r="BN36" s="32">
        <f t="shared" si="12"/>
        <v>101971892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 Remote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17" priority="9" stopIfTrue="1" operator="equal">
      <formula>0</formula>
    </cfRule>
  </conditionalFormatting>
  <conditionalFormatting sqref="D26:J28 K28:BE28">
    <cfRule type="cellIs" dxfId="216" priority="10" stopIfTrue="1" operator="equal">
      <formula>1</formula>
    </cfRule>
  </conditionalFormatting>
  <conditionalFormatting sqref="H3:I3 F23 H5:I5 H7:I7 H9:I9 H11:I11 H13:I13 H15:I15 H17:I17 H19:I19 H21:I21">
    <cfRule type="cellIs" dxfId="215" priority="11" stopIfTrue="1" operator="equal">
      <formula>0</formula>
    </cfRule>
  </conditionalFormatting>
  <conditionalFormatting sqref="H4:I4 F24 H6:I6 H8:I8 H10:I10 H12:I12 H14:I14 H16:I16 H18:I18 H20:I20 H22:I22">
    <cfRule type="cellIs" dxfId="214" priority="12" stopIfTrue="1" operator="equal">
      <formula>0</formula>
    </cfRule>
  </conditionalFormatting>
  <conditionalFormatting sqref="F3 F5 F7 F9 F11 F13 F15 F17 F19 F21">
    <cfRule type="cellIs" dxfId="2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1" priority="15" stopIfTrue="1">
      <formula>AND(COUNTA(J4)=1,$E4=1,SUM($E3:$E4)=1)</formula>
    </cfRule>
    <cfRule type="expression" dxfId="21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9" priority="17" stopIfTrue="1">
      <formula>AND(COUNTA(J3)=1,$E3=1,SUM($E3:$E4)=1)</formula>
    </cfRule>
    <cfRule type="expression" dxfId="208" priority="18" stopIfTrue="1">
      <formula>AND(COUNTA(J3)=1,$E3=0,SUM($E3:$E4)=1)</formula>
    </cfRule>
  </conditionalFormatting>
  <conditionalFormatting sqref="BF23:BN23">
    <cfRule type="cellIs" dxfId="207" priority="7" stopIfTrue="1" operator="equal">
      <formula>0</formula>
    </cfRule>
  </conditionalFormatting>
  <conditionalFormatting sqref="BF24:BN24">
    <cfRule type="cellIs" dxfId="206" priority="6" stopIfTrue="1" operator="equal">
      <formula>0</formula>
    </cfRule>
  </conditionalFormatting>
  <conditionalFormatting sqref="BF28:BN28">
    <cfRule type="cellIs" dxfId="20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04" priority="3" stopIfTrue="1">
      <formula>AND(COUNTA(BF4)=1,$E4=1,SUM($E3:$E4)=1)</formula>
    </cfRule>
    <cfRule type="expression" dxfId="20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02" priority="1" stopIfTrue="1">
      <formula>AND(COUNTA(BF3)=1,$E3=1,SUM($E3:$E4)=1)</formula>
    </cfRule>
    <cfRule type="expression" dxfId="2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>
      <c r="B1" s="6"/>
      <c r="I1">
        <f>COUNTA(K1:BW1)</f>
        <v>0</v>
      </c>
      <c r="J1">
        <f>SUM(K1:BW1)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>
      <c r="A3" s="59">
        <v>1</v>
      </c>
      <c r="B3" s="67" t="s">
        <v>210</v>
      </c>
      <c r="C3" s="65">
        <v>7.5</v>
      </c>
      <c r="D3" s="64">
        <v>40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/>
      <c r="M3" s="69" t="s">
        <v>314</v>
      </c>
      <c r="N3" s="69" t="s">
        <v>314</v>
      </c>
      <c r="O3" s="69"/>
      <c r="P3" s="69"/>
      <c r="Q3" s="69"/>
      <c r="R3" s="69" t="s">
        <v>314</v>
      </c>
      <c r="S3" s="69" t="s">
        <v>314</v>
      </c>
      <c r="T3" s="69"/>
      <c r="U3" s="69"/>
      <c r="V3" s="69" t="s">
        <v>314</v>
      </c>
      <c r="W3" s="69" t="s">
        <v>314</v>
      </c>
      <c r="X3" s="69" t="s">
        <v>314</v>
      </c>
      <c r="Y3" s="69" t="s">
        <v>314</v>
      </c>
      <c r="Z3" s="69" t="s">
        <v>314</v>
      </c>
      <c r="AA3" s="69" t="s">
        <v>314</v>
      </c>
      <c r="AB3" s="69" t="s">
        <v>314</v>
      </c>
      <c r="AC3" s="69" t="s">
        <v>314</v>
      </c>
      <c r="AD3" s="69" t="s">
        <v>314</v>
      </c>
      <c r="AE3" s="69"/>
      <c r="AF3" s="69" t="s">
        <v>314</v>
      </c>
      <c r="AG3" s="69"/>
      <c r="AH3" s="69" t="s">
        <v>314</v>
      </c>
      <c r="AI3" s="69"/>
      <c r="AJ3" s="69"/>
      <c r="AK3" s="69"/>
      <c r="AL3" s="69" t="s">
        <v>314</v>
      </c>
      <c r="AM3" s="69" t="s">
        <v>314</v>
      </c>
      <c r="AN3" s="69"/>
      <c r="AO3" s="69"/>
      <c r="AP3" s="69"/>
      <c r="AQ3" s="69" t="s">
        <v>314</v>
      </c>
      <c r="AR3" s="96" t="s">
        <v>314</v>
      </c>
      <c r="AS3" s="69" t="s">
        <v>314</v>
      </c>
      <c r="AT3" s="69"/>
      <c r="AU3" s="69" t="s">
        <v>314</v>
      </c>
      <c r="AV3" s="69" t="s">
        <v>314</v>
      </c>
      <c r="AW3" s="69"/>
      <c r="AX3" s="69" t="s">
        <v>314</v>
      </c>
      <c r="AY3" s="69" t="s">
        <v>314</v>
      </c>
      <c r="AZ3" s="69"/>
      <c r="BA3" s="69" t="s">
        <v>314</v>
      </c>
      <c r="BB3" s="69" t="s">
        <v>314</v>
      </c>
      <c r="BC3" s="69"/>
      <c r="BD3" s="69"/>
      <c r="BE3" s="96" t="s">
        <v>314</v>
      </c>
      <c r="BF3" s="69" t="s">
        <v>314</v>
      </c>
      <c r="BG3" s="69"/>
      <c r="BH3" s="69" t="s">
        <v>314</v>
      </c>
      <c r="BI3" s="69" t="s">
        <v>314</v>
      </c>
      <c r="BJ3" s="69" t="s">
        <v>314</v>
      </c>
      <c r="BK3" s="69"/>
      <c r="BL3" s="69"/>
      <c r="BM3" s="69" t="s">
        <v>314</v>
      </c>
      <c r="BN3" s="69"/>
    </row>
    <row r="4" spans="1:66">
      <c r="A4" s="61" t="s">
        <v>3</v>
      </c>
      <c r="B4" s="68" t="s">
        <v>190</v>
      </c>
      <c r="C4" s="66"/>
      <c r="D4" s="64">
        <v>16</v>
      </c>
      <c r="E4" s="64">
        <f>IF(ISBLANK($D4),"0",IF(($D4-$D3)&gt;($C4-$C3),1,0))</f>
        <v>0</v>
      </c>
      <c r="F4" s="64">
        <f t="shared" ref="F4:F22" ca="1" si="1">COUNTA(INDIRECT("RC11:RC"&amp;11+playercnt-1,FALSE))</f>
        <v>14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314</v>
      </c>
      <c r="M4" s="70"/>
      <c r="N4" s="70"/>
      <c r="O4" s="70"/>
      <c r="P4" s="70" t="s">
        <v>314</v>
      </c>
      <c r="Q4" s="70"/>
      <c r="R4" s="70"/>
      <c r="S4" s="70"/>
      <c r="T4" s="70" t="s">
        <v>314</v>
      </c>
      <c r="U4" s="97"/>
      <c r="V4" s="70"/>
      <c r="W4" s="70"/>
      <c r="X4" s="70"/>
      <c r="Y4" s="70"/>
      <c r="Z4" s="70"/>
      <c r="AA4" s="70"/>
      <c r="AB4" s="70"/>
      <c r="AC4" s="70"/>
      <c r="AD4" s="70"/>
      <c r="AE4" s="70" t="s">
        <v>314</v>
      </c>
      <c r="AF4" s="70"/>
      <c r="AG4" s="70"/>
      <c r="AH4" s="70"/>
      <c r="AI4" s="70" t="s">
        <v>314</v>
      </c>
      <c r="AJ4" s="70"/>
      <c r="AK4" s="70"/>
      <c r="AL4" s="70"/>
      <c r="AM4" s="70"/>
      <c r="AN4" s="70" t="s">
        <v>314</v>
      </c>
      <c r="AO4" s="70" t="s">
        <v>314</v>
      </c>
      <c r="AP4" s="70"/>
      <c r="AQ4" s="70"/>
      <c r="AR4" s="70"/>
      <c r="AS4" s="70"/>
      <c r="AT4" s="70" t="s">
        <v>314</v>
      </c>
      <c r="AU4" s="70"/>
      <c r="AV4" s="70"/>
      <c r="AW4" s="70" t="s">
        <v>314</v>
      </c>
      <c r="AX4" s="70"/>
      <c r="AY4" s="70"/>
      <c r="AZ4" s="70" t="s">
        <v>314</v>
      </c>
      <c r="BA4" s="70"/>
      <c r="BB4" s="70"/>
      <c r="BC4" s="70" t="s">
        <v>314</v>
      </c>
      <c r="BD4" s="70" t="s">
        <v>314</v>
      </c>
      <c r="BE4" s="70"/>
      <c r="BF4" s="70"/>
      <c r="BG4" s="70"/>
      <c r="BH4" s="70"/>
      <c r="BI4" s="70"/>
      <c r="BJ4" s="70"/>
      <c r="BK4" s="70" t="s">
        <v>314</v>
      </c>
      <c r="BL4" s="70" t="s">
        <v>314</v>
      </c>
      <c r="BM4" s="70"/>
      <c r="BN4" s="70"/>
    </row>
    <row r="5" spans="1:66">
      <c r="A5" s="59">
        <v>2</v>
      </c>
      <c r="B5" s="67" t="s">
        <v>159</v>
      </c>
      <c r="C5" s="65">
        <v>9.5</v>
      </c>
      <c r="D5" s="64">
        <v>48</v>
      </c>
      <c r="E5" s="64">
        <f>IF(ISBLANK($D5),"0",IF(($D6-$D5)&lt;($C6-$C5),1,0))</f>
        <v>0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314</v>
      </c>
      <c r="L5" s="69"/>
      <c r="M5" s="69" t="s">
        <v>314</v>
      </c>
      <c r="N5" s="69"/>
      <c r="O5" s="69"/>
      <c r="P5" s="69" t="s">
        <v>314</v>
      </c>
      <c r="Q5" s="69"/>
      <c r="R5" s="69"/>
      <c r="S5" s="69" t="s">
        <v>314</v>
      </c>
      <c r="T5" s="69"/>
      <c r="U5" s="96"/>
      <c r="V5" s="69"/>
      <c r="W5" s="69" t="s">
        <v>314</v>
      </c>
      <c r="X5" s="69"/>
      <c r="Y5" s="69" t="s">
        <v>314</v>
      </c>
      <c r="Z5" s="69"/>
      <c r="AA5" s="69" t="s">
        <v>314</v>
      </c>
      <c r="AB5" s="69" t="s">
        <v>314</v>
      </c>
      <c r="AC5" s="69"/>
      <c r="AD5" s="69" t="s">
        <v>314</v>
      </c>
      <c r="AE5" s="69" t="s">
        <v>314</v>
      </c>
      <c r="AF5" s="69" t="s">
        <v>314</v>
      </c>
      <c r="AG5" s="69"/>
      <c r="AH5" s="69" t="s">
        <v>314</v>
      </c>
      <c r="AI5" s="69" t="s">
        <v>314</v>
      </c>
      <c r="AJ5" s="69"/>
      <c r="AK5" s="69"/>
      <c r="AL5" s="69" t="s">
        <v>314</v>
      </c>
      <c r="AM5" s="69" t="s">
        <v>314</v>
      </c>
      <c r="AN5" s="69" t="s">
        <v>314</v>
      </c>
      <c r="AO5" s="69" t="s">
        <v>314</v>
      </c>
      <c r="AP5" s="69"/>
      <c r="AQ5" s="69" t="s">
        <v>314</v>
      </c>
      <c r="AR5" s="96"/>
      <c r="AS5" s="69"/>
      <c r="AT5" s="69" t="s">
        <v>314</v>
      </c>
      <c r="AU5" s="69" t="s">
        <v>314</v>
      </c>
      <c r="AV5" s="69" t="s">
        <v>314</v>
      </c>
      <c r="AW5" s="69" t="s">
        <v>314</v>
      </c>
      <c r="AX5" s="69"/>
      <c r="AY5" s="69" t="s">
        <v>314</v>
      </c>
      <c r="AZ5" s="69" t="s">
        <v>314</v>
      </c>
      <c r="BA5" s="69" t="s">
        <v>314</v>
      </c>
      <c r="BB5" s="69" t="s">
        <v>314</v>
      </c>
      <c r="BC5" s="69" t="s">
        <v>314</v>
      </c>
      <c r="BD5" s="69" t="s">
        <v>314</v>
      </c>
      <c r="BE5" s="69" t="s">
        <v>314</v>
      </c>
      <c r="BF5" s="69" t="s">
        <v>314</v>
      </c>
      <c r="BG5" s="69"/>
      <c r="BH5" s="69" t="s">
        <v>314</v>
      </c>
      <c r="BI5" s="69" t="s">
        <v>314</v>
      </c>
      <c r="BJ5" s="69"/>
      <c r="BK5" s="69" t="s">
        <v>314</v>
      </c>
      <c r="BL5" s="69" t="s">
        <v>314</v>
      </c>
      <c r="BM5" s="69" t="s">
        <v>314</v>
      </c>
      <c r="BN5" s="69"/>
    </row>
    <row r="6" spans="1:66">
      <c r="A6" s="61" t="s">
        <v>3</v>
      </c>
      <c r="B6" s="68" t="s">
        <v>248</v>
      </c>
      <c r="C6" s="66"/>
      <c r="D6" s="64">
        <v>43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314</v>
      </c>
      <c r="M6" s="70"/>
      <c r="N6" s="70" t="s">
        <v>314</v>
      </c>
      <c r="O6" s="70"/>
      <c r="P6" s="70"/>
      <c r="Q6" s="70"/>
      <c r="R6" s="70" t="s">
        <v>314</v>
      </c>
      <c r="S6" s="70"/>
      <c r="T6" s="70" t="s">
        <v>314</v>
      </c>
      <c r="U6" s="70"/>
      <c r="V6" s="70" t="s">
        <v>314</v>
      </c>
      <c r="W6" s="70"/>
      <c r="X6" s="70" t="s">
        <v>314</v>
      </c>
      <c r="Y6" s="70"/>
      <c r="Z6" s="70" t="s">
        <v>314</v>
      </c>
      <c r="AA6" s="70"/>
      <c r="AB6" s="70"/>
      <c r="AC6" s="70" t="s">
        <v>314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 t="s">
        <v>314</v>
      </c>
      <c r="AS6" s="70" t="s">
        <v>314</v>
      </c>
      <c r="AT6" s="70"/>
      <c r="AU6" s="70"/>
      <c r="AV6" s="70"/>
      <c r="AW6" s="70"/>
      <c r="AX6" s="70" t="s">
        <v>314</v>
      </c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 t="s">
        <v>314</v>
      </c>
      <c r="BK6" s="70"/>
      <c r="BL6" s="70"/>
      <c r="BM6" s="70"/>
      <c r="BN6" s="70"/>
    </row>
    <row r="7" spans="1:66">
      <c r="A7" s="59">
        <v>3</v>
      </c>
      <c r="B7" s="67" t="s">
        <v>161</v>
      </c>
      <c r="C7" s="65"/>
      <c r="D7" s="64">
        <v>32</v>
      </c>
      <c r="E7" s="64">
        <f>IF(ISBLANK($D7),"0",IF(($D8-$D7)&lt;($C8-$C7),1,0))</f>
        <v>0</v>
      </c>
      <c r="F7" s="64">
        <f t="shared" ca="1" si="1"/>
        <v>32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314</v>
      </c>
      <c r="L7" s="69" t="s">
        <v>314</v>
      </c>
      <c r="M7" s="69" t="s">
        <v>314</v>
      </c>
      <c r="N7" s="69" t="s">
        <v>314</v>
      </c>
      <c r="O7" s="69"/>
      <c r="P7" s="69" t="s">
        <v>314</v>
      </c>
      <c r="Q7" s="69"/>
      <c r="R7" s="96" t="s">
        <v>314</v>
      </c>
      <c r="S7" s="96" t="s">
        <v>314</v>
      </c>
      <c r="T7" s="96" t="s">
        <v>314</v>
      </c>
      <c r="U7" s="96"/>
      <c r="V7" s="69" t="s">
        <v>314</v>
      </c>
      <c r="W7" s="69" t="s">
        <v>314</v>
      </c>
      <c r="X7" s="69" t="s">
        <v>314</v>
      </c>
      <c r="Y7" s="69" t="s">
        <v>314</v>
      </c>
      <c r="Z7" s="69" t="s">
        <v>314</v>
      </c>
      <c r="AA7" s="69"/>
      <c r="AB7" s="69" t="s">
        <v>314</v>
      </c>
      <c r="AC7" s="69" t="s">
        <v>314</v>
      </c>
      <c r="AD7" s="69"/>
      <c r="AE7" s="69" t="s">
        <v>314</v>
      </c>
      <c r="AF7" s="69" t="s">
        <v>314</v>
      </c>
      <c r="AG7" s="69"/>
      <c r="AH7" s="69" t="s">
        <v>314</v>
      </c>
      <c r="AI7" s="69"/>
      <c r="AJ7" s="69"/>
      <c r="AK7" s="69"/>
      <c r="AL7" s="69" t="s">
        <v>314</v>
      </c>
      <c r="AM7" s="69"/>
      <c r="AN7" s="69"/>
      <c r="AO7" s="69"/>
      <c r="AP7" s="69"/>
      <c r="AQ7" s="69" t="s">
        <v>314</v>
      </c>
      <c r="AR7" s="96"/>
      <c r="AS7" s="69"/>
      <c r="AT7" s="69" t="s">
        <v>314</v>
      </c>
      <c r="AU7" s="69"/>
      <c r="AV7" s="69" t="s">
        <v>314</v>
      </c>
      <c r="AW7" s="69" t="s">
        <v>314</v>
      </c>
      <c r="AX7" s="69" t="s">
        <v>314</v>
      </c>
      <c r="AY7" s="69" t="s">
        <v>314</v>
      </c>
      <c r="AZ7" s="69" t="s">
        <v>314</v>
      </c>
      <c r="BA7" s="69"/>
      <c r="BB7" s="69" t="s">
        <v>314</v>
      </c>
      <c r="BC7" s="69"/>
      <c r="BD7" s="69"/>
      <c r="BE7" s="96"/>
      <c r="BF7" s="69" t="s">
        <v>314</v>
      </c>
      <c r="BG7" s="69"/>
      <c r="BH7" s="69"/>
      <c r="BI7" s="69" t="s">
        <v>314</v>
      </c>
      <c r="BJ7" s="69" t="s">
        <v>314</v>
      </c>
      <c r="BK7" s="69" t="s">
        <v>314</v>
      </c>
      <c r="BL7" s="69" t="s">
        <v>314</v>
      </c>
      <c r="BM7" s="69"/>
      <c r="BN7" s="69"/>
    </row>
    <row r="8" spans="1:66">
      <c r="A8" s="61" t="s">
        <v>3</v>
      </c>
      <c r="B8" s="68" t="s">
        <v>185</v>
      </c>
      <c r="C8" s="66">
        <v>2.5</v>
      </c>
      <c r="D8" s="64">
        <v>35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 t="s">
        <v>314</v>
      </c>
      <c r="AB8" s="70"/>
      <c r="AC8" s="70"/>
      <c r="AD8" s="70" t="s">
        <v>314</v>
      </c>
      <c r="AE8" s="70"/>
      <c r="AF8" s="70"/>
      <c r="AG8" s="70"/>
      <c r="AH8" s="70"/>
      <c r="AI8" s="70" t="s">
        <v>314</v>
      </c>
      <c r="AJ8" s="70"/>
      <c r="AK8" s="70"/>
      <c r="AL8" s="70"/>
      <c r="AM8" s="70" t="s">
        <v>314</v>
      </c>
      <c r="AN8" s="70" t="s">
        <v>314</v>
      </c>
      <c r="AO8" s="70" t="s">
        <v>314</v>
      </c>
      <c r="AP8" s="70"/>
      <c r="AQ8" s="70"/>
      <c r="AR8" s="70" t="s">
        <v>314</v>
      </c>
      <c r="AS8" s="70" t="s">
        <v>314</v>
      </c>
      <c r="AT8" s="70"/>
      <c r="AU8" s="70" t="s">
        <v>314</v>
      </c>
      <c r="AV8" s="70"/>
      <c r="AW8" s="70"/>
      <c r="AX8" s="70"/>
      <c r="AY8" s="70"/>
      <c r="AZ8" s="70"/>
      <c r="BA8" s="70" t="s">
        <v>314</v>
      </c>
      <c r="BB8" s="70"/>
      <c r="BC8" s="70" t="s">
        <v>314</v>
      </c>
      <c r="BD8" s="70" t="s">
        <v>314</v>
      </c>
      <c r="BE8" s="70" t="s">
        <v>314</v>
      </c>
      <c r="BF8" s="70"/>
      <c r="BG8" s="70"/>
      <c r="BH8" s="70" t="s">
        <v>314</v>
      </c>
      <c r="BI8" s="70"/>
      <c r="BJ8" s="70"/>
      <c r="BK8" s="70"/>
      <c r="BL8" s="70"/>
      <c r="BM8" s="70" t="s">
        <v>314</v>
      </c>
      <c r="BN8" s="70"/>
    </row>
    <row r="9" spans="1:66">
      <c r="A9" s="59">
        <v>4</v>
      </c>
      <c r="B9" s="108" t="s">
        <v>202</v>
      </c>
      <c r="C9" s="65">
        <v>2.5</v>
      </c>
      <c r="D9" s="81">
        <v>45</v>
      </c>
      <c r="E9" s="64">
        <f>IF(ISBLANK($D9),"0",IF(($D10-$D9)&lt;($C10-$C9),1,0))</f>
        <v>1</v>
      </c>
      <c r="F9" s="64">
        <f t="shared" ca="1" si="1"/>
        <v>33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 t="s">
        <v>314</v>
      </c>
      <c r="M9" s="69" t="s">
        <v>314</v>
      </c>
      <c r="N9" s="69" t="s">
        <v>314</v>
      </c>
      <c r="O9" s="69"/>
      <c r="P9" s="69" t="s">
        <v>314</v>
      </c>
      <c r="Q9" s="69"/>
      <c r="R9" s="96" t="s">
        <v>314</v>
      </c>
      <c r="S9" s="96"/>
      <c r="T9" s="96" t="s">
        <v>314</v>
      </c>
      <c r="U9" s="96"/>
      <c r="V9" s="69" t="s">
        <v>314</v>
      </c>
      <c r="W9" s="69" t="s">
        <v>314</v>
      </c>
      <c r="X9" s="69" t="s">
        <v>314</v>
      </c>
      <c r="Y9" s="69" t="s">
        <v>314</v>
      </c>
      <c r="Z9" s="69"/>
      <c r="AA9" s="69" t="s">
        <v>314</v>
      </c>
      <c r="AB9" s="69" t="s">
        <v>314</v>
      </c>
      <c r="AC9" s="69" t="s">
        <v>314</v>
      </c>
      <c r="AD9" s="69"/>
      <c r="AE9" s="69" t="s">
        <v>314</v>
      </c>
      <c r="AF9" s="69" t="s">
        <v>314</v>
      </c>
      <c r="AG9" s="69"/>
      <c r="AH9" s="69"/>
      <c r="AI9" s="69" t="s">
        <v>314</v>
      </c>
      <c r="AJ9" s="69"/>
      <c r="AK9" s="69"/>
      <c r="AL9" s="69" t="s">
        <v>314</v>
      </c>
      <c r="AM9" s="69" t="s">
        <v>314</v>
      </c>
      <c r="AN9" s="69"/>
      <c r="AO9" s="69"/>
      <c r="AP9" s="69"/>
      <c r="AQ9" s="69" t="s">
        <v>314</v>
      </c>
      <c r="AR9" s="96" t="s">
        <v>314</v>
      </c>
      <c r="AS9" s="69" t="s">
        <v>314</v>
      </c>
      <c r="AT9" s="69" t="s">
        <v>314</v>
      </c>
      <c r="AU9" s="69"/>
      <c r="AV9" s="69" t="s">
        <v>314</v>
      </c>
      <c r="AW9" s="69" t="s">
        <v>314</v>
      </c>
      <c r="AX9" s="69" t="s">
        <v>314</v>
      </c>
      <c r="AY9" s="69" t="s">
        <v>314</v>
      </c>
      <c r="AZ9" s="69"/>
      <c r="BA9" s="69"/>
      <c r="BB9" s="69" t="s">
        <v>314</v>
      </c>
      <c r="BC9" s="69" t="s">
        <v>314</v>
      </c>
      <c r="BD9" s="69" t="s">
        <v>314</v>
      </c>
      <c r="BE9" s="96" t="s">
        <v>314</v>
      </c>
      <c r="BF9" s="69"/>
      <c r="BG9" s="69"/>
      <c r="BH9" s="69"/>
      <c r="BI9" s="69" t="s">
        <v>314</v>
      </c>
      <c r="BJ9" s="69"/>
      <c r="BK9" s="69"/>
      <c r="BL9" s="69"/>
      <c r="BM9" s="69" t="s">
        <v>314</v>
      </c>
      <c r="BN9" s="69"/>
    </row>
    <row r="10" spans="1:66">
      <c r="A10" s="61" t="s">
        <v>3</v>
      </c>
      <c r="B10" s="68" t="s">
        <v>158</v>
      </c>
      <c r="C10" s="66"/>
      <c r="D10" s="64">
        <v>24</v>
      </c>
      <c r="E10" s="64">
        <f>IF(ISBLANK($D10),"0",IF(($D10-$D9)&gt;($C10-$C9),1,0))</f>
        <v>0</v>
      </c>
      <c r="F10" s="64">
        <f t="shared" ca="1" si="1"/>
        <v>14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 t="s">
        <v>314</v>
      </c>
      <c r="T10" s="97"/>
      <c r="U10" s="70"/>
      <c r="V10" s="70"/>
      <c r="W10" s="70"/>
      <c r="X10" s="70"/>
      <c r="Y10" s="70"/>
      <c r="Z10" s="70" t="s">
        <v>314</v>
      </c>
      <c r="AA10" s="70"/>
      <c r="AB10" s="70"/>
      <c r="AC10" s="70"/>
      <c r="AD10" s="70" t="s">
        <v>314</v>
      </c>
      <c r="AE10" s="70"/>
      <c r="AF10" s="70"/>
      <c r="AG10" s="70"/>
      <c r="AH10" s="70" t="s">
        <v>314</v>
      </c>
      <c r="AI10" s="70"/>
      <c r="AJ10" s="70"/>
      <c r="AK10" s="70"/>
      <c r="AL10" s="70"/>
      <c r="AM10" s="70"/>
      <c r="AN10" s="70" t="s">
        <v>314</v>
      </c>
      <c r="AO10" s="70" t="s">
        <v>314</v>
      </c>
      <c r="AP10" s="70"/>
      <c r="AQ10" s="70"/>
      <c r="AR10" s="70"/>
      <c r="AS10" s="70"/>
      <c r="AT10" s="70"/>
      <c r="AU10" s="70" t="s">
        <v>314</v>
      </c>
      <c r="AV10" s="70"/>
      <c r="AW10" s="70"/>
      <c r="AX10" s="70"/>
      <c r="AY10" s="70"/>
      <c r="AZ10" s="70" t="s">
        <v>314</v>
      </c>
      <c r="BA10" s="70" t="s">
        <v>314</v>
      </c>
      <c r="BB10" s="70"/>
      <c r="BC10" s="70"/>
      <c r="BD10" s="70"/>
      <c r="BE10" s="70"/>
      <c r="BF10" s="70" t="s">
        <v>314</v>
      </c>
      <c r="BG10" s="70"/>
      <c r="BH10" s="70" t="s">
        <v>314</v>
      </c>
      <c r="BI10" s="70"/>
      <c r="BJ10" s="70" t="s">
        <v>314</v>
      </c>
      <c r="BK10" s="70" t="s">
        <v>314</v>
      </c>
      <c r="BL10" s="70" t="s">
        <v>314</v>
      </c>
      <c r="BM10" s="70"/>
      <c r="BN10" s="70"/>
    </row>
    <row r="11" spans="1:66">
      <c r="A11" s="59">
        <v>5</v>
      </c>
      <c r="B11" s="67" t="s">
        <v>241</v>
      </c>
      <c r="C11" s="65"/>
      <c r="D11" s="64">
        <v>10</v>
      </c>
      <c r="E11" s="64">
        <f>IF(ISBLANK($D11),"0",IF(($D12-$D11)&lt;($C12-$C11),1,0))</f>
        <v>0</v>
      </c>
      <c r="F11" s="64">
        <f t="shared" ca="1" si="1"/>
        <v>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 t="s">
        <v>314</v>
      </c>
      <c r="W11" s="69"/>
      <c r="X11" s="69" t="s">
        <v>314</v>
      </c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 t="s">
        <v>314</v>
      </c>
      <c r="AO11" s="69"/>
      <c r="AP11" s="69"/>
      <c r="AQ11" s="69"/>
      <c r="AR11" s="69"/>
      <c r="AS11" s="69" t="s">
        <v>314</v>
      </c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 t="s">
        <v>314</v>
      </c>
      <c r="BG11" s="69"/>
      <c r="BH11" s="69"/>
      <c r="BI11" s="69" t="s">
        <v>314</v>
      </c>
      <c r="BJ11" s="69"/>
      <c r="BK11" s="69" t="s">
        <v>314</v>
      </c>
      <c r="BL11" s="69"/>
      <c r="BM11" s="69"/>
      <c r="BN11" s="69"/>
    </row>
    <row r="12" spans="1:66">
      <c r="A12" s="61" t="s">
        <v>3</v>
      </c>
      <c r="B12" s="68" t="s">
        <v>242</v>
      </c>
      <c r="C12" s="66">
        <v>6.5</v>
      </c>
      <c r="D12" s="64">
        <v>27</v>
      </c>
      <c r="E12" s="64">
        <f>IF(ISBLANK($D12),"0",IF(($D12-$D11)&gt;($C12-$C11),1,0))</f>
        <v>1</v>
      </c>
      <c r="F12" s="64">
        <f t="shared" ca="1" si="1"/>
        <v>40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 t="s">
        <v>314</v>
      </c>
      <c r="M12" s="70" t="s">
        <v>314</v>
      </c>
      <c r="N12" s="70" t="s">
        <v>314</v>
      </c>
      <c r="O12" s="70"/>
      <c r="P12" s="70" t="s">
        <v>314</v>
      </c>
      <c r="Q12" s="70"/>
      <c r="R12" s="97" t="s">
        <v>314</v>
      </c>
      <c r="S12" s="97" t="s">
        <v>314</v>
      </c>
      <c r="T12" s="97" t="s">
        <v>314</v>
      </c>
      <c r="U12" s="97"/>
      <c r="V12" s="70"/>
      <c r="W12" s="70" t="s">
        <v>314</v>
      </c>
      <c r="X12" s="70"/>
      <c r="Y12" s="70" t="s">
        <v>314</v>
      </c>
      <c r="Z12" s="70" t="s">
        <v>314</v>
      </c>
      <c r="AA12" s="70" t="s">
        <v>314</v>
      </c>
      <c r="AB12" s="70" t="s">
        <v>314</v>
      </c>
      <c r="AC12" s="70" t="s">
        <v>314</v>
      </c>
      <c r="AD12" s="70" t="s">
        <v>314</v>
      </c>
      <c r="AE12" s="70" t="s">
        <v>314</v>
      </c>
      <c r="AF12" s="70" t="s">
        <v>314</v>
      </c>
      <c r="AG12" s="70"/>
      <c r="AH12" s="70" t="s">
        <v>314</v>
      </c>
      <c r="AI12" s="70" t="s">
        <v>314</v>
      </c>
      <c r="AJ12" s="70"/>
      <c r="AK12" s="70"/>
      <c r="AL12" s="70" t="s">
        <v>314</v>
      </c>
      <c r="AM12" s="70" t="s">
        <v>314</v>
      </c>
      <c r="AN12" s="70"/>
      <c r="AO12" s="70" t="s">
        <v>314</v>
      </c>
      <c r="AP12" s="70"/>
      <c r="AQ12" s="70" t="s">
        <v>314</v>
      </c>
      <c r="AR12" s="97" t="s">
        <v>314</v>
      </c>
      <c r="AS12" s="70"/>
      <c r="AT12" s="70" t="s">
        <v>314</v>
      </c>
      <c r="AU12" s="70" t="s">
        <v>314</v>
      </c>
      <c r="AV12" s="70" t="s">
        <v>314</v>
      </c>
      <c r="AW12" s="70" t="s">
        <v>314</v>
      </c>
      <c r="AX12" s="70" t="s">
        <v>314</v>
      </c>
      <c r="AY12" s="70" t="s">
        <v>314</v>
      </c>
      <c r="AZ12" s="70" t="s">
        <v>314</v>
      </c>
      <c r="BA12" s="70" t="s">
        <v>314</v>
      </c>
      <c r="BB12" s="70" t="s">
        <v>314</v>
      </c>
      <c r="BC12" s="70" t="s">
        <v>314</v>
      </c>
      <c r="BD12" s="70" t="s">
        <v>314</v>
      </c>
      <c r="BE12" s="70" t="s">
        <v>314</v>
      </c>
      <c r="BF12" s="70"/>
      <c r="BG12" s="70"/>
      <c r="BH12" s="70" t="s">
        <v>314</v>
      </c>
      <c r="BI12" s="70"/>
      <c r="BJ12" s="70" t="s">
        <v>314</v>
      </c>
      <c r="BK12" s="70"/>
      <c r="BL12" s="70" t="s">
        <v>314</v>
      </c>
      <c r="BM12" s="70" t="s">
        <v>314</v>
      </c>
      <c r="BN12" s="70"/>
    </row>
    <row r="13" spans="1:66">
      <c r="A13" s="59">
        <v>6</v>
      </c>
      <c r="B13" s="67" t="s">
        <v>199</v>
      </c>
      <c r="C13" s="65"/>
      <c r="D13" s="64">
        <v>36</v>
      </c>
      <c r="E13" s="64">
        <f>IF(ISBLANK($D13),"0",IF(($D14-$D13)&lt;($C14-$C13),1,0))</f>
        <v>1</v>
      </c>
      <c r="F13" s="64">
        <f t="shared" ca="1" si="1"/>
        <v>28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 t="s">
        <v>314</v>
      </c>
      <c r="M13" s="69"/>
      <c r="N13" s="69" t="s">
        <v>314</v>
      </c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 t="s">
        <v>314</v>
      </c>
      <c r="Z13" s="69" t="s">
        <v>314</v>
      </c>
      <c r="AA13" s="69" t="s">
        <v>314</v>
      </c>
      <c r="AB13" s="69" t="s">
        <v>314</v>
      </c>
      <c r="AC13" s="69" t="s">
        <v>314</v>
      </c>
      <c r="AD13" s="69"/>
      <c r="AE13" s="69" t="s">
        <v>314</v>
      </c>
      <c r="AF13" s="69" t="s">
        <v>314</v>
      </c>
      <c r="AG13" s="69"/>
      <c r="AH13" s="69" t="s">
        <v>314</v>
      </c>
      <c r="AI13" s="69"/>
      <c r="AJ13" s="69"/>
      <c r="AK13" s="69"/>
      <c r="AL13" s="69"/>
      <c r="AM13" s="69"/>
      <c r="AN13" s="69" t="s">
        <v>314</v>
      </c>
      <c r="AO13" s="69" t="s">
        <v>314</v>
      </c>
      <c r="AP13" s="69"/>
      <c r="AQ13" s="69" t="s">
        <v>314</v>
      </c>
      <c r="AR13" s="96" t="s">
        <v>314</v>
      </c>
      <c r="AS13" s="69" t="s">
        <v>314</v>
      </c>
      <c r="AT13" s="69" t="s">
        <v>314</v>
      </c>
      <c r="AU13" s="69" t="s">
        <v>314</v>
      </c>
      <c r="AV13" s="69" t="s">
        <v>314</v>
      </c>
      <c r="AW13" s="69"/>
      <c r="AX13" s="69"/>
      <c r="AY13" s="69"/>
      <c r="AZ13" s="69" t="s">
        <v>314</v>
      </c>
      <c r="BA13" s="69" t="s">
        <v>314</v>
      </c>
      <c r="BB13" s="69" t="s">
        <v>314</v>
      </c>
      <c r="BC13" s="69" t="s">
        <v>314</v>
      </c>
      <c r="BD13" s="69" t="s">
        <v>314</v>
      </c>
      <c r="BE13" s="96" t="s">
        <v>314</v>
      </c>
      <c r="BF13" s="69" t="s">
        <v>314</v>
      </c>
      <c r="BG13" s="69"/>
      <c r="BH13" s="69"/>
      <c r="BI13" s="69"/>
      <c r="BJ13" s="69" t="s">
        <v>314</v>
      </c>
      <c r="BK13" s="69" t="s">
        <v>314</v>
      </c>
      <c r="BL13" s="69"/>
      <c r="BM13" s="69"/>
      <c r="BN13" s="69"/>
    </row>
    <row r="14" spans="1:66">
      <c r="A14" s="61" t="s">
        <v>3</v>
      </c>
      <c r="B14" s="68" t="s">
        <v>140</v>
      </c>
      <c r="C14" s="66">
        <v>7.5</v>
      </c>
      <c r="D14" s="64">
        <v>28</v>
      </c>
      <c r="E14" s="64">
        <f>IF(ISBLANK($D14),"0",IF(($D14-$D13)&gt;($C14-$C13),1,0))</f>
        <v>0</v>
      </c>
      <c r="F14" s="64">
        <f t="shared" ca="1" si="1"/>
        <v>19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314</v>
      </c>
      <c r="N14" s="70"/>
      <c r="O14" s="70"/>
      <c r="P14" s="70" t="s">
        <v>314</v>
      </c>
      <c r="Q14" s="70"/>
      <c r="R14" s="97" t="s">
        <v>314</v>
      </c>
      <c r="S14" s="97" t="s">
        <v>314</v>
      </c>
      <c r="T14" s="97" t="s">
        <v>314</v>
      </c>
      <c r="U14" s="97"/>
      <c r="V14" s="70" t="s">
        <v>314</v>
      </c>
      <c r="W14" s="70" t="s">
        <v>314</v>
      </c>
      <c r="X14" s="70" t="s">
        <v>314</v>
      </c>
      <c r="Y14" s="70"/>
      <c r="Z14" s="70"/>
      <c r="AA14" s="70"/>
      <c r="AB14" s="70"/>
      <c r="AC14" s="70"/>
      <c r="AD14" s="70" t="s">
        <v>314</v>
      </c>
      <c r="AE14" s="70"/>
      <c r="AF14" s="70"/>
      <c r="AG14" s="70"/>
      <c r="AH14" s="70"/>
      <c r="AI14" s="70" t="s">
        <v>314</v>
      </c>
      <c r="AJ14" s="70"/>
      <c r="AK14" s="70"/>
      <c r="AL14" s="70" t="s">
        <v>314</v>
      </c>
      <c r="AM14" s="70" t="s">
        <v>314</v>
      </c>
      <c r="AN14" s="70"/>
      <c r="AO14" s="70"/>
      <c r="AP14" s="70"/>
      <c r="AQ14" s="70"/>
      <c r="AR14" s="70"/>
      <c r="AS14" s="70"/>
      <c r="AT14" s="70"/>
      <c r="AU14" s="70"/>
      <c r="AV14" s="70"/>
      <c r="AW14" s="70" t="s">
        <v>314</v>
      </c>
      <c r="AX14" s="70" t="s">
        <v>314</v>
      </c>
      <c r="AY14" s="70" t="s">
        <v>314</v>
      </c>
      <c r="AZ14" s="70"/>
      <c r="BA14" s="70"/>
      <c r="BB14" s="70"/>
      <c r="BC14" s="70"/>
      <c r="BD14" s="70"/>
      <c r="BE14" s="70"/>
      <c r="BF14" s="70"/>
      <c r="BG14" s="70"/>
      <c r="BH14" s="70" t="s">
        <v>314</v>
      </c>
      <c r="BI14" s="70" t="s">
        <v>314</v>
      </c>
      <c r="BJ14" s="70"/>
      <c r="BK14" s="70"/>
      <c r="BL14" s="70" t="s">
        <v>314</v>
      </c>
      <c r="BM14" s="70" t="s">
        <v>314</v>
      </c>
      <c r="BN14" s="70"/>
    </row>
    <row r="15" spans="1:66">
      <c r="A15" s="59">
        <v>7</v>
      </c>
      <c r="B15" s="67" t="s">
        <v>188</v>
      </c>
      <c r="C15" s="65"/>
      <c r="D15" s="64">
        <v>29</v>
      </c>
      <c r="E15" s="64">
        <f>IF(ISBLANK($D15),"0",IF(($D16-$D15)&lt;($C16-$C15),1,0))</f>
        <v>1</v>
      </c>
      <c r="F15" s="64">
        <f t="shared" ca="1" si="1"/>
        <v>26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 t="s">
        <v>314</v>
      </c>
      <c r="M15" s="69"/>
      <c r="N15" s="69" t="s">
        <v>314</v>
      </c>
      <c r="O15" s="69"/>
      <c r="P15" s="69"/>
      <c r="Q15" s="69"/>
      <c r="R15" s="96"/>
      <c r="S15" s="96"/>
      <c r="T15" s="96"/>
      <c r="U15" s="96"/>
      <c r="V15" s="69" t="s">
        <v>314</v>
      </c>
      <c r="W15" s="69"/>
      <c r="X15" s="69"/>
      <c r="Y15" s="69"/>
      <c r="Z15" s="69"/>
      <c r="AA15" s="69" t="s">
        <v>314</v>
      </c>
      <c r="AB15" s="69" t="s">
        <v>314</v>
      </c>
      <c r="AC15" s="69" t="s">
        <v>314</v>
      </c>
      <c r="AD15" s="69" t="s">
        <v>314</v>
      </c>
      <c r="AE15" s="69"/>
      <c r="AF15" s="69" t="s">
        <v>314</v>
      </c>
      <c r="AG15" s="69"/>
      <c r="AH15" s="69"/>
      <c r="AI15" s="69"/>
      <c r="AJ15" s="69"/>
      <c r="AK15" s="69"/>
      <c r="AL15" s="69"/>
      <c r="AM15" s="69" t="s">
        <v>314</v>
      </c>
      <c r="AN15" s="69" t="s">
        <v>314</v>
      </c>
      <c r="AO15" s="69"/>
      <c r="AP15" s="69"/>
      <c r="AQ15" s="69"/>
      <c r="AR15" s="69"/>
      <c r="AS15" s="69" t="s">
        <v>314</v>
      </c>
      <c r="AT15" s="69" t="s">
        <v>314</v>
      </c>
      <c r="AU15" s="69"/>
      <c r="AV15" s="69"/>
      <c r="AW15" s="69"/>
      <c r="AX15" s="69" t="s">
        <v>314</v>
      </c>
      <c r="AY15" s="69" t="s">
        <v>314</v>
      </c>
      <c r="AZ15" s="69" t="s">
        <v>314</v>
      </c>
      <c r="BA15" s="69" t="s">
        <v>314</v>
      </c>
      <c r="BB15" s="69" t="s">
        <v>314</v>
      </c>
      <c r="BC15" s="69" t="s">
        <v>314</v>
      </c>
      <c r="BD15" s="69" t="s">
        <v>314</v>
      </c>
      <c r="BE15" s="96" t="s">
        <v>314</v>
      </c>
      <c r="BF15" s="69" t="s">
        <v>314</v>
      </c>
      <c r="BG15" s="69"/>
      <c r="BH15" s="69" t="s">
        <v>314</v>
      </c>
      <c r="BI15" s="69" t="s">
        <v>314</v>
      </c>
      <c r="BJ15" s="69" t="s">
        <v>314</v>
      </c>
      <c r="BK15" s="69" t="s">
        <v>314</v>
      </c>
      <c r="BL15" s="69"/>
      <c r="BM15" s="69"/>
      <c r="BN15" s="69"/>
    </row>
    <row r="16" spans="1:66">
      <c r="A16" s="61" t="s">
        <v>3</v>
      </c>
      <c r="B16" s="68" t="s">
        <v>152</v>
      </c>
      <c r="C16" s="66">
        <v>3.5</v>
      </c>
      <c r="D16" s="64">
        <v>16</v>
      </c>
      <c r="E16" s="64">
        <f>IF(ISBLANK($D16),"0",IF(($D16-$D15)&gt;($C16-$C15),1,0))</f>
        <v>0</v>
      </c>
      <c r="F16" s="64">
        <f t="shared" ca="1" si="1"/>
        <v>21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314</v>
      </c>
      <c r="N16" s="70"/>
      <c r="O16" s="70"/>
      <c r="P16" s="70" t="s">
        <v>314</v>
      </c>
      <c r="Q16" s="70"/>
      <c r="R16" s="70" t="s">
        <v>314</v>
      </c>
      <c r="S16" s="70" t="s">
        <v>314</v>
      </c>
      <c r="T16" s="70" t="s">
        <v>314</v>
      </c>
      <c r="U16" s="70"/>
      <c r="V16" s="70"/>
      <c r="W16" s="70" t="s">
        <v>314</v>
      </c>
      <c r="X16" s="70" t="s">
        <v>314</v>
      </c>
      <c r="Y16" s="70" t="s">
        <v>314</v>
      </c>
      <c r="Z16" s="70" t="s">
        <v>314</v>
      </c>
      <c r="AA16" s="70"/>
      <c r="AB16" s="70"/>
      <c r="AC16" s="70"/>
      <c r="AD16" s="70"/>
      <c r="AE16" s="70" t="s">
        <v>314</v>
      </c>
      <c r="AF16" s="70"/>
      <c r="AG16" s="70"/>
      <c r="AH16" s="70" t="s">
        <v>314</v>
      </c>
      <c r="AI16" s="70" t="s">
        <v>314</v>
      </c>
      <c r="AJ16" s="70"/>
      <c r="AK16" s="70"/>
      <c r="AL16" s="70" t="s">
        <v>314</v>
      </c>
      <c r="AM16" s="70"/>
      <c r="AN16" s="70"/>
      <c r="AO16" s="70" t="s">
        <v>314</v>
      </c>
      <c r="AP16" s="70"/>
      <c r="AQ16" s="70" t="s">
        <v>314</v>
      </c>
      <c r="AR16" s="97" t="s">
        <v>314</v>
      </c>
      <c r="AS16" s="70"/>
      <c r="AT16" s="70"/>
      <c r="AU16" s="70" t="s">
        <v>314</v>
      </c>
      <c r="AV16" s="70" t="s">
        <v>314</v>
      </c>
      <c r="AW16" s="70" t="s">
        <v>314</v>
      </c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 t="s">
        <v>314</v>
      </c>
      <c r="BM16" s="70" t="s">
        <v>314</v>
      </c>
      <c r="BN16" s="70"/>
    </row>
    <row r="17" spans="1:66">
      <c r="A17" s="59">
        <v>8</v>
      </c>
      <c r="B17" s="67" t="s">
        <v>138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36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 t="s">
        <v>314</v>
      </c>
      <c r="M17" s="69" t="s">
        <v>314</v>
      </c>
      <c r="N17" s="69" t="s">
        <v>314</v>
      </c>
      <c r="O17" s="69"/>
      <c r="P17" s="69" t="s">
        <v>314</v>
      </c>
      <c r="Q17" s="69"/>
      <c r="R17" s="69"/>
      <c r="S17" s="69" t="s">
        <v>314</v>
      </c>
      <c r="T17" s="69" t="s">
        <v>314</v>
      </c>
      <c r="U17" s="69"/>
      <c r="V17" s="69"/>
      <c r="W17" s="69" t="s">
        <v>314</v>
      </c>
      <c r="X17" s="69" t="s">
        <v>314</v>
      </c>
      <c r="Y17" s="69"/>
      <c r="Z17" s="69" t="s">
        <v>314</v>
      </c>
      <c r="AA17" s="69" t="s">
        <v>314</v>
      </c>
      <c r="AB17" s="69"/>
      <c r="AC17" s="69"/>
      <c r="AD17" s="69"/>
      <c r="AE17" s="69" t="s">
        <v>314</v>
      </c>
      <c r="AF17" s="69" t="s">
        <v>314</v>
      </c>
      <c r="AG17" s="69"/>
      <c r="AH17" s="69" t="s">
        <v>314</v>
      </c>
      <c r="AI17" s="69" t="s">
        <v>314</v>
      </c>
      <c r="AJ17" s="69"/>
      <c r="AK17" s="69"/>
      <c r="AL17" s="69"/>
      <c r="AM17" s="69" t="s">
        <v>314</v>
      </c>
      <c r="AN17" s="69" t="s">
        <v>314</v>
      </c>
      <c r="AO17" s="69" t="s">
        <v>314</v>
      </c>
      <c r="AP17" s="69"/>
      <c r="AQ17" s="69" t="s">
        <v>314</v>
      </c>
      <c r="AR17" s="96" t="s">
        <v>314</v>
      </c>
      <c r="AS17" s="69" t="s">
        <v>314</v>
      </c>
      <c r="AT17" s="69" t="s">
        <v>314</v>
      </c>
      <c r="AU17" s="69"/>
      <c r="AV17" s="69" t="s">
        <v>314</v>
      </c>
      <c r="AW17" s="69" t="s">
        <v>314</v>
      </c>
      <c r="AX17" s="69" t="s">
        <v>314</v>
      </c>
      <c r="AY17" s="69" t="s">
        <v>314</v>
      </c>
      <c r="AZ17" s="69" t="s">
        <v>314</v>
      </c>
      <c r="BA17" s="69" t="s">
        <v>314</v>
      </c>
      <c r="BB17" s="69" t="s">
        <v>314</v>
      </c>
      <c r="BC17" s="69"/>
      <c r="BD17" s="69" t="s">
        <v>314</v>
      </c>
      <c r="BE17" s="69" t="s">
        <v>314</v>
      </c>
      <c r="BF17" s="69"/>
      <c r="BG17" s="69"/>
      <c r="BH17" s="69" t="s">
        <v>314</v>
      </c>
      <c r="BI17" s="69" t="s">
        <v>314</v>
      </c>
      <c r="BJ17" s="69" t="s">
        <v>314</v>
      </c>
      <c r="BK17" s="69" t="s">
        <v>314</v>
      </c>
      <c r="BL17" s="69"/>
      <c r="BM17" s="69" t="s">
        <v>314</v>
      </c>
      <c r="BN17" s="69"/>
    </row>
    <row r="18" spans="1:66">
      <c r="A18" s="61" t="s">
        <v>3</v>
      </c>
      <c r="B18" s="68" t="s">
        <v>137</v>
      </c>
      <c r="C18" s="66">
        <v>15.5</v>
      </c>
      <c r="D18" s="64">
        <v>23</v>
      </c>
      <c r="E18" s="64">
        <f>IF(ISBLANK($D18),"0",IF(($D18-$D17)&gt;($C18-$C17),1,0))</f>
        <v>0</v>
      </c>
      <c r="F18" s="64">
        <f t="shared" ca="1" si="1"/>
        <v>11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 t="s">
        <v>314</v>
      </c>
      <c r="S18" s="70"/>
      <c r="T18" s="70"/>
      <c r="U18" s="97"/>
      <c r="V18" s="70" t="s">
        <v>314</v>
      </c>
      <c r="W18" s="70"/>
      <c r="X18" s="70"/>
      <c r="Y18" s="70" t="s">
        <v>314</v>
      </c>
      <c r="Z18" s="70"/>
      <c r="AA18" s="70"/>
      <c r="AB18" s="70" t="s">
        <v>314</v>
      </c>
      <c r="AC18" s="70" t="s">
        <v>314</v>
      </c>
      <c r="AD18" s="70" t="s">
        <v>314</v>
      </c>
      <c r="AE18" s="70"/>
      <c r="AF18" s="70"/>
      <c r="AG18" s="70"/>
      <c r="AH18" s="70"/>
      <c r="AI18" s="70"/>
      <c r="AJ18" s="70"/>
      <c r="AK18" s="70"/>
      <c r="AL18" s="70" t="s">
        <v>314</v>
      </c>
      <c r="AM18" s="70"/>
      <c r="AN18" s="70"/>
      <c r="AO18" s="70"/>
      <c r="AP18" s="70"/>
      <c r="AQ18" s="70"/>
      <c r="AR18" s="70"/>
      <c r="AS18" s="70"/>
      <c r="AT18" s="70"/>
      <c r="AU18" s="70" t="s">
        <v>314</v>
      </c>
      <c r="AV18" s="70"/>
      <c r="AW18" s="70"/>
      <c r="AX18" s="70"/>
      <c r="AY18" s="70"/>
      <c r="AZ18" s="70"/>
      <c r="BA18" s="70"/>
      <c r="BB18" s="70"/>
      <c r="BC18" s="70" t="s">
        <v>314</v>
      </c>
      <c r="BD18" s="70"/>
      <c r="BE18" s="97"/>
      <c r="BF18" s="70" t="s">
        <v>314</v>
      </c>
      <c r="BG18" s="70"/>
      <c r="BH18" s="70"/>
      <c r="BI18" s="70"/>
      <c r="BJ18" s="70"/>
      <c r="BK18" s="70"/>
      <c r="BL18" s="70" t="s">
        <v>314</v>
      </c>
      <c r="BM18" s="70"/>
      <c r="BN18" s="70"/>
    </row>
    <row r="19" spans="1:66">
      <c r="A19" s="59">
        <v>9</v>
      </c>
      <c r="B19" s="67" t="s">
        <v>165</v>
      </c>
      <c r="C19" s="65"/>
      <c r="D19" s="64">
        <v>15</v>
      </c>
      <c r="E19" s="64">
        <f>IF(ISBLANK($D19),"0",IF(($D20-$D19)&lt;($C20-$C19),1,0))</f>
        <v>0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314</v>
      </c>
      <c r="N19" s="69"/>
      <c r="O19" s="69"/>
      <c r="P19" s="69" t="s">
        <v>314</v>
      </c>
      <c r="Q19" s="69"/>
      <c r="R19" s="69"/>
      <c r="S19" s="69" t="s">
        <v>314</v>
      </c>
      <c r="T19" s="69"/>
      <c r="U19" s="96"/>
      <c r="V19" s="69"/>
      <c r="W19" s="69" t="s">
        <v>314</v>
      </c>
      <c r="X19" s="69"/>
      <c r="Y19" s="69"/>
      <c r="Z19" s="69"/>
      <c r="AA19" s="69" t="s">
        <v>314</v>
      </c>
      <c r="AB19" s="69" t="s">
        <v>314</v>
      </c>
      <c r="AC19" s="69" t="s">
        <v>314</v>
      </c>
      <c r="AD19" s="69" t="s">
        <v>314</v>
      </c>
      <c r="AE19" s="69"/>
      <c r="AF19" s="69" t="s">
        <v>314</v>
      </c>
      <c r="AG19" s="69"/>
      <c r="AH19" s="69"/>
      <c r="AI19" s="69"/>
      <c r="AJ19" s="69"/>
      <c r="AK19" s="69"/>
      <c r="AL19" s="69"/>
      <c r="AM19" s="69" t="s">
        <v>314</v>
      </c>
      <c r="AN19" s="69"/>
      <c r="AO19" s="69" t="s">
        <v>314</v>
      </c>
      <c r="AP19" s="69"/>
      <c r="AQ19" s="69" t="s">
        <v>314</v>
      </c>
      <c r="AR19" s="69" t="s">
        <v>314</v>
      </c>
      <c r="AS19" s="69" t="s">
        <v>314</v>
      </c>
      <c r="AT19" s="69"/>
      <c r="AU19" s="69"/>
      <c r="AV19" s="69"/>
      <c r="AW19" s="69"/>
      <c r="AX19" s="69" t="s">
        <v>314</v>
      </c>
      <c r="AY19" s="69" t="s">
        <v>314</v>
      </c>
      <c r="AZ19" s="69" t="s">
        <v>314</v>
      </c>
      <c r="BA19" s="69"/>
      <c r="BB19" s="69"/>
      <c r="BC19" s="69" t="s">
        <v>314</v>
      </c>
      <c r="BD19" s="69"/>
      <c r="BE19" s="69" t="s">
        <v>314</v>
      </c>
      <c r="BF19" s="69" t="s">
        <v>314</v>
      </c>
      <c r="BG19" s="69"/>
      <c r="BH19" s="69" t="s">
        <v>314</v>
      </c>
      <c r="BI19" s="69"/>
      <c r="BJ19" s="69" t="s">
        <v>314</v>
      </c>
      <c r="BK19" s="69" t="s">
        <v>314</v>
      </c>
      <c r="BL19" s="69" t="s">
        <v>314</v>
      </c>
      <c r="BM19" s="69" t="s">
        <v>314</v>
      </c>
      <c r="BN19" s="69"/>
    </row>
    <row r="20" spans="1:66">
      <c r="A20" s="61" t="s">
        <v>3</v>
      </c>
      <c r="B20" s="68" t="s">
        <v>150</v>
      </c>
      <c r="C20" s="66">
        <v>4.5</v>
      </c>
      <c r="D20" s="64">
        <v>20</v>
      </c>
      <c r="E20" s="64">
        <f>IF(ISBLANK($D20),"0",IF(($D20-$D19)&gt;($C20-$C19),1,0))</f>
        <v>1</v>
      </c>
      <c r="F20" s="64">
        <f t="shared" ca="1" si="1"/>
        <v>22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 t="s">
        <v>314</v>
      </c>
      <c r="M20" s="70"/>
      <c r="N20" s="70" t="s">
        <v>314</v>
      </c>
      <c r="O20" s="70"/>
      <c r="P20" s="70"/>
      <c r="Q20" s="70"/>
      <c r="R20" s="70" t="s">
        <v>314</v>
      </c>
      <c r="S20" s="70"/>
      <c r="T20" s="70" t="s">
        <v>314</v>
      </c>
      <c r="U20" s="70"/>
      <c r="V20" s="70" t="s">
        <v>314</v>
      </c>
      <c r="W20" s="70"/>
      <c r="X20" s="70" t="s">
        <v>314</v>
      </c>
      <c r="Y20" s="70" t="s">
        <v>314</v>
      </c>
      <c r="Z20" s="70" t="s">
        <v>314</v>
      </c>
      <c r="AA20" s="70"/>
      <c r="AB20" s="70"/>
      <c r="AC20" s="70"/>
      <c r="AD20" s="70"/>
      <c r="AE20" s="70" t="s">
        <v>314</v>
      </c>
      <c r="AF20" s="70"/>
      <c r="AG20" s="70"/>
      <c r="AH20" s="70" t="s">
        <v>314</v>
      </c>
      <c r="AI20" s="70" t="s">
        <v>314</v>
      </c>
      <c r="AJ20" s="70"/>
      <c r="AK20" s="70"/>
      <c r="AL20" s="70" t="s">
        <v>314</v>
      </c>
      <c r="AM20" s="70"/>
      <c r="AN20" s="70" t="s">
        <v>314</v>
      </c>
      <c r="AO20" s="70"/>
      <c r="AP20" s="70"/>
      <c r="AQ20" s="70"/>
      <c r="AR20" s="97"/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/>
      <c r="AY20" s="70"/>
      <c r="AZ20" s="70"/>
      <c r="BA20" s="70" t="s">
        <v>314</v>
      </c>
      <c r="BB20" s="70" t="s">
        <v>314</v>
      </c>
      <c r="BC20" s="70"/>
      <c r="BD20" s="70" t="s">
        <v>314</v>
      </c>
      <c r="BE20" s="97"/>
      <c r="BF20" s="70"/>
      <c r="BG20" s="70"/>
      <c r="BH20" s="70"/>
      <c r="BI20" s="70" t="s">
        <v>314</v>
      </c>
      <c r="BJ20" s="70"/>
      <c r="BK20" s="70"/>
      <c r="BL20" s="70"/>
      <c r="BM20" s="70"/>
      <c r="BN20" s="70"/>
    </row>
    <row r="21" spans="1:66">
      <c r="A21" s="59">
        <v>10</v>
      </c>
      <c r="B21" s="67" t="s">
        <v>155</v>
      </c>
      <c r="C21" s="65">
        <v>3.5</v>
      </c>
      <c r="D21" s="64">
        <v>20</v>
      </c>
      <c r="E21" s="64">
        <f>IF(ISBLANK($D21),"0",IF(($D22-$D21)&lt;($C22-$C21),1,0))</f>
        <v>0</v>
      </c>
      <c r="F21" s="64">
        <f t="shared" ca="1" si="1"/>
        <v>34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314</v>
      </c>
      <c r="M21" s="69" t="s">
        <v>314</v>
      </c>
      <c r="N21" s="69" t="s">
        <v>314</v>
      </c>
      <c r="O21" s="69"/>
      <c r="P21" s="69" t="s">
        <v>314</v>
      </c>
      <c r="Q21" s="69"/>
      <c r="R21" s="69"/>
      <c r="S21" s="69"/>
      <c r="T21" s="69" t="s">
        <v>314</v>
      </c>
      <c r="U21" s="96"/>
      <c r="V21" s="69" t="s">
        <v>314</v>
      </c>
      <c r="W21" s="69"/>
      <c r="X21" s="69" t="s">
        <v>314</v>
      </c>
      <c r="Y21" s="69" t="s">
        <v>314</v>
      </c>
      <c r="Z21" s="69" t="s">
        <v>314</v>
      </c>
      <c r="AA21" s="69" t="s">
        <v>314</v>
      </c>
      <c r="AB21" s="69"/>
      <c r="AC21" s="69"/>
      <c r="AD21" s="69" t="s">
        <v>314</v>
      </c>
      <c r="AE21" s="69" t="s">
        <v>314</v>
      </c>
      <c r="AF21" s="69" t="s">
        <v>314</v>
      </c>
      <c r="AG21" s="69"/>
      <c r="AH21" s="69" t="s">
        <v>314</v>
      </c>
      <c r="AI21" s="69"/>
      <c r="AJ21" s="69"/>
      <c r="AK21" s="69"/>
      <c r="AL21" s="69" t="s">
        <v>314</v>
      </c>
      <c r="AM21" s="69" t="s">
        <v>314</v>
      </c>
      <c r="AN21" s="69" t="s">
        <v>314</v>
      </c>
      <c r="AO21" s="69"/>
      <c r="AP21" s="69"/>
      <c r="AQ21" s="69"/>
      <c r="AR21" s="96" t="s">
        <v>314</v>
      </c>
      <c r="AS21" s="69" t="s">
        <v>314</v>
      </c>
      <c r="AT21" s="69" t="s">
        <v>314</v>
      </c>
      <c r="AU21" s="69"/>
      <c r="AV21" s="69" t="s">
        <v>314</v>
      </c>
      <c r="AW21" s="69" t="s">
        <v>314</v>
      </c>
      <c r="AX21" s="69" t="s">
        <v>314</v>
      </c>
      <c r="AY21" s="69" t="s">
        <v>314</v>
      </c>
      <c r="AZ21" s="69"/>
      <c r="BA21" s="69" t="s">
        <v>314</v>
      </c>
      <c r="BB21" s="69" t="s">
        <v>314</v>
      </c>
      <c r="BC21" s="69" t="s">
        <v>314</v>
      </c>
      <c r="BD21" s="69" t="s">
        <v>314</v>
      </c>
      <c r="BE21" s="96" t="s">
        <v>314</v>
      </c>
      <c r="BF21" s="69" t="s">
        <v>314</v>
      </c>
      <c r="BG21" s="69"/>
      <c r="BH21" s="69"/>
      <c r="BI21" s="69" t="s">
        <v>314</v>
      </c>
      <c r="BJ21" s="69" t="s">
        <v>314</v>
      </c>
      <c r="BK21" s="69"/>
      <c r="BL21" s="69" t="s">
        <v>314</v>
      </c>
      <c r="BM21" s="69" t="s">
        <v>314</v>
      </c>
      <c r="BN21" s="69"/>
    </row>
    <row r="22" spans="1:66">
      <c r="A22" s="61" t="s">
        <v>3</v>
      </c>
      <c r="B22" s="68" t="s">
        <v>192</v>
      </c>
      <c r="C22" s="66"/>
      <c r="D22" s="64">
        <v>63</v>
      </c>
      <c r="E22" s="64">
        <f>IF(ISBLANK($D22),"0",IF(($D22-$D21)&gt;($C22-$C21),1,0))</f>
        <v>1</v>
      </c>
      <c r="F22" s="64">
        <f t="shared" ca="1" si="1"/>
        <v>13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314</v>
      </c>
      <c r="L22" s="70"/>
      <c r="M22" s="70"/>
      <c r="N22" s="70"/>
      <c r="O22" s="70"/>
      <c r="P22" s="70"/>
      <c r="Q22" s="70"/>
      <c r="R22" s="70" t="s">
        <v>314</v>
      </c>
      <c r="S22" s="70" t="s">
        <v>314</v>
      </c>
      <c r="T22" s="70"/>
      <c r="U22" s="70"/>
      <c r="V22" s="70"/>
      <c r="W22" s="70" t="s">
        <v>314</v>
      </c>
      <c r="X22" s="70"/>
      <c r="Y22" s="70"/>
      <c r="Z22" s="70"/>
      <c r="AA22" s="70"/>
      <c r="AB22" s="70" t="s">
        <v>314</v>
      </c>
      <c r="AC22" s="70" t="s">
        <v>314</v>
      </c>
      <c r="AD22" s="70"/>
      <c r="AE22" s="70"/>
      <c r="AF22" s="70"/>
      <c r="AG22" s="70"/>
      <c r="AH22" s="70"/>
      <c r="AI22" s="70" t="s">
        <v>314</v>
      </c>
      <c r="AJ22" s="70"/>
      <c r="AK22" s="70"/>
      <c r="AL22" s="70"/>
      <c r="AM22" s="70"/>
      <c r="AN22" s="70"/>
      <c r="AO22" s="70" t="s">
        <v>314</v>
      </c>
      <c r="AP22" s="70"/>
      <c r="AQ22" s="70" t="s">
        <v>314</v>
      </c>
      <c r="AR22" s="70"/>
      <c r="AS22" s="70"/>
      <c r="AT22" s="70"/>
      <c r="AU22" s="70" t="s">
        <v>314</v>
      </c>
      <c r="AV22" s="70"/>
      <c r="AW22" s="70"/>
      <c r="AX22" s="70"/>
      <c r="AY22" s="70"/>
      <c r="AZ22" s="70" t="s">
        <v>314</v>
      </c>
      <c r="BA22" s="70"/>
      <c r="BB22" s="70"/>
      <c r="BC22" s="70"/>
      <c r="BD22" s="70"/>
      <c r="BE22" s="70"/>
      <c r="BF22" s="70"/>
      <c r="BG22" s="70"/>
      <c r="BH22" s="70" t="s">
        <v>314</v>
      </c>
      <c r="BI22" s="70"/>
      <c r="BJ22" s="70"/>
      <c r="BK22" s="70" t="s">
        <v>314</v>
      </c>
      <c r="BL22" s="70"/>
      <c r="BM22" s="70"/>
      <c r="BN22" s="70"/>
    </row>
    <row r="23" spans="1:66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/>
      <c r="K23" s="78">
        <v>24</v>
      </c>
      <c r="L23" s="78">
        <v>27</v>
      </c>
      <c r="M23" s="78">
        <v>35</v>
      </c>
      <c r="N23" s="80">
        <v>38</v>
      </c>
      <c r="O23" s="78"/>
      <c r="P23" s="78">
        <v>35</v>
      </c>
      <c r="Q23" s="78"/>
      <c r="R23" s="78">
        <v>17</v>
      </c>
      <c r="S23" s="78">
        <v>34</v>
      </c>
      <c r="T23" s="78">
        <v>49</v>
      </c>
      <c r="U23" s="78"/>
      <c r="V23" s="78">
        <v>37</v>
      </c>
      <c r="W23" s="78">
        <v>27</v>
      </c>
      <c r="X23" s="78">
        <v>24</v>
      </c>
      <c r="Y23" s="78">
        <v>35</v>
      </c>
      <c r="Z23" s="78">
        <v>35</v>
      </c>
      <c r="AA23" s="78">
        <v>28</v>
      </c>
      <c r="AB23" s="78">
        <v>21</v>
      </c>
      <c r="AC23" s="78">
        <v>28</v>
      </c>
      <c r="AD23" s="78">
        <v>35</v>
      </c>
      <c r="AE23" s="78">
        <v>40</v>
      </c>
      <c r="AF23" s="78">
        <v>35</v>
      </c>
      <c r="AG23" s="78"/>
      <c r="AH23" s="78">
        <v>37</v>
      </c>
      <c r="AI23" s="78">
        <v>20</v>
      </c>
      <c r="AJ23" s="78"/>
      <c r="AK23" s="78"/>
      <c r="AL23" s="78">
        <v>21</v>
      </c>
      <c r="AM23" s="78">
        <v>35</v>
      </c>
      <c r="AN23" s="78">
        <v>35</v>
      </c>
      <c r="AO23" s="78">
        <v>24</v>
      </c>
      <c r="AP23" s="78"/>
      <c r="AQ23" s="78">
        <v>37</v>
      </c>
      <c r="AR23" s="78">
        <v>25</v>
      </c>
      <c r="AS23" s="78">
        <v>35</v>
      </c>
      <c r="AT23" s="78">
        <v>37</v>
      </c>
      <c r="AU23" s="78">
        <v>35</v>
      </c>
      <c r="AV23" s="78">
        <v>38</v>
      </c>
      <c r="AW23" s="78">
        <v>24</v>
      </c>
      <c r="AX23" s="78">
        <v>45</v>
      </c>
      <c r="AY23" s="78">
        <v>35</v>
      </c>
      <c r="AZ23" s="78">
        <v>34</v>
      </c>
      <c r="BA23" s="78">
        <v>35</v>
      </c>
      <c r="BB23" s="78">
        <v>28</v>
      </c>
      <c r="BC23" s="78">
        <v>21</v>
      </c>
      <c r="BD23" s="78">
        <v>34</v>
      </c>
      <c r="BE23" s="78">
        <v>42</v>
      </c>
      <c r="BF23" s="78">
        <v>59</v>
      </c>
      <c r="BG23" s="78"/>
      <c r="BH23" s="78">
        <v>35</v>
      </c>
      <c r="BI23" s="78">
        <v>34</v>
      </c>
      <c r="BJ23" s="78">
        <v>38</v>
      </c>
      <c r="BK23" s="78">
        <v>28</v>
      </c>
      <c r="BL23" s="78">
        <v>45</v>
      </c>
      <c r="BM23" s="78">
        <v>31</v>
      </c>
      <c r="BN23" s="78"/>
    </row>
    <row r="24" spans="1:66">
      <c r="A24" s="61"/>
      <c r="B24" s="68" t="str">
        <f>B22&amp; " - score"</f>
        <v>Louisville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39</v>
      </c>
      <c r="G24" s="61"/>
      <c r="H24" s="62"/>
      <c r="I24" s="63"/>
      <c r="J24" s="79"/>
      <c r="K24" s="79">
        <v>27</v>
      </c>
      <c r="L24" s="79">
        <v>20</v>
      </c>
      <c r="M24" s="79">
        <v>24</v>
      </c>
      <c r="N24" s="79">
        <v>10</v>
      </c>
      <c r="O24" s="79"/>
      <c r="P24" s="79">
        <v>30</v>
      </c>
      <c r="Q24" s="79"/>
      <c r="R24" s="79">
        <v>31</v>
      </c>
      <c r="S24" s="79">
        <v>35</v>
      </c>
      <c r="T24" s="79">
        <v>31</v>
      </c>
      <c r="U24" s="79"/>
      <c r="V24" s="79">
        <v>24</v>
      </c>
      <c r="W24" s="79">
        <v>38</v>
      </c>
      <c r="X24" s="79">
        <v>20</v>
      </c>
      <c r="Y24" s="79">
        <v>28</v>
      </c>
      <c r="Z24" s="79">
        <v>31</v>
      </c>
      <c r="AA24" s="79">
        <v>17</v>
      </c>
      <c r="AB24" s="79">
        <v>614</v>
      </c>
      <c r="AC24" s="79">
        <v>35</v>
      </c>
      <c r="AD24" s="79">
        <v>22</v>
      </c>
      <c r="AE24" s="79">
        <v>29</v>
      </c>
      <c r="AF24" s="79">
        <v>31</v>
      </c>
      <c r="AG24" s="79"/>
      <c r="AH24" s="79">
        <v>24</v>
      </c>
      <c r="AI24" s="79">
        <v>27</v>
      </c>
      <c r="AJ24" s="79"/>
      <c r="AK24" s="79"/>
      <c r="AL24" s="79">
        <v>12</v>
      </c>
      <c r="AM24" s="79">
        <v>28</v>
      </c>
      <c r="AN24" s="79">
        <v>21</v>
      </c>
      <c r="AO24" s="79">
        <v>21</v>
      </c>
      <c r="AP24" s="79"/>
      <c r="AQ24" s="79">
        <v>34</v>
      </c>
      <c r="AR24" s="79">
        <v>20</v>
      </c>
      <c r="AS24" s="79">
        <v>28</v>
      </c>
      <c r="AT24" s="79">
        <v>30</v>
      </c>
      <c r="AU24" s="79">
        <v>32</v>
      </c>
      <c r="AV24" s="79">
        <v>31</v>
      </c>
      <c r="AW24" s="79">
        <v>18</v>
      </c>
      <c r="AX24" s="79">
        <v>31</v>
      </c>
      <c r="AY24" s="79">
        <v>27</v>
      </c>
      <c r="AZ24" s="79">
        <v>33</v>
      </c>
      <c r="BA24" s="79">
        <v>14</v>
      </c>
      <c r="BB24" s="79">
        <v>3</v>
      </c>
      <c r="BC24" s="79">
        <v>12</v>
      </c>
      <c r="BD24" s="79">
        <v>28</v>
      </c>
      <c r="BE24" s="79">
        <v>38</v>
      </c>
      <c r="BF24" s="79">
        <v>50</v>
      </c>
      <c r="BG24" s="79"/>
      <c r="BH24" s="79">
        <v>33</v>
      </c>
      <c r="BI24" s="79">
        <v>26</v>
      </c>
      <c r="BJ24" s="79">
        <v>34</v>
      </c>
      <c r="BK24" s="79">
        <v>31</v>
      </c>
      <c r="BL24" s="79">
        <v>41</v>
      </c>
      <c r="BM24" s="79">
        <v>27</v>
      </c>
      <c r="BN24" s="79"/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0</v>
      </c>
      <c r="P25" s="36">
        <f t="shared" si="3"/>
        <v>3</v>
      </c>
      <c r="Q25" s="36">
        <f t="shared" si="3"/>
        <v>0</v>
      </c>
      <c r="R25" s="36">
        <f t="shared" si="3"/>
        <v>6</v>
      </c>
      <c r="S25" s="36">
        <f t="shared" si="3"/>
        <v>4</v>
      </c>
      <c r="T25" s="36">
        <f t="shared" si="3"/>
        <v>5</v>
      </c>
      <c r="U25" s="36">
        <f t="shared" si="3"/>
        <v>0</v>
      </c>
      <c r="V25" s="36">
        <f t="shared" si="3"/>
        <v>5</v>
      </c>
      <c r="W25" s="36">
        <f t="shared" si="3"/>
        <v>5</v>
      </c>
      <c r="X25" s="36">
        <f t="shared" si="3"/>
        <v>5</v>
      </c>
      <c r="Y25" s="36">
        <f t="shared" si="3"/>
        <v>5</v>
      </c>
      <c r="Z25" s="36">
        <f t="shared" si="3"/>
        <v>6</v>
      </c>
      <c r="AA25" s="36">
        <f t="shared" si="3"/>
        <v>7</v>
      </c>
      <c r="AB25" s="36">
        <f t="shared" si="3"/>
        <v>6</v>
      </c>
      <c r="AC25" s="36">
        <f t="shared" si="3"/>
        <v>7</v>
      </c>
      <c r="AD25" s="36">
        <f t="shared" si="3"/>
        <v>4</v>
      </c>
      <c r="AE25" s="36">
        <f t="shared" si="3"/>
        <v>5</v>
      </c>
      <c r="AF25" s="36">
        <f t="shared" si="3"/>
        <v>6</v>
      </c>
      <c r="AG25" s="36">
        <f t="shared" si="3"/>
        <v>0</v>
      </c>
      <c r="AH25" s="36">
        <f t="shared" si="3"/>
        <v>5</v>
      </c>
      <c r="AI25" s="36">
        <f t="shared" si="3"/>
        <v>6</v>
      </c>
      <c r="AJ25" s="36">
        <f t="shared" si="3"/>
        <v>0</v>
      </c>
      <c r="AK25" s="36">
        <f t="shared" si="3"/>
        <v>0</v>
      </c>
      <c r="AL25" s="36">
        <f t="shared" si="3"/>
        <v>4</v>
      </c>
      <c r="AM25" s="36">
        <f t="shared" si="3"/>
        <v>6</v>
      </c>
      <c r="AN25" s="36">
        <f t="shared" si="3"/>
        <v>5</v>
      </c>
      <c r="AO25" s="36">
        <f t="shared" si="3"/>
        <v>5</v>
      </c>
      <c r="AP25" s="36">
        <f t="shared" si="3"/>
        <v>0</v>
      </c>
      <c r="AQ25" s="36">
        <f t="shared" si="3"/>
        <v>6</v>
      </c>
      <c r="AR25" s="36">
        <f t="shared" si="3"/>
        <v>7</v>
      </c>
      <c r="AS25" s="36">
        <f t="shared" si="3"/>
        <v>7</v>
      </c>
      <c r="AT25" s="36">
        <f t="shared" si="3"/>
        <v>6</v>
      </c>
      <c r="AU25" s="36">
        <f t="shared" si="3"/>
        <v>6</v>
      </c>
      <c r="AV25" s="36">
        <f t="shared" si="3"/>
        <v>6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5</v>
      </c>
      <c r="BA25" s="36">
        <f t="shared" si="3"/>
        <v>7</v>
      </c>
      <c r="BB25" s="36">
        <f t="shared" si="3"/>
        <v>7</v>
      </c>
      <c r="BC25" s="36">
        <f t="shared" si="3"/>
        <v>5</v>
      </c>
      <c r="BD25" s="36">
        <f t="shared" si="3"/>
        <v>7</v>
      </c>
      <c r="BE25" s="36">
        <f t="shared" si="3"/>
        <v>7</v>
      </c>
      <c r="BF25" s="36">
        <f t="shared" si="3"/>
        <v>3</v>
      </c>
      <c r="BG25" s="36">
        <f t="shared" si="3"/>
        <v>0</v>
      </c>
      <c r="BH25" s="36">
        <f t="shared" si="3"/>
        <v>6</v>
      </c>
      <c r="BI25" s="36">
        <f t="shared" si="3"/>
        <v>5</v>
      </c>
      <c r="BJ25" s="36">
        <f t="shared" si="3"/>
        <v>6</v>
      </c>
      <c r="BK25" s="36">
        <f t="shared" si="3"/>
        <v>4</v>
      </c>
      <c r="BL25" s="36">
        <f t="shared" si="3"/>
        <v>1</v>
      </c>
      <c r="BM25" s="36">
        <f t="shared" si="3"/>
        <v>5</v>
      </c>
      <c r="BN25" s="36">
        <f t="shared" si="3"/>
        <v>0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40</v>
      </c>
      <c r="L26" s="71">
        <f t="shared" si="4"/>
        <v>50</v>
      </c>
      <c r="M26" s="71">
        <f t="shared" si="4"/>
        <v>54</v>
      </c>
      <c r="N26" s="71">
        <f t="shared" si="4"/>
        <v>71</v>
      </c>
      <c r="O26" s="71">
        <f t="shared" si="4"/>
        <v>43</v>
      </c>
      <c r="P26" s="71">
        <f t="shared" si="4"/>
        <v>48</v>
      </c>
      <c r="Q26" s="71">
        <f t="shared" si="4"/>
        <v>43</v>
      </c>
      <c r="R26" s="71">
        <f t="shared" si="4"/>
        <v>29</v>
      </c>
      <c r="S26" s="71">
        <f t="shared" si="4"/>
        <v>42</v>
      </c>
      <c r="T26" s="71">
        <f t="shared" si="4"/>
        <v>61</v>
      </c>
      <c r="U26" s="71">
        <f t="shared" si="4"/>
        <v>43</v>
      </c>
      <c r="V26" s="71">
        <f t="shared" si="4"/>
        <v>56</v>
      </c>
      <c r="W26" s="71">
        <f t="shared" si="4"/>
        <v>32</v>
      </c>
      <c r="X26" s="71">
        <f t="shared" si="4"/>
        <v>47</v>
      </c>
      <c r="Y26" s="71">
        <f t="shared" si="4"/>
        <v>50</v>
      </c>
      <c r="Z26" s="71">
        <f t="shared" si="4"/>
        <v>47</v>
      </c>
      <c r="AA26" s="71">
        <f t="shared" si="4"/>
        <v>54</v>
      </c>
      <c r="AB26" s="71">
        <f t="shared" si="4"/>
        <v>550</v>
      </c>
      <c r="AC26" s="71">
        <f t="shared" si="4"/>
        <v>36</v>
      </c>
      <c r="AD26" s="71">
        <f t="shared" si="4"/>
        <v>56</v>
      </c>
      <c r="AE26" s="71">
        <f t="shared" si="4"/>
        <v>54</v>
      </c>
      <c r="AF26" s="71">
        <f t="shared" si="4"/>
        <v>47</v>
      </c>
      <c r="AG26" s="71">
        <f t="shared" si="4"/>
        <v>43</v>
      </c>
      <c r="AH26" s="71">
        <f t="shared" si="4"/>
        <v>56</v>
      </c>
      <c r="AI26" s="71">
        <f t="shared" si="4"/>
        <v>36</v>
      </c>
      <c r="AJ26" s="71">
        <f t="shared" si="4"/>
        <v>43</v>
      </c>
      <c r="AK26" s="71">
        <f t="shared" si="4"/>
        <v>43</v>
      </c>
      <c r="AL26" s="71">
        <f t="shared" si="4"/>
        <v>52</v>
      </c>
      <c r="AM26" s="71">
        <f t="shared" si="4"/>
        <v>50</v>
      </c>
      <c r="AN26" s="71">
        <f t="shared" si="4"/>
        <v>57</v>
      </c>
      <c r="AO26" s="71">
        <f t="shared" si="4"/>
        <v>46</v>
      </c>
      <c r="AP26" s="71">
        <f t="shared" si="4"/>
        <v>43</v>
      </c>
      <c r="AQ26" s="71">
        <f t="shared" si="4"/>
        <v>46</v>
      </c>
      <c r="AR26" s="71">
        <f t="shared" si="4"/>
        <v>48</v>
      </c>
      <c r="AS26" s="71">
        <f t="shared" si="4"/>
        <v>50</v>
      </c>
      <c r="AT26" s="71">
        <f t="shared" si="4"/>
        <v>50</v>
      </c>
      <c r="AU26" s="71">
        <f t="shared" si="4"/>
        <v>46</v>
      </c>
      <c r="AV26" s="71">
        <f t="shared" si="4"/>
        <v>50</v>
      </c>
      <c r="AW26" s="71">
        <f t="shared" si="4"/>
        <v>49</v>
      </c>
      <c r="AX26" s="71">
        <f t="shared" si="4"/>
        <v>57</v>
      </c>
      <c r="AY26" s="71">
        <f t="shared" si="4"/>
        <v>51</v>
      </c>
      <c r="AZ26" s="71">
        <f t="shared" si="4"/>
        <v>44</v>
      </c>
      <c r="BA26" s="71">
        <f t="shared" si="4"/>
        <v>64</v>
      </c>
      <c r="BB26" s="71">
        <f t="shared" si="4"/>
        <v>68</v>
      </c>
      <c r="BC26" s="71">
        <f t="shared" si="4"/>
        <v>52</v>
      </c>
      <c r="BD26" s="71">
        <f t="shared" si="4"/>
        <v>49</v>
      </c>
      <c r="BE26" s="71">
        <f t="shared" si="4"/>
        <v>47</v>
      </c>
      <c r="BF26" s="71">
        <f t="shared" si="4"/>
        <v>52</v>
      </c>
      <c r="BG26" s="71">
        <f t="shared" si="4"/>
        <v>43</v>
      </c>
      <c r="BH26" s="71">
        <f t="shared" si="4"/>
        <v>45</v>
      </c>
      <c r="BI26" s="71">
        <f t="shared" si="4"/>
        <v>51</v>
      </c>
      <c r="BJ26" s="71">
        <f t="shared" si="4"/>
        <v>47</v>
      </c>
      <c r="BK26" s="71">
        <f t="shared" si="4"/>
        <v>40</v>
      </c>
      <c r="BL26" s="71">
        <f t="shared" si="4"/>
        <v>47</v>
      </c>
      <c r="BM26" s="71">
        <f t="shared" si="4"/>
        <v>47</v>
      </c>
      <c r="BN26" s="71">
        <f t="shared" si="4"/>
        <v>43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32</v>
      </c>
      <c r="L27" s="71">
        <f t="shared" si="5"/>
        <v>36</v>
      </c>
      <c r="M27" s="71">
        <f t="shared" si="5"/>
        <v>24</v>
      </c>
      <c r="N27" s="71">
        <f t="shared" si="5"/>
        <v>35</v>
      </c>
      <c r="O27" s="71">
        <f t="shared" si="5"/>
        <v>83</v>
      </c>
      <c r="P27" s="71">
        <f t="shared" si="5"/>
        <v>18</v>
      </c>
      <c r="Q27" s="71">
        <f t="shared" si="5"/>
        <v>83</v>
      </c>
      <c r="R27" s="71">
        <f t="shared" si="5"/>
        <v>35</v>
      </c>
      <c r="S27" s="71">
        <f t="shared" si="5"/>
        <v>14</v>
      </c>
      <c r="T27" s="71">
        <f t="shared" si="5"/>
        <v>3</v>
      </c>
      <c r="U27" s="71">
        <f t="shared" si="5"/>
        <v>83</v>
      </c>
      <c r="V27" s="71">
        <f t="shared" si="5"/>
        <v>22</v>
      </c>
      <c r="W27" s="71">
        <f t="shared" si="5"/>
        <v>18</v>
      </c>
      <c r="X27" s="71">
        <f t="shared" si="5"/>
        <v>39</v>
      </c>
      <c r="Y27" s="71">
        <f t="shared" si="5"/>
        <v>20</v>
      </c>
      <c r="Z27" s="71">
        <f t="shared" si="5"/>
        <v>17</v>
      </c>
      <c r="AA27" s="71">
        <f t="shared" si="5"/>
        <v>38</v>
      </c>
      <c r="AB27" s="71">
        <f t="shared" si="5"/>
        <v>552</v>
      </c>
      <c r="AC27" s="71">
        <f t="shared" si="5"/>
        <v>20</v>
      </c>
      <c r="AD27" s="71">
        <f t="shared" si="5"/>
        <v>26</v>
      </c>
      <c r="AE27" s="71">
        <f t="shared" si="5"/>
        <v>14</v>
      </c>
      <c r="AF27" s="71">
        <f t="shared" si="5"/>
        <v>17</v>
      </c>
      <c r="AG27" s="71">
        <f t="shared" si="5"/>
        <v>83</v>
      </c>
      <c r="AH27" s="71">
        <f t="shared" si="5"/>
        <v>22</v>
      </c>
      <c r="AI27" s="71">
        <f t="shared" si="5"/>
        <v>36</v>
      </c>
      <c r="AJ27" s="71">
        <f t="shared" si="5"/>
        <v>83</v>
      </c>
      <c r="AK27" s="71">
        <f t="shared" si="5"/>
        <v>83</v>
      </c>
      <c r="AL27" s="71">
        <f t="shared" si="5"/>
        <v>50</v>
      </c>
      <c r="AM27" s="71">
        <f t="shared" si="5"/>
        <v>20</v>
      </c>
      <c r="AN27" s="71">
        <f t="shared" si="5"/>
        <v>27</v>
      </c>
      <c r="AO27" s="71">
        <f t="shared" si="5"/>
        <v>38</v>
      </c>
      <c r="AP27" s="71">
        <f t="shared" si="5"/>
        <v>83</v>
      </c>
      <c r="AQ27" s="71">
        <f t="shared" si="5"/>
        <v>12</v>
      </c>
      <c r="AR27" s="71">
        <f t="shared" si="5"/>
        <v>38</v>
      </c>
      <c r="AS27" s="71">
        <f t="shared" si="5"/>
        <v>20</v>
      </c>
      <c r="AT27" s="71">
        <f t="shared" si="5"/>
        <v>16</v>
      </c>
      <c r="AU27" s="71">
        <f t="shared" si="5"/>
        <v>16</v>
      </c>
      <c r="AV27" s="71">
        <f t="shared" si="5"/>
        <v>14</v>
      </c>
      <c r="AW27" s="71">
        <f t="shared" si="5"/>
        <v>41</v>
      </c>
      <c r="AX27" s="71">
        <f t="shared" si="5"/>
        <v>7</v>
      </c>
      <c r="AY27" s="71">
        <f t="shared" si="5"/>
        <v>21</v>
      </c>
      <c r="AZ27" s="71">
        <f t="shared" si="5"/>
        <v>16</v>
      </c>
      <c r="BA27" s="71">
        <f t="shared" si="5"/>
        <v>34</v>
      </c>
      <c r="BB27" s="71">
        <f t="shared" si="5"/>
        <v>52</v>
      </c>
      <c r="BC27" s="71">
        <f t="shared" si="5"/>
        <v>50</v>
      </c>
      <c r="BD27" s="71">
        <f t="shared" si="5"/>
        <v>21</v>
      </c>
      <c r="BE27" s="71">
        <f t="shared" si="5"/>
        <v>3</v>
      </c>
      <c r="BF27" s="71">
        <f t="shared" si="5"/>
        <v>26</v>
      </c>
      <c r="BG27" s="71">
        <f t="shared" si="5"/>
        <v>83</v>
      </c>
      <c r="BH27" s="71">
        <f t="shared" si="5"/>
        <v>15</v>
      </c>
      <c r="BI27" s="71">
        <f t="shared" si="5"/>
        <v>23</v>
      </c>
      <c r="BJ27" s="71">
        <f t="shared" si="5"/>
        <v>11</v>
      </c>
      <c r="BK27" s="71">
        <f t="shared" si="5"/>
        <v>24</v>
      </c>
      <c r="BL27" s="71">
        <f t="shared" si="5"/>
        <v>3</v>
      </c>
      <c r="BM27" s="71">
        <f t="shared" si="5"/>
        <v>25</v>
      </c>
      <c r="BN27" s="71">
        <f t="shared" si="5"/>
        <v>83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t="shared" ref="K28:BN28" ca="1" si="6">IF(COUNTA($D$3:$D$22)&lt;2,"",IF(K36=MAX(INDIRECT("R36C11:R36C"&amp;11+playercnt-1,FALSE)),1,""))</f>
        <v>1</v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0.46071428571428569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N29" si="7">COUNTA(L$3,L$5,L$7,L$9,L$11,L$13,L$15,L$17,L$19,L$21)</f>
        <v>6</v>
      </c>
      <c r="M29" s="71">
        <f t="shared" si="7"/>
        <v>7</v>
      </c>
      <c r="N29" s="71">
        <f t="shared" si="7"/>
        <v>7</v>
      </c>
      <c r="O29" s="71">
        <f t="shared" si="7"/>
        <v>0</v>
      </c>
      <c r="P29" s="71">
        <f t="shared" si="7"/>
        <v>6</v>
      </c>
      <c r="Q29" s="71">
        <f t="shared" si="7"/>
        <v>0</v>
      </c>
      <c r="R29" s="71">
        <f t="shared" si="7"/>
        <v>3</v>
      </c>
      <c r="S29" s="71">
        <f t="shared" si="7"/>
        <v>5</v>
      </c>
      <c r="T29" s="71">
        <f t="shared" si="7"/>
        <v>4</v>
      </c>
      <c r="U29" s="71">
        <f t="shared" si="7"/>
        <v>0</v>
      </c>
      <c r="V29" s="71">
        <f t="shared" si="7"/>
        <v>6</v>
      </c>
      <c r="W29" s="71">
        <f t="shared" si="7"/>
        <v>6</v>
      </c>
      <c r="X29" s="71">
        <f t="shared" si="7"/>
        <v>6</v>
      </c>
      <c r="Y29" s="71">
        <f t="shared" si="7"/>
        <v>6</v>
      </c>
      <c r="Z29" s="71">
        <f t="shared" si="7"/>
        <v>5</v>
      </c>
      <c r="AA29" s="71">
        <f t="shared" si="7"/>
        <v>8</v>
      </c>
      <c r="AB29" s="71">
        <f t="shared" si="7"/>
        <v>7</v>
      </c>
      <c r="AC29" s="71">
        <f t="shared" si="7"/>
        <v>6</v>
      </c>
      <c r="AD29" s="71">
        <f t="shared" si="7"/>
        <v>5</v>
      </c>
      <c r="AE29" s="71">
        <f t="shared" si="7"/>
        <v>6</v>
      </c>
      <c r="AF29" s="71">
        <f t="shared" si="7"/>
        <v>9</v>
      </c>
      <c r="AG29" s="71">
        <f t="shared" si="7"/>
        <v>0</v>
      </c>
      <c r="AH29" s="71">
        <f t="shared" si="7"/>
        <v>6</v>
      </c>
      <c r="AI29" s="71">
        <f t="shared" si="7"/>
        <v>3</v>
      </c>
      <c r="AJ29" s="71">
        <f t="shared" si="7"/>
        <v>0</v>
      </c>
      <c r="AK29" s="71">
        <f t="shared" si="7"/>
        <v>0</v>
      </c>
      <c r="AL29" s="71">
        <f t="shared" si="7"/>
        <v>5</v>
      </c>
      <c r="AM29" s="71">
        <f t="shared" si="7"/>
        <v>7</v>
      </c>
      <c r="AN29" s="71">
        <f t="shared" si="7"/>
        <v>6</v>
      </c>
      <c r="AO29" s="71">
        <f t="shared" si="7"/>
        <v>4</v>
      </c>
      <c r="AP29" s="71">
        <f t="shared" si="7"/>
        <v>0</v>
      </c>
      <c r="AQ29" s="71">
        <f t="shared" si="7"/>
        <v>7</v>
      </c>
      <c r="AR29" s="71">
        <f t="shared" si="7"/>
        <v>6</v>
      </c>
      <c r="AS29" s="71">
        <f t="shared" si="7"/>
        <v>8</v>
      </c>
      <c r="AT29" s="71">
        <f t="shared" si="7"/>
        <v>7</v>
      </c>
      <c r="AU29" s="71">
        <f t="shared" si="7"/>
        <v>3</v>
      </c>
      <c r="AV29" s="71">
        <f t="shared" si="7"/>
        <v>7</v>
      </c>
      <c r="AW29" s="71">
        <f t="shared" si="7"/>
        <v>5</v>
      </c>
      <c r="AX29" s="71">
        <f t="shared" si="7"/>
        <v>7</v>
      </c>
      <c r="AY29" s="71">
        <f t="shared" si="7"/>
        <v>8</v>
      </c>
      <c r="AZ29" s="71">
        <f t="shared" si="7"/>
        <v>6</v>
      </c>
      <c r="BA29" s="71">
        <f t="shared" si="7"/>
        <v>6</v>
      </c>
      <c r="BB29" s="71">
        <f t="shared" si="7"/>
        <v>8</v>
      </c>
      <c r="BC29" s="71">
        <f t="shared" si="7"/>
        <v>6</v>
      </c>
      <c r="BD29" s="71">
        <f t="shared" si="7"/>
        <v>6</v>
      </c>
      <c r="BE29" s="71">
        <f t="shared" si="7"/>
        <v>8</v>
      </c>
      <c r="BF29" s="71">
        <f t="shared" si="7"/>
        <v>8</v>
      </c>
      <c r="BG29" s="71">
        <f t="shared" si="7"/>
        <v>0</v>
      </c>
      <c r="BH29" s="71">
        <f t="shared" si="7"/>
        <v>5</v>
      </c>
      <c r="BI29" s="71">
        <f t="shared" si="7"/>
        <v>8</v>
      </c>
      <c r="BJ29" s="71">
        <f t="shared" si="7"/>
        <v>7</v>
      </c>
      <c r="BK29" s="71">
        <f t="shared" si="7"/>
        <v>7</v>
      </c>
      <c r="BL29" s="71">
        <f t="shared" si="7"/>
        <v>4</v>
      </c>
      <c r="BM29" s="71">
        <f t="shared" si="7"/>
        <v>6</v>
      </c>
      <c r="BN29" s="71">
        <f t="shared" si="7"/>
        <v>0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-22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3</v>
      </c>
      <c r="N30" s="73">
        <f t="shared" si="8"/>
        <v>5</v>
      </c>
      <c r="O30" s="73">
        <f t="shared" si="8"/>
        <v>10</v>
      </c>
      <c r="P30" s="73">
        <f t="shared" si="8"/>
        <v>4</v>
      </c>
      <c r="Q30" s="73">
        <f t="shared" si="8"/>
        <v>10</v>
      </c>
      <c r="R30" s="73">
        <f t="shared" si="8"/>
        <v>3</v>
      </c>
      <c r="S30" s="73">
        <f t="shared" si="8"/>
        <v>5</v>
      </c>
      <c r="T30" s="73">
        <f t="shared" si="8"/>
        <v>4</v>
      </c>
      <c r="U30" s="73">
        <f t="shared" si="8"/>
        <v>10</v>
      </c>
      <c r="V30" s="73">
        <f t="shared" si="8"/>
        <v>4</v>
      </c>
      <c r="W30" s="73">
        <f t="shared" si="8"/>
        <v>4</v>
      </c>
      <c r="X30" s="73">
        <f t="shared" si="8"/>
        <v>4</v>
      </c>
      <c r="Y30" s="73">
        <f t="shared" si="8"/>
        <v>2</v>
      </c>
      <c r="Z30" s="73">
        <f t="shared" si="8"/>
        <v>5</v>
      </c>
      <c r="AA30" s="73">
        <f t="shared" si="8"/>
        <v>4</v>
      </c>
      <c r="AB30" s="73">
        <f t="shared" si="8"/>
        <v>5</v>
      </c>
      <c r="AC30" s="73">
        <f t="shared" si="8"/>
        <v>6</v>
      </c>
      <c r="AD30" s="73">
        <f t="shared" si="8"/>
        <v>3</v>
      </c>
      <c r="AE30" s="73">
        <f t="shared" si="8"/>
        <v>4</v>
      </c>
      <c r="AF30" s="73">
        <f t="shared" si="8"/>
        <v>5</v>
      </c>
      <c r="AG30" s="73">
        <f t="shared" si="8"/>
        <v>10</v>
      </c>
      <c r="AH30" s="73">
        <f t="shared" si="8"/>
        <v>4</v>
      </c>
      <c r="AI30" s="73">
        <f t="shared" si="8"/>
        <v>3</v>
      </c>
      <c r="AJ30" s="73">
        <f t="shared" si="8"/>
        <v>10</v>
      </c>
      <c r="AK30" s="73">
        <f t="shared" si="8"/>
        <v>10</v>
      </c>
      <c r="AL30" s="73">
        <f t="shared" si="8"/>
        <v>1</v>
      </c>
      <c r="AM30" s="73">
        <f t="shared" si="8"/>
        <v>3</v>
      </c>
      <c r="AN30" s="73">
        <f t="shared" si="8"/>
        <v>6</v>
      </c>
      <c r="AO30" s="73">
        <f t="shared" si="8"/>
        <v>6</v>
      </c>
      <c r="AP30" s="73">
        <f t="shared" si="8"/>
        <v>10</v>
      </c>
      <c r="AQ30" s="73">
        <f t="shared" si="8"/>
        <v>5</v>
      </c>
      <c r="AR30" s="73">
        <f t="shared" si="8"/>
        <v>4</v>
      </c>
      <c r="AS30" s="73">
        <f t="shared" si="8"/>
        <v>6</v>
      </c>
      <c r="AT30" s="73">
        <f t="shared" si="8"/>
        <v>5</v>
      </c>
      <c r="AU30" s="73">
        <f t="shared" si="8"/>
        <v>3</v>
      </c>
      <c r="AV30" s="73">
        <f t="shared" si="8"/>
        <v>3</v>
      </c>
      <c r="AW30" s="73">
        <f t="shared" si="8"/>
        <v>3</v>
      </c>
      <c r="AX30" s="73">
        <f t="shared" si="8"/>
        <v>5</v>
      </c>
      <c r="AY30" s="73">
        <f t="shared" si="8"/>
        <v>4</v>
      </c>
      <c r="AZ30" s="73">
        <f t="shared" si="8"/>
        <v>8</v>
      </c>
      <c r="BA30" s="73">
        <f t="shared" si="8"/>
        <v>4</v>
      </c>
      <c r="BB30" s="73">
        <f t="shared" si="8"/>
        <v>4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6</v>
      </c>
      <c r="BG30" s="73">
        <f t="shared" si="8"/>
        <v>10</v>
      </c>
      <c r="BH30" s="73">
        <f t="shared" si="8"/>
        <v>5</v>
      </c>
      <c r="BI30" s="73">
        <f t="shared" si="8"/>
        <v>4</v>
      </c>
      <c r="BJ30" s="73">
        <f t="shared" si="8"/>
        <v>7</v>
      </c>
      <c r="BK30" s="73">
        <f t="shared" si="8"/>
        <v>9</v>
      </c>
      <c r="BL30" s="73">
        <f t="shared" si="8"/>
        <v>4</v>
      </c>
      <c r="BM30" s="73">
        <f t="shared" si="8"/>
        <v>2</v>
      </c>
      <c r="BN30" s="73">
        <f t="shared" si="8"/>
        <v>10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2</v>
      </c>
      <c r="O31" s="71">
        <f t="shared" ca="1" si="9"/>
        <v>10</v>
      </c>
      <c r="P31" s="71">
        <f t="shared" ca="1" si="9"/>
        <v>3</v>
      </c>
      <c r="Q31" s="71">
        <f t="shared" ca="1" si="9"/>
        <v>10</v>
      </c>
      <c r="R31" s="71">
        <f t="shared" ca="1" si="9"/>
        <v>6</v>
      </c>
      <c r="S31" s="71">
        <f t="shared" ca="1" si="9"/>
        <v>4</v>
      </c>
      <c r="T31" s="71">
        <f t="shared" ca="1" si="9"/>
        <v>5</v>
      </c>
      <c r="U31" s="71">
        <f t="shared" ca="1" si="9"/>
        <v>10</v>
      </c>
      <c r="V31" s="71">
        <f t="shared" ca="1" si="9"/>
        <v>5</v>
      </c>
      <c r="W31" s="71">
        <f t="shared" ca="1" si="9"/>
        <v>3</v>
      </c>
      <c r="X31" s="71">
        <f t="shared" ca="1" si="9"/>
        <v>5</v>
      </c>
      <c r="Y31" s="71">
        <f t="shared" ca="1" si="9"/>
        <v>3</v>
      </c>
      <c r="Z31" s="71">
        <f t="shared" ca="1" si="9"/>
        <v>4</v>
      </c>
      <c r="AA31" s="71">
        <f t="shared" ca="1" si="9"/>
        <v>1</v>
      </c>
      <c r="AB31" s="71">
        <f t="shared" ca="1" si="9"/>
        <v>2</v>
      </c>
      <c r="AC31" s="71">
        <f t="shared" ca="1" si="9"/>
        <v>3</v>
      </c>
      <c r="AD31" s="71">
        <f t="shared" ca="1" si="9"/>
        <v>4</v>
      </c>
      <c r="AE31" s="71">
        <f t="shared" ca="1" si="9"/>
        <v>3</v>
      </c>
      <c r="AF31" s="71">
        <f t="shared" ca="1" si="9"/>
        <v>0</v>
      </c>
      <c r="AG31" s="71">
        <f t="shared" ca="1" si="9"/>
        <v>10</v>
      </c>
      <c r="AH31" s="71">
        <f t="shared" ca="1" si="9"/>
        <v>3</v>
      </c>
      <c r="AI31" s="71">
        <f t="shared" ca="1" si="9"/>
        <v>6</v>
      </c>
      <c r="AJ31" s="71">
        <f t="shared" ca="1" si="9"/>
        <v>10</v>
      </c>
      <c r="AK31" s="71">
        <f t="shared" ca="1" si="9"/>
        <v>10</v>
      </c>
      <c r="AL31" s="71">
        <f t="shared" ca="1" si="9"/>
        <v>4</v>
      </c>
      <c r="AM31" s="71">
        <f t="shared" ca="1" si="9"/>
        <v>2</v>
      </c>
      <c r="AN31" s="71">
        <f t="shared" ca="1" si="9"/>
        <v>5</v>
      </c>
      <c r="AO31" s="71">
        <f t="shared" ca="1" si="9"/>
        <v>5</v>
      </c>
      <c r="AP31" s="71">
        <f t="shared" ca="1" si="9"/>
        <v>10</v>
      </c>
      <c r="AQ31" s="71">
        <f t="shared" ca="1" si="9"/>
        <v>2</v>
      </c>
      <c r="AR31" s="71">
        <f t="shared" ca="1" si="9"/>
        <v>3</v>
      </c>
      <c r="AS31" s="71">
        <f t="shared" ca="1" si="9"/>
        <v>3</v>
      </c>
      <c r="AT31" s="71">
        <f t="shared" ca="1" si="9"/>
        <v>2</v>
      </c>
      <c r="AU31" s="71">
        <f t="shared" ca="1" si="9"/>
        <v>6</v>
      </c>
      <c r="AV31" s="71">
        <f t="shared" ca="1" si="9"/>
        <v>2</v>
      </c>
      <c r="AW31" s="71">
        <f t="shared" ca="1" si="9"/>
        <v>4</v>
      </c>
      <c r="AX31" s="71">
        <f t="shared" ca="1" si="9"/>
        <v>2</v>
      </c>
      <c r="AY31" s="71">
        <f t="shared" ca="1" si="9"/>
        <v>1</v>
      </c>
      <c r="AZ31" s="71">
        <f t="shared" ca="1" si="9"/>
        <v>3</v>
      </c>
      <c r="BA31" s="71">
        <f t="shared" ca="1" si="9"/>
        <v>3</v>
      </c>
      <c r="BB31" s="71">
        <f t="shared" ca="1" si="9"/>
        <v>1</v>
      </c>
      <c r="BC31" s="71">
        <f t="shared" ca="1" si="9"/>
        <v>3</v>
      </c>
      <c r="BD31" s="71">
        <f t="shared" ca="1" si="9"/>
        <v>3</v>
      </c>
      <c r="BE31" s="71">
        <f t="shared" ca="1" si="9"/>
        <v>1</v>
      </c>
      <c r="BF31" s="71">
        <f t="shared" ca="1" si="9"/>
        <v>3</v>
      </c>
      <c r="BG31" s="71">
        <f t="shared" ca="1" si="9"/>
        <v>10</v>
      </c>
      <c r="BH31" s="71">
        <f t="shared" ca="1" si="9"/>
        <v>4</v>
      </c>
      <c r="BI31" s="71">
        <f t="shared" ca="1" si="9"/>
        <v>3</v>
      </c>
      <c r="BJ31" s="71">
        <f t="shared" ca="1" si="9"/>
        <v>2</v>
      </c>
      <c r="BK31" s="71">
        <f t="shared" ca="1" si="9"/>
        <v>4</v>
      </c>
      <c r="BL31" s="71">
        <f t="shared" ca="1" si="9"/>
        <v>5</v>
      </c>
      <c r="BM31" s="71">
        <f t="shared" ca="1" si="9"/>
        <v>3</v>
      </c>
      <c r="BN31" s="71">
        <f t="shared" ca="1" si="9"/>
        <v>10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0</v>
      </c>
      <c r="P35" s="35">
        <f t="shared" si="10"/>
        <v>10</v>
      </c>
      <c r="Q35" s="35">
        <f t="shared" si="10"/>
        <v>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0</v>
      </c>
      <c r="AH35" s="35">
        <f t="shared" si="10"/>
        <v>10</v>
      </c>
      <c r="AI35" s="35">
        <f t="shared" si="10"/>
        <v>10</v>
      </c>
      <c r="AJ35" s="35">
        <f t="shared" si="10"/>
        <v>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161839872</v>
      </c>
      <c r="L36" s="32">
        <f t="shared" si="12"/>
        <v>139799856</v>
      </c>
      <c r="M36" s="32">
        <f t="shared" si="12"/>
        <v>79783904</v>
      </c>
      <c r="N36" s="32">
        <f t="shared" si="12"/>
        <v>159715860</v>
      </c>
      <c r="O36" s="32">
        <f t="shared" si="12"/>
        <v>0</v>
      </c>
      <c r="P36" s="32">
        <f t="shared" si="12"/>
        <v>59807928</v>
      </c>
      <c r="Q36" s="32">
        <f t="shared" si="12"/>
        <v>0</v>
      </c>
      <c r="R36" s="32">
        <f t="shared" si="12"/>
        <v>121883860</v>
      </c>
      <c r="S36" s="32">
        <f t="shared" si="12"/>
        <v>81831944</v>
      </c>
      <c r="T36" s="32">
        <f t="shared" si="12"/>
        <v>99755988</v>
      </c>
      <c r="U36" s="32">
        <f t="shared" si="12"/>
        <v>0</v>
      </c>
      <c r="V36" s="32">
        <f t="shared" si="12"/>
        <v>99775912</v>
      </c>
      <c r="W36" s="32">
        <f t="shared" si="12"/>
        <v>101871928</v>
      </c>
      <c r="X36" s="32">
        <f t="shared" si="12"/>
        <v>99811844</v>
      </c>
      <c r="Y36" s="32">
        <f t="shared" si="12"/>
        <v>99799920</v>
      </c>
      <c r="Z36" s="32">
        <f t="shared" si="12"/>
        <v>119811932</v>
      </c>
      <c r="AA36" s="32">
        <f t="shared" si="12"/>
        <v>139783848</v>
      </c>
      <c r="AB36" s="32">
        <f t="shared" si="12"/>
        <v>119797792</v>
      </c>
      <c r="AC36" s="32">
        <f t="shared" si="12"/>
        <v>141855920</v>
      </c>
      <c r="AD36" s="32">
        <f t="shared" si="12"/>
        <v>79775896</v>
      </c>
      <c r="AE36" s="32">
        <f t="shared" si="12"/>
        <v>99783944</v>
      </c>
      <c r="AF36" s="32">
        <f t="shared" si="12"/>
        <v>119811932</v>
      </c>
      <c r="AG36" s="32">
        <f t="shared" si="12"/>
        <v>0</v>
      </c>
      <c r="AH36" s="32">
        <f t="shared" si="12"/>
        <v>99775912</v>
      </c>
      <c r="AI36" s="32">
        <f t="shared" si="12"/>
        <v>121855856</v>
      </c>
      <c r="AJ36" s="32">
        <f t="shared" si="12"/>
        <v>0</v>
      </c>
      <c r="AK36" s="32">
        <f t="shared" si="12"/>
        <v>0</v>
      </c>
      <c r="AL36" s="32">
        <f t="shared" si="12"/>
        <v>79791800</v>
      </c>
      <c r="AM36" s="32">
        <f t="shared" si="12"/>
        <v>119799920</v>
      </c>
      <c r="AN36" s="32">
        <f t="shared" si="12"/>
        <v>99771892</v>
      </c>
      <c r="AO36" s="32">
        <f t="shared" si="12"/>
        <v>101815848</v>
      </c>
      <c r="AP36" s="32">
        <f t="shared" si="12"/>
        <v>0</v>
      </c>
      <c r="AQ36" s="32">
        <f t="shared" si="12"/>
        <v>121815952</v>
      </c>
      <c r="AR36" s="32">
        <f t="shared" si="12"/>
        <v>139807848</v>
      </c>
      <c r="AS36" s="32">
        <f t="shared" si="12"/>
        <v>139799920</v>
      </c>
      <c r="AT36" s="32">
        <f t="shared" si="12"/>
        <v>119799936</v>
      </c>
      <c r="AU36" s="32">
        <f t="shared" si="12"/>
        <v>121815936</v>
      </c>
      <c r="AV36" s="32">
        <f t="shared" si="12"/>
        <v>119799944</v>
      </c>
      <c r="AW36" s="32">
        <f t="shared" si="12"/>
        <v>79803836</v>
      </c>
      <c r="AX36" s="32">
        <f t="shared" si="12"/>
        <v>119771972</v>
      </c>
      <c r="AY36" s="32">
        <f t="shared" si="12"/>
        <v>99795916</v>
      </c>
      <c r="AZ36" s="32">
        <f t="shared" si="12"/>
        <v>101823936</v>
      </c>
      <c r="BA36" s="32">
        <f t="shared" si="12"/>
        <v>139743864</v>
      </c>
      <c r="BB36" s="32">
        <f t="shared" si="12"/>
        <v>139727792</v>
      </c>
      <c r="BC36" s="32">
        <f t="shared" si="12"/>
        <v>99791800</v>
      </c>
      <c r="BD36" s="32">
        <f t="shared" si="12"/>
        <v>139803916</v>
      </c>
      <c r="BE36" s="32">
        <f t="shared" si="12"/>
        <v>139811988</v>
      </c>
      <c r="BF36" s="32">
        <f t="shared" si="12"/>
        <v>59791896</v>
      </c>
      <c r="BG36" s="32">
        <f t="shared" si="12"/>
        <v>0</v>
      </c>
      <c r="BH36" s="32">
        <f t="shared" si="12"/>
        <v>121819940</v>
      </c>
      <c r="BI36" s="32">
        <f t="shared" si="12"/>
        <v>99795908</v>
      </c>
      <c r="BJ36" s="32">
        <f t="shared" si="12"/>
        <v>119811956</v>
      </c>
      <c r="BK36" s="32">
        <f t="shared" si="12"/>
        <v>81839904</v>
      </c>
      <c r="BL36" s="32">
        <f t="shared" si="12"/>
        <v>19811988</v>
      </c>
      <c r="BM36" s="32">
        <f t="shared" si="12"/>
        <v>99811900</v>
      </c>
      <c r="BN36" s="32">
        <f t="shared" si="12"/>
        <v>0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ca="1" si="13"/>
        <v>Boykin, Jerome W</v>
      </c>
      <c r="P39" s="3" t="str">
        <f t="shared" si="13"/>
        <v/>
      </c>
      <c r="Q39" s="3" t="str">
        <f t="shared" ca="1" si="13"/>
        <v>Daffron, Christopher</v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ca="1" si="13"/>
        <v>Desing, Scott M</v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ca="1" si="13"/>
        <v>Johnson, Creed D</v>
      </c>
      <c r="AH39" s="3" t="str">
        <f t="shared" si="13"/>
        <v/>
      </c>
      <c r="AI39" s="3" t="str">
        <f t="shared" si="13"/>
        <v/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 Remote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ca="1" si="13"/>
        <v>Stonecypher, David</v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ca="1" si="13"/>
        <v>Young, Kenneth</v>
      </c>
    </row>
    <row r="40" spans="1:66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Boykin, Jerome W;Daffron, Christopher;Desing, Scott M;Johnson, Creed D;Martin, Douglas C;Mccoy, William M;Nance, Rob Remote;Stonecypher, David;Young,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9" priority="9" stopIfTrue="1" operator="equal">
      <formula>0</formula>
    </cfRule>
  </conditionalFormatting>
  <conditionalFormatting sqref="D26:J28 K28:BE28">
    <cfRule type="cellIs" dxfId="198" priority="10" stopIfTrue="1" operator="equal">
      <formula>1</formula>
    </cfRule>
  </conditionalFormatting>
  <conditionalFormatting sqref="H3:I3 F23 H5:I5 H7:I7 H9:I9 H11:I11 H13:I13 H15:I15 H17:I17 H19:I19 H21:I21">
    <cfRule type="cellIs" dxfId="197" priority="11" stopIfTrue="1" operator="equal">
      <formula>0</formula>
    </cfRule>
  </conditionalFormatting>
  <conditionalFormatting sqref="H4:I4 F24 H6:I6 H8:I8 H10:I10 H12:I12 H14:I14 H16:I16 H18:I18 H20:I20 H22:I22">
    <cfRule type="cellIs" dxfId="196" priority="12" stopIfTrue="1" operator="equal">
      <formula>0</formula>
    </cfRule>
  </conditionalFormatting>
  <conditionalFormatting sqref="F3 F5 F7 F9 F11 F13 F15 F17 F19 F21">
    <cfRule type="cellIs" dxfId="1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3" priority="15" stopIfTrue="1">
      <formula>AND(COUNTA(J4)=1,$E4=1,SUM($E3:$E4)=1)</formula>
    </cfRule>
    <cfRule type="expression" dxfId="19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1" priority="17" stopIfTrue="1">
      <formula>AND(COUNTA(J3)=1,$E3=1,SUM($E3:$E4)=1)</formula>
    </cfRule>
    <cfRule type="expression" dxfId="190" priority="18" stopIfTrue="1">
      <formula>AND(COUNTA(J3)=1,$E3=0,SUM($E3:$E4)=1)</formula>
    </cfRule>
  </conditionalFormatting>
  <conditionalFormatting sqref="BF23:BN23">
    <cfRule type="cellIs" dxfId="189" priority="7" stopIfTrue="1" operator="equal">
      <formula>0</formula>
    </cfRule>
  </conditionalFormatting>
  <conditionalFormatting sqref="BF24:BN24">
    <cfRule type="cellIs" dxfId="188" priority="6" stopIfTrue="1" operator="equal">
      <formula>0</formula>
    </cfRule>
  </conditionalFormatting>
  <conditionalFormatting sqref="BF28:BN28">
    <cfRule type="cellIs" dxfId="18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86" priority="3" stopIfTrue="1">
      <formula>AND(COUNTA(BF4)=1,$E4=1,SUM($E3:$E4)=1)</formula>
    </cfRule>
    <cfRule type="expression" dxfId="18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84" priority="1" stopIfTrue="1">
      <formula>AND(COUNTA(BF3)=1,$E3=1,SUM($E3:$E4)=1)</formula>
    </cfRule>
    <cfRule type="expression" dxfId="1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>
      <c r="B1" s="6"/>
      <c r="I1">
        <f>COUNTA(K1:BW1)</f>
        <v>0</v>
      </c>
      <c r="J1">
        <f>SUM(K1:BW1)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>
      <c r="A3" s="59">
        <v>1</v>
      </c>
      <c r="B3" s="67" t="s">
        <v>156</v>
      </c>
      <c r="C3" s="65">
        <v>10.5</v>
      </c>
      <c r="D3" s="64">
        <v>26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314</v>
      </c>
      <c r="N3" s="69" t="s">
        <v>314</v>
      </c>
      <c r="O3" s="69"/>
      <c r="P3" s="69" t="s">
        <v>314</v>
      </c>
      <c r="Q3" s="69" t="s">
        <v>314</v>
      </c>
      <c r="R3" s="69"/>
      <c r="S3" s="69" t="s">
        <v>314</v>
      </c>
      <c r="T3" s="69"/>
      <c r="U3" s="69"/>
      <c r="V3" s="69" t="s">
        <v>314</v>
      </c>
      <c r="W3" s="69" t="s">
        <v>314</v>
      </c>
      <c r="X3" s="69"/>
      <c r="Y3" s="69"/>
      <c r="Z3" s="69" t="s">
        <v>314</v>
      </c>
      <c r="AA3" s="69"/>
      <c r="AB3" s="69" t="s">
        <v>314</v>
      </c>
      <c r="AC3" s="69"/>
      <c r="AD3" s="69" t="s">
        <v>314</v>
      </c>
      <c r="AE3" s="69"/>
      <c r="AF3" s="69"/>
      <c r="AG3" s="69"/>
      <c r="AH3" s="69" t="s">
        <v>314</v>
      </c>
      <c r="AI3" s="69" t="s">
        <v>314</v>
      </c>
      <c r="AJ3" s="69" t="s">
        <v>314</v>
      </c>
      <c r="AK3" s="69" t="s">
        <v>314</v>
      </c>
      <c r="AL3" s="69"/>
      <c r="AM3" s="69" t="s">
        <v>314</v>
      </c>
      <c r="AN3" s="69" t="s">
        <v>314</v>
      </c>
      <c r="AO3" s="69" t="s">
        <v>314</v>
      </c>
      <c r="AP3" s="69" t="s">
        <v>314</v>
      </c>
      <c r="AQ3" s="69" t="s">
        <v>314</v>
      </c>
      <c r="AR3" s="96" t="s">
        <v>314</v>
      </c>
      <c r="AS3" s="69"/>
      <c r="AT3" s="69"/>
      <c r="AU3" s="69" t="s">
        <v>314</v>
      </c>
      <c r="AV3" s="69" t="s">
        <v>314</v>
      </c>
      <c r="AW3" s="69" t="s">
        <v>314</v>
      </c>
      <c r="AX3" s="69" t="s">
        <v>314</v>
      </c>
      <c r="AY3" s="69"/>
      <c r="AZ3" s="69"/>
      <c r="BA3" s="69" t="s">
        <v>314</v>
      </c>
      <c r="BB3" s="69" t="s">
        <v>314</v>
      </c>
      <c r="BC3" s="69" t="s">
        <v>314</v>
      </c>
      <c r="BD3" s="69"/>
      <c r="BE3" s="96"/>
      <c r="BF3" s="69"/>
      <c r="BG3" s="69"/>
      <c r="BH3" s="69"/>
      <c r="BI3" s="69" t="s">
        <v>314</v>
      </c>
      <c r="BJ3" s="69" t="s">
        <v>314</v>
      </c>
      <c r="BK3" s="69"/>
      <c r="BL3" s="69"/>
      <c r="BM3" s="69" t="s">
        <v>314</v>
      </c>
      <c r="BN3" s="69"/>
    </row>
    <row r="4" spans="1:66">
      <c r="A4" s="61" t="s">
        <v>3</v>
      </c>
      <c r="B4" s="68" t="s">
        <v>139</v>
      </c>
      <c r="C4" s="66"/>
      <c r="D4" s="64">
        <v>7</v>
      </c>
      <c r="E4" s="64">
        <f>IF(ISBLANK($D4),"0",IF(($D4-$D3)&gt;($C4-$C3),1,0))</f>
        <v>0</v>
      </c>
      <c r="F4" s="64">
        <f t="shared" ref="F4:F22" ca="1" si="1">COUNTA(INDIRECT("RC11:RC"&amp;11+playercnt-1,FALSE))</f>
        <v>23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314</v>
      </c>
      <c r="L4" s="70" t="s">
        <v>314</v>
      </c>
      <c r="M4" s="70"/>
      <c r="N4" s="70"/>
      <c r="O4" s="70" t="s">
        <v>314</v>
      </c>
      <c r="P4" s="70"/>
      <c r="Q4" s="70"/>
      <c r="R4" s="70" t="s">
        <v>314</v>
      </c>
      <c r="S4" s="70"/>
      <c r="T4" s="70" t="s">
        <v>314</v>
      </c>
      <c r="U4" s="97" t="s">
        <v>314</v>
      </c>
      <c r="V4" s="70"/>
      <c r="W4" s="70"/>
      <c r="X4" s="70"/>
      <c r="Y4" s="70" t="s">
        <v>314</v>
      </c>
      <c r="Z4" s="70"/>
      <c r="AA4" s="70" t="s">
        <v>314</v>
      </c>
      <c r="AB4" s="70"/>
      <c r="AC4" s="70" t="s">
        <v>314</v>
      </c>
      <c r="AD4" s="70"/>
      <c r="AE4" s="70" t="s">
        <v>314</v>
      </c>
      <c r="AF4" s="70" t="s">
        <v>314</v>
      </c>
      <c r="AG4" s="70" t="s">
        <v>314</v>
      </c>
      <c r="AH4" s="70"/>
      <c r="AI4" s="70"/>
      <c r="AJ4" s="70"/>
      <c r="AK4" s="70"/>
      <c r="AL4" s="70" t="s">
        <v>314</v>
      </c>
      <c r="AM4" s="70"/>
      <c r="AN4" s="70"/>
      <c r="AO4" s="70"/>
      <c r="AP4" s="70"/>
      <c r="AQ4" s="70"/>
      <c r="AR4" s="70"/>
      <c r="AS4" s="70" t="s">
        <v>314</v>
      </c>
      <c r="AT4" s="70" t="s">
        <v>314</v>
      </c>
      <c r="AU4" s="70"/>
      <c r="AV4" s="70"/>
      <c r="AW4" s="70"/>
      <c r="AX4" s="70"/>
      <c r="AY4" s="70" t="s">
        <v>314</v>
      </c>
      <c r="AZ4" s="70" t="s">
        <v>314</v>
      </c>
      <c r="BA4" s="70"/>
      <c r="BB4" s="70"/>
      <c r="BC4" s="70"/>
      <c r="BD4" s="70" t="s">
        <v>314</v>
      </c>
      <c r="BE4" s="70"/>
      <c r="BF4" s="70"/>
      <c r="BG4" s="70" t="s">
        <v>314</v>
      </c>
      <c r="BH4" s="70" t="s">
        <v>314</v>
      </c>
      <c r="BI4" s="70"/>
      <c r="BJ4" s="70"/>
      <c r="BK4" s="70" t="s">
        <v>314</v>
      </c>
      <c r="BL4" s="70" t="s">
        <v>314</v>
      </c>
      <c r="BM4" s="70"/>
      <c r="BN4" s="70" t="s">
        <v>314</v>
      </c>
    </row>
    <row r="5" spans="1:66">
      <c r="A5" s="59">
        <v>2</v>
      </c>
      <c r="B5" s="67" t="s">
        <v>148</v>
      </c>
      <c r="C5" s="65"/>
      <c r="D5" s="64">
        <v>14</v>
      </c>
      <c r="E5" s="64">
        <f>IF(ISBLANK($D5),"0",IF(($D6-$D5)&lt;($C6-$C5),1,0))</f>
        <v>0</v>
      </c>
      <c r="F5" s="64">
        <f t="shared" ca="1" si="1"/>
        <v>22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314</v>
      </c>
      <c r="L5" s="69"/>
      <c r="M5" s="69" t="s">
        <v>314</v>
      </c>
      <c r="N5" s="69"/>
      <c r="O5" s="69" t="s">
        <v>314</v>
      </c>
      <c r="P5" s="69" t="s">
        <v>314</v>
      </c>
      <c r="Q5" s="69" t="s">
        <v>314</v>
      </c>
      <c r="R5" s="69"/>
      <c r="S5" s="69"/>
      <c r="T5" s="69" t="s">
        <v>314</v>
      </c>
      <c r="U5" s="96" t="s">
        <v>314</v>
      </c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 t="s">
        <v>314</v>
      </c>
      <c r="AH5" s="69"/>
      <c r="AI5" s="69"/>
      <c r="AJ5" s="69" t="s">
        <v>314</v>
      </c>
      <c r="AK5" s="69"/>
      <c r="AL5" s="69"/>
      <c r="AM5" s="69"/>
      <c r="AN5" s="69"/>
      <c r="AO5" s="69" t="s">
        <v>314</v>
      </c>
      <c r="AP5" s="69" t="s">
        <v>314</v>
      </c>
      <c r="AQ5" s="69"/>
      <c r="AR5" s="96" t="s">
        <v>314</v>
      </c>
      <c r="AS5" s="69"/>
      <c r="AT5" s="69" t="s">
        <v>314</v>
      </c>
      <c r="AU5" s="69" t="s">
        <v>314</v>
      </c>
      <c r="AV5" s="69" t="s">
        <v>314</v>
      </c>
      <c r="AW5" s="69" t="s">
        <v>314</v>
      </c>
      <c r="AX5" s="69"/>
      <c r="AY5" s="69"/>
      <c r="AZ5" s="69" t="s">
        <v>314</v>
      </c>
      <c r="BA5" s="69"/>
      <c r="BB5" s="69"/>
      <c r="BC5" s="69"/>
      <c r="BD5" s="69" t="s">
        <v>314</v>
      </c>
      <c r="BE5" s="69"/>
      <c r="BF5" s="69"/>
      <c r="BG5" s="69" t="s">
        <v>314</v>
      </c>
      <c r="BH5" s="69" t="s">
        <v>314</v>
      </c>
      <c r="BI5" s="69"/>
      <c r="BJ5" s="69"/>
      <c r="BK5" s="69" t="s">
        <v>314</v>
      </c>
      <c r="BL5" s="69"/>
      <c r="BM5" s="69"/>
      <c r="BN5" s="69" t="s">
        <v>314</v>
      </c>
    </row>
    <row r="6" spans="1:66">
      <c r="A6" s="61" t="s">
        <v>3</v>
      </c>
      <c r="B6" s="68" t="s">
        <v>248</v>
      </c>
      <c r="C6" s="66">
        <v>7.5</v>
      </c>
      <c r="D6" s="64">
        <v>45</v>
      </c>
      <c r="E6" s="64">
        <f>IF(ISBLANK($D6),"0",IF(($D6-$D5)&gt;($C6-$C5),1,0))</f>
        <v>1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314</v>
      </c>
      <c r="M6" s="70"/>
      <c r="N6" s="70" t="s">
        <v>314</v>
      </c>
      <c r="O6" s="70"/>
      <c r="P6" s="70"/>
      <c r="Q6" s="70"/>
      <c r="R6" s="70" t="s">
        <v>314</v>
      </c>
      <c r="S6" s="70" t="s">
        <v>314</v>
      </c>
      <c r="T6" s="70"/>
      <c r="U6" s="70"/>
      <c r="V6" s="70" t="s">
        <v>314</v>
      </c>
      <c r="W6" s="70" t="s">
        <v>314</v>
      </c>
      <c r="X6" s="70"/>
      <c r="Y6" s="70" t="s">
        <v>314</v>
      </c>
      <c r="Z6" s="70" t="s">
        <v>314</v>
      </c>
      <c r="AA6" s="70" t="s">
        <v>314</v>
      </c>
      <c r="AB6" s="70" t="s">
        <v>314</v>
      </c>
      <c r="AC6" s="70" t="s">
        <v>314</v>
      </c>
      <c r="AD6" s="70" t="s">
        <v>314</v>
      </c>
      <c r="AE6" s="70" t="s">
        <v>314</v>
      </c>
      <c r="AF6" s="70" t="s">
        <v>314</v>
      </c>
      <c r="AG6" s="70"/>
      <c r="AH6" s="70" t="s">
        <v>314</v>
      </c>
      <c r="AI6" s="70" t="s">
        <v>314</v>
      </c>
      <c r="AJ6" s="70"/>
      <c r="AK6" s="70" t="s">
        <v>314</v>
      </c>
      <c r="AL6" s="70" t="s">
        <v>314</v>
      </c>
      <c r="AM6" s="70" t="s">
        <v>314</v>
      </c>
      <c r="AN6" s="70" t="s">
        <v>314</v>
      </c>
      <c r="AO6" s="70"/>
      <c r="AP6" s="70"/>
      <c r="AQ6" s="70" t="s">
        <v>314</v>
      </c>
      <c r="AR6" s="70"/>
      <c r="AS6" s="70" t="s">
        <v>314</v>
      </c>
      <c r="AT6" s="70"/>
      <c r="AU6" s="70"/>
      <c r="AV6" s="70"/>
      <c r="AW6" s="70"/>
      <c r="AX6" s="70" t="s">
        <v>314</v>
      </c>
      <c r="AY6" s="70" t="s">
        <v>314</v>
      </c>
      <c r="AZ6" s="70"/>
      <c r="BA6" s="70" t="s">
        <v>314</v>
      </c>
      <c r="BB6" s="70" t="s">
        <v>314</v>
      </c>
      <c r="BC6" s="70" t="s">
        <v>314</v>
      </c>
      <c r="BD6" s="70"/>
      <c r="BE6" s="97"/>
      <c r="BF6" s="70"/>
      <c r="BG6" s="70"/>
      <c r="BH6" s="70"/>
      <c r="BI6" s="70" t="s">
        <v>314</v>
      </c>
      <c r="BJ6" s="70" t="s">
        <v>314</v>
      </c>
      <c r="BK6" s="70"/>
      <c r="BL6" s="70" t="s">
        <v>314</v>
      </c>
      <c r="BM6" s="70" t="s">
        <v>314</v>
      </c>
      <c r="BN6" s="70"/>
    </row>
    <row r="7" spans="1:66">
      <c r="A7" s="59">
        <v>3</v>
      </c>
      <c r="B7" s="67" t="s">
        <v>245</v>
      </c>
      <c r="C7" s="65"/>
      <c r="D7" s="64">
        <v>28</v>
      </c>
      <c r="E7" s="64">
        <f>IF(ISBLANK($D7),"0",IF(($D8-$D7)&lt;($C8-$C7),1,0))</f>
        <v>0</v>
      </c>
      <c r="F7" s="64">
        <f t="shared" ca="1" si="1"/>
        <v>38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314</v>
      </c>
      <c r="N7" s="69" t="s">
        <v>314</v>
      </c>
      <c r="O7" s="69" t="s">
        <v>314</v>
      </c>
      <c r="P7" s="69" t="s">
        <v>314</v>
      </c>
      <c r="Q7" s="69"/>
      <c r="R7" s="96" t="s">
        <v>314</v>
      </c>
      <c r="S7" s="96"/>
      <c r="T7" s="96"/>
      <c r="U7" s="96"/>
      <c r="V7" s="69" t="s">
        <v>314</v>
      </c>
      <c r="W7" s="69"/>
      <c r="X7" s="69"/>
      <c r="Y7" s="69"/>
      <c r="Z7" s="69" t="s">
        <v>314</v>
      </c>
      <c r="AA7" s="69" t="s">
        <v>314</v>
      </c>
      <c r="AB7" s="69"/>
      <c r="AC7" s="69" t="s">
        <v>314</v>
      </c>
      <c r="AD7" s="69" t="s">
        <v>314</v>
      </c>
      <c r="AE7" s="69"/>
      <c r="AF7" s="69" t="s">
        <v>314</v>
      </c>
      <c r="AG7" s="69" t="s">
        <v>314</v>
      </c>
      <c r="AH7" s="69" t="s">
        <v>314</v>
      </c>
      <c r="AI7" s="69"/>
      <c r="AJ7" s="69" t="s">
        <v>314</v>
      </c>
      <c r="AK7" s="69" t="s">
        <v>314</v>
      </c>
      <c r="AL7" s="69" t="s">
        <v>314</v>
      </c>
      <c r="AM7" s="69" t="s">
        <v>314</v>
      </c>
      <c r="AN7" s="69" t="s">
        <v>314</v>
      </c>
      <c r="AO7" s="69" t="s">
        <v>314</v>
      </c>
      <c r="AP7" s="69"/>
      <c r="AQ7" s="69" t="s">
        <v>314</v>
      </c>
      <c r="AR7" s="96" t="s">
        <v>314</v>
      </c>
      <c r="AS7" s="69" t="s">
        <v>314</v>
      </c>
      <c r="AT7" s="69" t="s">
        <v>314</v>
      </c>
      <c r="AU7" s="69" t="s">
        <v>314</v>
      </c>
      <c r="AV7" s="69" t="s">
        <v>314</v>
      </c>
      <c r="AW7" s="69" t="s">
        <v>314</v>
      </c>
      <c r="AX7" s="69" t="s">
        <v>314</v>
      </c>
      <c r="AY7" s="69" t="s">
        <v>314</v>
      </c>
      <c r="AZ7" s="69" t="s">
        <v>314</v>
      </c>
      <c r="BA7" s="69"/>
      <c r="BB7" s="69"/>
      <c r="BC7" s="69" t="s">
        <v>314</v>
      </c>
      <c r="BD7" s="69" t="s">
        <v>314</v>
      </c>
      <c r="BE7" s="96"/>
      <c r="BF7" s="69"/>
      <c r="BG7" s="69"/>
      <c r="BH7" s="69" t="s">
        <v>314</v>
      </c>
      <c r="BI7" s="69" t="s">
        <v>314</v>
      </c>
      <c r="BJ7" s="69" t="s">
        <v>314</v>
      </c>
      <c r="BK7" s="69" t="s">
        <v>314</v>
      </c>
      <c r="BL7" s="69" t="s">
        <v>314</v>
      </c>
      <c r="BM7" s="69" t="s">
        <v>314</v>
      </c>
      <c r="BN7" s="69" t="s">
        <v>314</v>
      </c>
    </row>
    <row r="8" spans="1:66">
      <c r="A8" s="61" t="s">
        <v>3</v>
      </c>
      <c r="B8" s="68" t="s">
        <v>153</v>
      </c>
      <c r="C8" s="66">
        <v>7.5</v>
      </c>
      <c r="D8" s="64">
        <v>38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314</v>
      </c>
      <c r="L8" s="70" t="s">
        <v>314</v>
      </c>
      <c r="M8" s="70"/>
      <c r="N8" s="70"/>
      <c r="O8" s="70"/>
      <c r="P8" s="70"/>
      <c r="Q8" s="70" t="s">
        <v>314</v>
      </c>
      <c r="R8" s="97"/>
      <c r="S8" s="97" t="s">
        <v>314</v>
      </c>
      <c r="T8" s="97" t="s">
        <v>314</v>
      </c>
      <c r="U8" s="97" t="s">
        <v>314</v>
      </c>
      <c r="V8" s="70"/>
      <c r="W8" s="70" t="s">
        <v>314</v>
      </c>
      <c r="X8" s="70"/>
      <c r="Y8" s="70" t="s">
        <v>314</v>
      </c>
      <c r="Z8" s="70"/>
      <c r="AA8" s="70"/>
      <c r="AB8" s="70" t="s">
        <v>314</v>
      </c>
      <c r="AC8" s="70"/>
      <c r="AD8" s="70"/>
      <c r="AE8" s="70" t="s">
        <v>314</v>
      </c>
      <c r="AF8" s="70"/>
      <c r="AG8" s="70"/>
      <c r="AH8" s="70"/>
      <c r="AI8" s="70" t="s">
        <v>314</v>
      </c>
      <c r="AJ8" s="70"/>
      <c r="AK8" s="70"/>
      <c r="AL8" s="70"/>
      <c r="AM8" s="70"/>
      <c r="AN8" s="70"/>
      <c r="AO8" s="70"/>
      <c r="AP8" s="70" t="s">
        <v>314</v>
      </c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 t="s">
        <v>314</v>
      </c>
      <c r="BB8" s="70" t="s">
        <v>314</v>
      </c>
      <c r="BC8" s="70"/>
      <c r="BD8" s="70"/>
      <c r="BE8" s="70"/>
      <c r="BF8" s="70"/>
      <c r="BG8" s="70" t="s">
        <v>314</v>
      </c>
      <c r="BH8" s="70"/>
      <c r="BI8" s="70"/>
      <c r="BJ8" s="70"/>
      <c r="BK8" s="70"/>
      <c r="BL8" s="70"/>
      <c r="BM8" s="70"/>
      <c r="BN8" s="70"/>
    </row>
    <row r="9" spans="1:66">
      <c r="A9" s="59">
        <v>4</v>
      </c>
      <c r="B9" s="108" t="s">
        <v>193</v>
      </c>
      <c r="C9" s="65"/>
      <c r="D9" s="81">
        <v>36</v>
      </c>
      <c r="E9" s="64">
        <f>IF(ISBLANK($D9),"0",IF(($D10-$D9)&lt;($C10-$C9),1,0))</f>
        <v>1</v>
      </c>
      <c r="F9" s="64">
        <f t="shared" ca="1" si="1"/>
        <v>24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 t="s">
        <v>314</v>
      </c>
      <c r="N9" s="69"/>
      <c r="O9" s="69" t="s">
        <v>314</v>
      </c>
      <c r="P9" s="69" t="s">
        <v>314</v>
      </c>
      <c r="Q9" s="69" t="s">
        <v>314</v>
      </c>
      <c r="R9" s="96" t="s">
        <v>314</v>
      </c>
      <c r="S9" s="96"/>
      <c r="T9" s="96"/>
      <c r="U9" s="96" t="s">
        <v>314</v>
      </c>
      <c r="V9" s="69" t="s">
        <v>314</v>
      </c>
      <c r="W9" s="69"/>
      <c r="X9" s="69"/>
      <c r="Y9" s="69" t="s">
        <v>314</v>
      </c>
      <c r="Z9" s="69"/>
      <c r="AA9" s="69"/>
      <c r="AB9" s="69"/>
      <c r="AC9" s="69" t="s">
        <v>314</v>
      </c>
      <c r="AD9" s="69"/>
      <c r="AE9" s="69"/>
      <c r="AF9" s="69"/>
      <c r="AG9" s="69" t="s">
        <v>314</v>
      </c>
      <c r="AH9" s="69"/>
      <c r="AI9" s="69" t="s">
        <v>314</v>
      </c>
      <c r="AJ9" s="69"/>
      <c r="AK9" s="69"/>
      <c r="AL9" s="69"/>
      <c r="AM9" s="69" t="s">
        <v>314</v>
      </c>
      <c r="AN9" s="69"/>
      <c r="AO9" s="69" t="s">
        <v>314</v>
      </c>
      <c r="AP9" s="69" t="s">
        <v>314</v>
      </c>
      <c r="AQ9" s="69"/>
      <c r="AR9" s="96"/>
      <c r="AS9" s="69" t="s">
        <v>314</v>
      </c>
      <c r="AT9" s="69" t="s">
        <v>314</v>
      </c>
      <c r="AU9" s="69"/>
      <c r="AV9" s="69" t="s">
        <v>314</v>
      </c>
      <c r="AW9" s="69"/>
      <c r="AX9" s="69" t="s">
        <v>314</v>
      </c>
      <c r="AY9" s="69"/>
      <c r="AZ9" s="69" t="s">
        <v>314</v>
      </c>
      <c r="BA9" s="69"/>
      <c r="BB9" s="69"/>
      <c r="BC9" s="69"/>
      <c r="BD9" s="69" t="s">
        <v>314</v>
      </c>
      <c r="BE9" s="96"/>
      <c r="BF9" s="69"/>
      <c r="BG9" s="69"/>
      <c r="BH9" s="69" t="s">
        <v>314</v>
      </c>
      <c r="BI9" s="69"/>
      <c r="BJ9" s="69" t="s">
        <v>314</v>
      </c>
      <c r="BK9" s="69" t="s">
        <v>314</v>
      </c>
      <c r="BL9" s="69"/>
      <c r="BM9" s="69" t="s">
        <v>314</v>
      </c>
      <c r="BN9" s="69"/>
    </row>
    <row r="10" spans="1:66">
      <c r="A10" s="61" t="s">
        <v>3</v>
      </c>
      <c r="B10" s="68" t="s">
        <v>164</v>
      </c>
      <c r="C10" s="66">
        <v>7.5</v>
      </c>
      <c r="D10" s="64">
        <v>37</v>
      </c>
      <c r="E10" s="64">
        <f>IF(ISBLANK($D10),"0",IF(($D10-$D9)&gt;($C10-$C9),1,0))</f>
        <v>0</v>
      </c>
      <c r="F10" s="64">
        <f t="shared" ca="1" si="1"/>
        <v>29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314</v>
      </c>
      <c r="L10" s="70" t="s">
        <v>314</v>
      </c>
      <c r="M10" s="70"/>
      <c r="N10" s="70" t="s">
        <v>314</v>
      </c>
      <c r="O10" s="70"/>
      <c r="P10" s="70"/>
      <c r="Q10" s="70"/>
      <c r="R10" s="97"/>
      <c r="S10" s="97" t="s">
        <v>314</v>
      </c>
      <c r="T10" s="97" t="s">
        <v>314</v>
      </c>
      <c r="U10" s="70"/>
      <c r="V10" s="70"/>
      <c r="W10" s="70" t="s">
        <v>314</v>
      </c>
      <c r="X10" s="70"/>
      <c r="Y10" s="70"/>
      <c r="Z10" s="70" t="s">
        <v>314</v>
      </c>
      <c r="AA10" s="70" t="s">
        <v>314</v>
      </c>
      <c r="AB10" s="70" t="s">
        <v>314</v>
      </c>
      <c r="AC10" s="70"/>
      <c r="AD10" s="70" t="s">
        <v>314</v>
      </c>
      <c r="AE10" s="70" t="s">
        <v>314</v>
      </c>
      <c r="AF10" s="70" t="s">
        <v>314</v>
      </c>
      <c r="AG10" s="70"/>
      <c r="AH10" s="70" t="s">
        <v>314</v>
      </c>
      <c r="AI10" s="70"/>
      <c r="AJ10" s="70" t="s">
        <v>314</v>
      </c>
      <c r="AK10" s="70" t="s">
        <v>314</v>
      </c>
      <c r="AL10" s="70" t="s">
        <v>314</v>
      </c>
      <c r="AM10" s="70"/>
      <c r="AN10" s="70" t="s">
        <v>314</v>
      </c>
      <c r="AO10" s="70"/>
      <c r="AP10" s="70"/>
      <c r="AQ10" s="70" t="s">
        <v>314</v>
      </c>
      <c r="AR10" s="70" t="s">
        <v>314</v>
      </c>
      <c r="AS10" s="70"/>
      <c r="AT10" s="70"/>
      <c r="AU10" s="70" t="s">
        <v>314</v>
      </c>
      <c r="AV10" s="70"/>
      <c r="AW10" s="70" t="s">
        <v>314</v>
      </c>
      <c r="AX10" s="70"/>
      <c r="AY10" s="70" t="s">
        <v>314</v>
      </c>
      <c r="AZ10" s="70"/>
      <c r="BA10" s="70" t="s">
        <v>314</v>
      </c>
      <c r="BB10" s="70" t="s">
        <v>314</v>
      </c>
      <c r="BC10" s="70" t="s">
        <v>314</v>
      </c>
      <c r="BD10" s="70"/>
      <c r="BE10" s="70"/>
      <c r="BF10" s="70"/>
      <c r="BG10" s="70" t="s">
        <v>314</v>
      </c>
      <c r="BH10" s="70"/>
      <c r="BI10" s="70" t="s">
        <v>314</v>
      </c>
      <c r="BJ10" s="70"/>
      <c r="BK10" s="70"/>
      <c r="BL10" s="70" t="s">
        <v>314</v>
      </c>
      <c r="BM10" s="70"/>
      <c r="BN10" s="70" t="s">
        <v>314</v>
      </c>
    </row>
    <row r="11" spans="1:66">
      <c r="A11" s="59">
        <v>5</v>
      </c>
      <c r="B11" s="67" t="s">
        <v>185</v>
      </c>
      <c r="C11" s="65">
        <v>7.5</v>
      </c>
      <c r="D11" s="64">
        <v>24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/>
      <c r="L11" s="69" t="s">
        <v>314</v>
      </c>
      <c r="M11" s="69" t="s">
        <v>314</v>
      </c>
      <c r="N11" s="69" t="s">
        <v>314</v>
      </c>
      <c r="O11" s="69" t="s">
        <v>314</v>
      </c>
      <c r="P11" s="69" t="s">
        <v>314</v>
      </c>
      <c r="Q11" s="69" t="s">
        <v>314</v>
      </c>
      <c r="R11" s="96" t="s">
        <v>314</v>
      </c>
      <c r="S11" s="96" t="s">
        <v>314</v>
      </c>
      <c r="T11" s="96"/>
      <c r="U11" s="69" t="s">
        <v>314</v>
      </c>
      <c r="V11" s="69"/>
      <c r="W11" s="69" t="s">
        <v>314</v>
      </c>
      <c r="X11" s="69"/>
      <c r="Y11" s="69"/>
      <c r="Z11" s="69" t="s">
        <v>314</v>
      </c>
      <c r="AA11" s="69" t="s">
        <v>314</v>
      </c>
      <c r="AB11" s="69" t="s">
        <v>314</v>
      </c>
      <c r="AC11" s="69" t="s">
        <v>314</v>
      </c>
      <c r="AD11" s="69" t="s">
        <v>314</v>
      </c>
      <c r="AE11" s="69"/>
      <c r="AF11" s="69" t="s">
        <v>314</v>
      </c>
      <c r="AG11" s="69" t="s">
        <v>314</v>
      </c>
      <c r="AH11" s="69" t="s">
        <v>314</v>
      </c>
      <c r="AI11" s="69" t="s">
        <v>314</v>
      </c>
      <c r="AJ11" s="69" t="s">
        <v>314</v>
      </c>
      <c r="AK11" s="69" t="s">
        <v>314</v>
      </c>
      <c r="AL11" s="69" t="s">
        <v>314</v>
      </c>
      <c r="AM11" s="69" t="s">
        <v>314</v>
      </c>
      <c r="AN11" s="69" t="s">
        <v>314</v>
      </c>
      <c r="AO11" s="69"/>
      <c r="AP11" s="69" t="s">
        <v>314</v>
      </c>
      <c r="AQ11" s="69" t="s">
        <v>314</v>
      </c>
      <c r="AR11" s="69"/>
      <c r="AS11" s="69" t="s">
        <v>314</v>
      </c>
      <c r="AT11" s="69" t="s">
        <v>314</v>
      </c>
      <c r="AU11" s="69" t="s">
        <v>314</v>
      </c>
      <c r="AV11" s="69"/>
      <c r="AW11" s="69"/>
      <c r="AX11" s="69" t="s">
        <v>314</v>
      </c>
      <c r="AY11" s="69" t="s">
        <v>314</v>
      </c>
      <c r="AZ11" s="69"/>
      <c r="BA11" s="69" t="s">
        <v>314</v>
      </c>
      <c r="BB11" s="69" t="s">
        <v>314</v>
      </c>
      <c r="BC11" s="69" t="s">
        <v>314</v>
      </c>
      <c r="BD11" s="69"/>
      <c r="BE11" s="96"/>
      <c r="BF11" s="69"/>
      <c r="BG11" s="69" t="s">
        <v>314</v>
      </c>
      <c r="BH11" s="69"/>
      <c r="BI11" s="69"/>
      <c r="BJ11" s="69" t="s">
        <v>314</v>
      </c>
      <c r="BK11" s="69"/>
      <c r="BL11" s="69" t="s">
        <v>314</v>
      </c>
      <c r="BM11" s="69" t="s">
        <v>314</v>
      </c>
      <c r="BN11" s="69" t="s">
        <v>314</v>
      </c>
    </row>
    <row r="12" spans="1:66">
      <c r="A12" s="61" t="s">
        <v>3</v>
      </c>
      <c r="B12" s="68" t="s">
        <v>201</v>
      </c>
      <c r="C12" s="66"/>
      <c r="D12" s="64">
        <v>13</v>
      </c>
      <c r="E12" s="64">
        <f>IF(ISBLANK($D12),"0",IF(($D12-$D11)&gt;($C12-$C11),1,0))</f>
        <v>0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314</v>
      </c>
      <c r="L12" s="70"/>
      <c r="M12" s="70"/>
      <c r="N12" s="70"/>
      <c r="O12" s="70"/>
      <c r="P12" s="70"/>
      <c r="Q12" s="70"/>
      <c r="R12" s="97"/>
      <c r="S12" s="97"/>
      <c r="T12" s="97" t="s">
        <v>314</v>
      </c>
      <c r="U12" s="97"/>
      <c r="V12" s="70" t="s">
        <v>314</v>
      </c>
      <c r="W12" s="70"/>
      <c r="X12" s="70"/>
      <c r="Y12" s="70" t="s">
        <v>314</v>
      </c>
      <c r="Z12" s="70"/>
      <c r="AA12" s="70"/>
      <c r="AB12" s="70"/>
      <c r="AC12" s="70"/>
      <c r="AD12" s="70"/>
      <c r="AE12" s="70" t="s">
        <v>314</v>
      </c>
      <c r="AF12" s="70"/>
      <c r="AG12" s="70"/>
      <c r="AH12" s="70"/>
      <c r="AI12" s="70"/>
      <c r="AJ12" s="70"/>
      <c r="AK12" s="70"/>
      <c r="AL12" s="70"/>
      <c r="AM12" s="70"/>
      <c r="AN12" s="70"/>
      <c r="AO12" s="70" t="s">
        <v>314</v>
      </c>
      <c r="AP12" s="70"/>
      <c r="AQ12" s="70"/>
      <c r="AR12" s="97" t="s">
        <v>314</v>
      </c>
      <c r="AS12" s="70"/>
      <c r="AT12" s="70"/>
      <c r="AU12" s="70"/>
      <c r="AV12" s="70" t="s">
        <v>314</v>
      </c>
      <c r="AW12" s="70" t="s">
        <v>314</v>
      </c>
      <c r="AX12" s="70"/>
      <c r="AY12" s="70"/>
      <c r="AZ12" s="70" t="s">
        <v>314</v>
      </c>
      <c r="BA12" s="70"/>
      <c r="BB12" s="70"/>
      <c r="BC12" s="70"/>
      <c r="BD12" s="70" t="s">
        <v>314</v>
      </c>
      <c r="BE12" s="70"/>
      <c r="BF12" s="70"/>
      <c r="BG12" s="70"/>
      <c r="BH12" s="70" t="s">
        <v>314</v>
      </c>
      <c r="BI12" s="70" t="s">
        <v>314</v>
      </c>
      <c r="BJ12" s="70"/>
      <c r="BK12" s="70" t="s">
        <v>314</v>
      </c>
      <c r="BL12" s="70"/>
      <c r="BM12" s="70"/>
      <c r="BN12" s="70"/>
    </row>
    <row r="13" spans="1:66">
      <c r="A13" s="59">
        <v>6</v>
      </c>
      <c r="B13" s="67" t="s">
        <v>147</v>
      </c>
      <c r="C13" s="65"/>
      <c r="D13" s="64">
        <v>24</v>
      </c>
      <c r="E13" s="64">
        <f>IF(ISBLANK($D13),"0",IF(($D14-$D13)&lt;($C14-$C13),1,0))</f>
        <v>0</v>
      </c>
      <c r="F13" s="64">
        <f t="shared" ca="1" si="1"/>
        <v>25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314</v>
      </c>
      <c r="M13" s="69" t="s">
        <v>314</v>
      </c>
      <c r="N13" s="69"/>
      <c r="O13" s="69" t="s">
        <v>314</v>
      </c>
      <c r="P13" s="69" t="s">
        <v>314</v>
      </c>
      <c r="Q13" s="69" t="s">
        <v>314</v>
      </c>
      <c r="R13" s="96"/>
      <c r="S13" s="96"/>
      <c r="T13" s="96" t="s">
        <v>314</v>
      </c>
      <c r="U13" s="69"/>
      <c r="V13" s="69" t="s">
        <v>314</v>
      </c>
      <c r="W13" s="69"/>
      <c r="X13" s="69"/>
      <c r="Y13" s="69" t="s">
        <v>314</v>
      </c>
      <c r="Z13" s="69" t="s">
        <v>314</v>
      </c>
      <c r="AA13" s="69"/>
      <c r="AB13" s="69"/>
      <c r="AC13" s="69"/>
      <c r="AD13" s="69"/>
      <c r="AE13" s="69" t="s">
        <v>314</v>
      </c>
      <c r="AF13" s="69" t="s">
        <v>314</v>
      </c>
      <c r="AG13" s="69"/>
      <c r="AH13" s="69"/>
      <c r="AI13" s="69" t="s">
        <v>314</v>
      </c>
      <c r="AJ13" s="69"/>
      <c r="AK13" s="69" t="s">
        <v>314</v>
      </c>
      <c r="AL13" s="69"/>
      <c r="AM13" s="69" t="s">
        <v>314</v>
      </c>
      <c r="AN13" s="69" t="s">
        <v>314</v>
      </c>
      <c r="AO13" s="69" t="s">
        <v>314</v>
      </c>
      <c r="AP13" s="69"/>
      <c r="AQ13" s="69" t="s">
        <v>314</v>
      </c>
      <c r="AR13" s="96" t="s">
        <v>314</v>
      </c>
      <c r="AS13" s="69" t="s">
        <v>314</v>
      </c>
      <c r="AT13" s="69" t="s">
        <v>314</v>
      </c>
      <c r="AU13" s="69"/>
      <c r="AV13" s="69"/>
      <c r="AW13" s="69" t="s">
        <v>314</v>
      </c>
      <c r="AX13" s="69" t="s">
        <v>314</v>
      </c>
      <c r="AY13" s="69"/>
      <c r="AZ13" s="69"/>
      <c r="BA13" s="69"/>
      <c r="BB13" s="69"/>
      <c r="BC13" s="69"/>
      <c r="BD13" s="69"/>
      <c r="BE13" s="96"/>
      <c r="BF13" s="69"/>
      <c r="BG13" s="69"/>
      <c r="BH13" s="69" t="s">
        <v>314</v>
      </c>
      <c r="BI13" s="69"/>
      <c r="BJ13" s="69"/>
      <c r="BK13" s="69" t="s">
        <v>314</v>
      </c>
      <c r="BL13" s="69"/>
      <c r="BM13" s="69" t="s">
        <v>314</v>
      </c>
      <c r="BN13" s="69"/>
    </row>
    <row r="14" spans="1:66">
      <c r="A14" s="61" t="s">
        <v>3</v>
      </c>
      <c r="B14" s="68" t="s">
        <v>186</v>
      </c>
      <c r="C14" s="66">
        <v>9.5</v>
      </c>
      <c r="D14" s="64">
        <v>35</v>
      </c>
      <c r="E14" s="64">
        <f>IF(ISBLANK($D14),"0",IF(($D14-$D13)&gt;($C14-$C13),1,0))</f>
        <v>1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314</v>
      </c>
      <c r="L14" s="70"/>
      <c r="M14" s="70"/>
      <c r="N14" s="70" t="s">
        <v>314</v>
      </c>
      <c r="O14" s="70"/>
      <c r="P14" s="70"/>
      <c r="Q14" s="70"/>
      <c r="R14" s="97" t="s">
        <v>314</v>
      </c>
      <c r="S14" s="97" t="s">
        <v>314</v>
      </c>
      <c r="T14" s="97"/>
      <c r="U14" s="97" t="s">
        <v>314</v>
      </c>
      <c r="V14" s="70"/>
      <c r="W14" s="70" t="s">
        <v>314</v>
      </c>
      <c r="X14" s="70"/>
      <c r="Y14" s="70"/>
      <c r="Z14" s="70"/>
      <c r="AA14" s="70" t="s">
        <v>314</v>
      </c>
      <c r="AB14" s="70" t="s">
        <v>314</v>
      </c>
      <c r="AC14" s="70" t="s">
        <v>314</v>
      </c>
      <c r="AD14" s="70" t="s">
        <v>314</v>
      </c>
      <c r="AE14" s="70"/>
      <c r="AF14" s="70"/>
      <c r="AG14" s="70" t="s">
        <v>314</v>
      </c>
      <c r="AH14" s="70" t="s">
        <v>314</v>
      </c>
      <c r="AI14" s="70"/>
      <c r="AJ14" s="70" t="s">
        <v>314</v>
      </c>
      <c r="AK14" s="70"/>
      <c r="AL14" s="70" t="s">
        <v>314</v>
      </c>
      <c r="AM14" s="70"/>
      <c r="AN14" s="70"/>
      <c r="AO14" s="70"/>
      <c r="AP14" s="70" t="s">
        <v>314</v>
      </c>
      <c r="AQ14" s="70"/>
      <c r="AR14" s="70"/>
      <c r="AS14" s="70"/>
      <c r="AT14" s="70"/>
      <c r="AU14" s="70" t="s">
        <v>314</v>
      </c>
      <c r="AV14" s="70" t="s">
        <v>314</v>
      </c>
      <c r="AW14" s="70"/>
      <c r="AX14" s="70"/>
      <c r="AY14" s="70" t="s">
        <v>314</v>
      </c>
      <c r="AZ14" s="70" t="s">
        <v>314</v>
      </c>
      <c r="BA14" s="70" t="s">
        <v>314</v>
      </c>
      <c r="BB14" s="70" t="s">
        <v>314</v>
      </c>
      <c r="BC14" s="70" t="s">
        <v>314</v>
      </c>
      <c r="BD14" s="70" t="s">
        <v>314</v>
      </c>
      <c r="BE14" s="70"/>
      <c r="BF14" s="70"/>
      <c r="BG14" s="70" t="s">
        <v>314</v>
      </c>
      <c r="BH14" s="70"/>
      <c r="BI14" s="70" t="s">
        <v>314</v>
      </c>
      <c r="BJ14" s="70" t="s">
        <v>314</v>
      </c>
      <c r="BK14" s="70"/>
      <c r="BL14" s="70" t="s">
        <v>314</v>
      </c>
      <c r="BM14" s="70"/>
      <c r="BN14" s="70" t="s">
        <v>314</v>
      </c>
    </row>
    <row r="15" spans="1:66">
      <c r="A15" s="59">
        <v>7</v>
      </c>
      <c r="B15" s="67" t="s">
        <v>150</v>
      </c>
      <c r="C15" s="65"/>
      <c r="D15" s="64">
        <v>10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 t="s">
        <v>314</v>
      </c>
      <c r="M15" s="69"/>
      <c r="N15" s="69" t="s">
        <v>314</v>
      </c>
      <c r="O15" s="69" t="s">
        <v>314</v>
      </c>
      <c r="P15" s="69" t="s">
        <v>314</v>
      </c>
      <c r="Q15" s="69" t="s">
        <v>314</v>
      </c>
      <c r="R15" s="96" t="s">
        <v>314</v>
      </c>
      <c r="S15" s="96"/>
      <c r="T15" s="96" t="s">
        <v>314</v>
      </c>
      <c r="U15" s="96" t="s">
        <v>314</v>
      </c>
      <c r="V15" s="69" t="s">
        <v>314</v>
      </c>
      <c r="W15" s="69" t="s">
        <v>314</v>
      </c>
      <c r="X15" s="69"/>
      <c r="Y15" s="69"/>
      <c r="Z15" s="69" t="s">
        <v>314</v>
      </c>
      <c r="AA15" s="69" t="s">
        <v>314</v>
      </c>
      <c r="AB15" s="69" t="s">
        <v>314</v>
      </c>
      <c r="AC15" s="69" t="s">
        <v>314</v>
      </c>
      <c r="AD15" s="69"/>
      <c r="AE15" s="69" t="s">
        <v>314</v>
      </c>
      <c r="AF15" s="69"/>
      <c r="AG15" s="69"/>
      <c r="AH15" s="69" t="s">
        <v>314</v>
      </c>
      <c r="AI15" s="69"/>
      <c r="AJ15" s="69" t="s">
        <v>314</v>
      </c>
      <c r="AK15" s="69" t="s">
        <v>314</v>
      </c>
      <c r="AL15" s="69" t="s">
        <v>314</v>
      </c>
      <c r="AM15" s="69"/>
      <c r="AN15" s="69" t="s">
        <v>314</v>
      </c>
      <c r="AO15" s="69"/>
      <c r="AP15" s="69" t="s">
        <v>314</v>
      </c>
      <c r="AQ15" s="69" t="s">
        <v>314</v>
      </c>
      <c r="AR15" s="69"/>
      <c r="AS15" s="69" t="s">
        <v>314</v>
      </c>
      <c r="AT15" s="69" t="s">
        <v>314</v>
      </c>
      <c r="AU15" s="69" t="s">
        <v>314</v>
      </c>
      <c r="AV15" s="69" t="s">
        <v>314</v>
      </c>
      <c r="AW15" s="69"/>
      <c r="AX15" s="69" t="s">
        <v>314</v>
      </c>
      <c r="AY15" s="69" t="s">
        <v>314</v>
      </c>
      <c r="AZ15" s="69"/>
      <c r="BA15" s="69" t="s">
        <v>314</v>
      </c>
      <c r="BB15" s="69" t="s">
        <v>314</v>
      </c>
      <c r="BC15" s="69" t="s">
        <v>314</v>
      </c>
      <c r="BD15" s="69"/>
      <c r="BE15" s="96"/>
      <c r="BF15" s="69"/>
      <c r="BG15" s="69"/>
      <c r="BH15" s="69"/>
      <c r="BI15" s="69"/>
      <c r="BJ15" s="69" t="s">
        <v>314</v>
      </c>
      <c r="BK15" s="69" t="s">
        <v>314</v>
      </c>
      <c r="BL15" s="69" t="s">
        <v>314</v>
      </c>
      <c r="BM15" s="69" t="s">
        <v>314</v>
      </c>
      <c r="BN15" s="69"/>
    </row>
    <row r="16" spans="1:66">
      <c r="A16" s="61" t="s">
        <v>3</v>
      </c>
      <c r="B16" s="68" t="s">
        <v>246</v>
      </c>
      <c r="C16" s="66">
        <v>2.5</v>
      </c>
      <c r="D16" s="64">
        <v>17</v>
      </c>
      <c r="E16" s="64">
        <f>IF(ISBLANK($D16),"0",IF(($D16-$D15)&gt;($C16-$C15),1,0))</f>
        <v>1</v>
      </c>
      <c r="F16" s="64">
        <f t="shared" ca="1" si="1"/>
        <v>17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314</v>
      </c>
      <c r="N16" s="70"/>
      <c r="O16" s="70"/>
      <c r="P16" s="70"/>
      <c r="Q16" s="70"/>
      <c r="R16" s="70"/>
      <c r="S16" s="70" t="s">
        <v>314</v>
      </c>
      <c r="T16" s="70"/>
      <c r="U16" s="70"/>
      <c r="V16" s="70"/>
      <c r="W16" s="70"/>
      <c r="X16" s="70"/>
      <c r="Y16" s="70" t="s">
        <v>314</v>
      </c>
      <c r="Z16" s="70"/>
      <c r="AA16" s="70"/>
      <c r="AB16" s="70"/>
      <c r="AC16" s="70"/>
      <c r="AD16" s="70" t="s">
        <v>314</v>
      </c>
      <c r="AE16" s="70"/>
      <c r="AF16" s="70" t="s">
        <v>314</v>
      </c>
      <c r="AG16" s="70" t="s">
        <v>314</v>
      </c>
      <c r="AH16" s="70"/>
      <c r="AI16" s="70" t="s">
        <v>314</v>
      </c>
      <c r="AJ16" s="70"/>
      <c r="AK16" s="70"/>
      <c r="AL16" s="70"/>
      <c r="AM16" s="70" t="s">
        <v>314</v>
      </c>
      <c r="AN16" s="70"/>
      <c r="AO16" s="70" t="s">
        <v>314</v>
      </c>
      <c r="AP16" s="70"/>
      <c r="AQ16" s="70"/>
      <c r="AR16" s="97" t="s">
        <v>314</v>
      </c>
      <c r="AS16" s="70"/>
      <c r="AT16" s="70"/>
      <c r="AU16" s="70"/>
      <c r="AV16" s="70"/>
      <c r="AW16" s="70" t="s">
        <v>314</v>
      </c>
      <c r="AX16" s="70"/>
      <c r="AY16" s="70"/>
      <c r="AZ16" s="70" t="s">
        <v>314</v>
      </c>
      <c r="BA16" s="70"/>
      <c r="BB16" s="70"/>
      <c r="BC16" s="70"/>
      <c r="BD16" s="70" t="s">
        <v>314</v>
      </c>
      <c r="BE16" s="70"/>
      <c r="BF16" s="70"/>
      <c r="BG16" s="70" t="s">
        <v>314</v>
      </c>
      <c r="BH16" s="70" t="s">
        <v>314</v>
      </c>
      <c r="BI16" s="70" t="s">
        <v>314</v>
      </c>
      <c r="BJ16" s="70"/>
      <c r="BK16" s="70"/>
      <c r="BL16" s="70"/>
      <c r="BM16" s="70"/>
      <c r="BN16" s="70" t="s">
        <v>314</v>
      </c>
    </row>
    <row r="17" spans="1:66">
      <c r="A17" s="59">
        <v>8</v>
      </c>
      <c r="B17" s="67" t="s">
        <v>242</v>
      </c>
      <c r="C17" s="65">
        <v>3.5</v>
      </c>
      <c r="D17" s="64">
        <v>22</v>
      </c>
      <c r="E17" s="64">
        <f>IF(ISBLANK($D17),"0",IF(($D18-$D17)&lt;($C18-$C17),1,0))</f>
        <v>1</v>
      </c>
      <c r="F17" s="64">
        <f t="shared" ca="1" si="1"/>
        <v>37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/>
      <c r="M17" s="69" t="s">
        <v>314</v>
      </c>
      <c r="N17" s="69" t="s">
        <v>314</v>
      </c>
      <c r="O17" s="69" t="s">
        <v>314</v>
      </c>
      <c r="P17" s="69" t="s">
        <v>314</v>
      </c>
      <c r="Q17" s="69" t="s">
        <v>314</v>
      </c>
      <c r="R17" s="69" t="s">
        <v>314</v>
      </c>
      <c r="S17" s="69" t="s">
        <v>314</v>
      </c>
      <c r="T17" s="69"/>
      <c r="U17" s="69" t="s">
        <v>314</v>
      </c>
      <c r="V17" s="69"/>
      <c r="W17" s="69" t="s">
        <v>314</v>
      </c>
      <c r="X17" s="69"/>
      <c r="Y17" s="69" t="s">
        <v>314</v>
      </c>
      <c r="Z17" s="69"/>
      <c r="AA17" s="69" t="s">
        <v>314</v>
      </c>
      <c r="AB17" s="69" t="s">
        <v>314</v>
      </c>
      <c r="AC17" s="69" t="s">
        <v>314</v>
      </c>
      <c r="AD17" s="69" t="s">
        <v>314</v>
      </c>
      <c r="AE17" s="69"/>
      <c r="AF17" s="69" t="s">
        <v>314</v>
      </c>
      <c r="AG17" s="69" t="s">
        <v>314</v>
      </c>
      <c r="AH17" s="69" t="s">
        <v>314</v>
      </c>
      <c r="AI17" s="69" t="s">
        <v>314</v>
      </c>
      <c r="AJ17" s="69" t="s">
        <v>314</v>
      </c>
      <c r="AK17" s="69"/>
      <c r="AL17" s="69" t="s">
        <v>314</v>
      </c>
      <c r="AM17" s="69" t="s">
        <v>314</v>
      </c>
      <c r="AN17" s="69"/>
      <c r="AO17" s="69" t="s">
        <v>314</v>
      </c>
      <c r="AP17" s="69"/>
      <c r="AQ17" s="69" t="s">
        <v>314</v>
      </c>
      <c r="AR17" s="96" t="s">
        <v>314</v>
      </c>
      <c r="AS17" s="69"/>
      <c r="AT17" s="69" t="s">
        <v>314</v>
      </c>
      <c r="AU17" s="69" t="s">
        <v>314</v>
      </c>
      <c r="AV17" s="69"/>
      <c r="AW17" s="69" t="s">
        <v>314</v>
      </c>
      <c r="AX17" s="69" t="s">
        <v>314</v>
      </c>
      <c r="AY17" s="69" t="s">
        <v>314</v>
      </c>
      <c r="AZ17" s="69"/>
      <c r="BA17" s="69"/>
      <c r="BB17" s="69" t="s">
        <v>314</v>
      </c>
      <c r="BC17" s="69" t="s">
        <v>314</v>
      </c>
      <c r="BD17" s="69"/>
      <c r="BE17" s="69"/>
      <c r="BF17" s="69"/>
      <c r="BG17" s="69" t="s">
        <v>314</v>
      </c>
      <c r="BH17" s="69"/>
      <c r="BI17" s="69"/>
      <c r="BJ17" s="69" t="s">
        <v>314</v>
      </c>
      <c r="BK17" s="69"/>
      <c r="BL17" s="69" t="s">
        <v>314</v>
      </c>
      <c r="BM17" s="69" t="s">
        <v>314</v>
      </c>
      <c r="BN17" s="69" t="s">
        <v>314</v>
      </c>
    </row>
    <row r="18" spans="1:66">
      <c r="A18" s="61" t="s">
        <v>3</v>
      </c>
      <c r="B18" s="68" t="s">
        <v>243</v>
      </c>
      <c r="C18" s="66"/>
      <c r="D18" s="64">
        <v>13</v>
      </c>
      <c r="E18" s="64">
        <f>IF(ISBLANK($D18),"0",IF(($D18-$D17)&gt;($C18-$C17),1,0))</f>
        <v>0</v>
      </c>
      <c r="F18" s="64">
        <f t="shared" ca="1" si="1"/>
        <v>16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314</v>
      </c>
      <c r="M18" s="70"/>
      <c r="N18" s="70"/>
      <c r="O18" s="70"/>
      <c r="P18" s="70"/>
      <c r="Q18" s="70"/>
      <c r="R18" s="70"/>
      <c r="S18" s="70"/>
      <c r="T18" s="70" t="s">
        <v>314</v>
      </c>
      <c r="U18" s="97"/>
      <c r="V18" s="70" t="s">
        <v>314</v>
      </c>
      <c r="W18" s="70"/>
      <c r="X18" s="70"/>
      <c r="Y18" s="70"/>
      <c r="Z18" s="70" t="s">
        <v>314</v>
      </c>
      <c r="AA18" s="70"/>
      <c r="AB18" s="70"/>
      <c r="AC18" s="70"/>
      <c r="AD18" s="70"/>
      <c r="AE18" s="70" t="s">
        <v>314</v>
      </c>
      <c r="AF18" s="70"/>
      <c r="AG18" s="70"/>
      <c r="AH18" s="70"/>
      <c r="AI18" s="70"/>
      <c r="AJ18" s="70"/>
      <c r="AK18" s="70" t="s">
        <v>314</v>
      </c>
      <c r="AL18" s="70"/>
      <c r="AM18" s="70"/>
      <c r="AN18" s="70" t="s">
        <v>314</v>
      </c>
      <c r="AO18" s="70"/>
      <c r="AP18" s="70" t="s">
        <v>314</v>
      </c>
      <c r="AQ18" s="70"/>
      <c r="AR18" s="70"/>
      <c r="AS18" s="70" t="s">
        <v>314</v>
      </c>
      <c r="AT18" s="70"/>
      <c r="AU18" s="70"/>
      <c r="AV18" s="70" t="s">
        <v>314</v>
      </c>
      <c r="AW18" s="70"/>
      <c r="AX18" s="70"/>
      <c r="AY18" s="70"/>
      <c r="AZ18" s="70" t="s">
        <v>314</v>
      </c>
      <c r="BA18" s="70" t="s">
        <v>314</v>
      </c>
      <c r="BB18" s="70"/>
      <c r="BC18" s="70"/>
      <c r="BD18" s="70" t="s">
        <v>314</v>
      </c>
      <c r="BE18" s="97"/>
      <c r="BF18" s="70"/>
      <c r="BG18" s="70"/>
      <c r="BH18" s="70" t="s">
        <v>314</v>
      </c>
      <c r="BI18" s="70" t="s">
        <v>314</v>
      </c>
      <c r="BJ18" s="70"/>
      <c r="BK18" s="70" t="s">
        <v>314</v>
      </c>
      <c r="BL18" s="70"/>
      <c r="BM18" s="70"/>
      <c r="BN18" s="70"/>
    </row>
    <row r="19" spans="1:66">
      <c r="A19" s="59">
        <v>9</v>
      </c>
      <c r="B19" s="67" t="s">
        <v>247</v>
      </c>
      <c r="C19" s="65"/>
      <c r="D19" s="64">
        <v>24</v>
      </c>
      <c r="E19" s="64">
        <f>IF(ISBLANK($D19),"0",IF(($D20-$D19)&lt;($C20-$C19),1,0))</f>
        <v>0</v>
      </c>
      <c r="F19" s="64">
        <f t="shared" ca="1" si="1"/>
        <v>15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314</v>
      </c>
      <c r="P19" s="69" t="s">
        <v>314</v>
      </c>
      <c r="Q19" s="69" t="s">
        <v>314</v>
      </c>
      <c r="R19" s="69"/>
      <c r="S19" s="69" t="s">
        <v>314</v>
      </c>
      <c r="T19" s="69"/>
      <c r="U19" s="96"/>
      <c r="V19" s="69" t="s">
        <v>314</v>
      </c>
      <c r="W19" s="69"/>
      <c r="X19" s="69"/>
      <c r="Y19" s="69"/>
      <c r="Z19" s="69"/>
      <c r="AA19" s="69"/>
      <c r="AB19" s="69" t="s">
        <v>314</v>
      </c>
      <c r="AC19" s="69"/>
      <c r="AD19" s="69"/>
      <c r="AE19" s="69" t="s">
        <v>314</v>
      </c>
      <c r="AF19" s="69" t="s">
        <v>314</v>
      </c>
      <c r="AG19" s="69"/>
      <c r="AH19" s="69"/>
      <c r="AI19" s="69"/>
      <c r="AJ19" s="69"/>
      <c r="AK19" s="69" t="s">
        <v>314</v>
      </c>
      <c r="AL19" s="69"/>
      <c r="AM19" s="69"/>
      <c r="AN19" s="69"/>
      <c r="AO19" s="69" t="s">
        <v>314</v>
      </c>
      <c r="AP19" s="69"/>
      <c r="AQ19" s="69"/>
      <c r="AR19" s="69" t="s">
        <v>314</v>
      </c>
      <c r="AS19" s="69" t="s">
        <v>314</v>
      </c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 t="s">
        <v>314</v>
      </c>
      <c r="BK19" s="69" t="s">
        <v>314</v>
      </c>
      <c r="BL19" s="69"/>
      <c r="BM19" s="69"/>
      <c r="BN19" s="69" t="s">
        <v>314</v>
      </c>
    </row>
    <row r="20" spans="1:66">
      <c r="A20" s="61" t="s">
        <v>3</v>
      </c>
      <c r="B20" s="68" t="s">
        <v>188</v>
      </c>
      <c r="C20" s="66">
        <v>6.5</v>
      </c>
      <c r="D20" s="64">
        <v>45</v>
      </c>
      <c r="E20" s="64">
        <f>IF(ISBLANK($D20),"0",IF(($D20-$D19)&gt;($C20-$C19),1,0))</f>
        <v>1</v>
      </c>
      <c r="F20" s="64">
        <f t="shared" ca="1" si="1"/>
        <v>38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 t="s">
        <v>314</v>
      </c>
      <c r="N20" s="70" t="s">
        <v>314</v>
      </c>
      <c r="O20" s="70"/>
      <c r="P20" s="70"/>
      <c r="Q20" s="70"/>
      <c r="R20" s="70" t="s">
        <v>314</v>
      </c>
      <c r="S20" s="70"/>
      <c r="T20" s="70" t="s">
        <v>314</v>
      </c>
      <c r="U20" s="70" t="s">
        <v>314</v>
      </c>
      <c r="V20" s="70"/>
      <c r="W20" s="70" t="s">
        <v>314</v>
      </c>
      <c r="X20" s="70"/>
      <c r="Y20" s="70" t="s">
        <v>314</v>
      </c>
      <c r="Z20" s="70" t="s">
        <v>314</v>
      </c>
      <c r="AA20" s="70" t="s">
        <v>314</v>
      </c>
      <c r="AB20" s="70"/>
      <c r="AC20" s="70" t="s">
        <v>314</v>
      </c>
      <c r="AD20" s="70" t="s">
        <v>314</v>
      </c>
      <c r="AE20" s="70"/>
      <c r="AF20" s="70"/>
      <c r="AG20" s="70" t="s">
        <v>314</v>
      </c>
      <c r="AH20" s="70" t="s">
        <v>314</v>
      </c>
      <c r="AI20" s="70" t="s">
        <v>314</v>
      </c>
      <c r="AJ20" s="70" t="s">
        <v>314</v>
      </c>
      <c r="AK20" s="70"/>
      <c r="AL20" s="70" t="s">
        <v>314</v>
      </c>
      <c r="AM20" s="70" t="s">
        <v>314</v>
      </c>
      <c r="AN20" s="70" t="s">
        <v>314</v>
      </c>
      <c r="AO20" s="70"/>
      <c r="AP20" s="70" t="s">
        <v>314</v>
      </c>
      <c r="AQ20" s="70" t="s">
        <v>314</v>
      </c>
      <c r="AR20" s="97"/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 t="s">
        <v>314</v>
      </c>
      <c r="AY20" s="70" t="s">
        <v>314</v>
      </c>
      <c r="AZ20" s="70" t="s">
        <v>314</v>
      </c>
      <c r="BA20" s="70" t="s">
        <v>314</v>
      </c>
      <c r="BB20" s="70" t="s">
        <v>314</v>
      </c>
      <c r="BC20" s="70" t="s">
        <v>314</v>
      </c>
      <c r="BD20" s="70" t="s">
        <v>314</v>
      </c>
      <c r="BE20" s="97"/>
      <c r="BF20" s="70"/>
      <c r="BG20" s="70" t="s">
        <v>314</v>
      </c>
      <c r="BH20" s="70" t="s">
        <v>314</v>
      </c>
      <c r="BI20" s="70" t="s">
        <v>314</v>
      </c>
      <c r="BJ20" s="70"/>
      <c r="BK20" s="70"/>
      <c r="BL20" s="70" t="s">
        <v>314</v>
      </c>
      <c r="BM20" s="70" t="s">
        <v>314</v>
      </c>
      <c r="BN20" s="70"/>
    </row>
    <row r="21" spans="1:66">
      <c r="A21" s="59">
        <v>10</v>
      </c>
      <c r="B21" s="67" t="s">
        <v>205</v>
      </c>
      <c r="C21" s="65"/>
      <c r="D21" s="64">
        <v>30</v>
      </c>
      <c r="E21" s="64">
        <f>IF(ISBLANK($D21),"0",IF(($D22-$D21)&lt;($C22-$C21),1,0))</f>
        <v>1</v>
      </c>
      <c r="F21" s="64">
        <f t="shared" ca="1" si="1"/>
        <v>10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314</v>
      </c>
      <c r="M21" s="69"/>
      <c r="N21" s="69"/>
      <c r="O21" s="69" t="s">
        <v>314</v>
      </c>
      <c r="P21" s="69"/>
      <c r="Q21" s="69"/>
      <c r="R21" s="69" t="s">
        <v>314</v>
      </c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 t="s">
        <v>314</v>
      </c>
      <c r="AI21" s="69" t="s">
        <v>314</v>
      </c>
      <c r="AJ21" s="69"/>
      <c r="AK21" s="69"/>
      <c r="AL21" s="69"/>
      <c r="AM21" s="69"/>
      <c r="AN21" s="69" t="s">
        <v>314</v>
      </c>
      <c r="AO21" s="69" t="s">
        <v>314</v>
      </c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 t="s">
        <v>314</v>
      </c>
      <c r="BD21" s="69"/>
      <c r="BE21" s="96"/>
      <c r="BF21" s="69"/>
      <c r="BG21" s="69"/>
      <c r="BH21" s="69"/>
      <c r="BI21" s="69" t="s">
        <v>314</v>
      </c>
      <c r="BJ21" s="69"/>
      <c r="BK21" s="69" t="s">
        <v>314</v>
      </c>
      <c r="BL21" s="69"/>
      <c r="BM21" s="69"/>
      <c r="BN21" s="69"/>
    </row>
    <row r="22" spans="1:66">
      <c r="A22" s="61" t="s">
        <v>3</v>
      </c>
      <c r="B22" s="68" t="s">
        <v>199</v>
      </c>
      <c r="C22" s="66">
        <v>2.5</v>
      </c>
      <c r="D22" s="64">
        <v>6</v>
      </c>
      <c r="E22" s="64">
        <f>IF(ISBLANK($D22),"0",IF(($D22-$D21)&gt;($C22-$C21),1,0))</f>
        <v>0</v>
      </c>
      <c r="F22" s="64">
        <f t="shared" ca="1" si="1"/>
        <v>43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/>
      <c r="M22" s="70" t="s">
        <v>314</v>
      </c>
      <c r="N22" s="70" t="s">
        <v>314</v>
      </c>
      <c r="O22" s="70"/>
      <c r="P22" s="70" t="s">
        <v>314</v>
      </c>
      <c r="Q22" s="70" t="s">
        <v>314</v>
      </c>
      <c r="R22" s="70"/>
      <c r="S22" s="70" t="s">
        <v>314</v>
      </c>
      <c r="T22" s="70" t="s">
        <v>314</v>
      </c>
      <c r="U22" s="70" t="s">
        <v>314</v>
      </c>
      <c r="V22" s="70" t="s">
        <v>314</v>
      </c>
      <c r="W22" s="70" t="s">
        <v>314</v>
      </c>
      <c r="X22" s="70"/>
      <c r="Y22" s="70" t="s">
        <v>314</v>
      </c>
      <c r="Z22" s="70" t="s">
        <v>314</v>
      </c>
      <c r="AA22" s="70" t="s">
        <v>314</v>
      </c>
      <c r="AB22" s="70" t="s">
        <v>314</v>
      </c>
      <c r="AC22" s="70" t="s">
        <v>314</v>
      </c>
      <c r="AD22" s="70" t="s">
        <v>314</v>
      </c>
      <c r="AE22" s="70" t="s">
        <v>314</v>
      </c>
      <c r="AF22" s="70" t="s">
        <v>314</v>
      </c>
      <c r="AG22" s="70" t="s">
        <v>314</v>
      </c>
      <c r="AH22" s="70"/>
      <c r="AI22" s="70"/>
      <c r="AJ22" s="70" t="s">
        <v>314</v>
      </c>
      <c r="AK22" s="70" t="s">
        <v>314</v>
      </c>
      <c r="AL22" s="70" t="s">
        <v>314</v>
      </c>
      <c r="AM22" s="70" t="s">
        <v>314</v>
      </c>
      <c r="AN22" s="70"/>
      <c r="AO22" s="70"/>
      <c r="AP22" s="70" t="s">
        <v>314</v>
      </c>
      <c r="AQ22" s="70" t="s">
        <v>314</v>
      </c>
      <c r="AR22" s="70" t="s">
        <v>314</v>
      </c>
      <c r="AS22" s="70" t="s">
        <v>314</v>
      </c>
      <c r="AT22" s="70" t="s">
        <v>314</v>
      </c>
      <c r="AU22" s="70" t="s">
        <v>314</v>
      </c>
      <c r="AV22" s="70" t="s">
        <v>314</v>
      </c>
      <c r="AW22" s="70" t="s">
        <v>314</v>
      </c>
      <c r="AX22" s="70" t="s">
        <v>314</v>
      </c>
      <c r="AY22" s="70" t="s">
        <v>314</v>
      </c>
      <c r="AZ22" s="70" t="s">
        <v>314</v>
      </c>
      <c r="BA22" s="70" t="s">
        <v>314</v>
      </c>
      <c r="BB22" s="70" t="s">
        <v>314</v>
      </c>
      <c r="BC22" s="70"/>
      <c r="BD22" s="70" t="s">
        <v>314</v>
      </c>
      <c r="BE22" s="70"/>
      <c r="BF22" s="70"/>
      <c r="BG22" s="70" t="s">
        <v>314</v>
      </c>
      <c r="BH22" s="70" t="s">
        <v>314</v>
      </c>
      <c r="BI22" s="70"/>
      <c r="BJ22" s="70" t="s">
        <v>314</v>
      </c>
      <c r="BK22" s="70"/>
      <c r="BL22" s="70" t="s">
        <v>314</v>
      </c>
      <c r="BM22" s="70" t="s">
        <v>314</v>
      </c>
      <c r="BN22" s="70" t="s">
        <v>314</v>
      </c>
    </row>
    <row r="23" spans="1:66">
      <c r="A23" s="59"/>
      <c r="B23" s="67" t="str">
        <f>B21&amp; " - score"</f>
        <v>Wisconsin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/>
      <c r="K23" s="78">
        <v>21</v>
      </c>
      <c r="L23" s="78">
        <v>33</v>
      </c>
      <c r="M23" s="78">
        <v>24</v>
      </c>
      <c r="N23" s="80">
        <v>28</v>
      </c>
      <c r="O23" s="78">
        <v>28</v>
      </c>
      <c r="P23" s="78">
        <v>28</v>
      </c>
      <c r="Q23" s="78">
        <v>28</v>
      </c>
      <c r="R23" s="78">
        <v>31</v>
      </c>
      <c r="S23" s="78">
        <v>20</v>
      </c>
      <c r="T23" s="78">
        <v>10</v>
      </c>
      <c r="U23" s="78">
        <v>28</v>
      </c>
      <c r="V23" s="78">
        <v>23</v>
      </c>
      <c r="W23" s="78">
        <v>14</v>
      </c>
      <c r="X23" s="78"/>
      <c r="Y23" s="78">
        <v>14</v>
      </c>
      <c r="Z23" s="78">
        <v>17</v>
      </c>
      <c r="AA23" s="78">
        <v>24</v>
      </c>
      <c r="AB23" s="78">
        <v>31</v>
      </c>
      <c r="AC23" s="78">
        <v>24</v>
      </c>
      <c r="AD23" s="78">
        <v>22</v>
      </c>
      <c r="AE23" s="78">
        <v>16</v>
      </c>
      <c r="AF23" s="78">
        <v>24</v>
      </c>
      <c r="AG23" s="78">
        <v>20</v>
      </c>
      <c r="AH23" s="78">
        <v>24</v>
      </c>
      <c r="AI23" s="78">
        <v>27</v>
      </c>
      <c r="AJ23" s="78">
        <v>14</v>
      </c>
      <c r="AK23" s="78">
        <v>19</v>
      </c>
      <c r="AL23" s="78">
        <v>28</v>
      </c>
      <c r="AM23" s="78">
        <v>17</v>
      </c>
      <c r="AN23" s="78">
        <v>31</v>
      </c>
      <c r="AO23" s="78">
        <v>24</v>
      </c>
      <c r="AP23" s="78">
        <v>17</v>
      </c>
      <c r="AQ23" s="78">
        <v>27</v>
      </c>
      <c r="AR23" s="78">
        <v>17</v>
      </c>
      <c r="AS23" s="78">
        <v>27</v>
      </c>
      <c r="AT23" s="78">
        <v>17</v>
      </c>
      <c r="AU23" s="78">
        <v>14</v>
      </c>
      <c r="AV23" s="78">
        <v>24</v>
      </c>
      <c r="AW23" s="78">
        <v>24</v>
      </c>
      <c r="AX23" s="78">
        <v>30</v>
      </c>
      <c r="AY23" s="78">
        <v>13</v>
      </c>
      <c r="AZ23" s="78">
        <v>21</v>
      </c>
      <c r="BA23" s="78">
        <v>35</v>
      </c>
      <c r="BB23" s="78">
        <v>14</v>
      </c>
      <c r="BC23" s="78">
        <v>23</v>
      </c>
      <c r="BD23" s="78">
        <v>24</v>
      </c>
      <c r="BE23" s="78"/>
      <c r="BF23" s="78"/>
      <c r="BG23" s="78">
        <v>23</v>
      </c>
      <c r="BH23" s="78">
        <v>28</v>
      </c>
      <c r="BI23" s="78">
        <v>28</v>
      </c>
      <c r="BJ23" s="78">
        <v>21</v>
      </c>
      <c r="BK23" s="78">
        <v>20</v>
      </c>
      <c r="BL23" s="78">
        <v>17</v>
      </c>
      <c r="BM23" s="78">
        <v>27</v>
      </c>
      <c r="BN23" s="78">
        <v>21</v>
      </c>
    </row>
    <row r="24" spans="1:66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29</v>
      </c>
      <c r="G24" s="61"/>
      <c r="H24" s="62"/>
      <c r="I24" s="63"/>
      <c r="J24" s="79"/>
      <c r="K24" s="79">
        <v>28</v>
      </c>
      <c r="L24" s="79">
        <v>35</v>
      </c>
      <c r="M24" s="79">
        <v>28</v>
      </c>
      <c r="N24" s="79">
        <v>42</v>
      </c>
      <c r="O24" s="79">
        <v>30</v>
      </c>
      <c r="P24" s="79">
        <v>35</v>
      </c>
      <c r="Q24" s="79">
        <v>32</v>
      </c>
      <c r="R24" s="79">
        <v>24</v>
      </c>
      <c r="S24" s="79">
        <v>23</v>
      </c>
      <c r="T24" s="79">
        <v>27</v>
      </c>
      <c r="U24" s="79">
        <v>35</v>
      </c>
      <c r="V24" s="79">
        <v>34</v>
      </c>
      <c r="W24" s="79">
        <v>17</v>
      </c>
      <c r="X24" s="79"/>
      <c r="Y24" s="79">
        <v>27</v>
      </c>
      <c r="Z24" s="79">
        <v>24</v>
      </c>
      <c r="AA24" s="79">
        <v>32</v>
      </c>
      <c r="AB24" s="79">
        <v>48</v>
      </c>
      <c r="AC24" s="79">
        <v>27</v>
      </c>
      <c r="AD24" s="79">
        <v>44</v>
      </c>
      <c r="AE24" s="79">
        <v>39</v>
      </c>
      <c r="AF24" s="79">
        <v>28</v>
      </c>
      <c r="AG24" s="79">
        <v>31</v>
      </c>
      <c r="AH24" s="79">
        <v>22</v>
      </c>
      <c r="AI24" s="79">
        <v>20</v>
      </c>
      <c r="AJ24" s="79">
        <v>24</v>
      </c>
      <c r="AK24" s="79">
        <v>23</v>
      </c>
      <c r="AL24" s="79">
        <v>35</v>
      </c>
      <c r="AM24" s="79">
        <v>28</v>
      </c>
      <c r="AN24" s="79">
        <v>28</v>
      </c>
      <c r="AO24" s="79">
        <v>22</v>
      </c>
      <c r="AP24" s="79">
        <v>21</v>
      </c>
      <c r="AQ24" s="79">
        <v>30</v>
      </c>
      <c r="AR24" s="79">
        <v>27</v>
      </c>
      <c r="AS24" s="79">
        <v>31</v>
      </c>
      <c r="AT24" s="79">
        <v>28</v>
      </c>
      <c r="AU24" s="79">
        <v>21</v>
      </c>
      <c r="AV24" s="79">
        <v>31</v>
      </c>
      <c r="AW24" s="79">
        <v>31</v>
      </c>
      <c r="AX24" s="79">
        <v>34</v>
      </c>
      <c r="AY24" s="79">
        <v>24</v>
      </c>
      <c r="AZ24" s="79">
        <v>28</v>
      </c>
      <c r="BA24" s="79">
        <v>38</v>
      </c>
      <c r="BB24" s="79">
        <v>21</v>
      </c>
      <c r="BC24" s="79">
        <v>21</v>
      </c>
      <c r="BD24" s="79">
        <v>28</v>
      </c>
      <c r="BE24" s="79"/>
      <c r="BF24" s="79"/>
      <c r="BG24" s="79">
        <v>51</v>
      </c>
      <c r="BH24" s="79">
        <v>31</v>
      </c>
      <c r="BI24" s="79">
        <v>28</v>
      </c>
      <c r="BJ24" s="79">
        <v>24</v>
      </c>
      <c r="BK24" s="79">
        <v>21</v>
      </c>
      <c r="BL24" s="79">
        <v>24</v>
      </c>
      <c r="BM24" s="79">
        <v>30</v>
      </c>
      <c r="BN24" s="79">
        <v>28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8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4</v>
      </c>
      <c r="Q25" s="36">
        <f t="shared" si="3"/>
        <v>5</v>
      </c>
      <c r="R25" s="36">
        <f t="shared" si="3"/>
        <v>7</v>
      </c>
      <c r="S25" s="36">
        <f t="shared" si="3"/>
        <v>7</v>
      </c>
      <c r="T25" s="36">
        <f t="shared" si="3"/>
        <v>2</v>
      </c>
      <c r="U25" s="36">
        <f t="shared" si="3"/>
        <v>6</v>
      </c>
      <c r="V25" s="36">
        <f t="shared" si="3"/>
        <v>3</v>
      </c>
      <c r="W25" s="36">
        <f t="shared" si="3"/>
        <v>7</v>
      </c>
      <c r="X25" s="36">
        <f t="shared" si="3"/>
        <v>0</v>
      </c>
      <c r="Y25" s="36">
        <f t="shared" si="3"/>
        <v>6</v>
      </c>
      <c r="Z25" s="36">
        <f t="shared" si="3"/>
        <v>4</v>
      </c>
      <c r="AA25" s="36">
        <f t="shared" si="3"/>
        <v>5</v>
      </c>
      <c r="AB25" s="36">
        <f t="shared" si="3"/>
        <v>6</v>
      </c>
      <c r="AC25" s="36">
        <f t="shared" si="3"/>
        <v>6</v>
      </c>
      <c r="AD25" s="36">
        <f t="shared" si="3"/>
        <v>7</v>
      </c>
      <c r="AE25" s="36">
        <f t="shared" si="3"/>
        <v>2</v>
      </c>
      <c r="AF25" s="36">
        <f t="shared" si="3"/>
        <v>4</v>
      </c>
      <c r="AG25" s="36">
        <f t="shared" si="3"/>
        <v>6</v>
      </c>
      <c r="AH25" s="36">
        <f t="shared" si="3"/>
        <v>7</v>
      </c>
      <c r="AI25" s="36">
        <f t="shared" si="3"/>
        <v>9</v>
      </c>
      <c r="AJ25" s="36">
        <f t="shared" si="3"/>
        <v>5</v>
      </c>
      <c r="AK25" s="36">
        <f t="shared" si="3"/>
        <v>3</v>
      </c>
      <c r="AL25" s="36">
        <f t="shared" si="3"/>
        <v>5</v>
      </c>
      <c r="AM25" s="36">
        <f t="shared" si="3"/>
        <v>7</v>
      </c>
      <c r="AN25" s="36">
        <f t="shared" si="3"/>
        <v>5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3</v>
      </c>
      <c r="AS25" s="36">
        <f t="shared" si="3"/>
        <v>3</v>
      </c>
      <c r="AT25" s="36">
        <f t="shared" si="3"/>
        <v>4</v>
      </c>
      <c r="AU25" s="36">
        <f t="shared" si="3"/>
        <v>5</v>
      </c>
      <c r="AV25" s="36">
        <f t="shared" si="3"/>
        <v>4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4</v>
      </c>
      <c r="BA25" s="36">
        <f t="shared" si="3"/>
        <v>6</v>
      </c>
      <c r="BB25" s="36">
        <f t="shared" si="3"/>
        <v>7</v>
      </c>
      <c r="BC25" s="36">
        <f t="shared" si="3"/>
        <v>7</v>
      </c>
      <c r="BD25" s="36">
        <f t="shared" si="3"/>
        <v>4</v>
      </c>
      <c r="BE25" s="36">
        <f t="shared" si="3"/>
        <v>0</v>
      </c>
      <c r="BF25" s="36">
        <f t="shared" si="3"/>
        <v>0</v>
      </c>
      <c r="BG25" s="36">
        <f t="shared" si="3"/>
        <v>6</v>
      </c>
      <c r="BH25" s="36">
        <f t="shared" si="3"/>
        <v>3</v>
      </c>
      <c r="BI25" s="36">
        <f t="shared" si="3"/>
        <v>6</v>
      </c>
      <c r="BJ25" s="36">
        <f t="shared" si="3"/>
        <v>6</v>
      </c>
      <c r="BK25" s="36">
        <f t="shared" si="3"/>
        <v>2</v>
      </c>
      <c r="BL25" s="36">
        <f t="shared" si="3"/>
        <v>5</v>
      </c>
      <c r="BM25" s="36">
        <f t="shared" si="3"/>
        <v>6</v>
      </c>
      <c r="BN25" s="36">
        <f t="shared" si="3"/>
        <v>4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31</v>
      </c>
      <c r="L26" s="71">
        <f t="shared" si="4"/>
        <v>26</v>
      </c>
      <c r="M26" s="71">
        <f t="shared" si="4"/>
        <v>28</v>
      </c>
      <c r="N26" s="71">
        <f t="shared" si="4"/>
        <v>38</v>
      </c>
      <c r="O26" s="71">
        <f t="shared" si="4"/>
        <v>26</v>
      </c>
      <c r="P26" s="71">
        <f t="shared" si="4"/>
        <v>31</v>
      </c>
      <c r="Q26" s="71">
        <f t="shared" si="4"/>
        <v>28</v>
      </c>
      <c r="R26" s="71">
        <f t="shared" si="4"/>
        <v>17</v>
      </c>
      <c r="S26" s="71">
        <f t="shared" si="4"/>
        <v>27</v>
      </c>
      <c r="T26" s="71">
        <f t="shared" si="4"/>
        <v>41</v>
      </c>
      <c r="U26" s="71">
        <f t="shared" si="4"/>
        <v>31</v>
      </c>
      <c r="V26" s="71">
        <f t="shared" si="4"/>
        <v>35</v>
      </c>
      <c r="W26" s="71">
        <f t="shared" si="4"/>
        <v>27</v>
      </c>
      <c r="X26" s="71">
        <f t="shared" si="4"/>
        <v>24</v>
      </c>
      <c r="Y26" s="71">
        <f t="shared" si="4"/>
        <v>37</v>
      </c>
      <c r="Z26" s="71">
        <f t="shared" si="4"/>
        <v>31</v>
      </c>
      <c r="AA26" s="71">
        <f t="shared" si="4"/>
        <v>32</v>
      </c>
      <c r="AB26" s="71">
        <f t="shared" si="4"/>
        <v>41</v>
      </c>
      <c r="AC26" s="71">
        <f t="shared" si="4"/>
        <v>27</v>
      </c>
      <c r="AD26" s="71">
        <f t="shared" si="4"/>
        <v>46</v>
      </c>
      <c r="AE26" s="71">
        <f t="shared" si="4"/>
        <v>47</v>
      </c>
      <c r="AF26" s="71">
        <f t="shared" si="4"/>
        <v>28</v>
      </c>
      <c r="AG26" s="71">
        <f t="shared" si="4"/>
        <v>35</v>
      </c>
      <c r="AH26" s="71">
        <f t="shared" si="4"/>
        <v>22</v>
      </c>
      <c r="AI26" s="71">
        <f t="shared" si="4"/>
        <v>17</v>
      </c>
      <c r="AJ26" s="71">
        <f t="shared" si="4"/>
        <v>34</v>
      </c>
      <c r="AK26" s="71">
        <f t="shared" si="4"/>
        <v>28</v>
      </c>
      <c r="AL26" s="71">
        <f t="shared" si="4"/>
        <v>31</v>
      </c>
      <c r="AM26" s="71">
        <f t="shared" si="4"/>
        <v>35</v>
      </c>
      <c r="AN26" s="71">
        <f t="shared" si="4"/>
        <v>21</v>
      </c>
      <c r="AO26" s="71">
        <f t="shared" si="4"/>
        <v>22</v>
      </c>
      <c r="AP26" s="71">
        <f t="shared" si="4"/>
        <v>28</v>
      </c>
      <c r="AQ26" s="71">
        <f t="shared" si="4"/>
        <v>27</v>
      </c>
      <c r="AR26" s="71">
        <f t="shared" si="4"/>
        <v>34</v>
      </c>
      <c r="AS26" s="71">
        <f t="shared" si="4"/>
        <v>28</v>
      </c>
      <c r="AT26" s="71">
        <f t="shared" si="4"/>
        <v>35</v>
      </c>
      <c r="AU26" s="71">
        <f t="shared" si="4"/>
        <v>31</v>
      </c>
      <c r="AV26" s="71">
        <f t="shared" si="4"/>
        <v>31</v>
      </c>
      <c r="AW26" s="71">
        <f t="shared" si="4"/>
        <v>31</v>
      </c>
      <c r="AX26" s="71">
        <f t="shared" si="4"/>
        <v>28</v>
      </c>
      <c r="AY26" s="71">
        <f t="shared" si="4"/>
        <v>35</v>
      </c>
      <c r="AZ26" s="71">
        <f t="shared" si="4"/>
        <v>31</v>
      </c>
      <c r="BA26" s="71">
        <f t="shared" si="4"/>
        <v>27</v>
      </c>
      <c r="BB26" s="71">
        <f t="shared" si="4"/>
        <v>31</v>
      </c>
      <c r="BC26" s="71">
        <f t="shared" si="4"/>
        <v>22</v>
      </c>
      <c r="BD26" s="71">
        <f t="shared" si="4"/>
        <v>28</v>
      </c>
      <c r="BE26" s="71">
        <f t="shared" si="4"/>
        <v>24</v>
      </c>
      <c r="BF26" s="71">
        <f t="shared" si="4"/>
        <v>24</v>
      </c>
      <c r="BG26" s="71">
        <f t="shared" si="4"/>
        <v>52</v>
      </c>
      <c r="BH26" s="71">
        <f t="shared" si="4"/>
        <v>27</v>
      </c>
      <c r="BI26" s="71">
        <f t="shared" si="4"/>
        <v>24</v>
      </c>
      <c r="BJ26" s="71">
        <f t="shared" si="4"/>
        <v>27</v>
      </c>
      <c r="BK26" s="71">
        <f t="shared" si="4"/>
        <v>25</v>
      </c>
      <c r="BL26" s="71">
        <f t="shared" si="4"/>
        <v>31</v>
      </c>
      <c r="BM26" s="71">
        <f t="shared" si="4"/>
        <v>27</v>
      </c>
      <c r="BN26" s="71">
        <f t="shared" si="4"/>
        <v>31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13</v>
      </c>
      <c r="L27" s="71">
        <f t="shared" si="5"/>
        <v>32</v>
      </c>
      <c r="M27" s="71">
        <f t="shared" si="5"/>
        <v>16</v>
      </c>
      <c r="N27" s="71">
        <f t="shared" si="5"/>
        <v>34</v>
      </c>
      <c r="O27" s="71">
        <f t="shared" si="5"/>
        <v>22</v>
      </c>
      <c r="P27" s="71">
        <f t="shared" si="5"/>
        <v>27</v>
      </c>
      <c r="Q27" s="71">
        <f t="shared" si="5"/>
        <v>24</v>
      </c>
      <c r="R27" s="71">
        <f t="shared" si="5"/>
        <v>19</v>
      </c>
      <c r="S27" s="71">
        <f t="shared" si="5"/>
        <v>7</v>
      </c>
      <c r="T27" s="71">
        <f t="shared" si="5"/>
        <v>1</v>
      </c>
      <c r="U27" s="71">
        <f t="shared" si="5"/>
        <v>27</v>
      </c>
      <c r="V27" s="71">
        <f t="shared" si="5"/>
        <v>21</v>
      </c>
      <c r="W27" s="71">
        <f t="shared" si="5"/>
        <v>5</v>
      </c>
      <c r="X27" s="71">
        <f t="shared" si="5"/>
        <v>36</v>
      </c>
      <c r="Y27" s="71">
        <f t="shared" si="5"/>
        <v>5</v>
      </c>
      <c r="Z27" s="71">
        <f t="shared" si="5"/>
        <v>5</v>
      </c>
      <c r="AA27" s="71">
        <f t="shared" si="5"/>
        <v>20</v>
      </c>
      <c r="AB27" s="71">
        <f t="shared" si="5"/>
        <v>43</v>
      </c>
      <c r="AC27" s="71">
        <f t="shared" si="5"/>
        <v>15</v>
      </c>
      <c r="AD27" s="71">
        <f t="shared" si="5"/>
        <v>30</v>
      </c>
      <c r="AE27" s="71">
        <f t="shared" si="5"/>
        <v>19</v>
      </c>
      <c r="AF27" s="71">
        <f t="shared" si="5"/>
        <v>16</v>
      </c>
      <c r="AG27" s="71">
        <f t="shared" si="5"/>
        <v>15</v>
      </c>
      <c r="AH27" s="71">
        <f t="shared" si="5"/>
        <v>10</v>
      </c>
      <c r="AI27" s="71">
        <f t="shared" si="5"/>
        <v>11</v>
      </c>
      <c r="AJ27" s="71">
        <f t="shared" si="5"/>
        <v>2</v>
      </c>
      <c r="AK27" s="71">
        <f t="shared" si="5"/>
        <v>6</v>
      </c>
      <c r="AL27" s="71">
        <f t="shared" si="5"/>
        <v>27</v>
      </c>
      <c r="AM27" s="71">
        <f t="shared" si="5"/>
        <v>9</v>
      </c>
      <c r="AN27" s="71">
        <f t="shared" si="5"/>
        <v>23</v>
      </c>
      <c r="AO27" s="71">
        <f t="shared" si="5"/>
        <v>10</v>
      </c>
      <c r="AP27" s="71">
        <f t="shared" si="5"/>
        <v>2</v>
      </c>
      <c r="AQ27" s="71">
        <f t="shared" si="5"/>
        <v>21</v>
      </c>
      <c r="AR27" s="71">
        <f t="shared" si="5"/>
        <v>8</v>
      </c>
      <c r="AS27" s="71">
        <f t="shared" si="5"/>
        <v>22</v>
      </c>
      <c r="AT27" s="71">
        <f t="shared" si="5"/>
        <v>9</v>
      </c>
      <c r="AU27" s="71">
        <f t="shared" si="5"/>
        <v>1</v>
      </c>
      <c r="AV27" s="71">
        <f t="shared" si="5"/>
        <v>19</v>
      </c>
      <c r="AW27" s="71">
        <f t="shared" si="5"/>
        <v>19</v>
      </c>
      <c r="AX27" s="71">
        <f t="shared" si="5"/>
        <v>28</v>
      </c>
      <c r="AY27" s="71">
        <f t="shared" si="5"/>
        <v>1</v>
      </c>
      <c r="AZ27" s="71">
        <f t="shared" si="5"/>
        <v>13</v>
      </c>
      <c r="BA27" s="71">
        <f t="shared" si="5"/>
        <v>37</v>
      </c>
      <c r="BB27" s="71">
        <f t="shared" si="5"/>
        <v>1</v>
      </c>
      <c r="BC27" s="71">
        <f t="shared" si="5"/>
        <v>8</v>
      </c>
      <c r="BD27" s="71">
        <f t="shared" si="5"/>
        <v>16</v>
      </c>
      <c r="BE27" s="71">
        <f t="shared" si="5"/>
        <v>36</v>
      </c>
      <c r="BF27" s="71">
        <f t="shared" si="5"/>
        <v>36</v>
      </c>
      <c r="BG27" s="71">
        <f t="shared" si="5"/>
        <v>38</v>
      </c>
      <c r="BH27" s="71">
        <f t="shared" si="5"/>
        <v>23</v>
      </c>
      <c r="BI27" s="71">
        <f t="shared" si="5"/>
        <v>20</v>
      </c>
      <c r="BJ27" s="71">
        <f t="shared" si="5"/>
        <v>9</v>
      </c>
      <c r="BK27" s="71">
        <f t="shared" si="5"/>
        <v>5</v>
      </c>
      <c r="BL27" s="71">
        <f t="shared" si="5"/>
        <v>5</v>
      </c>
      <c r="BM27" s="71">
        <f t="shared" si="5"/>
        <v>21</v>
      </c>
      <c r="BN27" s="71">
        <f t="shared" si="5"/>
        <v>13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>
        <f t="shared" ca="1" si="6"/>
        <v>1</v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0.48035714285714287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4</v>
      </c>
      <c r="M29" s="71">
        <f t="shared" si="7"/>
        <v>7</v>
      </c>
      <c r="N29" s="71">
        <f t="shared" si="7"/>
        <v>5</v>
      </c>
      <c r="O29" s="71">
        <f t="shared" si="7"/>
        <v>9</v>
      </c>
      <c r="P29" s="71">
        <f t="shared" si="7"/>
        <v>9</v>
      </c>
      <c r="Q29" s="71">
        <f t="shared" si="7"/>
        <v>8</v>
      </c>
      <c r="R29" s="71">
        <f t="shared" si="7"/>
        <v>6</v>
      </c>
      <c r="S29" s="71">
        <f t="shared" si="7"/>
        <v>4</v>
      </c>
      <c r="T29" s="71">
        <f t="shared" si="7"/>
        <v>3</v>
      </c>
      <c r="U29" s="71">
        <f t="shared" si="7"/>
        <v>5</v>
      </c>
      <c r="V29" s="71">
        <f t="shared" si="7"/>
        <v>6</v>
      </c>
      <c r="W29" s="71">
        <f t="shared" si="7"/>
        <v>4</v>
      </c>
      <c r="X29" s="71">
        <f t="shared" si="7"/>
        <v>0</v>
      </c>
      <c r="Y29" s="71">
        <f t="shared" si="7"/>
        <v>3</v>
      </c>
      <c r="Z29" s="71">
        <f t="shared" si="7"/>
        <v>5</v>
      </c>
      <c r="AA29" s="71">
        <f t="shared" si="7"/>
        <v>4</v>
      </c>
      <c r="AB29" s="71">
        <f t="shared" si="7"/>
        <v>5</v>
      </c>
      <c r="AC29" s="71">
        <f t="shared" si="7"/>
        <v>5</v>
      </c>
      <c r="AD29" s="71">
        <f t="shared" si="7"/>
        <v>4</v>
      </c>
      <c r="AE29" s="71">
        <f t="shared" si="7"/>
        <v>3</v>
      </c>
      <c r="AF29" s="71">
        <f t="shared" si="7"/>
        <v>5</v>
      </c>
      <c r="AG29" s="71">
        <f t="shared" si="7"/>
        <v>5</v>
      </c>
      <c r="AH29" s="71">
        <f t="shared" si="7"/>
        <v>6</v>
      </c>
      <c r="AI29" s="71">
        <f t="shared" si="7"/>
        <v>6</v>
      </c>
      <c r="AJ29" s="71">
        <f t="shared" si="7"/>
        <v>6</v>
      </c>
      <c r="AK29" s="71">
        <f t="shared" si="7"/>
        <v>6</v>
      </c>
      <c r="AL29" s="71">
        <f t="shared" si="7"/>
        <v>4</v>
      </c>
      <c r="AM29" s="71">
        <f t="shared" si="7"/>
        <v>6</v>
      </c>
      <c r="AN29" s="71">
        <f t="shared" si="7"/>
        <v>6</v>
      </c>
      <c r="AO29" s="71">
        <f t="shared" si="7"/>
        <v>8</v>
      </c>
      <c r="AP29" s="71">
        <f t="shared" si="7"/>
        <v>5</v>
      </c>
      <c r="AQ29" s="71">
        <f t="shared" si="7"/>
        <v>6</v>
      </c>
      <c r="AR29" s="71">
        <f t="shared" si="7"/>
        <v>6</v>
      </c>
      <c r="AS29" s="71">
        <f t="shared" si="7"/>
        <v>6</v>
      </c>
      <c r="AT29" s="71">
        <f t="shared" si="7"/>
        <v>7</v>
      </c>
      <c r="AU29" s="71">
        <f t="shared" si="7"/>
        <v>6</v>
      </c>
      <c r="AV29" s="71">
        <f t="shared" si="7"/>
        <v>5</v>
      </c>
      <c r="AW29" s="71">
        <f t="shared" si="7"/>
        <v>5</v>
      </c>
      <c r="AX29" s="71">
        <f t="shared" si="7"/>
        <v>7</v>
      </c>
      <c r="AY29" s="71">
        <f t="shared" si="7"/>
        <v>4</v>
      </c>
      <c r="AZ29" s="71">
        <f t="shared" si="7"/>
        <v>3</v>
      </c>
      <c r="BA29" s="71">
        <f t="shared" si="7"/>
        <v>3</v>
      </c>
      <c r="BB29" s="71">
        <f t="shared" si="7"/>
        <v>4</v>
      </c>
      <c r="BC29" s="71">
        <f t="shared" si="7"/>
        <v>6</v>
      </c>
      <c r="BD29" s="71">
        <f t="shared" si="7"/>
        <v>3</v>
      </c>
      <c r="BE29" s="71">
        <f t="shared" si="7"/>
        <v>0</v>
      </c>
      <c r="BF29" s="71">
        <f t="shared" si="7"/>
        <v>0</v>
      </c>
      <c r="BG29" s="71">
        <f t="shared" si="7"/>
        <v>3</v>
      </c>
      <c r="BH29" s="71">
        <f t="shared" si="7"/>
        <v>4</v>
      </c>
      <c r="BI29" s="71">
        <f t="shared" si="7"/>
        <v>3</v>
      </c>
      <c r="BJ29" s="71">
        <f t="shared" si="7"/>
        <v>7</v>
      </c>
      <c r="BK29" s="71">
        <f t="shared" si="7"/>
        <v>7</v>
      </c>
      <c r="BL29" s="71">
        <f t="shared" si="7"/>
        <v>4</v>
      </c>
      <c r="BM29" s="71">
        <f t="shared" si="7"/>
        <v>7</v>
      </c>
      <c r="BN29" s="71">
        <f t="shared" si="7"/>
        <v>5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2</v>
      </c>
      <c r="O30" s="73">
        <f t="shared" si="8"/>
        <v>8</v>
      </c>
      <c r="P30" s="73">
        <f t="shared" si="8"/>
        <v>6</v>
      </c>
      <c r="Q30" s="73">
        <f t="shared" si="8"/>
        <v>5</v>
      </c>
      <c r="R30" s="73">
        <f t="shared" si="8"/>
        <v>5</v>
      </c>
      <c r="S30" s="73">
        <f t="shared" si="8"/>
        <v>1</v>
      </c>
      <c r="T30" s="73">
        <f t="shared" si="8"/>
        <v>6</v>
      </c>
      <c r="U30" s="73">
        <f t="shared" si="8"/>
        <v>4</v>
      </c>
      <c r="V30" s="73">
        <f t="shared" si="8"/>
        <v>7</v>
      </c>
      <c r="W30" s="73">
        <f t="shared" si="8"/>
        <v>1</v>
      </c>
      <c r="X30" s="73">
        <f t="shared" si="8"/>
        <v>10</v>
      </c>
      <c r="Y30" s="73">
        <f t="shared" si="8"/>
        <v>4</v>
      </c>
      <c r="Z30" s="73">
        <f t="shared" si="8"/>
        <v>4</v>
      </c>
      <c r="AA30" s="73">
        <f t="shared" si="8"/>
        <v>3</v>
      </c>
      <c r="AB30" s="73">
        <f t="shared" si="8"/>
        <v>2</v>
      </c>
      <c r="AC30" s="73">
        <f t="shared" si="8"/>
        <v>4</v>
      </c>
      <c r="AD30" s="73">
        <f t="shared" si="8"/>
        <v>1</v>
      </c>
      <c r="AE30" s="73">
        <f t="shared" si="8"/>
        <v>6</v>
      </c>
      <c r="AF30" s="73">
        <f t="shared" si="8"/>
        <v>4</v>
      </c>
      <c r="AG30" s="73">
        <f t="shared" si="8"/>
        <v>4</v>
      </c>
      <c r="AH30" s="73">
        <f t="shared" si="8"/>
        <v>3</v>
      </c>
      <c r="AI30" s="73">
        <f t="shared" si="8"/>
        <v>3</v>
      </c>
      <c r="AJ30" s="73">
        <f t="shared" si="8"/>
        <v>3</v>
      </c>
      <c r="AK30" s="73">
        <f t="shared" si="8"/>
        <v>5</v>
      </c>
      <c r="AL30" s="73">
        <f t="shared" si="8"/>
        <v>3</v>
      </c>
      <c r="AM30" s="73">
        <f t="shared" si="8"/>
        <v>3</v>
      </c>
      <c r="AN30" s="73">
        <f t="shared" si="8"/>
        <v>5</v>
      </c>
      <c r="AO30" s="73">
        <f t="shared" si="8"/>
        <v>7</v>
      </c>
      <c r="AP30" s="73">
        <f t="shared" si="8"/>
        <v>4</v>
      </c>
      <c r="AQ30" s="73">
        <f t="shared" si="8"/>
        <v>3</v>
      </c>
      <c r="AR30" s="73">
        <f t="shared" si="8"/>
        <v>5</v>
      </c>
      <c r="AS30" s="73">
        <f t="shared" si="8"/>
        <v>7</v>
      </c>
      <c r="AT30" s="73">
        <f t="shared" si="8"/>
        <v>6</v>
      </c>
      <c r="AU30" s="73">
        <f t="shared" si="8"/>
        <v>3</v>
      </c>
      <c r="AV30" s="73">
        <f t="shared" si="8"/>
        <v>6</v>
      </c>
      <c r="AW30" s="73">
        <f t="shared" si="8"/>
        <v>4</v>
      </c>
      <c r="AX30" s="73">
        <f t="shared" si="8"/>
        <v>4</v>
      </c>
      <c r="AY30" s="73">
        <f t="shared" si="8"/>
        <v>3</v>
      </c>
      <c r="AZ30" s="73">
        <f t="shared" si="8"/>
        <v>6</v>
      </c>
      <c r="BA30" s="73">
        <f t="shared" si="8"/>
        <v>2</v>
      </c>
      <c r="BB30" s="73">
        <f t="shared" si="8"/>
        <v>1</v>
      </c>
      <c r="BC30" s="73">
        <f t="shared" si="8"/>
        <v>3</v>
      </c>
      <c r="BD30" s="73">
        <f t="shared" si="8"/>
        <v>6</v>
      </c>
      <c r="BE30" s="73">
        <f t="shared" si="8"/>
        <v>10</v>
      </c>
      <c r="BF30" s="73">
        <f t="shared" si="8"/>
        <v>10</v>
      </c>
      <c r="BG30" s="73">
        <f t="shared" si="8"/>
        <v>2</v>
      </c>
      <c r="BH30" s="73">
        <f t="shared" si="8"/>
        <v>7</v>
      </c>
      <c r="BI30" s="73">
        <f t="shared" si="8"/>
        <v>4</v>
      </c>
      <c r="BJ30" s="73">
        <f t="shared" si="8"/>
        <v>4</v>
      </c>
      <c r="BK30" s="73">
        <f t="shared" si="8"/>
        <v>10</v>
      </c>
      <c r="BL30" s="73">
        <f t="shared" si="8"/>
        <v>3</v>
      </c>
      <c r="BM30" s="73">
        <f t="shared" si="8"/>
        <v>4</v>
      </c>
      <c r="BN30" s="73">
        <f t="shared" si="8"/>
        <v>4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4</v>
      </c>
      <c r="N31" s="71">
        <f t="shared" ca="1" si="9"/>
        <v>0</v>
      </c>
      <c r="O31" s="71">
        <f t="shared" ca="1" si="9"/>
        <v>6</v>
      </c>
      <c r="P31" s="71">
        <f t="shared" ca="1" si="9"/>
        <v>4</v>
      </c>
      <c r="Q31" s="71">
        <f t="shared" ca="1" si="9"/>
        <v>5</v>
      </c>
      <c r="R31" s="71">
        <f t="shared" ca="1" si="9"/>
        <v>3</v>
      </c>
      <c r="S31" s="71">
        <f t="shared" ca="1" si="9"/>
        <v>3</v>
      </c>
      <c r="T31" s="71">
        <f t="shared" ca="1" si="9"/>
        <v>6</v>
      </c>
      <c r="U31" s="71">
        <f t="shared" ca="1" si="9"/>
        <v>4</v>
      </c>
      <c r="V31" s="71">
        <f t="shared" ca="1" si="9"/>
        <v>5</v>
      </c>
      <c r="W31" s="71">
        <f t="shared" ca="1" si="9"/>
        <v>1</v>
      </c>
      <c r="X31" s="71">
        <f t="shared" ca="1" si="9"/>
        <v>10</v>
      </c>
      <c r="Y31" s="71">
        <f t="shared" ca="1" si="9"/>
        <v>6</v>
      </c>
      <c r="Z31" s="71">
        <f t="shared" ca="1" si="9"/>
        <v>2</v>
      </c>
      <c r="AA31" s="71">
        <f t="shared" ca="1" si="9"/>
        <v>1</v>
      </c>
      <c r="AB31" s="71">
        <f t="shared" ca="1" si="9"/>
        <v>2</v>
      </c>
      <c r="AC31" s="71">
        <f t="shared" ca="1" si="9"/>
        <v>2</v>
      </c>
      <c r="AD31" s="71">
        <f t="shared" ca="1" si="9"/>
        <v>1</v>
      </c>
      <c r="AE31" s="71">
        <f t="shared" ca="1" si="9"/>
        <v>6</v>
      </c>
      <c r="AF31" s="71">
        <f t="shared" ca="1" si="9"/>
        <v>4</v>
      </c>
      <c r="AG31" s="71">
        <f t="shared" ca="1" si="9"/>
        <v>4</v>
      </c>
      <c r="AH31" s="71">
        <f t="shared" ca="1" si="9"/>
        <v>1</v>
      </c>
      <c r="AI31" s="71">
        <f t="shared" ca="1" si="9"/>
        <v>5</v>
      </c>
      <c r="AJ31" s="71">
        <f t="shared" ca="1" si="9"/>
        <v>1</v>
      </c>
      <c r="AK31" s="71">
        <f t="shared" ca="1" si="9"/>
        <v>3</v>
      </c>
      <c r="AL31" s="71">
        <f t="shared" ca="1" si="9"/>
        <v>1</v>
      </c>
      <c r="AM31" s="71">
        <f t="shared" ca="1" si="9"/>
        <v>3</v>
      </c>
      <c r="AN31" s="71">
        <f t="shared" ca="1" si="9"/>
        <v>3</v>
      </c>
      <c r="AO31" s="71">
        <f t="shared" ca="1" si="9"/>
        <v>7</v>
      </c>
      <c r="AP31" s="71">
        <f t="shared" ca="1" si="9"/>
        <v>4</v>
      </c>
      <c r="AQ31" s="71">
        <f t="shared" ca="1" si="9"/>
        <v>1</v>
      </c>
      <c r="AR31" s="71">
        <f t="shared" ca="1" si="9"/>
        <v>5</v>
      </c>
      <c r="AS31" s="71">
        <f t="shared" ca="1" si="9"/>
        <v>5</v>
      </c>
      <c r="AT31" s="71">
        <f t="shared" ca="1" si="9"/>
        <v>4</v>
      </c>
      <c r="AU31" s="71">
        <f t="shared" ca="1" si="9"/>
        <v>1</v>
      </c>
      <c r="AV31" s="71">
        <f t="shared" ca="1" si="9"/>
        <v>4</v>
      </c>
      <c r="AW31" s="71">
        <f t="shared" ca="1" si="9"/>
        <v>4</v>
      </c>
      <c r="AX31" s="71">
        <f t="shared" ca="1" si="9"/>
        <v>2</v>
      </c>
      <c r="AY31" s="71">
        <f t="shared" ca="1" si="9"/>
        <v>1</v>
      </c>
      <c r="AZ31" s="71">
        <f t="shared" ca="1" si="9"/>
        <v>6</v>
      </c>
      <c r="BA31" s="71">
        <f t="shared" ca="1" si="9"/>
        <v>2</v>
      </c>
      <c r="BB31" s="71">
        <f t="shared" ca="1" si="9"/>
        <v>1</v>
      </c>
      <c r="BC31" s="71">
        <f t="shared" ca="1" si="9"/>
        <v>1</v>
      </c>
      <c r="BD31" s="71">
        <f t="shared" ca="1" si="9"/>
        <v>6</v>
      </c>
      <c r="BE31" s="71">
        <f t="shared" ca="1" si="9"/>
        <v>10</v>
      </c>
      <c r="BF31" s="71">
        <f t="shared" ca="1" si="9"/>
        <v>10</v>
      </c>
      <c r="BG31" s="71">
        <f t="shared" ca="1" si="9"/>
        <v>4</v>
      </c>
      <c r="BH31" s="71">
        <f t="shared" ca="1" si="9"/>
        <v>7</v>
      </c>
      <c r="BI31" s="71">
        <f t="shared" ca="1" si="9"/>
        <v>4</v>
      </c>
      <c r="BJ31" s="71">
        <f t="shared" ca="1" si="9"/>
        <v>2</v>
      </c>
      <c r="BK31" s="71">
        <f t="shared" ca="1" si="9"/>
        <v>8</v>
      </c>
      <c r="BL31" s="71">
        <f t="shared" ca="1" si="9"/>
        <v>1</v>
      </c>
      <c r="BM31" s="71">
        <f t="shared" ca="1" si="9"/>
        <v>2</v>
      </c>
      <c r="BN31" s="71">
        <f t="shared" ca="1" si="9"/>
        <v>4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0</v>
      </c>
      <c r="BF35" s="35">
        <f t="shared" si="11"/>
        <v>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79875948</v>
      </c>
      <c r="L36" s="32">
        <f t="shared" si="12"/>
        <v>101895872</v>
      </c>
      <c r="M36" s="32">
        <f t="shared" si="12"/>
        <v>119887936</v>
      </c>
      <c r="N36" s="32">
        <f t="shared" si="12"/>
        <v>119847864</v>
      </c>
      <c r="O36" s="32">
        <f t="shared" si="12"/>
        <v>81895912</v>
      </c>
      <c r="P36" s="32">
        <f t="shared" si="12"/>
        <v>79875892</v>
      </c>
      <c r="Q36" s="32">
        <f t="shared" si="12"/>
        <v>99887904</v>
      </c>
      <c r="R36" s="32">
        <f t="shared" si="12"/>
        <v>141931924</v>
      </c>
      <c r="S36" s="32">
        <f t="shared" si="12"/>
        <v>139891972</v>
      </c>
      <c r="T36" s="32">
        <f t="shared" si="12"/>
        <v>39835996</v>
      </c>
      <c r="U36" s="32">
        <f t="shared" si="12"/>
        <v>119875892</v>
      </c>
      <c r="V36" s="32">
        <f t="shared" si="12"/>
        <v>59859916</v>
      </c>
      <c r="W36" s="32">
        <f t="shared" si="12"/>
        <v>139891980</v>
      </c>
      <c r="X36" s="32">
        <f t="shared" si="12"/>
        <v>0</v>
      </c>
      <c r="Y36" s="32">
        <f t="shared" si="12"/>
        <v>119851980</v>
      </c>
      <c r="Z36" s="32">
        <f t="shared" si="12"/>
        <v>79875980</v>
      </c>
      <c r="AA36" s="32">
        <f t="shared" si="12"/>
        <v>99871920</v>
      </c>
      <c r="AB36" s="32">
        <f t="shared" si="12"/>
        <v>119835828</v>
      </c>
      <c r="AC36" s="32">
        <f t="shared" si="12"/>
        <v>119891940</v>
      </c>
      <c r="AD36" s="32">
        <f t="shared" si="12"/>
        <v>139815880</v>
      </c>
      <c r="AE36" s="32">
        <f t="shared" si="12"/>
        <v>39811924</v>
      </c>
      <c r="AF36" s="32">
        <f t="shared" si="12"/>
        <v>79887936</v>
      </c>
      <c r="AG36" s="32">
        <f t="shared" si="12"/>
        <v>119859940</v>
      </c>
      <c r="AH36" s="32">
        <f t="shared" si="12"/>
        <v>141911960</v>
      </c>
      <c r="AI36" s="32">
        <f t="shared" si="12"/>
        <v>181931956</v>
      </c>
      <c r="AJ36" s="32">
        <f t="shared" si="12"/>
        <v>99863992</v>
      </c>
      <c r="AK36" s="32">
        <f t="shared" si="12"/>
        <v>59887976</v>
      </c>
      <c r="AL36" s="32">
        <f t="shared" si="12"/>
        <v>99875892</v>
      </c>
      <c r="AM36" s="32">
        <f t="shared" si="12"/>
        <v>139859964</v>
      </c>
      <c r="AN36" s="32">
        <f t="shared" si="12"/>
        <v>101915908</v>
      </c>
      <c r="AO36" s="32">
        <f t="shared" si="12"/>
        <v>101911960</v>
      </c>
      <c r="AP36" s="32">
        <f t="shared" si="12"/>
        <v>119887992</v>
      </c>
      <c r="AQ36" s="32">
        <f t="shared" si="12"/>
        <v>99891916</v>
      </c>
      <c r="AR36" s="32">
        <f t="shared" si="12"/>
        <v>59863968</v>
      </c>
      <c r="AS36" s="32">
        <f t="shared" si="12"/>
        <v>59887912</v>
      </c>
      <c r="AT36" s="32">
        <f t="shared" si="12"/>
        <v>79859964</v>
      </c>
      <c r="AU36" s="32">
        <f t="shared" si="12"/>
        <v>99875996</v>
      </c>
      <c r="AV36" s="32">
        <f t="shared" si="12"/>
        <v>79875924</v>
      </c>
      <c r="AW36" s="32">
        <f t="shared" si="12"/>
        <v>79875924</v>
      </c>
      <c r="AX36" s="32">
        <f t="shared" si="12"/>
        <v>119887888</v>
      </c>
      <c r="AY36" s="32">
        <f t="shared" si="12"/>
        <v>99859996</v>
      </c>
      <c r="AZ36" s="32">
        <f t="shared" si="12"/>
        <v>79875948</v>
      </c>
      <c r="BA36" s="32">
        <f t="shared" si="12"/>
        <v>119891852</v>
      </c>
      <c r="BB36" s="32">
        <f t="shared" si="12"/>
        <v>139875996</v>
      </c>
      <c r="BC36" s="32">
        <f t="shared" si="12"/>
        <v>141911968</v>
      </c>
      <c r="BD36" s="32">
        <f t="shared" si="12"/>
        <v>79887936</v>
      </c>
      <c r="BE36" s="32">
        <f t="shared" si="12"/>
        <v>0</v>
      </c>
      <c r="BF36" s="32">
        <f t="shared" si="12"/>
        <v>0</v>
      </c>
      <c r="BG36" s="32">
        <f t="shared" si="12"/>
        <v>119791848</v>
      </c>
      <c r="BH36" s="32">
        <f t="shared" si="12"/>
        <v>59891908</v>
      </c>
      <c r="BI36" s="32">
        <f t="shared" si="12"/>
        <v>121903920</v>
      </c>
      <c r="BJ36" s="32">
        <f t="shared" si="12"/>
        <v>119891964</v>
      </c>
      <c r="BK36" s="32">
        <f t="shared" si="12"/>
        <v>41899980</v>
      </c>
      <c r="BL36" s="32">
        <f t="shared" si="12"/>
        <v>99875980</v>
      </c>
      <c r="BM36" s="32">
        <f t="shared" si="12"/>
        <v>119891916</v>
      </c>
      <c r="BN36" s="32">
        <f t="shared" si="12"/>
        <v>79875948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ca="1" si="13"/>
        <v>Emptage, Nick</v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Emptage, Nick;Staub, Ryan;Steel, Van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1" priority="9" stopIfTrue="1" operator="equal">
      <formula>0</formula>
    </cfRule>
  </conditionalFormatting>
  <conditionalFormatting sqref="D26:J28 K28:BE28">
    <cfRule type="cellIs" dxfId="180" priority="10" stopIfTrue="1" operator="equal">
      <formula>1</formula>
    </cfRule>
  </conditionalFormatting>
  <conditionalFormatting sqref="H3:I3 F23 H5:I5 H7:I7 H9:I9 H11:I11 H13:I13 H15:I15 H17:I17 H19:I19 H21:I21">
    <cfRule type="cellIs" dxfId="179" priority="11" stopIfTrue="1" operator="equal">
      <formula>0</formula>
    </cfRule>
  </conditionalFormatting>
  <conditionalFormatting sqref="H4:I4 F24 H6:I6 H8:I8 H10:I10 H12:I12 H14:I14 H16:I16 H18:I18 H20:I20 H22:I22">
    <cfRule type="cellIs" dxfId="178" priority="12" stopIfTrue="1" operator="equal">
      <formula>0</formula>
    </cfRule>
  </conditionalFormatting>
  <conditionalFormatting sqref="F3 F5 F7 F9 F11 F13 F15 F17 F19 F21">
    <cfRule type="cellIs" dxfId="1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7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5" priority="15" stopIfTrue="1">
      <formula>AND(COUNTA(J4)=1,$E4=1,SUM($E3:$E4)=1)</formula>
    </cfRule>
    <cfRule type="expression" dxfId="17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3" priority="17" stopIfTrue="1">
      <formula>AND(COUNTA(J3)=1,$E3=1,SUM($E3:$E4)=1)</formula>
    </cfRule>
    <cfRule type="expression" dxfId="172" priority="18" stopIfTrue="1">
      <formula>AND(COUNTA(J3)=1,$E3=0,SUM($E3:$E4)=1)</formula>
    </cfRule>
  </conditionalFormatting>
  <conditionalFormatting sqref="BF23:BN23">
    <cfRule type="cellIs" dxfId="171" priority="7" stopIfTrue="1" operator="equal">
      <formula>0</formula>
    </cfRule>
  </conditionalFormatting>
  <conditionalFormatting sqref="BF24:BN24">
    <cfRule type="cellIs" dxfId="170" priority="6" stopIfTrue="1" operator="equal">
      <formula>0</formula>
    </cfRule>
  </conditionalFormatting>
  <conditionalFormatting sqref="BF28:BN28">
    <cfRule type="cellIs" dxfId="169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68" priority="3" stopIfTrue="1">
      <formula>AND(COUNTA(BF4)=1,$E4=1,SUM($E3:$E4)=1)</formula>
    </cfRule>
    <cfRule type="expression" dxfId="167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66" priority="1" stopIfTrue="1">
      <formula>AND(COUNTA(BF3)=1,$E3=1,SUM($E3:$E4)=1)</formula>
    </cfRule>
    <cfRule type="expression" dxfId="1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A1:BN58"/>
  <sheetViews>
    <sheetView zoomScale="90" zoomScaleNormal="100" zoomScaleSheetLayoutView="100" workbookViewId="0">
      <selection activeCell="D23" sqref="D2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>
      <c r="B1" s="6"/>
      <c r="I1">
        <f>COUNTA(K1:BW1)</f>
        <v>0</v>
      </c>
      <c r="J1">
        <f>SUM(K1:BW1)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>
      <c r="A3" s="59">
        <v>1</v>
      </c>
      <c r="B3" s="67" t="s">
        <v>242</v>
      </c>
      <c r="C3" s="65"/>
      <c r="D3" s="64">
        <v>6</v>
      </c>
      <c r="E3" s="64">
        <f>IF(ISBLANK($D3),"0",IF(($D4-$D3)&lt;($C4-$C3),1,0))</f>
        <v>0</v>
      </c>
      <c r="F3" s="64">
        <f ca="1">COUNTA(INDIRECT("RC11:RC"&amp;11+playercnt-1,FALSE))</f>
        <v>43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 t="s">
        <v>314</v>
      </c>
      <c r="M3" s="69" t="s">
        <v>314</v>
      </c>
      <c r="N3" s="69" t="s">
        <v>314</v>
      </c>
      <c r="O3" s="69" t="s">
        <v>314</v>
      </c>
      <c r="P3" s="69" t="s">
        <v>314</v>
      </c>
      <c r="Q3" s="69" t="s">
        <v>314</v>
      </c>
      <c r="R3" s="69" t="s">
        <v>314</v>
      </c>
      <c r="S3" s="69" t="s">
        <v>314</v>
      </c>
      <c r="T3" s="69" t="s">
        <v>314</v>
      </c>
      <c r="U3" s="69" t="s">
        <v>314</v>
      </c>
      <c r="V3" s="69" t="s">
        <v>314</v>
      </c>
      <c r="W3" s="69" t="s">
        <v>314</v>
      </c>
      <c r="X3" s="69" t="s">
        <v>314</v>
      </c>
      <c r="Y3" s="69" t="s">
        <v>314</v>
      </c>
      <c r="Z3" s="69"/>
      <c r="AA3" s="69"/>
      <c r="AB3" s="69" t="s">
        <v>314</v>
      </c>
      <c r="AC3" s="69" t="s">
        <v>314</v>
      </c>
      <c r="AD3" s="69"/>
      <c r="AE3" s="69" t="s">
        <v>314</v>
      </c>
      <c r="AF3" s="69" t="s">
        <v>314</v>
      </c>
      <c r="AG3" s="69" t="s">
        <v>314</v>
      </c>
      <c r="AH3" s="69" t="s">
        <v>314</v>
      </c>
      <c r="AI3" s="69" t="s">
        <v>314</v>
      </c>
      <c r="AJ3" s="69" t="s">
        <v>314</v>
      </c>
      <c r="AK3" s="69"/>
      <c r="AL3" s="69" t="s">
        <v>314</v>
      </c>
      <c r="AM3" s="69" t="s">
        <v>314</v>
      </c>
      <c r="AN3" s="69" t="s">
        <v>314</v>
      </c>
      <c r="AO3" s="69" t="s">
        <v>314</v>
      </c>
      <c r="AP3" s="69" t="s">
        <v>314</v>
      </c>
      <c r="AQ3" s="69" t="s">
        <v>314</v>
      </c>
      <c r="AR3" s="96" t="s">
        <v>314</v>
      </c>
      <c r="AS3" s="69" t="s">
        <v>314</v>
      </c>
      <c r="AT3" s="69" t="s">
        <v>314</v>
      </c>
      <c r="AU3" s="69" t="s">
        <v>314</v>
      </c>
      <c r="AV3" s="69" t="s">
        <v>314</v>
      </c>
      <c r="AW3" s="69" t="s">
        <v>314</v>
      </c>
      <c r="AX3" s="69" t="s">
        <v>314</v>
      </c>
      <c r="AY3" s="69" t="s">
        <v>314</v>
      </c>
      <c r="AZ3" s="69" t="s">
        <v>314</v>
      </c>
      <c r="BA3" s="69" t="s">
        <v>314</v>
      </c>
      <c r="BB3" s="69"/>
      <c r="BC3" s="69"/>
      <c r="BD3" s="69"/>
      <c r="BE3" s="96"/>
      <c r="BF3" s="69"/>
      <c r="BG3" s="69"/>
      <c r="BH3" s="69"/>
      <c r="BI3" s="69" t="s">
        <v>314</v>
      </c>
      <c r="BJ3" s="69" t="s">
        <v>314</v>
      </c>
      <c r="BK3" s="69" t="s">
        <v>314</v>
      </c>
      <c r="BL3" s="69"/>
      <c r="BM3" s="69" t="s">
        <v>314</v>
      </c>
      <c r="BN3" s="69"/>
    </row>
    <row r="4" spans="1:66">
      <c r="A4" s="61" t="s">
        <v>3</v>
      </c>
      <c r="B4" s="68" t="s">
        <v>145</v>
      </c>
      <c r="C4" s="66">
        <v>3.5</v>
      </c>
      <c r="D4" s="64">
        <v>44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 t="s">
        <v>314</v>
      </c>
      <c r="AA4" s="70"/>
      <c r="AB4" s="70"/>
      <c r="AC4" s="70"/>
      <c r="AD4" s="70" t="s">
        <v>314</v>
      </c>
      <c r="AE4" s="70"/>
      <c r="AF4" s="70"/>
      <c r="AG4" s="70"/>
      <c r="AH4" s="70"/>
      <c r="AI4" s="70"/>
      <c r="AJ4" s="70"/>
      <c r="AK4" s="70" t="s">
        <v>314</v>
      </c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 t="s">
        <v>314</v>
      </c>
      <c r="BC4" s="70" t="s">
        <v>314</v>
      </c>
      <c r="BD4" s="70" t="s">
        <v>314</v>
      </c>
      <c r="BE4" s="70" t="s">
        <v>314</v>
      </c>
      <c r="BF4" s="70" t="s">
        <v>314</v>
      </c>
      <c r="BG4" s="70" t="s">
        <v>314</v>
      </c>
      <c r="BH4" s="70" t="s">
        <v>314</v>
      </c>
      <c r="BI4" s="70"/>
      <c r="BJ4" s="70"/>
      <c r="BK4" s="70"/>
      <c r="BL4" s="70" t="s">
        <v>314</v>
      </c>
      <c r="BM4" s="70"/>
      <c r="BN4" s="70" t="s">
        <v>314</v>
      </c>
    </row>
    <row r="5" spans="1:66">
      <c r="A5" s="59">
        <v>2</v>
      </c>
      <c r="B5" s="67" t="s">
        <v>157</v>
      </c>
      <c r="C5" s="65">
        <v>6.5</v>
      </c>
      <c r="D5" s="64">
        <v>35</v>
      </c>
      <c r="E5" s="64">
        <f>IF(ISBLANK($D5),"0",IF(($D6-$D5)&lt;($C6-$C5),1,0))</f>
        <v>1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 t="s">
        <v>314</v>
      </c>
      <c r="N5" s="69" t="s">
        <v>314</v>
      </c>
      <c r="O5" s="69"/>
      <c r="P5" s="69" t="s">
        <v>314</v>
      </c>
      <c r="Q5" s="69" t="s">
        <v>314</v>
      </c>
      <c r="R5" s="69"/>
      <c r="S5" s="69" t="s">
        <v>314</v>
      </c>
      <c r="T5" s="69" t="s">
        <v>314</v>
      </c>
      <c r="U5" s="96"/>
      <c r="V5" s="69"/>
      <c r="W5" s="69" t="s">
        <v>314</v>
      </c>
      <c r="X5" s="69"/>
      <c r="Y5" s="69" t="s">
        <v>314</v>
      </c>
      <c r="Z5" s="69" t="s">
        <v>314</v>
      </c>
      <c r="AA5" s="69"/>
      <c r="AB5" s="69" t="s">
        <v>314</v>
      </c>
      <c r="AC5" s="69"/>
      <c r="AD5" s="69"/>
      <c r="AE5" s="69" t="s">
        <v>314</v>
      </c>
      <c r="AF5" s="69" t="s">
        <v>314</v>
      </c>
      <c r="AG5" s="69"/>
      <c r="AH5" s="69" t="s">
        <v>314</v>
      </c>
      <c r="AI5" s="69" t="s">
        <v>314</v>
      </c>
      <c r="AJ5" s="69" t="s">
        <v>314</v>
      </c>
      <c r="AK5" s="69"/>
      <c r="AL5" s="69"/>
      <c r="AM5" s="69" t="s">
        <v>314</v>
      </c>
      <c r="AN5" s="69" t="s">
        <v>314</v>
      </c>
      <c r="AO5" s="69" t="s">
        <v>314</v>
      </c>
      <c r="AP5" s="69"/>
      <c r="AQ5" s="69" t="s">
        <v>314</v>
      </c>
      <c r="AR5" s="96" t="s">
        <v>314</v>
      </c>
      <c r="AS5" s="69"/>
      <c r="AT5" s="69"/>
      <c r="AU5" s="69" t="s">
        <v>314</v>
      </c>
      <c r="AV5" s="69" t="s">
        <v>314</v>
      </c>
      <c r="AW5" s="69" t="s">
        <v>314</v>
      </c>
      <c r="AX5" s="69" t="s">
        <v>314</v>
      </c>
      <c r="AY5" s="69" t="s">
        <v>314</v>
      </c>
      <c r="AZ5" s="69" t="s">
        <v>314</v>
      </c>
      <c r="BA5" s="69" t="s">
        <v>314</v>
      </c>
      <c r="BB5" s="69" t="s">
        <v>314</v>
      </c>
      <c r="BC5" s="69"/>
      <c r="BD5" s="69" t="s">
        <v>314</v>
      </c>
      <c r="BE5" s="69" t="s">
        <v>314</v>
      </c>
      <c r="BF5" s="69" t="s">
        <v>314</v>
      </c>
      <c r="BG5" s="69"/>
      <c r="BH5" s="69" t="s">
        <v>314</v>
      </c>
      <c r="BI5" s="69"/>
      <c r="BJ5" s="69" t="s">
        <v>314</v>
      </c>
      <c r="BK5" s="69"/>
      <c r="BL5" s="69" t="s">
        <v>314</v>
      </c>
      <c r="BM5" s="69" t="s">
        <v>314</v>
      </c>
      <c r="BN5" s="69"/>
    </row>
    <row r="6" spans="1:66">
      <c r="A6" s="61" t="s">
        <v>3</v>
      </c>
      <c r="B6" s="68" t="s">
        <v>139</v>
      </c>
      <c r="C6" s="66"/>
      <c r="D6" s="64">
        <v>21</v>
      </c>
      <c r="E6" s="64">
        <f>IF(ISBLANK($D6),"0",IF(($D6-$D5)&gt;($C6-$C5),1,0))</f>
        <v>0</v>
      </c>
      <c r="F6" s="64">
        <f t="shared" ca="1" si="1"/>
        <v>20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314</v>
      </c>
      <c r="L6" s="70" t="s">
        <v>314</v>
      </c>
      <c r="M6" s="70"/>
      <c r="N6" s="70"/>
      <c r="O6" s="70" t="s">
        <v>314</v>
      </c>
      <c r="P6" s="70"/>
      <c r="Q6" s="70"/>
      <c r="R6" s="70" t="s">
        <v>314</v>
      </c>
      <c r="S6" s="70"/>
      <c r="T6" s="70"/>
      <c r="U6" s="70" t="s">
        <v>314</v>
      </c>
      <c r="V6" s="70" t="s">
        <v>314</v>
      </c>
      <c r="W6" s="70"/>
      <c r="X6" s="70" t="s">
        <v>314</v>
      </c>
      <c r="Y6" s="70"/>
      <c r="Z6" s="70"/>
      <c r="AA6" s="70"/>
      <c r="AB6" s="70"/>
      <c r="AC6" s="70" t="s">
        <v>314</v>
      </c>
      <c r="AD6" s="70" t="s">
        <v>314</v>
      </c>
      <c r="AE6" s="70"/>
      <c r="AF6" s="70"/>
      <c r="AG6" s="70" t="s">
        <v>314</v>
      </c>
      <c r="AH6" s="70"/>
      <c r="AI6" s="70"/>
      <c r="AJ6" s="70"/>
      <c r="AK6" s="70" t="s">
        <v>314</v>
      </c>
      <c r="AL6" s="70" t="s">
        <v>314</v>
      </c>
      <c r="AM6" s="70"/>
      <c r="AN6" s="70"/>
      <c r="AO6" s="70"/>
      <c r="AP6" s="70" t="s">
        <v>314</v>
      </c>
      <c r="AQ6" s="70"/>
      <c r="AR6" s="70"/>
      <c r="AS6" s="70" t="s">
        <v>314</v>
      </c>
      <c r="AT6" s="70" t="s">
        <v>314</v>
      </c>
      <c r="AU6" s="70"/>
      <c r="AV6" s="70"/>
      <c r="AW6" s="70"/>
      <c r="AX6" s="70"/>
      <c r="AY6" s="70"/>
      <c r="AZ6" s="70"/>
      <c r="BA6" s="70"/>
      <c r="BB6" s="70"/>
      <c r="BC6" s="70" t="s">
        <v>314</v>
      </c>
      <c r="BD6" s="70"/>
      <c r="BE6" s="97"/>
      <c r="BF6" s="70"/>
      <c r="BG6" s="70" t="s">
        <v>314</v>
      </c>
      <c r="BH6" s="70"/>
      <c r="BI6" s="70" t="s">
        <v>314</v>
      </c>
      <c r="BJ6" s="70"/>
      <c r="BK6" s="70" t="s">
        <v>314</v>
      </c>
      <c r="BL6" s="70"/>
      <c r="BM6" s="70"/>
      <c r="BN6" s="70" t="s">
        <v>314</v>
      </c>
    </row>
    <row r="7" spans="1:66">
      <c r="A7" s="59">
        <v>3</v>
      </c>
      <c r="B7" s="67" t="s">
        <v>187</v>
      </c>
      <c r="C7" s="65"/>
      <c r="D7" s="64">
        <v>31</v>
      </c>
      <c r="E7" s="64">
        <f>IF(ISBLANK($D7),"0",IF(($D8-$D7)&lt;($C8-$C7),1,0))</f>
        <v>0</v>
      </c>
      <c r="F7" s="64">
        <f t="shared" ca="1" si="1"/>
        <v>34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314</v>
      </c>
      <c r="L7" s="69"/>
      <c r="M7" s="69"/>
      <c r="N7" s="69" t="s">
        <v>314</v>
      </c>
      <c r="O7" s="69"/>
      <c r="P7" s="69" t="s">
        <v>314</v>
      </c>
      <c r="Q7" s="69"/>
      <c r="R7" s="96" t="s">
        <v>314</v>
      </c>
      <c r="S7" s="96"/>
      <c r="T7" s="96" t="s">
        <v>314</v>
      </c>
      <c r="U7" s="96"/>
      <c r="V7" s="69"/>
      <c r="W7" s="69"/>
      <c r="X7" s="69"/>
      <c r="Y7" s="69"/>
      <c r="Z7" s="69" t="s">
        <v>314</v>
      </c>
      <c r="AA7" s="69"/>
      <c r="AB7" s="69" t="s">
        <v>314</v>
      </c>
      <c r="AC7" s="69" t="s">
        <v>314</v>
      </c>
      <c r="AD7" s="69"/>
      <c r="AE7" s="69"/>
      <c r="AF7" s="69" t="s">
        <v>314</v>
      </c>
      <c r="AG7" s="69" t="s">
        <v>314</v>
      </c>
      <c r="AH7" s="69" t="s">
        <v>314</v>
      </c>
      <c r="AI7" s="69" t="s">
        <v>314</v>
      </c>
      <c r="AJ7" s="69" t="s">
        <v>314</v>
      </c>
      <c r="AK7" s="69"/>
      <c r="AL7" s="69" t="s">
        <v>314</v>
      </c>
      <c r="AM7" s="69" t="s">
        <v>314</v>
      </c>
      <c r="AN7" s="69" t="s">
        <v>314</v>
      </c>
      <c r="AO7" s="69" t="s">
        <v>314</v>
      </c>
      <c r="AP7" s="69" t="s">
        <v>314</v>
      </c>
      <c r="AQ7" s="69"/>
      <c r="AR7" s="96"/>
      <c r="AS7" s="69"/>
      <c r="AT7" s="69" t="s">
        <v>314</v>
      </c>
      <c r="AU7" s="69"/>
      <c r="AV7" s="69" t="s">
        <v>314</v>
      </c>
      <c r="AW7" s="69" t="s">
        <v>314</v>
      </c>
      <c r="AX7" s="69" t="s">
        <v>314</v>
      </c>
      <c r="AY7" s="69" t="s">
        <v>314</v>
      </c>
      <c r="AZ7" s="69" t="s">
        <v>314</v>
      </c>
      <c r="BA7" s="69" t="s">
        <v>314</v>
      </c>
      <c r="BB7" s="69" t="s">
        <v>314</v>
      </c>
      <c r="BC7" s="69" t="s">
        <v>314</v>
      </c>
      <c r="BD7" s="69" t="s">
        <v>314</v>
      </c>
      <c r="BE7" s="96" t="s">
        <v>314</v>
      </c>
      <c r="BF7" s="69"/>
      <c r="BG7" s="69"/>
      <c r="BH7" s="69" t="s">
        <v>314</v>
      </c>
      <c r="BI7" s="69" t="s">
        <v>314</v>
      </c>
      <c r="BJ7" s="69"/>
      <c r="BK7" s="69" t="s">
        <v>314</v>
      </c>
      <c r="BL7" s="69" t="s">
        <v>314</v>
      </c>
      <c r="BM7" s="69" t="s">
        <v>314</v>
      </c>
      <c r="BN7" s="69"/>
    </row>
    <row r="8" spans="1:66">
      <c r="A8" s="61" t="s">
        <v>3</v>
      </c>
      <c r="B8" s="68" t="s">
        <v>147</v>
      </c>
      <c r="C8" s="66">
        <v>3.5</v>
      </c>
      <c r="D8" s="64">
        <v>49</v>
      </c>
      <c r="E8" s="64">
        <f>IF(ISBLANK($D8),"0",IF(($D8-$D7)&gt;($C8-$C7),1,0))</f>
        <v>1</v>
      </c>
      <c r="F8" s="64">
        <f t="shared" ca="1" si="1"/>
        <v>21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314</v>
      </c>
      <c r="M8" s="70" t="s">
        <v>314</v>
      </c>
      <c r="N8" s="70"/>
      <c r="O8" s="70" t="s">
        <v>314</v>
      </c>
      <c r="P8" s="70"/>
      <c r="Q8" s="70" t="s">
        <v>314</v>
      </c>
      <c r="R8" s="97"/>
      <c r="S8" s="97" t="s">
        <v>314</v>
      </c>
      <c r="T8" s="97"/>
      <c r="U8" s="97" t="s">
        <v>314</v>
      </c>
      <c r="V8" s="70" t="s">
        <v>314</v>
      </c>
      <c r="W8" s="70" t="s">
        <v>314</v>
      </c>
      <c r="X8" s="70" t="s">
        <v>314</v>
      </c>
      <c r="Y8" s="70" t="s">
        <v>314</v>
      </c>
      <c r="Z8" s="70"/>
      <c r="AA8" s="70"/>
      <c r="AB8" s="70"/>
      <c r="AC8" s="70"/>
      <c r="AD8" s="70" t="s">
        <v>314</v>
      </c>
      <c r="AE8" s="70" t="s">
        <v>314</v>
      </c>
      <c r="AF8" s="70"/>
      <c r="AG8" s="70"/>
      <c r="AH8" s="70"/>
      <c r="AI8" s="70"/>
      <c r="AJ8" s="70"/>
      <c r="AK8" s="70" t="s">
        <v>314</v>
      </c>
      <c r="AL8" s="70"/>
      <c r="AM8" s="70"/>
      <c r="AN8" s="70"/>
      <c r="AO8" s="70"/>
      <c r="AP8" s="70"/>
      <c r="AQ8" s="70" t="s">
        <v>314</v>
      </c>
      <c r="AR8" s="70" t="s">
        <v>314</v>
      </c>
      <c r="AS8" s="70" t="s">
        <v>314</v>
      </c>
      <c r="AT8" s="70"/>
      <c r="AU8" s="70" t="s">
        <v>314</v>
      </c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 t="s">
        <v>314</v>
      </c>
      <c r="BG8" s="70" t="s">
        <v>314</v>
      </c>
      <c r="BH8" s="70"/>
      <c r="BI8" s="70"/>
      <c r="BJ8" s="70" t="s">
        <v>314</v>
      </c>
      <c r="BK8" s="70"/>
      <c r="BL8" s="70"/>
      <c r="BM8" s="70"/>
      <c r="BN8" s="70" t="s">
        <v>314</v>
      </c>
    </row>
    <row r="9" spans="1:66">
      <c r="A9" s="59">
        <v>4</v>
      </c>
      <c r="B9" s="108" t="s">
        <v>205</v>
      </c>
      <c r="C9" s="65"/>
      <c r="D9" s="81">
        <v>7</v>
      </c>
      <c r="E9" s="64">
        <f>IF(ISBLANK($D9),"0",IF(($D10-$D9)&lt;($C10-$C9),1,0))</f>
        <v>1</v>
      </c>
      <c r="F9" s="64">
        <f t="shared" ca="1" si="1"/>
        <v>40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 t="s">
        <v>314</v>
      </c>
      <c r="N9" s="69" t="s">
        <v>314</v>
      </c>
      <c r="O9" s="69" t="s">
        <v>314</v>
      </c>
      <c r="P9" s="69" t="s">
        <v>314</v>
      </c>
      <c r="Q9" s="69" t="s">
        <v>314</v>
      </c>
      <c r="R9" s="96" t="s">
        <v>314</v>
      </c>
      <c r="S9" s="96"/>
      <c r="T9" s="96" t="s">
        <v>314</v>
      </c>
      <c r="U9" s="96"/>
      <c r="V9" s="69" t="s">
        <v>314</v>
      </c>
      <c r="W9" s="69" t="s">
        <v>314</v>
      </c>
      <c r="X9" s="69" t="s">
        <v>314</v>
      </c>
      <c r="Y9" s="69" t="s">
        <v>314</v>
      </c>
      <c r="Z9" s="69" t="s">
        <v>314</v>
      </c>
      <c r="AA9" s="69"/>
      <c r="AB9" s="69" t="s">
        <v>314</v>
      </c>
      <c r="AC9" s="69" t="s">
        <v>314</v>
      </c>
      <c r="AD9" s="69" t="s">
        <v>314</v>
      </c>
      <c r="AE9" s="69" t="s">
        <v>314</v>
      </c>
      <c r="AF9" s="69" t="s">
        <v>314</v>
      </c>
      <c r="AG9" s="69" t="s">
        <v>314</v>
      </c>
      <c r="AH9" s="69" t="s">
        <v>314</v>
      </c>
      <c r="AI9" s="69" t="s">
        <v>314</v>
      </c>
      <c r="AJ9" s="69"/>
      <c r="AK9" s="69" t="s">
        <v>314</v>
      </c>
      <c r="AL9" s="69"/>
      <c r="AM9" s="69" t="s">
        <v>314</v>
      </c>
      <c r="AN9" s="69"/>
      <c r="AO9" s="69" t="s">
        <v>314</v>
      </c>
      <c r="AP9" s="69" t="s">
        <v>314</v>
      </c>
      <c r="AQ9" s="69" t="s">
        <v>314</v>
      </c>
      <c r="AR9" s="96" t="s">
        <v>314</v>
      </c>
      <c r="AS9" s="69" t="s">
        <v>314</v>
      </c>
      <c r="AT9" s="69" t="s">
        <v>314</v>
      </c>
      <c r="AU9" s="69"/>
      <c r="AV9" s="69" t="s">
        <v>314</v>
      </c>
      <c r="AW9" s="69" t="s">
        <v>314</v>
      </c>
      <c r="AX9" s="69"/>
      <c r="AY9" s="69" t="s">
        <v>314</v>
      </c>
      <c r="AZ9" s="69" t="s">
        <v>314</v>
      </c>
      <c r="BA9" s="69"/>
      <c r="BB9" s="69" t="s">
        <v>314</v>
      </c>
      <c r="BC9" s="69"/>
      <c r="BD9" s="69" t="s">
        <v>314</v>
      </c>
      <c r="BE9" s="96" t="s">
        <v>314</v>
      </c>
      <c r="BF9" s="69" t="s">
        <v>314</v>
      </c>
      <c r="BG9" s="69"/>
      <c r="BH9" s="69"/>
      <c r="BI9" s="69"/>
      <c r="BJ9" s="69" t="s">
        <v>314</v>
      </c>
      <c r="BK9" s="69" t="s">
        <v>314</v>
      </c>
      <c r="BL9" s="69"/>
      <c r="BM9" s="69" t="s">
        <v>314</v>
      </c>
      <c r="BN9" s="69"/>
    </row>
    <row r="10" spans="1:66">
      <c r="A10" s="61" t="s">
        <v>3</v>
      </c>
      <c r="B10" s="68" t="s">
        <v>162</v>
      </c>
      <c r="C10" s="66">
        <v>10.5</v>
      </c>
      <c r="D10" s="64">
        <v>14</v>
      </c>
      <c r="E10" s="64">
        <f>IF(ISBLANK($D10),"0",IF(($D10-$D9)&gt;($C10-$C9),1,0))</f>
        <v>0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/>
      <c r="O10" s="70"/>
      <c r="P10" s="70"/>
      <c r="Q10" s="70"/>
      <c r="R10" s="97"/>
      <c r="S10" s="97" t="s">
        <v>314</v>
      </c>
      <c r="T10" s="97"/>
      <c r="U10" s="70" t="s">
        <v>314</v>
      </c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 t="s">
        <v>314</v>
      </c>
      <c r="AK10" s="70"/>
      <c r="AL10" s="70" t="s">
        <v>314</v>
      </c>
      <c r="AM10" s="70"/>
      <c r="AN10" s="70" t="s">
        <v>314</v>
      </c>
      <c r="AO10" s="70"/>
      <c r="AP10" s="70"/>
      <c r="AQ10" s="70"/>
      <c r="AR10" s="70"/>
      <c r="AS10" s="70"/>
      <c r="AT10" s="70"/>
      <c r="AU10" s="70" t="s">
        <v>314</v>
      </c>
      <c r="AV10" s="70"/>
      <c r="AW10" s="70"/>
      <c r="AX10" s="70" t="s">
        <v>314</v>
      </c>
      <c r="AY10" s="70"/>
      <c r="AZ10" s="70"/>
      <c r="BA10" s="70" t="s">
        <v>314</v>
      </c>
      <c r="BB10" s="70"/>
      <c r="BC10" s="70" t="s">
        <v>314</v>
      </c>
      <c r="BD10" s="70"/>
      <c r="BE10" s="70"/>
      <c r="BF10" s="70"/>
      <c r="BG10" s="70" t="s">
        <v>314</v>
      </c>
      <c r="BH10" s="70" t="s">
        <v>314</v>
      </c>
      <c r="BI10" s="70" t="s">
        <v>314</v>
      </c>
      <c r="BJ10" s="70"/>
      <c r="BK10" s="70"/>
      <c r="BL10" s="70" t="s">
        <v>314</v>
      </c>
      <c r="BM10" s="70"/>
      <c r="BN10" s="70" t="s">
        <v>314</v>
      </c>
    </row>
    <row r="11" spans="1:66">
      <c r="A11" s="59">
        <v>5</v>
      </c>
      <c r="B11" s="67" t="s">
        <v>164</v>
      </c>
      <c r="C11" s="65"/>
      <c r="D11" s="64">
        <v>37</v>
      </c>
      <c r="E11" s="64">
        <f>IF(ISBLANK($D11),"0",IF(($D12-$D11)&lt;($C12-$C11),1,0))</f>
        <v>1</v>
      </c>
      <c r="F11" s="64">
        <f t="shared" ca="1" si="1"/>
        <v>21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 t="s">
        <v>314</v>
      </c>
      <c r="L11" s="69" t="s">
        <v>314</v>
      </c>
      <c r="M11" s="69"/>
      <c r="N11" s="69" t="s">
        <v>314</v>
      </c>
      <c r="O11" s="69" t="s">
        <v>314</v>
      </c>
      <c r="P11" s="69" t="s">
        <v>314</v>
      </c>
      <c r="Q11" s="69"/>
      <c r="R11" s="96"/>
      <c r="S11" s="96"/>
      <c r="T11" s="96"/>
      <c r="U11" s="69" t="s">
        <v>314</v>
      </c>
      <c r="V11" s="69"/>
      <c r="W11" s="69"/>
      <c r="X11" s="69"/>
      <c r="Y11" s="69"/>
      <c r="Z11" s="69" t="s">
        <v>314</v>
      </c>
      <c r="AA11" s="69"/>
      <c r="AB11" s="69"/>
      <c r="AC11" s="69"/>
      <c r="AD11" s="69"/>
      <c r="AE11" s="69"/>
      <c r="AF11" s="69" t="s">
        <v>314</v>
      </c>
      <c r="AG11" s="69" t="s">
        <v>314</v>
      </c>
      <c r="AH11" s="69" t="s">
        <v>314</v>
      </c>
      <c r="AI11" s="69"/>
      <c r="AJ11" s="69"/>
      <c r="AK11" s="69" t="s">
        <v>314</v>
      </c>
      <c r="AL11" s="69"/>
      <c r="AM11" s="69" t="s">
        <v>314</v>
      </c>
      <c r="AN11" s="69"/>
      <c r="AO11" s="69" t="s">
        <v>314</v>
      </c>
      <c r="AP11" s="69"/>
      <c r="AQ11" s="69"/>
      <c r="AR11" s="69"/>
      <c r="AS11" s="69" t="s">
        <v>314</v>
      </c>
      <c r="AT11" s="69" t="s">
        <v>314</v>
      </c>
      <c r="AU11" s="69"/>
      <c r="AV11" s="69"/>
      <c r="AW11" s="69" t="s">
        <v>314</v>
      </c>
      <c r="AX11" s="69"/>
      <c r="AY11" s="69"/>
      <c r="AZ11" s="69"/>
      <c r="BA11" s="69"/>
      <c r="BB11" s="69"/>
      <c r="BC11" s="69"/>
      <c r="BD11" s="69" t="s">
        <v>314</v>
      </c>
      <c r="BE11" s="96"/>
      <c r="BF11" s="69"/>
      <c r="BG11" s="69"/>
      <c r="BH11" s="69" t="s">
        <v>314</v>
      </c>
      <c r="BI11" s="69" t="s">
        <v>314</v>
      </c>
      <c r="BJ11" s="69"/>
      <c r="BK11" s="69" t="s">
        <v>314</v>
      </c>
      <c r="BL11" s="69"/>
      <c r="BM11" s="69" t="s">
        <v>314</v>
      </c>
      <c r="BN11" s="69"/>
    </row>
    <row r="12" spans="1:66">
      <c r="A12" s="61" t="s">
        <v>3</v>
      </c>
      <c r="B12" s="68" t="s">
        <v>155</v>
      </c>
      <c r="C12" s="66">
        <v>11.5</v>
      </c>
      <c r="D12" s="64">
        <v>35</v>
      </c>
      <c r="E12" s="64">
        <f>IF(ISBLANK($D12),"0",IF(($D12-$D11)&gt;($C12-$C11),1,0))</f>
        <v>0</v>
      </c>
      <c r="F12" s="64">
        <f t="shared" ca="1" si="1"/>
        <v>34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/>
      <c r="M12" s="70" t="s">
        <v>314</v>
      </c>
      <c r="N12" s="70"/>
      <c r="O12" s="70"/>
      <c r="P12" s="70"/>
      <c r="Q12" s="70" t="s">
        <v>314</v>
      </c>
      <c r="R12" s="97" t="s">
        <v>314</v>
      </c>
      <c r="S12" s="97" t="s">
        <v>314</v>
      </c>
      <c r="T12" s="97" t="s">
        <v>314</v>
      </c>
      <c r="U12" s="97"/>
      <c r="V12" s="70" t="s">
        <v>314</v>
      </c>
      <c r="W12" s="70" t="s">
        <v>314</v>
      </c>
      <c r="X12" s="70" t="s">
        <v>314</v>
      </c>
      <c r="Y12" s="70" t="s">
        <v>314</v>
      </c>
      <c r="Z12" s="70"/>
      <c r="AA12" s="70"/>
      <c r="AB12" s="70" t="s">
        <v>314</v>
      </c>
      <c r="AC12" s="70" t="s">
        <v>314</v>
      </c>
      <c r="AD12" s="70" t="s">
        <v>314</v>
      </c>
      <c r="AE12" s="70" t="s">
        <v>314</v>
      </c>
      <c r="AF12" s="70"/>
      <c r="AG12" s="70"/>
      <c r="AH12" s="70"/>
      <c r="AI12" s="70" t="s">
        <v>314</v>
      </c>
      <c r="AJ12" s="70" t="s">
        <v>314</v>
      </c>
      <c r="AK12" s="70"/>
      <c r="AL12" s="70" t="s">
        <v>314</v>
      </c>
      <c r="AM12" s="70"/>
      <c r="AN12" s="70" t="s">
        <v>314</v>
      </c>
      <c r="AO12" s="70"/>
      <c r="AP12" s="70" t="s">
        <v>314</v>
      </c>
      <c r="AQ12" s="70" t="s">
        <v>314</v>
      </c>
      <c r="AR12" s="97" t="s">
        <v>314</v>
      </c>
      <c r="AS12" s="70"/>
      <c r="AT12" s="70"/>
      <c r="AU12" s="70" t="s">
        <v>314</v>
      </c>
      <c r="AV12" s="70" t="s">
        <v>314</v>
      </c>
      <c r="AW12" s="70"/>
      <c r="AX12" s="70" t="s">
        <v>314</v>
      </c>
      <c r="AY12" s="70" t="s">
        <v>314</v>
      </c>
      <c r="AZ12" s="70" t="s">
        <v>314</v>
      </c>
      <c r="BA12" s="70" t="s">
        <v>314</v>
      </c>
      <c r="BB12" s="70" t="s">
        <v>314</v>
      </c>
      <c r="BC12" s="70" t="s">
        <v>314</v>
      </c>
      <c r="BD12" s="70"/>
      <c r="BE12" s="70" t="s">
        <v>314</v>
      </c>
      <c r="BF12" s="70" t="s">
        <v>314</v>
      </c>
      <c r="BG12" s="70" t="s">
        <v>314</v>
      </c>
      <c r="BH12" s="70"/>
      <c r="BI12" s="70"/>
      <c r="BJ12" s="70" t="s">
        <v>314</v>
      </c>
      <c r="BK12" s="70"/>
      <c r="BL12" s="70" t="s">
        <v>314</v>
      </c>
      <c r="BM12" s="70"/>
      <c r="BN12" s="70" t="s">
        <v>314</v>
      </c>
    </row>
    <row r="13" spans="1:66">
      <c r="A13" s="59">
        <v>6</v>
      </c>
      <c r="B13" s="67" t="s">
        <v>153</v>
      </c>
      <c r="C13" s="65">
        <v>3.5</v>
      </c>
      <c r="D13" s="64">
        <v>34</v>
      </c>
      <c r="E13" s="64">
        <f>IF(ISBLANK($D13),"0",IF(($D14-$D13)&lt;($C14-$C13),1,0))</f>
        <v>0</v>
      </c>
      <c r="F13" s="64">
        <f t="shared" ca="1" si="1"/>
        <v>33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/>
      <c r="M13" s="69"/>
      <c r="N13" s="69" t="s">
        <v>314</v>
      </c>
      <c r="O13" s="69"/>
      <c r="P13" s="69" t="s">
        <v>314</v>
      </c>
      <c r="Q13" s="69" t="s">
        <v>314</v>
      </c>
      <c r="R13" s="96"/>
      <c r="S13" s="96" t="s">
        <v>314</v>
      </c>
      <c r="T13" s="96" t="s">
        <v>314</v>
      </c>
      <c r="U13" s="69" t="s">
        <v>314</v>
      </c>
      <c r="V13" s="69" t="s">
        <v>314</v>
      </c>
      <c r="W13" s="69" t="s">
        <v>314</v>
      </c>
      <c r="X13" s="69"/>
      <c r="Y13" s="69" t="s">
        <v>314</v>
      </c>
      <c r="Z13" s="69"/>
      <c r="AA13" s="69"/>
      <c r="AB13" s="69" t="s">
        <v>314</v>
      </c>
      <c r="AC13" s="69" t="s">
        <v>314</v>
      </c>
      <c r="AD13" s="69"/>
      <c r="AE13" s="69" t="s">
        <v>314</v>
      </c>
      <c r="AF13" s="69" t="s">
        <v>314</v>
      </c>
      <c r="AG13" s="69"/>
      <c r="AH13" s="69" t="s">
        <v>314</v>
      </c>
      <c r="AI13" s="69"/>
      <c r="AJ13" s="69" t="s">
        <v>314</v>
      </c>
      <c r="AK13" s="69" t="s">
        <v>314</v>
      </c>
      <c r="AL13" s="69"/>
      <c r="AM13" s="69" t="s">
        <v>314</v>
      </c>
      <c r="AN13" s="69" t="s">
        <v>314</v>
      </c>
      <c r="AO13" s="69" t="s">
        <v>314</v>
      </c>
      <c r="AP13" s="69" t="s">
        <v>314</v>
      </c>
      <c r="AQ13" s="69" t="s">
        <v>314</v>
      </c>
      <c r="AR13" s="96" t="s">
        <v>314</v>
      </c>
      <c r="AS13" s="69"/>
      <c r="AT13" s="69" t="s">
        <v>314</v>
      </c>
      <c r="AU13" s="69" t="s">
        <v>314</v>
      </c>
      <c r="AV13" s="69" t="s">
        <v>314</v>
      </c>
      <c r="AW13" s="69"/>
      <c r="AX13" s="69" t="s">
        <v>314</v>
      </c>
      <c r="AY13" s="69" t="s">
        <v>314</v>
      </c>
      <c r="AZ13" s="69"/>
      <c r="BA13" s="69"/>
      <c r="BB13" s="69" t="s">
        <v>314</v>
      </c>
      <c r="BC13" s="69" t="s">
        <v>314</v>
      </c>
      <c r="BD13" s="69"/>
      <c r="BE13" s="96" t="s">
        <v>314</v>
      </c>
      <c r="BF13" s="69"/>
      <c r="BG13" s="69"/>
      <c r="BH13" s="69" t="s">
        <v>314</v>
      </c>
      <c r="BI13" s="69" t="s">
        <v>314</v>
      </c>
      <c r="BJ13" s="69"/>
      <c r="BK13" s="69"/>
      <c r="BL13" s="69"/>
      <c r="BM13" s="69" t="s">
        <v>314</v>
      </c>
      <c r="BN13" s="69"/>
    </row>
    <row r="14" spans="1:66">
      <c r="A14" s="61" t="s">
        <v>3</v>
      </c>
      <c r="B14" s="68" t="s">
        <v>148</v>
      </c>
      <c r="C14" s="66"/>
      <c r="D14" s="64">
        <v>31</v>
      </c>
      <c r="E14" s="64">
        <f>IF(ISBLANK($D14),"0",IF(($D14-$D13)&gt;($C14-$C13),1,0))</f>
        <v>1</v>
      </c>
      <c r="F14" s="64">
        <f t="shared" ca="1" si="1"/>
        <v>22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314</v>
      </c>
      <c r="L14" s="70" t="s">
        <v>314</v>
      </c>
      <c r="M14" s="70" t="s">
        <v>314</v>
      </c>
      <c r="N14" s="70"/>
      <c r="O14" s="70" t="s">
        <v>314</v>
      </c>
      <c r="P14" s="70"/>
      <c r="Q14" s="70"/>
      <c r="R14" s="97" t="s">
        <v>314</v>
      </c>
      <c r="S14" s="97"/>
      <c r="T14" s="97"/>
      <c r="U14" s="97"/>
      <c r="V14" s="70"/>
      <c r="W14" s="70"/>
      <c r="X14" s="70" t="s">
        <v>314</v>
      </c>
      <c r="Y14" s="70"/>
      <c r="Z14" s="70" t="s">
        <v>314</v>
      </c>
      <c r="AA14" s="70"/>
      <c r="AB14" s="70"/>
      <c r="AC14" s="70"/>
      <c r="AD14" s="70" t="s">
        <v>314</v>
      </c>
      <c r="AE14" s="70"/>
      <c r="AF14" s="70"/>
      <c r="AG14" s="70" t="s">
        <v>314</v>
      </c>
      <c r="AH14" s="70"/>
      <c r="AI14" s="70" t="s">
        <v>314</v>
      </c>
      <c r="AJ14" s="70"/>
      <c r="AK14" s="70"/>
      <c r="AL14" s="70" t="s">
        <v>314</v>
      </c>
      <c r="AM14" s="70"/>
      <c r="AN14" s="70"/>
      <c r="AO14" s="70"/>
      <c r="AP14" s="70"/>
      <c r="AQ14" s="70"/>
      <c r="AR14" s="70"/>
      <c r="AS14" s="70" t="s">
        <v>314</v>
      </c>
      <c r="AT14" s="70"/>
      <c r="AU14" s="70"/>
      <c r="AV14" s="70"/>
      <c r="AW14" s="70" t="s">
        <v>314</v>
      </c>
      <c r="AX14" s="70"/>
      <c r="AY14" s="70"/>
      <c r="AZ14" s="70" t="s">
        <v>314</v>
      </c>
      <c r="BA14" s="70" t="s">
        <v>314</v>
      </c>
      <c r="BB14" s="70"/>
      <c r="BC14" s="70"/>
      <c r="BD14" s="70" t="s">
        <v>314</v>
      </c>
      <c r="BE14" s="70"/>
      <c r="BF14" s="70" t="s">
        <v>314</v>
      </c>
      <c r="BG14" s="70" t="s">
        <v>314</v>
      </c>
      <c r="BH14" s="70"/>
      <c r="BI14" s="70"/>
      <c r="BJ14" s="70" t="s">
        <v>314</v>
      </c>
      <c r="BK14" s="70" t="s">
        <v>314</v>
      </c>
      <c r="BL14" s="70" t="s">
        <v>314</v>
      </c>
      <c r="BM14" s="70"/>
      <c r="BN14" s="70" t="s">
        <v>314</v>
      </c>
    </row>
    <row r="15" spans="1:66">
      <c r="A15" s="59">
        <v>7</v>
      </c>
      <c r="B15" s="67" t="s">
        <v>158</v>
      </c>
      <c r="C15" s="65">
        <v>2.5</v>
      </c>
      <c r="D15" s="64">
        <v>52</v>
      </c>
      <c r="E15" s="64">
        <f>IF(ISBLANK($D15),"0",IF(($D16-$D15)&lt;($C16-$C15),1,0))</f>
        <v>1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314</v>
      </c>
      <c r="M15" s="69" t="s">
        <v>314</v>
      </c>
      <c r="N15" s="69" t="s">
        <v>314</v>
      </c>
      <c r="O15" s="69"/>
      <c r="P15" s="69" t="s">
        <v>314</v>
      </c>
      <c r="Q15" s="69" t="s">
        <v>314</v>
      </c>
      <c r="R15" s="96" t="s">
        <v>314</v>
      </c>
      <c r="S15" s="96" t="s">
        <v>314</v>
      </c>
      <c r="T15" s="96" t="s">
        <v>314</v>
      </c>
      <c r="U15" s="96" t="s">
        <v>314</v>
      </c>
      <c r="V15" s="69" t="s">
        <v>314</v>
      </c>
      <c r="W15" s="69"/>
      <c r="X15" s="69" t="s">
        <v>314</v>
      </c>
      <c r="Y15" s="69"/>
      <c r="Z15" s="69" t="s">
        <v>314</v>
      </c>
      <c r="AA15" s="69"/>
      <c r="AB15" s="69" t="s">
        <v>314</v>
      </c>
      <c r="AC15" s="69"/>
      <c r="AD15" s="69" t="s">
        <v>314</v>
      </c>
      <c r="AE15" s="69"/>
      <c r="AF15" s="69" t="s">
        <v>314</v>
      </c>
      <c r="AG15" s="69"/>
      <c r="AH15" s="69" t="s">
        <v>314</v>
      </c>
      <c r="AI15" s="69" t="s">
        <v>314</v>
      </c>
      <c r="AJ15" s="69" t="s">
        <v>314</v>
      </c>
      <c r="AK15" s="69" t="s">
        <v>314</v>
      </c>
      <c r="AL15" s="69"/>
      <c r="AM15" s="69" t="s">
        <v>314</v>
      </c>
      <c r="AN15" s="69"/>
      <c r="AO15" s="69"/>
      <c r="AP15" s="69"/>
      <c r="AQ15" s="69" t="s">
        <v>314</v>
      </c>
      <c r="AR15" s="69" t="s">
        <v>314</v>
      </c>
      <c r="AS15" s="69" t="s">
        <v>314</v>
      </c>
      <c r="AT15" s="69"/>
      <c r="AU15" s="69" t="s">
        <v>314</v>
      </c>
      <c r="AV15" s="69"/>
      <c r="AW15" s="69" t="s">
        <v>314</v>
      </c>
      <c r="AX15" s="69"/>
      <c r="AY15" s="69" t="s">
        <v>314</v>
      </c>
      <c r="AZ15" s="69" t="s">
        <v>314</v>
      </c>
      <c r="BA15" s="69" t="s">
        <v>314</v>
      </c>
      <c r="BB15" s="69" t="s">
        <v>314</v>
      </c>
      <c r="BC15" s="69"/>
      <c r="BD15" s="69" t="s">
        <v>314</v>
      </c>
      <c r="BE15" s="96"/>
      <c r="BF15" s="69" t="s">
        <v>314</v>
      </c>
      <c r="BG15" s="69" t="s">
        <v>314</v>
      </c>
      <c r="BH15" s="69" t="s">
        <v>314</v>
      </c>
      <c r="BI15" s="69"/>
      <c r="BJ15" s="69"/>
      <c r="BK15" s="69"/>
      <c r="BL15" s="69" t="s">
        <v>314</v>
      </c>
      <c r="BM15" s="69" t="s">
        <v>314</v>
      </c>
      <c r="BN15" s="69" t="s">
        <v>314</v>
      </c>
    </row>
    <row r="16" spans="1:66">
      <c r="A16" s="61" t="s">
        <v>3</v>
      </c>
      <c r="B16" s="68" t="s">
        <v>234</v>
      </c>
      <c r="C16" s="66"/>
      <c r="D16" s="64">
        <v>46</v>
      </c>
      <c r="E16" s="64">
        <f>IF(ISBLANK($D16),"0",IF(($D16-$D15)&gt;($C16-$C15),1,0))</f>
        <v>0</v>
      </c>
      <c r="F16" s="64">
        <f t="shared" ca="1" si="1"/>
        <v>19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314</v>
      </c>
      <c r="L16" s="70"/>
      <c r="M16" s="70"/>
      <c r="N16" s="70"/>
      <c r="O16" s="70" t="s">
        <v>314</v>
      </c>
      <c r="P16" s="70"/>
      <c r="Q16" s="70"/>
      <c r="R16" s="70"/>
      <c r="S16" s="70"/>
      <c r="T16" s="70"/>
      <c r="U16" s="70"/>
      <c r="V16" s="70"/>
      <c r="W16" s="70" t="s">
        <v>314</v>
      </c>
      <c r="X16" s="70"/>
      <c r="Y16" s="70" t="s">
        <v>314</v>
      </c>
      <c r="Z16" s="70"/>
      <c r="AA16" s="70"/>
      <c r="AB16" s="70"/>
      <c r="AC16" s="70" t="s">
        <v>314</v>
      </c>
      <c r="AD16" s="70"/>
      <c r="AE16" s="70" t="s">
        <v>314</v>
      </c>
      <c r="AF16" s="70"/>
      <c r="AG16" s="70" t="s">
        <v>314</v>
      </c>
      <c r="AH16" s="70"/>
      <c r="AI16" s="70"/>
      <c r="AJ16" s="70"/>
      <c r="AK16" s="70"/>
      <c r="AL16" s="70" t="s">
        <v>314</v>
      </c>
      <c r="AM16" s="70"/>
      <c r="AN16" s="70" t="s">
        <v>314</v>
      </c>
      <c r="AO16" s="70" t="s">
        <v>314</v>
      </c>
      <c r="AP16" s="70" t="s">
        <v>314</v>
      </c>
      <c r="AQ16" s="70"/>
      <c r="AR16" s="97"/>
      <c r="AS16" s="70"/>
      <c r="AT16" s="70" t="s">
        <v>314</v>
      </c>
      <c r="AU16" s="70"/>
      <c r="AV16" s="70" t="s">
        <v>314</v>
      </c>
      <c r="AW16" s="70"/>
      <c r="AX16" s="70" t="s">
        <v>314</v>
      </c>
      <c r="AY16" s="70"/>
      <c r="AZ16" s="70"/>
      <c r="BA16" s="70"/>
      <c r="BB16" s="70"/>
      <c r="BC16" s="70" t="s">
        <v>314</v>
      </c>
      <c r="BD16" s="70"/>
      <c r="BE16" s="70" t="s">
        <v>314</v>
      </c>
      <c r="BF16" s="70"/>
      <c r="BG16" s="70"/>
      <c r="BH16" s="70"/>
      <c r="BI16" s="70" t="s">
        <v>314</v>
      </c>
      <c r="BJ16" s="70" t="s">
        <v>314</v>
      </c>
      <c r="BK16" s="70" t="s">
        <v>314</v>
      </c>
      <c r="BL16" s="70"/>
      <c r="BM16" s="70"/>
      <c r="BN16" s="70"/>
    </row>
    <row r="17" spans="1:66">
      <c r="A17" s="59">
        <v>8</v>
      </c>
      <c r="B17" s="67" t="s">
        <v>200</v>
      </c>
      <c r="C17" s="65"/>
      <c r="D17" s="64">
        <v>26</v>
      </c>
      <c r="E17" s="64">
        <f>IF(ISBLANK($D17),"0",IF(($D18-$D17)&lt;($C18-$C17),1,0))</f>
        <v>1</v>
      </c>
      <c r="F17" s="64">
        <f t="shared" ca="1" si="1"/>
        <v>19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/>
      <c r="Q17" s="69"/>
      <c r="R17" s="69"/>
      <c r="S17" s="69" t="s">
        <v>314</v>
      </c>
      <c r="T17" s="69" t="s">
        <v>314</v>
      </c>
      <c r="U17" s="69"/>
      <c r="V17" s="69" t="s">
        <v>314</v>
      </c>
      <c r="W17" s="69"/>
      <c r="X17" s="69"/>
      <c r="Y17" s="69" t="s">
        <v>314</v>
      </c>
      <c r="Z17" s="69"/>
      <c r="AA17" s="69"/>
      <c r="AB17" s="69" t="s">
        <v>314</v>
      </c>
      <c r="AC17" s="69"/>
      <c r="AD17" s="69"/>
      <c r="AE17" s="69" t="s">
        <v>314</v>
      </c>
      <c r="AF17" s="69" t="s">
        <v>314</v>
      </c>
      <c r="AG17" s="69"/>
      <c r="AH17" s="69"/>
      <c r="AI17" s="69" t="s">
        <v>314</v>
      </c>
      <c r="AJ17" s="69"/>
      <c r="AK17" s="69"/>
      <c r="AL17" s="69" t="s">
        <v>314</v>
      </c>
      <c r="AM17" s="69"/>
      <c r="AN17" s="69"/>
      <c r="AO17" s="69" t="s">
        <v>314</v>
      </c>
      <c r="AP17" s="69" t="s">
        <v>314</v>
      </c>
      <c r="AQ17" s="69"/>
      <c r="AR17" s="96" t="s">
        <v>314</v>
      </c>
      <c r="AS17" s="69" t="s">
        <v>314</v>
      </c>
      <c r="AT17" s="69" t="s">
        <v>314</v>
      </c>
      <c r="AU17" s="69"/>
      <c r="AV17" s="69"/>
      <c r="AW17" s="69" t="s">
        <v>314</v>
      </c>
      <c r="AX17" s="69"/>
      <c r="AY17" s="69"/>
      <c r="AZ17" s="69"/>
      <c r="BA17" s="69"/>
      <c r="BB17" s="69"/>
      <c r="BC17" s="69"/>
      <c r="BD17" s="69"/>
      <c r="BE17" s="69" t="s">
        <v>314</v>
      </c>
      <c r="BF17" s="69"/>
      <c r="BG17" s="69"/>
      <c r="BH17" s="69" t="s">
        <v>314</v>
      </c>
      <c r="BI17" s="69"/>
      <c r="BJ17" s="69"/>
      <c r="BK17" s="69" t="s">
        <v>314</v>
      </c>
      <c r="BL17" s="69"/>
      <c r="BM17" s="69"/>
      <c r="BN17" s="69" t="s">
        <v>314</v>
      </c>
    </row>
    <row r="18" spans="1:66">
      <c r="A18" s="61" t="s">
        <v>3</v>
      </c>
      <c r="B18" s="68" t="s">
        <v>203</v>
      </c>
      <c r="C18" s="66">
        <v>3.5</v>
      </c>
      <c r="D18" s="64">
        <v>29</v>
      </c>
      <c r="E18" s="64">
        <f>IF(ISBLANK($D18),"0",IF(($D18-$D17)&gt;($C18-$C17),1,0))</f>
        <v>0</v>
      </c>
      <c r="F18" s="64">
        <f t="shared" ca="1" si="1"/>
        <v>36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314</v>
      </c>
      <c r="L18" s="70" t="s">
        <v>314</v>
      </c>
      <c r="M18" s="70" t="s">
        <v>314</v>
      </c>
      <c r="N18" s="70" t="s">
        <v>314</v>
      </c>
      <c r="O18" s="70" t="s">
        <v>314</v>
      </c>
      <c r="P18" s="70" t="s">
        <v>314</v>
      </c>
      <c r="Q18" s="70" t="s">
        <v>314</v>
      </c>
      <c r="R18" s="70" t="s">
        <v>314</v>
      </c>
      <c r="S18" s="70"/>
      <c r="T18" s="70"/>
      <c r="U18" s="97" t="s">
        <v>314</v>
      </c>
      <c r="V18" s="70"/>
      <c r="W18" s="70" t="s">
        <v>314</v>
      </c>
      <c r="X18" s="70" t="s">
        <v>314</v>
      </c>
      <c r="Y18" s="70"/>
      <c r="Z18" s="70" t="s">
        <v>314</v>
      </c>
      <c r="AA18" s="70"/>
      <c r="AB18" s="70"/>
      <c r="AC18" s="70" t="s">
        <v>314</v>
      </c>
      <c r="AD18" s="70" t="s">
        <v>314</v>
      </c>
      <c r="AE18" s="70"/>
      <c r="AF18" s="70"/>
      <c r="AG18" s="70" t="s">
        <v>314</v>
      </c>
      <c r="AH18" s="70" t="s">
        <v>314</v>
      </c>
      <c r="AI18" s="70"/>
      <c r="AJ18" s="70" t="s">
        <v>314</v>
      </c>
      <c r="AK18" s="70" t="s">
        <v>314</v>
      </c>
      <c r="AL18" s="70"/>
      <c r="AM18" s="70" t="s">
        <v>314</v>
      </c>
      <c r="AN18" s="70" t="s">
        <v>314</v>
      </c>
      <c r="AO18" s="70"/>
      <c r="AP18" s="70"/>
      <c r="AQ18" s="70" t="s">
        <v>314</v>
      </c>
      <c r="AR18" s="70"/>
      <c r="AS18" s="70"/>
      <c r="AT18" s="70"/>
      <c r="AU18" s="70" t="s">
        <v>314</v>
      </c>
      <c r="AV18" s="70" t="s">
        <v>314</v>
      </c>
      <c r="AW18" s="70"/>
      <c r="AX18" s="70" t="s">
        <v>314</v>
      </c>
      <c r="AY18" s="70" t="s">
        <v>314</v>
      </c>
      <c r="AZ18" s="70" t="s">
        <v>314</v>
      </c>
      <c r="BA18" s="70" t="s">
        <v>314</v>
      </c>
      <c r="BB18" s="70" t="s">
        <v>314</v>
      </c>
      <c r="BC18" s="70" t="s">
        <v>314</v>
      </c>
      <c r="BD18" s="70" t="s">
        <v>314</v>
      </c>
      <c r="BE18" s="97"/>
      <c r="BF18" s="70" t="s">
        <v>314</v>
      </c>
      <c r="BG18" s="70" t="s">
        <v>314</v>
      </c>
      <c r="BH18" s="70"/>
      <c r="BI18" s="70" t="s">
        <v>314</v>
      </c>
      <c r="BJ18" s="70" t="s">
        <v>314</v>
      </c>
      <c r="BK18" s="70"/>
      <c r="BL18" s="70" t="s">
        <v>314</v>
      </c>
      <c r="BM18" s="70" t="s">
        <v>314</v>
      </c>
      <c r="BN18" s="70"/>
    </row>
    <row r="19" spans="1:66">
      <c r="A19" s="59">
        <v>9</v>
      </c>
      <c r="B19" s="67" t="s">
        <v>236</v>
      </c>
      <c r="C19" s="65"/>
      <c r="D19" s="64">
        <v>23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 t="s">
        <v>314</v>
      </c>
      <c r="N19" s="69"/>
      <c r="O19" s="69" t="s">
        <v>314</v>
      </c>
      <c r="P19" s="69" t="s">
        <v>314</v>
      </c>
      <c r="Q19" s="69"/>
      <c r="R19" s="69" t="s">
        <v>314</v>
      </c>
      <c r="S19" s="69"/>
      <c r="T19" s="69" t="s">
        <v>314</v>
      </c>
      <c r="U19" s="96"/>
      <c r="V19" s="69" t="s">
        <v>314</v>
      </c>
      <c r="W19" s="69" t="s">
        <v>314</v>
      </c>
      <c r="X19" s="69"/>
      <c r="Y19" s="69" t="s">
        <v>314</v>
      </c>
      <c r="Z19" s="69"/>
      <c r="AA19" s="69"/>
      <c r="AB19" s="69"/>
      <c r="AC19" s="69" t="s">
        <v>314</v>
      </c>
      <c r="AD19" s="69"/>
      <c r="AE19" s="69"/>
      <c r="AF19" s="69" t="s">
        <v>314</v>
      </c>
      <c r="AG19" s="69"/>
      <c r="AH19" s="69" t="s">
        <v>314</v>
      </c>
      <c r="AI19" s="69"/>
      <c r="AJ19" s="69"/>
      <c r="AK19" s="69" t="s">
        <v>314</v>
      </c>
      <c r="AL19" s="69" t="s">
        <v>314</v>
      </c>
      <c r="AM19" s="69" t="s">
        <v>314</v>
      </c>
      <c r="AN19" s="69"/>
      <c r="AO19" s="69" t="s">
        <v>314</v>
      </c>
      <c r="AP19" s="69"/>
      <c r="AQ19" s="69" t="s">
        <v>314</v>
      </c>
      <c r="AR19" s="69" t="s">
        <v>314</v>
      </c>
      <c r="AS19" s="69" t="s">
        <v>314</v>
      </c>
      <c r="AT19" s="69"/>
      <c r="AU19" s="69" t="s">
        <v>314</v>
      </c>
      <c r="AV19" s="69" t="s">
        <v>314</v>
      </c>
      <c r="AW19" s="69" t="s">
        <v>314</v>
      </c>
      <c r="AX19" s="69"/>
      <c r="AY19" s="69" t="s">
        <v>314</v>
      </c>
      <c r="AZ19" s="69"/>
      <c r="BA19" s="69" t="s">
        <v>314</v>
      </c>
      <c r="BB19" s="69"/>
      <c r="BC19" s="69"/>
      <c r="BD19" s="69"/>
      <c r="BE19" s="69"/>
      <c r="BF19" s="69" t="s">
        <v>314</v>
      </c>
      <c r="BG19" s="69"/>
      <c r="BH19" s="69"/>
      <c r="BI19" s="69"/>
      <c r="BJ19" s="69"/>
      <c r="BK19" s="69" t="s">
        <v>314</v>
      </c>
      <c r="BL19" s="69" t="s">
        <v>314</v>
      </c>
      <c r="BM19" s="69" t="s">
        <v>314</v>
      </c>
      <c r="BN19" s="69"/>
    </row>
    <row r="20" spans="1:66">
      <c r="A20" s="61" t="s">
        <v>3</v>
      </c>
      <c r="B20" s="68" t="s">
        <v>154</v>
      </c>
      <c r="C20" s="66">
        <v>1.5</v>
      </c>
      <c r="D20" s="64">
        <v>28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/>
      <c r="N20" s="70" t="s">
        <v>314</v>
      </c>
      <c r="O20" s="70"/>
      <c r="P20" s="70"/>
      <c r="Q20" s="70" t="s">
        <v>314</v>
      </c>
      <c r="R20" s="70"/>
      <c r="S20" s="70" t="s">
        <v>314</v>
      </c>
      <c r="T20" s="70"/>
      <c r="U20" s="70" t="s">
        <v>314</v>
      </c>
      <c r="V20" s="70"/>
      <c r="W20" s="70"/>
      <c r="X20" s="70" t="s">
        <v>314</v>
      </c>
      <c r="Y20" s="70"/>
      <c r="Z20" s="70" t="s">
        <v>314</v>
      </c>
      <c r="AA20" s="70"/>
      <c r="AB20" s="70" t="s">
        <v>314</v>
      </c>
      <c r="AC20" s="70"/>
      <c r="AD20" s="70" t="s">
        <v>314</v>
      </c>
      <c r="AE20" s="70" t="s">
        <v>314</v>
      </c>
      <c r="AF20" s="70"/>
      <c r="AG20" s="70" t="s">
        <v>314</v>
      </c>
      <c r="AH20" s="70"/>
      <c r="AI20" s="70" t="s">
        <v>314</v>
      </c>
      <c r="AJ20" s="70" t="s">
        <v>314</v>
      </c>
      <c r="AK20" s="70"/>
      <c r="AL20" s="70"/>
      <c r="AM20" s="70"/>
      <c r="AN20" s="70" t="s">
        <v>314</v>
      </c>
      <c r="AO20" s="70"/>
      <c r="AP20" s="70" t="s">
        <v>314</v>
      </c>
      <c r="AQ20" s="70"/>
      <c r="AR20" s="97"/>
      <c r="AS20" s="70"/>
      <c r="AT20" s="70" t="s">
        <v>314</v>
      </c>
      <c r="AU20" s="70"/>
      <c r="AV20" s="70"/>
      <c r="AW20" s="70"/>
      <c r="AX20" s="70" t="s">
        <v>314</v>
      </c>
      <c r="AY20" s="70"/>
      <c r="AZ20" s="70" t="s">
        <v>314</v>
      </c>
      <c r="BA20" s="70"/>
      <c r="BB20" s="70" t="s">
        <v>314</v>
      </c>
      <c r="BC20" s="70" t="s">
        <v>314</v>
      </c>
      <c r="BD20" s="70" t="s">
        <v>314</v>
      </c>
      <c r="BE20" s="97" t="s">
        <v>314</v>
      </c>
      <c r="BF20" s="70"/>
      <c r="BG20" s="70" t="s">
        <v>314</v>
      </c>
      <c r="BH20" s="70" t="s">
        <v>314</v>
      </c>
      <c r="BI20" s="70" t="s">
        <v>314</v>
      </c>
      <c r="BJ20" s="70" t="s">
        <v>314</v>
      </c>
      <c r="BK20" s="70"/>
      <c r="BL20" s="70"/>
      <c r="BM20" s="70"/>
      <c r="BN20" s="70" t="s">
        <v>314</v>
      </c>
    </row>
    <row r="21" spans="1:66">
      <c r="A21" s="59">
        <v>10</v>
      </c>
      <c r="B21" s="67" t="s">
        <v>192</v>
      </c>
      <c r="C21" s="65"/>
      <c r="D21" s="64">
        <v>36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314</v>
      </c>
      <c r="M21" s="69"/>
      <c r="N21" s="69" t="s">
        <v>314</v>
      </c>
      <c r="O21" s="69" t="s">
        <v>314</v>
      </c>
      <c r="P21" s="69"/>
      <c r="Q21" s="69"/>
      <c r="R21" s="69" t="s">
        <v>314</v>
      </c>
      <c r="S21" s="69"/>
      <c r="T21" s="69"/>
      <c r="U21" s="96"/>
      <c r="V21" s="69"/>
      <c r="W21" s="69"/>
      <c r="X21" s="69"/>
      <c r="Y21" s="69" t="s">
        <v>314</v>
      </c>
      <c r="Z21" s="69" t="s">
        <v>314</v>
      </c>
      <c r="AA21" s="69"/>
      <c r="AB21" s="69" t="s">
        <v>314</v>
      </c>
      <c r="AC21" s="69" t="s">
        <v>314</v>
      </c>
      <c r="AD21" s="69" t="s">
        <v>314</v>
      </c>
      <c r="AE21" s="69"/>
      <c r="AF21" s="69"/>
      <c r="AG21" s="69"/>
      <c r="AH21" s="69" t="s">
        <v>314</v>
      </c>
      <c r="AI21" s="69" t="s">
        <v>314</v>
      </c>
      <c r="AJ21" s="69"/>
      <c r="AK21" s="69" t="s">
        <v>314</v>
      </c>
      <c r="AL21" s="69" t="s">
        <v>314</v>
      </c>
      <c r="AM21" s="69"/>
      <c r="AN21" s="69"/>
      <c r="AO21" s="69" t="s">
        <v>314</v>
      </c>
      <c r="AP21" s="69"/>
      <c r="AQ21" s="69"/>
      <c r="AR21" s="96"/>
      <c r="AS21" s="69" t="s">
        <v>314</v>
      </c>
      <c r="AT21" s="69"/>
      <c r="AU21" s="69" t="s">
        <v>314</v>
      </c>
      <c r="AV21" s="69" t="s">
        <v>314</v>
      </c>
      <c r="AW21" s="69"/>
      <c r="AX21" s="69" t="s">
        <v>314</v>
      </c>
      <c r="AY21" s="69" t="s">
        <v>314</v>
      </c>
      <c r="AZ21" s="69"/>
      <c r="BA21" s="69" t="s">
        <v>314</v>
      </c>
      <c r="BB21" s="69" t="s">
        <v>314</v>
      </c>
      <c r="BC21" s="69"/>
      <c r="BD21" s="69"/>
      <c r="BE21" s="96" t="s">
        <v>314</v>
      </c>
      <c r="BF21" s="69" t="s">
        <v>314</v>
      </c>
      <c r="BG21" s="69"/>
      <c r="BH21" s="69" t="s">
        <v>314</v>
      </c>
      <c r="BI21" s="69"/>
      <c r="BJ21" s="69"/>
      <c r="BK21" s="69" t="s">
        <v>314</v>
      </c>
      <c r="BL21" s="69" t="s">
        <v>314</v>
      </c>
      <c r="BM21" s="69"/>
      <c r="BN21" s="69" t="s">
        <v>314</v>
      </c>
    </row>
    <row r="22" spans="1:66">
      <c r="A22" s="61" t="s">
        <v>3</v>
      </c>
      <c r="B22" s="68" t="s">
        <v>156</v>
      </c>
      <c r="C22" s="66">
        <v>2.5</v>
      </c>
      <c r="D22" s="64">
        <v>42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/>
      <c r="M22" s="70" t="s">
        <v>314</v>
      </c>
      <c r="N22" s="70"/>
      <c r="O22" s="70"/>
      <c r="P22" s="70" t="s">
        <v>314</v>
      </c>
      <c r="Q22" s="70" t="s">
        <v>314</v>
      </c>
      <c r="R22" s="70"/>
      <c r="S22" s="70" t="s">
        <v>314</v>
      </c>
      <c r="T22" s="70" t="s">
        <v>314</v>
      </c>
      <c r="U22" s="70" t="s">
        <v>314</v>
      </c>
      <c r="V22" s="70" t="s">
        <v>314</v>
      </c>
      <c r="W22" s="70" t="s">
        <v>314</v>
      </c>
      <c r="X22" s="70" t="s">
        <v>314</v>
      </c>
      <c r="Y22" s="70"/>
      <c r="Z22" s="70"/>
      <c r="AA22" s="70"/>
      <c r="AB22" s="70"/>
      <c r="AC22" s="70"/>
      <c r="AD22" s="70"/>
      <c r="AE22" s="70" t="s">
        <v>314</v>
      </c>
      <c r="AF22" s="70" t="s">
        <v>314</v>
      </c>
      <c r="AG22" s="70" t="s">
        <v>314</v>
      </c>
      <c r="AH22" s="70"/>
      <c r="AI22" s="70"/>
      <c r="AJ22" s="70" t="s">
        <v>314</v>
      </c>
      <c r="AK22" s="70"/>
      <c r="AL22" s="70"/>
      <c r="AM22" s="70" t="s">
        <v>314</v>
      </c>
      <c r="AN22" s="70" t="s">
        <v>314</v>
      </c>
      <c r="AO22" s="70"/>
      <c r="AP22" s="70" t="s">
        <v>314</v>
      </c>
      <c r="AQ22" s="70" t="s">
        <v>314</v>
      </c>
      <c r="AR22" s="70" t="s">
        <v>314</v>
      </c>
      <c r="AS22" s="70"/>
      <c r="AT22" s="70" t="s">
        <v>314</v>
      </c>
      <c r="AU22" s="70"/>
      <c r="AV22" s="70"/>
      <c r="AW22" s="70" t="s">
        <v>314</v>
      </c>
      <c r="AX22" s="70"/>
      <c r="AY22" s="70"/>
      <c r="AZ22" s="70" t="s">
        <v>314</v>
      </c>
      <c r="BA22" s="70"/>
      <c r="BB22" s="70"/>
      <c r="BC22" s="70" t="s">
        <v>314</v>
      </c>
      <c r="BD22" s="70" t="s">
        <v>314</v>
      </c>
      <c r="BE22" s="70"/>
      <c r="BF22" s="70"/>
      <c r="BG22" s="70" t="s">
        <v>314</v>
      </c>
      <c r="BH22" s="70"/>
      <c r="BI22" s="70" t="s">
        <v>314</v>
      </c>
      <c r="BJ22" s="70" t="s">
        <v>314</v>
      </c>
      <c r="BK22" s="70"/>
      <c r="BL22" s="70"/>
      <c r="BM22" s="70" t="s">
        <v>314</v>
      </c>
      <c r="BN22" s="70"/>
    </row>
    <row r="23" spans="1:66">
      <c r="A23" s="59"/>
      <c r="B23" s="67" t="str">
        <f>B21&amp; " - score"</f>
        <v>Louisville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31</v>
      </c>
      <c r="G23" s="59"/>
      <c r="H23" s="59"/>
      <c r="I23" s="60"/>
      <c r="J23" s="78"/>
      <c r="K23" s="78">
        <v>24</v>
      </c>
      <c r="L23" s="78">
        <v>35</v>
      </c>
      <c r="M23" s="78">
        <v>31</v>
      </c>
      <c r="N23" s="80">
        <v>35</v>
      </c>
      <c r="O23" s="78">
        <v>37</v>
      </c>
      <c r="P23" s="78">
        <v>21</v>
      </c>
      <c r="Q23" s="78">
        <v>28</v>
      </c>
      <c r="R23" s="78">
        <v>35</v>
      </c>
      <c r="S23" s="78">
        <v>37</v>
      </c>
      <c r="T23" s="78">
        <v>28</v>
      </c>
      <c r="U23" s="78">
        <v>35</v>
      </c>
      <c r="V23" s="78">
        <v>12</v>
      </c>
      <c r="W23" s="78">
        <v>35</v>
      </c>
      <c r="X23" s="78">
        <v>7</v>
      </c>
      <c r="Y23" s="78">
        <v>35</v>
      </c>
      <c r="Z23" s="78">
        <v>38</v>
      </c>
      <c r="AA23" s="78"/>
      <c r="AB23" s="78">
        <v>42</v>
      </c>
      <c r="AC23" s="78">
        <v>41</v>
      </c>
      <c r="AD23" s="78">
        <v>44</v>
      </c>
      <c r="AE23" s="78">
        <v>31</v>
      </c>
      <c r="AF23" s="78">
        <v>34</v>
      </c>
      <c r="AG23" s="78">
        <v>31</v>
      </c>
      <c r="AH23" s="78">
        <v>34</v>
      </c>
      <c r="AI23" s="78">
        <v>30</v>
      </c>
      <c r="AJ23" s="78">
        <v>31</v>
      </c>
      <c r="AK23" s="78">
        <v>45</v>
      </c>
      <c r="AL23" s="78">
        <v>37</v>
      </c>
      <c r="AM23" s="78">
        <v>31</v>
      </c>
      <c r="AN23" s="78">
        <v>21</v>
      </c>
      <c r="AO23" s="78">
        <v>23</v>
      </c>
      <c r="AP23" s="78">
        <v>14</v>
      </c>
      <c r="AQ23" s="78">
        <v>31</v>
      </c>
      <c r="AR23" s="78">
        <v>28</v>
      </c>
      <c r="AS23" s="78">
        <v>42</v>
      </c>
      <c r="AT23" s="78">
        <v>17</v>
      </c>
      <c r="AU23" s="78">
        <v>42</v>
      </c>
      <c r="AV23" s="78">
        <v>38</v>
      </c>
      <c r="AW23" s="78">
        <v>27</v>
      </c>
      <c r="AX23" s="78">
        <v>44</v>
      </c>
      <c r="AY23" s="78">
        <v>41</v>
      </c>
      <c r="AZ23" s="78">
        <v>40</v>
      </c>
      <c r="BA23" s="78">
        <v>35</v>
      </c>
      <c r="BB23" s="78">
        <v>28</v>
      </c>
      <c r="BC23" s="78">
        <v>7</v>
      </c>
      <c r="BD23" s="78">
        <v>28</v>
      </c>
      <c r="BE23" s="78">
        <v>45</v>
      </c>
      <c r="BF23" s="78">
        <v>45</v>
      </c>
      <c r="BG23" s="78">
        <v>10</v>
      </c>
      <c r="BH23" s="78">
        <v>34</v>
      </c>
      <c r="BI23" s="78">
        <v>14</v>
      </c>
      <c r="BJ23" s="78">
        <v>35</v>
      </c>
      <c r="BK23" s="78">
        <v>42</v>
      </c>
      <c r="BL23" s="78">
        <v>48</v>
      </c>
      <c r="BM23" s="78">
        <v>20</v>
      </c>
      <c r="BN23" s="78">
        <v>28</v>
      </c>
    </row>
    <row r="24" spans="1:66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35</v>
      </c>
      <c r="L24" s="79">
        <v>30</v>
      </c>
      <c r="M24" s="79">
        <v>35</v>
      </c>
      <c r="N24" s="79">
        <v>24</v>
      </c>
      <c r="O24" s="79">
        <v>35</v>
      </c>
      <c r="P24" s="79">
        <v>24</v>
      </c>
      <c r="Q24" s="79">
        <v>35</v>
      </c>
      <c r="R24" s="79">
        <v>31</v>
      </c>
      <c r="S24" s="79">
        <v>45</v>
      </c>
      <c r="T24" s="79">
        <v>45</v>
      </c>
      <c r="U24" s="79">
        <v>52</v>
      </c>
      <c r="V24" s="79">
        <v>24</v>
      </c>
      <c r="W24" s="79">
        <v>38</v>
      </c>
      <c r="X24" s="79">
        <v>28</v>
      </c>
      <c r="Y24" s="79">
        <v>21</v>
      </c>
      <c r="Z24" s="79">
        <v>31</v>
      </c>
      <c r="AA24" s="79"/>
      <c r="AB24" s="79">
        <v>31</v>
      </c>
      <c r="AC24" s="79">
        <v>21</v>
      </c>
      <c r="AD24" s="79">
        <v>41</v>
      </c>
      <c r="AE24" s="79">
        <v>67</v>
      </c>
      <c r="AF24" s="79">
        <v>37</v>
      </c>
      <c r="AG24" s="79">
        <v>34</v>
      </c>
      <c r="AH24" s="79">
        <v>32</v>
      </c>
      <c r="AI24" s="79">
        <v>23</v>
      </c>
      <c r="AJ24" s="79">
        <v>35</v>
      </c>
      <c r="AK24" s="79">
        <v>21</v>
      </c>
      <c r="AL24" s="79">
        <v>24</v>
      </c>
      <c r="AM24" s="79">
        <v>38</v>
      </c>
      <c r="AN24" s="79">
        <v>28</v>
      </c>
      <c r="AO24" s="79">
        <v>24</v>
      </c>
      <c r="AP24" s="79">
        <v>21</v>
      </c>
      <c r="AQ24" s="79">
        <v>34</v>
      </c>
      <c r="AR24" s="79">
        <v>35</v>
      </c>
      <c r="AS24" s="79">
        <v>28</v>
      </c>
      <c r="AT24" s="79">
        <v>20</v>
      </c>
      <c r="AU24" s="79">
        <v>21</v>
      </c>
      <c r="AV24" s="79">
        <v>33</v>
      </c>
      <c r="AW24" s="79">
        <v>30</v>
      </c>
      <c r="AX24" s="79">
        <v>38</v>
      </c>
      <c r="AY24" s="79">
        <v>31</v>
      </c>
      <c r="AZ24" s="79">
        <v>45</v>
      </c>
      <c r="BA24" s="79">
        <v>14</v>
      </c>
      <c r="BB24" s="79">
        <v>21</v>
      </c>
      <c r="BC24" s="79">
        <v>24</v>
      </c>
      <c r="BD24" s="79">
        <v>34</v>
      </c>
      <c r="BE24" s="79">
        <v>38</v>
      </c>
      <c r="BF24" s="79">
        <v>21</v>
      </c>
      <c r="BG24" s="79">
        <v>21</v>
      </c>
      <c r="BH24" s="79">
        <v>31</v>
      </c>
      <c r="BI24" s="79">
        <v>21</v>
      </c>
      <c r="BJ24" s="79">
        <v>41</v>
      </c>
      <c r="BK24" s="79">
        <v>27</v>
      </c>
      <c r="BL24" s="79">
        <v>38</v>
      </c>
      <c r="BM24" s="79">
        <v>30</v>
      </c>
      <c r="BN24" s="79">
        <v>21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5</v>
      </c>
      <c r="Q25" s="36">
        <f t="shared" si="3"/>
        <v>6</v>
      </c>
      <c r="R25" s="36">
        <f t="shared" si="3"/>
        <v>3</v>
      </c>
      <c r="S25" s="36">
        <f t="shared" si="3"/>
        <v>6</v>
      </c>
      <c r="T25" s="36">
        <f t="shared" si="3"/>
        <v>5</v>
      </c>
      <c r="U25" s="36">
        <f t="shared" si="3"/>
        <v>5</v>
      </c>
      <c r="V25" s="36">
        <f t="shared" si="3"/>
        <v>5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7</v>
      </c>
      <c r="AA25" s="36">
        <f t="shared" si="3"/>
        <v>0</v>
      </c>
      <c r="AB25" s="36">
        <f t="shared" si="3"/>
        <v>5</v>
      </c>
      <c r="AC25" s="36">
        <f t="shared" si="3"/>
        <v>1</v>
      </c>
      <c r="AD25" s="36">
        <f t="shared" si="3"/>
        <v>6</v>
      </c>
      <c r="AE25" s="36">
        <f t="shared" si="3"/>
        <v>6</v>
      </c>
      <c r="AF25" s="36">
        <f t="shared" si="3"/>
        <v>6</v>
      </c>
      <c r="AG25" s="36">
        <f t="shared" si="3"/>
        <v>5</v>
      </c>
      <c r="AH25" s="36">
        <f t="shared" si="3"/>
        <v>4</v>
      </c>
      <c r="AI25" s="36">
        <f t="shared" si="3"/>
        <v>6</v>
      </c>
      <c r="AJ25" s="36">
        <f t="shared" si="3"/>
        <v>4</v>
      </c>
      <c r="AK25" s="36">
        <f t="shared" si="3"/>
        <v>5</v>
      </c>
      <c r="AL25" s="36">
        <f t="shared" si="3"/>
        <v>2</v>
      </c>
      <c r="AM25" s="36">
        <f t="shared" si="3"/>
        <v>5</v>
      </c>
      <c r="AN25" s="36">
        <f t="shared" si="3"/>
        <v>3</v>
      </c>
      <c r="AO25" s="36">
        <f t="shared" si="3"/>
        <v>4</v>
      </c>
      <c r="AP25" s="36">
        <f t="shared" si="3"/>
        <v>4</v>
      </c>
      <c r="AQ25" s="36">
        <f t="shared" si="3"/>
        <v>5</v>
      </c>
      <c r="AR25" s="36">
        <f t="shared" si="3"/>
        <v>6</v>
      </c>
      <c r="AS25" s="36">
        <f t="shared" si="3"/>
        <v>6</v>
      </c>
      <c r="AT25" s="36">
        <f t="shared" si="3"/>
        <v>5</v>
      </c>
      <c r="AU25" s="36">
        <f t="shared" si="3"/>
        <v>3</v>
      </c>
      <c r="AV25" s="36">
        <f t="shared" si="3"/>
        <v>2</v>
      </c>
      <c r="AW25" s="36">
        <f t="shared" si="3"/>
        <v>7</v>
      </c>
      <c r="AX25" s="36">
        <f t="shared" si="3"/>
        <v>2</v>
      </c>
      <c r="AY25" s="36">
        <f t="shared" si="3"/>
        <v>3</v>
      </c>
      <c r="AZ25" s="36">
        <f t="shared" si="3"/>
        <v>6</v>
      </c>
      <c r="BA25" s="36">
        <f t="shared" si="3"/>
        <v>3</v>
      </c>
      <c r="BB25" s="36">
        <f t="shared" si="3"/>
        <v>5</v>
      </c>
      <c r="BC25" s="36">
        <f t="shared" si="3"/>
        <v>3</v>
      </c>
      <c r="BD25" s="36">
        <f t="shared" si="3"/>
        <v>8</v>
      </c>
      <c r="BE25" s="36">
        <f t="shared" si="3"/>
        <v>5</v>
      </c>
      <c r="BF25" s="36">
        <f t="shared" si="3"/>
        <v>6</v>
      </c>
      <c r="BG25" s="36">
        <f t="shared" si="3"/>
        <v>6</v>
      </c>
      <c r="BH25" s="36">
        <f t="shared" si="3"/>
        <v>6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5</v>
      </c>
      <c r="BN25" s="36">
        <f t="shared" si="3"/>
        <v>6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5</v>
      </c>
      <c r="L26" s="71">
        <f t="shared" si="4"/>
        <v>11</v>
      </c>
      <c r="M26" s="71">
        <f t="shared" si="4"/>
        <v>2</v>
      </c>
      <c r="N26" s="71">
        <f t="shared" si="4"/>
        <v>17</v>
      </c>
      <c r="O26" s="71">
        <f t="shared" si="4"/>
        <v>8</v>
      </c>
      <c r="P26" s="71">
        <f t="shared" si="4"/>
        <v>3</v>
      </c>
      <c r="Q26" s="71">
        <f t="shared" si="4"/>
        <v>1</v>
      </c>
      <c r="R26" s="71">
        <f t="shared" si="4"/>
        <v>10</v>
      </c>
      <c r="S26" s="71">
        <f t="shared" si="4"/>
        <v>2</v>
      </c>
      <c r="T26" s="71">
        <f t="shared" si="4"/>
        <v>11</v>
      </c>
      <c r="U26" s="71">
        <f t="shared" si="4"/>
        <v>11</v>
      </c>
      <c r="V26" s="71">
        <f t="shared" si="4"/>
        <v>6</v>
      </c>
      <c r="W26" s="71">
        <f t="shared" si="4"/>
        <v>3</v>
      </c>
      <c r="X26" s="71">
        <f t="shared" si="4"/>
        <v>15</v>
      </c>
      <c r="Y26" s="71">
        <f t="shared" si="4"/>
        <v>20</v>
      </c>
      <c r="Z26" s="71">
        <f t="shared" si="4"/>
        <v>13</v>
      </c>
      <c r="AA26" s="71">
        <f t="shared" si="4"/>
        <v>6</v>
      </c>
      <c r="AB26" s="71">
        <f t="shared" si="4"/>
        <v>17</v>
      </c>
      <c r="AC26" s="71">
        <f t="shared" si="4"/>
        <v>26</v>
      </c>
      <c r="AD26" s="71">
        <f t="shared" si="4"/>
        <v>9</v>
      </c>
      <c r="AE26" s="71">
        <f t="shared" si="4"/>
        <v>30</v>
      </c>
      <c r="AF26" s="71">
        <f t="shared" si="4"/>
        <v>3</v>
      </c>
      <c r="AG26" s="71">
        <f t="shared" si="4"/>
        <v>3</v>
      </c>
      <c r="AH26" s="71">
        <f t="shared" si="4"/>
        <v>8</v>
      </c>
      <c r="AI26" s="71">
        <f t="shared" si="4"/>
        <v>13</v>
      </c>
      <c r="AJ26" s="71">
        <f t="shared" si="4"/>
        <v>2</v>
      </c>
      <c r="AK26" s="71">
        <f t="shared" si="4"/>
        <v>30</v>
      </c>
      <c r="AL26" s="71">
        <f t="shared" si="4"/>
        <v>19</v>
      </c>
      <c r="AM26" s="71">
        <f t="shared" si="4"/>
        <v>1</v>
      </c>
      <c r="AN26" s="71">
        <f t="shared" si="4"/>
        <v>1</v>
      </c>
      <c r="AO26" s="71">
        <f t="shared" si="4"/>
        <v>5</v>
      </c>
      <c r="AP26" s="71">
        <f t="shared" si="4"/>
        <v>1</v>
      </c>
      <c r="AQ26" s="71">
        <f t="shared" si="4"/>
        <v>3</v>
      </c>
      <c r="AR26" s="71">
        <f t="shared" si="4"/>
        <v>1</v>
      </c>
      <c r="AS26" s="71">
        <f t="shared" si="4"/>
        <v>20</v>
      </c>
      <c r="AT26" s="71">
        <f t="shared" si="4"/>
        <v>3</v>
      </c>
      <c r="AU26" s="71">
        <f t="shared" si="4"/>
        <v>27</v>
      </c>
      <c r="AV26" s="71">
        <f t="shared" si="4"/>
        <v>11</v>
      </c>
      <c r="AW26" s="71">
        <f t="shared" si="4"/>
        <v>3</v>
      </c>
      <c r="AX26" s="71">
        <f t="shared" si="4"/>
        <v>12</v>
      </c>
      <c r="AY26" s="71">
        <f t="shared" si="4"/>
        <v>16</v>
      </c>
      <c r="AZ26" s="71">
        <f t="shared" si="4"/>
        <v>1</v>
      </c>
      <c r="BA26" s="71">
        <f t="shared" si="4"/>
        <v>27</v>
      </c>
      <c r="BB26" s="71">
        <f t="shared" si="4"/>
        <v>13</v>
      </c>
      <c r="BC26" s="71">
        <f t="shared" si="4"/>
        <v>11</v>
      </c>
      <c r="BD26" s="71">
        <f t="shared" si="4"/>
        <v>0</v>
      </c>
      <c r="BE26" s="71">
        <f t="shared" si="4"/>
        <v>13</v>
      </c>
      <c r="BF26" s="71">
        <f t="shared" si="4"/>
        <v>30</v>
      </c>
      <c r="BG26" s="71">
        <f t="shared" si="4"/>
        <v>5</v>
      </c>
      <c r="BH26" s="71">
        <f t="shared" si="4"/>
        <v>9</v>
      </c>
      <c r="BI26" s="71">
        <f t="shared" si="4"/>
        <v>1</v>
      </c>
      <c r="BJ26" s="71">
        <f t="shared" si="4"/>
        <v>0</v>
      </c>
      <c r="BK26" s="71">
        <f t="shared" si="4"/>
        <v>21</v>
      </c>
      <c r="BL26" s="71">
        <f t="shared" si="4"/>
        <v>16</v>
      </c>
      <c r="BM26" s="71">
        <f t="shared" si="4"/>
        <v>4</v>
      </c>
      <c r="BN26" s="71">
        <f t="shared" si="4"/>
        <v>13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19</v>
      </c>
      <c r="L27" s="71">
        <f t="shared" si="5"/>
        <v>13</v>
      </c>
      <c r="M27" s="71">
        <f t="shared" si="5"/>
        <v>12</v>
      </c>
      <c r="N27" s="71">
        <f t="shared" si="5"/>
        <v>19</v>
      </c>
      <c r="O27" s="71">
        <f t="shared" si="5"/>
        <v>6</v>
      </c>
      <c r="P27" s="71">
        <f t="shared" si="5"/>
        <v>33</v>
      </c>
      <c r="Q27" s="71">
        <f t="shared" si="5"/>
        <v>15</v>
      </c>
      <c r="R27" s="71">
        <f t="shared" si="5"/>
        <v>12</v>
      </c>
      <c r="S27" s="71">
        <f t="shared" si="5"/>
        <v>4</v>
      </c>
      <c r="T27" s="71">
        <f t="shared" si="5"/>
        <v>5</v>
      </c>
      <c r="U27" s="71">
        <f t="shared" si="5"/>
        <v>9</v>
      </c>
      <c r="V27" s="71">
        <f t="shared" si="5"/>
        <v>42</v>
      </c>
      <c r="W27" s="71">
        <f t="shared" si="5"/>
        <v>5</v>
      </c>
      <c r="X27" s="71">
        <f t="shared" si="5"/>
        <v>43</v>
      </c>
      <c r="Y27" s="71">
        <f t="shared" si="5"/>
        <v>22</v>
      </c>
      <c r="Z27" s="71">
        <f t="shared" si="5"/>
        <v>9</v>
      </c>
      <c r="AA27" s="71">
        <f t="shared" si="5"/>
        <v>78</v>
      </c>
      <c r="AB27" s="71">
        <f t="shared" si="5"/>
        <v>5</v>
      </c>
      <c r="AC27" s="71">
        <f t="shared" si="5"/>
        <v>16</v>
      </c>
      <c r="AD27" s="71">
        <f t="shared" si="5"/>
        <v>7</v>
      </c>
      <c r="AE27" s="71">
        <f t="shared" si="5"/>
        <v>20</v>
      </c>
      <c r="AF27" s="71">
        <f t="shared" si="5"/>
        <v>7</v>
      </c>
      <c r="AG27" s="71">
        <f t="shared" si="5"/>
        <v>13</v>
      </c>
      <c r="AH27" s="71">
        <f t="shared" si="5"/>
        <v>12</v>
      </c>
      <c r="AI27" s="71">
        <f t="shared" si="5"/>
        <v>25</v>
      </c>
      <c r="AJ27" s="71">
        <f t="shared" si="5"/>
        <v>12</v>
      </c>
      <c r="AK27" s="71">
        <f t="shared" si="5"/>
        <v>12</v>
      </c>
      <c r="AL27" s="71">
        <f t="shared" si="5"/>
        <v>17</v>
      </c>
      <c r="AM27" s="71">
        <f t="shared" si="5"/>
        <v>9</v>
      </c>
      <c r="AN27" s="71">
        <f t="shared" si="5"/>
        <v>29</v>
      </c>
      <c r="AO27" s="71">
        <f t="shared" si="5"/>
        <v>31</v>
      </c>
      <c r="AP27" s="71">
        <f t="shared" si="5"/>
        <v>43</v>
      </c>
      <c r="AQ27" s="71">
        <f t="shared" si="5"/>
        <v>13</v>
      </c>
      <c r="AR27" s="71">
        <f t="shared" si="5"/>
        <v>15</v>
      </c>
      <c r="AS27" s="71">
        <f t="shared" si="5"/>
        <v>8</v>
      </c>
      <c r="AT27" s="71">
        <f t="shared" si="5"/>
        <v>41</v>
      </c>
      <c r="AU27" s="71">
        <f t="shared" si="5"/>
        <v>15</v>
      </c>
      <c r="AV27" s="71">
        <f t="shared" si="5"/>
        <v>7</v>
      </c>
      <c r="AW27" s="71">
        <f t="shared" si="5"/>
        <v>21</v>
      </c>
      <c r="AX27" s="71">
        <f t="shared" si="5"/>
        <v>4</v>
      </c>
      <c r="AY27" s="71">
        <f t="shared" si="5"/>
        <v>6</v>
      </c>
      <c r="AZ27" s="71">
        <f t="shared" si="5"/>
        <v>7</v>
      </c>
      <c r="BA27" s="71">
        <f t="shared" si="5"/>
        <v>29</v>
      </c>
      <c r="BB27" s="71">
        <f t="shared" si="5"/>
        <v>29</v>
      </c>
      <c r="BC27" s="71">
        <f t="shared" si="5"/>
        <v>47</v>
      </c>
      <c r="BD27" s="71">
        <f t="shared" si="5"/>
        <v>16</v>
      </c>
      <c r="BE27" s="71">
        <f t="shared" si="5"/>
        <v>5</v>
      </c>
      <c r="BF27" s="71">
        <f t="shared" si="5"/>
        <v>12</v>
      </c>
      <c r="BG27" s="71">
        <f t="shared" si="5"/>
        <v>47</v>
      </c>
      <c r="BH27" s="71">
        <f t="shared" si="5"/>
        <v>13</v>
      </c>
      <c r="BI27" s="71">
        <f t="shared" si="5"/>
        <v>43</v>
      </c>
      <c r="BJ27" s="71">
        <f t="shared" si="5"/>
        <v>2</v>
      </c>
      <c r="BK27" s="71">
        <f t="shared" si="5"/>
        <v>9</v>
      </c>
      <c r="BL27" s="71">
        <f t="shared" si="5"/>
        <v>8</v>
      </c>
      <c r="BM27" s="71">
        <f t="shared" si="5"/>
        <v>28</v>
      </c>
      <c r="BN27" s="71">
        <f t="shared" si="5"/>
        <v>29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>
        <f t="shared" ca="1" si="6"/>
        <v>1</v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0.46785714285714286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4</v>
      </c>
      <c r="M29" s="71">
        <f t="shared" si="7"/>
        <v>5</v>
      </c>
      <c r="N29" s="71">
        <f t="shared" si="7"/>
        <v>8</v>
      </c>
      <c r="O29" s="71">
        <f t="shared" si="7"/>
        <v>5</v>
      </c>
      <c r="P29" s="71">
        <f t="shared" si="7"/>
        <v>8</v>
      </c>
      <c r="Q29" s="71">
        <f t="shared" si="7"/>
        <v>5</v>
      </c>
      <c r="R29" s="71">
        <f t="shared" si="7"/>
        <v>6</v>
      </c>
      <c r="S29" s="71">
        <f t="shared" si="7"/>
        <v>5</v>
      </c>
      <c r="T29" s="71">
        <f t="shared" si="7"/>
        <v>8</v>
      </c>
      <c r="U29" s="71">
        <f t="shared" si="7"/>
        <v>4</v>
      </c>
      <c r="V29" s="71">
        <f t="shared" si="7"/>
        <v>6</v>
      </c>
      <c r="W29" s="71">
        <f t="shared" si="7"/>
        <v>5</v>
      </c>
      <c r="X29" s="71">
        <f t="shared" si="7"/>
        <v>3</v>
      </c>
      <c r="Y29" s="71">
        <f t="shared" si="7"/>
        <v>7</v>
      </c>
      <c r="Z29" s="71">
        <f t="shared" si="7"/>
        <v>6</v>
      </c>
      <c r="AA29" s="71">
        <f t="shared" si="7"/>
        <v>0</v>
      </c>
      <c r="AB29" s="71">
        <f t="shared" si="7"/>
        <v>8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9</v>
      </c>
      <c r="AG29" s="71">
        <f t="shared" si="7"/>
        <v>4</v>
      </c>
      <c r="AH29" s="71">
        <f t="shared" si="7"/>
        <v>9</v>
      </c>
      <c r="AI29" s="71">
        <f t="shared" si="7"/>
        <v>7</v>
      </c>
      <c r="AJ29" s="71">
        <f t="shared" si="7"/>
        <v>5</v>
      </c>
      <c r="AK29" s="71">
        <f t="shared" si="7"/>
        <v>6</v>
      </c>
      <c r="AL29" s="71">
        <f t="shared" si="7"/>
        <v>5</v>
      </c>
      <c r="AM29" s="71">
        <f t="shared" si="7"/>
        <v>8</v>
      </c>
      <c r="AN29" s="71">
        <f t="shared" si="7"/>
        <v>4</v>
      </c>
      <c r="AO29" s="71">
        <f t="shared" si="7"/>
        <v>9</v>
      </c>
      <c r="AP29" s="71">
        <f t="shared" si="7"/>
        <v>5</v>
      </c>
      <c r="AQ29" s="71">
        <f t="shared" si="7"/>
        <v>6</v>
      </c>
      <c r="AR29" s="71">
        <f t="shared" si="7"/>
        <v>7</v>
      </c>
      <c r="AS29" s="71">
        <f t="shared" si="7"/>
        <v>7</v>
      </c>
      <c r="AT29" s="71">
        <f t="shared" si="7"/>
        <v>6</v>
      </c>
      <c r="AU29" s="71">
        <f t="shared" si="7"/>
        <v>6</v>
      </c>
      <c r="AV29" s="71">
        <f t="shared" si="7"/>
        <v>7</v>
      </c>
      <c r="AW29" s="71">
        <f t="shared" si="7"/>
        <v>8</v>
      </c>
      <c r="AX29" s="71">
        <f t="shared" si="7"/>
        <v>5</v>
      </c>
      <c r="AY29" s="71">
        <f t="shared" si="7"/>
        <v>8</v>
      </c>
      <c r="AZ29" s="71">
        <f t="shared" si="7"/>
        <v>5</v>
      </c>
      <c r="BA29" s="71">
        <f t="shared" si="7"/>
        <v>6</v>
      </c>
      <c r="BB29" s="71">
        <f t="shared" si="7"/>
        <v>6</v>
      </c>
      <c r="BC29" s="71">
        <f t="shared" si="7"/>
        <v>2</v>
      </c>
      <c r="BD29" s="71">
        <f t="shared" si="7"/>
        <v>5</v>
      </c>
      <c r="BE29" s="71">
        <f t="shared" si="7"/>
        <v>6</v>
      </c>
      <c r="BF29" s="71">
        <f t="shared" si="7"/>
        <v>5</v>
      </c>
      <c r="BG29" s="71">
        <f t="shared" si="7"/>
        <v>1</v>
      </c>
      <c r="BH29" s="71">
        <f t="shared" si="7"/>
        <v>7</v>
      </c>
      <c r="BI29" s="71">
        <f t="shared" si="7"/>
        <v>4</v>
      </c>
      <c r="BJ29" s="71">
        <f t="shared" si="7"/>
        <v>3</v>
      </c>
      <c r="BK29" s="71">
        <f t="shared" si="7"/>
        <v>7</v>
      </c>
      <c r="BL29" s="71">
        <f t="shared" si="7"/>
        <v>5</v>
      </c>
      <c r="BM29" s="71">
        <f t="shared" si="7"/>
        <v>8</v>
      </c>
      <c r="BN29" s="71">
        <f t="shared" si="7"/>
        <v>3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-18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5</v>
      </c>
      <c r="O30" s="73">
        <f t="shared" si="8"/>
        <v>8</v>
      </c>
      <c r="P30" s="73">
        <f t="shared" si="8"/>
        <v>5</v>
      </c>
      <c r="Q30" s="73">
        <f t="shared" si="8"/>
        <v>2</v>
      </c>
      <c r="R30" s="73">
        <f t="shared" si="8"/>
        <v>7</v>
      </c>
      <c r="S30" s="73">
        <f t="shared" si="8"/>
        <v>2</v>
      </c>
      <c r="T30" s="73">
        <f t="shared" si="8"/>
        <v>5</v>
      </c>
      <c r="U30" s="73">
        <f t="shared" si="8"/>
        <v>3</v>
      </c>
      <c r="V30" s="73">
        <f t="shared" si="8"/>
        <v>5</v>
      </c>
      <c r="W30" s="73">
        <f t="shared" si="8"/>
        <v>4</v>
      </c>
      <c r="X30" s="73">
        <f t="shared" si="8"/>
        <v>4</v>
      </c>
      <c r="Y30" s="73">
        <f t="shared" si="8"/>
        <v>6</v>
      </c>
      <c r="Z30" s="73">
        <f t="shared" si="8"/>
        <v>5</v>
      </c>
      <c r="AA30" s="73">
        <f t="shared" si="8"/>
        <v>10</v>
      </c>
      <c r="AB30" s="73">
        <f t="shared" si="8"/>
        <v>5</v>
      </c>
      <c r="AC30" s="73">
        <f t="shared" si="8"/>
        <v>7</v>
      </c>
      <c r="AD30" s="73">
        <f t="shared" si="8"/>
        <v>4</v>
      </c>
      <c r="AE30" s="73">
        <f t="shared" si="8"/>
        <v>4</v>
      </c>
      <c r="AF30" s="73">
        <f t="shared" si="8"/>
        <v>6</v>
      </c>
      <c r="AG30" s="73">
        <f t="shared" si="8"/>
        <v>7</v>
      </c>
      <c r="AH30" s="73">
        <f t="shared" si="8"/>
        <v>6</v>
      </c>
      <c r="AI30" s="73">
        <f t="shared" si="8"/>
        <v>6</v>
      </c>
      <c r="AJ30" s="73">
        <f t="shared" si="8"/>
        <v>2</v>
      </c>
      <c r="AK30" s="73">
        <f t="shared" si="8"/>
        <v>5</v>
      </c>
      <c r="AL30" s="73">
        <f t="shared" si="8"/>
        <v>8</v>
      </c>
      <c r="AM30" s="73">
        <f t="shared" si="8"/>
        <v>5</v>
      </c>
      <c r="AN30" s="73">
        <f t="shared" si="8"/>
        <v>3</v>
      </c>
      <c r="AO30" s="73">
        <f t="shared" si="8"/>
        <v>8</v>
      </c>
      <c r="AP30" s="73">
        <f t="shared" si="8"/>
        <v>6</v>
      </c>
      <c r="AQ30" s="73">
        <f t="shared" si="8"/>
        <v>3</v>
      </c>
      <c r="AR30" s="73">
        <f t="shared" si="8"/>
        <v>4</v>
      </c>
      <c r="AS30" s="73">
        <f t="shared" si="8"/>
        <v>8</v>
      </c>
      <c r="AT30" s="73">
        <f t="shared" si="8"/>
        <v>7</v>
      </c>
      <c r="AU30" s="73">
        <f t="shared" si="8"/>
        <v>3</v>
      </c>
      <c r="AV30" s="73">
        <f t="shared" si="8"/>
        <v>6</v>
      </c>
      <c r="AW30" s="73">
        <f t="shared" si="8"/>
        <v>7</v>
      </c>
      <c r="AX30" s="73">
        <f t="shared" si="8"/>
        <v>4</v>
      </c>
      <c r="AY30" s="73">
        <f t="shared" si="8"/>
        <v>5</v>
      </c>
      <c r="AZ30" s="73">
        <f t="shared" si="8"/>
        <v>4</v>
      </c>
      <c r="BA30" s="73">
        <f t="shared" si="8"/>
        <v>5</v>
      </c>
      <c r="BB30" s="73">
        <f t="shared" si="8"/>
        <v>3</v>
      </c>
      <c r="BC30" s="73">
        <f t="shared" si="8"/>
        <v>3</v>
      </c>
      <c r="BD30" s="73">
        <f t="shared" si="8"/>
        <v>4</v>
      </c>
      <c r="BE30" s="73">
        <f t="shared" si="8"/>
        <v>5</v>
      </c>
      <c r="BF30" s="73">
        <f t="shared" si="8"/>
        <v>4</v>
      </c>
      <c r="BG30" s="73">
        <f t="shared" si="8"/>
        <v>2</v>
      </c>
      <c r="BH30" s="73">
        <f t="shared" si="8"/>
        <v>4</v>
      </c>
      <c r="BI30" s="73">
        <f t="shared" si="8"/>
        <v>5</v>
      </c>
      <c r="BJ30" s="73">
        <f t="shared" si="8"/>
        <v>4</v>
      </c>
      <c r="BK30" s="73">
        <f t="shared" si="8"/>
        <v>10</v>
      </c>
      <c r="BL30" s="73">
        <f t="shared" si="8"/>
        <v>4</v>
      </c>
      <c r="BM30" s="73">
        <f t="shared" si="8"/>
        <v>5</v>
      </c>
      <c r="BN30" s="73">
        <f t="shared" si="8"/>
        <v>4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3</v>
      </c>
      <c r="N31" s="71">
        <f t="shared" ca="1" si="9"/>
        <v>2</v>
      </c>
      <c r="O31" s="71">
        <f t="shared" ca="1" si="9"/>
        <v>7</v>
      </c>
      <c r="P31" s="71">
        <f t="shared" ca="1" si="9"/>
        <v>2</v>
      </c>
      <c r="Q31" s="71">
        <f t="shared" ca="1" si="9"/>
        <v>1</v>
      </c>
      <c r="R31" s="71">
        <f t="shared" ca="1" si="9"/>
        <v>4</v>
      </c>
      <c r="S31" s="71">
        <f t="shared" ca="1" si="9"/>
        <v>3</v>
      </c>
      <c r="T31" s="71">
        <f t="shared" ca="1" si="9"/>
        <v>2</v>
      </c>
      <c r="U31" s="71">
        <f t="shared" ca="1" si="9"/>
        <v>4</v>
      </c>
      <c r="V31" s="71">
        <f t="shared" ca="1" si="9"/>
        <v>4</v>
      </c>
      <c r="W31" s="71">
        <f t="shared" ca="1" si="9"/>
        <v>3</v>
      </c>
      <c r="X31" s="71">
        <f t="shared" ca="1" si="9"/>
        <v>3</v>
      </c>
      <c r="Y31" s="71">
        <f t="shared" ca="1" si="9"/>
        <v>5</v>
      </c>
      <c r="Z31" s="71">
        <f t="shared" ca="1" si="9"/>
        <v>4</v>
      </c>
      <c r="AA31" s="71">
        <f t="shared" ca="1" si="9"/>
        <v>10</v>
      </c>
      <c r="AB31" s="71">
        <f t="shared" ca="1" si="9"/>
        <v>2</v>
      </c>
      <c r="AC31" s="71">
        <f t="shared" ca="1" si="9"/>
        <v>4</v>
      </c>
      <c r="AD31" s="71">
        <f t="shared" ca="1" si="9"/>
        <v>5</v>
      </c>
      <c r="AE31" s="71">
        <f t="shared" ca="1" si="9"/>
        <v>3</v>
      </c>
      <c r="AF31" s="71">
        <f t="shared" ca="1" si="9"/>
        <v>3</v>
      </c>
      <c r="AG31" s="71">
        <f t="shared" ca="1" si="9"/>
        <v>4</v>
      </c>
      <c r="AH31" s="71">
        <f t="shared" ca="1" si="9"/>
        <v>3</v>
      </c>
      <c r="AI31" s="71">
        <f t="shared" ca="1" si="9"/>
        <v>3</v>
      </c>
      <c r="AJ31" s="71">
        <f t="shared" ca="1" si="9"/>
        <v>1</v>
      </c>
      <c r="AK31" s="71">
        <f t="shared" ca="1" si="9"/>
        <v>6</v>
      </c>
      <c r="AL31" s="71">
        <f t="shared" ca="1" si="9"/>
        <v>7</v>
      </c>
      <c r="AM31" s="71">
        <f t="shared" ca="1" si="9"/>
        <v>2</v>
      </c>
      <c r="AN31" s="71">
        <f t="shared" ca="1" si="9"/>
        <v>2</v>
      </c>
      <c r="AO31" s="71">
        <f t="shared" ca="1" si="9"/>
        <v>5</v>
      </c>
      <c r="AP31" s="71">
        <f t="shared" ca="1" si="9"/>
        <v>3</v>
      </c>
      <c r="AQ31" s="71">
        <f t="shared" ca="1" si="9"/>
        <v>2</v>
      </c>
      <c r="AR31" s="71">
        <f t="shared" ca="1" si="9"/>
        <v>3</v>
      </c>
      <c r="AS31" s="71">
        <f t="shared" ca="1" si="9"/>
        <v>7</v>
      </c>
      <c r="AT31" s="71">
        <f t="shared" ca="1" si="9"/>
        <v>4</v>
      </c>
      <c r="AU31" s="71">
        <f t="shared" ca="1" si="9"/>
        <v>4</v>
      </c>
      <c r="AV31" s="71">
        <f t="shared" ca="1" si="9"/>
        <v>3</v>
      </c>
      <c r="AW31" s="71">
        <f t="shared" ca="1" si="9"/>
        <v>4</v>
      </c>
      <c r="AX31" s="71">
        <f t="shared" ca="1" si="9"/>
        <v>3</v>
      </c>
      <c r="AY31" s="71">
        <f t="shared" ca="1" si="9"/>
        <v>2</v>
      </c>
      <c r="AZ31" s="71">
        <f t="shared" ca="1" si="9"/>
        <v>1</v>
      </c>
      <c r="BA31" s="71">
        <f t="shared" ca="1" si="9"/>
        <v>4</v>
      </c>
      <c r="BB31" s="71">
        <f t="shared" ca="1" si="9"/>
        <v>2</v>
      </c>
      <c r="BC31" s="71">
        <f t="shared" ca="1" si="9"/>
        <v>4</v>
      </c>
      <c r="BD31" s="71">
        <f t="shared" ca="1" si="9"/>
        <v>3</v>
      </c>
      <c r="BE31" s="71">
        <f t="shared" ca="1" si="9"/>
        <v>4</v>
      </c>
      <c r="BF31" s="71">
        <f t="shared" ca="1" si="9"/>
        <v>5</v>
      </c>
      <c r="BG31" s="71">
        <f t="shared" ca="1" si="9"/>
        <v>5</v>
      </c>
      <c r="BH31" s="71">
        <f t="shared" ca="1" si="9"/>
        <v>5</v>
      </c>
      <c r="BI31" s="71">
        <f t="shared" ca="1" si="9"/>
        <v>4</v>
      </c>
      <c r="BJ31" s="71">
        <f t="shared" ca="1" si="9"/>
        <v>3</v>
      </c>
      <c r="BK31" s="71">
        <f t="shared" ca="1" si="9"/>
        <v>7</v>
      </c>
      <c r="BL31" s="71">
        <f t="shared" ca="1" si="9"/>
        <v>5</v>
      </c>
      <c r="BM31" s="71">
        <f t="shared" ca="1" si="9"/>
        <v>2</v>
      </c>
      <c r="BN31" s="71">
        <f t="shared" ca="1" si="9"/>
        <v>7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101979924</v>
      </c>
      <c r="L36" s="32">
        <f t="shared" si="12"/>
        <v>99955948</v>
      </c>
      <c r="M36" s="32">
        <f t="shared" si="12"/>
        <v>121991952</v>
      </c>
      <c r="N36" s="32">
        <f t="shared" si="12"/>
        <v>99931924</v>
      </c>
      <c r="O36" s="32">
        <f t="shared" si="12"/>
        <v>79967976</v>
      </c>
      <c r="P36" s="32">
        <f t="shared" si="12"/>
        <v>101987868</v>
      </c>
      <c r="Q36" s="32">
        <f t="shared" si="12"/>
        <v>121995940</v>
      </c>
      <c r="R36" s="32">
        <f t="shared" si="12"/>
        <v>59959952</v>
      </c>
      <c r="S36" s="32">
        <f t="shared" si="12"/>
        <v>121991984</v>
      </c>
      <c r="T36" s="32">
        <f t="shared" si="12"/>
        <v>101955980</v>
      </c>
      <c r="U36" s="32">
        <f t="shared" si="12"/>
        <v>101955964</v>
      </c>
      <c r="V36" s="32">
        <f t="shared" si="12"/>
        <v>101975832</v>
      </c>
      <c r="W36" s="32">
        <f t="shared" si="12"/>
        <v>81987980</v>
      </c>
      <c r="X36" s="32">
        <f t="shared" si="12"/>
        <v>121939828</v>
      </c>
      <c r="Y36" s="32">
        <f t="shared" si="12"/>
        <v>79919912</v>
      </c>
      <c r="Z36" s="32">
        <f t="shared" si="12"/>
        <v>139947964</v>
      </c>
      <c r="AA36" s="32">
        <f t="shared" si="12"/>
        <v>0</v>
      </c>
      <c r="AB36" s="32">
        <f t="shared" si="12"/>
        <v>99931980</v>
      </c>
      <c r="AC36" s="32">
        <f t="shared" si="12"/>
        <v>19895936</v>
      </c>
      <c r="AD36" s="32">
        <f t="shared" si="12"/>
        <v>119963972</v>
      </c>
      <c r="AE36" s="32">
        <f t="shared" si="12"/>
        <v>121879920</v>
      </c>
      <c r="AF36" s="32">
        <f t="shared" si="12"/>
        <v>121987972</v>
      </c>
      <c r="AG36" s="32">
        <f t="shared" si="12"/>
        <v>101987948</v>
      </c>
      <c r="AH36" s="32">
        <f t="shared" si="12"/>
        <v>79967952</v>
      </c>
      <c r="AI36" s="32">
        <f t="shared" si="12"/>
        <v>119947900</v>
      </c>
      <c r="AJ36" s="32">
        <f t="shared" si="12"/>
        <v>81991952</v>
      </c>
      <c r="AK36" s="32">
        <f t="shared" si="12"/>
        <v>99879952</v>
      </c>
      <c r="AL36" s="32">
        <f t="shared" si="12"/>
        <v>39923932</v>
      </c>
      <c r="AM36" s="32">
        <f t="shared" si="12"/>
        <v>101995964</v>
      </c>
      <c r="AN36" s="32">
        <f t="shared" si="12"/>
        <v>61995884</v>
      </c>
      <c r="AO36" s="32">
        <f t="shared" si="12"/>
        <v>79979876</v>
      </c>
      <c r="AP36" s="32">
        <f t="shared" si="12"/>
        <v>81995828</v>
      </c>
      <c r="AQ36" s="32">
        <f t="shared" si="12"/>
        <v>101987948</v>
      </c>
      <c r="AR36" s="32">
        <f t="shared" si="12"/>
        <v>121995940</v>
      </c>
      <c r="AS36" s="32">
        <f t="shared" si="12"/>
        <v>119919968</v>
      </c>
      <c r="AT36" s="32">
        <f t="shared" si="12"/>
        <v>101987836</v>
      </c>
      <c r="AU36" s="32">
        <f t="shared" si="12"/>
        <v>59891940</v>
      </c>
      <c r="AV36" s="32">
        <f t="shared" si="12"/>
        <v>39955972</v>
      </c>
      <c r="AW36" s="32">
        <f t="shared" si="12"/>
        <v>141987916</v>
      </c>
      <c r="AX36" s="32">
        <f t="shared" si="12"/>
        <v>39951984</v>
      </c>
      <c r="AY36" s="32">
        <f t="shared" si="12"/>
        <v>59935976</v>
      </c>
      <c r="AZ36" s="32">
        <f t="shared" si="12"/>
        <v>121995972</v>
      </c>
      <c r="BA36" s="32">
        <f t="shared" si="12"/>
        <v>59891884</v>
      </c>
      <c r="BB36" s="32">
        <f t="shared" si="12"/>
        <v>99947884</v>
      </c>
      <c r="BC36" s="32">
        <f t="shared" si="12"/>
        <v>61955812</v>
      </c>
      <c r="BD36" s="32">
        <f t="shared" si="12"/>
        <v>161999936</v>
      </c>
      <c r="BE36" s="32">
        <f t="shared" si="12"/>
        <v>99947980</v>
      </c>
      <c r="BF36" s="32">
        <f t="shared" si="12"/>
        <v>119879952</v>
      </c>
      <c r="BG36" s="32">
        <f t="shared" si="12"/>
        <v>121979812</v>
      </c>
      <c r="BH36" s="32">
        <f t="shared" si="12"/>
        <v>119963948</v>
      </c>
      <c r="BI36" s="32">
        <f t="shared" si="12"/>
        <v>61995828</v>
      </c>
      <c r="BJ36" s="32">
        <f t="shared" si="12"/>
        <v>121999992</v>
      </c>
      <c r="BK36" s="32">
        <f t="shared" si="12"/>
        <v>79915964</v>
      </c>
      <c r="BL36" s="32">
        <f t="shared" si="12"/>
        <v>79935968</v>
      </c>
      <c r="BM36" s="32">
        <f t="shared" si="12"/>
        <v>101983888</v>
      </c>
      <c r="BN36" s="32">
        <f t="shared" si="12"/>
        <v>119947884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ca="1" si="13"/>
        <v>Gilmer, Justin T</v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Gilmer, Justin T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3" priority="9" stopIfTrue="1" operator="equal">
      <formula>0</formula>
    </cfRule>
  </conditionalFormatting>
  <conditionalFormatting sqref="D26:J28 K28:BE28">
    <cfRule type="cellIs" dxfId="162" priority="10" stopIfTrue="1" operator="equal">
      <formula>1</formula>
    </cfRule>
  </conditionalFormatting>
  <conditionalFormatting sqref="H3:I3 F23 H5:I5 H7:I7 H9:I9 H11:I11 H13:I13 H15:I15 H17:I17 H19:I19 H21:I21">
    <cfRule type="cellIs" dxfId="161" priority="11" stopIfTrue="1" operator="equal">
      <formula>0</formula>
    </cfRule>
  </conditionalFormatting>
  <conditionalFormatting sqref="H4:I4 F24 H6:I6 H8:I8 H10:I10 H12:I12 H14:I14 H16:I16 H18:I18 H20:I20 H22:I22">
    <cfRule type="cellIs" dxfId="160" priority="12" stopIfTrue="1" operator="equal">
      <formula>0</formula>
    </cfRule>
  </conditionalFormatting>
  <conditionalFormatting sqref="F3 F5 F7 F9 F11 F13 F15 F17 F19 F21">
    <cfRule type="cellIs" dxfId="1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57" priority="15" stopIfTrue="1">
      <formula>AND(COUNTA(J4)=1,$E4=1,SUM($E3:$E4)=1)</formula>
    </cfRule>
    <cfRule type="expression" dxfId="15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5" priority="17" stopIfTrue="1">
      <formula>AND(COUNTA(J3)=1,$E3=1,SUM($E3:$E4)=1)</formula>
    </cfRule>
    <cfRule type="expression" dxfId="154" priority="18" stopIfTrue="1">
      <formula>AND(COUNTA(J3)=1,$E3=0,SUM($E3:$E4)=1)</formula>
    </cfRule>
  </conditionalFormatting>
  <conditionalFormatting sqref="BF23:BN23">
    <cfRule type="cellIs" dxfId="153" priority="7" stopIfTrue="1" operator="equal">
      <formula>0</formula>
    </cfRule>
  </conditionalFormatting>
  <conditionalFormatting sqref="BF24:BN24">
    <cfRule type="cellIs" dxfId="152" priority="6" stopIfTrue="1" operator="equal">
      <formula>0</formula>
    </cfRule>
  </conditionalFormatting>
  <conditionalFormatting sqref="BF28:BN28">
    <cfRule type="cellIs" dxfId="15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50" priority="3" stopIfTrue="1">
      <formula>AND(COUNTA(BF4)=1,$E4=1,SUM($E3:$E4)=1)</formula>
    </cfRule>
    <cfRule type="expression" dxfId="14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48" priority="1" stopIfTrue="1">
      <formula>AND(COUNTA(BF3)=1,$E3=1,SUM($E3:$E4)=1)</formula>
    </cfRule>
    <cfRule type="expression" dxfId="1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BN58"/>
  <sheetViews>
    <sheetView zoomScale="90" zoomScaleNormal="100" zoomScaleSheetLayoutView="100" workbookViewId="0">
      <selection activeCell="D7" sqref="D7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>
      <c r="B1" s="6"/>
      <c r="I1">
        <f>COUNTA(K1:BW1)</f>
        <v>0</v>
      </c>
      <c r="J1">
        <f>SUM(K1:BW1)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>
      <c r="A3" s="59">
        <v>1</v>
      </c>
      <c r="B3" s="67" t="s">
        <v>179</v>
      </c>
      <c r="C3" s="65"/>
      <c r="D3" s="64">
        <v>14</v>
      </c>
      <c r="E3" s="64">
        <f>IF(ISBLANK($D3),"0",IF(($D4-$D3)&lt;($C4-$C3),1,0))</f>
        <v>0</v>
      </c>
      <c r="F3" s="64">
        <f ca="1">COUNTA(INDIRECT("RC11:RC"&amp;11+playercnt-1,FALSE))</f>
        <v>23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314</v>
      </c>
      <c r="L3" s="69"/>
      <c r="M3" s="69"/>
      <c r="N3" s="69"/>
      <c r="O3" s="69" t="s">
        <v>314</v>
      </c>
      <c r="P3" s="69"/>
      <c r="Q3" s="69"/>
      <c r="R3" s="69"/>
      <c r="S3" s="69" t="s">
        <v>314</v>
      </c>
      <c r="T3" s="69"/>
      <c r="U3" s="69"/>
      <c r="V3" s="69" t="s">
        <v>314</v>
      </c>
      <c r="W3" s="69"/>
      <c r="X3" s="69" t="s">
        <v>314</v>
      </c>
      <c r="Y3" s="69" t="s">
        <v>314</v>
      </c>
      <c r="Z3" s="69"/>
      <c r="AA3" s="69"/>
      <c r="AB3" s="69"/>
      <c r="AC3" s="69"/>
      <c r="AD3" s="69"/>
      <c r="AE3" s="69"/>
      <c r="AF3" s="69"/>
      <c r="AG3" s="69"/>
      <c r="AH3" s="69"/>
      <c r="AI3" s="69" t="s">
        <v>314</v>
      </c>
      <c r="AJ3" s="69"/>
      <c r="AK3" s="69" t="s">
        <v>314</v>
      </c>
      <c r="AL3" s="69" t="s">
        <v>314</v>
      </c>
      <c r="AM3" s="69"/>
      <c r="AN3" s="69" t="s">
        <v>314</v>
      </c>
      <c r="AO3" s="69" t="s">
        <v>314</v>
      </c>
      <c r="AP3" s="69" t="s">
        <v>314</v>
      </c>
      <c r="AQ3" s="69"/>
      <c r="AR3" s="96" t="s">
        <v>314</v>
      </c>
      <c r="AS3" s="69"/>
      <c r="AT3" s="69"/>
      <c r="AU3" s="69" t="s">
        <v>314</v>
      </c>
      <c r="AV3" s="69" t="s">
        <v>314</v>
      </c>
      <c r="AW3" s="69" t="s">
        <v>314</v>
      </c>
      <c r="AX3" s="69"/>
      <c r="AY3" s="69"/>
      <c r="AZ3" s="69"/>
      <c r="BA3" s="69"/>
      <c r="BB3" s="69"/>
      <c r="BC3" s="69" t="s">
        <v>314</v>
      </c>
      <c r="BD3" s="69" t="s">
        <v>314</v>
      </c>
      <c r="BE3" s="96" t="s">
        <v>314</v>
      </c>
      <c r="BF3" s="69"/>
      <c r="BG3" s="69"/>
      <c r="BH3" s="69" t="s">
        <v>314</v>
      </c>
      <c r="BI3" s="69" t="s">
        <v>314</v>
      </c>
      <c r="BJ3" s="69"/>
      <c r="BK3" s="69" t="s">
        <v>314</v>
      </c>
      <c r="BL3" s="69"/>
      <c r="BM3" s="69" t="s">
        <v>314</v>
      </c>
      <c r="BN3" s="69"/>
    </row>
    <row r="4" spans="1:66">
      <c r="A4" s="61" t="s">
        <v>3</v>
      </c>
      <c r="B4" s="68" t="s">
        <v>203</v>
      </c>
      <c r="C4" s="66">
        <v>0.5</v>
      </c>
      <c r="D4" s="64">
        <v>38</v>
      </c>
      <c r="E4" s="64">
        <f>IF(ISBLANK($D4),"0",IF(($D4-$D3)&gt;($C4-$C3),1,0))</f>
        <v>1</v>
      </c>
      <c r="F4" s="64">
        <f t="shared" ref="F4:F22" ca="1" si="1">COUNTA(INDIRECT("RC11:RC"&amp;11+playercnt-1,FALSE))</f>
        <v>28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314</v>
      </c>
      <c r="M4" s="70"/>
      <c r="N4" s="70" t="s">
        <v>314</v>
      </c>
      <c r="O4" s="70"/>
      <c r="P4" s="70" t="s">
        <v>314</v>
      </c>
      <c r="Q4" s="70" t="s">
        <v>314</v>
      </c>
      <c r="R4" s="70" t="s">
        <v>314</v>
      </c>
      <c r="S4" s="70"/>
      <c r="T4" s="70"/>
      <c r="U4" s="97" t="s">
        <v>314</v>
      </c>
      <c r="V4" s="70"/>
      <c r="W4" s="70" t="s">
        <v>314</v>
      </c>
      <c r="X4" s="70"/>
      <c r="Y4" s="70"/>
      <c r="Z4" s="70" t="s">
        <v>314</v>
      </c>
      <c r="AA4" s="70" t="s">
        <v>314</v>
      </c>
      <c r="AB4" s="70" t="s">
        <v>314</v>
      </c>
      <c r="AC4" s="70" t="s">
        <v>314</v>
      </c>
      <c r="AD4" s="70" t="s">
        <v>314</v>
      </c>
      <c r="AE4" s="70"/>
      <c r="AF4" s="70" t="s">
        <v>314</v>
      </c>
      <c r="AG4" s="70" t="s">
        <v>314</v>
      </c>
      <c r="AH4" s="70" t="s">
        <v>314</v>
      </c>
      <c r="AI4" s="70"/>
      <c r="AJ4" s="70" t="s">
        <v>314</v>
      </c>
      <c r="AK4" s="70"/>
      <c r="AL4" s="70"/>
      <c r="AM4" s="70" t="s">
        <v>314</v>
      </c>
      <c r="AN4" s="70"/>
      <c r="AO4" s="70"/>
      <c r="AP4" s="70"/>
      <c r="AQ4" s="70" t="s">
        <v>314</v>
      </c>
      <c r="AR4" s="70"/>
      <c r="AS4" s="70" t="s">
        <v>314</v>
      </c>
      <c r="AT4" s="70"/>
      <c r="AU4" s="70"/>
      <c r="AV4" s="70"/>
      <c r="AW4" s="70"/>
      <c r="AX4" s="70" t="s">
        <v>314</v>
      </c>
      <c r="AY4" s="70" t="s">
        <v>314</v>
      </c>
      <c r="AZ4" s="70"/>
      <c r="BA4" s="70" t="s">
        <v>314</v>
      </c>
      <c r="BB4" s="70" t="s">
        <v>314</v>
      </c>
      <c r="BC4" s="70"/>
      <c r="BD4" s="70"/>
      <c r="BE4" s="70"/>
      <c r="BF4" s="70" t="s">
        <v>314</v>
      </c>
      <c r="BG4" s="70" t="s">
        <v>314</v>
      </c>
      <c r="BH4" s="70"/>
      <c r="BI4" s="70"/>
      <c r="BJ4" s="70" t="s">
        <v>314</v>
      </c>
      <c r="BK4" s="70"/>
      <c r="BL4" s="70" t="s">
        <v>314</v>
      </c>
      <c r="BM4" s="70"/>
      <c r="BN4" s="70" t="s">
        <v>314</v>
      </c>
    </row>
    <row r="5" spans="1:66">
      <c r="A5" s="59">
        <v>2</v>
      </c>
      <c r="B5" s="67" t="s">
        <v>137</v>
      </c>
      <c r="C5" s="65">
        <v>2.5</v>
      </c>
      <c r="D5" s="64">
        <v>0</v>
      </c>
      <c r="E5" s="64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>
      <c r="A6" s="61" t="s">
        <v>3</v>
      </c>
      <c r="B6" s="68" t="s">
        <v>245</v>
      </c>
      <c r="C6" s="66"/>
      <c r="D6" s="64">
        <v>0</v>
      </c>
      <c r="E6" s="64">
        <f>IF(ISBLANK($D6),"0",IF(($D6-$D5)&gt;($C6-$C5),1,0))</f>
        <v>1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>
      <c r="A7" s="59">
        <v>3</v>
      </c>
      <c r="B7" s="67" t="s">
        <v>167</v>
      </c>
      <c r="C7" s="65"/>
      <c r="D7" s="64">
        <v>34</v>
      </c>
      <c r="E7" s="64">
        <f>IF(ISBLANK($D7),"0",IF(($D8-$D7)&lt;($C8-$C7),1,0))</f>
        <v>1</v>
      </c>
      <c r="F7" s="64">
        <f t="shared" ca="1" si="1"/>
        <v>14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314</v>
      </c>
      <c r="L7" s="69" t="s">
        <v>314</v>
      </c>
      <c r="M7" s="69"/>
      <c r="N7" s="69"/>
      <c r="O7" s="69"/>
      <c r="P7" s="69"/>
      <c r="Q7" s="69"/>
      <c r="R7" s="96"/>
      <c r="S7" s="96"/>
      <c r="T7" s="96"/>
      <c r="U7" s="96"/>
      <c r="V7" s="69"/>
      <c r="W7" s="69" t="s">
        <v>314</v>
      </c>
      <c r="X7" s="69" t="s">
        <v>314</v>
      </c>
      <c r="Y7" s="69"/>
      <c r="Z7" s="69" t="s">
        <v>314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 t="s">
        <v>314</v>
      </c>
      <c r="AO7" s="69" t="s">
        <v>314</v>
      </c>
      <c r="AP7" s="69"/>
      <c r="AQ7" s="69"/>
      <c r="AR7" s="96"/>
      <c r="AS7" s="69"/>
      <c r="AT7" s="69"/>
      <c r="AU7" s="69"/>
      <c r="AV7" s="69" t="s">
        <v>314</v>
      </c>
      <c r="AW7" s="69"/>
      <c r="AX7" s="69"/>
      <c r="AY7" s="69"/>
      <c r="AZ7" s="69"/>
      <c r="BA7" s="69" t="s">
        <v>314</v>
      </c>
      <c r="BB7" s="69"/>
      <c r="BC7" s="69" t="s">
        <v>314</v>
      </c>
      <c r="BD7" s="69"/>
      <c r="BE7" s="96"/>
      <c r="BF7" s="69"/>
      <c r="BG7" s="69" t="s">
        <v>314</v>
      </c>
      <c r="BH7" s="69" t="s">
        <v>314</v>
      </c>
      <c r="BI7" s="69"/>
      <c r="BJ7" s="69"/>
      <c r="BK7" s="69" t="s">
        <v>314</v>
      </c>
      <c r="BL7" s="69"/>
      <c r="BM7" s="69"/>
      <c r="BN7" s="69" t="s">
        <v>314</v>
      </c>
    </row>
    <row r="8" spans="1:66">
      <c r="A8" s="61" t="s">
        <v>3</v>
      </c>
      <c r="B8" s="68" t="s">
        <v>164</v>
      </c>
      <c r="C8" s="66">
        <v>2.5</v>
      </c>
      <c r="D8" s="64">
        <v>3</v>
      </c>
      <c r="E8" s="64">
        <f>IF(ISBLANK($D8),"0",IF(($D8-$D7)&gt;($C8-$C7),1,0))</f>
        <v>0</v>
      </c>
      <c r="F8" s="64">
        <f t="shared" ca="1" si="1"/>
        <v>37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/>
      <c r="M8" s="70"/>
      <c r="N8" s="70" t="s">
        <v>314</v>
      </c>
      <c r="O8" s="70" t="s">
        <v>314</v>
      </c>
      <c r="P8" s="70" t="s">
        <v>314</v>
      </c>
      <c r="Q8" s="70" t="s">
        <v>314</v>
      </c>
      <c r="R8" s="97" t="s">
        <v>314</v>
      </c>
      <c r="S8" s="97" t="s">
        <v>314</v>
      </c>
      <c r="T8" s="97"/>
      <c r="U8" s="97" t="s">
        <v>314</v>
      </c>
      <c r="V8" s="70" t="s">
        <v>314</v>
      </c>
      <c r="W8" s="70"/>
      <c r="X8" s="70"/>
      <c r="Y8" s="70" t="s">
        <v>314</v>
      </c>
      <c r="Z8" s="70"/>
      <c r="AA8" s="70" t="s">
        <v>314</v>
      </c>
      <c r="AB8" s="70" t="s">
        <v>314</v>
      </c>
      <c r="AC8" s="70" t="s">
        <v>314</v>
      </c>
      <c r="AD8" s="70" t="s">
        <v>314</v>
      </c>
      <c r="AE8" s="70"/>
      <c r="AF8" s="70" t="s">
        <v>314</v>
      </c>
      <c r="AG8" s="70" t="s">
        <v>314</v>
      </c>
      <c r="AH8" s="70" t="s">
        <v>314</v>
      </c>
      <c r="AI8" s="70" t="s">
        <v>314</v>
      </c>
      <c r="AJ8" s="70" t="s">
        <v>314</v>
      </c>
      <c r="AK8" s="70" t="s">
        <v>314</v>
      </c>
      <c r="AL8" s="70" t="s">
        <v>314</v>
      </c>
      <c r="AM8" s="70" t="s">
        <v>314</v>
      </c>
      <c r="AN8" s="70"/>
      <c r="AO8" s="70"/>
      <c r="AP8" s="70" t="s">
        <v>314</v>
      </c>
      <c r="AQ8" s="70" t="s">
        <v>314</v>
      </c>
      <c r="AR8" s="70" t="s">
        <v>314</v>
      </c>
      <c r="AS8" s="70" t="s">
        <v>314</v>
      </c>
      <c r="AT8" s="70"/>
      <c r="AU8" s="70" t="s">
        <v>314</v>
      </c>
      <c r="AV8" s="70"/>
      <c r="AW8" s="70" t="s">
        <v>314</v>
      </c>
      <c r="AX8" s="70" t="s">
        <v>314</v>
      </c>
      <c r="AY8" s="70" t="s">
        <v>314</v>
      </c>
      <c r="AZ8" s="70"/>
      <c r="BA8" s="70"/>
      <c r="BB8" s="70" t="s">
        <v>314</v>
      </c>
      <c r="BC8" s="70"/>
      <c r="BD8" s="70" t="s">
        <v>314</v>
      </c>
      <c r="BE8" s="70" t="s">
        <v>314</v>
      </c>
      <c r="BF8" s="70" t="s">
        <v>314</v>
      </c>
      <c r="BG8" s="70"/>
      <c r="BH8" s="70"/>
      <c r="BI8" s="70" t="s">
        <v>314</v>
      </c>
      <c r="BJ8" s="70" t="s">
        <v>314</v>
      </c>
      <c r="BK8" s="70"/>
      <c r="BL8" s="70" t="s">
        <v>314</v>
      </c>
      <c r="BM8" s="70" t="s">
        <v>314</v>
      </c>
      <c r="BN8" s="70"/>
    </row>
    <row r="9" spans="1:66">
      <c r="A9" s="59">
        <v>4</v>
      </c>
      <c r="B9" s="108" t="s">
        <v>187</v>
      </c>
      <c r="C9" s="65"/>
      <c r="D9" s="81">
        <v>40</v>
      </c>
      <c r="E9" s="64">
        <f>IF(ISBLANK($D9),"0",IF(($D10-$D9)&lt;($C10-$C9),1,0))</f>
        <v>1</v>
      </c>
      <c r="F9" s="64">
        <f t="shared" ca="1" si="1"/>
        <v>30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/>
      <c r="N9" s="69" t="s">
        <v>314</v>
      </c>
      <c r="O9" s="69"/>
      <c r="P9" s="69" t="s">
        <v>314</v>
      </c>
      <c r="Q9" s="69"/>
      <c r="R9" s="96"/>
      <c r="S9" s="96"/>
      <c r="T9" s="96"/>
      <c r="U9" s="96" t="s">
        <v>314</v>
      </c>
      <c r="V9" s="69" t="s">
        <v>314</v>
      </c>
      <c r="W9" s="69" t="s">
        <v>314</v>
      </c>
      <c r="X9" s="69" t="s">
        <v>314</v>
      </c>
      <c r="Y9" s="69" t="s">
        <v>314</v>
      </c>
      <c r="Z9" s="69" t="s">
        <v>314</v>
      </c>
      <c r="AA9" s="69" t="s">
        <v>314</v>
      </c>
      <c r="AB9" s="69"/>
      <c r="AC9" s="69" t="s">
        <v>314</v>
      </c>
      <c r="AD9" s="69"/>
      <c r="AE9" s="69"/>
      <c r="AF9" s="69"/>
      <c r="AG9" s="69" t="s">
        <v>314</v>
      </c>
      <c r="AH9" s="69" t="s">
        <v>314</v>
      </c>
      <c r="AI9" s="69"/>
      <c r="AJ9" s="69"/>
      <c r="AK9" s="69" t="s">
        <v>314</v>
      </c>
      <c r="AL9" s="69" t="s">
        <v>314</v>
      </c>
      <c r="AM9" s="69" t="s">
        <v>314</v>
      </c>
      <c r="AN9" s="69" t="s">
        <v>314</v>
      </c>
      <c r="AO9" s="69" t="s">
        <v>314</v>
      </c>
      <c r="AP9" s="69" t="s">
        <v>314</v>
      </c>
      <c r="AQ9" s="69"/>
      <c r="AR9" s="96"/>
      <c r="AS9" s="69" t="s">
        <v>314</v>
      </c>
      <c r="AT9" s="69"/>
      <c r="AU9" s="69" t="s">
        <v>314</v>
      </c>
      <c r="AV9" s="69"/>
      <c r="AW9" s="69" t="s">
        <v>314</v>
      </c>
      <c r="AX9" s="69"/>
      <c r="AY9" s="69" t="s">
        <v>314</v>
      </c>
      <c r="AZ9" s="69"/>
      <c r="BA9" s="69" t="s">
        <v>314</v>
      </c>
      <c r="BB9" s="69" t="s">
        <v>314</v>
      </c>
      <c r="BC9" s="69"/>
      <c r="BD9" s="69"/>
      <c r="BE9" s="96"/>
      <c r="BF9" s="69" t="s">
        <v>314</v>
      </c>
      <c r="BG9" s="69" t="s">
        <v>314</v>
      </c>
      <c r="BH9" s="69"/>
      <c r="BI9" s="69"/>
      <c r="BJ9" s="69" t="s">
        <v>314</v>
      </c>
      <c r="BK9" s="69" t="s">
        <v>314</v>
      </c>
      <c r="BL9" s="69"/>
      <c r="BM9" s="69"/>
      <c r="BN9" s="69" t="s">
        <v>314</v>
      </c>
    </row>
    <row r="10" spans="1:66">
      <c r="A10" s="61" t="s">
        <v>3</v>
      </c>
      <c r="B10" s="68" t="s">
        <v>158</v>
      </c>
      <c r="C10" s="66">
        <v>10.5</v>
      </c>
      <c r="D10" s="64">
        <v>45</v>
      </c>
      <c r="E10" s="64">
        <f>IF(ISBLANK($D10),"0",IF(($D10-$D9)&gt;($C10-$C9),1,0))</f>
        <v>0</v>
      </c>
      <c r="F10" s="64">
        <f t="shared" ca="1" si="1"/>
        <v>21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/>
      <c r="O10" s="70" t="s">
        <v>314</v>
      </c>
      <c r="P10" s="70"/>
      <c r="Q10" s="70" t="s">
        <v>314</v>
      </c>
      <c r="R10" s="97" t="s">
        <v>314</v>
      </c>
      <c r="S10" s="97" t="s">
        <v>314</v>
      </c>
      <c r="T10" s="97"/>
      <c r="U10" s="70"/>
      <c r="V10" s="70"/>
      <c r="W10" s="70"/>
      <c r="X10" s="70"/>
      <c r="Y10" s="70"/>
      <c r="Z10" s="70"/>
      <c r="AA10" s="70"/>
      <c r="AB10" s="70" t="s">
        <v>314</v>
      </c>
      <c r="AC10" s="70"/>
      <c r="AD10" s="70" t="s">
        <v>314</v>
      </c>
      <c r="AE10" s="70"/>
      <c r="AF10" s="70" t="s">
        <v>314</v>
      </c>
      <c r="AG10" s="70"/>
      <c r="AH10" s="70"/>
      <c r="AI10" s="70" t="s">
        <v>314</v>
      </c>
      <c r="AJ10" s="70" t="s">
        <v>314</v>
      </c>
      <c r="AK10" s="70"/>
      <c r="AL10" s="70"/>
      <c r="AM10" s="70"/>
      <c r="AN10" s="70"/>
      <c r="AO10" s="70"/>
      <c r="AP10" s="70"/>
      <c r="AQ10" s="70" t="s">
        <v>314</v>
      </c>
      <c r="AR10" s="70" t="s">
        <v>314</v>
      </c>
      <c r="AS10" s="70"/>
      <c r="AT10" s="70"/>
      <c r="AU10" s="70"/>
      <c r="AV10" s="70" t="s">
        <v>314</v>
      </c>
      <c r="AW10" s="70"/>
      <c r="AX10" s="70" t="s">
        <v>314</v>
      </c>
      <c r="AY10" s="70"/>
      <c r="AZ10" s="70"/>
      <c r="BA10" s="70"/>
      <c r="BB10" s="70"/>
      <c r="BC10" s="70" t="s">
        <v>314</v>
      </c>
      <c r="BD10" s="70" t="s">
        <v>314</v>
      </c>
      <c r="BE10" s="70" t="s">
        <v>314</v>
      </c>
      <c r="BF10" s="70"/>
      <c r="BG10" s="70"/>
      <c r="BH10" s="70" t="s">
        <v>314</v>
      </c>
      <c r="BI10" s="70" t="s">
        <v>314</v>
      </c>
      <c r="BJ10" s="70"/>
      <c r="BK10" s="70"/>
      <c r="BL10" s="70" t="s">
        <v>314</v>
      </c>
      <c r="BM10" s="70" t="s">
        <v>314</v>
      </c>
      <c r="BN10" s="70"/>
    </row>
    <row r="11" spans="1:66">
      <c r="A11" s="59">
        <v>5</v>
      </c>
      <c r="B11" s="67" t="s">
        <v>142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314</v>
      </c>
      <c r="O11" s="69"/>
      <c r="P11" s="69"/>
      <c r="Q11" s="69" t="s">
        <v>314</v>
      </c>
      <c r="R11" s="96" t="s">
        <v>314</v>
      </c>
      <c r="S11" s="96"/>
      <c r="T11" s="96"/>
      <c r="U11" s="69"/>
      <c r="V11" s="69"/>
      <c r="W11" s="69" t="s">
        <v>314</v>
      </c>
      <c r="X11" s="69" t="s">
        <v>314</v>
      </c>
      <c r="Y11" s="69"/>
      <c r="Z11" s="69" t="s">
        <v>314</v>
      </c>
      <c r="AA11" s="69"/>
      <c r="AB11" s="69" t="s">
        <v>314</v>
      </c>
      <c r="AC11" s="69" t="s">
        <v>314</v>
      </c>
      <c r="AD11" s="69" t="s">
        <v>314</v>
      </c>
      <c r="AE11" s="69"/>
      <c r="AF11" s="69"/>
      <c r="AG11" s="69" t="s">
        <v>314</v>
      </c>
      <c r="AH11" s="69"/>
      <c r="AI11" s="69"/>
      <c r="AJ11" s="69"/>
      <c r="AK11" s="69"/>
      <c r="AL11" s="69"/>
      <c r="AM11" s="69"/>
      <c r="AN11" s="69"/>
      <c r="AO11" s="69" t="s">
        <v>314</v>
      </c>
      <c r="AP11" s="69"/>
      <c r="AQ11" s="69"/>
      <c r="AR11" s="69" t="s">
        <v>314</v>
      </c>
      <c r="AS11" s="69"/>
      <c r="AT11" s="69"/>
      <c r="AU11" s="69"/>
      <c r="AV11" s="69" t="s">
        <v>314</v>
      </c>
      <c r="AW11" s="69"/>
      <c r="AX11" s="69" t="s">
        <v>314</v>
      </c>
      <c r="AY11" s="69" t="s">
        <v>314</v>
      </c>
      <c r="AZ11" s="69"/>
      <c r="BA11" s="69" t="s">
        <v>314</v>
      </c>
      <c r="BB11" s="69"/>
      <c r="BC11" s="69"/>
      <c r="BD11" s="69" t="s">
        <v>314</v>
      </c>
      <c r="BE11" s="96" t="s">
        <v>314</v>
      </c>
      <c r="BF11" s="69"/>
      <c r="BG11" s="69" t="s">
        <v>314</v>
      </c>
      <c r="BH11" s="69" t="s">
        <v>314</v>
      </c>
      <c r="BI11" s="69"/>
      <c r="BJ11" s="69"/>
      <c r="BK11" s="69" t="s">
        <v>314</v>
      </c>
      <c r="BL11" s="69" t="s">
        <v>314</v>
      </c>
      <c r="BM11" s="69"/>
      <c r="BN11" s="69"/>
    </row>
    <row r="12" spans="1:66">
      <c r="A12" s="61" t="s">
        <v>3</v>
      </c>
      <c r="B12" s="68" t="s">
        <v>241</v>
      </c>
      <c r="C12" s="66">
        <v>4.5</v>
      </c>
      <c r="D12" s="64">
        <v>21</v>
      </c>
      <c r="E12" s="64">
        <f>IF(ISBLANK($D12),"0",IF(($D12-$D11)&gt;($C12-$C11),1,0))</f>
        <v>0</v>
      </c>
      <c r="F12" s="64">
        <f t="shared" ca="1" si="1"/>
        <v>29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 t="s">
        <v>314</v>
      </c>
      <c r="M12" s="70"/>
      <c r="N12" s="70"/>
      <c r="O12" s="70" t="s">
        <v>314</v>
      </c>
      <c r="P12" s="70" t="s">
        <v>314</v>
      </c>
      <c r="Q12" s="70"/>
      <c r="R12" s="97"/>
      <c r="S12" s="97" t="s">
        <v>314</v>
      </c>
      <c r="T12" s="97"/>
      <c r="U12" s="97" t="s">
        <v>314</v>
      </c>
      <c r="V12" s="70" t="s">
        <v>314</v>
      </c>
      <c r="W12" s="70"/>
      <c r="X12" s="70"/>
      <c r="Y12" s="70" t="s">
        <v>314</v>
      </c>
      <c r="Z12" s="70"/>
      <c r="AA12" s="70" t="s">
        <v>314</v>
      </c>
      <c r="AB12" s="70"/>
      <c r="AC12" s="70"/>
      <c r="AD12" s="70"/>
      <c r="AE12" s="70"/>
      <c r="AF12" s="70" t="s">
        <v>314</v>
      </c>
      <c r="AG12" s="70"/>
      <c r="AH12" s="70" t="s">
        <v>314</v>
      </c>
      <c r="AI12" s="70" t="s">
        <v>314</v>
      </c>
      <c r="AJ12" s="70" t="s">
        <v>314</v>
      </c>
      <c r="AK12" s="70" t="s">
        <v>314</v>
      </c>
      <c r="AL12" s="70" t="s">
        <v>314</v>
      </c>
      <c r="AM12" s="70" t="s">
        <v>314</v>
      </c>
      <c r="AN12" s="70" t="s">
        <v>314</v>
      </c>
      <c r="AO12" s="70"/>
      <c r="AP12" s="70" t="s">
        <v>314</v>
      </c>
      <c r="AQ12" s="70" t="s">
        <v>314</v>
      </c>
      <c r="AR12" s="97"/>
      <c r="AS12" s="70" t="s">
        <v>314</v>
      </c>
      <c r="AT12" s="70"/>
      <c r="AU12" s="70" t="s">
        <v>314</v>
      </c>
      <c r="AV12" s="70"/>
      <c r="AW12" s="70" t="s">
        <v>314</v>
      </c>
      <c r="AX12" s="70"/>
      <c r="AY12" s="70"/>
      <c r="AZ12" s="70"/>
      <c r="BA12" s="70"/>
      <c r="BB12" s="70" t="s">
        <v>314</v>
      </c>
      <c r="BC12" s="70" t="s">
        <v>314</v>
      </c>
      <c r="BD12" s="70"/>
      <c r="BE12" s="70"/>
      <c r="BF12" s="70" t="s">
        <v>314</v>
      </c>
      <c r="BG12" s="70"/>
      <c r="BH12" s="70"/>
      <c r="BI12" s="70" t="s">
        <v>314</v>
      </c>
      <c r="BJ12" s="70" t="s">
        <v>314</v>
      </c>
      <c r="BK12" s="70"/>
      <c r="BL12" s="70"/>
      <c r="BM12" s="70" t="s">
        <v>314</v>
      </c>
      <c r="BN12" s="70" t="s">
        <v>314</v>
      </c>
    </row>
    <row r="13" spans="1:66">
      <c r="A13" s="59">
        <v>6</v>
      </c>
      <c r="B13" s="67" t="s">
        <v>159</v>
      </c>
      <c r="C13" s="65">
        <v>13.5</v>
      </c>
      <c r="D13" s="64">
        <v>49</v>
      </c>
      <c r="E13" s="64">
        <f>IF(ISBLANK($D13),"0",IF(($D14-$D13)&lt;($C14-$C13),1,0))</f>
        <v>1</v>
      </c>
      <c r="F13" s="64">
        <f t="shared" ca="1" si="1"/>
        <v>36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/>
      <c r="M13" s="69"/>
      <c r="N13" s="69" t="s">
        <v>314</v>
      </c>
      <c r="O13" s="69"/>
      <c r="P13" s="69" t="s">
        <v>314</v>
      </c>
      <c r="Q13" s="69"/>
      <c r="R13" s="96" t="s">
        <v>314</v>
      </c>
      <c r="S13" s="96" t="s">
        <v>314</v>
      </c>
      <c r="T13" s="96"/>
      <c r="U13" s="69" t="s">
        <v>314</v>
      </c>
      <c r="V13" s="69" t="s">
        <v>314</v>
      </c>
      <c r="W13" s="69" t="s">
        <v>314</v>
      </c>
      <c r="X13" s="69" t="s">
        <v>314</v>
      </c>
      <c r="Y13" s="69" t="s">
        <v>314</v>
      </c>
      <c r="Z13" s="69"/>
      <c r="AA13" s="69" t="s">
        <v>314</v>
      </c>
      <c r="AB13" s="69"/>
      <c r="AC13" s="69" t="s">
        <v>314</v>
      </c>
      <c r="AD13" s="69" t="s">
        <v>314</v>
      </c>
      <c r="AE13" s="69"/>
      <c r="AF13" s="69" t="s">
        <v>314</v>
      </c>
      <c r="AG13" s="69" t="s">
        <v>314</v>
      </c>
      <c r="AH13" s="69" t="s">
        <v>314</v>
      </c>
      <c r="AI13" s="69" t="s">
        <v>314</v>
      </c>
      <c r="AJ13" s="69" t="s">
        <v>314</v>
      </c>
      <c r="AK13" s="69" t="s">
        <v>314</v>
      </c>
      <c r="AL13" s="69" t="s">
        <v>314</v>
      </c>
      <c r="AM13" s="69" t="s">
        <v>314</v>
      </c>
      <c r="AN13" s="69"/>
      <c r="AO13" s="69"/>
      <c r="AP13" s="69" t="s">
        <v>314</v>
      </c>
      <c r="AQ13" s="69" t="s">
        <v>314</v>
      </c>
      <c r="AR13" s="96"/>
      <c r="AS13" s="69"/>
      <c r="AT13" s="69"/>
      <c r="AU13" s="69" t="s">
        <v>314</v>
      </c>
      <c r="AV13" s="69" t="s">
        <v>314</v>
      </c>
      <c r="AW13" s="69" t="s">
        <v>314</v>
      </c>
      <c r="AX13" s="69" t="s">
        <v>314</v>
      </c>
      <c r="AY13" s="69"/>
      <c r="AZ13" s="69"/>
      <c r="BA13" s="69" t="s">
        <v>314</v>
      </c>
      <c r="BB13" s="69" t="s">
        <v>314</v>
      </c>
      <c r="BC13" s="69" t="s">
        <v>314</v>
      </c>
      <c r="BD13" s="69" t="s">
        <v>314</v>
      </c>
      <c r="BE13" s="96"/>
      <c r="BF13" s="69" t="s">
        <v>314</v>
      </c>
      <c r="BG13" s="69" t="s">
        <v>314</v>
      </c>
      <c r="BH13" s="69" t="s">
        <v>314</v>
      </c>
      <c r="BI13" s="69" t="s">
        <v>314</v>
      </c>
      <c r="BJ13" s="69"/>
      <c r="BK13" s="69"/>
      <c r="BL13" s="69" t="s">
        <v>314</v>
      </c>
      <c r="BM13" s="69"/>
      <c r="BN13" s="69"/>
    </row>
    <row r="14" spans="1:66">
      <c r="A14" s="61" t="s">
        <v>3</v>
      </c>
      <c r="B14" s="68" t="s">
        <v>247</v>
      </c>
      <c r="C14" s="66"/>
      <c r="D14" s="64">
        <v>30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314</v>
      </c>
      <c r="M14" s="70"/>
      <c r="N14" s="70"/>
      <c r="O14" s="70" t="s">
        <v>314</v>
      </c>
      <c r="P14" s="70"/>
      <c r="Q14" s="70" t="s">
        <v>314</v>
      </c>
      <c r="R14" s="97"/>
      <c r="S14" s="97"/>
      <c r="T14" s="97"/>
      <c r="U14" s="97"/>
      <c r="V14" s="70"/>
      <c r="W14" s="70"/>
      <c r="X14" s="70"/>
      <c r="Y14" s="70"/>
      <c r="Z14" s="70" t="s">
        <v>314</v>
      </c>
      <c r="AA14" s="70"/>
      <c r="AB14" s="70" t="s">
        <v>314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 t="s">
        <v>314</v>
      </c>
      <c r="AO14" s="70" t="s">
        <v>314</v>
      </c>
      <c r="AP14" s="70"/>
      <c r="AQ14" s="70"/>
      <c r="AR14" s="70" t="s">
        <v>314</v>
      </c>
      <c r="AS14" s="70" t="s">
        <v>314</v>
      </c>
      <c r="AT14" s="70"/>
      <c r="AU14" s="70"/>
      <c r="AV14" s="70"/>
      <c r="AW14" s="70"/>
      <c r="AX14" s="70"/>
      <c r="AY14" s="70" t="s">
        <v>314</v>
      </c>
      <c r="AZ14" s="70"/>
      <c r="BA14" s="70"/>
      <c r="BB14" s="70"/>
      <c r="BC14" s="70"/>
      <c r="BD14" s="70"/>
      <c r="BE14" s="70" t="s">
        <v>314</v>
      </c>
      <c r="BF14" s="70"/>
      <c r="BG14" s="70"/>
      <c r="BH14" s="70"/>
      <c r="BI14" s="70"/>
      <c r="BJ14" s="70" t="s">
        <v>314</v>
      </c>
      <c r="BK14" s="70" t="s">
        <v>314</v>
      </c>
      <c r="BL14" s="70"/>
      <c r="BM14" s="70" t="s">
        <v>314</v>
      </c>
      <c r="BN14" s="70" t="s">
        <v>314</v>
      </c>
    </row>
    <row r="15" spans="1:66">
      <c r="A15" s="59">
        <v>7</v>
      </c>
      <c r="B15" s="67" t="s">
        <v>148</v>
      </c>
      <c r="C15" s="65">
        <v>7.5</v>
      </c>
      <c r="D15" s="64">
        <v>28</v>
      </c>
      <c r="E15" s="64">
        <f>IF(ISBLANK($D15),"0",IF(($D16-$D15)&lt;($C16-$C15),1,0))</f>
        <v>1</v>
      </c>
      <c r="F15" s="64">
        <f t="shared" ca="1" si="1"/>
        <v>27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/>
      <c r="M15" s="69"/>
      <c r="N15" s="69"/>
      <c r="O15" s="69"/>
      <c r="P15" s="69" t="s">
        <v>314</v>
      </c>
      <c r="Q15" s="69" t="s">
        <v>314</v>
      </c>
      <c r="R15" s="96"/>
      <c r="S15" s="96" t="s">
        <v>314</v>
      </c>
      <c r="T15" s="96"/>
      <c r="U15" s="96" t="s">
        <v>314</v>
      </c>
      <c r="V15" s="69"/>
      <c r="W15" s="69"/>
      <c r="X15" s="69" t="s">
        <v>314</v>
      </c>
      <c r="Y15" s="69" t="s">
        <v>314</v>
      </c>
      <c r="Z15" s="69" t="s">
        <v>314</v>
      </c>
      <c r="AA15" s="69" t="s">
        <v>314</v>
      </c>
      <c r="AB15" s="69"/>
      <c r="AC15" s="69"/>
      <c r="AD15" s="69" t="s">
        <v>314</v>
      </c>
      <c r="AE15" s="69"/>
      <c r="AF15" s="69" t="s">
        <v>314</v>
      </c>
      <c r="AG15" s="69" t="s">
        <v>314</v>
      </c>
      <c r="AH15" s="69" t="s">
        <v>314</v>
      </c>
      <c r="AI15" s="69"/>
      <c r="AJ15" s="69" t="s">
        <v>314</v>
      </c>
      <c r="AK15" s="69"/>
      <c r="AL15" s="69"/>
      <c r="AM15" s="69" t="s">
        <v>314</v>
      </c>
      <c r="AN15" s="69"/>
      <c r="AO15" s="69"/>
      <c r="AP15" s="69" t="s">
        <v>314</v>
      </c>
      <c r="AQ15" s="69" t="s">
        <v>314</v>
      </c>
      <c r="AR15" s="69" t="s">
        <v>314</v>
      </c>
      <c r="AS15" s="69" t="s">
        <v>314</v>
      </c>
      <c r="AT15" s="69"/>
      <c r="AU15" s="69"/>
      <c r="AV15" s="69"/>
      <c r="AW15" s="69" t="s">
        <v>314</v>
      </c>
      <c r="AX15" s="69"/>
      <c r="AY15" s="69" t="s">
        <v>314</v>
      </c>
      <c r="AZ15" s="69"/>
      <c r="BA15" s="69" t="s">
        <v>314</v>
      </c>
      <c r="BB15" s="69"/>
      <c r="BC15" s="69"/>
      <c r="BD15" s="69"/>
      <c r="BE15" s="96" t="s">
        <v>314</v>
      </c>
      <c r="BF15" s="69" t="s">
        <v>314</v>
      </c>
      <c r="BG15" s="69" t="s">
        <v>314</v>
      </c>
      <c r="BH15" s="69"/>
      <c r="BI15" s="69"/>
      <c r="BJ15" s="69" t="s">
        <v>314</v>
      </c>
      <c r="BK15" s="69"/>
      <c r="BL15" s="69"/>
      <c r="BM15" s="69"/>
      <c r="BN15" s="69" t="s">
        <v>314</v>
      </c>
    </row>
    <row r="16" spans="1:66">
      <c r="A16" s="61" t="s">
        <v>3</v>
      </c>
      <c r="B16" s="68" t="s">
        <v>150</v>
      </c>
      <c r="C16" s="66"/>
      <c r="D16" s="64">
        <v>14</v>
      </c>
      <c r="E16" s="64">
        <f>IF(ISBLANK($D16),"0",IF(($D16-$D15)&gt;($C16-$C15),1,0))</f>
        <v>0</v>
      </c>
      <c r="F16" s="64">
        <f t="shared" ca="1" si="1"/>
        <v>24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 t="s">
        <v>314</v>
      </c>
      <c r="M16" s="70"/>
      <c r="N16" s="70" t="s">
        <v>314</v>
      </c>
      <c r="O16" s="70" t="s">
        <v>314</v>
      </c>
      <c r="P16" s="70"/>
      <c r="Q16" s="70"/>
      <c r="R16" s="70" t="s">
        <v>314</v>
      </c>
      <c r="S16" s="70"/>
      <c r="T16" s="70"/>
      <c r="U16" s="70"/>
      <c r="V16" s="70" t="s">
        <v>314</v>
      </c>
      <c r="W16" s="70" t="s">
        <v>314</v>
      </c>
      <c r="X16" s="70"/>
      <c r="Y16" s="70"/>
      <c r="Z16" s="70"/>
      <c r="AA16" s="70"/>
      <c r="AB16" s="70" t="s">
        <v>314</v>
      </c>
      <c r="AC16" s="70" t="s">
        <v>314</v>
      </c>
      <c r="AD16" s="70"/>
      <c r="AE16" s="70"/>
      <c r="AF16" s="70"/>
      <c r="AG16" s="70"/>
      <c r="AH16" s="70"/>
      <c r="AI16" s="70" t="s">
        <v>314</v>
      </c>
      <c r="AJ16" s="70"/>
      <c r="AK16" s="70" t="s">
        <v>314</v>
      </c>
      <c r="AL16" s="70" t="s">
        <v>314</v>
      </c>
      <c r="AM16" s="70"/>
      <c r="AN16" s="70" t="s">
        <v>314</v>
      </c>
      <c r="AO16" s="70" t="s">
        <v>314</v>
      </c>
      <c r="AP16" s="70"/>
      <c r="AQ16" s="70"/>
      <c r="AR16" s="97"/>
      <c r="AS16" s="70"/>
      <c r="AT16" s="70"/>
      <c r="AU16" s="70" t="s">
        <v>314</v>
      </c>
      <c r="AV16" s="70" t="s">
        <v>314</v>
      </c>
      <c r="AW16" s="70"/>
      <c r="AX16" s="70" t="s">
        <v>314</v>
      </c>
      <c r="AY16" s="70"/>
      <c r="AZ16" s="70"/>
      <c r="BA16" s="70"/>
      <c r="BB16" s="70" t="s">
        <v>314</v>
      </c>
      <c r="BC16" s="70" t="s">
        <v>314</v>
      </c>
      <c r="BD16" s="70" t="s">
        <v>314</v>
      </c>
      <c r="BE16" s="70"/>
      <c r="BF16" s="70"/>
      <c r="BG16" s="70"/>
      <c r="BH16" s="70" t="s">
        <v>314</v>
      </c>
      <c r="BI16" s="70" t="s">
        <v>314</v>
      </c>
      <c r="BJ16" s="70"/>
      <c r="BK16" s="70" t="s">
        <v>314</v>
      </c>
      <c r="BL16" s="70" t="s">
        <v>314</v>
      </c>
      <c r="BM16" s="70" t="s">
        <v>314</v>
      </c>
      <c r="BN16" s="70"/>
    </row>
    <row r="17" spans="1:66">
      <c r="A17" s="59">
        <v>8</v>
      </c>
      <c r="B17" s="67" t="s">
        <v>145</v>
      </c>
      <c r="C17" s="65">
        <v>8.5</v>
      </c>
      <c r="D17" s="64">
        <v>70</v>
      </c>
      <c r="E17" s="64">
        <f>IF(ISBLANK($D17),"0",IF(($D18-$D17)&lt;($C18-$C17),1,0))</f>
        <v>1</v>
      </c>
      <c r="F17" s="64">
        <f t="shared" ca="1" si="1"/>
        <v>32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/>
      <c r="N17" s="69"/>
      <c r="O17" s="69" t="s">
        <v>314</v>
      </c>
      <c r="P17" s="69"/>
      <c r="Q17" s="69" t="s">
        <v>314</v>
      </c>
      <c r="R17" s="69" t="s">
        <v>314</v>
      </c>
      <c r="S17" s="69"/>
      <c r="T17" s="69"/>
      <c r="U17" s="69" t="s">
        <v>314</v>
      </c>
      <c r="V17" s="69" t="s">
        <v>314</v>
      </c>
      <c r="W17" s="69" t="s">
        <v>314</v>
      </c>
      <c r="X17" s="69" t="s">
        <v>314</v>
      </c>
      <c r="Y17" s="69" t="s">
        <v>314</v>
      </c>
      <c r="Z17" s="69"/>
      <c r="AA17" s="69"/>
      <c r="AB17" s="69" t="s">
        <v>314</v>
      </c>
      <c r="AC17" s="69"/>
      <c r="AD17" s="69"/>
      <c r="AE17" s="69"/>
      <c r="AF17" s="69"/>
      <c r="AG17" s="69"/>
      <c r="AH17" s="69" t="s">
        <v>314</v>
      </c>
      <c r="AI17" s="69"/>
      <c r="AJ17" s="69" t="s">
        <v>314</v>
      </c>
      <c r="AK17" s="69"/>
      <c r="AL17" s="69" t="s">
        <v>314</v>
      </c>
      <c r="AM17" s="69" t="s">
        <v>314</v>
      </c>
      <c r="AN17" s="69" t="s">
        <v>314</v>
      </c>
      <c r="AO17" s="69"/>
      <c r="AP17" s="69"/>
      <c r="AQ17" s="69" t="s">
        <v>314</v>
      </c>
      <c r="AR17" s="96" t="s">
        <v>314</v>
      </c>
      <c r="AS17" s="69" t="s">
        <v>314</v>
      </c>
      <c r="AT17" s="69"/>
      <c r="AU17" s="69" t="s">
        <v>314</v>
      </c>
      <c r="AV17" s="69" t="s">
        <v>314</v>
      </c>
      <c r="AW17" s="69"/>
      <c r="AX17" s="69" t="s">
        <v>314</v>
      </c>
      <c r="AY17" s="69" t="s">
        <v>314</v>
      </c>
      <c r="AZ17" s="69"/>
      <c r="BA17" s="69"/>
      <c r="BB17" s="69" t="s">
        <v>314</v>
      </c>
      <c r="BC17" s="69" t="s">
        <v>314</v>
      </c>
      <c r="BD17" s="69" t="s">
        <v>314</v>
      </c>
      <c r="BE17" s="69" t="s">
        <v>314</v>
      </c>
      <c r="BF17" s="69" t="s">
        <v>314</v>
      </c>
      <c r="BG17" s="69"/>
      <c r="BH17" s="69" t="s">
        <v>314</v>
      </c>
      <c r="BI17" s="69" t="s">
        <v>314</v>
      </c>
      <c r="BJ17" s="69" t="s">
        <v>314</v>
      </c>
      <c r="BK17" s="69"/>
      <c r="BL17" s="69" t="s">
        <v>314</v>
      </c>
      <c r="BM17" s="69" t="s">
        <v>314</v>
      </c>
      <c r="BN17" s="69" t="s">
        <v>314</v>
      </c>
    </row>
    <row r="18" spans="1:66">
      <c r="A18" s="61" t="s">
        <v>3</v>
      </c>
      <c r="B18" s="68" t="s">
        <v>161</v>
      </c>
      <c r="C18" s="66"/>
      <c r="D18" s="64">
        <v>21</v>
      </c>
      <c r="E18" s="64">
        <f>IF(ISBLANK($D18),"0",IF(($D18-$D17)&gt;($C18-$C17),1,0))</f>
        <v>0</v>
      </c>
      <c r="F18" s="64">
        <f t="shared" ca="1" si="1"/>
        <v>19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 t="s">
        <v>314</v>
      </c>
      <c r="M18" s="70"/>
      <c r="N18" s="70" t="s">
        <v>314</v>
      </c>
      <c r="O18" s="70"/>
      <c r="P18" s="70" t="s">
        <v>314</v>
      </c>
      <c r="Q18" s="70"/>
      <c r="R18" s="70"/>
      <c r="S18" s="70" t="s">
        <v>314</v>
      </c>
      <c r="T18" s="70"/>
      <c r="U18" s="97"/>
      <c r="V18" s="70"/>
      <c r="W18" s="70"/>
      <c r="X18" s="70"/>
      <c r="Y18" s="70"/>
      <c r="Z18" s="70" t="s">
        <v>314</v>
      </c>
      <c r="AA18" s="70" t="s">
        <v>314</v>
      </c>
      <c r="AB18" s="70"/>
      <c r="AC18" s="70" t="s">
        <v>314</v>
      </c>
      <c r="AD18" s="70" t="s">
        <v>314</v>
      </c>
      <c r="AE18" s="70"/>
      <c r="AF18" s="70" t="s">
        <v>314</v>
      </c>
      <c r="AG18" s="70" t="s">
        <v>314</v>
      </c>
      <c r="AH18" s="70"/>
      <c r="AI18" s="70" t="s">
        <v>314</v>
      </c>
      <c r="AJ18" s="70"/>
      <c r="AK18" s="70" t="s">
        <v>314</v>
      </c>
      <c r="AL18" s="70"/>
      <c r="AM18" s="70"/>
      <c r="AN18" s="70"/>
      <c r="AO18" s="70" t="s">
        <v>314</v>
      </c>
      <c r="AP18" s="70" t="s">
        <v>314</v>
      </c>
      <c r="AQ18" s="70"/>
      <c r="AR18" s="70"/>
      <c r="AS18" s="70"/>
      <c r="AT18" s="70"/>
      <c r="AU18" s="70"/>
      <c r="AV18" s="70"/>
      <c r="AW18" s="70" t="s">
        <v>314</v>
      </c>
      <c r="AX18" s="70"/>
      <c r="AY18" s="70"/>
      <c r="AZ18" s="70"/>
      <c r="BA18" s="70" t="s">
        <v>314</v>
      </c>
      <c r="BB18" s="70"/>
      <c r="BC18" s="70"/>
      <c r="BD18" s="70"/>
      <c r="BE18" s="97"/>
      <c r="BF18" s="70"/>
      <c r="BG18" s="70" t="s">
        <v>314</v>
      </c>
      <c r="BH18" s="70"/>
      <c r="BI18" s="70"/>
      <c r="BJ18" s="70"/>
      <c r="BK18" s="70" t="s">
        <v>314</v>
      </c>
      <c r="BL18" s="70"/>
      <c r="BM18" s="70"/>
      <c r="BN18" s="70"/>
    </row>
    <row r="19" spans="1:66">
      <c r="A19" s="59">
        <v>9</v>
      </c>
      <c r="B19" s="67" t="s">
        <v>155</v>
      </c>
      <c r="C19" s="65"/>
      <c r="D19" s="64">
        <v>20</v>
      </c>
      <c r="E19" s="64">
        <f>IF(ISBLANK($D19),"0",IF(($D20-$D19)&lt;($C20-$C19),1,0))</f>
        <v>1</v>
      </c>
      <c r="F19" s="64">
        <f t="shared" ca="1" si="1"/>
        <v>26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/>
      <c r="N19" s="69"/>
      <c r="O19" s="69"/>
      <c r="P19" s="69"/>
      <c r="Q19" s="69"/>
      <c r="R19" s="69" t="s">
        <v>314</v>
      </c>
      <c r="S19" s="69" t="s">
        <v>314</v>
      </c>
      <c r="T19" s="69"/>
      <c r="U19" s="96"/>
      <c r="V19" s="69" t="s">
        <v>314</v>
      </c>
      <c r="W19" s="69"/>
      <c r="X19" s="69" t="s">
        <v>314</v>
      </c>
      <c r="Y19" s="69"/>
      <c r="Z19" s="69"/>
      <c r="AA19" s="69" t="s">
        <v>314</v>
      </c>
      <c r="AB19" s="69" t="s">
        <v>314</v>
      </c>
      <c r="AC19" s="69"/>
      <c r="AD19" s="69" t="s">
        <v>314</v>
      </c>
      <c r="AE19" s="69"/>
      <c r="AF19" s="69" t="s">
        <v>314</v>
      </c>
      <c r="AG19" s="69" t="s">
        <v>314</v>
      </c>
      <c r="AH19" s="69" t="s">
        <v>314</v>
      </c>
      <c r="AI19" s="69"/>
      <c r="AJ19" s="69" t="s">
        <v>314</v>
      </c>
      <c r="AK19" s="69"/>
      <c r="AL19" s="69" t="s">
        <v>314</v>
      </c>
      <c r="AM19" s="69" t="s">
        <v>314</v>
      </c>
      <c r="AN19" s="69" t="s">
        <v>314</v>
      </c>
      <c r="AO19" s="69"/>
      <c r="AP19" s="69" t="s">
        <v>314</v>
      </c>
      <c r="AQ19" s="69" t="s">
        <v>314</v>
      </c>
      <c r="AR19" s="69" t="s">
        <v>314</v>
      </c>
      <c r="AS19" s="69" t="s">
        <v>314</v>
      </c>
      <c r="AT19" s="69"/>
      <c r="AU19" s="69" t="s">
        <v>314</v>
      </c>
      <c r="AV19" s="69"/>
      <c r="AW19" s="69" t="s">
        <v>314</v>
      </c>
      <c r="AX19" s="69" t="s">
        <v>314</v>
      </c>
      <c r="AY19" s="69"/>
      <c r="AZ19" s="69"/>
      <c r="BA19" s="69" t="s">
        <v>314</v>
      </c>
      <c r="BB19" s="69"/>
      <c r="BC19" s="69"/>
      <c r="BD19" s="69"/>
      <c r="BE19" s="69"/>
      <c r="BF19" s="69"/>
      <c r="BG19" s="69"/>
      <c r="BH19" s="69"/>
      <c r="BI19" s="69"/>
      <c r="BJ19" s="69" t="s">
        <v>314</v>
      </c>
      <c r="BK19" s="69" t="s">
        <v>314</v>
      </c>
      <c r="BL19" s="69"/>
      <c r="BM19" s="69" t="s">
        <v>314</v>
      </c>
      <c r="BN19" s="69" t="s">
        <v>314</v>
      </c>
    </row>
    <row r="20" spans="1:66">
      <c r="A20" s="61" t="s">
        <v>3</v>
      </c>
      <c r="B20" s="68" t="s">
        <v>157</v>
      </c>
      <c r="C20" s="66">
        <v>2.5</v>
      </c>
      <c r="D20" s="64">
        <v>19</v>
      </c>
      <c r="E20" s="64">
        <f>IF(ISBLANK($D20),"0",IF(($D20-$D19)&gt;($C20-$C19),1,0))</f>
        <v>0</v>
      </c>
      <c r="F20" s="64">
        <f t="shared" ca="1" si="1"/>
        <v>25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 t="s">
        <v>314</v>
      </c>
      <c r="M20" s="70"/>
      <c r="N20" s="70" t="s">
        <v>314</v>
      </c>
      <c r="O20" s="70" t="s">
        <v>314</v>
      </c>
      <c r="P20" s="70" t="s">
        <v>314</v>
      </c>
      <c r="Q20" s="70" t="s">
        <v>314</v>
      </c>
      <c r="R20" s="70"/>
      <c r="S20" s="70"/>
      <c r="T20" s="70"/>
      <c r="U20" s="70" t="s">
        <v>314</v>
      </c>
      <c r="V20" s="70"/>
      <c r="W20" s="70" t="s">
        <v>314</v>
      </c>
      <c r="X20" s="70"/>
      <c r="Y20" s="70" t="s">
        <v>314</v>
      </c>
      <c r="Z20" s="70" t="s">
        <v>314</v>
      </c>
      <c r="AA20" s="70"/>
      <c r="AB20" s="70"/>
      <c r="AC20" s="70" t="s">
        <v>314</v>
      </c>
      <c r="AD20" s="70"/>
      <c r="AE20" s="70"/>
      <c r="AF20" s="70"/>
      <c r="AG20" s="70"/>
      <c r="AH20" s="70"/>
      <c r="AI20" s="70" t="s">
        <v>314</v>
      </c>
      <c r="AJ20" s="70"/>
      <c r="AK20" s="70" t="s">
        <v>314</v>
      </c>
      <c r="AL20" s="70"/>
      <c r="AM20" s="70"/>
      <c r="AN20" s="70"/>
      <c r="AO20" s="70" t="s">
        <v>314</v>
      </c>
      <c r="AP20" s="70"/>
      <c r="AQ20" s="70"/>
      <c r="AR20" s="97"/>
      <c r="AS20" s="70"/>
      <c r="AT20" s="70"/>
      <c r="AU20" s="70"/>
      <c r="AV20" s="70" t="s">
        <v>314</v>
      </c>
      <c r="AW20" s="70"/>
      <c r="AX20" s="70"/>
      <c r="AY20" s="70" t="s">
        <v>314</v>
      </c>
      <c r="AZ20" s="70"/>
      <c r="BA20" s="70"/>
      <c r="BB20" s="70" t="s">
        <v>314</v>
      </c>
      <c r="BC20" s="70" t="s">
        <v>314</v>
      </c>
      <c r="BD20" s="70" t="s">
        <v>314</v>
      </c>
      <c r="BE20" s="97" t="s">
        <v>314</v>
      </c>
      <c r="BF20" s="70" t="s">
        <v>314</v>
      </c>
      <c r="BG20" s="70" t="s">
        <v>314</v>
      </c>
      <c r="BH20" s="70" t="s">
        <v>314</v>
      </c>
      <c r="BI20" s="70" t="s">
        <v>314</v>
      </c>
      <c r="BJ20" s="70"/>
      <c r="BK20" s="70"/>
      <c r="BL20" s="70" t="s">
        <v>314</v>
      </c>
      <c r="BM20" s="70"/>
      <c r="BN20" s="70"/>
    </row>
    <row r="21" spans="1:66">
      <c r="A21" s="59">
        <v>10</v>
      </c>
      <c r="B21" s="67" t="s">
        <v>153</v>
      </c>
      <c r="C21" s="65"/>
      <c r="D21" s="64">
        <v>38</v>
      </c>
      <c r="E21" s="64">
        <f>IF(ISBLANK($D21),"0",IF(($D22-$D21)&lt;($C22-$C21),1,0))</f>
        <v>0</v>
      </c>
      <c r="F21" s="64">
        <f t="shared" ca="1" si="1"/>
        <v>36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314</v>
      </c>
      <c r="L21" s="69" t="s">
        <v>314</v>
      </c>
      <c r="M21" s="69"/>
      <c r="N21" s="69" t="s">
        <v>314</v>
      </c>
      <c r="O21" s="69" t="s">
        <v>314</v>
      </c>
      <c r="P21" s="69"/>
      <c r="Q21" s="69" t="s">
        <v>314</v>
      </c>
      <c r="R21" s="69" t="s">
        <v>314</v>
      </c>
      <c r="S21" s="69" t="s">
        <v>314</v>
      </c>
      <c r="T21" s="69"/>
      <c r="U21" s="96" t="s">
        <v>314</v>
      </c>
      <c r="V21" s="69"/>
      <c r="W21" s="69" t="s">
        <v>314</v>
      </c>
      <c r="X21" s="69" t="s">
        <v>314</v>
      </c>
      <c r="Y21" s="69" t="s">
        <v>314</v>
      </c>
      <c r="Z21" s="69" t="s">
        <v>314</v>
      </c>
      <c r="AA21" s="69" t="s">
        <v>314</v>
      </c>
      <c r="AB21" s="69"/>
      <c r="AC21" s="69" t="s">
        <v>314</v>
      </c>
      <c r="AD21" s="69"/>
      <c r="AE21" s="69"/>
      <c r="AF21" s="69" t="s">
        <v>314</v>
      </c>
      <c r="AG21" s="69" t="s">
        <v>314</v>
      </c>
      <c r="AH21" s="69" t="s">
        <v>314</v>
      </c>
      <c r="AI21" s="69"/>
      <c r="AJ21" s="69" t="s">
        <v>314</v>
      </c>
      <c r="AK21" s="69" t="s">
        <v>314</v>
      </c>
      <c r="AL21" s="69"/>
      <c r="AM21" s="69" t="s">
        <v>314</v>
      </c>
      <c r="AN21" s="69" t="s">
        <v>314</v>
      </c>
      <c r="AO21" s="69"/>
      <c r="AP21" s="69"/>
      <c r="AQ21" s="69"/>
      <c r="AR21" s="96" t="s">
        <v>314</v>
      </c>
      <c r="AS21" s="69" t="s">
        <v>314</v>
      </c>
      <c r="AT21" s="69"/>
      <c r="AU21" s="69" t="s">
        <v>314</v>
      </c>
      <c r="AV21" s="69" t="s">
        <v>314</v>
      </c>
      <c r="AW21" s="69"/>
      <c r="AX21" s="69"/>
      <c r="AY21" s="69" t="s">
        <v>314</v>
      </c>
      <c r="AZ21" s="69"/>
      <c r="BA21" s="69"/>
      <c r="BB21" s="69" t="s">
        <v>314</v>
      </c>
      <c r="BC21" s="69" t="s">
        <v>314</v>
      </c>
      <c r="BD21" s="69"/>
      <c r="BE21" s="96" t="s">
        <v>314</v>
      </c>
      <c r="BF21" s="69" t="s">
        <v>314</v>
      </c>
      <c r="BG21" s="69" t="s">
        <v>314</v>
      </c>
      <c r="BH21" s="69" t="s">
        <v>314</v>
      </c>
      <c r="BI21" s="69"/>
      <c r="BJ21" s="69"/>
      <c r="BK21" s="69" t="s">
        <v>314</v>
      </c>
      <c r="BL21" s="69" t="s">
        <v>314</v>
      </c>
      <c r="BM21" s="69" t="s">
        <v>314</v>
      </c>
      <c r="BN21" s="69" t="s">
        <v>314</v>
      </c>
    </row>
    <row r="22" spans="1:66">
      <c r="A22" s="61" t="s">
        <v>3</v>
      </c>
      <c r="B22" s="68" t="s">
        <v>188</v>
      </c>
      <c r="C22" s="66">
        <v>6.5</v>
      </c>
      <c r="D22" s="64">
        <v>45</v>
      </c>
      <c r="E22" s="64">
        <f>IF(ISBLANK($D22),"0",IF(($D22-$D21)&gt;($C22-$C21),1,0))</f>
        <v>1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 t="s">
        <v>314</v>
      </c>
      <c r="Q22" s="70"/>
      <c r="R22" s="70"/>
      <c r="S22" s="70"/>
      <c r="T22" s="70"/>
      <c r="U22" s="70"/>
      <c r="V22" s="70" t="s">
        <v>314</v>
      </c>
      <c r="W22" s="70"/>
      <c r="X22" s="70"/>
      <c r="Y22" s="70"/>
      <c r="Z22" s="70"/>
      <c r="AA22" s="70"/>
      <c r="AB22" s="70" t="s">
        <v>314</v>
      </c>
      <c r="AC22" s="70"/>
      <c r="AD22" s="70" t="s">
        <v>314</v>
      </c>
      <c r="AE22" s="70"/>
      <c r="AF22" s="70"/>
      <c r="AG22" s="70"/>
      <c r="AH22" s="70"/>
      <c r="AI22" s="70" t="s">
        <v>314</v>
      </c>
      <c r="AJ22" s="70"/>
      <c r="AK22" s="70"/>
      <c r="AL22" s="70" t="s">
        <v>314</v>
      </c>
      <c r="AM22" s="70"/>
      <c r="AN22" s="70"/>
      <c r="AO22" s="70" t="s">
        <v>314</v>
      </c>
      <c r="AP22" s="70" t="s">
        <v>314</v>
      </c>
      <c r="AQ22" s="70" t="s">
        <v>314</v>
      </c>
      <c r="AR22" s="70"/>
      <c r="AS22" s="70"/>
      <c r="AT22" s="70"/>
      <c r="AU22" s="70"/>
      <c r="AV22" s="70"/>
      <c r="AW22" s="70" t="s">
        <v>314</v>
      </c>
      <c r="AX22" s="70" t="s">
        <v>314</v>
      </c>
      <c r="AY22" s="70"/>
      <c r="AZ22" s="70"/>
      <c r="BA22" s="70" t="s">
        <v>314</v>
      </c>
      <c r="BB22" s="70"/>
      <c r="BC22" s="70"/>
      <c r="BD22" s="70" t="s">
        <v>314</v>
      </c>
      <c r="BE22" s="70"/>
      <c r="BF22" s="70"/>
      <c r="BG22" s="70"/>
      <c r="BH22" s="70"/>
      <c r="BI22" s="70" t="s">
        <v>314</v>
      </c>
      <c r="BJ22" s="70" t="s">
        <v>314</v>
      </c>
      <c r="BK22" s="70"/>
      <c r="BL22" s="70"/>
      <c r="BM22" s="70"/>
      <c r="BN22" s="70"/>
    </row>
    <row r="23" spans="1:66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/>
      <c r="K23" s="78">
        <v>24</v>
      </c>
      <c r="L23" s="78">
        <v>24</v>
      </c>
      <c r="M23" s="78"/>
      <c r="N23" s="80">
        <v>42</v>
      </c>
      <c r="O23" s="78">
        <v>17</v>
      </c>
      <c r="P23" s="78">
        <v>24</v>
      </c>
      <c r="Q23" s="78">
        <v>35</v>
      </c>
      <c r="R23" s="78">
        <v>31</v>
      </c>
      <c r="S23" s="78">
        <v>37</v>
      </c>
      <c r="T23" s="78"/>
      <c r="U23" s="78">
        <v>42</v>
      </c>
      <c r="V23" s="78">
        <v>24</v>
      </c>
      <c r="W23" s="78">
        <v>27</v>
      </c>
      <c r="X23" s="78">
        <v>24</v>
      </c>
      <c r="Y23" s="78">
        <v>28</v>
      </c>
      <c r="Z23" s="78">
        <v>24</v>
      </c>
      <c r="AA23" s="78">
        <v>21</v>
      </c>
      <c r="AB23" s="78">
        <v>24</v>
      </c>
      <c r="AC23" s="78">
        <v>41</v>
      </c>
      <c r="AD23" s="78">
        <v>24</v>
      </c>
      <c r="AE23" s="78"/>
      <c r="AF23" s="78">
        <v>31</v>
      </c>
      <c r="AG23" s="78">
        <v>30</v>
      </c>
      <c r="AH23" s="78">
        <v>31</v>
      </c>
      <c r="AI23" s="78">
        <v>16</v>
      </c>
      <c r="AJ23" s="78">
        <v>27</v>
      </c>
      <c r="AK23" s="78">
        <v>37</v>
      </c>
      <c r="AL23" s="78">
        <v>21</v>
      </c>
      <c r="AM23" s="78">
        <v>28</v>
      </c>
      <c r="AN23" s="78">
        <v>28</v>
      </c>
      <c r="AO23" s="78">
        <v>23</v>
      </c>
      <c r="AP23" s="78">
        <v>21</v>
      </c>
      <c r="AQ23" s="78">
        <v>23</v>
      </c>
      <c r="AR23" s="78">
        <v>28</v>
      </c>
      <c r="AS23" s="78">
        <v>28</v>
      </c>
      <c r="AT23" s="78"/>
      <c r="AU23" s="78">
        <v>32</v>
      </c>
      <c r="AV23" s="78">
        <v>34</v>
      </c>
      <c r="AW23" s="78">
        <v>22</v>
      </c>
      <c r="AX23" s="78">
        <v>24</v>
      </c>
      <c r="AY23" s="78">
        <v>35</v>
      </c>
      <c r="AZ23" s="78"/>
      <c r="BA23" s="78">
        <v>14</v>
      </c>
      <c r="BB23" s="78">
        <v>28</v>
      </c>
      <c r="BC23" s="78">
        <v>17</v>
      </c>
      <c r="BD23" s="78">
        <v>21</v>
      </c>
      <c r="BE23" s="78">
        <v>35</v>
      </c>
      <c r="BF23" s="78">
        <v>27</v>
      </c>
      <c r="BG23" s="78">
        <v>14</v>
      </c>
      <c r="BH23" s="78">
        <v>31</v>
      </c>
      <c r="BI23" s="78">
        <v>14</v>
      </c>
      <c r="BJ23" s="78">
        <v>27</v>
      </c>
      <c r="BK23" s="78">
        <v>27</v>
      </c>
      <c r="BL23" s="78">
        <v>27</v>
      </c>
      <c r="BM23" s="78">
        <v>27</v>
      </c>
      <c r="BN23" s="78">
        <v>28</v>
      </c>
    </row>
    <row r="24" spans="1:66">
      <c r="A24" s="61"/>
      <c r="B24" s="68" t="str">
        <f>B22&amp; " - score"</f>
        <v>Texas A&amp;M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28</v>
      </c>
      <c r="L24" s="79">
        <v>30</v>
      </c>
      <c r="M24" s="79"/>
      <c r="N24" s="79">
        <v>24</v>
      </c>
      <c r="O24" s="79">
        <v>23</v>
      </c>
      <c r="P24" s="79">
        <v>37</v>
      </c>
      <c r="Q24" s="79">
        <v>32</v>
      </c>
      <c r="R24" s="79">
        <v>24</v>
      </c>
      <c r="S24" s="79">
        <v>31</v>
      </c>
      <c r="T24" s="79"/>
      <c r="U24" s="79">
        <v>38</v>
      </c>
      <c r="V24" s="79">
        <v>32</v>
      </c>
      <c r="W24" s="79">
        <v>24</v>
      </c>
      <c r="X24" s="79">
        <v>30</v>
      </c>
      <c r="Y24" s="79">
        <v>24</v>
      </c>
      <c r="Z24" s="79">
        <v>28</v>
      </c>
      <c r="AA24" s="79">
        <v>24</v>
      </c>
      <c r="AB24" s="79">
        <v>31</v>
      </c>
      <c r="AC24" s="79">
        <v>31</v>
      </c>
      <c r="AD24" s="79">
        <v>42</v>
      </c>
      <c r="AE24" s="79"/>
      <c r="AF24" s="79">
        <v>35</v>
      </c>
      <c r="AG24" s="79">
        <v>24</v>
      </c>
      <c r="AH24" s="79">
        <v>35</v>
      </c>
      <c r="AI24" s="79">
        <v>34</v>
      </c>
      <c r="AJ24" s="79">
        <v>30</v>
      </c>
      <c r="AK24" s="79">
        <v>17</v>
      </c>
      <c r="AL24" s="79">
        <v>31</v>
      </c>
      <c r="AM24" s="79">
        <v>21</v>
      </c>
      <c r="AN24" s="79">
        <v>24</v>
      </c>
      <c r="AO24" s="79">
        <v>30</v>
      </c>
      <c r="AP24" s="79">
        <v>35</v>
      </c>
      <c r="AQ24" s="79">
        <v>41</v>
      </c>
      <c r="AR24" s="79">
        <v>32</v>
      </c>
      <c r="AS24" s="79">
        <v>21</v>
      </c>
      <c r="AT24" s="79"/>
      <c r="AU24" s="79">
        <v>20</v>
      </c>
      <c r="AV24" s="79">
        <v>24</v>
      </c>
      <c r="AW24" s="79">
        <v>34</v>
      </c>
      <c r="AX24" s="79">
        <v>41</v>
      </c>
      <c r="AY24" s="79">
        <v>31</v>
      </c>
      <c r="AZ24" s="79"/>
      <c r="BA24" s="79">
        <v>21</v>
      </c>
      <c r="BB24" s="79">
        <v>21</v>
      </c>
      <c r="BC24" s="79">
        <v>14</v>
      </c>
      <c r="BD24" s="79">
        <v>35</v>
      </c>
      <c r="BE24" s="79">
        <v>38</v>
      </c>
      <c r="BF24" s="79">
        <v>26</v>
      </c>
      <c r="BG24" s="79">
        <v>10</v>
      </c>
      <c r="BH24" s="79">
        <v>24</v>
      </c>
      <c r="BI24" s="79">
        <v>21</v>
      </c>
      <c r="BJ24" s="79">
        <v>38</v>
      </c>
      <c r="BK24" s="79">
        <v>31</v>
      </c>
      <c r="BL24" s="79">
        <v>24</v>
      </c>
      <c r="BM24" s="79">
        <v>30</v>
      </c>
      <c r="BN24" s="79">
        <v>21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1</v>
      </c>
      <c r="P25" s="36">
        <f t="shared" si="3"/>
        <v>5</v>
      </c>
      <c r="Q25" s="36">
        <f t="shared" si="3"/>
        <v>4</v>
      </c>
      <c r="R25" s="36">
        <f t="shared" si="3"/>
        <v>5</v>
      </c>
      <c r="S25" s="36">
        <f t="shared" si="3"/>
        <v>3</v>
      </c>
      <c r="T25" s="36">
        <f t="shared" si="3"/>
        <v>0</v>
      </c>
      <c r="U25" s="36">
        <f t="shared" si="3"/>
        <v>5</v>
      </c>
      <c r="V25" s="36">
        <f t="shared" si="3"/>
        <v>5</v>
      </c>
      <c r="W25" s="36">
        <f t="shared" si="3"/>
        <v>6</v>
      </c>
      <c r="X25" s="36">
        <f t="shared" si="3"/>
        <v>7</v>
      </c>
      <c r="Y25" s="36">
        <f t="shared" si="3"/>
        <v>4</v>
      </c>
      <c r="Z25" s="36">
        <f t="shared" si="3"/>
        <v>5</v>
      </c>
      <c r="AA25" s="36">
        <f t="shared" si="3"/>
        <v>5</v>
      </c>
      <c r="AB25" s="36">
        <f t="shared" si="3"/>
        <v>5</v>
      </c>
      <c r="AC25" s="36">
        <f t="shared" si="3"/>
        <v>4</v>
      </c>
      <c r="AD25" s="36">
        <f t="shared" si="3"/>
        <v>6</v>
      </c>
      <c r="AE25" s="36">
        <f t="shared" si="3"/>
        <v>0</v>
      </c>
      <c r="AF25" s="36">
        <f t="shared" si="3"/>
        <v>4</v>
      </c>
      <c r="AG25" s="36">
        <f t="shared" si="3"/>
        <v>6</v>
      </c>
      <c r="AH25" s="36">
        <f t="shared" si="3"/>
        <v>6</v>
      </c>
      <c r="AI25" s="36">
        <f t="shared" si="3"/>
        <v>2</v>
      </c>
      <c r="AJ25" s="36">
        <f t="shared" si="3"/>
        <v>5</v>
      </c>
      <c r="AK25" s="36">
        <f t="shared" si="3"/>
        <v>2</v>
      </c>
      <c r="AL25" s="36">
        <f t="shared" si="3"/>
        <v>5</v>
      </c>
      <c r="AM25" s="36">
        <f t="shared" si="3"/>
        <v>6</v>
      </c>
      <c r="AN25" s="36">
        <f t="shared" si="3"/>
        <v>4</v>
      </c>
      <c r="AO25" s="36">
        <f t="shared" si="3"/>
        <v>4</v>
      </c>
      <c r="AP25" s="36">
        <f t="shared" si="3"/>
        <v>5</v>
      </c>
      <c r="AQ25" s="36">
        <f t="shared" si="3"/>
        <v>6</v>
      </c>
      <c r="AR25" s="36">
        <f t="shared" si="3"/>
        <v>4</v>
      </c>
      <c r="AS25" s="36">
        <f t="shared" si="3"/>
        <v>5</v>
      </c>
      <c r="AT25" s="36">
        <f t="shared" si="3"/>
        <v>0</v>
      </c>
      <c r="AU25" s="36">
        <f t="shared" si="3"/>
        <v>4</v>
      </c>
      <c r="AV25" s="36">
        <f t="shared" si="3"/>
        <v>4</v>
      </c>
      <c r="AW25" s="36">
        <f t="shared" si="3"/>
        <v>5</v>
      </c>
      <c r="AX25" s="36">
        <f t="shared" si="3"/>
        <v>6</v>
      </c>
      <c r="AY25" s="36">
        <f t="shared" si="3"/>
        <v>5</v>
      </c>
      <c r="AZ25" s="36">
        <f t="shared" si="3"/>
        <v>0</v>
      </c>
      <c r="BA25" s="36">
        <f t="shared" si="3"/>
        <v>8</v>
      </c>
      <c r="BB25" s="36">
        <f t="shared" si="3"/>
        <v>4</v>
      </c>
      <c r="BC25" s="36">
        <f t="shared" si="3"/>
        <v>3</v>
      </c>
      <c r="BD25" s="36">
        <f t="shared" si="3"/>
        <v>4</v>
      </c>
      <c r="BE25" s="36">
        <f t="shared" si="3"/>
        <v>3</v>
      </c>
      <c r="BF25" s="36">
        <f t="shared" si="3"/>
        <v>5</v>
      </c>
      <c r="BG25" s="36">
        <f t="shared" si="3"/>
        <v>6</v>
      </c>
      <c r="BH25" s="36">
        <f t="shared" si="3"/>
        <v>4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2</v>
      </c>
      <c r="BN25" s="36">
        <f t="shared" si="3"/>
        <v>6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</v>
      </c>
      <c r="L26" s="71">
        <f t="shared" si="4"/>
        <v>1</v>
      </c>
      <c r="M26" s="71">
        <f t="shared" si="4"/>
        <v>7</v>
      </c>
      <c r="N26" s="71">
        <f t="shared" si="4"/>
        <v>25</v>
      </c>
      <c r="O26" s="71">
        <f t="shared" si="4"/>
        <v>1</v>
      </c>
      <c r="P26" s="71">
        <f t="shared" si="4"/>
        <v>6</v>
      </c>
      <c r="Q26" s="71">
        <f t="shared" si="4"/>
        <v>10</v>
      </c>
      <c r="R26" s="71">
        <f t="shared" si="4"/>
        <v>14</v>
      </c>
      <c r="S26" s="71">
        <f t="shared" si="4"/>
        <v>13</v>
      </c>
      <c r="T26" s="71">
        <f t="shared" si="4"/>
        <v>7</v>
      </c>
      <c r="U26" s="71">
        <f t="shared" si="4"/>
        <v>11</v>
      </c>
      <c r="V26" s="71">
        <f t="shared" si="4"/>
        <v>1</v>
      </c>
      <c r="W26" s="71">
        <f t="shared" si="4"/>
        <v>10</v>
      </c>
      <c r="X26" s="71">
        <f t="shared" si="4"/>
        <v>1</v>
      </c>
      <c r="Y26" s="71">
        <f t="shared" si="4"/>
        <v>11</v>
      </c>
      <c r="Z26" s="71">
        <f t="shared" si="4"/>
        <v>3</v>
      </c>
      <c r="AA26" s="71">
        <f t="shared" si="4"/>
        <v>4</v>
      </c>
      <c r="AB26" s="71">
        <f t="shared" si="4"/>
        <v>0</v>
      </c>
      <c r="AC26" s="71">
        <f t="shared" si="4"/>
        <v>17</v>
      </c>
      <c r="AD26" s="71">
        <f t="shared" si="4"/>
        <v>11</v>
      </c>
      <c r="AE26" s="71">
        <f t="shared" si="4"/>
        <v>7</v>
      </c>
      <c r="AF26" s="71">
        <f t="shared" si="4"/>
        <v>3</v>
      </c>
      <c r="AG26" s="71">
        <f t="shared" si="4"/>
        <v>13</v>
      </c>
      <c r="AH26" s="71">
        <f t="shared" si="4"/>
        <v>3</v>
      </c>
      <c r="AI26" s="71">
        <f t="shared" si="4"/>
        <v>11</v>
      </c>
      <c r="AJ26" s="71">
        <f t="shared" si="4"/>
        <v>4</v>
      </c>
      <c r="AK26" s="71">
        <f t="shared" si="4"/>
        <v>27</v>
      </c>
      <c r="AL26" s="71">
        <f t="shared" si="4"/>
        <v>3</v>
      </c>
      <c r="AM26" s="71">
        <f t="shared" si="4"/>
        <v>14</v>
      </c>
      <c r="AN26" s="71">
        <f t="shared" si="4"/>
        <v>11</v>
      </c>
      <c r="AO26" s="71">
        <f t="shared" si="4"/>
        <v>0</v>
      </c>
      <c r="AP26" s="71">
        <f t="shared" si="4"/>
        <v>7</v>
      </c>
      <c r="AQ26" s="71">
        <f t="shared" si="4"/>
        <v>11</v>
      </c>
      <c r="AR26" s="71">
        <f t="shared" si="4"/>
        <v>3</v>
      </c>
      <c r="AS26" s="71">
        <f t="shared" si="4"/>
        <v>14</v>
      </c>
      <c r="AT26" s="71">
        <f t="shared" si="4"/>
        <v>7</v>
      </c>
      <c r="AU26" s="71">
        <f t="shared" si="4"/>
        <v>19</v>
      </c>
      <c r="AV26" s="71">
        <f t="shared" si="4"/>
        <v>17</v>
      </c>
      <c r="AW26" s="71">
        <f t="shared" si="4"/>
        <v>5</v>
      </c>
      <c r="AX26" s="71">
        <f t="shared" si="4"/>
        <v>10</v>
      </c>
      <c r="AY26" s="71">
        <f t="shared" si="4"/>
        <v>11</v>
      </c>
      <c r="AZ26" s="71">
        <f t="shared" si="4"/>
        <v>7</v>
      </c>
      <c r="BA26" s="71">
        <f t="shared" si="4"/>
        <v>0</v>
      </c>
      <c r="BB26" s="71">
        <f t="shared" si="4"/>
        <v>14</v>
      </c>
      <c r="BC26" s="71">
        <f t="shared" si="4"/>
        <v>10</v>
      </c>
      <c r="BD26" s="71">
        <f t="shared" si="4"/>
        <v>7</v>
      </c>
      <c r="BE26" s="71">
        <f t="shared" si="4"/>
        <v>4</v>
      </c>
      <c r="BF26" s="71">
        <f t="shared" si="4"/>
        <v>8</v>
      </c>
      <c r="BG26" s="71">
        <f t="shared" si="4"/>
        <v>11</v>
      </c>
      <c r="BH26" s="71">
        <f t="shared" si="4"/>
        <v>14</v>
      </c>
      <c r="BI26" s="71">
        <f t="shared" si="4"/>
        <v>0</v>
      </c>
      <c r="BJ26" s="71">
        <f t="shared" si="4"/>
        <v>4</v>
      </c>
      <c r="BK26" s="71">
        <f t="shared" si="4"/>
        <v>3</v>
      </c>
      <c r="BL26" s="71">
        <f t="shared" si="4"/>
        <v>10</v>
      </c>
      <c r="BM26" s="71">
        <f t="shared" si="4"/>
        <v>4</v>
      </c>
      <c r="BN26" s="71">
        <f t="shared" si="4"/>
        <v>14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31</v>
      </c>
      <c r="L27" s="71">
        <f t="shared" si="5"/>
        <v>29</v>
      </c>
      <c r="M27" s="71">
        <f t="shared" si="5"/>
        <v>83</v>
      </c>
      <c r="N27" s="71">
        <f t="shared" si="5"/>
        <v>17</v>
      </c>
      <c r="O27" s="71">
        <f t="shared" si="5"/>
        <v>43</v>
      </c>
      <c r="P27" s="71">
        <f t="shared" si="5"/>
        <v>22</v>
      </c>
      <c r="Q27" s="71">
        <f t="shared" si="5"/>
        <v>16</v>
      </c>
      <c r="R27" s="71">
        <f t="shared" si="5"/>
        <v>28</v>
      </c>
      <c r="S27" s="71">
        <f t="shared" si="5"/>
        <v>15</v>
      </c>
      <c r="T27" s="71">
        <f t="shared" si="5"/>
        <v>83</v>
      </c>
      <c r="U27" s="71">
        <f t="shared" si="5"/>
        <v>3</v>
      </c>
      <c r="V27" s="71">
        <f t="shared" si="5"/>
        <v>27</v>
      </c>
      <c r="W27" s="71">
        <f t="shared" si="5"/>
        <v>32</v>
      </c>
      <c r="X27" s="71">
        <f t="shared" si="5"/>
        <v>29</v>
      </c>
      <c r="Y27" s="71">
        <f t="shared" si="5"/>
        <v>31</v>
      </c>
      <c r="Z27" s="71">
        <f t="shared" si="5"/>
        <v>31</v>
      </c>
      <c r="AA27" s="71">
        <f t="shared" si="5"/>
        <v>38</v>
      </c>
      <c r="AB27" s="71">
        <f t="shared" si="5"/>
        <v>28</v>
      </c>
      <c r="AC27" s="71">
        <f t="shared" si="5"/>
        <v>11</v>
      </c>
      <c r="AD27" s="71">
        <f t="shared" si="5"/>
        <v>17</v>
      </c>
      <c r="AE27" s="71">
        <f t="shared" si="5"/>
        <v>83</v>
      </c>
      <c r="AF27" s="71">
        <f t="shared" si="5"/>
        <v>17</v>
      </c>
      <c r="AG27" s="71">
        <f t="shared" si="5"/>
        <v>29</v>
      </c>
      <c r="AH27" s="71">
        <f t="shared" si="5"/>
        <v>17</v>
      </c>
      <c r="AI27" s="71">
        <f t="shared" si="5"/>
        <v>33</v>
      </c>
      <c r="AJ27" s="71">
        <f t="shared" si="5"/>
        <v>26</v>
      </c>
      <c r="AK27" s="71">
        <f t="shared" si="5"/>
        <v>29</v>
      </c>
      <c r="AL27" s="71">
        <f t="shared" si="5"/>
        <v>31</v>
      </c>
      <c r="AM27" s="71">
        <f t="shared" si="5"/>
        <v>34</v>
      </c>
      <c r="AN27" s="71">
        <f t="shared" si="5"/>
        <v>31</v>
      </c>
      <c r="AO27" s="71">
        <f t="shared" si="5"/>
        <v>30</v>
      </c>
      <c r="AP27" s="71">
        <f t="shared" si="5"/>
        <v>27</v>
      </c>
      <c r="AQ27" s="71">
        <f t="shared" si="5"/>
        <v>19</v>
      </c>
      <c r="AR27" s="71">
        <f t="shared" si="5"/>
        <v>23</v>
      </c>
      <c r="AS27" s="71">
        <f t="shared" si="5"/>
        <v>34</v>
      </c>
      <c r="AT27" s="71">
        <f t="shared" si="5"/>
        <v>83</v>
      </c>
      <c r="AU27" s="71">
        <f t="shared" si="5"/>
        <v>31</v>
      </c>
      <c r="AV27" s="71">
        <f t="shared" si="5"/>
        <v>25</v>
      </c>
      <c r="AW27" s="71">
        <f t="shared" si="5"/>
        <v>27</v>
      </c>
      <c r="AX27" s="71">
        <f t="shared" si="5"/>
        <v>18</v>
      </c>
      <c r="AY27" s="71">
        <f t="shared" si="5"/>
        <v>17</v>
      </c>
      <c r="AZ27" s="71">
        <f t="shared" si="5"/>
        <v>83</v>
      </c>
      <c r="BA27" s="71">
        <f t="shared" si="5"/>
        <v>48</v>
      </c>
      <c r="BB27" s="71">
        <f t="shared" si="5"/>
        <v>34</v>
      </c>
      <c r="BC27" s="71">
        <f t="shared" si="5"/>
        <v>52</v>
      </c>
      <c r="BD27" s="71">
        <f t="shared" si="5"/>
        <v>27</v>
      </c>
      <c r="BE27" s="71">
        <f t="shared" si="5"/>
        <v>10</v>
      </c>
      <c r="BF27" s="71">
        <f t="shared" si="5"/>
        <v>30</v>
      </c>
      <c r="BG27" s="71">
        <f t="shared" si="5"/>
        <v>59</v>
      </c>
      <c r="BH27" s="71">
        <f t="shared" si="5"/>
        <v>28</v>
      </c>
      <c r="BI27" s="71">
        <f t="shared" si="5"/>
        <v>48</v>
      </c>
      <c r="BJ27" s="71">
        <f t="shared" si="5"/>
        <v>18</v>
      </c>
      <c r="BK27" s="71">
        <f t="shared" si="5"/>
        <v>25</v>
      </c>
      <c r="BL27" s="71">
        <f t="shared" si="5"/>
        <v>32</v>
      </c>
      <c r="BM27" s="71">
        <f t="shared" si="5"/>
        <v>26</v>
      </c>
      <c r="BN27" s="71">
        <f t="shared" si="5"/>
        <v>34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>
        <f t="shared" ca="1" si="6"/>
        <v>1</v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0.4107142857142857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7">COUNTA(L$3,L$5,L$7,L$9,L$11,L$13,L$15,L$17,L$19,L$21)</f>
        <v>2</v>
      </c>
      <c r="M29" s="71">
        <f t="shared" si="7"/>
        <v>0</v>
      </c>
      <c r="N29" s="71">
        <f t="shared" si="7"/>
        <v>4</v>
      </c>
      <c r="O29" s="71">
        <f t="shared" si="7"/>
        <v>3</v>
      </c>
      <c r="P29" s="71">
        <f t="shared" si="7"/>
        <v>3</v>
      </c>
      <c r="Q29" s="71">
        <f t="shared" si="7"/>
        <v>4</v>
      </c>
      <c r="R29" s="71">
        <f t="shared" si="7"/>
        <v>5</v>
      </c>
      <c r="S29" s="71">
        <f t="shared" si="7"/>
        <v>5</v>
      </c>
      <c r="T29" s="71">
        <f t="shared" si="7"/>
        <v>0</v>
      </c>
      <c r="U29" s="71">
        <f t="shared" si="7"/>
        <v>5</v>
      </c>
      <c r="V29" s="71">
        <f t="shared" si="7"/>
        <v>5</v>
      </c>
      <c r="W29" s="71">
        <f t="shared" si="7"/>
        <v>6</v>
      </c>
      <c r="X29" s="71">
        <f t="shared" si="7"/>
        <v>9</v>
      </c>
      <c r="Y29" s="71">
        <f t="shared" si="7"/>
        <v>6</v>
      </c>
      <c r="Z29" s="71">
        <f t="shared" si="7"/>
        <v>5</v>
      </c>
      <c r="AA29" s="71">
        <f t="shared" si="7"/>
        <v>5</v>
      </c>
      <c r="AB29" s="71">
        <f t="shared" si="7"/>
        <v>3</v>
      </c>
      <c r="AC29" s="71">
        <f t="shared" si="7"/>
        <v>4</v>
      </c>
      <c r="AD29" s="71">
        <f t="shared" si="7"/>
        <v>4</v>
      </c>
      <c r="AE29" s="71">
        <f t="shared" si="7"/>
        <v>0</v>
      </c>
      <c r="AF29" s="71">
        <f t="shared" si="7"/>
        <v>4</v>
      </c>
      <c r="AG29" s="71">
        <f t="shared" si="7"/>
        <v>6</v>
      </c>
      <c r="AH29" s="71">
        <f t="shared" si="7"/>
        <v>6</v>
      </c>
      <c r="AI29" s="71">
        <f t="shared" si="7"/>
        <v>2</v>
      </c>
      <c r="AJ29" s="71">
        <f t="shared" si="7"/>
        <v>5</v>
      </c>
      <c r="AK29" s="71">
        <f t="shared" si="7"/>
        <v>4</v>
      </c>
      <c r="AL29" s="71">
        <f t="shared" si="7"/>
        <v>5</v>
      </c>
      <c r="AM29" s="71">
        <f t="shared" si="7"/>
        <v>6</v>
      </c>
      <c r="AN29" s="71">
        <f t="shared" si="7"/>
        <v>6</v>
      </c>
      <c r="AO29" s="71">
        <f t="shared" si="7"/>
        <v>4</v>
      </c>
      <c r="AP29" s="71">
        <f t="shared" si="7"/>
        <v>5</v>
      </c>
      <c r="AQ29" s="71">
        <f t="shared" si="7"/>
        <v>4</v>
      </c>
      <c r="AR29" s="71">
        <f t="shared" si="7"/>
        <v>6</v>
      </c>
      <c r="AS29" s="71">
        <f t="shared" si="7"/>
        <v>5</v>
      </c>
      <c r="AT29" s="71">
        <f t="shared" si="7"/>
        <v>0</v>
      </c>
      <c r="AU29" s="71">
        <f t="shared" si="7"/>
        <v>6</v>
      </c>
      <c r="AV29" s="71">
        <f t="shared" si="7"/>
        <v>6</v>
      </c>
      <c r="AW29" s="71">
        <f t="shared" si="7"/>
        <v>5</v>
      </c>
      <c r="AX29" s="71">
        <f t="shared" si="7"/>
        <v>4</v>
      </c>
      <c r="AY29" s="71">
        <f t="shared" si="7"/>
        <v>5</v>
      </c>
      <c r="AZ29" s="71">
        <f t="shared" si="7"/>
        <v>0</v>
      </c>
      <c r="BA29" s="71">
        <f t="shared" si="7"/>
        <v>6</v>
      </c>
      <c r="BB29" s="71">
        <f t="shared" si="7"/>
        <v>4</v>
      </c>
      <c r="BC29" s="71">
        <f t="shared" si="7"/>
        <v>5</v>
      </c>
      <c r="BD29" s="71">
        <f t="shared" si="7"/>
        <v>4</v>
      </c>
      <c r="BE29" s="71">
        <f t="shared" si="7"/>
        <v>5</v>
      </c>
      <c r="BF29" s="71">
        <f t="shared" si="7"/>
        <v>5</v>
      </c>
      <c r="BG29" s="71">
        <f t="shared" si="7"/>
        <v>6</v>
      </c>
      <c r="BH29" s="71">
        <f t="shared" si="7"/>
        <v>6</v>
      </c>
      <c r="BI29" s="71">
        <f t="shared" si="7"/>
        <v>3</v>
      </c>
      <c r="BJ29" s="71">
        <f t="shared" si="7"/>
        <v>4</v>
      </c>
      <c r="BK29" s="71">
        <f t="shared" si="7"/>
        <v>6</v>
      </c>
      <c r="BL29" s="71">
        <f t="shared" si="7"/>
        <v>4</v>
      </c>
      <c r="BM29" s="71">
        <f t="shared" si="7"/>
        <v>4</v>
      </c>
      <c r="BN29" s="71">
        <f t="shared" si="7"/>
        <v>6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-50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10</v>
      </c>
      <c r="N30" s="73">
        <f t="shared" si="8"/>
        <v>6</v>
      </c>
      <c r="O30" s="73">
        <f t="shared" si="8"/>
        <v>5</v>
      </c>
      <c r="P30" s="73">
        <f t="shared" si="8"/>
        <v>3</v>
      </c>
      <c r="Q30" s="73">
        <f t="shared" si="8"/>
        <v>4</v>
      </c>
      <c r="R30" s="73">
        <f t="shared" si="8"/>
        <v>5</v>
      </c>
      <c r="S30" s="73">
        <f t="shared" si="8"/>
        <v>5</v>
      </c>
      <c r="T30" s="73">
        <f t="shared" si="8"/>
        <v>10</v>
      </c>
      <c r="U30" s="73">
        <f t="shared" si="8"/>
        <v>3</v>
      </c>
      <c r="V30" s="73">
        <f t="shared" si="8"/>
        <v>5</v>
      </c>
      <c r="W30" s="73">
        <f t="shared" si="8"/>
        <v>6</v>
      </c>
      <c r="X30" s="73">
        <f t="shared" si="8"/>
        <v>7</v>
      </c>
      <c r="Y30" s="73">
        <f t="shared" si="8"/>
        <v>4</v>
      </c>
      <c r="Z30" s="73">
        <f t="shared" si="8"/>
        <v>7</v>
      </c>
      <c r="AA30" s="73">
        <f t="shared" si="8"/>
        <v>5</v>
      </c>
      <c r="AB30" s="73">
        <f t="shared" si="8"/>
        <v>5</v>
      </c>
      <c r="AC30" s="73">
        <f t="shared" si="8"/>
        <v>6</v>
      </c>
      <c r="AD30" s="73">
        <f t="shared" si="8"/>
        <v>4</v>
      </c>
      <c r="AE30" s="73">
        <f t="shared" si="8"/>
        <v>10</v>
      </c>
      <c r="AF30" s="73">
        <f t="shared" si="8"/>
        <v>4</v>
      </c>
      <c r="AG30" s="73">
        <f t="shared" si="8"/>
        <v>6</v>
      </c>
      <c r="AH30" s="73">
        <f t="shared" si="8"/>
        <v>4</v>
      </c>
      <c r="AI30" s="73">
        <f t="shared" si="8"/>
        <v>4</v>
      </c>
      <c r="AJ30" s="73">
        <f t="shared" si="8"/>
        <v>3</v>
      </c>
      <c r="AK30" s="73">
        <f t="shared" si="8"/>
        <v>6</v>
      </c>
      <c r="AL30" s="73">
        <f t="shared" si="8"/>
        <v>5</v>
      </c>
      <c r="AM30" s="73">
        <f t="shared" si="8"/>
        <v>4</v>
      </c>
      <c r="AN30" s="73">
        <f t="shared" si="8"/>
        <v>8</v>
      </c>
      <c r="AO30" s="73">
        <f t="shared" si="8"/>
        <v>8</v>
      </c>
      <c r="AP30" s="73">
        <f t="shared" si="8"/>
        <v>5</v>
      </c>
      <c r="AQ30" s="73">
        <f t="shared" si="8"/>
        <v>2</v>
      </c>
      <c r="AR30" s="73">
        <f t="shared" si="8"/>
        <v>6</v>
      </c>
      <c r="AS30" s="73">
        <f t="shared" si="8"/>
        <v>5</v>
      </c>
      <c r="AT30" s="73">
        <f t="shared" si="8"/>
        <v>10</v>
      </c>
      <c r="AU30" s="73">
        <f t="shared" si="8"/>
        <v>6</v>
      </c>
      <c r="AV30" s="73">
        <f t="shared" si="8"/>
        <v>6</v>
      </c>
      <c r="AW30" s="73">
        <f t="shared" si="8"/>
        <v>5</v>
      </c>
      <c r="AX30" s="73">
        <f t="shared" si="8"/>
        <v>4</v>
      </c>
      <c r="AY30" s="73">
        <f t="shared" si="8"/>
        <v>5</v>
      </c>
      <c r="AZ30" s="73">
        <f t="shared" si="8"/>
        <v>10</v>
      </c>
      <c r="BA30" s="73">
        <f t="shared" si="8"/>
        <v>6</v>
      </c>
      <c r="BB30" s="73">
        <f t="shared" si="8"/>
        <v>4</v>
      </c>
      <c r="BC30" s="73">
        <f t="shared" si="8"/>
        <v>5</v>
      </c>
      <c r="BD30" s="73">
        <f t="shared" si="8"/>
        <v>4</v>
      </c>
      <c r="BE30" s="73">
        <f t="shared" si="8"/>
        <v>5</v>
      </c>
      <c r="BF30" s="73">
        <f t="shared" si="8"/>
        <v>3</v>
      </c>
      <c r="BG30" s="73">
        <f t="shared" si="8"/>
        <v>6</v>
      </c>
      <c r="BH30" s="73">
        <f t="shared" si="8"/>
        <v>6</v>
      </c>
      <c r="BI30" s="73">
        <f t="shared" si="8"/>
        <v>3</v>
      </c>
      <c r="BJ30" s="73">
        <f t="shared" si="8"/>
        <v>4</v>
      </c>
      <c r="BK30" s="73">
        <f t="shared" si="8"/>
        <v>10</v>
      </c>
      <c r="BL30" s="73">
        <f t="shared" si="8"/>
        <v>4</v>
      </c>
      <c r="BM30" s="73">
        <f t="shared" si="8"/>
        <v>6</v>
      </c>
      <c r="BN30" s="73">
        <f t="shared" si="8"/>
        <v>6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7</v>
      </c>
      <c r="M31" s="71">
        <f t="shared" ca="1" si="9"/>
        <v>10</v>
      </c>
      <c r="N31" s="71">
        <f t="shared" ca="1" si="9"/>
        <v>5</v>
      </c>
      <c r="O31" s="71">
        <f t="shared" ca="1" si="9"/>
        <v>6</v>
      </c>
      <c r="P31" s="71">
        <f t="shared" ca="1" si="9"/>
        <v>4</v>
      </c>
      <c r="Q31" s="71">
        <f t="shared" ca="1" si="9"/>
        <v>5</v>
      </c>
      <c r="R31" s="71">
        <f t="shared" ca="1" si="9"/>
        <v>4</v>
      </c>
      <c r="S31" s="71">
        <f t="shared" ca="1" si="9"/>
        <v>4</v>
      </c>
      <c r="T31" s="71">
        <f t="shared" ca="1" si="9"/>
        <v>10</v>
      </c>
      <c r="U31" s="71">
        <f t="shared" ca="1" si="9"/>
        <v>2</v>
      </c>
      <c r="V31" s="71">
        <f t="shared" ca="1" si="9"/>
        <v>4</v>
      </c>
      <c r="W31" s="71">
        <f t="shared" ca="1" si="9"/>
        <v>5</v>
      </c>
      <c r="X31" s="71">
        <f t="shared" ca="1" si="9"/>
        <v>4</v>
      </c>
      <c r="Y31" s="71">
        <f t="shared" ca="1" si="9"/>
        <v>3</v>
      </c>
      <c r="Z31" s="71">
        <f t="shared" ca="1" si="9"/>
        <v>6</v>
      </c>
      <c r="AA31" s="71">
        <f t="shared" ca="1" si="9"/>
        <v>2</v>
      </c>
      <c r="AB31" s="71">
        <f t="shared" ca="1" si="9"/>
        <v>6</v>
      </c>
      <c r="AC31" s="71">
        <f t="shared" ca="1" si="9"/>
        <v>5</v>
      </c>
      <c r="AD31" s="71">
        <f t="shared" ca="1" si="9"/>
        <v>5</v>
      </c>
      <c r="AE31" s="71">
        <f t="shared" ca="1" si="9"/>
        <v>10</v>
      </c>
      <c r="AF31" s="71">
        <f t="shared" ca="1" si="9"/>
        <v>3</v>
      </c>
      <c r="AG31" s="71">
        <f t="shared" ca="1" si="9"/>
        <v>3</v>
      </c>
      <c r="AH31" s="71">
        <f t="shared" ca="1" si="9"/>
        <v>1</v>
      </c>
      <c r="AI31" s="71">
        <f t="shared" ca="1" si="9"/>
        <v>7</v>
      </c>
      <c r="AJ31" s="71">
        <f t="shared" ca="1" si="9"/>
        <v>2</v>
      </c>
      <c r="AK31" s="71">
        <f t="shared" ca="1" si="9"/>
        <v>5</v>
      </c>
      <c r="AL31" s="71">
        <f t="shared" ca="1" si="9"/>
        <v>4</v>
      </c>
      <c r="AM31" s="71">
        <f t="shared" ca="1" si="9"/>
        <v>1</v>
      </c>
      <c r="AN31" s="71">
        <f t="shared" ca="1" si="9"/>
        <v>5</v>
      </c>
      <c r="AO31" s="71">
        <f t="shared" ca="1" si="9"/>
        <v>9</v>
      </c>
      <c r="AP31" s="71">
        <f t="shared" ca="1" si="9"/>
        <v>4</v>
      </c>
      <c r="AQ31" s="71">
        <f t="shared" ca="1" si="9"/>
        <v>3</v>
      </c>
      <c r="AR31" s="71">
        <f t="shared" ca="1" si="9"/>
        <v>5</v>
      </c>
      <c r="AS31" s="71">
        <f t="shared" ca="1" si="9"/>
        <v>2</v>
      </c>
      <c r="AT31" s="71">
        <f t="shared" ca="1" si="9"/>
        <v>10</v>
      </c>
      <c r="AU31" s="71">
        <f t="shared" ca="1" si="9"/>
        <v>3</v>
      </c>
      <c r="AV31" s="71">
        <f t="shared" ca="1" si="9"/>
        <v>7</v>
      </c>
      <c r="AW31" s="71">
        <f t="shared" ca="1" si="9"/>
        <v>4</v>
      </c>
      <c r="AX31" s="71">
        <f t="shared" ca="1" si="9"/>
        <v>5</v>
      </c>
      <c r="AY31" s="71">
        <f t="shared" ca="1" si="9"/>
        <v>4</v>
      </c>
      <c r="AZ31" s="71">
        <f t="shared" ca="1" si="9"/>
        <v>10</v>
      </c>
      <c r="BA31" s="71">
        <f t="shared" ca="1" si="9"/>
        <v>5</v>
      </c>
      <c r="BB31" s="71">
        <f t="shared" ca="1" si="9"/>
        <v>3</v>
      </c>
      <c r="BC31" s="71">
        <f t="shared" ca="1" si="9"/>
        <v>6</v>
      </c>
      <c r="BD31" s="71">
        <f t="shared" ca="1" si="9"/>
        <v>7</v>
      </c>
      <c r="BE31" s="71">
        <f t="shared" ca="1" si="9"/>
        <v>6</v>
      </c>
      <c r="BF31" s="71">
        <f t="shared" ca="1" si="9"/>
        <v>2</v>
      </c>
      <c r="BG31" s="71">
        <f t="shared" ca="1" si="9"/>
        <v>5</v>
      </c>
      <c r="BH31" s="71">
        <f t="shared" ca="1" si="9"/>
        <v>7</v>
      </c>
      <c r="BI31" s="71">
        <f t="shared" ca="1" si="9"/>
        <v>6</v>
      </c>
      <c r="BJ31" s="71">
        <f t="shared" ca="1" si="9"/>
        <v>3</v>
      </c>
      <c r="BK31" s="71">
        <f t="shared" ca="1" si="9"/>
        <v>7</v>
      </c>
      <c r="BL31" s="71">
        <f t="shared" ca="1" si="9"/>
        <v>5</v>
      </c>
      <c r="BM31" s="71">
        <f t="shared" ca="1" si="9"/>
        <v>5</v>
      </c>
      <c r="BN31" s="71">
        <f t="shared" ca="1" si="9"/>
        <v>3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9</v>
      </c>
      <c r="L35" s="35">
        <f t="shared" si="10"/>
        <v>9</v>
      </c>
      <c r="M35" s="35">
        <f t="shared" si="10"/>
        <v>0</v>
      </c>
      <c r="N35" s="35">
        <f t="shared" si="10"/>
        <v>9</v>
      </c>
      <c r="O35" s="35">
        <f t="shared" si="10"/>
        <v>9</v>
      </c>
      <c r="P35" s="35">
        <f t="shared" si="10"/>
        <v>9</v>
      </c>
      <c r="Q35" s="35">
        <f t="shared" si="10"/>
        <v>9</v>
      </c>
      <c r="R35" s="35">
        <f t="shared" si="10"/>
        <v>9</v>
      </c>
      <c r="S35" s="35">
        <f t="shared" si="10"/>
        <v>9</v>
      </c>
      <c r="T35" s="35">
        <f t="shared" si="10"/>
        <v>0</v>
      </c>
      <c r="U35" s="35">
        <f t="shared" si="10"/>
        <v>9</v>
      </c>
      <c r="V35" s="35">
        <f t="shared" si="10"/>
        <v>9</v>
      </c>
      <c r="W35" s="35">
        <f t="shared" si="10"/>
        <v>9</v>
      </c>
      <c r="X35" s="35">
        <f t="shared" si="10"/>
        <v>9</v>
      </c>
      <c r="Y35" s="35">
        <f t="shared" si="10"/>
        <v>9</v>
      </c>
      <c r="Z35" s="35">
        <f t="shared" si="10"/>
        <v>9</v>
      </c>
      <c r="AA35" s="35">
        <f t="shared" si="10"/>
        <v>9</v>
      </c>
      <c r="AB35" s="35">
        <f t="shared" si="10"/>
        <v>9</v>
      </c>
      <c r="AC35" s="35">
        <f t="shared" si="10"/>
        <v>9</v>
      </c>
      <c r="AD35" s="35">
        <f t="shared" si="10"/>
        <v>9</v>
      </c>
      <c r="AE35" s="35">
        <f t="shared" si="10"/>
        <v>0</v>
      </c>
      <c r="AF35" s="35">
        <f t="shared" si="10"/>
        <v>9</v>
      </c>
      <c r="AG35" s="35">
        <f t="shared" si="10"/>
        <v>9</v>
      </c>
      <c r="AH35" s="35">
        <f t="shared" si="10"/>
        <v>9</v>
      </c>
      <c r="AI35" s="35">
        <f t="shared" si="10"/>
        <v>9</v>
      </c>
      <c r="AJ35" s="35">
        <f t="shared" si="10"/>
        <v>9</v>
      </c>
      <c r="AK35" s="35">
        <f t="shared" si="10"/>
        <v>9</v>
      </c>
      <c r="AL35" s="35">
        <f>COUNTA(AL3:AL22)</f>
        <v>9</v>
      </c>
      <c r="AM35" s="35">
        <f>COUNTA(AM3:AM22)</f>
        <v>9</v>
      </c>
      <c r="AN35" s="35">
        <f>COUNTA(AN3:AN22)</f>
        <v>9</v>
      </c>
      <c r="AO35" s="35">
        <f>COUNTA(AO3:AO22)</f>
        <v>9</v>
      </c>
      <c r="AP35" s="35">
        <f t="shared" ref="AP35:BN35" si="11">COUNTA(AP3:AP22)</f>
        <v>9</v>
      </c>
      <c r="AQ35" s="35">
        <f t="shared" si="11"/>
        <v>9</v>
      </c>
      <c r="AR35" s="35">
        <f t="shared" si="11"/>
        <v>9</v>
      </c>
      <c r="AS35" s="35">
        <f t="shared" si="11"/>
        <v>9</v>
      </c>
      <c r="AT35" s="35">
        <f t="shared" si="11"/>
        <v>0</v>
      </c>
      <c r="AU35" s="35">
        <f t="shared" si="11"/>
        <v>9</v>
      </c>
      <c r="AV35" s="35">
        <f t="shared" si="11"/>
        <v>9</v>
      </c>
      <c r="AW35" s="35">
        <f t="shared" si="11"/>
        <v>9</v>
      </c>
      <c r="AX35" s="35">
        <f t="shared" si="11"/>
        <v>9</v>
      </c>
      <c r="AY35" s="35">
        <f t="shared" si="11"/>
        <v>9</v>
      </c>
      <c r="AZ35" s="35">
        <f t="shared" si="11"/>
        <v>0</v>
      </c>
      <c r="BA35" s="35">
        <f t="shared" si="11"/>
        <v>9</v>
      </c>
      <c r="BB35" s="35">
        <f t="shared" si="11"/>
        <v>9</v>
      </c>
      <c r="BC35" s="35">
        <f t="shared" si="11"/>
        <v>9</v>
      </c>
      <c r="BD35" s="35">
        <f t="shared" si="11"/>
        <v>9</v>
      </c>
      <c r="BE35" s="35">
        <f t="shared" si="11"/>
        <v>9</v>
      </c>
      <c r="BF35" s="35">
        <f t="shared" si="11"/>
        <v>9</v>
      </c>
      <c r="BG35" s="35">
        <f t="shared" si="11"/>
        <v>9</v>
      </c>
      <c r="BH35" s="35">
        <f t="shared" si="11"/>
        <v>9</v>
      </c>
      <c r="BI35" s="35">
        <f t="shared" si="11"/>
        <v>9</v>
      </c>
      <c r="BJ35" s="35">
        <f t="shared" si="11"/>
        <v>9</v>
      </c>
      <c r="BK35" s="35">
        <f t="shared" si="11"/>
        <v>9</v>
      </c>
      <c r="BL35" s="35">
        <f t="shared" si="11"/>
        <v>9</v>
      </c>
      <c r="BM35" s="35">
        <f t="shared" si="11"/>
        <v>9</v>
      </c>
      <c r="BN35" s="35">
        <f t="shared" si="11"/>
        <v>9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79987876</v>
      </c>
      <c r="L36" s="32">
        <f t="shared" si="12"/>
        <v>39995884</v>
      </c>
      <c r="M36" s="32">
        <f t="shared" si="12"/>
        <v>0</v>
      </c>
      <c r="N36" s="32">
        <f t="shared" si="12"/>
        <v>79899932</v>
      </c>
      <c r="O36" s="32">
        <f t="shared" si="12"/>
        <v>19995828</v>
      </c>
      <c r="P36" s="32">
        <f t="shared" si="12"/>
        <v>101975912</v>
      </c>
      <c r="Q36" s="32">
        <f t="shared" si="12"/>
        <v>79959936</v>
      </c>
      <c r="R36" s="32">
        <f t="shared" si="12"/>
        <v>99943888</v>
      </c>
      <c r="S36" s="32">
        <f t="shared" si="12"/>
        <v>59947940</v>
      </c>
      <c r="T36" s="32">
        <f t="shared" si="12"/>
        <v>0</v>
      </c>
      <c r="U36" s="32">
        <f t="shared" si="12"/>
        <v>99955988</v>
      </c>
      <c r="V36" s="32">
        <f t="shared" si="12"/>
        <v>101995892</v>
      </c>
      <c r="W36" s="32">
        <f t="shared" si="12"/>
        <v>119959872</v>
      </c>
      <c r="X36" s="32">
        <f t="shared" si="12"/>
        <v>139995884</v>
      </c>
      <c r="Y36" s="32">
        <f t="shared" si="12"/>
        <v>79955876</v>
      </c>
      <c r="Z36" s="32">
        <f t="shared" si="12"/>
        <v>99987876</v>
      </c>
      <c r="AA36" s="32">
        <f t="shared" si="12"/>
        <v>99983848</v>
      </c>
      <c r="AB36" s="32">
        <f t="shared" si="12"/>
        <v>101999888</v>
      </c>
      <c r="AC36" s="32">
        <f t="shared" si="12"/>
        <v>79931956</v>
      </c>
      <c r="AD36" s="32">
        <f t="shared" si="12"/>
        <v>121955932</v>
      </c>
      <c r="AE36" s="32">
        <f t="shared" si="12"/>
        <v>0</v>
      </c>
      <c r="AF36" s="32">
        <f t="shared" si="12"/>
        <v>79987932</v>
      </c>
      <c r="AG36" s="32">
        <f t="shared" si="12"/>
        <v>119947884</v>
      </c>
      <c r="AH36" s="32">
        <f t="shared" si="12"/>
        <v>119987932</v>
      </c>
      <c r="AI36" s="32">
        <f t="shared" si="12"/>
        <v>41955868</v>
      </c>
      <c r="AJ36" s="32">
        <f t="shared" si="12"/>
        <v>99983896</v>
      </c>
      <c r="AK36" s="32">
        <f t="shared" si="12"/>
        <v>39891884</v>
      </c>
      <c r="AL36" s="32">
        <f t="shared" si="12"/>
        <v>101987876</v>
      </c>
      <c r="AM36" s="32">
        <f t="shared" si="12"/>
        <v>119943864</v>
      </c>
      <c r="AN36" s="32">
        <f t="shared" si="12"/>
        <v>79955876</v>
      </c>
      <c r="AO36" s="32">
        <f t="shared" si="12"/>
        <v>81999880</v>
      </c>
      <c r="AP36" s="32">
        <f t="shared" si="12"/>
        <v>101971892</v>
      </c>
      <c r="AQ36" s="32">
        <f t="shared" si="12"/>
        <v>121955924</v>
      </c>
      <c r="AR36" s="32">
        <f t="shared" si="12"/>
        <v>79987908</v>
      </c>
      <c r="AS36" s="32">
        <f t="shared" si="12"/>
        <v>99943864</v>
      </c>
      <c r="AT36" s="32">
        <f t="shared" si="12"/>
        <v>0</v>
      </c>
      <c r="AU36" s="32">
        <f t="shared" si="12"/>
        <v>79923876</v>
      </c>
      <c r="AV36" s="32">
        <f t="shared" si="12"/>
        <v>79931900</v>
      </c>
      <c r="AW36" s="32">
        <f t="shared" si="12"/>
        <v>101979892</v>
      </c>
      <c r="AX36" s="32">
        <f t="shared" si="12"/>
        <v>121959928</v>
      </c>
      <c r="AY36" s="32">
        <f t="shared" si="12"/>
        <v>99955932</v>
      </c>
      <c r="AZ36" s="32">
        <f t="shared" si="12"/>
        <v>0</v>
      </c>
      <c r="BA36" s="32">
        <f t="shared" si="12"/>
        <v>161999808</v>
      </c>
      <c r="BB36" s="32">
        <f t="shared" si="12"/>
        <v>79943864</v>
      </c>
      <c r="BC36" s="32">
        <f t="shared" si="12"/>
        <v>59959792</v>
      </c>
      <c r="BD36" s="32">
        <f t="shared" si="12"/>
        <v>81971892</v>
      </c>
      <c r="BE36" s="32">
        <f t="shared" si="12"/>
        <v>59983960</v>
      </c>
      <c r="BF36" s="32">
        <f t="shared" si="12"/>
        <v>99967880</v>
      </c>
      <c r="BG36" s="32">
        <f t="shared" si="12"/>
        <v>119955764</v>
      </c>
      <c r="BH36" s="32">
        <f t="shared" si="12"/>
        <v>79943888</v>
      </c>
      <c r="BI36" s="32">
        <f t="shared" si="12"/>
        <v>61999808</v>
      </c>
      <c r="BJ36" s="32">
        <f t="shared" si="12"/>
        <v>121983928</v>
      </c>
      <c r="BK36" s="32">
        <f t="shared" si="12"/>
        <v>79987900</v>
      </c>
      <c r="BL36" s="32">
        <f t="shared" si="12"/>
        <v>79959872</v>
      </c>
      <c r="BM36" s="32">
        <f t="shared" si="12"/>
        <v>39983896</v>
      </c>
      <c r="BN36" s="32">
        <f t="shared" si="12"/>
        <v>119943864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4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45" priority="9" stopIfTrue="1" operator="equal">
      <formula>0</formula>
    </cfRule>
  </conditionalFormatting>
  <conditionalFormatting sqref="D26:J28 K28:BE28">
    <cfRule type="cellIs" dxfId="144" priority="10" stopIfTrue="1" operator="equal">
      <formula>1</formula>
    </cfRule>
  </conditionalFormatting>
  <conditionalFormatting sqref="H3:I3 F23 H5:I5 H7:I7 H9:I9 H11:I11 H13:I13 H15:I15 H17:I17 H19:I19 H21:I21">
    <cfRule type="cellIs" dxfId="143" priority="11" stopIfTrue="1" operator="equal">
      <formula>0</formula>
    </cfRule>
  </conditionalFormatting>
  <conditionalFormatting sqref="H4:I4 F24 H6:I6 H8:I8 H10:I10 H12:I12 H14:I14 H16:I16 H18:I18 H20:I20 H22:I22">
    <cfRule type="cellIs" dxfId="142" priority="12" stopIfTrue="1" operator="equal">
      <formula>0</formula>
    </cfRule>
  </conditionalFormatting>
  <conditionalFormatting sqref="F3 F5 F7 F9 F11 F13 F15 F17 F19 F21">
    <cfRule type="cellIs" dxfId="14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9" priority="15" stopIfTrue="1">
      <formula>AND(COUNTA(J4)=1,$E4=1,SUM($E3:$E4)=1)</formula>
    </cfRule>
    <cfRule type="expression" dxfId="13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37" priority="17" stopIfTrue="1">
      <formula>AND(COUNTA(J3)=1,$E3=1,SUM($E3:$E4)=1)</formula>
    </cfRule>
    <cfRule type="expression" dxfId="136" priority="18" stopIfTrue="1">
      <formula>AND(COUNTA(J3)=1,$E3=0,SUM($E3:$E4)=1)</formula>
    </cfRule>
  </conditionalFormatting>
  <conditionalFormatting sqref="BF23:BN23">
    <cfRule type="cellIs" dxfId="135" priority="7" stopIfTrue="1" operator="equal">
      <formula>0</formula>
    </cfRule>
  </conditionalFormatting>
  <conditionalFormatting sqref="BF24:BN24">
    <cfRule type="cellIs" dxfId="134" priority="6" stopIfTrue="1" operator="equal">
      <formula>0</formula>
    </cfRule>
  </conditionalFormatting>
  <conditionalFormatting sqref="BF28:BN28">
    <cfRule type="cellIs" dxfId="13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32" priority="3" stopIfTrue="1">
      <formula>AND(COUNTA(BF4)=1,$E4=1,SUM($E3:$E4)=1)</formula>
    </cfRule>
    <cfRule type="expression" dxfId="13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30" priority="1" stopIfTrue="1">
      <formula>AND(COUNTA(BF3)=1,$E3=1,SUM($E3:$E4)=1)</formula>
    </cfRule>
    <cfRule type="expression" dxfId="12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pageSetUpPr fitToPage="1"/>
  </sheetPr>
  <dimension ref="A1:BN58"/>
  <sheetViews>
    <sheetView tabSelected="1" zoomScale="90" zoomScaleNormal="100" zoomScaleSheetLayoutView="100" workbookViewId="0">
      <selection activeCell="K3" sqref="K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>
      <c r="B1" s="6"/>
      <c r="I1">
        <f>COUNTA(K1:BW1)</f>
        <v>0</v>
      </c>
      <c r="J1">
        <f>SUM(K1:BW1)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>
      <c r="A3" s="59">
        <v>1</v>
      </c>
      <c r="B3" s="67" t="s">
        <v>138</v>
      </c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30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/>
      <c r="M3" s="69" t="s">
        <v>314</v>
      </c>
      <c r="N3" s="69" t="s">
        <v>314</v>
      </c>
      <c r="O3" s="69"/>
      <c r="P3" s="69"/>
      <c r="Q3" s="69" t="s">
        <v>314</v>
      </c>
      <c r="R3" s="69" t="s">
        <v>314</v>
      </c>
      <c r="S3" s="69" t="s">
        <v>314</v>
      </c>
      <c r="T3" s="69" t="s">
        <v>314</v>
      </c>
      <c r="U3" s="69" t="s">
        <v>314</v>
      </c>
      <c r="V3" s="69"/>
      <c r="W3" s="69"/>
      <c r="X3" s="69" t="s">
        <v>314</v>
      </c>
      <c r="Y3" s="69"/>
      <c r="Z3" s="69"/>
      <c r="AA3" s="69" t="s">
        <v>314</v>
      </c>
      <c r="AB3" s="69" t="s">
        <v>314</v>
      </c>
      <c r="AC3" s="69" t="s">
        <v>314</v>
      </c>
      <c r="AD3" s="69" t="s">
        <v>314</v>
      </c>
      <c r="AE3" s="69"/>
      <c r="AF3" s="69"/>
      <c r="AG3" s="69" t="s">
        <v>314</v>
      </c>
      <c r="AH3" s="69"/>
      <c r="AI3" s="69"/>
      <c r="AJ3" s="69"/>
      <c r="AK3" s="69" t="s">
        <v>314</v>
      </c>
      <c r="AL3" s="69"/>
      <c r="AM3" s="69"/>
      <c r="AN3" s="69"/>
      <c r="AO3" s="69"/>
      <c r="AP3" s="69" t="s">
        <v>314</v>
      </c>
      <c r="AQ3" s="69"/>
      <c r="AR3" s="96"/>
      <c r="AS3" s="69"/>
      <c r="AT3" s="69" t="s">
        <v>314</v>
      </c>
      <c r="AU3" s="69"/>
      <c r="AV3" s="69" t="s">
        <v>314</v>
      </c>
      <c r="AW3" s="69" t="s">
        <v>314</v>
      </c>
      <c r="AX3" s="69" t="s">
        <v>314</v>
      </c>
      <c r="AY3" s="69"/>
      <c r="AZ3" s="69"/>
      <c r="BA3" s="69" t="s">
        <v>314</v>
      </c>
      <c r="BB3" s="69" t="s">
        <v>314</v>
      </c>
      <c r="BC3" s="69" t="s">
        <v>314</v>
      </c>
      <c r="BD3" s="69" t="s">
        <v>314</v>
      </c>
      <c r="BE3" s="96" t="s">
        <v>314</v>
      </c>
      <c r="BF3" s="69" t="s">
        <v>314</v>
      </c>
      <c r="BG3" s="69" t="s">
        <v>314</v>
      </c>
      <c r="BH3" s="69" t="s">
        <v>314</v>
      </c>
      <c r="BI3" s="69"/>
      <c r="BJ3" s="69"/>
      <c r="BK3" s="69" t="s">
        <v>314</v>
      </c>
      <c r="BL3" s="69"/>
      <c r="BM3" s="69"/>
      <c r="BN3" s="69" t="s">
        <v>314</v>
      </c>
    </row>
    <row r="4" spans="1:66">
      <c r="A4" s="61" t="s">
        <v>3</v>
      </c>
      <c r="B4" s="68" t="s">
        <v>273</v>
      </c>
      <c r="C4" s="66">
        <v>7.5</v>
      </c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26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314</v>
      </c>
      <c r="M4" s="70"/>
      <c r="N4" s="70"/>
      <c r="O4" s="70" t="s">
        <v>314</v>
      </c>
      <c r="P4" s="70" t="s">
        <v>314</v>
      </c>
      <c r="Q4" s="70"/>
      <c r="R4" s="70"/>
      <c r="S4" s="70"/>
      <c r="T4" s="70"/>
      <c r="U4" s="97"/>
      <c r="V4" s="70" t="s">
        <v>314</v>
      </c>
      <c r="W4" s="70" t="s">
        <v>314</v>
      </c>
      <c r="X4" s="70"/>
      <c r="Y4" s="70" t="s">
        <v>314</v>
      </c>
      <c r="Z4" s="70" t="s">
        <v>314</v>
      </c>
      <c r="AA4" s="70"/>
      <c r="AB4" s="70"/>
      <c r="AC4" s="70"/>
      <c r="AD4" s="70"/>
      <c r="AE4" s="70" t="s">
        <v>314</v>
      </c>
      <c r="AF4" s="70" t="s">
        <v>314</v>
      </c>
      <c r="AG4" s="70"/>
      <c r="AH4" s="70" t="s">
        <v>314</v>
      </c>
      <c r="AI4" s="70" t="s">
        <v>314</v>
      </c>
      <c r="AJ4" s="70" t="s">
        <v>314</v>
      </c>
      <c r="AK4" s="70"/>
      <c r="AL4" s="70" t="s">
        <v>314</v>
      </c>
      <c r="AM4" s="70" t="s">
        <v>314</v>
      </c>
      <c r="AN4" s="70" t="s">
        <v>314</v>
      </c>
      <c r="AO4" s="70" t="s">
        <v>314</v>
      </c>
      <c r="AP4" s="70"/>
      <c r="AQ4" s="70" t="s">
        <v>314</v>
      </c>
      <c r="AR4" s="70" t="s">
        <v>314</v>
      </c>
      <c r="AS4" s="70" t="s">
        <v>314</v>
      </c>
      <c r="AT4" s="70"/>
      <c r="AU4" s="70" t="s">
        <v>314</v>
      </c>
      <c r="AV4" s="70"/>
      <c r="AW4" s="70"/>
      <c r="AX4" s="70"/>
      <c r="AY4" s="70" t="s">
        <v>314</v>
      </c>
      <c r="AZ4" s="70" t="s">
        <v>314</v>
      </c>
      <c r="BA4" s="70"/>
      <c r="BB4" s="70"/>
      <c r="BC4" s="70"/>
      <c r="BD4" s="70"/>
      <c r="BE4" s="70"/>
      <c r="BF4" s="70"/>
      <c r="BG4" s="70"/>
      <c r="BH4" s="70"/>
      <c r="BI4" s="70" t="s">
        <v>314</v>
      </c>
      <c r="BJ4" s="70" t="s">
        <v>314</v>
      </c>
      <c r="BK4" s="70"/>
      <c r="BL4" s="70" t="s">
        <v>314</v>
      </c>
      <c r="BM4" s="70" t="s">
        <v>314</v>
      </c>
      <c r="BN4" s="70"/>
    </row>
    <row r="5" spans="1:66">
      <c r="A5" s="59">
        <v>2</v>
      </c>
      <c r="B5" s="67" t="s">
        <v>185</v>
      </c>
      <c r="C5" s="65">
        <v>4.5</v>
      </c>
      <c r="D5" s="64"/>
      <c r="E5" s="64" t="str">
        <f>IF(ISBLANK($D5),"0",IF(($D6-$D5)&lt;($C6-$C5),1,0))</f>
        <v>0</v>
      </c>
      <c r="F5" s="64">
        <f t="shared" ca="1" si="1"/>
        <v>38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314</v>
      </c>
      <c r="M5" s="69" t="s">
        <v>314</v>
      </c>
      <c r="N5" s="69"/>
      <c r="O5" s="69"/>
      <c r="P5" s="69" t="s">
        <v>314</v>
      </c>
      <c r="Q5" s="69" t="s">
        <v>314</v>
      </c>
      <c r="R5" s="69" t="s">
        <v>314</v>
      </c>
      <c r="S5" s="69"/>
      <c r="T5" s="69"/>
      <c r="U5" s="96" t="s">
        <v>314</v>
      </c>
      <c r="V5" s="69"/>
      <c r="W5" s="69"/>
      <c r="X5" s="69"/>
      <c r="Y5" s="69" t="s">
        <v>314</v>
      </c>
      <c r="Z5" s="69" t="s">
        <v>314</v>
      </c>
      <c r="AA5" s="69"/>
      <c r="AB5" s="69" t="s">
        <v>314</v>
      </c>
      <c r="AC5" s="69" t="s">
        <v>314</v>
      </c>
      <c r="AD5" s="69"/>
      <c r="AE5" s="69" t="s">
        <v>314</v>
      </c>
      <c r="AF5" s="69"/>
      <c r="AG5" s="69" t="s">
        <v>314</v>
      </c>
      <c r="AH5" s="69" t="s">
        <v>314</v>
      </c>
      <c r="AI5" s="69" t="s">
        <v>314</v>
      </c>
      <c r="AJ5" s="69" t="s">
        <v>314</v>
      </c>
      <c r="AK5" s="69" t="s">
        <v>314</v>
      </c>
      <c r="AL5" s="69" t="s">
        <v>314</v>
      </c>
      <c r="AM5" s="69" t="s">
        <v>314</v>
      </c>
      <c r="AN5" s="69" t="s">
        <v>314</v>
      </c>
      <c r="AO5" s="69" t="s">
        <v>314</v>
      </c>
      <c r="AP5" s="69" t="s">
        <v>314</v>
      </c>
      <c r="AQ5" s="69" t="s">
        <v>314</v>
      </c>
      <c r="AR5" s="96" t="s">
        <v>314</v>
      </c>
      <c r="AS5" s="69"/>
      <c r="AT5" s="69" t="s">
        <v>314</v>
      </c>
      <c r="AU5" s="69" t="s">
        <v>314</v>
      </c>
      <c r="AV5" s="69" t="s">
        <v>314</v>
      </c>
      <c r="AW5" s="69"/>
      <c r="AX5" s="69" t="s">
        <v>314</v>
      </c>
      <c r="AY5" s="69" t="s">
        <v>314</v>
      </c>
      <c r="AZ5" s="69"/>
      <c r="BA5" s="69" t="s">
        <v>314</v>
      </c>
      <c r="BB5" s="69" t="s">
        <v>314</v>
      </c>
      <c r="BC5" s="69"/>
      <c r="BD5" s="69"/>
      <c r="BE5" s="69" t="s">
        <v>314</v>
      </c>
      <c r="BF5" s="69" t="s">
        <v>314</v>
      </c>
      <c r="BG5" s="69" t="s">
        <v>314</v>
      </c>
      <c r="BH5" s="69"/>
      <c r="BI5" s="69" t="s">
        <v>314</v>
      </c>
      <c r="BJ5" s="69" t="s">
        <v>314</v>
      </c>
      <c r="BK5" s="69"/>
      <c r="BL5" s="69" t="s">
        <v>314</v>
      </c>
      <c r="BM5" s="69" t="s">
        <v>314</v>
      </c>
      <c r="BN5" s="69" t="s">
        <v>314</v>
      </c>
    </row>
    <row r="6" spans="1:66">
      <c r="A6" s="61" t="s">
        <v>3</v>
      </c>
      <c r="B6" s="68" t="s">
        <v>197</v>
      </c>
      <c r="C6" s="66"/>
      <c r="D6" s="64"/>
      <c r="E6" s="64" t="str">
        <f>IF(ISBLANK($D6),"0",IF(($D6-$D5)&gt;($C6-$C5),1,0))</f>
        <v>0</v>
      </c>
      <c r="F6" s="64">
        <f t="shared" ca="1" si="1"/>
        <v>18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314</v>
      </c>
      <c r="L6" s="70"/>
      <c r="M6" s="70"/>
      <c r="N6" s="70" t="s">
        <v>314</v>
      </c>
      <c r="O6" s="70" t="s">
        <v>314</v>
      </c>
      <c r="P6" s="70"/>
      <c r="Q6" s="70"/>
      <c r="R6" s="70"/>
      <c r="S6" s="70" t="s">
        <v>314</v>
      </c>
      <c r="T6" s="70" t="s">
        <v>314</v>
      </c>
      <c r="U6" s="70"/>
      <c r="V6" s="70" t="s">
        <v>314</v>
      </c>
      <c r="W6" s="70" t="s">
        <v>314</v>
      </c>
      <c r="X6" s="70" t="s">
        <v>314</v>
      </c>
      <c r="Y6" s="70"/>
      <c r="Z6" s="70"/>
      <c r="AA6" s="70" t="s">
        <v>314</v>
      </c>
      <c r="AB6" s="70"/>
      <c r="AC6" s="70"/>
      <c r="AD6" s="70" t="s">
        <v>314</v>
      </c>
      <c r="AE6" s="70"/>
      <c r="AF6" s="70" t="s">
        <v>314</v>
      </c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 t="s">
        <v>314</v>
      </c>
      <c r="AT6" s="70"/>
      <c r="AU6" s="70"/>
      <c r="AV6" s="70"/>
      <c r="AW6" s="70" t="s">
        <v>314</v>
      </c>
      <c r="AX6" s="70"/>
      <c r="AY6" s="70"/>
      <c r="AZ6" s="70" t="s">
        <v>314</v>
      </c>
      <c r="BA6" s="70"/>
      <c r="BB6" s="70"/>
      <c r="BC6" s="70" t="s">
        <v>314</v>
      </c>
      <c r="BD6" s="70" t="s">
        <v>314</v>
      </c>
      <c r="BE6" s="97"/>
      <c r="BF6" s="70"/>
      <c r="BG6" s="70"/>
      <c r="BH6" s="70" t="s">
        <v>314</v>
      </c>
      <c r="BI6" s="70"/>
      <c r="BJ6" s="70"/>
      <c r="BK6" s="70" t="s">
        <v>314</v>
      </c>
      <c r="BL6" s="70"/>
      <c r="BM6" s="70"/>
      <c r="BN6" s="70"/>
    </row>
    <row r="7" spans="1:66">
      <c r="A7" s="59">
        <v>3</v>
      </c>
      <c r="B7" s="67" t="s">
        <v>238</v>
      </c>
      <c r="C7" s="65"/>
      <c r="D7" s="64"/>
      <c r="E7" s="64" t="str">
        <f>IF(ISBLANK($D7),"0",IF(($D8-$D7)&lt;($C8-$C7),1,0))</f>
        <v>0</v>
      </c>
      <c r="F7" s="64">
        <f t="shared" ca="1" si="1"/>
        <v>21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 t="s">
        <v>314</v>
      </c>
      <c r="Q7" s="69"/>
      <c r="R7" s="96"/>
      <c r="S7" s="96" t="s">
        <v>314</v>
      </c>
      <c r="T7" s="96" t="s">
        <v>314</v>
      </c>
      <c r="U7" s="96"/>
      <c r="V7" s="69"/>
      <c r="W7" s="69"/>
      <c r="X7" s="69"/>
      <c r="Y7" s="69"/>
      <c r="Z7" s="69" t="s">
        <v>314</v>
      </c>
      <c r="AA7" s="69"/>
      <c r="AB7" s="69"/>
      <c r="AC7" s="69"/>
      <c r="AD7" s="69"/>
      <c r="AE7" s="69"/>
      <c r="AF7" s="69"/>
      <c r="AG7" s="69"/>
      <c r="AH7" s="69"/>
      <c r="AI7" s="69"/>
      <c r="AJ7" s="69" t="s">
        <v>314</v>
      </c>
      <c r="AK7" s="69" t="s">
        <v>314</v>
      </c>
      <c r="AL7" s="69" t="s">
        <v>314</v>
      </c>
      <c r="AM7" s="69"/>
      <c r="AN7" s="69"/>
      <c r="AO7" s="69" t="s">
        <v>314</v>
      </c>
      <c r="AP7" s="69" t="s">
        <v>314</v>
      </c>
      <c r="AQ7" s="69" t="s">
        <v>314</v>
      </c>
      <c r="AR7" s="96"/>
      <c r="AS7" s="69"/>
      <c r="AT7" s="69" t="s">
        <v>314</v>
      </c>
      <c r="AU7" s="69"/>
      <c r="AV7" s="69"/>
      <c r="AW7" s="69"/>
      <c r="AX7" s="69" t="s">
        <v>314</v>
      </c>
      <c r="AY7" s="69"/>
      <c r="AZ7" s="69"/>
      <c r="BA7" s="69" t="s">
        <v>314</v>
      </c>
      <c r="BB7" s="69" t="s">
        <v>314</v>
      </c>
      <c r="BC7" s="69" t="s">
        <v>314</v>
      </c>
      <c r="BD7" s="69"/>
      <c r="BE7" s="96" t="s">
        <v>314</v>
      </c>
      <c r="BF7" s="69"/>
      <c r="BG7" s="69"/>
      <c r="BH7" s="69"/>
      <c r="BI7" s="69" t="s">
        <v>314</v>
      </c>
      <c r="BJ7" s="69" t="s">
        <v>314</v>
      </c>
      <c r="BK7" s="69" t="s">
        <v>314</v>
      </c>
      <c r="BL7" s="69"/>
      <c r="BM7" s="69" t="s">
        <v>314</v>
      </c>
      <c r="BN7" s="69" t="s">
        <v>314</v>
      </c>
    </row>
    <row r="8" spans="1:66">
      <c r="A8" s="61" t="s">
        <v>3</v>
      </c>
      <c r="B8" s="68" t="s">
        <v>142</v>
      </c>
      <c r="C8" s="66">
        <v>12.5</v>
      </c>
      <c r="D8" s="64"/>
      <c r="E8" s="64" t="str">
        <f>IF(ISBLANK($D8),"0",IF(($D8-$D7)&gt;($C8-$C7),1,0))</f>
        <v>0</v>
      </c>
      <c r="F8" s="64">
        <f t="shared" ca="1" si="1"/>
        <v>35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314</v>
      </c>
      <c r="L8" s="70" t="s">
        <v>314</v>
      </c>
      <c r="M8" s="70" t="s">
        <v>314</v>
      </c>
      <c r="N8" s="70" t="s">
        <v>314</v>
      </c>
      <c r="O8" s="70" t="s">
        <v>314</v>
      </c>
      <c r="P8" s="70"/>
      <c r="Q8" s="70" t="s">
        <v>314</v>
      </c>
      <c r="R8" s="97" t="s">
        <v>314</v>
      </c>
      <c r="S8" s="97"/>
      <c r="T8" s="97"/>
      <c r="U8" s="97" t="s">
        <v>314</v>
      </c>
      <c r="V8" s="70" t="s">
        <v>314</v>
      </c>
      <c r="W8" s="70" t="s">
        <v>314</v>
      </c>
      <c r="X8" s="70" t="s">
        <v>314</v>
      </c>
      <c r="Y8" s="70" t="s">
        <v>314</v>
      </c>
      <c r="Z8" s="70"/>
      <c r="AA8" s="70" t="s">
        <v>314</v>
      </c>
      <c r="AB8" s="70" t="s">
        <v>314</v>
      </c>
      <c r="AC8" s="70" t="s">
        <v>314</v>
      </c>
      <c r="AD8" s="70" t="s">
        <v>314</v>
      </c>
      <c r="AE8" s="70" t="s">
        <v>314</v>
      </c>
      <c r="AF8" s="70" t="s">
        <v>314</v>
      </c>
      <c r="AG8" s="70" t="s">
        <v>314</v>
      </c>
      <c r="AH8" s="70" t="s">
        <v>314</v>
      </c>
      <c r="AI8" s="70" t="s">
        <v>314</v>
      </c>
      <c r="AJ8" s="70"/>
      <c r="AK8" s="70"/>
      <c r="AL8" s="70"/>
      <c r="AM8" s="70" t="s">
        <v>314</v>
      </c>
      <c r="AN8" s="70" t="s">
        <v>314</v>
      </c>
      <c r="AO8" s="70"/>
      <c r="AP8" s="70"/>
      <c r="AQ8" s="70"/>
      <c r="AR8" s="70" t="s">
        <v>314</v>
      </c>
      <c r="AS8" s="70" t="s">
        <v>314</v>
      </c>
      <c r="AT8" s="70"/>
      <c r="AU8" s="70" t="s">
        <v>314</v>
      </c>
      <c r="AV8" s="70" t="s">
        <v>314</v>
      </c>
      <c r="AW8" s="70" t="s">
        <v>314</v>
      </c>
      <c r="AX8" s="70"/>
      <c r="AY8" s="70" t="s">
        <v>314</v>
      </c>
      <c r="AZ8" s="70" t="s">
        <v>314</v>
      </c>
      <c r="BA8" s="70"/>
      <c r="BB8" s="70"/>
      <c r="BC8" s="70"/>
      <c r="BD8" s="70" t="s">
        <v>314</v>
      </c>
      <c r="BE8" s="70"/>
      <c r="BF8" s="70" t="s">
        <v>314</v>
      </c>
      <c r="BG8" s="70" t="s">
        <v>314</v>
      </c>
      <c r="BH8" s="70" t="s">
        <v>314</v>
      </c>
      <c r="BI8" s="70"/>
      <c r="BJ8" s="70"/>
      <c r="BK8" s="70"/>
      <c r="BL8" s="70" t="s">
        <v>314</v>
      </c>
      <c r="BM8" s="70"/>
      <c r="BN8" s="70"/>
    </row>
    <row r="9" spans="1:66">
      <c r="A9" s="59">
        <v>4</v>
      </c>
      <c r="B9" s="108" t="s">
        <v>242</v>
      </c>
      <c r="C9" s="65"/>
      <c r="D9" s="81"/>
      <c r="E9" s="64" t="str">
        <f>IF(ISBLANK($D9),"0",IF(($D10-$D9)&lt;($C10-$C9),1,0))</f>
        <v>0</v>
      </c>
      <c r="F9" s="64">
        <f t="shared" ca="1" si="1"/>
        <v>38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 t="s">
        <v>314</v>
      </c>
      <c r="N9" s="69"/>
      <c r="O9" s="69" t="s">
        <v>314</v>
      </c>
      <c r="P9" s="69"/>
      <c r="Q9" s="69" t="s">
        <v>314</v>
      </c>
      <c r="R9" s="96" t="s">
        <v>314</v>
      </c>
      <c r="S9" s="96" t="s">
        <v>314</v>
      </c>
      <c r="T9" s="96" t="s">
        <v>314</v>
      </c>
      <c r="U9" s="96" t="s">
        <v>314</v>
      </c>
      <c r="V9" s="69" t="s">
        <v>314</v>
      </c>
      <c r="W9" s="69" t="s">
        <v>314</v>
      </c>
      <c r="X9" s="69" t="s">
        <v>314</v>
      </c>
      <c r="Y9" s="69" t="s">
        <v>314</v>
      </c>
      <c r="Z9" s="69"/>
      <c r="AA9" s="69"/>
      <c r="AB9" s="69" t="s">
        <v>314</v>
      </c>
      <c r="AC9" s="69" t="s">
        <v>314</v>
      </c>
      <c r="AD9" s="69" t="s">
        <v>314</v>
      </c>
      <c r="AE9" s="69"/>
      <c r="AF9" s="69"/>
      <c r="AG9" s="69" t="s">
        <v>314</v>
      </c>
      <c r="AH9" s="69" t="s">
        <v>314</v>
      </c>
      <c r="AI9" s="69"/>
      <c r="AJ9" s="69" t="s">
        <v>314</v>
      </c>
      <c r="AK9" s="69" t="s">
        <v>314</v>
      </c>
      <c r="AL9" s="69"/>
      <c r="AM9" s="69" t="s">
        <v>314</v>
      </c>
      <c r="AN9" s="69"/>
      <c r="AO9" s="69"/>
      <c r="AP9" s="69" t="s">
        <v>314</v>
      </c>
      <c r="AQ9" s="69"/>
      <c r="AR9" s="96" t="s">
        <v>314</v>
      </c>
      <c r="AS9" s="69" t="s">
        <v>314</v>
      </c>
      <c r="AT9" s="69" t="s">
        <v>314</v>
      </c>
      <c r="AU9" s="69"/>
      <c r="AV9" s="69"/>
      <c r="AW9" s="69" t="s">
        <v>314</v>
      </c>
      <c r="AX9" s="69" t="s">
        <v>314</v>
      </c>
      <c r="AY9" s="69" t="s">
        <v>314</v>
      </c>
      <c r="AZ9" s="69" t="s">
        <v>314</v>
      </c>
      <c r="BA9" s="69" t="s">
        <v>314</v>
      </c>
      <c r="BB9" s="69"/>
      <c r="BC9" s="69" t="s">
        <v>314</v>
      </c>
      <c r="BD9" s="69" t="s">
        <v>314</v>
      </c>
      <c r="BE9" s="96" t="s">
        <v>314</v>
      </c>
      <c r="BF9" s="69" t="s">
        <v>314</v>
      </c>
      <c r="BG9" s="69"/>
      <c r="BH9" s="69" t="s">
        <v>314</v>
      </c>
      <c r="BI9" s="69"/>
      <c r="BJ9" s="69" t="s">
        <v>314</v>
      </c>
      <c r="BK9" s="69" t="s">
        <v>314</v>
      </c>
      <c r="BL9" s="69" t="s">
        <v>314</v>
      </c>
      <c r="BM9" s="69" t="s">
        <v>314</v>
      </c>
      <c r="BN9" s="69"/>
    </row>
    <row r="10" spans="1:66">
      <c r="A10" s="61" t="s">
        <v>3</v>
      </c>
      <c r="B10" s="68" t="s">
        <v>140</v>
      </c>
      <c r="C10" s="66">
        <v>2.5</v>
      </c>
      <c r="D10" s="64"/>
      <c r="E10" s="64" t="str">
        <f>IF(ISBLANK($D10),"0",IF(($D10-$D9)&gt;($C10-$C9),1,0))</f>
        <v>0</v>
      </c>
      <c r="F10" s="64">
        <f t="shared" ca="1" si="1"/>
        <v>18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 t="s">
        <v>314</v>
      </c>
      <c r="O10" s="70"/>
      <c r="P10" s="70" t="s">
        <v>314</v>
      </c>
      <c r="Q10" s="70"/>
      <c r="R10" s="97"/>
      <c r="S10" s="97"/>
      <c r="T10" s="97"/>
      <c r="U10" s="70"/>
      <c r="V10" s="70"/>
      <c r="W10" s="70"/>
      <c r="X10" s="70"/>
      <c r="Y10" s="70"/>
      <c r="Z10" s="70" t="s">
        <v>314</v>
      </c>
      <c r="AA10" s="70" t="s">
        <v>314</v>
      </c>
      <c r="AB10" s="70"/>
      <c r="AC10" s="70"/>
      <c r="AD10" s="70"/>
      <c r="AE10" s="70" t="s">
        <v>314</v>
      </c>
      <c r="AF10" s="70" t="s">
        <v>314</v>
      </c>
      <c r="AG10" s="70"/>
      <c r="AH10" s="70"/>
      <c r="AI10" s="70" t="s">
        <v>314</v>
      </c>
      <c r="AJ10" s="70"/>
      <c r="AK10" s="70"/>
      <c r="AL10" s="70" t="s">
        <v>314</v>
      </c>
      <c r="AM10" s="70"/>
      <c r="AN10" s="70" t="s">
        <v>314</v>
      </c>
      <c r="AO10" s="70" t="s">
        <v>314</v>
      </c>
      <c r="AP10" s="70"/>
      <c r="AQ10" s="70" t="s">
        <v>314</v>
      </c>
      <c r="AR10" s="70"/>
      <c r="AS10" s="70"/>
      <c r="AT10" s="70"/>
      <c r="AU10" s="70" t="s">
        <v>314</v>
      </c>
      <c r="AV10" s="70" t="s">
        <v>314</v>
      </c>
      <c r="AW10" s="70"/>
      <c r="AX10" s="70"/>
      <c r="AY10" s="70"/>
      <c r="AZ10" s="70"/>
      <c r="BA10" s="70"/>
      <c r="BB10" s="70" t="s">
        <v>314</v>
      </c>
      <c r="BC10" s="70"/>
      <c r="BD10" s="70"/>
      <c r="BE10" s="70"/>
      <c r="BF10" s="70"/>
      <c r="BG10" s="70" t="s">
        <v>314</v>
      </c>
      <c r="BH10" s="70"/>
      <c r="BI10" s="70" t="s">
        <v>314</v>
      </c>
      <c r="BJ10" s="70"/>
      <c r="BK10" s="70"/>
      <c r="BL10" s="70"/>
      <c r="BM10" s="70"/>
      <c r="BN10" s="70" t="s">
        <v>314</v>
      </c>
    </row>
    <row r="11" spans="1:66">
      <c r="A11" s="59">
        <v>5</v>
      </c>
      <c r="B11" s="67" t="s">
        <v>248</v>
      </c>
      <c r="C11" s="65">
        <v>7.5</v>
      </c>
      <c r="D11" s="64"/>
      <c r="E11" s="64" t="str">
        <f>IF(ISBLANK($D11),"0",IF(($D12-$D11)&lt;($C12-$C11),1,0))</f>
        <v>0</v>
      </c>
      <c r="F11" s="64">
        <f t="shared" ca="1" si="1"/>
        <v>29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314</v>
      </c>
      <c r="L11" s="69" t="s">
        <v>314</v>
      </c>
      <c r="M11" s="69"/>
      <c r="N11" s="69" t="s">
        <v>314</v>
      </c>
      <c r="O11" s="69" t="s">
        <v>314</v>
      </c>
      <c r="P11" s="69"/>
      <c r="Q11" s="69"/>
      <c r="R11" s="96"/>
      <c r="S11" s="96" t="s">
        <v>314</v>
      </c>
      <c r="T11" s="96" t="s">
        <v>314</v>
      </c>
      <c r="U11" s="69" t="s">
        <v>314</v>
      </c>
      <c r="V11" s="69" t="s">
        <v>314</v>
      </c>
      <c r="W11" s="69" t="s">
        <v>314</v>
      </c>
      <c r="X11" s="69"/>
      <c r="Y11" s="69" t="s">
        <v>314</v>
      </c>
      <c r="Z11" s="69"/>
      <c r="AA11" s="69"/>
      <c r="AB11" s="69"/>
      <c r="AC11" s="69" t="s">
        <v>314</v>
      </c>
      <c r="AD11" s="69"/>
      <c r="AE11" s="69" t="s">
        <v>314</v>
      </c>
      <c r="AF11" s="69"/>
      <c r="AG11" s="69" t="s">
        <v>314</v>
      </c>
      <c r="AH11" s="69"/>
      <c r="AI11" s="69"/>
      <c r="AJ11" s="69" t="s">
        <v>314</v>
      </c>
      <c r="AK11" s="69" t="s">
        <v>314</v>
      </c>
      <c r="AL11" s="69" t="s">
        <v>314</v>
      </c>
      <c r="AM11" s="69"/>
      <c r="AN11" s="69" t="s">
        <v>314</v>
      </c>
      <c r="AO11" s="69" t="s">
        <v>314</v>
      </c>
      <c r="AP11" s="69"/>
      <c r="AQ11" s="69" t="s">
        <v>314</v>
      </c>
      <c r="AR11" s="69"/>
      <c r="AS11" s="69"/>
      <c r="AT11" s="69"/>
      <c r="AU11" s="69"/>
      <c r="AV11" s="69" t="s">
        <v>314</v>
      </c>
      <c r="AW11" s="69" t="s">
        <v>314</v>
      </c>
      <c r="AX11" s="69" t="s">
        <v>314</v>
      </c>
      <c r="AY11" s="69" t="s">
        <v>314</v>
      </c>
      <c r="AZ11" s="69"/>
      <c r="BA11" s="69" t="s">
        <v>314</v>
      </c>
      <c r="BB11" s="69" t="s">
        <v>314</v>
      </c>
      <c r="BC11" s="69"/>
      <c r="BD11" s="69"/>
      <c r="BE11" s="96" t="s">
        <v>314</v>
      </c>
      <c r="BF11" s="69"/>
      <c r="BG11" s="69" t="s">
        <v>314</v>
      </c>
      <c r="BH11" s="69"/>
      <c r="BI11" s="69"/>
      <c r="BJ11" s="69"/>
      <c r="BK11" s="69" t="s">
        <v>314</v>
      </c>
      <c r="BL11" s="69" t="s">
        <v>314</v>
      </c>
      <c r="BM11" s="69"/>
      <c r="BN11" s="69"/>
    </row>
    <row r="12" spans="1:66">
      <c r="A12" s="61" t="s">
        <v>3</v>
      </c>
      <c r="B12" s="68" t="s">
        <v>247</v>
      </c>
      <c r="C12" s="66"/>
      <c r="D12" s="64"/>
      <c r="E12" s="64" t="str">
        <f>IF(ISBLANK($D12),"0",IF(($D12-$D11)&gt;($C12-$C11),1,0))</f>
        <v>0</v>
      </c>
      <c r="F12" s="64">
        <f t="shared" ca="1" si="1"/>
        <v>27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314</v>
      </c>
      <c r="N12" s="70"/>
      <c r="O12" s="70"/>
      <c r="P12" s="70" t="s">
        <v>314</v>
      </c>
      <c r="Q12" s="70" t="s">
        <v>314</v>
      </c>
      <c r="R12" s="97" t="s">
        <v>314</v>
      </c>
      <c r="S12" s="97"/>
      <c r="T12" s="97"/>
      <c r="U12" s="97"/>
      <c r="V12" s="70"/>
      <c r="W12" s="70"/>
      <c r="X12" s="70" t="s">
        <v>314</v>
      </c>
      <c r="Y12" s="70"/>
      <c r="Z12" s="70" t="s">
        <v>314</v>
      </c>
      <c r="AA12" s="70" t="s">
        <v>314</v>
      </c>
      <c r="AB12" s="70" t="s">
        <v>314</v>
      </c>
      <c r="AC12" s="70"/>
      <c r="AD12" s="70" t="s">
        <v>314</v>
      </c>
      <c r="AE12" s="70"/>
      <c r="AF12" s="70" t="s">
        <v>314</v>
      </c>
      <c r="AG12" s="70"/>
      <c r="AH12" s="70" t="s">
        <v>314</v>
      </c>
      <c r="AI12" s="70" t="s">
        <v>314</v>
      </c>
      <c r="AJ12" s="70"/>
      <c r="AK12" s="70"/>
      <c r="AL12" s="70"/>
      <c r="AM12" s="70" t="s">
        <v>314</v>
      </c>
      <c r="AN12" s="70"/>
      <c r="AO12" s="70"/>
      <c r="AP12" s="70" t="s">
        <v>314</v>
      </c>
      <c r="AQ12" s="70"/>
      <c r="AR12" s="97" t="s">
        <v>314</v>
      </c>
      <c r="AS12" s="70" t="s">
        <v>314</v>
      </c>
      <c r="AT12" s="70" t="s">
        <v>314</v>
      </c>
      <c r="AU12" s="70" t="s">
        <v>314</v>
      </c>
      <c r="AV12" s="70"/>
      <c r="AW12" s="70"/>
      <c r="AX12" s="70"/>
      <c r="AY12" s="70"/>
      <c r="AZ12" s="70" t="s">
        <v>314</v>
      </c>
      <c r="BA12" s="70"/>
      <c r="BB12" s="70"/>
      <c r="BC12" s="70" t="s">
        <v>314</v>
      </c>
      <c r="BD12" s="70" t="s">
        <v>314</v>
      </c>
      <c r="BE12" s="70"/>
      <c r="BF12" s="70" t="s">
        <v>314</v>
      </c>
      <c r="BG12" s="70"/>
      <c r="BH12" s="70" t="s">
        <v>314</v>
      </c>
      <c r="BI12" s="70" t="s">
        <v>314</v>
      </c>
      <c r="BJ12" s="70" t="s">
        <v>314</v>
      </c>
      <c r="BK12" s="70"/>
      <c r="BL12" s="70"/>
      <c r="BM12" s="70" t="s">
        <v>314</v>
      </c>
      <c r="BN12" s="70" t="s">
        <v>314</v>
      </c>
    </row>
    <row r="13" spans="1:66">
      <c r="A13" s="59">
        <v>6</v>
      </c>
      <c r="B13" s="67" t="s">
        <v>164</v>
      </c>
      <c r="C13" s="65"/>
      <c r="D13" s="64"/>
      <c r="E13" s="64" t="str">
        <f>IF(ISBLANK($D13),"0",IF(($D14-$D13)&lt;($C14-$C13),1,0))</f>
        <v>0</v>
      </c>
      <c r="F13" s="64">
        <f t="shared" ca="1" si="1"/>
        <v>21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 t="s">
        <v>314</v>
      </c>
      <c r="T13" s="96" t="s">
        <v>314</v>
      </c>
      <c r="U13" s="69"/>
      <c r="V13" s="69" t="s">
        <v>314</v>
      </c>
      <c r="W13" s="69" t="s">
        <v>314</v>
      </c>
      <c r="X13" s="69" t="s">
        <v>314</v>
      </c>
      <c r="Y13" s="69"/>
      <c r="Z13" s="69" t="s">
        <v>314</v>
      </c>
      <c r="AA13" s="69" t="s">
        <v>314</v>
      </c>
      <c r="AB13" s="69"/>
      <c r="AC13" s="69"/>
      <c r="AD13" s="69"/>
      <c r="AE13" s="69"/>
      <c r="AF13" s="69" t="s">
        <v>314</v>
      </c>
      <c r="AG13" s="69" t="s">
        <v>314</v>
      </c>
      <c r="AH13" s="69" t="s">
        <v>314</v>
      </c>
      <c r="AI13" s="69"/>
      <c r="AJ13" s="69" t="s">
        <v>314</v>
      </c>
      <c r="AK13" s="69"/>
      <c r="AL13" s="69"/>
      <c r="AM13" s="69" t="s">
        <v>314</v>
      </c>
      <c r="AN13" s="69"/>
      <c r="AO13" s="69"/>
      <c r="AP13" s="69"/>
      <c r="AQ13" s="69"/>
      <c r="AR13" s="96"/>
      <c r="AS13" s="69" t="s">
        <v>314</v>
      </c>
      <c r="AT13" s="69"/>
      <c r="AU13" s="69"/>
      <c r="AV13" s="69" t="s">
        <v>314</v>
      </c>
      <c r="AW13" s="69" t="s">
        <v>314</v>
      </c>
      <c r="AX13" s="69"/>
      <c r="AY13" s="69"/>
      <c r="AZ13" s="69"/>
      <c r="BA13" s="69" t="s">
        <v>314</v>
      </c>
      <c r="BB13" s="69"/>
      <c r="BC13" s="69" t="s">
        <v>314</v>
      </c>
      <c r="BD13" s="69"/>
      <c r="BE13" s="96"/>
      <c r="BF13" s="69"/>
      <c r="BG13" s="69" t="s">
        <v>314</v>
      </c>
      <c r="BH13" s="69"/>
      <c r="BI13" s="69" t="s">
        <v>314</v>
      </c>
      <c r="BJ13" s="69"/>
      <c r="BK13" s="69"/>
      <c r="BL13" s="69"/>
      <c r="BM13" s="69" t="s">
        <v>314</v>
      </c>
      <c r="BN13" s="69" t="s">
        <v>314</v>
      </c>
    </row>
    <row r="14" spans="1:66">
      <c r="A14" s="61" t="s">
        <v>3</v>
      </c>
      <c r="B14" s="68" t="s">
        <v>157</v>
      </c>
      <c r="C14" s="66">
        <v>6.5</v>
      </c>
      <c r="D14" s="64"/>
      <c r="E14" s="64" t="str">
        <f>IF(ISBLANK($D14),"0",IF(($D14-$D13)&gt;($C14-$C13),1,0))</f>
        <v>0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314</v>
      </c>
      <c r="L14" s="70" t="s">
        <v>314</v>
      </c>
      <c r="M14" s="70" t="s">
        <v>314</v>
      </c>
      <c r="N14" s="70" t="s">
        <v>314</v>
      </c>
      <c r="O14" s="70" t="s">
        <v>314</v>
      </c>
      <c r="P14" s="70" t="s">
        <v>314</v>
      </c>
      <c r="Q14" s="70" t="s">
        <v>314</v>
      </c>
      <c r="R14" s="97" t="s">
        <v>314</v>
      </c>
      <c r="S14" s="97"/>
      <c r="T14" s="97"/>
      <c r="U14" s="97" t="s">
        <v>314</v>
      </c>
      <c r="V14" s="70"/>
      <c r="W14" s="70"/>
      <c r="X14" s="70"/>
      <c r="Y14" s="70" t="s">
        <v>314</v>
      </c>
      <c r="Z14" s="70"/>
      <c r="AA14" s="70"/>
      <c r="AB14" s="70" t="s">
        <v>314</v>
      </c>
      <c r="AC14" s="70" t="s">
        <v>314</v>
      </c>
      <c r="AD14" s="70" t="s">
        <v>314</v>
      </c>
      <c r="AE14" s="70" t="s">
        <v>314</v>
      </c>
      <c r="AF14" s="70"/>
      <c r="AG14" s="70"/>
      <c r="AH14" s="70"/>
      <c r="AI14" s="70" t="s">
        <v>314</v>
      </c>
      <c r="AJ14" s="70"/>
      <c r="AK14" s="70" t="s">
        <v>314</v>
      </c>
      <c r="AL14" s="70" t="s">
        <v>314</v>
      </c>
      <c r="AM14" s="70"/>
      <c r="AN14" s="70" t="s">
        <v>314</v>
      </c>
      <c r="AO14" s="70" t="s">
        <v>314</v>
      </c>
      <c r="AP14" s="70" t="s">
        <v>314</v>
      </c>
      <c r="AQ14" s="70" t="s">
        <v>314</v>
      </c>
      <c r="AR14" s="70" t="s">
        <v>314</v>
      </c>
      <c r="AS14" s="70"/>
      <c r="AT14" s="70" t="s">
        <v>314</v>
      </c>
      <c r="AU14" s="70" t="s">
        <v>314</v>
      </c>
      <c r="AV14" s="70"/>
      <c r="AW14" s="70"/>
      <c r="AX14" s="70" t="s">
        <v>314</v>
      </c>
      <c r="AY14" s="70" t="s">
        <v>314</v>
      </c>
      <c r="AZ14" s="70" t="s">
        <v>314</v>
      </c>
      <c r="BA14" s="70"/>
      <c r="BB14" s="70" t="s">
        <v>314</v>
      </c>
      <c r="BC14" s="70"/>
      <c r="BD14" s="70" t="s">
        <v>314</v>
      </c>
      <c r="BE14" s="70" t="s">
        <v>314</v>
      </c>
      <c r="BF14" s="70" t="s">
        <v>314</v>
      </c>
      <c r="BG14" s="70"/>
      <c r="BH14" s="70" t="s">
        <v>314</v>
      </c>
      <c r="BI14" s="70"/>
      <c r="BJ14" s="70" t="s">
        <v>314</v>
      </c>
      <c r="BK14" s="70" t="s">
        <v>314</v>
      </c>
      <c r="BL14" s="70" t="s">
        <v>314</v>
      </c>
      <c r="BM14" s="70"/>
      <c r="BN14" s="70"/>
    </row>
    <row r="15" spans="1:66">
      <c r="A15" s="59">
        <v>7</v>
      </c>
      <c r="B15" s="67" t="s">
        <v>195</v>
      </c>
      <c r="C15" s="65">
        <v>1.5</v>
      </c>
      <c r="D15" s="64"/>
      <c r="E15" s="64" t="str">
        <f>IF(ISBLANK($D15),"0",IF(($D16-$D15)&lt;($C16-$C15),1,0))</f>
        <v>0</v>
      </c>
      <c r="F15" s="64">
        <f t="shared" ca="1" si="1"/>
        <v>22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314</v>
      </c>
      <c r="L15" s="69"/>
      <c r="M15" s="69"/>
      <c r="N15" s="69" t="s">
        <v>314</v>
      </c>
      <c r="O15" s="69"/>
      <c r="P15" s="69"/>
      <c r="Q15" s="69"/>
      <c r="R15" s="96"/>
      <c r="S15" s="96"/>
      <c r="T15" s="96"/>
      <c r="U15" s="96" t="s">
        <v>314</v>
      </c>
      <c r="V15" s="69"/>
      <c r="W15" s="69"/>
      <c r="X15" s="69"/>
      <c r="Y15" s="69" t="s">
        <v>314</v>
      </c>
      <c r="Z15" s="69"/>
      <c r="AA15" s="69" t="s">
        <v>314</v>
      </c>
      <c r="AB15" s="69" t="s">
        <v>314</v>
      </c>
      <c r="AC15" s="69" t="s">
        <v>314</v>
      </c>
      <c r="AD15" s="69"/>
      <c r="AE15" s="69" t="s">
        <v>314</v>
      </c>
      <c r="AF15" s="69"/>
      <c r="AG15" s="69"/>
      <c r="AH15" s="69"/>
      <c r="AI15" s="69" t="s">
        <v>314</v>
      </c>
      <c r="AJ15" s="69" t="s">
        <v>314</v>
      </c>
      <c r="AK15" s="69"/>
      <c r="AL15" s="69"/>
      <c r="AM15" s="69" t="s">
        <v>314</v>
      </c>
      <c r="AN15" s="69" t="s">
        <v>314</v>
      </c>
      <c r="AO15" s="69" t="s">
        <v>314</v>
      </c>
      <c r="AP15" s="69"/>
      <c r="AQ15" s="69" t="s">
        <v>314</v>
      </c>
      <c r="AR15" s="69" t="s">
        <v>314</v>
      </c>
      <c r="AS15" s="69" t="s">
        <v>314</v>
      </c>
      <c r="AT15" s="69"/>
      <c r="AU15" s="69"/>
      <c r="AV15" s="69"/>
      <c r="AW15" s="69" t="s">
        <v>314</v>
      </c>
      <c r="AX15" s="69"/>
      <c r="AY15" s="69"/>
      <c r="AZ15" s="69"/>
      <c r="BA15" s="69"/>
      <c r="BB15" s="69"/>
      <c r="BC15" s="69"/>
      <c r="BD15" s="69"/>
      <c r="BE15" s="96"/>
      <c r="BF15" s="69" t="s">
        <v>314</v>
      </c>
      <c r="BG15" s="69" t="s">
        <v>314</v>
      </c>
      <c r="BH15" s="69" t="s">
        <v>314</v>
      </c>
      <c r="BI15" s="69"/>
      <c r="BJ15" s="69" t="s">
        <v>314</v>
      </c>
      <c r="BK15" s="69"/>
      <c r="BL15" s="69"/>
      <c r="BM15" s="69" t="s">
        <v>314</v>
      </c>
      <c r="BN15" s="69"/>
    </row>
    <row r="16" spans="1:66">
      <c r="A16" s="61" t="s">
        <v>3</v>
      </c>
      <c r="B16" s="68" t="s">
        <v>189</v>
      </c>
      <c r="C16" s="66"/>
      <c r="D16" s="64"/>
      <c r="E16" s="64" t="str">
        <f>IF(ISBLANK($D16),"0",IF(($D16-$D15)&gt;($C16-$C15),1,0))</f>
        <v>0</v>
      </c>
      <c r="F16" s="64">
        <f t="shared" ca="1" si="1"/>
        <v>34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314</v>
      </c>
      <c r="M16" s="70" t="s">
        <v>314</v>
      </c>
      <c r="N16" s="70"/>
      <c r="O16" s="70" t="s">
        <v>314</v>
      </c>
      <c r="P16" s="70" t="s">
        <v>314</v>
      </c>
      <c r="Q16" s="70" t="s">
        <v>314</v>
      </c>
      <c r="R16" s="70" t="s">
        <v>314</v>
      </c>
      <c r="S16" s="70" t="s">
        <v>314</v>
      </c>
      <c r="T16" s="70" t="s">
        <v>314</v>
      </c>
      <c r="U16" s="70"/>
      <c r="V16" s="70" t="s">
        <v>314</v>
      </c>
      <c r="W16" s="70" t="s">
        <v>314</v>
      </c>
      <c r="X16" s="70" t="s">
        <v>314</v>
      </c>
      <c r="Y16" s="70"/>
      <c r="Z16" s="70" t="s">
        <v>314</v>
      </c>
      <c r="AA16" s="70"/>
      <c r="AB16" s="70"/>
      <c r="AC16" s="70"/>
      <c r="AD16" s="70" t="s">
        <v>314</v>
      </c>
      <c r="AE16" s="70"/>
      <c r="AF16" s="70" t="s">
        <v>314</v>
      </c>
      <c r="AG16" s="70" t="s">
        <v>314</v>
      </c>
      <c r="AH16" s="70" t="s">
        <v>314</v>
      </c>
      <c r="AI16" s="70"/>
      <c r="AJ16" s="70"/>
      <c r="AK16" s="70" t="s">
        <v>314</v>
      </c>
      <c r="AL16" s="70" t="s">
        <v>314</v>
      </c>
      <c r="AM16" s="70"/>
      <c r="AN16" s="70"/>
      <c r="AO16" s="70"/>
      <c r="AP16" s="70" t="s">
        <v>314</v>
      </c>
      <c r="AQ16" s="70"/>
      <c r="AR16" s="97"/>
      <c r="AS16" s="70"/>
      <c r="AT16" s="70" t="s">
        <v>314</v>
      </c>
      <c r="AU16" s="70" t="s">
        <v>314</v>
      </c>
      <c r="AV16" s="70" t="s">
        <v>314</v>
      </c>
      <c r="AW16" s="70"/>
      <c r="AX16" s="70" t="s">
        <v>314</v>
      </c>
      <c r="AY16" s="70" t="s">
        <v>314</v>
      </c>
      <c r="AZ16" s="70" t="s">
        <v>314</v>
      </c>
      <c r="BA16" s="70" t="s">
        <v>314</v>
      </c>
      <c r="BB16" s="70" t="s">
        <v>314</v>
      </c>
      <c r="BC16" s="70" t="s">
        <v>314</v>
      </c>
      <c r="BD16" s="70" t="s">
        <v>314</v>
      </c>
      <c r="BE16" s="70" t="s">
        <v>314</v>
      </c>
      <c r="BF16" s="70"/>
      <c r="BG16" s="70"/>
      <c r="BH16" s="70"/>
      <c r="BI16" s="70" t="s">
        <v>314</v>
      </c>
      <c r="BJ16" s="70"/>
      <c r="BK16" s="70" t="s">
        <v>314</v>
      </c>
      <c r="BL16" s="70" t="s">
        <v>314</v>
      </c>
      <c r="BM16" s="70"/>
      <c r="BN16" s="70" t="s">
        <v>314</v>
      </c>
    </row>
    <row r="17" spans="1:66">
      <c r="A17" s="59">
        <v>8</v>
      </c>
      <c r="B17" s="67" t="s">
        <v>159</v>
      </c>
      <c r="C17" s="65">
        <v>12.5</v>
      </c>
      <c r="D17" s="64"/>
      <c r="E17" s="64" t="str">
        <f>IF(ISBLANK($D17),"0",IF(($D18-$D17)&lt;($C18-$C17),1,0))</f>
        <v>0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314</v>
      </c>
      <c r="M17" s="69"/>
      <c r="N17" s="69" t="s">
        <v>314</v>
      </c>
      <c r="O17" s="69"/>
      <c r="P17" s="69" t="s">
        <v>314</v>
      </c>
      <c r="Q17" s="69"/>
      <c r="R17" s="69" t="s">
        <v>314</v>
      </c>
      <c r="S17" s="69" t="s">
        <v>314</v>
      </c>
      <c r="T17" s="69"/>
      <c r="U17" s="69" t="s">
        <v>314</v>
      </c>
      <c r="V17" s="69" t="s">
        <v>314</v>
      </c>
      <c r="W17" s="69" t="s">
        <v>314</v>
      </c>
      <c r="X17" s="69" t="s">
        <v>314</v>
      </c>
      <c r="Y17" s="69"/>
      <c r="Z17" s="69"/>
      <c r="AA17" s="69" t="s">
        <v>314</v>
      </c>
      <c r="AB17" s="69" t="s">
        <v>314</v>
      </c>
      <c r="AC17" s="69"/>
      <c r="AD17" s="69" t="s">
        <v>314</v>
      </c>
      <c r="AE17" s="69" t="s">
        <v>314</v>
      </c>
      <c r="AF17" s="69" t="s">
        <v>314</v>
      </c>
      <c r="AG17" s="69" t="s">
        <v>314</v>
      </c>
      <c r="AH17" s="69"/>
      <c r="AI17" s="69" t="s">
        <v>314</v>
      </c>
      <c r="AJ17" s="69" t="s">
        <v>314</v>
      </c>
      <c r="AK17" s="69" t="s">
        <v>314</v>
      </c>
      <c r="AL17" s="69" t="s">
        <v>314</v>
      </c>
      <c r="AM17" s="69"/>
      <c r="AN17" s="69" t="s">
        <v>314</v>
      </c>
      <c r="AO17" s="69"/>
      <c r="AP17" s="69" t="s">
        <v>314</v>
      </c>
      <c r="AQ17" s="69" t="s">
        <v>314</v>
      </c>
      <c r="AR17" s="96" t="s">
        <v>314</v>
      </c>
      <c r="AS17" s="69"/>
      <c r="AT17" s="69"/>
      <c r="AU17" s="69" t="s">
        <v>314</v>
      </c>
      <c r="AV17" s="69" t="s">
        <v>314</v>
      </c>
      <c r="AW17" s="69" t="s">
        <v>314</v>
      </c>
      <c r="AX17" s="69" t="s">
        <v>314</v>
      </c>
      <c r="AY17" s="69" t="s">
        <v>314</v>
      </c>
      <c r="AZ17" s="69"/>
      <c r="BA17" s="69" t="s">
        <v>314</v>
      </c>
      <c r="BB17" s="69" t="s">
        <v>314</v>
      </c>
      <c r="BC17" s="69"/>
      <c r="BD17" s="69" t="s">
        <v>314</v>
      </c>
      <c r="BE17" s="69" t="s">
        <v>314</v>
      </c>
      <c r="BF17" s="69" t="s">
        <v>314</v>
      </c>
      <c r="BG17" s="69" t="s">
        <v>314</v>
      </c>
      <c r="BH17" s="69" t="s">
        <v>314</v>
      </c>
      <c r="BI17" s="69" t="s">
        <v>314</v>
      </c>
      <c r="BJ17" s="69" t="s">
        <v>314</v>
      </c>
      <c r="BK17" s="69" t="s">
        <v>314</v>
      </c>
      <c r="BL17" s="69" t="s">
        <v>314</v>
      </c>
      <c r="BM17" s="69"/>
      <c r="BN17" s="69"/>
    </row>
    <row r="18" spans="1:66">
      <c r="A18" s="61" t="s">
        <v>3</v>
      </c>
      <c r="B18" s="68" t="s">
        <v>153</v>
      </c>
      <c r="C18" s="66"/>
      <c r="D18" s="64"/>
      <c r="E18" s="64" t="str">
        <f>IF(ISBLANK($D18),"0",IF(($D18-$D17)&gt;($C18-$C17),1,0))</f>
        <v>0</v>
      </c>
      <c r="F18" s="64">
        <f t="shared" ca="1" si="1"/>
        <v>17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/>
      <c r="M18" s="70" t="s">
        <v>314</v>
      </c>
      <c r="N18" s="70"/>
      <c r="O18" s="70" t="s">
        <v>314</v>
      </c>
      <c r="P18" s="70"/>
      <c r="Q18" s="70" t="s">
        <v>314</v>
      </c>
      <c r="R18" s="70"/>
      <c r="S18" s="70"/>
      <c r="T18" s="70" t="s">
        <v>314</v>
      </c>
      <c r="U18" s="97"/>
      <c r="V18" s="70"/>
      <c r="W18" s="70"/>
      <c r="X18" s="70"/>
      <c r="Y18" s="70" t="s">
        <v>314</v>
      </c>
      <c r="Z18" s="70" t="s">
        <v>314</v>
      </c>
      <c r="AA18" s="70"/>
      <c r="AB18" s="70"/>
      <c r="AC18" s="70" t="s">
        <v>314</v>
      </c>
      <c r="AD18" s="70"/>
      <c r="AE18" s="70"/>
      <c r="AF18" s="70"/>
      <c r="AG18" s="70"/>
      <c r="AH18" s="70" t="s">
        <v>314</v>
      </c>
      <c r="AI18" s="70"/>
      <c r="AJ18" s="70"/>
      <c r="AK18" s="70"/>
      <c r="AL18" s="70"/>
      <c r="AM18" s="70" t="s">
        <v>314</v>
      </c>
      <c r="AN18" s="70"/>
      <c r="AO18" s="70" t="s">
        <v>314</v>
      </c>
      <c r="AP18" s="70"/>
      <c r="AQ18" s="70"/>
      <c r="AR18" s="70"/>
      <c r="AS18" s="70" t="s">
        <v>314</v>
      </c>
      <c r="AT18" s="70" t="s">
        <v>314</v>
      </c>
      <c r="AU18" s="70"/>
      <c r="AV18" s="70"/>
      <c r="AW18" s="70"/>
      <c r="AX18" s="70"/>
      <c r="AY18" s="70"/>
      <c r="AZ18" s="70" t="s">
        <v>314</v>
      </c>
      <c r="BA18" s="70"/>
      <c r="BB18" s="70"/>
      <c r="BC18" s="70" t="s">
        <v>314</v>
      </c>
      <c r="BD18" s="70"/>
      <c r="BE18" s="97"/>
      <c r="BF18" s="70"/>
      <c r="BG18" s="70"/>
      <c r="BH18" s="70"/>
      <c r="BI18" s="70"/>
      <c r="BJ18" s="70"/>
      <c r="BK18" s="70"/>
      <c r="BL18" s="70"/>
      <c r="BM18" s="70" t="s">
        <v>314</v>
      </c>
      <c r="BN18" s="70" t="s">
        <v>314</v>
      </c>
    </row>
    <row r="19" spans="1:66">
      <c r="A19" s="59">
        <v>9</v>
      </c>
      <c r="B19" s="67" t="s">
        <v>184</v>
      </c>
      <c r="C19" s="65"/>
      <c r="D19" s="64"/>
      <c r="E19" s="64" t="str">
        <f>IF(ISBLANK($D19),"0",IF(($D20-$D19)&lt;($C20-$C19),1,0))</f>
        <v>0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314</v>
      </c>
      <c r="P19" s="69"/>
      <c r="Q19" s="69" t="s">
        <v>314</v>
      </c>
      <c r="R19" s="69"/>
      <c r="S19" s="69" t="s">
        <v>314</v>
      </c>
      <c r="T19" s="69"/>
      <c r="U19" s="96"/>
      <c r="V19" s="69"/>
      <c r="W19" s="69"/>
      <c r="X19" s="69"/>
      <c r="Y19" s="69" t="s">
        <v>314</v>
      </c>
      <c r="Z19" s="69" t="s">
        <v>314</v>
      </c>
      <c r="AA19" s="69"/>
      <c r="AB19" s="69" t="s">
        <v>314</v>
      </c>
      <c r="AC19" s="69" t="s">
        <v>314</v>
      </c>
      <c r="AD19" s="69"/>
      <c r="AE19" s="69"/>
      <c r="AF19" s="69" t="s">
        <v>314</v>
      </c>
      <c r="AG19" s="69" t="s">
        <v>314</v>
      </c>
      <c r="AH19" s="69"/>
      <c r="AI19" s="69" t="s">
        <v>314</v>
      </c>
      <c r="AJ19" s="69"/>
      <c r="AK19" s="69" t="s">
        <v>314</v>
      </c>
      <c r="AL19" s="69"/>
      <c r="AM19" s="69" t="s">
        <v>314</v>
      </c>
      <c r="AN19" s="69" t="s">
        <v>314</v>
      </c>
      <c r="AO19" s="69" t="s">
        <v>314</v>
      </c>
      <c r="AP19" s="69"/>
      <c r="AQ19" s="69"/>
      <c r="AR19" s="69" t="s">
        <v>314</v>
      </c>
      <c r="AS19" s="69" t="s">
        <v>314</v>
      </c>
      <c r="AT19" s="69"/>
      <c r="AU19" s="69"/>
      <c r="AV19" s="69"/>
      <c r="AW19" s="69"/>
      <c r="AX19" s="69"/>
      <c r="AY19" s="69"/>
      <c r="AZ19" s="69"/>
      <c r="BA19" s="69"/>
      <c r="BB19" s="69" t="s">
        <v>314</v>
      </c>
      <c r="BC19" s="69"/>
      <c r="BD19" s="69"/>
      <c r="BE19" s="69" t="s">
        <v>314</v>
      </c>
      <c r="BF19" s="69" t="s">
        <v>314</v>
      </c>
      <c r="BG19" s="69" t="s">
        <v>314</v>
      </c>
      <c r="BH19" s="69"/>
      <c r="BI19" s="69"/>
      <c r="BJ19" s="69" t="s">
        <v>314</v>
      </c>
      <c r="BK19" s="69" t="s">
        <v>314</v>
      </c>
      <c r="BL19" s="69"/>
      <c r="BM19" s="69"/>
      <c r="BN19" s="69"/>
    </row>
    <row r="20" spans="1:66">
      <c r="A20" s="61" t="s">
        <v>3</v>
      </c>
      <c r="B20" s="68" t="s">
        <v>245</v>
      </c>
      <c r="C20" s="66">
        <v>13.5</v>
      </c>
      <c r="D20" s="64"/>
      <c r="E20" s="64" t="str">
        <f>IF(ISBLANK($D20),"0",IF(($D20-$D19)&gt;($C20-$C19),1,0))</f>
        <v>0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 t="s">
        <v>314</v>
      </c>
      <c r="N20" s="70" t="s">
        <v>314</v>
      </c>
      <c r="O20" s="70"/>
      <c r="P20" s="70" t="s">
        <v>314</v>
      </c>
      <c r="Q20" s="70"/>
      <c r="R20" s="70" t="s">
        <v>314</v>
      </c>
      <c r="S20" s="70"/>
      <c r="T20" s="70" t="s">
        <v>314</v>
      </c>
      <c r="U20" s="70" t="s">
        <v>314</v>
      </c>
      <c r="V20" s="70" t="s">
        <v>314</v>
      </c>
      <c r="W20" s="70" t="s">
        <v>314</v>
      </c>
      <c r="X20" s="70" t="s">
        <v>314</v>
      </c>
      <c r="Y20" s="70"/>
      <c r="Z20" s="70"/>
      <c r="AA20" s="70" t="s">
        <v>314</v>
      </c>
      <c r="AB20" s="70"/>
      <c r="AC20" s="70"/>
      <c r="AD20" s="70" t="s">
        <v>314</v>
      </c>
      <c r="AE20" s="70" t="s">
        <v>314</v>
      </c>
      <c r="AF20" s="70"/>
      <c r="AG20" s="70"/>
      <c r="AH20" s="70" t="s">
        <v>314</v>
      </c>
      <c r="AI20" s="70"/>
      <c r="AJ20" s="70" t="s">
        <v>314</v>
      </c>
      <c r="AK20" s="70"/>
      <c r="AL20" s="70" t="s">
        <v>314</v>
      </c>
      <c r="AM20" s="70"/>
      <c r="AN20" s="70"/>
      <c r="AO20" s="70"/>
      <c r="AP20" s="70" t="s">
        <v>314</v>
      </c>
      <c r="AQ20" s="70" t="s">
        <v>314</v>
      </c>
      <c r="AR20" s="97"/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 t="s">
        <v>314</v>
      </c>
      <c r="AY20" s="70" t="s">
        <v>314</v>
      </c>
      <c r="AZ20" s="70" t="s">
        <v>314</v>
      </c>
      <c r="BA20" s="70" t="s">
        <v>314</v>
      </c>
      <c r="BB20" s="70"/>
      <c r="BC20" s="70" t="s">
        <v>314</v>
      </c>
      <c r="BD20" s="70" t="s">
        <v>314</v>
      </c>
      <c r="BE20" s="97"/>
      <c r="BF20" s="70"/>
      <c r="BG20" s="70"/>
      <c r="BH20" s="70" t="s">
        <v>314</v>
      </c>
      <c r="BI20" s="70" t="s">
        <v>314</v>
      </c>
      <c r="BJ20" s="70"/>
      <c r="BK20" s="70"/>
      <c r="BL20" s="70" t="s">
        <v>314</v>
      </c>
      <c r="BM20" s="70" t="s">
        <v>314</v>
      </c>
      <c r="BN20" s="70" t="s">
        <v>314</v>
      </c>
    </row>
    <row r="21" spans="1:66">
      <c r="A21" s="59">
        <v>10</v>
      </c>
      <c r="B21" s="67" t="s">
        <v>202</v>
      </c>
      <c r="C21" s="65">
        <v>10.5</v>
      </c>
      <c r="D21" s="64"/>
      <c r="E21" s="64" t="str">
        <f>IF(ISBLANK($D21),"0",IF(($D22-$D21)&lt;($C22-$C21),1,0))</f>
        <v>0</v>
      </c>
      <c r="F21" s="64">
        <f t="shared" ca="1" si="1"/>
        <v>25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314</v>
      </c>
      <c r="O21" s="69"/>
      <c r="P21" s="69" t="s">
        <v>314</v>
      </c>
      <c r="Q21" s="69"/>
      <c r="R21" s="69"/>
      <c r="S21" s="69" t="s">
        <v>314</v>
      </c>
      <c r="T21" s="69" t="s">
        <v>314</v>
      </c>
      <c r="U21" s="96" t="s">
        <v>314</v>
      </c>
      <c r="V21" s="69"/>
      <c r="W21" s="69"/>
      <c r="X21" s="69"/>
      <c r="Y21" s="69"/>
      <c r="Z21" s="69" t="s">
        <v>314</v>
      </c>
      <c r="AA21" s="69" t="s">
        <v>314</v>
      </c>
      <c r="AB21" s="69" t="s">
        <v>314</v>
      </c>
      <c r="AC21" s="69"/>
      <c r="AD21" s="69"/>
      <c r="AE21" s="69" t="s">
        <v>314</v>
      </c>
      <c r="AF21" s="69"/>
      <c r="AG21" s="69"/>
      <c r="AH21" s="69"/>
      <c r="AI21" s="69"/>
      <c r="AJ21" s="69"/>
      <c r="AK21" s="69"/>
      <c r="AL21" s="69" t="s">
        <v>314</v>
      </c>
      <c r="AM21" s="69" t="s">
        <v>314</v>
      </c>
      <c r="AN21" s="69"/>
      <c r="AO21" s="69"/>
      <c r="AP21" s="69" t="s">
        <v>314</v>
      </c>
      <c r="AQ21" s="69" t="s">
        <v>314</v>
      </c>
      <c r="AR21" s="96"/>
      <c r="AS21" s="69" t="s">
        <v>314</v>
      </c>
      <c r="AT21" s="69"/>
      <c r="AU21" s="69"/>
      <c r="AV21" s="69" t="s">
        <v>314</v>
      </c>
      <c r="AW21" s="69"/>
      <c r="AX21" s="69"/>
      <c r="AY21" s="69"/>
      <c r="AZ21" s="69"/>
      <c r="BA21" s="69" t="s">
        <v>314</v>
      </c>
      <c r="BB21" s="69" t="s">
        <v>314</v>
      </c>
      <c r="BC21" s="69" t="s">
        <v>314</v>
      </c>
      <c r="BD21" s="69" t="s">
        <v>314</v>
      </c>
      <c r="BE21" s="96"/>
      <c r="BF21" s="69" t="s">
        <v>314</v>
      </c>
      <c r="BG21" s="69" t="s">
        <v>314</v>
      </c>
      <c r="BH21" s="69" t="s">
        <v>314</v>
      </c>
      <c r="BI21" s="69"/>
      <c r="BJ21" s="69"/>
      <c r="BK21" s="69" t="s">
        <v>314</v>
      </c>
      <c r="BL21" s="69" t="s">
        <v>314</v>
      </c>
      <c r="BM21" s="69"/>
      <c r="BN21" s="69" t="s">
        <v>314</v>
      </c>
    </row>
    <row r="22" spans="1:66">
      <c r="A22" s="61" t="s">
        <v>3</v>
      </c>
      <c r="B22" s="68" t="s">
        <v>205</v>
      </c>
      <c r="C22" s="66"/>
      <c r="D22" s="64"/>
      <c r="E22" s="64" t="str">
        <f>IF(ISBLANK($D22),"0",IF(($D22-$D21)&gt;($C22-$C21),1,0))</f>
        <v>0</v>
      </c>
      <c r="F22" s="64">
        <f t="shared" ca="1" si="1"/>
        <v>31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 t="s">
        <v>314</v>
      </c>
      <c r="M22" s="70" t="s">
        <v>314</v>
      </c>
      <c r="N22" s="70"/>
      <c r="O22" s="70" t="s">
        <v>314</v>
      </c>
      <c r="P22" s="70"/>
      <c r="Q22" s="70" t="s">
        <v>314</v>
      </c>
      <c r="R22" s="70" t="s">
        <v>314</v>
      </c>
      <c r="S22" s="70"/>
      <c r="T22" s="70"/>
      <c r="U22" s="70"/>
      <c r="V22" s="70" t="s">
        <v>314</v>
      </c>
      <c r="W22" s="70" t="s">
        <v>314</v>
      </c>
      <c r="X22" s="70" t="s">
        <v>314</v>
      </c>
      <c r="Y22" s="70" t="s">
        <v>314</v>
      </c>
      <c r="Z22" s="70"/>
      <c r="AA22" s="70"/>
      <c r="AB22" s="70"/>
      <c r="AC22" s="70" t="s">
        <v>314</v>
      </c>
      <c r="AD22" s="70" t="s">
        <v>314</v>
      </c>
      <c r="AE22" s="70"/>
      <c r="AF22" s="70" t="s">
        <v>314</v>
      </c>
      <c r="AG22" s="70" t="s">
        <v>314</v>
      </c>
      <c r="AH22" s="70" t="s">
        <v>314</v>
      </c>
      <c r="AI22" s="70" t="s">
        <v>314</v>
      </c>
      <c r="AJ22" s="70" t="s">
        <v>314</v>
      </c>
      <c r="AK22" s="70" t="s">
        <v>314</v>
      </c>
      <c r="AL22" s="70"/>
      <c r="AM22" s="70"/>
      <c r="AN22" s="70" t="s">
        <v>314</v>
      </c>
      <c r="AO22" s="70" t="s">
        <v>314</v>
      </c>
      <c r="AP22" s="70"/>
      <c r="AQ22" s="70"/>
      <c r="AR22" s="70" t="s">
        <v>314</v>
      </c>
      <c r="AS22" s="70"/>
      <c r="AT22" s="70" t="s">
        <v>314</v>
      </c>
      <c r="AU22" s="70" t="s">
        <v>314</v>
      </c>
      <c r="AV22" s="70"/>
      <c r="AW22" s="70" t="s">
        <v>314</v>
      </c>
      <c r="AX22" s="70" t="s">
        <v>314</v>
      </c>
      <c r="AY22" s="70" t="s">
        <v>314</v>
      </c>
      <c r="AZ22" s="70" t="s">
        <v>314</v>
      </c>
      <c r="BA22" s="70"/>
      <c r="BB22" s="70"/>
      <c r="BC22" s="70"/>
      <c r="BD22" s="70"/>
      <c r="BE22" s="70" t="s">
        <v>314</v>
      </c>
      <c r="BF22" s="70"/>
      <c r="BG22" s="70"/>
      <c r="BH22" s="70"/>
      <c r="BI22" s="70" t="s">
        <v>314</v>
      </c>
      <c r="BJ22" s="70" t="s">
        <v>314</v>
      </c>
      <c r="BK22" s="70"/>
      <c r="BL22" s="70"/>
      <c r="BM22" s="70" t="s">
        <v>314</v>
      </c>
      <c r="BN22" s="70"/>
    </row>
    <row r="23" spans="1:66">
      <c r="A23" s="59"/>
      <c r="B23" s="67" t="str">
        <f>B21&amp; " - score"</f>
        <v>Ohio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32</v>
      </c>
      <c r="G23" s="59"/>
      <c r="H23" s="59"/>
      <c r="I23" s="60"/>
      <c r="J23" s="78"/>
      <c r="K23" s="78">
        <v>28</v>
      </c>
      <c r="L23" s="78">
        <v>17</v>
      </c>
      <c r="M23" s="78">
        <v>31</v>
      </c>
      <c r="N23" s="80">
        <v>45</v>
      </c>
      <c r="O23" s="78">
        <v>64</v>
      </c>
      <c r="P23" s="78">
        <v>34</v>
      </c>
      <c r="Q23" s="78">
        <v>35</v>
      </c>
      <c r="R23" s="78">
        <v>24</v>
      </c>
      <c r="S23" s="78">
        <v>39</v>
      </c>
      <c r="T23" s="78">
        <v>27</v>
      </c>
      <c r="U23" s="78">
        <v>35</v>
      </c>
      <c r="V23" s="78">
        <v>27</v>
      </c>
      <c r="W23" s="78">
        <v>27</v>
      </c>
      <c r="X23" s="78">
        <v>20</v>
      </c>
      <c r="Y23" s="78">
        <v>28</v>
      </c>
      <c r="Z23" s="78">
        <v>35</v>
      </c>
      <c r="AA23" s="78">
        <v>28</v>
      </c>
      <c r="AB23" s="78">
        <v>21</v>
      </c>
      <c r="AC23" s="78">
        <v>41</v>
      </c>
      <c r="AD23" s="78">
        <v>35</v>
      </c>
      <c r="AE23" s="78">
        <v>31</v>
      </c>
      <c r="AF23" s="78">
        <v>37</v>
      </c>
      <c r="AG23" s="78">
        <v>35</v>
      </c>
      <c r="AH23" s="78">
        <v>28</v>
      </c>
      <c r="AI23" s="78">
        <v>31</v>
      </c>
      <c r="AJ23" s="78">
        <v>24</v>
      </c>
      <c r="AK23" s="78">
        <v>16</v>
      </c>
      <c r="AL23" s="78">
        <v>35</v>
      </c>
      <c r="AM23" s="78">
        <v>35</v>
      </c>
      <c r="AN23" s="78">
        <v>28</v>
      </c>
      <c r="AO23" s="78">
        <v>24</v>
      </c>
      <c r="AP23" s="78">
        <v>45</v>
      </c>
      <c r="AQ23" s="78">
        <v>40</v>
      </c>
      <c r="AR23" s="78">
        <v>25</v>
      </c>
      <c r="AS23" s="78">
        <v>42</v>
      </c>
      <c r="AT23" s="78">
        <v>21</v>
      </c>
      <c r="AU23" s="78">
        <v>28</v>
      </c>
      <c r="AV23" s="78">
        <v>34</v>
      </c>
      <c r="AW23" s="78">
        <v>37</v>
      </c>
      <c r="AX23" s="78">
        <v>24</v>
      </c>
      <c r="AY23" s="78">
        <v>27</v>
      </c>
      <c r="AZ23" s="78">
        <v>4</v>
      </c>
      <c r="BA23" s="78">
        <v>35</v>
      </c>
      <c r="BB23" s="78">
        <v>64</v>
      </c>
      <c r="BC23" s="78">
        <v>40</v>
      </c>
      <c r="BD23" s="78">
        <v>31</v>
      </c>
      <c r="BE23" s="78">
        <v>28</v>
      </c>
      <c r="BF23" s="78">
        <v>41</v>
      </c>
      <c r="BG23" s="78">
        <v>45</v>
      </c>
      <c r="BH23" s="78">
        <v>28</v>
      </c>
      <c r="BI23" s="78">
        <v>36</v>
      </c>
      <c r="BJ23" s="78">
        <v>24</v>
      </c>
      <c r="BK23" s="78">
        <v>51</v>
      </c>
      <c r="BL23" s="78">
        <v>35</v>
      </c>
      <c r="BM23" s="78">
        <v>37</v>
      </c>
      <c r="BN23" s="78">
        <v>28</v>
      </c>
    </row>
    <row r="24" spans="1:66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/>
      <c r="K24" s="79">
        <v>21</v>
      </c>
      <c r="L24" s="79">
        <v>25</v>
      </c>
      <c r="M24" s="79">
        <v>21</v>
      </c>
      <c r="N24" s="79">
        <v>10</v>
      </c>
      <c r="O24" s="79">
        <v>72</v>
      </c>
      <c r="P24" s="79">
        <v>21</v>
      </c>
      <c r="Q24" s="79">
        <v>28</v>
      </c>
      <c r="R24" s="79">
        <v>38</v>
      </c>
      <c r="S24" s="79">
        <v>20</v>
      </c>
      <c r="T24" s="79">
        <v>6</v>
      </c>
      <c r="U24" s="79">
        <v>10</v>
      </c>
      <c r="V24" s="79">
        <v>18</v>
      </c>
      <c r="W24" s="79">
        <v>21</v>
      </c>
      <c r="X24" s="79">
        <v>10</v>
      </c>
      <c r="Y24" s="79">
        <v>21</v>
      </c>
      <c r="Z24" s="79">
        <v>24</v>
      </c>
      <c r="AA24" s="79">
        <v>14</v>
      </c>
      <c r="AB24" s="79">
        <v>7</v>
      </c>
      <c r="AC24" s="79">
        <v>34</v>
      </c>
      <c r="AD24" s="79">
        <v>25</v>
      </c>
      <c r="AE24" s="79">
        <v>20</v>
      </c>
      <c r="AF24" s="79">
        <v>31</v>
      </c>
      <c r="AG24" s="79">
        <v>28</v>
      </c>
      <c r="AH24" s="79">
        <v>21</v>
      </c>
      <c r="AI24" s="79">
        <v>27</v>
      </c>
      <c r="AJ24" s="79">
        <v>66</v>
      </c>
      <c r="AK24" s="79">
        <v>25</v>
      </c>
      <c r="AL24" s="79">
        <v>21</v>
      </c>
      <c r="AM24" s="79">
        <v>21</v>
      </c>
      <c r="AN24" s="79">
        <v>24</v>
      </c>
      <c r="AO24" s="79">
        <v>14</v>
      </c>
      <c r="AP24" s="79">
        <v>21</v>
      </c>
      <c r="AQ24" s="79">
        <v>23</v>
      </c>
      <c r="AR24" s="79">
        <v>20</v>
      </c>
      <c r="AS24" s="79">
        <v>31</v>
      </c>
      <c r="AT24" s="79">
        <v>14</v>
      </c>
      <c r="AU24" s="79">
        <v>21</v>
      </c>
      <c r="AV24" s="79">
        <v>21</v>
      </c>
      <c r="AW24" s="79">
        <v>30</v>
      </c>
      <c r="AX24" s="79">
        <v>17</v>
      </c>
      <c r="AY24" s="79">
        <v>17</v>
      </c>
      <c r="AZ24" s="79">
        <v>5</v>
      </c>
      <c r="BA24" s="79">
        <v>10</v>
      </c>
      <c r="BB24" s="79">
        <v>2</v>
      </c>
      <c r="BC24" s="79">
        <v>6</v>
      </c>
      <c r="BD24" s="79">
        <v>17</v>
      </c>
      <c r="BE24" s="79">
        <v>23</v>
      </c>
      <c r="BF24" s="79">
        <v>14</v>
      </c>
      <c r="BG24" s="79">
        <v>17</v>
      </c>
      <c r="BH24" s="79">
        <v>14</v>
      </c>
      <c r="BI24" s="79">
        <v>26</v>
      </c>
      <c r="BJ24" s="79">
        <v>20</v>
      </c>
      <c r="BK24" s="79">
        <v>30</v>
      </c>
      <c r="BL24" s="79">
        <v>14</v>
      </c>
      <c r="BM24" s="79">
        <v>27</v>
      </c>
      <c r="BN24" s="79">
        <v>14</v>
      </c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7</v>
      </c>
      <c r="L26" s="71">
        <f t="shared" si="4"/>
        <v>8</v>
      </c>
      <c r="M26" s="71">
        <f t="shared" si="4"/>
        <v>10</v>
      </c>
      <c r="N26" s="71">
        <f t="shared" si="4"/>
        <v>35</v>
      </c>
      <c r="O26" s="71">
        <f t="shared" si="4"/>
        <v>8</v>
      </c>
      <c r="P26" s="71">
        <f t="shared" si="4"/>
        <v>13</v>
      </c>
      <c r="Q26" s="71">
        <f t="shared" si="4"/>
        <v>7</v>
      </c>
      <c r="R26" s="71">
        <f t="shared" si="4"/>
        <v>14</v>
      </c>
      <c r="S26" s="71">
        <f t="shared" si="4"/>
        <v>19</v>
      </c>
      <c r="T26" s="71">
        <f t="shared" si="4"/>
        <v>21</v>
      </c>
      <c r="U26" s="71">
        <f t="shared" si="4"/>
        <v>25</v>
      </c>
      <c r="V26" s="71">
        <f t="shared" si="4"/>
        <v>9</v>
      </c>
      <c r="W26" s="71">
        <f t="shared" si="4"/>
        <v>6</v>
      </c>
      <c r="X26" s="71">
        <f t="shared" si="4"/>
        <v>10</v>
      </c>
      <c r="Y26" s="71">
        <f t="shared" si="4"/>
        <v>7</v>
      </c>
      <c r="Z26" s="71">
        <f t="shared" si="4"/>
        <v>11</v>
      </c>
      <c r="AA26" s="71">
        <f t="shared" si="4"/>
        <v>14</v>
      </c>
      <c r="AB26" s="71">
        <f t="shared" si="4"/>
        <v>14</v>
      </c>
      <c r="AC26" s="71">
        <f t="shared" si="4"/>
        <v>7</v>
      </c>
      <c r="AD26" s="71">
        <f t="shared" si="4"/>
        <v>10</v>
      </c>
      <c r="AE26" s="71">
        <f t="shared" si="4"/>
        <v>11</v>
      </c>
      <c r="AF26" s="71">
        <f t="shared" si="4"/>
        <v>6</v>
      </c>
      <c r="AG26" s="71">
        <f t="shared" si="4"/>
        <v>7</v>
      </c>
      <c r="AH26" s="71">
        <f t="shared" si="4"/>
        <v>7</v>
      </c>
      <c r="AI26" s="71">
        <f t="shared" si="4"/>
        <v>4</v>
      </c>
      <c r="AJ26" s="71">
        <f t="shared" si="4"/>
        <v>42</v>
      </c>
      <c r="AK26" s="71">
        <f t="shared" si="4"/>
        <v>9</v>
      </c>
      <c r="AL26" s="71">
        <f t="shared" si="4"/>
        <v>14</v>
      </c>
      <c r="AM26" s="71">
        <f t="shared" si="4"/>
        <v>14</v>
      </c>
      <c r="AN26" s="71">
        <f t="shared" si="4"/>
        <v>4</v>
      </c>
      <c r="AO26" s="71">
        <f t="shared" si="4"/>
        <v>10</v>
      </c>
      <c r="AP26" s="71">
        <f t="shared" si="4"/>
        <v>24</v>
      </c>
      <c r="AQ26" s="71">
        <f t="shared" si="4"/>
        <v>17</v>
      </c>
      <c r="AR26" s="71">
        <f t="shared" si="4"/>
        <v>5</v>
      </c>
      <c r="AS26" s="71">
        <f t="shared" si="4"/>
        <v>11</v>
      </c>
      <c r="AT26" s="71">
        <f t="shared" si="4"/>
        <v>7</v>
      </c>
      <c r="AU26" s="71">
        <f t="shared" si="4"/>
        <v>7</v>
      </c>
      <c r="AV26" s="71">
        <f t="shared" si="4"/>
        <v>13</v>
      </c>
      <c r="AW26" s="71">
        <f t="shared" si="4"/>
        <v>7</v>
      </c>
      <c r="AX26" s="71">
        <f t="shared" si="4"/>
        <v>7</v>
      </c>
      <c r="AY26" s="71">
        <f t="shared" si="4"/>
        <v>10</v>
      </c>
      <c r="AZ26" s="71">
        <f t="shared" si="4"/>
        <v>1</v>
      </c>
      <c r="BA26" s="71">
        <f t="shared" si="4"/>
        <v>25</v>
      </c>
      <c r="BB26" s="71">
        <f t="shared" si="4"/>
        <v>62</v>
      </c>
      <c r="BC26" s="71">
        <f t="shared" si="4"/>
        <v>34</v>
      </c>
      <c r="BD26" s="71">
        <f t="shared" si="4"/>
        <v>14</v>
      </c>
      <c r="BE26" s="71">
        <f t="shared" si="4"/>
        <v>5</v>
      </c>
      <c r="BF26" s="71">
        <f t="shared" si="4"/>
        <v>27</v>
      </c>
      <c r="BG26" s="71">
        <f t="shared" si="4"/>
        <v>28</v>
      </c>
      <c r="BH26" s="71">
        <f t="shared" si="4"/>
        <v>14</v>
      </c>
      <c r="BI26" s="71">
        <f t="shared" si="4"/>
        <v>10</v>
      </c>
      <c r="BJ26" s="71">
        <f t="shared" si="4"/>
        <v>4</v>
      </c>
      <c r="BK26" s="71">
        <f t="shared" si="4"/>
        <v>21</v>
      </c>
      <c r="BL26" s="71">
        <f t="shared" si="4"/>
        <v>21</v>
      </c>
      <c r="BM26" s="71">
        <f t="shared" si="4"/>
        <v>10</v>
      </c>
      <c r="BN26" s="71">
        <f t="shared" si="4"/>
        <v>14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49</v>
      </c>
      <c r="L27" s="71">
        <f t="shared" si="5"/>
        <v>42</v>
      </c>
      <c r="M27" s="71">
        <f t="shared" si="5"/>
        <v>52</v>
      </c>
      <c r="N27" s="71">
        <f t="shared" si="5"/>
        <v>55</v>
      </c>
      <c r="O27" s="71">
        <f t="shared" si="5"/>
        <v>136</v>
      </c>
      <c r="P27" s="71">
        <f t="shared" si="5"/>
        <v>55</v>
      </c>
      <c r="Q27" s="71">
        <f t="shared" si="5"/>
        <v>63</v>
      </c>
      <c r="R27" s="71">
        <f t="shared" si="5"/>
        <v>62</v>
      </c>
      <c r="S27" s="71">
        <f t="shared" si="5"/>
        <v>59</v>
      </c>
      <c r="T27" s="71">
        <f t="shared" si="5"/>
        <v>33</v>
      </c>
      <c r="U27" s="71">
        <f t="shared" si="5"/>
        <v>45</v>
      </c>
      <c r="V27" s="71">
        <f t="shared" si="5"/>
        <v>45</v>
      </c>
      <c r="W27" s="71">
        <f t="shared" si="5"/>
        <v>48</v>
      </c>
      <c r="X27" s="71">
        <f t="shared" si="5"/>
        <v>30</v>
      </c>
      <c r="Y27" s="71">
        <f t="shared" si="5"/>
        <v>49</v>
      </c>
      <c r="Z27" s="71">
        <f t="shared" si="5"/>
        <v>59</v>
      </c>
      <c r="AA27" s="71">
        <f t="shared" si="5"/>
        <v>42</v>
      </c>
      <c r="AB27" s="71">
        <f t="shared" si="5"/>
        <v>28</v>
      </c>
      <c r="AC27" s="71">
        <f t="shared" si="5"/>
        <v>75</v>
      </c>
      <c r="AD27" s="71">
        <f t="shared" si="5"/>
        <v>60</v>
      </c>
      <c r="AE27" s="71">
        <f t="shared" si="5"/>
        <v>51</v>
      </c>
      <c r="AF27" s="71">
        <f t="shared" si="5"/>
        <v>68</v>
      </c>
      <c r="AG27" s="71">
        <f t="shared" si="5"/>
        <v>63</v>
      </c>
      <c r="AH27" s="71">
        <f t="shared" si="5"/>
        <v>49</v>
      </c>
      <c r="AI27" s="71">
        <f t="shared" si="5"/>
        <v>58</v>
      </c>
      <c r="AJ27" s="71">
        <f t="shared" si="5"/>
        <v>90</v>
      </c>
      <c r="AK27" s="71">
        <f t="shared" si="5"/>
        <v>41</v>
      </c>
      <c r="AL27" s="71">
        <f t="shared" si="5"/>
        <v>56</v>
      </c>
      <c r="AM27" s="71">
        <f t="shared" si="5"/>
        <v>56</v>
      </c>
      <c r="AN27" s="71">
        <f t="shared" si="5"/>
        <v>52</v>
      </c>
      <c r="AO27" s="71">
        <f t="shared" si="5"/>
        <v>38</v>
      </c>
      <c r="AP27" s="71">
        <f t="shared" si="5"/>
        <v>66</v>
      </c>
      <c r="AQ27" s="71">
        <f t="shared" si="5"/>
        <v>63</v>
      </c>
      <c r="AR27" s="71">
        <f t="shared" si="5"/>
        <v>45</v>
      </c>
      <c r="AS27" s="71">
        <f t="shared" si="5"/>
        <v>73</v>
      </c>
      <c r="AT27" s="71">
        <f t="shared" si="5"/>
        <v>35</v>
      </c>
      <c r="AU27" s="71">
        <f t="shared" si="5"/>
        <v>49</v>
      </c>
      <c r="AV27" s="71">
        <f t="shared" si="5"/>
        <v>55</v>
      </c>
      <c r="AW27" s="71">
        <f t="shared" si="5"/>
        <v>67</v>
      </c>
      <c r="AX27" s="71">
        <f t="shared" si="5"/>
        <v>41</v>
      </c>
      <c r="AY27" s="71">
        <f t="shared" si="5"/>
        <v>44</v>
      </c>
      <c r="AZ27" s="71">
        <f t="shared" si="5"/>
        <v>9</v>
      </c>
      <c r="BA27" s="71">
        <f t="shared" si="5"/>
        <v>45</v>
      </c>
      <c r="BB27" s="71">
        <f t="shared" si="5"/>
        <v>66</v>
      </c>
      <c r="BC27" s="71">
        <f t="shared" si="5"/>
        <v>46</v>
      </c>
      <c r="BD27" s="71">
        <f t="shared" si="5"/>
        <v>48</v>
      </c>
      <c r="BE27" s="71">
        <f t="shared" si="5"/>
        <v>51</v>
      </c>
      <c r="BF27" s="71">
        <f t="shared" si="5"/>
        <v>55</v>
      </c>
      <c r="BG27" s="71">
        <f t="shared" si="5"/>
        <v>62</v>
      </c>
      <c r="BH27" s="71">
        <f t="shared" si="5"/>
        <v>42</v>
      </c>
      <c r="BI27" s="71">
        <f t="shared" si="5"/>
        <v>62</v>
      </c>
      <c r="BJ27" s="71">
        <f t="shared" si="5"/>
        <v>44</v>
      </c>
      <c r="BK27" s="71">
        <f t="shared" si="5"/>
        <v>81</v>
      </c>
      <c r="BL27" s="71">
        <f t="shared" si="5"/>
        <v>49</v>
      </c>
      <c r="BM27" s="71">
        <f t="shared" si="5"/>
        <v>64</v>
      </c>
      <c r="BN27" s="71">
        <f t="shared" si="5"/>
        <v>42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3</v>
      </c>
      <c r="M29" s="71">
        <f t="shared" si="7"/>
        <v>3</v>
      </c>
      <c r="N29" s="71">
        <f t="shared" si="7"/>
        <v>5</v>
      </c>
      <c r="O29" s="71">
        <f t="shared" si="7"/>
        <v>3</v>
      </c>
      <c r="P29" s="71">
        <f t="shared" si="7"/>
        <v>4</v>
      </c>
      <c r="Q29" s="71">
        <f t="shared" si="7"/>
        <v>4</v>
      </c>
      <c r="R29" s="71">
        <f t="shared" si="7"/>
        <v>4</v>
      </c>
      <c r="S29" s="71">
        <f t="shared" si="7"/>
        <v>8</v>
      </c>
      <c r="T29" s="71">
        <f t="shared" si="7"/>
        <v>6</v>
      </c>
      <c r="U29" s="71">
        <f t="shared" si="7"/>
        <v>7</v>
      </c>
      <c r="V29" s="71">
        <f t="shared" si="7"/>
        <v>4</v>
      </c>
      <c r="W29" s="71">
        <f t="shared" si="7"/>
        <v>4</v>
      </c>
      <c r="X29" s="71">
        <f t="shared" si="7"/>
        <v>4</v>
      </c>
      <c r="Y29" s="71">
        <f t="shared" si="7"/>
        <v>5</v>
      </c>
      <c r="Z29" s="71">
        <f t="shared" si="7"/>
        <v>5</v>
      </c>
      <c r="AA29" s="71">
        <f t="shared" si="7"/>
        <v>5</v>
      </c>
      <c r="AB29" s="71">
        <f t="shared" si="7"/>
        <v>7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3</v>
      </c>
      <c r="AG29" s="71">
        <f t="shared" si="7"/>
        <v>7</v>
      </c>
      <c r="AH29" s="71">
        <f t="shared" si="7"/>
        <v>3</v>
      </c>
      <c r="AI29" s="71">
        <f t="shared" si="7"/>
        <v>4</v>
      </c>
      <c r="AJ29" s="71">
        <f t="shared" si="7"/>
        <v>7</v>
      </c>
      <c r="AK29" s="71">
        <f t="shared" si="7"/>
        <v>7</v>
      </c>
      <c r="AL29" s="71">
        <f t="shared" si="7"/>
        <v>5</v>
      </c>
      <c r="AM29" s="71">
        <f t="shared" si="7"/>
        <v>6</v>
      </c>
      <c r="AN29" s="71">
        <f t="shared" si="7"/>
        <v>5</v>
      </c>
      <c r="AO29" s="71">
        <f t="shared" si="7"/>
        <v>5</v>
      </c>
      <c r="AP29" s="71">
        <f t="shared" si="7"/>
        <v>6</v>
      </c>
      <c r="AQ29" s="71">
        <f t="shared" si="7"/>
        <v>6</v>
      </c>
      <c r="AR29" s="71">
        <f t="shared" si="7"/>
        <v>5</v>
      </c>
      <c r="AS29" s="71">
        <f t="shared" si="7"/>
        <v>5</v>
      </c>
      <c r="AT29" s="71">
        <f t="shared" si="7"/>
        <v>4</v>
      </c>
      <c r="AU29" s="71">
        <f t="shared" si="7"/>
        <v>2</v>
      </c>
      <c r="AV29" s="71">
        <f t="shared" si="7"/>
        <v>6</v>
      </c>
      <c r="AW29" s="71">
        <f t="shared" si="7"/>
        <v>6</v>
      </c>
      <c r="AX29" s="71">
        <f t="shared" si="7"/>
        <v>6</v>
      </c>
      <c r="AY29" s="71">
        <f t="shared" si="7"/>
        <v>4</v>
      </c>
      <c r="AZ29" s="71">
        <f t="shared" si="7"/>
        <v>1</v>
      </c>
      <c r="BA29" s="71">
        <f t="shared" si="7"/>
        <v>8</v>
      </c>
      <c r="BB29" s="71">
        <f t="shared" si="7"/>
        <v>7</v>
      </c>
      <c r="BC29" s="71">
        <f t="shared" si="7"/>
        <v>5</v>
      </c>
      <c r="BD29" s="71">
        <f t="shared" si="7"/>
        <v>4</v>
      </c>
      <c r="BE29" s="71">
        <f t="shared" si="7"/>
        <v>7</v>
      </c>
      <c r="BF29" s="71">
        <f t="shared" si="7"/>
        <v>7</v>
      </c>
      <c r="BG29" s="71">
        <f t="shared" si="7"/>
        <v>8</v>
      </c>
      <c r="BH29" s="71">
        <f t="shared" si="7"/>
        <v>5</v>
      </c>
      <c r="BI29" s="71">
        <f t="shared" si="7"/>
        <v>4</v>
      </c>
      <c r="BJ29" s="71">
        <f t="shared" si="7"/>
        <v>6</v>
      </c>
      <c r="BK29" s="71">
        <f t="shared" si="7"/>
        <v>7</v>
      </c>
      <c r="BL29" s="71">
        <f t="shared" si="7"/>
        <v>5</v>
      </c>
      <c r="BM29" s="71">
        <f t="shared" si="7"/>
        <v>5</v>
      </c>
      <c r="BN29" s="71">
        <f t="shared" si="7"/>
        <v>5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6</v>
      </c>
      <c r="N30" s="73">
        <f t="shared" si="8"/>
        <v>2</v>
      </c>
      <c r="O30" s="73">
        <f t="shared" si="8"/>
        <v>6</v>
      </c>
      <c r="P30" s="73">
        <f t="shared" si="8"/>
        <v>3</v>
      </c>
      <c r="Q30" s="73">
        <f t="shared" si="8"/>
        <v>7</v>
      </c>
      <c r="R30" s="73">
        <f t="shared" si="8"/>
        <v>5</v>
      </c>
      <c r="S30" s="73">
        <f t="shared" si="8"/>
        <v>7</v>
      </c>
      <c r="T30" s="73">
        <f t="shared" si="8"/>
        <v>7</v>
      </c>
      <c r="U30" s="73">
        <f t="shared" si="8"/>
        <v>2</v>
      </c>
      <c r="V30" s="73">
        <f t="shared" si="8"/>
        <v>5</v>
      </c>
      <c r="W30" s="73">
        <f t="shared" si="8"/>
        <v>5</v>
      </c>
      <c r="X30" s="73">
        <f t="shared" si="8"/>
        <v>7</v>
      </c>
      <c r="Y30" s="73">
        <f t="shared" si="8"/>
        <v>4</v>
      </c>
      <c r="Z30" s="73">
        <f t="shared" si="8"/>
        <v>6</v>
      </c>
      <c r="AA30" s="73">
        <f t="shared" si="8"/>
        <v>4</v>
      </c>
      <c r="AB30" s="73">
        <f t="shared" si="8"/>
        <v>4</v>
      </c>
      <c r="AC30" s="73">
        <f t="shared" si="8"/>
        <v>5</v>
      </c>
      <c r="AD30" s="73">
        <f t="shared" si="8"/>
        <v>6</v>
      </c>
      <c r="AE30" s="73">
        <f t="shared" si="8"/>
        <v>0</v>
      </c>
      <c r="AF30" s="73">
        <f t="shared" si="8"/>
        <v>6</v>
      </c>
      <c r="AG30" s="73">
        <f t="shared" si="8"/>
        <v>6</v>
      </c>
      <c r="AH30" s="73">
        <f t="shared" si="8"/>
        <v>6</v>
      </c>
      <c r="AI30" s="73">
        <f t="shared" si="8"/>
        <v>3</v>
      </c>
      <c r="AJ30" s="73">
        <f t="shared" si="8"/>
        <v>4</v>
      </c>
      <c r="AK30" s="73">
        <f t="shared" si="8"/>
        <v>6</v>
      </c>
      <c r="AL30" s="73">
        <f t="shared" si="8"/>
        <v>2</v>
      </c>
      <c r="AM30" s="73">
        <f t="shared" si="8"/>
        <v>5</v>
      </c>
      <c r="AN30" s="73">
        <f t="shared" si="8"/>
        <v>2</v>
      </c>
      <c r="AO30" s="73">
        <f t="shared" si="8"/>
        <v>4</v>
      </c>
      <c r="AP30" s="73">
        <f t="shared" si="8"/>
        <v>5</v>
      </c>
      <c r="AQ30" s="73">
        <f t="shared" si="8"/>
        <v>1</v>
      </c>
      <c r="AR30" s="73">
        <f t="shared" si="8"/>
        <v>4</v>
      </c>
      <c r="AS30" s="73">
        <f t="shared" si="8"/>
        <v>6</v>
      </c>
      <c r="AT30" s="73">
        <f t="shared" si="8"/>
        <v>7</v>
      </c>
      <c r="AU30" s="73">
        <f t="shared" si="8"/>
        <v>3</v>
      </c>
      <c r="AV30" s="73">
        <f t="shared" si="8"/>
        <v>3</v>
      </c>
      <c r="AW30" s="73">
        <f t="shared" si="8"/>
        <v>5</v>
      </c>
      <c r="AX30" s="73">
        <f t="shared" si="8"/>
        <v>5</v>
      </c>
      <c r="AY30" s="73">
        <f t="shared" si="8"/>
        <v>3</v>
      </c>
      <c r="AZ30" s="73">
        <f t="shared" si="8"/>
        <v>6</v>
      </c>
      <c r="BA30" s="73">
        <f t="shared" si="8"/>
        <v>5</v>
      </c>
      <c r="BB30" s="73">
        <f t="shared" si="8"/>
        <v>4</v>
      </c>
      <c r="BC30" s="73">
        <f t="shared" si="8"/>
        <v>8</v>
      </c>
      <c r="BD30" s="73">
        <f t="shared" si="8"/>
        <v>5</v>
      </c>
      <c r="BE30" s="73">
        <f t="shared" si="8"/>
        <v>6</v>
      </c>
      <c r="BF30" s="73">
        <f t="shared" si="8"/>
        <v>4</v>
      </c>
      <c r="BG30" s="73">
        <f t="shared" si="8"/>
        <v>3</v>
      </c>
      <c r="BH30" s="73">
        <f t="shared" si="8"/>
        <v>4</v>
      </c>
      <c r="BI30" s="73">
        <f t="shared" si="8"/>
        <v>5</v>
      </c>
      <c r="BJ30" s="73">
        <f t="shared" si="8"/>
        <v>5</v>
      </c>
      <c r="BK30" s="73">
        <f t="shared" si="8"/>
        <v>6</v>
      </c>
      <c r="BL30" s="73">
        <f t="shared" si="8"/>
        <v>2</v>
      </c>
      <c r="BM30" s="73">
        <f t="shared" si="8"/>
        <v>6</v>
      </c>
      <c r="BN30" s="73">
        <f t="shared" si="8"/>
        <v>6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3</v>
      </c>
      <c r="R31" s="71">
        <f t="shared" ca="1" si="9"/>
        <v>1</v>
      </c>
      <c r="S31" s="71">
        <f t="shared" ca="1" si="9"/>
        <v>5</v>
      </c>
      <c r="T31" s="71">
        <f t="shared" ca="1" si="9"/>
        <v>5</v>
      </c>
      <c r="U31" s="71">
        <f t="shared" ca="1" si="9"/>
        <v>2</v>
      </c>
      <c r="V31" s="71">
        <f t="shared" ca="1" si="9"/>
        <v>3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8</v>
      </c>
      <c r="AA31" s="71">
        <f t="shared" ca="1" si="9"/>
        <v>6</v>
      </c>
      <c r="AB31" s="71">
        <f t="shared" ca="1" si="9"/>
        <v>4</v>
      </c>
      <c r="AC31" s="71">
        <f t="shared" ca="1" si="9"/>
        <v>3</v>
      </c>
      <c r="AD31" s="71">
        <f t="shared" ca="1" si="9"/>
        <v>2</v>
      </c>
      <c r="AE31" s="71">
        <f t="shared" ca="1" si="9"/>
        <v>4</v>
      </c>
      <c r="AF31" s="71">
        <f t="shared" ca="1" si="9"/>
        <v>6</v>
      </c>
      <c r="AG31" s="71">
        <f t="shared" ca="1" si="9"/>
        <v>2</v>
      </c>
      <c r="AH31" s="71">
        <f t="shared" ca="1" si="9"/>
        <v>4</v>
      </c>
      <c r="AI31" s="71">
        <f t="shared" ca="1" si="9"/>
        <v>5</v>
      </c>
      <c r="AJ31" s="71">
        <f t="shared" ca="1" si="9"/>
        <v>4</v>
      </c>
      <c r="AK31" s="71">
        <f t="shared" ca="1" si="9"/>
        <v>2</v>
      </c>
      <c r="AL31" s="71">
        <f t="shared" ca="1" si="9"/>
        <v>4</v>
      </c>
      <c r="AM31" s="71">
        <f t="shared" ca="1" si="9"/>
        <v>7</v>
      </c>
      <c r="AN31" s="71">
        <f t="shared" ca="1" si="9"/>
        <v>4</v>
      </c>
      <c r="AO31" s="71">
        <f t="shared" ca="1" si="9"/>
        <v>6</v>
      </c>
      <c r="AP31" s="71">
        <f t="shared" ca="1" si="9"/>
        <v>3</v>
      </c>
      <c r="AQ31" s="71">
        <f t="shared" ca="1" si="9"/>
        <v>5</v>
      </c>
      <c r="AR31" s="71">
        <f t="shared" ca="1" si="9"/>
        <v>4</v>
      </c>
      <c r="AS31" s="71">
        <f t="shared" ca="1" si="9"/>
        <v>8</v>
      </c>
      <c r="AT31" s="71">
        <f t="shared" ca="1" si="9"/>
        <v>3</v>
      </c>
      <c r="AU31" s="71">
        <f t="shared" ca="1" si="9"/>
        <v>3</v>
      </c>
      <c r="AV31" s="71">
        <f t="shared" ca="1" si="9"/>
        <v>3</v>
      </c>
      <c r="AW31" s="71">
        <f t="shared" ca="1" si="9"/>
        <v>3</v>
      </c>
      <c r="AX31" s="71">
        <f t="shared" ca="1" si="9"/>
        <v>1</v>
      </c>
      <c r="AY31" s="71">
        <f t="shared" ca="1" si="9"/>
        <v>1</v>
      </c>
      <c r="AZ31" s="71">
        <f t="shared" ca="1" si="9"/>
        <v>4</v>
      </c>
      <c r="BA31" s="71">
        <f t="shared" ca="1" si="9"/>
        <v>3</v>
      </c>
      <c r="BB31" s="71">
        <f t="shared" ca="1" si="9"/>
        <v>4</v>
      </c>
      <c r="BC31" s="71">
        <f t="shared" ca="1" si="9"/>
        <v>6</v>
      </c>
      <c r="BD31" s="71">
        <f t="shared" ca="1" si="9"/>
        <v>3</v>
      </c>
      <c r="BE31" s="71">
        <f t="shared" ca="1" si="9"/>
        <v>2</v>
      </c>
      <c r="BF31" s="71">
        <f t="shared" ca="1" si="9"/>
        <v>4</v>
      </c>
      <c r="BG31" s="71">
        <f t="shared" ca="1" si="9"/>
        <v>5</v>
      </c>
      <c r="BH31" s="71">
        <f t="shared" ca="1" si="9"/>
        <v>4</v>
      </c>
      <c r="BI31" s="71">
        <f t="shared" ca="1" si="9"/>
        <v>5</v>
      </c>
      <c r="BJ31" s="71">
        <f t="shared" ca="1" si="9"/>
        <v>5</v>
      </c>
      <c r="BK31" s="71">
        <f t="shared" ca="1" si="9"/>
        <v>4</v>
      </c>
      <c r="BL31" s="71">
        <f t="shared" ca="1" si="9"/>
        <v>2</v>
      </c>
      <c r="BM31" s="71">
        <f t="shared" ca="1" si="9"/>
        <v>6</v>
      </c>
      <c r="BN31" s="71">
        <f t="shared" ca="1" si="9"/>
        <v>6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27" priority="9" stopIfTrue="1" operator="equal">
      <formula>0</formula>
    </cfRule>
  </conditionalFormatting>
  <conditionalFormatting sqref="D26:J28 K28:BE28">
    <cfRule type="cellIs" dxfId="126" priority="10" stopIfTrue="1" operator="equal">
      <formula>1</formula>
    </cfRule>
  </conditionalFormatting>
  <conditionalFormatting sqref="H3:I3 F23 H5:I5 H7:I7 H9:I9 H11:I11 H13:I13 H15:I15 H17:I17 H19:I19 H21:I21">
    <cfRule type="cellIs" dxfId="125" priority="11" stopIfTrue="1" operator="equal">
      <formula>0</formula>
    </cfRule>
  </conditionalFormatting>
  <conditionalFormatting sqref="H4:I4 F24 H6:I6 H8:I8 H10:I10 H12:I12 H14:I14 H16:I16 H18:I18 H20:I20 H22:I22">
    <cfRule type="cellIs" dxfId="124" priority="12" stopIfTrue="1" operator="equal">
      <formula>0</formula>
    </cfRule>
  </conditionalFormatting>
  <conditionalFormatting sqref="F3 F5 F7 F9 F11 F13 F15 F17 F19 F21">
    <cfRule type="cellIs" dxfId="12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1" priority="15" stopIfTrue="1">
      <formula>AND(COUNTA(J4)=1,$E4=1,SUM($E3:$E4)=1)</formula>
    </cfRule>
    <cfRule type="expression" dxfId="12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9" priority="17" stopIfTrue="1">
      <formula>AND(COUNTA(J3)=1,$E3=1,SUM($E3:$E4)=1)</formula>
    </cfRule>
    <cfRule type="expression" dxfId="118" priority="18" stopIfTrue="1">
      <formula>AND(COUNTA(J3)=1,$E3=0,SUM($E3:$E4)=1)</formula>
    </cfRule>
  </conditionalFormatting>
  <conditionalFormatting sqref="BF23:BN23">
    <cfRule type="cellIs" dxfId="117" priority="7" stopIfTrue="1" operator="equal">
      <formula>0</formula>
    </cfRule>
  </conditionalFormatting>
  <conditionalFormatting sqref="BF24:BN24">
    <cfRule type="cellIs" dxfId="116" priority="6" stopIfTrue="1" operator="equal">
      <formula>0</formula>
    </cfRule>
  </conditionalFormatting>
  <conditionalFormatting sqref="BF28:BN28">
    <cfRule type="cellIs" dxfId="11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14" priority="3" stopIfTrue="1">
      <formula>AND(COUNTA(BF4)=1,$E4=1,SUM($E3:$E4)=1)</formula>
    </cfRule>
    <cfRule type="expression" dxfId="11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12" priority="1" stopIfTrue="1">
      <formula>AND(COUNTA(BF3)=1,$E3=1,SUM($E3:$E4)=1)</formula>
    </cfRule>
    <cfRule type="expression" dxfId="11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>
      <c r="B1" s="6"/>
      <c r="I1">
        <f>COUNTA(K1:BW1)</f>
        <v>0</v>
      </c>
      <c r="J1">
        <f>SUM(K1:BW1)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09" priority="9" stopIfTrue="1" operator="equal">
      <formula>0</formula>
    </cfRule>
  </conditionalFormatting>
  <conditionalFormatting sqref="D26:J28 K28:BE28">
    <cfRule type="cellIs" dxfId="108" priority="10" stopIfTrue="1" operator="equal">
      <formula>1</formula>
    </cfRule>
  </conditionalFormatting>
  <conditionalFormatting sqref="H3:I3 F23 H5:I5 H7:I7 H9:I9 H11:I11 H13:I13 H15:I15 H17:I17 H19:I19 H21:I21">
    <cfRule type="cellIs" dxfId="107" priority="11" stopIfTrue="1" operator="equal">
      <formula>0</formula>
    </cfRule>
  </conditionalFormatting>
  <conditionalFormatting sqref="H4:I4 F24 H6:I6 H8:I8 H10:I10 H12:I12 H14:I14 H16:I16 H18:I18 H20:I20 H22:I22">
    <cfRule type="cellIs" dxfId="106" priority="12" stopIfTrue="1" operator="equal">
      <formula>0</formula>
    </cfRule>
  </conditionalFormatting>
  <conditionalFormatting sqref="F3 F5 F7 F9 F11 F13 F15 F17 F19 F21">
    <cfRule type="cellIs" dxfId="10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3" priority="15" stopIfTrue="1">
      <formula>AND(COUNTA(J4)=1,$E4=1,SUM($E3:$E4)=1)</formula>
    </cfRule>
    <cfRule type="expression" dxfId="10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1" priority="17" stopIfTrue="1">
      <formula>AND(COUNTA(J3)=1,$E3=1,SUM($E3:$E4)=1)</formula>
    </cfRule>
    <cfRule type="expression" dxfId="100" priority="18" stopIfTrue="1">
      <formula>AND(COUNTA(J3)=1,$E3=0,SUM($E3:$E4)=1)</formula>
    </cfRule>
  </conditionalFormatting>
  <conditionalFormatting sqref="BF23:BN23">
    <cfRule type="cellIs" dxfId="99" priority="7" stopIfTrue="1" operator="equal">
      <formula>0</formula>
    </cfRule>
  </conditionalFormatting>
  <conditionalFormatting sqref="BF24:BN24">
    <cfRule type="cellIs" dxfId="98" priority="6" stopIfTrue="1" operator="equal">
      <formula>0</formula>
    </cfRule>
  </conditionalFormatting>
  <conditionalFormatting sqref="BF28:BN28">
    <cfRule type="cellIs" dxfId="9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96" priority="3" stopIfTrue="1">
      <formula>AND(COUNTA(BF4)=1,$E4=1,SUM($E3:$E4)=1)</formula>
    </cfRule>
    <cfRule type="expression" dxfId="9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94" priority="1" stopIfTrue="1">
      <formula>AND(COUNTA(BF3)=1,$E3=1,SUM($E3:$E4)=1)</formula>
    </cfRule>
    <cfRule type="expression" dxfId="9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>
      <c r="B1" s="6"/>
      <c r="I1">
        <f>COUNTA(K1:BW1)</f>
        <v>0</v>
      </c>
      <c r="J1">
        <f>SUM(K1:BW1)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1" priority="9" stopIfTrue="1" operator="equal">
      <formula>0</formula>
    </cfRule>
  </conditionalFormatting>
  <conditionalFormatting sqref="D26:J28 K28:BE28">
    <cfRule type="cellIs" dxfId="90" priority="10" stopIfTrue="1" operator="equal">
      <formula>1</formula>
    </cfRule>
  </conditionalFormatting>
  <conditionalFormatting sqref="H3:I3 F23 H5:I5 H7:I7 H9:I9 H11:I11 H13:I13 H15:I15 H17:I17 H19:I19 H21:I21">
    <cfRule type="cellIs" dxfId="89" priority="11" stopIfTrue="1" operator="equal">
      <formula>0</formula>
    </cfRule>
  </conditionalFormatting>
  <conditionalFormatting sqref="H4:I4 F24 H6:I6 H8:I8 H10:I10 H12:I12 H14:I14 H16:I16 H18:I18 H20:I20 H22:I22">
    <cfRule type="cellIs" dxfId="88" priority="12" stopIfTrue="1" operator="equal">
      <formula>0</formula>
    </cfRule>
  </conditionalFormatting>
  <conditionalFormatting sqref="F3 F5 F7 F9 F11 F13 F15 F17 F19 F21">
    <cfRule type="cellIs" dxfId="8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5" priority="15" stopIfTrue="1">
      <formula>AND(COUNTA(J4)=1,$E4=1,SUM($E3:$E4)=1)</formula>
    </cfRule>
    <cfRule type="expression" dxfId="8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3" priority="17" stopIfTrue="1">
      <formula>AND(COUNTA(J3)=1,$E3=1,SUM($E3:$E4)=1)</formula>
    </cfRule>
    <cfRule type="expression" dxfId="82" priority="18" stopIfTrue="1">
      <formula>AND(COUNTA(J3)=1,$E3=0,SUM($E3:$E4)=1)</formula>
    </cfRule>
  </conditionalFormatting>
  <conditionalFormatting sqref="BF23:BN23">
    <cfRule type="cellIs" dxfId="81" priority="7" stopIfTrue="1" operator="equal">
      <formula>0</formula>
    </cfRule>
  </conditionalFormatting>
  <conditionalFormatting sqref="BF24:BN24">
    <cfRule type="cellIs" dxfId="80" priority="6" stopIfTrue="1" operator="equal">
      <formula>0</formula>
    </cfRule>
  </conditionalFormatting>
  <conditionalFormatting sqref="BF28:BN28">
    <cfRule type="cellIs" dxfId="79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78" priority="3" stopIfTrue="1">
      <formula>AND(COUNTA(BF4)=1,$E4=1,SUM($E3:$E4)=1)</formula>
    </cfRule>
    <cfRule type="expression" dxfId="77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76" priority="1" stopIfTrue="1">
      <formula>AND(COUNTA(BF3)=1,$E3=1,SUM($E3:$E4)=1)</formula>
    </cfRule>
    <cfRule type="expression" dxfId="7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>
      <c r="B1" s="6"/>
      <c r="I1">
        <f>COUNTA(K1:BW1)</f>
        <v>0</v>
      </c>
      <c r="J1">
        <f>SUM(K1:BW1)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73" priority="9" stopIfTrue="1" operator="equal">
      <formula>0</formula>
    </cfRule>
  </conditionalFormatting>
  <conditionalFormatting sqref="D26:J28 K28:BE28">
    <cfRule type="cellIs" dxfId="72" priority="10" stopIfTrue="1" operator="equal">
      <formula>1</formula>
    </cfRule>
  </conditionalFormatting>
  <conditionalFormatting sqref="H3:I3 F23 H5:I5 H7:I7 H9:I9 H11:I11 H13:I13 H15:I15 H17:I17 H19:I19 H21:I21">
    <cfRule type="cellIs" dxfId="71" priority="11" stopIfTrue="1" operator="equal">
      <formula>0</formula>
    </cfRule>
  </conditionalFormatting>
  <conditionalFormatting sqref="H4:I4 F24 H6:I6 H8:I8 H10:I10 H12:I12 H14:I14 H16:I16 H18:I18 H20:I20 H22:I22">
    <cfRule type="cellIs" dxfId="70" priority="12" stopIfTrue="1" operator="equal">
      <formula>0</formula>
    </cfRule>
  </conditionalFormatting>
  <conditionalFormatting sqref="F3 F5 F7 F9 F11 F13 F15 F17 F19 F21">
    <cfRule type="cellIs" dxfId="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67" priority="15" stopIfTrue="1">
      <formula>AND(COUNTA(J4)=1,$E4=1,SUM($E3:$E4)=1)</formula>
    </cfRule>
    <cfRule type="expression" dxfId="6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65" priority="17" stopIfTrue="1">
      <formula>AND(COUNTA(J3)=1,$E3=1,SUM($E3:$E4)=1)</formula>
    </cfRule>
    <cfRule type="expression" dxfId="64" priority="18" stopIfTrue="1">
      <formula>AND(COUNTA(J3)=1,$E3=0,SUM($E3:$E4)=1)</formula>
    </cfRule>
  </conditionalFormatting>
  <conditionalFormatting sqref="BF23:BN23">
    <cfRule type="cellIs" dxfId="63" priority="7" stopIfTrue="1" operator="equal">
      <formula>0</formula>
    </cfRule>
  </conditionalFormatting>
  <conditionalFormatting sqref="BF24:BN24">
    <cfRule type="cellIs" dxfId="62" priority="6" stopIfTrue="1" operator="equal">
      <formula>0</formula>
    </cfRule>
  </conditionalFormatting>
  <conditionalFormatting sqref="BF28:BN28">
    <cfRule type="cellIs" dxfId="6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60" priority="3" stopIfTrue="1">
      <formula>AND(COUNTA(BF4)=1,$E4=1,SUM($E3:$E4)=1)</formula>
    </cfRule>
    <cfRule type="expression" dxfId="5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58" priority="1" stopIfTrue="1">
      <formula>AND(COUNTA(BF3)=1,$E3=1,SUM($E3:$E4)=1)</formula>
    </cfRule>
    <cfRule type="expression" dxfId="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>
      <c r="B1" s="6"/>
      <c r="I1">
        <f>COUNTA(K1:BW1)</f>
        <v>0</v>
      </c>
      <c r="J1">
        <f>SUM(K1:BW1)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5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55" priority="9" stopIfTrue="1" operator="equal">
      <formula>0</formula>
    </cfRule>
  </conditionalFormatting>
  <conditionalFormatting sqref="D26:J28 K28:BE28">
    <cfRule type="cellIs" dxfId="54" priority="10" stopIfTrue="1" operator="equal">
      <formula>1</formula>
    </cfRule>
  </conditionalFormatting>
  <conditionalFormatting sqref="H3:I3 F23 H5:I5 H7:I7 H9:I9 H11:I11 H13:I13 H15:I15 H17:I17 H19:I19 H21:I21">
    <cfRule type="cellIs" dxfId="53" priority="11" stopIfTrue="1" operator="equal">
      <formula>0</formula>
    </cfRule>
  </conditionalFormatting>
  <conditionalFormatting sqref="H4:I4 F24 H6:I6 H8:I8 H10:I10 H12:I12 H14:I14 H16:I16 H18:I18 H20:I20 H22:I22">
    <cfRule type="cellIs" dxfId="52" priority="12" stopIfTrue="1" operator="equal">
      <formula>0</formula>
    </cfRule>
  </conditionalFormatting>
  <conditionalFormatting sqref="F3 F5 F7 F9 F11 F13 F15 F17 F19 F21">
    <cfRule type="cellIs" dxfId="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49" priority="15" stopIfTrue="1">
      <formula>AND(COUNTA(J4)=1,$E4=1,SUM($E3:$E4)=1)</formula>
    </cfRule>
    <cfRule type="expression" dxfId="4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47" priority="17" stopIfTrue="1">
      <formula>AND(COUNTA(J3)=1,$E3=1,SUM($E3:$E4)=1)</formula>
    </cfRule>
    <cfRule type="expression" dxfId="46" priority="18" stopIfTrue="1">
      <formula>AND(COUNTA(J3)=1,$E3=0,SUM($E3:$E4)=1)</formula>
    </cfRule>
  </conditionalFormatting>
  <conditionalFormatting sqref="BF23:BN23">
    <cfRule type="cellIs" dxfId="45" priority="7" stopIfTrue="1" operator="equal">
      <formula>0</formula>
    </cfRule>
  </conditionalFormatting>
  <conditionalFormatting sqref="BF24:BN24">
    <cfRule type="cellIs" dxfId="44" priority="6" stopIfTrue="1" operator="equal">
      <formula>0</formula>
    </cfRule>
  </conditionalFormatting>
  <conditionalFormatting sqref="BF28:BN28">
    <cfRule type="cellIs" dxfId="4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42" priority="3" stopIfTrue="1">
      <formula>AND(COUNTA(BF4)=1,$E4=1,SUM($E3:$E4)=1)</formula>
    </cfRule>
    <cfRule type="expression" dxfId="4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40" priority="1" stopIfTrue="1">
      <formula>AND(COUNTA(BF3)=1,$E3=1,SUM($E3:$E4)=1)</formula>
    </cfRule>
    <cfRule type="expression" dxfId="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>
      <c r="B1" s="6"/>
      <c r="I1">
        <f>COUNTA(K1:BW1)</f>
        <v>0</v>
      </c>
      <c r="J1">
        <f>SUM(K1:BW1)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N23">
    <cfRule type="cellIs" dxfId="27" priority="7" stopIfTrue="1" operator="equal">
      <formula>0</formula>
    </cfRule>
  </conditionalFormatting>
  <conditionalFormatting sqref="BF24:BN24">
    <cfRule type="cellIs" dxfId="26" priority="6" stopIfTrue="1" operator="equal">
      <formula>0</formula>
    </cfRule>
  </conditionalFormatting>
  <conditionalFormatting sqref="BF28:BN28">
    <cfRule type="cellIs" dxfId="2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>
      <c r="B1" s="6"/>
      <c r="I1">
        <f>COUNTA(K1:BW1)</f>
        <v>0</v>
      </c>
      <c r="J1">
        <f>SUM(K1:BW1)</f>
        <v>0</v>
      </c>
    </row>
    <row r="2" spans="1:66" ht="114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N23">
    <cfRule type="cellIs" dxfId="9" priority="7" stopIfTrue="1" operator="equal">
      <formula>0</formula>
    </cfRule>
  </conditionalFormatting>
  <conditionalFormatting sqref="BF24:BN24">
    <cfRule type="cellIs" dxfId="8" priority="6" stopIfTrue="1" operator="equal">
      <formula>0</formula>
    </cfRule>
  </conditionalFormatting>
  <conditionalFormatting sqref="BF28:BN28">
    <cfRule type="cellIs" dxfId="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41"/>
  <dimension ref="A1:W34"/>
  <sheetViews>
    <sheetView workbookViewId="0">
      <selection activeCell="B3" sqref="B3"/>
    </sheetView>
  </sheetViews>
  <sheetFormatPr defaultRowHeight="12.75"/>
  <cols>
    <col min="3" max="3" width="10.28515625" bestFit="1" customWidth="1"/>
    <col min="4" max="4" width="3.28515625" bestFit="1" customWidth="1"/>
    <col min="5" max="23" width="3.28515625" customWidth="1"/>
  </cols>
  <sheetData>
    <row r="1" spans="1:23">
      <c r="A1" t="s">
        <v>130</v>
      </c>
    </row>
    <row r="2" spans="1:23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42"/>
  <dimension ref="A2:W202"/>
  <sheetViews>
    <sheetView workbookViewId="0">
      <selection activeCell="A2" sqref="A2:O14"/>
    </sheetView>
  </sheetViews>
  <sheetFormatPr defaultRowHeight="12.75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264</v>
      </c>
    </row>
    <row r="3" spans="1:23">
      <c r="B3" s="106">
        <f t="shared" ref="B3:O3" ca="1" si="0">SUM(B4:B14)</f>
        <v>19</v>
      </c>
      <c r="C3" s="106">
        <f t="shared" ca="1" si="0"/>
        <v>20</v>
      </c>
      <c r="D3" s="106">
        <f t="shared" ca="1" si="0"/>
        <v>20</v>
      </c>
      <c r="E3" s="106">
        <f t="shared" ca="1" si="0"/>
        <v>20</v>
      </c>
      <c r="F3" s="106">
        <f t="shared" ca="1" si="0"/>
        <v>20</v>
      </c>
      <c r="G3" s="106">
        <f t="shared" ca="1" si="0"/>
        <v>20</v>
      </c>
      <c r="H3" s="106">
        <f t="shared" ca="1" si="0"/>
        <v>20</v>
      </c>
      <c r="I3" s="106">
        <f t="shared" ca="1" si="0"/>
        <v>0</v>
      </c>
      <c r="J3" s="106">
        <f t="shared" ca="1" si="0"/>
        <v>0</v>
      </c>
      <c r="K3" s="106">
        <f t="shared" ca="1" si="0"/>
        <v>0</v>
      </c>
      <c r="L3" s="106">
        <f t="shared" ca="1" si="0"/>
        <v>0</v>
      </c>
      <c r="M3" s="106">
        <f t="shared" ca="1" si="0"/>
        <v>0</v>
      </c>
      <c r="N3" s="106">
        <f t="shared" ca="1" si="0"/>
        <v>0</v>
      </c>
      <c r="O3" s="106">
        <f t="shared" ca="1" si="0"/>
        <v>139</v>
      </c>
      <c r="P3" s="2"/>
      <c r="Q3" s="2"/>
      <c r="R3" s="2"/>
      <c r="S3" s="2"/>
      <c r="T3" s="2"/>
      <c r="U3" s="2"/>
      <c r="V3" s="2"/>
      <c r="W3" s="2"/>
    </row>
    <row r="4" spans="1:23">
      <c r="A4" s="88" t="str">
        <f>A$159</f>
        <v>Southeastern</v>
      </c>
      <c r="B4" s="86">
        <f t="shared" ref="B4:N14" ca="1" si="1">SUMIF($A$19:$A$201,$A4,B$19:B$201)</f>
        <v>7</v>
      </c>
      <c r="C4" s="86">
        <f t="shared" ca="1" si="1"/>
        <v>6</v>
      </c>
      <c r="D4" s="86">
        <f t="shared" ca="1" si="1"/>
        <v>7</v>
      </c>
      <c r="E4" s="86">
        <f t="shared" ca="1" si="1"/>
        <v>8</v>
      </c>
      <c r="F4" s="86">
        <f t="shared" ca="1" si="1"/>
        <v>2</v>
      </c>
      <c r="G4" s="86">
        <f t="shared" ca="1" si="1"/>
        <v>8</v>
      </c>
      <c r="H4" s="86">
        <f t="shared" ca="1" si="1"/>
        <v>7</v>
      </c>
      <c r="I4" s="86">
        <f t="shared" ca="1" si="1"/>
        <v>0</v>
      </c>
      <c r="J4" s="86">
        <f t="shared" ca="1" si="1"/>
        <v>0</v>
      </c>
      <c r="K4" s="86">
        <f t="shared" ca="1" si="1"/>
        <v>0</v>
      </c>
      <c r="L4" s="86">
        <f t="shared" ca="1" si="1"/>
        <v>0</v>
      </c>
      <c r="M4" s="86">
        <f t="shared" ca="1" si="1"/>
        <v>0</v>
      </c>
      <c r="N4" s="86">
        <f t="shared" ca="1" si="1"/>
        <v>0</v>
      </c>
      <c r="O4" s="92">
        <f t="shared" ref="O4:O14" ca="1" si="2">SUM(B4:N4)</f>
        <v>45</v>
      </c>
      <c r="P4" s="2"/>
      <c r="Q4" s="2"/>
      <c r="R4" s="2"/>
      <c r="S4" s="2"/>
      <c r="T4" s="2"/>
      <c r="U4" s="2"/>
      <c r="V4" s="2"/>
      <c r="W4" s="2"/>
    </row>
    <row r="5" spans="1:23">
      <c r="A5" s="88" t="str">
        <f>A$19</f>
        <v>Atlantic Coast</v>
      </c>
      <c r="B5" s="86">
        <f t="shared" ca="1" si="1"/>
        <v>5</v>
      </c>
      <c r="C5" s="86">
        <f t="shared" ca="1" si="1"/>
        <v>6</v>
      </c>
      <c r="D5" s="86">
        <f t="shared" ca="1" si="1"/>
        <v>2</v>
      </c>
      <c r="E5" s="86">
        <f t="shared" ca="1" si="1"/>
        <v>4</v>
      </c>
      <c r="F5" s="86">
        <f t="shared" ca="1" si="1"/>
        <v>6</v>
      </c>
      <c r="G5" s="86">
        <f t="shared" ca="1" si="1"/>
        <v>4</v>
      </c>
      <c r="H5" s="86">
        <f t="shared" ca="1" si="1"/>
        <v>2</v>
      </c>
      <c r="I5" s="86">
        <f t="shared" ca="1" si="1"/>
        <v>0</v>
      </c>
      <c r="J5" s="86">
        <f t="shared" ca="1" si="1"/>
        <v>0</v>
      </c>
      <c r="K5" s="86">
        <f t="shared" ca="1" si="1"/>
        <v>0</v>
      </c>
      <c r="L5" s="86">
        <f t="shared" ca="1" si="1"/>
        <v>0</v>
      </c>
      <c r="M5" s="86">
        <f t="shared" ca="1" si="1"/>
        <v>0</v>
      </c>
      <c r="N5" s="86">
        <f t="shared" ca="1" si="1"/>
        <v>0</v>
      </c>
      <c r="O5" s="92">
        <f t="shared" ca="1" si="2"/>
        <v>29</v>
      </c>
    </row>
    <row r="6" spans="1:23">
      <c r="A6" s="88" t="str">
        <f>A$66</f>
        <v>Big Ten</v>
      </c>
      <c r="B6" s="86">
        <f t="shared" ca="1" si="1"/>
        <v>1</v>
      </c>
      <c r="C6" s="86">
        <f t="shared" ca="1" si="1"/>
        <v>3</v>
      </c>
      <c r="D6" s="86">
        <f t="shared" ca="1" si="1"/>
        <v>3</v>
      </c>
      <c r="E6" s="86">
        <f t="shared" ca="1" si="1"/>
        <v>4</v>
      </c>
      <c r="F6" s="86">
        <f t="shared" ca="1" si="1"/>
        <v>4</v>
      </c>
      <c r="G6" s="86">
        <f t="shared" ca="1" si="1"/>
        <v>2</v>
      </c>
      <c r="H6" s="86">
        <f t="shared" ca="1" si="1"/>
        <v>4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21</v>
      </c>
    </row>
    <row r="7" spans="1:23">
      <c r="A7" s="88" t="str">
        <f>A$144</f>
        <v>Pacific 12</v>
      </c>
      <c r="B7" s="86">
        <f t="shared" ca="1" si="1"/>
        <v>2</v>
      </c>
      <c r="C7" s="86">
        <f t="shared" ca="1" si="1"/>
        <v>1</v>
      </c>
      <c r="D7" s="86">
        <f t="shared" ca="1" si="1"/>
        <v>3</v>
      </c>
      <c r="E7" s="86">
        <f t="shared" ca="1" si="1"/>
        <v>2</v>
      </c>
      <c r="F7" s="86">
        <f t="shared" ca="1" si="1"/>
        <v>4</v>
      </c>
      <c r="G7" s="86">
        <f t="shared" ca="1" si="1"/>
        <v>4</v>
      </c>
      <c r="H7" s="86">
        <f t="shared" ca="1" si="1"/>
        <v>3</v>
      </c>
      <c r="I7" s="86">
        <f t="shared" ca="1" si="1"/>
        <v>0</v>
      </c>
      <c r="J7" s="86">
        <f t="shared" ca="1" si="1"/>
        <v>0</v>
      </c>
      <c r="K7" s="86">
        <f t="shared" ca="1" si="1"/>
        <v>0</v>
      </c>
      <c r="L7" s="86">
        <f t="shared" ca="1" si="1"/>
        <v>0</v>
      </c>
      <c r="M7" s="86">
        <f t="shared" ca="1" si="1"/>
        <v>0</v>
      </c>
      <c r="N7" s="86">
        <f t="shared" ca="1" si="1"/>
        <v>0</v>
      </c>
      <c r="O7" s="92">
        <f t="shared" ca="1" si="2"/>
        <v>19</v>
      </c>
    </row>
    <row r="8" spans="1:23">
      <c r="A8" s="88" t="str">
        <f>A$36</f>
        <v>Big 12</v>
      </c>
      <c r="B8" s="86">
        <f t="shared" ca="1" si="1"/>
        <v>2</v>
      </c>
      <c r="C8" s="86">
        <f t="shared" ca="1" si="1"/>
        <v>2</v>
      </c>
      <c r="D8" s="86">
        <f t="shared" ca="1" si="1"/>
        <v>1</v>
      </c>
      <c r="E8" s="86">
        <f t="shared" ca="1" si="1"/>
        <v>2</v>
      </c>
      <c r="F8" s="86">
        <f t="shared" ca="1" si="1"/>
        <v>4</v>
      </c>
      <c r="G8" s="86">
        <f t="shared" ca="1" si="1"/>
        <v>2</v>
      </c>
      <c r="H8" s="86">
        <f t="shared" ca="1" si="1"/>
        <v>2</v>
      </c>
      <c r="I8" s="86">
        <f t="shared" ca="1" si="1"/>
        <v>0</v>
      </c>
      <c r="J8" s="86">
        <f t="shared" ca="1" si="1"/>
        <v>0</v>
      </c>
      <c r="K8" s="86">
        <f t="shared" ca="1" si="1"/>
        <v>0</v>
      </c>
      <c r="L8" s="86">
        <f t="shared" ca="1" si="1"/>
        <v>0</v>
      </c>
      <c r="M8" s="86">
        <f t="shared" ca="1" si="1"/>
        <v>0</v>
      </c>
      <c r="N8" s="86">
        <f t="shared" ca="1" si="1"/>
        <v>0</v>
      </c>
      <c r="O8" s="92">
        <f t="shared" ca="1" si="2"/>
        <v>15</v>
      </c>
    </row>
    <row r="9" spans="1:23">
      <c r="A9" s="88" t="str">
        <f>A$99</f>
        <v>Independents</v>
      </c>
      <c r="B9" s="86">
        <f t="shared" ca="1" si="1"/>
        <v>1</v>
      </c>
      <c r="C9" s="86">
        <f t="shared" ca="1" si="1"/>
        <v>1</v>
      </c>
      <c r="D9" s="86">
        <f t="shared" ca="1" si="1"/>
        <v>1</v>
      </c>
      <c r="E9" s="86">
        <f t="shared" ca="1" si="1"/>
        <v>0</v>
      </c>
      <c r="F9" s="86">
        <f t="shared" ca="1" si="1"/>
        <v>0</v>
      </c>
      <c r="G9" s="86">
        <f t="shared" ca="1" si="1"/>
        <v>0</v>
      </c>
      <c r="H9" s="86">
        <f t="shared" ca="1" si="1"/>
        <v>2</v>
      </c>
      <c r="I9" s="86">
        <f t="shared" ca="1" si="1"/>
        <v>0</v>
      </c>
      <c r="J9" s="86">
        <f t="shared" ca="1" si="1"/>
        <v>0</v>
      </c>
      <c r="K9" s="86">
        <f t="shared" ca="1" si="1"/>
        <v>0</v>
      </c>
      <c r="L9" s="86">
        <f t="shared" ca="1" si="1"/>
        <v>0</v>
      </c>
      <c r="M9" s="86">
        <f t="shared" ca="1" si="1"/>
        <v>0</v>
      </c>
      <c r="N9" s="86">
        <f t="shared" ca="1" si="1"/>
        <v>0</v>
      </c>
      <c r="O9" s="92">
        <f t="shared" ca="1" si="2"/>
        <v>5</v>
      </c>
    </row>
    <row r="10" spans="1:23">
      <c r="A10" s="88" t="str">
        <f>A$129</f>
        <v>Mountain West</v>
      </c>
      <c r="B10" s="86">
        <f t="shared" ca="1" si="1"/>
        <v>0</v>
      </c>
      <c r="C10" s="86">
        <f t="shared" ca="1" si="1"/>
        <v>0</v>
      </c>
      <c r="D10" s="86">
        <f t="shared" ca="1" si="1"/>
        <v>0</v>
      </c>
      <c r="E10" s="86">
        <f t="shared" ca="1" si="1"/>
        <v>0</v>
      </c>
      <c r="F10" s="86">
        <f t="shared" ca="1" si="1"/>
        <v>0</v>
      </c>
      <c r="G10" s="86">
        <f t="shared" ca="1" si="1"/>
        <v>0</v>
      </c>
      <c r="H10" s="86">
        <f t="shared" ca="1" si="1"/>
        <v>0</v>
      </c>
      <c r="I10" s="86">
        <f t="shared" ca="1" si="1"/>
        <v>0</v>
      </c>
      <c r="J10" s="86">
        <f t="shared" ca="1" si="1"/>
        <v>0</v>
      </c>
      <c r="K10" s="86">
        <f t="shared" ca="1" si="1"/>
        <v>0</v>
      </c>
      <c r="L10" s="86">
        <f t="shared" ca="1" si="1"/>
        <v>0</v>
      </c>
      <c r="M10" s="86">
        <f t="shared" ca="1" si="1"/>
        <v>0</v>
      </c>
      <c r="N10" s="86">
        <f t="shared" ca="1" si="1"/>
        <v>0</v>
      </c>
      <c r="O10" s="92">
        <f t="shared" ca="1" si="2"/>
        <v>0</v>
      </c>
    </row>
    <row r="11" spans="1:23">
      <c r="A11" s="88" t="str">
        <f>A$52</f>
        <v>American Athletic</v>
      </c>
      <c r="B11" s="86">
        <f t="shared" ca="1" si="1"/>
        <v>1</v>
      </c>
      <c r="C11" s="86">
        <f t="shared" ca="1" si="1"/>
        <v>1</v>
      </c>
      <c r="D11" s="86">
        <f t="shared" ca="1" si="1"/>
        <v>3</v>
      </c>
      <c r="E11" s="86">
        <f t="shared" ca="1" si="1"/>
        <v>0</v>
      </c>
      <c r="F11" s="86">
        <f t="shared" ca="1" si="1"/>
        <v>0</v>
      </c>
      <c r="G11" s="86">
        <f t="shared" ca="1" si="1"/>
        <v>0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5</v>
      </c>
    </row>
    <row r="12" spans="1:23">
      <c r="A12" s="88" t="str">
        <f>A$82</f>
        <v>Conference USA</v>
      </c>
      <c r="B12" s="86">
        <f t="shared" ca="1" si="1"/>
        <v>0</v>
      </c>
      <c r="C12" s="86">
        <f t="shared" ca="1" si="1"/>
        <v>0</v>
      </c>
      <c r="D12" s="86">
        <f t="shared" ca="1" si="1"/>
        <v>0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0</v>
      </c>
    </row>
    <row r="13" spans="1:23">
      <c r="A13" s="88" t="str">
        <f>A$178</f>
        <v>Sun Belt</v>
      </c>
      <c r="B13" s="86">
        <f t="shared" ca="1" si="1"/>
        <v>0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0</v>
      </c>
    </row>
    <row r="14" spans="1:23">
      <c r="A14" s="88" t="str">
        <f>A$114</f>
        <v>Mid American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>
      <c r="O15"/>
    </row>
    <row r="19" spans="1:15" s="28" customFormat="1" ht="13.5" thickBot="1">
      <c r="A19" s="94" t="s">
        <v>177</v>
      </c>
      <c r="B19" s="89">
        <f ca="1">SUM(B20:B34)</f>
        <v>5</v>
      </c>
      <c r="C19" s="89">
        <f t="shared" ref="C19:N19" ca="1" si="3">SUM(C20:C34)</f>
        <v>6</v>
      </c>
      <c r="D19" s="89">
        <f t="shared" ca="1" si="3"/>
        <v>2</v>
      </c>
      <c r="E19" s="89">
        <f t="shared" ca="1" si="3"/>
        <v>4</v>
      </c>
      <c r="F19" s="89">
        <f t="shared" ca="1" si="3"/>
        <v>6</v>
      </c>
      <c r="G19" s="89">
        <f t="shared" ca="1" si="3"/>
        <v>4</v>
      </c>
      <c r="H19" s="89">
        <f t="shared" ca="1" si="3"/>
        <v>2</v>
      </c>
      <c r="I19" s="89">
        <f t="shared" ca="1" si="3"/>
        <v>0</v>
      </c>
      <c r="J19" s="89">
        <f t="shared" ca="1" si="3"/>
        <v>0</v>
      </c>
      <c r="K19" s="89">
        <f t="shared" ca="1" si="3"/>
        <v>0</v>
      </c>
      <c r="L19" s="89">
        <f t="shared" ca="1" si="3"/>
        <v>0</v>
      </c>
      <c r="M19" s="89">
        <f t="shared" ca="1" si="3"/>
        <v>0</v>
      </c>
      <c r="N19" s="89">
        <f t="shared" ca="1" si="3"/>
        <v>0</v>
      </c>
      <c r="O19" s="91"/>
    </row>
    <row r="20" spans="1:15">
      <c r="A20" s="95" t="s">
        <v>156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0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0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0</v>
      </c>
      <c r="J20" s="86">
        <f ca="1">COUNTIF(INDIRECT(ADDRESS(3,2,1,,J$2)):INDIRECT(ADDRESS(22,2,1,,J$2)),$A20)</f>
        <v>0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0</v>
      </c>
      <c r="N20" s="86">
        <f ca="1">COUNTIF(INDIRECT(ADDRESS(3,2,1,,N$2)):INDIRECT(ADDRESS(22,2,1,,N$2)),$A20)</f>
        <v>0</v>
      </c>
      <c r="O20" s="92">
        <f t="shared" ref="O20:O33" ca="1" si="4">SUM(B20:N20)</f>
        <v>3</v>
      </c>
    </row>
    <row r="21" spans="1:15">
      <c r="A21" s="95" t="s">
        <v>155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1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0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0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0</v>
      </c>
      <c r="O21" s="92">
        <f t="shared" ca="1" si="4"/>
        <v>4</v>
      </c>
    </row>
    <row r="22" spans="1:15">
      <c r="A22" s="95" t="s">
        <v>139</v>
      </c>
      <c r="B22" s="86">
        <f ca="1">COUNTIF(INDIRECT(ADDRESS(3,2,1,,B$2)):INDIRECT(ADDRESS(22,2,1,,B$2)),$A22)</f>
        <v>1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1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3</v>
      </c>
    </row>
    <row r="23" spans="1:15">
      <c r="A23" s="95" t="s">
        <v>164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1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1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1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6</v>
      </c>
    </row>
    <row r="24" spans="1:15">
      <c r="A24" s="95" t="s">
        <v>193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1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0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0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0</v>
      </c>
      <c r="O24" s="92">
        <f t="shared" ca="1" si="4"/>
        <v>2</v>
      </c>
    </row>
    <row r="25" spans="1:15">
      <c r="A25" s="95" t="s">
        <v>157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1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1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0</v>
      </c>
      <c r="O25" s="92">
        <f t="shared" ca="1" si="4"/>
        <v>3</v>
      </c>
    </row>
    <row r="26" spans="1:15">
      <c r="A26" s="95" t="s">
        <v>180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0</v>
      </c>
      <c r="O26" s="92">
        <f t="shared" ca="1" si="4"/>
        <v>0</v>
      </c>
    </row>
    <row r="27" spans="1:15">
      <c r="A27" s="95" t="s">
        <v>167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1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1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0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0</v>
      </c>
      <c r="O27" s="92">
        <f t="shared" ca="1" si="4"/>
        <v>2</v>
      </c>
    </row>
    <row r="28" spans="1:15">
      <c r="A28" s="95" t="s">
        <v>192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1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1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0</v>
      </c>
      <c r="O28" s="92">
        <f t="shared" ca="1" si="4"/>
        <v>3</v>
      </c>
    </row>
    <row r="29" spans="1:15">
      <c r="A29" s="95" t="s">
        <v>169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1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0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1</v>
      </c>
    </row>
    <row r="30" spans="1:15">
      <c r="A30" s="95" t="s">
        <v>181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0</v>
      </c>
    </row>
    <row r="31" spans="1:15">
      <c r="A31" s="95" t="s">
        <v>144</v>
      </c>
      <c r="B31" s="86">
        <f ca="1">COUNTIF(INDIRECT(ADDRESS(3,2,1,,B$2)):INDIRECT(ADDRESS(22,2,1,,B$2)),$A31)</f>
        <v>1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1</v>
      </c>
    </row>
    <row r="32" spans="1:15">
      <c r="A32" s="95" t="s">
        <v>146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1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0</v>
      </c>
      <c r="L32" s="86">
        <f ca="1">COUNTIF(INDIRECT(ADDRESS(3,2,1,,L$2)):INDIRECT(ADDRESS(22,2,1,,L$2)),$A32)</f>
        <v>0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1</v>
      </c>
    </row>
    <row r="33" spans="1:23">
      <c r="A33" s="95" t="s">
        <v>143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0</v>
      </c>
    </row>
    <row r="36" spans="1:23" ht="13.5" thickBot="1">
      <c r="A36" s="94" t="s">
        <v>178</v>
      </c>
      <c r="B36" s="89">
        <f t="shared" ref="B36:N36" ca="1" si="5">SUM(B37:B49)</f>
        <v>2</v>
      </c>
      <c r="C36" s="89">
        <f t="shared" ca="1" si="5"/>
        <v>2</v>
      </c>
      <c r="D36" s="89">
        <f t="shared" ca="1" si="5"/>
        <v>1</v>
      </c>
      <c r="E36" s="89">
        <f t="shared" ca="1" si="5"/>
        <v>2</v>
      </c>
      <c r="F36" s="89">
        <f t="shared" ca="1" si="5"/>
        <v>4</v>
      </c>
      <c r="G36" s="89">
        <f t="shared" ca="1" si="5"/>
        <v>2</v>
      </c>
      <c r="H36" s="89">
        <f t="shared" ca="1" si="5"/>
        <v>2</v>
      </c>
      <c r="I36" s="89">
        <f t="shared" ca="1" si="5"/>
        <v>0</v>
      </c>
      <c r="J36" s="89">
        <f t="shared" ca="1" si="5"/>
        <v>0</v>
      </c>
      <c r="K36" s="89">
        <f t="shared" ca="1" si="5"/>
        <v>0</v>
      </c>
      <c r="L36" s="89">
        <f t="shared" ca="1" si="5"/>
        <v>0</v>
      </c>
      <c r="M36" s="89">
        <f t="shared" ca="1" si="5"/>
        <v>0</v>
      </c>
      <c r="N36" s="89">
        <f t="shared" ca="1" si="5"/>
        <v>0</v>
      </c>
      <c r="O36" s="91"/>
    </row>
    <row r="37" spans="1:23" s="28" customFormat="1">
      <c r="A37" s="95" t="s">
        <v>158</v>
      </c>
      <c r="B37" s="86">
        <f ca="1">COUNTIF(INDIRECT(ADDRESS(3,2,1,,B$2)):INDIRECT(ADDRESS(22,2,1,,B$2)),$A37)</f>
        <v>1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1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1</v>
      </c>
      <c r="G37" s="86">
        <f ca="1">COUNTIF(INDIRECT(ADDRESS(3,2,1,,G$2)):INDIRECT(ADDRESS(22,2,1,,G$2)),$A37)</f>
        <v>1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4</v>
      </c>
    </row>
    <row r="38" spans="1:23">
      <c r="A38" s="95" t="s">
        <v>147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1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0</v>
      </c>
      <c r="O38" s="92">
        <f t="shared" ca="1" si="6"/>
        <v>2</v>
      </c>
      <c r="P38" s="2"/>
      <c r="Q38" s="2"/>
      <c r="R38" s="2"/>
      <c r="S38" s="2"/>
      <c r="T38" s="2"/>
      <c r="U38" s="2"/>
      <c r="V38" s="2"/>
      <c r="W38" s="2"/>
    </row>
    <row r="39" spans="1:23">
      <c r="A39" s="95" t="s">
        <v>234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1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1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0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2</v>
      </c>
    </row>
    <row r="40" spans="1:23">
      <c r="A40" s="95" t="s">
        <v>186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1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1</v>
      </c>
    </row>
    <row r="41" spans="1:23">
      <c r="A41" s="95" t="s">
        <v>189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1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1</v>
      </c>
    </row>
    <row r="42" spans="1:23">
      <c r="A42" s="95" t="s">
        <v>187</v>
      </c>
      <c r="B42" s="86">
        <f ca="1">COUNTIF(INDIRECT(ADDRESS(3,2,1,,B$2)):INDIRECT(ADDRESS(22,2,1,,B$2)),$A42)</f>
        <v>1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1</v>
      </c>
      <c r="G42" s="86">
        <f ca="1">COUNTIF(INDIRECT(ADDRESS(3,2,1,,G$2)):INDIRECT(ADDRESS(22,2,1,,G$2)),$A42)</f>
        <v>1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3</v>
      </c>
    </row>
    <row r="43" spans="1:23">
      <c r="A43" s="95" t="s">
        <v>195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1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1</v>
      </c>
    </row>
    <row r="44" spans="1:23">
      <c r="A44" s="95" t="s">
        <v>151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0</v>
      </c>
    </row>
    <row r="45" spans="1:23">
      <c r="A45" s="95" t="s">
        <v>182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1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1</v>
      </c>
    </row>
    <row r="46" spans="1:23">
      <c r="A46" s="95" t="s">
        <v>183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0</v>
      </c>
    </row>
    <row r="47" spans="1:23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>
      <c r="A52" s="94" t="s">
        <v>283</v>
      </c>
      <c r="B52" s="89">
        <f t="shared" ref="B52:N52" ca="1" si="7">SUM(B53:B64)</f>
        <v>1</v>
      </c>
      <c r="C52" s="89">
        <f t="shared" ca="1" si="7"/>
        <v>1</v>
      </c>
      <c r="D52" s="89">
        <f t="shared" ca="1" si="7"/>
        <v>3</v>
      </c>
      <c r="E52" s="89">
        <f t="shared" ca="1" si="7"/>
        <v>0</v>
      </c>
      <c r="F52" s="89">
        <f t="shared" ca="1" si="7"/>
        <v>0</v>
      </c>
      <c r="G52" s="89">
        <f t="shared" ca="1" si="7"/>
        <v>0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>
      <c r="A53" s="95" t="s">
        <v>190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1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1</v>
      </c>
    </row>
    <row r="54" spans="1:15">
      <c r="A54" s="95" t="s">
        <v>210</v>
      </c>
      <c r="B54" s="86">
        <f ca="1">COUNTIF(INDIRECT(ADDRESS(3,2,1,,B$2)):INDIRECT(ADDRESS(22,2,1,,B$2)),$A54)</f>
        <v>1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2</v>
      </c>
    </row>
    <row r="55" spans="1:15">
      <c r="A55" s="95" t="s">
        <v>209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>
      <c r="A56" s="95" t="s">
        <v>224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>
      <c r="A57" s="95" t="s">
        <v>207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>
      <c r="A58" s="95" t="s">
        <v>213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>
      <c r="A59" s="95" t="s">
        <v>165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1</v>
      </c>
      <c r="D59" s="86">
        <f ca="1">COUNTIF(INDIRECT(ADDRESS(3,2,1,,D$2)):INDIRECT(ADDRESS(22,2,1,,D$2)),$A59)</f>
        <v>1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2</v>
      </c>
    </row>
    <row r="60" spans="1:15">
      <c r="A60" s="95" t="s">
        <v>191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>
      <c r="A61" s="95" t="s">
        <v>214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>
      <c r="A62" s="95" t="s">
        <v>166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>
      <c r="A63" s="95" t="s">
        <v>212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5" thickBot="1">
      <c r="A66" s="94" t="s">
        <v>170</v>
      </c>
      <c r="B66" s="89">
        <f t="shared" ref="B66:N66" ca="1" si="9">SUM(B67:B79)</f>
        <v>1</v>
      </c>
      <c r="C66" s="89">
        <f t="shared" ca="1" si="9"/>
        <v>3</v>
      </c>
      <c r="D66" s="89">
        <f t="shared" ca="1" si="9"/>
        <v>3</v>
      </c>
      <c r="E66" s="89">
        <f t="shared" ca="1" si="9"/>
        <v>4</v>
      </c>
      <c r="F66" s="89">
        <f t="shared" ca="1" si="9"/>
        <v>4</v>
      </c>
      <c r="G66" s="89">
        <f t="shared" ca="1" si="9"/>
        <v>2</v>
      </c>
      <c r="H66" s="89">
        <f t="shared" ca="1" si="9"/>
        <v>4</v>
      </c>
      <c r="I66" s="89">
        <f t="shared" ca="1" si="9"/>
        <v>0</v>
      </c>
      <c r="J66" s="89">
        <f t="shared" ca="1" si="9"/>
        <v>0</v>
      </c>
      <c r="K66" s="89">
        <f t="shared" ca="1" si="9"/>
        <v>0</v>
      </c>
      <c r="L66" s="89">
        <f t="shared" ca="1" si="9"/>
        <v>0</v>
      </c>
      <c r="M66" s="89">
        <f t="shared" ca="1" si="9"/>
        <v>0</v>
      </c>
      <c r="N66" s="89">
        <f t="shared" ca="1" si="9"/>
        <v>0</v>
      </c>
      <c r="O66" s="91"/>
    </row>
    <row r="67" spans="1:15">
      <c r="A67" s="95" t="s">
        <v>162</v>
      </c>
      <c r="B67" s="86">
        <f ca="1">COUNTIF(INDIRECT(ADDRESS(3,2,1,,B$2)):INDIRECT(ADDRESS(22,2,1,,B$2)),$A67)</f>
        <v>0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0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80" ca="1" si="10">SUM(B67:N67)</f>
        <v>1</v>
      </c>
    </row>
    <row r="68" spans="1:15">
      <c r="A68" s="95" t="s">
        <v>198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0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1</v>
      </c>
    </row>
    <row r="69" spans="1:15">
      <c r="A69" s="95" t="s">
        <v>205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1</v>
      </c>
      <c r="F69" s="86">
        <f ca="1">COUNTIF(INDIRECT(ADDRESS(3,2,1,,F$2)):INDIRECT(ADDRESS(22,2,1,,F$2)),$A69)</f>
        <v>1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1</v>
      </c>
      <c r="I69" s="86">
        <f ca="1">COUNTIF(INDIRECT(ADDRESS(3,2,1,,I$2)):INDIRECT(ADDRESS(22,2,1,,I$2)),$A69)</f>
        <v>0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2">
        <f t="shared" ca="1" si="10"/>
        <v>4</v>
      </c>
    </row>
    <row r="70" spans="1:15">
      <c r="A70" s="95" t="s">
        <v>185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1</v>
      </c>
      <c r="E70" s="86">
        <f ca="1">COUNTIF(INDIRECT(ADDRESS(3,2,1,,E$2)):INDIRECT(ADDRESS(22,2,1,,E$2)),$A70)</f>
        <v>1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1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3</v>
      </c>
    </row>
    <row r="71" spans="1:15">
      <c r="A71" s="95" t="s">
        <v>199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1</v>
      </c>
      <c r="E71" s="86">
        <f ca="1">COUNTIF(INDIRECT(ADDRESS(3,2,1,,E$2)):INDIRECT(ADDRESS(22,2,1,,E$2)),$A71)</f>
        <v>1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2</v>
      </c>
    </row>
    <row r="72" spans="1:15">
      <c r="A72" s="95" t="s">
        <v>203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1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1</v>
      </c>
      <c r="G72" s="86">
        <f ca="1">COUNTIF(INDIRECT(ADDRESS(3,2,1,,G$2)):INDIRECT(ADDRESS(22,2,1,,G$2)),$A72)</f>
        <v>1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0</v>
      </c>
      <c r="O72" s="92">
        <f t="shared" ca="1" si="10"/>
        <v>3</v>
      </c>
    </row>
    <row r="73" spans="1:15">
      <c r="A73" s="95" t="s">
        <v>202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1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1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2</v>
      </c>
    </row>
    <row r="74" spans="1:15">
      <c r="A74" s="95" t="s">
        <v>201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1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1</v>
      </c>
    </row>
    <row r="75" spans="1:15">
      <c r="A75" s="95" t="s">
        <v>196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1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1</v>
      </c>
    </row>
    <row r="76" spans="1:15">
      <c r="A76" s="95" t="s">
        <v>200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1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1</v>
      </c>
    </row>
    <row r="77" spans="1:15">
      <c r="A77" s="95" t="s">
        <v>197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1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t="shared" ca="1" si="10"/>
        <v>1</v>
      </c>
    </row>
    <row r="78" spans="1:15">
      <c r="A78" s="95" t="s">
        <v>204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0</v>
      </c>
    </row>
    <row r="79" spans="1:15">
      <c r="A79" s="95" t="s">
        <v>179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1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>
      <c r="A80" s="95" t="s">
        <v>194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5" thickBot="1">
      <c r="A82" s="94" t="s">
        <v>171</v>
      </c>
      <c r="B82" s="89">
        <f t="shared" ref="B82:N82" ca="1" si="11">SUM(B83:B97)</f>
        <v>0</v>
      </c>
      <c r="C82" s="89">
        <f t="shared" ca="1" si="11"/>
        <v>0</v>
      </c>
      <c r="D82" s="89">
        <f t="shared" ca="1" si="11"/>
        <v>0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>
      <c r="A83" s="95" t="s">
        <v>208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>
      <c r="A84" s="95" t="s">
        <v>250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>
      <c r="A85" s="95" t="s">
        <v>251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>
      <c r="A86" s="95" t="s">
        <v>259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0</v>
      </c>
    </row>
    <row r="87" spans="1:15">
      <c r="A87" s="95" t="s">
        <v>253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>
      <c r="A88" s="95" t="s">
        <v>254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>
      <c r="A89" s="95" t="s">
        <v>285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>
      <c r="A90" s="95" t="s">
        <v>211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>
      <c r="A91" s="95" t="s">
        <v>163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>
      <c r="A92" s="95" t="s">
        <v>284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>
      <c r="A93" s="95" t="s">
        <v>282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>
      <c r="A94" s="95" t="s">
        <v>217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>
      <c r="A95" s="95" t="s">
        <v>206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5" thickBot="1">
      <c r="A99" s="94" t="s">
        <v>172</v>
      </c>
      <c r="B99" s="89">
        <f t="shared" ref="B99:N99" ca="1" si="13">SUM(B100:B112)</f>
        <v>1</v>
      </c>
      <c r="C99" s="89">
        <f t="shared" ca="1" si="13"/>
        <v>1</v>
      </c>
      <c r="D99" s="89">
        <f t="shared" ca="1" si="13"/>
        <v>1</v>
      </c>
      <c r="E99" s="89">
        <f t="shared" ca="1" si="13"/>
        <v>0</v>
      </c>
      <c r="F99" s="89">
        <f t="shared" ca="1" si="13"/>
        <v>0</v>
      </c>
      <c r="G99" s="89">
        <f t="shared" ca="1" si="13"/>
        <v>0</v>
      </c>
      <c r="H99" s="89">
        <f t="shared" ca="1" si="13"/>
        <v>2</v>
      </c>
      <c r="I99" s="89">
        <f t="shared" ca="1" si="13"/>
        <v>0</v>
      </c>
      <c r="J99" s="89">
        <f t="shared" ca="1" si="13"/>
        <v>0</v>
      </c>
      <c r="K99" s="89">
        <f t="shared" ca="1" si="13"/>
        <v>0</v>
      </c>
      <c r="L99" s="89">
        <f t="shared" ca="1" si="13"/>
        <v>0</v>
      </c>
      <c r="M99" s="89">
        <f t="shared" ca="1" si="13"/>
        <v>0</v>
      </c>
      <c r="N99" s="89">
        <f t="shared" ca="1" si="13"/>
        <v>0</v>
      </c>
      <c r="O99" s="91"/>
    </row>
    <row r="100" spans="1:15">
      <c r="A100" s="95" t="s">
        <v>140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0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1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ca="1">SUM(B100:N100)</f>
        <v>3</v>
      </c>
    </row>
    <row r="101" spans="1:15">
      <c r="A101" s="95" t="s">
        <v>273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1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1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2</v>
      </c>
    </row>
    <row r="102" spans="1:15">
      <c r="A102" s="95" t="s">
        <v>216</v>
      </c>
      <c r="B102" s="86">
        <f ca="1">COUNTIF(INDIRECT(ADDRESS(3,2,1,,B$2)):INDIRECT(ADDRESS(22,2,1,,B$2)),$A102)</f>
        <v>0</v>
      </c>
      <c r="C102" s="86">
        <f ca="1">COUNTIF(INDIRECT(ADDRESS(3,2,1,,C$2)):INDIRECT(ADDRESS(22,2,1,,C$2)),$A102)</f>
        <v>0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0</v>
      </c>
    </row>
    <row r="103" spans="1:15">
      <c r="A103" s="95" t="s">
        <v>215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5" thickBot="1">
      <c r="A114" s="94" t="s">
        <v>173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>
      <c r="A115" s="95" t="s">
        <v>218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>
      <c r="A116" s="95" t="s">
        <v>225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>
      <c r="A117" s="95" t="s">
        <v>219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>
      <c r="A118" s="95" t="s">
        <v>220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>
      <c r="A119" s="95" t="s">
        <v>226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>
      <c r="A120" s="95" t="s">
        <v>227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>
      <c r="A121" s="95" t="s">
        <v>221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>
      <c r="A122" s="95" t="s">
        <v>281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>
      <c r="A123" s="95" t="s">
        <v>222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>
      <c r="A124" s="95" t="s">
        <v>228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>
      <c r="A125" s="95" t="s">
        <v>223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>
      <c r="A126" s="95" t="s">
        <v>229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>
      <c r="A127" s="95" t="s">
        <v>230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5" thickBot="1">
      <c r="A129" s="94" t="s">
        <v>174</v>
      </c>
      <c r="B129" s="89">
        <f t="shared" ref="B129:N129" ca="1" si="16">SUM(B130:B142)</f>
        <v>0</v>
      </c>
      <c r="C129" s="89">
        <f t="shared" ca="1" si="16"/>
        <v>0</v>
      </c>
      <c r="D129" s="89">
        <f t="shared" ca="1" si="16"/>
        <v>0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>
      <c r="A130" s="95" t="s">
        <v>168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0</v>
      </c>
    </row>
    <row r="131" spans="1:15">
      <c r="A131" s="95" t="s">
        <v>141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0</v>
      </c>
    </row>
    <row r="132" spans="1:15">
      <c r="A132" s="95" t="s">
        <v>263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0</v>
      </c>
    </row>
    <row r="133" spans="1:15">
      <c r="A133" s="95" t="s">
        <v>257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>
      <c r="A134" s="95" t="s">
        <v>231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>
      <c r="A135" s="95" t="s">
        <v>237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>
      <c r="A136" s="95" t="s">
        <v>256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>
      <c r="A137" s="95" t="s">
        <v>260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>
      <c r="A138" s="95" t="s">
        <v>232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>
      <c r="A139" s="95" t="s">
        <v>233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>
      <c r="A140" s="95" t="s">
        <v>262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>
      <c r="A141" s="95" t="s">
        <v>235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5" thickBot="1">
      <c r="A144" s="94" t="s">
        <v>276</v>
      </c>
      <c r="B144" s="89">
        <f t="shared" ref="B144:N144" ca="1" si="18">SUM(B145:B157)</f>
        <v>2</v>
      </c>
      <c r="C144" s="89">
        <f t="shared" ca="1" si="18"/>
        <v>1</v>
      </c>
      <c r="D144" s="89">
        <f t="shared" ca="1" si="18"/>
        <v>3</v>
      </c>
      <c r="E144" s="89">
        <f t="shared" ca="1" si="18"/>
        <v>2</v>
      </c>
      <c r="F144" s="89">
        <f t="shared" ca="1" si="18"/>
        <v>4</v>
      </c>
      <c r="G144" s="89">
        <f t="shared" ca="1" si="18"/>
        <v>4</v>
      </c>
      <c r="H144" s="89">
        <f t="shared" ca="1" si="18"/>
        <v>3</v>
      </c>
      <c r="I144" s="89">
        <f t="shared" ca="1" si="18"/>
        <v>0</v>
      </c>
      <c r="J144" s="89">
        <f t="shared" ca="1" si="18"/>
        <v>0</v>
      </c>
      <c r="K144" s="89">
        <f t="shared" ca="1" si="18"/>
        <v>0</v>
      </c>
      <c r="L144" s="89">
        <f t="shared" ca="1" si="18"/>
        <v>0</v>
      </c>
      <c r="M144" s="89">
        <f t="shared" ca="1" si="18"/>
        <v>0</v>
      </c>
      <c r="N144" s="89">
        <f t="shared" ca="1" si="18"/>
        <v>0</v>
      </c>
      <c r="O144" s="91"/>
    </row>
    <row r="145" spans="1:15">
      <c r="A145" s="95" t="s">
        <v>236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1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2">
        <f t="shared" ref="O145:O156" ca="1" si="19">SUM(B145:N145)</f>
        <v>2</v>
      </c>
    </row>
    <row r="146" spans="1:15">
      <c r="A146" s="95" t="s">
        <v>241</v>
      </c>
      <c r="B146" s="86">
        <f ca="1">COUNTIF(INDIRECT(ADDRESS(3,2,1,,B$2)):INDIRECT(ADDRESS(22,2,1,,B$2)),$A146)</f>
        <v>1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1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1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3</v>
      </c>
    </row>
    <row r="147" spans="1:15">
      <c r="A147" s="95" t="s">
        <v>242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1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1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0</v>
      </c>
      <c r="N147" s="86">
        <f ca="1">COUNTIF(INDIRECT(ADDRESS(3,2,1,,N$2)):INDIRECT(ADDRESS(22,2,1,,N$2)),$A147)</f>
        <v>0</v>
      </c>
      <c r="O147" s="92">
        <f t="shared" ca="1" si="19"/>
        <v>4</v>
      </c>
    </row>
    <row r="148" spans="1:15">
      <c r="A148" s="95" t="s">
        <v>243</v>
      </c>
      <c r="B148" s="86">
        <f ca="1">COUNTIF(INDIRECT(ADDRESS(3,2,1,,B$2)):INDIRECT(ADDRESS(22,2,1,,B$2)),$A148)</f>
        <v>1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1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2</v>
      </c>
    </row>
    <row r="149" spans="1:15">
      <c r="A149" s="95" t="s">
        <v>154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1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1</v>
      </c>
    </row>
    <row r="150" spans="1:15">
      <c r="A150" s="95" t="s">
        <v>142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1</v>
      </c>
      <c r="H150" s="86">
        <f ca="1">COUNTIF(INDIRECT(ADDRESS(3,2,1,,H$2)):INDIRECT(ADDRESS(22,2,1,,H$2)),$A150)</f>
        <v>1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2">
        <f t="shared" ca="1" si="19"/>
        <v>2</v>
      </c>
    </row>
    <row r="151" spans="1:15">
      <c r="A151" s="95" t="s">
        <v>161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1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1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2</v>
      </c>
    </row>
    <row r="152" spans="1:15">
      <c r="A152" s="95" t="s">
        <v>145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1</v>
      </c>
      <c r="G152" s="86">
        <f ca="1">COUNTIF(INDIRECT(ADDRESS(3,2,1,,G$2)):INDIRECT(ADDRESS(22,2,1,,G$2)),$A152)</f>
        <v>1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2">
        <f t="shared" ca="1" si="19"/>
        <v>2</v>
      </c>
    </row>
    <row r="153" spans="1:15">
      <c r="A153" s="95" t="s">
        <v>238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1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t="shared" ca="1" si="19"/>
        <v>1</v>
      </c>
    </row>
    <row r="154" spans="1:15">
      <c r="A154" s="95" t="s">
        <v>239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>
      <c r="A155" s="95" t="s">
        <v>240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0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t="shared" ca="1" si="19"/>
        <v>0</v>
      </c>
    </row>
    <row r="156" spans="1:15">
      <c r="A156" s="95" t="s">
        <v>244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0</v>
      </c>
    </row>
    <row r="159" spans="1:15" s="28" customFormat="1" ht="13.5" thickBot="1">
      <c r="A159" s="94" t="s">
        <v>175</v>
      </c>
      <c r="B159" s="89">
        <f t="shared" ref="B159:N159" ca="1" si="20">SUM(B160:B172)</f>
        <v>7</v>
      </c>
      <c r="C159" s="89">
        <f t="shared" ca="1" si="20"/>
        <v>6</v>
      </c>
      <c r="D159" s="89">
        <f ca="1">SUM(D160:D173)</f>
        <v>7</v>
      </c>
      <c r="E159" s="89">
        <f t="shared" ca="1" si="20"/>
        <v>8</v>
      </c>
      <c r="F159" s="89">
        <f t="shared" ca="1" si="20"/>
        <v>2</v>
      </c>
      <c r="G159" s="89">
        <f t="shared" ca="1" si="20"/>
        <v>8</v>
      </c>
      <c r="H159" s="89">
        <f t="shared" ca="1" si="20"/>
        <v>7</v>
      </c>
      <c r="I159" s="89">
        <f t="shared" ca="1" si="20"/>
        <v>0</v>
      </c>
      <c r="J159" s="89">
        <f t="shared" ca="1" si="20"/>
        <v>0</v>
      </c>
      <c r="K159" s="89">
        <f t="shared" ca="1" si="20"/>
        <v>0</v>
      </c>
      <c r="L159" s="89">
        <f t="shared" ca="1" si="20"/>
        <v>0</v>
      </c>
      <c r="M159" s="89">
        <f t="shared" ca="1" si="20"/>
        <v>0</v>
      </c>
      <c r="N159" s="89">
        <f t="shared" ca="1" si="20"/>
        <v>0</v>
      </c>
      <c r="O159" s="91"/>
    </row>
    <row r="160" spans="1:15">
      <c r="A160" s="95" t="s">
        <v>150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0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0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0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0</v>
      </c>
      <c r="O160" s="92">
        <f t="shared" ref="O160:O173" ca="1" si="21">SUM(B160:N160)</f>
        <v>5</v>
      </c>
    </row>
    <row r="161" spans="1:15">
      <c r="A161" s="95" t="s">
        <v>245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1</v>
      </c>
      <c r="F161" s="86">
        <f ca="1">COUNTIF(INDIRECT(ADDRESS(3,2,1,,F$2)):INDIRECT(ADDRESS(22,2,1,,F$2)),$A161)</f>
        <v>0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0</v>
      </c>
      <c r="J161" s="86">
        <f ca="1">COUNTIF(INDIRECT(ADDRESS(3,2,1,,J$2)):INDIRECT(ADDRESS(22,2,1,,J$2)),$A161)</f>
        <v>0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0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0</v>
      </c>
      <c r="O161" s="92">
        <f t="shared" ca="1" si="21"/>
        <v>4</v>
      </c>
    </row>
    <row r="162" spans="1:15">
      <c r="A162" s="95" t="s">
        <v>137</v>
      </c>
      <c r="B162" s="86">
        <f ca="1">COUNTIF(INDIRECT(ADDRESS(3,2,1,,B$2)):INDIRECT(ADDRESS(22,2,1,,B$2)),$A162)</f>
        <v>1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0</v>
      </c>
      <c r="K162" s="86">
        <f ca="1">COUNTIF(INDIRECT(ADDRESS(3,2,1,,K$2)):INDIRECT(ADDRESS(22,2,1,,K$2)),$A162)</f>
        <v>0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0</v>
      </c>
      <c r="O162" s="92">
        <f t="shared" ca="1" si="21"/>
        <v>3</v>
      </c>
    </row>
    <row r="163" spans="1:15">
      <c r="A163" s="95" t="s">
        <v>248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0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0</v>
      </c>
      <c r="N163" s="86">
        <f ca="1">COUNTIF(INDIRECT(ADDRESS(3,2,1,,N$2)):INDIRECT(ADDRESS(22,2,1,,N$2)),$A163)</f>
        <v>0</v>
      </c>
      <c r="O163" s="92">
        <f t="shared" ca="1" si="21"/>
        <v>4</v>
      </c>
    </row>
    <row r="164" spans="1:15">
      <c r="A164" s="95" t="s">
        <v>138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1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0</v>
      </c>
      <c r="O164" s="92">
        <f t="shared" ca="1" si="21"/>
        <v>3</v>
      </c>
    </row>
    <row r="165" spans="1:15">
      <c r="A165" s="95" t="s">
        <v>148</v>
      </c>
      <c r="B165" s="86">
        <f ca="1">COUNTIF(INDIRECT(ADDRESS(3,2,1,,B$2)):INDIRECT(ADDRESS(22,2,1,,B$2)),$A165)</f>
        <v>1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1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0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0</v>
      </c>
      <c r="O165" s="92">
        <f t="shared" ca="1" si="21"/>
        <v>4</v>
      </c>
    </row>
    <row r="166" spans="1:15">
      <c r="A166" s="95" t="s">
        <v>159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1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1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0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0</v>
      </c>
      <c r="N166" s="86">
        <f ca="1">COUNTIF(INDIRECT(ADDRESS(3,2,1,,N$2)):INDIRECT(ADDRESS(22,2,1,,N$2)),$A166)</f>
        <v>0</v>
      </c>
      <c r="O166" s="92">
        <f t="shared" ca="1" si="21"/>
        <v>4</v>
      </c>
    </row>
    <row r="167" spans="1:15">
      <c r="A167" s="95" t="s">
        <v>188</v>
      </c>
      <c r="B167" s="86">
        <f ca="1">COUNTIF(INDIRECT(ADDRESS(3,2,1,,B$2)):INDIRECT(ADDRESS(22,2,1,,B$2)),$A167)</f>
        <v>1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1</v>
      </c>
      <c r="E167" s="86">
        <f ca="1">COUNTIF(INDIRECT(ADDRESS(3,2,1,,E$2)):INDIRECT(ADDRESS(22,2,1,,E$2)),$A167)</f>
        <v>1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1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0</v>
      </c>
      <c r="N167" s="86">
        <f ca="1">COUNTIF(INDIRECT(ADDRESS(3,2,1,,N$2)):INDIRECT(ADDRESS(22,2,1,,N$2)),$A167)</f>
        <v>0</v>
      </c>
      <c r="O167" s="92">
        <f t="shared" ca="1" si="21"/>
        <v>4</v>
      </c>
    </row>
    <row r="168" spans="1:15">
      <c r="A168" s="95" t="s">
        <v>247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1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1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0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0</v>
      </c>
      <c r="M168" s="86">
        <f ca="1">COUNTIF(INDIRECT(ADDRESS(3,2,1,,M$2)):INDIRECT(ADDRESS(22,2,1,,M$2)),$A168)</f>
        <v>0</v>
      </c>
      <c r="N168" s="86">
        <f ca="1">COUNTIF(INDIRECT(ADDRESS(3,2,1,,N$2)):INDIRECT(ADDRESS(22,2,1,,N$2)),$A168)</f>
        <v>0</v>
      </c>
      <c r="O168" s="92">
        <f t="shared" ca="1" si="21"/>
        <v>4</v>
      </c>
    </row>
    <row r="169" spans="1:15">
      <c r="A169" s="95" t="s">
        <v>152</v>
      </c>
      <c r="B169" s="86">
        <f ca="1">COUNTIF(INDIRECT(ADDRESS(3,2,1,,B$2)):INDIRECT(ADDRESS(22,2,1,,B$2)),$A169)</f>
        <v>1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0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0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0</v>
      </c>
      <c r="N169" s="86">
        <f ca="1">COUNTIF(INDIRECT(ADDRESS(3,2,1,,N$2)):INDIRECT(ADDRESS(22,2,1,,N$2)),$A169)</f>
        <v>0</v>
      </c>
      <c r="O169" s="92">
        <f t="shared" ca="1" si="21"/>
        <v>2</v>
      </c>
    </row>
    <row r="170" spans="1:15">
      <c r="A170" s="95" t="s">
        <v>153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1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1</v>
      </c>
      <c r="I170" s="86">
        <f ca="1">COUNTIF(INDIRECT(ADDRESS(3,2,1,,I$2)):INDIRECT(ADDRESS(22,2,1,,I$2)),$A170)</f>
        <v>0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5</v>
      </c>
    </row>
    <row r="171" spans="1:15">
      <c r="A171" s="95" t="s">
        <v>184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1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1</v>
      </c>
    </row>
    <row r="172" spans="1:15">
      <c r="A172" s="95" t="s">
        <v>246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1</v>
      </c>
      <c r="D172" s="86">
        <f ca="1">COUNTIF(INDIRECT(ADDRESS(3,2,1,,D$2)):INDIRECT(ADDRESS(22,2,1,,D$2)),$A172)</f>
        <v>0</v>
      </c>
      <c r="E172" s="86">
        <f ca="1">COUNTIF(INDIRECT(ADDRESS(3,2,1,,E$2)):INDIRECT(ADDRESS(22,2,1,,E$2)),$A172)</f>
        <v>1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0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t="shared" ca="1" si="21"/>
        <v>2</v>
      </c>
    </row>
    <row r="173" spans="1:15">
      <c r="A173" s="95" t="s">
        <v>160</v>
      </c>
      <c r="B173" s="86">
        <f ca="1">COUNTIF(INDIRECT(ADDRESS(3,2,1,,B$2)):INDIRECT(ADDRESS(22,2,1,,B$2)),$A173)</f>
        <v>1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0</v>
      </c>
      <c r="O173" s="92">
        <f t="shared" ca="1" si="21"/>
        <v>1</v>
      </c>
    </row>
    <row r="174" spans="1:15" s="28" customFormat="1"/>
    <row r="178" spans="1:15" ht="13.5" thickBot="1">
      <c r="A178" s="94" t="s">
        <v>176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>
      <c r="A179" s="95" t="s">
        <v>302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>
      <c r="A180" s="95" t="s">
        <v>249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>
      <c r="A181" s="95" t="s">
        <v>303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>
      <c r="A182" s="95" t="s">
        <v>286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>
      <c r="A183" s="95" t="s">
        <v>258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>
      <c r="A184" s="95" t="s">
        <v>252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>
      <c r="A185" s="95" t="s">
        <v>261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>
      <c r="A186" s="95" t="s">
        <v>270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>
      <c r="A187" s="95" t="s">
        <v>287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>
      <c r="A188" s="95" t="s">
        <v>255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>
      <c r="A189" s="95" t="s">
        <v>149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>
      <c r="O191"/>
    </row>
    <row r="192" spans="1:15">
      <c r="O192"/>
    </row>
    <row r="193" spans="15:15">
      <c r="O193"/>
    </row>
    <row r="194" spans="15:15">
      <c r="O194"/>
    </row>
    <row r="195" spans="15:15">
      <c r="O195"/>
    </row>
    <row r="196" spans="15:15">
      <c r="O196"/>
    </row>
    <row r="197" spans="15:15">
      <c r="O197"/>
    </row>
    <row r="198" spans="15:15">
      <c r="O198"/>
    </row>
    <row r="199" spans="15:15">
      <c r="O199"/>
    </row>
    <row r="200" spans="15:15">
      <c r="O200"/>
    </row>
    <row r="201" spans="15:15">
      <c r="O201"/>
    </row>
    <row r="202" spans="15:1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44"/>
  <dimension ref="A2:W202"/>
  <sheetViews>
    <sheetView workbookViewId="0"/>
  </sheetViews>
  <sheetFormatPr defaultRowHeight="12.75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264</v>
      </c>
    </row>
    <row r="3" spans="1:23">
      <c r="A3" s="102" t="str">
        <f>A$144</f>
        <v>Pacific 12</v>
      </c>
      <c r="B3" s="103">
        <f t="shared" ref="B3:N13" ca="1" si="0">SUMIF($A$19:$A$201,$A3,B$19:B$201)</f>
        <v>0</v>
      </c>
      <c r="C3" s="103">
        <f t="shared" ca="1" si="0"/>
        <v>0</v>
      </c>
      <c r="D3" s="103">
        <f t="shared" ca="1" si="0"/>
        <v>0</v>
      </c>
      <c r="E3" s="103">
        <f t="shared" ca="1" si="0"/>
        <v>0</v>
      </c>
      <c r="F3" s="103">
        <f t="shared" ca="1" si="0"/>
        <v>0</v>
      </c>
      <c r="G3" s="103">
        <f t="shared" ca="1" si="0"/>
        <v>0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0</v>
      </c>
      <c r="N3" s="103">
        <f t="shared" ca="1" si="0"/>
        <v>0</v>
      </c>
      <c r="O3" s="92">
        <f t="shared" ref="O3:O13" ca="1" si="1">SUM(B3:N3)</f>
        <v>0</v>
      </c>
      <c r="P3" s="2"/>
      <c r="Q3" s="2"/>
      <c r="R3" s="2"/>
      <c r="S3" s="2"/>
      <c r="T3" s="2"/>
      <c r="U3" s="2"/>
      <c r="V3" s="2"/>
      <c r="W3" s="2"/>
    </row>
    <row r="4" spans="1:23">
      <c r="A4" s="102" t="str">
        <f>A$159</f>
        <v>Southeastern</v>
      </c>
      <c r="B4" s="103">
        <f t="shared" ca="1" si="0"/>
        <v>1</v>
      </c>
      <c r="C4" s="103">
        <f t="shared" ca="1" si="0"/>
        <v>1</v>
      </c>
      <c r="D4" s="103">
        <f t="shared" ca="1" si="0"/>
        <v>0</v>
      </c>
      <c r="E4" s="103">
        <f t="shared" ca="1" si="0"/>
        <v>0</v>
      </c>
      <c r="F4" s="103">
        <f t="shared" ca="1" si="0"/>
        <v>0</v>
      </c>
      <c r="G4" s="103">
        <f t="shared" ca="1" si="0"/>
        <v>2</v>
      </c>
      <c r="H4" s="103">
        <f t="shared" ca="1" si="0"/>
        <v>0</v>
      </c>
      <c r="I4" s="103">
        <f t="shared" ca="1" si="0"/>
        <v>0</v>
      </c>
      <c r="J4" s="103">
        <f t="shared" ca="1" si="0"/>
        <v>0</v>
      </c>
      <c r="K4" s="103">
        <f t="shared" ca="1" si="0"/>
        <v>0</v>
      </c>
      <c r="L4" s="103">
        <f t="shared" ca="1" si="0"/>
        <v>0</v>
      </c>
      <c r="M4" s="103">
        <f t="shared" ca="1" si="0"/>
        <v>0</v>
      </c>
      <c r="N4" s="103">
        <f t="shared" ca="1" si="0"/>
        <v>0</v>
      </c>
      <c r="O4" s="92">
        <f t="shared" ca="1" si="1"/>
        <v>4</v>
      </c>
    </row>
    <row r="5" spans="1:23">
      <c r="A5" s="102" t="str">
        <f>A$36</f>
        <v>Big 12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>
      <c r="A6" s="102" t="str">
        <f>A$66</f>
        <v>Big Ten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2</v>
      </c>
      <c r="F6" s="103">
        <f t="shared" ca="1" si="0"/>
        <v>0</v>
      </c>
      <c r="G6" s="103">
        <f t="shared" ca="1" si="0"/>
        <v>0</v>
      </c>
      <c r="H6" s="103">
        <f t="shared" ca="1" si="0"/>
        <v>2</v>
      </c>
      <c r="I6" s="103">
        <f t="shared" ca="1" si="0"/>
        <v>0</v>
      </c>
      <c r="J6" s="103">
        <f t="shared" ca="1" si="0"/>
        <v>0</v>
      </c>
      <c r="K6" s="103">
        <f t="shared" ca="1" si="0"/>
        <v>0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4</v>
      </c>
    </row>
    <row r="7" spans="1:23">
      <c r="A7" s="102" t="str">
        <f>A$19</f>
        <v>Atlantic Coast</v>
      </c>
      <c r="B7" s="103">
        <f t="shared" ca="1" si="0"/>
        <v>1</v>
      </c>
      <c r="C7" s="103">
        <f t="shared" ca="1" si="0"/>
        <v>1</v>
      </c>
      <c r="D7" s="103">
        <f t="shared" ca="1" si="0"/>
        <v>2</v>
      </c>
      <c r="E7" s="103">
        <f t="shared" ca="1" si="0"/>
        <v>0</v>
      </c>
      <c r="F7" s="103">
        <f t="shared" ca="1" si="0"/>
        <v>2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6</v>
      </c>
    </row>
    <row r="8" spans="1:23">
      <c r="A8" s="102" t="str">
        <f>A$99</f>
        <v>Independents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>
      <c r="A9" s="102" t="str">
        <f>A$52</f>
        <v>American Athletic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>
      <c r="A10" s="102" t="str">
        <f>A$82</f>
        <v>Conference USA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>
      <c r="A11" s="102" t="str">
        <f>A$114</f>
        <v>Mid American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>
      <c r="A12" s="102" t="str">
        <f>A$129</f>
        <v>Mountain West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0</v>
      </c>
    </row>
    <row r="13" spans="1:23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0</v>
      </c>
      <c r="J14" s="107">
        <f t="shared" ca="1" si="2"/>
        <v>0</v>
      </c>
      <c r="K14" s="107">
        <f t="shared" ca="1" si="2"/>
        <v>0</v>
      </c>
      <c r="L14" s="107">
        <f t="shared" ca="1" si="2"/>
        <v>0</v>
      </c>
      <c r="M14" s="107">
        <f t="shared" ca="1" si="2"/>
        <v>0</v>
      </c>
      <c r="N14" s="107">
        <f t="shared" ca="1" si="2"/>
        <v>0</v>
      </c>
      <c r="O14" s="107">
        <f t="shared" ca="1" si="2"/>
        <v>14</v>
      </c>
      <c r="P14" s="2"/>
      <c r="Q14" s="2"/>
      <c r="R14" s="2"/>
      <c r="S14" s="2"/>
      <c r="T14" s="2"/>
      <c r="U14" s="2"/>
      <c r="V14" s="2"/>
      <c r="W14" s="2"/>
    </row>
    <row r="15" spans="1:23">
      <c r="O15"/>
    </row>
    <row r="19" spans="1:15" s="28" customFormat="1" ht="13.5" thickBot="1">
      <c r="A19" s="104" t="s">
        <v>177</v>
      </c>
      <c r="B19" s="100">
        <f ca="1">SUM(B20:B34)</f>
        <v>1</v>
      </c>
      <c r="C19" s="100">
        <f t="shared" ref="C19:N19" ca="1" si="3">SUM(C20:C34)</f>
        <v>1</v>
      </c>
      <c r="D19" s="100">
        <f t="shared" ca="1" si="3"/>
        <v>2</v>
      </c>
      <c r="E19" s="100">
        <f t="shared" ca="1" si="3"/>
        <v>0</v>
      </c>
      <c r="F19" s="100">
        <f t="shared" ca="1" si="3"/>
        <v>2</v>
      </c>
      <c r="G19" s="100">
        <f t="shared" ca="1" si="3"/>
        <v>0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0</v>
      </c>
      <c r="N19" s="100">
        <f t="shared" ca="1" si="3"/>
        <v>0</v>
      </c>
      <c r="O19" s="101"/>
    </row>
    <row r="20" spans="1:15">
      <c r="A20" s="105" t="s">
        <v>156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1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1</v>
      </c>
    </row>
    <row r="21" spans="1:15">
      <c r="A21" s="105" t="s">
        <v>139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>
      <c r="A22" s="105" t="s">
        <v>167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1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1</v>
      </c>
    </row>
    <row r="23" spans="1:15">
      <c r="A23" s="105" t="s">
        <v>144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0</v>
      </c>
    </row>
    <row r="24" spans="1:15">
      <c r="A24" s="105" t="s">
        <v>180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t="shared" ca="1" si="4"/>
        <v>0</v>
      </c>
    </row>
    <row r="25" spans="1:15">
      <c r="A25" s="105" t="s">
        <v>155</v>
      </c>
      <c r="B25" s="103">
        <f ca="1">COUNTIF(INDIRECT(ADDRESS(21,2,1,,B$2)):INDIRECT(ADDRESS(22,2,1,,B$2)),$A25)</f>
        <v>1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1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2</v>
      </c>
    </row>
    <row r="26" spans="1:15">
      <c r="A26" s="105" t="s">
        <v>192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1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1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2</v>
      </c>
    </row>
    <row r="27" spans="1:15">
      <c r="A27" s="105" t="s">
        <v>157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>
      <c r="A28" s="105" t="s">
        <v>169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>
      <c r="A29" s="105" t="s">
        <v>164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>
      <c r="A30" s="105" t="s">
        <v>193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>
      <c r="A31" s="105" t="s">
        <v>146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0</v>
      </c>
    </row>
    <row r="32" spans="1:15">
      <c r="A32" s="105" t="s">
        <v>181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>
      <c r="A33" s="105" t="s">
        <v>143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5" thickBot="1">
      <c r="A36" s="104" t="s">
        <v>178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>
      <c r="A37" s="105" t="s">
        <v>186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>
      <c r="A38" s="105" t="s">
        <v>158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>
      <c r="A39" s="105" t="s">
        <v>234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>
      <c r="A40" s="105" t="s">
        <v>182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>
      <c r="A41" s="105" t="s">
        <v>183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>
      <c r="A42" s="105" t="s">
        <v>151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>
      <c r="A43" s="105" t="s">
        <v>147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>
      <c r="A44" s="105" t="s">
        <v>187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>
      <c r="A45" s="105" t="s">
        <v>189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>
      <c r="A46" s="105" t="s">
        <v>195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>
      <c r="A52" s="104" t="s">
        <v>283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>
      <c r="A53" s="105" t="s">
        <v>224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3" ca="1" si="8">SUM(B53:N53)</f>
        <v>0</v>
      </c>
    </row>
    <row r="54" spans="1:15">
      <c r="A54" s="105" t="s">
        <v>190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>
      <c r="A55" s="105" t="s">
        <v>191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>
      <c r="A56" s="105" t="s">
        <v>210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>
      <c r="A57" s="105" t="s">
        <v>213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>
      <c r="A58" s="105" t="s">
        <v>209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>
      <c r="A59" s="105" t="s">
        <v>214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>
      <c r="A60" s="105" t="s">
        <v>166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>
      <c r="A61" s="105" t="s">
        <v>212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>
      <c r="A62" s="105" t="s">
        <v>207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>
      <c r="A63" s="105" t="s">
        <v>165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ca="1" si="8"/>
        <v>0</v>
      </c>
    </row>
    <row r="66" spans="1:15" s="28" customFormat="1" ht="13.5" thickBot="1">
      <c r="A66" s="104" t="s">
        <v>170</v>
      </c>
      <c r="B66" s="100">
        <f t="shared" ref="B66:N66" ca="1" si="9">SUM(B67:B79)</f>
        <v>0</v>
      </c>
      <c r="C66" s="100">
        <f t="shared" ca="1" si="9"/>
        <v>0</v>
      </c>
      <c r="D66" s="100">
        <f t="shared" ca="1" si="9"/>
        <v>0</v>
      </c>
      <c r="E66" s="100">
        <f t="shared" ca="1" si="9"/>
        <v>2</v>
      </c>
      <c r="F66" s="100">
        <f t="shared" ca="1" si="9"/>
        <v>0</v>
      </c>
      <c r="G66" s="100">
        <f t="shared" ca="1" si="9"/>
        <v>0</v>
      </c>
      <c r="H66" s="100">
        <f t="shared" ca="1" si="9"/>
        <v>2</v>
      </c>
      <c r="I66" s="100">
        <f t="shared" ca="1" si="9"/>
        <v>0</v>
      </c>
      <c r="J66" s="100">
        <f t="shared" ca="1" si="9"/>
        <v>0</v>
      </c>
      <c r="K66" s="100">
        <f t="shared" ca="1" si="9"/>
        <v>0</v>
      </c>
      <c r="L66" s="100">
        <f t="shared" ca="1" si="9"/>
        <v>0</v>
      </c>
      <c r="M66" s="100">
        <f t="shared" ca="1" si="9"/>
        <v>0</v>
      </c>
      <c r="N66" s="100">
        <f t="shared" ca="1" si="9"/>
        <v>0</v>
      </c>
      <c r="O66" s="101"/>
    </row>
    <row r="67" spans="1:15">
      <c r="A67" s="105" t="s">
        <v>199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1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80" ca="1" si="10">SUM(B67:N67)</f>
        <v>1</v>
      </c>
    </row>
    <row r="68" spans="1:15">
      <c r="A68" s="105" t="s">
        <v>202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1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0"/>
        <v>1</v>
      </c>
    </row>
    <row r="69" spans="1:15">
      <c r="A69" s="105" t="s">
        <v>196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0"/>
        <v>0</v>
      </c>
    </row>
    <row r="70" spans="1:15">
      <c r="A70" s="105" t="s">
        <v>197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0"/>
        <v>0</v>
      </c>
    </row>
    <row r="71" spans="1:15">
      <c r="A71" s="105" t="s">
        <v>198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0"/>
        <v>0</v>
      </c>
    </row>
    <row r="72" spans="1:15">
      <c r="A72" s="105" t="s">
        <v>162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0"/>
        <v>0</v>
      </c>
    </row>
    <row r="73" spans="1:15">
      <c r="A73" s="105" t="s">
        <v>200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0"/>
        <v>0</v>
      </c>
    </row>
    <row r="74" spans="1:15">
      <c r="A74" s="105" t="s">
        <v>185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0"/>
        <v>0</v>
      </c>
    </row>
    <row r="75" spans="1:15">
      <c r="A75" s="105" t="s">
        <v>201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0"/>
        <v>0</v>
      </c>
    </row>
    <row r="76" spans="1:15">
      <c r="A76" s="105" t="s">
        <v>203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0"/>
        <v>0</v>
      </c>
    </row>
    <row r="77" spans="1:15">
      <c r="A77" s="105" t="s">
        <v>204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0"/>
        <v>0</v>
      </c>
    </row>
    <row r="78" spans="1:15">
      <c r="A78" s="105" t="s">
        <v>205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1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1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0"/>
        <v>2</v>
      </c>
    </row>
    <row r="79" spans="1:15">
      <c r="A79" s="105" t="s">
        <v>179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ca="1" si="10"/>
        <v>0</v>
      </c>
    </row>
    <row r="80" spans="1:15">
      <c r="A80" s="105" t="s">
        <v>194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0"/>
        <v>0</v>
      </c>
    </row>
    <row r="82" spans="1:15" s="28" customFormat="1" ht="13.5" thickBot="1">
      <c r="A82" s="104" t="s">
        <v>171</v>
      </c>
      <c r="B82" s="100">
        <f t="shared" ref="B82:N82" ca="1" si="11">SUM(B83:B97)</f>
        <v>0</v>
      </c>
      <c r="C82" s="100">
        <f t="shared" ca="1" si="11"/>
        <v>0</v>
      </c>
      <c r="D82" s="100">
        <f t="shared" ca="1" si="11"/>
        <v>0</v>
      </c>
      <c r="E82" s="100">
        <f t="shared" ca="1" si="11"/>
        <v>0</v>
      </c>
      <c r="F82" s="100">
        <f t="shared" ca="1" si="11"/>
        <v>0</v>
      </c>
      <c r="G82" s="100">
        <f t="shared" ca="1" si="11"/>
        <v>0</v>
      </c>
      <c r="H82" s="100">
        <f t="shared" ca="1" si="11"/>
        <v>0</v>
      </c>
      <c r="I82" s="100">
        <f t="shared" ca="1" si="11"/>
        <v>0</v>
      </c>
      <c r="J82" s="100">
        <f t="shared" ca="1" si="11"/>
        <v>0</v>
      </c>
      <c r="K82" s="100">
        <f t="shared" ca="1" si="11"/>
        <v>0</v>
      </c>
      <c r="L82" s="100">
        <f t="shared" ca="1" si="11"/>
        <v>0</v>
      </c>
      <c r="M82" s="100">
        <f t="shared" ca="1" si="11"/>
        <v>0</v>
      </c>
      <c r="N82" s="100">
        <f t="shared" ca="1" si="11"/>
        <v>0</v>
      </c>
      <c r="O82" s="101"/>
    </row>
    <row r="83" spans="1:15">
      <c r="A83" s="105" t="s">
        <v>250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2">SUM(B83:N83)</f>
        <v>0</v>
      </c>
    </row>
    <row r="84" spans="1:15">
      <c r="A84" s="105" t="s">
        <v>251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2"/>
        <v>0</v>
      </c>
    </row>
    <row r="85" spans="1:15">
      <c r="A85" s="105" t="s">
        <v>259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2"/>
        <v>0</v>
      </c>
    </row>
    <row r="86" spans="1:15">
      <c r="A86" s="105" t="s">
        <v>208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2"/>
        <v>0</v>
      </c>
    </row>
    <row r="87" spans="1:15">
      <c r="A87" s="105" t="s">
        <v>253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2"/>
        <v>0</v>
      </c>
    </row>
    <row r="88" spans="1:15">
      <c r="A88" s="105" t="s">
        <v>254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2"/>
        <v>0</v>
      </c>
    </row>
    <row r="89" spans="1:15">
      <c r="A89" s="105" t="s">
        <v>285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2"/>
        <v>0</v>
      </c>
    </row>
    <row r="90" spans="1:15">
      <c r="A90" s="105" t="s">
        <v>211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2"/>
        <v>0</v>
      </c>
    </row>
    <row r="91" spans="1:15">
      <c r="A91" s="105" t="s">
        <v>163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2"/>
        <v>0</v>
      </c>
    </row>
    <row r="92" spans="1:15">
      <c r="A92" s="105" t="s">
        <v>284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2"/>
        <v>0</v>
      </c>
    </row>
    <row r="93" spans="1:15">
      <c r="A93" s="105" t="s">
        <v>282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2"/>
        <v>0</v>
      </c>
    </row>
    <row r="94" spans="1:15">
      <c r="A94" s="105" t="s">
        <v>217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2"/>
        <v>0</v>
      </c>
    </row>
    <row r="95" spans="1:15">
      <c r="A95" s="105" t="s">
        <v>206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2"/>
        <v>0</v>
      </c>
    </row>
    <row r="99" spans="1:15" s="28" customFormat="1" ht="13.5" thickBot="1">
      <c r="A99" s="104" t="s">
        <v>172</v>
      </c>
      <c r="B99" s="100">
        <f t="shared" ref="B99:N99" ca="1" si="13">SUM(B100:B112)</f>
        <v>0</v>
      </c>
      <c r="C99" s="100">
        <f t="shared" ca="1" si="13"/>
        <v>0</v>
      </c>
      <c r="D99" s="100">
        <f t="shared" ca="1" si="13"/>
        <v>0</v>
      </c>
      <c r="E99" s="100">
        <f t="shared" ca="1" si="13"/>
        <v>0</v>
      </c>
      <c r="F99" s="100">
        <f t="shared" ca="1" si="13"/>
        <v>0</v>
      </c>
      <c r="G99" s="100">
        <f t="shared" ca="1" si="13"/>
        <v>0</v>
      </c>
      <c r="H99" s="100">
        <f t="shared" ca="1" si="13"/>
        <v>0</v>
      </c>
      <c r="I99" s="100">
        <f t="shared" ca="1" si="13"/>
        <v>0</v>
      </c>
      <c r="J99" s="100">
        <f t="shared" ca="1" si="13"/>
        <v>0</v>
      </c>
      <c r="K99" s="100">
        <f t="shared" ca="1" si="13"/>
        <v>0</v>
      </c>
      <c r="L99" s="100">
        <f t="shared" ca="1" si="13"/>
        <v>0</v>
      </c>
      <c r="M99" s="100">
        <f t="shared" ca="1" si="13"/>
        <v>0</v>
      </c>
      <c r="N99" s="100">
        <f t="shared" ca="1" si="13"/>
        <v>0</v>
      </c>
      <c r="O99" s="101"/>
    </row>
    <row r="100" spans="1:15">
      <c r="A100" s="105" t="s">
        <v>140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ca="1">SUM(B100:N100)</f>
        <v>0</v>
      </c>
    </row>
    <row r="101" spans="1:15">
      <c r="A101" s="105" t="s">
        <v>215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ca="1">SUM(B101:N101)</f>
        <v>0</v>
      </c>
    </row>
    <row r="102" spans="1:15">
      <c r="A102" s="105" t="s">
        <v>273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ca="1">SUM(B102:N102)</f>
        <v>0</v>
      </c>
    </row>
    <row r="103" spans="1:15">
      <c r="A103" s="105" t="s">
        <v>216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ca="1">SUM(B103:N103)</f>
        <v>0</v>
      </c>
    </row>
    <row r="114" spans="1:15" s="28" customFormat="1" ht="13.5" thickBot="1">
      <c r="A114" s="104" t="s">
        <v>173</v>
      </c>
      <c r="B114" s="100">
        <f t="shared" ref="B114:N114" ca="1" si="14">SUM(B115:B127)</f>
        <v>0</v>
      </c>
      <c r="C114" s="100">
        <f t="shared" ca="1" si="14"/>
        <v>0</v>
      </c>
      <c r="D114" s="100">
        <f t="shared" ca="1" si="14"/>
        <v>0</v>
      </c>
      <c r="E114" s="100">
        <f t="shared" ca="1" si="14"/>
        <v>0</v>
      </c>
      <c r="F114" s="100">
        <f t="shared" ca="1" si="14"/>
        <v>0</v>
      </c>
      <c r="G114" s="100">
        <f t="shared" ca="1" si="14"/>
        <v>0</v>
      </c>
      <c r="H114" s="100">
        <f t="shared" ca="1" si="14"/>
        <v>0</v>
      </c>
      <c r="I114" s="100">
        <f t="shared" ca="1" si="14"/>
        <v>0</v>
      </c>
      <c r="J114" s="100">
        <f t="shared" ca="1" si="14"/>
        <v>0</v>
      </c>
      <c r="K114" s="100">
        <f t="shared" ca="1" si="14"/>
        <v>0</v>
      </c>
      <c r="L114" s="100">
        <f t="shared" ca="1" si="14"/>
        <v>0</v>
      </c>
      <c r="M114" s="100">
        <f t="shared" ca="1" si="14"/>
        <v>0</v>
      </c>
      <c r="N114" s="100">
        <f t="shared" ca="1" si="14"/>
        <v>0</v>
      </c>
      <c r="O114" s="101"/>
    </row>
    <row r="115" spans="1:15">
      <c r="A115" s="105" t="s">
        <v>218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5">SUM(B115:N115)</f>
        <v>0</v>
      </c>
    </row>
    <row r="116" spans="1:15">
      <c r="A116" s="105" t="s">
        <v>225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5"/>
        <v>0</v>
      </c>
    </row>
    <row r="117" spans="1:15">
      <c r="A117" s="105" t="s">
        <v>219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5"/>
        <v>0</v>
      </c>
    </row>
    <row r="118" spans="1:15">
      <c r="A118" s="105" t="s">
        <v>220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5"/>
        <v>0</v>
      </c>
    </row>
    <row r="119" spans="1:15">
      <c r="A119" s="105" t="s">
        <v>226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5"/>
        <v>0</v>
      </c>
    </row>
    <row r="120" spans="1:15">
      <c r="A120" s="105" t="s">
        <v>227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5"/>
        <v>0</v>
      </c>
    </row>
    <row r="121" spans="1:15">
      <c r="A121" s="105" t="s">
        <v>221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5"/>
        <v>0</v>
      </c>
    </row>
    <row r="122" spans="1:15">
      <c r="A122" s="105" t="s">
        <v>281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5"/>
        <v>0</v>
      </c>
    </row>
    <row r="123" spans="1:15">
      <c r="A123" s="105" t="s">
        <v>222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5"/>
        <v>0</v>
      </c>
    </row>
    <row r="124" spans="1:15">
      <c r="A124" s="105" t="s">
        <v>228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5"/>
        <v>0</v>
      </c>
    </row>
    <row r="125" spans="1:15">
      <c r="A125" s="105" t="s">
        <v>223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5"/>
        <v>0</v>
      </c>
    </row>
    <row r="126" spans="1:15">
      <c r="A126" s="105" t="s">
        <v>229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5"/>
        <v>0</v>
      </c>
    </row>
    <row r="127" spans="1:15">
      <c r="A127" s="105" t="s">
        <v>230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5"/>
        <v>0</v>
      </c>
    </row>
    <row r="129" spans="1:15" s="28" customFormat="1" ht="13.5" thickBot="1">
      <c r="A129" s="104" t="s">
        <v>174</v>
      </c>
      <c r="B129" s="100">
        <f t="shared" ref="B129:N129" ca="1" si="16">SUM(B130:B142)</f>
        <v>0</v>
      </c>
      <c r="C129" s="100">
        <f t="shared" ca="1" si="16"/>
        <v>0</v>
      </c>
      <c r="D129" s="100">
        <f t="shared" ca="1" si="16"/>
        <v>0</v>
      </c>
      <c r="E129" s="100">
        <f t="shared" ca="1" si="16"/>
        <v>0</v>
      </c>
      <c r="F129" s="100">
        <f t="shared" ca="1" si="16"/>
        <v>0</v>
      </c>
      <c r="G129" s="100">
        <f t="shared" ca="1" si="16"/>
        <v>0</v>
      </c>
      <c r="H129" s="100">
        <f t="shared" ca="1" si="16"/>
        <v>0</v>
      </c>
      <c r="I129" s="100">
        <f t="shared" ca="1" si="16"/>
        <v>0</v>
      </c>
      <c r="J129" s="100">
        <f t="shared" ca="1" si="16"/>
        <v>0</v>
      </c>
      <c r="K129" s="100">
        <f t="shared" ca="1" si="16"/>
        <v>0</v>
      </c>
      <c r="L129" s="100">
        <f t="shared" ca="1" si="16"/>
        <v>0</v>
      </c>
      <c r="M129" s="100">
        <f t="shared" ca="1" si="16"/>
        <v>0</v>
      </c>
      <c r="N129" s="100">
        <f t="shared" ca="1" si="16"/>
        <v>0</v>
      </c>
      <c r="O129" s="101"/>
    </row>
    <row r="130" spans="1:15">
      <c r="A130" s="105" t="s">
        <v>231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17">SUM(B130:N130)</f>
        <v>0</v>
      </c>
    </row>
    <row r="131" spans="1:15">
      <c r="A131" s="105" t="s">
        <v>168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17"/>
        <v>0</v>
      </c>
    </row>
    <row r="132" spans="1:15">
      <c r="A132" s="105" t="s">
        <v>141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17"/>
        <v>0</v>
      </c>
    </row>
    <row r="133" spans="1:15">
      <c r="A133" s="105" t="s">
        <v>256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17"/>
        <v>0</v>
      </c>
    </row>
    <row r="134" spans="1:15">
      <c r="A134" s="105" t="s">
        <v>257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17"/>
        <v>0</v>
      </c>
    </row>
    <row r="135" spans="1:15">
      <c r="A135" s="105" t="s">
        <v>260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17"/>
        <v>0</v>
      </c>
    </row>
    <row r="136" spans="1:15">
      <c r="A136" s="105" t="s">
        <v>232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17"/>
        <v>0</v>
      </c>
    </row>
    <row r="137" spans="1:15">
      <c r="A137" s="105" t="s">
        <v>233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17"/>
        <v>0</v>
      </c>
    </row>
    <row r="138" spans="1:15">
      <c r="A138" s="105" t="s">
        <v>262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17"/>
        <v>0</v>
      </c>
    </row>
    <row r="139" spans="1:15">
      <c r="A139" s="105" t="s">
        <v>235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17"/>
        <v>0</v>
      </c>
    </row>
    <row r="140" spans="1:15">
      <c r="A140" s="105" t="s">
        <v>263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17"/>
        <v>0</v>
      </c>
    </row>
    <row r="141" spans="1:15">
      <c r="A141" s="105" t="s">
        <v>237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17"/>
        <v>0</v>
      </c>
    </row>
    <row r="144" spans="1:15" s="28" customFormat="1" ht="13.5" thickBot="1">
      <c r="A144" s="104" t="s">
        <v>276</v>
      </c>
      <c r="B144" s="100">
        <f t="shared" ref="B144:N144" ca="1" si="18">SUM(B145:B157)</f>
        <v>0</v>
      </c>
      <c r="C144" s="100">
        <f t="shared" ca="1" si="18"/>
        <v>0</v>
      </c>
      <c r="D144" s="100">
        <f t="shared" ca="1" si="18"/>
        <v>0</v>
      </c>
      <c r="E144" s="100">
        <f t="shared" ca="1" si="18"/>
        <v>0</v>
      </c>
      <c r="F144" s="100">
        <f t="shared" ca="1" si="18"/>
        <v>0</v>
      </c>
      <c r="G144" s="100">
        <f t="shared" ca="1" si="18"/>
        <v>0</v>
      </c>
      <c r="H144" s="100">
        <f t="shared" ca="1" si="18"/>
        <v>0</v>
      </c>
      <c r="I144" s="100">
        <f t="shared" ca="1" si="18"/>
        <v>0</v>
      </c>
      <c r="J144" s="100">
        <f t="shared" ca="1" si="18"/>
        <v>0</v>
      </c>
      <c r="K144" s="100">
        <f t="shared" ca="1" si="18"/>
        <v>0</v>
      </c>
      <c r="L144" s="100">
        <f t="shared" ca="1" si="18"/>
        <v>0</v>
      </c>
      <c r="M144" s="100">
        <f t="shared" ca="1" si="18"/>
        <v>0</v>
      </c>
      <c r="N144" s="100">
        <f t="shared" ca="1" si="18"/>
        <v>0</v>
      </c>
      <c r="O144" s="101"/>
    </row>
    <row r="145" spans="1:15">
      <c r="A145" s="105" t="s">
        <v>236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19">SUM(B145:N145)</f>
        <v>0</v>
      </c>
    </row>
    <row r="146" spans="1:15">
      <c r="A146" s="105" t="s">
        <v>239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19"/>
        <v>0</v>
      </c>
    </row>
    <row r="147" spans="1:15">
      <c r="A147" s="105" t="s">
        <v>154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19"/>
        <v>0</v>
      </c>
    </row>
    <row r="148" spans="1:15">
      <c r="A148" s="105" t="s">
        <v>161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19"/>
        <v>0</v>
      </c>
    </row>
    <row r="149" spans="1:15">
      <c r="A149" s="105" t="s">
        <v>241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19"/>
        <v>0</v>
      </c>
    </row>
    <row r="150" spans="1:15">
      <c r="A150" s="105" t="s">
        <v>243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19"/>
        <v>0</v>
      </c>
    </row>
    <row r="151" spans="1:15">
      <c r="A151" s="105" t="s">
        <v>238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19"/>
        <v>0</v>
      </c>
    </row>
    <row r="152" spans="1:15">
      <c r="A152" s="105" t="s">
        <v>142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19"/>
        <v>0</v>
      </c>
    </row>
    <row r="153" spans="1:15">
      <c r="A153" s="105" t="s">
        <v>240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19"/>
        <v>0</v>
      </c>
    </row>
    <row r="154" spans="1:15">
      <c r="A154" s="105" t="s">
        <v>242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19"/>
        <v>0</v>
      </c>
    </row>
    <row r="155" spans="1:15">
      <c r="A155" s="105" t="s">
        <v>145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19"/>
        <v>0</v>
      </c>
    </row>
    <row r="156" spans="1:15">
      <c r="A156" s="105" t="s">
        <v>244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19"/>
        <v>0</v>
      </c>
    </row>
    <row r="159" spans="1:15" s="28" customFormat="1" ht="13.5" thickBot="1">
      <c r="A159" s="104" t="s">
        <v>175</v>
      </c>
      <c r="B159" s="100">
        <f t="shared" ref="B159:N159" ca="1" si="20">SUM(B160:B172)</f>
        <v>1</v>
      </c>
      <c r="C159" s="100">
        <f t="shared" ca="1" si="20"/>
        <v>1</v>
      </c>
      <c r="D159" s="100">
        <f ca="1">SUM(D160:D173)</f>
        <v>0</v>
      </c>
      <c r="E159" s="100">
        <f t="shared" ca="1" si="20"/>
        <v>0</v>
      </c>
      <c r="F159" s="100">
        <f t="shared" ca="1" si="20"/>
        <v>0</v>
      </c>
      <c r="G159" s="100">
        <f t="shared" ca="1" si="20"/>
        <v>2</v>
      </c>
      <c r="H159" s="100">
        <f t="shared" ca="1" si="20"/>
        <v>0</v>
      </c>
      <c r="I159" s="100">
        <f t="shared" ca="1" si="20"/>
        <v>0</v>
      </c>
      <c r="J159" s="100">
        <f t="shared" ca="1" si="20"/>
        <v>0</v>
      </c>
      <c r="K159" s="100">
        <f t="shared" ca="1" si="20"/>
        <v>0</v>
      </c>
      <c r="L159" s="100">
        <f t="shared" ca="1" si="20"/>
        <v>0</v>
      </c>
      <c r="M159" s="100">
        <f t="shared" ca="1" si="20"/>
        <v>0</v>
      </c>
      <c r="N159" s="100">
        <f t="shared" ca="1" si="20"/>
        <v>0</v>
      </c>
      <c r="O159" s="101"/>
    </row>
    <row r="160" spans="1:15">
      <c r="A160" s="105" t="s">
        <v>137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0</v>
      </c>
      <c r="O160" s="92">
        <f t="shared" ref="O160:O173" ca="1" si="21">SUM(B160:N160)</f>
        <v>0</v>
      </c>
    </row>
    <row r="161" spans="1:15">
      <c r="A161" s="105" t="s">
        <v>159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1"/>
        <v>0</v>
      </c>
    </row>
    <row r="162" spans="1:15">
      <c r="A162" s="105" t="s">
        <v>245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1"/>
        <v>0</v>
      </c>
    </row>
    <row r="163" spans="1:15">
      <c r="A163" s="105" t="s">
        <v>148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1"/>
        <v>0</v>
      </c>
    </row>
    <row r="164" spans="1:15">
      <c r="A164" s="105" t="s">
        <v>247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1"/>
        <v>0</v>
      </c>
    </row>
    <row r="165" spans="1:15">
      <c r="A165" s="105" t="s">
        <v>152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1"/>
        <v>0</v>
      </c>
    </row>
    <row r="166" spans="1:15">
      <c r="A166" s="105" t="s">
        <v>246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1"/>
        <v>0</v>
      </c>
    </row>
    <row r="167" spans="1:15">
      <c r="A167" s="105" t="s">
        <v>248</v>
      </c>
      <c r="B167" s="103">
        <f ca="1">COUNTIF(INDIRECT(ADDRESS(21,2,1,,B$2)):INDIRECT(ADDRESS(22,2,1,,B$2)),$A167)</f>
        <v>1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1"/>
        <v>1</v>
      </c>
    </row>
    <row r="168" spans="1:15">
      <c r="A168" s="105" t="s">
        <v>138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1"/>
        <v>0</v>
      </c>
    </row>
    <row r="169" spans="1:15">
      <c r="A169" s="105" t="s">
        <v>184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1"/>
        <v>0</v>
      </c>
    </row>
    <row r="170" spans="1:15">
      <c r="A170" s="105" t="s">
        <v>150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1"/>
        <v>0</v>
      </c>
    </row>
    <row r="171" spans="1:15">
      <c r="A171" s="105" t="s">
        <v>153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1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1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1"/>
        <v>2</v>
      </c>
    </row>
    <row r="172" spans="1:15">
      <c r="A172" s="105" t="s">
        <v>188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1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1"/>
        <v>1</v>
      </c>
    </row>
    <row r="173" spans="1:15">
      <c r="A173" s="105" t="s">
        <v>160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1"/>
        <v>0</v>
      </c>
    </row>
    <row r="174" spans="1:15" s="28" customFormat="1"/>
    <row r="178" spans="1:15" ht="13.5" thickBot="1">
      <c r="A178" s="104" t="s">
        <v>176</v>
      </c>
      <c r="B178" s="100">
        <f t="shared" ref="B178:N178" ca="1" si="22">SUM(B179:B191)</f>
        <v>0</v>
      </c>
      <c r="C178" s="100">
        <f t="shared" ca="1" si="22"/>
        <v>0</v>
      </c>
      <c r="D178" s="100">
        <f t="shared" ca="1" si="22"/>
        <v>0</v>
      </c>
      <c r="E178" s="100">
        <f t="shared" ca="1" si="22"/>
        <v>0</v>
      </c>
      <c r="F178" s="100">
        <f t="shared" ca="1" si="22"/>
        <v>0</v>
      </c>
      <c r="G178" s="100">
        <f t="shared" ca="1" si="22"/>
        <v>0</v>
      </c>
      <c r="H178" s="100">
        <f t="shared" ca="1" si="22"/>
        <v>0</v>
      </c>
      <c r="I178" s="100">
        <f t="shared" ca="1" si="22"/>
        <v>0</v>
      </c>
      <c r="J178" s="100">
        <f t="shared" ca="1" si="22"/>
        <v>0</v>
      </c>
      <c r="K178" s="100">
        <f t="shared" ca="1" si="22"/>
        <v>0</v>
      </c>
      <c r="L178" s="100">
        <f t="shared" ca="1" si="22"/>
        <v>0</v>
      </c>
      <c r="M178" s="100">
        <f t="shared" ca="1" si="22"/>
        <v>0</v>
      </c>
      <c r="N178" s="100">
        <f t="shared" ca="1" si="22"/>
        <v>0</v>
      </c>
      <c r="O178" s="101"/>
    </row>
    <row r="179" spans="1:15">
      <c r="A179" s="105" t="s">
        <v>302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9" ca="1" si="23">SUM(B179:N179)</f>
        <v>0</v>
      </c>
    </row>
    <row r="180" spans="1:15">
      <c r="A180" s="105" t="s">
        <v>249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3"/>
        <v>0</v>
      </c>
    </row>
    <row r="181" spans="1:15">
      <c r="A181" s="105" t="s">
        <v>303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3"/>
        <v>0</v>
      </c>
    </row>
    <row r="182" spans="1:15">
      <c r="A182" s="105" t="s">
        <v>286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3"/>
        <v>0</v>
      </c>
    </row>
    <row r="183" spans="1:15">
      <c r="A183" s="105" t="s">
        <v>258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3"/>
        <v>0</v>
      </c>
    </row>
    <row r="184" spans="1:15">
      <c r="A184" s="105" t="s">
        <v>252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3"/>
        <v>0</v>
      </c>
    </row>
    <row r="185" spans="1:15">
      <c r="A185" s="105" t="s">
        <v>261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3"/>
        <v>0</v>
      </c>
    </row>
    <row r="186" spans="1:15">
      <c r="A186" s="105" t="s">
        <v>270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3"/>
        <v>0</v>
      </c>
    </row>
    <row r="187" spans="1:15">
      <c r="A187" s="105" t="s">
        <v>287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ca="1" si="23"/>
        <v>0</v>
      </c>
    </row>
    <row r="188" spans="1:15">
      <c r="A188" s="105" t="s">
        <v>255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3"/>
        <v>0</v>
      </c>
    </row>
    <row r="189" spans="1:15" s="28" customFormat="1">
      <c r="A189" s="105" t="s">
        <v>149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3"/>
        <v>0</v>
      </c>
    </row>
    <row r="191" spans="1:15">
      <c r="O191"/>
    </row>
    <row r="192" spans="1:15">
      <c r="O192"/>
    </row>
    <row r="193" spans="15:15">
      <c r="O193"/>
    </row>
    <row r="194" spans="15:15">
      <c r="O194"/>
    </row>
    <row r="195" spans="15:15">
      <c r="O195"/>
    </row>
    <row r="196" spans="15:15">
      <c r="O196"/>
    </row>
    <row r="197" spans="15:15">
      <c r="O197"/>
    </row>
    <row r="198" spans="15:15">
      <c r="O198"/>
    </row>
    <row r="199" spans="15:15">
      <c r="O199"/>
    </row>
    <row r="200" spans="15:15">
      <c r="O200"/>
    </row>
    <row r="201" spans="15:15">
      <c r="O201"/>
    </row>
    <row r="202" spans="15:15">
      <c r="O202"/>
    </row>
  </sheetData>
  <sortState ref="A179:O189">
    <sortCondition descending="1" ref="O171"/>
  </sortState>
  <pageMargins left="0.75" right="0.75" top="1" bottom="1" header="0.5" footer="0.5"/>
  <pageSetup orientation="portrait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5"/>
  <dimension ref="A1:D78"/>
  <sheetViews>
    <sheetView workbookViewId="0">
      <selection activeCell="B31" sqref="B31"/>
    </sheetView>
  </sheetViews>
  <sheetFormatPr defaultRowHeight="12.75"/>
  <sheetData>
    <row r="1" spans="1:4" ht="15.75">
      <c r="A1" s="57" t="s">
        <v>54</v>
      </c>
    </row>
    <row r="2" spans="1:4">
      <c r="A2" s="28" t="s">
        <v>55</v>
      </c>
    </row>
    <row r="3" spans="1:4">
      <c r="B3" t="s">
        <v>56</v>
      </c>
    </row>
    <row r="4" spans="1:4">
      <c r="B4" t="s">
        <v>58</v>
      </c>
    </row>
    <row r="5" spans="1:4">
      <c r="A5" s="28" t="s">
        <v>57</v>
      </c>
    </row>
    <row r="6" spans="1:4">
      <c r="B6" t="s">
        <v>59</v>
      </c>
    </row>
    <row r="7" spans="1:4">
      <c r="C7" t="s">
        <v>60</v>
      </c>
    </row>
    <row r="8" spans="1:4">
      <c r="C8" t="s">
        <v>77</v>
      </c>
    </row>
    <row r="9" spans="1:4">
      <c r="B9" t="s">
        <v>68</v>
      </c>
    </row>
    <row r="10" spans="1:4">
      <c r="C10" t="s">
        <v>69</v>
      </c>
    </row>
    <row r="11" spans="1:4">
      <c r="C11" t="s">
        <v>76</v>
      </c>
    </row>
    <row r="12" spans="1:4">
      <c r="C12" t="s">
        <v>64</v>
      </c>
    </row>
    <row r="13" spans="1:4">
      <c r="C13" t="s">
        <v>70</v>
      </c>
    </row>
    <row r="14" spans="1:4">
      <c r="D14" t="s">
        <v>71</v>
      </c>
    </row>
    <row r="15" spans="1:4">
      <c r="D15" t="s">
        <v>72</v>
      </c>
    </row>
    <row r="16" spans="1:4">
      <c r="B16" t="s">
        <v>67</v>
      </c>
    </row>
    <row r="17" spans="2:3">
      <c r="C17" t="s">
        <v>61</v>
      </c>
    </row>
    <row r="18" spans="2:3">
      <c r="C18" t="s">
        <v>62</v>
      </c>
    </row>
    <row r="25" spans="2:3">
      <c r="B25" t="s">
        <v>66</v>
      </c>
    </row>
    <row r="26" spans="2:3">
      <c r="C26" t="s">
        <v>63</v>
      </c>
    </row>
    <row r="27" spans="2:3">
      <c r="C27" t="s">
        <v>65</v>
      </c>
    </row>
    <row r="31" spans="2:3">
      <c r="B31" t="s">
        <v>73</v>
      </c>
    </row>
    <row r="32" spans="2:3">
      <c r="C32" t="s">
        <v>74</v>
      </c>
    </row>
    <row r="34" spans="1:3">
      <c r="C34" t="s">
        <v>75</v>
      </c>
    </row>
    <row r="36" spans="1:3">
      <c r="B36" t="s">
        <v>78</v>
      </c>
    </row>
    <row r="38" spans="1:3" ht="15.75">
      <c r="A38" s="57" t="s">
        <v>79</v>
      </c>
    </row>
    <row r="39" spans="1:3">
      <c r="A39" s="28" t="s">
        <v>80</v>
      </c>
    </row>
    <row r="40" spans="1:3">
      <c r="B40" t="s">
        <v>81</v>
      </c>
    </row>
    <row r="41" spans="1:3">
      <c r="B41" t="s">
        <v>82</v>
      </c>
    </row>
    <row r="42" spans="1:3">
      <c r="A42" s="28" t="s">
        <v>83</v>
      </c>
    </row>
    <row r="43" spans="1:3">
      <c r="B43" t="s">
        <v>84</v>
      </c>
    </row>
    <row r="44" spans="1:3">
      <c r="B44" t="s">
        <v>114</v>
      </c>
    </row>
    <row r="45" spans="1:3">
      <c r="A45" s="28" t="s">
        <v>85</v>
      </c>
    </row>
    <row r="46" spans="1:3">
      <c r="B46" t="s">
        <v>86</v>
      </c>
    </row>
    <row r="47" spans="1:3">
      <c r="B47" t="s">
        <v>87</v>
      </c>
    </row>
    <row r="48" spans="1:3">
      <c r="C48" t="s">
        <v>88</v>
      </c>
    </row>
    <row r="49" spans="1:3">
      <c r="C49" t="s">
        <v>89</v>
      </c>
    </row>
    <row r="50" spans="1:3">
      <c r="C50" t="s">
        <v>90</v>
      </c>
    </row>
    <row r="51" spans="1:3">
      <c r="B51" t="s">
        <v>91</v>
      </c>
    </row>
    <row r="52" spans="1:3">
      <c r="B52" t="s">
        <v>115</v>
      </c>
    </row>
    <row r="53" spans="1:3">
      <c r="C53" t="s">
        <v>116</v>
      </c>
    </row>
    <row r="54" spans="1:3">
      <c r="A54" s="28" t="s">
        <v>92</v>
      </c>
    </row>
    <row r="55" spans="1:3">
      <c r="B55" t="s">
        <v>93</v>
      </c>
    </row>
    <row r="56" spans="1:3">
      <c r="B56" t="s">
        <v>94</v>
      </c>
    </row>
    <row r="57" spans="1:3">
      <c r="B57" t="s">
        <v>95</v>
      </c>
    </row>
    <row r="58" spans="1:3">
      <c r="B58" t="s">
        <v>124</v>
      </c>
    </row>
    <row r="59" spans="1:3">
      <c r="C59" t="s">
        <v>123</v>
      </c>
    </row>
    <row r="60" spans="1:3">
      <c r="C60" t="s">
        <v>96</v>
      </c>
    </row>
    <row r="61" spans="1:3">
      <c r="C61" t="s">
        <v>97</v>
      </c>
    </row>
    <row r="62" spans="1:3">
      <c r="B62" t="s">
        <v>117</v>
      </c>
    </row>
    <row r="63" spans="1:3">
      <c r="C63" t="s">
        <v>118</v>
      </c>
    </row>
    <row r="64" spans="1:3">
      <c r="A64" s="28" t="s">
        <v>98</v>
      </c>
    </row>
    <row r="65" spans="1:3">
      <c r="B65" t="s">
        <v>99</v>
      </c>
    </row>
    <row r="66" spans="1:3">
      <c r="B66" t="s">
        <v>100</v>
      </c>
    </row>
    <row r="67" spans="1:3">
      <c r="B67" t="s">
        <v>101</v>
      </c>
    </row>
    <row r="68" spans="1:3">
      <c r="B68" t="s">
        <v>102</v>
      </c>
    </row>
    <row r="69" spans="1:3">
      <c r="B69" t="s">
        <v>107</v>
      </c>
    </row>
    <row r="70" spans="1:3">
      <c r="B70" t="s">
        <v>108</v>
      </c>
    </row>
    <row r="71" spans="1:3">
      <c r="B71" t="s">
        <v>103</v>
      </c>
    </row>
    <row r="72" spans="1:3">
      <c r="B72" t="s">
        <v>104</v>
      </c>
    </row>
    <row r="73" spans="1:3">
      <c r="B73" t="s">
        <v>105</v>
      </c>
    </row>
    <row r="74" spans="1:3">
      <c r="B74" t="s">
        <v>106</v>
      </c>
    </row>
    <row r="75" spans="1:3">
      <c r="A75" s="28" t="s">
        <v>119</v>
      </c>
    </row>
    <row r="76" spans="1:3">
      <c r="B76" t="s">
        <v>120</v>
      </c>
    </row>
    <row r="77" spans="1:3">
      <c r="C77" t="s">
        <v>121</v>
      </c>
    </row>
    <row r="78" spans="1:3">
      <c r="B78" t="s">
        <v>122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2016-10-15T03:00:46Z</dcterms:modified>
</cp:coreProperties>
</file>