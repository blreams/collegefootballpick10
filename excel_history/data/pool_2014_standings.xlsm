
<file path=[Content_Types].xml><?xml version="1.0" encoding="utf-8"?>
<Types xmlns="http://schemas.openxmlformats.org/package/2006/content-types">
  <Override PartName="/xl/ctrlProps/ctrlProp49.xml" ContentType="application/vnd.ms-excel.controlproperties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ctrlProps/ctrlProp38.xml" ContentType="application/vnd.ms-excel.controlproperti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vbaProject.bin" ContentType="application/vnd.ms-office.vbaProject"/>
  <Override PartName="/xl/ctrlProps/ctrlProp56.xml" ContentType="application/vnd.ms-excel.controlproperties+xml"/>
  <Override PartName="/xl/ctrlProps/ctrlProp45.xml" ContentType="application/vnd.ms-excel.controlproperties+xml"/>
  <Override PartName="/xl/ctrlProps/ctrlProp27.xml" ContentType="application/vnd.ms-excel.controlproperties+xml"/>
  <Default Extension="xml" ContentType="application/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omments18.xml" ContentType="application/vnd.openxmlformats-officedocument.spreadsheetml.comments+xml"/>
  <Override PartName="/xl/ctrlProps/ctrlProp34.xml" ContentType="application/vnd.ms-excel.controlproperties+xml"/>
  <Override PartName="/xl/ctrlProps/ctrlProp16.xml" ContentType="application/vnd.ms-excel.controlproperties+xml"/>
  <Override PartName="/xl/ctrlProps/ctrlProp52.xml" ContentType="application/vnd.ms-excel.controlproperties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16.xml" ContentType="application/vnd.openxmlformats-officedocument.spreadsheetml.comments+xml"/>
  <Override PartName="/xl/ctrlProps/ctrlProp41.xml" ContentType="application/vnd.ms-excel.controlproperties+xml"/>
  <Override PartName="/xl/ctrlProps/ctrlProp23.xml" ContentType="application/vnd.ms-excel.controlproperties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50.xml" ContentType="application/vnd.ms-excel.controlproperties+xml"/>
  <Override PartName="/xl/ctrlProps/ctrlProp32.xml" ContentType="application/vnd.ms-excel.controlproperties+xml"/>
  <Override PartName="/xl/worksheets/sheet1.xml" ContentType="application/vnd.openxmlformats-officedocument.spreadsheetml.worksheet+xml"/>
  <Override PartName="/xl/comments14.xml" ContentType="application/vnd.openxmlformats-officedocument.spreadsheetml.comments+xml"/>
  <Override PartName="/xl/ctrlProps/ctrlProp30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21.xml" ContentType="application/vnd.ms-excel.controlproperties+xml"/>
  <Override PartName="/xl/sharedStrings.xml" ContentType="application/vnd.openxmlformats-officedocument.spreadsheetml.sharedStrings+xml"/>
  <Override PartName="/xl/comments12.xml" ContentType="application/vnd.openxmlformats-officedocument.spreadsheetml.comments+xml"/>
  <Override PartName="/xl/ctrlProps/ctrlProp10.xml" ContentType="application/vnd.ms-excel.controlproperties+xml"/>
  <Override PartName="/xl/ctrlProps/ctrlProp4.xml" ContentType="application/vnd.ms-excel.controlproperties+xml"/>
  <Override PartName="/xl/worksheets/sheet18.xml" ContentType="application/vnd.openxmlformats-officedocument.spreadsheetml.worksheet+xml"/>
  <Override PartName="/xl/comments10.xml" ContentType="application/vnd.openxmlformats-officedocument.spreadsheetml.comments+xml"/>
  <Override PartName="/xl/ctrlProps/ctrlProp2.xml" ContentType="application/vnd.ms-excel.control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trlProps/ctrlProp59.xml" ContentType="application/vnd.ms-excel.controlproperties+xml"/>
  <Override PartName="/xl/worksheets/sheet14.xml" ContentType="application/vnd.openxmlformats-officedocument.spreadsheetml.worksheet+xml"/>
  <Override PartName="/xl/comments9.xml" ContentType="application/vnd.openxmlformats-officedocument.spreadsheetml.comments+xml"/>
  <Override PartName="/xl/ctrlProps/ctrlProp28.xml" ContentType="application/vnd.ms-excel.controlproperties+xml"/>
  <Override PartName="/xl/ctrlProps/ctrlProp57.xml" ContentType="application/vnd.ms-excel.controlproperties+xml"/>
  <Override PartName="/xl/ctrlProps/ctrlProp39.xml" ContentType="application/vnd.ms-excel.controlproperties+xml"/>
  <Override PartName="/xl/ctrlProps/ctrlProp19.xml" ContentType="application/vnd.ms-excel.controlproperties+xml"/>
  <Override PartName="/xl/ctrlProps/ctrlProp48.xml" ContentType="application/vnd.ms-excel.controlpropertie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charts/chart3.xml" ContentType="application/vnd.openxmlformats-officedocument.drawingml.chart+xml"/>
  <Override PartName="/xl/comments7.xml" ContentType="application/vnd.openxmlformats-officedocument.spreadsheetml.comments+xml"/>
  <Override PartName="/xl/ctrlProps/ctrlProp17.xml" ContentType="application/vnd.ms-excel.controlproperties+xml"/>
  <Override PartName="/xl/ctrlProps/ctrlProp55.xml" ContentType="application/vnd.ms-excel.controlproperties+xml"/>
  <Override PartName="/xl/ctrlProps/ctrlProp37.xml" ContentType="application/vnd.ms-excel.controlproperties+xml"/>
  <Override PartName="/xl/ctrlProps/ctrlProp26.xml" ContentType="application/vnd.ms-excel.controlproperties+xml"/>
  <Override PartName="/xl/ctrlProps/ctrlProp46.xml" ContentType="application/vnd.ms-excel.controlpropertie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omments5.xml" ContentType="application/vnd.openxmlformats-officedocument.spreadsheetml.comments+xml"/>
  <Override PartName="/xl/ctrlProps/ctrlProp35.xml" ContentType="application/vnd.ms-excel.controlproperties+xml"/>
  <Override PartName="/xl/ctrlProps/ctrlProp24.xml" ContentType="application/vnd.ms-excel.controlproperties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44.xml" ContentType="application/vnd.ms-excel.controlproperties+xml"/>
  <Override PartName="/xl/ctrlProps/ctrlProp53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17.xml" ContentType="application/vnd.openxmlformats-officedocument.spreadsheetml.comments+xml"/>
  <Override PartName="/xl/ctrlProps/ctrlProp42.xml" ContentType="application/vnd.ms-excel.controlproperties+xml"/>
  <Override PartName="/xl/ctrlProps/ctrlProp2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51.xml" ContentType="application/vnd.ms-excel.controlproperties+xml"/>
  <Override PartName="/xl/ctrlProps/ctrlProp33.xml" ContentType="application/vnd.ms-excel.controlproperties+xml"/>
  <Default Extension="vml" ContentType="application/vnd.openxmlformats-officedocument.vmlDrawing"/>
  <Override PartName="/xl/comments1.xml" ContentType="application/vnd.openxmlformats-officedocument.spreadsheetml.comments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11.xml" ContentType="application/vnd.ms-excel.controlproperties+xml"/>
  <Override PartName="/xl/ctrlProps/ctrlProp31.xml" ContentType="application/vnd.ms-excel.controlproperties+xml"/>
  <Override PartName="/xl/ctrlProps/ctrlProp20.xml" ContentType="application/vnd.ms-excel.controlproperties+xml"/>
  <Override PartName="/xl/worksheets/sheet19.xml" ContentType="application/vnd.openxmlformats-officedocument.spreadsheetml.worksheet+xml"/>
  <Override PartName="/xl/comments13.xml" ContentType="application/vnd.openxmlformats-officedocument.spreadsheetml.comments+xml"/>
  <Override PartName="/xl/ctrlProps/ctrlProp3.xml" ContentType="application/vnd.ms-excel.controlproperties+xml"/>
  <Override PartName="/xl/worksheets/sheet17.xml" ContentType="application/vnd.openxmlformats-officedocument.spreadsheetml.worksheet+xml"/>
  <Override PartName="/xl/comments11.xml" ContentType="application/vnd.openxmlformats-officedocument.spreadsheetml.comments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trlProps/ctrlProp29.xml" ContentType="application/vnd.ms-excel.controlproperties+xml"/>
  <Override PartName="/xl/ctrlProps/ctrlProp58.xml" ContentType="application/vnd.ms-excel.controlproperties+xml"/>
  <Override PartName="/xl/ctrlProps/ctrlProp47.xml" ContentType="application/vnd.ms-excel.controlproperties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omments6.xml" ContentType="application/vnd.openxmlformats-officedocument.spreadsheetml.comments+xml"/>
  <Override PartName="/xl/ctrlProps/ctrlProp36.xml" ContentType="application/vnd.ms-excel.controlproperties+xml"/>
  <Override PartName="/xl/ctrlProps/ctrlProp18.xml" ContentType="application/vnd.ms-excel.controlproperties+xml"/>
  <Default Extension="rels" ContentType="application/vnd.openxmlformats-package.relationships+xml"/>
  <Override PartName="/xl/worksheets/sheet5.xml" ContentType="application/vnd.openxmlformats-officedocument.spreadsheetml.worksheet+xml"/>
  <Override PartName="/xl/ctrlProps/ctrlProp43.xml" ContentType="application/vnd.ms-excel.controlproperties+xml"/>
  <Override PartName="/xl/ctrlProps/ctrlProp25.xml" ContentType="application/vnd.ms-excel.controlproperties+xml"/>
  <Override PartName="/xl/ctrlProps/ctrlProp54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fileSharing userName="Robbins, Dale" algorithmName="SHA-512" hashValue="689YDTHQbcfogkanDIvFRVkrNFhh+Zv1aaGiFqK/N/dbSNwmA3z6jLRmcSw+AApmG47lEKmQxNdBzreVi1N3Sg==" saltValue="TKKMpNc1TeQgmH48jkGtiA==" spinCount="100000"/>
  <workbookPr codeName="ThisWorkbook"/>
  <bookViews>
    <workbookView xWindow="75" yWindow="615" windowWidth="17865" windowHeight="9630" tabRatio="738" activeTab="13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2" r:id="rId7"/>
    <sheet name="Wk03" sheetId="253" r:id="rId8"/>
    <sheet name="Wk04" sheetId="254" r:id="rId9"/>
    <sheet name="Wk05" sheetId="255" r:id="rId10"/>
    <sheet name="Wk06" sheetId="256" r:id="rId11"/>
    <sheet name="Wk07" sheetId="257" r:id="rId12"/>
    <sheet name="Wk08" sheetId="258" r:id="rId13"/>
    <sheet name="Wk09" sheetId="259" r:id="rId14"/>
    <sheet name="Wk10" sheetId="260" r:id="rId15"/>
    <sheet name="Wk11" sheetId="261" r:id="rId16"/>
    <sheet name="Wk12" sheetId="262" r:id="rId17"/>
    <sheet name="Wk13" sheetId="263" r:id="rId18"/>
    <sheet name="End" sheetId="31" r:id="rId19"/>
    <sheet name="Conference" sheetId="223" r:id="rId20"/>
    <sheet name="Featured" sheetId="237" r:id="rId21"/>
    <sheet name="Instructions" sheetId="184" r:id="rId22"/>
  </sheets>
  <functionGroups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25725"/>
</workbook>
</file>

<file path=xl/calcChain.xml><?xml version="1.0" encoding="utf-8"?>
<calcChain xmlns="http://schemas.openxmlformats.org/spreadsheetml/2006/main">
  <c r="E14" i="258"/>
  <c r="E13"/>
  <c r="BM35" i="263" l="1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62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61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60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59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58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H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M30" s="1"/>
  <c r="E3"/>
  <c r="J1"/>
  <c r="I1"/>
  <c r="BM35" i="257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56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BG30" s="1"/>
  <c r="E4"/>
  <c r="H3"/>
  <c r="BF30" s="1"/>
  <c r="E3"/>
  <c r="J1"/>
  <c r="I1"/>
  <c r="BM35" i="25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AQ25" s="1"/>
  <c r="J1"/>
  <c r="I1"/>
  <c r="BM35" i="254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E3"/>
  <c r="J1"/>
  <c r="I1"/>
  <c r="BM35" i="253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AW30"/>
  <c r="AA30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G30" s="1"/>
  <c r="E3"/>
  <c r="J1"/>
  <c r="I1"/>
  <c r="BM35" i="252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B24"/>
  <c r="B23"/>
  <c r="H22"/>
  <c r="E22"/>
  <c r="H21"/>
  <c r="E21"/>
  <c r="H20"/>
  <c r="E20"/>
  <c r="H19"/>
  <c r="E19"/>
  <c r="H18"/>
  <c r="E18"/>
  <c r="H17"/>
  <c r="E17"/>
  <c r="H16"/>
  <c r="E16"/>
  <c r="H15"/>
  <c r="E15"/>
  <c r="H14"/>
  <c r="E14"/>
  <c r="H13"/>
  <c r="E13"/>
  <c r="H12"/>
  <c r="E12"/>
  <c r="H11"/>
  <c r="E11"/>
  <c r="H10"/>
  <c r="E10"/>
  <c r="H9"/>
  <c r="E9"/>
  <c r="H8"/>
  <c r="E8"/>
  <c r="H7"/>
  <c r="E7"/>
  <c r="H6"/>
  <c r="E6"/>
  <c r="H5"/>
  <c r="E5"/>
  <c r="H4"/>
  <c r="E4"/>
  <c r="H3"/>
  <c r="BJ30" s="1"/>
  <c r="E3"/>
  <c r="BK25" s="1"/>
  <c r="J1"/>
  <c r="I1"/>
  <c r="BM26" i="1"/>
  <c r="BM27"/>
  <c r="BM29"/>
  <c r="BM35"/>
  <c r="R30" i="256" l="1"/>
  <c r="AX25" i="252"/>
  <c r="BI25"/>
  <c r="V30" i="253"/>
  <c r="AQ30"/>
  <c r="BM30"/>
  <c r="AM25" i="256"/>
  <c r="AP30"/>
  <c r="R25" i="252"/>
  <c r="K30" i="253"/>
  <c r="AG30"/>
  <c r="BB30"/>
  <c r="Z30" i="256"/>
  <c r="AX30"/>
  <c r="AN25" i="252"/>
  <c r="AN36" s="1"/>
  <c r="BM25" i="253"/>
  <c r="BM36" s="1"/>
  <c r="Q30"/>
  <c r="AL30"/>
  <c r="BG30" i="254"/>
  <c r="BJ30" i="256"/>
  <c r="AH30"/>
  <c r="BL30" i="259"/>
  <c r="BF30" i="261"/>
  <c r="AZ30" i="262"/>
  <c r="AG25"/>
  <c r="AG36" s="1"/>
  <c r="BC25"/>
  <c r="BC36" s="1"/>
  <c r="AC25"/>
  <c r="AC36" s="1"/>
  <c r="Z30"/>
  <c r="BF30"/>
  <c r="AH30"/>
  <c r="AP30"/>
  <c r="R30"/>
  <c r="AX30"/>
  <c r="BF36" i="261"/>
  <c r="J25"/>
  <c r="R25"/>
  <c r="R36" s="1"/>
  <c r="Z25"/>
  <c r="Z36" s="1"/>
  <c r="AH25"/>
  <c r="AH36" s="1"/>
  <c r="AP25"/>
  <c r="AP36" s="1"/>
  <c r="AX25"/>
  <c r="AX36" s="1"/>
  <c r="Q30"/>
  <c r="AF30"/>
  <c r="AV30"/>
  <c r="BL30"/>
  <c r="BM25"/>
  <c r="BM36" s="1"/>
  <c r="L25"/>
  <c r="T25"/>
  <c r="AB25"/>
  <c r="AJ25"/>
  <c r="AR25"/>
  <c r="AZ25"/>
  <c r="BH25"/>
  <c r="K30"/>
  <c r="T30"/>
  <c r="AJ30"/>
  <c r="AZ30"/>
  <c r="N25"/>
  <c r="N36" s="1"/>
  <c r="V25"/>
  <c r="V36" s="1"/>
  <c r="AD25"/>
  <c r="AD36" s="1"/>
  <c r="AL25"/>
  <c r="AL36" s="1"/>
  <c r="AT25"/>
  <c r="AT36" s="1"/>
  <c r="BB25"/>
  <c r="BB36" s="1"/>
  <c r="BJ25"/>
  <c r="BJ36" s="1"/>
  <c r="M30"/>
  <c r="X30"/>
  <c r="AN30"/>
  <c r="BD30"/>
  <c r="H25"/>
  <c r="P25"/>
  <c r="P36" s="1"/>
  <c r="X25"/>
  <c r="X36" s="1"/>
  <c r="AF25"/>
  <c r="AF36" s="1"/>
  <c r="AN25"/>
  <c r="AN36" s="1"/>
  <c r="AV25"/>
  <c r="AV36" s="1"/>
  <c r="BD25"/>
  <c r="BD36" s="1"/>
  <c r="BL25"/>
  <c r="BL36" s="1"/>
  <c r="O30"/>
  <c r="AB30"/>
  <c r="AR30"/>
  <c r="BH30"/>
  <c r="BJ25" i="260"/>
  <c r="BJ36" s="1"/>
  <c r="Q25"/>
  <c r="Q36" s="1"/>
  <c r="Y25"/>
  <c r="Y36" s="1"/>
  <c r="AG25"/>
  <c r="AG36" s="1"/>
  <c r="AO25"/>
  <c r="AO36" s="1"/>
  <c r="AX25"/>
  <c r="AX36" s="1"/>
  <c r="BL25"/>
  <c r="BL36" s="1"/>
  <c r="L25"/>
  <c r="L36" s="1"/>
  <c r="T25"/>
  <c r="T36" s="1"/>
  <c r="AB25"/>
  <c r="AB36" s="1"/>
  <c r="AJ25"/>
  <c r="AJ36" s="1"/>
  <c r="AR25"/>
  <c r="AR36" s="1"/>
  <c r="BB25"/>
  <c r="BB36" s="1"/>
  <c r="AU30"/>
  <c r="M25"/>
  <c r="M36" s="1"/>
  <c r="U25"/>
  <c r="U36" s="1"/>
  <c r="AC25"/>
  <c r="AC36" s="1"/>
  <c r="AK25"/>
  <c r="AK36" s="1"/>
  <c r="AS25"/>
  <c r="AS36" s="1"/>
  <c r="BD25"/>
  <c r="BD36" s="1"/>
  <c r="P25"/>
  <c r="P36" s="1"/>
  <c r="X25"/>
  <c r="X36" s="1"/>
  <c r="AF25"/>
  <c r="AF36" s="1"/>
  <c r="AN25"/>
  <c r="AN36" s="1"/>
  <c r="AV25"/>
  <c r="AV36" s="1"/>
  <c r="AI25" i="259"/>
  <c r="AI36" s="1"/>
  <c r="R30"/>
  <c r="AC30"/>
  <c r="AN30"/>
  <c r="AX30"/>
  <c r="BI30"/>
  <c r="L30"/>
  <c r="V30"/>
  <c r="AG30"/>
  <c r="AR30"/>
  <c r="BB30"/>
  <c r="BM30"/>
  <c r="M30"/>
  <c r="X30"/>
  <c r="AH30"/>
  <c r="AS30"/>
  <c r="BD30"/>
  <c r="Q30"/>
  <c r="AB30"/>
  <c r="AL30"/>
  <c r="AW30"/>
  <c r="BH30"/>
  <c r="BK25" i="258"/>
  <c r="BK36" s="1"/>
  <c r="BD30"/>
  <c r="BL30"/>
  <c r="Q25"/>
  <c r="Q36" s="1"/>
  <c r="Y25"/>
  <c r="Y36" s="1"/>
  <c r="AG25"/>
  <c r="AG36" s="1"/>
  <c r="AO25"/>
  <c r="AO36" s="1"/>
  <c r="AW25"/>
  <c r="AW36" s="1"/>
  <c r="BE25"/>
  <c r="BE36" s="1"/>
  <c r="BM25"/>
  <c r="BM36" s="1"/>
  <c r="V25"/>
  <c r="V36" s="1"/>
  <c r="AL25"/>
  <c r="AL36" s="1"/>
  <c r="BB25"/>
  <c r="BB36" s="1"/>
  <c r="J25"/>
  <c r="R25"/>
  <c r="R36" s="1"/>
  <c r="Z25"/>
  <c r="Z36" s="1"/>
  <c r="AH25"/>
  <c r="AH36" s="1"/>
  <c r="AP25"/>
  <c r="AP36" s="1"/>
  <c r="AX25"/>
  <c r="AX36" s="1"/>
  <c r="BF25"/>
  <c r="BF36" s="1"/>
  <c r="N25"/>
  <c r="N36" s="1"/>
  <c r="AD25"/>
  <c r="AD36" s="1"/>
  <c r="AT25"/>
  <c r="AT36" s="1"/>
  <c r="BJ25"/>
  <c r="BJ36" s="1"/>
  <c r="AF30"/>
  <c r="M25"/>
  <c r="M36" s="1"/>
  <c r="U25"/>
  <c r="U36" s="1"/>
  <c r="AC25"/>
  <c r="AC36" s="1"/>
  <c r="AK36"/>
  <c r="AS25"/>
  <c r="AS36" s="1"/>
  <c r="BA25"/>
  <c r="BA36" s="1"/>
  <c r="BI25"/>
  <c r="BI36" s="1"/>
  <c r="AV30"/>
  <c r="AF25" i="257"/>
  <c r="AF36" s="1"/>
  <c r="AQ25"/>
  <c r="BA25"/>
  <c r="BA36" s="1"/>
  <c r="U25"/>
  <c r="U36" s="1"/>
  <c r="K25"/>
  <c r="BL25"/>
  <c r="BL36" s="1"/>
  <c r="AQ36"/>
  <c r="BK25"/>
  <c r="BK36" s="1"/>
  <c r="L25"/>
  <c r="L36" s="1"/>
  <c r="W25"/>
  <c r="W36" s="1"/>
  <c r="AG25"/>
  <c r="AG36" s="1"/>
  <c r="AR25"/>
  <c r="AR36" s="1"/>
  <c r="BC25"/>
  <c r="BC36" s="1"/>
  <c r="BM25"/>
  <c r="BM36" s="1"/>
  <c r="AL30"/>
  <c r="P25"/>
  <c r="P36" s="1"/>
  <c r="AA25"/>
  <c r="AA36" s="1"/>
  <c r="AK25"/>
  <c r="AK36" s="1"/>
  <c r="AV25"/>
  <c r="AV36" s="1"/>
  <c r="BG25"/>
  <c r="BG36" s="1"/>
  <c r="G25"/>
  <c r="Q25"/>
  <c r="Q36" s="1"/>
  <c r="AB25"/>
  <c r="AB36" s="1"/>
  <c r="AM25"/>
  <c r="AM36" s="1"/>
  <c r="AW25"/>
  <c r="AW36" s="1"/>
  <c r="BH25"/>
  <c r="BH36" s="1"/>
  <c r="AM36" i="256"/>
  <c r="S30"/>
  <c r="AI30"/>
  <c r="AY30"/>
  <c r="N30"/>
  <c r="V30"/>
  <c r="AD30"/>
  <c r="AL30"/>
  <c r="AT30"/>
  <c r="BB30"/>
  <c r="K30"/>
  <c r="AA30"/>
  <c r="AQ30"/>
  <c r="BL30"/>
  <c r="O30"/>
  <c r="W30"/>
  <c r="AE30"/>
  <c r="AM30"/>
  <c r="AU30"/>
  <c r="BC30"/>
  <c r="BK30"/>
  <c r="AJ30" i="255"/>
  <c r="AS25"/>
  <c r="AO25"/>
  <c r="BM25"/>
  <c r="BM36" s="1"/>
  <c r="Q25"/>
  <c r="Q36" s="1"/>
  <c r="AW25"/>
  <c r="AW36" s="1"/>
  <c r="Y25"/>
  <c r="Y36" s="1"/>
  <c r="BE25"/>
  <c r="BE36" s="1"/>
  <c r="AG25"/>
  <c r="AG36" s="1"/>
  <c r="AS36"/>
  <c r="AO36"/>
  <c r="R25"/>
  <c r="R36" s="1"/>
  <c r="AH25"/>
  <c r="AH36" s="1"/>
  <c r="AX25"/>
  <c r="AX36" s="1"/>
  <c r="AB30"/>
  <c r="M25"/>
  <c r="M36" s="1"/>
  <c r="U25"/>
  <c r="U36" s="1"/>
  <c r="AC25"/>
  <c r="AC36" s="1"/>
  <c r="AK25"/>
  <c r="AK36" s="1"/>
  <c r="BA25"/>
  <c r="BA36" s="1"/>
  <c r="BI25"/>
  <c r="BI36" s="1"/>
  <c r="J25"/>
  <c r="Z25"/>
  <c r="Z36" s="1"/>
  <c r="AP25"/>
  <c r="AP36" s="1"/>
  <c r="BF25"/>
  <c r="BF36" s="1"/>
  <c r="BK25"/>
  <c r="BK36" s="1"/>
  <c r="N25"/>
  <c r="N36" s="1"/>
  <c r="V25"/>
  <c r="V36" s="1"/>
  <c r="AD25"/>
  <c r="AD36" s="1"/>
  <c r="AL25"/>
  <c r="AL36" s="1"/>
  <c r="AT25"/>
  <c r="AT36" s="1"/>
  <c r="BB25"/>
  <c r="BB36" s="1"/>
  <c r="BJ25"/>
  <c r="BJ36" s="1"/>
  <c r="BK25" i="254"/>
  <c r="BK36" s="1"/>
  <c r="L25"/>
  <c r="L36" s="1"/>
  <c r="Q25"/>
  <c r="Q36" s="1"/>
  <c r="V25"/>
  <c r="V36" s="1"/>
  <c r="AB25"/>
  <c r="AB36" s="1"/>
  <c r="AG25"/>
  <c r="AG36" s="1"/>
  <c r="AL25"/>
  <c r="AL36" s="1"/>
  <c r="AR25"/>
  <c r="AR36" s="1"/>
  <c r="AW25"/>
  <c r="AW36" s="1"/>
  <c r="BB25"/>
  <c r="BB36" s="1"/>
  <c r="BH25"/>
  <c r="BH36" s="1"/>
  <c r="BM25"/>
  <c r="V30"/>
  <c r="AQ30"/>
  <c r="BL30"/>
  <c r="M25"/>
  <c r="R25"/>
  <c r="R36" s="1"/>
  <c r="X25"/>
  <c r="X36" s="1"/>
  <c r="AC25"/>
  <c r="AH25"/>
  <c r="AH36" s="1"/>
  <c r="AN25"/>
  <c r="AN36" s="1"/>
  <c r="AS25"/>
  <c r="AS36" s="1"/>
  <c r="AX25"/>
  <c r="AX36" s="1"/>
  <c r="BD25"/>
  <c r="BD36" s="1"/>
  <c r="BI25"/>
  <c r="BI36" s="1"/>
  <c r="AA30"/>
  <c r="AV30"/>
  <c r="H25"/>
  <c r="N25"/>
  <c r="N36" s="1"/>
  <c r="T25"/>
  <c r="T36" s="1"/>
  <c r="Y25"/>
  <c r="Y36" s="1"/>
  <c r="AD25"/>
  <c r="AD36" s="1"/>
  <c r="AJ25"/>
  <c r="AJ36" s="1"/>
  <c r="AO25"/>
  <c r="AO36" s="1"/>
  <c r="AT25"/>
  <c r="AT36" s="1"/>
  <c r="AZ25"/>
  <c r="AZ36" s="1"/>
  <c r="BE25"/>
  <c r="BE36" s="1"/>
  <c r="BJ25"/>
  <c r="BJ36" s="1"/>
  <c r="K30"/>
  <c r="AF30"/>
  <c r="BB30"/>
  <c r="J25"/>
  <c r="P25"/>
  <c r="P36" s="1"/>
  <c r="U25"/>
  <c r="U36" s="1"/>
  <c r="Z25"/>
  <c r="Z36" s="1"/>
  <c r="AF25"/>
  <c r="AF36" s="1"/>
  <c r="AK25"/>
  <c r="AK36" s="1"/>
  <c r="AP25"/>
  <c r="AP36" s="1"/>
  <c r="AV25"/>
  <c r="AV36" s="1"/>
  <c r="BA25"/>
  <c r="BA36" s="1"/>
  <c r="BF25"/>
  <c r="BF36" s="1"/>
  <c r="BL25"/>
  <c r="BL36" s="1"/>
  <c r="P30"/>
  <c r="AL30"/>
  <c r="L25" i="253"/>
  <c r="L36" s="1"/>
  <c r="AB25"/>
  <c r="AZ25"/>
  <c r="AZ36" s="1"/>
  <c r="BL30"/>
  <c r="N25"/>
  <c r="N36" s="1"/>
  <c r="V25"/>
  <c r="V36" s="1"/>
  <c r="AD25"/>
  <c r="AD36" s="1"/>
  <c r="AL25"/>
  <c r="AL36" s="1"/>
  <c r="AT25"/>
  <c r="AT36" s="1"/>
  <c r="BB25"/>
  <c r="BB36" s="1"/>
  <c r="BJ25"/>
  <c r="BJ36" s="1"/>
  <c r="M30"/>
  <c r="R30"/>
  <c r="W30"/>
  <c r="AC30"/>
  <c r="AH30"/>
  <c r="AM30"/>
  <c r="AS30"/>
  <c r="AX30"/>
  <c r="BC30"/>
  <c r="BI30"/>
  <c r="AJ25"/>
  <c r="H25"/>
  <c r="P25"/>
  <c r="X25"/>
  <c r="X36" s="1"/>
  <c r="AF25"/>
  <c r="AN25"/>
  <c r="AN36" s="1"/>
  <c r="AV25"/>
  <c r="AV36" s="1"/>
  <c r="BD25"/>
  <c r="BD36" s="1"/>
  <c r="BL25"/>
  <c r="N30"/>
  <c r="S30"/>
  <c r="Y30"/>
  <c r="AD30"/>
  <c r="AI30"/>
  <c r="AO30"/>
  <c r="AT30"/>
  <c r="AY30"/>
  <c r="BE30"/>
  <c r="BJ30"/>
  <c r="T25"/>
  <c r="AR25"/>
  <c r="BH25"/>
  <c r="BH36" s="1"/>
  <c r="J25"/>
  <c r="R25"/>
  <c r="R36" s="1"/>
  <c r="Z25"/>
  <c r="Z36" s="1"/>
  <c r="AH25"/>
  <c r="AH36" s="1"/>
  <c r="AP25"/>
  <c r="AP36" s="1"/>
  <c r="AX25"/>
  <c r="AX36" s="1"/>
  <c r="BF25"/>
  <c r="BF36" s="1"/>
  <c r="P36"/>
  <c r="T36"/>
  <c r="AB36"/>
  <c r="AF36"/>
  <c r="AJ36"/>
  <c r="AR36"/>
  <c r="BL36"/>
  <c r="O30"/>
  <c r="U30"/>
  <c r="Z30"/>
  <c r="AE30"/>
  <c r="AK30"/>
  <c r="AP30"/>
  <c r="AU30"/>
  <c r="BA30"/>
  <c r="BF30"/>
  <c r="BK30"/>
  <c r="M25" i="252"/>
  <c r="AH25"/>
  <c r="BD25"/>
  <c r="BD36" s="1"/>
  <c r="X25"/>
  <c r="X36" s="1"/>
  <c r="AS25"/>
  <c r="AC25"/>
  <c r="BC30"/>
  <c r="H25"/>
  <c r="N25"/>
  <c r="N36" s="1"/>
  <c r="T25"/>
  <c r="T36" s="1"/>
  <c r="Y25"/>
  <c r="Y36" s="1"/>
  <c r="AD25"/>
  <c r="AD36" s="1"/>
  <c r="AJ25"/>
  <c r="AJ36" s="1"/>
  <c r="AO25"/>
  <c r="AO36" s="1"/>
  <c r="AT25"/>
  <c r="AT36" s="1"/>
  <c r="AZ25"/>
  <c r="AZ36" s="1"/>
  <c r="BE25"/>
  <c r="BE36" s="1"/>
  <c r="BJ25"/>
  <c r="BJ36" s="1"/>
  <c r="K30"/>
  <c r="AA30"/>
  <c r="AQ30"/>
  <c r="BG30"/>
  <c r="W30"/>
  <c r="J25"/>
  <c r="P25"/>
  <c r="P36" s="1"/>
  <c r="U25"/>
  <c r="U36" s="1"/>
  <c r="Z25"/>
  <c r="Z36" s="1"/>
  <c r="AF25"/>
  <c r="AF36" s="1"/>
  <c r="AK25"/>
  <c r="AK36" s="1"/>
  <c r="AP25"/>
  <c r="AP36" s="1"/>
  <c r="AV25"/>
  <c r="AV36" s="1"/>
  <c r="BA25"/>
  <c r="BA36" s="1"/>
  <c r="BF25"/>
  <c r="BF36" s="1"/>
  <c r="BL25"/>
  <c r="BL36" s="1"/>
  <c r="R36"/>
  <c r="AH36"/>
  <c r="AX36"/>
  <c r="O30"/>
  <c r="AE30"/>
  <c r="AU30"/>
  <c r="BK30"/>
  <c r="AM30"/>
  <c r="BK36"/>
  <c r="L25"/>
  <c r="L36" s="1"/>
  <c r="Q25"/>
  <c r="Q36" s="1"/>
  <c r="V25"/>
  <c r="V36" s="1"/>
  <c r="AB25"/>
  <c r="AB36" s="1"/>
  <c r="AG25"/>
  <c r="AG36" s="1"/>
  <c r="AL25"/>
  <c r="AL36" s="1"/>
  <c r="AR25"/>
  <c r="AR36" s="1"/>
  <c r="AW25"/>
  <c r="BB25"/>
  <c r="BB36" s="1"/>
  <c r="BH25"/>
  <c r="BH36" s="1"/>
  <c r="BM25"/>
  <c r="S30"/>
  <c r="AI30"/>
  <c r="AY30"/>
  <c r="S39"/>
  <c r="AI39"/>
  <c r="AY39"/>
  <c r="K39"/>
  <c r="AA39"/>
  <c r="AQ39"/>
  <c r="BG39"/>
  <c r="W39"/>
  <c r="AM39"/>
  <c r="BC39"/>
  <c r="O39"/>
  <c r="AE39"/>
  <c r="AU39"/>
  <c r="BK39"/>
  <c r="M39" i="253"/>
  <c r="Y39"/>
  <c r="AK39"/>
  <c r="AW39"/>
  <c r="BI39"/>
  <c r="O39" i="254"/>
  <c r="S39"/>
  <c r="AA39"/>
  <c r="AQ39"/>
  <c r="BG39"/>
  <c r="L39" i="252"/>
  <c r="T39"/>
  <c r="AB39"/>
  <c r="AF39"/>
  <c r="AJ39"/>
  <c r="AN39"/>
  <c r="AR39"/>
  <c r="AV39"/>
  <c r="AZ39"/>
  <c r="BD39"/>
  <c r="BH39"/>
  <c r="BL39"/>
  <c r="N39" i="253"/>
  <c r="R39"/>
  <c r="V39"/>
  <c r="Z39"/>
  <c r="AD39"/>
  <c r="AH39"/>
  <c r="AL39"/>
  <c r="AP39"/>
  <c r="AT39"/>
  <c r="AX39"/>
  <c r="BB39"/>
  <c r="BF39"/>
  <c r="BJ39"/>
  <c r="U39"/>
  <c r="AG39"/>
  <c r="AS39"/>
  <c r="BE39"/>
  <c r="BM39"/>
  <c r="K39" i="254"/>
  <c r="W39"/>
  <c r="AE39"/>
  <c r="AM39"/>
  <c r="AU39"/>
  <c r="BC39"/>
  <c r="BK39"/>
  <c r="P39" i="252"/>
  <c r="X39"/>
  <c r="AC39" i="254"/>
  <c r="AS39"/>
  <c r="BI39"/>
  <c r="Q39" i="253"/>
  <c r="AC39"/>
  <c r="AO39"/>
  <c r="BA39"/>
  <c r="AH39" i="254"/>
  <c r="AX39"/>
  <c r="AW36" i="252"/>
  <c r="BM36"/>
  <c r="M39"/>
  <c r="Q39"/>
  <c r="U39"/>
  <c r="Y39"/>
  <c r="AC39"/>
  <c r="AG39"/>
  <c r="AK39"/>
  <c r="AO39"/>
  <c r="AS39"/>
  <c r="AW39"/>
  <c r="BA39"/>
  <c r="BE39"/>
  <c r="BI39"/>
  <c r="BM39"/>
  <c r="L39" i="253"/>
  <c r="P39"/>
  <c r="T39"/>
  <c r="X39"/>
  <c r="AF39"/>
  <c r="AJ39"/>
  <c r="AN39"/>
  <c r="AR39"/>
  <c r="AV39"/>
  <c r="AZ39"/>
  <c r="BD39"/>
  <c r="BH39"/>
  <c r="BL39"/>
  <c r="AL39" i="254"/>
  <c r="BB39"/>
  <c r="M36" i="252"/>
  <c r="AC36"/>
  <c r="AS36"/>
  <c r="BI36"/>
  <c r="N39"/>
  <c r="R39"/>
  <c r="V39"/>
  <c r="Z39"/>
  <c r="AD39"/>
  <c r="AH39"/>
  <c r="AL39"/>
  <c r="AP39"/>
  <c r="AT39"/>
  <c r="AX39"/>
  <c r="BB39"/>
  <c r="BF39"/>
  <c r="BJ39"/>
  <c r="L39" i="254"/>
  <c r="P39"/>
  <c r="T39"/>
  <c r="X39"/>
  <c r="AB39" i="253"/>
  <c r="K39"/>
  <c r="O39"/>
  <c r="S39"/>
  <c r="W39"/>
  <c r="AA39"/>
  <c r="AE39"/>
  <c r="AI39"/>
  <c r="AM39"/>
  <c r="AQ39"/>
  <c r="AU39"/>
  <c r="AY39"/>
  <c r="BC39"/>
  <c r="BG39"/>
  <c r="BK39"/>
  <c r="AG39" i="254"/>
  <c r="AW39"/>
  <c r="BM39"/>
  <c r="AJ39"/>
  <c r="AV39"/>
  <c r="BH30" i="255"/>
  <c r="L30" i="252"/>
  <c r="P30"/>
  <c r="T30"/>
  <c r="X30"/>
  <c r="AB30"/>
  <c r="AF30"/>
  <c r="AJ30"/>
  <c r="AN30"/>
  <c r="AR30"/>
  <c r="AV30"/>
  <c r="AZ30"/>
  <c r="BD30"/>
  <c r="BH30"/>
  <c r="BL30"/>
  <c r="G25" i="253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BK25"/>
  <c r="BK36" s="1"/>
  <c r="BM30" i="254"/>
  <c r="BI30"/>
  <c r="BE30"/>
  <c r="BA30"/>
  <c r="AW30"/>
  <c r="AS30"/>
  <c r="AO30"/>
  <c r="AK30"/>
  <c r="AG30"/>
  <c r="AC30"/>
  <c r="Y30"/>
  <c r="U30"/>
  <c r="Q30"/>
  <c r="M30"/>
  <c r="M36"/>
  <c r="AC36"/>
  <c r="BM36"/>
  <c r="L30"/>
  <c r="R30"/>
  <c r="W30"/>
  <c r="AB30"/>
  <c r="AH30"/>
  <c r="AM30"/>
  <c r="AR30"/>
  <c r="AX30"/>
  <c r="BC30"/>
  <c r="BH30"/>
  <c r="M39"/>
  <c r="Q39"/>
  <c r="U39"/>
  <c r="Y39"/>
  <c r="AK39"/>
  <c r="AO39"/>
  <c r="BA39"/>
  <c r="BE39"/>
  <c r="G25" i="256"/>
  <c r="P30" i="257"/>
  <c r="AB39" i="254"/>
  <c r="AN39"/>
  <c r="AZ39"/>
  <c r="BH25" i="256"/>
  <c r="BH36" s="1"/>
  <c r="AZ25"/>
  <c r="AZ36" s="1"/>
  <c r="AR25"/>
  <c r="AR36" s="1"/>
  <c r="AJ25"/>
  <c r="AJ36" s="1"/>
  <c r="AB25"/>
  <c r="AB36" s="1"/>
  <c r="T25"/>
  <c r="T36" s="1"/>
  <c r="L25"/>
  <c r="L36" s="1"/>
  <c r="AE25"/>
  <c r="AE36" s="1"/>
  <c r="Q30" i="252"/>
  <c r="U30"/>
  <c r="AC30"/>
  <c r="AK30"/>
  <c r="AS30"/>
  <c r="BA30"/>
  <c r="BI30"/>
  <c r="N30" i="254"/>
  <c r="S30"/>
  <c r="X30"/>
  <c r="AD30"/>
  <c r="AI30"/>
  <c r="AN30"/>
  <c r="AT30"/>
  <c r="AY30"/>
  <c r="BD30"/>
  <c r="BJ30"/>
  <c r="N39"/>
  <c r="R39"/>
  <c r="V39"/>
  <c r="Z39"/>
  <c r="AD39"/>
  <c r="AP39"/>
  <c r="AT39"/>
  <c r="BF39"/>
  <c r="BJ39"/>
  <c r="BJ30" i="255"/>
  <c r="BF30"/>
  <c r="BB30"/>
  <c r="AX30"/>
  <c r="AT30"/>
  <c r="AP30"/>
  <c r="AL30"/>
  <c r="AH30"/>
  <c r="AD30"/>
  <c r="Z30"/>
  <c r="V30"/>
  <c r="R30"/>
  <c r="N30"/>
  <c r="BK30"/>
  <c r="BG30"/>
  <c r="BC30"/>
  <c r="AY30"/>
  <c r="AU30"/>
  <c r="AQ30"/>
  <c r="AM30"/>
  <c r="AI30"/>
  <c r="AE30"/>
  <c r="AA30"/>
  <c r="W30"/>
  <c r="S30"/>
  <c r="O30"/>
  <c r="K30"/>
  <c r="H25"/>
  <c r="BM30"/>
  <c r="BE30"/>
  <c r="AW30"/>
  <c r="AO30"/>
  <c r="AG30"/>
  <c r="Y30"/>
  <c r="Q30"/>
  <c r="BL30"/>
  <c r="BD30"/>
  <c r="AV30"/>
  <c r="AN30"/>
  <c r="AF30"/>
  <c r="X30"/>
  <c r="P30"/>
  <c r="BI30"/>
  <c r="BA30"/>
  <c r="AS30"/>
  <c r="AK30"/>
  <c r="AC30"/>
  <c r="U30"/>
  <c r="M30"/>
  <c r="L30"/>
  <c r="AR30"/>
  <c r="O25" i="256"/>
  <c r="O36" s="1"/>
  <c r="AU25"/>
  <c r="AU36" s="1"/>
  <c r="AF39" i="254"/>
  <c r="AR39"/>
  <c r="BD39"/>
  <c r="BK25" i="256"/>
  <c r="BK36" s="1"/>
  <c r="M30" i="252"/>
  <c r="Y30"/>
  <c r="AG30"/>
  <c r="AO30"/>
  <c r="AW30"/>
  <c r="BE30"/>
  <c r="BM30"/>
  <c r="G25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N30"/>
  <c r="R30"/>
  <c r="V30"/>
  <c r="Z30"/>
  <c r="AD30"/>
  <c r="AH30"/>
  <c r="AL30"/>
  <c r="AP30"/>
  <c r="AT30"/>
  <c r="AX30"/>
  <c r="BB30"/>
  <c r="BF30"/>
  <c r="M25" i="253"/>
  <c r="M36" s="1"/>
  <c r="Q25"/>
  <c r="Q36" s="1"/>
  <c r="U25"/>
  <c r="U36" s="1"/>
  <c r="Y25"/>
  <c r="Y36" s="1"/>
  <c r="AC25"/>
  <c r="AC36" s="1"/>
  <c r="AG25"/>
  <c r="AG36" s="1"/>
  <c r="AK25"/>
  <c r="AK36" s="1"/>
  <c r="AO25"/>
  <c r="AO36" s="1"/>
  <c r="AS25"/>
  <c r="AS36" s="1"/>
  <c r="AW25"/>
  <c r="AW36" s="1"/>
  <c r="BA25"/>
  <c r="BA36" s="1"/>
  <c r="BE25"/>
  <c r="BE36" s="1"/>
  <c r="BI25"/>
  <c r="BI36" s="1"/>
  <c r="L30"/>
  <c r="P30"/>
  <c r="T30"/>
  <c r="X30"/>
  <c r="AB30"/>
  <c r="AF30"/>
  <c r="AJ30"/>
  <c r="AN30"/>
  <c r="AR30"/>
  <c r="AV30"/>
  <c r="AZ30"/>
  <c r="BD30"/>
  <c r="BH30"/>
  <c r="G25" i="254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O30"/>
  <c r="T30"/>
  <c r="Z30"/>
  <c r="AE30"/>
  <c r="AJ30"/>
  <c r="AP30"/>
  <c r="AU30"/>
  <c r="AZ30"/>
  <c r="BF30"/>
  <c r="BK30"/>
  <c r="AI39"/>
  <c r="AY39"/>
  <c r="T30" i="255"/>
  <c r="AZ30"/>
  <c r="W25" i="256"/>
  <c r="W36" s="1"/>
  <c r="BC25"/>
  <c r="BC36" s="1"/>
  <c r="BL30" i="257"/>
  <c r="BB30"/>
  <c r="AF30"/>
  <c r="K30"/>
  <c r="BG30"/>
  <c r="BM25" i="256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H25"/>
  <c r="P25"/>
  <c r="P36" s="1"/>
  <c r="X25"/>
  <c r="X36" s="1"/>
  <c r="AF25"/>
  <c r="AF36" s="1"/>
  <c r="AN25"/>
  <c r="AN36" s="1"/>
  <c r="AV25"/>
  <c r="AV36" s="1"/>
  <c r="BD25"/>
  <c r="BD36" s="1"/>
  <c r="BL25"/>
  <c r="BL36" s="1"/>
  <c r="V30" i="257"/>
  <c r="AQ30"/>
  <c r="BH39" i="254"/>
  <c r="BL39"/>
  <c r="K25" i="256"/>
  <c r="S25"/>
  <c r="S36" s="1"/>
  <c r="AA25"/>
  <c r="AA36" s="1"/>
  <c r="AI25"/>
  <c r="AI36" s="1"/>
  <c r="AQ25"/>
  <c r="AQ36" s="1"/>
  <c r="AY25"/>
  <c r="AY36" s="1"/>
  <c r="BG25"/>
  <c r="BG36" s="1"/>
  <c r="BM30" i="257"/>
  <c r="BI30"/>
  <c r="BE30"/>
  <c r="BA30"/>
  <c r="AW30"/>
  <c r="AS30"/>
  <c r="AO30"/>
  <c r="AK30"/>
  <c r="AG30"/>
  <c r="AC30"/>
  <c r="Y30"/>
  <c r="U30"/>
  <c r="Q30"/>
  <c r="M30"/>
  <c r="BJ30"/>
  <c r="BD30"/>
  <c r="AY30"/>
  <c r="AT30"/>
  <c r="AN30"/>
  <c r="AI30"/>
  <c r="AD30"/>
  <c r="X30"/>
  <c r="S30"/>
  <c r="N30"/>
  <c r="H25"/>
  <c r="BH30"/>
  <c r="BC30"/>
  <c r="AX30"/>
  <c r="AR30"/>
  <c r="AM30"/>
  <c r="AH30"/>
  <c r="AB30"/>
  <c r="W30"/>
  <c r="R30"/>
  <c r="L30"/>
  <c r="BK30"/>
  <c r="BF30"/>
  <c r="AZ30"/>
  <c r="AU30"/>
  <c r="AP30"/>
  <c r="AJ30"/>
  <c r="AE30"/>
  <c r="Z30"/>
  <c r="T30"/>
  <c r="O30"/>
  <c r="AA30"/>
  <c r="AV30"/>
  <c r="BA30" i="258"/>
  <c r="P30"/>
  <c r="BK30" i="260"/>
  <c r="BL25" i="259"/>
  <c r="BL36" s="1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BM25"/>
  <c r="BD25"/>
  <c r="BD36" s="1"/>
  <c r="AV25"/>
  <c r="AV36" s="1"/>
  <c r="AN25"/>
  <c r="AN36" s="1"/>
  <c r="AF25"/>
  <c r="AF36" s="1"/>
  <c r="X25"/>
  <c r="X36" s="1"/>
  <c r="P25"/>
  <c r="P36" s="1"/>
  <c r="H25"/>
  <c r="BK25"/>
  <c r="BK36" s="1"/>
  <c r="BC25"/>
  <c r="BC36" s="1"/>
  <c r="AU25"/>
  <c r="AU36" s="1"/>
  <c r="AM25"/>
  <c r="AM36" s="1"/>
  <c r="AE25"/>
  <c r="AE36" s="1"/>
  <c r="W25"/>
  <c r="W36" s="1"/>
  <c r="O25"/>
  <c r="O36" s="1"/>
  <c r="G25"/>
  <c r="BH25"/>
  <c r="BH36" s="1"/>
  <c r="AZ25"/>
  <c r="AZ36" s="1"/>
  <c r="AR25"/>
  <c r="AR36" s="1"/>
  <c r="AJ25"/>
  <c r="AJ36" s="1"/>
  <c r="AB25"/>
  <c r="AB36" s="1"/>
  <c r="T25"/>
  <c r="T36" s="1"/>
  <c r="L25"/>
  <c r="L36" s="1"/>
  <c r="AY25"/>
  <c r="AY36" s="1"/>
  <c r="S25"/>
  <c r="S36" s="1"/>
  <c r="AQ25"/>
  <c r="AQ36" s="1"/>
  <c r="K25"/>
  <c r="BG25"/>
  <c r="BG36" s="1"/>
  <c r="AA25"/>
  <c r="AA36" s="1"/>
  <c r="L25" i="255"/>
  <c r="L36" s="1"/>
  <c r="P25"/>
  <c r="P36" s="1"/>
  <c r="T25"/>
  <c r="T36" s="1"/>
  <c r="X25"/>
  <c r="X36" s="1"/>
  <c r="AB25"/>
  <c r="AB36" s="1"/>
  <c r="AF25"/>
  <c r="AF36" s="1"/>
  <c r="AJ25"/>
  <c r="AJ36" s="1"/>
  <c r="AN25"/>
  <c r="AN36" s="1"/>
  <c r="AR25"/>
  <c r="AR36" s="1"/>
  <c r="AV25"/>
  <c r="AV36" s="1"/>
  <c r="AZ25"/>
  <c r="AZ36" s="1"/>
  <c r="BD25"/>
  <c r="BD36" s="1"/>
  <c r="BH25"/>
  <c r="BH36" s="1"/>
  <c r="BL25"/>
  <c r="BL36" s="1"/>
  <c r="M30" i="256"/>
  <c r="Q30"/>
  <c r="U30"/>
  <c r="Y30"/>
  <c r="AC30"/>
  <c r="AG30"/>
  <c r="AK30"/>
  <c r="AO30"/>
  <c r="AS30"/>
  <c r="AW30"/>
  <c r="BA30"/>
  <c r="BE30"/>
  <c r="BI30"/>
  <c r="BM30"/>
  <c r="O25" i="257"/>
  <c r="O36" s="1"/>
  <c r="T25"/>
  <c r="T36" s="1"/>
  <c r="Y25"/>
  <c r="Y36" s="1"/>
  <c r="AE25"/>
  <c r="AE36" s="1"/>
  <c r="AJ25"/>
  <c r="AJ36" s="1"/>
  <c r="AO25"/>
  <c r="AO36" s="1"/>
  <c r="AU25"/>
  <c r="AU36" s="1"/>
  <c r="AZ25"/>
  <c r="AZ36" s="1"/>
  <c r="BE25"/>
  <c r="BE36" s="1"/>
  <c r="M30" i="258"/>
  <c r="AC30"/>
  <c r="AS30"/>
  <c r="BI30"/>
  <c r="U30"/>
  <c r="AK30"/>
  <c r="G25" i="255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36"/>
  <c r="AU25"/>
  <c r="AU36" s="1"/>
  <c r="AY25"/>
  <c r="AY36" s="1"/>
  <c r="BC25"/>
  <c r="BC36" s="1"/>
  <c r="BG25"/>
  <c r="BG36" s="1"/>
  <c r="L30" i="256"/>
  <c r="P30"/>
  <c r="T30"/>
  <c r="X30"/>
  <c r="AB30"/>
  <c r="AF30"/>
  <c r="AJ30"/>
  <c r="AN30"/>
  <c r="AR30"/>
  <c r="AV30"/>
  <c r="AZ30"/>
  <c r="BD30"/>
  <c r="BH30"/>
  <c r="BJ25" i="257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M25"/>
  <c r="S25"/>
  <c r="S36" s="1"/>
  <c r="X25"/>
  <c r="X36" s="1"/>
  <c r="AC25"/>
  <c r="AC36" s="1"/>
  <c r="AI25"/>
  <c r="AI36" s="1"/>
  <c r="AN25"/>
  <c r="AN36" s="1"/>
  <c r="AS25"/>
  <c r="AS36" s="1"/>
  <c r="AY25"/>
  <c r="AY36" s="1"/>
  <c r="BD25"/>
  <c r="BD36" s="1"/>
  <c r="BI25"/>
  <c r="BI36" s="1"/>
  <c r="X30" i="258"/>
  <c r="AN30"/>
  <c r="H25" i="260"/>
  <c r="Q30" i="258"/>
  <c r="Y30"/>
  <c r="AG30"/>
  <c r="AO30"/>
  <c r="AW30"/>
  <c r="BE30"/>
  <c r="BJ30"/>
  <c r="BF30"/>
  <c r="BB30"/>
  <c r="AX30"/>
  <c r="AT30"/>
  <c r="AP30"/>
  <c r="AL30"/>
  <c r="AH30"/>
  <c r="AD30"/>
  <c r="Z30"/>
  <c r="V30"/>
  <c r="R30"/>
  <c r="N30"/>
  <c r="BK30"/>
  <c r="BG30"/>
  <c r="BC30"/>
  <c r="AY30"/>
  <c r="AU30"/>
  <c r="AQ30"/>
  <c r="AM30"/>
  <c r="AI30"/>
  <c r="AE30"/>
  <c r="AA30"/>
  <c r="W30"/>
  <c r="S30"/>
  <c r="O30"/>
  <c r="K30"/>
  <c r="H25"/>
  <c r="L30"/>
  <c r="T30"/>
  <c r="AB30"/>
  <c r="AJ30"/>
  <c r="AR30"/>
  <c r="AZ30"/>
  <c r="BH30"/>
  <c r="BA30" i="260"/>
  <c r="AK30"/>
  <c r="U30"/>
  <c r="O30"/>
  <c r="AE30"/>
  <c r="L25" i="258"/>
  <c r="L36" s="1"/>
  <c r="P25"/>
  <c r="P36" s="1"/>
  <c r="T25"/>
  <c r="T36" s="1"/>
  <c r="X25"/>
  <c r="X36" s="1"/>
  <c r="AB25"/>
  <c r="AB36" s="1"/>
  <c r="AF36"/>
  <c r="AJ25"/>
  <c r="AJ36" s="1"/>
  <c r="AN25"/>
  <c r="AN36" s="1"/>
  <c r="AR25"/>
  <c r="AR36" s="1"/>
  <c r="AV25"/>
  <c r="AV36" s="1"/>
  <c r="AZ25"/>
  <c r="AZ36" s="1"/>
  <c r="BD25"/>
  <c r="BD36" s="1"/>
  <c r="BH25"/>
  <c r="BH36" s="1"/>
  <c r="BL25"/>
  <c r="BL36" s="1"/>
  <c r="P30" i="259"/>
  <c r="U30"/>
  <c r="Z30"/>
  <c r="AF30"/>
  <c r="AK30"/>
  <c r="AP30"/>
  <c r="AV30"/>
  <c r="BA30"/>
  <c r="BF30"/>
  <c r="BJ30" i="260"/>
  <c r="BF30"/>
  <c r="BB30"/>
  <c r="AX30"/>
  <c r="AT30"/>
  <c r="AP30"/>
  <c r="AL30"/>
  <c r="AH30"/>
  <c r="AD30"/>
  <c r="Z30"/>
  <c r="V30"/>
  <c r="R30"/>
  <c r="N30"/>
  <c r="BL30"/>
  <c r="BH30"/>
  <c r="BD30"/>
  <c r="AZ30"/>
  <c r="AV30"/>
  <c r="AR30"/>
  <c r="AN30"/>
  <c r="AJ30"/>
  <c r="AF30"/>
  <c r="AB30"/>
  <c r="X30"/>
  <c r="T30"/>
  <c r="P30"/>
  <c r="L30"/>
  <c r="BM30"/>
  <c r="BE30"/>
  <c r="AW30"/>
  <c r="AO30"/>
  <c r="AG30"/>
  <c r="Y30"/>
  <c r="Q30"/>
  <c r="BG30"/>
  <c r="AY30"/>
  <c r="AQ30"/>
  <c r="AI30"/>
  <c r="AA30"/>
  <c r="S30"/>
  <c r="K30"/>
  <c r="M30"/>
  <c r="AC30"/>
  <c r="AS30"/>
  <c r="BI30"/>
  <c r="M25" i="262"/>
  <c r="M36" s="1"/>
  <c r="BJ30" i="263"/>
  <c r="BF30"/>
  <c r="BB30"/>
  <c r="AX30"/>
  <c r="AT30"/>
  <c r="AP30"/>
  <c r="AL30"/>
  <c r="AH30"/>
  <c r="AD30"/>
  <c r="Z30"/>
  <c r="V30"/>
  <c r="R30"/>
  <c r="N30"/>
  <c r="BM30"/>
  <c r="BI30"/>
  <c r="BE30"/>
  <c r="BA30"/>
  <c r="AW30"/>
  <c r="AS30"/>
  <c r="AO30"/>
  <c r="AK30"/>
  <c r="AG30"/>
  <c r="AC30"/>
  <c r="Y30"/>
  <c r="U30"/>
  <c r="Q30"/>
  <c r="M30"/>
  <c r="BL30"/>
  <c r="BH30"/>
  <c r="BD30"/>
  <c r="AZ30"/>
  <c r="AV30"/>
  <c r="AR30"/>
  <c r="AN30"/>
  <c r="AJ30"/>
  <c r="AF30"/>
  <c r="AB30"/>
  <c r="X30"/>
  <c r="T30"/>
  <c r="P30"/>
  <c r="L30"/>
  <c r="BK30"/>
  <c r="BG30"/>
  <c r="BC30"/>
  <c r="AY30"/>
  <c r="AU30"/>
  <c r="AQ30"/>
  <c r="AM30"/>
  <c r="AI30"/>
  <c r="AE30"/>
  <c r="AA30"/>
  <c r="W30"/>
  <c r="S30"/>
  <c r="O30"/>
  <c r="K30"/>
  <c r="H25"/>
  <c r="G25" i="258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BK30" i="259"/>
  <c r="BG30"/>
  <c r="BC30"/>
  <c r="AY30"/>
  <c r="AU30"/>
  <c r="AQ30"/>
  <c r="AM30"/>
  <c r="AI30"/>
  <c r="AE30"/>
  <c r="AA30"/>
  <c r="W30"/>
  <c r="S30"/>
  <c r="O30"/>
  <c r="K30"/>
  <c r="N30"/>
  <c r="T30"/>
  <c r="Y30"/>
  <c r="AD30"/>
  <c r="AJ30"/>
  <c r="AO30"/>
  <c r="AT30"/>
  <c r="AZ30"/>
  <c r="BE30"/>
  <c r="BJ30"/>
  <c r="W30" i="260"/>
  <c r="AM30"/>
  <c r="BC30"/>
  <c r="BM25" i="262"/>
  <c r="BE25"/>
  <c r="BE36" s="1"/>
  <c r="BI25"/>
  <c r="BI36" s="1"/>
  <c r="AU25"/>
  <c r="AU36" s="1"/>
  <c r="AK25"/>
  <c r="AK36" s="1"/>
  <c r="Y25"/>
  <c r="Y36" s="1"/>
  <c r="O25"/>
  <c r="O36" s="1"/>
  <c r="BA25"/>
  <c r="BA36" s="1"/>
  <c r="AO25"/>
  <c r="AO36" s="1"/>
  <c r="AE25"/>
  <c r="AE36" s="1"/>
  <c r="U25"/>
  <c r="U36" s="1"/>
  <c r="BK25"/>
  <c r="BK36" s="1"/>
  <c r="AM25"/>
  <c r="AM36" s="1"/>
  <c r="Q25"/>
  <c r="Q36" s="1"/>
  <c r="AS25"/>
  <c r="AS36" s="1"/>
  <c r="W25"/>
  <c r="W36" s="1"/>
  <c r="G25"/>
  <c r="AW25"/>
  <c r="AW36" s="1"/>
  <c r="BK25" i="260"/>
  <c r="BK36" s="1"/>
  <c r="BG25"/>
  <c r="BG36" s="1"/>
  <c r="BC25"/>
  <c r="BC36" s="1"/>
  <c r="BM25"/>
  <c r="BI25"/>
  <c r="BI36" s="1"/>
  <c r="BE25"/>
  <c r="BE36" s="1"/>
  <c r="BA25"/>
  <c r="BA36" s="1"/>
  <c r="AW25"/>
  <c r="AW36" s="1"/>
  <c r="G25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Z25"/>
  <c r="AZ36" s="1"/>
  <c r="BH25"/>
  <c r="BH36" s="1"/>
  <c r="J25"/>
  <c r="N25"/>
  <c r="N36" s="1"/>
  <c r="R25"/>
  <c r="R36" s="1"/>
  <c r="V25"/>
  <c r="V36" s="1"/>
  <c r="Z25"/>
  <c r="Z36" s="1"/>
  <c r="AD25"/>
  <c r="AD36" s="1"/>
  <c r="AH25"/>
  <c r="AH36" s="1"/>
  <c r="AL25"/>
  <c r="AL36" s="1"/>
  <c r="AP25"/>
  <c r="AP36" s="1"/>
  <c r="AT25"/>
  <c r="AT36" s="1"/>
  <c r="AY25"/>
  <c r="AY36" s="1"/>
  <c r="BF25"/>
  <c r="BF36" s="1"/>
  <c r="L36" i="261"/>
  <c r="T36"/>
  <c r="AB36"/>
  <c r="AJ36"/>
  <c r="AR36"/>
  <c r="AZ36"/>
  <c r="BH36"/>
  <c r="G25"/>
  <c r="K25"/>
  <c r="O25"/>
  <c r="O36" s="1"/>
  <c r="S25"/>
  <c r="S36" s="1"/>
  <c r="W25"/>
  <c r="W36" s="1"/>
  <c r="AA25"/>
  <c r="AA36" s="1"/>
  <c r="AE25"/>
  <c r="AE36" s="1"/>
  <c r="AI25"/>
  <c r="AI36" s="1"/>
  <c r="AM25"/>
  <c r="AM36" s="1"/>
  <c r="AQ25"/>
  <c r="AQ36" s="1"/>
  <c r="AU25"/>
  <c r="AU36" s="1"/>
  <c r="AY25"/>
  <c r="AY36" s="1"/>
  <c r="BC25"/>
  <c r="BC36" s="1"/>
  <c r="BG25"/>
  <c r="BG36" s="1"/>
  <c r="BK25"/>
  <c r="BK36" s="1"/>
  <c r="N30"/>
  <c r="R30"/>
  <c r="Z30"/>
  <c r="AH30"/>
  <c r="AP30"/>
  <c r="AX30"/>
  <c r="T30" i="262"/>
  <c r="AJ30"/>
  <c r="BK30" i="261"/>
  <c r="BG30"/>
  <c r="BC30"/>
  <c r="AY30"/>
  <c r="AU30"/>
  <c r="AQ30"/>
  <c r="AM30"/>
  <c r="AI30"/>
  <c r="AE30"/>
  <c r="AA30"/>
  <c r="W30"/>
  <c r="S30"/>
  <c r="BM30"/>
  <c r="BI30"/>
  <c r="BE30"/>
  <c r="BA30"/>
  <c r="AW30"/>
  <c r="AS30"/>
  <c r="AO30"/>
  <c r="AK30"/>
  <c r="AG30"/>
  <c r="AC30"/>
  <c r="Y30"/>
  <c r="U30"/>
  <c r="M25"/>
  <c r="M36" s="1"/>
  <c r="Q25"/>
  <c r="Q36" s="1"/>
  <c r="U25"/>
  <c r="U36" s="1"/>
  <c r="Y25"/>
  <c r="Y36" s="1"/>
  <c r="AC25"/>
  <c r="AC36" s="1"/>
  <c r="AG25"/>
  <c r="AG36" s="1"/>
  <c r="AK25"/>
  <c r="AK36" s="1"/>
  <c r="AO25"/>
  <c r="AO36" s="1"/>
  <c r="AS25"/>
  <c r="AS36" s="1"/>
  <c r="AW25"/>
  <c r="AW36" s="1"/>
  <c r="BA25"/>
  <c r="BA36" s="1"/>
  <c r="BE25"/>
  <c r="BE36" s="1"/>
  <c r="BI36"/>
  <c r="L30"/>
  <c r="P30"/>
  <c r="V30"/>
  <c r="AD30"/>
  <c r="AL30"/>
  <c r="AT30"/>
  <c r="BB30"/>
  <c r="BJ30"/>
  <c r="BM30" i="262"/>
  <c r="BI30"/>
  <c r="BE30"/>
  <c r="BA30"/>
  <c r="AW30"/>
  <c r="AS30"/>
  <c r="AO30"/>
  <c r="AK30"/>
  <c r="AG30"/>
  <c r="AC30"/>
  <c r="Y30"/>
  <c r="U30"/>
  <c r="Q30"/>
  <c r="M30"/>
  <c r="BK30"/>
  <c r="BG30"/>
  <c r="BC30"/>
  <c r="AY30"/>
  <c r="AU30"/>
  <c r="AQ30"/>
  <c r="AM30"/>
  <c r="AI30"/>
  <c r="AE30"/>
  <c r="AA30"/>
  <c r="W30"/>
  <c r="S30"/>
  <c r="O30"/>
  <c r="K30"/>
  <c r="H25"/>
  <c r="BJ30"/>
  <c r="BB30"/>
  <c r="AT30"/>
  <c r="AL30"/>
  <c r="AD30"/>
  <c r="V30"/>
  <c r="N30"/>
  <c r="BL30"/>
  <c r="BD30"/>
  <c r="AV30"/>
  <c r="AN30"/>
  <c r="AF30"/>
  <c r="X30"/>
  <c r="P30"/>
  <c r="L30"/>
  <c r="AB30"/>
  <c r="AR30"/>
  <c r="BH30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BL25"/>
  <c r="BL36" s="1"/>
  <c r="BH25"/>
  <c r="BH36" s="1"/>
  <c r="BD25"/>
  <c r="BD36" s="1"/>
  <c r="AZ25"/>
  <c r="AZ36" s="1"/>
  <c r="AV25"/>
  <c r="AV36" s="1"/>
  <c r="AR25"/>
  <c r="AR36" s="1"/>
  <c r="AN25"/>
  <c r="AN36" s="1"/>
  <c r="AJ25"/>
  <c r="AJ36" s="1"/>
  <c r="AF25"/>
  <c r="AF36" s="1"/>
  <c r="AB25"/>
  <c r="AB36" s="1"/>
  <c r="X25"/>
  <c r="X36" s="1"/>
  <c r="T25"/>
  <c r="T36" s="1"/>
  <c r="P25"/>
  <c r="P36" s="1"/>
  <c r="L25"/>
  <c r="L36" s="1"/>
  <c r="K25"/>
  <c r="S25"/>
  <c r="S36" s="1"/>
  <c r="AA25"/>
  <c r="AA36" s="1"/>
  <c r="AI25"/>
  <c r="AI36" s="1"/>
  <c r="AQ25"/>
  <c r="AQ36" s="1"/>
  <c r="AY25"/>
  <c r="AY36" s="1"/>
  <c r="BG25"/>
  <c r="BG36" s="1"/>
  <c r="BK25" i="263"/>
  <c r="BK36" s="1"/>
  <c r="BG25"/>
  <c r="BG36" s="1"/>
  <c r="BC25"/>
  <c r="BC36" s="1"/>
  <c r="AY25"/>
  <c r="AY36" s="1"/>
  <c r="AU25"/>
  <c r="AU36" s="1"/>
  <c r="AQ25"/>
  <c r="AQ36" s="1"/>
  <c r="AM25"/>
  <c r="AM36" s="1"/>
  <c r="AI25"/>
  <c r="AI36" s="1"/>
  <c r="AE25"/>
  <c r="AE36" s="1"/>
  <c r="AA25"/>
  <c r="AA36" s="1"/>
  <c r="W25"/>
  <c r="W36" s="1"/>
  <c r="S25"/>
  <c r="S36" s="1"/>
  <c r="O25"/>
  <c r="O36" s="1"/>
  <c r="K25"/>
  <c r="G25"/>
  <c r="BJ25"/>
  <c r="BJ36" s="1"/>
  <c r="BF25"/>
  <c r="BF36" s="1"/>
  <c r="BB25"/>
  <c r="BB36" s="1"/>
  <c r="AX25"/>
  <c r="AX36" s="1"/>
  <c r="AT25"/>
  <c r="AT36" s="1"/>
  <c r="AP25"/>
  <c r="AP36" s="1"/>
  <c r="AL25"/>
  <c r="AL36" s="1"/>
  <c r="AH25"/>
  <c r="AH36" s="1"/>
  <c r="AD25"/>
  <c r="AD36" s="1"/>
  <c r="Z25"/>
  <c r="Z36" s="1"/>
  <c r="V25"/>
  <c r="V36" s="1"/>
  <c r="R25"/>
  <c r="R36" s="1"/>
  <c r="N25"/>
  <c r="N36" s="1"/>
  <c r="J25"/>
  <c r="BM25"/>
  <c r="BI25"/>
  <c r="BI36" s="1"/>
  <c r="BE25"/>
  <c r="BE36" s="1"/>
  <c r="BA25"/>
  <c r="BA36" s="1"/>
  <c r="AW25"/>
  <c r="AW36" s="1"/>
  <c r="AS25"/>
  <c r="AS36" s="1"/>
  <c r="AO25"/>
  <c r="AO36" s="1"/>
  <c r="AK25"/>
  <c r="AK36" s="1"/>
  <c r="AG25"/>
  <c r="AG36" s="1"/>
  <c r="AC25"/>
  <c r="AC36" s="1"/>
  <c r="Y25"/>
  <c r="Y36" s="1"/>
  <c r="U25"/>
  <c r="U36" s="1"/>
  <c r="Q25"/>
  <c r="Q36" s="1"/>
  <c r="M25"/>
  <c r="M36" s="1"/>
  <c r="BL25"/>
  <c r="BL36" s="1"/>
  <c r="BH25"/>
  <c r="BH36" s="1"/>
  <c r="BD25"/>
  <c r="BD36" s="1"/>
  <c r="AZ25"/>
  <c r="AZ36" s="1"/>
  <c r="AV25"/>
  <c r="AV36" s="1"/>
  <c r="AR25"/>
  <c r="AR36" s="1"/>
  <c r="AN25"/>
  <c r="AN36" s="1"/>
  <c r="AJ25"/>
  <c r="AJ36" s="1"/>
  <c r="AF25"/>
  <c r="AF36" s="1"/>
  <c r="AB25"/>
  <c r="AB36" s="1"/>
  <c r="X25"/>
  <c r="X36" s="1"/>
  <c r="T25"/>
  <c r="T36" s="1"/>
  <c r="P25"/>
  <c r="P36" s="1"/>
  <c r="L25"/>
  <c r="L36" s="1"/>
  <c r="BM39" i="1"/>
  <c r="I1"/>
  <c r="J1"/>
  <c r="D8" i="14"/>
  <c r="K36" i="257" l="1"/>
  <c r="M36"/>
  <c r="K36" i="255"/>
  <c r="K36" i="262"/>
  <c r="BM36" i="260"/>
  <c r="K36" i="259"/>
  <c r="K36" i="253"/>
  <c r="BM36" i="263"/>
  <c r="K36"/>
  <c r="BM36" i="262"/>
  <c r="K36" i="258"/>
  <c r="BM36" i="256"/>
  <c r="K36" i="261"/>
  <c r="K36" i="260"/>
  <c r="BM36" i="259"/>
  <c r="K36" i="256"/>
  <c r="K36" i="254"/>
  <c r="K36" i="252"/>
  <c r="F2" i="15"/>
  <c r="A13" i="237" l="1"/>
  <c r="A4"/>
  <c r="A12"/>
  <c r="A11"/>
  <c r="A10"/>
  <c r="A9"/>
  <c r="A8"/>
  <c r="A7"/>
  <c r="A6"/>
  <c r="A3"/>
  <c r="A5"/>
  <c r="BA39" i="255" l="1"/>
  <c r="M39"/>
  <c r="T39"/>
  <c r="BM39"/>
  <c r="AN39"/>
  <c r="K39"/>
  <c r="AZ39"/>
  <c r="AC39"/>
  <c r="AP39"/>
  <c r="AT39"/>
  <c r="Y39"/>
  <c r="V39"/>
  <c r="AO39"/>
  <c r="O39"/>
  <c r="AE39"/>
  <c r="L39"/>
  <c r="AA39"/>
  <c r="Z39"/>
  <c r="AJ39"/>
  <c r="X39"/>
  <c r="AF39"/>
  <c r="AD39"/>
  <c r="AB39"/>
  <c r="AS39"/>
  <c r="AI39"/>
  <c r="BH39"/>
  <c r="AK39"/>
  <c r="BK39"/>
  <c r="BL39"/>
  <c r="N39"/>
  <c r="W39"/>
  <c r="U39"/>
  <c r="AX39"/>
  <c r="BG39"/>
  <c r="AU39"/>
  <c r="Q39"/>
  <c r="P39"/>
  <c r="AH39"/>
  <c r="R39"/>
  <c r="BE39"/>
  <c r="BI39"/>
  <c r="S39"/>
  <c r="AW39"/>
  <c r="AY39"/>
  <c r="AV39"/>
  <c r="BB39"/>
  <c r="AM39"/>
  <c r="AR39"/>
  <c r="AL39"/>
  <c r="AG39"/>
  <c r="BD39"/>
  <c r="BF39"/>
  <c r="BJ39"/>
  <c r="BC39"/>
  <c r="B2" i="15"/>
  <c r="BW104" i="18" l="1"/>
  <c r="G106"/>
  <c r="K106"/>
  <c r="O106"/>
  <c r="S106"/>
  <c r="W106"/>
  <c r="AA106"/>
  <c r="AE106"/>
  <c r="AI106"/>
  <c r="AM106"/>
  <c r="AQ106"/>
  <c r="AU106"/>
  <c r="AY106"/>
  <c r="BC106"/>
  <c r="BG106"/>
  <c r="BK106"/>
  <c r="BO106"/>
  <c r="BS106"/>
  <c r="BW106"/>
  <c r="I107"/>
  <c r="M107"/>
  <c r="Q107"/>
  <c r="U107"/>
  <c r="Y107"/>
  <c r="AC107"/>
  <c r="AG107"/>
  <c r="AK107"/>
  <c r="AO107"/>
  <c r="AS107"/>
  <c r="AW107"/>
  <c r="BA107"/>
  <c r="BE107"/>
  <c r="BI107"/>
  <c r="BM107"/>
  <c r="BQ107"/>
  <c r="BU107"/>
  <c r="BX104"/>
  <c r="H106"/>
  <c r="L106"/>
  <c r="P106"/>
  <c r="T106"/>
  <c r="X106"/>
  <c r="AB106"/>
  <c r="AF106"/>
  <c r="AJ106"/>
  <c r="AN106"/>
  <c r="AR106"/>
  <c r="AV106"/>
  <c r="AZ106"/>
  <c r="BD106"/>
  <c r="BH106"/>
  <c r="BL106"/>
  <c r="BP106"/>
  <c r="BT106"/>
  <c r="BX106"/>
  <c r="J107"/>
  <c r="N107"/>
  <c r="R107"/>
  <c r="V107"/>
  <c r="Z107"/>
  <c r="AD107"/>
  <c r="AH107"/>
  <c r="AL107"/>
  <c r="AP107"/>
  <c r="AT107"/>
  <c r="AX107"/>
  <c r="BB107"/>
  <c r="BF107"/>
  <c r="BJ107"/>
  <c r="BN107"/>
  <c r="BR107"/>
  <c r="BV107"/>
  <c r="BW94"/>
  <c r="BW96"/>
  <c r="BW98"/>
  <c r="BW100"/>
  <c r="BW102"/>
  <c r="BW105"/>
  <c r="M106"/>
  <c r="U106"/>
  <c r="AC106"/>
  <c r="AK106"/>
  <c r="AS106"/>
  <c r="BA106"/>
  <c r="BI106"/>
  <c r="BQ106"/>
  <c r="G107"/>
  <c r="O107"/>
  <c r="W107"/>
  <c r="AE107"/>
  <c r="AM107"/>
  <c r="AU107"/>
  <c r="BC107"/>
  <c r="BK107"/>
  <c r="BS107"/>
  <c r="BW39"/>
  <c r="BW95"/>
  <c r="BW97"/>
  <c r="BW99"/>
  <c r="BW101"/>
  <c r="BW103"/>
  <c r="I106"/>
  <c r="Q106"/>
  <c r="Y106"/>
  <c r="AG106"/>
  <c r="AO106"/>
  <c r="AW106"/>
  <c r="BE106"/>
  <c r="BM106"/>
  <c r="BU106"/>
  <c r="K107"/>
  <c r="S107"/>
  <c r="AA107"/>
  <c r="AI107"/>
  <c r="AQ107"/>
  <c r="AY107"/>
  <c r="BG107"/>
  <c r="BO107"/>
  <c r="BW107"/>
  <c r="BW38"/>
  <c r="BW40"/>
  <c r="BX94"/>
  <c r="BX98"/>
  <c r="BX102"/>
  <c r="BX105"/>
  <c r="V106"/>
  <c r="AL106"/>
  <c r="BB106"/>
  <c r="BR106"/>
  <c r="P107"/>
  <c r="AF107"/>
  <c r="AV107"/>
  <c r="BL107"/>
  <c r="BW41"/>
  <c r="BX42"/>
  <c r="BW45"/>
  <c r="BX46"/>
  <c r="BW49"/>
  <c r="BX50"/>
  <c r="BW53"/>
  <c r="BX54"/>
  <c r="BW57"/>
  <c r="BX58"/>
  <c r="BW61"/>
  <c r="BX62"/>
  <c r="BW65"/>
  <c r="BX66"/>
  <c r="BW69"/>
  <c r="BX70"/>
  <c r="BW73"/>
  <c r="BX74"/>
  <c r="BW77"/>
  <c r="BX78"/>
  <c r="BW81"/>
  <c r="BX82"/>
  <c r="BV108"/>
  <c r="BV109"/>
  <c r="BV110"/>
  <c r="BX95"/>
  <c r="BX99"/>
  <c r="BX103"/>
  <c r="J106"/>
  <c r="Z106"/>
  <c r="AP106"/>
  <c r="BF106"/>
  <c r="BV106"/>
  <c r="T107"/>
  <c r="AJ107"/>
  <c r="AZ107"/>
  <c r="BX96"/>
  <c r="BX100"/>
  <c r="N106"/>
  <c r="AD106"/>
  <c r="AT106"/>
  <c r="BJ106"/>
  <c r="H107"/>
  <c r="X107"/>
  <c r="AN107"/>
  <c r="BD107"/>
  <c r="BT107"/>
  <c r="BX39"/>
  <c r="BW43"/>
  <c r="BX44"/>
  <c r="BW47"/>
  <c r="BX48"/>
  <c r="BW51"/>
  <c r="BX52"/>
  <c r="BW55"/>
  <c r="BX56"/>
  <c r="BW59"/>
  <c r="BX60"/>
  <c r="BW63"/>
  <c r="BX64"/>
  <c r="BW67"/>
  <c r="BX68"/>
  <c r="BW71"/>
  <c r="BX72"/>
  <c r="BW75"/>
  <c r="BX76"/>
  <c r="BW79"/>
  <c r="BX80"/>
  <c r="BW83"/>
  <c r="BX84"/>
  <c r="BX85"/>
  <c r="BX86"/>
  <c r="BX87"/>
  <c r="BX88"/>
  <c r="BX89"/>
  <c r="BX90"/>
  <c r="BX91"/>
  <c r="BX92"/>
  <c r="BX93"/>
  <c r="BX108"/>
  <c r="BX109"/>
  <c r="BX110"/>
  <c r="BX97"/>
  <c r="BX101"/>
  <c r="R106"/>
  <c r="AH106"/>
  <c r="AX106"/>
  <c r="BN106"/>
  <c r="L107"/>
  <c r="AB107"/>
  <c r="AR107"/>
  <c r="BH107"/>
  <c r="BX107"/>
  <c r="BX40"/>
  <c r="BW42"/>
  <c r="BX43"/>
  <c r="BW46"/>
  <c r="BX47"/>
  <c r="BW50"/>
  <c r="BX51"/>
  <c r="BW54"/>
  <c r="BX55"/>
  <c r="BW58"/>
  <c r="BX59"/>
  <c r="BW62"/>
  <c r="BX63"/>
  <c r="BW66"/>
  <c r="BX67"/>
  <c r="BW70"/>
  <c r="BX71"/>
  <c r="BW74"/>
  <c r="BX75"/>
  <c r="BW78"/>
  <c r="BP107"/>
  <c r="BW44"/>
  <c r="BX49"/>
  <c r="BW60"/>
  <c r="BX65"/>
  <c r="BW76"/>
  <c r="BW80"/>
  <c r="BW85"/>
  <c r="BW87"/>
  <c r="BW89"/>
  <c r="BW91"/>
  <c r="BW93"/>
  <c r="BW109"/>
  <c r="BX41"/>
  <c r="BW52"/>
  <c r="BX57"/>
  <c r="BX73"/>
  <c r="BX81"/>
  <c r="BW86"/>
  <c r="BW90"/>
  <c r="BW108"/>
  <c r="BX53"/>
  <c r="BW64"/>
  <c r="BW82"/>
  <c r="BU109"/>
  <c r="BX38"/>
  <c r="BX45"/>
  <c r="BW56"/>
  <c r="BX61"/>
  <c r="BW72"/>
  <c r="BX77"/>
  <c r="BX83"/>
  <c r="BU108"/>
  <c r="BU110"/>
  <c r="BW68"/>
  <c r="BW84"/>
  <c r="BW88"/>
  <c r="BW92"/>
  <c r="BW110"/>
  <c r="BW48"/>
  <c r="BX69"/>
  <c r="BX79"/>
  <c r="AV110"/>
  <c r="V109"/>
  <c r="Z110"/>
  <c r="BJ108"/>
  <c r="BN109"/>
  <c r="AN108"/>
  <c r="AR109"/>
  <c r="P108"/>
  <c r="BL110"/>
  <c r="AP110"/>
  <c r="V110"/>
  <c r="BH109"/>
  <c r="AL109"/>
  <c r="R109"/>
  <c r="BD108"/>
  <c r="AH108"/>
  <c r="H108"/>
  <c r="BF110"/>
  <c r="AL110"/>
  <c r="P110"/>
  <c r="BB109"/>
  <c r="AH109"/>
  <c r="L109"/>
  <c r="AX108"/>
  <c r="AD108"/>
  <c r="BT110"/>
  <c r="BB110"/>
  <c r="AF110"/>
  <c r="J110"/>
  <c r="AX109"/>
  <c r="AB109"/>
  <c r="BN108"/>
  <c r="AT108"/>
  <c r="X108"/>
  <c r="BR108"/>
  <c r="BO108"/>
  <c r="BS108"/>
  <c r="BQ109"/>
  <c r="BO110"/>
  <c r="BS110"/>
  <c r="BQ108"/>
  <c r="BR109"/>
  <c r="BR110"/>
  <c r="G108"/>
  <c r="K108"/>
  <c r="O108"/>
  <c r="S108"/>
  <c r="W108"/>
  <c r="AA108"/>
  <c r="AE108"/>
  <c r="AI108"/>
  <c r="AM108"/>
  <c r="AQ108"/>
  <c r="AU108"/>
  <c r="AY108"/>
  <c r="BC108"/>
  <c r="BG108"/>
  <c r="BK108"/>
  <c r="G109"/>
  <c r="K109"/>
  <c r="O109"/>
  <c r="S109"/>
  <c r="W109"/>
  <c r="AA109"/>
  <c r="AE109"/>
  <c r="AI109"/>
  <c r="AM109"/>
  <c r="AQ109"/>
  <c r="AU109"/>
  <c r="AY109"/>
  <c r="BC109"/>
  <c r="BG109"/>
  <c r="BK109"/>
  <c r="G110"/>
  <c r="K110"/>
  <c r="O110"/>
  <c r="S110"/>
  <c r="W110"/>
  <c r="AA110"/>
  <c r="AE110"/>
  <c r="AI110"/>
  <c r="AM110"/>
  <c r="AQ110"/>
  <c r="AU110"/>
  <c r="AY110"/>
  <c r="BC110"/>
  <c r="BG110"/>
  <c r="BK110"/>
  <c r="BT108"/>
  <c r="BO109"/>
  <c r="BT109"/>
  <c r="BP110"/>
  <c r="I108"/>
  <c r="M108"/>
  <c r="Q108"/>
  <c r="U108"/>
  <c r="Y108"/>
  <c r="AC108"/>
  <c r="AG108"/>
  <c r="AK108"/>
  <c r="AO108"/>
  <c r="AS108"/>
  <c r="AW108"/>
  <c r="BA108"/>
  <c r="BE108"/>
  <c r="BI108"/>
  <c r="BM108"/>
  <c r="I109"/>
  <c r="M109"/>
  <c r="Q109"/>
  <c r="U109"/>
  <c r="Y109"/>
  <c r="AC109"/>
  <c r="AG109"/>
  <c r="AK109"/>
  <c r="AO109"/>
  <c r="AS109"/>
  <c r="AW109"/>
  <c r="BA109"/>
  <c r="BE109"/>
  <c r="BI109"/>
  <c r="BM109"/>
  <c r="I110"/>
  <c r="M110"/>
  <c r="Q110"/>
  <c r="U110"/>
  <c r="Y110"/>
  <c r="AC110"/>
  <c r="AG110"/>
  <c r="AK110"/>
  <c r="AO110"/>
  <c r="AS110"/>
  <c r="AW110"/>
  <c r="BA110"/>
  <c r="BE110"/>
  <c r="BI110"/>
  <c r="BM110"/>
  <c r="J108"/>
  <c r="R108"/>
  <c r="L108"/>
  <c r="T108"/>
  <c r="AB108"/>
  <c r="AJ108"/>
  <c r="AR108"/>
  <c r="AZ108"/>
  <c r="BH108"/>
  <c r="H109"/>
  <c r="P109"/>
  <c r="X109"/>
  <c r="AF109"/>
  <c r="AN109"/>
  <c r="AV109"/>
  <c r="BD109"/>
  <c r="BL109"/>
  <c r="L110"/>
  <c r="T110"/>
  <c r="AB110"/>
  <c r="AJ110"/>
  <c r="AR110"/>
  <c r="AZ110"/>
  <c r="BH110"/>
  <c r="BP108"/>
  <c r="BP109"/>
  <c r="BQ110"/>
  <c r="BN110"/>
  <c r="BD110"/>
  <c r="AT110"/>
  <c r="AH110"/>
  <c r="X110"/>
  <c r="N110"/>
  <c r="BJ109"/>
  <c r="AZ109"/>
  <c r="AP109"/>
  <c r="AD109"/>
  <c r="T109"/>
  <c r="J109"/>
  <c r="BF108"/>
  <c r="AV108"/>
  <c r="AL108"/>
  <c r="Z108"/>
  <c r="N108"/>
  <c r="BS109"/>
  <c r="BJ110"/>
  <c r="AX110"/>
  <c r="AN110"/>
  <c r="AD110"/>
  <c r="R110"/>
  <c r="H110"/>
  <c r="BF109"/>
  <c r="AT109"/>
  <c r="AJ109"/>
  <c r="Z109"/>
  <c r="N109"/>
  <c r="BL108"/>
  <c r="BB108"/>
  <c r="AP108"/>
  <c r="AF108"/>
  <c r="V108"/>
  <c r="C29" i="256"/>
  <c r="AK28" i="263"/>
  <c r="BM28"/>
  <c r="T28"/>
  <c r="O28"/>
  <c r="AQ28" i="262"/>
  <c r="AJ28" i="263"/>
  <c r="AE28"/>
  <c r="AC28" i="261"/>
  <c r="BI28" i="263"/>
  <c r="AR28" i="261"/>
  <c r="C29" i="257"/>
  <c r="N28" i="263"/>
  <c r="BH28"/>
  <c r="BM28" i="262"/>
  <c r="AI28" i="263"/>
  <c r="AY28" i="262"/>
  <c r="BB28" i="261"/>
  <c r="AY28" i="263"/>
  <c r="Z28" i="262"/>
  <c r="AQ28" i="261"/>
  <c r="BC28" i="262"/>
  <c r="C29"/>
  <c r="AX28" i="263"/>
  <c r="AO28"/>
  <c r="T28" i="261"/>
  <c r="AS28" i="262"/>
  <c r="AI28"/>
  <c r="AE28" i="261"/>
  <c r="BK28" i="262"/>
  <c r="V28" i="261"/>
  <c r="AW28" i="262"/>
  <c r="Y28"/>
  <c r="BJ28" i="263"/>
  <c r="BA28"/>
  <c r="AT28" i="262"/>
  <c r="AY28" i="261"/>
  <c r="BE28"/>
  <c r="AN28" i="262"/>
  <c r="AZ28" i="263"/>
  <c r="AB28" i="262"/>
  <c r="AB28" i="263"/>
  <c r="Q28" i="261"/>
  <c r="K28" i="263"/>
  <c r="BL28" i="261"/>
  <c r="C29"/>
  <c r="AU28" i="263"/>
  <c r="BK28"/>
  <c r="Y28"/>
  <c r="R28" i="261"/>
  <c r="O28"/>
  <c r="AZ28"/>
  <c r="BE28" i="262"/>
  <c r="AM28"/>
  <c r="Y28" i="261"/>
  <c r="BJ28" i="262"/>
  <c r="AV28" i="263"/>
  <c r="P28" i="261"/>
  <c r="AP28" i="263"/>
  <c r="AV28" i="262"/>
  <c r="AC28" i="263"/>
  <c r="BB28" i="262"/>
  <c r="AJ28" i="261"/>
  <c r="AO28" i="262"/>
  <c r="N28"/>
  <c r="V28"/>
  <c r="C29" i="263"/>
  <c r="BJ28" i="261"/>
  <c r="O28" i="262"/>
  <c r="AI28" i="261"/>
  <c r="AS28"/>
  <c r="AM28" i="263"/>
  <c r="BH28" i="262"/>
  <c r="AA28" i="261"/>
  <c r="X28" i="263"/>
  <c r="W28" i="261"/>
  <c r="AO28"/>
  <c r="C29" i="259"/>
  <c r="AX28" i="262"/>
  <c r="S28" i="261"/>
  <c r="N28"/>
  <c r="M28" i="262"/>
  <c r="W28"/>
  <c r="AW28" i="261"/>
  <c r="X28"/>
  <c r="U28" i="263"/>
  <c r="BH28" i="261"/>
  <c r="AZ28" i="262"/>
  <c r="C29" i="260"/>
  <c r="P28" i="262"/>
  <c r="M28" i="261"/>
  <c r="BB28" i="263"/>
  <c r="AE28" i="262"/>
  <c r="AN28" i="261"/>
  <c r="AA28" i="263"/>
  <c r="AA28" i="262"/>
  <c r="BE28" i="263"/>
  <c r="AR28"/>
  <c r="AM28" i="261"/>
  <c r="C29" i="255"/>
  <c r="BF28" i="261"/>
  <c r="R28" i="263"/>
  <c r="AG28" i="262"/>
  <c r="AL28" i="261"/>
  <c r="BD28" i="262"/>
  <c r="AV28" i="261"/>
  <c r="AB28"/>
  <c r="AD28"/>
  <c r="BC28"/>
  <c r="AN28" i="263"/>
  <c r="V28"/>
  <c r="BA28" i="261"/>
  <c r="AH28" i="263"/>
  <c r="AX28" i="261"/>
  <c r="C29" i="258"/>
  <c r="L28" i="263"/>
  <c r="R28" i="262"/>
  <c r="AG28" i="263"/>
  <c r="BF28" i="262"/>
  <c r="AU28" i="261"/>
  <c r="BG28"/>
  <c r="BD28" i="263"/>
  <c r="T28" i="262"/>
  <c r="AK28"/>
  <c r="AD28"/>
  <c r="U28"/>
  <c r="X28"/>
  <c r="L28"/>
  <c r="BC28" i="263"/>
  <c r="AD28"/>
  <c r="AU28" i="262"/>
  <c r="AW28" i="263"/>
  <c r="AC28" i="262"/>
  <c r="AF28"/>
  <c r="AL28"/>
  <c r="BA28"/>
  <c r="BL28" i="263"/>
  <c r="BG28"/>
  <c r="K28" i="262"/>
  <c r="AR28"/>
  <c r="W28" i="263"/>
  <c r="U28" i="261"/>
  <c r="BF28" i="263"/>
  <c r="Q28"/>
  <c r="AP28" i="261"/>
  <c r="L28"/>
  <c r="BI28" i="262"/>
  <c r="AS28" i="263"/>
  <c r="AF28"/>
  <c r="K28" i="261"/>
  <c r="AP28" i="262"/>
  <c r="BI28" i="261"/>
  <c r="AH28" i="262"/>
  <c r="S28" i="263"/>
  <c r="Z28"/>
  <c r="BM28" i="261"/>
  <c r="AH28"/>
  <c r="S28" i="262"/>
  <c r="AF28" i="261"/>
  <c r="M28" i="263"/>
  <c r="AK28" i="261"/>
  <c r="AL28" i="263"/>
  <c r="BL28" i="262"/>
  <c r="AJ28"/>
  <c r="Q28"/>
  <c r="BD28" i="261"/>
  <c r="AQ28" i="263"/>
  <c r="Z28" i="261"/>
  <c r="AG28"/>
  <c r="P28" i="263"/>
  <c r="BK28" i="261"/>
  <c r="AT28"/>
  <c r="AT28" i="263"/>
  <c r="BG28" i="262"/>
  <c r="AU39" i="256" l="1"/>
  <c r="AJ39"/>
  <c r="AH39"/>
  <c r="BA39"/>
  <c r="BC39"/>
  <c r="BB39"/>
  <c r="BM39"/>
  <c r="AS39"/>
  <c r="Z39"/>
  <c r="AL39"/>
  <c r="AW39"/>
  <c r="V39"/>
  <c r="W39"/>
  <c r="M39"/>
  <c r="AC39"/>
  <c r="AG39"/>
  <c r="AQ39"/>
  <c r="AO39"/>
  <c r="Q39"/>
  <c r="N39"/>
  <c r="BH39"/>
  <c r="AK39"/>
  <c r="BL39"/>
  <c r="O39"/>
  <c r="AM39"/>
  <c r="AQ39" i="255"/>
  <c r="AX39" i="256"/>
  <c r="AY39"/>
  <c r="BI39"/>
  <c r="BE39"/>
  <c r="T39"/>
  <c r="AP39"/>
  <c r="BJ39"/>
  <c r="AN39"/>
  <c r="AV39"/>
  <c r="AF39"/>
  <c r="AT39"/>
  <c r="P39"/>
  <c r="AB39"/>
  <c r="AR39"/>
  <c r="Y39"/>
  <c r="AA39"/>
  <c r="AD39"/>
  <c r="BK39"/>
  <c r="AI39"/>
  <c r="R39"/>
  <c r="K39"/>
  <c r="BG39"/>
  <c r="BF39"/>
  <c r="AZ39"/>
  <c r="X39"/>
  <c r="BD39"/>
  <c r="S39"/>
  <c r="U39"/>
  <c r="L39"/>
  <c r="AE39"/>
  <c r="BI26" i="1"/>
  <c r="BJ26"/>
  <c r="BK26"/>
  <c r="BL26"/>
  <c r="BI27"/>
  <c r="BJ27"/>
  <c r="BK27"/>
  <c r="BL27"/>
  <c r="BI29"/>
  <c r="BJ29"/>
  <c r="BK29"/>
  <c r="BL29"/>
  <c r="BI35"/>
  <c r="BJ35"/>
  <c r="BK35"/>
  <c r="BL35"/>
  <c r="BH26"/>
  <c r="BH27"/>
  <c r="BH29"/>
  <c r="BH35"/>
  <c r="BG35"/>
  <c r="BF35"/>
  <c r="BG29"/>
  <c r="BF29"/>
  <c r="BG27"/>
  <c r="BF27"/>
  <c r="BG26"/>
  <c r="BF26"/>
  <c r="D2" i="14"/>
  <c r="E22" i="15"/>
  <c r="A19"/>
  <c r="E19"/>
  <c r="A20"/>
  <c r="E20"/>
  <c r="A21"/>
  <c r="E21"/>
  <c r="A22"/>
  <c r="A23"/>
  <c r="E23"/>
  <c r="A24"/>
  <c r="E24"/>
  <c r="A25"/>
  <c r="E25"/>
  <c r="A26"/>
  <c r="E26"/>
  <c r="A27"/>
  <c r="E27"/>
  <c r="A28"/>
  <c r="E28"/>
  <c r="A29"/>
  <c r="E29"/>
  <c r="A30"/>
  <c r="E30"/>
  <c r="F30"/>
  <c r="A31"/>
  <c r="E31"/>
  <c r="A5" i="223"/>
  <c r="A4"/>
  <c r="A9"/>
  <c r="A7"/>
  <c r="A8"/>
  <c r="A11"/>
  <c r="A6"/>
  <c r="A10"/>
  <c r="A12"/>
  <c r="A14"/>
  <c r="A13"/>
  <c r="B4" i="14"/>
  <c r="B5"/>
  <c r="B6"/>
  <c r="B7"/>
  <c r="Y8"/>
  <c r="Y9" s="1"/>
  <c r="Y10" s="1"/>
  <c r="Y11" s="1"/>
  <c r="Y12" s="1"/>
  <c r="Y13" s="1"/>
  <c r="Y14" s="1"/>
  <c r="Y15" s="1"/>
  <c r="Y16" s="1"/>
  <c r="Y17" s="1"/>
  <c r="Y18" s="1"/>
  <c r="Y19" s="1"/>
  <c r="Y20" s="1"/>
  <c r="Y21" s="1"/>
  <c r="Y22" s="1"/>
  <c r="Y23" s="1"/>
  <c r="Y24" s="1"/>
  <c r="Y25" s="1"/>
  <c r="Y26" s="1"/>
  <c r="Y27" s="1"/>
  <c r="Y28" s="1"/>
  <c r="Y29" s="1"/>
  <c r="Y30" s="1"/>
  <c r="Y31" s="1"/>
  <c r="Y32" s="1"/>
  <c r="Y33" s="1"/>
  <c r="Y34" s="1"/>
  <c r="Y35" s="1"/>
  <c r="Y36" s="1"/>
  <c r="Y37" s="1"/>
  <c r="Y38" s="1"/>
  <c r="Y39" s="1"/>
  <c r="Y40" s="1"/>
  <c r="Y41" s="1"/>
  <c r="Y42" s="1"/>
  <c r="Y43" s="1"/>
  <c r="Y44" s="1"/>
  <c r="Y45" s="1"/>
  <c r="Y46" s="1"/>
  <c r="Y47" s="1"/>
  <c r="Y48" s="1"/>
  <c r="Y49" s="1"/>
  <c r="Y50" s="1"/>
  <c r="Y51" s="1"/>
  <c r="Y52" s="1"/>
  <c r="Y53" s="1"/>
  <c r="Y54" s="1"/>
  <c r="Y55" s="1"/>
  <c r="Y56" s="1"/>
  <c r="Y57" s="1"/>
  <c r="Y58" s="1"/>
  <c r="Y59" s="1"/>
  <c r="Y60" s="1"/>
  <c r="Y61" s="1"/>
  <c r="Y62" s="1"/>
  <c r="E3" i="1"/>
  <c r="H3"/>
  <c r="H4"/>
  <c r="E4"/>
  <c r="E5"/>
  <c r="H5"/>
  <c r="E6"/>
  <c r="H6"/>
  <c r="E7"/>
  <c r="H7"/>
  <c r="E8"/>
  <c r="H8"/>
  <c r="E9"/>
  <c r="H9"/>
  <c r="E10"/>
  <c r="H10"/>
  <c r="E11"/>
  <c r="H11"/>
  <c r="E12"/>
  <c r="H12"/>
  <c r="E13"/>
  <c r="H13"/>
  <c r="E14"/>
  <c r="H14"/>
  <c r="E15"/>
  <c r="H15"/>
  <c r="E16"/>
  <c r="H16"/>
  <c r="E17"/>
  <c r="H17"/>
  <c r="E18"/>
  <c r="H18"/>
  <c r="E19"/>
  <c r="H19"/>
  <c r="E20"/>
  <c r="H20"/>
  <c r="E21"/>
  <c r="H21"/>
  <c r="E22"/>
  <c r="H22"/>
  <c r="B23"/>
  <c r="B24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F22" i="15"/>
  <c r="F19"/>
  <c r="F21"/>
  <c r="F27"/>
  <c r="F29"/>
  <c r="F20"/>
  <c r="F24"/>
  <c r="F23"/>
  <c r="F31"/>
  <c r="F26"/>
  <c r="F25"/>
  <c r="F28"/>
  <c r="BM25" i="1" l="1"/>
  <c r="BM30"/>
  <c r="AB30"/>
  <c r="AE30"/>
  <c r="X30"/>
  <c r="S25"/>
  <c r="S36" s="1"/>
  <c r="A4" i="46"/>
  <c r="E8" i="14" s="1"/>
  <c r="AS25" i="1"/>
  <c r="AS36" s="1"/>
  <c r="AV25"/>
  <c r="AV36" s="1"/>
  <c r="AY25"/>
  <c r="AY36" s="1"/>
  <c r="T25"/>
  <c r="T36" s="1"/>
  <c r="Z25"/>
  <c r="Z36" s="1"/>
  <c r="M25"/>
  <c r="M36" s="1"/>
  <c r="AN25"/>
  <c r="AN36" s="1"/>
  <c r="AH25"/>
  <c r="AH36" s="1"/>
  <c r="W25"/>
  <c r="W36" s="1"/>
  <c r="AD25"/>
  <c r="AD36" s="1"/>
  <c r="BI25"/>
  <c r="BI36" s="1"/>
  <c r="BC25"/>
  <c r="BC36" s="1"/>
  <c r="BJ25"/>
  <c r="BJ36" s="1"/>
  <c r="V25"/>
  <c r="V36" s="1"/>
  <c r="AK25"/>
  <c r="AK36" s="1"/>
  <c r="BK25"/>
  <c r="BK36" s="1"/>
  <c r="AA25"/>
  <c r="AA36" s="1"/>
  <c r="AB25"/>
  <c r="AB36" s="1"/>
  <c r="AM25"/>
  <c r="AM36" s="1"/>
  <c r="AI25"/>
  <c r="AI36" s="1"/>
  <c r="BL25"/>
  <c r="BL36" s="1"/>
  <c r="Y25"/>
  <c r="Y36" s="1"/>
  <c r="S30"/>
  <c r="T30"/>
  <c r="AJ30"/>
  <c r="BB25"/>
  <c r="BB36" s="1"/>
  <c r="AO25"/>
  <c r="AO36" s="1"/>
  <c r="BG25"/>
  <c r="BG36" s="1"/>
  <c r="A1" i="185"/>
  <c r="AZ25" i="1"/>
  <c r="AZ36" s="1"/>
  <c r="P25"/>
  <c r="P36" s="1"/>
  <c r="AR25"/>
  <c r="AR36" s="1"/>
  <c r="BA25"/>
  <c r="BA36" s="1"/>
  <c r="AJ25"/>
  <c r="AJ36" s="1"/>
  <c r="P30"/>
  <c r="AG25"/>
  <c r="AG36" s="1"/>
  <c r="AH30"/>
  <c r="A33" i="18"/>
  <c r="AN30" i="1"/>
  <c r="V30"/>
  <c r="AD30"/>
  <c r="A2" i="15"/>
  <c r="N30" i="1"/>
  <c r="O30"/>
  <c r="AF25"/>
  <c r="AF36" s="1"/>
  <c r="K25"/>
  <c r="AO30"/>
  <c r="BD25"/>
  <c r="BD36" s="1"/>
  <c r="AL25"/>
  <c r="AL36" s="1"/>
  <c r="AP25"/>
  <c r="AP36" s="1"/>
  <c r="X25"/>
  <c r="X36" s="1"/>
  <c r="AU25"/>
  <c r="AU36" s="1"/>
  <c r="AW25"/>
  <c r="AW36" s="1"/>
  <c r="G25"/>
  <c r="D4" i="14" s="1"/>
  <c r="AM30" i="1"/>
  <c r="W30"/>
  <c r="AQ30"/>
  <c r="AW30"/>
  <c r="BD30"/>
  <c r="U25"/>
  <c r="U36" s="1"/>
  <c r="AP30"/>
  <c r="BJ30"/>
  <c r="AG30"/>
  <c r="N25"/>
  <c r="N36" s="1"/>
  <c r="BB30"/>
  <c r="AC30"/>
  <c r="AQ25"/>
  <c r="AQ36" s="1"/>
  <c r="AZ30"/>
  <c r="BI30"/>
  <c r="AC25"/>
  <c r="AC36" s="1"/>
  <c r="AX25"/>
  <c r="AX36" s="1"/>
  <c r="Q25"/>
  <c r="Q36" s="1"/>
  <c r="BE25"/>
  <c r="BE36" s="1"/>
  <c r="R25"/>
  <c r="R36" s="1"/>
  <c r="O25"/>
  <c r="O36" s="1"/>
  <c r="J25"/>
  <c r="D7" i="14" s="1"/>
  <c r="L25" i="1"/>
  <c r="L36" s="1"/>
  <c r="AT25"/>
  <c r="AT36" s="1"/>
  <c r="BH25"/>
  <c r="BH36" s="1"/>
  <c r="AE25"/>
  <c r="AE36" s="1"/>
  <c r="BF25"/>
  <c r="BF36" s="1"/>
  <c r="BG30"/>
  <c r="BE30"/>
  <c r="Q30"/>
  <c r="BF30"/>
  <c r="BA30"/>
  <c r="AK30"/>
  <c r="Y30"/>
  <c r="K30"/>
  <c r="M30"/>
  <c r="BC30"/>
  <c r="H25"/>
  <c r="Z30"/>
  <c r="AY30"/>
  <c r="BK30"/>
  <c r="AX30"/>
  <c r="AI30"/>
  <c r="U30"/>
  <c r="AA30"/>
  <c r="AV30"/>
  <c r="R30"/>
  <c r="BL30"/>
  <c r="BH30"/>
  <c r="AT30"/>
  <c r="AU30"/>
  <c r="AL30"/>
  <c r="L30"/>
  <c r="AF30"/>
  <c r="AR30"/>
  <c r="BV34" i="18"/>
  <c r="BU34"/>
  <c r="BT34"/>
  <c r="BS34"/>
  <c r="BR34"/>
  <c r="BQ34"/>
  <c r="BO34"/>
  <c r="BP34"/>
  <c r="AP39" i="257" l="1"/>
  <c r="BJ39"/>
  <c r="BB39"/>
  <c r="O39"/>
  <c r="BH39"/>
  <c r="R39"/>
  <c r="AG39"/>
  <c r="AM39"/>
  <c r="AY39"/>
  <c r="BI39"/>
  <c r="BD39"/>
  <c r="AS39"/>
  <c r="AD39"/>
  <c r="AU39"/>
  <c r="Y39"/>
  <c r="BK39"/>
  <c r="AR39"/>
  <c r="V39"/>
  <c r="AI39"/>
  <c r="BE39"/>
  <c r="AQ39"/>
  <c r="AC39"/>
  <c r="AW39"/>
  <c r="P39"/>
  <c r="BG39"/>
  <c r="BC39"/>
  <c r="AK39"/>
  <c r="AH39"/>
  <c r="L39"/>
  <c r="BM39"/>
  <c r="BA39"/>
  <c r="Q39"/>
  <c r="AJ39"/>
  <c r="AL39"/>
  <c r="BF39"/>
  <c r="AO39"/>
  <c r="AX39"/>
  <c r="BL39"/>
  <c r="T39"/>
  <c r="M39"/>
  <c r="W39"/>
  <c r="K39"/>
  <c r="N39"/>
  <c r="AT39"/>
  <c r="U39"/>
  <c r="AN39"/>
  <c r="AZ39"/>
  <c r="AA39"/>
  <c r="S39"/>
  <c r="X39"/>
  <c r="AB39"/>
  <c r="AV39"/>
  <c r="AF39"/>
  <c r="AE39"/>
  <c r="Z39"/>
  <c r="BM36" i="1"/>
  <c r="F8" i="14"/>
  <c r="E7"/>
  <c r="E4"/>
  <c r="E4" i="15"/>
  <c r="E5" s="1"/>
  <c r="E6" s="1"/>
  <c r="E7" s="1"/>
  <c r="E8" s="1"/>
  <c r="E9" s="1"/>
  <c r="E10" s="1"/>
  <c r="E11" s="1"/>
  <c r="E12" s="1"/>
  <c r="E13" s="1"/>
  <c r="E14" s="1"/>
  <c r="E15" s="1"/>
  <c r="E16" s="1"/>
  <c r="K36" i="1"/>
  <c r="F4" i="15"/>
  <c r="F5" s="1"/>
  <c r="F6" s="1"/>
  <c r="F7" s="1"/>
  <c r="F8" s="1"/>
  <c r="F9" s="1"/>
  <c r="F10" s="1"/>
  <c r="F11" s="1"/>
  <c r="F12" s="1"/>
  <c r="F13" s="1"/>
  <c r="F14" s="1"/>
  <c r="F15" s="1"/>
  <c r="F16" s="1"/>
  <c r="AS30" i="1"/>
  <c r="D5" i="14"/>
  <c r="E5" s="1"/>
  <c r="D11"/>
  <c r="D13"/>
  <c r="D50"/>
  <c r="D19"/>
  <c r="D59"/>
  <c r="D12"/>
  <c r="D45"/>
  <c r="D36"/>
  <c r="D40"/>
  <c r="D35"/>
  <c r="D44"/>
  <c r="D55"/>
  <c r="D33"/>
  <c r="D14"/>
  <c r="D53"/>
  <c r="D49"/>
  <c r="D61"/>
  <c r="D9"/>
  <c r="D31"/>
  <c r="D46"/>
  <c r="D58"/>
  <c r="D18"/>
  <c r="D10"/>
  <c r="D16"/>
  <c r="D54"/>
  <c r="D37"/>
  <c r="D28"/>
  <c r="D48"/>
  <c r="D20"/>
  <c r="D34"/>
  <c r="D47"/>
  <c r="D39"/>
  <c r="D51"/>
  <c r="D41"/>
  <c r="D17"/>
  <c r="D60"/>
  <c r="D38"/>
  <c r="D52"/>
  <c r="D62"/>
  <c r="D32"/>
  <c r="D26"/>
  <c r="D29"/>
  <c r="D22"/>
  <c r="D27"/>
  <c r="D15"/>
  <c r="D21"/>
  <c r="D30"/>
  <c r="D42"/>
  <c r="D25"/>
  <c r="D24"/>
  <c r="D56"/>
  <c r="D23"/>
  <c r="D43"/>
  <c r="D57"/>
  <c r="V28" i="256"/>
  <c r="M28" i="259"/>
  <c r="AM28" i="256"/>
  <c r="BE28" i="259"/>
  <c r="BG28" i="256"/>
  <c r="AN28"/>
  <c r="N28" i="260"/>
  <c r="Z28" i="256"/>
  <c r="AM28" i="258"/>
  <c r="AZ28" i="260"/>
  <c r="AE28" i="256"/>
  <c r="BK28" i="255"/>
  <c r="AV28" i="257"/>
  <c r="BA28"/>
  <c r="P28" i="256"/>
  <c r="BD28" i="260"/>
  <c r="AJ28" i="255"/>
  <c r="BM28" i="259"/>
  <c r="BD28" i="257"/>
  <c r="N28"/>
  <c r="T7" i="14"/>
  <c r="AM28" i="260"/>
  <c r="BG28" i="255"/>
  <c r="BK28" i="256"/>
  <c r="BF28" i="257"/>
  <c r="AG28" i="255"/>
  <c r="X28" i="259"/>
  <c r="AP28" i="255"/>
  <c r="AL28" i="256"/>
  <c r="U28" i="260"/>
  <c r="AK28"/>
  <c r="L28" i="256"/>
  <c r="BA28" i="255"/>
  <c r="BD28" i="256"/>
  <c r="BB28" i="257"/>
  <c r="AO28"/>
  <c r="AJ28" i="259"/>
  <c r="BJ28" i="257"/>
  <c r="BL28" i="260"/>
  <c r="Y28" i="257"/>
  <c r="AB28" i="259"/>
  <c r="AE28" i="255"/>
  <c r="Z28" i="257"/>
  <c r="AD28" i="255"/>
  <c r="AS28" i="258"/>
  <c r="AB28" i="256"/>
  <c r="AY28" i="258"/>
  <c r="U4" i="14"/>
  <c r="AJ28" i="260"/>
  <c r="AK28" i="255"/>
  <c r="BG28" i="258"/>
  <c r="BL28" i="257"/>
  <c r="AS28" i="260"/>
  <c r="BM28" i="255"/>
  <c r="AA28" i="259"/>
  <c r="X28" i="257"/>
  <c r="AB28" i="255"/>
  <c r="Z28" i="259"/>
  <c r="R28"/>
  <c r="AL28" i="255"/>
  <c r="BB28" i="260"/>
  <c r="U28" i="255"/>
  <c r="AD28" i="260"/>
  <c r="AQ28" i="256"/>
  <c r="BI28" i="257"/>
  <c r="AK28" i="256"/>
  <c r="BA28" i="260"/>
  <c r="BE28" i="257"/>
  <c r="Q28" i="255"/>
  <c r="AX28" i="259"/>
  <c r="L28" i="260"/>
  <c r="BM28" i="256"/>
  <c r="X28" i="255"/>
  <c r="L28" i="257"/>
  <c r="U7" i="14"/>
  <c r="AK28" i="258"/>
  <c r="K28" i="256"/>
  <c r="O28" i="259"/>
  <c r="BA28" i="258"/>
  <c r="AM28" i="257"/>
  <c r="M28" i="256"/>
  <c r="T28"/>
  <c r="L28" i="258"/>
  <c r="W7" i="14"/>
  <c r="AC28" i="258"/>
  <c r="S5" i="14"/>
  <c r="V28" i="255"/>
  <c r="AN28"/>
  <c r="AT28" i="258"/>
  <c r="U28" i="257"/>
  <c r="AO28" i="260"/>
  <c r="M28"/>
  <c r="V7" i="14"/>
  <c r="AF28" i="259"/>
  <c r="AH28" i="260"/>
  <c r="AZ28" i="259"/>
  <c r="AC28"/>
  <c r="AI28" i="260"/>
  <c r="AN28" i="257"/>
  <c r="AJ28" i="258"/>
  <c r="AK28" i="259"/>
  <c r="V28" i="258"/>
  <c r="R28" i="260"/>
  <c r="O28" i="258"/>
  <c r="BH28" i="256"/>
  <c r="BK28" i="259"/>
  <c r="BA28"/>
  <c r="AY28" i="257"/>
  <c r="BJ28" i="259"/>
  <c r="Q28" i="257"/>
  <c r="BD28" i="258"/>
  <c r="AR28" i="257"/>
  <c r="AR28" i="260"/>
  <c r="Z28"/>
  <c r="AW28" i="256"/>
  <c r="AS28" i="255"/>
  <c r="O28" i="260"/>
  <c r="AQ28"/>
  <c r="AL28"/>
  <c r="BH28" i="259"/>
  <c r="BE28" i="260"/>
  <c r="AT28" i="257"/>
  <c r="Y28" i="259"/>
  <c r="S4" i="14"/>
  <c r="AA28" i="260"/>
  <c r="BB28" i="256"/>
  <c r="AY28"/>
  <c r="AO28" i="255"/>
  <c r="AW28" i="259"/>
  <c r="L28" i="255"/>
  <c r="BH28" i="257"/>
  <c r="AC28"/>
  <c r="S28" i="258"/>
  <c r="W28" i="259"/>
  <c r="AB28" i="257"/>
  <c r="AO28" i="259"/>
  <c r="AE28"/>
  <c r="AB28" i="258"/>
  <c r="N28" i="259"/>
  <c r="BI28" i="256"/>
  <c r="AO28"/>
  <c r="W28" i="255"/>
  <c r="AG28" i="259"/>
  <c r="AM28"/>
  <c r="AV28" i="260"/>
  <c r="AT28" i="256"/>
  <c r="AW28" i="260"/>
  <c r="BJ28" i="258"/>
  <c r="W28"/>
  <c r="AL28" i="257"/>
  <c r="AX28" i="258"/>
  <c r="Y28"/>
  <c r="BJ28" i="260"/>
  <c r="V28" i="257"/>
  <c r="M28" i="258"/>
  <c r="BB28" i="255"/>
  <c r="AP28" i="260"/>
  <c r="AU28" i="259"/>
  <c r="AZ28" i="256"/>
  <c r="Q28" i="260"/>
  <c r="AS28" i="257"/>
  <c r="BL28" i="256"/>
  <c r="K28" i="259"/>
  <c r="AZ28" i="258"/>
  <c r="AH28" i="257"/>
  <c r="V28" i="259"/>
  <c r="S28" i="260"/>
  <c r="BG28"/>
  <c r="AZ28" i="255"/>
  <c r="AN28" i="259"/>
  <c r="BH28" i="258"/>
  <c r="P28" i="260"/>
  <c r="K28" i="255"/>
  <c r="AR28" i="259"/>
  <c r="BH28" i="260"/>
  <c r="S7" i="14"/>
  <c r="BG28" i="259"/>
  <c r="N28" i="255"/>
  <c r="AH28" i="258"/>
  <c r="AA28" i="257"/>
  <c r="P28"/>
  <c r="AV28" i="256"/>
  <c r="S28" i="255"/>
  <c r="AP28" i="258"/>
  <c r="M28" i="257"/>
  <c r="R28" i="255"/>
  <c r="BB28" i="259"/>
  <c r="BC28" i="260"/>
  <c r="S28" i="257"/>
  <c r="AB28" i="260"/>
  <c r="AP28" i="259"/>
  <c r="W28" i="260"/>
  <c r="BC28" i="259"/>
  <c r="AJ28" i="257"/>
  <c r="AL28" i="258"/>
  <c r="BF28" i="260"/>
  <c r="T28" i="257"/>
  <c r="AI28" i="256"/>
  <c r="AF28" i="258"/>
  <c r="AR28"/>
  <c r="BB28"/>
  <c r="T4" i="14"/>
  <c r="X28" i="258"/>
  <c r="BM28"/>
  <c r="AN28" i="260"/>
  <c r="AY28"/>
  <c r="AS28" i="256"/>
  <c r="AK28" i="257"/>
  <c r="K28"/>
  <c r="AF28" i="255"/>
  <c r="AS28" i="259"/>
  <c r="AZ28" i="257"/>
  <c r="AA28" i="256"/>
  <c r="AA28" i="255"/>
  <c r="BK28" i="258"/>
  <c r="R28" i="257"/>
  <c r="AE28" i="258"/>
  <c r="AX28" i="255"/>
  <c r="AW28"/>
  <c r="AC28"/>
  <c r="W28" i="256"/>
  <c r="AU28"/>
  <c r="BC28" i="258"/>
  <c r="O28" i="255"/>
  <c r="BK28" i="260"/>
  <c r="U28" i="258"/>
  <c r="BF28"/>
  <c r="P28" i="259"/>
  <c r="BF28" i="255"/>
  <c r="AU28"/>
  <c r="BH28"/>
  <c r="V5" i="14"/>
  <c r="AP28" i="256"/>
  <c r="M28" i="255"/>
  <c r="K28" i="260"/>
  <c r="BC28" i="255"/>
  <c r="BI28" i="259"/>
  <c r="AV28" i="258"/>
  <c r="BJ28" i="255"/>
  <c r="R28" i="258"/>
  <c r="P28"/>
  <c r="BM28" i="260"/>
  <c r="AQ28" i="259"/>
  <c r="BD28"/>
  <c r="AF28" i="256"/>
  <c r="AR28"/>
  <c r="AU28" i="260"/>
  <c r="AD28" i="256"/>
  <c r="BE28" i="255"/>
  <c r="AG28" i="256"/>
  <c r="AV28" i="255"/>
  <c r="BK28" i="257"/>
  <c r="AW28"/>
  <c r="AI28"/>
  <c r="AD28"/>
  <c r="AA28" i="258"/>
  <c r="K28"/>
  <c r="BF28" i="256"/>
  <c r="AE28" i="257"/>
  <c r="Q28" i="258"/>
  <c r="AX28" i="260"/>
  <c r="BF28" i="259"/>
  <c r="AH28"/>
  <c r="BI28" i="260"/>
  <c r="AN28" i="258"/>
  <c r="AH28" i="255"/>
  <c r="AT28"/>
  <c r="T28" i="260"/>
  <c r="X28"/>
  <c r="T28" i="259"/>
  <c r="AU28" i="257"/>
  <c r="AQ28" i="255"/>
  <c r="R28" i="256"/>
  <c r="BM28" i="257"/>
  <c r="AH28" i="256"/>
  <c r="W4" i="14"/>
  <c r="W28" i="257"/>
  <c r="AY28" i="255"/>
  <c r="AV28" i="259"/>
  <c r="AF28" i="260"/>
  <c r="AC28" i="256"/>
  <c r="AR28" i="255"/>
  <c r="AF28" i="257"/>
  <c r="S28" i="256"/>
  <c r="AG28" i="260"/>
  <c r="U28" i="256"/>
  <c r="AI28" i="259"/>
  <c r="Q28"/>
  <c r="P28" i="255"/>
  <c r="BL28" i="259"/>
  <c r="AD28"/>
  <c r="O28" i="257"/>
  <c r="AG28"/>
  <c r="AU28" i="258"/>
  <c r="AG28"/>
  <c r="AT28" i="259"/>
  <c r="L28"/>
  <c r="N28" i="256"/>
  <c r="Q28"/>
  <c r="BG28" i="257"/>
  <c r="AX28"/>
  <c r="AE28" i="260"/>
  <c r="T5" i="14"/>
  <c r="S28" i="259"/>
  <c r="N28" i="258"/>
  <c r="BC28" i="257"/>
  <c r="O28" i="256"/>
  <c r="T28" i="255"/>
  <c r="V28" i="260"/>
  <c r="X28" i="256"/>
  <c r="AL28" i="259"/>
  <c r="AQ28" i="258"/>
  <c r="Z28" i="255"/>
  <c r="AJ28" i="256"/>
  <c r="AY28" i="259"/>
  <c r="AO28" i="258"/>
  <c r="AM28" i="255"/>
  <c r="BE28" i="258"/>
  <c r="BA28" i="256"/>
  <c r="AC28" i="260"/>
  <c r="AI28" i="258"/>
  <c r="BD28" i="255"/>
  <c r="AW28" i="258"/>
  <c r="BI28"/>
  <c r="AD28"/>
  <c r="BI28" i="255"/>
  <c r="BL28"/>
  <c r="AX28" i="256"/>
  <c r="AP28" i="257"/>
  <c r="U28" i="259"/>
  <c r="AI28" i="255"/>
  <c r="BJ28" i="256"/>
  <c r="BC28"/>
  <c r="U5" i="14"/>
  <c r="Y28" i="256"/>
  <c r="Y28" i="260"/>
  <c r="AQ28" i="257"/>
  <c r="BL28" i="258"/>
  <c r="AT28" i="260"/>
  <c r="T28" i="258"/>
  <c r="BE28" i="256"/>
  <c r="Y28" i="255"/>
  <c r="Z28" i="258"/>
  <c r="V4" i="14"/>
  <c r="W5"/>
  <c r="E30" l="1"/>
  <c r="E21"/>
  <c r="E15"/>
  <c r="E27"/>
  <c r="E22"/>
  <c r="E29"/>
  <c r="E26"/>
  <c r="E32"/>
  <c r="E62"/>
  <c r="E52"/>
  <c r="E38"/>
  <c r="E60"/>
  <c r="E17"/>
  <c r="E41"/>
  <c r="E51"/>
  <c r="E39"/>
  <c r="E47"/>
  <c r="E34"/>
  <c r="E20"/>
  <c r="E48"/>
  <c r="E28"/>
  <c r="E37"/>
  <c r="E54"/>
  <c r="E16"/>
  <c r="E10"/>
  <c r="E18"/>
  <c r="E58"/>
  <c r="E46"/>
  <c r="E31"/>
  <c r="E9"/>
  <c r="E61"/>
  <c r="E49"/>
  <c r="E53"/>
  <c r="E14"/>
  <c r="E33"/>
  <c r="E55"/>
  <c r="E44"/>
  <c r="E35"/>
  <c r="E40"/>
  <c r="E36"/>
  <c r="E45"/>
  <c r="E12"/>
  <c r="E59"/>
  <c r="E19"/>
  <c r="E50"/>
  <c r="E13"/>
  <c r="E11"/>
  <c r="F37"/>
  <c r="F17"/>
  <c r="F30"/>
  <c r="F26"/>
  <c r="F15"/>
  <c r="F29"/>
  <c r="F20"/>
  <c r="F41"/>
  <c r="F18"/>
  <c r="F9"/>
  <c r="F45"/>
  <c r="F35"/>
  <c r="F60"/>
  <c r="F27"/>
  <c r="F51"/>
  <c r="F31"/>
  <c r="F22"/>
  <c r="F19"/>
  <c r="F34"/>
  <c r="F33"/>
  <c r="F50"/>
  <c r="F44"/>
  <c r="F12"/>
  <c r="F28"/>
  <c r="F55"/>
  <c r="F32"/>
  <c r="F49"/>
  <c r="F46"/>
  <c r="F39"/>
  <c r="F38"/>
  <c r="F36"/>
  <c r="F58"/>
  <c r="F13"/>
  <c r="F59"/>
  <c r="F54"/>
  <c r="F14"/>
  <c r="F61"/>
  <c r="F48"/>
  <c r="F47"/>
  <c r="F62"/>
  <c r="F53"/>
  <c r="F21"/>
  <c r="F40"/>
  <c r="F11"/>
  <c r="F52"/>
  <c r="F10"/>
  <c r="F16"/>
  <c r="E24"/>
  <c r="F24"/>
  <c r="F56"/>
  <c r="E56"/>
  <c r="F23"/>
  <c r="E23"/>
  <c r="E57"/>
  <c r="F57"/>
  <c r="E43"/>
  <c r="F43"/>
  <c r="E42"/>
  <c r="F42"/>
  <c r="E25"/>
  <c r="F25"/>
  <c r="BS103" i="18"/>
  <c r="BT102"/>
  <c r="BT103"/>
  <c r="BS102"/>
  <c r="BN34"/>
  <c r="BG39" i="258" l="1"/>
  <c r="BB39"/>
  <c r="AJ39"/>
  <c r="P39"/>
  <c r="AX39"/>
  <c r="M39"/>
  <c r="AG39"/>
  <c r="BH39"/>
  <c r="V39"/>
  <c r="AM39"/>
  <c r="AN39"/>
  <c r="S39"/>
  <c r="BF39"/>
  <c r="AA39"/>
  <c r="BJ39"/>
  <c r="AW39"/>
  <c r="AD39"/>
  <c r="AS39"/>
  <c r="Y39"/>
  <c r="AP39"/>
  <c r="BK39"/>
  <c r="AR39"/>
  <c r="AH39"/>
  <c r="K39"/>
  <c r="L39"/>
  <c r="AY39"/>
  <c r="BD39"/>
  <c r="AL39"/>
  <c r="BE39"/>
  <c r="O39"/>
  <c r="T39"/>
  <c r="X39"/>
  <c r="AV39"/>
  <c r="AO39"/>
  <c r="N39"/>
  <c r="AQ39"/>
  <c r="AE39"/>
  <c r="BM39"/>
  <c r="U39"/>
  <c r="R39"/>
  <c r="Z39"/>
  <c r="W39"/>
  <c r="AZ39"/>
  <c r="BL39"/>
  <c r="BC39"/>
  <c r="AU39"/>
  <c r="Q39"/>
  <c r="AI39"/>
  <c r="BA39"/>
  <c r="AC39"/>
  <c r="BI39"/>
  <c r="AT39"/>
  <c r="AB39"/>
  <c r="BR55" i="18" l="1"/>
  <c r="BR78"/>
  <c r="BR66"/>
  <c r="BR42"/>
  <c r="BR39"/>
  <c r="N101"/>
  <c r="BR84"/>
  <c r="BR57"/>
  <c r="BR99"/>
  <c r="BR67"/>
  <c r="AU101"/>
  <c r="BR80"/>
  <c r="BR85"/>
  <c r="BJ101"/>
  <c r="BQ101"/>
  <c r="BR54"/>
  <c r="BR38"/>
  <c r="BR91"/>
  <c r="BR71"/>
  <c r="BR93"/>
  <c r="AL101"/>
  <c r="G101"/>
  <c r="BR56"/>
  <c r="X101"/>
  <c r="Y101"/>
  <c r="BR94"/>
  <c r="AE101"/>
  <c r="BR40"/>
  <c r="BR47"/>
  <c r="BR50"/>
  <c r="BR97"/>
  <c r="BR45"/>
  <c r="BR64"/>
  <c r="BR88"/>
  <c r="BP101"/>
  <c r="BA101"/>
  <c r="BR89"/>
  <c r="BR100"/>
  <c r="I101"/>
  <c r="BR65"/>
  <c r="BR52"/>
  <c r="BI101"/>
  <c r="AW101"/>
  <c r="BR69"/>
  <c r="AC101"/>
  <c r="AD101"/>
  <c r="BR63"/>
  <c r="Z101"/>
  <c r="BK101"/>
  <c r="BR68"/>
  <c r="AY101"/>
  <c r="BR74"/>
  <c r="BR98"/>
  <c r="BR86"/>
  <c r="AV101"/>
  <c r="BE101"/>
  <c r="L101"/>
  <c r="AG101"/>
  <c r="BR96"/>
  <c r="V101"/>
  <c r="BR44"/>
  <c r="J101"/>
  <c r="AB101"/>
  <c r="AT101"/>
  <c r="BR60"/>
  <c r="BR81"/>
  <c r="BR61"/>
  <c r="BR82"/>
  <c r="AJ101"/>
  <c r="T101"/>
  <c r="BR48"/>
  <c r="AA101"/>
  <c r="H101"/>
  <c r="BR46"/>
  <c r="P101"/>
  <c r="AK101"/>
  <c r="BM101"/>
  <c r="BN101"/>
  <c r="BR58"/>
  <c r="BO101"/>
  <c r="BR75"/>
  <c r="AZ101"/>
  <c r="M101"/>
  <c r="K101"/>
  <c r="AF101"/>
  <c r="BH101"/>
  <c r="R101"/>
  <c r="BC101"/>
  <c r="BB101"/>
  <c r="BR95"/>
  <c r="AI101"/>
  <c r="AO101"/>
  <c r="BR51"/>
  <c r="AM101"/>
  <c r="BR90"/>
  <c r="BR92"/>
  <c r="W101"/>
  <c r="Q101"/>
  <c r="BR79"/>
  <c r="BR62"/>
  <c r="BR87"/>
  <c r="BR72"/>
  <c r="BR59"/>
  <c r="AR101"/>
  <c r="AQ101"/>
  <c r="BL101"/>
  <c r="BR49"/>
  <c r="BD101"/>
  <c r="AS101"/>
  <c r="O101"/>
  <c r="BR73"/>
  <c r="BR76"/>
  <c r="U101"/>
  <c r="AP101"/>
  <c r="BR77"/>
  <c r="AH101"/>
  <c r="AN101"/>
  <c r="BR53"/>
  <c r="BF101"/>
  <c r="BR70"/>
  <c r="BR43"/>
  <c r="BG101"/>
  <c r="BR101"/>
  <c r="S101"/>
  <c r="BR41"/>
  <c r="BR83"/>
  <c r="AX101"/>
  <c r="BQ77"/>
  <c r="BJ100"/>
  <c r="BQ85"/>
  <c r="BQ64"/>
  <c r="BQ40"/>
  <c r="BQ96"/>
  <c r="BQ44"/>
  <c r="L100"/>
  <c r="AL100"/>
  <c r="BQ75"/>
  <c r="O100"/>
  <c r="AR100"/>
  <c r="BQ60"/>
  <c r="BQ97"/>
  <c r="BQ56"/>
  <c r="BI100"/>
  <c r="AS100"/>
  <c r="W100"/>
  <c r="BQ81"/>
  <c r="BQ78"/>
  <c r="BQ53"/>
  <c r="BQ42"/>
  <c r="BQ47"/>
  <c r="BQ86"/>
  <c r="BA100"/>
  <c r="BQ73"/>
  <c r="AP100"/>
  <c r="AQ100"/>
  <c r="T100"/>
  <c r="BQ98"/>
  <c r="AD100"/>
  <c r="I100"/>
  <c r="BQ99"/>
  <c r="AJ100"/>
  <c r="BQ46"/>
  <c r="AG100"/>
  <c r="BQ76"/>
  <c r="BQ48"/>
  <c r="AX100"/>
  <c r="V100"/>
  <c r="BQ72"/>
  <c r="G100"/>
  <c r="BQ93"/>
  <c r="AE100"/>
  <c r="BQ68"/>
  <c r="BQ100"/>
  <c r="BQ50"/>
  <c r="BQ49"/>
  <c r="J100"/>
  <c r="BQ45"/>
  <c r="AU100"/>
  <c r="BQ54"/>
  <c r="P100"/>
  <c r="K100"/>
  <c r="BQ82"/>
  <c r="BQ62"/>
  <c r="BQ58"/>
  <c r="H100"/>
  <c r="BQ41"/>
  <c r="AF100"/>
  <c r="AH100"/>
  <c r="AA100"/>
  <c r="BQ87"/>
  <c r="BQ94"/>
  <c r="BQ83"/>
  <c r="BQ63"/>
  <c r="BQ95"/>
  <c r="Z100"/>
  <c r="BP100"/>
  <c r="BQ55"/>
  <c r="AN100"/>
  <c r="BH100"/>
  <c r="BQ57"/>
  <c r="BQ91"/>
  <c r="BQ43"/>
  <c r="BQ70"/>
  <c r="AT100"/>
  <c r="BQ38"/>
  <c r="BQ84"/>
  <c r="BB100"/>
  <c r="BQ79"/>
  <c r="BQ88"/>
  <c r="N100"/>
  <c r="BQ52"/>
  <c r="BE100"/>
  <c r="AI100"/>
  <c r="BQ39"/>
  <c r="Q100"/>
  <c r="BN100"/>
  <c r="M100"/>
  <c r="R100"/>
  <c r="BQ67"/>
  <c r="BQ59"/>
  <c r="BQ66"/>
  <c r="BQ74"/>
  <c r="BO100"/>
  <c r="BM100"/>
  <c r="X100"/>
  <c r="AV100"/>
  <c r="BL100"/>
  <c r="BC100"/>
  <c r="BQ71"/>
  <c r="BK100"/>
  <c r="AB100"/>
  <c r="BG100"/>
  <c r="S100"/>
  <c r="BQ92"/>
  <c r="BQ61"/>
  <c r="AC100"/>
  <c r="BQ69"/>
  <c r="BQ51"/>
  <c r="BF100"/>
  <c r="AK100"/>
  <c r="AM100"/>
  <c r="BQ89"/>
  <c r="BD100"/>
  <c r="AW100"/>
  <c r="AZ100"/>
  <c r="Y100"/>
  <c r="AY100"/>
  <c r="BQ90"/>
  <c r="AO100"/>
  <c r="U100"/>
  <c r="BQ80"/>
  <c r="BQ65"/>
  <c r="BP99"/>
  <c r="BP68"/>
  <c r="BP84"/>
  <c r="BP61"/>
  <c r="AS98"/>
  <c r="BP77"/>
  <c r="BP87"/>
  <c r="BI99"/>
  <c r="BP42"/>
  <c r="BK99"/>
  <c r="BO57"/>
  <c r="BP67"/>
  <c r="P99"/>
  <c r="AQ98"/>
  <c r="H99"/>
  <c r="BP98"/>
  <c r="BO89"/>
  <c r="BM98"/>
  <c r="X99"/>
  <c r="BO58"/>
  <c r="AW99"/>
  <c r="AT98"/>
  <c r="AX98"/>
  <c r="BO72"/>
  <c r="AL98"/>
  <c r="AO98"/>
  <c r="BP48"/>
  <c r="BO92"/>
  <c r="BP60"/>
  <c r="K99"/>
  <c r="S98"/>
  <c r="BO78"/>
  <c r="BP86"/>
  <c r="BP90"/>
  <c r="BO93"/>
  <c r="BO61"/>
  <c r="BP65"/>
  <c r="BD98"/>
  <c r="BO77"/>
  <c r="BA98"/>
  <c r="I99"/>
  <c r="V99"/>
  <c r="BO86"/>
  <c r="N98"/>
  <c r="BO76"/>
  <c r="BO44"/>
  <c r="BO66"/>
  <c r="BB99"/>
  <c r="BO98"/>
  <c r="T99"/>
  <c r="BF99"/>
  <c r="BO60"/>
  <c r="AB99"/>
  <c r="AZ98"/>
  <c r="G99"/>
  <c r="AW98"/>
  <c r="AG98"/>
  <c r="AK98"/>
  <c r="AH99"/>
  <c r="AV99"/>
  <c r="BP55"/>
  <c r="BP41"/>
  <c r="BN98"/>
  <c r="Y98"/>
  <c r="AH98"/>
  <c r="BI98"/>
  <c r="BO40"/>
  <c r="AQ99"/>
  <c r="AJ98"/>
  <c r="M99"/>
  <c r="BP95"/>
  <c r="Q98"/>
  <c r="AZ99"/>
  <c r="BO64"/>
  <c r="BO88"/>
  <c r="BO39"/>
  <c r="BC98"/>
  <c r="BL99"/>
  <c r="BO67"/>
  <c r="BO48"/>
  <c r="AB98"/>
  <c r="BM99"/>
  <c r="BP75"/>
  <c r="AC99"/>
  <c r="BO52"/>
  <c r="BG98"/>
  <c r="BF98"/>
  <c r="BP63"/>
  <c r="BP73"/>
  <c r="BP85"/>
  <c r="Y99"/>
  <c r="O99"/>
  <c r="BP57"/>
  <c r="I98"/>
  <c r="BP69"/>
  <c r="BO55"/>
  <c r="AA98"/>
  <c r="Z99"/>
  <c r="AD98"/>
  <c r="BP83"/>
  <c r="BP44"/>
  <c r="BC99"/>
  <c r="BP79"/>
  <c r="BP46"/>
  <c r="BO90"/>
  <c r="BP76"/>
  <c r="BP71"/>
  <c r="BO69"/>
  <c r="S99"/>
  <c r="BP89"/>
  <c r="AF98"/>
  <c r="BO96"/>
  <c r="AV98"/>
  <c r="BG99"/>
  <c r="AR99"/>
  <c r="BP80"/>
  <c r="AJ99"/>
  <c r="U99"/>
  <c r="V98"/>
  <c r="BO94"/>
  <c r="BP38"/>
  <c r="BP96"/>
  <c r="AI99"/>
  <c r="AL99"/>
  <c r="M98"/>
  <c r="AO99"/>
  <c r="BO75"/>
  <c r="N99"/>
  <c r="BO53"/>
  <c r="AI98"/>
  <c r="R99"/>
  <c r="AE98"/>
  <c r="BE98"/>
  <c r="W98"/>
  <c r="BO73"/>
  <c r="BA99"/>
  <c r="BO49"/>
  <c r="X98"/>
  <c r="BO95"/>
  <c r="BO51"/>
  <c r="BP47"/>
  <c r="BP93"/>
  <c r="BO87"/>
  <c r="AT99"/>
  <c r="AY98"/>
  <c r="AS99"/>
  <c r="BO56"/>
  <c r="BO84"/>
  <c r="BO79"/>
  <c r="AM98"/>
  <c r="BP78"/>
  <c r="BP45"/>
  <c r="AG99"/>
  <c r="T98"/>
  <c r="Z98"/>
  <c r="AY99"/>
  <c r="BP70"/>
  <c r="BP58"/>
  <c r="P98"/>
  <c r="BO45"/>
  <c r="BN99"/>
  <c r="BO91"/>
  <c r="BH99"/>
  <c r="Q99"/>
  <c r="BO46"/>
  <c r="BP62"/>
  <c r="BP53"/>
  <c r="BJ99"/>
  <c r="AE99"/>
  <c r="BP81"/>
  <c r="L99"/>
  <c r="BH98"/>
  <c r="BP74"/>
  <c r="BO65"/>
  <c r="BP52"/>
  <c r="AN98"/>
  <c r="G98"/>
  <c r="BO70"/>
  <c r="BO85"/>
  <c r="BP66"/>
  <c r="W99"/>
  <c r="BP91"/>
  <c r="BO54"/>
  <c r="BO82"/>
  <c r="AU98"/>
  <c r="BP54"/>
  <c r="BP39"/>
  <c r="H98"/>
  <c r="L98"/>
  <c r="BO74"/>
  <c r="BE99"/>
  <c r="AX99"/>
  <c r="BO97"/>
  <c r="BP64"/>
  <c r="BL98"/>
  <c r="BO68"/>
  <c r="K98"/>
  <c r="AM99"/>
  <c r="AC98"/>
  <c r="BP40"/>
  <c r="AU99"/>
  <c r="BO38"/>
  <c r="BP43"/>
  <c r="J99"/>
  <c r="J98"/>
  <c r="U98"/>
  <c r="BO83"/>
  <c r="BO47"/>
  <c r="BP59"/>
  <c r="BP50"/>
  <c r="BB98"/>
  <c r="BP97"/>
  <c r="BO41"/>
  <c r="BP49"/>
  <c r="AD99"/>
  <c r="BO50"/>
  <c r="AP99"/>
  <c r="BO81"/>
  <c r="BP92"/>
  <c r="AN99"/>
  <c r="BJ98"/>
  <c r="R98"/>
  <c r="BO71"/>
  <c r="BO99"/>
  <c r="AR98"/>
  <c r="AA99"/>
  <c r="BK98"/>
  <c r="BO80"/>
  <c r="AK99"/>
  <c r="BO63"/>
  <c r="AP98"/>
  <c r="BO59"/>
  <c r="O98"/>
  <c r="BO62"/>
  <c r="BO42"/>
  <c r="BP56"/>
  <c r="BP88"/>
  <c r="BP82"/>
  <c r="BO43"/>
  <c r="BP94"/>
  <c r="BP72"/>
  <c r="AF99"/>
  <c r="BP51"/>
  <c r="BD99"/>
  <c r="AB97"/>
  <c r="BE97"/>
  <c r="AW97"/>
  <c r="BN50"/>
  <c r="BL97"/>
  <c r="AU97"/>
  <c r="BK97"/>
  <c r="AY97"/>
  <c r="Q97"/>
  <c r="AS97"/>
  <c r="BN39"/>
  <c r="BA97"/>
  <c r="BN77"/>
  <c r="BN63"/>
  <c r="BN61"/>
  <c r="AX97"/>
  <c r="BN67"/>
  <c r="S97"/>
  <c r="BN93"/>
  <c r="Z97"/>
  <c r="BN89"/>
  <c r="BN48"/>
  <c r="AE97"/>
  <c r="BN47"/>
  <c r="BN91"/>
  <c r="H97"/>
  <c r="BN76"/>
  <c r="U97"/>
  <c r="O97"/>
  <c r="AD97"/>
  <c r="BN49"/>
  <c r="BI97"/>
  <c r="BN41"/>
  <c r="AK97"/>
  <c r="G97"/>
  <c r="N97"/>
  <c r="BN60"/>
  <c r="AV97"/>
  <c r="BN45"/>
  <c r="BN65"/>
  <c r="X97"/>
  <c r="AG97"/>
  <c r="BN72"/>
  <c r="BC97"/>
  <c r="V97"/>
  <c r="BN46"/>
  <c r="BN96"/>
  <c r="AC97"/>
  <c r="AI97"/>
  <c r="K97"/>
  <c r="BN97"/>
  <c r="BN62"/>
  <c r="BF97"/>
  <c r="BN90"/>
  <c r="BD97"/>
  <c r="BN53"/>
  <c r="BN78"/>
  <c r="AL97"/>
  <c r="BN87"/>
  <c r="AP97"/>
  <c r="BN54"/>
  <c r="BN52"/>
  <c r="BN58"/>
  <c r="Y97"/>
  <c r="BN83"/>
  <c r="BN82"/>
  <c r="I97"/>
  <c r="BN84"/>
  <c r="BN43"/>
  <c r="BJ97"/>
  <c r="BN80"/>
  <c r="R97"/>
  <c r="AO97"/>
  <c r="AT97"/>
  <c r="AM97"/>
  <c r="AQ97"/>
  <c r="BN56"/>
  <c r="BN75"/>
  <c r="AN97"/>
  <c r="T97"/>
  <c r="BN69"/>
  <c r="BN95"/>
  <c r="BH97"/>
  <c r="BN42"/>
  <c r="BN94"/>
  <c r="BN38"/>
  <c r="BN64"/>
  <c r="AJ97"/>
  <c r="BN66"/>
  <c r="BN74"/>
  <c r="BN92"/>
  <c r="AA97"/>
  <c r="J97"/>
  <c r="BM97"/>
  <c r="BN70"/>
  <c r="BN44"/>
  <c r="BN59"/>
  <c r="AF97"/>
  <c r="M97"/>
  <c r="BN85"/>
  <c r="L97"/>
  <c r="W97"/>
  <c r="BN68"/>
  <c r="BN51"/>
  <c r="BN71"/>
  <c r="BN57"/>
  <c r="AZ97"/>
  <c r="BG97"/>
  <c r="BN55"/>
  <c r="BN40"/>
  <c r="AR97"/>
  <c r="BN73"/>
  <c r="P97"/>
  <c r="AH97"/>
  <c r="BN79"/>
  <c r="BN86"/>
  <c r="BB97"/>
  <c r="BN81"/>
  <c r="BN88"/>
  <c r="AZ39" i="259" l="1"/>
  <c r="X39"/>
  <c r="AG39"/>
  <c r="AI39"/>
  <c r="O39"/>
  <c r="L39"/>
  <c r="W39"/>
  <c r="K39"/>
  <c r="AP39"/>
  <c r="AO39"/>
  <c r="P39"/>
  <c r="AM39"/>
  <c r="N39"/>
  <c r="BL39"/>
  <c r="BM39"/>
  <c r="AN39"/>
  <c r="BF39"/>
  <c r="AT39"/>
  <c r="BD39"/>
  <c r="AJ39"/>
  <c r="Y39"/>
  <c r="AR39"/>
  <c r="AL39"/>
  <c r="BI39"/>
  <c r="BE39"/>
  <c r="V39"/>
  <c r="AF39"/>
  <c r="AW39"/>
  <c r="AC39"/>
  <c r="U39"/>
  <c r="Z39"/>
  <c r="Q39"/>
  <c r="BB39"/>
  <c r="BA39"/>
  <c r="R39"/>
  <c r="AQ39"/>
  <c r="AB39"/>
  <c r="BJ39"/>
  <c r="AV39"/>
  <c r="AD39"/>
  <c r="M39"/>
  <c r="AY39"/>
  <c r="BC39"/>
  <c r="S39"/>
  <c r="AE39"/>
  <c r="AH39"/>
  <c r="BK39"/>
  <c r="AX39"/>
  <c r="BH39"/>
  <c r="T39"/>
  <c r="BG39"/>
  <c r="AU39"/>
  <c r="AS39"/>
  <c r="AA39"/>
  <c r="AY105" i="18"/>
  <c r="BV87"/>
  <c r="BV95"/>
  <c r="BV85"/>
  <c r="BV46"/>
  <c r="AB105"/>
  <c r="AJ105"/>
  <c r="L105"/>
  <c r="AA105"/>
  <c r="BG105"/>
  <c r="BV71"/>
  <c r="BV51"/>
  <c r="BD105"/>
  <c r="U105"/>
  <c r="BV50"/>
  <c r="BV54"/>
  <c r="BV47"/>
  <c r="AO105"/>
  <c r="T105"/>
  <c r="K105"/>
  <c r="BE105"/>
  <c r="BV68"/>
  <c r="BK105"/>
  <c r="BV56"/>
  <c r="BV81"/>
  <c r="BA105"/>
  <c r="BV53"/>
  <c r="BV60"/>
  <c r="BV84"/>
  <c r="BV73"/>
  <c r="BC105"/>
  <c r="BV42"/>
  <c r="AM105"/>
  <c r="BV45"/>
  <c r="BJ105"/>
  <c r="BH105"/>
  <c r="O105"/>
  <c r="W105"/>
  <c r="BV58"/>
  <c r="BV80"/>
  <c r="AN105"/>
  <c r="BV88"/>
  <c r="S105"/>
  <c r="BF105"/>
  <c r="BV67"/>
  <c r="BV91"/>
  <c r="BV59"/>
  <c r="BB105"/>
  <c r="Z105"/>
  <c r="BV44"/>
  <c r="J105"/>
  <c r="Y105"/>
  <c r="BP105"/>
  <c r="AG105"/>
  <c r="AI105"/>
  <c r="BV77"/>
  <c r="AL105"/>
  <c r="BV74"/>
  <c r="AH105"/>
  <c r="I105"/>
  <c r="X105"/>
  <c r="BR105"/>
  <c r="BV98"/>
  <c r="BV55"/>
  <c r="BV70"/>
  <c r="G105"/>
  <c r="BO105"/>
  <c r="BV97"/>
  <c r="N105"/>
  <c r="AZ105"/>
  <c r="BV64"/>
  <c r="BV40"/>
  <c r="BV86"/>
  <c r="BI105"/>
  <c r="AS105"/>
  <c r="BV38"/>
  <c r="BV99"/>
  <c r="AC105"/>
  <c r="BV92"/>
  <c r="BV100"/>
  <c r="AX105"/>
  <c r="Q105"/>
  <c r="BV94"/>
  <c r="AF105"/>
  <c r="BV75"/>
  <c r="BV78"/>
  <c r="BV41"/>
  <c r="P105"/>
  <c r="BV89"/>
  <c r="BV101"/>
  <c r="BV90"/>
  <c r="BV82"/>
  <c r="BN105"/>
  <c r="BV93"/>
  <c r="AW105"/>
  <c r="AQ105"/>
  <c r="AT105"/>
  <c r="M105"/>
  <c r="AE105"/>
  <c r="AD105"/>
  <c r="BV72"/>
  <c r="BV52"/>
  <c r="BV76"/>
  <c r="BV43"/>
  <c r="BM105"/>
  <c r="AK105"/>
  <c r="AR105"/>
  <c r="BV57"/>
  <c r="BQ105"/>
  <c r="BV69"/>
  <c r="BV66"/>
  <c r="BV79"/>
  <c r="BL105"/>
  <c r="AV105"/>
  <c r="BV63"/>
  <c r="BV48"/>
  <c r="AP105"/>
  <c r="V105"/>
  <c r="BV96"/>
  <c r="R105"/>
  <c r="AU105"/>
  <c r="H105"/>
  <c r="BV61"/>
  <c r="BV65"/>
  <c r="BV39"/>
  <c r="BV83"/>
  <c r="BV62"/>
  <c r="BV49"/>
  <c r="Q104"/>
  <c r="W104"/>
  <c r="AO103"/>
  <c r="BR104"/>
  <c r="BU96"/>
  <c r="BU82"/>
  <c r="BU99"/>
  <c r="BT63"/>
  <c r="AV104"/>
  <c r="BT59"/>
  <c r="AZ104"/>
  <c r="BU92"/>
  <c r="BT97"/>
  <c r="AI104"/>
  <c r="BU66"/>
  <c r="BT87"/>
  <c r="BT90"/>
  <c r="BU79"/>
  <c r="O103"/>
  <c r="BT82"/>
  <c r="AH103"/>
  <c r="BJ104"/>
  <c r="BT66"/>
  <c r="U104"/>
  <c r="BT61"/>
  <c r="K104"/>
  <c r="BU38"/>
  <c r="BA104"/>
  <c r="AQ104"/>
  <c r="BT42"/>
  <c r="BT95"/>
  <c r="BU65"/>
  <c r="BF104"/>
  <c r="BB103"/>
  <c r="BU88"/>
  <c r="H104"/>
  <c r="AD103"/>
  <c r="BU53"/>
  <c r="AM103"/>
  <c r="AK104"/>
  <c r="BD103"/>
  <c r="R103"/>
  <c r="BM104"/>
  <c r="BT47"/>
  <c r="BU51"/>
  <c r="BU80"/>
  <c r="BT93"/>
  <c r="BU61"/>
  <c r="S103"/>
  <c r="BU95"/>
  <c r="AS104"/>
  <c r="BG103"/>
  <c r="BM103"/>
  <c r="BU45"/>
  <c r="AN103"/>
  <c r="T104"/>
  <c r="BU97"/>
  <c r="J103"/>
  <c r="BE104"/>
  <c r="BT56"/>
  <c r="BT45"/>
  <c r="AJ104"/>
  <c r="BT91"/>
  <c r="AR103"/>
  <c r="AE103"/>
  <c r="BO104"/>
  <c r="Y103"/>
  <c r="AK103"/>
  <c r="BI104"/>
  <c r="BT75"/>
  <c r="BK104"/>
  <c r="BT84"/>
  <c r="BT46"/>
  <c r="BT89"/>
  <c r="AU103"/>
  <c r="AF104"/>
  <c r="X104"/>
  <c r="P104"/>
  <c r="BU63"/>
  <c r="N103"/>
  <c r="BT77"/>
  <c r="BT49"/>
  <c r="BU83"/>
  <c r="BU94"/>
  <c r="BC104"/>
  <c r="BU60"/>
  <c r="BU75"/>
  <c r="AG103"/>
  <c r="N104"/>
  <c r="AG104"/>
  <c r="BU49"/>
  <c r="G104"/>
  <c r="AX103"/>
  <c r="AJ103"/>
  <c r="BT55"/>
  <c r="BT44"/>
  <c r="BU78"/>
  <c r="BT54"/>
  <c r="BT51"/>
  <c r="BU100"/>
  <c r="AQ103"/>
  <c r="BO103"/>
  <c r="BT72"/>
  <c r="BU98"/>
  <c r="BT81"/>
  <c r="BN104"/>
  <c r="AA103"/>
  <c r="AW104"/>
  <c r="BT80"/>
  <c r="BU81"/>
  <c r="BU42"/>
  <c r="AT103"/>
  <c r="BU84"/>
  <c r="BT40"/>
  <c r="AB103"/>
  <c r="O104"/>
  <c r="T103"/>
  <c r="BT57"/>
  <c r="BT88"/>
  <c r="X103"/>
  <c r="BU58"/>
  <c r="BU62"/>
  <c r="BU73"/>
  <c r="AL104"/>
  <c r="BJ103"/>
  <c r="BU90"/>
  <c r="BU39"/>
  <c r="BT67"/>
  <c r="BL104"/>
  <c r="BU71"/>
  <c r="BT76"/>
  <c r="W103"/>
  <c r="BI103"/>
  <c r="BP104"/>
  <c r="BT74"/>
  <c r="BU77"/>
  <c r="BQ104"/>
  <c r="AE104"/>
  <c r="BU101"/>
  <c r="BH103"/>
  <c r="BT78"/>
  <c r="AU104"/>
  <c r="I103"/>
  <c r="BU91"/>
  <c r="BA103"/>
  <c r="BT62"/>
  <c r="BT101"/>
  <c r="BT73"/>
  <c r="BU72"/>
  <c r="AP104"/>
  <c r="BT96"/>
  <c r="BU67"/>
  <c r="BU46"/>
  <c r="R104"/>
  <c r="AC104"/>
  <c r="BT79"/>
  <c r="BT99"/>
  <c r="BT86"/>
  <c r="AD104"/>
  <c r="BU87"/>
  <c r="BD104"/>
  <c r="M103"/>
  <c r="BT85"/>
  <c r="AP103"/>
  <c r="AV103"/>
  <c r="BT52"/>
  <c r="BU56"/>
  <c r="BT100"/>
  <c r="J104"/>
  <c r="Z104"/>
  <c r="BF103"/>
  <c r="BT94"/>
  <c r="BT58"/>
  <c r="BU57"/>
  <c r="BT43"/>
  <c r="BU89"/>
  <c r="AI103"/>
  <c r="BU86"/>
  <c r="BK103"/>
  <c r="V104"/>
  <c r="BN103"/>
  <c r="G103"/>
  <c r="BP103"/>
  <c r="U103"/>
  <c r="AB104"/>
  <c r="AZ103"/>
  <c r="AT104"/>
  <c r="BT83"/>
  <c r="L104"/>
  <c r="BU68"/>
  <c r="BT39"/>
  <c r="BU43"/>
  <c r="BT60"/>
  <c r="M104"/>
  <c r="BQ103"/>
  <c r="BT64"/>
  <c r="P103"/>
  <c r="BT65"/>
  <c r="BT53"/>
  <c r="AL103"/>
  <c r="K103"/>
  <c r="BT41"/>
  <c r="BG104"/>
  <c r="AO104"/>
  <c r="BU70"/>
  <c r="H103"/>
  <c r="BU41"/>
  <c r="BT50"/>
  <c r="BT48"/>
  <c r="S104"/>
  <c r="V103"/>
  <c r="BT68"/>
  <c r="BU48"/>
  <c r="AC103"/>
  <c r="Y104"/>
  <c r="BU47"/>
  <c r="BU40"/>
  <c r="BT69"/>
  <c r="AR104"/>
  <c r="AH104"/>
  <c r="BU59"/>
  <c r="BT92"/>
  <c r="AA104"/>
  <c r="BU74"/>
  <c r="BT70"/>
  <c r="BL103"/>
  <c r="I104"/>
  <c r="AY104"/>
  <c r="BU64"/>
  <c r="BR103"/>
  <c r="BU54"/>
  <c r="Q103"/>
  <c r="BH104"/>
  <c r="AW103"/>
  <c r="L103"/>
  <c r="BU76"/>
  <c r="AF103"/>
  <c r="BT71"/>
  <c r="AY103"/>
  <c r="AX104"/>
  <c r="BU85"/>
  <c r="BU52"/>
  <c r="BE103"/>
  <c r="AS103"/>
  <c r="BU44"/>
  <c r="Z103"/>
  <c r="BU50"/>
  <c r="BU55"/>
  <c r="AM104"/>
  <c r="BC103"/>
  <c r="BU69"/>
  <c r="BU93"/>
  <c r="BB104"/>
  <c r="AN104"/>
  <c r="BT98"/>
  <c r="BT38"/>
  <c r="M102"/>
  <c r="AO102"/>
  <c r="BS95"/>
  <c r="AZ102"/>
  <c r="BS94"/>
  <c r="BL102"/>
  <c r="AW102"/>
  <c r="BS91"/>
  <c r="I102"/>
  <c r="V102"/>
  <c r="AA102"/>
  <c r="BK102"/>
  <c r="BI102"/>
  <c r="BS43"/>
  <c r="N102"/>
  <c r="BS40"/>
  <c r="L102"/>
  <c r="AK102"/>
  <c r="BD102"/>
  <c r="BR102"/>
  <c r="AB102"/>
  <c r="BS55"/>
  <c r="BS58"/>
  <c r="AJ102"/>
  <c r="AN102"/>
  <c r="BS97"/>
  <c r="T102"/>
  <c r="BE102"/>
  <c r="AD102"/>
  <c r="BM102"/>
  <c r="BS82"/>
  <c r="BS101"/>
  <c r="G102"/>
  <c r="BS63"/>
  <c r="BS38"/>
  <c r="BA102"/>
  <c r="BS89"/>
  <c r="BS48"/>
  <c r="BS45"/>
  <c r="BS54"/>
  <c r="O102"/>
  <c r="BS50"/>
  <c r="BS52"/>
  <c r="AM102"/>
  <c r="BS66"/>
  <c r="BH102"/>
  <c r="AP102"/>
  <c r="AV102"/>
  <c r="BS67"/>
  <c r="AX102"/>
  <c r="BS80"/>
  <c r="AL102"/>
  <c r="BS84"/>
  <c r="BS87"/>
  <c r="BS60"/>
  <c r="BS76"/>
  <c r="BC102"/>
  <c r="BS85"/>
  <c r="BS88"/>
  <c r="BS61"/>
  <c r="BO102"/>
  <c r="BN102"/>
  <c r="BS49"/>
  <c r="BF102"/>
  <c r="BP102"/>
  <c r="J102"/>
  <c r="BS79"/>
  <c r="X102"/>
  <c r="BB102"/>
  <c r="AF102"/>
  <c r="BS51"/>
  <c r="BS69"/>
  <c r="AS102"/>
  <c r="BS71"/>
  <c r="W102"/>
  <c r="BS81"/>
  <c r="AR102"/>
  <c r="BS83"/>
  <c r="BS99"/>
  <c r="BS59"/>
  <c r="BS93"/>
  <c r="BS64"/>
  <c r="BS42"/>
  <c r="BS90"/>
  <c r="P102"/>
  <c r="BS78"/>
  <c r="BG102"/>
  <c r="BS65"/>
  <c r="BS68"/>
  <c r="BS62"/>
  <c r="AT102"/>
  <c r="AQ102"/>
  <c r="Y102"/>
  <c r="AU102"/>
  <c r="BS86"/>
  <c r="S102"/>
  <c r="BS100"/>
  <c r="BS72"/>
  <c r="AY102"/>
  <c r="BS75"/>
  <c r="H102"/>
  <c r="BQ102"/>
  <c r="BS98"/>
  <c r="BS44"/>
  <c r="Z102"/>
  <c r="R102"/>
  <c r="AI102"/>
  <c r="BS57"/>
  <c r="BS56"/>
  <c r="BS70"/>
  <c r="AH102"/>
  <c r="K102"/>
  <c r="BS74"/>
  <c r="BS53"/>
  <c r="BS77"/>
  <c r="BS96"/>
  <c r="AG102"/>
  <c r="AE102"/>
  <c r="U102"/>
  <c r="BS47"/>
  <c r="AC102"/>
  <c r="BS92"/>
  <c r="Q102"/>
  <c r="BS46"/>
  <c r="BS73"/>
  <c r="BS41"/>
  <c r="BJ102"/>
  <c r="BS39"/>
  <c r="AJ39" i="1" l="1"/>
  <c r="S39"/>
  <c r="U39"/>
  <c r="AA39"/>
  <c r="Z39"/>
  <c r="AF39"/>
  <c r="AW39"/>
  <c r="BF39"/>
  <c r="BL39"/>
  <c r="AL39"/>
  <c r="AV39"/>
  <c r="AI39"/>
  <c r="N39"/>
  <c r="AO39"/>
  <c r="P39"/>
  <c r="BB39"/>
  <c r="AZ39"/>
  <c r="O39"/>
  <c r="BE39"/>
  <c r="AC39"/>
  <c r="R39"/>
  <c r="M39"/>
  <c r="AB39"/>
  <c r="W39"/>
  <c r="AX39"/>
  <c r="Q39"/>
  <c r="V39"/>
  <c r="AY39"/>
  <c r="AD39"/>
  <c r="Y39"/>
  <c r="BG39"/>
  <c r="AM39"/>
  <c r="AR39"/>
  <c r="BH39"/>
  <c r="BC39"/>
  <c r="AU39"/>
  <c r="X39"/>
  <c r="BD39"/>
  <c r="AH39"/>
  <c r="AG39"/>
  <c r="AQ39"/>
  <c r="AN39"/>
  <c r="K39"/>
  <c r="AP39"/>
  <c r="AT39"/>
  <c r="BJ39"/>
  <c r="AK39"/>
  <c r="AE39"/>
  <c r="BK39"/>
  <c r="BA39"/>
  <c r="L39"/>
  <c r="AS39"/>
  <c r="T39"/>
  <c r="BI39"/>
  <c r="AY39" i="260" l="1"/>
  <c r="AA39"/>
  <c r="Z39"/>
  <c r="AG39"/>
  <c r="P39"/>
  <c r="AW39"/>
  <c r="AF39"/>
  <c r="AH39"/>
  <c r="L39"/>
  <c r="N39"/>
  <c r="BL39"/>
  <c r="BE39"/>
  <c r="X39"/>
  <c r="AQ39"/>
  <c r="AK39"/>
  <c r="T39"/>
  <c r="BF39"/>
  <c r="AP39"/>
  <c r="Y39"/>
  <c r="Q39"/>
  <c r="AL39"/>
  <c r="AB39"/>
  <c r="AC39"/>
  <c r="AM39"/>
  <c r="BH39"/>
  <c r="AR39"/>
  <c r="AS39"/>
  <c r="K39"/>
  <c r="AU39"/>
  <c r="AJ39"/>
  <c r="R39"/>
  <c r="V39"/>
  <c r="AO39"/>
  <c r="AV39"/>
  <c r="BC39"/>
  <c r="BD39"/>
  <c r="BA39"/>
  <c r="S39"/>
  <c r="AZ39"/>
  <c r="BB39"/>
  <c r="AD39"/>
  <c r="BG39"/>
  <c r="O39"/>
  <c r="AN39"/>
  <c r="AI39"/>
  <c r="AX39"/>
  <c r="AT39"/>
  <c r="M39"/>
  <c r="BK39"/>
  <c r="BJ39"/>
  <c r="BM39"/>
  <c r="U39"/>
  <c r="BI39"/>
  <c r="W39"/>
  <c r="AE39"/>
  <c r="BT105" i="18"/>
  <c r="BS105"/>
  <c r="BU105"/>
  <c r="BV103"/>
  <c r="BV105"/>
  <c r="BV104"/>
  <c r="BV102"/>
  <c r="BU103"/>
  <c r="BU104"/>
  <c r="BT104"/>
  <c r="BS104"/>
  <c r="BU102"/>
  <c r="AF39" i="261" l="1"/>
  <c r="AZ39"/>
  <c r="AR39"/>
  <c r="AO39"/>
  <c r="AM39"/>
  <c r="BL39"/>
  <c r="BG39"/>
  <c r="R39"/>
  <c r="AS39"/>
  <c r="U39"/>
  <c r="BM39"/>
  <c r="AD39"/>
  <c r="K39"/>
  <c r="X39"/>
  <c r="AT39"/>
  <c r="AH39"/>
  <c r="AG39"/>
  <c r="AW39"/>
  <c r="AK39"/>
  <c r="AN39"/>
  <c r="AE39"/>
  <c r="Y39"/>
  <c r="BK39"/>
  <c r="AY39"/>
  <c r="Q39"/>
  <c r="L39"/>
  <c r="T39"/>
  <c r="S39"/>
  <c r="AL39"/>
  <c r="BJ39"/>
  <c r="V39"/>
  <c r="AA39"/>
  <c r="AC39"/>
  <c r="AB39"/>
  <c r="AX39"/>
  <c r="N39"/>
  <c r="BC39"/>
  <c r="AJ39"/>
  <c r="AI39"/>
  <c r="Z39"/>
  <c r="AQ39"/>
  <c r="BD39"/>
  <c r="W39"/>
  <c r="BB39"/>
  <c r="AP39"/>
  <c r="P39"/>
  <c r="BE39"/>
  <c r="M39"/>
  <c r="AV39"/>
  <c r="AU39"/>
  <c r="BA39"/>
  <c r="O39"/>
  <c r="BH39"/>
  <c r="AO39" i="262" l="1"/>
  <c r="AW39"/>
  <c r="AC39"/>
  <c r="O39"/>
  <c r="X39"/>
  <c r="S39"/>
  <c r="M39"/>
  <c r="BL39"/>
  <c r="AB39"/>
  <c r="AE39"/>
  <c r="AA39"/>
  <c r="AM39"/>
  <c r="BA39"/>
  <c r="AK39"/>
  <c r="AR39"/>
  <c r="BM39"/>
  <c r="AH39"/>
  <c r="AP39"/>
  <c r="U39"/>
  <c r="W39"/>
  <c r="N39"/>
  <c r="AG39"/>
  <c r="AX39"/>
  <c r="R39"/>
  <c r="AV39"/>
  <c r="AI39"/>
  <c r="AQ39"/>
  <c r="AY39"/>
  <c r="K39"/>
  <c r="BB39"/>
  <c r="BI39"/>
  <c r="BD39"/>
  <c r="AD39"/>
  <c r="L39"/>
  <c r="AZ39"/>
  <c r="Z39"/>
  <c r="AT39"/>
  <c r="A11" i="14"/>
  <c r="T39" i="262" l="1"/>
  <c r="AN39"/>
  <c r="BC39"/>
  <c r="BF39"/>
  <c r="BJ39"/>
  <c r="BH39"/>
  <c r="AS39"/>
  <c r="BK39"/>
  <c r="P39"/>
  <c r="BG39"/>
  <c r="AF39"/>
  <c r="AL39"/>
  <c r="Y39"/>
  <c r="BE39"/>
  <c r="Q39"/>
  <c r="AJ39"/>
  <c r="AU39"/>
  <c r="V39"/>
  <c r="H11" i="14"/>
  <c r="A9" l="1"/>
  <c r="BL39" i="263" l="1"/>
  <c r="S39"/>
  <c r="AZ39"/>
  <c r="Z39"/>
  <c r="N39"/>
  <c r="K39"/>
  <c r="Q39"/>
  <c r="BK39"/>
  <c r="X39"/>
  <c r="AY39"/>
  <c r="AA39"/>
  <c r="W39"/>
  <c r="AC39"/>
  <c r="U39"/>
  <c r="P39"/>
  <c r="AP39"/>
  <c r="AB39"/>
  <c r="T39"/>
  <c r="AM39"/>
  <c r="BD39"/>
  <c r="AK39"/>
  <c r="AD39"/>
  <c r="AQ39"/>
  <c r="Y39"/>
  <c r="BG39"/>
  <c r="BI39"/>
  <c r="L39"/>
  <c r="AF39"/>
  <c r="AN39"/>
  <c r="AE39"/>
  <c r="BA39"/>
  <c r="AO39"/>
  <c r="M39"/>
  <c r="AR39"/>
  <c r="V39"/>
  <c r="R39"/>
  <c r="BC39"/>
  <c r="AT39"/>
  <c r="AW39"/>
  <c r="BJ39"/>
  <c r="BB39"/>
  <c r="BE39"/>
  <c r="AH39"/>
  <c r="BF39"/>
  <c r="AG39"/>
  <c r="BM39"/>
  <c r="H9" i="14"/>
  <c r="AS39" i="263" l="1"/>
  <c r="AX39"/>
  <c r="O39"/>
  <c r="BH39"/>
  <c r="AV39"/>
  <c r="AI39"/>
  <c r="AL39"/>
  <c r="AU39"/>
  <c r="AJ39"/>
  <c r="A18" i="14" l="1"/>
  <c r="A16" s="1"/>
  <c r="H16" s="1"/>
  <c r="A53"/>
  <c r="A50" s="1"/>
  <c r="H50" s="1"/>
  <c r="C23"/>
  <c r="C20"/>
  <c r="C17"/>
  <c r="C26"/>
  <c r="C51"/>
  <c r="C16"/>
  <c r="C57"/>
  <c r="C35"/>
  <c r="C45"/>
  <c r="C22"/>
  <c r="C53"/>
  <c r="C50"/>
  <c r="C60"/>
  <c r="C30"/>
  <c r="C38"/>
  <c r="C19"/>
  <c r="C28"/>
  <c r="C43"/>
  <c r="C58"/>
  <c r="C48"/>
  <c r="C10"/>
  <c r="C29"/>
  <c r="C52"/>
  <c r="C47"/>
  <c r="C59"/>
  <c r="C13"/>
  <c r="C21"/>
  <c r="C37"/>
  <c r="C36"/>
  <c r="C33"/>
  <c r="C25"/>
  <c r="C49"/>
  <c r="C41"/>
  <c r="C42"/>
  <c r="C39"/>
  <c r="C44"/>
  <c r="C14"/>
  <c r="C55"/>
  <c r="C12"/>
  <c r="C61"/>
  <c r="C46"/>
  <c r="C32"/>
  <c r="C15"/>
  <c r="C9"/>
  <c r="C34"/>
  <c r="C27"/>
  <c r="C54"/>
  <c r="C18"/>
  <c r="C8"/>
  <c r="C24"/>
  <c r="C11"/>
  <c r="C56"/>
  <c r="C62"/>
  <c r="C40"/>
  <c r="C31"/>
  <c r="AJ2" i="258"/>
  <c r="AF2" i="260"/>
  <c r="AM2" i="256"/>
  <c r="AG2" i="259"/>
  <c r="I19" i="258"/>
  <c r="AH2" i="261"/>
  <c r="F11" i="253"/>
  <c r="BD2" i="254"/>
  <c r="P2" i="258"/>
  <c r="F11"/>
  <c r="F12" i="263"/>
  <c r="AF2" i="256"/>
  <c r="L2" i="258"/>
  <c r="I13" i="257"/>
  <c r="F9" i="261"/>
  <c r="BV2" i="18"/>
  <c r="R2" i="255"/>
  <c r="L2" i="257"/>
  <c r="X2" i="262"/>
  <c r="K41" i="255"/>
  <c r="AP2" i="262"/>
  <c r="E189" i="237"/>
  <c r="Q2" i="257"/>
  <c r="I18" i="259"/>
  <c r="F23" i="261"/>
  <c r="M2" i="255"/>
  <c r="AG28" i="253"/>
  <c r="I8" i="258"/>
  <c r="BU13" i="18"/>
  <c r="AT2" i="252"/>
  <c r="W2" i="260"/>
  <c r="BU14" i="18"/>
  <c r="I189" i="237"/>
  <c r="I22" i="262"/>
  <c r="AH2" i="263"/>
  <c r="H189" i="237"/>
  <c r="I5" i="263"/>
  <c r="I21" i="255"/>
  <c r="Y2" i="259"/>
  <c r="AT2"/>
  <c r="T2" i="255"/>
  <c r="H79" i="237"/>
  <c r="F7" i="255"/>
  <c r="BM2" i="258"/>
  <c r="B80" i="237"/>
  <c r="K2" i="254"/>
  <c r="AZ2" i="252"/>
  <c r="I9" i="261"/>
  <c r="AO28" i="1"/>
  <c r="F9" i="263"/>
  <c r="AZ2" i="257"/>
  <c r="AM2"/>
  <c r="S2" i="262"/>
  <c r="AO2" i="257"/>
  <c r="AG2" i="253"/>
  <c r="F18" i="261"/>
  <c r="F17" i="252"/>
  <c r="BB2" i="263"/>
  <c r="BD2" i="253"/>
  <c r="I14" i="257"/>
  <c r="F23" i="252"/>
  <c r="I20" i="253"/>
  <c r="AO2" i="262"/>
  <c r="AG2" i="263"/>
  <c r="W28" i="253"/>
  <c r="F6"/>
  <c r="AT2" i="263"/>
  <c r="I17" i="256"/>
  <c r="AI2" i="254"/>
  <c r="AL2" i="263"/>
  <c r="G2" i="258"/>
  <c r="BG2" i="259"/>
  <c r="BH2" i="257"/>
  <c r="F18" i="259"/>
  <c r="I14" i="254"/>
  <c r="P28" i="1"/>
  <c r="W2" i="256"/>
  <c r="Z28" i="252"/>
  <c r="K79" i="237"/>
  <c r="Q2" i="254"/>
  <c r="F18" i="260"/>
  <c r="AN2"/>
  <c r="X2" i="261"/>
  <c r="AI2"/>
  <c r="I10" i="260"/>
  <c r="BM2" i="259"/>
  <c r="BM20" i="15"/>
  <c r="F6" i="258"/>
  <c r="AC2" i="257"/>
  <c r="AL2"/>
  <c r="I2" i="256"/>
  <c r="B188" i="223"/>
  <c r="I19" i="260"/>
  <c r="S2" i="258"/>
  <c r="F8" i="252"/>
  <c r="F21" i="261"/>
  <c r="F15" i="260"/>
  <c r="I17" i="263"/>
  <c r="S2" i="260"/>
  <c r="AW2" i="263"/>
  <c r="L2" i="259"/>
  <c r="I15"/>
  <c r="Q28" i="1"/>
  <c r="I14" i="263"/>
  <c r="AF2" i="258"/>
  <c r="V2" i="253"/>
  <c r="I4" i="259"/>
  <c r="BU16" i="18"/>
  <c r="F15" i="258"/>
  <c r="BC28" i="253"/>
  <c r="AS2" i="254"/>
  <c r="BL2" i="255"/>
  <c r="BE28" i="254"/>
  <c r="BG2"/>
  <c r="L4" i="14"/>
  <c r="BD2" i="256"/>
  <c r="G80" i="237"/>
  <c r="B8" i="14"/>
  <c r="U2" i="257"/>
  <c r="AH28" i="1"/>
  <c r="AN2" i="255"/>
  <c r="F10" i="261"/>
  <c r="I14" i="256"/>
  <c r="M2" i="261"/>
  <c r="Y28" i="252"/>
  <c r="F22" i="257"/>
  <c r="I17"/>
  <c r="Q2" i="262"/>
  <c r="F15" i="254"/>
  <c r="BV18" i="18"/>
  <c r="R7" i="14"/>
  <c r="F13" i="253"/>
  <c r="AK2"/>
  <c r="F12"/>
  <c r="AD28" i="254"/>
  <c r="S2"/>
  <c r="F5" i="259"/>
  <c r="F11" i="256"/>
  <c r="AO28" i="254"/>
  <c r="BU11" i="18"/>
  <c r="K2" i="261"/>
  <c r="BB2" i="257"/>
  <c r="I22" i="253"/>
  <c r="P2"/>
  <c r="I8" i="257"/>
  <c r="G2" i="259"/>
  <c r="F22" i="254"/>
  <c r="BA2" i="253"/>
  <c r="F3" i="257"/>
  <c r="I7" i="256"/>
  <c r="BT8" i="18"/>
  <c r="AT2" i="253"/>
  <c r="C63" i="237"/>
  <c r="B63"/>
  <c r="F24" i="257"/>
  <c r="W28" i="252"/>
  <c r="BE2" i="257"/>
  <c r="AI28" i="252"/>
  <c r="AC2" i="259"/>
  <c r="AD2" i="260"/>
  <c r="I12"/>
  <c r="AY2" i="256"/>
  <c r="L2" i="254"/>
  <c r="AA2" i="258"/>
  <c r="C80" i="223"/>
  <c r="F20" i="254"/>
  <c r="F15" i="255"/>
  <c r="V2" i="261"/>
  <c r="BC2" i="252"/>
  <c r="F12"/>
  <c r="AE2" i="259"/>
  <c r="I10" i="263"/>
  <c r="AW2" i="257"/>
  <c r="I20" i="261"/>
  <c r="F8" i="256"/>
  <c r="S2" i="261"/>
  <c r="I19" i="254"/>
  <c r="M63" i="237"/>
  <c r="AF2" i="254"/>
  <c r="AV2" i="262"/>
  <c r="AL2" i="254"/>
  <c r="AR2" i="253"/>
  <c r="P2" i="255"/>
  <c r="BJ2" i="263"/>
  <c r="AI2" i="259"/>
  <c r="F6" i="263"/>
  <c r="N4" i="14"/>
  <c r="F7" i="259"/>
  <c r="I22" i="255"/>
  <c r="AH28" i="254"/>
  <c r="C30"/>
  <c r="F18" i="252"/>
  <c r="BS9" i="18"/>
  <c r="F21" i="259"/>
  <c r="BI2" i="252"/>
  <c r="D80" i="237"/>
  <c r="BK2" i="254"/>
  <c r="D188" i="223"/>
  <c r="J2" i="256"/>
  <c r="M187" i="237"/>
  <c r="U2" i="255"/>
  <c r="I9" i="258"/>
  <c r="F9" i="253"/>
  <c r="F15" i="262"/>
  <c r="O5" i="14"/>
  <c r="H2" i="262"/>
  <c r="F8" i="261"/>
  <c r="BI2" i="260"/>
  <c r="J79" i="223"/>
  <c r="O2" i="254"/>
  <c r="F3" i="253"/>
  <c r="BM2" i="255"/>
  <c r="I12" i="253"/>
  <c r="I3" i="255"/>
  <c r="BT2" i="18"/>
  <c r="F11" i="260"/>
  <c r="H2" i="254"/>
  <c r="N2" i="263"/>
  <c r="Y2" i="252"/>
  <c r="C30" i="255"/>
  <c r="T28" i="254"/>
  <c r="E187" i="237"/>
  <c r="H80"/>
  <c r="F79" i="223"/>
  <c r="X2" i="257"/>
  <c r="AC2" i="258"/>
  <c r="BV19" i="18"/>
  <c r="F15" i="257"/>
  <c r="I15"/>
  <c r="F11" i="259"/>
  <c r="BJ2" i="257"/>
  <c r="F5" i="256"/>
  <c r="AE28" i="254"/>
  <c r="F21" i="255"/>
  <c r="BC2" i="260"/>
  <c r="K2" i="258"/>
  <c r="R2" i="253"/>
  <c r="I7" i="257"/>
  <c r="BV11" i="18"/>
  <c r="AX28" i="253"/>
  <c r="F54" i="223"/>
  <c r="C30" i="253"/>
  <c r="AK2" i="258"/>
  <c r="Z2" i="262"/>
  <c r="BF2" i="257"/>
  <c r="I187" i="223"/>
  <c r="G2" i="260"/>
  <c r="BB2" i="259"/>
  <c r="AJ2"/>
  <c r="D189" i="223"/>
  <c r="BD2" i="263"/>
  <c r="AY2" i="254"/>
  <c r="F22" i="252"/>
  <c r="I9" i="257"/>
  <c r="I18" i="253"/>
  <c r="AQ2" i="259"/>
  <c r="AM28" i="254"/>
  <c r="F18" i="256"/>
  <c r="V2" i="257"/>
  <c r="J2" i="255"/>
  <c r="AY2" i="258"/>
  <c r="G2" i="261"/>
  <c r="L28" i="1"/>
  <c r="BH28" i="253"/>
  <c r="BL2" i="254"/>
  <c r="O2" i="260"/>
  <c r="I22" i="263"/>
  <c r="F19" i="252"/>
  <c r="F19" i="260"/>
  <c r="AD2" i="258"/>
  <c r="BG28" i="252"/>
  <c r="BS22" i="18"/>
  <c r="AV2" i="256"/>
  <c r="F14" i="257"/>
  <c r="AF2" i="263"/>
  <c r="F20" i="256"/>
  <c r="F3" i="259"/>
  <c r="F8" i="257"/>
  <c r="BH2" i="262"/>
  <c r="I4" i="256"/>
  <c r="I9"/>
  <c r="BS17" i="18"/>
  <c r="M187" i="223"/>
  <c r="S2" i="259"/>
  <c r="Q2" i="258"/>
  <c r="BM2" i="260"/>
  <c r="AQ2" i="262"/>
  <c r="AY2"/>
  <c r="O2" i="255"/>
  <c r="BU5" i="18"/>
  <c r="AQ2" i="257"/>
  <c r="AQ2" i="254"/>
  <c r="BK28" i="1"/>
  <c r="AY2" i="260"/>
  <c r="M2" i="259"/>
  <c r="F9" i="257"/>
  <c r="AF28" i="253"/>
  <c r="I12" i="262"/>
  <c r="AG28" i="254"/>
  <c r="D188" i="237"/>
  <c r="K80" i="223"/>
  <c r="O2" i="253"/>
  <c r="F22"/>
  <c r="F9" i="254"/>
  <c r="I7" i="255"/>
  <c r="H187" i="223"/>
  <c r="H2" i="257"/>
  <c r="Z2" i="252"/>
  <c r="F15" i="253"/>
  <c r="I8" i="256"/>
  <c r="BI28" i="1"/>
  <c r="BC2" i="261"/>
  <c r="AN2" i="256"/>
  <c r="AT2" i="262"/>
  <c r="AP2" i="257"/>
  <c r="K79" i="223"/>
  <c r="G187" i="237"/>
  <c r="BB2" i="255"/>
  <c r="E79" i="237"/>
  <c r="F22" i="263"/>
  <c r="M2" i="254"/>
  <c r="AJ2" i="260"/>
  <c r="J80" i="223"/>
  <c r="BV9" i="18"/>
  <c r="BK2" i="258"/>
  <c r="F14" i="261"/>
  <c r="F24" i="258"/>
  <c r="I14" i="261"/>
  <c r="AY2"/>
  <c r="F23" i="258"/>
  <c r="AW2" i="255"/>
  <c r="AU2" i="262"/>
  <c r="I9" i="254"/>
  <c r="AJ2" i="256"/>
  <c r="BA28" i="252"/>
  <c r="I3" i="260"/>
  <c r="BU22" i="18"/>
  <c r="BH2" i="259"/>
  <c r="BT6" i="18"/>
  <c r="AR28" i="253"/>
  <c r="BT9" i="18"/>
  <c r="I10" i="259"/>
  <c r="T2" i="261"/>
  <c r="AS2" i="258"/>
  <c r="I19" i="261"/>
  <c r="AL2" i="256"/>
  <c r="F3" i="255"/>
  <c r="BE2" i="262"/>
  <c r="BT7" i="18"/>
  <c r="J187" i="237"/>
  <c r="Y2" i="260"/>
  <c r="BF2" i="255"/>
  <c r="F21" i="260"/>
  <c r="K41" i="256"/>
  <c r="BV17" i="18"/>
  <c r="I5" i="260"/>
  <c r="K189" i="237"/>
  <c r="I21" i="259"/>
  <c r="F24"/>
  <c r="F9"/>
  <c r="F22" i="258"/>
  <c r="L188" i="237"/>
  <c r="I6" i="262"/>
  <c r="F63" i="237"/>
  <c r="D79" i="223"/>
  <c r="F4" i="263"/>
  <c r="U2" i="253"/>
  <c r="F14" i="252"/>
  <c r="I18" i="257"/>
  <c r="I5" i="259"/>
  <c r="F13" i="261"/>
  <c r="BK2" i="252"/>
  <c r="BH2" i="253"/>
  <c r="W2" i="254"/>
  <c r="AU28" i="253"/>
  <c r="V28"/>
  <c r="B79" i="223"/>
  <c r="L2" i="261"/>
  <c r="BD2" i="255"/>
  <c r="BS18" i="18"/>
  <c r="Z2" i="255"/>
  <c r="I11" i="254"/>
  <c r="AJ2" i="255"/>
  <c r="B188" i="237"/>
  <c r="AN2" i="261"/>
  <c r="AW2" i="256"/>
  <c r="U2" i="262"/>
  <c r="BU9" i="18"/>
  <c r="AE2" i="260"/>
  <c r="AV2" i="257"/>
  <c r="BU17" i="18"/>
  <c r="X2" i="253"/>
  <c r="BL28" i="252"/>
  <c r="BA2" i="257"/>
  <c r="L189" i="237"/>
  <c r="BU19" i="18"/>
  <c r="AY28" i="1"/>
  <c r="AH2" i="259"/>
  <c r="AU2" i="263"/>
  <c r="AR2"/>
  <c r="U2" i="254"/>
  <c r="F6" i="261"/>
  <c r="F20" i="262"/>
  <c r="R2" i="261"/>
  <c r="O28" i="1"/>
  <c r="AP28" i="254"/>
  <c r="F9" i="256"/>
  <c r="G187" i="223"/>
  <c r="AB2" i="255"/>
  <c r="BS21" i="18"/>
  <c r="J2" i="259"/>
  <c r="O2" i="258"/>
  <c r="AM2" i="259"/>
  <c r="T2" i="253"/>
  <c r="O2" i="263"/>
  <c r="AO2" i="255"/>
  <c r="B54" i="223"/>
  <c r="AZ2" i="255"/>
  <c r="F22" i="260"/>
  <c r="BT10" i="18"/>
  <c r="AU2" i="252"/>
  <c r="BM28"/>
  <c r="W2" i="255"/>
  <c r="F7" i="260"/>
  <c r="F4" i="259"/>
  <c r="BI2" i="256"/>
  <c r="AW2" i="262"/>
  <c r="BE28" i="253"/>
  <c r="BJ2" i="262"/>
  <c r="I18" i="260"/>
  <c r="J189" i="223"/>
  <c r="F5" i="252"/>
  <c r="BH2" i="263"/>
  <c r="S2" i="255"/>
  <c r="BE2" i="258"/>
  <c r="H189" i="223"/>
  <c r="I6" i="252"/>
  <c r="AV28" i="253"/>
  <c r="AP28"/>
  <c r="F16" i="254"/>
  <c r="AO2"/>
  <c r="I11" i="252"/>
  <c r="I3" i="256"/>
  <c r="BF2" i="261"/>
  <c r="I6" i="255"/>
  <c r="AN2" i="258"/>
  <c r="N7" i="14"/>
  <c r="BH2" i="256"/>
  <c r="F11" i="254"/>
  <c r="BG2" i="252"/>
  <c r="F3" i="263"/>
  <c r="F4" i="252"/>
  <c r="F4" i="253"/>
  <c r="AB2" i="256"/>
  <c r="I14" i="255"/>
  <c r="J54" i="223"/>
  <c r="F12" i="259"/>
  <c r="N188" i="223"/>
  <c r="AA2" i="256"/>
  <c r="AL2" i="260"/>
  <c r="L28" i="253"/>
  <c r="AO28" i="252"/>
  <c r="AD2" i="256"/>
  <c r="AE2" i="257"/>
  <c r="T2" i="259"/>
  <c r="F7" i="254"/>
  <c r="BG2" i="253"/>
  <c r="AF2" i="262"/>
  <c r="AR28" i="1"/>
  <c r="AX2" i="258"/>
  <c r="N187" i="223"/>
  <c r="U2" i="252"/>
  <c r="BL2" i="258"/>
  <c r="I12"/>
  <c r="I12" i="255"/>
  <c r="F20" i="259"/>
  <c r="V2" i="252"/>
  <c r="I5" i="256"/>
  <c r="I15" i="261"/>
  <c r="AA2" i="257"/>
  <c r="M28" i="1"/>
  <c r="F5" i="260"/>
  <c r="BF28" i="254"/>
  <c r="I21" i="258"/>
  <c r="H54" i="223"/>
  <c r="AZ2" i="261"/>
  <c r="BL2" i="253"/>
  <c r="BT3" i="18"/>
  <c r="AY2" i="259"/>
  <c r="F5" i="254"/>
  <c r="AF2" i="252"/>
  <c r="F10" i="263"/>
  <c r="F8" i="259"/>
  <c r="BH2" i="254"/>
  <c r="B187" i="237"/>
  <c r="I11" i="258"/>
  <c r="X2" i="260"/>
  <c r="AS28" i="252"/>
  <c r="I22" i="256"/>
  <c r="BJ2" i="260"/>
  <c r="BI2" i="255"/>
  <c r="H2" i="260"/>
  <c r="AH2" i="253"/>
  <c r="C29"/>
  <c r="F11" i="263"/>
  <c r="U2" i="261"/>
  <c r="I4" i="263"/>
  <c r="I22" i="254"/>
  <c r="BE2"/>
  <c r="I15" i="252"/>
  <c r="O2" i="256"/>
  <c r="K41" i="252"/>
  <c r="BM21" i="15"/>
  <c r="O28" i="254"/>
  <c r="BV10" i="18"/>
  <c r="I14" i="260"/>
  <c r="AB2" i="261"/>
  <c r="I9" i="253"/>
  <c r="M189" i="223"/>
  <c r="BD2" i="258"/>
  <c r="C80" i="237"/>
  <c r="J189"/>
  <c r="AP2" i="260"/>
  <c r="F20" i="263"/>
  <c r="BG2" i="260"/>
  <c r="G188" i="237"/>
  <c r="BU12" i="18"/>
  <c r="BI2" i="262"/>
  <c r="BT20" i="18"/>
  <c r="Q2" i="255"/>
  <c r="I13" i="254"/>
  <c r="F24" i="255"/>
  <c r="F10" i="259"/>
  <c r="F5" i="253"/>
  <c r="AP2" i="263"/>
  <c r="BJ28" i="254"/>
  <c r="BC2" i="263"/>
  <c r="L54" i="223"/>
  <c r="F11" i="262"/>
  <c r="AZ2"/>
  <c r="X2" i="254"/>
  <c r="AL2" i="255"/>
  <c r="I11" i="260"/>
  <c r="F21" i="262"/>
  <c r="F18"/>
  <c r="AN28" i="254"/>
  <c r="W28" i="1"/>
  <c r="AV2" i="254"/>
  <c r="M80" i="223"/>
  <c r="F24" i="260"/>
  <c r="F24" i="253"/>
  <c r="BE2" i="263"/>
  <c r="F12" i="254"/>
  <c r="I16" i="260"/>
  <c r="F7" i="256"/>
  <c r="F4" i="254"/>
  <c r="J2" i="258"/>
  <c r="I17" i="253"/>
  <c r="BS8" i="18"/>
  <c r="I11" i="263"/>
  <c r="BM29" i="15"/>
  <c r="AC2" i="261"/>
  <c r="AD2" i="255"/>
  <c r="AE2" i="256"/>
  <c r="Q28" i="254"/>
  <c r="BS7" i="18"/>
  <c r="C29" i="252"/>
  <c r="I80" i="223"/>
  <c r="F24" i="261"/>
  <c r="BM28" i="253"/>
  <c r="BA28" i="1"/>
  <c r="AU2" i="261"/>
  <c r="T28" i="1"/>
  <c r="AF2" i="255"/>
  <c r="L187" i="237"/>
  <c r="AQ28" i="252"/>
  <c r="AB2" i="259"/>
  <c r="Y2" i="262"/>
  <c r="V2" i="255"/>
  <c r="BH2" i="252"/>
  <c r="E80" i="223"/>
  <c r="BA2" i="256"/>
  <c r="K41" i="254"/>
  <c r="I14" i="262"/>
  <c r="S28" i="1"/>
  <c r="M2" i="260"/>
  <c r="AV2" i="255"/>
  <c r="F19" i="254"/>
  <c r="AI2" i="263"/>
  <c r="AW2" i="260"/>
  <c r="Z2" i="257"/>
  <c r="AC2" i="256"/>
  <c r="S28" i="253"/>
  <c r="G2" i="262"/>
  <c r="AQ28" i="253"/>
  <c r="F20" i="255"/>
  <c r="F13" i="263"/>
  <c r="AS2" i="255"/>
  <c r="AL2" i="253"/>
  <c r="AC2" i="254"/>
  <c r="F20" i="258"/>
  <c r="F7" i="262"/>
  <c r="I16" i="252"/>
  <c r="BU4" i="18"/>
  <c r="X28" i="1"/>
  <c r="AJ2" i="253"/>
  <c r="L28" i="254"/>
  <c r="S28"/>
  <c r="AY28" i="252"/>
  <c r="K2" i="257"/>
  <c r="F15" i="263"/>
  <c r="T2" i="258"/>
  <c r="F15" i="259"/>
  <c r="BD2" i="260"/>
  <c r="V28" i="1"/>
  <c r="M79" i="223"/>
  <c r="T2" i="254"/>
  <c r="AQ28" i="1"/>
  <c r="F18" i="255"/>
  <c r="AR2" i="257"/>
  <c r="D54" i="223"/>
  <c r="BB2" i="262"/>
  <c r="V2" i="263"/>
  <c r="E188" i="237"/>
  <c r="AM2" i="254"/>
  <c r="AX2" i="256"/>
  <c r="F8" i="262"/>
  <c r="R2" i="256"/>
  <c r="BE2" i="253"/>
  <c r="AK28" i="254"/>
  <c r="I12" i="259"/>
  <c r="F21" i="254"/>
  <c r="BT13" i="18"/>
  <c r="BL2" i="261"/>
  <c r="AM2" i="260"/>
  <c r="X2" i="259"/>
  <c r="J2" i="260"/>
  <c r="C29" i="254"/>
  <c r="I22" i="261"/>
  <c r="AF28" i="1"/>
  <c r="AK2" i="252"/>
  <c r="BD2" i="261"/>
  <c r="AX2" i="263"/>
  <c r="F18" i="257"/>
  <c r="J187" i="223"/>
  <c r="AH28" i="253"/>
  <c r="I20" i="262"/>
  <c r="AU2" i="256"/>
  <c r="F18" i="263"/>
  <c r="AN28" i="252"/>
  <c r="BL2" i="259"/>
  <c r="S2" i="252"/>
  <c r="F6" i="257"/>
  <c r="G2" i="263"/>
  <c r="BT17" i="18"/>
  <c r="I18" i="258"/>
  <c r="V2" i="262"/>
  <c r="BE2" i="252"/>
  <c r="F22" i="256"/>
  <c r="BJ2" i="252"/>
  <c r="I15" i="256"/>
  <c r="AU2" i="257"/>
  <c r="I17" i="255"/>
  <c r="H2" i="261"/>
  <c r="AH2" i="255"/>
  <c r="S28" i="252"/>
  <c r="H63" i="237"/>
  <c r="Q2" i="263"/>
  <c r="BV3" i="18"/>
  <c r="AQ2" i="256"/>
  <c r="N2" i="258"/>
  <c r="X2"/>
  <c r="AU2" i="255"/>
  <c r="AM2" i="263"/>
  <c r="F17"/>
  <c r="BA2" i="252"/>
  <c r="AE2"/>
  <c r="AE28" i="253"/>
  <c r="I13" i="259"/>
  <c r="I11"/>
  <c r="Q2" i="260"/>
  <c r="AS2" i="259"/>
  <c r="BE2" i="255"/>
  <c r="Z2" i="259"/>
  <c r="R5" i="14"/>
  <c r="J63" i="237"/>
  <c r="BC2" i="256"/>
  <c r="BS14" i="18"/>
  <c r="AP2" i="255"/>
  <c r="F79" i="237"/>
  <c r="AW28" i="254"/>
  <c r="G79" i="237"/>
  <c r="AY28" i="254"/>
  <c r="BF2" i="262"/>
  <c r="Y28" i="254"/>
  <c r="AL2" i="252"/>
  <c r="AV2" i="261"/>
  <c r="C188" i="237"/>
  <c r="AC2" i="255"/>
  <c r="BD28" i="254"/>
  <c r="F13" i="262"/>
  <c r="AH2" i="254"/>
  <c r="BK2" i="261"/>
  <c r="AT2" i="258"/>
  <c r="AF2" i="259"/>
  <c r="AG2" i="257"/>
  <c r="F4" i="256"/>
  <c r="AE2" i="255"/>
  <c r="AZ28" i="254"/>
  <c r="AK28" i="1"/>
  <c r="BM2" i="254"/>
  <c r="M2" i="262"/>
  <c r="AT2" i="260"/>
  <c r="F20" i="257"/>
  <c r="Z28" i="254"/>
  <c r="BG28" i="253"/>
  <c r="F23"/>
  <c r="AX2" i="259"/>
  <c r="BA2" i="263"/>
  <c r="F7" i="252"/>
  <c r="F13" i="258"/>
  <c r="L2" i="256"/>
  <c r="I4" i="255"/>
  <c r="AA2" i="262"/>
  <c r="G2" i="257"/>
  <c r="V2" i="259"/>
  <c r="BS12" i="18"/>
  <c r="F12" i="261"/>
  <c r="I10" i="254"/>
  <c r="F12" i="262"/>
  <c r="I3" i="261"/>
  <c r="AQ2" i="255"/>
  <c r="BB28" i="254"/>
  <c r="BF2" i="253"/>
  <c r="AB28" i="252"/>
  <c r="BE28" i="1"/>
  <c r="F4" i="258"/>
  <c r="AR28" i="252"/>
  <c r="M189" i="237"/>
  <c r="L2" i="262"/>
  <c r="AK2" i="260"/>
  <c r="C30" i="262"/>
  <c r="E189" i="223"/>
  <c r="H2" i="259"/>
  <c r="BD28" i="1"/>
  <c r="Y2" i="261"/>
  <c r="K188" i="223"/>
  <c r="F7" i="253"/>
  <c r="AI2" i="255"/>
  <c r="F189" i="223"/>
  <c r="N80" i="237"/>
  <c r="I3" i="262"/>
  <c r="W28" i="254"/>
  <c r="AC28" i="1"/>
  <c r="AT28" i="254"/>
  <c r="H2" i="252"/>
  <c r="AO2" i="256"/>
  <c r="AS28" i="253"/>
  <c r="F21" i="257"/>
  <c r="AI2" i="253"/>
  <c r="Y2" i="263"/>
  <c r="L63" i="237"/>
  <c r="AK2" i="255"/>
  <c r="I5" i="253"/>
  <c r="BA2" i="261"/>
  <c r="BM2" i="252"/>
  <c r="N5" i="14"/>
  <c r="BL2" i="260"/>
  <c r="I54" i="223"/>
  <c r="I13" i="252"/>
  <c r="BL2" i="257"/>
  <c r="BB28" i="252"/>
  <c r="K28" i="253"/>
  <c r="BG2" i="261"/>
  <c r="E79" i="223"/>
  <c r="F10" i="260"/>
  <c r="I11" i="256"/>
  <c r="C79" i="223"/>
  <c r="AI2" i="262"/>
  <c r="BH2" i="261"/>
  <c r="K2" i="260"/>
  <c r="I188" i="237"/>
  <c r="F20" i="261"/>
  <c r="P4" i="14"/>
  <c r="U2" i="259"/>
  <c r="I12" i="254"/>
  <c r="I13" i="261"/>
  <c r="F189" i="237"/>
  <c r="N80" i="223"/>
  <c r="L2" i="253"/>
  <c r="J79" i="237"/>
  <c r="AF2" i="253"/>
  <c r="BG2" i="262"/>
  <c r="AF2" i="261"/>
  <c r="I8"/>
  <c r="I9" i="263"/>
  <c r="H2" i="256"/>
  <c r="F5" i="263"/>
  <c r="BC2" i="255"/>
  <c r="AE28" i="252"/>
  <c r="F19" i="257"/>
  <c r="AI2" i="256"/>
  <c r="B189" i="237"/>
  <c r="BF2" i="260"/>
  <c r="F11" i="252"/>
  <c r="B187" i="223"/>
  <c r="P2" i="257"/>
  <c r="F23" i="255"/>
  <c r="BM30" i="15"/>
  <c r="F3" i="258"/>
  <c r="I3"/>
  <c r="M28" i="252"/>
  <c r="R28" i="253"/>
  <c r="F7" i="257"/>
  <c r="AJ2" i="263"/>
  <c r="AI2" i="252"/>
  <c r="N2" i="261"/>
  <c r="Y2" i="256"/>
  <c r="I16" i="259"/>
  <c r="AK2" i="261"/>
  <c r="BF28" i="253"/>
  <c r="AS2"/>
  <c r="BF2" i="259"/>
  <c r="F8" i="263"/>
  <c r="BU7" i="18"/>
  <c r="F19" i="253"/>
  <c r="I21"/>
  <c r="I6" i="261"/>
  <c r="AD2" i="263"/>
  <c r="F7" i="261"/>
  <c r="I2" i="259"/>
  <c r="F22" i="262"/>
  <c r="O2"/>
  <c r="I13" i="258"/>
  <c r="BC28" i="254"/>
  <c r="BD2" i="257"/>
  <c r="P2" i="262"/>
  <c r="AI2" i="258"/>
  <c r="AV28" i="254"/>
  <c r="AP2" i="259"/>
  <c r="I21" i="263"/>
  <c r="BT21" i="18"/>
  <c r="E188" i="223"/>
  <c r="AP2" i="252"/>
  <c r="U28" i="1"/>
  <c r="N2" i="254"/>
  <c r="AT28" i="253"/>
  <c r="AH2" i="260"/>
  <c r="V2" i="258"/>
  <c r="AV2" i="259"/>
  <c r="M2" i="252"/>
  <c r="W2" i="253"/>
  <c r="AT2" i="255"/>
  <c r="N2" i="257"/>
  <c r="AN2" i="254"/>
  <c r="AD28" i="253"/>
  <c r="F23" i="262"/>
  <c r="AM2" i="255"/>
  <c r="AJ2" i="262"/>
  <c r="F16" i="257"/>
  <c r="BI2" i="254"/>
  <c r="L2" i="252"/>
  <c r="I18" i="263"/>
  <c r="F21"/>
  <c r="BJ2" i="256"/>
  <c r="Q28" i="252"/>
  <c r="I14"/>
  <c r="BM28" i="15"/>
  <c r="AA2" i="255"/>
  <c r="R2" i="252"/>
  <c r="BC2" i="257"/>
  <c r="K54" i="223"/>
  <c r="BB28" i="1"/>
  <c r="R2" i="254"/>
  <c r="BD2" i="262"/>
  <c r="F19" i="261"/>
  <c r="F19" i="256"/>
  <c r="I22" i="259"/>
  <c r="AP2" i="258"/>
  <c r="BT15" i="18"/>
  <c r="AD2" i="252"/>
  <c r="V28"/>
  <c r="AN2"/>
  <c r="AO2" i="258"/>
  <c r="BI28" i="252"/>
  <c r="I7" i="263"/>
  <c r="I9" i="252"/>
  <c r="BG28" i="1"/>
  <c r="F9" i="255"/>
  <c r="J2" i="252"/>
  <c r="I21"/>
  <c r="BA2" i="254"/>
  <c r="BH2" i="255"/>
  <c r="F11" i="261"/>
  <c r="C30" i="259"/>
  <c r="Z28" i="1"/>
  <c r="I6" i="259"/>
  <c r="K41" i="262"/>
  <c r="BV8" i="18"/>
  <c r="X2" i="256"/>
  <c r="AY2" i="263"/>
  <c r="AA28" i="1"/>
  <c r="AE2" i="254"/>
  <c r="AC2" i="253"/>
  <c r="I4" i="261"/>
  <c r="F23" i="259"/>
  <c r="AA2" i="261"/>
  <c r="F188" i="237"/>
  <c r="BM28" i="254"/>
  <c r="I4"/>
  <c r="O2" i="257"/>
  <c r="AE2" i="263"/>
  <c r="I12"/>
  <c r="L80" i="237"/>
  <c r="BJ28" i="253"/>
  <c r="AU28" i="1"/>
  <c r="G189" i="223"/>
  <c r="C29" i="1"/>
  <c r="F22" i="255"/>
  <c r="I19" i="256"/>
  <c r="AL28" i="254"/>
  <c r="BT19" i="18"/>
  <c r="I8" i="254"/>
  <c r="I11" i="257"/>
  <c r="BA2" i="260"/>
  <c r="AS2" i="252"/>
  <c r="I6" i="260"/>
  <c r="I6" i="258"/>
  <c r="AY2" i="257"/>
  <c r="M188" i="237"/>
  <c r="BG2" i="257"/>
  <c r="AO2" i="259"/>
  <c r="I18" i="262"/>
  <c r="I20" i="255"/>
  <c r="AX28" i="1"/>
  <c r="AI28"/>
  <c r="BK2" i="255"/>
  <c r="P2" i="261"/>
  <c r="AZ2" i="256"/>
  <c r="F9" i="262"/>
  <c r="I14" i="258"/>
  <c r="F17" i="253"/>
  <c r="C187" i="223"/>
  <c r="AD2" i="257"/>
  <c r="AL2" i="262"/>
  <c r="F19" i="255"/>
  <c r="BS4" i="18"/>
  <c r="I8" i="262"/>
  <c r="AT2" i="254"/>
  <c r="BV12" i="18"/>
  <c r="F16" i="262"/>
  <c r="I7" i="259"/>
  <c r="AX2" i="261"/>
  <c r="AZ28" i="253"/>
  <c r="F188" i="223"/>
  <c r="F14" i="258"/>
  <c r="AU28" i="254"/>
  <c r="AQ2" i="252"/>
  <c r="V2" i="260"/>
  <c r="I5" i="255"/>
  <c r="Z2" i="263"/>
  <c r="AJ2" i="252"/>
  <c r="I13" i="255"/>
  <c r="AH2" i="262"/>
  <c r="AO28" i="253"/>
  <c r="I21" i="254"/>
  <c r="BA2" i="262"/>
  <c r="I16"/>
  <c r="BE2" i="259"/>
  <c r="AV2" i="253"/>
  <c r="I13" i="262"/>
  <c r="F11" i="257"/>
  <c r="BK2"/>
  <c r="BM2" i="263"/>
  <c r="BU8" i="18"/>
  <c r="L2" i="263"/>
  <c r="Q5" i="14"/>
  <c r="AX28" i="254"/>
  <c r="I80" i="237"/>
  <c r="I63"/>
  <c r="AM2" i="261"/>
  <c r="I7" i="262"/>
  <c r="BC28" i="252"/>
  <c r="F4" i="255"/>
  <c r="I20" i="258"/>
  <c r="AL2" i="261"/>
  <c r="AD28" i="1"/>
  <c r="I79" i="237"/>
  <c r="F23" i="256"/>
  <c r="G63" i="237"/>
  <c r="I17" i="262"/>
  <c r="Z2" i="258"/>
  <c r="AP2" i="256"/>
  <c r="J2" i="263"/>
  <c r="Y2" i="258"/>
  <c r="AE28" i="1"/>
  <c r="AF2" i="257"/>
  <c r="AM2" i="253"/>
  <c r="I16"/>
  <c r="G2" i="256"/>
  <c r="BS11" i="18"/>
  <c r="I19" i="263"/>
  <c r="BT14" i="18"/>
  <c r="I15" i="258"/>
  <c r="AZ2"/>
  <c r="BK2" i="253"/>
  <c r="AB28"/>
  <c r="AK2" i="256"/>
  <c r="AJ2" i="261"/>
  <c r="I13" i="253"/>
  <c r="M7" i="14"/>
  <c r="R2" i="257"/>
  <c r="F5" i="261"/>
  <c r="I20" i="252"/>
  <c r="AR2" i="260"/>
  <c r="BJ2" i="253"/>
  <c r="I20" i="260"/>
  <c r="Y2" i="255"/>
  <c r="BV15" i="18"/>
  <c r="K189" i="223"/>
  <c r="BH28" i="252"/>
  <c r="I4" i="258"/>
  <c r="BV14" i="18"/>
  <c r="AC28" i="252"/>
  <c r="BS15" i="18"/>
  <c r="F17" i="254"/>
  <c r="N28" i="253"/>
  <c r="F21"/>
  <c r="F24" i="263"/>
  <c r="F3" i="261"/>
  <c r="F21" i="258"/>
  <c r="P28" i="252"/>
  <c r="AI28" i="254"/>
  <c r="U2" i="263"/>
  <c r="AA28" i="252"/>
  <c r="AA2" i="259"/>
  <c r="AK28" i="253"/>
  <c r="BL2" i="263"/>
  <c r="AS2" i="257"/>
  <c r="AM28" i="252"/>
  <c r="BS2" i="18"/>
  <c r="I2" i="262"/>
  <c r="J188" i="223"/>
  <c r="I15" i="260"/>
  <c r="AT2" i="256"/>
  <c r="F20" i="253"/>
  <c r="G79" i="223"/>
  <c r="AR2" i="256"/>
  <c r="AR2" i="255"/>
  <c r="B80" i="223"/>
  <c r="M2" i="253"/>
  <c r="K41" i="263"/>
  <c r="I6" i="257"/>
  <c r="U2" i="260"/>
  <c r="F5" i="258"/>
  <c r="F15" i="261"/>
  <c r="I19" i="262"/>
  <c r="AW28" i="253"/>
  <c r="I2" i="261"/>
  <c r="I22" i="257"/>
  <c r="BH2" i="258"/>
  <c r="M80" i="237"/>
  <c r="AV2" i="252"/>
  <c r="AX2" i="255"/>
  <c r="BJ2" i="261"/>
  <c r="AP28" i="1"/>
  <c r="I6" i="253"/>
  <c r="AD2" i="261"/>
  <c r="BF2" i="263"/>
  <c r="I16" i="254"/>
  <c r="AN2" i="259"/>
  <c r="F12" i="260"/>
  <c r="AN28" i="253"/>
  <c r="E80" i="237"/>
  <c r="F24" i="254"/>
  <c r="I16" i="257"/>
  <c r="P2" i="259"/>
  <c r="BF28" i="252"/>
  <c r="AS2" i="256"/>
  <c r="I7" i="260"/>
  <c r="BM26" i="15"/>
  <c r="Q28" i="253"/>
  <c r="M79" i="237"/>
  <c r="F4" i="262"/>
  <c r="BJ28" i="252"/>
  <c r="O7" i="14"/>
  <c r="I8" i="260"/>
  <c r="I10" i="255"/>
  <c r="M28" i="254"/>
  <c r="AC2" i="263"/>
  <c r="AB28" i="1"/>
  <c r="C30" i="260"/>
  <c r="BB2" i="252"/>
  <c r="BS6" i="18"/>
  <c r="Y2" i="253"/>
  <c r="F6" i="259"/>
  <c r="F19" i="258"/>
  <c r="N28" i="252"/>
  <c r="I10"/>
  <c r="BI2" i="253"/>
  <c r="F20" i="252"/>
  <c r="I5"/>
  <c r="K41" i="253"/>
  <c r="BB2"/>
  <c r="N2" i="259"/>
  <c r="I15" i="255"/>
  <c r="F13" i="260"/>
  <c r="AX2" i="253"/>
  <c r="F8" i="255"/>
  <c r="H188" i="237"/>
  <c r="AG2" i="261"/>
  <c r="BM2" i="256"/>
  <c r="BM2" i="1"/>
  <c r="I19" i="257"/>
  <c r="BK2" i="263"/>
  <c r="F18" i="258"/>
  <c r="S2" i="263"/>
  <c r="L2" i="255"/>
  <c r="F4" i="260"/>
  <c r="BA2" i="255"/>
  <c r="I12" i="256"/>
  <c r="K2" i="255"/>
  <c r="P28" i="254"/>
  <c r="F17" i="255"/>
  <c r="BS19" i="18"/>
  <c r="BF28" i="1"/>
  <c r="AD28" i="252"/>
  <c r="F16" i="253"/>
  <c r="AT2" i="261"/>
  <c r="BC2" i="258"/>
  <c r="I2"/>
  <c r="T2" i="256"/>
  <c r="F5" i="262"/>
  <c r="C187" i="237"/>
  <c r="G54" i="223"/>
  <c r="F13" i="254"/>
  <c r="AB2" i="258"/>
  <c r="AW28" i="252"/>
  <c r="AR2" i="254"/>
  <c r="AW2"/>
  <c r="BM34" i="18"/>
  <c r="BC28" i="1"/>
  <c r="AG2" i="252"/>
  <c r="T28"/>
  <c r="BI2" i="263"/>
  <c r="K4" i="14"/>
  <c r="F19" i="263"/>
  <c r="F18" i="254"/>
  <c r="W2" i="259"/>
  <c r="H188" i="223"/>
  <c r="P2" i="254"/>
  <c r="BD28" i="252"/>
  <c r="K2" i="262"/>
  <c r="I17" i="252"/>
  <c r="BH28" i="254"/>
  <c r="AD2"/>
  <c r="M2" i="257"/>
  <c r="F187" i="223"/>
  <c r="F10" i="257"/>
  <c r="G189" i="237"/>
  <c r="G2" i="254"/>
  <c r="AQ2" i="253"/>
  <c r="BS16" i="18"/>
  <c r="D187" i="237"/>
  <c r="AR2" i="252"/>
  <c r="AK2" i="254"/>
  <c r="M5" i="14"/>
  <c r="AQ2" i="263"/>
  <c r="C79" i="237"/>
  <c r="F22" i="261"/>
  <c r="BE2" i="256"/>
  <c r="BI2" i="258"/>
  <c r="W2" i="261"/>
  <c r="F10" i="255"/>
  <c r="F15" i="256"/>
  <c r="F10" i="262"/>
  <c r="G80" i="223"/>
  <c r="F24" i="252"/>
  <c r="AK28"/>
  <c r="D63" i="237"/>
  <c r="AV28" i="1"/>
  <c r="AQ2" i="261"/>
  <c r="O2"/>
  <c r="F8" i="258"/>
  <c r="AM28" i="253"/>
  <c r="I7"/>
  <c r="AJ28" i="252"/>
  <c r="AX2" i="262"/>
  <c r="AG2" i="260"/>
  <c r="BC2" i="253"/>
  <c r="K2"/>
  <c r="AR2" i="258"/>
  <c r="W2" i="263"/>
  <c r="BM27" i="15"/>
  <c r="M2" i="256"/>
  <c r="I10" i="253"/>
  <c r="AG28" i="252"/>
  <c r="P5" i="14"/>
  <c r="J80" i="237"/>
  <c r="I9" i="260"/>
  <c r="BS5" i="18"/>
  <c r="AO2" i="261"/>
  <c r="F3" i="262"/>
  <c r="I5" i="254"/>
  <c r="I17" i="258"/>
  <c r="B189" i="223"/>
  <c r="BM24" i="15"/>
  <c r="AV2" i="258"/>
  <c r="AK2" i="259"/>
  <c r="E187" i="223"/>
  <c r="AJ28" i="254"/>
  <c r="BL28" i="253"/>
  <c r="BI2" i="257"/>
  <c r="BH28" i="1"/>
  <c r="Y2" i="257"/>
  <c r="BT22" i="18"/>
  <c r="AK2" i="262"/>
  <c r="F80" i="223"/>
  <c r="J2" i="253"/>
  <c r="AS28" i="254"/>
  <c r="AA2" i="252"/>
  <c r="K80" i="237"/>
  <c r="F19" i="262"/>
  <c r="I2" i="255"/>
  <c r="AG2" i="256"/>
  <c r="D187" i="223"/>
  <c r="AB2" i="252"/>
  <c r="I18" i="261"/>
  <c r="F16"/>
  <c r="AW28" i="1"/>
  <c r="M2" i="258"/>
  <c r="L79" i="223"/>
  <c r="BV13" i="18"/>
  <c r="E63" i="237"/>
  <c r="F17" i="258"/>
  <c r="F14" i="254"/>
  <c r="F13" i="259"/>
  <c r="F16" i="256"/>
  <c r="I22" i="260"/>
  <c r="M188" i="223"/>
  <c r="F9" i="252"/>
  <c r="AZ2" i="254"/>
  <c r="I9" i="255"/>
  <c r="I18" i="256"/>
  <c r="O2" i="252"/>
  <c r="AB2" i="257"/>
  <c r="BA2" i="259"/>
  <c r="F8" i="260"/>
  <c r="R2" i="259"/>
  <c r="I19"/>
  <c r="T28" i="253"/>
  <c r="I10" i="256"/>
  <c r="AU2" i="258"/>
  <c r="AP28" i="252"/>
  <c r="BK2" i="256"/>
  <c r="BV21" i="18"/>
  <c r="I17" i="261"/>
  <c r="AE2" i="253"/>
  <c r="I6" i="256"/>
  <c r="J188" i="237"/>
  <c r="N79" i="223"/>
  <c r="F14" i="260"/>
  <c r="I21" i="262"/>
  <c r="AW2" i="253"/>
  <c r="AG2" i="262"/>
  <c r="H2" i="253"/>
  <c r="N28" i="1"/>
  <c r="BT16" i="18"/>
  <c r="AN2" i="262"/>
  <c r="I4" i="257"/>
  <c r="BL28" i="1"/>
  <c r="BV7" i="18"/>
  <c r="I15" i="262"/>
  <c r="I20" i="263"/>
  <c r="BF2" i="254"/>
  <c r="AW2" i="252"/>
  <c r="F3" i="256"/>
  <c r="AG28" i="1"/>
  <c r="I188" i="223"/>
  <c r="W2" i="257"/>
  <c r="AU28" i="252"/>
  <c r="J2" i="262"/>
  <c r="BD2" i="252"/>
  <c r="AK2" i="263"/>
  <c r="F21" i="252"/>
  <c r="BI2" i="259"/>
  <c r="AM28" i="1"/>
  <c r="K187" i="237"/>
  <c r="AE2" i="261"/>
  <c r="I18" i="255"/>
  <c r="K2" i="263"/>
  <c r="AU2" i="253"/>
  <c r="X28" i="252"/>
  <c r="I6" i="254"/>
  <c r="T2" i="260"/>
  <c r="AC28" i="253"/>
  <c r="BM25" i="15"/>
  <c r="F14" i="259"/>
  <c r="BM2" i="262"/>
  <c r="AG2" i="258"/>
  <c r="C30"/>
  <c r="I2" i="252"/>
  <c r="AT28"/>
  <c r="I22"/>
  <c r="C30" i="261"/>
  <c r="I15" i="254"/>
  <c r="U2" i="256"/>
  <c r="C30"/>
  <c r="AS28" i="1"/>
  <c r="I7" i="261"/>
  <c r="L2" i="260"/>
  <c r="AJ2" i="254"/>
  <c r="BM19" i="15"/>
  <c r="C188" i="223"/>
  <c r="I11" i="253"/>
  <c r="I16" i="256"/>
  <c r="N2" i="255"/>
  <c r="R2" i="260"/>
  <c r="BU18" i="18"/>
  <c r="AY2" i="253"/>
  <c r="X28" i="254"/>
  <c r="K28" i="1"/>
  <c r="F23" i="257"/>
  <c r="N79" i="237"/>
  <c r="O4" i="14"/>
  <c r="BF2" i="252"/>
  <c r="F16" i="255"/>
  <c r="BB2" i="256"/>
  <c r="BV4" i="18"/>
  <c r="N63" i="237"/>
  <c r="AI2" i="260"/>
  <c r="T2" i="252"/>
  <c r="BM2" i="261"/>
  <c r="I10"/>
  <c r="AJ28" i="253"/>
  <c r="N187" i="237"/>
  <c r="C30" i="252"/>
  <c r="AH2" i="257"/>
  <c r="I8" i="255"/>
  <c r="F11"/>
  <c r="I13" i="256"/>
  <c r="N2" i="260"/>
  <c r="I20" i="254"/>
  <c r="C189" i="223"/>
  <c r="BL2" i="256"/>
  <c r="F6" i="255"/>
  <c r="F187" i="237"/>
  <c r="F10" i="258"/>
  <c r="I19" i="253"/>
  <c r="K187" i="223"/>
  <c r="BL28" i="254"/>
  <c r="H187" i="237"/>
  <c r="AO2" i="260"/>
  <c r="U2" i="258"/>
  <c r="U28" i="252"/>
  <c r="AS2" i="263"/>
  <c r="U28" i="254"/>
  <c r="P2" i="256"/>
  <c r="Q2" i="259"/>
  <c r="AA28" i="254"/>
  <c r="AL2" i="258"/>
  <c r="F9" i="260"/>
  <c r="AO2" i="253"/>
  <c r="F12" i="258"/>
  <c r="BJ2" i="259"/>
  <c r="I10" i="257"/>
  <c r="BE28" i="252"/>
  <c r="R28" i="254"/>
  <c r="N2" i="262"/>
  <c r="BB2" i="258"/>
  <c r="K28" i="252"/>
  <c r="AV28"/>
  <c r="F5" i="255"/>
  <c r="BT12" i="18"/>
  <c r="M4" i="14"/>
  <c r="F24" i="256"/>
  <c r="AR28" i="254"/>
  <c r="I13" i="260"/>
  <c r="I20" i="259"/>
  <c r="Y28" i="253"/>
  <c r="AV2" i="260"/>
  <c r="I12" i="257"/>
  <c r="AX2"/>
  <c r="Q2" i="253"/>
  <c r="P2" i="252"/>
  <c r="F22" i="259"/>
  <c r="U28" i="253"/>
  <c r="F6" i="254"/>
  <c r="I3" i="259"/>
  <c r="AJ28" i="1"/>
  <c r="F17" i="260"/>
  <c r="AW2" i="259"/>
  <c r="AU2"/>
  <c r="AX28" i="252"/>
  <c r="BF2" i="258"/>
  <c r="F20" i="260"/>
  <c r="F7" i="263"/>
  <c r="BV20" i="18"/>
  <c r="I14" i="253"/>
  <c r="AH2" i="258"/>
  <c r="X28" i="253"/>
  <c r="N2"/>
  <c r="I16" i="261"/>
  <c r="AT2" i="257"/>
  <c r="AS2" i="260"/>
  <c r="K41"/>
  <c r="I21" i="256"/>
  <c r="S2" i="253"/>
  <c r="AF28" i="254"/>
  <c r="AY2" i="252"/>
  <c r="AB2" i="260"/>
  <c r="F9" i="258"/>
  <c r="H2" i="255"/>
  <c r="F23" i="254"/>
  <c r="F17" i="256"/>
  <c r="Z2" i="260"/>
  <c r="BG2" i="263"/>
  <c r="P2" i="260"/>
  <c r="BA28" i="254"/>
  <c r="BJ2"/>
  <c r="W2" i="252"/>
  <c r="AS2" i="262"/>
  <c r="I12" i="252"/>
  <c r="I2" i="260"/>
  <c r="F14" i="255"/>
  <c r="G188" i="223"/>
  <c r="AB28" i="254"/>
  <c r="I189" i="223"/>
  <c r="F23" i="263"/>
  <c r="BB2" i="261"/>
  <c r="AS2"/>
  <c r="BD28" i="253"/>
  <c r="N2" i="252"/>
  <c r="I9" i="259"/>
  <c r="F16" i="252"/>
  <c r="F23" i="260"/>
  <c r="BL2" i="252"/>
  <c r="I14" i="259"/>
  <c r="Z2" i="256"/>
  <c r="F15" i="252"/>
  <c r="BL2" i="262"/>
  <c r="AD2" i="253"/>
  <c r="P7" i="14"/>
  <c r="F8" i="254"/>
  <c r="F10" i="253"/>
  <c r="BV16" i="18"/>
  <c r="BF2" i="256"/>
  <c r="BC2" i="254"/>
  <c r="BH2" i="260"/>
  <c r="F14" i="263"/>
  <c r="F17" i="257"/>
  <c r="J2" i="254"/>
  <c r="AN2" i="253"/>
  <c r="AW2" i="258"/>
  <c r="BA28" i="253"/>
  <c r="BJ28" i="1"/>
  <c r="N28" i="254"/>
  <c r="BK2" i="260"/>
  <c r="F10" i="252"/>
  <c r="I17" i="254"/>
  <c r="Q4" i="14"/>
  <c r="BD2" i="259"/>
  <c r="AC2" i="262"/>
  <c r="I15" i="253"/>
  <c r="F13" i="256"/>
  <c r="H2" i="263"/>
  <c r="BK28" i="252"/>
  <c r="BM31" i="15"/>
  <c r="AM2" i="262"/>
  <c r="BM2" i="253"/>
  <c r="AV2" i="263"/>
  <c r="C54" i="223"/>
  <c r="R28" i="1"/>
  <c r="BJ2" i="258"/>
  <c r="I6" i="263"/>
  <c r="R2" i="258"/>
  <c r="I19" i="255"/>
  <c r="I5" i="257"/>
  <c r="AP2" i="253"/>
  <c r="F16" i="260"/>
  <c r="F17" i="262"/>
  <c r="F16" i="258"/>
  <c r="I3" i="252"/>
  <c r="I18" i="254"/>
  <c r="F10" i="256"/>
  <c r="F3" i="252"/>
  <c r="AZ2" i="253"/>
  <c r="I7" i="252"/>
  <c r="X2"/>
  <c r="P28" i="253"/>
  <c r="Z2"/>
  <c r="BM28" i="1"/>
  <c r="I20" i="256"/>
  <c r="BE2" i="261"/>
  <c r="AI2" i="257"/>
  <c r="I22" i="258"/>
  <c r="I10"/>
  <c r="BV6" i="18"/>
  <c r="F7" i="258"/>
  <c r="K28" i="254"/>
  <c r="F19" i="259"/>
  <c r="I9" i="262"/>
  <c r="F13" i="252"/>
  <c r="K7" i="14"/>
  <c r="BB2" i="254"/>
  <c r="D80" i="223"/>
  <c r="BU20" i="18"/>
  <c r="F16" i="259"/>
  <c r="R28" i="252"/>
  <c r="BK28" i="253"/>
  <c r="AN2" i="257"/>
  <c r="BB28" i="253"/>
  <c r="F6" i="256"/>
  <c r="F18" i="253"/>
  <c r="I187" i="237"/>
  <c r="R4" i="14"/>
  <c r="F8" i="253"/>
  <c r="I2" i="254"/>
  <c r="N189" i="237"/>
  <c r="T2" i="262"/>
  <c r="BK2" i="259"/>
  <c r="I11" i="262"/>
  <c r="AQ28" i="254"/>
  <c r="AX2" i="260"/>
  <c r="S2" i="257"/>
  <c r="N54" i="223"/>
  <c r="O2" i="259"/>
  <c r="J2" i="257"/>
  <c r="BI28" i="254"/>
  <c r="F10"/>
  <c r="F17" i="261"/>
  <c r="F13" i="255"/>
  <c r="BV5" i="18"/>
  <c r="I7" i="254"/>
  <c r="I18" i="252"/>
  <c r="AU2" i="254"/>
  <c r="AH2" i="252"/>
  <c r="I21" i="260"/>
  <c r="AX2" i="252"/>
  <c r="AQ2" i="258"/>
  <c r="E54" i="223"/>
  <c r="Q7" i="14"/>
  <c r="BJ2" i="255"/>
  <c r="AC2" i="252"/>
  <c r="S2" i="256"/>
  <c r="I7" i="258"/>
  <c r="I16" i="263"/>
  <c r="AW2" i="261"/>
  <c r="I8" i="263"/>
  <c r="AB2"/>
  <c r="L80" i="223"/>
  <c r="R2" i="262"/>
  <c r="F4" i="257"/>
  <c r="AM2" i="252"/>
  <c r="V2" i="256"/>
  <c r="F3" i="254"/>
  <c r="AZ28" i="1"/>
  <c r="G2" i="253"/>
  <c r="AC28" i="254"/>
  <c r="I8" i="259"/>
  <c r="C30" i="263"/>
  <c r="Q2" i="252"/>
  <c r="T2" i="263"/>
  <c r="BB2" i="260"/>
  <c r="BU2" i="18"/>
  <c r="AJ2" i="257"/>
  <c r="AY28" i="253"/>
  <c r="AZ2" i="259"/>
  <c r="AB2" i="254"/>
  <c r="R2" i="263"/>
  <c r="AO2" i="252"/>
  <c r="AZ28"/>
  <c r="L79" i="237"/>
  <c r="W2" i="258"/>
  <c r="I17" i="260"/>
  <c r="BC2" i="262"/>
  <c r="I17" i="259"/>
  <c r="F12" i="257"/>
  <c r="I15" i="263"/>
  <c r="X2"/>
  <c r="F12" i="255"/>
  <c r="T2" i="257"/>
  <c r="BM22" i="15"/>
  <c r="BU15" i="18"/>
  <c r="BK2" i="262"/>
  <c r="AR2"/>
  <c r="M54" i="223"/>
  <c r="F3" i="260"/>
  <c r="J2" i="261"/>
  <c r="BE2" i="260"/>
  <c r="AN2" i="263"/>
  <c r="N189" i="223"/>
  <c r="L5" i="14"/>
  <c r="AF28" i="252"/>
  <c r="F5" i="257"/>
  <c r="L189" i="223"/>
  <c r="BS20" i="18"/>
  <c r="I19" i="252"/>
  <c r="AA28" i="253"/>
  <c r="AR2" i="261"/>
  <c r="BS10" i="18"/>
  <c r="AU2" i="260"/>
  <c r="BT18" i="18"/>
  <c r="AD2" i="259"/>
  <c r="I3" i="254"/>
  <c r="M2" i="263"/>
  <c r="F80" i="237"/>
  <c r="F12" i="256"/>
  <c r="I4" i="253"/>
  <c r="W2" i="262"/>
  <c r="BK28" i="254"/>
  <c r="N2" i="256"/>
  <c r="BT5" i="18"/>
  <c r="I5" i="262"/>
  <c r="G2" i="255"/>
  <c r="Q2" i="256"/>
  <c r="BU6" i="18"/>
  <c r="K63" i="237"/>
  <c r="BM23" i="15"/>
  <c r="L28" i="252"/>
  <c r="H80" i="223"/>
  <c r="BI2" i="261"/>
  <c r="I13" i="263"/>
  <c r="L188" i="223"/>
  <c r="H79"/>
  <c r="BU21" i="18"/>
  <c r="BU10"/>
  <c r="AE2" i="258"/>
  <c r="I11" i="261"/>
  <c r="F6" i="262"/>
  <c r="I8" i="252"/>
  <c r="F14" i="256"/>
  <c r="AX2" i="254"/>
  <c r="AE2" i="262"/>
  <c r="BG2" i="258"/>
  <c r="AH2" i="256"/>
  <c r="I2" i="263"/>
  <c r="L7" i="14"/>
  <c r="AT28" i="1"/>
  <c r="O28" i="252"/>
  <c r="AL28" i="1"/>
  <c r="AI28" i="253"/>
  <c r="BV22" i="18"/>
  <c r="AO2" i="263"/>
  <c r="I3"/>
  <c r="AL2" i="259"/>
  <c r="K5" i="14"/>
  <c r="AN28" i="1"/>
  <c r="BG2" i="256"/>
  <c r="AL28" i="253"/>
  <c r="P2" i="263"/>
  <c r="AY2" i="255"/>
  <c r="BS13" i="18"/>
  <c r="AD2" i="262"/>
  <c r="Z28" i="253"/>
  <c r="I4" i="260"/>
  <c r="AC2"/>
  <c r="C30" i="257"/>
  <c r="X2" i="255"/>
  <c r="V2" i="254"/>
  <c r="I79" i="223"/>
  <c r="Z2" i="254"/>
  <c r="BT11" i="18"/>
  <c r="I2" i="257"/>
  <c r="F24" i="262"/>
  <c r="AR2" i="259"/>
  <c r="BG2" i="255"/>
  <c r="F21" i="256"/>
  <c r="I11" i="255"/>
  <c r="K41" i="257"/>
  <c r="F17" i="259"/>
  <c r="AK2" i="257"/>
  <c r="V28" i="254"/>
  <c r="K188" i="237"/>
  <c r="I4" i="262"/>
  <c r="Q2" i="261"/>
  <c r="I16" i="255"/>
  <c r="O28" i="253"/>
  <c r="H2" i="258"/>
  <c r="BM2" i="257"/>
  <c r="BC2" i="259"/>
  <c r="L187" i="223"/>
  <c r="BS3" i="18"/>
  <c r="AB2" i="262"/>
  <c r="M28" i="253"/>
  <c r="AA2" i="263"/>
  <c r="C189" i="237"/>
  <c r="I16" i="258"/>
  <c r="F16" i="263"/>
  <c r="AB2" i="253"/>
  <c r="N188" i="237"/>
  <c r="Z2" i="261"/>
  <c r="BU3" i="18"/>
  <c r="I2" i="253"/>
  <c r="F14"/>
  <c r="I10" i="262"/>
  <c r="I20" i="257"/>
  <c r="D189" i="237"/>
  <c r="Y2" i="254"/>
  <c r="F6" i="252"/>
  <c r="AQ2" i="260"/>
  <c r="K2" i="252"/>
  <c r="AA2" i="260"/>
  <c r="AL28" i="252"/>
  <c r="I12" i="261"/>
  <c r="AG2" i="255"/>
  <c r="BT4" i="18"/>
  <c r="G2" i="252"/>
  <c r="AM2" i="258"/>
  <c r="F4" i="261"/>
  <c r="AA2" i="254"/>
  <c r="F14" i="262"/>
  <c r="I4" i="252"/>
  <c r="AA2" i="253"/>
  <c r="BI28"/>
  <c r="AP2" i="261"/>
  <c r="Y28" i="1"/>
  <c r="D79" i="237"/>
  <c r="I3" i="253"/>
  <c r="I5" i="261"/>
  <c r="AG2" i="254"/>
  <c r="K2" i="259"/>
  <c r="F6" i="260"/>
  <c r="BA2" i="258"/>
  <c r="BG28" i="254"/>
  <c r="I5" i="258"/>
  <c r="I8" i="253"/>
  <c r="AZ2" i="263"/>
  <c r="I21" i="261"/>
  <c r="AH28" i="252"/>
  <c r="F13" i="257"/>
  <c r="AP2" i="254"/>
  <c r="B79" i="237"/>
  <c r="I21" i="257"/>
  <c r="AZ2" i="260"/>
  <c r="K2" i="256"/>
  <c r="I3" i="257"/>
  <c r="BH31" l="1"/>
  <c r="AU31"/>
  <c r="BC31"/>
  <c r="AW31"/>
  <c r="BK31"/>
  <c r="AS31"/>
  <c r="AL31"/>
  <c r="AJ31"/>
  <c r="L31"/>
  <c r="AT31"/>
  <c r="BJ31"/>
  <c r="W31"/>
  <c r="AR31"/>
  <c r="Y31"/>
  <c r="AA31"/>
  <c r="AI31"/>
  <c r="BA31"/>
  <c r="AC31"/>
  <c r="K31"/>
  <c r="I25"/>
  <c r="AF31"/>
  <c r="X31"/>
  <c r="AN31"/>
  <c r="N31"/>
  <c r="AH31"/>
  <c r="AE31"/>
  <c r="AM31"/>
  <c r="BM31"/>
  <c r="BI31"/>
  <c r="M31"/>
  <c r="U31"/>
  <c r="AV31"/>
  <c r="AO31"/>
  <c r="Q31"/>
  <c r="AY31"/>
  <c r="AX31"/>
  <c r="S31"/>
  <c r="AB31"/>
  <c r="V31"/>
  <c r="AK31"/>
  <c r="R31"/>
  <c r="P31"/>
  <c r="AD31"/>
  <c r="O31"/>
  <c r="AQ31"/>
  <c r="BL31"/>
  <c r="BG31"/>
  <c r="AZ31"/>
  <c r="BE31"/>
  <c r="BF31"/>
  <c r="AG31"/>
  <c r="BB31"/>
  <c r="AP31"/>
  <c r="BD31"/>
  <c r="Z31"/>
  <c r="T31"/>
  <c r="BA40" i="258"/>
  <c r="AP40" i="254"/>
  <c r="AQ40" i="253"/>
  <c r="AO40" i="260"/>
  <c r="K40" i="259"/>
  <c r="O79" i="237"/>
  <c r="AR40" i="252"/>
  <c r="AG40" i="254"/>
  <c r="K40" i="256"/>
  <c r="U31" i="253"/>
  <c r="I25"/>
  <c r="AT31"/>
  <c r="AE31"/>
  <c r="BE31"/>
  <c r="AP31"/>
  <c r="AI31"/>
  <c r="BA31"/>
  <c r="AO31"/>
  <c r="AQ31"/>
  <c r="AV31"/>
  <c r="W31"/>
  <c r="AF31"/>
  <c r="BH31"/>
  <c r="BM31"/>
  <c r="Z31"/>
  <c r="BI31"/>
  <c r="R31"/>
  <c r="AK31"/>
  <c r="N31"/>
  <c r="AR31"/>
  <c r="BF31"/>
  <c r="AA31"/>
  <c r="AC31"/>
  <c r="BK31"/>
  <c r="AG31"/>
  <c r="AD31"/>
  <c r="AL31"/>
  <c r="AN31"/>
  <c r="AJ31"/>
  <c r="AB31"/>
  <c r="L31"/>
  <c r="AM31"/>
  <c r="K31"/>
  <c r="P31"/>
  <c r="AZ31"/>
  <c r="AH31"/>
  <c r="BL31"/>
  <c r="BC31"/>
  <c r="AX31"/>
  <c r="BG31"/>
  <c r="AU31"/>
  <c r="Q31"/>
  <c r="AS31"/>
  <c r="AW31"/>
  <c r="Y31"/>
  <c r="BJ31"/>
  <c r="BB31"/>
  <c r="BD31"/>
  <c r="AY31"/>
  <c r="V31"/>
  <c r="M31"/>
  <c r="T31"/>
  <c r="X31"/>
  <c r="S31"/>
  <c r="O31"/>
  <c r="AZ40" i="260"/>
  <c r="AZ40" i="263"/>
  <c r="AP40" i="261"/>
  <c r="BL40" i="256"/>
  <c r="AA40" i="253"/>
  <c r="N40" i="260"/>
  <c r="M40" i="257"/>
  <c r="AA40" i="254"/>
  <c r="AD40"/>
  <c r="O40" i="259"/>
  <c r="AM40" i="258"/>
  <c r="AH40" i="257"/>
  <c r="S40"/>
  <c r="K40" i="262"/>
  <c r="AX40" i="260"/>
  <c r="AG40" i="255"/>
  <c r="P40" i="254"/>
  <c r="BM40" i="261"/>
  <c r="BK40" i="259"/>
  <c r="AA40" i="260"/>
  <c r="W40" i="259"/>
  <c r="T40" i="252"/>
  <c r="T40" i="262"/>
  <c r="K40" i="252"/>
  <c r="AI40" i="260"/>
  <c r="AQ40"/>
  <c r="J4" i="14"/>
  <c r="I4"/>
  <c r="Y40" i="254"/>
  <c r="BI40" i="263"/>
  <c r="BB40" i="256"/>
  <c r="AG40" i="252"/>
  <c r="BF40"/>
  <c r="AW40" i="254"/>
  <c r="AN40" i="257"/>
  <c r="BU25" i="18"/>
  <c r="AR40" i="254"/>
  <c r="Z40" i="261"/>
  <c r="AB40" i="258"/>
  <c r="AY40" i="253"/>
  <c r="AB40"/>
  <c r="R40" i="260"/>
  <c r="N40" i="255"/>
  <c r="BB40" i="254"/>
  <c r="J7" i="14"/>
  <c r="I7"/>
  <c r="AA40" i="263"/>
  <c r="T40" i="256"/>
  <c r="AB40" i="262"/>
  <c r="BC40" i="258"/>
  <c r="BM4" i="15"/>
  <c r="BM5" s="1"/>
  <c r="BM6" s="1"/>
  <c r="BM7" s="1"/>
  <c r="BM8" s="1"/>
  <c r="BM9" s="1"/>
  <c r="BM10" s="1"/>
  <c r="BM11" s="1"/>
  <c r="BM12" s="1"/>
  <c r="BM13" s="1"/>
  <c r="BM14" s="1"/>
  <c r="BM15" s="1"/>
  <c r="BM16" s="1"/>
  <c r="BS25" i="18"/>
  <c r="AT40" i="261"/>
  <c r="AJ40" i="254"/>
  <c r="L40" i="260"/>
  <c r="BC40" i="259"/>
  <c r="BM40" i="257"/>
  <c r="U40" i="256"/>
  <c r="AI40" i="257"/>
  <c r="BE40" i="261"/>
  <c r="Q40"/>
  <c r="K40" i="255"/>
  <c r="BA40"/>
  <c r="Z40" i="253"/>
  <c r="AK40" i="257"/>
  <c r="L40" i="255"/>
  <c r="X40" i="252"/>
  <c r="S40" i="263"/>
  <c r="AG40" i="258"/>
  <c r="BM40" i="262"/>
  <c r="AZ40" i="253"/>
  <c r="BK40" i="263"/>
  <c r="BG40" i="255"/>
  <c r="BM40" i="1"/>
  <c r="AR40" i="259"/>
  <c r="BM40" i="256"/>
  <c r="T40" i="260"/>
  <c r="AN31" i="252"/>
  <c r="BG31"/>
  <c r="AG31"/>
  <c r="AH31"/>
  <c r="BA31"/>
  <c r="AK31"/>
  <c r="AJ31"/>
  <c r="BD31"/>
  <c r="Q31"/>
  <c r="R31"/>
  <c r="S31"/>
  <c r="AS31"/>
  <c r="N31"/>
  <c r="K31"/>
  <c r="AI31"/>
  <c r="BI31"/>
  <c r="AV31"/>
  <c r="V31"/>
  <c r="AE31"/>
  <c r="O31"/>
  <c r="BC31"/>
  <c r="AT31"/>
  <c r="Z31"/>
  <c r="BJ31"/>
  <c r="BK31"/>
  <c r="AD31"/>
  <c r="AZ31"/>
  <c r="BE31"/>
  <c r="AR31"/>
  <c r="AB31"/>
  <c r="P31"/>
  <c r="X31"/>
  <c r="AX31"/>
  <c r="T31"/>
  <c r="AF31"/>
  <c r="AM31"/>
  <c r="BL31"/>
  <c r="Y31"/>
  <c r="M31"/>
  <c r="AC31"/>
  <c r="AQ31"/>
  <c r="AA31"/>
  <c r="BH31"/>
  <c r="AL31"/>
  <c r="BB31"/>
  <c r="BM31"/>
  <c r="AO31"/>
  <c r="W31"/>
  <c r="U31"/>
  <c r="AW31"/>
  <c r="AU31"/>
  <c r="AP31"/>
  <c r="L31"/>
  <c r="BF31"/>
  <c r="AY31"/>
  <c r="I25"/>
  <c r="AG40" i="261"/>
  <c r="AU40" i="253"/>
  <c r="Z40" i="254"/>
  <c r="AX40" i="253"/>
  <c r="K40" i="263"/>
  <c r="AP40" i="253"/>
  <c r="V40" i="254"/>
  <c r="AE40" i="261"/>
  <c r="X40" i="255"/>
  <c r="N40" i="259"/>
  <c r="R40" i="258"/>
  <c r="BB40" i="253"/>
  <c r="AC40" i="260"/>
  <c r="BI40" i="259"/>
  <c r="BJ40" i="258"/>
  <c r="AK40" i="263"/>
  <c r="AD40" i="262"/>
  <c r="BI40" i="253"/>
  <c r="BD40" i="252"/>
  <c r="AV40" i="263"/>
  <c r="BM40" i="253"/>
  <c r="AY40" i="255"/>
  <c r="AM40" i="262"/>
  <c r="P40" i="263"/>
  <c r="W40" i="257"/>
  <c r="BG40" i="256"/>
  <c r="Y40" i="253"/>
  <c r="I5" i="14"/>
  <c r="J5"/>
  <c r="BB40" i="252"/>
  <c r="AW40"/>
  <c r="AL40" i="259"/>
  <c r="BF40" i="254"/>
  <c r="AC40" i="262"/>
  <c r="BJ31" i="263"/>
  <c r="AF31"/>
  <c r="AK31"/>
  <c r="BI31"/>
  <c r="P31"/>
  <c r="AO31"/>
  <c r="AR31"/>
  <c r="AP31"/>
  <c r="BC31"/>
  <c r="BD31"/>
  <c r="S31"/>
  <c r="BF31"/>
  <c r="BG31"/>
  <c r="N31"/>
  <c r="K31"/>
  <c r="W31"/>
  <c r="AM31"/>
  <c r="T31"/>
  <c r="AY31"/>
  <c r="AT31"/>
  <c r="R31"/>
  <c r="AX31"/>
  <c r="BA31"/>
  <c r="AZ31"/>
  <c r="BL31"/>
  <c r="BK31"/>
  <c r="BH31"/>
  <c r="X31"/>
  <c r="AQ31"/>
  <c r="AV31"/>
  <c r="AS31"/>
  <c r="AC31"/>
  <c r="AW31"/>
  <c r="V31"/>
  <c r="Y31"/>
  <c r="I25"/>
  <c r="AN31"/>
  <c r="AE31"/>
  <c r="AA31"/>
  <c r="U31"/>
  <c r="Z31"/>
  <c r="L31"/>
  <c r="AB31"/>
  <c r="O31"/>
  <c r="AJ31"/>
  <c r="Q31"/>
  <c r="AU31"/>
  <c r="BE31"/>
  <c r="AH31"/>
  <c r="M31"/>
  <c r="BM31"/>
  <c r="AL31"/>
  <c r="AD31"/>
  <c r="BB31"/>
  <c r="AG31"/>
  <c r="AI31"/>
  <c r="BD40" i="259"/>
  <c r="AO40" i="263"/>
  <c r="AC40"/>
  <c r="BK40" i="260"/>
  <c r="AN40" i="262"/>
  <c r="AW40" i="258"/>
  <c r="AH40" i="256"/>
  <c r="AG40" i="262"/>
  <c r="AN40" i="253"/>
  <c r="BG40" i="258"/>
  <c r="AW40" i="253"/>
  <c r="AE40" i="262"/>
  <c r="AX40" i="254"/>
  <c r="AS40" i="256"/>
  <c r="BH40" i="260"/>
  <c r="P40" i="259"/>
  <c r="BC40" i="254"/>
  <c r="BF40" i="256"/>
  <c r="AE40" i="253"/>
  <c r="AE40" i="258"/>
  <c r="BK40" i="256"/>
  <c r="AN40" i="259"/>
  <c r="AD40" i="253"/>
  <c r="AU40" i="258"/>
  <c r="BL40" i="262"/>
  <c r="BF40" i="263"/>
  <c r="BI39" i="261"/>
  <c r="BI40"/>
  <c r="AD40"/>
  <c r="Z40" i="256"/>
  <c r="R40" i="259"/>
  <c r="BL40" i="252"/>
  <c r="BJ40" i="261"/>
  <c r="AX40" i="255"/>
  <c r="BA40" i="259"/>
  <c r="AV40" i="252"/>
  <c r="AB40" i="257"/>
  <c r="Q40" i="256"/>
  <c r="O40" i="252"/>
  <c r="N40"/>
  <c r="BH40" i="258"/>
  <c r="AS40" i="261"/>
  <c r="AZ40" i="254"/>
  <c r="BB40" i="261"/>
  <c r="N40" i="256"/>
  <c r="W40" i="262"/>
  <c r="U40" i="260"/>
  <c r="M40" i="263"/>
  <c r="BL31" i="254"/>
  <c r="N31"/>
  <c r="BI31"/>
  <c r="BJ31"/>
  <c r="AM31"/>
  <c r="AT31"/>
  <c r="BH31"/>
  <c r="AD31"/>
  <c r="BD31"/>
  <c r="W31"/>
  <c r="AN31"/>
  <c r="AH31"/>
  <c r="BC31"/>
  <c r="BB31"/>
  <c r="U31"/>
  <c r="BE31"/>
  <c r="AQ31"/>
  <c r="AO31"/>
  <c r="AJ31"/>
  <c r="L31"/>
  <c r="S31"/>
  <c r="AS31"/>
  <c r="AI31"/>
  <c r="BG31"/>
  <c r="BM31"/>
  <c r="AE31"/>
  <c r="T31"/>
  <c r="AY31"/>
  <c r="BF31"/>
  <c r="AF31"/>
  <c r="AG31"/>
  <c r="AC31"/>
  <c r="R31"/>
  <c r="V31"/>
  <c r="AA31"/>
  <c r="M31"/>
  <c r="AW31"/>
  <c r="O31"/>
  <c r="Q31"/>
  <c r="Z31"/>
  <c r="I25"/>
  <c r="AV31"/>
  <c r="AL31"/>
  <c r="AX31"/>
  <c r="X31"/>
  <c r="BA31"/>
  <c r="BK31"/>
  <c r="AK31"/>
  <c r="Y31"/>
  <c r="AU31"/>
  <c r="P31"/>
  <c r="AB31"/>
  <c r="AR31"/>
  <c r="AZ31"/>
  <c r="AP31"/>
  <c r="K31"/>
  <c r="M40" i="253"/>
  <c r="AS40" i="262"/>
  <c r="AD40" i="259"/>
  <c r="O80" i="223"/>
  <c r="W40" i="252"/>
  <c r="AR40" i="255"/>
  <c r="BJ40" i="254"/>
  <c r="AU40" i="260"/>
  <c r="AR40" i="256"/>
  <c r="M40" i="258"/>
  <c r="P40" i="260"/>
  <c r="AR40" i="261"/>
  <c r="BG40" i="263"/>
  <c r="AT40" i="256"/>
  <c r="Z40" i="260"/>
  <c r="AB40" i="252"/>
  <c r="AG40" i="256"/>
  <c r="AB40" i="260"/>
  <c r="AS40" i="257"/>
  <c r="AY40" i="252"/>
  <c r="BL40" i="263"/>
  <c r="AA40" i="252"/>
  <c r="AN40" i="263"/>
  <c r="S40" i="253"/>
  <c r="BE40" i="260"/>
  <c r="AA40" i="259"/>
  <c r="U40" i="263"/>
  <c r="AK40" i="262"/>
  <c r="AS40" i="260"/>
  <c r="AT40" i="257"/>
  <c r="AR40" i="262"/>
  <c r="Y40" i="257"/>
  <c r="BK40" i="262"/>
  <c r="N40" i="253"/>
  <c r="BI40" i="257"/>
  <c r="AH40" i="258"/>
  <c r="T40" i="257"/>
  <c r="X40" i="263"/>
  <c r="AK39" i="259"/>
  <c r="AK40"/>
  <c r="AV40" i="258"/>
  <c r="BF40"/>
  <c r="O189" i="223"/>
  <c r="BC40" i="262"/>
  <c r="AU40" i="259"/>
  <c r="AW40"/>
  <c r="W40" i="258"/>
  <c r="AO40" i="261"/>
  <c r="Y40" i="255"/>
  <c r="M31" i="259"/>
  <c r="AF31"/>
  <c r="U31"/>
  <c r="N31"/>
  <c r="BF31"/>
  <c r="AE31"/>
  <c r="T31"/>
  <c r="BA31"/>
  <c r="P31"/>
  <c r="Q31"/>
  <c r="AD31"/>
  <c r="AV31"/>
  <c r="BG31"/>
  <c r="AB31"/>
  <c r="AK31"/>
  <c r="AP31"/>
  <c r="AW31"/>
  <c r="AT31"/>
  <c r="S31"/>
  <c r="AR31"/>
  <c r="BI31"/>
  <c r="V31"/>
  <c r="AM31"/>
  <c r="AO31"/>
  <c r="AA31"/>
  <c r="L31"/>
  <c r="K31"/>
  <c r="AU31"/>
  <c r="R31"/>
  <c r="AC31"/>
  <c r="BB31"/>
  <c r="Z31"/>
  <c r="AL31"/>
  <c r="BJ31"/>
  <c r="BM31"/>
  <c r="BC31"/>
  <c r="Y31"/>
  <c r="AY31"/>
  <c r="AI31"/>
  <c r="I25"/>
  <c r="AQ31"/>
  <c r="AS31"/>
  <c r="O31"/>
  <c r="AJ31"/>
  <c r="AG31"/>
  <c r="AZ31"/>
  <c r="BL31"/>
  <c r="BE31"/>
  <c r="BH31"/>
  <c r="AH31"/>
  <c r="AN31"/>
  <c r="BK31"/>
  <c r="W31"/>
  <c r="BD31"/>
  <c r="X31"/>
  <c r="AX31"/>
  <c r="AO40" i="252"/>
  <c r="R40" i="263"/>
  <c r="BJ40" i="253"/>
  <c r="AB40" i="254"/>
  <c r="AR40" i="260"/>
  <c r="AZ40" i="259"/>
  <c r="P40" i="252"/>
  <c r="Q40" i="253"/>
  <c r="AJ40" i="257"/>
  <c r="R40"/>
  <c r="M40" i="256"/>
  <c r="AX40" i="257"/>
  <c r="BB40" i="260"/>
  <c r="W40" i="263"/>
  <c r="AV40" i="260"/>
  <c r="T40" i="263"/>
  <c r="AJ40" i="261"/>
  <c r="AR40" i="258"/>
  <c r="Q40" i="252"/>
  <c r="AK40" i="256"/>
  <c r="K40" i="253"/>
  <c r="BC40"/>
  <c r="BK40"/>
  <c r="AG40" i="260"/>
  <c r="AZ40" i="258"/>
  <c r="AX40" i="262"/>
  <c r="V40" i="256"/>
  <c r="AM40" i="252"/>
  <c r="O40" i="261"/>
  <c r="AQ40"/>
  <c r="BB40" i="258"/>
  <c r="R40" i="262"/>
  <c r="AM40" i="253"/>
  <c r="N40" i="262"/>
  <c r="AF40" i="257"/>
  <c r="AB40" i="263"/>
  <c r="Y40" i="258"/>
  <c r="AW40" i="261"/>
  <c r="BJ40" i="259"/>
  <c r="AP40" i="256"/>
  <c r="AQ40" i="259"/>
  <c r="Z40" i="258"/>
  <c r="O40" i="256"/>
  <c r="AO40" i="253"/>
  <c r="S40" i="256"/>
  <c r="BE40" i="254"/>
  <c r="AC40" i="252"/>
  <c r="AY40" i="254"/>
  <c r="W40" i="261"/>
  <c r="BD40" i="263"/>
  <c r="AL40" i="258"/>
  <c r="BJ40" i="255"/>
  <c r="U40" i="261"/>
  <c r="BI40" i="258"/>
  <c r="AJ40" i="259"/>
  <c r="BB40"/>
  <c r="BE40" i="256"/>
  <c r="AH40" i="253"/>
  <c r="Q40" i="259"/>
  <c r="BF40" i="257"/>
  <c r="BI40" i="255"/>
  <c r="P40" i="256"/>
  <c r="AQ40" i="258"/>
  <c r="Z40" i="262"/>
  <c r="BJ40" i="260"/>
  <c r="AL40" i="261"/>
  <c r="AK40" i="258"/>
  <c r="AK39"/>
  <c r="AX40" i="252"/>
  <c r="AQ40" i="263"/>
  <c r="X40" i="260"/>
  <c r="AS40" i="263"/>
  <c r="O187" i="237"/>
  <c r="AH40" i="252"/>
  <c r="BH40" i="254"/>
  <c r="AK40"/>
  <c r="R40" i="253"/>
  <c r="U40" i="258"/>
  <c r="AU40" i="254"/>
  <c r="K40" i="258"/>
  <c r="BC40" i="260"/>
  <c r="AF40" i="252"/>
  <c r="Y40" i="261"/>
  <c r="AM40"/>
  <c r="AY40" i="259"/>
  <c r="BT25" i="18"/>
  <c r="BJ40" i="257"/>
  <c r="BL40" i="253"/>
  <c r="AZ40" i="261"/>
  <c r="AK40" i="260"/>
  <c r="L40" i="263"/>
  <c r="L40" i="262"/>
  <c r="BM40" i="263"/>
  <c r="BK40" i="257"/>
  <c r="AC40" i="258"/>
  <c r="X40" i="257"/>
  <c r="AA40"/>
  <c r="AV40" i="253"/>
  <c r="BF40"/>
  <c r="BE40" i="259"/>
  <c r="V40" i="252"/>
  <c r="AQ40" i="255"/>
  <c r="BA40" i="262"/>
  <c r="X31" i="261"/>
  <c r="BK31"/>
  <c r="BJ31"/>
  <c r="P31"/>
  <c r="AQ31"/>
  <c r="AA31"/>
  <c r="AE31"/>
  <c r="T31"/>
  <c r="AW31"/>
  <c r="BG31"/>
  <c r="AG31"/>
  <c r="AF31"/>
  <c r="AX31"/>
  <c r="Z31"/>
  <c r="BA31"/>
  <c r="Q31"/>
  <c r="AB31"/>
  <c r="AZ31"/>
  <c r="BC31"/>
  <c r="S31"/>
  <c r="AP31"/>
  <c r="BE31"/>
  <c r="BM31"/>
  <c r="W31"/>
  <c r="BI31"/>
  <c r="O31"/>
  <c r="AU31"/>
  <c r="U31"/>
  <c r="BL31"/>
  <c r="Y31"/>
  <c r="AO31"/>
  <c r="I25"/>
  <c r="AS31"/>
  <c r="K31"/>
  <c r="BD31"/>
  <c r="AR31"/>
  <c r="AY31"/>
  <c r="V31"/>
  <c r="BB31"/>
  <c r="AH31"/>
  <c r="AN31"/>
  <c r="AJ31"/>
  <c r="AK31"/>
  <c r="AC31"/>
  <c r="AM31"/>
  <c r="AT31"/>
  <c r="BH31"/>
  <c r="M31"/>
  <c r="N31"/>
  <c r="AD31"/>
  <c r="BF31"/>
  <c r="AV31"/>
  <c r="AI31"/>
  <c r="AL31"/>
  <c r="L31"/>
  <c r="R31"/>
  <c r="Y40" i="252"/>
  <c r="N40" i="263"/>
  <c r="AH40" i="262"/>
  <c r="BL40" i="258"/>
  <c r="U40" i="252"/>
  <c r="AJ40"/>
  <c r="V40" i="259"/>
  <c r="Z40" i="263"/>
  <c r="W31" i="255"/>
  <c r="AD31"/>
  <c r="AI31"/>
  <c r="AK31"/>
  <c r="BB31"/>
  <c r="AP31"/>
  <c r="BI31"/>
  <c r="BL31"/>
  <c r="BJ31"/>
  <c r="U31"/>
  <c r="O31"/>
  <c r="BM31"/>
  <c r="V31"/>
  <c r="AJ31"/>
  <c r="BH31"/>
  <c r="AQ31"/>
  <c r="AH31"/>
  <c r="M31"/>
  <c r="AW31"/>
  <c r="AT31"/>
  <c r="AZ31"/>
  <c r="AN31"/>
  <c r="S31"/>
  <c r="AL31"/>
  <c r="AC31"/>
  <c r="AY31"/>
  <c r="AF31"/>
  <c r="AS31"/>
  <c r="I25"/>
  <c r="BF31"/>
  <c r="AR31"/>
  <c r="T31"/>
  <c r="BA31"/>
  <c r="X31"/>
  <c r="L31"/>
  <c r="AG31"/>
  <c r="P31"/>
  <c r="BE31"/>
  <c r="AU31"/>
  <c r="BD31"/>
  <c r="BG31"/>
  <c r="BK31"/>
  <c r="BC31"/>
  <c r="Q31"/>
  <c r="AX31"/>
  <c r="AE31"/>
  <c r="AA31"/>
  <c r="K31"/>
  <c r="Z31"/>
  <c r="AV31"/>
  <c r="N31"/>
  <c r="AM31"/>
  <c r="Y31"/>
  <c r="R31"/>
  <c r="AO31"/>
  <c r="AB31"/>
  <c r="AX40" i="258"/>
  <c r="AA40" i="262"/>
  <c r="V40" i="260"/>
  <c r="BM40" i="255"/>
  <c r="AF40" i="262"/>
  <c r="AQ40" i="252"/>
  <c r="BG40" i="253"/>
  <c r="L40" i="256"/>
  <c r="O40" i="254"/>
  <c r="T40" i="259"/>
  <c r="BI40" i="260"/>
  <c r="AE40" i="257"/>
  <c r="BA40" i="263"/>
  <c r="AD40" i="256"/>
  <c r="AX40" i="259"/>
  <c r="AX40" i="261"/>
  <c r="AL40" i="260"/>
  <c r="AA40" i="256"/>
  <c r="AT40" i="254"/>
  <c r="AT40" i="260"/>
  <c r="U40" i="255"/>
  <c r="M40" i="262"/>
  <c r="BM40" i="254"/>
  <c r="AL40" i="262"/>
  <c r="AB40" i="256"/>
  <c r="AD40" i="257"/>
  <c r="BK40" i="254"/>
  <c r="AE40" i="255"/>
  <c r="BI40" i="252"/>
  <c r="AG40" i="257"/>
  <c r="BG40" i="252"/>
  <c r="AF40" i="259"/>
  <c r="AT40" i="258"/>
  <c r="AZ40" i="256"/>
  <c r="BH40"/>
  <c r="BK40" i="261"/>
  <c r="P40"/>
  <c r="AH40" i="254"/>
  <c r="BK40" i="255"/>
  <c r="AN40" i="258"/>
  <c r="BF40" i="261"/>
  <c r="BF39"/>
  <c r="AC40" i="255"/>
  <c r="BJ31" i="256"/>
  <c r="AH31"/>
  <c r="AQ31"/>
  <c r="AK31"/>
  <c r="AM31"/>
  <c r="AZ31"/>
  <c r="I25"/>
  <c r="BH31"/>
  <c r="BA31"/>
  <c r="R31"/>
  <c r="BI31"/>
  <c r="P31"/>
  <c r="BE31"/>
  <c r="AB31"/>
  <c r="AN31"/>
  <c r="Y31"/>
  <c r="AW31"/>
  <c r="AP31"/>
  <c r="U31"/>
  <c r="AS31"/>
  <c r="K31"/>
  <c r="AA31"/>
  <c r="AD31"/>
  <c r="AY31"/>
  <c r="AX31"/>
  <c r="AC31"/>
  <c r="W31"/>
  <c r="BM31"/>
  <c r="AV31"/>
  <c r="X31"/>
  <c r="S31"/>
  <c r="AE31"/>
  <c r="AF31"/>
  <c r="L31"/>
  <c r="AL31"/>
  <c r="Q31"/>
  <c r="AJ31"/>
  <c r="BF31"/>
  <c r="AT31"/>
  <c r="O31"/>
  <c r="N31"/>
  <c r="BC31"/>
  <c r="AO31"/>
  <c r="AR31"/>
  <c r="M31"/>
  <c r="Z31"/>
  <c r="T31"/>
  <c r="AI31"/>
  <c r="BL31"/>
  <c r="BB31"/>
  <c r="BD31"/>
  <c r="AG31"/>
  <c r="AU31"/>
  <c r="V31"/>
  <c r="BK31"/>
  <c r="BG31"/>
  <c r="AV40" i="261"/>
  <c r="AO40" i="259"/>
  <c r="AI40"/>
  <c r="AO40" i="254"/>
  <c r="AL40" i="252"/>
  <c r="BG40" i="257"/>
  <c r="BJ40" i="263"/>
  <c r="P40" i="255"/>
  <c r="BF40" i="262"/>
  <c r="AY40" i="257"/>
  <c r="AR40" i="253"/>
  <c r="AL40" i="254"/>
  <c r="AV40" i="262"/>
  <c r="AS40" i="252"/>
  <c r="AF40" i="254"/>
  <c r="BE40" i="258"/>
  <c r="BA40" i="260"/>
  <c r="S40" i="255"/>
  <c r="AP40"/>
  <c r="BH40" i="263"/>
  <c r="S40" i="261"/>
  <c r="BC40" i="256"/>
  <c r="AW40" i="257"/>
  <c r="BJ40" i="262"/>
  <c r="Z40" i="259"/>
  <c r="BE40" i="255"/>
  <c r="AE40" i="259"/>
  <c r="AW40" i="262"/>
  <c r="AS40" i="259"/>
  <c r="BI40" i="256"/>
  <c r="Q40" i="260"/>
  <c r="BC40" i="252"/>
  <c r="V40" i="261"/>
  <c r="W40" i="255"/>
  <c r="AE40" i="252"/>
  <c r="AE40" i="263"/>
  <c r="AU40" i="252"/>
  <c r="BA40"/>
  <c r="O40" i="257"/>
  <c r="AA40" i="258"/>
  <c r="L40" i="254"/>
  <c r="AM40" i="263"/>
  <c r="AY40" i="256"/>
  <c r="AZ40" i="255"/>
  <c r="AU40"/>
  <c r="O54" i="223"/>
  <c r="X40" i="258"/>
  <c r="AA40" i="261"/>
  <c r="AD40" i="260"/>
  <c r="AO40" i="255"/>
  <c r="N40" i="258"/>
  <c r="AC40" i="259"/>
  <c r="O40" i="263"/>
  <c r="AQ40" i="256"/>
  <c r="T40" i="253"/>
  <c r="BV25" i="18"/>
  <c r="AC40" i="253"/>
  <c r="BE40" i="257"/>
  <c r="AM40" i="259"/>
  <c r="Q40" i="263"/>
  <c r="AE40" i="254"/>
  <c r="O40" i="258"/>
  <c r="AY40" i="263"/>
  <c r="O63" i="237"/>
  <c r="AH40" i="255"/>
  <c r="X40" i="256"/>
  <c r="AB40" i="255"/>
  <c r="AT40" i="253"/>
  <c r="AU40" i="257"/>
  <c r="BJ40" i="252"/>
  <c r="BA40" i="253"/>
  <c r="R40" i="261"/>
  <c r="BE40" i="252"/>
  <c r="BH40" i="255"/>
  <c r="V40" i="262"/>
  <c r="BA40" i="254"/>
  <c r="U40"/>
  <c r="P40" i="253"/>
  <c r="AR40" i="263"/>
  <c r="AU40"/>
  <c r="BB40" i="257"/>
  <c r="AH40" i="259"/>
  <c r="K40" i="261"/>
  <c r="S40" i="252"/>
  <c r="BL40" i="259"/>
  <c r="BA40" i="257"/>
  <c r="AO40" i="258"/>
  <c r="AU40" i="256"/>
  <c r="AN40" i="252"/>
  <c r="S40" i="254"/>
  <c r="X40" i="253"/>
  <c r="AD40" i="252"/>
  <c r="AV40" i="257"/>
  <c r="AK40" i="253"/>
  <c r="AE40" i="260"/>
  <c r="AP40" i="258"/>
  <c r="AX40" i="263"/>
  <c r="U40" i="262"/>
  <c r="BD40" i="261"/>
  <c r="AW40" i="256"/>
  <c r="AK40" i="252"/>
  <c r="AN40" i="261"/>
  <c r="BD40" i="262"/>
  <c r="Q40"/>
  <c r="O188" i="237"/>
  <c r="R40" i="254"/>
  <c r="AJ40" i="255"/>
  <c r="Z40"/>
  <c r="X40" i="259"/>
  <c r="BC40" i="257"/>
  <c r="M40" i="261"/>
  <c r="AM40" i="260"/>
  <c r="R40" i="252"/>
  <c r="BD40" i="255"/>
  <c r="BL40" i="261"/>
  <c r="AA40" i="255"/>
  <c r="L40" i="261"/>
  <c r="AN40" i="255"/>
  <c r="O79" i="223"/>
  <c r="U40" i="257"/>
  <c r="BJ40" i="256"/>
  <c r="W40" i="254"/>
  <c r="BE40" i="253"/>
  <c r="BH40"/>
  <c r="R40" i="256"/>
  <c r="BD40"/>
  <c r="BK40" i="252"/>
  <c r="L40"/>
  <c r="AX40" i="256"/>
  <c r="BI40" i="254"/>
  <c r="BG40"/>
  <c r="AM40"/>
  <c r="AJ40" i="262"/>
  <c r="BL40" i="255"/>
  <c r="V40" i="263"/>
  <c r="AM40" i="255"/>
  <c r="AS40" i="254"/>
  <c r="U40" i="253"/>
  <c r="BB40" i="262"/>
  <c r="AR40" i="257"/>
  <c r="AN40" i="254"/>
  <c r="N40" i="257"/>
  <c r="AT40" i="255"/>
  <c r="V40" i="253"/>
  <c r="T40" i="254"/>
  <c r="W40" i="253"/>
  <c r="AF40" i="258"/>
  <c r="AF39"/>
  <c r="M40" i="252"/>
  <c r="AV40" i="259"/>
  <c r="BD40" i="260"/>
  <c r="V40" i="258"/>
  <c r="AH40" i="260"/>
  <c r="L40" i="259"/>
  <c r="T40" i="258"/>
  <c r="AW40" i="263"/>
  <c r="N40" i="254"/>
  <c r="S40" i="260"/>
  <c r="K40" i="257"/>
  <c r="AP40" i="252"/>
  <c r="BF40" i="255"/>
  <c r="Y40" i="260"/>
  <c r="AJ40" i="253"/>
  <c r="S40" i="258"/>
  <c r="AP40" i="259"/>
  <c r="O188" i="223"/>
  <c r="BE40" i="262"/>
  <c r="AI40" i="258"/>
  <c r="P40" i="262"/>
  <c r="AL40" i="257"/>
  <c r="AL40" i="256"/>
  <c r="BD40" i="257"/>
  <c r="AC40"/>
  <c r="AC40" i="254"/>
  <c r="AS40" i="258"/>
  <c r="AL40" i="253"/>
  <c r="T40" i="261"/>
  <c r="AS40" i="255"/>
  <c r="O40" i="262"/>
  <c r="BM40" i="259"/>
  <c r="AI40" i="261"/>
  <c r="X40"/>
  <c r="AD40" i="263"/>
  <c r="AN40" i="260"/>
  <c r="BH40" i="259"/>
  <c r="AC40" i="256"/>
  <c r="Q40" i="254"/>
  <c r="BE31" i="260"/>
  <c r="AQ31"/>
  <c r="AD31"/>
  <c r="BI31"/>
  <c r="BC31"/>
  <c r="S31"/>
  <c r="AW31"/>
  <c r="AB31"/>
  <c r="T31"/>
  <c r="AS31"/>
  <c r="L31"/>
  <c r="R31"/>
  <c r="AN31"/>
  <c r="AP31"/>
  <c r="M31"/>
  <c r="AO31"/>
  <c r="AU31"/>
  <c r="BD31"/>
  <c r="AT31"/>
  <c r="AX31"/>
  <c r="X31"/>
  <c r="AC31"/>
  <c r="O31"/>
  <c r="W31"/>
  <c r="AZ31"/>
  <c r="V31"/>
  <c r="AI31"/>
  <c r="BL31"/>
  <c r="BM31"/>
  <c r="AR31"/>
  <c r="BF31"/>
  <c r="AG31"/>
  <c r="AY31"/>
  <c r="AA31"/>
  <c r="BJ31"/>
  <c r="Q31"/>
  <c r="BH31"/>
  <c r="AK31"/>
  <c r="AJ31"/>
  <c r="U31"/>
  <c r="AL31"/>
  <c r="Y31"/>
  <c r="BG31"/>
  <c r="BK31"/>
  <c r="Z31"/>
  <c r="N31"/>
  <c r="AM31"/>
  <c r="AF31"/>
  <c r="K31"/>
  <c r="AV31"/>
  <c r="P31"/>
  <c r="BB31"/>
  <c r="AH31"/>
  <c r="I25"/>
  <c r="BA31"/>
  <c r="AE31"/>
  <c r="Z40" i="257"/>
  <c r="AW40" i="260"/>
  <c r="AJ40" i="256"/>
  <c r="AI40" i="263"/>
  <c r="W40" i="256"/>
  <c r="BF40" i="259"/>
  <c r="AU40" i="262"/>
  <c r="AV40" i="255"/>
  <c r="AS40" i="253"/>
  <c r="AW40" i="255"/>
  <c r="M40" i="260"/>
  <c r="AK40" i="261"/>
  <c r="BH40" i="257"/>
  <c r="AY40" i="261"/>
  <c r="BG40" i="259"/>
  <c r="Y40" i="256"/>
  <c r="BA40"/>
  <c r="N40" i="261"/>
  <c r="AL40" i="263"/>
  <c r="AI40" i="252"/>
  <c r="AI40" i="254"/>
  <c r="BK40" i="258"/>
  <c r="BH40" i="252"/>
  <c r="AJ40" i="263"/>
  <c r="V40" i="255"/>
  <c r="AT40" i="263"/>
  <c r="Y40" i="262"/>
  <c r="AJ40" i="260"/>
  <c r="AB40" i="259"/>
  <c r="M40" i="254"/>
  <c r="AJ31" i="258"/>
  <c r="AZ31"/>
  <c r="BM31"/>
  <c r="K31"/>
  <c r="AW31"/>
  <c r="AO31"/>
  <c r="AV31"/>
  <c r="AS31"/>
  <c r="AH31"/>
  <c r="AU31"/>
  <c r="AX31"/>
  <c r="V31"/>
  <c r="AG31"/>
  <c r="AM31"/>
  <c r="AP31"/>
  <c r="AT31"/>
  <c r="BH31"/>
  <c r="AY31"/>
  <c r="BI31"/>
  <c r="R31"/>
  <c r="BB31"/>
  <c r="AA31"/>
  <c r="AE31"/>
  <c r="BF31"/>
  <c r="BA31"/>
  <c r="W31"/>
  <c r="AK31"/>
  <c r="AQ31"/>
  <c r="U31"/>
  <c r="O31"/>
  <c r="AL31"/>
  <c r="L31"/>
  <c r="AR31"/>
  <c r="X31"/>
  <c r="AD31"/>
  <c r="BC31"/>
  <c r="Q31"/>
  <c r="BL31"/>
  <c r="BD31"/>
  <c r="AI31"/>
  <c r="M31"/>
  <c r="BK31"/>
  <c r="T31"/>
  <c r="AN31"/>
  <c r="N31"/>
  <c r="BE31"/>
  <c r="BJ31"/>
  <c r="Y31"/>
  <c r="BG31"/>
  <c r="AC31"/>
  <c r="AF31"/>
  <c r="AB31"/>
  <c r="S31"/>
  <c r="Z31"/>
  <c r="P31"/>
  <c r="I25"/>
  <c r="AG40" i="263"/>
  <c r="AO40" i="262"/>
  <c r="AF40" i="255"/>
  <c r="BB40"/>
  <c r="AU40" i="261"/>
  <c r="P40" i="257"/>
  <c r="O187" i="223"/>
  <c r="BD40" i="253"/>
  <c r="AP40" i="257"/>
  <c r="BB40" i="263"/>
  <c r="AT40" i="262"/>
  <c r="BF40" i="260"/>
  <c r="AN40" i="256"/>
  <c r="O189" i="237"/>
  <c r="BC40" i="261"/>
  <c r="AI40" i="256"/>
  <c r="AG40" i="253"/>
  <c r="AO40" i="257"/>
  <c r="S40" i="262"/>
  <c r="AE40" i="256"/>
  <c r="BC40" i="255"/>
  <c r="AM40" i="257"/>
  <c r="Z40" i="252"/>
  <c r="AD40" i="255"/>
  <c r="AZ40" i="257"/>
  <c r="AC40" i="261"/>
  <c r="AF40"/>
  <c r="AZ40" i="252"/>
  <c r="BG40" i="262"/>
  <c r="K40" i="254"/>
  <c r="O40" i="253"/>
  <c r="AF40"/>
  <c r="O80" i="237"/>
  <c r="BM40" i="258"/>
  <c r="L40" i="253"/>
  <c r="T40" i="255"/>
  <c r="BE40" i="263"/>
  <c r="AT40" i="259"/>
  <c r="Y40"/>
  <c r="M40"/>
  <c r="U40"/>
  <c r="AY40" i="260"/>
  <c r="AV40" i="254"/>
  <c r="AQ40"/>
  <c r="AH40" i="263"/>
  <c r="AQ40" i="257"/>
  <c r="K40" i="260"/>
  <c r="BH40" i="261"/>
  <c r="O40" i="255"/>
  <c r="AI40" i="262"/>
  <c r="AY40"/>
  <c r="W40" i="260"/>
  <c r="AQ40" i="262"/>
  <c r="AL40" i="255"/>
  <c r="AT40" i="252"/>
  <c r="BM40" i="260"/>
  <c r="X40" i="254"/>
  <c r="Q40" i="258"/>
  <c r="AZ40" i="262"/>
  <c r="S40" i="259"/>
  <c r="BG40" i="261"/>
  <c r="M40" i="255"/>
  <c r="BC40" i="263"/>
  <c r="BL40" i="257"/>
  <c r="AP40" i="263"/>
  <c r="Q40" i="257"/>
  <c r="BH40" i="262"/>
  <c r="BL40" i="260"/>
  <c r="AP40" i="262"/>
  <c r="BM40" i="252"/>
  <c r="X40" i="262"/>
  <c r="AF40" i="263"/>
  <c r="Q40" i="255"/>
  <c r="BA40" i="261"/>
  <c r="L40" i="257"/>
  <c r="R40" i="255"/>
  <c r="AV40" i="256"/>
  <c r="BI40" i="262"/>
  <c r="AK40" i="255"/>
  <c r="Y40" i="263"/>
  <c r="AD40" i="258"/>
  <c r="BG40" i="260"/>
  <c r="AI40" i="253"/>
  <c r="L40" i="258"/>
  <c r="AF40" i="256"/>
  <c r="AP40" i="260"/>
  <c r="AO40" i="256"/>
  <c r="O40" i="260"/>
  <c r="P40" i="258"/>
  <c r="BL40" i="254"/>
  <c r="BD40" i="258"/>
  <c r="BD40" i="254"/>
  <c r="AH40" i="261"/>
  <c r="AB40"/>
  <c r="T31" i="262"/>
  <c r="AK31"/>
  <c r="BC31"/>
  <c r="AJ31"/>
  <c r="V31"/>
  <c r="AZ31"/>
  <c r="AE31"/>
  <c r="AS31"/>
  <c r="I25"/>
  <c r="AD31"/>
  <c r="AW31"/>
  <c r="BB31"/>
  <c r="AH31"/>
  <c r="AC31"/>
  <c r="BI31"/>
  <c r="BD31"/>
  <c r="BL31"/>
  <c r="BM31"/>
  <c r="M31"/>
  <c r="N31"/>
  <c r="BG31"/>
  <c r="AI31"/>
  <c r="Q31"/>
  <c r="BH31"/>
  <c r="AA31"/>
  <c r="AG31"/>
  <c r="BF31"/>
  <c r="BA31"/>
  <c r="AX31"/>
  <c r="L31"/>
  <c r="AR31"/>
  <c r="W31"/>
  <c r="BK31"/>
  <c r="BE31"/>
  <c r="Y31"/>
  <c r="O31"/>
  <c r="AY31"/>
  <c r="X31"/>
  <c r="AF31"/>
  <c r="K31"/>
  <c r="AU31"/>
  <c r="R31"/>
  <c r="AM31"/>
  <c r="AQ31"/>
  <c r="S31"/>
  <c r="U31"/>
  <c r="AV31"/>
  <c r="P31"/>
  <c r="BJ31"/>
  <c r="AL31"/>
  <c r="AB31"/>
  <c r="AO31"/>
  <c r="AP31"/>
  <c r="AT31"/>
  <c r="Z31"/>
  <c r="AN31"/>
  <c r="AY40" i="258"/>
  <c r="AG40" i="259"/>
  <c r="AM40" i="256"/>
  <c r="V40" i="257"/>
  <c r="AI40" i="255"/>
  <c r="AF40" i="260"/>
  <c r="AJ40" i="258"/>
  <c r="A34" i="14"/>
  <c r="H53"/>
  <c r="H18"/>
  <c r="K42" i="261"/>
  <c r="K42" i="257"/>
  <c r="K42" i="260"/>
  <c r="M6" i="14"/>
  <c r="K41" i="261"/>
  <c r="R6" i="14"/>
  <c r="K41" i="258"/>
  <c r="K42" i="252"/>
  <c r="K42" i="253"/>
  <c r="K42" i="259"/>
  <c r="O6" i="14"/>
  <c r="L6"/>
  <c r="O8"/>
  <c r="V8"/>
  <c r="U6"/>
  <c r="T6"/>
  <c r="K41" i="259"/>
  <c r="L8" i="14"/>
  <c r="U8"/>
  <c r="Q8"/>
  <c r="R8"/>
  <c r="N8"/>
  <c r="K42" i="256"/>
  <c r="K42" i="258"/>
  <c r="K42" i="262"/>
  <c r="K42" i="254"/>
  <c r="S6" i="14"/>
  <c r="P8"/>
  <c r="M8"/>
  <c r="W8"/>
  <c r="W6"/>
  <c r="T8"/>
  <c r="K42" i="263"/>
  <c r="N6" i="14"/>
  <c r="S8"/>
  <c r="Q6"/>
  <c r="K42" i="255"/>
  <c r="P6" i="14"/>
  <c r="V6"/>
  <c r="A29" l="1"/>
  <c r="A17"/>
  <c r="H34"/>
  <c r="A41" l="1"/>
  <c r="H41" s="1"/>
  <c r="H17"/>
  <c r="H29"/>
  <c r="A54"/>
  <c r="A19" l="1"/>
  <c r="H54"/>
  <c r="A10" l="1"/>
  <c r="A47"/>
  <c r="H19"/>
  <c r="A46" l="1"/>
  <c r="H46" s="1"/>
  <c r="H10"/>
  <c r="A8"/>
  <c r="H8" s="1"/>
  <c r="H47"/>
  <c r="A48"/>
  <c r="H48" l="1"/>
  <c r="A62"/>
  <c r="H62" s="1"/>
  <c r="A51" l="1"/>
  <c r="H51" s="1"/>
  <c r="M168" i="237"/>
  <c r="AC2" i="18"/>
  <c r="K91" i="237"/>
  <c r="T22" i="18"/>
  <c r="K58" i="237"/>
  <c r="J118"/>
  <c r="BB28" i="15"/>
  <c r="U13" i="18"/>
  <c r="AB24" i="15"/>
  <c r="X21"/>
  <c r="I4" i="1"/>
  <c r="N156" i="223"/>
  <c r="D126" i="237"/>
  <c r="N23"/>
  <c r="D56" i="223"/>
  <c r="AO21" i="18"/>
  <c r="D141" i="237"/>
  <c r="G165"/>
  <c r="BJ15" i="18"/>
  <c r="BB29" i="15"/>
  <c r="H3" i="18"/>
  <c r="J57" i="223"/>
  <c r="D41" i="237"/>
  <c r="AW5" i="18"/>
  <c r="J28" i="237"/>
  <c r="AQ18" i="18"/>
  <c r="D28" i="223"/>
  <c r="J56"/>
  <c r="AE26" i="15"/>
  <c r="F87" i="223"/>
  <c r="O17" i="18"/>
  <c r="D137" i="223"/>
  <c r="H166" i="237"/>
  <c r="H76"/>
  <c r="I88"/>
  <c r="AV2" i="1"/>
  <c r="BC5" i="18"/>
  <c r="X16"/>
  <c r="AP5"/>
  <c r="F150" i="223"/>
  <c r="M8" i="18"/>
  <c r="AZ15"/>
  <c r="J44" i="237"/>
  <c r="AT31" i="15"/>
  <c r="M5" i="18"/>
  <c r="E186" i="223"/>
  <c r="K69"/>
  <c r="K27" i="15"/>
  <c r="BN20" i="18"/>
  <c r="AM24" i="15"/>
  <c r="AS27"/>
  <c r="F57" i="223"/>
  <c r="I149"/>
  <c r="L118"/>
  <c r="AQ21" i="18"/>
  <c r="BR17"/>
  <c r="X20" i="15"/>
  <c r="L62" i="223"/>
  <c r="D139" i="237"/>
  <c r="L77"/>
  <c r="H163" i="223"/>
  <c r="AK22" i="15"/>
  <c r="G61" i="223"/>
  <c r="N167" i="237"/>
  <c r="BH34" i="18"/>
  <c r="B166" i="223"/>
  <c r="E41"/>
  <c r="B118" i="237"/>
  <c r="M57"/>
  <c r="H160" i="223"/>
  <c r="AS7" i="18"/>
  <c r="C156" i="223"/>
  <c r="AX12" i="18"/>
  <c r="AV12"/>
  <c r="AI21"/>
  <c r="U8"/>
  <c r="J86" i="223"/>
  <c r="H148"/>
  <c r="B55" i="237"/>
  <c r="V9" i="18"/>
  <c r="T4"/>
  <c r="G92" i="237"/>
  <c r="B151" i="223"/>
  <c r="K22"/>
  <c r="C32" i="237"/>
  <c r="AH2" i="1"/>
  <c r="D122" i="237"/>
  <c r="H124"/>
  <c r="I20"/>
  <c r="AB2" i="18"/>
  <c r="AH15"/>
  <c r="F135" i="223"/>
  <c r="M54" i="237"/>
  <c r="E117"/>
  <c r="BL16" i="18"/>
  <c r="M29" i="15"/>
  <c r="L135" i="223"/>
  <c r="N59"/>
  <c r="H2" i="1"/>
  <c r="K156" i="237"/>
  <c r="C76"/>
  <c r="L33" i="223"/>
  <c r="S30" i="15"/>
  <c r="D38" i="237"/>
  <c r="N16" i="18"/>
  <c r="BP7"/>
  <c r="J61" i="223"/>
  <c r="N77"/>
  <c r="I19" i="1"/>
  <c r="E89" i="237"/>
  <c r="BR11" i="18"/>
  <c r="L182" i="237"/>
  <c r="E185" i="223"/>
  <c r="AU15" i="18"/>
  <c r="N91" i="223"/>
  <c r="AO6" i="18"/>
  <c r="C145" i="223"/>
  <c r="BH6" i="18"/>
  <c r="BE17"/>
  <c r="K30" i="15"/>
  <c r="B93" i="237"/>
  <c r="M22" i="15"/>
  <c r="B102" i="237"/>
  <c r="M55" i="223"/>
  <c r="H72"/>
  <c r="F123"/>
  <c r="V22" i="15"/>
  <c r="F15" i="1"/>
  <c r="N162" i="223"/>
  <c r="J44"/>
  <c r="C55" i="237"/>
  <c r="N91"/>
  <c r="N3" i="18"/>
  <c r="H13"/>
  <c r="B67" i="223"/>
  <c r="AN28" i="15"/>
  <c r="N21" i="223"/>
  <c r="AL11" i="18"/>
  <c r="M40" i="223"/>
  <c r="L133" i="237"/>
  <c r="I148"/>
  <c r="AK25" i="15"/>
  <c r="AI10" i="18"/>
  <c r="E87" i="237"/>
  <c r="I28" i="15"/>
  <c r="I21"/>
  <c r="BB26"/>
  <c r="N122" i="223"/>
  <c r="AN34" i="18"/>
  <c r="T12"/>
  <c r="E168" i="237"/>
  <c r="BK20" i="15"/>
  <c r="AX22" i="18"/>
  <c r="AD22"/>
  <c r="AI7"/>
  <c r="V2" i="1"/>
  <c r="S21" i="18"/>
  <c r="AX26" i="15"/>
  <c r="F133" i="223"/>
  <c r="AO11" i="18"/>
  <c r="AA20" i="15"/>
  <c r="BF22"/>
  <c r="J30"/>
  <c r="BE30"/>
  <c r="AZ22" i="18"/>
  <c r="G146" i="237"/>
  <c r="G117"/>
  <c r="AP12" i="18"/>
  <c r="L86" i="237"/>
  <c r="BG18" i="18"/>
  <c r="L168" i="223"/>
  <c r="D70" i="237"/>
  <c r="BF21" i="15"/>
  <c r="H86" i="223"/>
  <c r="N183"/>
  <c r="AG13" i="18"/>
  <c r="N27" i="237"/>
  <c r="AW20" i="18"/>
  <c r="AV25" i="15"/>
  <c r="K118" i="223"/>
  <c r="K26"/>
  <c r="F165"/>
  <c r="H24" i="237"/>
  <c r="B137"/>
  <c r="C101" i="18"/>
  <c r="AZ20"/>
  <c r="B184" i="237"/>
  <c r="L44"/>
  <c r="BC19" i="15"/>
  <c r="AH4" i="18"/>
  <c r="H26" i="237"/>
  <c r="H169" i="223"/>
  <c r="BR14" i="18"/>
  <c r="C38" i="223"/>
  <c r="AB20" i="15"/>
  <c r="G150" i="237"/>
  <c r="P20" i="15"/>
  <c r="J19"/>
  <c r="BL23"/>
  <c r="C95" i="237"/>
  <c r="AV22" i="15"/>
  <c r="F149" i="223"/>
  <c r="B42" i="237"/>
  <c r="AM20" i="15"/>
  <c r="N72" i="237"/>
  <c r="D185"/>
  <c r="J101" i="223"/>
  <c r="C186"/>
  <c r="J140"/>
  <c r="J141"/>
  <c r="D101" i="237"/>
  <c r="AM13" i="18"/>
  <c r="M25" i="237"/>
  <c r="M60" i="223"/>
  <c r="BG4" i="18"/>
  <c r="BK21" i="15"/>
  <c r="AR31"/>
  <c r="I33" i="237"/>
  <c r="BC23" i="15"/>
  <c r="D149" i="223"/>
  <c r="O26" i="15"/>
  <c r="AA18" i="18"/>
  <c r="M19"/>
  <c r="N46" i="223"/>
  <c r="N134" i="237"/>
  <c r="M161" i="223"/>
  <c r="D92" i="237"/>
  <c r="M28" i="15"/>
  <c r="AV21" i="18"/>
  <c r="F125" i="223"/>
  <c r="AN3" i="18"/>
  <c r="L68" i="223"/>
  <c r="C41" i="237"/>
  <c r="AR5" i="18"/>
  <c r="I24" i="223"/>
  <c r="F9" i="1"/>
  <c r="O6" i="18"/>
  <c r="H180" i="223"/>
  <c r="F156" i="237"/>
  <c r="B95"/>
  <c r="K183"/>
  <c r="AN23" i="15"/>
  <c r="L138" i="237"/>
  <c r="H77"/>
  <c r="E117" i="223"/>
  <c r="AI28" i="15"/>
  <c r="AG28"/>
  <c r="D131" i="223"/>
  <c r="J168"/>
  <c r="B173" i="237"/>
  <c r="M124" i="223"/>
  <c r="AG6" i="18"/>
  <c r="I127" i="223"/>
  <c r="AN8" i="18"/>
  <c r="E132" i="237"/>
  <c r="E121" i="223"/>
  <c r="L30" i="15"/>
  <c r="J11" i="18"/>
  <c r="AQ22" i="15"/>
  <c r="S15" i="18"/>
  <c r="I171" i="237"/>
  <c r="M115"/>
  <c r="I166"/>
  <c r="I31" i="223"/>
  <c r="BD23" i="15"/>
  <c r="K30" i="223"/>
  <c r="N29" i="15"/>
  <c r="BL11" i="18"/>
  <c r="M38" i="223"/>
  <c r="E94" i="237"/>
  <c r="N78"/>
  <c r="B85"/>
  <c r="H69" i="223"/>
  <c r="I39"/>
  <c r="BB27" i="15"/>
  <c r="N56" i="223"/>
  <c r="BI12" i="18"/>
  <c r="BD2" i="1"/>
  <c r="G125" i="237"/>
  <c r="H58"/>
  <c r="AD29" i="15"/>
  <c r="R16" i="18"/>
  <c r="M20" i="237"/>
  <c r="B108" i="18"/>
  <c r="L32" i="237"/>
  <c r="M59"/>
  <c r="C182" i="223"/>
  <c r="D121" i="237"/>
  <c r="G37" i="223"/>
  <c r="AX28" i="15"/>
  <c r="H21"/>
  <c r="Z2" i="18"/>
  <c r="K172" i="223"/>
  <c r="B72"/>
  <c r="M126" i="237"/>
  <c r="J70" i="223"/>
  <c r="AC14" i="18"/>
  <c r="E38" i="223"/>
  <c r="C130"/>
  <c r="M43" i="237"/>
  <c r="G93" i="223"/>
  <c r="AZ9" i="18"/>
  <c r="I184" i="223"/>
  <c r="G93" i="237"/>
  <c r="N120" i="223"/>
  <c r="Z23" i="15"/>
  <c r="BN22" i="18"/>
  <c r="D75" i="237"/>
  <c r="AO3" i="18"/>
  <c r="BR5"/>
  <c r="L73" i="237"/>
  <c r="AV20" i="15"/>
  <c r="AQ19" i="18"/>
  <c r="N125" i="223"/>
  <c r="M78" i="237"/>
  <c r="AR15" i="18"/>
  <c r="J21" i="15"/>
  <c r="D40" i="237"/>
  <c r="G185"/>
  <c r="AW26" i="15"/>
  <c r="H134" i="223"/>
  <c r="AJ17" i="18"/>
  <c r="B62" i="14"/>
  <c r="AW14" i="18"/>
  <c r="I26" i="223"/>
  <c r="N20" i="15"/>
  <c r="N22" i="223"/>
  <c r="K86" i="237"/>
  <c r="L45" i="223"/>
  <c r="AS15" i="18"/>
  <c r="X28" i="15"/>
  <c r="D154" i="237"/>
  <c r="D166" i="223"/>
  <c r="Z5" i="18"/>
  <c r="AD6"/>
  <c r="B34" i="14"/>
  <c r="B181" i="223"/>
  <c r="E162" i="237"/>
  <c r="AC13" i="18"/>
  <c r="BB24" i="15"/>
  <c r="D184" i="237"/>
  <c r="F58" i="223"/>
  <c r="BH20" i="18"/>
  <c r="AT22"/>
  <c r="AW2" i="1"/>
  <c r="L20" i="15"/>
  <c r="AG2" i="1"/>
  <c r="E56" i="223"/>
  <c r="I85" i="237"/>
  <c r="G44" i="223"/>
  <c r="E43" i="237"/>
  <c r="G90" i="223"/>
  <c r="L25" i="237"/>
  <c r="J126"/>
  <c r="J163"/>
  <c r="BL8" i="18"/>
  <c r="AX10"/>
  <c r="C135" i="237"/>
  <c r="I23"/>
  <c r="E169"/>
  <c r="F173" i="223"/>
  <c r="B77"/>
  <c r="C73"/>
  <c r="BE31" i="15"/>
  <c r="E183" i="237"/>
  <c r="G131"/>
  <c r="AS25" i="15"/>
  <c r="J171" i="237"/>
  <c r="C22"/>
  <c r="U12" i="18"/>
  <c r="N115" i="223"/>
  <c r="C39"/>
  <c r="J125"/>
  <c r="K19" i="15"/>
  <c r="BG16" i="18"/>
  <c r="AW17"/>
  <c r="AZ29" i="15"/>
  <c r="F62" i="237"/>
  <c r="H41" i="223"/>
  <c r="L145"/>
  <c r="O34" i="18"/>
  <c r="B163" i="237"/>
  <c r="B75"/>
  <c r="D135" i="223"/>
  <c r="F160"/>
  <c r="U20" i="18"/>
  <c r="BC20"/>
  <c r="K141" i="237"/>
  <c r="AM10" i="18"/>
  <c r="F127" i="223"/>
  <c r="AP18" i="18"/>
  <c r="BC26" i="15"/>
  <c r="BR12" i="18"/>
  <c r="AB21" i="15"/>
  <c r="H61" i="223"/>
  <c r="G74" i="237"/>
  <c r="L91" i="223"/>
  <c r="AU18" i="18"/>
  <c r="M145" i="237"/>
  <c r="G13" i="18"/>
  <c r="G100" i="223"/>
  <c r="BI23" i="15"/>
  <c r="AW24"/>
  <c r="AT21" i="18"/>
  <c r="H166" i="223"/>
  <c r="F72" i="237"/>
  <c r="H23"/>
  <c r="L160"/>
  <c r="C136" i="223"/>
  <c r="AU11" i="18"/>
  <c r="H116" i="237"/>
  <c r="M32"/>
  <c r="C134" i="223"/>
  <c r="C30" i="237"/>
  <c r="B94"/>
  <c r="K89" i="223"/>
  <c r="B185" i="237"/>
  <c r="P22" i="18"/>
  <c r="K103" i="223"/>
  <c r="J179"/>
  <c r="BL25" i="15"/>
  <c r="H147" i="237"/>
  <c r="H87" i="223"/>
  <c r="AI26" i="15"/>
  <c r="K180" i="223"/>
  <c r="I122"/>
  <c r="F22" i="1"/>
  <c r="V16" i="18"/>
  <c r="AN14"/>
  <c r="K33" i="223"/>
  <c r="H92" i="237"/>
  <c r="BC21" i="15"/>
  <c r="J115" i="223"/>
  <c r="T8" i="18"/>
  <c r="D24" i="237"/>
  <c r="J161"/>
  <c r="E179" i="223"/>
  <c r="AA12" i="18"/>
  <c r="BF19"/>
  <c r="K8"/>
  <c r="S9"/>
  <c r="I86" i="237"/>
  <c r="R31" i="15"/>
  <c r="B14" i="14"/>
  <c r="G180" i="237"/>
  <c r="J7" i="18"/>
  <c r="E137" i="223"/>
  <c r="AV20" i="18"/>
  <c r="K130" i="223"/>
  <c r="L120"/>
  <c r="H132"/>
  <c r="AG12" i="18"/>
  <c r="K94" i="223"/>
  <c r="AK8" i="18"/>
  <c r="M56" i="223"/>
  <c r="AU4" i="18"/>
  <c r="D94" i="237"/>
  <c r="E123" i="223"/>
  <c r="U17" i="18"/>
  <c r="AK21" i="15"/>
  <c r="E145" i="237"/>
  <c r="K152"/>
  <c r="J24"/>
  <c r="BG9" i="18"/>
  <c r="I138" i="223"/>
  <c r="H155" i="237"/>
  <c r="H12" i="18"/>
  <c r="H29" i="237"/>
  <c r="L150" i="223"/>
  <c r="C46"/>
  <c r="J181" i="237"/>
  <c r="M70" i="223"/>
  <c r="F134" i="237"/>
  <c r="L132"/>
  <c r="G3" i="18"/>
  <c r="M137" i="223"/>
  <c r="AI25" i="15"/>
  <c r="BJ11" i="18"/>
  <c r="N137" i="223"/>
  <c r="C46" i="237"/>
  <c r="BJ9" i="18"/>
  <c r="AS18"/>
  <c r="B23" i="223"/>
  <c r="M61"/>
  <c r="M6" i="18"/>
  <c r="BB2"/>
  <c r="C23" i="223"/>
  <c r="Y10" i="18"/>
  <c r="E58" i="237"/>
  <c r="J46" i="223"/>
  <c r="AC28" i="15"/>
  <c r="BR4" i="18"/>
  <c r="AS17"/>
  <c r="J8"/>
  <c r="Y5"/>
  <c r="C30" i="223"/>
  <c r="N57"/>
  <c r="H133" i="237"/>
  <c r="H22" i="18"/>
  <c r="L162" i="237"/>
  <c r="AL8" i="18"/>
  <c r="M156" i="237"/>
  <c r="N32" i="223"/>
  <c r="BH2" i="18"/>
  <c r="G152" i="237"/>
  <c r="F24"/>
  <c r="AO30" i="15"/>
  <c r="K78" i="223"/>
  <c r="BE23" i="15"/>
  <c r="K136" i="237"/>
  <c r="AA20" i="18"/>
  <c r="B59" i="14"/>
  <c r="I156" i="223"/>
  <c r="BK4" i="18"/>
  <c r="I170" i="237"/>
  <c r="M103"/>
  <c r="BR6" i="18"/>
  <c r="E45" i="223"/>
  <c r="AP29" i="15"/>
  <c r="AA3" i="18"/>
  <c r="B73" i="237"/>
  <c r="F116" i="223"/>
  <c r="T14" i="18"/>
  <c r="H162" i="237"/>
  <c r="E155" i="223"/>
  <c r="I95"/>
  <c r="B22"/>
  <c r="BC27" i="15"/>
  <c r="G171" i="237"/>
  <c r="V8" i="18"/>
  <c r="I69" i="223"/>
  <c r="BQ6" i="18"/>
  <c r="K4"/>
  <c r="BJ3"/>
  <c r="E182" i="237"/>
  <c r="J28" i="15"/>
  <c r="M151" i="237"/>
  <c r="G77" i="223"/>
  <c r="C78"/>
  <c r="D54" i="237"/>
  <c r="AY23" i="15"/>
  <c r="G7" i="18"/>
  <c r="AD21" i="15"/>
  <c r="M30"/>
  <c r="AY10" i="18"/>
  <c r="I18" i="1"/>
  <c r="W23" i="15"/>
  <c r="J131" i="223"/>
  <c r="G132" i="237"/>
  <c r="C42"/>
  <c r="K72" i="223"/>
  <c r="BA15" i="18"/>
  <c r="BL22"/>
  <c r="W17"/>
  <c r="W18"/>
  <c r="E156" i="237"/>
  <c r="G21" i="18"/>
  <c r="M118" i="237"/>
  <c r="B24"/>
  <c r="Z24" i="15"/>
  <c r="B45" i="14"/>
  <c r="AY19" i="15"/>
  <c r="M125" i="223"/>
  <c r="N163"/>
  <c r="C95"/>
  <c r="E180"/>
  <c r="N117"/>
  <c r="Y13" i="18"/>
  <c r="Y11"/>
  <c r="B44" i="14"/>
  <c r="BO4" i="18"/>
  <c r="D179" i="237"/>
  <c r="N41"/>
  <c r="BQ15" i="18"/>
  <c r="N19"/>
  <c r="D115" i="223"/>
  <c r="AE2" i="18"/>
  <c r="L115" i="223"/>
  <c r="AO28" i="15"/>
  <c r="W19" i="18"/>
  <c r="AI21" i="15"/>
  <c r="C118" i="237"/>
  <c r="B33" i="223"/>
  <c r="Z31" i="15"/>
  <c r="E179" i="237"/>
  <c r="E149"/>
  <c r="I73"/>
  <c r="AF10" i="18"/>
  <c r="E172" i="237"/>
  <c r="BC16" i="18"/>
  <c r="BK17"/>
  <c r="K72" i="237"/>
  <c r="Q20" i="15"/>
  <c r="I124" i="237"/>
  <c r="H26" i="15"/>
  <c r="G127" i="237"/>
  <c r="C165"/>
  <c r="K73" i="223"/>
  <c r="J9" i="18"/>
  <c r="B170" i="237"/>
  <c r="H163"/>
  <c r="AC30" i="15"/>
  <c r="AG27"/>
  <c r="F94" i="237"/>
  <c r="G91" i="223"/>
  <c r="B95"/>
  <c r="P17" i="18"/>
  <c r="C126" i="223"/>
  <c r="F185"/>
  <c r="J165"/>
  <c r="K32"/>
  <c r="AK9" i="18"/>
  <c r="I93" i="223"/>
  <c r="C173" i="237"/>
  <c r="K56" i="223"/>
  <c r="K60" i="237"/>
  <c r="H93" i="223"/>
  <c r="AT20" i="18"/>
  <c r="B51" i="14"/>
  <c r="H91" i="223"/>
  <c r="AO17" i="18"/>
  <c r="E69" i="237"/>
  <c r="C85"/>
  <c r="K124" i="223"/>
  <c r="M173"/>
  <c r="C186" i="237"/>
  <c r="F124" i="223"/>
  <c r="N84"/>
  <c r="M72" i="237"/>
  <c r="B70"/>
  <c r="L59"/>
  <c r="I121"/>
  <c r="B22"/>
  <c r="I29"/>
  <c r="N70" i="223"/>
  <c r="AK27" i="15"/>
  <c r="AU25"/>
  <c r="BE4" i="18"/>
  <c r="I182" i="223"/>
  <c r="AE2" i="1"/>
  <c r="G147" i="237"/>
  <c r="M26"/>
  <c r="G88"/>
  <c r="AR26" i="15"/>
  <c r="K84" i="237"/>
  <c r="I116" i="223"/>
  <c r="AW22" i="18"/>
  <c r="R28" i="15"/>
  <c r="R2" i="18"/>
  <c r="B163" i="223"/>
  <c r="C183" i="237"/>
  <c r="G57"/>
  <c r="BB25" i="15"/>
  <c r="K145" i="237"/>
  <c r="AC12" i="18"/>
  <c r="E138" i="237"/>
  <c r="AV15" i="18"/>
  <c r="Q12"/>
  <c r="M94" i="223"/>
  <c r="N27"/>
  <c r="BL6" i="18"/>
  <c r="BC13"/>
  <c r="B154" i="223"/>
  <c r="AE11" i="18"/>
  <c r="AY2" i="1"/>
  <c r="B61" i="223"/>
  <c r="P5" i="18"/>
  <c r="D156" i="223"/>
  <c r="L92"/>
  <c r="BC25" i="15"/>
  <c r="N83" i="223"/>
  <c r="AL4" i="18"/>
  <c r="M88" i="237"/>
  <c r="I4" i="18"/>
  <c r="Z17"/>
  <c r="AZ3"/>
  <c r="H23" i="223"/>
  <c r="AO21" i="15"/>
  <c r="H32" i="237"/>
  <c r="J17" i="18"/>
  <c r="BB4"/>
  <c r="I39" i="237"/>
  <c r="BC4" i="18"/>
  <c r="AT30" i="15"/>
  <c r="BF15" i="18"/>
  <c r="J4"/>
  <c r="B151" i="237"/>
  <c r="BH13" i="18"/>
  <c r="W12"/>
  <c r="L22" i="15"/>
  <c r="R20"/>
  <c r="AQ24"/>
  <c r="D69" i="223"/>
  <c r="M92"/>
  <c r="AU23" i="15"/>
  <c r="AL22"/>
  <c r="AD8" i="18"/>
  <c r="C121" i="223"/>
  <c r="L172" i="237"/>
  <c r="G121"/>
  <c r="AM23" i="15"/>
  <c r="G71" i="237"/>
  <c r="T23" i="15"/>
  <c r="J102" i="237"/>
  <c r="M122"/>
  <c r="C61" i="223"/>
  <c r="C55"/>
  <c r="E27" i="237"/>
  <c r="J150"/>
  <c r="F84"/>
  <c r="E27" i="223"/>
  <c r="K145"/>
  <c r="G10" i="18"/>
  <c r="AP6"/>
  <c r="AA14"/>
  <c r="AZ2"/>
  <c r="BN14"/>
  <c r="AH22" i="15"/>
  <c r="BA23"/>
  <c r="L21"/>
  <c r="J180" i="223"/>
  <c r="X9" i="18"/>
  <c r="BQ2"/>
  <c r="E140" i="237"/>
  <c r="AA6" i="18"/>
  <c r="G170" i="237"/>
  <c r="N126"/>
  <c r="I28"/>
  <c r="M133"/>
  <c r="D20" i="223"/>
  <c r="D167" i="237"/>
  <c r="M62" i="223"/>
  <c r="AX22" i="15"/>
  <c r="BE19"/>
  <c r="K170" i="237"/>
  <c r="AE21" i="18"/>
  <c r="Z14"/>
  <c r="AO26" i="15"/>
  <c r="I60" i="237"/>
  <c r="J135"/>
  <c r="AY15" i="18"/>
  <c r="G58" i="223"/>
  <c r="AP34" i="18"/>
  <c r="I100" i="223"/>
  <c r="J161"/>
  <c r="R29" i="15"/>
  <c r="AF16" i="18"/>
  <c r="J186" i="223"/>
  <c r="AU22" i="15"/>
  <c r="N166" i="237"/>
  <c r="J26"/>
  <c r="L164"/>
  <c r="H84" i="223"/>
  <c r="AZ21" i="18"/>
  <c r="K67" i="223"/>
  <c r="N133"/>
  <c r="C106" i="18"/>
  <c r="K41" i="1"/>
  <c r="BL14" i="18"/>
  <c r="H90" i="223"/>
  <c r="AO20" i="18"/>
  <c r="AX24" i="15"/>
  <c r="AU22" i="18"/>
  <c r="H164" i="237"/>
  <c r="L186"/>
  <c r="I74"/>
  <c r="D88" i="223"/>
  <c r="C168" i="237"/>
  <c r="E169" i="223"/>
  <c r="AJ18" i="18"/>
  <c r="I58" i="223"/>
  <c r="BG24" i="15"/>
  <c r="G63" i="223"/>
  <c r="G133" i="237"/>
  <c r="F152"/>
  <c r="L132" i="223"/>
  <c r="J179" i="237"/>
  <c r="BJ29" i="15"/>
  <c r="I67" i="237"/>
  <c r="Q21" i="18"/>
  <c r="H154" i="223"/>
  <c r="BO19" i="18"/>
  <c r="AR2" i="1"/>
  <c r="H4" i="18"/>
  <c r="N140" i="237"/>
  <c r="D183" i="223"/>
  <c r="H122" i="237"/>
  <c r="B183"/>
  <c r="AS24" i="15"/>
  <c r="Y19" i="18"/>
  <c r="J89" i="223"/>
  <c r="R19" i="18"/>
  <c r="H123" i="223"/>
  <c r="K169"/>
  <c r="F168"/>
  <c r="BA10" i="18"/>
  <c r="I12"/>
  <c r="J166" i="237"/>
  <c r="BJ6" i="18"/>
  <c r="F171" i="223"/>
  <c r="D92"/>
  <c r="L185" i="237"/>
  <c r="AB21" i="18"/>
  <c r="BE3"/>
  <c r="C125" i="223"/>
  <c r="H156" i="237"/>
  <c r="Q9" i="18"/>
  <c r="H172" i="237"/>
  <c r="AH21" i="15"/>
  <c r="C104" i="18"/>
  <c r="AQ3"/>
  <c r="M150" i="223"/>
  <c r="AA22" i="15"/>
  <c r="AL31"/>
  <c r="AY25"/>
  <c r="Q8" i="18"/>
  <c r="G23" i="237"/>
  <c r="L29" i="223"/>
  <c r="AJ6" i="18"/>
  <c r="AY24" i="15"/>
  <c r="I25"/>
  <c r="U25"/>
  <c r="D145" i="223"/>
  <c r="E141" i="237"/>
  <c r="B136"/>
  <c r="N24"/>
  <c r="D127" i="223"/>
  <c r="E167"/>
  <c r="C170"/>
  <c r="AW18" i="18"/>
  <c r="C60" i="237"/>
  <c r="V3" i="18"/>
  <c r="Z10"/>
  <c r="AL23" i="15"/>
  <c r="F149" i="237"/>
  <c r="J152"/>
  <c r="AO13" i="18"/>
  <c r="E78" i="237"/>
  <c r="AG5" i="18"/>
  <c r="H2"/>
  <c r="K123" i="237"/>
  <c r="J146" i="223"/>
  <c r="C58"/>
  <c r="H145"/>
  <c r="G171"/>
  <c r="K21"/>
  <c r="N8" i="18"/>
  <c r="E145" i="223"/>
  <c r="AC22" i="18"/>
  <c r="B54" i="14"/>
  <c r="F141" i="237"/>
  <c r="AY34" i="18"/>
  <c r="G38" i="223"/>
  <c r="I30"/>
  <c r="B41" i="237"/>
  <c r="F61"/>
  <c r="H42" i="223"/>
  <c r="N21" i="15"/>
  <c r="H153" i="223"/>
  <c r="K135" i="237"/>
  <c r="J91"/>
  <c r="M122" i="223"/>
  <c r="G22" i="18"/>
  <c r="D146" i="223"/>
  <c r="D71" i="237"/>
  <c r="AE28" i="15"/>
  <c r="B118" i="223"/>
  <c r="N146" i="237"/>
  <c r="C171"/>
  <c r="H139"/>
  <c r="AK20" i="18"/>
  <c r="B161" i="223"/>
  <c r="O18" i="18"/>
  <c r="BM20"/>
  <c r="J28" i="223"/>
  <c r="BK29" i="15"/>
  <c r="J136" i="223"/>
  <c r="H168"/>
  <c r="K20"/>
  <c r="H62" i="237"/>
  <c r="S19" i="15"/>
  <c r="N33" i="223"/>
  <c r="E171"/>
  <c r="S22" i="18"/>
  <c r="AC21" i="15"/>
  <c r="V25"/>
  <c r="V11" i="18"/>
  <c r="H182" i="223"/>
  <c r="AP19" i="15"/>
  <c r="R3" i="18"/>
  <c r="G119" i="223"/>
  <c r="BR19" i="18"/>
  <c r="E53" i="223"/>
  <c r="F179"/>
  <c r="BH17" i="18"/>
  <c r="AF24" i="15"/>
  <c r="F63" i="223"/>
  <c r="J134" i="237"/>
  <c r="BG7" i="18"/>
  <c r="D171" i="237"/>
  <c r="B50" i="14"/>
  <c r="E93" i="237"/>
  <c r="F26" i="223"/>
  <c r="N62" i="237"/>
  <c r="U10" i="18"/>
  <c r="I31" i="15"/>
  <c r="M38" i="237"/>
  <c r="AU20" i="18"/>
  <c r="AJ21" i="15"/>
  <c r="F83" i="237"/>
  <c r="K184" i="223"/>
  <c r="BP15" i="18"/>
  <c r="C140" i="223"/>
  <c r="K24"/>
  <c r="N25" i="15"/>
  <c r="C76" i="223"/>
  <c r="V6" i="18"/>
  <c r="F127" i="237"/>
  <c r="C138"/>
  <c r="M179" i="223"/>
  <c r="AR12" i="18"/>
  <c r="B120" i="223"/>
  <c r="C102" i="18"/>
  <c r="M154" i="237"/>
  <c r="Z21" i="18"/>
  <c r="AD22" i="15"/>
  <c r="M46" i="237"/>
  <c r="C145"/>
  <c r="I131" i="223"/>
  <c r="S6" i="18"/>
  <c r="I43" i="237"/>
  <c r="M41"/>
  <c r="BC8" i="18"/>
  <c r="I40" i="223"/>
  <c r="J151"/>
  <c r="AK23" i="15"/>
  <c r="BK18" i="18"/>
  <c r="C147" i="223"/>
  <c r="F85" i="237"/>
  <c r="BJ2" i="18"/>
  <c r="E103" i="237"/>
  <c r="B87" i="223"/>
  <c r="B52" i="14"/>
  <c r="H150" i="237"/>
  <c r="F41"/>
  <c r="H89"/>
  <c r="F102"/>
  <c r="I151"/>
  <c r="B57"/>
  <c r="AZ13" i="18"/>
  <c r="N68" i="223"/>
  <c r="J37"/>
  <c r="BD22" i="18"/>
  <c r="N45" i="223"/>
  <c r="L43" i="237"/>
  <c r="B92" i="223"/>
  <c r="D180"/>
  <c r="J71" i="237"/>
  <c r="AX23" i="15"/>
  <c r="BI7" i="18"/>
  <c r="D61" i="237"/>
  <c r="K20" i="15"/>
  <c r="M39" i="223"/>
  <c r="L45" i="237"/>
  <c r="AQ16" i="18"/>
  <c r="M20" i="223"/>
  <c r="B172"/>
  <c r="Y26" i="15"/>
  <c r="U6" i="18"/>
  <c r="X15"/>
  <c r="AJ12"/>
  <c r="E150" i="237"/>
  <c r="AT6" i="18"/>
  <c r="H127" i="223"/>
  <c r="D37" i="237"/>
  <c r="J42" i="223"/>
  <c r="P9" i="18"/>
  <c r="Q11"/>
  <c r="I168" i="223"/>
  <c r="AD13" i="18"/>
  <c r="N135" i="223"/>
  <c r="L69"/>
  <c r="C139"/>
  <c r="J58"/>
  <c r="K181" i="237"/>
  <c r="G55"/>
  <c r="D167" i="223"/>
  <c r="J119"/>
  <c r="AP26" i="15"/>
  <c r="BG5" i="18"/>
  <c r="G20"/>
  <c r="G89" i="223"/>
  <c r="AO2" i="18"/>
  <c r="B171" i="223"/>
  <c r="H179" i="237"/>
  <c r="BD26" i="15"/>
  <c r="AP9" i="18"/>
  <c r="BL4"/>
  <c r="V5"/>
  <c r="AS34"/>
  <c r="V20" i="15"/>
  <c r="AJ23"/>
  <c r="C131" i="237"/>
  <c r="F32" i="223"/>
  <c r="BL2" i="18"/>
  <c r="L85" i="237"/>
  <c r="AF3" i="18"/>
  <c r="D67" i="237"/>
  <c r="B134" i="223"/>
  <c r="E170" i="237"/>
  <c r="B84"/>
  <c r="N116" i="223"/>
  <c r="BR22" i="18"/>
  <c r="C101" i="237"/>
  <c r="AJ4" i="18"/>
  <c r="H141" i="237"/>
  <c r="G86"/>
  <c r="D137"/>
  <c r="G62" i="223"/>
  <c r="Z19" i="15"/>
  <c r="U27"/>
  <c r="S28"/>
  <c r="BN16" i="18"/>
  <c r="AL20"/>
  <c r="AI3"/>
  <c r="Q2" i="1"/>
  <c r="G163" i="237"/>
  <c r="F167" i="223"/>
  <c r="E155" i="237"/>
  <c r="B127" i="223"/>
  <c r="AY29" i="15"/>
  <c r="BI29"/>
  <c r="O3" i="18"/>
  <c r="Q16"/>
  <c r="AR21"/>
  <c r="H27" i="15"/>
  <c r="E123" i="237"/>
  <c r="W14" i="18"/>
  <c r="AH19"/>
  <c r="D134" i="237"/>
  <c r="F126"/>
  <c r="BI27" i="15"/>
  <c r="H85" i="237"/>
  <c r="N71"/>
  <c r="F69"/>
  <c r="L14" i="18"/>
  <c r="H18"/>
  <c r="Q22" i="15"/>
  <c r="W24"/>
  <c r="D46" i="237"/>
  <c r="AF29" i="15"/>
  <c r="BJ4" i="18"/>
  <c r="D181" i="223"/>
  <c r="F69"/>
  <c r="K140" i="237"/>
  <c r="D183"/>
  <c r="T11" i="18"/>
  <c r="H60" i="223"/>
  <c r="B168"/>
  <c r="AZ7" i="18"/>
  <c r="K28" i="223"/>
  <c r="AA5" i="18"/>
  <c r="I24" i="15"/>
  <c r="BD10" i="18"/>
  <c r="I161" i="223"/>
  <c r="G27" i="237"/>
  <c r="AS11" i="18"/>
  <c r="D120" i="223"/>
  <c r="AO24" i="15"/>
  <c r="BD5" i="18"/>
  <c r="AX7"/>
  <c r="N32" i="237"/>
  <c r="L73" i="223"/>
  <c r="J72" i="237"/>
  <c r="H78"/>
  <c r="AO22" i="18"/>
  <c r="Z22"/>
  <c r="D86" i="237"/>
  <c r="AQ27" i="15"/>
  <c r="E182" i="223"/>
  <c r="K151" i="237"/>
  <c r="D182" i="223"/>
  <c r="K155" i="237"/>
  <c r="AC24" i="15"/>
  <c r="L148" i="223"/>
  <c r="J29"/>
  <c r="J63"/>
  <c r="D141"/>
  <c r="G89" i="237"/>
  <c r="AK16" i="18"/>
  <c r="O31" i="15"/>
  <c r="D160" i="223"/>
  <c r="BB22" i="15"/>
  <c r="L58" i="223"/>
  <c r="AA17" i="18"/>
  <c r="X3"/>
  <c r="BK22" i="15"/>
  <c r="F60" i="223"/>
  <c r="H19" i="18"/>
  <c r="Z7"/>
  <c r="K115" i="223"/>
  <c r="BA21" i="18"/>
  <c r="R23" i="15"/>
  <c r="W30"/>
  <c r="AO27"/>
  <c r="AJ28"/>
  <c r="AN12" i="18"/>
  <c r="K180" i="237"/>
  <c r="H37"/>
  <c r="B48" i="14"/>
  <c r="AA21" i="18"/>
  <c r="G33" i="237"/>
  <c r="I3" i="1"/>
  <c r="AP19" i="18"/>
  <c r="E55" i="223"/>
  <c r="L69" i="237"/>
  <c r="V23" i="15"/>
  <c r="BD19"/>
  <c r="N136" i="237"/>
  <c r="T17" i="18"/>
  <c r="B76" i="237"/>
  <c r="F122"/>
  <c r="BR21" i="18"/>
  <c r="Q19" i="15"/>
  <c r="AY19" i="18"/>
  <c r="M63" i="223"/>
  <c r="AY18" i="18"/>
  <c r="F169" i="223"/>
  <c r="AK22" i="18"/>
  <c r="B28" i="237"/>
  <c r="I20" i="1"/>
  <c r="K38" i="237"/>
  <c r="BN11" i="18"/>
  <c r="E68" i="237"/>
  <c r="B154"/>
  <c r="W25" i="15"/>
  <c r="AT12" i="18"/>
  <c r="L38" i="223"/>
  <c r="BD11" i="18"/>
  <c r="K101" i="223"/>
  <c r="J116"/>
  <c r="M100" i="237"/>
  <c r="D72" i="223"/>
  <c r="N89"/>
  <c r="G68" i="237"/>
  <c r="L179"/>
  <c r="K182" i="223"/>
  <c r="I173" i="237"/>
  <c r="I117" i="223"/>
  <c r="H41" i="237"/>
  <c r="BC15" i="18"/>
  <c r="I85" i="223"/>
  <c r="G140"/>
  <c r="L167" i="237"/>
  <c r="H22" i="223"/>
  <c r="J101" i="237"/>
  <c r="N168" i="223"/>
  <c r="K134"/>
  <c r="N26"/>
  <c r="F139"/>
  <c r="L173"/>
  <c r="BN17" i="18"/>
  <c r="J130" i="237"/>
  <c r="AO4" i="18"/>
  <c r="L67" i="223"/>
  <c r="F8" i="1"/>
  <c r="L53" i="237"/>
  <c r="BQ11" i="18"/>
  <c r="C21" i="237"/>
  <c r="D25" i="223"/>
  <c r="F56" i="237"/>
  <c r="AF17" i="18"/>
  <c r="D164" i="237"/>
  <c r="K3" i="18"/>
  <c r="BQ19"/>
  <c r="H22" i="15"/>
  <c r="V13" i="18"/>
  <c r="C77" i="223"/>
  <c r="I25" i="237"/>
  <c r="L41"/>
  <c r="AZ10" i="18"/>
  <c r="O24" i="15"/>
  <c r="AU7" i="18"/>
  <c r="AO18"/>
  <c r="E127" i="223"/>
  <c r="M25"/>
  <c r="K73" i="237"/>
  <c r="BQ14" i="18"/>
  <c r="H84" i="237"/>
  <c r="AN27" i="15"/>
  <c r="AW13" i="18"/>
  <c r="AY22" i="15"/>
  <c r="G145" i="237"/>
  <c r="N141"/>
  <c r="H132"/>
  <c r="C32" i="223"/>
  <c r="J138" i="237"/>
  <c r="L163"/>
  <c r="Z8" i="18"/>
  <c r="Y23" i="15"/>
  <c r="AK19"/>
  <c r="AN9" i="18"/>
  <c r="D119" i="237"/>
  <c r="I11" i="18"/>
  <c r="AR19"/>
  <c r="N138" i="237"/>
  <c r="G24"/>
  <c r="AA30" i="15"/>
  <c r="AT4" i="18"/>
  <c r="N146" i="223"/>
  <c r="AH2" i="18"/>
  <c r="P15"/>
  <c r="I184" i="237"/>
  <c r="F14" i="1"/>
  <c r="AF7" i="18"/>
  <c r="N130" i="237"/>
  <c r="B37"/>
  <c r="E147" i="223"/>
  <c r="J56" i="237"/>
  <c r="I27" i="15"/>
  <c r="H43" i="237"/>
  <c r="AK21" i="18"/>
  <c r="H85" i="223"/>
  <c r="J24" i="15"/>
  <c r="AR19"/>
  <c r="AW7" i="18"/>
  <c r="C107"/>
  <c r="AD34"/>
  <c r="E85" i="223"/>
  <c r="C161"/>
  <c r="AU27" i="15"/>
  <c r="C56" i="237"/>
  <c r="BI28" i="15"/>
  <c r="I86" i="223"/>
  <c r="F121" i="237"/>
  <c r="AZ5" i="18"/>
  <c r="S13"/>
  <c r="BQ3"/>
  <c r="H46" i="237"/>
  <c r="N115"/>
  <c r="G71" i="223"/>
  <c r="AH28" i="15"/>
  <c r="N25" i="237"/>
  <c r="B98" i="18"/>
  <c r="AK26" i="15"/>
  <c r="N173" i="223"/>
  <c r="X21" i="18"/>
  <c r="J118" i="223"/>
  <c r="E20"/>
  <c r="BJ2" i="1"/>
  <c r="M70" i="237"/>
  <c r="F100"/>
  <c r="L150"/>
  <c r="M169"/>
  <c r="B63" i="223"/>
  <c r="P34" i="18"/>
  <c r="G167" i="223"/>
  <c r="D77"/>
  <c r="BB18" i="18"/>
  <c r="N14"/>
  <c r="E25" i="237"/>
  <c r="E152"/>
  <c r="B42" i="14"/>
  <c r="H83" i="237"/>
  <c r="AM22" i="15"/>
  <c r="E40" i="237"/>
  <c r="V30" i="15"/>
  <c r="AF2" i="1"/>
  <c r="BD21" i="18"/>
  <c r="BC31" i="15"/>
  <c r="BF27"/>
  <c r="F31" i="223"/>
  <c r="AZ27" i="15"/>
  <c r="B125" i="237"/>
  <c r="AA4" i="18"/>
  <c r="AL25" i="15"/>
  <c r="AH17" i="18"/>
  <c r="AN26" i="15"/>
  <c r="BL12" i="18"/>
  <c r="E181" i="223"/>
  <c r="J141" i="237"/>
  <c r="AL22" i="18"/>
  <c r="J76" i="237"/>
  <c r="F74" i="223"/>
  <c r="N21" i="18"/>
  <c r="BP5"/>
  <c r="B57" i="223"/>
  <c r="T20" i="15"/>
  <c r="I42" i="237"/>
  <c r="L166" i="223"/>
  <c r="B21"/>
  <c r="C20"/>
  <c r="J24"/>
  <c r="M17" i="18"/>
  <c r="N44" i="223"/>
  <c r="AX25" i="15"/>
  <c r="BG11" i="18"/>
  <c r="E93" i="223"/>
  <c r="X22" i="15"/>
  <c r="I185" i="237"/>
  <c r="O8" i="18"/>
  <c r="I43" i="223"/>
  <c r="E170"/>
  <c r="AN21" i="18"/>
  <c r="I60" i="223"/>
  <c r="F17" i="1"/>
  <c r="L139" i="237"/>
  <c r="AX19" i="15"/>
  <c r="G155" i="223"/>
  <c r="K53" i="237"/>
  <c r="D68" i="223"/>
  <c r="I183"/>
  <c r="BQ13" i="18"/>
  <c r="AI30" i="15"/>
  <c r="L101" i="237"/>
  <c r="B127"/>
  <c r="AQ20" i="15"/>
  <c r="M44" i="237"/>
  <c r="F45" i="223"/>
  <c r="B186" i="237"/>
  <c r="L26"/>
  <c r="C132" i="223"/>
  <c r="K63"/>
  <c r="B44" i="237"/>
  <c r="N165"/>
  <c r="J124"/>
  <c r="J94"/>
  <c r="B179" i="223"/>
  <c r="BA22" i="15"/>
  <c r="L61" i="223"/>
  <c r="L87" i="237"/>
  <c r="C75" i="223"/>
  <c r="AN24" i="15"/>
  <c r="BP21" i="18"/>
  <c r="I8"/>
  <c r="F186" i="223"/>
  <c r="G120"/>
  <c r="AB9" i="18"/>
  <c r="BJ21" i="15"/>
  <c r="I75" i="223"/>
  <c r="C25" i="237"/>
  <c r="BF2" i="18"/>
  <c r="M58" i="237"/>
  <c r="K165" i="223"/>
  <c r="L170" i="237"/>
  <c r="AF22" i="18"/>
  <c r="E164" i="223"/>
  <c r="C154"/>
  <c r="F183" i="237"/>
  <c r="AG14" i="18"/>
  <c r="BD6"/>
  <c r="F140" i="223"/>
  <c r="G30" i="15"/>
  <c r="M41" i="223"/>
  <c r="AW11" i="18"/>
  <c r="I169" i="223"/>
  <c r="B53" i="237"/>
  <c r="E161" i="223"/>
  <c r="AU6" i="18"/>
  <c r="J140" i="237"/>
  <c r="AA23" i="15"/>
  <c r="AH27"/>
  <c r="T22"/>
  <c r="M185" i="237"/>
  <c r="C92"/>
  <c r="BO6" i="18"/>
  <c r="B101" i="237"/>
  <c r="G70" i="223"/>
  <c r="AS3" i="18"/>
  <c r="N172" i="237"/>
  <c r="J41" i="223"/>
  <c r="D140" i="237"/>
  <c r="C71" i="223"/>
  <c r="K138"/>
  <c r="AN22" i="18"/>
  <c r="L155" i="237"/>
  <c r="B69"/>
  <c r="R5" i="18"/>
  <c r="AN19" i="15"/>
  <c r="M180" i="223"/>
  <c r="BG34" i="18"/>
  <c r="G25" i="223"/>
  <c r="AS23" i="15"/>
  <c r="AX18" i="18"/>
  <c r="C150" i="223"/>
  <c r="BE29" i="15"/>
  <c r="D84" i="223"/>
  <c r="AJ8" i="18"/>
  <c r="C47"/>
  <c r="D89" i="223"/>
  <c r="BI14" i="18"/>
  <c r="B32" i="237"/>
  <c r="J185"/>
  <c r="AL29" i="15"/>
  <c r="BP22" i="18"/>
  <c r="X31" i="15"/>
  <c r="AD19"/>
  <c r="E45" i="237"/>
  <c r="AZ19" i="18"/>
  <c r="AI6"/>
  <c r="K95" i="223"/>
  <c r="C164" i="237"/>
  <c r="T21" i="15"/>
  <c r="M91" i="237"/>
  <c r="C53" i="223"/>
  <c r="K39" i="237"/>
  <c r="G126" i="223"/>
  <c r="AL5" i="18"/>
  <c r="J160" i="223"/>
  <c r="B101"/>
  <c r="BJ21" i="18"/>
  <c r="H121" i="237"/>
  <c r="I150"/>
  <c r="J117" i="223"/>
  <c r="AM19" i="18"/>
  <c r="H167" i="223"/>
  <c r="O15" i="18"/>
  <c r="B30" i="237"/>
  <c r="J78"/>
  <c r="K141" i="223"/>
  <c r="F70" i="237"/>
  <c r="AD23" i="15"/>
  <c r="BP6" i="18"/>
  <c r="N6"/>
  <c r="K148" i="223"/>
  <c r="E57" i="237"/>
  <c r="C91"/>
  <c r="K127"/>
  <c r="E180"/>
  <c r="M167" i="223"/>
  <c r="E25"/>
  <c r="B37"/>
  <c r="G85"/>
  <c r="AU2" i="1"/>
  <c r="L135" i="237"/>
  <c r="I10" i="18"/>
  <c r="BF20" i="15"/>
  <c r="E103" i="223"/>
  <c r="BB20" i="18"/>
  <c r="AW21" i="15"/>
  <c r="L27" i="223"/>
  <c r="D61"/>
  <c r="C22"/>
  <c r="S10" i="18"/>
  <c r="M116" i="223"/>
  <c r="AD31" i="15"/>
  <c r="L160" i="223"/>
  <c r="AN6" i="18"/>
  <c r="BG14"/>
  <c r="C88" i="223"/>
  <c r="E101" i="237"/>
  <c r="E119"/>
  <c r="T25" i="15"/>
  <c r="F95" i="237"/>
  <c r="N121"/>
  <c r="M153"/>
  <c r="Y28" i="15"/>
  <c r="Y19"/>
  <c r="E183" i="223"/>
  <c r="BI18" i="18"/>
  <c r="G21" i="223"/>
  <c r="I182" i="237"/>
  <c r="H74" i="223"/>
  <c r="AX14" i="18"/>
  <c r="G22" i="223"/>
  <c r="C28"/>
  <c r="AO10" i="18"/>
  <c r="B162" i="237"/>
  <c r="C74" i="223"/>
  <c r="I23" i="15"/>
  <c r="G18" i="18"/>
  <c r="D118" i="237"/>
  <c r="O27" i="15"/>
  <c r="I147" i="237"/>
  <c r="G166" i="223"/>
  <c r="B166" i="237"/>
  <c r="K62" i="223"/>
  <c r="G33"/>
  <c r="M26" i="15"/>
  <c r="AH16" i="18"/>
  <c r="L5"/>
  <c r="H24" i="15"/>
  <c r="AJ25"/>
  <c r="BB3" i="18"/>
  <c r="N83" i="237"/>
  <c r="B85" i="223"/>
  <c r="AE22" i="15"/>
  <c r="F71" i="223"/>
  <c r="M125" i="237"/>
  <c r="F160"/>
  <c r="AG30" i="15"/>
  <c r="B38" i="223"/>
  <c r="D161" i="237"/>
  <c r="BH21" i="18"/>
  <c r="F94" i="223"/>
  <c r="P8" i="18"/>
  <c r="I24" i="237"/>
  <c r="BB12" i="18"/>
  <c r="E135" i="237"/>
  <c r="AG18" i="18"/>
  <c r="AH23" i="15"/>
  <c r="C138" i="223"/>
  <c r="AX31" i="15"/>
  <c r="T10" i="18"/>
  <c r="H30" i="223"/>
  <c r="B35" i="14"/>
  <c r="D60" i="223"/>
  <c r="AH20" i="15"/>
  <c r="BN8" i="18"/>
  <c r="F76" i="237"/>
  <c r="H117" i="223"/>
  <c r="C124"/>
  <c r="B153" i="237"/>
  <c r="K168"/>
  <c r="I153" i="223"/>
  <c r="J62"/>
  <c r="J139" i="237"/>
  <c r="BG26" i="15"/>
  <c r="N169" i="223"/>
  <c r="C69"/>
  <c r="N134"/>
  <c r="K162" i="237"/>
  <c r="J103" i="223"/>
  <c r="B147"/>
  <c r="H88" i="237"/>
  <c r="Y21" i="15"/>
  <c r="AG16" i="18"/>
  <c r="F184" i="223"/>
  <c r="AH5" i="18"/>
  <c r="J20" i="15"/>
  <c r="L134" i="237"/>
  <c r="Q18" i="18"/>
  <c r="N137" i="237"/>
  <c r="BA34" i="18"/>
  <c r="BQ12"/>
  <c r="M29" i="223"/>
  <c r="BG22" i="18"/>
  <c r="I77" i="223"/>
  <c r="E116"/>
  <c r="D117"/>
  <c r="H46"/>
  <c r="C29"/>
  <c r="AK12" i="18"/>
  <c r="I139" i="223"/>
  <c r="B9" i="14"/>
  <c r="AT15" i="18"/>
  <c r="AM12"/>
  <c r="BL3"/>
  <c r="B55" i="223"/>
  <c r="E86" i="237"/>
  <c r="N38" i="223"/>
  <c r="J75"/>
  <c r="N147"/>
  <c r="K31" i="237"/>
  <c r="BJ14" i="18"/>
  <c r="J70" i="237"/>
  <c r="Z20" i="15"/>
  <c r="BM22" i="18"/>
  <c r="B102"/>
  <c r="AZ24" i="15"/>
  <c r="K164" i="237"/>
  <c r="N184" i="223"/>
  <c r="H15" i="18"/>
  <c r="AG20"/>
  <c r="AX11"/>
  <c r="I22" i="15"/>
  <c r="N92" i="223"/>
  <c r="C117" i="237"/>
  <c r="AC8" i="18"/>
  <c r="K103" i="237"/>
  <c r="AK11" i="18"/>
  <c r="D151" i="237"/>
  <c r="I102" i="223"/>
  <c r="BJ20" i="15"/>
  <c r="T31"/>
  <c r="L117" i="223"/>
  <c r="G145"/>
  <c r="I115" i="237"/>
  <c r="L167" i="223"/>
  <c r="L23"/>
  <c r="AB3" i="18"/>
  <c r="B117" i="223"/>
  <c r="I180"/>
  <c r="H28" i="237"/>
  <c r="B61"/>
  <c r="F95" i="223"/>
  <c r="AG25" i="15"/>
  <c r="M23"/>
  <c r="V28"/>
  <c r="B185" i="223"/>
  <c r="AN2" i="1"/>
  <c r="J84" i="237"/>
  <c r="Q29" i="15"/>
  <c r="BQ10" i="18"/>
  <c r="D95" i="223"/>
  <c r="AE23" i="15"/>
  <c r="X8" i="18"/>
  <c r="R22" i="15"/>
  <c r="B37" i="14"/>
  <c r="E173" i="223"/>
  <c r="B29" i="185"/>
  <c r="AV13" i="18"/>
  <c r="D73" i="237"/>
  <c r="N154"/>
  <c r="M53"/>
  <c r="G152" i="223"/>
  <c r="I117" i="237"/>
  <c r="AY26" i="15"/>
  <c r="C88" i="237"/>
  <c r="AG22" i="15"/>
  <c r="L57" i="223"/>
  <c r="G117"/>
  <c r="R9" i="18"/>
  <c r="BA9"/>
  <c r="AI2" i="1"/>
  <c r="C116" i="223"/>
  <c r="D164"/>
  <c r="AG21" i="15"/>
  <c r="C181" i="223"/>
  <c r="D53" i="237"/>
  <c r="AH20" i="18"/>
  <c r="I120" i="223"/>
  <c r="L76" i="237"/>
  <c r="F59"/>
  <c r="C90"/>
  <c r="I123" i="223"/>
  <c r="E59"/>
  <c r="BA26" i="15"/>
  <c r="E32" i="237"/>
  <c r="M21" i="15"/>
  <c r="H57" i="237"/>
  <c r="BO22" i="18"/>
  <c r="AO22" i="15"/>
  <c r="AA19" i="18"/>
  <c r="F16" i="1"/>
  <c r="B32" i="223"/>
  <c r="AN20" i="15"/>
  <c r="S17" i="18"/>
  <c r="J22" i="223"/>
  <c r="BH8" i="18"/>
  <c r="L165" i="223"/>
  <c r="L86"/>
  <c r="F26" i="237"/>
  <c r="AJ22" i="15"/>
  <c r="M168" i="223"/>
  <c r="G31" i="15"/>
  <c r="S34" i="18"/>
  <c r="BH22"/>
  <c r="G32" i="237"/>
  <c r="M140" i="223"/>
  <c r="AA15" i="18"/>
  <c r="G123" i="223"/>
  <c r="S2" i="18"/>
  <c r="M28" i="237"/>
  <c r="G2" i="1"/>
  <c r="N2"/>
  <c r="D156" i="237"/>
  <c r="E26"/>
  <c r="F73"/>
  <c r="C134"/>
  <c r="G39" i="223"/>
  <c r="G78" i="237"/>
  <c r="B145"/>
  <c r="C91" i="223"/>
  <c r="AZ2" i="1"/>
  <c r="E152" i="223"/>
  <c r="C43"/>
  <c r="J167"/>
  <c r="AZ18" i="18"/>
  <c r="AH22"/>
  <c r="AJ21"/>
  <c r="G16"/>
  <c r="AA24" i="15"/>
  <c r="G26" i="237"/>
  <c r="AL24" i="15"/>
  <c r="E26" i="223"/>
  <c r="B146" i="237"/>
  <c r="J155" i="223"/>
  <c r="D173" i="237"/>
  <c r="B130"/>
  <c r="I90" i="223"/>
  <c r="F120" i="237"/>
  <c r="U4" i="18"/>
  <c r="V10"/>
  <c r="B86" i="223"/>
  <c r="AV2" i="18"/>
  <c r="BC9"/>
  <c r="U19" i="15"/>
  <c r="L46" i="223"/>
  <c r="F154"/>
  <c r="G34" i="18"/>
  <c r="C38" s="1"/>
  <c r="B105"/>
  <c r="W2" i="14"/>
  <c r="R19" i="15"/>
  <c r="D39" i="237"/>
  <c r="K23" i="223"/>
  <c r="BP2" i="18"/>
  <c r="J85" i="237"/>
  <c r="R15" i="18"/>
  <c r="M24" i="237"/>
  <c r="AU9" i="18"/>
  <c r="L102" i="237"/>
  <c r="AQ21" i="15"/>
  <c r="H168" i="237"/>
  <c r="S23" i="15"/>
  <c r="R21"/>
  <c r="L22" i="18"/>
  <c r="K25" i="15"/>
  <c r="AP13" i="18"/>
  <c r="AT24" i="15"/>
  <c r="F72" i="223"/>
  <c r="D102" i="237"/>
  <c r="D154" i="223"/>
  <c r="B135"/>
  <c r="AC27" i="15"/>
  <c r="C86" i="223"/>
  <c r="K137" i="237"/>
  <c r="P12" i="18"/>
  <c r="G42" i="237"/>
  <c r="AW6" i="18"/>
  <c r="H117" i="237"/>
  <c r="I30"/>
  <c r="F2" i="14"/>
  <c r="BQ18" i="18"/>
  <c r="F4" i="1"/>
  <c r="N179" i="237"/>
  <c r="L26" i="223"/>
  <c r="H76"/>
  <c r="L30"/>
  <c r="F88" i="237"/>
  <c r="K162" i="223"/>
  <c r="AR13" i="18"/>
  <c r="E57" i="223"/>
  <c r="T19" i="15"/>
  <c r="M77" i="237"/>
  <c r="C72" i="223"/>
  <c r="B150" i="237"/>
  <c r="L90" i="223"/>
  <c r="B59"/>
  <c r="I27" i="237"/>
  <c r="N76"/>
  <c r="BI21" i="18"/>
  <c r="AT3"/>
  <c r="AP2" i="1"/>
  <c r="J149" i="223"/>
  <c r="N28" i="237"/>
  <c r="I116"/>
  <c r="M75"/>
  <c r="I95"/>
  <c r="F23" i="1"/>
  <c r="N118" i="223"/>
  <c r="D171"/>
  <c r="BK21" i="18"/>
  <c r="L115" i="237"/>
  <c r="AL20" i="15"/>
  <c r="BF16" i="18"/>
  <c r="BL2" i="1"/>
  <c r="AF6" i="18"/>
  <c r="L28" i="223"/>
  <c r="E39"/>
  <c r="AI23" i="15"/>
  <c r="AW25"/>
  <c r="N69" i="237"/>
  <c r="AA22" i="18"/>
  <c r="AE9"/>
  <c r="AQ17"/>
  <c r="M92" i="237"/>
  <c r="H131"/>
  <c r="AH25" i="15"/>
  <c r="U22" i="18"/>
  <c r="BG27" i="15"/>
  <c r="N45" i="237"/>
  <c r="W4" i="18"/>
  <c r="N163" i="237"/>
  <c r="K125"/>
  <c r="D83"/>
  <c r="AN25" i="15"/>
  <c r="BF20" i="18"/>
  <c r="AB27" i="15"/>
  <c r="G139" i="223"/>
  <c r="M149"/>
  <c r="AM16" i="18"/>
  <c r="BL5"/>
  <c r="K166" i="223"/>
  <c r="AT23" i="15"/>
  <c r="K139" i="223"/>
  <c r="I7" i="18"/>
  <c r="BA22"/>
  <c r="AK19"/>
  <c r="AE27" i="15"/>
  <c r="D149" i="237"/>
  <c r="BP18" i="18"/>
  <c r="F136" i="237"/>
  <c r="K125" i="223"/>
  <c r="AO12" i="18"/>
  <c r="J186" i="237"/>
  <c r="BF30" i="15"/>
  <c r="D163" i="237"/>
  <c r="BR9" i="18"/>
  <c r="G31" i="223"/>
  <c r="BO16" i="18"/>
  <c r="L53" i="223"/>
  <c r="E70"/>
  <c r="G11" i="18"/>
  <c r="J135" i="223"/>
  <c r="BD20" i="18"/>
  <c r="N17"/>
  <c r="I160" i="237"/>
  <c r="C165" i="223"/>
  <c r="Q28" i="15"/>
  <c r="AQ12" i="18"/>
  <c r="I62" i="223"/>
  <c r="AR34" i="18"/>
  <c r="L21" i="223"/>
  <c r="L20" i="237"/>
  <c r="B132" i="223"/>
  <c r="G28"/>
  <c r="AV4" i="18"/>
  <c r="M172" i="223"/>
  <c r="E32"/>
  <c r="M147" i="237"/>
  <c r="C78"/>
  <c r="AQ4" i="18"/>
  <c r="I55" i="237"/>
  <c r="K68" i="223"/>
  <c r="L180"/>
  <c r="I74"/>
  <c r="N168" i="237"/>
  <c r="K84" i="223"/>
  <c r="K181"/>
  <c r="L120" i="237"/>
  <c r="I171" i="223"/>
  <c r="H101"/>
  <c r="K27" i="237"/>
  <c r="AM11" i="18"/>
  <c r="K33" i="237"/>
  <c r="AV10" i="18"/>
  <c r="L119" i="223"/>
  <c r="I149" i="237"/>
  <c r="T16" i="18"/>
  <c r="BH26" i="15"/>
  <c r="H123" i="237"/>
  <c r="BK28" i="15"/>
  <c r="I169" i="237"/>
  <c r="C94" i="223"/>
  <c r="B60" i="14"/>
  <c r="J148" i="223"/>
  <c r="AI9" i="18"/>
  <c r="N28" i="223"/>
  <c r="J136" i="237"/>
  <c r="B24" i="223"/>
  <c r="H62"/>
  <c r="K91"/>
  <c r="M120" i="237"/>
  <c r="I44"/>
  <c r="J43"/>
  <c r="G150" i="223"/>
  <c r="G43"/>
  <c r="K11" i="18"/>
  <c r="AT19"/>
  <c r="E140" i="223"/>
  <c r="G8" i="18"/>
  <c r="BQ7"/>
  <c r="I153" i="237"/>
  <c r="AW8" i="18"/>
  <c r="AB19"/>
  <c r="C127" i="237"/>
  <c r="B43"/>
  <c r="N87" i="223"/>
  <c r="AB31" i="15"/>
  <c r="M139" i="237"/>
  <c r="K53" i="223"/>
  <c r="J184"/>
  <c r="C92"/>
  <c r="BH14" i="18"/>
  <c r="C137" i="237"/>
  <c r="B14" i="185"/>
  <c r="K70" i="223"/>
  <c r="K153"/>
  <c r="D43"/>
  <c r="AO16" i="18"/>
  <c r="G120" i="237"/>
  <c r="J42"/>
  <c r="E118"/>
  <c r="J125"/>
  <c r="H45"/>
  <c r="F171"/>
  <c r="K34" i="18"/>
  <c r="BL34"/>
  <c r="N92" i="237"/>
  <c r="E29" i="223"/>
  <c r="N182"/>
  <c r="BP17" i="18"/>
  <c r="E33" i="237"/>
  <c r="H10" i="18"/>
  <c r="L71" i="223"/>
  <c r="K78" i="237"/>
  <c r="AD14" i="18"/>
  <c r="B103" i="223"/>
  <c r="E69"/>
  <c r="T29" i="15"/>
  <c r="P25"/>
  <c r="AQ2" i="18"/>
  <c r="N93" i="237"/>
  <c r="L184"/>
  <c r="AL30" i="15"/>
  <c r="J164" i="237"/>
  <c r="R22" i="18"/>
  <c r="L139" i="223"/>
  <c r="L2" i="18"/>
  <c r="BE10"/>
  <c r="AZ22" i="15"/>
  <c r="N160" i="237"/>
  <c r="B106" i="18"/>
  <c r="M62" i="237"/>
  <c r="H146" i="223"/>
  <c r="B60" i="237"/>
  <c r="C93" i="223"/>
  <c r="J122"/>
  <c r="Z12" i="18"/>
  <c r="L166" i="237"/>
  <c r="R10" i="18"/>
  <c r="L172" i="223"/>
  <c r="K152"/>
  <c r="AT26" i="15"/>
  <c r="BA21"/>
  <c r="BK10" i="18"/>
  <c r="AM27" i="15"/>
  <c r="F101" i="237"/>
  <c r="F68" i="223"/>
  <c r="H88"/>
  <c r="N75"/>
  <c r="M156"/>
  <c r="B155" i="237"/>
  <c r="Y22" i="15"/>
  <c r="AU21" i="18"/>
  <c r="J85" i="223"/>
  <c r="F153" i="237"/>
  <c r="C100"/>
  <c r="AJ5" i="18"/>
  <c r="N85" i="223"/>
  <c r="AH9" i="18"/>
  <c r="W2"/>
  <c r="H100" i="223"/>
  <c r="AD19" i="18"/>
  <c r="M163" i="223"/>
  <c r="K124" i="237"/>
  <c r="AK15" i="18"/>
  <c r="AC5"/>
  <c r="O9"/>
  <c r="L171" i="223"/>
  <c r="D168" i="237"/>
  <c r="B46" i="223"/>
  <c r="D84" i="237"/>
  <c r="D153" i="223"/>
  <c r="G167" i="237"/>
  <c r="T7" i="18"/>
  <c r="BB30" i="15"/>
  <c r="B180" i="223"/>
  <c r="L127"/>
  <c r="Y16" i="18"/>
  <c r="AT34"/>
  <c r="AE17"/>
  <c r="D20" i="237"/>
  <c r="N9" i="18"/>
  <c r="M165" i="223"/>
  <c r="E92" i="237"/>
  <c r="L56" i="223"/>
  <c r="AP10" i="18"/>
  <c r="R2" i="1"/>
  <c r="U2" i="18"/>
  <c r="N78" i="223"/>
  <c r="I37" i="237"/>
  <c r="F33"/>
  <c r="E61" i="223"/>
  <c r="K74" i="237"/>
  <c r="BH19" i="18"/>
  <c r="M173" i="237"/>
  <c r="K43" i="223"/>
  <c r="I140" i="237"/>
  <c r="AQ20" i="18"/>
  <c r="F184" i="237"/>
  <c r="E100" i="223"/>
  <c r="AS13" i="18"/>
  <c r="L74" i="237"/>
  <c r="J54"/>
  <c r="AH30" i="15"/>
  <c r="B62" i="237"/>
  <c r="H67"/>
  <c r="L34" i="18"/>
  <c r="AZ25" i="15"/>
  <c r="BK9" i="18"/>
  <c r="L68" i="237"/>
  <c r="BR8" i="18"/>
  <c r="I92" i="223"/>
  <c r="F76"/>
  <c r="D37"/>
  <c r="I5" i="1"/>
  <c r="I15" i="18"/>
  <c r="B152" i="237"/>
  <c r="I14" i="1"/>
  <c r="I130" i="237"/>
  <c r="F71"/>
  <c r="N22" i="15"/>
  <c r="H24" i="223"/>
  <c r="B12" i="185"/>
  <c r="G115" i="237"/>
  <c r="Z2" i="1"/>
  <c r="J89" i="237"/>
  <c r="AF20" i="15"/>
  <c r="C37" i="223"/>
  <c r="L94" i="237"/>
  <c r="M73" i="223"/>
  <c r="Q24" i="15"/>
  <c r="F46" i="237"/>
  <c r="N31"/>
  <c r="B75" i="223"/>
  <c r="M119" i="237"/>
  <c r="G83" i="223"/>
  <c r="K16" i="18"/>
  <c r="AM9"/>
  <c r="AC34"/>
  <c r="F153" i="223"/>
  <c r="I164" i="237"/>
  <c r="J93" i="223"/>
  <c r="B179" i="237"/>
  <c r="D57"/>
  <c r="D29"/>
  <c r="D132"/>
  <c r="D70" i="223"/>
  <c r="E73" i="237"/>
  <c r="N173"/>
  <c r="BG19" i="18"/>
  <c r="B28" i="223"/>
  <c r="K120" i="237"/>
  <c r="L156" i="223"/>
  <c r="J127" i="237"/>
  <c r="N101" i="223"/>
  <c r="B184"/>
  <c r="AZ34" i="18"/>
  <c r="I91" i="237"/>
  <c r="C70"/>
  <c r="E73" i="223"/>
  <c r="F40"/>
  <c r="H171" i="237"/>
  <c r="AF19" i="18"/>
  <c r="K149" i="223"/>
  <c r="BB19" i="18"/>
  <c r="J151" i="237"/>
  <c r="C85" i="223"/>
  <c r="J61" i="237"/>
  <c r="N86" i="223"/>
  <c r="B41"/>
  <c r="AX27" i="15"/>
  <c r="H134" i="237"/>
  <c r="E42" i="223"/>
  <c r="AY22" i="18"/>
  <c r="D172" i="223"/>
  <c r="M13" i="18"/>
  <c r="G23" i="223"/>
  <c r="D78" i="237"/>
  <c r="D133"/>
  <c r="H145"/>
  <c r="E78" i="223"/>
  <c r="I41" i="237"/>
  <c r="G147" i="223"/>
  <c r="S31" i="15"/>
  <c r="L126" i="237"/>
  <c r="D25"/>
  <c r="L38"/>
  <c r="I20" i="223"/>
  <c r="N127"/>
  <c r="G137" i="237"/>
  <c r="N124" i="223"/>
  <c r="I21"/>
  <c r="L125"/>
  <c r="E55" i="237"/>
  <c r="D170" i="223"/>
  <c r="V15" i="18"/>
  <c r="F57" i="237"/>
  <c r="AJ10" i="18"/>
  <c r="AG7"/>
  <c r="N90" i="237"/>
  <c r="F115" i="223"/>
  <c r="K43" i="237"/>
  <c r="BB22" i="18"/>
  <c r="D180" i="237"/>
  <c r="BB8" i="18"/>
  <c r="AK13"/>
  <c r="I10" i="1"/>
  <c r="H120" i="223"/>
  <c r="J32"/>
  <c r="M10" i="18"/>
  <c r="L70" i="223"/>
  <c r="BO10" i="18"/>
  <c r="AT19" i="15"/>
  <c r="L18" i="18"/>
  <c r="M167" i="237"/>
  <c r="BD14" i="18"/>
  <c r="E67" i="237"/>
  <c r="F101" i="223"/>
  <c r="E119"/>
  <c r="BH12" i="18"/>
  <c r="BH16"/>
  <c r="J23" i="223"/>
  <c r="BB7" i="18"/>
  <c r="B10" i="14"/>
  <c r="G88" i="223"/>
  <c r="F85"/>
  <c r="E101"/>
  <c r="W20" i="18"/>
  <c r="K170" i="223"/>
  <c r="U29" i="15"/>
  <c r="N93" i="223"/>
  <c r="BL18" i="18"/>
  <c r="BD27" i="15"/>
  <c r="J172" i="237"/>
  <c r="AX4" i="18"/>
  <c r="F172" i="223"/>
  <c r="L103" i="237"/>
  <c r="N28" i="15"/>
  <c r="AP3" i="18"/>
  <c r="J184" i="237"/>
  <c r="C102"/>
  <c r="D33"/>
  <c r="J40" i="223"/>
  <c r="E141"/>
  <c r="H68" i="237"/>
  <c r="V4" i="18"/>
  <c r="I94" i="237"/>
  <c r="J74" i="223"/>
  <c r="I54" i="237"/>
  <c r="D179" i="223"/>
  <c r="AZ6" i="18"/>
  <c r="D138" i="237"/>
  <c r="AE13" i="18"/>
  <c r="E40" i="223"/>
  <c r="AK29" i="15"/>
  <c r="Q3" i="18"/>
  <c r="AA7"/>
  <c r="N102" i="223"/>
  <c r="B100"/>
  <c r="Y21" i="18"/>
  <c r="M34"/>
  <c r="I155" i="237"/>
  <c r="I126"/>
  <c r="C71"/>
  <c r="E163" i="223"/>
  <c r="BF6" i="18"/>
  <c r="E70" i="237"/>
  <c r="D139" i="223"/>
  <c r="AV17" i="18"/>
  <c r="T20"/>
  <c r="I41" i="223"/>
  <c r="AT9" i="18"/>
  <c r="BA13"/>
  <c r="BF18"/>
  <c r="BR2"/>
  <c r="I145" i="237"/>
  <c r="B97" i="18"/>
  <c r="AN11"/>
  <c r="BN10"/>
  <c r="N89" i="237"/>
  <c r="Z21" i="15"/>
  <c r="F74" i="237"/>
  <c r="L165"/>
  <c r="G29"/>
  <c r="B120"/>
  <c r="BL7" i="18"/>
  <c r="AF20"/>
  <c r="I27" i="223"/>
  <c r="C77" i="237"/>
  <c r="L24" i="223"/>
  <c r="BB14" i="18"/>
  <c r="W34"/>
  <c r="C54" s="1"/>
  <c r="G170" i="223"/>
  <c r="H28" i="15"/>
  <c r="D38" i="223"/>
  <c r="X20" i="18"/>
  <c r="BH29" i="15"/>
  <c r="J120" i="237"/>
  <c r="E156" i="223"/>
  <c r="J5" i="18"/>
  <c r="N185" i="223"/>
  <c r="K25" i="237"/>
  <c r="B132"/>
  <c r="K69"/>
  <c r="L170" i="223"/>
  <c r="F20" i="1"/>
  <c r="BC29" i="15"/>
  <c r="BD16" i="18"/>
  <c r="G32" i="223"/>
  <c r="AD20" i="15"/>
  <c r="I22" i="18"/>
  <c r="AD30" i="15"/>
  <c r="F75" i="223"/>
  <c r="M115"/>
  <c r="D101"/>
  <c r="G169"/>
  <c r="E46"/>
  <c r="H37"/>
  <c r="L161" i="237"/>
  <c r="BF25" i="15"/>
  <c r="AM21"/>
  <c r="L25" i="223"/>
  <c r="D117" i="237"/>
  <c r="J149"/>
  <c r="B11" i="14"/>
  <c r="U9" i="18"/>
  <c r="H100" i="237"/>
  <c r="BJ8" i="18"/>
  <c r="Y25" i="15"/>
  <c r="AD3" i="18"/>
  <c r="D55" i="223"/>
  <c r="F12" i="1"/>
  <c r="AD15" i="18"/>
  <c r="AB26" i="15"/>
  <c r="BL28"/>
  <c r="R34" i="18"/>
  <c r="J32" i="237"/>
  <c r="G125" i="223"/>
  <c r="AQ30" i="15"/>
  <c r="H146" i="237"/>
  <c r="N57"/>
  <c r="N139" i="223"/>
  <c r="I103"/>
  <c r="F24"/>
  <c r="AG9" i="18"/>
  <c r="BA8"/>
  <c r="D133" i="223"/>
  <c r="L116" i="237"/>
  <c r="G54"/>
  <c r="G19" i="18"/>
  <c r="E102" i="223"/>
  <c r="AD7" i="18"/>
  <c r="B39" i="14"/>
  <c r="E150" i="223"/>
  <c r="G20" i="237"/>
  <c r="BC14" i="18"/>
  <c r="L154" i="237"/>
  <c r="G73"/>
  <c r="N140" i="223"/>
  <c r="G68"/>
  <c r="H70"/>
  <c r="M141" i="237"/>
  <c r="J69"/>
  <c r="H151" i="223"/>
  <c r="AA21" i="15"/>
  <c r="C141" i="223"/>
  <c r="AF28" i="15"/>
  <c r="X4" i="18"/>
  <c r="L147" i="223"/>
  <c r="BI22" i="18"/>
  <c r="L116" i="223"/>
  <c r="BM12" i="18"/>
  <c r="B133" i="223"/>
  <c r="AS2" i="1"/>
  <c r="K55" i="237"/>
  <c r="K160" i="223"/>
  <c r="C120"/>
  <c r="M74"/>
  <c r="H137"/>
  <c r="O16" i="18"/>
  <c r="AC2" i="1"/>
  <c r="M21" i="18"/>
  <c r="D162" i="223"/>
  <c r="K171"/>
  <c r="J91"/>
  <c r="M58"/>
  <c r="N123"/>
  <c r="V21" i="15"/>
  <c r="L84" i="223"/>
  <c r="AY31" i="15"/>
  <c r="M85" i="223"/>
  <c r="AQ6" i="18"/>
  <c r="K45" i="223"/>
  <c r="H34" i="18"/>
  <c r="AK2" i="1"/>
  <c r="C23" i="237"/>
  <c r="G148" i="223"/>
  <c r="G24"/>
  <c r="G40"/>
  <c r="M25" i="15"/>
  <c r="B171" i="237"/>
  <c r="E132" i="223"/>
  <c r="AB11" i="18"/>
  <c r="AJ34"/>
  <c r="N60" i="237"/>
  <c r="G95" i="223"/>
  <c r="S20" i="18"/>
  <c r="AJ16"/>
  <c r="D27" i="237"/>
  <c r="L70"/>
  <c r="K27" i="223"/>
  <c r="I118" i="237"/>
  <c r="I23" i="223"/>
  <c r="K59" i="237"/>
  <c r="F117" i="223"/>
  <c r="AC4" i="18"/>
  <c r="L67" i="237"/>
  <c r="H138"/>
  <c r="D162"/>
  <c r="BK25" i="15"/>
  <c r="V14" i="18"/>
  <c r="AB28" i="15"/>
  <c r="O7" i="18"/>
  <c r="AX29" i="15"/>
  <c r="C62" i="223"/>
  <c r="J123"/>
  <c r="M94" i="237"/>
  <c r="H53"/>
  <c r="K92"/>
  <c r="D26"/>
  <c r="B33"/>
  <c r="AC19" i="15"/>
  <c r="B100" i="237"/>
  <c r="G118" i="223"/>
  <c r="J100"/>
  <c r="AK30" i="15"/>
  <c r="I26"/>
  <c r="L152" i="237"/>
  <c r="S4" i="18"/>
  <c r="AY16"/>
  <c r="BH22" i="15"/>
  <c r="E164" i="237"/>
  <c r="BJ27" i="15"/>
  <c r="BL9" i="18"/>
  <c r="L2" i="1"/>
  <c r="D44" i="223"/>
  <c r="AN19" i="18"/>
  <c r="Z15"/>
  <c r="AY17"/>
  <c r="D68" i="237"/>
  <c r="AD4" i="18"/>
  <c r="J77" i="223"/>
  <c r="L13" i="18"/>
  <c r="E95" i="237"/>
  <c r="BG8" i="18"/>
  <c r="D134" i="223"/>
  <c r="D95" i="237"/>
  <c r="AU21" i="15"/>
  <c r="I120" i="237"/>
  <c r="BM19" i="18"/>
  <c r="J21" i="237"/>
  <c r="AB10" i="18"/>
  <c r="K185" i="237"/>
  <c r="D115"/>
  <c r="B78" i="223"/>
  <c r="AF8" i="18"/>
  <c r="H161" i="223"/>
  <c r="D125" i="237"/>
  <c r="I161"/>
  <c r="C123"/>
  <c r="J25" i="15"/>
  <c r="C38" i="237"/>
  <c r="L75" i="223"/>
  <c r="G40" i="237"/>
  <c r="L153" i="223"/>
  <c r="D93" i="237"/>
  <c r="D45"/>
  <c r="AR2" i="18"/>
  <c r="B21" i="14"/>
  <c r="D91" i="237"/>
  <c r="X19" i="18"/>
  <c r="B149" i="237"/>
  <c r="BL22" i="15"/>
  <c r="G119" i="237"/>
  <c r="M164" i="223"/>
  <c r="I21" i="1"/>
  <c r="AA31" i="15"/>
  <c r="J166" i="223"/>
  <c r="F118" i="237"/>
  <c r="D153"/>
  <c r="J2" i="18"/>
  <c r="F42" i="223"/>
  <c r="G183" i="237"/>
  <c r="B182" i="223"/>
  <c r="N170" i="237"/>
  <c r="BH2" i="1"/>
  <c r="BE21" i="15"/>
  <c r="Z28"/>
  <c r="BE13" i="18"/>
  <c r="AA2"/>
  <c r="I101" i="223"/>
  <c r="AF23" i="15"/>
  <c r="J119" i="237"/>
  <c r="F39" i="223"/>
  <c r="G9" i="18"/>
  <c r="L100" i="237"/>
  <c r="AO2" i="1"/>
  <c r="N53" i="237"/>
  <c r="J90" i="223"/>
  <c r="AP2" i="18"/>
  <c r="X26" i="15"/>
  <c r="L71" i="237"/>
  <c r="M154" i="223"/>
  <c r="AJ31" i="15"/>
  <c r="H56" i="223"/>
  <c r="Q6" i="18"/>
  <c r="BA17"/>
  <c r="L60" i="223"/>
  <c r="AB34" i="18"/>
  <c r="X13"/>
  <c r="L74" i="223"/>
  <c r="B148"/>
  <c r="E60" i="237"/>
  <c r="M141" i="223"/>
  <c r="H73"/>
  <c r="I167" i="237"/>
  <c r="E20"/>
  <c r="M67" i="223"/>
  <c r="K26" i="237"/>
  <c r="B36" i="14"/>
  <c r="AD10" i="18"/>
  <c r="M69" i="223"/>
  <c r="B37" i="18"/>
  <c r="AW21"/>
  <c r="B20" i="14"/>
  <c r="J57" i="237"/>
  <c r="F23"/>
  <c r="AX3" i="18"/>
  <c r="B161" i="237"/>
  <c r="BA18" i="18"/>
  <c r="D165" i="223"/>
  <c r="AA29" i="15"/>
  <c r="G12" i="18"/>
  <c r="J88" i="223"/>
  <c r="K102" i="237"/>
  <c r="M160"/>
  <c r="F83" i="223"/>
  <c r="E166"/>
  <c r="H43"/>
  <c r="K42"/>
  <c r="I92" i="237"/>
  <c r="AK14" i="18"/>
  <c r="I88" i="223"/>
  <c r="AS28" i="15"/>
  <c r="B116" i="223"/>
  <c r="AB16" i="18"/>
  <c r="R2" i="14"/>
  <c r="BH18" i="18"/>
  <c r="N95" i="237"/>
  <c r="H90"/>
  <c r="C27"/>
  <c r="U11" i="18"/>
  <c r="G164" i="237"/>
  <c r="B121" i="223"/>
  <c r="AS9" i="18"/>
  <c r="Z18"/>
  <c r="AS19"/>
  <c r="AY2"/>
  <c r="AI29" i="15"/>
  <c r="N148" i="237"/>
  <c r="R12" i="18"/>
  <c r="K126" i="223"/>
  <c r="BC28" i="15"/>
  <c r="B62" i="223"/>
  <c r="BM21" i="18"/>
  <c r="R13"/>
  <c r="L2" i="14"/>
  <c r="H19" i="15"/>
  <c r="AW20"/>
  <c r="AY20" i="18"/>
  <c r="AE6"/>
  <c r="M21" i="237"/>
  <c r="AL17" i="18"/>
  <c r="N31" i="15"/>
  <c r="C163" i="237"/>
  <c r="BG20" i="18"/>
  <c r="C57" i="223"/>
  <c r="S22" i="15"/>
  <c r="G184" i="223"/>
  <c r="AL16" i="18"/>
  <c r="V22"/>
  <c r="T26" i="15"/>
  <c r="V21" i="18"/>
  <c r="H7"/>
  <c r="BC21"/>
  <c r="C130" i="237"/>
  <c r="AH19" i="15"/>
  <c r="D28" i="237"/>
  <c r="M184"/>
  <c r="U15" i="18"/>
  <c r="I163" i="223"/>
  <c r="J124"/>
  <c r="D185"/>
  <c r="AE4" i="18"/>
  <c r="B54" i="237"/>
  <c r="BC18" i="18"/>
  <c r="G86" i="223"/>
  <c r="I5" i="18"/>
  <c r="AI19"/>
  <c r="N160" i="223"/>
  <c r="K62" i="237"/>
  <c r="BP20" i="18"/>
  <c r="AW34"/>
  <c r="N27" i="15"/>
  <c r="K70" i="237"/>
  <c r="BH19" i="15"/>
  <c r="BF34" i="18"/>
  <c r="N67" i="237"/>
  <c r="J137"/>
  <c r="M22" i="18"/>
  <c r="N119" i="237"/>
  <c r="M95" i="223"/>
  <c r="AY9" i="18"/>
  <c r="AT5"/>
  <c r="BC6"/>
  <c r="N11"/>
  <c r="I84" i="223"/>
  <c r="AB25" i="15"/>
  <c r="I70" i="237"/>
  <c r="BJ30" i="15"/>
  <c r="BO9" i="18"/>
  <c r="AJ29" i="15"/>
  <c r="L164" i="223"/>
  <c r="N20" i="18"/>
  <c r="D76" i="237"/>
  <c r="AG3" i="18"/>
  <c r="I123" i="237"/>
  <c r="AZ28" i="15"/>
  <c r="AB20" i="18"/>
  <c r="H136" i="237"/>
  <c r="M186" i="223"/>
  <c r="B123" i="237"/>
  <c r="N164" i="223"/>
  <c r="Z13" i="18"/>
  <c r="H185" i="223"/>
  <c r="AJ13" i="18"/>
  <c r="V7"/>
  <c r="I87" i="223"/>
  <c r="I12" i="1"/>
  <c r="AT18" i="18"/>
  <c r="D74" i="237"/>
  <c r="B167" i="223"/>
  <c r="L61" i="237"/>
  <c r="L28"/>
  <c r="G134" i="223"/>
  <c r="H94"/>
  <c r="AM3" i="18"/>
  <c r="G23" i="15"/>
  <c r="G22"/>
  <c r="AT20"/>
  <c r="K147" i="237"/>
  <c r="L100" i="223"/>
  <c r="M86"/>
  <c r="B117" i="237"/>
  <c r="Y22" i="18"/>
  <c r="Q19"/>
  <c r="G15"/>
  <c r="I163" i="237"/>
  <c r="AM18" i="18"/>
  <c r="J38" i="223"/>
  <c r="D56" i="237"/>
  <c r="S25" i="15"/>
  <c r="J115" i="237"/>
  <c r="L93" i="223"/>
  <c r="BM14" i="18"/>
  <c r="F89" i="223"/>
  <c r="BA12" i="18"/>
  <c r="BO15"/>
  <c r="H167" i="237"/>
  <c r="E122" i="223"/>
  <c r="H173"/>
  <c r="G25" i="15"/>
  <c r="H152" i="237"/>
  <c r="I6" i="18"/>
  <c r="K173" i="237"/>
  <c r="AX5" i="18"/>
  <c r="AH13"/>
  <c r="N186" i="223"/>
  <c r="D24"/>
  <c r="AX9" i="18"/>
  <c r="AF21" i="15"/>
  <c r="E84" i="237"/>
  <c r="K90"/>
  <c r="H173"/>
  <c r="AZ11" i="18"/>
  <c r="BD4"/>
  <c r="M102" i="223"/>
  <c r="B55" i="14"/>
  <c r="H95" i="223"/>
  <c r="L31" i="15"/>
  <c r="H170" i="237"/>
  <c r="I87"/>
  <c r="AP27" i="15"/>
  <c r="K131" i="237"/>
  <c r="Q25" i="15"/>
  <c r="I16" i="1"/>
  <c r="J138" i="223"/>
  <c r="C116" i="237"/>
  <c r="C68" i="223"/>
  <c r="O5" i="18"/>
  <c r="BF10"/>
  <c r="C124" i="237"/>
  <c r="BB21" i="18"/>
  <c r="E59" i="237"/>
  <c r="Q10" i="18"/>
  <c r="D30" i="237"/>
  <c r="M53" i="223"/>
  <c r="AL7" i="18"/>
  <c r="G121" i="223"/>
  <c r="M57"/>
  <c r="J22" i="18"/>
  <c r="F140" i="237"/>
  <c r="I130" i="223"/>
  <c r="AL26" i="15"/>
  <c r="C73" i="237"/>
  <c r="BL19" i="15"/>
  <c r="AP22"/>
  <c r="D57" i="223"/>
  <c r="M145"/>
  <c r="N58" i="237"/>
  <c r="AL34" i="18"/>
  <c r="BL17"/>
  <c r="AV26" i="15"/>
  <c r="AM29"/>
  <c r="M166" i="223"/>
  <c r="AB14" i="18"/>
  <c r="E136" i="237"/>
  <c r="G21"/>
  <c r="F27" i="223"/>
  <c r="C151" i="237"/>
  <c r="V17" i="18"/>
  <c r="I22" i="223"/>
  <c r="C161" i="237"/>
  <c r="I115" i="223"/>
  <c r="C160" i="237"/>
  <c r="G46" i="223"/>
  <c r="AB7" i="18"/>
  <c r="AR21" i="15"/>
  <c r="H31" i="237"/>
  <c r="J76" i="223"/>
  <c r="L7" i="18"/>
  <c r="L11"/>
  <c r="N183" i="237"/>
  <c r="BL26" i="15"/>
  <c r="J122" i="237"/>
  <c r="N44"/>
  <c r="AH24" i="15"/>
  <c r="D30" i="223"/>
  <c r="G27"/>
  <c r="S7" i="18"/>
  <c r="F137" i="237"/>
  <c r="AE34" i="18"/>
  <c r="I166" i="223"/>
  <c r="AT28" i="15"/>
  <c r="AZ19"/>
  <c r="E100" i="237"/>
  <c r="Q15" i="18"/>
  <c r="R17"/>
  <c r="N166" i="223"/>
  <c r="M30"/>
  <c r="AM26" i="15"/>
  <c r="AX21" i="18"/>
  <c r="L117" i="237"/>
  <c r="M68" i="223"/>
  <c r="E146" i="237"/>
  <c r="AG20" i="15"/>
  <c r="AT2" i="1"/>
  <c r="I160" i="223"/>
  <c r="B74" i="237"/>
  <c r="C156"/>
  <c r="M55"/>
  <c r="AC20" i="18"/>
  <c r="BR15"/>
  <c r="BH3"/>
  <c r="E135" i="223"/>
  <c r="G101" i="237"/>
  <c r="BQ9" i="18"/>
  <c r="L32" i="223"/>
  <c r="C153"/>
  <c r="E23"/>
  <c r="K100"/>
  <c r="N116" i="237"/>
  <c r="K89"/>
  <c r="H26" i="223"/>
  <c r="H136"/>
  <c r="H126" i="237"/>
  <c r="K160"/>
  <c r="I73" i="223"/>
  <c r="G87" i="237"/>
  <c r="H20" i="223"/>
  <c r="C184"/>
  <c r="G72"/>
  <c r="I32" i="237"/>
  <c r="J53" i="223"/>
  <c r="G182" i="237"/>
  <c r="BJ26" i="15"/>
  <c r="L183" i="237"/>
  <c r="AA19" i="15"/>
  <c r="F78" i="223"/>
  <c r="R26" i="15"/>
  <c r="AO23"/>
  <c r="D21" i="237"/>
  <c r="BL30" i="15"/>
  <c r="F18" i="1"/>
  <c r="BO14" i="18"/>
  <c r="N154" i="223"/>
  <c r="AW19" i="15"/>
  <c r="H30" i="237"/>
  <c r="G103" i="223"/>
  <c r="M131" i="237"/>
  <c r="K25" i="223"/>
  <c r="AR28" i="15"/>
  <c r="I185" i="223"/>
  <c r="M171" i="237"/>
  <c r="D26" i="223"/>
  <c r="AI20" i="18"/>
  <c r="J84" i="223"/>
  <c r="M7" i="18"/>
  <c r="BK23" i="15"/>
  <c r="D123" i="237"/>
  <c r="H20" i="18"/>
  <c r="G141" i="223"/>
  <c r="X30" i="15"/>
  <c r="F150" i="237"/>
  <c r="AN30" i="15"/>
  <c r="M77" i="223"/>
  <c r="E74" i="237"/>
  <c r="N141" i="223"/>
  <c r="AN10" i="18"/>
  <c r="P14"/>
  <c r="G153" i="223"/>
  <c r="Z19" i="18"/>
  <c r="N150" i="237"/>
  <c r="H121" i="223"/>
  <c r="D62"/>
  <c r="J173" i="237"/>
  <c r="AN21" i="15"/>
  <c r="D62" i="237"/>
  <c r="M43" i="223"/>
  <c r="R8" i="18"/>
  <c r="BJ10"/>
  <c r="B53" i="223"/>
  <c r="AD24" i="15"/>
  <c r="I2" i="14"/>
  <c r="K184" i="237"/>
  <c r="M136"/>
  <c r="BH31" i="15"/>
  <c r="J45" i="223"/>
  <c r="B110" i="18"/>
  <c r="B148" i="237"/>
  <c r="K26" i="15"/>
  <c r="M19"/>
  <c r="K133" i="237"/>
  <c r="C181"/>
  <c r="G102"/>
  <c r="F170" i="223"/>
  <c r="S27" i="15"/>
  <c r="Q22" i="18"/>
  <c r="F151" i="223"/>
  <c r="O21" i="15"/>
  <c r="M170" i="223"/>
  <c r="AU13" i="18"/>
  <c r="B58" i="14"/>
  <c r="D33" i="223"/>
  <c r="AX19" i="18"/>
  <c r="AV11"/>
  <c r="K75" i="237"/>
  <c r="B38"/>
  <c r="L140"/>
  <c r="N26" i="15"/>
  <c r="C96" i="18"/>
  <c r="I100" i="237"/>
  <c r="K126"/>
  <c r="M9" i="18"/>
  <c r="BK14"/>
  <c r="G134" i="237"/>
  <c r="B155" i="223"/>
  <c r="E44" i="237"/>
  <c r="K2" i="18"/>
  <c r="L85" i="223"/>
  <c r="AR3" i="18"/>
  <c r="AY14"/>
  <c r="E28" i="237"/>
  <c r="C110" i="18"/>
  <c r="AQ22"/>
  <c r="M14"/>
  <c r="J152" i="223"/>
  <c r="BF12" i="18"/>
  <c r="D85" i="237"/>
  <c r="I154" i="223"/>
  <c r="AC6" i="18"/>
  <c r="N85" i="237"/>
  <c r="AS19" i="15"/>
  <c r="AJ27"/>
  <c r="N41" i="223"/>
  <c r="J170" i="237"/>
  <c r="AP23" i="15"/>
  <c r="L78" i="223"/>
  <c r="L89"/>
  <c r="AR30" i="15"/>
  <c r="E95" i="223"/>
  <c r="BE34" i="18"/>
  <c r="Z25" i="15"/>
  <c r="AR24"/>
  <c r="Z30"/>
  <c r="G94" i="223"/>
  <c r="G44" i="237"/>
  <c r="S20" i="15"/>
  <c r="BH4" i="18"/>
  <c r="C74" i="237"/>
  <c r="J77"/>
  <c r="E75" i="223"/>
  <c r="Y8" i="18"/>
  <c r="AO29" i="15"/>
  <c r="L181" i="223"/>
  <c r="N15" i="18"/>
  <c r="C76"/>
  <c r="AU19" i="15"/>
  <c r="I9" i="1"/>
  <c r="V29" i="15"/>
  <c r="B76" i="223"/>
  <c r="AJ20" i="18"/>
  <c r="J162" i="223"/>
  <c r="BC22" i="18"/>
  <c r="BJ23" i="15"/>
  <c r="BP12" i="18"/>
  <c r="BK6"/>
  <c r="N61" i="223"/>
  <c r="H75" i="237"/>
  <c r="L15" i="18"/>
  <c r="BH21" i="15"/>
  <c r="T2" i="1"/>
  <c r="H29" i="15"/>
  <c r="BN12" i="18"/>
  <c r="D86" i="223"/>
  <c r="C89"/>
  <c r="F75" i="237"/>
  <c r="K153"/>
  <c r="AU17" i="18"/>
  <c r="AU16"/>
  <c r="M180" i="237"/>
  <c r="AY21" i="15"/>
  <c r="M127" i="223"/>
  <c r="F131"/>
  <c r="M31" i="15"/>
  <c r="U3" i="18"/>
  <c r="P4"/>
  <c r="BE26" i="15"/>
  <c r="J41" i="237"/>
  <c r="C125"/>
  <c r="AB30" i="15"/>
  <c r="AD11" i="18"/>
  <c r="B173" i="223"/>
  <c r="J39" i="237"/>
  <c r="C131" i="223"/>
  <c r="D116" i="237"/>
  <c r="H93"/>
  <c r="BO17" i="18"/>
  <c r="BA31" i="15"/>
  <c r="AQ19"/>
  <c r="M89" i="223"/>
  <c r="AQ13" i="18"/>
  <c r="BH30" i="15"/>
  <c r="N152" i="237"/>
  <c r="P2" i="18"/>
  <c r="C182" i="237"/>
  <c r="J58"/>
  <c r="BP11" i="18"/>
  <c r="I61" i="223"/>
  <c r="C69" i="18"/>
  <c r="I119" i="237"/>
  <c r="E165" i="223"/>
  <c r="G28" i="237"/>
  <c r="W10" i="18"/>
  <c r="AE18"/>
  <c r="L134" i="223"/>
  <c r="C103"/>
  <c r="F53"/>
  <c r="B107" i="18"/>
  <c r="L92" i="237"/>
  <c r="C40"/>
  <c r="B26"/>
  <c r="C146" i="223"/>
  <c r="P11" i="18"/>
  <c r="B23" i="14"/>
  <c r="K45" i="237"/>
  <c r="W5" i="18"/>
  <c r="D181" i="237"/>
  <c r="H118" i="223"/>
  <c r="M83"/>
  <c r="J145" i="237"/>
  <c r="AE7" i="18"/>
  <c r="B56" i="237"/>
  <c r="M90"/>
  <c r="G124" i="223"/>
  <c r="M4" i="18"/>
  <c r="B124" i="237"/>
  <c r="N172" i="223"/>
  <c r="AG26" i="15"/>
  <c r="AC9" i="18"/>
  <c r="L148" i="237"/>
  <c r="H56"/>
  <c r="BC2" i="1"/>
  <c r="L151" i="237"/>
  <c r="L87" i="223"/>
  <c r="W13" i="18"/>
  <c r="K41" i="223"/>
  <c r="E134" i="237"/>
  <c r="K117" i="223"/>
  <c r="D150" i="237"/>
  <c r="M39"/>
  <c r="BK8" i="18"/>
  <c r="N18"/>
  <c r="J116" i="237"/>
  <c r="H179" i="223"/>
  <c r="M164" i="237"/>
  <c r="M26" i="223"/>
  <c r="AZ16" i="18"/>
  <c r="AD9"/>
  <c r="L22" i="237"/>
  <c r="L103" i="223"/>
  <c r="Z11" i="18"/>
  <c r="AA27" i="15"/>
  <c r="AS21"/>
  <c r="M166" i="237"/>
  <c r="H184"/>
  <c r="BE16" i="18"/>
  <c r="BJ24" i="15"/>
  <c r="BG19"/>
  <c r="AP21" i="18"/>
  <c r="D173" i="223"/>
  <c r="K150"/>
  <c r="F166" i="237"/>
  <c r="C173" i="223"/>
  <c r="V12" i="18"/>
  <c r="K151" i="223"/>
  <c r="BE11" i="18"/>
  <c r="G185" i="223"/>
  <c r="B27" i="237"/>
  <c r="L141" i="223"/>
  <c r="AW30" i="15"/>
  <c r="AO19"/>
  <c r="H119" i="237"/>
  <c r="F84" i="223"/>
  <c r="AI18" i="18"/>
  <c r="AX2"/>
  <c r="G84" i="237"/>
  <c r="L154" i="223"/>
  <c r="BJ28" i="15"/>
  <c r="H5" i="18"/>
  <c r="I21" i="237"/>
  <c r="H171" i="223"/>
  <c r="G91" i="237"/>
  <c r="I45"/>
  <c r="AT29" i="15"/>
  <c r="BH24"/>
  <c r="J33" i="223"/>
  <c r="E92"/>
  <c r="N153" i="237"/>
  <c r="H186"/>
  <c r="E154"/>
  <c r="L77" i="223"/>
  <c r="L59"/>
  <c r="L124"/>
  <c r="BG6" i="18"/>
  <c r="J167" i="237"/>
  <c r="K139"/>
  <c r="F164"/>
  <c r="BI24" i="15"/>
  <c r="L31" i="223"/>
  <c r="K54" i="237"/>
  <c r="B46" i="14"/>
  <c r="AE5" i="18"/>
  <c r="D87" i="237"/>
  <c r="J148"/>
  <c r="B83"/>
  <c r="BI19" i="18"/>
  <c r="AE8"/>
  <c r="J123" i="237"/>
  <c r="B27" i="14"/>
  <c r="E90" i="223"/>
  <c r="M23"/>
  <c r="F28" i="237"/>
  <c r="E162" i="223"/>
  <c r="I155"/>
  <c r="I16" i="18"/>
  <c r="Z16"/>
  <c r="I138" i="237"/>
  <c r="BB19" i="15"/>
  <c r="E85" i="237"/>
  <c r="C62"/>
  <c r="I94" i="223"/>
  <c r="M90"/>
  <c r="G184" i="237"/>
  <c r="BH20" i="15"/>
  <c r="D140" i="223"/>
  <c r="BJ20" i="18"/>
  <c r="BD13"/>
  <c r="F186" i="237"/>
  <c r="L55"/>
  <c r="B169"/>
  <c r="C168" i="223"/>
  <c r="M118"/>
  <c r="AD21" i="18"/>
  <c r="J39" i="223"/>
  <c r="H149" i="237"/>
  <c r="J93"/>
  <c r="L25" i="15"/>
  <c r="R27"/>
  <c r="H147" i="223"/>
  <c r="E74"/>
  <c r="BF24" i="15"/>
  <c r="J182" i="237"/>
  <c r="C45"/>
  <c r="N180"/>
  <c r="AH8" i="18"/>
  <c r="I46" i="223"/>
  <c r="AJ19" i="15"/>
  <c r="D32" i="223"/>
  <c r="I38" i="237"/>
  <c r="M155" i="223"/>
  <c r="H130" i="237"/>
  <c r="K40" i="223"/>
  <c r="D102"/>
  <c r="H137" i="237"/>
  <c r="AB23" i="15"/>
  <c r="B11" i="185"/>
  <c r="AA13" i="18"/>
  <c r="F67" i="223"/>
  <c r="P22" i="15"/>
  <c r="AI16" i="18"/>
  <c r="D124" i="237"/>
  <c r="I141"/>
  <c r="F21" i="223"/>
  <c r="J21" i="18"/>
  <c r="D45" i="223"/>
  <c r="BE22" i="15"/>
  <c r="G163" i="223"/>
  <c r="M130" i="237"/>
  <c r="J156"/>
  <c r="AV24" i="15"/>
  <c r="BL27"/>
  <c r="F59" i="223"/>
  <c r="AU20" i="15"/>
  <c r="N120" i="237"/>
  <c r="F87"/>
  <c r="BE2" i="1"/>
  <c r="D103" i="237"/>
  <c r="N71" i="223"/>
  <c r="AO7" i="18"/>
  <c r="Y17"/>
  <c r="BD20" i="15"/>
  <c r="L121" i="237"/>
  <c r="C140"/>
  <c r="W20" i="15"/>
  <c r="I71" i="223"/>
  <c r="K10" i="18"/>
  <c r="K44" i="223"/>
  <c r="AB4" i="18"/>
  <c r="H186" i="223"/>
  <c r="N167"/>
  <c r="S16" i="18"/>
  <c r="BE12"/>
  <c r="BI3"/>
  <c r="C75" i="237"/>
  <c r="B119"/>
  <c r="BC12" i="18"/>
  <c r="K94" i="237"/>
  <c r="AT11" i="18"/>
  <c r="E77" i="237"/>
  <c r="AN20" i="18"/>
  <c r="G161" i="237"/>
  <c r="G172"/>
  <c r="M170"/>
  <c r="I134" i="223"/>
  <c r="K21" i="15"/>
  <c r="F86" i="223"/>
  <c r="Y2" i="18"/>
  <c r="BI11"/>
  <c r="C185" i="237"/>
  <c r="AY12" i="18"/>
  <c r="AO34"/>
  <c r="AJ14"/>
  <c r="G46" i="237"/>
  <c r="BN18" i="18"/>
  <c r="B141" i="237"/>
  <c r="C185" i="223"/>
  <c r="AQ10" i="18"/>
  <c r="H6"/>
  <c r="AR22"/>
  <c r="F88" i="223"/>
  <c r="C117"/>
  <c r="C183"/>
  <c r="E146"/>
  <c r="AM19" i="15"/>
  <c r="G115" i="223"/>
  <c r="F145"/>
  <c r="AC3" i="18"/>
  <c r="BA4"/>
  <c r="N123" i="237"/>
  <c r="AF18" i="18"/>
  <c r="AV5"/>
  <c r="AE19" i="15"/>
  <c r="F20" i="223"/>
  <c r="N22" i="18"/>
  <c r="W39"/>
  <c r="D152" i="223"/>
  <c r="AQ5" i="18"/>
  <c r="AF5"/>
  <c r="AG19" i="15"/>
  <c r="L43" i="223"/>
  <c r="O10" i="18"/>
  <c r="D44" i="237"/>
  <c r="H152" i="223"/>
  <c r="M146"/>
  <c r="H31" i="15"/>
  <c r="AE21"/>
  <c r="K135" i="223"/>
  <c r="AO8" i="18"/>
  <c r="F90" i="223"/>
  <c r="G160"/>
  <c r="E88"/>
  <c r="E118"/>
  <c r="AT17" i="18"/>
  <c r="H61" i="237"/>
  <c r="N151"/>
  <c r="W29" i="15"/>
  <c r="D186" i="223"/>
  <c r="K117" i="237"/>
  <c r="G131" i="223"/>
  <c r="AG23" i="15"/>
  <c r="V24"/>
  <c r="I118" i="223"/>
  <c r="D148" i="237"/>
  <c r="C169" i="223"/>
  <c r="H140" i="237"/>
  <c r="B165"/>
  <c r="N94"/>
  <c r="K12" i="18"/>
  <c r="N148" i="223"/>
  <c r="C83"/>
  <c r="BO3" i="18"/>
  <c r="BI20"/>
  <c r="AD2"/>
  <c r="J147" i="237"/>
  <c r="G94"/>
  <c r="G183" i="223"/>
  <c r="J26" i="15"/>
  <c r="V19"/>
  <c r="M161" i="237"/>
  <c r="AY6" i="18"/>
  <c r="C150" i="237"/>
  <c r="BK3" i="18"/>
  <c r="N102" i="237"/>
  <c r="B169" i="223"/>
  <c r="B141"/>
  <c r="K179" i="237"/>
  <c r="BI8" i="18"/>
  <c r="L42" i="237"/>
  <c r="M133" i="223"/>
  <c r="BM13" i="18"/>
  <c r="K23" i="15"/>
  <c r="D31" i="237"/>
  <c r="Z20" i="18"/>
  <c r="K169" i="237"/>
  <c r="AY21" i="18"/>
  <c r="H55" i="237"/>
  <c r="Q23" i="15"/>
  <c r="E89" i="223"/>
  <c r="BG28" i="15"/>
  <c r="F115" i="237"/>
  <c r="L57"/>
  <c r="G78" i="223"/>
  <c r="F29"/>
  <c r="E28"/>
  <c r="AG29" i="15"/>
  <c r="AR23"/>
  <c r="N7" i="18"/>
  <c r="AG2"/>
  <c r="AQ15"/>
  <c r="E168" i="223"/>
  <c r="AB18" i="18"/>
  <c r="I63" i="223"/>
  <c r="AY3" i="18"/>
  <c r="AV21" i="15"/>
  <c r="E163" i="237"/>
  <c r="BA30" i="15"/>
  <c r="H38" i="237"/>
  <c r="AN17" i="18"/>
  <c r="M120" i="223"/>
  <c r="C33" i="237"/>
  <c r="W22" i="18"/>
  <c r="L155" i="223"/>
  <c r="AL19" i="18"/>
  <c r="E53" i="237"/>
  <c r="E46"/>
  <c r="BG3" i="18"/>
  <c r="N138" i="223"/>
  <c r="I151"/>
  <c r="L121"/>
  <c r="C149"/>
  <c r="AI4" i="18"/>
  <c r="F19" i="1"/>
  <c r="AD39" i="18"/>
  <c r="N117" i="237"/>
  <c r="AQ26" i="15"/>
  <c r="F92" i="237"/>
  <c r="B168"/>
  <c r="L8" i="18"/>
  <c r="W6"/>
  <c r="H21" i="223"/>
  <c r="M30" i="237"/>
  <c r="B25"/>
  <c r="J31" i="15"/>
  <c r="AI13" i="18"/>
  <c r="F133" i="237"/>
  <c r="H120"/>
  <c r="F146" i="223"/>
  <c r="N88" i="237"/>
  <c r="M123" i="223"/>
  <c r="AA28" i="15"/>
  <c r="G6" i="18"/>
  <c r="I28" i="223"/>
  <c r="C20" i="237"/>
  <c r="G162"/>
  <c r="H44" i="223"/>
  <c r="C67" i="18"/>
  <c r="G146" i="223"/>
  <c r="BM2" i="18"/>
  <c r="K22" i="237"/>
  <c r="AS4" i="18"/>
  <c r="L39"/>
  <c r="B53" i="14"/>
  <c r="AO25" i="15"/>
  <c r="I136" i="237"/>
  <c r="AU5" i="18"/>
  <c r="J87" i="237"/>
  <c r="C133"/>
  <c r="AB12" i="18"/>
  <c r="BL13"/>
  <c r="T34"/>
  <c r="L102" i="223"/>
  <c r="J14" i="18"/>
  <c r="BD12"/>
  <c r="F68" i="237"/>
  <c r="B40"/>
  <c r="AO39" i="18"/>
  <c r="AF14"/>
  <c r="F117" i="237"/>
  <c r="AR8" i="18"/>
  <c r="M183" i="223"/>
  <c r="AW3" i="18"/>
  <c r="K83" i="237"/>
  <c r="BE14" i="18"/>
  <c r="AM21"/>
  <c r="K186" i="237"/>
  <c r="I61"/>
  <c r="AK34" i="18"/>
  <c r="BF11"/>
  <c r="H14"/>
  <c r="G139" i="237"/>
  <c r="AB15" i="18"/>
  <c r="M87" i="223"/>
  <c r="I45"/>
  <c r="C44"/>
  <c r="M165" i="237"/>
  <c r="J27" i="223"/>
  <c r="G100" i="237"/>
  <c r="U34" i="18"/>
  <c r="M27" i="223"/>
  <c r="BG17" i="18"/>
  <c r="AF31" i="15"/>
  <c r="F130" i="223"/>
  <c r="J19" i="18"/>
  <c r="L168" i="237"/>
  <c r="I101"/>
  <c r="F165"/>
  <c r="I3" i="18"/>
  <c r="BE20"/>
  <c r="L90" i="237"/>
  <c r="M59" i="223"/>
  <c r="AL18" i="18"/>
  <c r="K137" i="223"/>
  <c r="AJ2" i="1"/>
  <c r="BG23" i="15"/>
  <c r="G41" i="223"/>
  <c r="D22" i="237"/>
  <c r="AH11" i="18"/>
  <c r="N132" i="223"/>
  <c r="B31" i="237"/>
  <c r="W27" i="15"/>
  <c r="AU19" i="18"/>
  <c r="C61" i="237"/>
  <c r="BM8" i="18"/>
  <c r="I31" i="237"/>
  <c r="K185" i="223"/>
  <c r="L72" i="237"/>
  <c r="C99" i="18"/>
  <c r="BC7"/>
  <c r="I32" i="223"/>
  <c r="M45" i="237"/>
  <c r="H30" i="15"/>
  <c r="E125" i="237"/>
  <c r="M28" i="223"/>
  <c r="F145" i="237"/>
  <c r="D31" i="223"/>
  <c r="J78"/>
  <c r="BA7" i="18"/>
  <c r="L19"/>
  <c r="M45" i="223"/>
  <c r="G138"/>
  <c r="K116" i="237"/>
  <c r="M131" i="223"/>
  <c r="BB17" i="18"/>
  <c r="N122" i="237"/>
  <c r="B104" i="18"/>
  <c r="AP8"/>
  <c r="C166" i="237"/>
  <c r="M31"/>
  <c r="I124" i="223"/>
  <c r="M160"/>
  <c r="N59" i="237"/>
  <c r="AL21" i="18"/>
  <c r="Q7"/>
  <c r="AK10"/>
  <c r="G67" i="223"/>
  <c r="R7" i="18"/>
  <c r="M71" i="237"/>
  <c r="E125" i="223"/>
  <c r="AG40" i="18"/>
  <c r="BB40"/>
  <c r="BK12"/>
  <c r="F154" i="237"/>
  <c r="AV23" i="15"/>
  <c r="BM9" i="18"/>
  <c r="F132" i="237"/>
  <c r="L37" i="223"/>
  <c r="AF34" i="18"/>
  <c r="N70" i="237"/>
  <c r="J172" i="223"/>
  <c r="D131" i="237"/>
  <c r="K154" i="223"/>
  <c r="B102"/>
  <c r="BJ34" i="18"/>
  <c r="N2"/>
  <c r="L40" i="223"/>
  <c r="AL6" i="18"/>
  <c r="M132" i="237"/>
  <c r="C121"/>
  <c r="N132"/>
  <c r="BG10" i="18"/>
  <c r="X6"/>
  <c r="AE30" i="15"/>
  <c r="G165" i="223"/>
  <c r="U7" i="18"/>
  <c r="AH18"/>
  <c r="H154" i="237"/>
  <c r="E172" i="223"/>
  <c r="N40" i="18"/>
  <c r="AO40"/>
  <c r="J21" i="223"/>
  <c r="B69"/>
  <c r="B47" i="14"/>
  <c r="J121" i="237"/>
  <c r="AR14" i="18"/>
  <c r="S8"/>
  <c r="AS5"/>
  <c r="BQ20"/>
  <c r="I57" i="237"/>
  <c r="G164" i="223"/>
  <c r="E68"/>
  <c r="C42"/>
  <c r="K39"/>
  <c r="BA40" i="18"/>
  <c r="B93" i="223"/>
  <c r="N155" i="237"/>
  <c r="BI13" i="18"/>
  <c r="AH21"/>
  <c r="Z9"/>
  <c r="BH28" i="15"/>
  <c r="I186" i="223"/>
  <c r="BP14" i="18"/>
  <c r="H115" i="237"/>
  <c r="P26" i="15"/>
  <c r="K93" i="237"/>
  <c r="K168" i="223"/>
  <c r="BA20" i="18"/>
  <c r="AR7"/>
  <c r="AI39"/>
  <c r="G53" i="223"/>
  <c r="K116"/>
  <c r="G162"/>
  <c r="M68" i="237"/>
  <c r="B103" i="18"/>
  <c r="B74" i="223"/>
  <c r="T30" i="15"/>
  <c r="F168" i="237"/>
  <c r="AM15" i="18"/>
  <c r="AF19" i="15"/>
  <c r="O23"/>
  <c r="N161" i="237"/>
  <c r="AI24" i="15"/>
  <c r="N127" i="237"/>
  <c r="Y30" i="15"/>
  <c r="Q2" i="18"/>
  <c r="H21"/>
  <c r="I135" i="223"/>
  <c r="AF9" i="18"/>
  <c r="F20" i="237"/>
  <c r="F146"/>
  <c r="BL21" i="15"/>
  <c r="K95" i="237"/>
  <c r="U16" i="18"/>
  <c r="F58" i="237"/>
  <c r="AR10" i="18"/>
  <c r="J45" i="237"/>
  <c r="B7" i="185"/>
  <c r="BG25" i="15"/>
  <c r="BD25"/>
  <c r="Y9" i="18"/>
  <c r="F43" i="237"/>
  <c r="AW4" i="18"/>
  <c r="BC24" i="15"/>
  <c r="N121" i="223"/>
  <c r="BG2" i="1"/>
  <c r="F161" i="237"/>
  <c r="H11" i="18"/>
  <c r="AG15"/>
  <c r="E90" i="237"/>
  <c r="M127"/>
  <c r="I131"/>
  <c r="N184"/>
  <c r="I181" i="223"/>
  <c r="E56" i="237"/>
  <c r="P40" i="18"/>
  <c r="AF4"/>
  <c r="I58" i="237"/>
  <c r="AT7" i="18"/>
  <c r="L162" i="223"/>
  <c r="N42"/>
  <c r="M136"/>
  <c r="D145" i="237"/>
  <c r="J131"/>
  <c r="AZ17" i="18"/>
  <c r="H150" i="223"/>
  <c r="L62" i="237"/>
  <c r="J2" i="1"/>
  <c r="J87" i="223"/>
  <c r="AL19" i="15"/>
  <c r="M33" i="237"/>
  <c r="M21" i="223"/>
  <c r="K20" i="237"/>
  <c r="I20" i="18"/>
  <c r="K37" i="223"/>
  <c r="K122"/>
  <c r="K61" i="237"/>
  <c r="H91"/>
  <c r="J39" i="18"/>
  <c r="I78" i="223"/>
  <c r="H149"/>
  <c r="M169"/>
  <c r="F7" i="1"/>
  <c r="M186" i="237"/>
  <c r="N63" i="223"/>
  <c r="I6" i="1"/>
  <c r="AM25" i="15"/>
  <c r="AB22"/>
  <c r="D23" i="237"/>
  <c r="L149"/>
  <c r="AL3" i="18"/>
  <c r="K150" i="237"/>
  <c r="I147" i="223"/>
  <c r="L40" i="18"/>
  <c r="G62" i="237"/>
  <c r="W11" i="18"/>
  <c r="F70" i="223"/>
  <c r="B100" i="18"/>
  <c r="C179" i="223"/>
  <c r="B138" i="237"/>
  <c r="L141"/>
  <c r="BI15" i="18"/>
  <c r="C68" i="237"/>
  <c r="O20" i="18"/>
  <c r="N152" i="223"/>
  <c r="BG20" i="15"/>
  <c r="T18" i="18"/>
  <c r="B36"/>
  <c r="H122" i="223"/>
  <c r="O14" i="18"/>
  <c r="H25" i="237"/>
  <c r="C83" i="18"/>
  <c r="BL15"/>
  <c r="AU24" i="15"/>
  <c r="AO19" i="18"/>
  <c r="I67" i="223"/>
  <c r="F44"/>
  <c r="K61"/>
  <c r="AI12" i="18"/>
  <c r="P10"/>
  <c r="K123" i="223"/>
  <c r="BH9" i="18"/>
  <c r="F54" i="237"/>
  <c r="B49" i="14"/>
  <c r="AL40" i="18"/>
  <c r="BC34"/>
  <c r="F179" i="237"/>
  <c r="J100"/>
  <c r="AJ24" i="15"/>
  <c r="P28"/>
  <c r="E133" i="237"/>
  <c r="N37"/>
  <c r="AL27" i="15"/>
  <c r="H31" i="223"/>
  <c r="D85"/>
  <c r="BI26" i="15"/>
  <c r="AI22" i="18"/>
  <c r="L88" i="223"/>
  <c r="AS8" i="18"/>
  <c r="AP25" i="15"/>
  <c r="E139" i="237"/>
  <c r="N21"/>
  <c r="L24" i="15"/>
  <c r="B145" i="223"/>
  <c r="BJ7" i="18"/>
  <c r="BI4"/>
  <c r="K28" i="237"/>
  <c r="M31" i="223"/>
  <c r="B115" i="237"/>
  <c r="G31"/>
  <c r="K179" i="223"/>
  <c r="I126"/>
  <c r="C167" i="237"/>
  <c r="H119" i="223"/>
  <c r="K39" i="18"/>
  <c r="C30" i="1"/>
  <c r="I78" i="237"/>
  <c r="C167" i="223"/>
  <c r="N61" i="237"/>
  <c r="F61" i="223"/>
  <c r="B172" i="237"/>
  <c r="L130" i="223"/>
  <c r="N181" i="237"/>
  <c r="J139" i="223"/>
  <c r="C162" i="237"/>
  <c r="C88" i="18"/>
  <c r="BK2" i="1"/>
  <c r="Z22" i="15"/>
  <c r="G180" i="223"/>
  <c r="AP39" i="18"/>
  <c r="B46" i="237"/>
  <c r="N30"/>
  <c r="X2" i="18"/>
  <c r="BN21"/>
  <c r="T13"/>
  <c r="B147" i="237"/>
  <c r="J71" i="223"/>
  <c r="BR3" i="18"/>
  <c r="K132" i="223"/>
  <c r="E91"/>
  <c r="BE15" i="18"/>
  <c r="H29" i="223"/>
  <c r="N100"/>
  <c r="BF22" i="18"/>
  <c r="C27" i="223"/>
  <c r="J150"/>
  <c r="D58"/>
  <c r="L28" i="15"/>
  <c r="R4" i="18"/>
  <c r="L169" i="237"/>
  <c r="G122"/>
  <c r="AB6" i="18"/>
  <c r="AJ30" i="15"/>
  <c r="BB9" i="18"/>
  <c r="G73" i="223"/>
  <c r="D77" i="237"/>
  <c r="BI21" i="15"/>
  <c r="I14" i="18"/>
  <c r="BL29" i="15"/>
  <c r="G102" i="223"/>
  <c r="N131" i="237"/>
  <c r="D73" i="223"/>
  <c r="AQ23" i="15"/>
  <c r="H40" i="237"/>
  <c r="AM17" i="18"/>
  <c r="B15" i="185"/>
  <c r="K136" i="223"/>
  <c r="B73"/>
  <c r="H45"/>
  <c r="L181" i="237"/>
  <c r="AH3" i="18"/>
  <c r="AM31" i="15"/>
  <c r="J46" i="237"/>
  <c r="BH10" i="18"/>
  <c r="M182" i="237"/>
  <c r="AG22" i="18"/>
  <c r="L149" i="223"/>
  <c r="N31"/>
  <c r="AW31" i="15"/>
  <c r="F90" i="237"/>
  <c r="J95"/>
  <c r="B40" i="14"/>
  <c r="AV6" i="18"/>
  <c r="F100" i="223"/>
  <c r="K138" i="237"/>
  <c r="J30"/>
  <c r="B140" i="223"/>
  <c r="H153" i="237"/>
  <c r="G17" i="18"/>
  <c r="B150" i="223"/>
  <c r="J165" i="237"/>
  <c r="D46" i="223"/>
  <c r="G74"/>
  <c r="C63"/>
  <c r="AC19" i="18"/>
  <c r="B119" i="223"/>
  <c r="BC3" i="18"/>
  <c r="I37" i="223"/>
  <c r="AC39" i="18"/>
  <c r="AS30" i="15"/>
  <c r="H32" i="223"/>
  <c r="H63"/>
  <c r="G186" i="237"/>
  <c r="L146"/>
  <c r="I18" i="18"/>
  <c r="N73" i="223"/>
  <c r="AT21" i="15"/>
  <c r="F134" i="223"/>
  <c r="C184" i="237"/>
  <c r="T27" i="15"/>
  <c r="N73" i="237"/>
  <c r="H138" i="223"/>
  <c r="AX20" i="18"/>
  <c r="E122" i="237"/>
  <c r="G140"/>
  <c r="Q34" i="18"/>
  <c r="I20" i="15"/>
  <c r="K18" i="18"/>
  <c r="AD28" i="15"/>
  <c r="BA25"/>
  <c r="BR7" i="18"/>
  <c r="I145" i="223"/>
  <c r="AD17" i="18"/>
  <c r="AH26" i="15"/>
  <c r="E83" i="223"/>
  <c r="X5" i="18"/>
  <c r="J160" i="237"/>
  <c r="AG31" i="15"/>
  <c r="E60" i="223"/>
  <c r="N145"/>
  <c r="BK16" i="18"/>
  <c r="C93" i="237"/>
  <c r="B122"/>
  <c r="BE20" i="15"/>
  <c r="R11" i="18"/>
  <c r="D136" i="223"/>
  <c r="I102" i="237"/>
  <c r="C39"/>
  <c r="J163" i="223"/>
  <c r="B165"/>
  <c r="H58"/>
  <c r="L94"/>
  <c r="N39" i="237"/>
  <c r="BQ5" i="18"/>
  <c r="BN4"/>
  <c r="C29" i="237"/>
  <c r="O13" i="18"/>
  <c r="K164" i="223"/>
  <c r="L131" i="237"/>
  <c r="G28" i="15"/>
  <c r="N90" i="223"/>
  <c r="AR6" i="18"/>
  <c r="E41" i="237"/>
  <c r="S12" i="18"/>
  <c r="G130" i="237"/>
  <c r="K119" i="223"/>
  <c r="D135" i="237"/>
  <c r="M119" i="223"/>
  <c r="AE20" i="15"/>
  <c r="M155" i="237"/>
  <c r="D78" i="223"/>
  <c r="G182"/>
  <c r="M75"/>
  <c r="J102"/>
  <c r="AQ28" i="15"/>
  <c r="G58" i="237"/>
  <c r="BL10" i="18"/>
  <c r="C44"/>
  <c r="E29" i="237"/>
  <c r="C148" i="223"/>
  <c r="F24" i="1"/>
  <c r="P19" i="18"/>
  <c r="G95" i="237"/>
  <c r="BI10" i="18"/>
  <c r="AT22" i="15"/>
  <c r="E184" i="223"/>
  <c r="AZ31" i="15"/>
  <c r="M2" i="18"/>
  <c r="AS20"/>
  <c r="I137" i="223"/>
  <c r="E37" i="237"/>
  <c r="BE2" i="18"/>
  <c r="C108"/>
  <c r="F170" i="237"/>
  <c r="J20"/>
  <c r="G56"/>
  <c r="E94" i="223"/>
  <c r="J121"/>
  <c r="B86" i="237"/>
  <c r="B12" i="14"/>
  <c r="M11" i="18"/>
  <c r="K182" i="237"/>
  <c r="AX15" i="18"/>
  <c r="AM28" i="15"/>
  <c r="D41" i="223"/>
  <c r="C59" i="237"/>
  <c r="AY5" i="18"/>
  <c r="U22" i="15"/>
  <c r="BK30"/>
  <c r="T21" i="18"/>
  <c r="C115" i="223"/>
  <c r="AI31" i="15"/>
  <c r="AI5" i="18"/>
  <c r="J92" i="223"/>
  <c r="G101"/>
  <c r="W26" i="15"/>
  <c r="I70" i="223"/>
  <c r="K19" i="18"/>
  <c r="I57" i="223"/>
  <c r="AI34" i="18"/>
  <c r="M88" i="223"/>
  <c r="K32" i="237"/>
  <c r="N74"/>
  <c r="AT8" i="18"/>
  <c r="E62" i="237"/>
  <c r="M23"/>
  <c r="K165"/>
  <c r="AA11" i="18"/>
  <c r="AD25" i="15"/>
  <c r="F162" i="223"/>
  <c r="G151" i="237"/>
  <c r="C155" i="223"/>
  <c r="F29" i="237"/>
  <c r="X27" i="15"/>
  <c r="AE39" i="18"/>
  <c r="AW23" i="15"/>
  <c r="BJ12" i="18"/>
  <c r="H131" i="223"/>
  <c r="AC18" i="18"/>
  <c r="F185" i="237"/>
  <c r="Y20" i="15"/>
  <c r="AL14" i="18"/>
  <c r="AK17"/>
  <c r="N43" i="223"/>
  <c r="AE20" i="18"/>
  <c r="H102" i="237"/>
  <c r="F155"/>
  <c r="K100"/>
  <c r="AN29" i="15"/>
  <c r="AQ11" i="18"/>
  <c r="G22" i="237"/>
  <c r="H182"/>
  <c r="O4" i="18"/>
  <c r="M72" i="223"/>
  <c r="G186"/>
  <c r="AC22" i="15"/>
  <c r="G38" i="237"/>
  <c r="AE10" i="18"/>
  <c r="F23" i="223"/>
  <c r="BE18" i="18"/>
  <c r="AS29" i="15"/>
  <c r="AO14" i="18"/>
  <c r="F137" i="223"/>
  <c r="O30" i="15"/>
  <c r="L75" i="237"/>
  <c r="J94" i="223"/>
  <c r="I127" i="237"/>
  <c r="H59"/>
  <c r="H95"/>
  <c r="F148"/>
  <c r="BP10" i="18"/>
  <c r="D27" i="223"/>
  <c r="AN2" i="18"/>
  <c r="J34"/>
  <c r="AS6"/>
  <c r="E24" i="237"/>
  <c r="P21" i="18"/>
  <c r="O11"/>
  <c r="G156" i="237"/>
  <c r="C171" i="223"/>
  <c r="D148"/>
  <c r="C91" i="18"/>
  <c r="V31" i="15"/>
  <c r="D67" i="223"/>
  <c r="BB6" i="18"/>
  <c r="AT25" i="15"/>
  <c r="AE22" i="18"/>
  <c r="C152" i="237"/>
  <c r="AF27" i="15"/>
  <c r="N126" i="223"/>
  <c r="N25"/>
  <c r="C50" i="18"/>
  <c r="C122" i="237"/>
  <c r="E154" i="223"/>
  <c r="U30" i="15"/>
  <c r="G179" i="237"/>
  <c r="J92"/>
  <c r="H156" i="223"/>
  <c r="D166" i="237"/>
  <c r="BM18" i="18"/>
  <c r="BG15"/>
  <c r="AG21"/>
  <c r="N151" i="223"/>
  <c r="Y39" i="18"/>
  <c r="L22" i="223"/>
  <c r="H160" i="237"/>
  <c r="B134"/>
  <c r="G138"/>
  <c r="H54"/>
  <c r="E185"/>
  <c r="BG2" i="18"/>
  <c r="D55" i="237"/>
  <c r="B26" i="223"/>
  <c r="N149" i="237"/>
  <c r="AU10" i="18"/>
  <c r="L19" i="15"/>
  <c r="F27" i="237"/>
  <c r="BC10" i="18"/>
  <c r="D165" i="237"/>
  <c r="BA2" i="18"/>
  <c r="F180" i="237"/>
  <c r="C26" i="223"/>
  <c r="L60" i="237"/>
  <c r="D69"/>
  <c r="BK24" i="15"/>
  <c r="N22" i="237"/>
  <c r="F119"/>
  <c r="E131" i="223"/>
  <c r="I168" i="237"/>
  <c r="BM3" i="18"/>
  <c r="BA3"/>
  <c r="BH40"/>
  <c r="AG39"/>
  <c r="Y27" i="15"/>
  <c r="M179" i="237"/>
  <c r="B30" i="14"/>
  <c r="B41"/>
  <c r="K183" i="223"/>
  <c r="K133"/>
  <c r="P19" i="15"/>
  <c r="K22" i="18"/>
  <c r="L44" i="223"/>
  <c r="G24" i="15"/>
  <c r="N43" i="237"/>
  <c r="Y3" i="18"/>
  <c r="C24" i="237"/>
  <c r="M121" i="223"/>
  <c r="BK19" i="18"/>
  <c r="E37" i="223"/>
  <c r="BB23" i="15"/>
  <c r="N12" i="18"/>
  <c r="B88" i="223"/>
  <c r="D93"/>
  <c r="B92" i="237"/>
  <c r="N58" i="223"/>
  <c r="H53"/>
  <c r="AL13" i="18"/>
  <c r="C84" i="223"/>
  <c r="D100"/>
  <c r="D118"/>
  <c r="K40" i="18"/>
  <c r="BD39"/>
  <c r="AM5"/>
  <c r="AU28" i="15"/>
  <c r="M18" i="18"/>
  <c r="AS31" i="15"/>
  <c r="BN2" i="18"/>
  <c r="L156" i="237"/>
  <c r="I135"/>
  <c r="B58" i="223"/>
  <c r="E88" i="237"/>
  <c r="J73"/>
  <c r="N169"/>
  <c r="L41" i="223"/>
  <c r="F161"/>
  <c r="G85" i="237"/>
  <c r="AK39" i="18"/>
  <c r="E76" i="237"/>
  <c r="P18" i="18"/>
  <c r="E61" i="237"/>
  <c r="BL19" i="18"/>
  <c r="BM4"/>
  <c r="L95" i="223"/>
  <c r="F166"/>
  <c r="BQ16" i="18"/>
  <c r="K30" i="237"/>
  <c r="K38" i="223"/>
  <c r="V18" i="18"/>
  <c r="B115" i="223"/>
  <c r="AV7" i="18"/>
  <c r="T40"/>
  <c r="B59" i="237"/>
  <c r="L163" i="223"/>
  <c r="L101"/>
  <c r="C24"/>
  <c r="X12" i="18"/>
  <c r="S26" i="15"/>
  <c r="O22"/>
  <c r="H115" i="223"/>
  <c r="AE15" i="18"/>
  <c r="BH27" i="15"/>
  <c r="C120" i="237"/>
  <c r="W19" i="15"/>
  <c r="J27" i="237"/>
  <c r="C148"/>
  <c r="BQ22" i="18"/>
  <c r="I156" i="237"/>
  <c r="BG13" i="18"/>
  <c r="I13"/>
  <c r="AU3"/>
  <c r="AZ21" i="15"/>
  <c r="I30"/>
  <c r="J31" i="237"/>
  <c r="AY28" i="15"/>
  <c r="B160" i="237"/>
  <c r="F147" i="223"/>
  <c r="M22" i="237"/>
  <c r="E43" i="223"/>
  <c r="E33"/>
  <c r="AM40" i="18"/>
  <c r="B131" i="237"/>
  <c r="F164" i="223"/>
  <c r="J26"/>
  <c r="T15" i="18"/>
  <c r="N153" i="223"/>
  <c r="L55"/>
  <c r="O25" i="15"/>
  <c r="U24"/>
  <c r="BF26"/>
  <c r="AZ40" i="18"/>
  <c r="G155" i="237"/>
  <c r="M101"/>
  <c r="F44"/>
  <c r="F132" i="223"/>
  <c r="AP15" i="18"/>
  <c r="J173" i="223"/>
  <c r="G2" i="18"/>
  <c r="AS16"/>
  <c r="G19" i="15"/>
  <c r="S2" i="1"/>
  <c r="W31" i="15"/>
  <c r="BA2" i="1"/>
  <c r="B164" i="223"/>
  <c r="BR20" i="18"/>
  <c r="E151" i="223"/>
  <c r="E130" i="237"/>
  <c r="AY8" i="18"/>
  <c r="I84" i="237"/>
  <c r="D43"/>
  <c r="F55"/>
  <c r="H20" i="15"/>
  <c r="B164" i="237"/>
  <c r="Y31" i="15"/>
  <c r="B32" i="14"/>
  <c r="M85" i="237"/>
  <c r="B180"/>
  <c r="BE6" i="18"/>
  <c r="G70" i="237"/>
  <c r="G42" i="223"/>
  <c r="AQ40" i="18"/>
  <c r="BB31" i="15"/>
  <c r="G57" i="223"/>
  <c r="J18" i="18"/>
  <c r="Z29" i="15"/>
  <c r="BA6" i="18"/>
  <c r="C41" i="223"/>
  <c r="AD27" i="15"/>
  <c r="F102" i="223"/>
  <c r="AC29" i="15"/>
  <c r="BO21" i="18"/>
  <c r="N101" i="237"/>
  <c r="G75" i="223"/>
  <c r="G151"/>
  <c r="E130"/>
  <c r="BC39" i="18"/>
  <c r="F60" i="237"/>
  <c r="H33"/>
  <c r="L136" i="223"/>
  <c r="H69" i="237"/>
  <c r="L3" i="18"/>
  <c r="AT27" i="15"/>
  <c r="BI30"/>
  <c r="F120" i="223"/>
  <c r="AE19" i="18"/>
  <c r="BQ8"/>
  <c r="BP13"/>
  <c r="BE5"/>
  <c r="I11" i="1"/>
  <c r="D116" i="223"/>
  <c r="AV18" i="18"/>
  <c r="F162" i="237"/>
  <c r="J75"/>
  <c r="M32" i="223"/>
  <c r="AU2" i="18"/>
  <c r="N87" i="237"/>
  <c r="BJ39" i="18"/>
  <c r="AG17"/>
  <c r="I152" i="237"/>
  <c r="F91" i="223"/>
  <c r="F135" i="237"/>
  <c r="B15" i="14"/>
  <c r="T28" i="15"/>
  <c r="AP28"/>
  <c r="R21" i="18"/>
  <c r="M46" i="223"/>
  <c r="AR39" i="18"/>
  <c r="J67" i="237"/>
  <c r="U20" i="15"/>
  <c r="AS12" i="18"/>
  <c r="E77" i="223"/>
  <c r="B31" i="14"/>
  <c r="B67" i="237"/>
  <c r="C141"/>
  <c r="G30" i="223"/>
  <c r="AI8" i="18"/>
  <c r="C72" i="237"/>
  <c r="I25" i="223"/>
  <c r="L29" i="15"/>
  <c r="BI22"/>
  <c r="G92" i="223"/>
  <c r="K101" i="237"/>
  <c r="C84"/>
  <c r="BQ4" i="18"/>
  <c r="AE40"/>
  <c r="L137" i="237"/>
  <c r="F155" i="223"/>
  <c r="BC17" i="18"/>
  <c r="I7" i="1"/>
  <c r="D90" i="223"/>
  <c r="H183" i="237"/>
  <c r="D147"/>
  <c r="N145"/>
  <c r="K31" i="15"/>
  <c r="C56" i="223"/>
  <c r="AK24" i="15"/>
  <c r="K156" i="223"/>
  <c r="BF28" i="15"/>
  <c r="M153" i="223"/>
  <c r="BB5" i="18"/>
  <c r="C100"/>
  <c r="N88" i="223"/>
  <c r="G132"/>
  <c r="H20" i="237"/>
  <c r="U19" i="18"/>
  <c r="C28" i="237"/>
  <c r="M15" i="18"/>
  <c r="C180" i="223"/>
  <c r="AR22" i="15"/>
  <c r="AJ39" i="18"/>
  <c r="AH40"/>
  <c r="L4"/>
  <c r="AY4"/>
  <c r="J55" i="237"/>
  <c r="F38" i="223"/>
  <c r="J13" i="18"/>
  <c r="K172" i="237"/>
  <c r="M162" i="223"/>
  <c r="B90"/>
  <c r="BJ22" i="15"/>
  <c r="J169" i="237"/>
  <c r="K163"/>
  <c r="I83" i="223"/>
  <c r="G39" i="237"/>
  <c r="M124"/>
  <c r="N39" i="223"/>
  <c r="H125"/>
  <c r="J72"/>
  <c r="E22" i="237"/>
  <c r="L31"/>
  <c r="AJ19" i="18"/>
  <c r="L9"/>
  <c r="K118" i="237"/>
  <c r="AQ34" i="18"/>
  <c r="F21" i="1"/>
  <c r="AS26" i="15"/>
  <c r="C89" i="237"/>
  <c r="F77" i="223"/>
  <c r="AD16" i="18"/>
  <c r="I34"/>
  <c r="M20"/>
  <c r="W16"/>
  <c r="J60" i="223"/>
  <c r="K146"/>
  <c r="AH29" i="15"/>
  <c r="F131" i="237"/>
  <c r="D184" i="223"/>
  <c r="Q13" i="18"/>
  <c r="AT39"/>
  <c r="M71" i="223"/>
  <c r="F167" i="237"/>
  <c r="AN22" i="15"/>
  <c r="N180" i="223"/>
  <c r="J62" i="237"/>
  <c r="X17" i="18"/>
  <c r="W21"/>
  <c r="AJ22"/>
  <c r="D152" i="237"/>
  <c r="C170"/>
  <c r="J68"/>
  <c r="I180"/>
  <c r="G77"/>
  <c r="BF7" i="18"/>
  <c r="I26" i="237"/>
  <c r="AE16" i="18"/>
  <c r="J59" i="223"/>
  <c r="E54" i="237"/>
  <c r="AP14" i="18"/>
  <c r="P27" i="15"/>
  <c r="G67" i="237"/>
  <c r="E71" i="223"/>
  <c r="D150"/>
  <c r="V2" i="18"/>
  <c r="M69" i="237"/>
  <c r="BN15" i="18"/>
  <c r="AA25" i="15"/>
  <c r="P39" i="18"/>
  <c r="C105"/>
  <c r="I76" i="223"/>
  <c r="E181" i="237"/>
  <c r="BF31" i="15"/>
  <c r="F118" i="223"/>
  <c r="B135" i="237"/>
  <c r="K31" i="223"/>
  <c r="AR25" i="15"/>
  <c r="AL2" i="18"/>
  <c r="L63" i="223"/>
  <c r="B10" i="185"/>
  <c r="O28" i="15"/>
  <c r="F30" i="237"/>
  <c r="BK27" i="15"/>
  <c r="J25" i="237"/>
  <c r="C139"/>
  <c r="I183"/>
  <c r="D130"/>
  <c r="L146" i="223"/>
  <c r="B61" i="14"/>
  <c r="C109" i="18"/>
  <c r="H25" i="15"/>
  <c r="K134" i="237"/>
  <c r="G168"/>
  <c r="C26"/>
  <c r="AM8" i="18"/>
  <c r="S3"/>
  <c r="B6" i="185"/>
  <c r="AM14" i="18"/>
  <c r="AY11"/>
  <c r="P20"/>
  <c r="D42" i="223"/>
  <c r="BI5" i="18"/>
  <c r="L56" i="237"/>
  <c r="M147" i="223"/>
  <c r="C153" i="237"/>
  <c r="B23"/>
  <c r="G149"/>
  <c r="J68" i="223"/>
  <c r="AZ30" i="15"/>
  <c r="W15" i="18"/>
  <c r="P24" i="15"/>
  <c r="J29"/>
  <c r="BD24"/>
  <c r="E153" i="237"/>
  <c r="D136"/>
  <c r="D147" i="223"/>
  <c r="I56" i="237"/>
  <c r="E67" i="223"/>
  <c r="Y20" i="18"/>
  <c r="AR20" i="15"/>
  <c r="BF23"/>
  <c r="BB2" i="1"/>
  <c r="K119" i="237"/>
  <c r="J12" i="18"/>
  <c r="I140" i="223"/>
  <c r="C53" i="237"/>
  <c r="I22" i="1"/>
  <c r="F130" i="237"/>
  <c r="AV19" i="15"/>
  <c r="S14" i="18"/>
  <c r="K93" i="223"/>
  <c r="N19" i="15"/>
  <c r="J156" i="223"/>
  <c r="AY27" i="15"/>
  <c r="H83" i="223"/>
  <c r="BA24" i="15"/>
  <c r="F43" i="223"/>
  <c r="D124"/>
  <c r="J103" i="237"/>
  <c r="C58"/>
  <c r="I179"/>
  <c r="I33" i="223"/>
  <c r="F92"/>
  <c r="AZ20" i="15"/>
  <c r="K21" i="237"/>
  <c r="M152"/>
  <c r="M102"/>
  <c r="H133" i="223"/>
  <c r="AV31" i="15"/>
  <c r="B39" i="223"/>
  <c r="AP16" i="18"/>
  <c r="M24" i="15"/>
  <c r="E184" i="237"/>
  <c r="E24" i="223"/>
  <c r="B18" i="14"/>
  <c r="AZ26" i="15"/>
  <c r="Y15" i="18"/>
  <c r="M181" i="237"/>
  <c r="E91"/>
  <c r="F11" i="1"/>
  <c r="K90" i="223"/>
  <c r="K24" i="237"/>
  <c r="G130" i="223"/>
  <c r="F32" i="237"/>
  <c r="D120"/>
  <c r="M86"/>
  <c r="AZ39" i="18"/>
  <c r="P6"/>
  <c r="B77" i="237"/>
  <c r="BL20" i="15"/>
  <c r="L153" i="237"/>
  <c r="F182" i="223"/>
  <c r="M149" i="237"/>
  <c r="M116"/>
  <c r="N46"/>
  <c r="H165"/>
  <c r="M152" i="223"/>
  <c r="AC15" i="18"/>
  <c r="AW16"/>
  <c r="L39" i="237"/>
  <c r="W3" i="18"/>
  <c r="B123" i="223"/>
  <c r="G160" i="237"/>
  <c r="L173"/>
  <c r="N54"/>
  <c r="G116" i="223"/>
  <c r="AC16" i="18"/>
  <c r="T2"/>
  <c r="C172" i="237"/>
  <c r="M42"/>
  <c r="G153"/>
  <c r="M29"/>
  <c r="C31"/>
  <c r="K17" i="18"/>
  <c r="BA39"/>
  <c r="V20"/>
  <c r="AT2"/>
  <c r="F37" i="223"/>
  <c r="N24" i="15"/>
  <c r="M184" i="223"/>
  <c r="N94"/>
  <c r="L23" i="15"/>
  <c r="B89" i="223"/>
  <c r="H172"/>
  <c r="C87" i="237"/>
  <c r="R14" i="18"/>
  <c r="K86" i="223"/>
  <c r="M134"/>
  <c r="AX13" i="18"/>
  <c r="K167" i="237"/>
  <c r="H127"/>
  <c r="AD5" i="18"/>
  <c r="L182" i="223"/>
  <c r="N29" i="237"/>
  <c r="N156"/>
  <c r="B72"/>
  <c r="BD18" i="18"/>
  <c r="AN18"/>
  <c r="M78" i="223"/>
  <c r="B130"/>
  <c r="AA9" i="18"/>
  <c r="B137" i="223"/>
  <c r="H17" i="18"/>
  <c r="J15"/>
  <c r="AC31" i="15"/>
  <c r="K2" i="1"/>
  <c r="D170" i="237"/>
  <c r="J168"/>
  <c r="E121"/>
  <c r="C59" i="223"/>
  <c r="H140"/>
  <c r="B33" i="14"/>
  <c r="B25" i="223"/>
  <c r="M135"/>
  <c r="K140"/>
  <c r="BF5" i="18"/>
  <c r="Z4"/>
  <c r="J22" i="237"/>
  <c r="I55" i="223"/>
  <c r="H71"/>
  <c r="N37"/>
  <c r="D100" i="237"/>
  <c r="BB15" i="18"/>
  <c r="AU8"/>
  <c r="I134" i="237"/>
  <c r="B146" i="223"/>
  <c r="E30" i="237"/>
  <c r="N72" i="223"/>
  <c r="I68" i="237"/>
  <c r="H77" i="223"/>
  <c r="K173"/>
  <c r="N40" i="237"/>
  <c r="AF25" i="15"/>
  <c r="K77" i="237"/>
  <c r="F78"/>
  <c r="R25" i="15"/>
  <c r="C123" i="223"/>
  <c r="F28"/>
  <c r="F181" i="237"/>
  <c r="AH12" i="18"/>
  <c r="B27" i="223"/>
  <c r="R6" i="18"/>
  <c r="AI2"/>
  <c r="W40"/>
  <c r="C151" i="223"/>
  <c r="K20" i="18"/>
  <c r="E116" i="237"/>
  <c r="B140"/>
  <c r="N179" i="223"/>
  <c r="F180"/>
  <c r="M56" i="237"/>
  <c r="E83"/>
  <c r="AO20" i="15"/>
  <c r="AW22"/>
  <c r="N55" i="223"/>
  <c r="AP30" i="15"/>
  <c r="M60" i="237"/>
  <c r="I9" i="18"/>
  <c r="F41" i="223"/>
  <c r="H44" i="237"/>
  <c r="BO2" i="18"/>
  <c r="W22" i="15"/>
  <c r="M162" i="237"/>
  <c r="M123"/>
  <c r="AC23" i="15"/>
  <c r="E153" i="223"/>
  <c r="F53" i="237"/>
  <c r="J169" i="223"/>
  <c r="BN6" i="18"/>
  <c r="L133" i="223"/>
  <c r="D160" i="237"/>
  <c r="H40" i="18"/>
  <c r="AB39"/>
  <c r="I2" i="1"/>
  <c r="K21" i="18"/>
  <c r="F6" i="1"/>
  <c r="C180" i="237"/>
  <c r="AW2" i="18"/>
  <c r="U26" i="15"/>
  <c r="AY30"/>
  <c r="U18" i="18"/>
  <c r="K102" i="223"/>
  <c r="K146" i="237"/>
  <c r="M126" i="223"/>
  <c r="C172"/>
  <c r="F147" i="237"/>
  <c r="I83"/>
  <c r="BE22" i="18"/>
  <c r="M83" i="237"/>
  <c r="E71"/>
  <c r="T19" i="18"/>
  <c r="BM6"/>
  <c r="G55" i="223"/>
  <c r="J33" i="237"/>
  <c r="F55" i="223"/>
  <c r="BB10" i="18"/>
  <c r="B71" i="237"/>
  <c r="M93"/>
  <c r="M150"/>
  <c r="N68"/>
  <c r="BL39" i="18"/>
  <c r="Q39"/>
  <c r="F119" i="223"/>
  <c r="AF12" i="18"/>
  <c r="L138" i="223"/>
  <c r="J43"/>
  <c r="B88" i="237"/>
  <c r="AK2" i="18"/>
  <c r="H25" i="223"/>
  <c r="N30" i="15"/>
  <c r="F116" i="237"/>
  <c r="D74" i="223"/>
  <c r="BK20" i="18"/>
  <c r="F91" i="237"/>
  <c r="C102" i="223"/>
  <c r="B126"/>
  <c r="S39" i="18"/>
  <c r="G20" i="223"/>
  <c r="N33" i="237"/>
  <c r="H92" i="223"/>
  <c r="C87"/>
  <c r="AU12" i="18"/>
  <c r="C45" i="223"/>
  <c r="L23" i="237"/>
  <c r="N56"/>
  <c r="K71" i="223"/>
  <c r="BE7" i="18"/>
  <c r="BM7"/>
  <c r="K67" i="237"/>
  <c r="C40" i="18"/>
  <c r="B57" i="14"/>
  <c r="K131" i="223"/>
  <c r="N103"/>
  <c r="R20" i="18"/>
  <c r="B35"/>
  <c r="AE29" i="15"/>
  <c r="AA34" i="18"/>
  <c r="K56" i="237"/>
  <c r="E31" i="223"/>
  <c r="I146" i="237"/>
  <c r="C101" i="223"/>
  <c r="K76" i="237"/>
  <c r="N5" i="18"/>
  <c r="AA8"/>
  <c r="J137" i="223"/>
  <c r="I164"/>
  <c r="N100" i="237"/>
  <c r="AP11" i="18"/>
  <c r="BG29" i="15"/>
  <c r="AI19"/>
  <c r="M117" i="237"/>
  <c r="M139" i="223"/>
  <c r="AQ2" i="1"/>
  <c r="N20" i="223"/>
  <c r="M140" i="237"/>
  <c r="M146"/>
  <c r="N165" i="223"/>
  <c r="D172" i="237"/>
  <c r="C82" i="18"/>
  <c r="U40"/>
  <c r="W28" i="15"/>
  <c r="E120" i="237"/>
  <c r="AT10" i="18"/>
  <c r="AG19"/>
  <c r="BF4"/>
  <c r="J40" i="237"/>
  <c r="BM10" i="18"/>
  <c r="BC19"/>
  <c r="AN7"/>
  <c r="X39"/>
  <c r="F45" i="237"/>
  <c r="AX17" i="18"/>
  <c r="G135" i="237"/>
  <c r="H155" i="223"/>
  <c r="L24" i="237"/>
  <c r="I119" i="223"/>
  <c r="D87"/>
  <c r="B22" i="14"/>
  <c r="T5" i="18"/>
  <c r="AS22"/>
  <c r="D122" i="223"/>
  <c r="I165"/>
  <c r="C21"/>
  <c r="J154"/>
  <c r="O2" i="1"/>
  <c r="AC11" i="18"/>
  <c r="T24" i="15"/>
  <c r="AY7" i="18"/>
  <c r="H103" i="237"/>
  <c r="C179"/>
  <c r="AS21" i="18"/>
  <c r="D169" i="223"/>
  <c r="AA2" i="1"/>
  <c r="AP22" i="18"/>
  <c r="BJ19" i="15"/>
  <c r="BC30"/>
  <c r="B39" i="237"/>
  <c r="AW19" i="18"/>
  <c r="C66"/>
  <c r="I39"/>
  <c r="AP40"/>
  <c r="B124" i="223"/>
  <c r="G149"/>
  <c r="L95" i="237"/>
  <c r="G30"/>
  <c r="BO12" i="18"/>
  <c r="I170" i="223"/>
  <c r="K149" i="237"/>
  <c r="I21" i="18"/>
  <c r="AB2" i="1"/>
  <c r="M148" i="237"/>
  <c r="G5" i="18"/>
  <c r="D119" i="223"/>
  <c r="N171" i="237"/>
  <c r="AA39" i="18"/>
  <c r="AI14"/>
  <c r="J130" i="223"/>
  <c r="BK26" i="15"/>
  <c r="H181" i="237"/>
  <c r="M134"/>
  <c r="L183" i="223"/>
  <c r="I172"/>
  <c r="H89"/>
  <c r="L123"/>
  <c r="AN16" i="18"/>
  <c r="H78" i="223"/>
  <c r="G84"/>
  <c r="C77" i="18"/>
  <c r="G156" i="223"/>
  <c r="K92"/>
  <c r="F22" i="237"/>
  <c r="N77"/>
  <c r="F77"/>
  <c r="B89"/>
  <c r="J132"/>
  <c r="F25"/>
  <c r="BI20" i="15"/>
  <c r="AG8" i="18"/>
  <c r="AZ4"/>
  <c r="N10"/>
  <c r="AM34"/>
  <c r="C70" s="1"/>
  <c r="M101" i="223"/>
  <c r="G116" i="237"/>
  <c r="G173"/>
  <c r="BM40" i="18"/>
  <c r="F73" i="223"/>
  <c r="BK31" i="15"/>
  <c r="AE14" i="18"/>
  <c r="M182" i="223"/>
  <c r="AW28" i="15"/>
  <c r="D22" i="223"/>
  <c r="AM4" i="18"/>
  <c r="AB40"/>
  <c r="AV3"/>
  <c r="AK31" i="15"/>
  <c r="L186" i="223"/>
  <c r="H21" i="237"/>
  <c r="K40"/>
  <c r="X18" i="18"/>
  <c r="B21" i="237"/>
  <c r="B30" i="223"/>
  <c r="H9" i="18"/>
  <c r="BJ40"/>
  <c r="AN13"/>
  <c r="V19"/>
  <c r="C163" i="223"/>
  <c r="W8" i="18"/>
  <c r="O21"/>
  <c r="G154" i="223"/>
  <c r="F86" i="237"/>
  <c r="B182"/>
  <c r="BP4" i="18"/>
  <c r="C31" i="223"/>
  <c r="L17" i="18"/>
  <c r="E115" i="237"/>
  <c r="N38"/>
  <c r="AF15" i="18"/>
  <c r="H8"/>
  <c r="BA11"/>
  <c r="G29" i="223"/>
  <c r="BG21" i="15"/>
  <c r="AF30"/>
  <c r="G60" i="237"/>
  <c r="V27" i="15"/>
  <c r="AP20" i="18"/>
  <c r="BA20" i="15"/>
  <c r="K29" i="223"/>
  <c r="AB22" i="18"/>
  <c r="H68" i="223"/>
  <c r="AK20" i="15"/>
  <c r="F125" i="237"/>
  <c r="D53" i="223"/>
  <c r="Q31" i="15"/>
  <c r="H164" i="223"/>
  <c r="AE24" i="15"/>
  <c r="H28" i="223"/>
  <c r="K5" i="18"/>
  <c r="M76" i="237"/>
  <c r="B9" i="185"/>
  <c r="L26" i="15"/>
  <c r="BD3" i="18"/>
  <c r="D42" i="237"/>
  <c r="E62" i="223"/>
  <c r="AX2" i="1"/>
  <c r="K60" i="223"/>
  <c r="N119"/>
  <c r="H59"/>
  <c r="AM30" i="15"/>
  <c r="L137" i="223"/>
  <c r="C118"/>
  <c r="X11" i="18"/>
  <c r="AL12"/>
  <c r="J86" i="237"/>
  <c r="L46"/>
  <c r="G123"/>
  <c r="H33" i="223"/>
  <c r="BB20" i="15"/>
  <c r="BR13" i="18"/>
  <c r="D59" i="237"/>
  <c r="AV29" i="15"/>
  <c r="E160" i="223"/>
  <c r="G168"/>
  <c r="G69" i="237"/>
  <c r="BN19" i="18"/>
  <c r="F31" i="237"/>
  <c r="AK28" i="15"/>
  <c r="AN39" i="18"/>
  <c r="E124" i="237"/>
  <c r="Q17" i="18"/>
  <c r="L140" i="223"/>
  <c r="I133" i="237"/>
  <c r="AZ14" i="18"/>
  <c r="G45" i="223"/>
  <c r="AR17" i="18"/>
  <c r="U14"/>
  <c r="BE25" i="15"/>
  <c r="E72" i="237"/>
  <c r="C86"/>
  <c r="J126" i="223"/>
  <c r="M138"/>
  <c r="D125"/>
  <c r="AX16" i="18"/>
  <c r="J95" i="223"/>
  <c r="E84"/>
  <c r="B126" i="237"/>
  <c r="H67" i="223"/>
  <c r="BH15" i="18"/>
  <c r="G76" i="223"/>
  <c r="L30" i="237"/>
  <c r="J73" i="223"/>
  <c r="I2" i="18"/>
  <c r="E126" i="223"/>
  <c r="AJ15" i="18"/>
  <c r="M89" i="237"/>
  <c r="Y6" i="18"/>
  <c r="BJ16"/>
  <c r="G181" i="223"/>
  <c r="D168"/>
  <c r="BO5" i="18"/>
  <c r="H130" i="223"/>
  <c r="N60"/>
  <c r="N155"/>
  <c r="M183" i="237"/>
  <c r="G148"/>
  <c r="G83"/>
  <c r="BD34" i="18"/>
  <c r="C87" s="1"/>
  <c r="J153" i="237"/>
  <c r="I72"/>
  <c r="F25" i="223"/>
  <c r="K85" i="237"/>
  <c r="M91" i="223"/>
  <c r="I162" i="237"/>
  <c r="F5" i="1"/>
  <c r="BK34" i="18"/>
  <c r="BI6"/>
  <c r="C149" i="237"/>
  <c r="J185" i="223"/>
  <c r="BP8" i="18"/>
  <c r="J53" i="237"/>
  <c r="AT13" i="18"/>
  <c r="M117" i="223"/>
  <c r="B43" i="14"/>
  <c r="X2" i="1"/>
  <c r="G136" i="237"/>
  <c r="U23" i="15"/>
  <c r="K77" i="223"/>
  <c r="H124"/>
  <c r="K147"/>
  <c r="BM5" i="18"/>
  <c r="K23" i="237"/>
  <c r="J6" i="18"/>
  <c r="AK3"/>
  <c r="F3" i="1"/>
  <c r="K115" i="237"/>
  <c r="F152" i="223"/>
  <c r="J37" i="237"/>
  <c r="C90" i="18"/>
  <c r="E87" i="223"/>
  <c r="L130" i="237"/>
  <c r="J127" i="223"/>
  <c r="C95" i="18"/>
  <c r="F126" i="223"/>
  <c r="B70"/>
  <c r="L16" i="18"/>
  <c r="AJ7"/>
  <c r="B125" i="223"/>
  <c r="L27" i="237"/>
  <c r="E44" i="223"/>
  <c r="K85"/>
  <c r="U21" i="15"/>
  <c r="I152" i="223"/>
  <c r="E42" i="237"/>
  <c r="B87"/>
  <c r="O2" i="18"/>
  <c r="N125" i="237"/>
  <c r="L169" i="223"/>
  <c r="D127" i="237"/>
  <c r="B83" i="223"/>
  <c r="B183"/>
  <c r="C94" i="237"/>
  <c r="B162" i="223"/>
  <c r="AX34" i="18"/>
  <c r="AW29" i="15"/>
  <c r="H148" i="237"/>
  <c r="AL39" i="18"/>
  <c r="B43" i="223"/>
  <c r="F123" i="237"/>
  <c r="C155"/>
  <c r="M87"/>
  <c r="K83" i="223"/>
  <c r="I8" i="1"/>
  <c r="BJ5" i="18"/>
  <c r="N23" i="223"/>
  <c r="N95"/>
  <c r="E167" i="237"/>
  <c r="BO20" i="18"/>
  <c r="G169" i="237"/>
  <c r="AD2" i="1"/>
  <c r="C98" i="18"/>
  <c r="K75" i="223"/>
  <c r="K58"/>
  <c r="J60" i="237"/>
  <c r="AT14" i="18"/>
  <c r="W2" i="1"/>
  <c r="AD18" i="18"/>
  <c r="K55" i="223"/>
  <c r="P13" i="18"/>
  <c r="J69" i="223"/>
  <c r="N136"/>
  <c r="R30" i="15"/>
  <c r="C44" i="237"/>
  <c r="AR20" i="18"/>
  <c r="H39"/>
  <c r="BE9"/>
  <c r="C40" i="223"/>
  <c r="B13" i="14"/>
  <c r="BJ13" i="18"/>
  <c r="B44" i="223"/>
  <c r="C46" i="18"/>
  <c r="I77" i="237"/>
  <c r="U2" i="1"/>
  <c r="AI17" i="18"/>
  <c r="H27" i="223"/>
  <c r="X19" i="15"/>
  <c r="C152" i="223"/>
  <c r="Y2" i="1"/>
  <c r="N161" i="223"/>
  <c r="AM39" i="18"/>
  <c r="G20" i="15"/>
  <c r="M27" i="237"/>
  <c r="C166" i="223"/>
  <c r="BJ31" i="15"/>
  <c r="H72" i="237"/>
  <c r="F37"/>
  <c r="I139"/>
  <c r="B181"/>
  <c r="F163" i="223"/>
  <c r="Y7" i="18"/>
  <c r="D90" i="237"/>
  <c r="D89"/>
  <c r="N39" i="18"/>
  <c r="G59" i="237"/>
  <c r="H135"/>
  <c r="N124"/>
  <c r="H165" i="223"/>
  <c r="E86"/>
  <c r="M22"/>
  <c r="B139"/>
  <c r="Q21" i="15"/>
  <c r="M95" i="237"/>
  <c r="L179" i="223"/>
  <c r="AM7" i="18"/>
  <c r="J170" i="223"/>
  <c r="F151" i="237"/>
  <c r="AR4" i="18"/>
  <c r="E120" i="223"/>
  <c r="L136" i="237"/>
  <c r="S24" i="15"/>
  <c r="AR29"/>
  <c r="K88" i="237"/>
  <c r="M172"/>
  <c r="H86"/>
  <c r="G56" i="223"/>
  <c r="BL20" i="18"/>
  <c r="Y24" i="15"/>
  <c r="BI17" i="18"/>
  <c r="G69" i="223"/>
  <c r="AK18" i="18"/>
  <c r="B149" i="223"/>
  <c r="BA28" i="15"/>
  <c r="N181" i="223"/>
  <c r="I56"/>
  <c r="B160"/>
  <c r="B68" i="237"/>
  <c r="D121" i="223"/>
  <c r="AG24" i="15"/>
  <c r="BI2" i="1"/>
  <c r="G25" i="237"/>
  <c r="L27" i="15"/>
  <c r="BO7" i="18"/>
  <c r="AE25" i="15"/>
  <c r="J1"/>
  <c r="C119" i="237"/>
  <c r="BO11" i="18"/>
  <c r="J153" i="223"/>
  <c r="N186" i="237"/>
  <c r="BM15" i="18"/>
  <c r="I181" i="237"/>
  <c r="G26" i="223"/>
  <c r="B56" i="14"/>
  <c r="AO5" i="18"/>
  <c r="F30" i="223"/>
  <c r="BK15" i="18"/>
  <c r="F39" i="237"/>
  <c r="AE12" i="18"/>
  <c r="J182" i="223"/>
  <c r="H40"/>
  <c r="K88"/>
  <c r="B38" i="14"/>
  <c r="G60" i="223"/>
  <c r="AV30" i="15"/>
  <c r="N130" i="223"/>
  <c r="G14" i="18"/>
  <c r="D151" i="223"/>
  <c r="AJ26" i="15"/>
  <c r="H22" i="237"/>
  <c r="F148" i="223"/>
  <c r="G103" i="237"/>
  <c r="C126"/>
  <c r="K41"/>
  <c r="AH39" i="18"/>
  <c r="N103" i="237"/>
  <c r="L152" i="223"/>
  <c r="M138" i="237"/>
  <c r="G181"/>
  <c r="M33" i="223"/>
  <c r="H39"/>
  <c r="J22" i="15"/>
  <c r="Q20" i="18"/>
  <c r="AF13"/>
  <c r="B116" i="237"/>
  <c r="AF22" i="15"/>
  <c r="AQ14" i="18"/>
  <c r="AX30" i="15"/>
  <c r="C122" i="223"/>
  <c r="B19" i="14"/>
  <c r="H139" i="223"/>
  <c r="I38"/>
  <c r="G141" i="237"/>
  <c r="F33" i="223"/>
  <c r="D130"/>
  <c r="AV9" i="18"/>
  <c r="BC11"/>
  <c r="BD17"/>
  <c r="M37" i="237"/>
  <c r="B16" i="14"/>
  <c r="O29" i="15"/>
  <c r="I68" i="223"/>
  <c r="V26" i="15"/>
  <c r="G39" i="18"/>
  <c r="AJ9"/>
  <c r="K9"/>
  <c r="E136" i="223"/>
  <c r="C135"/>
  <c r="E138"/>
  <c r="F62"/>
  <c r="AF21" i="18"/>
  <c r="AB5"/>
  <c r="G37" i="237"/>
  <c r="K87" i="223"/>
  <c r="C103" i="237"/>
  <c r="J146"/>
  <c r="AV27" i="15"/>
  <c r="BA14" i="18"/>
  <c r="AI40"/>
  <c r="L29" i="237"/>
  <c r="B131" i="223"/>
  <c r="M181"/>
  <c r="BK11" i="18"/>
  <c r="AU26" i="15"/>
  <c r="C164" i="223"/>
  <c r="BF19" i="15"/>
  <c r="BI2" i="18"/>
  <c r="L21"/>
  <c r="D91" i="223"/>
  <c r="K28" i="15"/>
  <c r="J147" i="223"/>
  <c r="BA29" i="15"/>
  <c r="AN4" i="18"/>
  <c r="M151" i="223"/>
  <c r="E63"/>
  <c r="I53" i="237"/>
  <c r="BF3" i="18"/>
  <c r="B139" i="237"/>
  <c r="N164"/>
  <c r="F93"/>
  <c r="AC7" i="18"/>
  <c r="L21" i="237"/>
  <c r="AJ11" i="18"/>
  <c r="AX6"/>
  <c r="BL21"/>
  <c r="BL95" s="1"/>
  <c r="H183" i="223"/>
  <c r="I75" i="237"/>
  <c r="J134" i="223"/>
  <c r="AB13" i="18"/>
  <c r="BP19"/>
  <c r="Z26" i="15"/>
  <c r="AY20"/>
  <c r="BM16" i="18"/>
  <c r="P23" i="15"/>
  <c r="L88" i="237"/>
  <c r="M121"/>
  <c r="Z27" i="15"/>
  <c r="M100" i="223"/>
  <c r="BC2" i="18"/>
  <c r="AF2"/>
  <c r="M27" i="15"/>
  <c r="F21" i="237"/>
  <c r="G59" i="223"/>
  <c r="J181"/>
  <c r="BF17" i="18"/>
  <c r="C67" i="223"/>
  <c r="BM17" i="18"/>
  <c r="I29" i="223"/>
  <c r="AO9" i="18"/>
  <c r="Q14"/>
  <c r="H38" i="223"/>
  <c r="AT40" i="18"/>
  <c r="I19"/>
  <c r="E139" i="223"/>
  <c r="C90"/>
  <c r="P2" i="1"/>
  <c r="J83" i="223"/>
  <c r="B109" i="18"/>
  <c r="Q30" i="15"/>
  <c r="AU39" i="18"/>
  <c r="C133" i="223"/>
  <c r="B60"/>
  <c r="J88" i="237"/>
  <c r="BD7" i="18"/>
  <c r="AU29" i="15"/>
  <c r="AW27"/>
  <c r="Z6" i="18"/>
  <c r="BI34"/>
  <c r="M20" i="15"/>
  <c r="AW40" i="18"/>
  <c r="I59" i="223"/>
  <c r="F56"/>
  <c r="AC25" i="15"/>
  <c r="J16" i="18"/>
  <c r="BG30" i="15"/>
  <c r="B29" i="237"/>
  <c r="M44" i="223"/>
  <c r="L145" i="237"/>
  <c r="AH7" i="18"/>
  <c r="B84" i="223"/>
  <c r="I72"/>
  <c r="AV14" i="18"/>
  <c r="AV39"/>
  <c r="AM2" i="1"/>
  <c r="G76" i="237"/>
  <c r="B31" i="223"/>
  <c r="AC10" i="18"/>
  <c r="BF21"/>
  <c r="B167" i="237"/>
  <c r="BE8" i="18"/>
  <c r="M42" i="223"/>
  <c r="AO31" i="15"/>
  <c r="N20" i="237"/>
  <c r="AV8" i="18"/>
  <c r="E124" i="223"/>
  <c r="J154" i="237"/>
  <c r="AD40" i="18"/>
  <c r="C80"/>
  <c r="AR18"/>
  <c r="G137" i="223"/>
  <c r="C100"/>
  <c r="D21"/>
  <c r="S21" i="15"/>
  <c r="C115" i="237"/>
  <c r="B99" i="18"/>
  <c r="N42" i="237"/>
  <c r="I59"/>
  <c r="I121" i="223"/>
  <c r="D132"/>
  <c r="BK22" i="18"/>
  <c r="AQ29" i="15"/>
  <c r="B103" i="237"/>
  <c r="AT16" i="18"/>
  <c r="AT53" s="1"/>
  <c r="BC20" i="15"/>
  <c r="H102" i="223"/>
  <c r="J83" i="237"/>
  <c r="N13" i="18"/>
  <c r="K122" i="237"/>
  <c r="BA5" i="18"/>
  <c r="H169" i="237"/>
  <c r="N170" i="223"/>
  <c r="J171"/>
  <c r="BF9" i="18"/>
  <c r="AV28" i="15"/>
  <c r="J183" i="237"/>
  <c r="M84" i="223"/>
  <c r="D103"/>
  <c r="L33" i="237"/>
  <c r="B94" i="223"/>
  <c r="Q27" i="15"/>
  <c r="B29" i="14"/>
  <c r="AQ7" i="18"/>
  <c r="AI11"/>
  <c r="BF8"/>
  <c r="AM6"/>
  <c r="AV40"/>
  <c r="H87" i="237"/>
  <c r="C160" i="223"/>
  <c r="M37"/>
  <c r="BA27" i="15"/>
  <c r="AS20"/>
  <c r="G27"/>
  <c r="H73" i="237"/>
  <c r="L125"/>
  <c r="H184" i="223"/>
  <c r="N55" i="237"/>
  <c r="BD30" i="15"/>
  <c r="G161" i="223"/>
  <c r="AS2" i="18"/>
  <c r="C73"/>
  <c r="BE27" i="15"/>
  <c r="N62" i="223"/>
  <c r="Y40" i="18"/>
  <c r="G154" i="237"/>
  <c r="L185" i="223"/>
  <c r="AL28" i="15"/>
  <c r="E31" i="237"/>
  <c r="S29" i="15"/>
  <c r="C63" i="18"/>
  <c r="N26" i="237"/>
  <c r="B95" i="18"/>
  <c r="Y14"/>
  <c r="BH11"/>
  <c r="H42" i="237"/>
  <c r="K155" i="223"/>
  <c r="D60" i="237"/>
  <c r="M61"/>
  <c r="AH14" i="18"/>
  <c r="K87" i="237"/>
  <c r="Q5" i="18"/>
  <c r="K148" i="237"/>
  <c r="K42"/>
  <c r="AP20" i="15"/>
  <c r="M2" i="1"/>
  <c r="AD12" i="18"/>
  <c r="D58" i="237"/>
  <c r="K132"/>
  <c r="D155" i="223"/>
  <c r="E171" i="237"/>
  <c r="K167" i="223"/>
  <c r="N76"/>
  <c r="BF2" i="1"/>
  <c r="B101" i="18"/>
  <c r="BE21"/>
  <c r="BF29" i="15"/>
  <c r="G26"/>
  <c r="BD31"/>
  <c r="C57" i="237"/>
  <c r="N131" i="223"/>
  <c r="BK40" i="18"/>
  <c r="R18"/>
  <c r="C162" i="223"/>
  <c r="K59"/>
  <c r="AJ20" i="15"/>
  <c r="AI20"/>
  <c r="D161" i="223"/>
  <c r="AA40" i="18"/>
  <c r="D71" i="223"/>
  <c r="K161"/>
  <c r="D126"/>
  <c r="I44"/>
  <c r="B156" i="237"/>
  <c r="H185"/>
  <c r="B152" i="223"/>
  <c r="L171" i="237"/>
  <c r="L131" i="223"/>
  <c r="BK7" i="18"/>
  <c r="V95"/>
  <c r="D155" i="237"/>
  <c r="L119"/>
  <c r="BD28" i="15"/>
  <c r="BI19"/>
  <c r="C25" i="223"/>
  <c r="Y29" i="15"/>
  <c r="C33" i="223"/>
  <c r="K29" i="237"/>
  <c r="T3" i="18"/>
  <c r="E126" i="237"/>
  <c r="AK5" i="18"/>
  <c r="O40"/>
  <c r="BC77"/>
  <c r="AA10"/>
  <c r="K37" i="237"/>
  <c r="F22" i="223"/>
  <c r="E22"/>
  <c r="H60" i="237"/>
  <c r="E165"/>
  <c r="F93" i="223"/>
  <c r="D186" i="237"/>
  <c r="AE3" i="18"/>
  <c r="K186" i="223"/>
  <c r="B20" i="237"/>
  <c r="AJ2" i="18"/>
  <c r="J25" i="223"/>
  <c r="BD9" i="18"/>
  <c r="BI40"/>
  <c r="R49"/>
  <c r="C48"/>
  <c r="I93" i="237"/>
  <c r="BD8" i="18"/>
  <c r="K76" i="223"/>
  <c r="G124" i="237"/>
  <c r="BC22" i="15"/>
  <c r="C69" i="237"/>
  <c r="H135" i="223"/>
  <c r="C132" i="237"/>
  <c r="W7" i="18"/>
  <c r="AK4"/>
  <c r="L6"/>
  <c r="AU34"/>
  <c r="BE28" i="15"/>
  <c r="B29" i="223"/>
  <c r="BI39" i="18"/>
  <c r="K154" i="237"/>
  <c r="I167" i="223"/>
  <c r="BD2" i="18"/>
  <c r="BL77"/>
  <c r="V86"/>
  <c r="D32" i="237"/>
  <c r="X34" i="18"/>
  <c r="J31" i="223"/>
  <c r="D76"/>
  <c r="BG12" i="18"/>
  <c r="E131" i="237"/>
  <c r="E75"/>
  <c r="BK5" i="18"/>
  <c r="S18"/>
  <c r="AS10"/>
  <c r="K127" i="223"/>
  <c r="L83" i="237"/>
  <c r="H141" i="223"/>
  <c r="G29" i="15"/>
  <c r="T6" i="18"/>
  <c r="V40"/>
  <c r="H181" i="223"/>
  <c r="C127"/>
  <c r="BB11" i="18"/>
  <c r="G53" i="237"/>
  <c r="AC40" i="18"/>
  <c r="R95"/>
  <c r="AP7"/>
  <c r="C54" i="237"/>
  <c r="AH34" i="18"/>
  <c r="G126" i="237"/>
  <c r="D83" i="223"/>
  <c r="BH23" i="15"/>
  <c r="I150" i="223"/>
  <c r="AR40" i="18"/>
  <c r="E21" i="237"/>
  <c r="G122" i="223"/>
  <c r="BQ17" i="18"/>
  <c r="L184" i="223"/>
  <c r="D88" i="237"/>
  <c r="M40"/>
  <c r="C60" i="223"/>
  <c r="F13" i="1"/>
  <c r="W21" i="15"/>
  <c r="AP17" i="18"/>
  <c r="BN5"/>
  <c r="BN3"/>
  <c r="AL9"/>
  <c r="M74" i="237"/>
  <c r="G75"/>
  <c r="BG22" i="15"/>
  <c r="AI22"/>
  <c r="F182" i="237"/>
  <c r="J30" i="223"/>
  <c r="BG31" i="15"/>
  <c r="K13" i="18"/>
  <c r="L54" i="237"/>
  <c r="L76" i="223"/>
  <c r="I148"/>
  <c r="AK7" i="18"/>
  <c r="AE31" i="15"/>
  <c r="F139" i="237"/>
  <c r="N171" i="223"/>
  <c r="B17" i="14"/>
  <c r="BC53" i="18"/>
  <c r="N30" i="223"/>
  <c r="L20"/>
  <c r="L20" i="18"/>
  <c r="V34"/>
  <c r="C53" s="1"/>
  <c r="G118" i="237"/>
  <c r="AS40" i="18"/>
  <c r="K74" i="223"/>
  <c r="C154" i="237"/>
  <c r="AZ8" i="18"/>
  <c r="E38" i="237"/>
  <c r="L12" i="18"/>
  <c r="L118" i="237"/>
  <c r="U31" i="15"/>
  <c r="BC86" i="18"/>
  <c r="B86" s="1"/>
  <c r="AZ12"/>
  <c r="F40" i="237"/>
  <c r="O22" i="18"/>
  <c r="BI16"/>
  <c r="AZ23" i="15"/>
  <c r="F138" i="223"/>
  <c r="BP3" i="18"/>
  <c r="AX20" i="15"/>
  <c r="AB29"/>
  <c r="H55" i="223"/>
  <c r="E39" i="237"/>
  <c r="F183" i="223"/>
  <c r="K68" i="237"/>
  <c r="L89"/>
  <c r="E58" i="223"/>
  <c r="B186"/>
  <c r="L122" i="237"/>
  <c r="BD29" i="15"/>
  <c r="R39" i="18"/>
  <c r="E133" i="223"/>
  <c r="BK2" i="18"/>
  <c r="M84" i="237"/>
  <c r="C137" i="223"/>
  <c r="BJ19" i="18"/>
  <c r="S19"/>
  <c r="E72" i="223"/>
  <c r="G136"/>
  <c r="B40"/>
  <c r="AW39" i="18"/>
  <c r="I186" i="237"/>
  <c r="K24" i="15"/>
  <c r="E149" i="223"/>
  <c r="O19" i="18"/>
  <c r="AR16"/>
  <c r="F46" i="223"/>
  <c r="BR10" i="18"/>
  <c r="N118" i="237"/>
  <c r="G87" i="223"/>
  <c r="G43" i="237"/>
  <c r="I22"/>
  <c r="U21" i="18"/>
  <c r="BF13"/>
  <c r="I132" i="237"/>
  <c r="AX21" i="15"/>
  <c r="F141" i="223"/>
  <c r="AC20" i="15"/>
  <c r="AX40" i="18"/>
  <c r="K130" i="237"/>
  <c r="D169"/>
  <c r="AP24" i="15"/>
  <c r="K121" i="223"/>
  <c r="D123"/>
  <c r="K166" i="237"/>
  <c r="N162"/>
  <c r="AD20" i="18"/>
  <c r="K7"/>
  <c r="J133" i="237"/>
  <c r="BL24" i="15"/>
  <c r="J145" i="223"/>
  <c r="O39" i="18"/>
  <c r="AN5"/>
  <c r="I40" i="237"/>
  <c r="G179" i="223"/>
  <c r="R24" i="15"/>
  <c r="J67" i="223"/>
  <c r="BE24" i="15"/>
  <c r="F136" i="223"/>
  <c r="X23" i="15"/>
  <c r="B91" i="223"/>
  <c r="BO13" i="18"/>
  <c r="I132" i="223"/>
  <c r="BD15" i="18"/>
  <c r="J23" i="15"/>
  <c r="Z39" i="18"/>
  <c r="BB39"/>
  <c r="H49"/>
  <c r="I61"/>
  <c r="AH10"/>
  <c r="K71" i="237"/>
  <c r="D23" i="223"/>
  <c r="L37" i="237"/>
  <c r="I17" i="18"/>
  <c r="I53" i="223"/>
  <c r="Y34" i="18"/>
  <c r="BD21" i="15"/>
  <c r="J74" i="237"/>
  <c r="M3" i="18"/>
  <c r="AG10"/>
  <c r="H126" i="223"/>
  <c r="AG11" i="18"/>
  <c r="I141" i="223"/>
  <c r="H75"/>
  <c r="BJ18" i="18"/>
  <c r="J27" i="15"/>
  <c r="C43" i="237"/>
  <c r="AR11" i="18"/>
  <c r="I95"/>
  <c r="BC95"/>
  <c r="H16"/>
  <c r="I103" i="237"/>
  <c r="AU30" i="15"/>
  <c r="B45" i="237"/>
  <c r="J59"/>
  <c r="Z40" i="18"/>
  <c r="H118" i="237"/>
  <c r="E148" i="223"/>
  <c r="I172" i="237"/>
  <c r="AB8" i="18"/>
  <c r="M185" i="223"/>
  <c r="I91"/>
  <c r="K171" i="237"/>
  <c r="AC21" i="18"/>
  <c r="J132" i="223"/>
  <c r="C67" i="237"/>
  <c r="J38"/>
  <c r="H103" i="223"/>
  <c r="AJ40" i="18"/>
  <c r="H61"/>
  <c r="I77"/>
  <c r="BC49"/>
  <c r="AE86"/>
  <c r="R62"/>
  <c r="H62"/>
  <c r="F138" i="237"/>
  <c r="B156" i="223"/>
  <c r="F156"/>
  <c r="N149"/>
  <c r="I173"/>
  <c r="J20"/>
  <c r="BB16" i="18"/>
  <c r="G172" i="223"/>
  <c r="D138"/>
  <c r="BH39" i="18"/>
  <c r="C62"/>
  <c r="S11"/>
  <c r="J133" i="223"/>
  <c r="C169" i="237"/>
  <c r="AQ31" i="15"/>
  <c r="BB13" i="18"/>
  <c r="I136" i="223"/>
  <c r="F67" i="237"/>
  <c r="C86" i="18"/>
  <c r="V49"/>
  <c r="AD49"/>
  <c r="H86"/>
  <c r="I165" i="237"/>
  <c r="J55" i="223"/>
  <c r="K44" i="237"/>
  <c r="AQ9" i="18"/>
  <c r="AV22"/>
  <c r="G21" i="15"/>
  <c r="Z3" i="18"/>
  <c r="BG39"/>
  <c r="M130" i="223"/>
  <c r="AF39" i="18"/>
  <c r="AO15"/>
  <c r="AJ3"/>
  <c r="P3"/>
  <c r="L91" i="237"/>
  <c r="D75" i="223"/>
  <c r="AJ86" i="18"/>
  <c r="B42" i="223"/>
  <c r="P31" i="15"/>
  <c r="AA16" i="18"/>
  <c r="L122" i="223"/>
  <c r="R72" i="18"/>
  <c r="H57"/>
  <c r="BC61"/>
  <c r="Z53"/>
  <c r="BL53"/>
  <c r="AO58"/>
  <c r="I58"/>
  <c r="BN9"/>
  <c r="L151" i="223"/>
  <c r="AI27" i="15"/>
  <c r="AR27"/>
  <c r="AC17" i="18"/>
  <c r="S5"/>
  <c r="Y12"/>
  <c r="I146" i="223"/>
  <c r="AL2" i="1"/>
  <c r="D40" i="223"/>
  <c r="BQ21" i="18"/>
  <c r="AW9"/>
  <c r="G90" i="237"/>
  <c r="AS39" i="18"/>
  <c r="N67" i="223"/>
  <c r="F122"/>
  <c r="I42"/>
  <c r="D163"/>
  <c r="B58" i="237"/>
  <c r="AF11" i="18"/>
  <c r="J90" i="237"/>
  <c r="BF14" i="18"/>
  <c r="K46" i="223"/>
  <c r="AK6" i="18"/>
  <c r="BA19"/>
  <c r="AY39"/>
  <c r="P30" i="15"/>
  <c r="AY13" i="18"/>
  <c r="L161" i="223"/>
  <c r="L127" i="237"/>
  <c r="AD26" i="15"/>
  <c r="B28" i="14"/>
  <c r="U39" i="18"/>
  <c r="N69" i="223"/>
  <c r="E148" i="237"/>
  <c r="E137"/>
  <c r="M12" i="18"/>
  <c r="E102" i="237"/>
  <c r="I17" i="1"/>
  <c r="BO8" i="18"/>
  <c r="X14"/>
  <c r="J10"/>
  <c r="AY40"/>
  <c r="F42" i="237"/>
  <c r="N150" i="223"/>
  <c r="BH5" i="18"/>
  <c r="X22"/>
  <c r="B133" i="237"/>
  <c r="H162" i="223"/>
  <c r="C37" i="237"/>
  <c r="M163"/>
  <c r="M24" i="223"/>
  <c r="H180" i="237"/>
  <c r="I71"/>
  <c r="J183" i="223"/>
  <c r="AF26" i="15"/>
  <c r="N182" i="237"/>
  <c r="G4" i="18"/>
  <c r="M73" i="237"/>
  <c r="H27"/>
  <c r="BF39" i="18"/>
  <c r="U28" i="15"/>
  <c r="J120" i="223"/>
  <c r="H39" i="237"/>
  <c r="F103" i="223"/>
  <c r="AV16" i="18"/>
  <c r="AL21" i="15"/>
  <c r="L147" i="237"/>
  <c r="B153" i="223"/>
  <c r="BO18" i="18"/>
  <c r="B78" i="237"/>
  <c r="Q26" i="15"/>
  <c r="N75" i="237"/>
  <c r="R61" i="18"/>
  <c r="AT63"/>
  <c r="BG21"/>
  <c r="B13" i="185"/>
  <c r="N29" i="223"/>
  <c r="B122"/>
  <c r="AX8" i="18"/>
  <c r="E151" i="237"/>
  <c r="M135"/>
  <c r="I122"/>
  <c r="C49" i="18"/>
  <c r="AS22" i="15"/>
  <c r="BP16" i="18"/>
  <c r="F173" i="237"/>
  <c r="AV34" i="18"/>
  <c r="AF82"/>
  <c r="BL83"/>
  <c r="G49"/>
  <c r="AZ95"/>
  <c r="B39"/>
  <c r="BF95"/>
  <c r="B121" i="237"/>
  <c r="K161"/>
  <c r="AM20" i="18"/>
  <c r="C119" i="223"/>
  <c r="N4" i="18"/>
  <c r="AK40"/>
  <c r="E173" i="237"/>
  <c r="BB34" i="18"/>
  <c r="AU14"/>
  <c r="I89" i="223"/>
  <c r="I133"/>
  <c r="P7" i="18"/>
  <c r="BL40"/>
  <c r="I179" i="223"/>
  <c r="J180" i="237"/>
  <c r="AG34" i="18"/>
  <c r="F103" i="237"/>
  <c r="E160"/>
  <c r="BM11" i="18"/>
  <c r="BI31" i="15"/>
  <c r="AX45" i="18"/>
  <c r="BF83"/>
  <c r="AF78"/>
  <c r="AE95"/>
  <c r="AF45"/>
  <c r="H77"/>
  <c r="BM96"/>
  <c r="AX38"/>
  <c r="BF53"/>
  <c r="AD89"/>
  <c r="AF61"/>
  <c r="H71" i="237"/>
  <c r="O20" i="15"/>
  <c r="AR9" i="18"/>
  <c r="AP21" i="15"/>
  <c r="J155" i="237"/>
  <c r="B71" i="223"/>
  <c r="B138"/>
  <c r="L78" i="237"/>
  <c r="C103" i="18"/>
  <c r="K57" i="237"/>
  <c r="K57" i="223"/>
  <c r="K22" i="15"/>
  <c r="BL31"/>
  <c r="O12" i="18"/>
  <c r="AN31" i="15"/>
  <c r="BE39" i="18"/>
  <c r="H101" i="237"/>
  <c r="J23"/>
  <c r="BJ22" i="18"/>
  <c r="AX46"/>
  <c r="AY78"/>
  <c r="O83"/>
  <c r="O78"/>
  <c r="I63"/>
  <c r="AX61"/>
  <c r="V77"/>
  <c r="R96"/>
  <c r="V82"/>
  <c r="AY89"/>
  <c r="BG89"/>
  <c r="I86"/>
  <c r="BL60"/>
  <c r="AC46"/>
  <c r="G83"/>
  <c r="AC81"/>
  <c r="BF62"/>
  <c r="AD62"/>
  <c r="AT96"/>
  <c r="V38"/>
  <c r="P29" i="15"/>
  <c r="L93" i="237"/>
  <c r="N24" i="223"/>
  <c r="O19" i="15"/>
  <c r="AL15" i="18"/>
  <c r="N23" i="15"/>
  <c r="BR16" i="18"/>
  <c r="E21" i="223"/>
  <c r="AW15" i="18"/>
  <c r="J29" i="237"/>
  <c r="F124"/>
  <c r="L123"/>
  <c r="V39" i="18"/>
  <c r="AH6"/>
  <c r="Z34"/>
  <c r="AI15"/>
  <c r="BM39"/>
  <c r="C147" i="237"/>
  <c r="B91"/>
  <c r="H116" i="223"/>
  <c r="M171"/>
  <c r="G40" i="18"/>
  <c r="BL86"/>
  <c r="AT45"/>
  <c r="AU45"/>
  <c r="AY63"/>
  <c r="H95"/>
  <c r="V96"/>
  <c r="AI38"/>
  <c r="AH75"/>
  <c r="BB82"/>
  <c r="AX49"/>
  <c r="BC89"/>
  <c r="AE89"/>
  <c r="AR86"/>
  <c r="AH78"/>
  <c r="BM60"/>
  <c r="AR46"/>
  <c r="V50"/>
  <c r="BG50"/>
  <c r="S85"/>
  <c r="V83"/>
  <c r="BB81"/>
  <c r="BM81"/>
  <c r="AF62"/>
  <c r="BL62"/>
  <c r="BM45"/>
  <c r="N139" i="237"/>
  <c r="N34" i="18"/>
  <c r="AL10"/>
  <c r="I29" i="15"/>
  <c r="E127" i="237"/>
  <c r="B8" i="185"/>
  <c r="BA16" i="18"/>
  <c r="BK19" i="15"/>
  <c r="C97" i="18"/>
  <c r="U5"/>
  <c r="BB21" i="15"/>
  <c r="F10" i="1"/>
  <c r="S40" i="18"/>
  <c r="AQ25" i="15"/>
  <c r="BN13" i="18"/>
  <c r="J164" i="223"/>
  <c r="AH67" i="18"/>
  <c r="D63" i="223"/>
  <c r="W9" i="18"/>
  <c r="AQ8"/>
  <c r="E23" i="237"/>
  <c r="AA72" i="18"/>
  <c r="Z45"/>
  <c r="AH57"/>
  <c r="AT78"/>
  <c r="BM95"/>
  <c r="V52"/>
  <c r="AZ54"/>
  <c r="BA61"/>
  <c r="BG61"/>
  <c r="AI72"/>
  <c r="AK68"/>
  <c r="S57"/>
  <c r="AY38"/>
  <c r="O38"/>
  <c r="H53"/>
  <c r="BG75"/>
  <c r="BL82"/>
  <c r="BA89"/>
  <c r="AJ89"/>
  <c r="AI86"/>
  <c r="BG86"/>
  <c r="AX65"/>
  <c r="AQ46"/>
  <c r="W61"/>
  <c r="AT68"/>
  <c r="S95"/>
  <c r="O50"/>
  <c r="AZ58"/>
  <c r="AA45"/>
  <c r="AJ58"/>
  <c r="AU90"/>
  <c r="AQ90"/>
  <c r="AC95"/>
  <c r="AI85"/>
  <c r="R50"/>
  <c r="Z58"/>
  <c r="BB45"/>
  <c r="BA45"/>
  <c r="AA84"/>
  <c r="BF81"/>
  <c r="I89"/>
  <c r="BC62"/>
  <c r="S74"/>
  <c r="AJ38"/>
  <c r="BM69"/>
  <c r="AR82"/>
  <c r="AR45"/>
  <c r="BA75"/>
  <c r="S75"/>
  <c r="V69"/>
  <c r="AX90"/>
  <c r="AZ85"/>
  <c r="N84"/>
  <c r="AX83"/>
  <c r="S81"/>
  <c r="I76" i="237"/>
  <c r="E166"/>
  <c r="J162"/>
  <c r="B136" i="223"/>
  <c r="J20" i="18"/>
  <c r="D39" i="223"/>
  <c r="AT86" i="18"/>
  <c r="D59" i="223"/>
  <c r="X24" i="15"/>
  <c r="H161" i="237"/>
  <c r="BR18" i="18"/>
  <c r="AA26" i="15"/>
  <c r="H57" i="223"/>
  <c r="K120"/>
  <c r="C59" i="18"/>
  <c r="H151" i="237"/>
  <c r="M16" i="18"/>
  <c r="E115" i="223"/>
  <c r="Y18" i="18"/>
  <c r="B170" i="223"/>
  <c r="J3" i="18"/>
  <c r="K14"/>
  <c r="I13" i="1"/>
  <c r="AP4" i="18"/>
  <c r="BK13"/>
  <c r="F169" i="237"/>
  <c r="E76" i="223"/>
  <c r="K29" i="15"/>
  <c r="L10" i="18"/>
  <c r="B26" i="14"/>
  <c r="K163" i="223"/>
  <c r="H23" i="15"/>
  <c r="BP9" i="18"/>
  <c r="E134" i="223"/>
  <c r="F89" i="237"/>
  <c r="N84"/>
  <c r="E30" i="223"/>
  <c r="AB19" i="15"/>
  <c r="X25"/>
  <c r="F172" i="237"/>
  <c r="B45" i="223"/>
  <c r="X29" i="15"/>
  <c r="AX39" i="18"/>
  <c r="L39" i="223"/>
  <c r="K15" i="18"/>
  <c r="L83" i="223"/>
  <c r="N86" i="237"/>
  <c r="M103" i="223"/>
  <c r="I125"/>
  <c r="L84" i="237"/>
  <c r="T39" i="18"/>
  <c r="B20" i="223"/>
  <c r="BA19" i="15"/>
  <c r="H94" i="237"/>
  <c r="X10" i="18"/>
  <c r="I154" i="237"/>
  <c r="I62"/>
  <c r="B56" i="223"/>
  <c r="L180" i="237"/>
  <c r="L42" i="223"/>
  <c r="M39" i="18"/>
  <c r="BJ17"/>
  <c r="F163" i="237"/>
  <c r="BD22" i="15"/>
  <c r="AM22" i="18"/>
  <c r="F38" i="237"/>
  <c r="BN7" i="18"/>
  <c r="L126" i="223"/>
  <c r="P21" i="15"/>
  <c r="N147" i="237"/>
  <c r="E186"/>
  <c r="H74"/>
  <c r="M148" i="223"/>
  <c r="I53" i="18"/>
  <c r="AF86"/>
  <c r="L124" i="237"/>
  <c r="N74" i="223"/>
  <c r="F181"/>
  <c r="Y4" i="18"/>
  <c r="I46" i="237"/>
  <c r="D94" i="223"/>
  <c r="P16" i="18"/>
  <c r="G72" i="237"/>
  <c r="G41"/>
  <c r="B68" i="223"/>
  <c r="AG4" i="18"/>
  <c r="K121" i="237"/>
  <c r="B24" i="14"/>
  <c r="BJ25" i="15"/>
  <c r="AE41" i="18"/>
  <c r="Y41"/>
  <c r="AZ63"/>
  <c r="C74"/>
  <c r="AN40"/>
  <c r="AF56"/>
  <c r="H125" i="237"/>
  <c r="BI25" i="15"/>
  <c r="AW12" i="18"/>
  <c r="N133" i="237"/>
  <c r="I137"/>
  <c r="L72" i="223"/>
  <c r="B90" i="237"/>
  <c r="J117"/>
  <c r="G45"/>
  <c r="B30" i="185"/>
  <c r="D72" i="237"/>
  <c r="C70" i="223"/>
  <c r="BI9" i="18"/>
  <c r="G133" i="223"/>
  <c r="G135"/>
  <c r="AY70" i="18"/>
  <c r="AP31" i="15"/>
  <c r="Q4" i="18"/>
  <c r="AB17"/>
  <c r="I38"/>
  <c r="AT49"/>
  <c r="AT95"/>
  <c r="BF41"/>
  <c r="L95"/>
  <c r="G41"/>
  <c r="I70"/>
  <c r="V63"/>
  <c r="AZ77"/>
  <c r="AU77"/>
  <c r="AY96"/>
  <c r="AD38"/>
  <c r="M53"/>
  <c r="V43"/>
  <c r="I82"/>
  <c r="H89"/>
  <c r="AG89"/>
  <c r="AU86"/>
  <c r="AT41"/>
  <c r="M67" i="237"/>
  <c r="G61"/>
  <c r="AV19" i="18"/>
  <c r="I90" i="237"/>
  <c r="C136"/>
  <c r="N40" i="223"/>
  <c r="C146" i="237"/>
  <c r="AQ39" i="18"/>
  <c r="AN15"/>
  <c r="B25" i="14"/>
  <c r="D29" i="223"/>
  <c r="D182" i="237"/>
  <c r="D146"/>
  <c r="BE19" i="18"/>
  <c r="L58" i="237"/>
  <c r="R53" i="18"/>
  <c r="BH25" i="15"/>
  <c r="K46" i="237"/>
  <c r="I125"/>
  <c r="BM49" i="18"/>
  <c r="O64"/>
  <c r="BG90"/>
  <c r="M71"/>
  <c r="AR94"/>
  <c r="AY46"/>
  <c r="H83"/>
  <c r="AG90"/>
  <c r="AU78"/>
  <c r="AB95"/>
  <c r="H59"/>
  <c r="R45"/>
  <c r="BL70"/>
  <c r="AE44"/>
  <c r="H63"/>
  <c r="AE61"/>
  <c r="BK95"/>
  <c r="AM77"/>
  <c r="AX77"/>
  <c r="AM96"/>
  <c r="BC38"/>
  <c r="BI38"/>
  <c r="AX53"/>
  <c r="BC43"/>
  <c r="AE75"/>
  <c r="O71"/>
  <c r="BM82"/>
  <c r="BF49"/>
  <c r="BJ93"/>
  <c r="G89"/>
  <c r="AG86"/>
  <c r="BM86"/>
  <c r="BC92"/>
  <c r="AT92"/>
  <c r="AC94"/>
  <c r="BK60"/>
  <c r="AD95"/>
  <c r="O88"/>
  <c r="BI90"/>
  <c r="BE71"/>
  <c r="BL71"/>
  <c r="J95"/>
  <c r="BE56"/>
  <c r="BG83"/>
  <c r="BJ83"/>
  <c r="AD81"/>
  <c r="BF77"/>
  <c r="BE92"/>
  <c r="BI48"/>
  <c r="AZ62"/>
  <c r="O62"/>
  <c r="BJ96"/>
  <c r="L78"/>
  <c r="R64"/>
  <c r="AF64"/>
  <c r="AT44"/>
  <c r="AN38"/>
  <c r="BK59"/>
  <c r="I15" i="1"/>
  <c r="X7" i="18"/>
  <c r="AU31" i="15"/>
  <c r="AH31"/>
  <c r="AW10" i="18"/>
  <c r="C84"/>
  <c r="I89" i="237"/>
  <c r="AC26" i="15"/>
  <c r="M137" i="237"/>
  <c r="C83"/>
  <c r="BH7" i="18"/>
  <c r="G166" i="237"/>
  <c r="I162" i="223"/>
  <c r="E161" i="237"/>
  <c r="I69"/>
  <c r="O61" i="18"/>
  <c r="AF95"/>
  <c r="G127" i="223"/>
  <c r="M132"/>
  <c r="AS14" i="18"/>
  <c r="AE78"/>
  <c r="AF55"/>
  <c r="O90"/>
  <c r="AF59"/>
  <c r="AE94"/>
  <c r="BG46"/>
  <c r="AC83"/>
  <c r="BF80"/>
  <c r="I90"/>
  <c r="AU55"/>
  <c r="AF41"/>
  <c r="AS78"/>
  <c r="AW78"/>
  <c r="BI91"/>
  <c r="AE59"/>
  <c r="L73"/>
  <c r="AX41"/>
  <c r="AF70"/>
  <c r="M70"/>
  <c r="AC44"/>
  <c r="S44"/>
  <c r="BL63"/>
  <c r="AC61"/>
  <c r="AW61"/>
  <c r="AY66"/>
  <c r="BI95"/>
  <c r="X77"/>
  <c r="R77"/>
  <c r="AD96"/>
  <c r="M55"/>
  <c r="AX76"/>
  <c r="AG38"/>
  <c r="J53"/>
  <c r="Q53"/>
  <c r="AC43"/>
  <c r="AZ75"/>
  <c r="G71"/>
  <c r="Q94"/>
  <c r="AU82"/>
  <c r="AE82"/>
  <c r="AE49"/>
  <c r="J93"/>
  <c r="V89"/>
  <c r="Y89"/>
  <c r="X89"/>
  <c r="BF86"/>
  <c r="R92"/>
  <c r="AZ92"/>
  <c r="BJ70"/>
  <c r="Q65"/>
  <c r="AR65"/>
  <c r="AS41"/>
  <c r="X60"/>
  <c r="AW60"/>
  <c r="AF46"/>
  <c r="AM61"/>
  <c r="G88"/>
  <c r="AD88"/>
  <c r="AI91"/>
  <c r="BE50"/>
  <c r="AE90"/>
  <c r="AM90"/>
  <c r="R71"/>
  <c r="BB71"/>
  <c r="AZ93"/>
  <c r="Y82"/>
  <c r="AY56"/>
  <c r="AC77"/>
  <c r="BM85"/>
  <c r="AW85"/>
  <c r="AM83"/>
  <c r="I83"/>
  <c r="AE81"/>
  <c r="BK81"/>
  <c r="BE63"/>
  <c r="O48"/>
  <c r="AN48"/>
  <c r="V48"/>
  <c r="AB62"/>
  <c r="I62"/>
  <c r="H96"/>
  <c r="N96"/>
  <c r="BG80"/>
  <c r="V80"/>
  <c r="AG92"/>
  <c r="AW64"/>
  <c r="BK64"/>
  <c r="AY44"/>
  <c r="N73"/>
  <c r="R38"/>
  <c r="K6"/>
  <c r="N185" i="237"/>
  <c r="B5" i="185"/>
  <c r="G173" i="223"/>
  <c r="H170"/>
  <c r="N135" i="237"/>
  <c r="N53" i="223"/>
  <c r="T9" i="18"/>
  <c r="L40" i="237"/>
  <c r="M93" i="223"/>
  <c r="AM2" i="18"/>
  <c r="BK39"/>
  <c r="M76" i="223"/>
  <c r="E147" i="237"/>
  <c r="C60" i="18"/>
  <c r="V46"/>
  <c r="AI94"/>
  <c r="BD19"/>
  <c r="F121" i="223"/>
  <c r="H70" i="237"/>
  <c r="X48" i="18"/>
  <c r="AH82"/>
  <c r="AJ59"/>
  <c r="M41"/>
  <c r="BK44"/>
  <c r="BB51"/>
  <c r="N54"/>
  <c r="BD95"/>
  <c r="V53"/>
  <c r="Z87"/>
  <c r="AR96"/>
  <c r="M84"/>
  <c r="AB93"/>
  <c r="J56"/>
  <c r="AE54"/>
  <c r="AG83"/>
  <c r="AS80"/>
  <c r="AD57"/>
  <c r="BM90"/>
  <c r="AL55"/>
  <c r="AV41"/>
  <c r="AJ76"/>
  <c r="V78"/>
  <c r="Q78"/>
  <c r="AB91"/>
  <c r="G91"/>
  <c r="Q95"/>
  <c r="AB45"/>
  <c r="I59"/>
  <c r="BB73"/>
  <c r="BK41"/>
  <c r="BM52"/>
  <c r="G52"/>
  <c r="U52"/>
  <c r="BD70"/>
  <c r="BK70"/>
  <c r="BH44"/>
  <c r="BA44"/>
  <c r="R54"/>
  <c r="P63"/>
  <c r="BC79"/>
  <c r="AF79"/>
  <c r="U79"/>
  <c r="AT61"/>
  <c r="G61"/>
  <c r="K66"/>
  <c r="M66"/>
  <c r="AN77"/>
  <c r="AD77"/>
  <c r="AG77"/>
  <c r="AP96"/>
  <c r="BK55"/>
  <c r="BA55"/>
  <c r="AE72"/>
  <c r="AA87"/>
  <c r="Q68"/>
  <c r="AH68"/>
  <c r="AR91"/>
  <c r="K76"/>
  <c r="BK57"/>
  <c r="AA38"/>
  <c r="AP38"/>
  <c r="AG53"/>
  <c r="AD53"/>
  <c r="AS67"/>
  <c r="AP67"/>
  <c r="L45"/>
  <c r="N43"/>
  <c r="AE43"/>
  <c r="AQ75"/>
  <c r="AB71"/>
  <c r="Z94"/>
  <c r="G94"/>
  <c r="AY82"/>
  <c r="H47"/>
  <c r="BH47"/>
  <c r="AJ47"/>
  <c r="BG49"/>
  <c r="K49"/>
  <c r="O93"/>
  <c r="BF45"/>
  <c r="AW89"/>
  <c r="AN89"/>
  <c r="BH86"/>
  <c r="R86"/>
  <c r="AY92"/>
  <c r="P92"/>
  <c r="AA92"/>
  <c r="AK70"/>
  <c r="BL65"/>
  <c r="AQ65"/>
  <c r="BJ55"/>
  <c r="V41"/>
  <c r="AA60"/>
  <c r="BC60"/>
  <c r="AJ60"/>
  <c r="X46"/>
  <c r="AV61"/>
  <c r="AT42"/>
  <c r="AY42"/>
  <c r="AX51"/>
  <c r="AD51"/>
  <c r="AB51"/>
  <c r="AY88"/>
  <c r="V88"/>
  <c r="BE68"/>
  <c r="Y66"/>
  <c r="AQ50"/>
  <c r="AP50"/>
  <c r="AA95"/>
  <c r="T58"/>
  <c r="BJ58"/>
  <c r="BA90"/>
  <c r="S90"/>
  <c r="AB90"/>
  <c r="AL71"/>
  <c r="Z71"/>
  <c r="BJ91"/>
  <c r="Y49"/>
  <c r="AQ56"/>
  <c r="AB56"/>
  <c r="N85"/>
  <c r="BI85"/>
  <c r="S58"/>
  <c r="U90"/>
  <c r="Z41"/>
  <c r="AF85"/>
  <c r="R85"/>
  <c r="BJ84"/>
  <c r="Y84"/>
  <c r="BC83"/>
  <c r="AZ81"/>
  <c r="J89"/>
  <c r="BB88"/>
  <c r="AR48"/>
  <c r="AE63"/>
  <c r="AH62"/>
  <c r="AQ74"/>
  <c r="AV96"/>
  <c r="AX52"/>
  <c r="BM80"/>
  <c r="AG63"/>
  <c r="BA64"/>
  <c r="AB79"/>
  <c r="BA73"/>
  <c r="BL38"/>
  <c r="AB55"/>
  <c r="AR69"/>
  <c r="I69"/>
  <c r="S69"/>
  <c r="U76"/>
  <c r="AN87"/>
  <c r="P87"/>
  <c r="BJ75"/>
  <c r="BD75"/>
  <c r="AS75"/>
  <c r="AT62"/>
  <c r="P52"/>
  <c r="M63"/>
  <c r="AD69"/>
  <c r="BE87"/>
  <c r="H50"/>
  <c r="BG45"/>
  <c r="BH71"/>
  <c r="T56"/>
  <c r="AG85"/>
  <c r="Z54"/>
  <c r="AR84"/>
  <c r="AZ86"/>
  <c r="X81"/>
  <c r="AV81"/>
  <c r="T47"/>
  <c r="AL48"/>
  <c r="AZ64"/>
  <c r="BB76"/>
  <c r="P58"/>
  <c r="Y63"/>
  <c r="K54"/>
  <c r="AZ82"/>
  <c r="AU81"/>
  <c r="AU48"/>
  <c r="BL48"/>
  <c r="AL62"/>
  <c r="AQ95"/>
  <c r="AV74"/>
  <c r="AM43"/>
  <c r="T52"/>
  <c r="AU80"/>
  <c r="BC64"/>
  <c r="BH64"/>
  <c r="BJ44"/>
  <c r="G73"/>
  <c r="AS38"/>
  <c r="M59"/>
  <c r="AL63"/>
  <c r="M69"/>
  <c r="AJ69"/>
  <c r="AS45"/>
  <c r="BD91"/>
  <c r="AR42"/>
  <c r="O75"/>
  <c r="Y62"/>
  <c r="AX43"/>
  <c r="AJ79"/>
  <c r="BL69"/>
  <c r="Q87"/>
  <c r="AF50"/>
  <c r="AS90"/>
  <c r="AV71"/>
  <c r="BK56"/>
  <c r="L85"/>
  <c r="BF54"/>
  <c r="AT84"/>
  <c r="M83"/>
  <c r="BG81"/>
  <c r="AJ81"/>
  <c r="BB47"/>
  <c r="M48"/>
  <c r="AE42"/>
  <c r="BB62"/>
  <c r="BM74"/>
  <c r="X96"/>
  <c r="AV43"/>
  <c r="AW49"/>
  <c r="G80"/>
  <c r="M64"/>
  <c r="BL64"/>
  <c r="M94"/>
  <c r="AB73"/>
  <c r="BF38"/>
  <c r="P59"/>
  <c r="BD69"/>
  <c r="AI69"/>
  <c r="AS49"/>
  <c r="Z76"/>
  <c r="AV87"/>
  <c r="AE48"/>
  <c r="J96"/>
  <c r="AN64"/>
  <c r="K38"/>
  <c r="AO69"/>
  <c r="AR95"/>
  <c r="Y58"/>
  <c r="V90"/>
  <c r="BI56"/>
  <c r="AK85"/>
  <c r="BD85"/>
  <c r="AF84"/>
  <c r="L84"/>
  <c r="AF83"/>
  <c r="O81"/>
  <c r="AR89"/>
  <c r="AX48"/>
  <c r="K96"/>
  <c r="AG57"/>
  <c r="BE38"/>
  <c r="AF76"/>
  <c r="M75"/>
  <c r="C39"/>
  <c r="C89"/>
  <c r="C71"/>
  <c r="C56"/>
  <c r="M40"/>
  <c r="BE40"/>
  <c r="Q40"/>
  <c r="BH88"/>
  <c r="S77"/>
  <c r="M95"/>
  <c r="AU95"/>
  <c r="O84"/>
  <c r="AM53"/>
  <c r="AS79"/>
  <c r="AJ66"/>
  <c r="BG76"/>
  <c r="AM93"/>
  <c r="AL86"/>
  <c r="L92"/>
  <c r="AI50"/>
  <c r="BB80"/>
  <c r="BB83"/>
  <c r="AZ83"/>
  <c r="AG43"/>
  <c r="AJ82"/>
  <c r="H82"/>
  <c r="K63"/>
  <c r="AD63"/>
  <c r="BH63"/>
  <c r="AU41"/>
  <c r="AN73"/>
  <c r="AZ61"/>
  <c r="AY61"/>
  <c r="P49"/>
  <c r="BL49"/>
  <c r="BI49"/>
  <c r="N91"/>
  <c r="AZ38"/>
  <c r="P93"/>
  <c r="G93"/>
  <c r="AL79"/>
  <c r="AH51"/>
  <c r="BI51"/>
  <c r="BB58"/>
  <c r="AQ58"/>
  <c r="Q71"/>
  <c r="AK56"/>
  <c r="AR56"/>
  <c r="AI81"/>
  <c r="AP81"/>
  <c r="BA62"/>
  <c r="T64"/>
  <c r="AP64"/>
  <c r="AR87"/>
  <c r="U87"/>
  <c r="AT87"/>
  <c r="T70"/>
  <c r="BJ45"/>
  <c r="S45"/>
  <c r="Q45"/>
  <c r="I45"/>
  <c r="AU38"/>
  <c r="BK78"/>
  <c r="BH78"/>
  <c r="BL78"/>
  <c r="M56"/>
  <c r="X44"/>
  <c r="W56"/>
  <c r="BL54"/>
  <c r="AC54"/>
  <c r="J64"/>
  <c r="BJ64"/>
  <c r="BI68"/>
  <c r="H68"/>
  <c r="AL43"/>
  <c r="BI81"/>
  <c r="AL92"/>
  <c r="AX93"/>
  <c r="K48"/>
  <c r="Q77"/>
  <c r="L48"/>
  <c r="AN96"/>
  <c r="BM53"/>
  <c r="G96"/>
  <c r="M79"/>
  <c r="AZ79"/>
  <c r="L79"/>
  <c r="BL75"/>
  <c r="AU75"/>
  <c r="BB75"/>
  <c r="AM75"/>
  <c r="AN75"/>
  <c r="BK75"/>
  <c r="BG56"/>
  <c r="BL90"/>
  <c r="L90"/>
  <c r="AB94"/>
  <c r="BK43"/>
  <c r="AV94"/>
  <c r="R94"/>
  <c r="BK94"/>
  <c r="Y94"/>
  <c r="AG94"/>
  <c r="AJ94"/>
  <c r="P71"/>
  <c r="AQ71"/>
  <c r="AK71"/>
  <c r="AB89"/>
  <c r="AR59"/>
  <c r="T59"/>
  <c r="K59"/>
  <c r="BB59"/>
  <c r="AE76"/>
  <c r="AL76"/>
  <c r="AV76"/>
  <c r="BK76"/>
  <c r="J76"/>
  <c r="Z60"/>
  <c r="T60"/>
  <c r="BA60"/>
  <c r="AC38"/>
  <c r="BH60"/>
  <c r="BJ60"/>
  <c r="AH88"/>
  <c r="BJ88"/>
  <c r="AT88"/>
  <c r="BE62"/>
  <c r="BE86"/>
  <c r="AG46"/>
  <c r="AM46"/>
  <c r="O96"/>
  <c r="O45"/>
  <c r="AL46"/>
  <c r="AT46"/>
  <c r="J46"/>
  <c r="BC46"/>
  <c r="O86"/>
  <c r="AU51"/>
  <c r="V51"/>
  <c r="R51"/>
  <c r="T45"/>
  <c r="BB77"/>
  <c r="V85"/>
  <c r="BB93"/>
  <c r="BJ82"/>
  <c r="BI93"/>
  <c r="BG73"/>
  <c r="AP45"/>
  <c r="AP41"/>
  <c r="BE73"/>
  <c r="Q73"/>
  <c r="BI73"/>
  <c r="BM73"/>
  <c r="AS73"/>
  <c r="AP82"/>
  <c r="N55"/>
  <c r="BB55"/>
  <c r="AR55"/>
  <c r="X45"/>
  <c r="K55"/>
  <c r="X49"/>
  <c r="AP55"/>
  <c r="AK55"/>
  <c r="AD55"/>
  <c r="BI80"/>
  <c r="BJ80"/>
  <c r="O80"/>
  <c r="AW44"/>
  <c r="BE80"/>
  <c r="AO80"/>
  <c r="AH80"/>
  <c r="BH56"/>
  <c r="V91"/>
  <c r="AK91"/>
  <c r="AU91"/>
  <c r="AE91"/>
  <c r="L91"/>
  <c r="I91"/>
  <c r="BH83"/>
  <c r="BH61"/>
  <c r="S48"/>
  <c r="AD50"/>
  <c r="AG50"/>
  <c r="U50"/>
  <c r="S63"/>
  <c r="AS50"/>
  <c r="AW50"/>
  <c r="AH41"/>
  <c r="AY65"/>
  <c r="G65"/>
  <c r="AH92"/>
  <c r="L65"/>
  <c r="S65"/>
  <c r="O65"/>
  <c r="AH61"/>
  <c r="AH38"/>
  <c r="BH65"/>
  <c r="BK65"/>
  <c r="AI78"/>
  <c r="AI96"/>
  <c r="AD66"/>
  <c r="AI56"/>
  <c r="AI53"/>
  <c r="AI43"/>
  <c r="AQ66"/>
  <c r="AS66"/>
  <c r="BE66"/>
  <c r="AI95"/>
  <c r="W66"/>
  <c r="AT85"/>
  <c r="BL85"/>
  <c r="U85"/>
  <c r="BB86"/>
  <c r="BB46"/>
  <c r="AO76"/>
  <c r="BJ76"/>
  <c r="AS71"/>
  <c r="O76"/>
  <c r="AT76"/>
  <c r="AI42"/>
  <c r="BK42"/>
  <c r="K86"/>
  <c r="BB42"/>
  <c r="K41"/>
  <c r="J42"/>
  <c r="AB42"/>
  <c r="K53"/>
  <c r="AD42"/>
  <c r="BC42"/>
  <c r="K92"/>
  <c r="S42"/>
  <c r="Y42"/>
  <c r="Z42"/>
  <c r="H42"/>
  <c r="BA42"/>
  <c r="AL85"/>
  <c r="AL66"/>
  <c r="AM69"/>
  <c r="BC69"/>
  <c r="AV69"/>
  <c r="AT69"/>
  <c r="AL81"/>
  <c r="AL75"/>
  <c r="AB69"/>
  <c r="AZ69"/>
  <c r="BF79"/>
  <c r="AA79"/>
  <c r="Q79"/>
  <c r="N79"/>
  <c r="AV79"/>
  <c r="J79"/>
  <c r="AV46"/>
  <c r="BM79"/>
  <c r="BK79"/>
  <c r="AQ84"/>
  <c r="V84"/>
  <c r="AS84"/>
  <c r="BA63"/>
  <c r="AU84"/>
  <c r="AO84"/>
  <c r="BI84"/>
  <c r="AK84"/>
  <c r="BA83"/>
  <c r="BA38"/>
  <c r="BM84"/>
  <c r="AX84"/>
  <c r="Q84"/>
  <c r="BA57"/>
  <c r="AN57"/>
  <c r="V57"/>
  <c r="BB57"/>
  <c r="G57"/>
  <c r="Z82"/>
  <c r="Z43"/>
  <c r="BJ57"/>
  <c r="X57"/>
  <c r="AI57"/>
  <c r="AS57"/>
  <c r="Z49"/>
  <c r="AJ57"/>
  <c r="AZ57"/>
  <c r="Z63"/>
  <c r="O57"/>
  <c r="Q57"/>
  <c r="AP51"/>
  <c r="T50"/>
  <c r="G51"/>
  <c r="AO51"/>
  <c r="T53"/>
  <c r="T96"/>
  <c r="I51"/>
  <c r="BD51"/>
  <c r="T75"/>
  <c r="U73"/>
  <c r="BL52"/>
  <c r="AS52"/>
  <c r="U92"/>
  <c r="J52"/>
  <c r="H52"/>
  <c r="U59"/>
  <c r="X52"/>
  <c r="AI52"/>
  <c r="U38"/>
  <c r="BF52"/>
  <c r="AU52"/>
  <c r="U43"/>
  <c r="AL52"/>
  <c r="I52"/>
  <c r="AF52"/>
  <c r="AY52"/>
  <c r="AV72"/>
  <c r="AD72"/>
  <c r="BJ72"/>
  <c r="V72"/>
  <c r="AO92"/>
  <c r="AO62"/>
  <c r="BI72"/>
  <c r="AO53"/>
  <c r="N72"/>
  <c r="AO61"/>
  <c r="BF72"/>
  <c r="AN72"/>
  <c r="BE72"/>
  <c r="W72"/>
  <c r="AX72"/>
  <c r="AZ72"/>
  <c r="BC72"/>
  <c r="AJ64"/>
  <c r="AV67"/>
  <c r="L67"/>
  <c r="AJ61"/>
  <c r="AQ67"/>
  <c r="T67"/>
  <c r="AR67"/>
  <c r="BM67"/>
  <c r="AJ63"/>
  <c r="BB67"/>
  <c r="AF67"/>
  <c r="AJ78"/>
  <c r="AT67"/>
  <c r="BG67"/>
  <c r="H67"/>
  <c r="AU67"/>
  <c r="P65"/>
  <c r="O47"/>
  <c r="AZ47"/>
  <c r="Y47"/>
  <c r="P91"/>
  <c r="AY47"/>
  <c r="P41"/>
  <c r="N47"/>
  <c r="X47"/>
  <c r="P82"/>
  <c r="J47"/>
  <c r="AG47"/>
  <c r="BK47"/>
  <c r="P61"/>
  <c r="AI47"/>
  <c r="BL47"/>
  <c r="AP68"/>
  <c r="AK92"/>
  <c r="X68"/>
  <c r="AW68"/>
  <c r="AK86"/>
  <c r="BJ68"/>
  <c r="AK49"/>
  <c r="T68"/>
  <c r="BM68"/>
  <c r="BL68"/>
  <c r="W68"/>
  <c r="AZ68"/>
  <c r="BB68"/>
  <c r="BD62"/>
  <c r="BD71"/>
  <c r="W87"/>
  <c r="BK87"/>
  <c r="BD88"/>
  <c r="BD83"/>
  <c r="H87"/>
  <c r="BD61"/>
  <c r="AM87"/>
  <c r="BD78"/>
  <c r="AR54"/>
  <c r="W85"/>
  <c r="W77"/>
  <c r="W54"/>
  <c r="Y54"/>
  <c r="AS54"/>
  <c r="AH54"/>
  <c r="W60"/>
  <c r="O54"/>
  <c r="AW54"/>
  <c r="AK54"/>
  <c r="W45"/>
  <c r="AX54"/>
  <c r="AA74"/>
  <c r="AQ63"/>
  <c r="AZ74"/>
  <c r="AQ59"/>
  <c r="AQ83"/>
  <c r="AQ91"/>
  <c r="W74"/>
  <c r="AQ48"/>
  <c r="AM74"/>
  <c r="I74"/>
  <c r="BA74"/>
  <c r="AW74"/>
  <c r="AF74"/>
  <c r="O74"/>
  <c r="BL74"/>
  <c r="AA48"/>
  <c r="AI58"/>
  <c r="AS58"/>
  <c r="W58"/>
  <c r="Q58"/>
  <c r="AW58"/>
  <c r="BF58"/>
  <c r="AP58"/>
  <c r="AA77"/>
  <c r="AA75"/>
  <c r="AA44"/>
  <c r="BA58"/>
  <c r="BM58"/>
  <c r="AK74"/>
  <c r="AM58"/>
  <c r="AA58"/>
  <c r="AZ48"/>
  <c r="K64"/>
  <c r="AS69"/>
  <c r="N58"/>
  <c r="Y95"/>
  <c r="AM85"/>
  <c r="AE84"/>
  <c r="V81"/>
  <c r="R48"/>
  <c r="P48"/>
  <c r="AM62"/>
  <c r="BJ62"/>
  <c r="AX74"/>
  <c r="BM91"/>
  <c r="N52"/>
  <c r="L80"/>
  <c r="AV64"/>
  <c r="AG45"/>
  <c r="Z79"/>
  <c r="AA73"/>
  <c r="G72"/>
  <c r="Q59"/>
  <c r="BJ69"/>
  <c r="AC69"/>
  <c r="AU69"/>
  <c r="AH76"/>
  <c r="AB87"/>
  <c r="AE87"/>
  <c r="AO75"/>
  <c r="AG88"/>
  <c r="BM55"/>
  <c r="AK64"/>
  <c r="X59"/>
  <c r="BD76"/>
  <c r="BL50"/>
  <c r="AH58"/>
  <c r="S71"/>
  <c r="AX56"/>
  <c r="AP85"/>
  <c r="T54"/>
  <c r="BA84"/>
  <c r="AZ49"/>
  <c r="BI83"/>
  <c r="AN81"/>
  <c r="BE47"/>
  <c r="AM48"/>
  <c r="BB48"/>
  <c r="AK62"/>
  <c r="N74"/>
  <c r="AU74"/>
  <c r="G43"/>
  <c r="AM52"/>
  <c r="I80"/>
  <c r="AG49"/>
  <c r="I64"/>
  <c r="M91"/>
  <c r="BC73"/>
  <c r="G95"/>
  <c r="J59"/>
  <c r="AL94"/>
  <c r="L69"/>
  <c r="AP69"/>
  <c r="H76"/>
  <c r="BL87"/>
  <c r="AT75"/>
  <c r="Z62"/>
  <c r="H80"/>
  <c r="AQ73"/>
  <c r="P69"/>
  <c r="BA87"/>
  <c r="BI58"/>
  <c r="W90"/>
  <c r="J86"/>
  <c r="BB72"/>
  <c r="BB85"/>
  <c r="AY84"/>
  <c r="BB84"/>
  <c r="AV83"/>
  <c r="M81"/>
  <c r="AK89"/>
  <c r="AK48"/>
  <c r="L74"/>
  <c r="W80"/>
  <c r="AT73"/>
  <c r="AG69"/>
  <c r="H75"/>
  <c r="C93"/>
  <c r="C61"/>
  <c r="C43"/>
  <c r="C85"/>
  <c r="AF40"/>
  <c r="BG40"/>
  <c r="X40"/>
  <c r="AL88"/>
  <c r="U77"/>
  <c r="BA95"/>
  <c r="N95"/>
  <c r="R84"/>
  <c r="AV70"/>
  <c r="BH79"/>
  <c r="AA66"/>
  <c r="V76"/>
  <c r="N93"/>
  <c r="M86"/>
  <c r="BL92"/>
  <c r="G60"/>
  <c r="K50"/>
  <c r="AK83"/>
  <c r="AZ53"/>
  <c r="AB43"/>
  <c r="AX82"/>
  <c r="N82"/>
  <c r="AL82"/>
  <c r="BG63"/>
  <c r="AA63"/>
  <c r="BM41"/>
  <c r="BB41"/>
  <c r="AL73"/>
  <c r="BL61"/>
  <c r="BA49"/>
  <c r="I49"/>
  <c r="BB49"/>
  <c r="Q91"/>
  <c r="O89"/>
  <c r="AW38"/>
  <c r="H93"/>
  <c r="AK79"/>
  <c r="AS51"/>
  <c r="Q51"/>
  <c r="O58"/>
  <c r="V58"/>
  <c r="AZ71"/>
  <c r="BF56"/>
  <c r="AE56"/>
  <c r="AH81"/>
  <c r="AY81"/>
  <c r="T81"/>
  <c r="M62"/>
  <c r="G64"/>
  <c r="BB87"/>
  <c r="O87"/>
  <c r="BH87"/>
  <c r="AR70"/>
  <c r="M45"/>
  <c r="AC45"/>
  <c r="V45"/>
  <c r="N53"/>
  <c r="T78"/>
  <c r="K78"/>
  <c r="I78"/>
  <c r="AA78"/>
  <c r="M82"/>
  <c r="BF44"/>
  <c r="AN54"/>
  <c r="AO54"/>
  <c r="W86"/>
  <c r="AV54"/>
  <c r="AG81"/>
  <c r="AM68"/>
  <c r="P68"/>
  <c r="L82"/>
  <c r="G92"/>
  <c r="AN92"/>
  <c r="BG93"/>
  <c r="BJ53"/>
  <c r="AC48"/>
  <c r="AI48"/>
  <c r="BM63"/>
  <c r="BB96"/>
  <c r="BF96"/>
  <c r="AP79"/>
  <c r="K79"/>
  <c r="H79"/>
  <c r="J75"/>
  <c r="BC75"/>
  <c r="AJ75"/>
  <c r="AG75"/>
  <c r="U75"/>
  <c r="AC75"/>
  <c r="AH90"/>
  <c r="BG62"/>
  <c r="G90"/>
  <c r="BK82"/>
  <c r="BC94"/>
  <c r="BK45"/>
  <c r="BK62"/>
  <c r="I94"/>
  <c r="BB94"/>
  <c r="AF94"/>
  <c r="O94"/>
  <c r="N94"/>
  <c r="AO71"/>
  <c r="AN61"/>
  <c r="AJ71"/>
  <c r="AB61"/>
  <c r="AD59"/>
  <c r="AW59"/>
  <c r="AC59"/>
  <c r="L76"/>
  <c r="AS70"/>
  <c r="AS77"/>
  <c r="AR76"/>
  <c r="R76"/>
  <c r="AN60"/>
  <c r="AF60"/>
  <c r="AG60"/>
  <c r="AC82"/>
  <c r="AC62"/>
  <c r="O60"/>
  <c r="AT60"/>
  <c r="BC88"/>
  <c r="AP88"/>
  <c r="S88"/>
  <c r="AW88"/>
  <c r="AU46"/>
  <c r="BD46"/>
  <c r="O53"/>
  <c r="O63"/>
  <c r="BF46"/>
  <c r="BK46"/>
  <c r="AJ46"/>
  <c r="BH46"/>
  <c r="O46"/>
  <c r="BF51"/>
  <c r="AL51"/>
  <c r="AK51"/>
  <c r="T86"/>
  <c r="BB53"/>
  <c r="BB95"/>
  <c r="X93"/>
  <c r="M93"/>
  <c r="BK93"/>
  <c r="S73"/>
  <c r="BJ73"/>
  <c r="AP46"/>
  <c r="AD73"/>
  <c r="X73"/>
  <c r="AP49"/>
  <c r="H73"/>
  <c r="AP83"/>
  <c r="AE73"/>
  <c r="X88"/>
  <c r="AI55"/>
  <c r="AX55"/>
  <c r="AM55"/>
  <c r="BD55"/>
  <c r="BI55"/>
  <c r="BL55"/>
  <c r="X61"/>
  <c r="R55"/>
  <c r="AB80"/>
  <c r="AF80"/>
  <c r="Y80"/>
  <c r="AW43"/>
  <c r="AI80"/>
  <c r="AK80"/>
  <c r="AW86"/>
  <c r="BH81"/>
  <c r="BH75"/>
  <c r="AJ91"/>
  <c r="AN91"/>
  <c r="BH41"/>
  <c r="AX91"/>
  <c r="Y91"/>
  <c r="BH49"/>
  <c r="BG91"/>
  <c r="BH95"/>
  <c r="N50"/>
  <c r="AA50"/>
  <c r="BK50"/>
  <c r="S53"/>
  <c r="AK50"/>
  <c r="AL50"/>
  <c r="I50"/>
  <c r="AA65"/>
  <c r="N65"/>
  <c r="BA65"/>
  <c r="J65"/>
  <c r="R65"/>
  <c r="AF65"/>
  <c r="BI65"/>
  <c r="AW65"/>
  <c r="BB65"/>
  <c r="X65"/>
  <c r="BD66"/>
  <c r="AI60"/>
  <c r="I66"/>
  <c r="AI45"/>
  <c r="AK66"/>
  <c r="AI92"/>
  <c r="BK66"/>
  <c r="BH66"/>
  <c r="AX66"/>
  <c r="J66"/>
  <c r="AT66"/>
  <c r="O66"/>
  <c r="J85"/>
  <c r="BG85"/>
  <c r="AX85"/>
  <c r="BB90"/>
  <c r="BH85"/>
  <c r="AS92"/>
  <c r="AS64"/>
  <c r="BE76"/>
  <c r="W76"/>
  <c r="BL42"/>
  <c r="AX42"/>
  <c r="K60"/>
  <c r="K90"/>
  <c r="K83"/>
  <c r="AL42"/>
  <c r="BJ42"/>
  <c r="K71"/>
  <c r="K42"/>
  <c r="L42"/>
  <c r="BE42"/>
  <c r="K44"/>
  <c r="K95"/>
  <c r="K77"/>
  <c r="AK42"/>
  <c r="AZ42"/>
  <c r="AL80"/>
  <c r="AL91"/>
  <c r="AA69"/>
  <c r="AL69"/>
  <c r="BA69"/>
  <c r="U69"/>
  <c r="AL44"/>
  <c r="AL83"/>
  <c r="AL41"/>
  <c r="AE69"/>
  <c r="AU79"/>
  <c r="AV38"/>
  <c r="BB79"/>
  <c r="BJ79"/>
  <c r="AV59"/>
  <c r="BI79"/>
  <c r="AV90"/>
  <c r="P79"/>
  <c r="AE79"/>
  <c r="BA96"/>
  <c r="AL84"/>
  <c r="AD84"/>
  <c r="BA93"/>
  <c r="AC84"/>
  <c r="W84"/>
  <c r="BD84"/>
  <c r="T84"/>
  <c r="BA59"/>
  <c r="BA92"/>
  <c r="BA81"/>
  <c r="AZ84"/>
  <c r="AB84"/>
  <c r="BF57"/>
  <c r="Y57"/>
  <c r="Z75"/>
  <c r="AE57"/>
  <c r="BG57"/>
  <c r="W57"/>
  <c r="AW57"/>
  <c r="Z93"/>
  <c r="K57"/>
  <c r="Z78"/>
  <c r="AP57"/>
  <c r="Z92"/>
  <c r="T57"/>
  <c r="N57"/>
  <c r="AC57"/>
  <c r="Z57"/>
  <c r="AT57"/>
  <c r="BL57"/>
  <c r="T83"/>
  <c r="AI51"/>
  <c r="AY51"/>
  <c r="AW51"/>
  <c r="T49"/>
  <c r="AN51"/>
  <c r="X51"/>
  <c r="T71"/>
  <c r="T94"/>
  <c r="AE52"/>
  <c r="AT52"/>
  <c r="U65"/>
  <c r="U70"/>
  <c r="BK52"/>
  <c r="S52"/>
  <c r="U45"/>
  <c r="U46"/>
  <c r="U86"/>
  <c r="AA52"/>
  <c r="BE52"/>
  <c r="AV52"/>
  <c r="U63"/>
  <c r="BH52"/>
  <c r="Z52"/>
  <c r="BD52"/>
  <c r="M72"/>
  <c r="AO50"/>
  <c r="Y72"/>
  <c r="AO59"/>
  <c r="AT72"/>
  <c r="BM72"/>
  <c r="AO60"/>
  <c r="AO82"/>
  <c r="P72"/>
  <c r="AO95"/>
  <c r="AS72"/>
  <c r="AH72"/>
  <c r="AL72"/>
  <c r="AY72"/>
  <c r="Q72"/>
  <c r="AQ72"/>
  <c r="AR72"/>
  <c r="AU72"/>
  <c r="R67"/>
  <c r="BH67"/>
  <c r="BK67"/>
  <c r="AJ96"/>
  <c r="AJ90"/>
  <c r="V67"/>
  <c r="AY67"/>
  <c r="AJ53"/>
  <c r="AJ92"/>
  <c r="AG67"/>
  <c r="Y67"/>
  <c r="BF67"/>
  <c r="AW67"/>
  <c r="Z67"/>
  <c r="K67"/>
  <c r="BF47"/>
  <c r="P89"/>
  <c r="U47"/>
  <c r="AT47"/>
  <c r="P94"/>
  <c r="P62"/>
  <c r="P88"/>
  <c r="AC47"/>
  <c r="S47"/>
  <c r="AS47"/>
  <c r="P47"/>
  <c r="V47"/>
  <c r="AO47"/>
  <c r="P77"/>
  <c r="P83"/>
  <c r="AN47"/>
  <c r="AK78"/>
  <c r="AK60"/>
  <c r="AA68"/>
  <c r="AG68"/>
  <c r="AK61"/>
  <c r="AK41"/>
  <c r="BA68"/>
  <c r="L68"/>
  <c r="V68"/>
  <c r="AK44"/>
  <c r="BG68"/>
  <c r="G68"/>
  <c r="I68"/>
  <c r="BD80"/>
  <c r="BD65"/>
  <c r="AW87"/>
  <c r="BJ87"/>
  <c r="AD87"/>
  <c r="BD48"/>
  <c r="J87"/>
  <c r="BD87"/>
  <c r="X87"/>
  <c r="AH87"/>
  <c r="BE54"/>
  <c r="W82"/>
  <c r="W89"/>
  <c r="BK54"/>
  <c r="W78"/>
  <c r="W73"/>
  <c r="P54"/>
  <c r="W63"/>
  <c r="BC54"/>
  <c r="AJ54"/>
  <c r="AU54"/>
  <c r="AP54"/>
  <c r="BG54"/>
  <c r="L54"/>
  <c r="AO74"/>
  <c r="AQ86"/>
  <c r="AQ53"/>
  <c r="AQ78"/>
  <c r="AQ62"/>
  <c r="BG74"/>
  <c r="AC74"/>
  <c r="R74"/>
  <c r="AT74"/>
  <c r="AQ61"/>
  <c r="AY74"/>
  <c r="BB74"/>
  <c r="BE74"/>
  <c r="BF74"/>
  <c r="AA64"/>
  <c r="AE58"/>
  <c r="G58"/>
  <c r="AL58"/>
  <c r="AA80"/>
  <c r="H58"/>
  <c r="AC58"/>
  <c r="BK58"/>
  <c r="AA89"/>
  <c r="AA41"/>
  <c r="AA61"/>
  <c r="AX58"/>
  <c r="BG58"/>
  <c r="K74"/>
  <c r="L58"/>
  <c r="AA90"/>
  <c r="V75"/>
  <c r="BB43"/>
  <c r="AM59"/>
  <c r="BC50"/>
  <c r="Y71"/>
  <c r="O85"/>
  <c r="BE84"/>
  <c r="AN83"/>
  <c r="BL89"/>
  <c r="T48"/>
  <c r="S62"/>
  <c r="Q62"/>
  <c r="AQ94"/>
  <c r="AL96"/>
  <c r="U42"/>
  <c r="BC80"/>
  <c r="AD80"/>
  <c r="X64"/>
  <c r="BD79"/>
  <c r="AB44"/>
  <c r="AM73"/>
  <c r="AY59"/>
  <c r="AK59"/>
  <c r="Y69"/>
  <c r="BI69"/>
  <c r="AQ76"/>
  <c r="X76"/>
  <c r="T87"/>
  <c r="P75"/>
  <c r="AY75"/>
  <c r="AQ57"/>
  <c r="BH80"/>
  <c r="Y73"/>
  <c r="AN69"/>
  <c r="AB75"/>
  <c r="AB58"/>
  <c r="AF90"/>
  <c r="S56"/>
  <c r="T85"/>
  <c r="AQ85"/>
  <c r="AJ84"/>
  <c r="AV84"/>
  <c r="X83"/>
  <c r="BL81"/>
  <c r="BF61"/>
  <c r="BC48"/>
  <c r="I48"/>
  <c r="N62"/>
  <c r="AA62"/>
  <c r="AE74"/>
  <c r="AQ96"/>
  <c r="K52"/>
  <c r="AY80"/>
  <c r="AQ64"/>
  <c r="AI64"/>
  <c r="V79"/>
  <c r="M73"/>
  <c r="BM38"/>
  <c r="AL59"/>
  <c r="AK69"/>
  <c r="AH69"/>
  <c r="N69"/>
  <c r="BA76"/>
  <c r="N87"/>
  <c r="AR68"/>
  <c r="W62"/>
  <c r="AN52"/>
  <c r="Q44"/>
  <c r="BF69"/>
  <c r="AO87"/>
  <c r="BB50"/>
  <c r="BC90"/>
  <c r="AD71"/>
  <c r="M60"/>
  <c r="AV85"/>
  <c r="AT54"/>
  <c r="BA77"/>
  <c r="AS83"/>
  <c r="AF81"/>
  <c r="AW81"/>
  <c r="AI88"/>
  <c r="AS62"/>
  <c r="Q80"/>
  <c r="V44"/>
  <c r="O69"/>
  <c r="BD63"/>
  <c r="K8" i="14"/>
  <c r="C64" i="18"/>
  <c r="C81"/>
  <c r="C79"/>
  <c r="J40"/>
  <c r="BD40"/>
  <c r="R40"/>
  <c r="AT43"/>
  <c r="AQ77"/>
  <c r="AT77"/>
  <c r="AY95"/>
  <c r="I84"/>
  <c r="BH74"/>
  <c r="AW79"/>
  <c r="Z66"/>
  <c r="AM66"/>
  <c r="AP93"/>
  <c r="AD93"/>
  <c r="AY86"/>
  <c r="AZ60"/>
  <c r="Z50"/>
  <c r="AW83"/>
  <c r="Y83"/>
  <c r="N83"/>
  <c r="J82"/>
  <c r="BI82"/>
  <c r="X82"/>
  <c r="BJ63"/>
  <c r="AW63"/>
  <c r="AO63"/>
  <c r="L41"/>
  <c r="P73"/>
  <c r="Z61"/>
  <c r="AM49"/>
  <c r="AJ49"/>
  <c r="AN49"/>
  <c r="X91"/>
  <c r="Z89"/>
  <c r="AO38"/>
  <c r="U93"/>
  <c r="T93"/>
  <c r="BJ51"/>
  <c r="AQ51"/>
  <c r="BL51"/>
  <c r="AA53"/>
  <c r="X71"/>
  <c r="J71"/>
  <c r="Y56"/>
  <c r="BL56"/>
  <c r="AX81"/>
  <c r="N81"/>
  <c r="AE53"/>
  <c r="AH64"/>
  <c r="BD82"/>
  <c r="AP87"/>
  <c r="AL87"/>
  <c r="AD70"/>
  <c r="X70"/>
  <c r="AJ45"/>
  <c r="N86"/>
  <c r="H45"/>
  <c r="BE78"/>
  <c r="AU49"/>
  <c r="H78"/>
  <c r="BA78"/>
  <c r="BM78"/>
  <c r="AV44"/>
  <c r="AH44"/>
  <c r="H54"/>
  <c r="AG54"/>
  <c r="I54"/>
  <c r="AX64"/>
  <c r="BH68"/>
  <c r="O68"/>
  <c r="AZ43"/>
  <c r="L56"/>
  <c r="AX92"/>
  <c r="AA93"/>
  <c r="AL93"/>
  <c r="U48"/>
  <c r="BE48"/>
  <c r="AU96"/>
  <c r="BM56"/>
  <c r="BH96"/>
  <c r="AV78"/>
  <c r="AN79"/>
  <c r="AR79"/>
  <c r="AQ79"/>
  <c r="AR75"/>
  <c r="AR81"/>
  <c r="AR83"/>
  <c r="Q75"/>
  <c r="BM75"/>
  <c r="M90"/>
  <c r="T90"/>
  <c r="AW90"/>
  <c r="BF94"/>
  <c r="H94"/>
  <c r="AY94"/>
  <c r="BL94"/>
  <c r="BK61"/>
  <c r="K94"/>
  <c r="AM94"/>
  <c r="L94"/>
  <c r="S94"/>
  <c r="V71"/>
  <c r="AN43"/>
  <c r="AP71"/>
  <c r="AB53"/>
  <c r="AB59"/>
  <c r="AP59"/>
  <c r="S59"/>
  <c r="AS82"/>
  <c r="AS44"/>
  <c r="N76"/>
  <c r="AW76"/>
  <c r="AS56"/>
  <c r="M76"/>
  <c r="V60"/>
  <c r="R60"/>
  <c r="AC89"/>
  <c r="BG60"/>
  <c r="Q60"/>
  <c r="P60"/>
  <c r="AS88"/>
  <c r="Q88"/>
  <c r="BE43"/>
  <c r="K88"/>
  <c r="J88"/>
  <c r="I46"/>
  <c r="O70"/>
  <c r="O95"/>
  <c r="G46"/>
  <c r="BM46"/>
  <c r="N46"/>
  <c r="AH46"/>
  <c r="Z46"/>
  <c r="L46"/>
  <c r="K51"/>
  <c r="AT51"/>
  <c r="T92"/>
  <c r="AR51"/>
  <c r="AY85"/>
  <c r="AE93"/>
  <c r="V93"/>
  <c r="AJ93"/>
  <c r="K73"/>
  <c r="AP92"/>
  <c r="AP56"/>
  <c r="AP75"/>
  <c r="J73"/>
  <c r="AR73"/>
  <c r="BL73"/>
  <c r="AP78"/>
  <c r="AY73"/>
  <c r="X90"/>
  <c r="X95"/>
  <c r="X55"/>
  <c r="O55"/>
  <c r="X53"/>
  <c r="BF55"/>
  <c r="AY55"/>
  <c r="X56"/>
  <c r="T55"/>
  <c r="AN55"/>
  <c r="AG80"/>
  <c r="AW77"/>
  <c r="AW56"/>
  <c r="AW45"/>
  <c r="AW92"/>
  <c r="T80"/>
  <c r="BH48"/>
  <c r="AY91"/>
  <c r="BB91"/>
  <c r="AV91"/>
  <c r="AF91"/>
  <c r="BH70"/>
  <c r="H91"/>
  <c r="BK91"/>
  <c r="BH82"/>
  <c r="AA91"/>
  <c r="Y50"/>
  <c r="L50"/>
  <c r="BJ50"/>
  <c r="S82"/>
  <c r="BI50"/>
  <c r="S70"/>
  <c r="AJ50"/>
  <c r="AL65"/>
  <c r="K65"/>
  <c r="I65"/>
  <c r="AH49"/>
  <c r="AH65"/>
  <c r="AO65"/>
  <c r="AE65"/>
  <c r="W65"/>
  <c r="BC65"/>
  <c r="AH86"/>
  <c r="H65"/>
  <c r="BI66"/>
  <c r="AO66"/>
  <c r="AI61"/>
  <c r="N66"/>
  <c r="AI63"/>
  <c r="BC66"/>
  <c r="AG66"/>
  <c r="R66"/>
  <c r="BL66"/>
  <c r="AI66"/>
  <c r="AN66"/>
  <c r="BC85"/>
  <c r="BF85"/>
  <c r="AO85"/>
  <c r="BB60"/>
  <c r="BB63"/>
  <c r="Q76"/>
  <c r="BL76"/>
  <c r="BM76"/>
  <c r="AS95"/>
  <c r="AB76"/>
  <c r="AU42"/>
  <c r="I42"/>
  <c r="K91"/>
  <c r="K62"/>
  <c r="AF42"/>
  <c r="AN42"/>
  <c r="K93"/>
  <c r="AJ42"/>
  <c r="AO42"/>
  <c r="AM42"/>
  <c r="K61"/>
  <c r="K81"/>
  <c r="N42"/>
  <c r="AG42"/>
  <c r="V42"/>
  <c r="AH42"/>
  <c r="AL38"/>
  <c r="AL95"/>
  <c r="T69"/>
  <c r="Q69"/>
  <c r="BG69"/>
  <c r="AF69"/>
  <c r="AL49"/>
  <c r="AL89"/>
  <c r="BK69"/>
  <c r="AV53"/>
  <c r="AV88"/>
  <c r="AY79"/>
  <c r="I79"/>
  <c r="AV95"/>
  <c r="S79"/>
  <c r="AV89"/>
  <c r="AI79"/>
  <c r="G79"/>
  <c r="AV60"/>
  <c r="P84"/>
  <c r="AM84"/>
  <c r="BA86"/>
  <c r="BA66"/>
  <c r="G84"/>
  <c r="BA94"/>
  <c r="BK84"/>
  <c r="BA43"/>
  <c r="BA41"/>
  <c r="BH84"/>
  <c r="BA53"/>
  <c r="AG84"/>
  <c r="Z88"/>
  <c r="Z56"/>
  <c r="Z65"/>
  <c r="AA57"/>
  <c r="Z91"/>
  <c r="AU57"/>
  <c r="Z59"/>
  <c r="Z86"/>
  <c r="U57"/>
  <c r="AO57"/>
  <c r="AF57"/>
  <c r="BE57"/>
  <c r="BC57"/>
  <c r="Z44"/>
  <c r="M57"/>
  <c r="AB57"/>
  <c r="Z95"/>
  <c r="I57"/>
  <c r="T89"/>
  <c r="L51"/>
  <c r="BG51"/>
  <c r="BM51"/>
  <c r="O51"/>
  <c r="BH51"/>
  <c r="AZ51"/>
  <c r="BA51"/>
  <c r="T41"/>
  <c r="AO52"/>
  <c r="U95"/>
  <c r="U55"/>
  <c r="U49"/>
  <c r="AP52"/>
  <c r="AD52"/>
  <c r="U64"/>
  <c r="AB52"/>
  <c r="U60"/>
  <c r="BG52"/>
  <c r="AC52"/>
  <c r="U41"/>
  <c r="U61"/>
  <c r="AZ52"/>
  <c r="BJ52"/>
  <c r="M52"/>
  <c r="AO44"/>
  <c r="AO56"/>
  <c r="BD72"/>
  <c r="AO77"/>
  <c r="AB72"/>
  <c r="L72"/>
  <c r="AO88"/>
  <c r="AO93"/>
  <c r="AK72"/>
  <c r="AO96"/>
  <c r="BG72"/>
  <c r="H72"/>
  <c r="AO70"/>
  <c r="BH72"/>
  <c r="AF72"/>
  <c r="K72"/>
  <c r="Z72"/>
  <c r="AJ72"/>
  <c r="AJ83"/>
  <c r="N67"/>
  <c r="Q67"/>
  <c r="G67"/>
  <c r="AJ48"/>
  <c r="AJ43"/>
  <c r="AL67"/>
  <c r="BL67"/>
  <c r="AJ41"/>
  <c r="AZ67"/>
  <c r="AM67"/>
  <c r="BC67"/>
  <c r="I67"/>
  <c r="AI67"/>
  <c r="O67"/>
  <c r="P43"/>
  <c r="P90"/>
  <c r="Q47"/>
  <c r="K47"/>
  <c r="BC47"/>
  <c r="P64"/>
  <c r="P81"/>
  <c r="AQ47"/>
  <c r="G47"/>
  <c r="AP47"/>
  <c r="BJ47"/>
  <c r="BM47"/>
  <c r="AL47"/>
  <c r="P96"/>
  <c r="P78"/>
  <c r="BD47"/>
  <c r="BF68"/>
  <c r="AK88"/>
  <c r="AK76"/>
  <c r="AV68"/>
  <c r="AQ68"/>
  <c r="AK81"/>
  <c r="J68"/>
  <c r="AK43"/>
  <c r="AO68"/>
  <c r="U68"/>
  <c r="AD68"/>
  <c r="AU68"/>
  <c r="AB68"/>
  <c r="BD64"/>
  <c r="BD90"/>
  <c r="BD53"/>
  <c r="AC87"/>
  <c r="BD77"/>
  <c r="G87"/>
  <c r="AX87"/>
  <c r="AY87"/>
  <c r="BM87"/>
  <c r="AI87"/>
  <c r="AF87"/>
  <c r="Q54"/>
  <c r="W46"/>
  <c r="U54"/>
  <c r="W91"/>
  <c r="W93"/>
  <c r="W81"/>
  <c r="AA54"/>
  <c r="W38"/>
  <c r="AB54"/>
  <c r="W59"/>
  <c r="W92"/>
  <c r="G54"/>
  <c r="BM54"/>
  <c r="BI74"/>
  <c r="V74"/>
  <c r="AQ82"/>
  <c r="AB74"/>
  <c r="AH74"/>
  <c r="X74"/>
  <c r="AP74"/>
  <c r="AQ49"/>
  <c r="G74"/>
  <c r="AQ38"/>
  <c r="AQ45"/>
  <c r="AS74"/>
  <c r="AQ81"/>
  <c r="R58"/>
  <c r="AA59"/>
  <c r="BC87"/>
  <c r="AG74"/>
  <c r="G45"/>
  <c r="AW75"/>
  <c r="AR90"/>
  <c r="AJ85"/>
  <c r="AI84"/>
  <c r="AA83"/>
  <c r="BF50"/>
  <c r="AG48"/>
  <c r="AE45"/>
  <c r="AX62"/>
  <c r="Q74"/>
  <c r="AA96"/>
  <c r="BL43"/>
  <c r="AW72"/>
  <c r="AZ80"/>
  <c r="AU64"/>
  <c r="BB64"/>
  <c r="AR44"/>
  <c r="BD73"/>
  <c r="G53"/>
  <c r="BE59"/>
  <c r="W69"/>
  <c r="Z69"/>
  <c r="AS63"/>
  <c r="P76"/>
  <c r="BD68"/>
  <c r="BI75"/>
  <c r="X75"/>
  <c r="AI62"/>
  <c r="AQ80"/>
  <c r="AP61"/>
  <c r="AY69"/>
  <c r="BE75"/>
  <c r="BH58"/>
  <c r="BG77"/>
  <c r="BJ67"/>
  <c r="K85"/>
  <c r="G85"/>
  <c r="BL84"/>
  <c r="J84"/>
  <c r="AZ91"/>
  <c r="AX50"/>
  <c r="Z81"/>
  <c r="BE82"/>
  <c r="BF48"/>
  <c r="AE77"/>
  <c r="BM62"/>
  <c r="BK74"/>
  <c r="U96"/>
  <c r="U51"/>
  <c r="AW66"/>
  <c r="AR80"/>
  <c r="AL64"/>
  <c r="AV63"/>
  <c r="AP95"/>
  <c r="AW73"/>
  <c r="AB65"/>
  <c r="AT59"/>
  <c r="AQ69"/>
  <c r="BB69"/>
  <c r="AY76"/>
  <c r="BD42"/>
  <c r="K87"/>
  <c r="AF48"/>
  <c r="L86"/>
  <c r="Z64"/>
  <c r="O59"/>
  <c r="AN76"/>
  <c r="BM50"/>
  <c r="AK58"/>
  <c r="AW71"/>
  <c r="AL56"/>
  <c r="I85"/>
  <c r="AY54"/>
  <c r="AW84"/>
  <c r="AZ50"/>
  <c r="AY83"/>
  <c r="BJ81"/>
  <c r="AH47"/>
  <c r="AE62"/>
  <c r="AK52"/>
  <c r="R79"/>
  <c r="Y59"/>
  <c r="AC76"/>
  <c r="C65"/>
  <c r="C92"/>
  <c r="C51"/>
  <c r="BF40"/>
  <c r="I40"/>
  <c r="BC40"/>
  <c r="AU40"/>
  <c r="AC88"/>
  <c r="AJ77"/>
  <c r="AK95"/>
  <c r="AJ95"/>
  <c r="AN74"/>
  <c r="Z70"/>
  <c r="BG79"/>
  <c r="H66"/>
  <c r="Y76"/>
  <c r="BE93"/>
  <c r="AC86"/>
  <c r="BB92"/>
  <c r="AR50"/>
  <c r="AW80"/>
  <c r="AT83"/>
  <c r="Z83"/>
  <c r="BG43"/>
  <c r="AA82"/>
  <c r="K82"/>
  <c r="AH63"/>
  <c r="BK63"/>
  <c r="AM63"/>
  <c r="S41"/>
  <c r="AZ73"/>
  <c r="N61"/>
  <c r="BK49"/>
  <c r="AY49"/>
  <c r="BJ49"/>
  <c r="AI49"/>
  <c r="AT91"/>
  <c r="BK38"/>
  <c r="BC93"/>
  <c r="AV93"/>
  <c r="T95"/>
  <c r="M51"/>
  <c r="BC51"/>
  <c r="AD58"/>
  <c r="M58"/>
  <c r="AG71"/>
  <c r="BD56"/>
  <c r="AM56"/>
  <c r="U81"/>
  <c r="G81"/>
  <c r="V62"/>
  <c r="AO64"/>
  <c r="Y87"/>
  <c r="AK87"/>
  <c r="BI87"/>
  <c r="M87"/>
  <c r="P70"/>
  <c r="AO45"/>
  <c r="AN45"/>
  <c r="K45"/>
  <c r="AR78"/>
  <c r="AN78"/>
  <c r="N78"/>
  <c r="AC78"/>
  <c r="AZ78"/>
  <c r="BL44"/>
  <c r="AJ44"/>
  <c r="AF54"/>
  <c r="BA54"/>
  <c r="BB54"/>
  <c r="AY64"/>
  <c r="S68"/>
  <c r="BC68"/>
  <c r="AH43"/>
  <c r="L77"/>
  <c r="M92"/>
  <c r="AU92"/>
  <c r="BL93"/>
  <c r="J48"/>
  <c r="W48"/>
  <c r="N48"/>
  <c r="Y96"/>
  <c r="BI96"/>
  <c r="AV92"/>
  <c r="X79"/>
  <c r="AG79"/>
  <c r="AV86"/>
  <c r="W75"/>
  <c r="AR61"/>
  <c r="AX75"/>
  <c r="AR62"/>
  <c r="AK75"/>
  <c r="AY90"/>
  <c r="AO90"/>
  <c r="AC90"/>
  <c r="BK86"/>
  <c r="U94"/>
  <c r="BD94"/>
  <c r="BH94"/>
  <c r="AO94"/>
  <c r="X94"/>
  <c r="V94"/>
  <c r="AH94"/>
  <c r="AU94"/>
  <c r="AN71"/>
  <c r="BK71"/>
  <c r="L71"/>
  <c r="AB82"/>
  <c r="L59"/>
  <c r="BF59"/>
  <c r="AS59"/>
  <c r="BD59"/>
  <c r="AI76"/>
  <c r="G76"/>
  <c r="AS53"/>
  <c r="AS86"/>
  <c r="AG76"/>
  <c r="AX60"/>
  <c r="AC60"/>
  <c r="BE60"/>
  <c r="AC63"/>
  <c r="AD60"/>
  <c r="AE60"/>
  <c r="BE88"/>
  <c r="U88"/>
  <c r="M88"/>
  <c r="BI88"/>
  <c r="BL88"/>
  <c r="BJ46"/>
  <c r="Y46"/>
  <c r="O77"/>
  <c r="O56"/>
  <c r="AO46"/>
  <c r="AW46"/>
  <c r="P46"/>
  <c r="BA46"/>
  <c r="H46"/>
  <c r="T51"/>
  <c r="BE51"/>
  <c r="T63"/>
  <c r="AF51"/>
  <c r="BB70"/>
  <c r="AE85"/>
  <c r="AH93"/>
  <c r="BJ61"/>
  <c r="AG93"/>
  <c r="AP63"/>
  <c r="T73"/>
  <c r="AP94"/>
  <c r="BF73"/>
  <c r="AP86"/>
  <c r="AJ73"/>
  <c r="AI73"/>
  <c r="O73"/>
  <c r="G55"/>
  <c r="AO55"/>
  <c r="AE55"/>
  <c r="AC55"/>
  <c r="AA55"/>
  <c r="BG55"/>
  <c r="BC55"/>
  <c r="V55"/>
  <c r="AV55"/>
  <c r="J55"/>
  <c r="AN80"/>
  <c r="AW94"/>
  <c r="AW48"/>
  <c r="AW70"/>
  <c r="X80"/>
  <c r="BL80"/>
  <c r="BA80"/>
  <c r="S91"/>
  <c r="BH45"/>
  <c r="AH91"/>
  <c r="BC91"/>
  <c r="BL91"/>
  <c r="BE91"/>
  <c r="AG91"/>
  <c r="AO91"/>
  <c r="BH53"/>
  <c r="S83"/>
  <c r="AM50"/>
  <c r="BA50"/>
  <c r="S89"/>
  <c r="S78"/>
  <c r="S92"/>
  <c r="S50"/>
  <c r="AD65"/>
  <c r="BM65"/>
  <c r="AN65"/>
  <c r="AH89"/>
  <c r="AT65"/>
  <c r="AC65"/>
  <c r="AJ65"/>
  <c r="AH95"/>
  <c r="T65"/>
  <c r="BF65"/>
  <c r="AZ65"/>
  <c r="BJ66"/>
  <c r="BB66"/>
  <c r="P66"/>
  <c r="AV66"/>
  <c r="V66"/>
  <c r="AE66"/>
  <c r="G66"/>
  <c r="L66"/>
  <c r="U66"/>
  <c r="AI82"/>
  <c r="BF66"/>
  <c r="M85"/>
  <c r="AD85"/>
  <c r="AU85"/>
  <c r="BK85"/>
  <c r="BB89"/>
  <c r="AA76"/>
  <c r="AD76"/>
  <c r="AS60"/>
  <c r="AS61"/>
  <c r="AP76"/>
  <c r="P42"/>
  <c r="BH42"/>
  <c r="K75"/>
  <c r="AQ42"/>
  <c r="BG42"/>
  <c r="BM42"/>
  <c r="BI42"/>
  <c r="K70"/>
  <c r="Q42"/>
  <c r="BF42"/>
  <c r="K89"/>
  <c r="AW42"/>
  <c r="X42"/>
  <c r="W42"/>
  <c r="O42"/>
  <c r="G42"/>
  <c r="AL53"/>
  <c r="AL60"/>
  <c r="J69"/>
  <c r="AX69"/>
  <c r="BE69"/>
  <c r="AL61"/>
  <c r="AL90"/>
  <c r="AL70"/>
  <c r="H69"/>
  <c r="BL79"/>
  <c r="AV50"/>
  <c r="AO79"/>
  <c r="AT79"/>
  <c r="AV45"/>
  <c r="T79"/>
  <c r="AV62"/>
  <c r="W79"/>
  <c r="AM79"/>
  <c r="O79"/>
  <c r="AN84"/>
  <c r="BG84"/>
  <c r="BF84"/>
  <c r="BA56"/>
  <c r="S84"/>
  <c r="H84"/>
  <c r="AP84"/>
  <c r="BA70"/>
  <c r="AH84"/>
  <c r="BA82"/>
  <c r="BC84"/>
  <c r="Z84"/>
  <c r="Z73"/>
  <c r="Z85"/>
  <c r="Z90"/>
  <c r="BI57"/>
  <c r="Z96"/>
  <c r="AX57"/>
  <c r="Z80"/>
  <c r="Z48"/>
  <c r="Z38"/>
  <c r="AM57"/>
  <c r="BH57"/>
  <c r="L57"/>
  <c r="AL57"/>
  <c r="Z77"/>
  <c r="BM57"/>
  <c r="AK57"/>
  <c r="AY57"/>
  <c r="BD57"/>
  <c r="T62"/>
  <c r="AM51"/>
  <c r="W51"/>
  <c r="Z51"/>
  <c r="T66"/>
  <c r="N51"/>
  <c r="AG51"/>
  <c r="J51"/>
  <c r="T43"/>
  <c r="U80"/>
  <c r="AG52"/>
  <c r="U62"/>
  <c r="U89"/>
  <c r="AR52"/>
  <c r="AJ52"/>
  <c r="U91"/>
  <c r="AH52"/>
  <c r="U56"/>
  <c r="U44"/>
  <c r="R52"/>
  <c r="O52"/>
  <c r="U53"/>
  <c r="Y52"/>
  <c r="L52"/>
  <c r="AW52"/>
  <c r="AO73"/>
  <c r="AO83"/>
  <c r="AO43"/>
  <c r="U72"/>
  <c r="BL72"/>
  <c r="AP72"/>
  <c r="AO48"/>
  <c r="AO89"/>
  <c r="AC72"/>
  <c r="AO72"/>
  <c r="AO78"/>
  <c r="AO86"/>
  <c r="BA72"/>
  <c r="X72"/>
  <c r="AM72"/>
  <c r="O72"/>
  <c r="I72"/>
  <c r="T72"/>
  <c r="AX67"/>
  <c r="W67"/>
  <c r="X67"/>
  <c r="AJ80"/>
  <c r="AJ62"/>
  <c r="AD67"/>
  <c r="AJ67"/>
  <c r="J67"/>
  <c r="AJ70"/>
  <c r="AA67"/>
  <c r="M67"/>
  <c r="AJ56"/>
  <c r="U67"/>
  <c r="AO67"/>
  <c r="AK67"/>
  <c r="S67"/>
  <c r="P85"/>
  <c r="AK47"/>
  <c r="L47"/>
  <c r="W47"/>
  <c r="P95"/>
  <c r="Z47"/>
  <c r="BI47"/>
  <c r="BA47"/>
  <c r="R47"/>
  <c r="P86"/>
  <c r="AB47"/>
  <c r="AM47"/>
  <c r="P38"/>
  <c r="P44"/>
  <c r="AW47"/>
  <c r="AV47"/>
  <c r="R68"/>
  <c r="AK38"/>
  <c r="AI68"/>
  <c r="Y68"/>
  <c r="AL68"/>
  <c r="AK53"/>
  <c r="AK94"/>
  <c r="AF68"/>
  <c r="N68"/>
  <c r="AK77"/>
  <c r="BK68"/>
  <c r="AX68"/>
  <c r="AK63"/>
  <c r="BD81"/>
  <c r="BD43"/>
  <c r="BF87"/>
  <c r="BD45"/>
  <c r="BD44"/>
  <c r="BD41"/>
  <c r="BG87"/>
  <c r="BD49"/>
  <c r="V87"/>
  <c r="AZ87"/>
  <c r="W94"/>
  <c r="W50"/>
  <c r="AD54"/>
  <c r="S54"/>
  <c r="J54"/>
  <c r="W88"/>
  <c r="W95"/>
  <c r="W43"/>
  <c r="M54"/>
  <c r="W41"/>
  <c r="W96"/>
  <c r="BJ54"/>
  <c r="AL54"/>
  <c r="BD74"/>
  <c r="AQ92"/>
  <c r="AQ41"/>
  <c r="AI74"/>
  <c r="T74"/>
  <c r="AQ44"/>
  <c r="BJ74"/>
  <c r="AQ88"/>
  <c r="AQ93"/>
  <c r="AQ89"/>
  <c r="Z74"/>
  <c r="AJ74"/>
  <c r="AL74"/>
  <c r="BC74"/>
  <c r="AR74"/>
  <c r="AA85"/>
  <c r="AA56"/>
  <c r="U58"/>
  <c r="AA43"/>
  <c r="AA70"/>
  <c r="AA81"/>
  <c r="AY58"/>
  <c r="X58"/>
  <c r="AT58"/>
  <c r="K58"/>
  <c r="BE58"/>
  <c r="BC58"/>
  <c r="AG58"/>
  <c r="AA46"/>
  <c r="AA49"/>
  <c r="AA86"/>
  <c r="BL58"/>
  <c r="AF58"/>
  <c r="B58"/>
  <c r="B62"/>
  <c r="B78"/>
  <c r="C72"/>
  <c r="B79"/>
  <c r="B74"/>
  <c r="B59"/>
  <c r="B54"/>
  <c r="B85"/>
  <c r="B96"/>
  <c r="B55"/>
  <c r="B72"/>
  <c r="B51"/>
  <c r="C58"/>
  <c r="B88"/>
  <c r="C42"/>
  <c r="B60"/>
  <c r="B52"/>
  <c r="B53"/>
  <c r="B69"/>
  <c r="B65"/>
  <c r="B82"/>
  <c r="B68"/>
  <c r="B87"/>
  <c r="B84"/>
  <c r="C78"/>
  <c r="C52"/>
  <c r="B47"/>
  <c r="B71"/>
  <c r="B75"/>
  <c r="B93"/>
  <c r="B56"/>
  <c r="W83"/>
  <c r="AU83"/>
  <c r="U83"/>
  <c r="AE83"/>
  <c r="AI83"/>
  <c r="R83"/>
  <c r="AD83"/>
  <c r="BE89"/>
  <c r="AP89"/>
  <c r="BD89"/>
  <c r="AS89"/>
  <c r="AZ89"/>
  <c r="BK89"/>
  <c r="BJ89"/>
  <c r="Q89"/>
  <c r="AT89"/>
  <c r="AU61"/>
  <c r="BB61"/>
  <c r="J61"/>
  <c r="AG61"/>
  <c r="V61"/>
  <c r="BE61"/>
  <c r="BM61"/>
  <c r="AD86"/>
  <c r="AD61"/>
  <c r="AI71"/>
  <c r="I71"/>
  <c r="BM71"/>
  <c r="BG71"/>
  <c r="AN95"/>
  <c r="AN62"/>
  <c r="AH71"/>
  <c r="BF71"/>
  <c r="AN86"/>
  <c r="AR71"/>
  <c r="AJ87"/>
  <c r="S87"/>
  <c r="W44"/>
  <c r="Y44"/>
  <c r="T44"/>
  <c r="AN44"/>
  <c r="N44"/>
  <c r="AI44"/>
  <c r="L44"/>
  <c r="AF44"/>
  <c r="O44"/>
  <c r="J44"/>
  <c r="AU44"/>
  <c r="AI59"/>
  <c r="AX59"/>
  <c r="R59"/>
  <c r="BM59"/>
  <c r="G59"/>
  <c r="N59"/>
  <c r="AR85"/>
  <c r="H85"/>
  <c r="AH85"/>
  <c r="AC85"/>
  <c r="AN85"/>
  <c r="R57"/>
  <c r="AR57"/>
  <c r="P57"/>
  <c r="AG72"/>
  <c r="AO49"/>
  <c r="BK72"/>
  <c r="BA67"/>
  <c r="AE67"/>
  <c r="BD67"/>
  <c r="BI67"/>
  <c r="AX47"/>
  <c r="M47"/>
  <c r="AU58"/>
  <c r="J58"/>
  <c r="AV58"/>
  <c r="H60"/>
  <c r="BF60"/>
  <c r="AC67"/>
  <c r="AU60"/>
  <c r="N60"/>
  <c r="S60"/>
  <c r="I60"/>
  <c r="AQ60"/>
  <c r="AB60"/>
  <c r="AH60"/>
  <c r="AY60"/>
  <c r="AC49"/>
  <c r="AP60"/>
  <c r="AM60"/>
  <c r="Y60"/>
  <c r="AR60"/>
  <c r="AC53"/>
  <c r="AC50"/>
  <c r="AU50"/>
  <c r="AY50"/>
  <c r="X50"/>
  <c r="S72"/>
  <c r="S86"/>
  <c r="AB50"/>
  <c r="J50"/>
  <c r="S61"/>
  <c r="G50"/>
  <c r="AE50"/>
  <c r="P50"/>
  <c r="AT50"/>
  <c r="S49"/>
  <c r="BH50"/>
  <c r="AH50"/>
  <c r="J80"/>
  <c r="AX80"/>
  <c r="AT80"/>
  <c r="AW53"/>
  <c r="AW95"/>
  <c r="AP80"/>
  <c r="M80"/>
  <c r="S80"/>
  <c r="BK80"/>
  <c r="K80"/>
  <c r="N80"/>
  <c r="AC80"/>
  <c r="Q63"/>
  <c r="BF63"/>
  <c r="L63"/>
  <c r="AF49"/>
  <c r="X63"/>
  <c r="G63"/>
  <c r="AX63"/>
  <c r="AF53"/>
  <c r="BC63"/>
  <c r="N63"/>
  <c r="R63"/>
  <c r="AF77"/>
  <c r="BI63"/>
  <c r="AF63"/>
  <c r="B63" s="1"/>
  <c r="AR63"/>
  <c r="AU63"/>
  <c r="AU89"/>
  <c r="BH89"/>
  <c r="AI89"/>
  <c r="BF89"/>
  <c r="B89" s="1"/>
  <c r="AF89"/>
  <c r="AX89"/>
  <c r="N89"/>
  <c r="R89"/>
  <c r="BM89"/>
  <c r="AN68"/>
  <c r="AS68"/>
  <c r="AY68"/>
  <c r="AE68"/>
  <c r="Z68"/>
  <c r="AC68"/>
  <c r="AJ68"/>
  <c r="U82"/>
  <c r="BG82"/>
  <c r="G82"/>
  <c r="AG82"/>
  <c r="AN82"/>
  <c r="AY77"/>
  <c r="AD82"/>
  <c r="R82"/>
  <c r="BF82"/>
  <c r="AK82"/>
  <c r="AW82"/>
  <c r="AY62"/>
  <c r="O82"/>
  <c r="BC82"/>
  <c r="AT82"/>
  <c r="AY53"/>
  <c r="BG44"/>
  <c r="AD44"/>
  <c r="BM44"/>
  <c r="AP44"/>
  <c r="R44"/>
  <c r="BC44"/>
  <c r="M44"/>
  <c r="B44" s="1"/>
  <c r="AZ44"/>
  <c r="M49"/>
  <c r="M77"/>
  <c r="H44"/>
  <c r="O91"/>
  <c r="AC91"/>
  <c r="BH91"/>
  <c r="B91" s="1"/>
  <c r="AM91"/>
  <c r="BA91"/>
  <c r="J91"/>
  <c r="BD38"/>
  <c r="G38"/>
  <c r="B38" s="1"/>
  <c r="BG38"/>
  <c r="BH38"/>
  <c r="H38"/>
  <c r="G62"/>
  <c r="N38"/>
  <c r="BJ38"/>
  <c r="J38"/>
  <c r="AE38"/>
  <c r="AF38"/>
  <c r="L38"/>
  <c r="X38"/>
  <c r="T38"/>
  <c r="AM38"/>
  <c r="G77"/>
  <c r="BB38"/>
  <c r="S38"/>
  <c r="AT38"/>
  <c r="G86"/>
  <c r="AR38"/>
  <c r="Q38"/>
  <c r="AV57"/>
  <c r="Y79"/>
  <c r="BA79"/>
  <c r="AD79"/>
  <c r="AV49"/>
  <c r="AV77"/>
  <c r="AX79"/>
  <c r="BE79"/>
  <c r="Y90"/>
  <c r="AT90"/>
  <c r="BF90"/>
  <c r="BG95"/>
  <c r="N90"/>
  <c r="BH90"/>
  <c r="BE90"/>
  <c r="AD90"/>
  <c r="BG53"/>
  <c r="AK90"/>
  <c r="BJ90"/>
  <c r="AI90"/>
  <c r="R90"/>
  <c r="AP90"/>
  <c r="AZ90"/>
  <c r="H90"/>
  <c r="BE81"/>
  <c r="AX86"/>
  <c r="AB81"/>
  <c r="AM81"/>
  <c r="H81"/>
  <c r="BC81"/>
  <c r="AO81"/>
  <c r="J81"/>
  <c r="AT81"/>
  <c r="R81"/>
  <c r="I81"/>
  <c r="AX95"/>
  <c r="Y81"/>
  <c r="AQ70"/>
  <c r="AT70"/>
  <c r="W70"/>
  <c r="AG70"/>
  <c r="BF70"/>
  <c r="AU70"/>
  <c r="R70"/>
  <c r="AC70"/>
  <c r="BC70"/>
  <c r="G70"/>
  <c r="AZ70"/>
  <c r="BG70"/>
  <c r="Y70"/>
  <c r="Q70"/>
  <c r="AM70"/>
  <c r="B70" s="1"/>
  <c r="BI70"/>
  <c r="BE70"/>
  <c r="AE70"/>
  <c r="J70"/>
  <c r="AZ45"/>
  <c r="AH45"/>
  <c r="AD45"/>
  <c r="Y45"/>
  <c r="N77"/>
  <c r="BL45"/>
  <c r="AL45"/>
  <c r="BC45"/>
  <c r="AY45"/>
  <c r="AK45"/>
  <c r="N49"/>
  <c r="N45"/>
  <c r="B45" s="1"/>
  <c r="U78"/>
  <c r="AL78"/>
  <c r="BF78"/>
  <c r="AU53"/>
  <c r="X78"/>
  <c r="G78"/>
  <c r="AG78"/>
  <c r="BI78"/>
  <c r="BB78"/>
  <c r="AD78"/>
  <c r="BJ78"/>
  <c r="BG78"/>
  <c r="Y78"/>
  <c r="AU62"/>
  <c r="BC78"/>
  <c r="R78"/>
  <c r="AX78"/>
  <c r="AM78"/>
  <c r="M78"/>
  <c r="AF47"/>
  <c r="AA47"/>
  <c r="AR47"/>
  <c r="I47"/>
  <c r="BG47"/>
  <c r="AX96"/>
  <c r="AZ96"/>
  <c r="BD96"/>
  <c r="S96"/>
  <c r="BM83"/>
  <c r="AS96"/>
  <c r="AF96"/>
  <c r="AH96"/>
  <c r="BL96"/>
  <c r="BG96"/>
  <c r="Q96"/>
  <c r="AC96"/>
  <c r="BK96"/>
  <c r="AK96"/>
  <c r="I96"/>
  <c r="M96"/>
  <c r="AW96"/>
  <c r="BM77"/>
  <c r="BC96"/>
  <c r="BE96"/>
  <c r="AB96"/>
  <c r="AE96"/>
  <c r="R75"/>
  <c r="AD75"/>
  <c r="Y75"/>
  <c r="AR58"/>
  <c r="AI75"/>
  <c r="AR53"/>
  <c r="G75"/>
  <c r="AR49"/>
  <c r="AF75"/>
  <c r="L75"/>
  <c r="N75"/>
  <c r="BF75"/>
  <c r="I75"/>
  <c r="AR77"/>
  <c r="R46"/>
  <c r="AK46"/>
  <c r="BL46"/>
  <c r="BE46"/>
  <c r="AB46"/>
  <c r="AE46"/>
  <c r="K46"/>
  <c r="Q46"/>
  <c r="AI46"/>
  <c r="S46"/>
  <c r="AS46"/>
  <c r="AZ46"/>
  <c r="O49"/>
  <c r="AD46"/>
  <c r="M46"/>
  <c r="AH83"/>
  <c r="AG65"/>
  <c r="BG65"/>
  <c r="BJ65"/>
  <c r="AH77"/>
  <c r="AP65"/>
  <c r="AS65"/>
  <c r="AK65"/>
  <c r="AU65"/>
  <c r="V65"/>
  <c r="AH53"/>
  <c r="Y65"/>
  <c r="M65"/>
  <c r="AI65"/>
  <c r="AU66"/>
  <c r="AP66"/>
  <c r="Q66"/>
  <c r="AR66"/>
  <c r="BG66"/>
  <c r="AC66"/>
  <c r="S66"/>
  <c r="AH66"/>
  <c r="AZ66"/>
  <c r="BM66"/>
  <c r="AI77"/>
  <c r="AF66"/>
  <c r="R69"/>
  <c r="G69"/>
  <c r="BH69"/>
  <c r="AL77"/>
  <c r="AW69"/>
  <c r="U84"/>
  <c r="BA85"/>
  <c r="W52"/>
  <c r="BB52"/>
  <c r="BA52"/>
  <c r="BC52"/>
  <c r="AQ52"/>
  <c r="AQ54"/>
  <c r="X54"/>
  <c r="BD54"/>
  <c r="V54"/>
  <c r="W53"/>
  <c r="BI54"/>
  <c r="W49"/>
  <c r="AI54"/>
  <c r="AD74"/>
  <c r="H74"/>
  <c r="U74"/>
  <c r="J74"/>
  <c r="P74"/>
  <c r="M50"/>
  <c r="M74"/>
  <c r="BI44"/>
  <c r="BB44"/>
  <c r="AX44"/>
  <c r="M68"/>
  <c r="M61"/>
  <c r="I44"/>
  <c r="AG44"/>
  <c r="AM44"/>
  <c r="M38"/>
  <c r="BE44"/>
  <c r="M89"/>
  <c r="G44"/>
  <c r="J49"/>
  <c r="BC41"/>
  <c r="J57"/>
  <c r="BL41"/>
  <c r="AG41"/>
  <c r="J63"/>
  <c r="J60"/>
  <c r="AN41"/>
  <c r="J78"/>
  <c r="AC41"/>
  <c r="J62"/>
  <c r="J90"/>
  <c r="BI41"/>
  <c r="J45"/>
  <c r="BJ41"/>
  <c r="AI41"/>
  <c r="J72"/>
  <c r="I41"/>
  <c r="H41"/>
  <c r="J83"/>
  <c r="N41"/>
  <c r="AR41"/>
  <c r="BE41"/>
  <c r="AY41"/>
  <c r="Q41"/>
  <c r="R41"/>
  <c r="AW41"/>
  <c r="AB41"/>
  <c r="AZ41"/>
  <c r="AO41"/>
  <c r="X41"/>
  <c r="J77"/>
  <c r="AD41"/>
  <c r="O41"/>
  <c r="BG41"/>
  <c r="AM41"/>
  <c r="J41"/>
  <c r="B41" s="1"/>
  <c r="AX73"/>
  <c r="AP73"/>
  <c r="B73" s="1"/>
  <c r="R73"/>
  <c r="BH73"/>
  <c r="AP53"/>
  <c r="AC73"/>
  <c r="V73"/>
  <c r="AP77"/>
  <c r="AP62"/>
  <c r="AF73"/>
  <c r="AV73"/>
  <c r="AU73"/>
  <c r="I73"/>
  <c r="BK73"/>
  <c r="AK73"/>
  <c r="AH73"/>
  <c r="AG73"/>
  <c r="BE94"/>
  <c r="AA94"/>
  <c r="BK90"/>
  <c r="J94"/>
  <c r="BK77"/>
  <c r="BG94"/>
  <c r="BM94"/>
  <c r="BJ94"/>
  <c r="AZ94"/>
  <c r="AX94"/>
  <c r="BK83"/>
  <c r="AN94"/>
  <c r="BI94"/>
  <c r="AS94"/>
  <c r="AD94"/>
  <c r="BK53"/>
  <c r="AT94"/>
  <c r="AY43"/>
  <c r="BF43"/>
  <c r="L96"/>
  <c r="L61"/>
  <c r="L43"/>
  <c r="B43" s="1"/>
  <c r="L81"/>
  <c r="AU43"/>
  <c r="AP43"/>
  <c r="L83"/>
  <c r="L89"/>
  <c r="L60"/>
  <c r="L49"/>
  <c r="AD43"/>
  <c r="BI43"/>
  <c r="AQ43"/>
  <c r="AR43"/>
  <c r="K43"/>
  <c r="L62"/>
  <c r="BM43"/>
  <c r="Y43"/>
  <c r="R43"/>
  <c r="J43"/>
  <c r="L53"/>
  <c r="S43"/>
  <c r="BJ43"/>
  <c r="Q43"/>
  <c r="BH43"/>
  <c r="AS43"/>
  <c r="H43"/>
  <c r="X43"/>
  <c r="I43"/>
  <c r="O43"/>
  <c r="AF43"/>
  <c r="M43"/>
  <c r="BJ85"/>
  <c r="AF93"/>
  <c r="S93"/>
  <c r="BD93"/>
  <c r="BJ95"/>
  <c r="AK93"/>
  <c r="BF93"/>
  <c r="AS93"/>
  <c r="L93"/>
  <c r="R93"/>
  <c r="AY93"/>
  <c r="AW93"/>
  <c r="AI93"/>
  <c r="Q93"/>
  <c r="BM93"/>
  <c r="AT93"/>
  <c r="BJ86"/>
  <c r="BH93"/>
  <c r="AC93"/>
  <c r="I93"/>
  <c r="AU93"/>
  <c r="AN93"/>
  <c r="BJ77"/>
  <c r="AR93"/>
  <c r="Y93"/>
  <c r="L70"/>
  <c r="AM65"/>
  <c r="AM45"/>
  <c r="AM89"/>
  <c r="AM54"/>
  <c r="AI70"/>
  <c r="AN70"/>
  <c r="BM70"/>
  <c r="AM86"/>
  <c r="N70"/>
  <c r="AP70"/>
  <c r="AH70"/>
  <c r="AM95"/>
  <c r="AB70"/>
  <c r="V70"/>
  <c r="H70"/>
  <c r="AM82"/>
  <c r="AX70"/>
  <c r="R56"/>
  <c r="K56"/>
  <c r="H56"/>
  <c r="Y74"/>
  <c r="BB56"/>
  <c r="Q56"/>
  <c r="AU56"/>
  <c r="BJ56"/>
  <c r="Y53"/>
  <c r="Y38"/>
  <c r="AV56"/>
  <c r="AG56"/>
  <c r="Y85"/>
  <c r="BC56"/>
  <c r="AZ56"/>
  <c r="AH56"/>
  <c r="G56"/>
  <c r="Y61"/>
  <c r="AT56"/>
  <c r="Y77"/>
  <c r="P56"/>
  <c r="I56"/>
  <c r="N56"/>
  <c r="V56"/>
  <c r="AC56"/>
  <c r="AN56"/>
  <c r="Y86"/>
  <c r="AD56"/>
  <c r="AU47"/>
  <c r="AE47"/>
  <c r="P45"/>
  <c r="P67"/>
  <c r="P53"/>
  <c r="AD47"/>
  <c r="AG64"/>
  <c r="B64" s="1"/>
  <c r="BE64"/>
  <c r="S64"/>
  <c r="AG96"/>
  <c r="AM64"/>
  <c r="AR64"/>
  <c r="BG64"/>
  <c r="AG95"/>
  <c r="AE64"/>
  <c r="AB64"/>
  <c r="AC64"/>
  <c r="W64"/>
  <c r="BM64"/>
  <c r="Q64"/>
  <c r="BF64"/>
  <c r="AD64"/>
  <c r="Y64"/>
  <c r="AT64"/>
  <c r="V64"/>
  <c r="H64"/>
  <c r="BI64"/>
  <c r="L64"/>
  <c r="N64"/>
  <c r="AG62"/>
  <c r="BI60"/>
  <c r="BI92"/>
  <c r="B92" s="1"/>
  <c r="AR92"/>
  <c r="BI52"/>
  <c r="BI46"/>
  <c r="BI89"/>
  <c r="O92"/>
  <c r="BH92"/>
  <c r="BI45"/>
  <c r="BJ92"/>
  <c r="BF92"/>
  <c r="N92"/>
  <c r="Q92"/>
  <c r="AB92"/>
  <c r="BM92"/>
  <c r="BI61"/>
  <c r="BD92"/>
  <c r="V92"/>
  <c r="AD92"/>
  <c r="BG92"/>
  <c r="X92"/>
  <c r="BI86"/>
  <c r="I92"/>
  <c r="AE92"/>
  <c r="BI53"/>
  <c r="BI62"/>
  <c r="Y92"/>
  <c r="AC92"/>
  <c r="J92"/>
  <c r="AM92"/>
  <c r="BK92"/>
  <c r="H92"/>
  <c r="AF92"/>
  <c r="BI77"/>
  <c r="Q52"/>
  <c r="AY48"/>
  <c r="BJ48"/>
  <c r="Q90"/>
  <c r="AB48"/>
  <c r="AP48"/>
  <c r="BM48"/>
  <c r="Q85"/>
  <c r="Q50"/>
  <c r="Q82"/>
  <c r="Q61"/>
  <c r="AT48"/>
  <c r="BK48"/>
  <c r="Q81"/>
  <c r="G48"/>
  <c r="AV48"/>
  <c r="BG48"/>
  <c r="AH48"/>
  <c r="Y48"/>
  <c r="Q83"/>
  <c r="BA48"/>
  <c r="AD48"/>
  <c r="AS48"/>
  <c r="H48"/>
  <c r="Q86"/>
  <c r="Q49"/>
  <c r="Q48"/>
  <c r="B48" s="1"/>
  <c r="AB63"/>
  <c r="AB85"/>
  <c r="AB78"/>
  <c r="AB66"/>
  <c r="BI59"/>
  <c r="AG59"/>
  <c r="AB38"/>
  <c r="AB77"/>
  <c r="AN59"/>
  <c r="AU59"/>
  <c r="AH59"/>
  <c r="AB83"/>
  <c r="AB49"/>
  <c r="AB67"/>
  <c r="AZ59"/>
  <c r="BH59"/>
  <c r="BC59"/>
  <c r="BG59"/>
  <c r="BJ59"/>
  <c r="V59"/>
  <c r="AB86"/>
  <c r="BL59"/>
  <c r="AV65"/>
  <c r="AV75"/>
  <c r="AC79"/>
  <c r="AH79"/>
  <c r="AV82"/>
  <c r="W71"/>
  <c r="BC71"/>
  <c r="H71"/>
  <c r="AN50"/>
  <c r="AN46"/>
  <c r="N71"/>
  <c r="AN63"/>
  <c r="AY71"/>
  <c r="AX71"/>
  <c r="AN90"/>
  <c r="BJ71"/>
  <c r="AU71"/>
  <c r="AM71"/>
  <c r="AT71"/>
  <c r="U71"/>
  <c r="AN58"/>
  <c r="AA71"/>
  <c r="BA71"/>
  <c r="AN67"/>
  <c r="AC71"/>
  <c r="AF71"/>
  <c r="AN53"/>
  <c r="BI71"/>
  <c r="AE71"/>
  <c r="BE83"/>
  <c r="AU88"/>
  <c r="AA88"/>
  <c r="AJ88"/>
  <c r="BE67"/>
  <c r="BE85"/>
  <c r="AZ88"/>
  <c r="R88"/>
  <c r="BE45"/>
  <c r="BE65"/>
  <c r="AF88"/>
  <c r="AE88"/>
  <c r="AM88"/>
  <c r="H88"/>
  <c r="BE53"/>
  <c r="N88"/>
  <c r="AR88"/>
  <c r="BK88"/>
  <c r="L88"/>
  <c r="BM88"/>
  <c r="T88"/>
  <c r="I88"/>
  <c r="AB88"/>
  <c r="BA88"/>
  <c r="Y88"/>
  <c r="AX88"/>
  <c r="BG88"/>
  <c r="BE49"/>
  <c r="BE95"/>
  <c r="BF88"/>
  <c r="AN88"/>
  <c r="BE77"/>
  <c r="X84"/>
  <c r="X69"/>
  <c r="AJ55"/>
  <c r="S55"/>
  <c r="Z55"/>
  <c r="AZ55"/>
  <c r="AT55"/>
  <c r="X66"/>
  <c r="I55"/>
  <c r="AG55"/>
  <c r="X85"/>
  <c r="Y55"/>
  <c r="P55"/>
  <c r="BH55"/>
  <c r="X62"/>
  <c r="AS55"/>
  <c r="H55"/>
  <c r="L55"/>
  <c r="X86"/>
  <c r="AQ55"/>
  <c r="W55"/>
  <c r="AW55"/>
  <c r="BE55"/>
  <c r="AH55"/>
  <c r="Q55"/>
  <c r="AV80"/>
  <c r="P80"/>
  <c r="R80"/>
  <c r="AE80"/>
  <c r="AM80"/>
  <c r="AW62"/>
  <c r="AS91"/>
  <c r="AP91"/>
  <c r="BH62"/>
  <c r="R91"/>
  <c r="T91"/>
  <c r="BH77"/>
  <c r="BF91"/>
  <c r="AD91"/>
  <c r="BH54"/>
  <c r="AW91"/>
  <c r="AS81"/>
  <c r="BH76"/>
  <c r="AZ76"/>
  <c r="BC76"/>
  <c r="AS76"/>
  <c r="B76" s="1"/>
  <c r="I76"/>
  <c r="AS85"/>
  <c r="S76"/>
  <c r="BI76"/>
  <c r="AM76"/>
  <c r="T76"/>
  <c r="BF76"/>
  <c r="AU76"/>
  <c r="K69"/>
  <c r="AA42"/>
  <c r="AS42"/>
  <c r="K68"/>
  <c r="K84"/>
  <c r="R42"/>
  <c r="M42"/>
  <c r="AP42"/>
  <c r="AV42"/>
  <c r="T42"/>
  <c r="AC42"/>
  <c r="AA51"/>
  <c r="S51"/>
  <c r="T82"/>
  <c r="T77"/>
  <c r="T46"/>
  <c r="AC51"/>
  <c r="H51"/>
  <c r="BK51"/>
  <c r="AV51"/>
  <c r="T61"/>
  <c r="Y51"/>
  <c r="P51"/>
  <c r="AE51"/>
  <c r="AJ51"/>
  <c r="I87"/>
  <c r="BD50"/>
  <c r="BD60"/>
  <c r="AU87"/>
  <c r="L87"/>
  <c r="AQ87"/>
  <c r="BD58"/>
  <c r="BD86"/>
  <c r="R87"/>
  <c r="AS87"/>
  <c r="AG87"/>
  <c r="I8" i="14" l="1"/>
  <c r="J8"/>
  <c r="N52" i="223"/>
  <c r="N11" s="1"/>
  <c r="C82" i="237"/>
  <c r="C8" s="1"/>
  <c r="M66"/>
  <c r="M7" s="1"/>
  <c r="B31" i="185"/>
  <c r="O90" i="237"/>
  <c r="O68" i="223"/>
  <c r="O56"/>
  <c r="BA4" i="15"/>
  <c r="BA5" s="1"/>
  <c r="BA6" s="1"/>
  <c r="BA7" s="1"/>
  <c r="BA8" s="1"/>
  <c r="BA9" s="1"/>
  <c r="BA10" s="1"/>
  <c r="BA11" s="1"/>
  <c r="BA12" s="1"/>
  <c r="BA13" s="1"/>
  <c r="BA14" s="1"/>
  <c r="BA15" s="1"/>
  <c r="BA16" s="1"/>
  <c r="O20" i="223"/>
  <c r="B19"/>
  <c r="B4" s="1"/>
  <c r="L82"/>
  <c r="L12" s="1"/>
  <c r="O45"/>
  <c r="AB4" i="15"/>
  <c r="AB5" s="1"/>
  <c r="AB6" s="1"/>
  <c r="AB7" s="1"/>
  <c r="AB8" s="1"/>
  <c r="AB9" s="1"/>
  <c r="AB10" s="1"/>
  <c r="AB11" s="1"/>
  <c r="AB12" s="1"/>
  <c r="AB13" s="1"/>
  <c r="AB14" s="1"/>
  <c r="AB15" s="1"/>
  <c r="AB16" s="1"/>
  <c r="O170" i="223"/>
  <c r="E114"/>
  <c r="E13" s="1"/>
  <c r="O136"/>
  <c r="BK4" i="15"/>
  <c r="BK5" s="1"/>
  <c r="BK6" s="1"/>
  <c r="BK7" s="1"/>
  <c r="BK8" s="1"/>
  <c r="BK9" s="1"/>
  <c r="BK10" s="1"/>
  <c r="BK11" s="1"/>
  <c r="BK12" s="1"/>
  <c r="BK13" s="1"/>
  <c r="BK14" s="1"/>
  <c r="BK15" s="1"/>
  <c r="BK16" s="1"/>
  <c r="O91" i="237"/>
  <c r="O4" i="15"/>
  <c r="O5" s="1"/>
  <c r="O6" s="1"/>
  <c r="O7" s="1"/>
  <c r="O8" s="1"/>
  <c r="O9" s="1"/>
  <c r="O10" s="1"/>
  <c r="O11" s="1"/>
  <c r="O12" s="1"/>
  <c r="O13" s="1"/>
  <c r="O14" s="1"/>
  <c r="O15" s="1"/>
  <c r="O16" s="1"/>
  <c r="O138" i="223"/>
  <c r="O71"/>
  <c r="E159" i="237"/>
  <c r="E4" s="1"/>
  <c r="I178" i="223"/>
  <c r="I14" s="1"/>
  <c r="O121" i="237"/>
  <c r="O122" i="223"/>
  <c r="O78" i="237"/>
  <c r="O153" i="223"/>
  <c r="C36" i="237"/>
  <c r="C6" s="1"/>
  <c r="O133"/>
  <c r="O58"/>
  <c r="N66" i="223"/>
  <c r="N7" s="1"/>
  <c r="AL40" i="1"/>
  <c r="O42" i="223"/>
  <c r="P25" i="18"/>
  <c r="AJ25"/>
  <c r="M129" i="223"/>
  <c r="M6" s="1"/>
  <c r="Z25" i="18"/>
  <c r="F66" i="237"/>
  <c r="F7" s="1"/>
  <c r="J19" i="223"/>
  <c r="J4" s="1"/>
  <c r="O156"/>
  <c r="C66" i="237"/>
  <c r="C7" s="1"/>
  <c r="O45"/>
  <c r="M25" i="18"/>
  <c r="I52" i="223"/>
  <c r="I11" s="1"/>
  <c r="L36" i="237"/>
  <c r="L6" s="1"/>
  <c r="O91" i="223"/>
  <c r="J66"/>
  <c r="J7" s="1"/>
  <c r="G178"/>
  <c r="G14" s="1"/>
  <c r="J144"/>
  <c r="J8" s="1"/>
  <c r="K129" i="237"/>
  <c r="K11" s="1"/>
  <c r="O40" i="223"/>
  <c r="O186"/>
  <c r="BP25" i="18"/>
  <c r="L19" i="223"/>
  <c r="L4" s="1"/>
  <c r="BN25" i="18"/>
  <c r="D82" i="223"/>
  <c r="D12" s="1"/>
  <c r="G52" i="237"/>
  <c r="G5" s="1"/>
  <c r="L82"/>
  <c r="L8" s="1"/>
  <c r="O29" i="223"/>
  <c r="O20" i="237"/>
  <c r="B19"/>
  <c r="B3" s="1"/>
  <c r="AE25" i="18"/>
  <c r="K36" i="237"/>
  <c r="K6" s="1"/>
  <c r="T25" i="18"/>
  <c r="BI4" i="15"/>
  <c r="BI5" s="1"/>
  <c r="BI6" s="1"/>
  <c r="BI7" s="1"/>
  <c r="BI8" s="1"/>
  <c r="BI9" s="1"/>
  <c r="BI10" s="1"/>
  <c r="BI11" s="1"/>
  <c r="BI12" s="1"/>
  <c r="BI13" s="1"/>
  <c r="BI14" s="1"/>
  <c r="BI15" s="1"/>
  <c r="BI16" s="1"/>
  <c r="O152" i="223"/>
  <c r="O156" i="237"/>
  <c r="BF40" i="1"/>
  <c r="M40"/>
  <c r="M36" i="223"/>
  <c r="M9" s="1"/>
  <c r="C159"/>
  <c r="C5" s="1"/>
  <c r="O94"/>
  <c r="J82" i="237"/>
  <c r="J8" s="1"/>
  <c r="O103"/>
  <c r="C114"/>
  <c r="C10" s="1"/>
  <c r="C99" i="223"/>
  <c r="C10" s="1"/>
  <c r="N19" i="237"/>
  <c r="N3" s="1"/>
  <c r="O167"/>
  <c r="O31" i="223"/>
  <c r="AM40" i="1"/>
  <c r="O84" i="223"/>
  <c r="L144" i="237"/>
  <c r="L12" s="1"/>
  <c r="O29"/>
  <c r="O60" i="223"/>
  <c r="J82"/>
  <c r="J12" s="1"/>
  <c r="P40" i="1"/>
  <c r="C66" i="223"/>
  <c r="C7" s="1"/>
  <c r="M99"/>
  <c r="M10" s="1"/>
  <c r="O139" i="237"/>
  <c r="BF25" i="18"/>
  <c r="I52" i="237"/>
  <c r="I5" s="1"/>
  <c r="BF4" i="15"/>
  <c r="BF5" s="1"/>
  <c r="BF6" s="1"/>
  <c r="BF7" s="1"/>
  <c r="BF8" s="1"/>
  <c r="BF9" s="1"/>
  <c r="BF10" s="1"/>
  <c r="BF11" s="1"/>
  <c r="BF12" s="1"/>
  <c r="BF13" s="1"/>
  <c r="BF14" s="1"/>
  <c r="BF15" s="1"/>
  <c r="BF16" s="1"/>
  <c r="O131" i="223"/>
  <c r="G36" i="237"/>
  <c r="G6" s="1"/>
  <c r="M36"/>
  <c r="M6" s="1"/>
  <c r="D129" i="223"/>
  <c r="D6" s="1"/>
  <c r="O116" i="237"/>
  <c r="N129" i="223"/>
  <c r="N6" s="1"/>
  <c r="BI40" i="1"/>
  <c r="O68" i="237"/>
  <c r="B159" i="223"/>
  <c r="B5" s="1"/>
  <c r="O160"/>
  <c r="O149"/>
  <c r="L178"/>
  <c r="L14" s="1"/>
  <c r="O139"/>
  <c r="O181" i="237"/>
  <c r="F36"/>
  <c r="F6" s="1"/>
  <c r="Y40" i="1"/>
  <c r="X4" i="15"/>
  <c r="X5" s="1"/>
  <c r="X6" s="1"/>
  <c r="X7" s="1"/>
  <c r="X8" s="1"/>
  <c r="X9" s="1"/>
  <c r="X10" s="1"/>
  <c r="X11" s="1"/>
  <c r="X12" s="1"/>
  <c r="X13" s="1"/>
  <c r="X14" s="1"/>
  <c r="X15" s="1"/>
  <c r="X16" s="1"/>
  <c r="U40" i="1"/>
  <c r="O44" i="223"/>
  <c r="W40" i="1"/>
  <c r="AD40"/>
  <c r="K82" i="223"/>
  <c r="K12" s="1"/>
  <c r="O43"/>
  <c r="O162"/>
  <c r="O183"/>
  <c r="O83"/>
  <c r="B82"/>
  <c r="B12" s="1"/>
  <c r="O87" i="237"/>
  <c r="O125" i="223"/>
  <c r="O70"/>
  <c r="L129" i="237"/>
  <c r="L11" s="1"/>
  <c r="J36"/>
  <c r="J6" s="1"/>
  <c r="K114"/>
  <c r="K10" s="1"/>
  <c r="AK25" i="18"/>
  <c r="X40" i="1"/>
  <c r="J52" i="237"/>
  <c r="J5" s="1"/>
  <c r="G82"/>
  <c r="G8" s="1"/>
  <c r="H129" i="223"/>
  <c r="H6" s="1"/>
  <c r="H66"/>
  <c r="H7" s="1"/>
  <c r="O126" i="237"/>
  <c r="E159" i="223"/>
  <c r="E5" s="1"/>
  <c r="AX40" i="1"/>
  <c r="BD25" i="18"/>
  <c r="D52" i="223"/>
  <c r="D11" s="1"/>
  <c r="E114" i="237"/>
  <c r="E10" s="1"/>
  <c r="O182"/>
  <c r="O30" i="223"/>
  <c r="O21" i="237"/>
  <c r="AV25" i="18"/>
  <c r="O89" i="237"/>
  <c r="J129" i="223"/>
  <c r="J6" s="1"/>
  <c r="AB40" i="1"/>
  <c r="O124" i="223"/>
  <c r="O39" i="237"/>
  <c r="BJ4" i="15"/>
  <c r="BJ5" s="1"/>
  <c r="BJ6" s="1"/>
  <c r="BJ7" s="1"/>
  <c r="BJ8" s="1"/>
  <c r="BJ9" s="1"/>
  <c r="BJ10" s="1"/>
  <c r="BJ11" s="1"/>
  <c r="BJ12" s="1"/>
  <c r="BJ13" s="1"/>
  <c r="BJ14" s="1"/>
  <c r="BJ15" s="1"/>
  <c r="BJ16" s="1"/>
  <c r="AA40" i="1"/>
  <c r="C178" i="237"/>
  <c r="C13" s="1"/>
  <c r="O40" i="1"/>
  <c r="N19" i="223"/>
  <c r="N4" s="1"/>
  <c r="AQ40" i="1"/>
  <c r="AI4" i="15"/>
  <c r="AI5" s="1"/>
  <c r="AI6" s="1"/>
  <c r="AI7" s="1"/>
  <c r="AI8" s="1"/>
  <c r="AI9" s="1"/>
  <c r="AI10" s="1"/>
  <c r="AI11" s="1"/>
  <c r="AI12" s="1"/>
  <c r="AI13" s="1"/>
  <c r="AI14" s="1"/>
  <c r="AI15" s="1"/>
  <c r="AI16" s="1"/>
  <c r="N99" i="237"/>
  <c r="N9" s="1"/>
  <c r="K66"/>
  <c r="K7" s="1"/>
  <c r="G19" i="223"/>
  <c r="G4" s="1"/>
  <c r="O126"/>
  <c r="O88" i="237"/>
  <c r="O71"/>
  <c r="M82"/>
  <c r="M8" s="1"/>
  <c r="I82"/>
  <c r="I8" s="1"/>
  <c r="D159"/>
  <c r="D4" s="1"/>
  <c r="F52"/>
  <c r="F5" s="1"/>
  <c r="E82"/>
  <c r="E8" s="1"/>
  <c r="N178" i="223"/>
  <c r="N14" s="1"/>
  <c r="O140" i="237"/>
  <c r="O27" i="223"/>
  <c r="O146"/>
  <c r="D99" i="237"/>
  <c r="D9" s="1"/>
  <c r="N36" i="223"/>
  <c r="N9" s="1"/>
  <c r="O25"/>
  <c r="K40" i="1"/>
  <c r="O137" i="223"/>
  <c r="B129"/>
  <c r="B6" s="1"/>
  <c r="O130"/>
  <c r="O72" i="237"/>
  <c r="O89" i="223"/>
  <c r="F36"/>
  <c r="F9" s="1"/>
  <c r="G159" i="237"/>
  <c r="G4" s="1"/>
  <c r="O123" i="223"/>
  <c r="W25" i="18"/>
  <c r="O77" i="237"/>
  <c r="G129" i="223"/>
  <c r="G6" s="1"/>
  <c r="O39"/>
  <c r="I178" i="237"/>
  <c r="I13" s="1"/>
  <c r="H82" i="223"/>
  <c r="H12" s="1"/>
  <c r="N4" i="15"/>
  <c r="N5" s="1"/>
  <c r="N6" s="1"/>
  <c r="N7" s="1"/>
  <c r="N8" s="1"/>
  <c r="N9" s="1"/>
  <c r="N10" s="1"/>
  <c r="N11" s="1"/>
  <c r="N12" s="1"/>
  <c r="N13" s="1"/>
  <c r="N14" s="1"/>
  <c r="N15" s="1"/>
  <c r="N16" s="1"/>
  <c r="AV4"/>
  <c r="AV5" s="1"/>
  <c r="AV6" s="1"/>
  <c r="AV7" s="1"/>
  <c r="AV8" s="1"/>
  <c r="AV9" s="1"/>
  <c r="AV10" s="1"/>
  <c r="AV11" s="1"/>
  <c r="AV12" s="1"/>
  <c r="AV13" s="1"/>
  <c r="AV14" s="1"/>
  <c r="AV15" s="1"/>
  <c r="AV16" s="1"/>
  <c r="F129" i="237"/>
  <c r="F11" s="1"/>
  <c r="C52"/>
  <c r="C5" s="1"/>
  <c r="BB40" i="1"/>
  <c r="E66" i="223"/>
  <c r="E7" s="1"/>
  <c r="O23" i="237"/>
  <c r="S25" i="18"/>
  <c r="D129" i="237"/>
  <c r="D11" s="1"/>
  <c r="O135"/>
  <c r="G66"/>
  <c r="G7" s="1"/>
  <c r="I82" i="223"/>
  <c r="I12" s="1"/>
  <c r="O90"/>
  <c r="H19" i="237"/>
  <c r="H3" s="1"/>
  <c r="N144"/>
  <c r="N12" s="1"/>
  <c r="B66"/>
  <c r="B7" s="1"/>
  <c r="O67"/>
  <c r="J66"/>
  <c r="J7" s="1"/>
  <c r="L25" i="18"/>
  <c r="E129" i="223"/>
  <c r="E6" s="1"/>
  <c r="O180" i="237"/>
  <c r="O164"/>
  <c r="E129"/>
  <c r="E11" s="1"/>
  <c r="O164" i="223"/>
  <c r="BA40" i="1"/>
  <c r="S40"/>
  <c r="G4" i="15"/>
  <c r="G5" s="1"/>
  <c r="G6" s="1"/>
  <c r="G7" s="1"/>
  <c r="G8" s="1"/>
  <c r="G9" s="1"/>
  <c r="G10" s="1"/>
  <c r="G11" s="1"/>
  <c r="G12" s="1"/>
  <c r="G13" s="1"/>
  <c r="G14" s="1"/>
  <c r="G15" s="1"/>
  <c r="G16" s="1"/>
  <c r="O131" i="237"/>
  <c r="B159"/>
  <c r="B4" s="1"/>
  <c r="O160"/>
  <c r="AU25" i="18"/>
  <c r="W4" i="15"/>
  <c r="W5" s="1"/>
  <c r="W6" s="1"/>
  <c r="W7" s="1"/>
  <c r="W8" s="1"/>
  <c r="W9" s="1"/>
  <c r="W10" s="1"/>
  <c r="W11" s="1"/>
  <c r="W12" s="1"/>
  <c r="W13" s="1"/>
  <c r="W14" s="1"/>
  <c r="W15" s="1"/>
  <c r="W16" s="1"/>
  <c r="H114" i="223"/>
  <c r="H13" s="1"/>
  <c r="O59" i="237"/>
  <c r="B114" i="223"/>
  <c r="B13" s="1"/>
  <c r="O115"/>
  <c r="O58"/>
  <c r="D99"/>
  <c r="D10" s="1"/>
  <c r="H52"/>
  <c r="H11" s="1"/>
  <c r="O92" i="237"/>
  <c r="O88" i="223"/>
  <c r="E36"/>
  <c r="E9" s="1"/>
  <c r="Y25" i="18"/>
  <c r="P4" i="15"/>
  <c r="P5" s="1"/>
  <c r="P6" s="1"/>
  <c r="P7" s="1"/>
  <c r="P8" s="1"/>
  <c r="P9" s="1"/>
  <c r="P10" s="1"/>
  <c r="P11" s="1"/>
  <c r="P12" s="1"/>
  <c r="P13" s="1"/>
  <c r="P14" s="1"/>
  <c r="P15" s="1"/>
  <c r="P16" s="1"/>
  <c r="M178" i="237"/>
  <c r="M13" s="1"/>
  <c r="BA25" i="18"/>
  <c r="BM25"/>
  <c r="L4" i="15"/>
  <c r="L5" s="1"/>
  <c r="L6" s="1"/>
  <c r="L7" s="1"/>
  <c r="L8" s="1"/>
  <c r="L9" s="1"/>
  <c r="L10" s="1"/>
  <c r="L11" s="1"/>
  <c r="L12" s="1"/>
  <c r="L13" s="1"/>
  <c r="L14" s="1"/>
  <c r="L15" s="1"/>
  <c r="L16" s="1"/>
  <c r="O26" i="223"/>
  <c r="O134" i="237"/>
  <c r="H159"/>
  <c r="H4" s="1"/>
  <c r="G178"/>
  <c r="G13" s="1"/>
  <c r="D66" i="223"/>
  <c r="D7" s="1"/>
  <c r="K99" i="237"/>
  <c r="K9" s="1"/>
  <c r="C114" i="223"/>
  <c r="C13" s="1"/>
  <c r="O86" i="237"/>
  <c r="J19"/>
  <c r="J3" s="1"/>
  <c r="E36"/>
  <c r="E6" s="1"/>
  <c r="G129"/>
  <c r="G11" s="1"/>
  <c r="O165" i="223"/>
  <c r="O122" i="237"/>
  <c r="N144" i="223"/>
  <c r="N8" s="1"/>
  <c r="J159" i="237"/>
  <c r="J4" s="1"/>
  <c r="E82" i="223"/>
  <c r="E12" s="1"/>
  <c r="I144"/>
  <c r="I8" s="1"/>
  <c r="I36"/>
  <c r="I9" s="1"/>
  <c r="BC25" i="18"/>
  <c r="O119" i="223"/>
  <c r="O150"/>
  <c r="O140"/>
  <c r="F99"/>
  <c r="F10" s="1"/>
  <c r="AH25" i="18"/>
  <c r="O73" i="223"/>
  <c r="N99"/>
  <c r="N10" s="1"/>
  <c r="BR25" i="18"/>
  <c r="O147" i="237"/>
  <c r="O46"/>
  <c r="BK40" i="1"/>
  <c r="L129" i="223"/>
  <c r="L6" s="1"/>
  <c r="O172" i="237"/>
  <c r="K178" i="223"/>
  <c r="K14" s="1"/>
  <c r="B114" i="237"/>
  <c r="B10" s="1"/>
  <c r="O115"/>
  <c r="O145" i="223"/>
  <c r="B144"/>
  <c r="B8" s="1"/>
  <c r="N36" i="237"/>
  <c r="N6" s="1"/>
  <c r="J99"/>
  <c r="J9" s="1"/>
  <c r="F178"/>
  <c r="F13" s="1"/>
  <c r="I66" i="223"/>
  <c r="I7" s="1"/>
  <c r="O138" i="237"/>
  <c r="C178" i="223"/>
  <c r="C14" s="1"/>
  <c r="AL25" i="18"/>
  <c r="K36" i="223"/>
  <c r="K9" s="1"/>
  <c r="K19" i="237"/>
  <c r="K3" s="1"/>
  <c r="AL4" i="15"/>
  <c r="AL5" s="1"/>
  <c r="AL6" s="1"/>
  <c r="AL7" s="1"/>
  <c r="AL8" s="1"/>
  <c r="AL9" s="1"/>
  <c r="AL10" s="1"/>
  <c r="AL11" s="1"/>
  <c r="AL12" s="1"/>
  <c r="AL13" s="1"/>
  <c r="AL14" s="1"/>
  <c r="AL15" s="1"/>
  <c r="AL16" s="1"/>
  <c r="D144" i="237"/>
  <c r="D12" s="1"/>
  <c r="BG40" i="1"/>
  <c r="F19" i="237"/>
  <c r="F3" s="1"/>
  <c r="AF4" i="15"/>
  <c r="AF5" s="1"/>
  <c r="AF6" s="1"/>
  <c r="AF7" s="1"/>
  <c r="AF8" s="1"/>
  <c r="AF9" s="1"/>
  <c r="AF10" s="1"/>
  <c r="AF11" s="1"/>
  <c r="AF12" s="1"/>
  <c r="AF13" s="1"/>
  <c r="AF14" s="1"/>
  <c r="AF15" s="1"/>
  <c r="AF16" s="1"/>
  <c r="O74" i="223"/>
  <c r="G52"/>
  <c r="G11" s="1"/>
  <c r="H114" i="237"/>
  <c r="H10" s="1"/>
  <c r="O93" i="223"/>
  <c r="O69"/>
  <c r="O102"/>
  <c r="L36"/>
  <c r="L9" s="1"/>
  <c r="G66"/>
  <c r="G7" s="1"/>
  <c r="M159"/>
  <c r="M5" s="1"/>
  <c r="F144" i="237"/>
  <c r="F12" s="1"/>
  <c r="O31"/>
  <c r="AJ40" i="1"/>
  <c r="F129" i="223"/>
  <c r="F6" s="1"/>
  <c r="G99" i="237"/>
  <c r="G9" s="1"/>
  <c r="K82"/>
  <c r="K8" s="1"/>
  <c r="AW25" i="18"/>
  <c r="O40" i="237"/>
  <c r="C19"/>
  <c r="C3" s="1"/>
  <c r="O25"/>
  <c r="O168"/>
  <c r="BG25" i="18"/>
  <c r="E52" i="237"/>
  <c r="E5" s="1"/>
  <c r="AY25" i="18"/>
  <c r="F114" i="237"/>
  <c r="F10" s="1"/>
  <c r="K178"/>
  <c r="K13" s="1"/>
  <c r="O141" i="223"/>
  <c r="O169"/>
  <c r="BK25" i="18"/>
  <c r="V4" i="15"/>
  <c r="V5" s="1"/>
  <c r="V6" s="1"/>
  <c r="V7" s="1"/>
  <c r="V8" s="1"/>
  <c r="V9" s="1"/>
  <c r="V10" s="1"/>
  <c r="V11" s="1"/>
  <c r="V12" s="1"/>
  <c r="V13" s="1"/>
  <c r="V14" s="1"/>
  <c r="V15" s="1"/>
  <c r="V16" s="1"/>
  <c r="BO25" i="18"/>
  <c r="C82" i="223"/>
  <c r="C12" s="1"/>
  <c r="O165" i="237"/>
  <c r="G159" i="223"/>
  <c r="G5" s="1"/>
  <c r="AG4" i="15"/>
  <c r="AG5" s="1"/>
  <c r="AG6" s="1"/>
  <c r="AG7" s="1"/>
  <c r="AG8" s="1"/>
  <c r="AG9" s="1"/>
  <c r="AG10" s="1"/>
  <c r="AG11" s="1"/>
  <c r="AG12" s="1"/>
  <c r="AG13" s="1"/>
  <c r="AG14" s="1"/>
  <c r="AG15" s="1"/>
  <c r="AG16" s="1"/>
  <c r="F19" i="223"/>
  <c r="F4" s="1"/>
  <c r="AE4" i="15"/>
  <c r="AE5" s="1"/>
  <c r="AE6" s="1"/>
  <c r="AE7" s="1"/>
  <c r="AE8" s="1"/>
  <c r="AE9" s="1"/>
  <c r="AE10" s="1"/>
  <c r="AE11" s="1"/>
  <c r="AE12" s="1"/>
  <c r="AE13" s="1"/>
  <c r="AE14" s="1"/>
  <c r="AE15" s="1"/>
  <c r="AE16" s="1"/>
  <c r="AC25" i="18"/>
  <c r="F144" i="223"/>
  <c r="F8" s="1"/>
  <c r="G114"/>
  <c r="G13" s="1"/>
  <c r="AM4" i="15"/>
  <c r="AM5" s="1"/>
  <c r="AM6" s="1"/>
  <c r="AM7" s="1"/>
  <c r="AM8" s="1"/>
  <c r="AM9" s="1"/>
  <c r="AM10" s="1"/>
  <c r="AM11" s="1"/>
  <c r="AM12" s="1"/>
  <c r="AM13" s="1"/>
  <c r="AM14" s="1"/>
  <c r="AM15" s="1"/>
  <c r="AM16" s="1"/>
  <c r="O141" i="237"/>
  <c r="O119"/>
  <c r="BI25" i="18"/>
  <c r="BE40" i="1"/>
  <c r="M129" i="237"/>
  <c r="M11" s="1"/>
  <c r="F66" i="223"/>
  <c r="F7" s="1"/>
  <c r="H129" i="237"/>
  <c r="H11" s="1"/>
  <c r="AJ4" i="15"/>
  <c r="AJ5" s="1"/>
  <c r="AJ6" s="1"/>
  <c r="AJ7" s="1"/>
  <c r="AJ8" s="1"/>
  <c r="AJ9" s="1"/>
  <c r="AJ10" s="1"/>
  <c r="AJ11" s="1"/>
  <c r="AJ12" s="1"/>
  <c r="AJ13" s="1"/>
  <c r="AJ14" s="1"/>
  <c r="AJ15" s="1"/>
  <c r="AJ16" s="1"/>
  <c r="O169" i="237"/>
  <c r="BB4" i="15"/>
  <c r="BB5" s="1"/>
  <c r="BB6" s="1"/>
  <c r="BB7" s="1"/>
  <c r="BB8" s="1"/>
  <c r="BB9" s="1"/>
  <c r="BB10" s="1"/>
  <c r="BB11" s="1"/>
  <c r="BB12" s="1"/>
  <c r="BB13" s="1"/>
  <c r="BB14" s="1"/>
  <c r="BB15" s="1"/>
  <c r="BB16" s="1"/>
  <c r="B82" i="237"/>
  <c r="B8" s="1"/>
  <c r="O83"/>
  <c r="AO4" i="15"/>
  <c r="AO5" s="1"/>
  <c r="AO6" s="1"/>
  <c r="AO7" s="1"/>
  <c r="AO8" s="1"/>
  <c r="AO9" s="1"/>
  <c r="AO10" s="1"/>
  <c r="AO11" s="1"/>
  <c r="AO12" s="1"/>
  <c r="AO13" s="1"/>
  <c r="AO14" s="1"/>
  <c r="AO15" s="1"/>
  <c r="AO16" s="1"/>
  <c r="O27" i="237"/>
  <c r="BG4" i="15"/>
  <c r="BG5" s="1"/>
  <c r="BG6" s="1"/>
  <c r="BG7" s="1"/>
  <c r="BG8" s="1"/>
  <c r="BG9" s="1"/>
  <c r="BG10" s="1"/>
  <c r="BG11" s="1"/>
  <c r="BG12" s="1"/>
  <c r="BG13" s="1"/>
  <c r="BG14" s="1"/>
  <c r="BG15" s="1"/>
  <c r="BG16" s="1"/>
  <c r="H178" i="223"/>
  <c r="H14" s="1"/>
  <c r="BC40" i="1"/>
  <c r="O124" i="237"/>
  <c r="O56"/>
  <c r="J144"/>
  <c r="J12" s="1"/>
  <c r="M82" i="223"/>
  <c r="M12" s="1"/>
  <c r="O26" i="237"/>
  <c r="F52" i="223"/>
  <c r="F11" s="1"/>
  <c r="AQ4" i="15"/>
  <c r="AQ5" s="1"/>
  <c r="AQ6" s="1"/>
  <c r="AQ7" s="1"/>
  <c r="AQ8" s="1"/>
  <c r="AQ9" s="1"/>
  <c r="AQ10" s="1"/>
  <c r="AQ11" s="1"/>
  <c r="AQ12" s="1"/>
  <c r="AQ13" s="1"/>
  <c r="AQ14" s="1"/>
  <c r="AQ15" s="1"/>
  <c r="AQ16" s="1"/>
  <c r="O173" i="223"/>
  <c r="U25" i="18"/>
  <c r="T40" i="1"/>
  <c r="O76" i="223"/>
  <c r="AU4" i="15"/>
  <c r="AU5" s="1"/>
  <c r="AU6" s="1"/>
  <c r="AU7" s="1"/>
  <c r="AU8" s="1"/>
  <c r="AU9" s="1"/>
  <c r="AU10" s="1"/>
  <c r="AU11" s="1"/>
  <c r="AU12" s="1"/>
  <c r="AU13" s="1"/>
  <c r="AU14" s="1"/>
  <c r="AU15" s="1"/>
  <c r="AU16" s="1"/>
  <c r="AS4"/>
  <c r="AS5" s="1"/>
  <c r="AS6" s="1"/>
  <c r="AS7" s="1"/>
  <c r="AS8" s="1"/>
  <c r="AS9" s="1"/>
  <c r="AS10" s="1"/>
  <c r="AS11" s="1"/>
  <c r="AS12" s="1"/>
  <c r="AS13" s="1"/>
  <c r="AS14" s="1"/>
  <c r="AS15" s="1"/>
  <c r="AS16" s="1"/>
  <c r="AR25" i="18"/>
  <c r="O155" i="223"/>
  <c r="I99" i="237"/>
  <c r="I9" s="1"/>
  <c r="O38"/>
  <c r="M4" i="15"/>
  <c r="M5" s="1"/>
  <c r="M6" s="1"/>
  <c r="M7" s="1"/>
  <c r="M8" s="1"/>
  <c r="M9" s="1"/>
  <c r="M10" s="1"/>
  <c r="M11" s="1"/>
  <c r="M12" s="1"/>
  <c r="M13" s="1"/>
  <c r="M14" s="1"/>
  <c r="M15" s="1"/>
  <c r="M16" s="1"/>
  <c r="O148" i="237"/>
  <c r="B52" i="223"/>
  <c r="B11" s="1"/>
  <c r="O53"/>
  <c r="AW4" i="15"/>
  <c r="AW5" s="1"/>
  <c r="AW6" s="1"/>
  <c r="AW7" s="1"/>
  <c r="AW8" s="1"/>
  <c r="AW9" s="1"/>
  <c r="AW10" s="1"/>
  <c r="AW11" s="1"/>
  <c r="AW12" s="1"/>
  <c r="AW13" s="1"/>
  <c r="AW14" s="1"/>
  <c r="AW15" s="1"/>
  <c r="AW16" s="1"/>
  <c r="AA4"/>
  <c r="AA5" s="1"/>
  <c r="AA6" s="1"/>
  <c r="AA7" s="1"/>
  <c r="AA8" s="1"/>
  <c r="AA9" s="1"/>
  <c r="AA10" s="1"/>
  <c r="AA11" s="1"/>
  <c r="AA12" s="1"/>
  <c r="AA13" s="1"/>
  <c r="AA14" s="1"/>
  <c r="AA15" s="1"/>
  <c r="AA16" s="1"/>
  <c r="J52" i="223"/>
  <c r="J11" s="1"/>
  <c r="H19"/>
  <c r="H4" s="1"/>
  <c r="K159" i="237"/>
  <c r="K4" s="1"/>
  <c r="K99" i="223"/>
  <c r="K10" s="1"/>
  <c r="BH25" i="18"/>
  <c r="O74" i="237"/>
  <c r="I159" i="223"/>
  <c r="I5" s="1"/>
  <c r="AT40" i="1"/>
  <c r="E99" i="237"/>
  <c r="E9" s="1"/>
  <c r="AZ4" i="15"/>
  <c r="AZ5" s="1"/>
  <c r="AZ6" s="1"/>
  <c r="AZ7" s="1"/>
  <c r="AZ8" s="1"/>
  <c r="AZ9" s="1"/>
  <c r="AZ10" s="1"/>
  <c r="AZ11" s="1"/>
  <c r="AZ12" s="1"/>
  <c r="AZ13" s="1"/>
  <c r="AZ14" s="1"/>
  <c r="AZ15" s="1"/>
  <c r="AZ16" s="1"/>
  <c r="C159" i="237"/>
  <c r="C4" s="1"/>
  <c r="I114" i="223"/>
  <c r="I13" s="1"/>
  <c r="M144"/>
  <c r="M8" s="1"/>
  <c r="BL4" i="15"/>
  <c r="BL5" s="1"/>
  <c r="BL6" s="1"/>
  <c r="BL7" s="1"/>
  <c r="BL8" s="1"/>
  <c r="BL9" s="1"/>
  <c r="BL10" s="1"/>
  <c r="BL11" s="1"/>
  <c r="BL12" s="1"/>
  <c r="BL13" s="1"/>
  <c r="BL14" s="1"/>
  <c r="BL15" s="1"/>
  <c r="BL16" s="1"/>
  <c r="I129" i="223"/>
  <c r="I6" s="1"/>
  <c r="M52"/>
  <c r="M11" s="1"/>
  <c r="J114" i="237"/>
  <c r="J10" s="1"/>
  <c r="O117"/>
  <c r="L99" i="223"/>
  <c r="L10" s="1"/>
  <c r="AM25" i="18"/>
  <c r="O167" i="223"/>
  <c r="O123" i="237"/>
  <c r="AG25" i="18"/>
  <c r="N66" i="237"/>
  <c r="N7" s="1"/>
  <c r="BH4" i="15"/>
  <c r="BH5" s="1"/>
  <c r="BH6" s="1"/>
  <c r="BH7" s="1"/>
  <c r="BH8" s="1"/>
  <c r="BH9" s="1"/>
  <c r="BH10" s="1"/>
  <c r="BH11" s="1"/>
  <c r="BH12" s="1"/>
  <c r="BH13" s="1"/>
  <c r="BH14" s="1"/>
  <c r="BH15" s="1"/>
  <c r="BH16" s="1"/>
  <c r="N159" i="223"/>
  <c r="N5" s="1"/>
  <c r="O54" i="237"/>
  <c r="AH4" i="15"/>
  <c r="AH5" s="1"/>
  <c r="AH6" s="1"/>
  <c r="AH7" s="1"/>
  <c r="AH8" s="1"/>
  <c r="AH9" s="1"/>
  <c r="AH10" s="1"/>
  <c r="AH11" s="1"/>
  <c r="AH12" s="1"/>
  <c r="AH13" s="1"/>
  <c r="AH14" s="1"/>
  <c r="AH15" s="1"/>
  <c r="AH16" s="1"/>
  <c r="C129" i="237"/>
  <c r="C11" s="1"/>
  <c r="H4" i="15"/>
  <c r="H5" s="1"/>
  <c r="H6" s="1"/>
  <c r="H7" s="1"/>
  <c r="H8" s="1"/>
  <c r="H9" s="1"/>
  <c r="H10" s="1"/>
  <c r="H11" s="1"/>
  <c r="H12" s="1"/>
  <c r="H13" s="1"/>
  <c r="H14" s="1"/>
  <c r="H15" s="1"/>
  <c r="H16" s="1"/>
  <c r="O62" i="223"/>
  <c r="O121"/>
  <c r="O116"/>
  <c r="F82"/>
  <c r="F12" s="1"/>
  <c r="M159" i="237"/>
  <c r="M4" s="1"/>
  <c r="O161"/>
  <c r="AX25" i="18"/>
  <c r="M66" i="223"/>
  <c r="M7" s="1"/>
  <c r="E19" i="237"/>
  <c r="E3" s="1"/>
  <c r="O148" i="223"/>
  <c r="N52" i="237"/>
  <c r="N5" s="1"/>
  <c r="AO40" i="1"/>
  <c r="L99" i="237"/>
  <c r="L9" s="1"/>
  <c r="BH40" i="1"/>
  <c r="O182" i="223"/>
  <c r="O149" i="237"/>
  <c r="O78" i="223"/>
  <c r="D114" i="237"/>
  <c r="D10" s="1"/>
  <c r="L40" i="1"/>
  <c r="J99" i="223"/>
  <c r="J10" s="1"/>
  <c r="B99" i="237"/>
  <c r="B9" s="1"/>
  <c r="O100"/>
  <c r="AC4" i="15"/>
  <c r="AC5" s="1"/>
  <c r="AC6" s="1"/>
  <c r="AC7" s="1"/>
  <c r="AC8" s="1"/>
  <c r="AC9" s="1"/>
  <c r="AC10" s="1"/>
  <c r="AC11" s="1"/>
  <c r="AC12" s="1"/>
  <c r="AC13" s="1"/>
  <c r="AC14" s="1"/>
  <c r="AC15" s="1"/>
  <c r="AC16" s="1"/>
  <c r="O33" i="237"/>
  <c r="H52"/>
  <c r="H5" s="1"/>
  <c r="L66"/>
  <c r="L7" s="1"/>
  <c r="O171"/>
  <c r="AK40" i="1"/>
  <c r="AC40"/>
  <c r="K159" i="223"/>
  <c r="K5" s="1"/>
  <c r="AS40" i="1"/>
  <c r="O133" i="223"/>
  <c r="G19" i="237"/>
  <c r="G3" s="1"/>
  <c r="AD25" i="18"/>
  <c r="H99" i="237"/>
  <c r="H9" s="1"/>
  <c r="H36" i="223"/>
  <c r="H9" s="1"/>
  <c r="M114"/>
  <c r="M13" s="1"/>
  <c r="O132" i="237"/>
  <c r="O120"/>
  <c r="I144"/>
  <c r="I12" s="1"/>
  <c r="O100" i="223"/>
  <c r="B99"/>
  <c r="B10" s="1"/>
  <c r="Q25" i="18"/>
  <c r="D178" i="223"/>
  <c r="D14" s="1"/>
  <c r="AP25" i="18"/>
  <c r="E66" i="237"/>
  <c r="E7" s="1"/>
  <c r="AT4" i="15"/>
  <c r="AT5" s="1"/>
  <c r="AT6" s="1"/>
  <c r="AT7" s="1"/>
  <c r="AT8" s="1"/>
  <c r="AT9" s="1"/>
  <c r="AT10" s="1"/>
  <c r="AT11" s="1"/>
  <c r="AT12" s="1"/>
  <c r="AT13" s="1"/>
  <c r="AT14" s="1"/>
  <c r="AT15" s="1"/>
  <c r="AT16" s="1"/>
  <c r="F114" i="223"/>
  <c r="F13" s="1"/>
  <c r="I19"/>
  <c r="I4" s="1"/>
  <c r="H144" i="237"/>
  <c r="H12" s="1"/>
  <c r="O41" i="223"/>
  <c r="O184"/>
  <c r="O28"/>
  <c r="O179" i="237"/>
  <c r="B178"/>
  <c r="B13" s="1"/>
  <c r="G82" i="223"/>
  <c r="G12" s="1"/>
  <c r="O75"/>
  <c r="C36"/>
  <c r="C9" s="1"/>
  <c r="Z40" i="1"/>
  <c r="G114" i="237"/>
  <c r="G10" s="1"/>
  <c r="I129"/>
  <c r="I11" s="1"/>
  <c r="O152"/>
  <c r="D36" i="223"/>
  <c r="D9" s="1"/>
  <c r="H66" i="237"/>
  <c r="H7" s="1"/>
  <c r="O62"/>
  <c r="E99" i="223"/>
  <c r="E10" s="1"/>
  <c r="I36" i="237"/>
  <c r="I6" s="1"/>
  <c r="R40" i="1"/>
  <c r="D19" i="237"/>
  <c r="D3" s="1"/>
  <c r="O180" i="223"/>
  <c r="O46"/>
  <c r="H99"/>
  <c r="H10" s="1"/>
  <c r="C99" i="237"/>
  <c r="C9" s="1"/>
  <c r="O155"/>
  <c r="O60"/>
  <c r="N159"/>
  <c r="N4" s="1"/>
  <c r="O103" i="223"/>
  <c r="K52"/>
  <c r="K11" s="1"/>
  <c r="O43" i="237"/>
  <c r="O24" i="223"/>
  <c r="O132"/>
  <c r="L19" i="237"/>
  <c r="L3" s="1"/>
  <c r="I159"/>
  <c r="I4" s="1"/>
  <c r="L52" i="223"/>
  <c r="L11" s="1"/>
  <c r="D82" i="237"/>
  <c r="D8" s="1"/>
  <c r="BL40" i="1"/>
  <c r="L114" i="237"/>
  <c r="L10" s="1"/>
  <c r="AP40" i="1"/>
  <c r="AT25" i="18"/>
  <c r="O59" i="223"/>
  <c r="O150" i="237"/>
  <c r="T4" i="15"/>
  <c r="T5" s="1"/>
  <c r="T6" s="1"/>
  <c r="T7" s="1"/>
  <c r="T8" s="1"/>
  <c r="T9" s="1"/>
  <c r="T10" s="1"/>
  <c r="T11" s="1"/>
  <c r="T12" s="1"/>
  <c r="T13" s="1"/>
  <c r="T14" s="1"/>
  <c r="T15" s="1"/>
  <c r="T16" s="1"/>
  <c r="N178" i="237"/>
  <c r="N13" s="1"/>
  <c r="O135" i="223"/>
  <c r="R4" i="15"/>
  <c r="R5" s="1"/>
  <c r="R6" s="1"/>
  <c r="R7" s="1"/>
  <c r="R8" s="1"/>
  <c r="R9" s="1"/>
  <c r="R10" s="1"/>
  <c r="R11" s="1"/>
  <c r="R12" s="1"/>
  <c r="R13" s="1"/>
  <c r="R14" s="1"/>
  <c r="R15" s="1"/>
  <c r="R16" s="1"/>
  <c r="U4"/>
  <c r="U5" s="1"/>
  <c r="U6" s="1"/>
  <c r="U7" s="1"/>
  <c r="U8" s="1"/>
  <c r="U9" s="1"/>
  <c r="U10" s="1"/>
  <c r="U11" s="1"/>
  <c r="U12" s="1"/>
  <c r="U13" s="1"/>
  <c r="U14" s="1"/>
  <c r="U15" s="1"/>
  <c r="U16" s="1"/>
  <c r="O86" i="223"/>
  <c r="O130" i="237"/>
  <c r="B129"/>
  <c r="B11" s="1"/>
  <c r="O146"/>
  <c r="AZ40" i="1"/>
  <c r="B144" i="237"/>
  <c r="B12" s="1"/>
  <c r="O145"/>
  <c r="N40" i="1"/>
  <c r="O32" i="223"/>
  <c r="D52" i="237"/>
  <c r="D5" s="1"/>
  <c r="AI40" i="1"/>
  <c r="M52" i="237"/>
  <c r="M5" s="1"/>
  <c r="A33" i="185"/>
  <c r="AN40" i="1"/>
  <c r="O185" i="223"/>
  <c r="O61" i="237"/>
  <c r="O117" i="223"/>
  <c r="AB25" i="18"/>
  <c r="I114" i="237"/>
  <c r="I10" s="1"/>
  <c r="G144" i="223"/>
  <c r="G8" s="1"/>
  <c r="O55"/>
  <c r="BL25" i="18"/>
  <c r="O147" i="223"/>
  <c r="O153" i="237"/>
  <c r="O38" i="223"/>
  <c r="F159" i="237"/>
  <c r="F4" s="1"/>
  <c r="O85" i="223"/>
  <c r="N82" i="237"/>
  <c r="N8" s="1"/>
  <c r="BB25" i="18"/>
  <c r="O166" i="237"/>
  <c r="O162"/>
  <c r="Y4" i="15"/>
  <c r="Y5" s="1"/>
  <c r="Y6" s="1"/>
  <c r="Y7" s="1"/>
  <c r="Y8" s="1"/>
  <c r="Y9" s="1"/>
  <c r="Y10" s="1"/>
  <c r="Y11" s="1"/>
  <c r="Y12" s="1"/>
  <c r="Y13" s="1"/>
  <c r="Y14" s="1"/>
  <c r="Y15" s="1"/>
  <c r="Y16" s="1"/>
  <c r="L159" i="223"/>
  <c r="L5" s="1"/>
  <c r="AU40" i="1"/>
  <c r="O37" i="223"/>
  <c r="B36"/>
  <c r="B9" s="1"/>
  <c r="O30" i="237"/>
  <c r="O101" i="223"/>
  <c r="J159"/>
  <c r="J5" s="1"/>
  <c r="C52"/>
  <c r="C11" s="1"/>
  <c r="AD4" i="15"/>
  <c r="AD5" s="1"/>
  <c r="AD6" s="1"/>
  <c r="AD7" s="1"/>
  <c r="AD8" s="1"/>
  <c r="AD9" s="1"/>
  <c r="AD10" s="1"/>
  <c r="AD11" s="1"/>
  <c r="AD12" s="1"/>
  <c r="AD13" s="1"/>
  <c r="AD14" s="1"/>
  <c r="AD15" s="1"/>
  <c r="AD16" s="1"/>
  <c r="O32" i="237"/>
  <c r="AN4" i="15"/>
  <c r="AN5" s="1"/>
  <c r="AN6" s="1"/>
  <c r="AN7" s="1"/>
  <c r="AN8" s="1"/>
  <c r="AN9" s="1"/>
  <c r="AN10" s="1"/>
  <c r="AN11" s="1"/>
  <c r="AN12" s="1"/>
  <c r="AN13" s="1"/>
  <c r="AN14" s="1"/>
  <c r="AN15" s="1"/>
  <c r="AN16" s="1"/>
  <c r="O69" i="237"/>
  <c r="AS25" i="18"/>
  <c r="O101" i="237"/>
  <c r="O53"/>
  <c r="B52"/>
  <c r="B5" s="1"/>
  <c r="O179" i="223"/>
  <c r="B178"/>
  <c r="B14" s="1"/>
  <c r="O44" i="237"/>
  <c r="O186"/>
  <c r="O127"/>
  <c r="K52"/>
  <c r="K5" s="1"/>
  <c r="AX4" i="15"/>
  <c r="AX5" s="1"/>
  <c r="AX6" s="1"/>
  <c r="AX7" s="1"/>
  <c r="AX8" s="1"/>
  <c r="AX9" s="1"/>
  <c r="AX10" s="1"/>
  <c r="AX11" s="1"/>
  <c r="AX12" s="1"/>
  <c r="AX13" s="1"/>
  <c r="AX14" s="1"/>
  <c r="AX15" s="1"/>
  <c r="AX16" s="1"/>
  <c r="C19" i="223"/>
  <c r="C4" s="1"/>
  <c r="O21"/>
  <c r="O57"/>
  <c r="O125" i="237"/>
  <c r="AF40" i="1"/>
  <c r="H82" i="237"/>
  <c r="H8" s="1"/>
  <c r="O63" i="223"/>
  <c r="F99" i="237"/>
  <c r="F9" s="1"/>
  <c r="BJ40" i="1"/>
  <c r="E19" i="223"/>
  <c r="E4" s="1"/>
  <c r="N114" i="237"/>
  <c r="N10" s="1"/>
  <c r="BQ25" i="18"/>
  <c r="AR4" i="15"/>
  <c r="AR5" s="1"/>
  <c r="AR6" s="1"/>
  <c r="AR7" s="1"/>
  <c r="AR8" s="1"/>
  <c r="AR9" s="1"/>
  <c r="AR10" s="1"/>
  <c r="AR11" s="1"/>
  <c r="AR12" s="1"/>
  <c r="AR13" s="1"/>
  <c r="AR14" s="1"/>
  <c r="AR15" s="1"/>
  <c r="AR16" s="1"/>
  <c r="B36" i="237"/>
  <c r="B6" s="1"/>
  <c r="O37"/>
  <c r="N129"/>
  <c r="N11" s="1"/>
  <c r="AK4" i="15"/>
  <c r="AK5" s="1"/>
  <c r="AK6" s="1"/>
  <c r="AK7" s="1"/>
  <c r="AK8" s="1"/>
  <c r="AK9" s="1"/>
  <c r="AK10" s="1"/>
  <c r="AK11" s="1"/>
  <c r="AK12" s="1"/>
  <c r="AK13" s="1"/>
  <c r="AK14" s="1"/>
  <c r="AK15" s="1"/>
  <c r="AK16" s="1"/>
  <c r="G144" i="237"/>
  <c r="G12" s="1"/>
  <c r="K25" i="18"/>
  <c r="L52" i="237"/>
  <c r="L5" s="1"/>
  <c r="L66" i="223"/>
  <c r="L7" s="1"/>
  <c r="J129" i="237"/>
  <c r="J11" s="1"/>
  <c r="L178"/>
  <c r="L13" s="1"/>
  <c r="M99"/>
  <c r="M9" s="1"/>
  <c r="O154"/>
  <c r="O28"/>
  <c r="Q4" i="15"/>
  <c r="Q5" s="1"/>
  <c r="Q6" s="1"/>
  <c r="Q7" s="1"/>
  <c r="Q8" s="1"/>
  <c r="Q9" s="1"/>
  <c r="Q10" s="1"/>
  <c r="Q11" s="1"/>
  <c r="Q12" s="1"/>
  <c r="Q13" s="1"/>
  <c r="Q14" s="1"/>
  <c r="Q15" s="1"/>
  <c r="Q16" s="1"/>
  <c r="O76" i="237"/>
  <c r="BD4" i="15"/>
  <c r="BD5" s="1"/>
  <c r="BD6" s="1"/>
  <c r="BD7" s="1"/>
  <c r="BD8" s="1"/>
  <c r="BD9" s="1"/>
  <c r="BD10" s="1"/>
  <c r="BD11" s="1"/>
  <c r="BD12" s="1"/>
  <c r="BD13" s="1"/>
  <c r="BD14" s="1"/>
  <c r="BD15" s="1"/>
  <c r="BD16" s="1"/>
  <c r="AD31" i="1"/>
  <c r="AC31"/>
  <c r="BL31"/>
  <c r="N31"/>
  <c r="AV31"/>
  <c r="AW31"/>
  <c r="Y31"/>
  <c r="AH31"/>
  <c r="AF31"/>
  <c r="AQ31"/>
  <c r="AM31"/>
  <c r="AN31"/>
  <c r="AY31"/>
  <c r="AR31"/>
  <c r="AL31"/>
  <c r="AZ31"/>
  <c r="M31"/>
  <c r="BH31"/>
  <c r="Z31"/>
  <c r="BK31"/>
  <c r="BD31"/>
  <c r="L31"/>
  <c r="BM31"/>
  <c r="W31"/>
  <c r="X31"/>
  <c r="AK31"/>
  <c r="BF31"/>
  <c r="AI31"/>
  <c r="AG31"/>
  <c r="BG31"/>
  <c r="T31"/>
  <c r="AB31"/>
  <c r="K31"/>
  <c r="AA31"/>
  <c r="P31"/>
  <c r="S31"/>
  <c r="AS31"/>
  <c r="AJ31"/>
  <c r="AT31"/>
  <c r="V31"/>
  <c r="AO31"/>
  <c r="U31"/>
  <c r="BE31"/>
  <c r="BA31"/>
  <c r="AX31"/>
  <c r="AP31"/>
  <c r="BB31"/>
  <c r="O31"/>
  <c r="BC31"/>
  <c r="R31"/>
  <c r="AU31"/>
  <c r="BJ31"/>
  <c r="BI31"/>
  <c r="I25"/>
  <c r="Q31"/>
  <c r="AE31"/>
  <c r="H36" i="237"/>
  <c r="H6" s="1"/>
  <c r="K114" i="223"/>
  <c r="K13" s="1"/>
  <c r="X25" i="18"/>
  <c r="D159" i="223"/>
  <c r="D5" s="1"/>
  <c r="O168"/>
  <c r="O25" i="18"/>
  <c r="O127" i="223"/>
  <c r="Q40" i="1"/>
  <c r="AI25" i="18"/>
  <c r="Z4" i="15"/>
  <c r="Z5" s="1"/>
  <c r="Z6" s="1"/>
  <c r="Z7" s="1"/>
  <c r="Z8" s="1"/>
  <c r="Z9" s="1"/>
  <c r="Z10" s="1"/>
  <c r="Z11" s="1"/>
  <c r="Z12" s="1"/>
  <c r="Z13" s="1"/>
  <c r="Z14" s="1"/>
  <c r="Z15" s="1"/>
  <c r="Z16" s="1"/>
  <c r="O84" i="237"/>
  <c r="O134" i="223"/>
  <c r="D66" i="237"/>
  <c r="D7" s="1"/>
  <c r="AF25" i="18"/>
  <c r="H178" i="237"/>
  <c r="H13" s="1"/>
  <c r="O171" i="223"/>
  <c r="D36" i="237"/>
  <c r="D6" s="1"/>
  <c r="O172" i="223"/>
  <c r="M19"/>
  <c r="M4" s="1"/>
  <c r="O92"/>
  <c r="J36"/>
  <c r="J9" s="1"/>
  <c r="O57" i="237"/>
  <c r="O87" i="223"/>
  <c r="C144" i="237"/>
  <c r="C12" s="1"/>
  <c r="O120" i="223"/>
  <c r="M178"/>
  <c r="M14" s="1"/>
  <c r="F82" i="237"/>
  <c r="F8" s="1"/>
  <c r="F178" i="223"/>
  <c r="F14" s="1"/>
  <c r="E52"/>
  <c r="E11" s="1"/>
  <c r="R25" i="18"/>
  <c r="AP4" i="15"/>
  <c r="AP5" s="1"/>
  <c r="AP6" s="1"/>
  <c r="AP7" s="1"/>
  <c r="AP8" s="1"/>
  <c r="AP9" s="1"/>
  <c r="AP10" s="1"/>
  <c r="AP11" s="1"/>
  <c r="AP12" s="1"/>
  <c r="AP13" s="1"/>
  <c r="AP14" s="1"/>
  <c r="AP15" s="1"/>
  <c r="AP16" s="1"/>
  <c r="S4"/>
  <c r="S5" s="1"/>
  <c r="S6" s="1"/>
  <c r="S7" s="1"/>
  <c r="S8" s="1"/>
  <c r="S9" s="1"/>
  <c r="S10" s="1"/>
  <c r="S11" s="1"/>
  <c r="S12" s="1"/>
  <c r="S13" s="1"/>
  <c r="S14" s="1"/>
  <c r="S15" s="1"/>
  <c r="S16" s="1"/>
  <c r="K19" i="223"/>
  <c r="K4" s="1"/>
  <c r="O161"/>
  <c r="O118"/>
  <c r="O41" i="237"/>
  <c r="E144" i="223"/>
  <c r="E8" s="1"/>
  <c r="H144"/>
  <c r="H8" s="1"/>
  <c r="V25" i="18"/>
  <c r="O136" i="237"/>
  <c r="D144" i="223"/>
  <c r="D8" s="1"/>
  <c r="AQ25" i="18"/>
  <c r="BE25"/>
  <c r="O183" i="237"/>
  <c r="AR40" i="1"/>
  <c r="I66" i="237"/>
  <c r="I7" s="1"/>
  <c r="J178"/>
  <c r="J13" s="1"/>
  <c r="K66" i="223"/>
  <c r="K7" s="1"/>
  <c r="K3" s="1"/>
  <c r="I99"/>
  <c r="I10" s="1"/>
  <c r="BE4" i="15"/>
  <c r="BE5" s="1"/>
  <c r="BE6" s="1"/>
  <c r="BE7" s="1"/>
  <c r="BE8" s="1"/>
  <c r="BE9" s="1"/>
  <c r="BE10" s="1"/>
  <c r="BE11" s="1"/>
  <c r="BE12" s="1"/>
  <c r="BE13" s="1"/>
  <c r="BE14" s="1"/>
  <c r="BE15" s="1"/>
  <c r="BE16" s="1"/>
  <c r="D19" i="223"/>
  <c r="D4" s="1"/>
  <c r="K144"/>
  <c r="K8" s="1"/>
  <c r="O151" i="237"/>
  <c r="AZ25" i="18"/>
  <c r="N82" i="223"/>
  <c r="N12" s="1"/>
  <c r="O61"/>
  <c r="AY40" i="1"/>
  <c r="O154" i="223"/>
  <c r="K144" i="237"/>
  <c r="K12" s="1"/>
  <c r="O163" i="223"/>
  <c r="AE40" i="1"/>
  <c r="O22" i="237"/>
  <c r="O70"/>
  <c r="O95" i="223"/>
  <c r="O170" i="237"/>
  <c r="E178"/>
  <c r="E13" s="1"/>
  <c r="O33" i="223"/>
  <c r="L114"/>
  <c r="L13" s="1"/>
  <c r="D114"/>
  <c r="D13" s="1"/>
  <c r="D178" i="237"/>
  <c r="D13" s="1"/>
  <c r="AY4" i="15"/>
  <c r="AY5" s="1"/>
  <c r="AY6" s="1"/>
  <c r="AY7" s="1"/>
  <c r="AY8" s="1"/>
  <c r="AY9" s="1"/>
  <c r="AY10" s="1"/>
  <c r="AY11" s="1"/>
  <c r="AY12" s="1"/>
  <c r="AY13" s="1"/>
  <c r="AY14" s="1"/>
  <c r="AY15" s="1"/>
  <c r="AY16" s="1"/>
  <c r="O24" i="237"/>
  <c r="BJ25" i="18"/>
  <c r="O22" i="223"/>
  <c r="O73" i="237"/>
  <c r="AA25" i="18"/>
  <c r="O23" i="223"/>
  <c r="E144" i="237"/>
  <c r="E12" s="1"/>
  <c r="O12" s="1"/>
  <c r="K129" i="223"/>
  <c r="K6" s="1"/>
  <c r="E178"/>
  <c r="E14" s="1"/>
  <c r="O14" s="1"/>
  <c r="J114"/>
  <c r="J13" s="1"/>
  <c r="J178"/>
  <c r="J14" s="1"/>
  <c r="O185" i="237"/>
  <c r="O94"/>
  <c r="L159"/>
  <c r="L4" s="1"/>
  <c r="O4" s="1"/>
  <c r="G99" i="223"/>
  <c r="G10" s="1"/>
  <c r="M144" i="237"/>
  <c r="M12" s="1"/>
  <c r="F159" i="223"/>
  <c r="F5" s="1"/>
  <c r="F3" s="1"/>
  <c r="O75" i="237"/>
  <c r="O163"/>
  <c r="L144" i="223"/>
  <c r="L8" s="1"/>
  <c r="K4" i="15"/>
  <c r="K5" s="1"/>
  <c r="K6" s="1"/>
  <c r="K7" s="1"/>
  <c r="K8" s="1"/>
  <c r="K9" s="1"/>
  <c r="K10" s="1"/>
  <c r="K11" s="1"/>
  <c r="K12" s="1"/>
  <c r="K13" s="1"/>
  <c r="K14" s="1"/>
  <c r="K15" s="1"/>
  <c r="K16" s="1"/>
  <c r="N114" i="223"/>
  <c r="N13" s="1"/>
  <c r="N3" s="1"/>
  <c r="O77"/>
  <c r="AG40" i="1"/>
  <c r="AW40"/>
  <c r="O181" i="223"/>
  <c r="AO25" i="18"/>
  <c r="C129" i="223"/>
  <c r="C6" s="1"/>
  <c r="O72"/>
  <c r="G36"/>
  <c r="G9" s="1"/>
  <c r="O9" s="1"/>
  <c r="M19" i="237"/>
  <c r="M3" s="1"/>
  <c r="BD40" i="1"/>
  <c r="O85" i="237"/>
  <c r="M114"/>
  <c r="M10" s="1"/>
  <c r="O10" s="1"/>
  <c r="O173"/>
  <c r="O95"/>
  <c r="AN25" i="18"/>
  <c r="O42" i="237"/>
  <c r="J4" i="15"/>
  <c r="J5" s="1"/>
  <c r="J6" s="1"/>
  <c r="J7" s="1"/>
  <c r="J8" s="1"/>
  <c r="J9" s="1"/>
  <c r="J10" s="1"/>
  <c r="J11" s="1"/>
  <c r="J12" s="1"/>
  <c r="J13" s="1"/>
  <c r="J14" s="1"/>
  <c r="J15" s="1"/>
  <c r="J16" s="1"/>
  <c r="BC4"/>
  <c r="BC5" s="1"/>
  <c r="BC6" s="1"/>
  <c r="BC7" s="1"/>
  <c r="BC8" s="1"/>
  <c r="BC9" s="1"/>
  <c r="BC10" s="1"/>
  <c r="BC11" s="1"/>
  <c r="BC12" s="1"/>
  <c r="BC13" s="1"/>
  <c r="BC14" s="1"/>
  <c r="BC15" s="1"/>
  <c r="BC16" s="1"/>
  <c r="O184" i="237"/>
  <c r="O137"/>
  <c r="V40" i="1"/>
  <c r="O67" i="223"/>
  <c r="B66"/>
  <c r="B7" s="1"/>
  <c r="O7" s="1"/>
  <c r="N25" i="18"/>
  <c r="O102" i="237"/>
  <c r="O93"/>
  <c r="C144" i="223"/>
  <c r="C8" s="1"/>
  <c r="O8" s="1"/>
  <c r="I19" i="237"/>
  <c r="I3" s="1"/>
  <c r="I14" s="1"/>
  <c r="AH40" i="1"/>
  <c r="O151" i="223"/>
  <c r="O55" i="237"/>
  <c r="H159" i="223"/>
  <c r="H5" s="1"/>
  <c r="H3" s="1"/>
  <c r="O118" i="237"/>
  <c r="O166" i="223"/>
  <c r="AV40" i="1"/>
  <c r="O12" i="223"/>
  <c r="O11"/>
  <c r="O13" i="237"/>
  <c r="L14"/>
  <c r="F14"/>
  <c r="O6"/>
  <c r="O6" i="223"/>
  <c r="B14" i="237"/>
  <c r="O8"/>
  <c r="L3" i="223"/>
  <c r="O7" i="237"/>
  <c r="D14"/>
  <c r="G14"/>
  <c r="N14"/>
  <c r="O13" i="223"/>
  <c r="M3"/>
  <c r="O5" i="237"/>
  <c r="J14"/>
  <c r="O9"/>
  <c r="A34" i="185"/>
  <c r="A35" s="1"/>
  <c r="A36" s="1"/>
  <c r="K14" i="237"/>
  <c r="H14"/>
  <c r="I3" i="223"/>
  <c r="E14" i="237"/>
  <c r="D6" i="14"/>
  <c r="E6" s="1"/>
  <c r="O11" i="237"/>
  <c r="O4" i="223"/>
  <c r="B3"/>
  <c r="D3"/>
  <c r="C14" i="237"/>
  <c r="K42" i="1"/>
  <c r="K6" i="14"/>
  <c r="I19" i="15"/>
  <c r="B80" i="18"/>
  <c r="B77"/>
  <c r="B42"/>
  <c r="V25" i="14"/>
  <c r="U25"/>
  <c r="T25"/>
  <c r="W24"/>
  <c r="Q24"/>
  <c r="U24"/>
  <c r="K26"/>
  <c r="Q26"/>
  <c r="N26"/>
  <c r="U26"/>
  <c r="P28"/>
  <c r="M28"/>
  <c r="N28"/>
  <c r="V17"/>
  <c r="L17"/>
  <c r="Q17"/>
  <c r="B49" i="18"/>
  <c r="T29" i="14"/>
  <c r="U29"/>
  <c r="L29"/>
  <c r="K16"/>
  <c r="S16"/>
  <c r="N16"/>
  <c r="P19"/>
  <c r="K19"/>
  <c r="U19"/>
  <c r="S19"/>
  <c r="N38"/>
  <c r="T38"/>
  <c r="W38"/>
  <c r="W56"/>
  <c r="Q56"/>
  <c r="T56"/>
  <c r="O56"/>
  <c r="T13"/>
  <c r="U13"/>
  <c r="Q13"/>
  <c r="K43"/>
  <c r="P43"/>
  <c r="T43"/>
  <c r="R22"/>
  <c r="L22"/>
  <c r="V22"/>
  <c r="K22"/>
  <c r="Q57"/>
  <c r="L57"/>
  <c r="W57"/>
  <c r="R33"/>
  <c r="T33"/>
  <c r="O33"/>
  <c r="O18"/>
  <c r="P18"/>
  <c r="W18"/>
  <c r="M18"/>
  <c r="T61"/>
  <c r="Q61"/>
  <c r="V61"/>
  <c r="L61"/>
  <c r="N31"/>
  <c r="L31"/>
  <c r="M31"/>
  <c r="O15"/>
  <c r="W15"/>
  <c r="R15"/>
  <c r="M15"/>
  <c r="N32"/>
  <c r="P32"/>
  <c r="U32"/>
  <c r="Q32"/>
  <c r="K41"/>
  <c r="P41"/>
  <c r="U41"/>
  <c r="N41"/>
  <c r="K30"/>
  <c r="Q30"/>
  <c r="R30"/>
  <c r="T12"/>
  <c r="R12"/>
  <c r="Q12"/>
  <c r="M40"/>
  <c r="R40"/>
  <c r="P40"/>
  <c r="O49"/>
  <c r="M49"/>
  <c r="Q49"/>
  <c r="R47"/>
  <c r="N47"/>
  <c r="L47"/>
  <c r="C68" i="18"/>
  <c r="M53" i="14"/>
  <c r="K53"/>
  <c r="O53"/>
  <c r="V53"/>
  <c r="L27"/>
  <c r="Q27"/>
  <c r="O27"/>
  <c r="L46"/>
  <c r="O46"/>
  <c r="V46"/>
  <c r="S23"/>
  <c r="T23"/>
  <c r="W23"/>
  <c r="Q58"/>
  <c r="U58"/>
  <c r="P58"/>
  <c r="W55"/>
  <c r="T55"/>
  <c r="S55"/>
  <c r="Q55"/>
  <c r="W20"/>
  <c r="O20"/>
  <c r="V20"/>
  <c r="N36"/>
  <c r="P36"/>
  <c r="T36"/>
  <c r="W21"/>
  <c r="Q21"/>
  <c r="M21"/>
  <c r="T39"/>
  <c r="O39"/>
  <c r="K39"/>
  <c r="O11"/>
  <c r="W11"/>
  <c r="K11"/>
  <c r="K10"/>
  <c r="U10"/>
  <c r="Q10"/>
  <c r="Q60"/>
  <c r="N60"/>
  <c r="S60"/>
  <c r="C75" i="18"/>
  <c r="K37" i="14"/>
  <c r="V37"/>
  <c r="N37"/>
  <c r="R37"/>
  <c r="W9"/>
  <c r="K9"/>
  <c r="U9"/>
  <c r="W35"/>
  <c r="O35"/>
  <c r="K35"/>
  <c r="M42"/>
  <c r="P42"/>
  <c r="V42"/>
  <c r="C25" i="18"/>
  <c r="R48" i="14"/>
  <c r="U48"/>
  <c r="S48"/>
  <c r="M52"/>
  <c r="R52"/>
  <c r="W52"/>
  <c r="T50"/>
  <c r="P50"/>
  <c r="M50"/>
  <c r="L50"/>
  <c r="Q54"/>
  <c r="K54"/>
  <c r="R54"/>
  <c r="L51"/>
  <c r="P51"/>
  <c r="R51"/>
  <c r="M44"/>
  <c r="T44"/>
  <c r="R44"/>
  <c r="V45"/>
  <c r="W45"/>
  <c r="K45"/>
  <c r="P45"/>
  <c r="V59"/>
  <c r="L59"/>
  <c r="R59"/>
  <c r="N14"/>
  <c r="R14"/>
  <c r="O14"/>
  <c r="Q34"/>
  <c r="K34"/>
  <c r="N34"/>
  <c r="Q62"/>
  <c r="V62"/>
  <c r="M62"/>
  <c r="B50" i="18"/>
  <c r="B81"/>
  <c r="B57"/>
  <c r="B83"/>
  <c r="L25" i="14"/>
  <c r="P25"/>
  <c r="Q25"/>
  <c r="W25"/>
  <c r="P24"/>
  <c r="N24"/>
  <c r="R24"/>
  <c r="V24"/>
  <c r="R26"/>
  <c r="L26"/>
  <c r="P26"/>
  <c r="C57" i="18"/>
  <c r="S28" i="14"/>
  <c r="Q28"/>
  <c r="W28"/>
  <c r="R28"/>
  <c r="K17"/>
  <c r="R17"/>
  <c r="N17"/>
  <c r="K29"/>
  <c r="O29"/>
  <c r="S29"/>
  <c r="T16"/>
  <c r="L16"/>
  <c r="M16"/>
  <c r="Q19"/>
  <c r="V19"/>
  <c r="W19"/>
  <c r="K38"/>
  <c r="L38"/>
  <c r="P38"/>
  <c r="S38"/>
  <c r="M56"/>
  <c r="K56"/>
  <c r="S56"/>
  <c r="S13"/>
  <c r="V13"/>
  <c r="P13"/>
  <c r="S43"/>
  <c r="N43"/>
  <c r="O43"/>
  <c r="W43"/>
  <c r="M22"/>
  <c r="S22"/>
  <c r="U22"/>
  <c r="O57"/>
  <c r="S57"/>
  <c r="T57"/>
  <c r="Q33"/>
  <c r="M33"/>
  <c r="S33"/>
  <c r="L33"/>
  <c r="K18"/>
  <c r="S18"/>
  <c r="R18"/>
  <c r="K61"/>
  <c r="S61"/>
  <c r="P61"/>
  <c r="Q31"/>
  <c r="V31"/>
  <c r="O31"/>
  <c r="U15"/>
  <c r="T15"/>
  <c r="L15"/>
  <c r="O32"/>
  <c r="M32"/>
  <c r="W32"/>
  <c r="O41"/>
  <c r="R41"/>
  <c r="Q41"/>
  <c r="T30"/>
  <c r="U30"/>
  <c r="P30"/>
  <c r="C41" i="18"/>
  <c r="U12" i="14"/>
  <c r="L12"/>
  <c r="V12"/>
  <c r="L40"/>
  <c r="S40"/>
  <c r="V40"/>
  <c r="N40"/>
  <c r="U49"/>
  <c r="N49"/>
  <c r="P49"/>
  <c r="V47"/>
  <c r="U47"/>
  <c r="W47"/>
  <c r="R53"/>
  <c r="L53"/>
  <c r="Q53"/>
  <c r="M27"/>
  <c r="V27"/>
  <c r="K27"/>
  <c r="U46"/>
  <c r="W46"/>
  <c r="M46"/>
  <c r="M23"/>
  <c r="U23"/>
  <c r="R23"/>
  <c r="N23"/>
  <c r="M58"/>
  <c r="V58"/>
  <c r="S58"/>
  <c r="M55"/>
  <c r="P55"/>
  <c r="O55"/>
  <c r="P20"/>
  <c r="N20"/>
  <c r="S20"/>
  <c r="M36"/>
  <c r="Q36"/>
  <c r="W36"/>
  <c r="S36"/>
  <c r="U21"/>
  <c r="V21"/>
  <c r="L21"/>
  <c r="S39"/>
  <c r="V39"/>
  <c r="U39"/>
  <c r="L39"/>
  <c r="P11"/>
  <c r="L11"/>
  <c r="R11"/>
  <c r="R10"/>
  <c r="V10"/>
  <c r="N10"/>
  <c r="W60"/>
  <c r="K60"/>
  <c r="M60"/>
  <c r="P37"/>
  <c r="M37"/>
  <c r="U37"/>
  <c r="P9"/>
  <c r="M9"/>
  <c r="R9"/>
  <c r="S35"/>
  <c r="P35"/>
  <c r="N35"/>
  <c r="L42"/>
  <c r="O42"/>
  <c r="Q42"/>
  <c r="T42"/>
  <c r="M48"/>
  <c r="Q48"/>
  <c r="P48"/>
  <c r="O48"/>
  <c r="S52"/>
  <c r="Q52"/>
  <c r="V52"/>
  <c r="O50"/>
  <c r="U50"/>
  <c r="V50"/>
  <c r="L54"/>
  <c r="O54"/>
  <c r="M54"/>
  <c r="V51"/>
  <c r="U51"/>
  <c r="M51"/>
  <c r="N44"/>
  <c r="P44"/>
  <c r="S44"/>
  <c r="S45"/>
  <c r="L45"/>
  <c r="N45"/>
  <c r="S59"/>
  <c r="U59"/>
  <c r="Q59"/>
  <c r="M14"/>
  <c r="T14"/>
  <c r="U14"/>
  <c r="T34"/>
  <c r="V34"/>
  <c r="U34"/>
  <c r="P62"/>
  <c r="U62"/>
  <c r="T62"/>
  <c r="S34"/>
  <c r="W62"/>
  <c r="O62"/>
  <c r="B33" i="185"/>
  <c r="B67" i="18"/>
  <c r="B66"/>
  <c r="B94"/>
  <c r="B90"/>
  <c r="M25" i="14"/>
  <c r="O25"/>
  <c r="N25"/>
  <c r="M24"/>
  <c r="K24"/>
  <c r="T24"/>
  <c r="T26"/>
  <c r="W26"/>
  <c r="M26"/>
  <c r="L28"/>
  <c r="U28"/>
  <c r="T28"/>
  <c r="T17"/>
  <c r="W17"/>
  <c r="O17"/>
  <c r="C55" i="18"/>
  <c r="M29" i="14"/>
  <c r="N29"/>
  <c r="V29"/>
  <c r="R16"/>
  <c r="V16"/>
  <c r="Q16"/>
  <c r="T19"/>
  <c r="R19"/>
  <c r="M19"/>
  <c r="V38"/>
  <c r="R38"/>
  <c r="M38"/>
  <c r="L56"/>
  <c r="R56"/>
  <c r="N56"/>
  <c r="R13"/>
  <c r="N13"/>
  <c r="K13"/>
  <c r="O13"/>
  <c r="Q43"/>
  <c r="V43"/>
  <c r="R43"/>
  <c r="O22"/>
  <c r="P22"/>
  <c r="Q22"/>
  <c r="M57"/>
  <c r="R57"/>
  <c r="N57"/>
  <c r="V33"/>
  <c r="U33"/>
  <c r="P33"/>
  <c r="T18"/>
  <c r="U18"/>
  <c r="Q18"/>
  <c r="R61"/>
  <c r="N61"/>
  <c r="U61"/>
  <c r="R31"/>
  <c r="T31"/>
  <c r="S31"/>
  <c r="W31"/>
  <c r="Q15"/>
  <c r="P15"/>
  <c r="N15"/>
  <c r="K32"/>
  <c r="S32"/>
  <c r="V32"/>
  <c r="M41"/>
  <c r="V41"/>
  <c r="S41"/>
  <c r="S30"/>
  <c r="M30"/>
  <c r="W30"/>
  <c r="P12"/>
  <c r="M12"/>
  <c r="S12"/>
  <c r="W12"/>
  <c r="U40"/>
  <c r="O40"/>
  <c r="W40"/>
  <c r="W49"/>
  <c r="K49"/>
  <c r="L49"/>
  <c r="O47"/>
  <c r="Q47"/>
  <c r="T47"/>
  <c r="T53"/>
  <c r="W53"/>
  <c r="P53"/>
  <c r="T27"/>
  <c r="P27"/>
  <c r="U27"/>
  <c r="R27"/>
  <c r="S46"/>
  <c r="N46"/>
  <c r="T46"/>
  <c r="V23"/>
  <c r="P23"/>
  <c r="L23"/>
  <c r="W58"/>
  <c r="O58"/>
  <c r="L58"/>
  <c r="R55"/>
  <c r="V55"/>
  <c r="K55"/>
  <c r="R20"/>
  <c r="U20"/>
  <c r="Q20"/>
  <c r="T20"/>
  <c r="V36"/>
  <c r="K36"/>
  <c r="U36"/>
  <c r="P21"/>
  <c r="K21"/>
  <c r="N21"/>
  <c r="Q39"/>
  <c r="R39"/>
  <c r="W39"/>
  <c r="M11"/>
  <c r="N11"/>
  <c r="Q11"/>
  <c r="S11"/>
  <c r="O10"/>
  <c r="S10"/>
  <c r="T10"/>
  <c r="L60"/>
  <c r="P60"/>
  <c r="T60"/>
  <c r="Q37"/>
  <c r="O37"/>
  <c r="L37"/>
  <c r="O9"/>
  <c r="L9"/>
  <c r="V9"/>
  <c r="N9"/>
  <c r="Q35"/>
  <c r="V35"/>
  <c r="M35"/>
  <c r="K42"/>
  <c r="W42"/>
  <c r="U42"/>
  <c r="V48"/>
  <c r="N48"/>
  <c r="T48"/>
  <c r="T52"/>
  <c r="U52"/>
  <c r="O52"/>
  <c r="K52"/>
  <c r="R50"/>
  <c r="S50"/>
  <c r="N50"/>
  <c r="U54"/>
  <c r="S54"/>
  <c r="T54"/>
  <c r="P54"/>
  <c r="N51"/>
  <c r="Q51"/>
  <c r="O51"/>
  <c r="T51"/>
  <c r="O44"/>
  <c r="L44"/>
  <c r="V44"/>
  <c r="W44"/>
  <c r="O45"/>
  <c r="Q45"/>
  <c r="U45"/>
  <c r="P59"/>
  <c r="M59"/>
  <c r="T59"/>
  <c r="O59"/>
  <c r="S14"/>
  <c r="Q14"/>
  <c r="P14"/>
  <c r="W14"/>
  <c r="P34"/>
  <c r="L34"/>
  <c r="N62"/>
  <c r="K62"/>
  <c r="B61" i="18"/>
  <c r="B40"/>
  <c r="B46"/>
  <c r="S25" i="14"/>
  <c r="R25"/>
  <c r="K25"/>
  <c r="O24"/>
  <c r="S24"/>
  <c r="L24"/>
  <c r="V26"/>
  <c r="S26"/>
  <c r="O26"/>
  <c r="C45" i="18"/>
  <c r="O28" i="14"/>
  <c r="V28"/>
  <c r="K28"/>
  <c r="M17"/>
  <c r="S17"/>
  <c r="U17"/>
  <c r="P17"/>
  <c r="Q29"/>
  <c r="R29"/>
  <c r="W29"/>
  <c r="P29"/>
  <c r="U16"/>
  <c r="W16"/>
  <c r="O16"/>
  <c r="P16"/>
  <c r="N19"/>
  <c r="O19"/>
  <c r="L19"/>
  <c r="O38"/>
  <c r="U38"/>
  <c r="Q38"/>
  <c r="U56"/>
  <c r="P56"/>
  <c r="V56"/>
  <c r="L13"/>
  <c r="M13"/>
  <c r="W13"/>
  <c r="L43"/>
  <c r="U43"/>
  <c r="M43"/>
  <c r="C94" i="18"/>
  <c r="T22" i="14"/>
  <c r="N22"/>
  <c r="W22"/>
  <c r="P57"/>
  <c r="U57"/>
  <c r="K57"/>
  <c r="V57"/>
  <c r="N33"/>
  <c r="K33"/>
  <c r="W33"/>
  <c r="L18"/>
  <c r="N18"/>
  <c r="V18"/>
  <c r="M61"/>
  <c r="W61"/>
  <c r="O61"/>
  <c r="K31"/>
  <c r="U31"/>
  <c r="P31"/>
  <c r="V15"/>
  <c r="K15"/>
  <c r="S15"/>
  <c r="T32"/>
  <c r="L32"/>
  <c r="R32"/>
  <c r="T41"/>
  <c r="L41"/>
  <c r="W41"/>
  <c r="V30"/>
  <c r="L30"/>
  <c r="N30"/>
  <c r="O30"/>
  <c r="N12"/>
  <c r="O12"/>
  <c r="K12"/>
  <c r="K40"/>
  <c r="Q40"/>
  <c r="T40"/>
  <c r="V49"/>
  <c r="T49"/>
  <c r="R49"/>
  <c r="S49"/>
  <c r="M47"/>
  <c r="K47"/>
  <c r="S47"/>
  <c r="P47"/>
  <c r="S53"/>
  <c r="N53"/>
  <c r="U53"/>
  <c r="S27"/>
  <c r="N27"/>
  <c r="W27"/>
  <c r="R46"/>
  <c r="P46"/>
  <c r="Q46"/>
  <c r="K46"/>
  <c r="Q23"/>
  <c r="K23"/>
  <c r="O23"/>
  <c r="T58"/>
  <c r="K58"/>
  <c r="N58"/>
  <c r="R58"/>
  <c r="U55"/>
  <c r="N55"/>
  <c r="L55"/>
  <c r="M20"/>
  <c r="K20"/>
  <c r="L20"/>
  <c r="O36"/>
  <c r="R36"/>
  <c r="L36"/>
  <c r="O21"/>
  <c r="R21"/>
  <c r="T21"/>
  <c r="S21"/>
  <c r="P39"/>
  <c r="N39"/>
  <c r="M39"/>
  <c r="V11"/>
  <c r="U11"/>
  <c r="T11"/>
  <c r="M10"/>
  <c r="W10"/>
  <c r="P10"/>
  <c r="L10"/>
  <c r="V60"/>
  <c r="U60"/>
  <c r="R60"/>
  <c r="O60"/>
  <c r="T37"/>
  <c r="W37"/>
  <c r="S37"/>
  <c r="Q9"/>
  <c r="T9"/>
  <c r="S9"/>
  <c r="U35"/>
  <c r="T35"/>
  <c r="L35"/>
  <c r="R35"/>
  <c r="R42"/>
  <c r="S42"/>
  <c r="N42"/>
  <c r="W48"/>
  <c r="K48"/>
  <c r="L48"/>
  <c r="P52"/>
  <c r="L52"/>
  <c r="N52"/>
  <c r="W50"/>
  <c r="K50"/>
  <c r="Q50"/>
  <c r="W54"/>
  <c r="N54"/>
  <c r="V54"/>
  <c r="W51"/>
  <c r="S51"/>
  <c r="K51"/>
  <c r="K44"/>
  <c r="U44"/>
  <c r="Q44"/>
  <c r="T45"/>
  <c r="M45"/>
  <c r="R45"/>
  <c r="W59"/>
  <c r="K59"/>
  <c r="N59"/>
  <c r="V14"/>
  <c r="L14"/>
  <c r="K14"/>
  <c r="O34"/>
  <c r="R34"/>
  <c r="M34"/>
  <c r="W34"/>
  <c r="S62"/>
  <c r="R62"/>
  <c r="L62"/>
  <c r="B34" i="185"/>
  <c r="B35"/>
  <c r="B36"/>
  <c r="A42" i="18"/>
  <c r="C34"/>
  <c r="A43"/>
  <c r="E3" i="223" l="1"/>
  <c r="M14" i="237"/>
  <c r="J3" i="223"/>
  <c r="G3"/>
  <c r="O10"/>
  <c r="O5"/>
  <c r="C3"/>
  <c r="A44" i="18"/>
  <c r="I14" i="14"/>
  <c r="J14"/>
  <c r="I59"/>
  <c r="J59"/>
  <c r="I44"/>
  <c r="J44"/>
  <c r="I51"/>
  <c r="J51"/>
  <c r="J50"/>
  <c r="I50"/>
  <c r="I48"/>
  <c r="J48"/>
  <c r="I20"/>
  <c r="J20"/>
  <c r="I58"/>
  <c r="J58"/>
  <c r="J23"/>
  <c r="I23"/>
  <c r="I46"/>
  <c r="J46"/>
  <c r="J47"/>
  <c r="I47"/>
  <c r="J40"/>
  <c r="I40"/>
  <c r="I12"/>
  <c r="J12"/>
  <c r="J15"/>
  <c r="I15"/>
  <c r="J31"/>
  <c r="I31"/>
  <c r="I33"/>
  <c r="J33"/>
  <c r="J57"/>
  <c r="I57"/>
  <c r="J28"/>
  <c r="I28"/>
  <c r="J25"/>
  <c r="I25"/>
  <c r="J62"/>
  <c r="I62"/>
  <c r="J52"/>
  <c r="I52"/>
  <c r="J42"/>
  <c r="I42"/>
  <c r="I21"/>
  <c r="J21"/>
  <c r="J36"/>
  <c r="I36"/>
  <c r="J55"/>
  <c r="I55"/>
  <c r="J49"/>
  <c r="I49"/>
  <c r="I32"/>
  <c r="J32"/>
  <c r="I13"/>
  <c r="J13"/>
  <c r="J24"/>
  <c r="I24"/>
  <c r="I60"/>
  <c r="J60"/>
  <c r="I27"/>
  <c r="J27"/>
  <c r="J61"/>
  <c r="I61"/>
  <c r="J18"/>
  <c r="I18"/>
  <c r="J56"/>
  <c r="I56"/>
  <c r="I38"/>
  <c r="J38"/>
  <c r="J29"/>
  <c r="I29"/>
  <c r="J17"/>
  <c r="I17"/>
  <c r="J34"/>
  <c r="I34"/>
  <c r="I45"/>
  <c r="J45"/>
  <c r="J54"/>
  <c r="I54"/>
  <c r="I35"/>
  <c r="J35"/>
  <c r="J9"/>
  <c r="I9"/>
  <c r="I37"/>
  <c r="J37"/>
  <c r="I10"/>
  <c r="J10"/>
  <c r="I11"/>
  <c r="J11"/>
  <c r="I39"/>
  <c r="J39"/>
  <c r="I53"/>
  <c r="J53"/>
  <c r="J30"/>
  <c r="I30"/>
  <c r="I41"/>
  <c r="J41"/>
  <c r="J22"/>
  <c r="I22"/>
  <c r="I43"/>
  <c r="J43"/>
  <c r="I19"/>
  <c r="J19"/>
  <c r="I16"/>
  <c r="J16"/>
  <c r="J26"/>
  <c r="I26"/>
  <c r="I4" i="15"/>
  <c r="I5" s="1"/>
  <c r="I6" s="1"/>
  <c r="I7" s="1"/>
  <c r="I8" s="1"/>
  <c r="I9" s="1"/>
  <c r="I10" s="1"/>
  <c r="I11" s="1"/>
  <c r="I12" s="1"/>
  <c r="I13" s="1"/>
  <c r="I14" s="1"/>
  <c r="I15" s="1"/>
  <c r="I16" s="1"/>
  <c r="J6" i="14"/>
  <c r="I6"/>
  <c r="O3" i="237"/>
  <c r="O14" s="1"/>
  <c r="O3" i="223"/>
  <c r="A58" i="14"/>
  <c r="A37" i="185"/>
  <c r="B34" i="18"/>
  <c r="B37" i="185"/>
  <c r="H58" i="14" l="1"/>
  <c r="A59"/>
  <c r="H59" s="1"/>
  <c r="A38" i="185"/>
  <c r="A23" i="14"/>
  <c r="B38" i="185"/>
  <c r="A39" l="1"/>
  <c r="H23" i="14"/>
  <c r="A24"/>
  <c r="H24" s="1"/>
  <c r="B39" i="185"/>
  <c r="A40" l="1"/>
  <c r="A38" i="14"/>
  <c r="B40" i="185"/>
  <c r="A39" i="14" l="1"/>
  <c r="H39" s="1"/>
  <c r="A41" i="185"/>
  <c r="A35" i="14"/>
  <c r="H35" s="1"/>
  <c r="A25"/>
  <c r="A26" s="1"/>
  <c r="H26" s="1"/>
  <c r="H38"/>
  <c r="A60"/>
  <c r="B41" i="185"/>
  <c r="A42" l="1"/>
  <c r="H25" i="14"/>
  <c r="A36"/>
  <c r="H60"/>
  <c r="A61"/>
  <c r="H61" s="1"/>
  <c r="A55"/>
  <c r="B42" i="185"/>
  <c r="H55" i="14" l="1"/>
  <c r="A56"/>
  <c r="A43" i="185"/>
  <c r="A52" i="14"/>
  <c r="H52" s="1"/>
  <c r="H36"/>
  <c r="A37"/>
  <c r="H37" s="1"/>
  <c r="A20"/>
  <c r="A21" s="1"/>
  <c r="B43" i="185"/>
  <c r="H56" i="14" l="1"/>
  <c r="A57"/>
  <c r="H57" s="1"/>
  <c r="H21"/>
  <c r="A22"/>
  <c r="H22" s="1"/>
  <c r="A27"/>
  <c r="H20"/>
  <c r="H27" l="1"/>
  <c r="A28"/>
  <c r="H28" l="1"/>
  <c r="A40"/>
  <c r="H40" s="1"/>
  <c r="A30"/>
  <c r="H30" l="1"/>
  <c r="A31"/>
  <c r="A42"/>
  <c r="A43" s="1"/>
  <c r="H31" l="1"/>
  <c r="A32"/>
  <c r="H43"/>
  <c r="A44"/>
  <c r="A49"/>
  <c r="H49" s="1"/>
  <c r="H42"/>
  <c r="A33" l="1"/>
  <c r="H33" s="1"/>
  <c r="H32"/>
  <c r="H44"/>
  <c r="A45"/>
  <c r="H45" s="1"/>
  <c r="A12" l="1"/>
  <c r="A13" s="1"/>
  <c r="A14" l="1"/>
  <c r="H13"/>
  <c r="H12"/>
  <c r="H14" l="1"/>
  <c r="A15"/>
  <c r="H15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18" authorId="1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<sst xmlns="http://schemas.openxmlformats.org/spreadsheetml/2006/main" count="8325" uniqueCount="609">
  <si>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</si>
  <si>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</si>
  <si>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</si>
  <si>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</si>
  <si>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</si>
  <si>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</si>
  <si>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</si>
  <si>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</si>
  <si>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</si>
  <si>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</si>
  <si>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</si>
  <si>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</si>
  <si>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</si>
  <si>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</si>
  <si>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</si>
  <si>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</si>
  <si>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</si>
  <si>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</si>
  <si>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</si>
  <si>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</si>
  <si>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</si>
  <si>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</si>
  <si>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</si>
  <si>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</si>
  <si>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</si>
  <si>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</si>
  <si>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</si>
  <si>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</si>
  <si>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</si>
  <si>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</si>
  <si>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</si>
  <si>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</si>
  <si>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</si>
  <si>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</si>
  <si>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</si>
  <si>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</si>
  <si>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</si>
  <si>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</si>
  <si>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</si>
  <si>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</si>
  <si>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</si>
  <si>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</si>
  <si>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</si>
  <si>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</si>
  <si>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</si>
  <si>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</si>
  <si>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</si>
  <si>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</si>
  <si>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</si>
  <si>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</si>
  <si>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</si>
  <si>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</si>
  <si>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</si>
  <si>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</si>
  <si>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</si>
  <si>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</si>
  <si>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</si>
  <si>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</si>
  <si>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</si>
  <si>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</si>
  <si>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</si>
  <si>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</si>
  <si>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</si>
  <si>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</si>
  <si>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</si>
  <si>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</si>
  <si>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</si>
  <si>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</si>
  <si>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</si>
  <si>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</si>
  <si>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</si>
  <si>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</si>
  <si>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</si>
  <si>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</si>
  <si>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</si>
  <si>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</si>
  <si>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</si>
  <si>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</si>
  <si>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</si>
  <si>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</si>
  <si>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</si>
  <si>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</si>
  <si>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</si>
  <si>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</si>
  <si>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</si>
  <si>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</si>
  <si>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</si>
  <si>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</si>
  <si>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</si>
  <si>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</si>
  <si>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</si>
  <si>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</si>
  <si>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</si>
  <si>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</si>
  <si>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</si>
  <si>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</si>
  <si>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</si>
  <si>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</si>
  <si>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</si>
  <si>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</si>
  <si>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</si>
  <si>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</si>
  <si>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</si>
  <si>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</si>
  <si>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</si>
  <si>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</si>
  <si>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</si>
  <si>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</si>
  <si>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</si>
  <si>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</si>
  <si>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</si>
  <si>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</si>
  <si>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</si>
  <si>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</si>
  <si>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</si>
  <si>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</si>
  <si>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</si>
  <si>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</si>
  <si>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</si>
  <si>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</si>
  <si>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</si>
  <si>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</si>
  <si>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</si>
  <si>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</si>
  <si>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</si>
  <si>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</si>
  <si>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</si>
  <si>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</si>
  <si>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</si>
  <si>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</si>
  <si>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</si>
  <si>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</si>
  <si>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</si>
  <si>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</si>
  <si>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</si>
  <si>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</si>
  <si>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Redys, David Remote</t>
  </si>
  <si>
    <t>Bowers, Martin L</t>
  </si>
  <si>
    <t>Ferguson, Scott Remote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</si>
  <si>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</si>
  <si>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</si>
  <si>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</si>
  <si>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</si>
  <si>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</si>
  <si>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</si>
  <si>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</si>
  <si>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</si>
  <si>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</si>
  <si>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</si>
  <si>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</si>
  <si>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</si>
  <si>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</si>
  <si>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</si>
  <si>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</si>
  <si>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</si>
  <si>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</si>
  <si>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</si>
  <si>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</si>
  <si>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</si>
  <si>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</si>
  <si>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</si>
  <si>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</si>
  <si>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</si>
  <si>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</si>
  <si>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</si>
  <si>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</si>
  <si>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</si>
  <si>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</si>
  <si>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</si>
  <si>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</si>
  <si>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</si>
  <si>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</si>
  <si>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</si>
  <si>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</si>
  <si>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</si>
  <si>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</si>
  <si>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</si>
  <si>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</si>
  <si>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</si>
  <si>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</si>
  <si>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</si>
  <si>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</si>
  <si>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</si>
  <si>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</si>
  <si>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</si>
  <si>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</si>
  <si>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</si>
  <si>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</si>
  <si>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</si>
  <si>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</si>
  <si>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</si>
  <si>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</si>
  <si>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</si>
  <si>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</si>
  <si>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</si>
  <si>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</si>
  <si>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</si>
  <si>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</si>
  <si>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</si>
  <si>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</si>
  <si>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</si>
  <si>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</si>
  <si>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</si>
  <si>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</si>
  <si>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</si>
  <si>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</si>
  <si>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</si>
  <si>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</si>
  <si>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</si>
  <si>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</si>
  <si>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</si>
  <si>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</si>
  <si>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</si>
  <si>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</si>
  <si>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</si>
  <si>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</si>
  <si>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</si>
  <si>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</si>
  <si>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</si>
  <si>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</si>
  <si>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</si>
  <si>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</si>
  <si>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</si>
  <si>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</si>
  <si>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</si>
  <si>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</si>
  <si>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</si>
  <si>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</si>
  <si>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</si>
  <si>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</si>
  <si>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</si>
  <si>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</si>
  <si>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</si>
  <si>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</si>
  <si>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</si>
  <si>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</si>
  <si>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</si>
  <si>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</si>
  <si>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</si>
  <si>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</si>
  <si>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</si>
  <si>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</si>
  <si>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</si>
  <si>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</si>
  <si>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</si>
  <si>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</si>
  <si>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</si>
  <si>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</si>
  <si>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</si>
  <si>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</si>
  <si>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</si>
  <si>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</si>
  <si>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</si>
  <si>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</si>
  <si>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</si>
  <si>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</si>
  <si>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</si>
  <si>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</si>
  <si>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</si>
  <si>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</si>
  <si>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</si>
  <si>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</si>
  <si>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</si>
  <si>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</si>
  <si>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</si>
  <si>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</si>
  <si>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</si>
  <si>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</si>
  <si>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</si>
  <si>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</si>
  <si>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</si>
  <si>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</si>
  <si>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</si>
  <si>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</si>
  <si>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White, Jarred</t>
  </si>
  <si>
    <t>Powell, LaMar</t>
  </si>
  <si>
    <t>South Alabama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</si>
  <si>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</si>
  <si>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</si>
  <si>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</si>
  <si>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</si>
  <si>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</si>
  <si>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</si>
  <si>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</si>
  <si>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</si>
  <si>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</si>
  <si>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</si>
  <si>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</si>
  <si>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Brunt, DavidRemote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</si>
  <si>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</si>
  <si>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</si>
  <si>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</si>
  <si>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</si>
  <si>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</si>
  <si>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</si>
  <si>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</si>
  <si>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</si>
  <si>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Marsh, Alexander Remote</t>
  </si>
  <si>
    <t>All Participants</t>
  </si>
  <si>
    <t>Cut &amp; Paste from here for all poolers:</t>
  </si>
  <si>
    <t>Beasley, Tate</t>
  </si>
  <si>
    <t>Fonville, Stephanie Remote</t>
  </si>
  <si>
    <t>Beckwith, Greg</t>
  </si>
  <si>
    <t>Warren, Todd Remote</t>
  </si>
  <si>
    <t>Gilmer, Justin T</t>
  </si>
  <si>
    <t>Kandela, Marwan</t>
  </si>
  <si>
    <t>Mccoy, William M</t>
  </si>
  <si>
    <t>Stonecypher, David</t>
  </si>
  <si>
    <t>Locklear, Dave Remote</t>
  </si>
  <si>
    <t>X</t>
  </si>
  <si>
    <t>_W_</t>
  </si>
  <si>
    <t>x</t>
  </si>
  <si>
    <t>B</t>
  </si>
  <si>
    <t>e</t>
  </si>
  <si>
    <t>a</t>
  </si>
  <si>
    <t>t</t>
  </si>
  <si>
    <t>The</t>
  </si>
  <si>
    <t>P</t>
  </si>
  <si>
    <t>u</t>
  </si>
  <si>
    <t>p</t>
  </si>
  <si>
    <t>s</t>
  </si>
  <si>
    <t>!</t>
  </si>
  <si>
    <t>N</t>
  </si>
  <si>
    <t>o</t>
  </si>
  <si>
    <t>H</t>
  </si>
  <si>
    <t>r</t>
  </si>
  <si>
    <t>2</t>
  </si>
  <si>
    <t>A</t>
  </si>
  <si>
    <t>G</t>
  </si>
  <si>
    <t>M</t>
  </si>
  <si>
    <t>E</t>
  </si>
  <si>
    <t>C</t>
  </si>
  <si>
    <t>O</t>
  </si>
  <si>
    <t>K</t>
  </si>
  <si>
    <t>S</t>
  </si>
  <si>
    <t>*</t>
  </si>
  <si>
    <t>T</t>
  </si>
  <si>
    <t>i</t>
  </si>
  <si>
    <t>m</t>
  </si>
  <si>
    <t>_R_</t>
  </si>
  <si>
    <t>n</t>
  </si>
  <si>
    <t>Y</t>
  </si>
  <si>
    <t>Tunnell, Justin S</t>
  </si>
  <si>
    <t>Barker, Christopher A</t>
  </si>
  <si>
    <t xml:space="preserve"> </t>
  </si>
  <si>
    <t>F</t>
  </si>
  <si>
    <t>l</t>
  </si>
  <si>
    <t>d</t>
  </si>
  <si>
    <t>1</t>
  </si>
  <si>
    <t>J</t>
  </si>
  <si>
    <t>W</t>
  </si>
  <si>
    <t>v</t>
  </si>
  <si>
    <t>Ready</t>
  </si>
  <si>
    <t>ForSome</t>
  </si>
  <si>
    <t>b</t>
  </si>
  <si>
    <t>pp</t>
  </si>
  <si>
    <t>UGA</t>
  </si>
  <si>
    <t>I</t>
  </si>
  <si>
    <t>18</t>
  </si>
  <si>
    <t>&amp;</t>
  </si>
  <si>
    <t>g</t>
  </si>
  <si>
    <t>Go</t>
  </si>
  <si>
    <t>c</t>
  </si>
  <si>
    <t>k</t>
  </si>
  <si>
    <t>V</t>
  </si>
  <si>
    <t>0</t>
  </si>
  <si>
    <t>4</t>
  </si>
  <si>
    <t>w</t>
  </si>
  <si>
    <t>USC</t>
  </si>
  <si>
    <t>-d-</t>
  </si>
  <si>
    <t>Where</t>
  </si>
  <si>
    <t>Was</t>
  </si>
  <si>
    <t>D</t>
  </si>
  <si>
    <t>f</t>
  </si>
  <si>
    <t>R</t>
  </si>
  <si>
    <t>U</t>
  </si>
  <si>
    <t>Sting</t>
  </si>
  <si>
    <t>em</t>
  </si>
  <si>
    <t>$</t>
  </si>
  <si>
    <t>_</t>
  </si>
  <si>
    <t>?</t>
  </si>
  <si>
    <t>GB</t>
  </si>
  <si>
    <t>Appalachian State</t>
  </si>
  <si>
    <t>Georgia Southern</t>
  </si>
  <si>
    <t>gb</t>
  </si>
  <si>
    <t>=</t>
  </si>
  <si>
    <t>le</t>
  </si>
  <si>
    <t>3</t>
  </si>
  <si>
    <t>Bye</t>
  </si>
  <si>
    <t>h</t>
  </si>
  <si>
    <t>y</t>
  </si>
  <si>
    <t>East</t>
  </si>
  <si>
    <t>Boo</t>
  </si>
  <si>
    <t>L</t>
  </si>
  <si>
    <t>to</t>
  </si>
  <si>
    <t>me!</t>
  </si>
  <si>
    <t>Lick</t>
  </si>
  <si>
    <t>ee</t>
  </si>
  <si>
    <t>es</t>
  </si>
  <si>
    <t>Oh</t>
  </si>
  <si>
    <t>Brother</t>
  </si>
  <si>
    <t>Desetto, Daniel</t>
  </si>
  <si>
    <t>late</t>
  </si>
  <si>
    <t xml:space="preserve">o </t>
  </si>
  <si>
    <t>FSU</t>
  </si>
  <si>
    <t>Jam</t>
  </si>
  <si>
    <t>eis</t>
  </si>
  <si>
    <t>en</t>
  </si>
  <si>
    <t>Beat</t>
  </si>
  <si>
    <t>VPI</t>
  </si>
  <si>
    <t>SU</t>
  </si>
  <si>
    <t>!!!!</t>
  </si>
  <si>
    <t>!!</t>
  </si>
  <si>
    <t>~</t>
  </si>
  <si>
    <t>For</t>
  </si>
  <si>
    <t>#1</t>
  </si>
  <si>
    <t>Up</t>
  </si>
  <si>
    <t>t!</t>
  </si>
  <si>
    <t>mi</t>
  </si>
  <si>
    <t>z</t>
  </si>
  <si>
    <t>!!!</t>
  </si>
  <si>
    <t>rs</t>
  </si>
  <si>
    <t>AN</t>
  </si>
  <si>
    <t>5</t>
  </si>
  <si>
    <t xml:space="preserve">Openings  </t>
  </si>
  <si>
    <t>Available</t>
  </si>
  <si>
    <t xml:space="preserve">For </t>
  </si>
  <si>
    <t xml:space="preserve">A </t>
  </si>
  <si>
    <t xml:space="preserve">Kicker </t>
  </si>
  <si>
    <t xml:space="preserve">&amp; </t>
  </si>
  <si>
    <t xml:space="preserve">Long </t>
  </si>
  <si>
    <t>Snapper</t>
  </si>
  <si>
    <t>Tar</t>
  </si>
  <si>
    <t>Ho</t>
  </si>
  <si>
    <t>Sq</t>
  </si>
  <si>
    <t>ui</t>
  </si>
  <si>
    <t>Ki</t>
  </si>
  <si>
    <t>ck</t>
  </si>
  <si>
    <t>ke</t>
  </si>
  <si>
    <t>_*_</t>
  </si>
  <si>
    <t>of</t>
  </si>
  <si>
    <t>6</t>
  </si>
  <si>
    <t xml:space="preserve">n </t>
  </si>
  <si>
    <t xml:space="preserve">r </t>
  </si>
  <si>
    <t>Heisman</t>
  </si>
  <si>
    <t>tts</t>
  </si>
  <si>
    <t>7</t>
  </si>
  <si>
    <t>and</t>
  </si>
  <si>
    <t>Oh!</t>
  </si>
  <si>
    <t>Te</t>
  </si>
  <si>
    <t>ch</t>
  </si>
  <si>
    <t>All</t>
  </si>
  <si>
    <t>My</t>
  </si>
  <si>
    <t>ms</t>
  </si>
  <si>
    <t>.</t>
  </si>
  <si>
    <t>:(</t>
  </si>
  <si>
    <t>UMo</t>
  </si>
  <si>
    <t>!!!!!</t>
  </si>
  <si>
    <t>jo</t>
  </si>
  <si>
    <t>ined</t>
  </si>
  <si>
    <t>the</t>
  </si>
  <si>
    <t>club</t>
  </si>
  <si>
    <t>:)</t>
  </si>
  <si>
    <t>GL</t>
  </si>
  <si>
    <t>er</t>
  </si>
  <si>
    <t>&gt;</t>
  </si>
  <si>
    <t>ir</t>
  </si>
  <si>
    <t>k'em</t>
  </si>
  <si>
    <t>LL</t>
  </si>
  <si>
    <t>8</t>
  </si>
  <si>
    <t>9</t>
  </si>
  <si>
    <t>ten</t>
  </si>
  <si>
    <t>Q</t>
  </si>
  <si>
    <t>???</t>
  </si>
  <si>
    <t>Six</t>
  </si>
  <si>
    <t>ts!</t>
  </si>
  <si>
    <t>Losses</t>
  </si>
  <si>
    <t>Getting</t>
  </si>
  <si>
    <t>More</t>
  </si>
  <si>
    <t>l!</t>
  </si>
  <si>
    <t>Gurley</t>
  </si>
  <si>
    <t>Hornets</t>
  </si>
  <si>
    <t>Meh</t>
  </si>
  <si>
    <t>Tigre</t>
  </si>
  <si>
    <t>half</t>
  </si>
  <si>
    <t>way</t>
  </si>
  <si>
    <t xml:space="preserve">from </t>
  </si>
  <si>
    <t>zero</t>
  </si>
  <si>
    <t>last</t>
  </si>
  <si>
    <t>week</t>
  </si>
  <si>
    <t>#</t>
  </si>
  <si>
    <t xml:space="preserve">k </t>
  </si>
  <si>
    <t>Offense</t>
  </si>
  <si>
    <t>In</t>
  </si>
  <si>
    <t>A&amp;M can be a 11 point spread</t>
  </si>
  <si>
    <t>Irish are Overrated</t>
  </si>
  <si>
    <t>n?</t>
  </si>
  <si>
    <t>t!!!</t>
  </si>
  <si>
    <t>+?</t>
  </si>
  <si>
    <t>rse</t>
  </si>
  <si>
    <t xml:space="preserve">With </t>
  </si>
  <si>
    <t>se</t>
  </si>
  <si>
    <t>Def</t>
  </si>
  <si>
    <t>ense</t>
  </si>
  <si>
    <t>Games</t>
  </si>
  <si>
    <t>oo</t>
  </si>
  <si>
    <t>j</t>
  </si>
  <si>
    <t>%</t>
  </si>
  <si>
    <t>Closing</t>
  </si>
  <si>
    <t>in</t>
  </si>
  <si>
    <t>on</t>
  </si>
  <si>
    <t>place</t>
  </si>
  <si>
    <t>2nd</t>
  </si>
  <si>
    <t>Yr</t>
  </si>
  <si>
    <t>row!</t>
  </si>
  <si>
    <t>up</t>
  </si>
  <si>
    <t>Maybe it's time for a comeback</t>
  </si>
  <si>
    <t>q</t>
  </si>
  <si>
    <t>_X_</t>
  </si>
  <si>
    <t>Commish</t>
  </si>
  <si>
    <t>10</t>
  </si>
  <si>
    <t xml:space="preserve">Open </t>
  </si>
  <si>
    <t>Wont</t>
  </si>
  <si>
    <t>Our</t>
  </si>
  <si>
    <t>Defense</t>
  </si>
  <si>
    <t>ith</t>
  </si>
  <si>
    <t>WIN!!</t>
  </si>
  <si>
    <t>Bo</t>
  </si>
  <si>
    <t>o!</t>
  </si>
  <si>
    <t>Thank</t>
  </si>
  <si>
    <t>God</t>
  </si>
  <si>
    <t>for</t>
  </si>
  <si>
    <t xml:space="preserve">E </t>
  </si>
  <si>
    <t>eeks :D</t>
  </si>
  <si>
    <t>Can't lose!!!</t>
  </si>
  <si>
    <t>ee!!!</t>
  </si>
  <si>
    <t>11</t>
  </si>
  <si>
    <t xml:space="preserve">d </t>
  </si>
  <si>
    <t>soning!</t>
  </si>
  <si>
    <t>ea</t>
  </si>
  <si>
    <t>tT</t>
  </si>
  <si>
    <t>he</t>
  </si>
  <si>
    <t>De</t>
  </si>
  <si>
    <t>Nice</t>
  </si>
  <si>
    <t>Run</t>
  </si>
  <si>
    <t>ets!</t>
  </si>
  <si>
    <t>Is</t>
  </si>
  <si>
    <t>it</t>
  </si>
  <si>
    <t>ble???</t>
  </si>
  <si>
    <t>nce</t>
  </si>
  <si>
    <t>03?</t>
  </si>
  <si>
    <t>ll</t>
  </si>
  <si>
    <t>Hoke</t>
  </si>
  <si>
    <t>12</t>
  </si>
  <si>
    <t>fen</t>
  </si>
  <si>
    <t>Be</t>
  </si>
  <si>
    <t>st</t>
  </si>
  <si>
    <t xml:space="preserve">The </t>
  </si>
  <si>
    <t>tion</t>
  </si>
  <si>
    <t>Black</t>
  </si>
  <si>
    <t>Flag</t>
  </si>
  <si>
    <t>Yellow</t>
  </si>
  <si>
    <t>et</t>
  </si>
  <si>
    <t>Cocks</t>
  </si>
  <si>
    <t>Ramblin'</t>
  </si>
  <si>
    <t>Wreck</t>
  </si>
  <si>
    <t>Cow</t>
  </si>
  <si>
    <t>Bells</t>
  </si>
  <si>
    <t>HBC</t>
  </si>
  <si>
    <t>Wortst</t>
  </si>
  <si>
    <t>Ev</t>
  </si>
  <si>
    <t>GS</t>
  </si>
  <si>
    <t>beat</t>
  </si>
  <si>
    <t>mooU</t>
  </si>
  <si>
    <t>ye</t>
  </si>
  <si>
    <t>To</t>
  </si>
  <si>
    <t>Streak</t>
  </si>
  <si>
    <t>#4</t>
  </si>
  <si>
    <t>N!</t>
  </si>
  <si>
    <t>14</t>
  </si>
  <si>
    <t>How</t>
  </si>
  <si>
    <t>Many</t>
  </si>
  <si>
    <t>Years</t>
  </si>
  <si>
    <t>Since</t>
  </si>
  <si>
    <t>SCarolina</t>
  </si>
  <si>
    <t>AND</t>
  </si>
  <si>
    <t>GaTech</t>
  </si>
  <si>
    <t>In-State</t>
  </si>
  <si>
    <t>Rivals?</t>
  </si>
  <si>
    <t>Can</t>
  </si>
  <si>
    <t>TA&amp;M will win</t>
  </si>
  <si>
    <t>Good Old fashioned Hate</t>
  </si>
  <si>
    <t>Carolina might choke</t>
  </si>
  <si>
    <t>Less bad</t>
  </si>
  <si>
    <t>State!</t>
  </si>
  <si>
    <t>Underdogs go</t>
  </si>
  <si>
    <t>Won't beat the spread</t>
  </si>
  <si>
    <t xml:space="preserve">e </t>
  </si>
  <si>
    <t>n Plays</t>
  </si>
  <si>
    <t>w/</t>
  </si>
  <si>
    <t>Ge</t>
  </si>
  <si>
    <t>or</t>
  </si>
  <si>
    <t>gie</t>
  </si>
  <si>
    <t>Boykin, Jerome W</t>
  </si>
  <si>
    <t>Brokaw, Brantley A</t>
  </si>
  <si>
    <t>Holden, Brent</t>
  </si>
  <si>
    <t>James, Larry C</t>
  </si>
  <si>
    <t>Nance, Rob</t>
  </si>
  <si>
    <t>Nguyen, Thai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</si>
</sst>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\+0;\-0;0"/>
    <numFmt numFmtId="166" formatCode="&quot;Mr &quot;\ 0.0%"/>
    <numFmt numFmtId="167" formatCode="\+0;[Red]0"/>
  </numFmts>
  <fonts count="25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3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28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-4</c:v>
                </c:pt>
                <c:pt idx="6">
                  <c:v>-1</c:v>
                </c:pt>
                <c:pt idx="7">
                  <c:v>-3</c:v>
                </c:pt>
                <c:pt idx="8">
                  <c:v>-1</c:v>
                </c:pt>
                <c:pt idx="9">
                  <c:v>-3</c:v>
                </c:pt>
                <c:pt idx="10">
                  <c:v>-4</c:v>
                </c:pt>
                <c:pt idx="11">
                  <c:v>-6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-10</c:v>
                </c:pt>
                <c:pt idx="8">
                  <c:v>-11</c:v>
                </c:pt>
                <c:pt idx="9">
                  <c:v>-15</c:v>
                </c:pt>
                <c:pt idx="10">
                  <c:v>-16</c:v>
                </c:pt>
                <c:pt idx="11">
                  <c:v>-14</c:v>
                </c:pt>
                <c:pt idx="12">
                  <c:v>-15</c:v>
                </c:pt>
                <c:pt idx="13">
                  <c:v>-15</c:v>
                </c:pt>
              </c:numCache>
            </c:numRef>
          </c:val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-5</c:v>
                </c:pt>
                <c:pt idx="4">
                  <c:v>-3</c:v>
                </c:pt>
                <c:pt idx="5">
                  <c:v>-3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-7</c:v>
                </c:pt>
                <c:pt idx="11">
                  <c:v>-5</c:v>
                </c:pt>
                <c:pt idx="12">
                  <c:v>-6</c:v>
                </c:pt>
                <c:pt idx="13">
                  <c:v>-9</c:v>
                </c:pt>
              </c:numCache>
            </c:numRef>
          </c:val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-4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-8</c:v>
                </c:pt>
                <c:pt idx="11">
                  <c:v>-8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</c:numCache>
            </c:numRef>
          </c:val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-6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-11</c:v>
                </c:pt>
                <c:pt idx="11">
                  <c:v>-11</c:v>
                </c:pt>
                <c:pt idx="12">
                  <c:v>-12</c:v>
                </c:pt>
                <c:pt idx="13">
                  <c:v>-10</c:v>
                </c:pt>
              </c:numCache>
            </c:numRef>
          </c:val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-3</c:v>
                </c:pt>
                <c:pt idx="10">
                  <c:v>-4</c:v>
                </c:pt>
                <c:pt idx="11">
                  <c:v>-2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-4</c:v>
                </c:pt>
                <c:pt idx="10">
                  <c:v>-6</c:v>
                </c:pt>
                <c:pt idx="11">
                  <c:v>-4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1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-1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7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</c:numCache>
            </c:numRef>
          </c:val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Brokaw, Brantley A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-1</c:v>
                </c:pt>
                <c:pt idx="8">
                  <c:v>-3</c:v>
                </c:pt>
                <c:pt idx="9">
                  <c:v>-5</c:v>
                </c:pt>
                <c:pt idx="10">
                  <c:v>-6</c:v>
                </c:pt>
                <c:pt idx="11">
                  <c:v>-3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8</c:v>
                </c:pt>
                <c:pt idx="12">
                  <c:v>9</c:v>
                </c:pt>
                <c:pt idx="13">
                  <c:v>7</c:v>
                </c:pt>
              </c:numCache>
            </c:numRef>
          </c:val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1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-16</c:v>
                </c:pt>
                <c:pt idx="5">
                  <c:v>-15</c:v>
                </c:pt>
                <c:pt idx="6">
                  <c:v>-15</c:v>
                </c:pt>
                <c:pt idx="7">
                  <c:v>-16</c:v>
                </c:pt>
                <c:pt idx="8">
                  <c:v>-15</c:v>
                </c:pt>
                <c:pt idx="9">
                  <c:v>-15</c:v>
                </c:pt>
                <c:pt idx="10">
                  <c:v>-16</c:v>
                </c:pt>
                <c:pt idx="11">
                  <c:v>-15</c:v>
                </c:pt>
                <c:pt idx="12">
                  <c:v>-18</c:v>
                </c:pt>
                <c:pt idx="13">
                  <c:v>-14</c:v>
                </c:pt>
              </c:numCache>
            </c:numRef>
          </c:val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-3</c:v>
                </c:pt>
                <c:pt idx="3">
                  <c:v>-6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</c:numCache>
            </c:numRef>
          </c:val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-6</c:v>
                </c:pt>
              </c:numCache>
            </c:numRef>
          </c:val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-9</c:v>
                </c:pt>
                <c:pt idx="7">
                  <c:v>-10</c:v>
                </c:pt>
                <c:pt idx="8">
                  <c:v>-12</c:v>
                </c:pt>
                <c:pt idx="9">
                  <c:v>-15</c:v>
                </c:pt>
                <c:pt idx="10">
                  <c:v>-14</c:v>
                </c:pt>
                <c:pt idx="11">
                  <c:v>-11</c:v>
                </c:pt>
                <c:pt idx="12">
                  <c:v>-12</c:v>
                </c:pt>
                <c:pt idx="13">
                  <c:v>-11</c:v>
                </c:pt>
              </c:numCache>
            </c:numRef>
          </c:val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6</c:v>
                </c:pt>
                <c:pt idx="7">
                  <c:v>6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Fonville, Stephanie Remote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4</c:v>
                </c:pt>
              </c:numCache>
            </c:numRef>
          </c:val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2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-2</c:v>
                </c:pt>
                <c:pt idx="4">
                  <c:v>-1</c:v>
                </c:pt>
                <c:pt idx="5">
                  <c:v>1</c:v>
                </c:pt>
                <c:pt idx="6">
                  <c:v>0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-2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-12</c:v>
                </c:pt>
                <c:pt idx="12">
                  <c:v>-11</c:v>
                </c:pt>
                <c:pt idx="13">
                  <c:v>-9</c:v>
                </c:pt>
              </c:numCache>
            </c:numRef>
          </c:val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-3</c:v>
                </c:pt>
                <c:pt idx="7">
                  <c:v>-5</c:v>
                </c:pt>
                <c:pt idx="8">
                  <c:v>-2</c:v>
                </c:pt>
                <c:pt idx="9">
                  <c:v>-3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</c:numCache>
            </c:numRef>
          </c:val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-6</c:v>
                </c:pt>
                <c:pt idx="8">
                  <c:v>-8</c:v>
                </c:pt>
                <c:pt idx="9">
                  <c:v>-8</c:v>
                </c:pt>
                <c:pt idx="10">
                  <c:v>-7</c:v>
                </c:pt>
                <c:pt idx="11">
                  <c:v>-6</c:v>
                </c:pt>
                <c:pt idx="12">
                  <c:v>-8</c:v>
                </c:pt>
                <c:pt idx="13">
                  <c:v>-11</c:v>
                </c:pt>
              </c:numCache>
            </c:numRef>
          </c:val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Kandela, Marwan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-5</c:v>
                </c:pt>
                <c:pt idx="9">
                  <c:v>-4</c:v>
                </c:pt>
                <c:pt idx="10">
                  <c:v>-1</c:v>
                </c:pt>
                <c:pt idx="11">
                  <c:v>2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-4</c:v>
                </c:pt>
                <c:pt idx="8">
                  <c:v>-7</c:v>
                </c:pt>
                <c:pt idx="9">
                  <c:v>-5</c:v>
                </c:pt>
                <c:pt idx="10">
                  <c:v>-4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-3</c:v>
                </c:pt>
                <c:pt idx="3">
                  <c:v>-4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-4</c:v>
                </c:pt>
                <c:pt idx="9">
                  <c:v>-3</c:v>
                </c:pt>
                <c:pt idx="10">
                  <c:v>-3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-12</c:v>
                </c:pt>
                <c:pt idx="11">
                  <c:v>-15</c:v>
                </c:pt>
                <c:pt idx="12">
                  <c:v>-15</c:v>
                </c:pt>
                <c:pt idx="13">
                  <c:v>-14</c:v>
                </c:pt>
              </c:numCache>
            </c:numRef>
          </c:val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-9</c:v>
                </c:pt>
                <c:pt idx="9">
                  <c:v>-13</c:v>
                </c:pt>
                <c:pt idx="10">
                  <c:v>-15</c:v>
                </c:pt>
                <c:pt idx="11">
                  <c:v>-16</c:v>
                </c:pt>
                <c:pt idx="12">
                  <c:v>-14</c:v>
                </c:pt>
                <c:pt idx="13">
                  <c:v>-13</c:v>
                </c:pt>
              </c:numCache>
            </c:numRef>
          </c:val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-4</c:v>
                </c:pt>
                <c:pt idx="10">
                  <c:v>-4</c:v>
                </c:pt>
                <c:pt idx="11">
                  <c:v>-3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5</c:v>
                </c:pt>
                <c:pt idx="7">
                  <c:v>7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-5</c:v>
                </c:pt>
                <c:pt idx="3">
                  <c:v>-5</c:v>
                </c:pt>
                <c:pt idx="4">
                  <c:v>-3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-2</c:v>
                </c:pt>
                <c:pt idx="11">
                  <c:v>1</c:v>
                </c:pt>
                <c:pt idx="12">
                  <c:v>2</c:v>
                </c:pt>
                <c:pt idx="13">
                  <c:v>-1</c:v>
                </c:pt>
              </c:numCache>
            </c:numRef>
          </c:val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-5</c:v>
                </c:pt>
                <c:pt idx="4">
                  <c:v>-2</c:v>
                </c:pt>
                <c:pt idx="5">
                  <c:v>-2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-4</c:v>
                </c:pt>
                <c:pt idx="12">
                  <c:v>-5</c:v>
                </c:pt>
                <c:pt idx="13">
                  <c:v>-8</c:v>
                </c:pt>
              </c:numCache>
            </c:numRef>
          </c:val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-4</c:v>
                </c:pt>
                <c:pt idx="3">
                  <c:v>-6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-11</c:v>
                </c:pt>
                <c:pt idx="10">
                  <c:v>-11</c:v>
                </c:pt>
                <c:pt idx="11">
                  <c:v>-9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-6</c:v>
                </c:pt>
                <c:pt idx="5">
                  <c:v>-7</c:v>
                </c:pt>
                <c:pt idx="6">
                  <c:v>-7</c:v>
                </c:pt>
                <c:pt idx="7">
                  <c:v>-8</c:v>
                </c:pt>
                <c:pt idx="8">
                  <c:v>-10</c:v>
                </c:pt>
                <c:pt idx="9">
                  <c:v>-9</c:v>
                </c:pt>
                <c:pt idx="10">
                  <c:v>-11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-10</c:v>
                </c:pt>
                <c:pt idx="13">
                  <c:v>-11</c:v>
                </c:pt>
              </c:numCache>
            </c:numRef>
          </c:val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-2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-6</c:v>
                </c:pt>
                <c:pt idx="8">
                  <c:v>-8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-9</c:v>
                </c:pt>
              </c:numCache>
            </c:numRef>
          </c:val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Shuey, Jeffrey M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-4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-5</c:v>
                </c:pt>
              </c:numCache>
            </c:numRef>
          </c:val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-4</c:v>
                </c:pt>
                <c:pt idx="7">
                  <c:v>-7</c:v>
                </c:pt>
                <c:pt idx="8">
                  <c:v>-8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Steel, Van Remote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-7</c:v>
                </c:pt>
                <c:pt idx="7">
                  <c:v>-8</c:v>
                </c:pt>
                <c:pt idx="8">
                  <c:v>-9</c:v>
                </c:pt>
                <c:pt idx="9">
                  <c:v>-8</c:v>
                </c:pt>
                <c:pt idx="10">
                  <c:v>-7</c:v>
                </c:pt>
                <c:pt idx="11">
                  <c:v>-9</c:v>
                </c:pt>
                <c:pt idx="12">
                  <c:v>-13</c:v>
                </c:pt>
                <c:pt idx="13">
                  <c:v>-13</c:v>
                </c:pt>
              </c:numCache>
            </c:numRef>
          </c:val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-4</c:v>
                </c:pt>
                <c:pt idx="11">
                  <c:v>-7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Tunnell, Justin S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-1</c:v>
                </c:pt>
                <c:pt idx="5">
                  <c:v>-1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Warren, Todd Remote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-4</c:v>
                </c:pt>
                <c:pt idx="2">
                  <c:v>-7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-7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-13</c:v>
                </c:pt>
                <c:pt idx="12">
                  <c:v>-16</c:v>
                </c:pt>
                <c:pt idx="13">
                  <c:v>-17</c:v>
                </c:pt>
              </c:numCache>
            </c:numRef>
          </c:val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-5</c:v>
                </c:pt>
                <c:pt idx="7">
                  <c:v>-4</c:v>
                </c:pt>
                <c:pt idx="8">
                  <c:v>-5</c:v>
                </c:pt>
                <c:pt idx="9">
                  <c:v>-4</c:v>
                </c:pt>
                <c:pt idx="10">
                  <c:v>-3</c:v>
                </c:pt>
                <c:pt idx="11">
                  <c:v>-5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-2</c:v>
                </c:pt>
                <c:pt idx="5">
                  <c:v>-3</c:v>
                </c:pt>
                <c:pt idx="6">
                  <c:v>-5</c:v>
                </c:pt>
                <c:pt idx="7">
                  <c:v>-6</c:v>
                </c:pt>
                <c:pt idx="8">
                  <c:v>-6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-7</c:v>
                </c:pt>
                <c:pt idx="13">
                  <c:v>-6</c:v>
                </c:pt>
              </c:numCache>
            </c:numRef>
          </c:val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  <c:pt idx="6">
                  <c:v>-4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-5</c:v>
                </c:pt>
                <c:pt idx="11">
                  <c:v>-6</c:v>
                </c:pt>
                <c:pt idx="12">
                  <c:v>-7</c:v>
                </c:pt>
                <c:pt idx="13">
                  <c:v>-9</c:v>
                </c:pt>
              </c:numCache>
            </c:numRef>
          </c:val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5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</c:numCache>
            </c:numRef>
          </c:val>
        </c:ser>
        <c:dLbls/>
        <c:marker val="1"/>
        <c:axId val="62997248"/>
        <c:axId val="62998784"/>
      </c:lineChart>
      <c:catAx>
        <c:axId val="62997248"/>
        <c:scaling>
          <c:orientation val="minMax"/>
        </c:scaling>
        <c:axPos val="b"/>
        <c:numFmt formatCode="General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998784"/>
        <c:crosses val="autoZero"/>
        <c:lblAlgn val="ctr"/>
        <c:lblOffset val="100"/>
        <c:tickLblSkip val="1"/>
        <c:tickMarkSkip val="1"/>
      </c:catAx>
      <c:valAx>
        <c:axId val="62998784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99724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0301260224378307"/>
          <c:h val="0.97285268663143387"/>
        </c:manualLayout>
      </c:layout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4</c:v>
                </c:pt>
                <c:pt idx="4">
                  <c:v>9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</c:ser>
        <c:dLbls/>
        <c:axId val="62180352"/>
        <c:axId val="63059072"/>
      </c:barChart>
      <c:catAx>
        <c:axId val="621803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059072"/>
        <c:crosses val="autoZero"/>
        <c:auto val="1"/>
        <c:lblAlgn val="ctr"/>
        <c:lblOffset val="100"/>
        <c:tickLblSkip val="1"/>
        <c:tickMarkSkip val="1"/>
      </c:catAx>
      <c:valAx>
        <c:axId val="630590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8035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Histogram!$A$33:$A$43</c:f>
              <c:numCache>
                <c:formatCode>General</c:formatCode>
                <c:ptCount val="11"/>
                <c:pt idx="0">
                  <c:v>48</c:v>
                </c:pt>
                <c:pt idx="1">
                  <c:v>50.8</c:v>
                </c:pt>
                <c:pt idx="2">
                  <c:v>53.599999999999994</c:v>
                </c:pt>
                <c:pt idx="3">
                  <c:v>56.399999999999991</c:v>
                </c:pt>
                <c:pt idx="4">
                  <c:v>59.199999999999989</c:v>
                </c:pt>
                <c:pt idx="5">
                  <c:v>61.999999999999986</c:v>
                </c:pt>
                <c:pt idx="6">
                  <c:v>64.799999999999983</c:v>
                </c:pt>
                <c:pt idx="7">
                  <c:v>67.59999999999998</c:v>
                </c:pt>
                <c:pt idx="8">
                  <c:v>70.399999999999977</c:v>
                </c:pt>
                <c:pt idx="9">
                  <c:v>73.199999999999974</c:v>
                </c:pt>
                <c:pt idx="10">
                  <c:v>75.999999999999972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9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</c:ser>
        <c:dLbls/>
        <c:axId val="63116416"/>
        <c:axId val="63118336"/>
      </c:barChart>
      <c:catAx>
        <c:axId val="6311641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18336"/>
        <c:crosses val="autoZero"/>
        <c:auto val="1"/>
        <c:lblAlgn val="ctr"/>
        <c:lblOffset val="100"/>
        <c:tickLblSkip val="1"/>
        <c:tickMarkSkip val="1"/>
      </c:catAx>
      <c:valAx>
        <c:axId val="631183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11641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comments" Target="../comments1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AC62"/>
  <sheetViews>
    <sheetView zoomScale="75" zoomScaleNormal="75" workbookViewId="0"/>
  </sheetViews>
  <sheetFormatPr defaultRowHeight="12.75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>
      <c r="A1" s="24"/>
      <c r="B1" s="7" t="s">
        <v>9</v>
      </c>
    </row>
    <row r="2" spans="1:29" ht="18">
      <c r="B2" s="7" t="s">
        <v>37</v>
      </c>
      <c r="D2" s="19">
        <f>FLOOR((COUNT(Begin:End!D3:D22)/20),1)</f>
        <v>13</v>
      </c>
      <c r="E2" s="28" t="s">
        <v>45</v>
      </c>
      <c r="F2" s="109">
        <f ca="1">AVERAGE(INDIRECT("R8C4:R"&amp;8+playercnt-1&amp;"C4",FALSE))</f>
        <v>61.309090909090912</v>
      </c>
      <c r="G2" s="110"/>
      <c r="I2" s="111">
        <f ca="1">SUM(INDIRECT("R8C4:R"&amp;8+playercnt-1&amp;"C4",FALSE))/((playercnt)*games_completed)</f>
        <v>0.47160839160839163</v>
      </c>
      <c r="J2" s="111"/>
      <c r="L2" s="112">
        <f ca="1">SUM(INDIRECT("R8C4:R"&amp;8+playercnt-1&amp;"C4",FALSE))-(playercnt*games_completed/2)</f>
        <v>-203</v>
      </c>
      <c r="M2" s="112"/>
      <c r="O2" s="28" t="s">
        <v>46</v>
      </c>
      <c r="R2">
        <f ca="1">MEDIAN(INDIRECT("R8C4:R"&amp;8+playercnt-1&amp;"C4",FALSE))</f>
        <v>61</v>
      </c>
      <c r="U2" s="28" t="s">
        <v>47</v>
      </c>
      <c r="W2">
        <f ca="1">MODE(INDIRECT("R8C4:R"&amp;8+playercnt-1&amp;"C4",FALSE))</f>
        <v>62</v>
      </c>
    </row>
    <row r="3" spans="1:29" ht="87" customHeight="1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>
      <c r="A4" s="84">
        <v>1</v>
      </c>
      <c r="B4" s="29" t="str">
        <f>Chart!$G$2</f>
        <v>Mrs. HomeTeam</v>
      </c>
      <c r="C4" s="10"/>
      <c r="D4" s="10">
        <f>SUM(Begin:End!$G$25)</f>
        <v>60</v>
      </c>
      <c r="E4" s="25">
        <f t="shared" ref="E4:E7" si="0">D4/games_completed</f>
        <v>0.46153846153846156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2</v>
      </c>
      <c r="K4" s="13">
        <f ca="1">IF($D$2&gt;=(COLUMN()-10),INDIRECT(ADDRESS(25,7,1,,K$3)),"")</f>
        <v>5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2</v>
      </c>
      <c r="P4" s="13">
        <f t="shared" ca="1" si="3"/>
        <v>8</v>
      </c>
      <c r="Q4" s="13">
        <f t="shared" ca="1" si="3"/>
        <v>3</v>
      </c>
      <c r="R4" s="13">
        <f t="shared" ca="1" si="3"/>
        <v>7</v>
      </c>
      <c r="S4" s="13">
        <f t="shared" ca="1" si="3"/>
        <v>3</v>
      </c>
      <c r="T4" s="13">
        <f t="shared" ca="1" si="3"/>
        <v>4</v>
      </c>
      <c r="U4" s="13">
        <f t="shared" ca="1" si="3"/>
        <v>3</v>
      </c>
      <c r="V4" s="13">
        <f t="shared" ca="1" si="3"/>
        <v>6</v>
      </c>
      <c r="W4" s="13">
        <f t="shared" ca="1" si="3"/>
        <v>5</v>
      </c>
      <c r="X4" s="14"/>
      <c r="Y4" s="14"/>
      <c r="AB4" s="22"/>
    </row>
    <row r="5" spans="1:29">
      <c r="A5" s="84">
        <v>1</v>
      </c>
      <c r="B5" s="29" t="str">
        <f>Chart!$H$2</f>
        <v>Mr. Favorite</v>
      </c>
      <c r="C5" s="10"/>
      <c r="D5" s="10">
        <f>SUM(Begin:End!$H$25)</f>
        <v>50</v>
      </c>
      <c r="E5" s="25">
        <f t="shared" si="0"/>
        <v>0.38461538461538464</v>
      </c>
      <c r="F5" s="11"/>
      <c r="G5" s="16"/>
      <c r="H5" s="20"/>
      <c r="I5" s="17">
        <f t="shared" ca="1" si="1"/>
        <v>7</v>
      </c>
      <c r="J5" s="17">
        <f t="shared" ca="1" si="2"/>
        <v>1</v>
      </c>
      <c r="K5" s="13">
        <f ca="1">IF($D$2&gt;=(COLUMN()-10),INDIRECT(ADDRESS(25,8,1,,K$3)),"")</f>
        <v>5</v>
      </c>
      <c r="L5" s="13">
        <f t="shared" ref="L5:W5" ca="1" si="4">IF($D$2&gt;=(COLUMN()-10),INDIRECT(ADDRESS(25,8,1,,L$3)),"")</f>
        <v>5</v>
      </c>
      <c r="M5" s="13">
        <f t="shared" ca="1" si="4"/>
        <v>2</v>
      </c>
      <c r="N5" s="13">
        <f t="shared" ca="1" si="4"/>
        <v>4</v>
      </c>
      <c r="O5" s="13">
        <f t="shared" ca="1" si="4"/>
        <v>5</v>
      </c>
      <c r="P5" s="13">
        <f t="shared" ca="1" si="4"/>
        <v>2</v>
      </c>
      <c r="Q5" s="13">
        <f t="shared" ca="1" si="4"/>
        <v>2</v>
      </c>
      <c r="R5" s="13">
        <f t="shared" ca="1" si="4"/>
        <v>4</v>
      </c>
      <c r="S5" s="13">
        <f t="shared" ca="1" si="4"/>
        <v>1</v>
      </c>
      <c r="T5" s="13">
        <f t="shared" ca="1" si="4"/>
        <v>4</v>
      </c>
      <c r="U5" s="13">
        <f t="shared" ca="1" si="4"/>
        <v>7</v>
      </c>
      <c r="V5" s="13">
        <f t="shared" ca="1" si="4"/>
        <v>4</v>
      </c>
      <c r="W5" s="13">
        <f t="shared" ca="1" si="4"/>
        <v>5</v>
      </c>
      <c r="X5" s="14"/>
      <c r="Y5" s="14"/>
      <c r="AB5" s="22"/>
    </row>
    <row r="6" spans="1:29">
      <c r="A6" s="84">
        <v>1</v>
      </c>
      <c r="B6" s="29" t="str">
        <f>Chart!$I$2</f>
        <v>Miss CDC</v>
      </c>
      <c r="C6" s="10"/>
      <c r="D6" s="10">
        <f ca="1">SUM(Begin:End!$I$25)</f>
        <v>56</v>
      </c>
      <c r="E6" s="25">
        <f t="shared" ca="1" si="0"/>
        <v>0.43076923076923079</v>
      </c>
      <c r="F6" s="11"/>
      <c r="G6" s="16"/>
      <c r="H6" s="20"/>
      <c r="I6" s="17">
        <f t="shared" ca="1" si="1"/>
        <v>7</v>
      </c>
      <c r="J6" s="17">
        <f t="shared" ca="1" si="2"/>
        <v>2</v>
      </c>
      <c r="K6" s="13">
        <f ca="1">IF($D$2&gt;=(COLUMN()-10),INDIRECT(ADDRESS(25,9,1,,K$3)),"")</f>
        <v>3</v>
      </c>
      <c r="L6" s="13">
        <f t="shared" ref="L6:W6" ca="1" si="5">IF($D$2&gt;=(COLUMN()-10),INDIRECT(ADDRESS(25,9,1,,L$3)),"")</f>
        <v>4</v>
      </c>
      <c r="M6" s="13">
        <f t="shared" ca="1" si="5"/>
        <v>3</v>
      </c>
      <c r="N6" s="13">
        <f t="shared" ca="1" si="5"/>
        <v>7</v>
      </c>
      <c r="O6" s="13">
        <f t="shared" ca="1" si="5"/>
        <v>5</v>
      </c>
      <c r="P6" s="13">
        <f t="shared" ca="1" si="5"/>
        <v>2</v>
      </c>
      <c r="Q6" s="13">
        <f t="shared" ca="1" si="5"/>
        <v>5</v>
      </c>
      <c r="R6" s="13">
        <f t="shared" ca="1" si="5"/>
        <v>4</v>
      </c>
      <c r="S6" s="13">
        <f t="shared" ca="1" si="5"/>
        <v>4</v>
      </c>
      <c r="T6" s="13">
        <f t="shared" ca="1" si="5"/>
        <v>6</v>
      </c>
      <c r="U6" s="13">
        <f t="shared" ca="1" si="5"/>
        <v>7</v>
      </c>
      <c r="V6" s="13">
        <f t="shared" ca="1" si="5"/>
        <v>4</v>
      </c>
      <c r="W6" s="13">
        <f t="shared" ca="1" si="5"/>
        <v>2</v>
      </c>
      <c r="X6" s="14"/>
      <c r="Y6" s="14"/>
      <c r="AB6" s="22"/>
    </row>
    <row r="7" spans="1:29" ht="13.5" thickBot="1">
      <c r="A7" s="85">
        <v>1</v>
      </c>
      <c r="B7" s="48" t="str">
        <f>Chart!$J$2</f>
        <v>Sagarin</v>
      </c>
      <c r="C7" s="21"/>
      <c r="D7" s="21">
        <f>SUM(Begin:End!$J$25)</f>
        <v>54</v>
      </c>
      <c r="E7" s="49">
        <f t="shared" si="0"/>
        <v>0.41538461538461541</v>
      </c>
      <c r="F7" s="50"/>
      <c r="G7" s="51"/>
      <c r="H7" s="52"/>
      <c r="I7" s="53">
        <f t="shared" ca="1" si="1"/>
        <v>8</v>
      </c>
      <c r="J7" s="53">
        <f t="shared" ca="1" si="2"/>
        <v>0</v>
      </c>
      <c r="K7" s="54">
        <f ca="1">IF($D$2&gt;=(COLUMN()-10),INDIRECT(ADDRESS(25,10,1,,K$3)),"")</f>
        <v>8</v>
      </c>
      <c r="L7" s="54">
        <f t="shared" ref="L7:W7" ca="1" si="6">IF($D$2&gt;=(COLUMN()-10),INDIRECT(ADDRESS(25,10,1,,L$3)),"")</f>
        <v>3</v>
      </c>
      <c r="M7" s="54">
        <f t="shared" ca="1" si="6"/>
        <v>0</v>
      </c>
      <c r="N7" s="54">
        <f t="shared" ca="1" si="6"/>
        <v>6</v>
      </c>
      <c r="O7" s="54">
        <f t="shared" ca="1" si="6"/>
        <v>5</v>
      </c>
      <c r="P7" s="54">
        <f t="shared" ca="1" si="6"/>
        <v>4</v>
      </c>
      <c r="Q7" s="54">
        <f t="shared" ca="1" si="6"/>
        <v>7</v>
      </c>
      <c r="R7" s="54">
        <f t="shared" ca="1" si="6"/>
        <v>5</v>
      </c>
      <c r="S7" s="54">
        <f t="shared" ca="1" si="6"/>
        <v>4</v>
      </c>
      <c r="T7" s="54">
        <f t="shared" ca="1" si="6"/>
        <v>0</v>
      </c>
      <c r="U7" s="54">
        <f t="shared" ca="1" si="6"/>
        <v>5</v>
      </c>
      <c r="V7" s="54">
        <f t="shared" ca="1" si="6"/>
        <v>2</v>
      </c>
      <c r="W7" s="54">
        <f t="shared" ca="1" si="6"/>
        <v>5</v>
      </c>
      <c r="X7" s="55"/>
      <c r="Y7" s="55"/>
    </row>
    <row r="8" spans="1:29">
      <c r="A8" s="83">
        <f t="shared" ref="A8:A39" si="7">IF(D8=D7,A7,Y8)</f>
        <v>1</v>
      </c>
      <c r="B8" s="39" t="str">
        <f t="shared" ref="B8:B39" ca="1" si="8">INDIRECT(ADDRESS(2,10+INDIRECT(ADDRESS(ROW(),24)),,,"Chart"))</f>
        <v>Young, Kenneth</v>
      </c>
      <c r="C8" s="40">
        <f t="shared" ref="C8:C39" si="9">sumAcrossWkSheets(28,10,X8)</f>
        <v>0</v>
      </c>
      <c r="D8" s="40">
        <f t="shared" ref="D8:D39" si="10">sumAcrossWkSheets(25,10,X8)</f>
        <v>76</v>
      </c>
      <c r="E8" s="41">
        <f t="shared" ref="E8:E39" si="11">D8/games_completed</f>
        <v>0.58461538461538465</v>
      </c>
      <c r="F8" s="42">
        <f t="shared" ref="F8:F39" si="12">$D$8-D8</f>
        <v>0</v>
      </c>
      <c r="G8" s="43">
        <v>1</v>
      </c>
      <c r="H8" s="44">
        <f t="shared" ref="H8:H39" si="13">G8-A8</f>
        <v>0</v>
      </c>
      <c r="I8" s="45">
        <f t="shared" ref="I8:I39" ca="1" si="14">MAX(K8:W8)</f>
        <v>9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4</v>
      </c>
      <c r="L8" s="46">
        <f ca="1">IF($D$2&gt;=(COLUMN()-10),HLOOKUP($B8,INDIRECT(ADDRESS(2,11,1,,L$3)):INDIRECT(ADDRESS(25,playercnt+10,1,,L$3)),24),"")</f>
        <v>6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9</v>
      </c>
      <c r="O8" s="46">
        <f ca="1">IF($D$2&gt;=(COLUMN()-10),HLOOKUP($B8,INDIRECT(ADDRESS(2,11,1,,O$3)):INDIRECT(ADDRESS(25,playercnt+10,1,,O$3)),24),"")</f>
        <v>5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8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5</v>
      </c>
      <c r="T8" s="46">
        <f ca="1">IF($D$2&gt;=(COLUMN()-10),HLOOKUP($B8,INDIRECT(ADDRESS(2,11,1,,T$3)):INDIRECT(ADDRESS(25,playercnt+10,1,,T$3)),24),"")</f>
        <v>3</v>
      </c>
      <c r="U8" s="46">
        <f ca="1">IF($D$2&gt;=(COLUMN()-10),HLOOKUP($B8,INDIRECT(ADDRESS(2,11,1,,U$3)):INDIRECT(ADDRESS(25,playercnt+10,1,,U$3)),24),"")</f>
        <v>7</v>
      </c>
      <c r="V8" s="46">
        <f ca="1">IF($D$2&gt;=(COLUMN()-10),HLOOKUP($B8,INDIRECT(ADDRESS(2,11,1,,V$3)):INDIRECT(ADDRESS(25,playercnt+10,1,,V$3)),24),"")</f>
        <v>6</v>
      </c>
      <c r="W8" s="46">
        <f ca="1">IF($D$2&gt;=(COLUMN()-10),HLOOKUP($B8,INDIRECT(ADDRESS(2,11,1,,W$3)):INDIRECT(ADDRESS(25,playercnt+10,1,,W$3)),24),"")</f>
        <v>7</v>
      </c>
      <c r="X8" s="47">
        <v>55</v>
      </c>
      <c r="Y8" s="47">
        <f>Y7+1</f>
        <v>1</v>
      </c>
      <c r="AC8" s="24"/>
    </row>
    <row r="9" spans="1:29">
      <c r="A9" s="83">
        <f t="shared" si="7"/>
        <v>2</v>
      </c>
      <c r="B9" s="39" t="str">
        <f t="shared" ca="1" si="8"/>
        <v>Fonville, Chris</v>
      </c>
      <c r="C9" s="40">
        <f t="shared" si="9"/>
        <v>3</v>
      </c>
      <c r="D9" s="40">
        <f t="shared" si="10"/>
        <v>74</v>
      </c>
      <c r="E9" s="25">
        <f t="shared" si="11"/>
        <v>0.56923076923076921</v>
      </c>
      <c r="F9" s="11">
        <f t="shared" si="12"/>
        <v>2</v>
      </c>
      <c r="G9" s="16">
        <v>3</v>
      </c>
      <c r="H9" s="20">
        <f t="shared" si="13"/>
        <v>1</v>
      </c>
      <c r="I9" s="17">
        <f t="shared" ca="1" si="14"/>
        <v>8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5</v>
      </c>
      <c r="M9" s="46">
        <f ca="1">IF($D$2&gt;=(COLUMN()-10),HLOOKUP($B9,INDIRECT(ADDRESS(2,11,1,,M$3)):INDIRECT(ADDRESS(25,playercnt+10,1,,M$3)),24),"")</f>
        <v>8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7</v>
      </c>
      <c r="P9" s="46">
        <f ca="1">IF($D$2&gt;=(COLUMN()-10),HLOOKUP($B9,INDIRECT(ADDRESS(2,11,1,,P$3)):INDIRECT(ADDRESS(25,playercnt+10,1,,P$3)),24),"")</f>
        <v>3</v>
      </c>
      <c r="Q9" s="46">
        <f ca="1">IF($D$2&gt;=(COLUMN()-10),HLOOKUP($B9,INDIRECT(ADDRESS(2,11,1,,Q$3)):INDIRECT(ADDRESS(25,playercnt+10,1,,Q$3)),24),"")</f>
        <v>5</v>
      </c>
      <c r="R9" s="46">
        <f ca="1">IF($D$2&gt;=(COLUMN()-10),HLOOKUP($B9,INDIRECT(ADDRESS(2,11,1,,R$3)):INDIRECT(ADDRESS(25,playercnt+10,1,,R$3)),24),"")</f>
        <v>6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6</v>
      </c>
      <c r="V9" s="46">
        <f ca="1">IF($D$2&gt;=(COLUMN()-10),HLOOKUP($B9,INDIRECT(ADDRESS(2,11,1,,V$3)):INDIRECT(ADDRESS(25,playercnt+10,1,,V$3)),24),"")</f>
        <v>4</v>
      </c>
      <c r="W9" s="46">
        <f ca="1">IF($D$2&gt;=(COLUMN()-10),HLOOKUP($B9,INDIRECT(ADDRESS(2,11,1,,W$3)):INDIRECT(ADDRESS(25,playercnt+10,1,,W$3)),24),"")</f>
        <v>6</v>
      </c>
      <c r="X9" s="14">
        <v>16</v>
      </c>
      <c r="Y9" s="14">
        <f t="shared" ref="Y9:Y25" si="16">Y8+1</f>
        <v>2</v>
      </c>
    </row>
    <row r="10" spans="1:29">
      <c r="A10" s="83">
        <f t="shared" si="7"/>
        <v>2</v>
      </c>
      <c r="B10" s="39" t="str">
        <f t="shared" ca="1" si="8"/>
        <v>Straw, Adam D</v>
      </c>
      <c r="C10" s="40">
        <f t="shared" si="9"/>
        <v>0</v>
      </c>
      <c r="D10" s="40">
        <f t="shared" si="10"/>
        <v>74</v>
      </c>
      <c r="E10" s="25">
        <f t="shared" si="11"/>
        <v>0.56923076923076921</v>
      </c>
      <c r="F10" s="11">
        <f t="shared" si="12"/>
        <v>2</v>
      </c>
      <c r="G10" s="43">
        <v>3</v>
      </c>
      <c r="H10" s="20">
        <f t="shared" si="13"/>
        <v>1</v>
      </c>
      <c r="I10" s="17">
        <f t="shared" ca="1" si="14"/>
        <v>9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4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9</v>
      </c>
      <c r="Q10" s="46">
        <f ca="1">IF($D$2&gt;=(COLUMN()-10),HLOOKUP($B10,INDIRECT(ADDRESS(2,11,1,,Q$3)):INDIRECT(ADDRESS(25,playercnt+10,1,,Q$3)),24),"")</f>
        <v>5</v>
      </c>
      <c r="R10" s="46">
        <f ca="1">IF($D$2&gt;=(COLUMN()-10),HLOOKUP($B10,INDIRECT(ADDRESS(2,11,1,,R$3)):INDIRECT(ADDRESS(25,playercnt+10,1,,R$3)),24),"")</f>
        <v>8</v>
      </c>
      <c r="S10" s="46">
        <f ca="1">IF($D$2&gt;=(COLUMN()-10),HLOOKUP($B10,INDIRECT(ADDRESS(2,11,1,,S$3)):INDIRECT(ADDRESS(25,playercnt+10,1,,S$3)),24),"")</f>
        <v>8</v>
      </c>
      <c r="T10" s="46">
        <f ca="1">IF($D$2&gt;=(COLUMN()-10),HLOOKUP($B10,INDIRECT(ADDRESS(2,11,1,,T$3)):INDIRECT(ADDRESS(25,playercnt+10,1,,T$3)),24),"")</f>
        <v>5</v>
      </c>
      <c r="U10" s="46">
        <f ca="1">IF($D$2&gt;=(COLUMN()-10),HLOOKUP($B10,INDIRECT(ADDRESS(2,11,1,,U$3)):INDIRECT(ADDRESS(25,playercnt+10,1,,U$3)),24),"")</f>
        <v>4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6</v>
      </c>
      <c r="X10" s="47">
        <v>49</v>
      </c>
      <c r="Y10" s="14">
        <f t="shared" si="16"/>
        <v>3</v>
      </c>
    </row>
    <row r="11" spans="1:29">
      <c r="A11" s="83">
        <f t="shared" si="7"/>
        <v>4</v>
      </c>
      <c r="B11" s="39" t="str">
        <f t="shared" ca="1" si="8"/>
        <v>Brunt, DavidRemote</v>
      </c>
      <c r="C11" s="40">
        <f t="shared" si="9"/>
        <v>0</v>
      </c>
      <c r="D11" s="40">
        <f t="shared" si="10"/>
        <v>72</v>
      </c>
      <c r="E11" s="25">
        <f t="shared" si="11"/>
        <v>0.55384615384615388</v>
      </c>
      <c r="F11" s="11">
        <f t="shared" si="12"/>
        <v>4</v>
      </c>
      <c r="G11" s="16">
        <v>1</v>
      </c>
      <c r="H11" s="20">
        <f t="shared" si="13"/>
        <v>-3</v>
      </c>
      <c r="I11" s="17">
        <f t="shared" ca="1" si="14"/>
        <v>10</v>
      </c>
      <c r="J11" s="17">
        <f t="shared" ca="1" si="15"/>
        <v>3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5</v>
      </c>
      <c r="M11" s="46">
        <f ca="1">IF($D$2&gt;=(COLUMN()-10),HLOOKUP($B11,INDIRECT(ADDRESS(2,11,1,,M$3)):INDIRECT(ADDRESS(25,playercnt+10,1,,M$3)),24),"")</f>
        <v>3</v>
      </c>
      <c r="N11" s="46">
        <f ca="1">IF($D$2&gt;=(COLUMN()-10),HLOOKUP($B11,INDIRECT(ADDRESS(2,11,1,,N$3)):INDIRECT(ADDRESS(25,playercnt+10,1,,N$3)),24),"")</f>
        <v>5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5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6</v>
      </c>
      <c r="S11" s="46">
        <f ca="1">IF($D$2&gt;=(COLUMN()-10),HLOOKUP($B11,INDIRECT(ADDRESS(2,11,1,,S$3)):INDIRECT(ADDRESS(25,playercnt+10,1,,S$3)),24),"")</f>
        <v>6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10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3</v>
      </c>
      <c r="X11" s="14">
        <v>8</v>
      </c>
      <c r="Y11" s="14">
        <f t="shared" si="16"/>
        <v>4</v>
      </c>
    </row>
    <row r="12" spans="1:29">
      <c r="A12" s="83">
        <f t="shared" si="7"/>
        <v>5</v>
      </c>
      <c r="B12" s="39" t="str">
        <f t="shared" ca="1" si="8"/>
        <v>Carter, Chris</v>
      </c>
      <c r="C12" s="40">
        <f t="shared" si="9"/>
        <v>0</v>
      </c>
      <c r="D12" s="40">
        <f t="shared" si="10"/>
        <v>69</v>
      </c>
      <c r="E12" s="25">
        <f t="shared" si="11"/>
        <v>0.53076923076923077</v>
      </c>
      <c r="F12" s="11">
        <f t="shared" si="12"/>
        <v>7</v>
      </c>
      <c r="G12" s="43">
        <v>10</v>
      </c>
      <c r="H12" s="20">
        <f t="shared" si="13"/>
        <v>5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5</v>
      </c>
      <c r="M12" s="46">
        <f ca="1">IF($D$2&gt;=(COLUMN()-10),HLOOKUP($B12,INDIRECT(ADDRESS(2,11,1,,M$3)):INDIRECT(ADDRESS(25,playercnt+10,1,,M$3)),24),"")</f>
        <v>7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6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4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3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9</v>
      </c>
      <c r="Y12" s="14">
        <f t="shared" si="16"/>
        <v>5</v>
      </c>
    </row>
    <row r="13" spans="1:29">
      <c r="A13" s="83">
        <f t="shared" si="7"/>
        <v>5</v>
      </c>
      <c r="B13" s="39" t="str">
        <f t="shared" ca="1" si="8"/>
        <v>Chan, Simon</v>
      </c>
      <c r="C13" s="40">
        <f t="shared" si="9"/>
        <v>1</v>
      </c>
      <c r="D13" s="40">
        <f t="shared" si="10"/>
        <v>69</v>
      </c>
      <c r="E13" s="25">
        <f t="shared" si="11"/>
        <v>0.53076923076923077</v>
      </c>
      <c r="F13" s="11">
        <f t="shared" si="12"/>
        <v>7</v>
      </c>
      <c r="G13" s="16">
        <v>7</v>
      </c>
      <c r="H13" s="20">
        <f t="shared" si="13"/>
        <v>2</v>
      </c>
      <c r="I13" s="17">
        <f t="shared" ca="1" si="14"/>
        <v>8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7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3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4</v>
      </c>
      <c r="P13" s="46">
        <f ca="1">IF($D$2&gt;=(COLUMN()-10),HLOOKUP($B13,INDIRECT(ADDRESS(2,11,1,,P$3)):INDIRECT(ADDRESS(25,playercnt+10,1,,P$3)),24),"")</f>
        <v>4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3</v>
      </c>
      <c r="T13" s="46">
        <f ca="1">IF($D$2&gt;=(COLUMN()-10),HLOOKUP($B13,INDIRECT(ADDRESS(2,11,1,,T$3)):INDIRECT(ADDRESS(25,playercnt+10,1,,T$3)),24),"")</f>
        <v>5</v>
      </c>
      <c r="U13" s="46">
        <f ca="1">IF($D$2&gt;=(COLUMN()-10),HLOOKUP($B13,INDIRECT(ADDRESS(2,11,1,,U$3)):INDIRECT(ADDRESS(25,playercnt+10,1,,U$3)),24),"")</f>
        <v>7</v>
      </c>
      <c r="V13" s="46">
        <f ca="1">IF($D$2&gt;=(COLUMN()-10),HLOOKUP($B13,INDIRECT(ADDRESS(2,11,1,,V$3)):INDIRECT(ADDRESS(25,playercnt+10,1,,V$3)),24),"")</f>
        <v>8</v>
      </c>
      <c r="W13" s="46">
        <f ca="1">IF($D$2&gt;=(COLUMN()-10),HLOOKUP($B13,INDIRECT(ADDRESS(2,11,1,,W$3)):INDIRECT(ADDRESS(25,playercnt+10,1,,W$3)),24),"")</f>
        <v>5</v>
      </c>
      <c r="X13" s="14">
        <v>10</v>
      </c>
      <c r="Y13" s="14">
        <f t="shared" si="16"/>
        <v>6</v>
      </c>
    </row>
    <row r="14" spans="1:29">
      <c r="A14" s="83">
        <f t="shared" si="7"/>
        <v>5</v>
      </c>
      <c r="B14" s="39" t="str">
        <f t="shared" ca="1" si="8"/>
        <v>Fonville, Stephanie Remote</v>
      </c>
      <c r="C14" s="40">
        <f t="shared" si="9"/>
        <v>0</v>
      </c>
      <c r="D14" s="40">
        <f t="shared" si="10"/>
        <v>69</v>
      </c>
      <c r="E14" s="25">
        <f t="shared" si="11"/>
        <v>0.53076923076923077</v>
      </c>
      <c r="F14" s="11">
        <f t="shared" si="12"/>
        <v>7</v>
      </c>
      <c r="G14" s="43">
        <v>12</v>
      </c>
      <c r="H14" s="20">
        <f t="shared" si="13"/>
        <v>7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7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8</v>
      </c>
      <c r="O14" s="46">
        <f ca="1">IF($D$2&gt;=(COLUMN()-10),HLOOKUP($B14,INDIRECT(ADDRESS(2,11,1,,O$3)):INDIRECT(ADDRESS(25,playercnt+10,1,,O$3)),24),"")</f>
        <v>3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4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5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7</v>
      </c>
      <c r="X14" s="47">
        <v>17</v>
      </c>
      <c r="Y14" s="14">
        <f t="shared" si="16"/>
        <v>7</v>
      </c>
    </row>
    <row r="15" spans="1:29">
      <c r="A15" s="83">
        <f t="shared" si="7"/>
        <v>5</v>
      </c>
      <c r="B15" s="39" t="str">
        <f t="shared" ca="1" si="8"/>
        <v>Hendrick, Matt R</v>
      </c>
      <c r="C15" s="40">
        <f t="shared" si="9"/>
        <v>1</v>
      </c>
      <c r="D15" s="40">
        <f t="shared" si="10"/>
        <v>69</v>
      </c>
      <c r="E15" s="25">
        <f t="shared" si="11"/>
        <v>0.53076923076923077</v>
      </c>
      <c r="F15" s="11">
        <f t="shared" si="12"/>
        <v>7</v>
      </c>
      <c r="G15" s="16">
        <v>6</v>
      </c>
      <c r="H15" s="20">
        <f t="shared" si="13"/>
        <v>1</v>
      </c>
      <c r="I15" s="17">
        <f t="shared" ca="1" si="14"/>
        <v>8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5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6</v>
      </c>
      <c r="N15" s="46">
        <f ca="1">IF($D$2&gt;=(COLUMN()-10),HLOOKUP($B15,INDIRECT(ADDRESS(2,11,1,,N$3)):INDIRECT(ADDRESS(25,playercnt+10,1,,N$3)),24),"")</f>
        <v>7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3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3</v>
      </c>
      <c r="T15" s="46">
        <f ca="1">IF($D$2&gt;=(COLUMN()-10),HLOOKUP($B15,INDIRECT(ADDRESS(2,11,1,,T$3)):INDIRECT(ADDRESS(25,playercnt+10,1,,T$3)),24),"")</f>
        <v>6</v>
      </c>
      <c r="U15" s="46">
        <f ca="1">IF($D$2&gt;=(COLUMN()-10),HLOOKUP($B15,INDIRECT(ADDRESS(2,11,1,,U$3)):INDIRECT(ADDRESS(25,playercnt+10,1,,U$3)),24),"")</f>
        <v>4</v>
      </c>
      <c r="V15" s="46">
        <f ca="1">IF($D$2&gt;=(COLUMN()-10),HLOOKUP($B15,INDIRECT(ADDRESS(2,11,1,,V$3)):INDIRECT(ADDRESS(25,playercnt+10,1,,V$3)),24),"")</f>
        <v>7</v>
      </c>
      <c r="W15" s="46">
        <f ca="1">IF($D$2&gt;=(COLUMN()-10),HLOOKUP($B15,INDIRECT(ADDRESS(2,11,1,,W$3)):INDIRECT(ADDRESS(25,playercnt+10,1,,W$3)),24),"")</f>
        <v>4</v>
      </c>
      <c r="X15" s="14">
        <v>20</v>
      </c>
      <c r="Y15" s="14">
        <f t="shared" si="16"/>
        <v>8</v>
      </c>
    </row>
    <row r="16" spans="1:29">
      <c r="A16" s="83">
        <f t="shared" si="7"/>
        <v>9</v>
      </c>
      <c r="B16" s="39" t="str">
        <f t="shared" ca="1" si="8"/>
        <v>Boykin, Jerome W</v>
      </c>
      <c r="C16" s="40">
        <f t="shared" si="9"/>
        <v>0</v>
      </c>
      <c r="D16" s="40">
        <f t="shared" si="10"/>
        <v>68</v>
      </c>
      <c r="E16" s="25">
        <f t="shared" si="11"/>
        <v>0.52307692307692311</v>
      </c>
      <c r="F16" s="11">
        <f t="shared" si="12"/>
        <v>8</v>
      </c>
      <c r="G16" s="43">
        <v>7</v>
      </c>
      <c r="H16" s="20">
        <f t="shared" si="13"/>
        <v>-2</v>
      </c>
      <c r="I16" s="17">
        <f t="shared" ca="1" si="14"/>
        <v>9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3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9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6</v>
      </c>
      <c r="T16" s="46">
        <f ca="1">IF($D$2&gt;=(COLUMN()-10),HLOOKUP($B16,INDIRECT(ADDRESS(2,11,1,,T$3)):INDIRECT(ADDRESS(25,playercnt+10,1,,T$3)),24),"")</f>
        <v>6</v>
      </c>
      <c r="U16" s="46">
        <f ca="1">IF($D$2&gt;=(COLUMN()-10),HLOOKUP($B16,INDIRECT(ADDRESS(2,11,1,,U$3)):INDIRECT(ADDRESS(25,playercnt+10,1,,U$3)),24),"")</f>
        <v>5</v>
      </c>
      <c r="V16" s="46">
        <f ca="1">IF($D$2&gt;=(COLUMN()-10),HLOOKUP($B16,INDIRECT(ADDRESS(2,11,1,,V$3)):INDIRECT(ADDRESS(25,playercnt+10,1,,V$3)),24),"")</f>
        <v>2</v>
      </c>
      <c r="W16" s="46">
        <f ca="1">IF($D$2&gt;=(COLUMN()-10),HLOOKUP($B16,INDIRECT(ADDRESS(2,11,1,,W$3)):INDIRECT(ADDRESS(25,playercnt+10,1,,W$3)),24),"")</f>
        <v>4</v>
      </c>
      <c r="X16" s="47">
        <v>6</v>
      </c>
      <c r="Y16" s="14">
        <f t="shared" si="16"/>
        <v>9</v>
      </c>
    </row>
    <row r="17" spans="1:25">
      <c r="A17" s="83">
        <f t="shared" si="7"/>
        <v>9</v>
      </c>
      <c r="B17" s="39" t="str">
        <f t="shared" ca="1" si="8"/>
        <v>Nguyen, Thai</v>
      </c>
      <c r="C17" s="40">
        <f t="shared" si="9"/>
        <v>0</v>
      </c>
      <c r="D17" s="40">
        <f t="shared" si="10"/>
        <v>68</v>
      </c>
      <c r="E17" s="25">
        <f t="shared" si="11"/>
        <v>0.52307692307692311</v>
      </c>
      <c r="F17" s="11">
        <f t="shared" si="12"/>
        <v>8</v>
      </c>
      <c r="G17" s="16">
        <v>5</v>
      </c>
      <c r="H17" s="20">
        <f t="shared" si="13"/>
        <v>-4</v>
      </c>
      <c r="I17" s="17">
        <f t="shared" ca="1" si="14"/>
        <v>9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4</v>
      </c>
      <c r="L17" s="46">
        <f ca="1">IF($D$2&gt;=(COLUMN()-10),HLOOKUP($B17,INDIRECT(ADDRESS(2,11,1,,L$3)):INDIRECT(ADDRESS(25,playercnt+10,1,,L$3)),24),"")</f>
        <v>6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9</v>
      </c>
      <c r="P17" s="46">
        <f ca="1">IF($D$2&gt;=(COLUMN()-10),HLOOKUP($B17,INDIRECT(ADDRESS(2,11,1,,P$3)):INDIRECT(ADDRESS(25,playercnt+10,1,,P$3)),24),"")</f>
        <v>4</v>
      </c>
      <c r="Q17" s="46">
        <f ca="1">IF($D$2&gt;=(COLUMN()-10),HLOOKUP($B17,INDIRECT(ADDRESS(2,11,1,,Q$3)):INDIRECT(ADDRESS(25,playercnt+10,1,,Q$3)),24),"")</f>
        <v>7</v>
      </c>
      <c r="R17" s="46">
        <f ca="1">IF($D$2&gt;=(COLUMN()-10),HLOOKUP($B17,INDIRECT(ADDRESS(2,11,1,,R$3)):INDIRECT(ADDRESS(25,playercnt+10,1,,R$3)),24),"")</f>
        <v>3</v>
      </c>
      <c r="S17" s="46">
        <f ca="1">IF($D$2&gt;=(COLUMN()-10),HLOOKUP($B17,INDIRECT(ADDRESS(2,11,1,,S$3)):INDIRECT(ADDRESS(25,playercnt+10,1,,S$3)),24),"")</f>
        <v>5</v>
      </c>
      <c r="T17" s="46">
        <f ca="1">IF($D$2&gt;=(COLUMN()-10),HLOOKUP($B17,INDIRECT(ADDRESS(2,11,1,,T$3)):INDIRECT(ADDRESS(25,playercnt+10,1,,T$3)),24),"")</f>
        <v>6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4</v>
      </c>
      <c r="W17" s="46">
        <f ca="1">IF($D$2&gt;=(COLUMN()-10),HLOOKUP($B17,INDIRECT(ADDRESS(2,11,1,,W$3)):INDIRECT(ADDRESS(25,playercnt+10,1,,W$3)),24),"")</f>
        <v>2</v>
      </c>
      <c r="X17" s="14">
        <v>35</v>
      </c>
      <c r="Y17" s="14">
        <f t="shared" si="16"/>
        <v>10</v>
      </c>
    </row>
    <row r="18" spans="1:25">
      <c r="A18" s="83">
        <f t="shared" si="7"/>
        <v>11</v>
      </c>
      <c r="B18" s="39" t="str">
        <f t="shared" ca="1" si="8"/>
        <v>Aaron, Chip</v>
      </c>
      <c r="C18" s="40">
        <f t="shared" si="9"/>
        <v>2</v>
      </c>
      <c r="D18" s="40">
        <f t="shared" si="10"/>
        <v>67</v>
      </c>
      <c r="E18" s="25">
        <f t="shared" si="11"/>
        <v>0.51538461538461533</v>
      </c>
      <c r="F18" s="11">
        <f t="shared" si="12"/>
        <v>9</v>
      </c>
      <c r="G18" s="43">
        <v>7</v>
      </c>
      <c r="H18" s="20">
        <f t="shared" si="13"/>
        <v>-4</v>
      </c>
      <c r="I18" s="17">
        <f t="shared" ca="1" si="14"/>
        <v>9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6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5</v>
      </c>
      <c r="N18" s="46">
        <f ca="1">IF($D$2&gt;=(COLUMN()-10),HLOOKUP($B18,INDIRECT(ADDRESS(2,11,1,,N$3)):INDIRECT(ADDRESS(25,playercnt+10,1,,N$3)),24),"")</f>
        <v>6</v>
      </c>
      <c r="O18" s="46">
        <f ca="1">IF($D$2&gt;=(COLUMN()-10),HLOOKUP($B18,INDIRECT(ADDRESS(2,11,1,,O$3)):INDIRECT(ADDRESS(25,playercnt+10,1,,O$3)),24),"")</f>
        <v>3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4</v>
      </c>
      <c r="R18" s="46">
        <f ca="1">IF($D$2&gt;=(COLUMN()-10),HLOOKUP($B18,INDIRECT(ADDRESS(2,11,1,,R$3)):INDIRECT(ADDRESS(25,playercnt+10,1,,R$3)),24),"")</f>
        <v>5</v>
      </c>
      <c r="S18" s="46">
        <f ca="1">IF($D$2&gt;=(COLUMN()-10),HLOOKUP($B18,INDIRECT(ADDRESS(2,11,1,,S$3)):INDIRECT(ADDRESS(25,playercnt+10,1,,S$3)),24),"")</f>
        <v>5</v>
      </c>
      <c r="T18" s="46">
        <f ca="1">IF($D$2&gt;=(COLUMN()-10),HLOOKUP($B18,INDIRECT(ADDRESS(2,11,1,,T$3)):INDIRECT(ADDRESS(25,playercnt+10,1,,T$3)),24),"")</f>
        <v>4</v>
      </c>
      <c r="U18" s="46">
        <f ca="1">IF($D$2&gt;=(COLUMN()-10),HLOOKUP($B18,INDIRECT(ADDRESS(2,11,1,,U$3)):INDIRECT(ADDRESS(25,playercnt+10,1,,U$3)),24),"")</f>
        <v>6</v>
      </c>
      <c r="V18" s="46">
        <f ca="1">IF($D$2&gt;=(COLUMN()-10),HLOOKUP($B18,INDIRECT(ADDRESS(2,11,1,,V$3)):INDIRECT(ADDRESS(25,playercnt+10,1,,V$3)),24),"")</f>
        <v>9</v>
      </c>
      <c r="W18" s="46">
        <f ca="1">IF($D$2&gt;=(COLUMN()-10),HLOOKUP($B18,INDIRECT(ADDRESS(2,11,1,,W$3)):INDIRECT(ADDRESS(25,playercnt+10,1,,W$3)),24),"")</f>
        <v>3</v>
      </c>
      <c r="X18" s="47">
        <v>1</v>
      </c>
      <c r="Y18" s="14">
        <f t="shared" si="16"/>
        <v>11</v>
      </c>
    </row>
    <row r="19" spans="1:25">
      <c r="A19" s="83">
        <f t="shared" si="7"/>
        <v>11</v>
      </c>
      <c r="B19" s="39" t="str">
        <f t="shared" ca="1" si="8"/>
        <v>James, Larry C</v>
      </c>
      <c r="C19" s="40">
        <f t="shared" si="9"/>
        <v>0</v>
      </c>
      <c r="D19" s="40">
        <f t="shared" si="10"/>
        <v>67</v>
      </c>
      <c r="E19" s="25">
        <f t="shared" si="11"/>
        <v>0.51538461538461533</v>
      </c>
      <c r="F19" s="11">
        <f t="shared" si="12"/>
        <v>9</v>
      </c>
      <c r="G19" s="16">
        <v>18</v>
      </c>
      <c r="H19" s="20">
        <f t="shared" si="13"/>
        <v>7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6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5</v>
      </c>
      <c r="P19" s="46">
        <f ca="1">IF($D$2&gt;=(COLUMN()-10),HLOOKUP($B19,INDIRECT(ADDRESS(2,11,1,,P$3)):INDIRECT(ADDRESS(25,playercnt+10,1,,P$3)),24),"")</f>
        <v>4</v>
      </c>
      <c r="Q19" s="46">
        <f ca="1">IF($D$2&gt;=(COLUMN()-10),HLOOKUP($B19,INDIRECT(ADDRESS(2,11,1,,Q$3)):INDIRECT(ADDRESS(25,playercnt+10,1,,Q$3)),24),"")</f>
        <v>4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3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7</v>
      </c>
      <c r="X19" s="14">
        <v>24</v>
      </c>
      <c r="Y19" s="14">
        <f t="shared" si="16"/>
        <v>12</v>
      </c>
    </row>
    <row r="20" spans="1:25">
      <c r="A20" s="83">
        <f t="shared" si="7"/>
        <v>13</v>
      </c>
      <c r="B20" s="39" t="str">
        <f t="shared" ca="1" si="8"/>
        <v>Gregory, Adam J</v>
      </c>
      <c r="C20" s="40">
        <f t="shared" si="9"/>
        <v>0</v>
      </c>
      <c r="D20" s="40">
        <f t="shared" si="10"/>
        <v>66</v>
      </c>
      <c r="E20" s="25">
        <f t="shared" si="11"/>
        <v>0.50769230769230766</v>
      </c>
      <c r="F20" s="11">
        <f t="shared" si="12"/>
        <v>10</v>
      </c>
      <c r="G20" s="43">
        <v>10</v>
      </c>
      <c r="H20" s="20">
        <f t="shared" si="13"/>
        <v>-3</v>
      </c>
      <c r="I20" s="17">
        <f t="shared" ca="1" si="14"/>
        <v>8</v>
      </c>
      <c r="J20" s="17">
        <f t="shared" ca="1" si="15"/>
        <v>3</v>
      </c>
      <c r="K20" s="46">
        <f ca="1">IF($D$2&gt;=(COLUMN()-10),HLOOKUP($B20,INDIRECT(ADDRESS(2,11,1,,K$3)):INDIRECT(ADDRESS(25,playercnt+10,1,,K$3)),24),"")</f>
        <v>8</v>
      </c>
      <c r="L20" s="46">
        <f ca="1">IF($D$2&gt;=(COLUMN()-10),HLOOKUP($B20,INDIRECT(ADDRESS(2,11,1,,L$3)):INDIRECT(ADDRESS(25,playercnt+10,1,,L$3)),24),"")</f>
        <v>5</v>
      </c>
      <c r="M20" s="46">
        <f ca="1">IF($D$2&gt;=(COLUMN()-10),HLOOKUP($B20,INDIRECT(ADDRESS(2,11,1,,M$3)):INDIRECT(ADDRESS(25,playercnt+10,1,,M$3)),24),"")</f>
        <v>5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4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5</v>
      </c>
      <c r="U20" s="46">
        <f ca="1">IF($D$2&gt;=(COLUMN()-10),HLOOKUP($B20,INDIRECT(ADDRESS(2,11,1,,U$3)):INDIRECT(ADDRESS(25,playercnt+10,1,,U$3)),24),"")</f>
        <v>8</v>
      </c>
      <c r="V20" s="46">
        <f ca="1">IF($D$2&gt;=(COLUMN()-10),HLOOKUP($B20,INDIRECT(ADDRESS(2,11,1,,V$3)):INDIRECT(ADDRESS(25,playercnt+10,1,,V$3)),24),"")</f>
        <v>4</v>
      </c>
      <c r="W20" s="46">
        <f ca="1">IF($D$2&gt;=(COLUMN()-10),HLOOKUP($B20,INDIRECT(ADDRESS(2,11,1,,W$3)):INDIRECT(ADDRESS(25,playercnt+10,1,,W$3)),24),"")</f>
        <v>3</v>
      </c>
      <c r="X20" s="47">
        <v>19</v>
      </c>
      <c r="Y20" s="14">
        <f t="shared" si="16"/>
        <v>13</v>
      </c>
    </row>
    <row r="21" spans="1:25">
      <c r="A21" s="83">
        <f t="shared" si="7"/>
        <v>13</v>
      </c>
      <c r="B21" s="39" t="str">
        <f t="shared" ca="1" si="8"/>
        <v>Mccoy, William M</v>
      </c>
      <c r="C21" s="40">
        <f t="shared" si="9"/>
        <v>0</v>
      </c>
      <c r="D21" s="40">
        <f t="shared" si="10"/>
        <v>66</v>
      </c>
      <c r="E21" s="25">
        <f t="shared" si="11"/>
        <v>0.50769230769230766</v>
      </c>
      <c r="F21" s="11">
        <f t="shared" si="12"/>
        <v>10</v>
      </c>
      <c r="G21" s="16">
        <v>15</v>
      </c>
      <c r="H21" s="20">
        <f t="shared" si="13"/>
        <v>2</v>
      </c>
      <c r="I21" s="17">
        <f t="shared" ca="1" si="14"/>
        <v>7</v>
      </c>
      <c r="J21" s="17">
        <f t="shared" ca="1" si="15"/>
        <v>4</v>
      </c>
      <c r="K21" s="46">
        <f ca="1">IF($D$2&gt;=(COLUMN()-10),HLOOKUP($B21,INDIRECT(ADDRESS(2,11,1,,K$3)):INDIRECT(ADDRESS(25,playercnt+10,1,,K$3)),24),"")</f>
        <v>4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5</v>
      </c>
      <c r="N21" s="46">
        <f ca="1">IF($D$2&gt;=(COLUMN()-10),HLOOKUP($B21,INDIRECT(ADDRESS(2,11,1,,N$3)):INDIRECT(ADDRESS(25,playercnt+10,1,,N$3)),24),"")</f>
        <v>7</v>
      </c>
      <c r="O21" s="46">
        <f ca="1">IF($D$2&gt;=(COLUMN()-10),HLOOKUP($B21,INDIRECT(ADDRESS(2,11,1,,O$3)):INDIRECT(ADDRESS(25,playercnt+10,1,,O$3)),24),"")</f>
        <v>6</v>
      </c>
      <c r="P21" s="46">
        <f ca="1">IF($D$2&gt;=(COLUMN()-10),HLOOKUP($B21,INDIRECT(ADDRESS(2,11,1,,P$3)):INDIRECT(ADDRESS(25,playercnt+10,1,,P$3)),24),"")</f>
        <v>5</v>
      </c>
      <c r="Q21" s="46">
        <f ca="1">IF($D$2&gt;=(COLUMN()-10),HLOOKUP($B21,INDIRECT(ADDRESS(2,11,1,,Q$3)):INDIRECT(ADDRESS(25,playercnt+10,1,,Q$3)),24),"")</f>
        <v>6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4</v>
      </c>
      <c r="U21" s="46">
        <f ca="1">IF($D$2&gt;=(COLUMN()-10),HLOOKUP($B21,INDIRECT(ADDRESS(2,11,1,,U$3)):INDIRECT(ADDRESS(25,playercnt+10,1,,U$3)),24),"")</f>
        <v>6</v>
      </c>
      <c r="V21" s="46">
        <f ca="1">IF($D$2&gt;=(COLUMN()-10),HLOOKUP($B21,INDIRECT(ADDRESS(2,11,1,,V$3)):INDIRECT(ADDRESS(25,playercnt+10,1,,V$3)),24),"")</f>
        <v>4</v>
      </c>
      <c r="W21" s="46">
        <f ca="1">IF($D$2&gt;=(COLUMN()-10),HLOOKUP($B21,INDIRECT(ADDRESS(2,11,1,,W$3)):INDIRECT(ADDRESS(25,playercnt+10,1,,W$3)),24),"")</f>
        <v>5</v>
      </c>
      <c r="X21" s="14">
        <v>30</v>
      </c>
      <c r="Y21" s="14">
        <f t="shared" si="16"/>
        <v>14</v>
      </c>
    </row>
    <row r="22" spans="1:25">
      <c r="A22" s="83">
        <f t="shared" si="7"/>
        <v>13</v>
      </c>
      <c r="B22" s="39" t="str">
        <f t="shared" ca="1" si="8"/>
        <v>Robbins, Dale</v>
      </c>
      <c r="C22" s="40">
        <f t="shared" si="9"/>
        <v>0</v>
      </c>
      <c r="D22" s="40">
        <f t="shared" si="10"/>
        <v>66</v>
      </c>
      <c r="E22" s="25">
        <f t="shared" si="11"/>
        <v>0.50769230769230766</v>
      </c>
      <c r="F22" s="11">
        <f t="shared" si="12"/>
        <v>10</v>
      </c>
      <c r="G22" s="43">
        <v>15</v>
      </c>
      <c r="H22" s="20">
        <f t="shared" si="13"/>
        <v>2</v>
      </c>
      <c r="I22" s="17">
        <f t="shared" ca="1" si="14"/>
        <v>7</v>
      </c>
      <c r="J22" s="17">
        <f t="shared" ca="1" si="15"/>
        <v>4</v>
      </c>
      <c r="K22" s="46">
        <f ca="1">IF($D$2&gt;=(COLUMN()-10),HLOOKUP($B22,INDIRECT(ADDRESS(2,11,1,,K$3)):INDIRECT(ADDRESS(25,playercnt+10,1,,K$3)),24),"")</f>
        <v>5</v>
      </c>
      <c r="L22" s="46">
        <f ca="1">IF($D$2&gt;=(COLUMN()-10),HLOOKUP($B22,INDIRECT(ADDRESS(2,11,1,,L$3)):INDIRECT(ADDRESS(25,playercnt+10,1,,L$3)),24),"")</f>
        <v>5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7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5</v>
      </c>
      <c r="T22" s="46">
        <f ca="1">IF($D$2&gt;=(COLUMN()-10),HLOOKUP($B22,INDIRECT(ADDRESS(2,11,1,,T$3)):INDIRECT(ADDRESS(25,playercnt+10,1,,T$3)),24),"")</f>
        <v>5</v>
      </c>
      <c r="U22" s="46">
        <f ca="1">IF($D$2&gt;=(COLUMN()-10),HLOOKUP($B22,INDIRECT(ADDRESS(2,11,1,,U$3)):INDIRECT(ADDRESS(25,playercnt+10,1,,U$3)),24),"")</f>
        <v>6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41</v>
      </c>
      <c r="Y22" s="14">
        <f t="shared" si="16"/>
        <v>15</v>
      </c>
    </row>
    <row r="23" spans="1:25">
      <c r="A23" s="83">
        <f t="shared" si="7"/>
        <v>16</v>
      </c>
      <c r="B23" s="39" t="str">
        <f t="shared" ca="1" si="8"/>
        <v>Marsh, Alexander Remote</v>
      </c>
      <c r="C23" s="40">
        <f t="shared" si="9"/>
        <v>0</v>
      </c>
      <c r="D23" s="40">
        <f t="shared" si="10"/>
        <v>64</v>
      </c>
      <c r="E23" s="25">
        <f t="shared" si="11"/>
        <v>0.49230769230769234</v>
      </c>
      <c r="F23" s="11">
        <f t="shared" si="12"/>
        <v>12</v>
      </c>
      <c r="G23" s="16">
        <v>12</v>
      </c>
      <c r="H23" s="20">
        <f t="shared" si="13"/>
        <v>-4</v>
      </c>
      <c r="I23" s="17">
        <f t="shared" ca="1" si="14"/>
        <v>7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3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6</v>
      </c>
      <c r="N23" s="46">
        <f ca="1">IF($D$2&gt;=(COLUMN()-10),HLOOKUP($B23,INDIRECT(ADDRESS(2,11,1,,N$3)):INDIRECT(ADDRESS(25,playercnt+10,1,,N$3)),24),"")</f>
        <v>5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5</v>
      </c>
      <c r="R23" s="46">
        <f ca="1">IF($D$2&gt;=(COLUMN()-10),HLOOKUP($B23,INDIRECT(ADDRESS(2,11,1,,R$3)):INDIRECT(ADDRESS(25,playercnt+10,1,,R$3)),24),"")</f>
        <v>7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4</v>
      </c>
      <c r="U23" s="46">
        <f ca="1">IF($D$2&gt;=(COLUMN()-10),HLOOKUP($B23,INDIRECT(ADDRESS(2,11,1,,U$3)):INDIRECT(ADDRESS(25,playercnt+10,1,,U$3)),24),"")</f>
        <v>5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2</v>
      </c>
      <c r="X23" s="14">
        <v>28</v>
      </c>
      <c r="Y23" s="14">
        <f t="shared" si="16"/>
        <v>16</v>
      </c>
    </row>
    <row r="24" spans="1:25">
      <c r="A24" s="83">
        <f t="shared" si="7"/>
        <v>16</v>
      </c>
      <c r="B24" s="39" t="str">
        <f t="shared" ca="1" si="8"/>
        <v>Powell, LaMar</v>
      </c>
      <c r="C24" s="40">
        <f t="shared" si="9"/>
        <v>0</v>
      </c>
      <c r="D24" s="40">
        <f t="shared" si="10"/>
        <v>64</v>
      </c>
      <c r="E24" s="25">
        <f t="shared" si="11"/>
        <v>0.49230769230769234</v>
      </c>
      <c r="F24" s="11">
        <f t="shared" si="12"/>
        <v>12</v>
      </c>
      <c r="G24" s="43">
        <v>12</v>
      </c>
      <c r="H24" s="20">
        <f t="shared" si="13"/>
        <v>-4</v>
      </c>
      <c r="I24" s="17">
        <f t="shared" ca="1" si="14"/>
        <v>8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2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7</v>
      </c>
      <c r="O24" s="46">
        <f ca="1">IF($D$2&gt;=(COLUMN()-10),HLOOKUP($B24,INDIRECT(ADDRESS(2,11,1,,O$3)):INDIRECT(ADDRESS(25,playercnt+10,1,,O$3)),24),"")</f>
        <v>6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4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4</v>
      </c>
      <c r="U24" s="46">
        <f ca="1">IF($D$2&gt;=(COLUMN()-10),HLOOKUP($B24,INDIRECT(ADDRESS(2,11,1,,U$3)):INDIRECT(ADDRESS(25,playercnt+10,1,,U$3)),24),"")</f>
        <v>8</v>
      </c>
      <c r="V24" s="46">
        <f ca="1">IF($D$2&gt;=(COLUMN()-10),HLOOKUP($B24,INDIRECT(ADDRESS(2,11,1,,V$3)):INDIRECT(ADDRESS(25,playercnt+10,1,,V$3)),24),"")</f>
        <v>6</v>
      </c>
      <c r="W24" s="46">
        <f ca="1">IF($D$2&gt;=(COLUMN()-10),HLOOKUP($B24,INDIRECT(ADDRESS(2,11,1,,W$3)):INDIRECT(ADDRESS(25,playercnt+10,1,,W$3)),24),"")</f>
        <v>2</v>
      </c>
      <c r="X24" s="47">
        <v>37</v>
      </c>
      <c r="Y24" s="14">
        <f t="shared" si="16"/>
        <v>17</v>
      </c>
    </row>
    <row r="25" spans="1:25">
      <c r="A25" s="83">
        <f t="shared" si="7"/>
        <v>18</v>
      </c>
      <c r="B25" s="39" t="str">
        <f t="shared" ca="1" si="8"/>
        <v>Brokaw, Brantley A</v>
      </c>
      <c r="C25" s="40">
        <f t="shared" si="9"/>
        <v>0</v>
      </c>
      <c r="D25" s="40">
        <f t="shared" si="10"/>
        <v>63</v>
      </c>
      <c r="E25" s="25">
        <f t="shared" si="11"/>
        <v>0.48461538461538461</v>
      </c>
      <c r="F25" s="11">
        <f t="shared" si="12"/>
        <v>13</v>
      </c>
      <c r="G25" s="16">
        <v>20</v>
      </c>
      <c r="H25" s="20">
        <f t="shared" si="13"/>
        <v>2</v>
      </c>
      <c r="I25" s="17">
        <f t="shared" ca="1" si="14"/>
        <v>8</v>
      </c>
      <c r="J25" s="17">
        <f t="shared" ca="1" si="15"/>
        <v>3</v>
      </c>
      <c r="K25" s="46">
        <f ca="1">IF($D$2&gt;=(COLUMN()-10),HLOOKUP($B25,INDIRECT(ADDRESS(2,11,1,,K$3)):INDIRECT(ADDRESS(25,playercnt+10,1,,K$3)),24),"")</f>
        <v>4</v>
      </c>
      <c r="L25" s="46">
        <f ca="1">IF($D$2&gt;=(COLUMN()-10),HLOOKUP($B25,INDIRECT(ADDRESS(2,11,1,,L$3)):INDIRECT(ADDRESS(25,playercnt+10,1,,L$3)),24),"")</f>
        <v>5</v>
      </c>
      <c r="M25" s="46">
        <f ca="1">IF($D$2&gt;=(COLUMN()-10),HLOOKUP($B25,INDIRECT(ADDRESS(2,11,1,,M$3)):INDIRECT(ADDRESS(25,playercnt+10,1,,M$3)),24),"")</f>
        <v>3</v>
      </c>
      <c r="N25" s="46">
        <f ca="1">IF($D$2&gt;=(COLUMN()-10),HLOOKUP($B25,INDIRECT(ADDRESS(2,11,1,,N$3)):INDIRECT(ADDRESS(25,playercnt+10,1,,N$3)),24),"")</f>
        <v>4</v>
      </c>
      <c r="O25" s="46">
        <f ca="1">IF($D$2&gt;=(COLUMN()-10),HLOOKUP($B25,INDIRECT(ADDRESS(2,11,1,,O$3)):INDIRECT(ADDRESS(25,playercnt+10,1,,O$3)),24),"")</f>
        <v>7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3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8</v>
      </c>
      <c r="V25" s="46">
        <f ca="1">IF($D$2&gt;=(COLUMN()-10),HLOOKUP($B25,INDIRECT(ADDRESS(2,11,1,,V$3)):INDIRECT(ADDRESS(25,playercnt+10,1,,V$3)),24),"")</f>
        <v>6</v>
      </c>
      <c r="W25" s="46">
        <f ca="1">IF($D$2&gt;=(COLUMN()-10),HLOOKUP($B25,INDIRECT(ADDRESS(2,11,1,,W$3)):INDIRECT(ADDRESS(25,playercnt+10,1,,W$3)),24),"")</f>
        <v>5</v>
      </c>
      <c r="X25" s="14">
        <v>7</v>
      </c>
      <c r="Y25" s="14">
        <f t="shared" si="16"/>
        <v>18</v>
      </c>
    </row>
    <row r="26" spans="1:25">
      <c r="A26" s="83">
        <f t="shared" si="7"/>
        <v>18</v>
      </c>
      <c r="B26" s="39" t="str">
        <f t="shared" ca="1" si="8"/>
        <v>Kandela, Marwan</v>
      </c>
      <c r="C26" s="40">
        <f t="shared" si="9"/>
        <v>0</v>
      </c>
      <c r="D26" s="40">
        <f t="shared" si="10"/>
        <v>63</v>
      </c>
      <c r="E26" s="25">
        <f t="shared" si="11"/>
        <v>0.48461538461538461</v>
      </c>
      <c r="F26" s="11">
        <f t="shared" si="12"/>
        <v>13</v>
      </c>
      <c r="G26" s="43">
        <v>15</v>
      </c>
      <c r="H26" s="20">
        <f t="shared" si="13"/>
        <v>-3</v>
      </c>
      <c r="I26" s="17">
        <f t="shared" ca="1" si="14"/>
        <v>8</v>
      </c>
      <c r="J26" s="17">
        <f t="shared" ca="1" si="15"/>
        <v>2</v>
      </c>
      <c r="K26" s="46">
        <f ca="1">IF($D$2&gt;=(COLUMN()-10),HLOOKUP($B26,INDIRECT(ADDRESS(2,11,1,,K$3)):INDIRECT(ADDRESS(25,playercnt+10,1,,K$3)),24),"")</f>
        <v>4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2</v>
      </c>
      <c r="N26" s="46">
        <f ca="1">IF($D$2&gt;=(COLUMN()-10),HLOOKUP($B26,INDIRECT(ADDRESS(2,11,1,,N$3)):INDIRECT(ADDRESS(25,playercnt+10,1,,N$3)),24),"")</f>
        <v>5</v>
      </c>
      <c r="O26" s="46">
        <f ca="1">IF($D$2&gt;=(COLUMN()-10),HLOOKUP($B26,INDIRECT(ADDRESS(2,11,1,,O$3)):INDIRECT(ADDRESS(25,playercnt+10,1,,O$3)),24),"")</f>
        <v>5</v>
      </c>
      <c r="P26" s="46">
        <f ca="1">IF($D$2&gt;=(COLUMN()-10),HLOOKUP($B26,INDIRECT(ADDRESS(2,11,1,,P$3)):INDIRECT(ADDRESS(25,playercnt+10,1,,P$3)),24),"")</f>
        <v>2</v>
      </c>
      <c r="Q26" s="46">
        <f ca="1">IF($D$2&gt;=(COLUMN()-10),HLOOKUP($B26,INDIRECT(ADDRESS(2,11,1,,Q$3)):INDIRECT(ADDRESS(25,playercnt+10,1,,Q$3)),24),"")</f>
        <v>5</v>
      </c>
      <c r="R26" s="46">
        <f ca="1">IF($D$2&gt;=(COLUMN()-10),HLOOKUP($B26,INDIRECT(ADDRESS(2,11,1,,R$3)):INDIRECT(ADDRESS(25,playercnt+10,1,,R$3)),24),"")</f>
        <v>7</v>
      </c>
      <c r="S26" s="46">
        <f ca="1">IF($D$2&gt;=(COLUMN()-10),HLOOKUP($B26,INDIRECT(ADDRESS(2,11,1,,S$3)):INDIRECT(ADDRESS(25,playercnt+10,1,,S$3)),24),"")</f>
        <v>6</v>
      </c>
      <c r="T26" s="46">
        <f ca="1">IF($D$2&gt;=(COLUMN()-10),HLOOKUP($B26,INDIRECT(ADDRESS(2,11,1,,T$3)):INDIRECT(ADDRESS(25,playercnt+10,1,,T$3)),24),"")</f>
        <v>8</v>
      </c>
      <c r="U26" s="46">
        <f ca="1">IF($D$2&gt;=(COLUMN()-10),HLOOKUP($B26,INDIRECT(ADDRESS(2,11,1,,U$3)):INDIRECT(ADDRESS(25,playercnt+10,1,,U$3)),24),"")</f>
        <v>8</v>
      </c>
      <c r="V26" s="46">
        <f ca="1">IF($D$2&gt;=(COLUMN()-10),HLOOKUP($B26,INDIRECT(ADDRESS(2,11,1,,V$3)):INDIRECT(ADDRESS(25,playercnt+10,1,,V$3)),24),"")</f>
        <v>4</v>
      </c>
      <c r="W26" s="46">
        <f ca="1">IF($D$2&gt;=(COLUMN()-10),HLOOKUP($B26,INDIRECT(ADDRESS(2,11,1,,W$3)):INDIRECT(ADDRESS(25,playercnt+10,1,,W$3)),24),"")</f>
        <v>2</v>
      </c>
      <c r="X26" s="47">
        <v>26</v>
      </c>
      <c r="Y26" s="14">
        <f t="shared" ref="Y26:Y36" si="17">Y25+1</f>
        <v>19</v>
      </c>
    </row>
    <row r="27" spans="1:25">
      <c r="A27" s="83">
        <f t="shared" si="7"/>
        <v>18</v>
      </c>
      <c r="B27" s="39" t="str">
        <f t="shared" ca="1" si="8"/>
        <v>Moore, Kevin B</v>
      </c>
      <c r="C27" s="40">
        <f t="shared" si="9"/>
        <v>0</v>
      </c>
      <c r="D27" s="40">
        <f t="shared" si="10"/>
        <v>63</v>
      </c>
      <c r="E27" s="25">
        <f t="shared" si="11"/>
        <v>0.48461538461538461</v>
      </c>
      <c r="F27" s="11">
        <f t="shared" si="12"/>
        <v>13</v>
      </c>
      <c r="G27" s="16">
        <v>20</v>
      </c>
      <c r="H27" s="20">
        <f t="shared" si="13"/>
        <v>2</v>
      </c>
      <c r="I27" s="17">
        <f t="shared" ca="1" si="14"/>
        <v>8</v>
      </c>
      <c r="J27" s="17">
        <f t="shared" ca="1" si="15"/>
        <v>2</v>
      </c>
      <c r="K27" s="46">
        <f ca="1">IF($D$2&gt;=(COLUMN()-10),HLOOKUP($B27,INDIRECT(ADDRESS(2,11,1,,K$3)):INDIRECT(ADDRESS(25,playercnt+10,1,,K$3)),24),"")</f>
        <v>4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2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7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5</v>
      </c>
      <c r="R27" s="46">
        <f ca="1">IF($D$2&gt;=(COLUMN()-10),HLOOKUP($B27,INDIRECT(ADDRESS(2,11,1,,R$3)):INDIRECT(ADDRESS(25,playercnt+10,1,,R$3)),24),"")</f>
        <v>4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5</v>
      </c>
      <c r="U27" s="46">
        <f ca="1">IF($D$2&gt;=(COLUMN()-10),HLOOKUP($B27,INDIRECT(ADDRESS(2,11,1,,U$3)):INDIRECT(ADDRESS(25,playercnt+10,1,,U$3)),24),"")</f>
        <v>8</v>
      </c>
      <c r="V27" s="46">
        <f ca="1">IF($D$2&gt;=(COLUMN()-10),HLOOKUP($B27,INDIRECT(ADDRESS(2,11,1,,V$3)):INDIRECT(ADDRESS(25,playercnt+10,1,,V$3)),24),"")</f>
        <v>3</v>
      </c>
      <c r="W27" s="46">
        <f ca="1">IF($D$2&gt;=(COLUMN()-10),HLOOKUP($B27,INDIRECT(ADDRESS(2,11,1,,W$3)):INDIRECT(ADDRESS(25,playercnt+10,1,,W$3)),24),"")</f>
        <v>5</v>
      </c>
      <c r="X27" s="14">
        <v>31</v>
      </c>
      <c r="Y27" s="14">
        <f t="shared" si="17"/>
        <v>20</v>
      </c>
    </row>
    <row r="28" spans="1:25">
      <c r="A28" s="83">
        <f t="shared" si="7"/>
        <v>18</v>
      </c>
      <c r="B28" s="39" t="str">
        <f t="shared" ca="1" si="8"/>
        <v>Sams, David</v>
      </c>
      <c r="C28" s="40">
        <f t="shared" si="9"/>
        <v>0</v>
      </c>
      <c r="D28" s="40">
        <f t="shared" si="10"/>
        <v>63</v>
      </c>
      <c r="E28" s="25">
        <f t="shared" si="11"/>
        <v>0.48461538461538461</v>
      </c>
      <c r="F28" s="11">
        <f t="shared" si="12"/>
        <v>13</v>
      </c>
      <c r="G28" s="43">
        <v>20</v>
      </c>
      <c r="H28" s="20">
        <f t="shared" si="13"/>
        <v>2</v>
      </c>
      <c r="I28" s="17">
        <f t="shared" ca="1" si="14"/>
        <v>8</v>
      </c>
      <c r="J28" s="17">
        <f t="shared" ca="1" si="15"/>
        <v>2</v>
      </c>
      <c r="K28" s="46">
        <f ca="1">IF($D$2&gt;=(COLUMN()-10),HLOOKUP($B28,INDIRECT(ADDRESS(2,11,1,,K$3)):INDIRECT(ADDRESS(25,playercnt+10,1,,K$3)),24),"")</f>
        <v>5</v>
      </c>
      <c r="L28" s="46">
        <f ca="1">IF($D$2&gt;=(COLUMN()-10),HLOOKUP($B28,INDIRECT(ADDRESS(2,11,1,,L$3)):INDIRECT(ADDRESS(25,playercnt+10,1,,L$3)),24),"")</f>
        <v>6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8</v>
      </c>
      <c r="O28" s="46">
        <f ca="1">IF($D$2&gt;=(COLUMN()-10),HLOOKUP($B28,INDIRECT(ADDRESS(2,11,1,,O$3)):INDIRECT(ADDRESS(25,playercnt+10,1,,O$3)),24),"")</f>
        <v>5</v>
      </c>
      <c r="P28" s="46">
        <f ca="1">IF($D$2&gt;=(COLUMN()-10),HLOOKUP($B28,INDIRECT(ADDRESS(2,11,1,,P$3)):INDIRECT(ADDRESS(25,playercnt+10,1,,P$3)),24),"")</f>
        <v>2</v>
      </c>
      <c r="Q28" s="46">
        <f ca="1">IF($D$2&gt;=(COLUMN()-10),HLOOKUP($B28,INDIRECT(ADDRESS(2,11,1,,Q$3)):INDIRECT(ADDRESS(25,playercnt+10,1,,Q$3)),24),"")</f>
        <v>3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6</v>
      </c>
      <c r="T28" s="46">
        <f ca="1">IF($D$2&gt;=(COLUMN()-10),HLOOKUP($B28,INDIRECT(ADDRESS(2,11,1,,T$3)):INDIRECT(ADDRESS(25,playercnt+10,1,,T$3)),24),"")</f>
        <v>5</v>
      </c>
      <c r="U28" s="46">
        <f ca="1">IF($D$2&gt;=(COLUMN()-10),HLOOKUP($B28,INDIRECT(ADDRESS(2,11,1,,U$3)):INDIRECT(ADDRESS(25,playercnt+10,1,,U$3)),24),"")</f>
        <v>6</v>
      </c>
      <c r="V28" s="46">
        <f ca="1">IF($D$2&gt;=(COLUMN()-10),HLOOKUP($B28,INDIRECT(ADDRESS(2,11,1,,V$3)):INDIRECT(ADDRESS(25,playercnt+10,1,,V$3)),24),"")</f>
        <v>3</v>
      </c>
      <c r="W28" s="46">
        <f ca="1">IF($D$2&gt;=(COLUMN()-10),HLOOKUP($B28,INDIRECT(ADDRESS(2,11,1,,W$3)):INDIRECT(ADDRESS(25,playercnt+10,1,,W$3)),24),"")</f>
        <v>5</v>
      </c>
      <c r="X28" s="47">
        <v>43</v>
      </c>
      <c r="Y28" s="14">
        <f t="shared" si="17"/>
        <v>21</v>
      </c>
    </row>
    <row r="29" spans="1:25">
      <c r="A29" s="83">
        <f t="shared" si="7"/>
        <v>22</v>
      </c>
      <c r="B29" s="39" t="str">
        <f t="shared" ca="1" si="8"/>
        <v>Beasley, Tate</v>
      </c>
      <c r="C29" s="40">
        <f t="shared" si="9"/>
        <v>0</v>
      </c>
      <c r="D29" s="40">
        <f t="shared" si="10"/>
        <v>62</v>
      </c>
      <c r="E29" s="25">
        <f t="shared" si="11"/>
        <v>0.47692307692307695</v>
      </c>
      <c r="F29" s="11">
        <f t="shared" si="12"/>
        <v>14</v>
      </c>
      <c r="G29" s="16">
        <v>27</v>
      </c>
      <c r="H29" s="20">
        <f t="shared" si="13"/>
        <v>5</v>
      </c>
      <c r="I29" s="17">
        <f t="shared" ca="1" si="14"/>
        <v>8</v>
      </c>
      <c r="J29" s="17">
        <f t="shared" ca="1" si="15"/>
        <v>3</v>
      </c>
      <c r="K29" s="46">
        <f ca="1">IF($D$2&gt;=(COLUMN()-10),HLOOKUP($B29,INDIRECT(ADDRESS(2,11,1,,K$3)):INDIRECT(ADDRESS(25,playercnt+10,1,,K$3)),24),"")</f>
        <v>3</v>
      </c>
      <c r="L29" s="46">
        <f ca="1">IF($D$2&gt;=(COLUMN()-10),HLOOKUP($B29,INDIRECT(ADDRESS(2,11,1,,L$3)):INDIRECT(ADDRESS(25,playercnt+10,1,,L$3)),24),"")</f>
        <v>8</v>
      </c>
      <c r="M29" s="46">
        <f ca="1">IF($D$2&gt;=(COLUMN()-10),HLOOKUP($B29,INDIRECT(ADDRESS(2,11,1,,M$3)):INDIRECT(ADDRESS(25,playercnt+10,1,,M$3)),24),"")</f>
        <v>3</v>
      </c>
      <c r="N29" s="46">
        <f ca="1">IF($D$2&gt;=(COLUMN()-10),HLOOKUP($B29,INDIRECT(ADDRESS(2,11,1,,N$3)):INDIRECT(ADDRESS(25,playercnt+10,1,,N$3)),24),"")</f>
        <v>5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4</v>
      </c>
      <c r="Q29" s="46">
        <f ca="1">IF($D$2&gt;=(COLUMN()-10),HLOOKUP($B29,INDIRECT(ADDRESS(2,11,1,,Q$3)):INDIRECT(ADDRESS(25,playercnt+10,1,,Q$3)),24),"")</f>
        <v>4</v>
      </c>
      <c r="R29" s="46">
        <f ca="1">IF($D$2&gt;=(COLUMN()-10),HLOOKUP($B29,INDIRECT(ADDRESS(2,11,1,,R$3)):INDIRECT(ADDRESS(25,playercnt+10,1,,R$3)),24),"")</f>
        <v>4</v>
      </c>
      <c r="S29" s="46">
        <f ca="1">IF($D$2&gt;=(COLUMN()-10),HLOOKUP($B29,INDIRECT(ADDRESS(2,11,1,,S$3)):INDIRECT(ADDRESS(25,playercnt+10,1,,S$3)),24),"")</f>
        <v>5</v>
      </c>
      <c r="T29" s="46">
        <f ca="1">IF($D$2&gt;=(COLUMN()-10),HLOOKUP($B29,INDIRECT(ADDRESS(2,11,1,,T$3)):INDIRECT(ADDRESS(25,playercnt+10,1,,T$3)),24),"")</f>
        <v>4</v>
      </c>
      <c r="U29" s="46">
        <f ca="1">IF($D$2&gt;=(COLUMN()-10),HLOOKUP($B29,INDIRECT(ADDRESS(2,11,1,,U$3)):INDIRECT(ADDRESS(25,playercnt+10,1,,U$3)),24),"")</f>
        <v>7</v>
      </c>
      <c r="V29" s="46">
        <f ca="1">IF($D$2&gt;=(COLUMN()-10),HLOOKUP($B29,INDIRECT(ADDRESS(2,11,1,,V$3)):INDIRECT(ADDRESS(25,playercnt+10,1,,V$3)),24),"")</f>
        <v>3</v>
      </c>
      <c r="W29" s="46">
        <f ca="1">IF($D$2&gt;=(COLUMN()-10),HLOOKUP($B29,INDIRECT(ADDRESS(2,11,1,,W$3)):INDIRECT(ADDRESS(25,playercnt+10,1,,W$3)),24),"")</f>
        <v>6</v>
      </c>
      <c r="X29" s="14">
        <v>3</v>
      </c>
      <c r="Y29" s="14">
        <f t="shared" si="17"/>
        <v>22</v>
      </c>
    </row>
    <row r="30" spans="1:25">
      <c r="A30" s="83">
        <f t="shared" si="7"/>
        <v>22</v>
      </c>
      <c r="B30" s="39" t="str">
        <f t="shared" ca="1" si="8"/>
        <v>Desing, Scott M</v>
      </c>
      <c r="C30" s="40">
        <f t="shared" si="9"/>
        <v>0</v>
      </c>
      <c r="D30" s="40">
        <f t="shared" si="10"/>
        <v>62</v>
      </c>
      <c r="E30" s="25">
        <f t="shared" si="11"/>
        <v>0.47692307692307695</v>
      </c>
      <c r="F30" s="11">
        <f t="shared" si="12"/>
        <v>14</v>
      </c>
      <c r="G30" s="43">
        <v>33</v>
      </c>
      <c r="H30" s="20">
        <f t="shared" si="13"/>
        <v>11</v>
      </c>
      <c r="I30" s="17">
        <f t="shared" ca="1" si="14"/>
        <v>7</v>
      </c>
      <c r="J30" s="17">
        <f t="shared" ca="1" si="15"/>
        <v>1</v>
      </c>
      <c r="K30" s="46">
        <f ca="1">IF($D$2&gt;=(COLUMN()-10),HLOOKUP($B30,INDIRECT(ADDRESS(2,11,1,,K$3)):INDIRECT(ADDRESS(25,playercnt+10,1,,K$3)),24),"")</f>
        <v>1</v>
      </c>
      <c r="L30" s="46">
        <f ca="1">IF($D$2&gt;=(COLUMN()-10),HLOOKUP($B30,INDIRECT(ADDRESS(2,11,1,,L$3)):INDIRECT(ADDRESS(25,playercnt+10,1,,L$3)),24),"")</f>
        <v>6</v>
      </c>
      <c r="M30" s="46">
        <f ca="1">IF($D$2&gt;=(COLUMN()-10),HLOOKUP($B30,INDIRECT(ADDRESS(2,11,1,,M$3)):INDIRECT(ADDRESS(25,playercnt+10,1,,M$3)),24),"")</f>
        <v>2</v>
      </c>
      <c r="N30" s="46">
        <f ca="1">IF($D$2&gt;=(COLUMN()-10),HLOOKUP($B30,INDIRECT(ADDRESS(2,11,1,,N$3)):INDIRECT(ADDRESS(25,playercnt+10,1,,N$3)),24),"")</f>
        <v>5</v>
      </c>
      <c r="O30" s="46">
        <f ca="1">IF($D$2&gt;=(COLUMN()-10),HLOOKUP($B30,INDIRECT(ADDRESS(2,11,1,,O$3)):INDIRECT(ADDRESS(25,playercnt+10,1,,O$3)),24),"")</f>
        <v>6</v>
      </c>
      <c r="P30" s="46">
        <f ca="1">IF($D$2&gt;=(COLUMN()-10),HLOOKUP($B30,INDIRECT(ADDRESS(2,11,1,,P$3)):INDIRECT(ADDRESS(25,playercnt+10,1,,P$3)),24),"")</f>
        <v>3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5</v>
      </c>
      <c r="T30" s="46">
        <f ca="1">IF($D$2&gt;=(COLUMN()-10),HLOOKUP($B30,INDIRECT(ADDRESS(2,11,1,,T$3)):INDIRECT(ADDRESS(25,playercnt+10,1,,T$3)),24),"")</f>
        <v>6</v>
      </c>
      <c r="U30" s="46">
        <f ca="1">IF($D$2&gt;=(COLUMN()-10),HLOOKUP($B30,INDIRECT(ADDRESS(2,11,1,,U$3)):INDIRECT(ADDRESS(25,playercnt+10,1,,U$3)),24),"")</f>
        <v>5</v>
      </c>
      <c r="V30" s="46">
        <f ca="1">IF($D$2&gt;=(COLUMN()-10),HLOOKUP($B30,INDIRECT(ADDRESS(2,11,1,,V$3)):INDIRECT(ADDRESS(25,playercnt+10,1,,V$3)),24),"")</f>
        <v>5</v>
      </c>
      <c r="W30" s="46">
        <f ca="1">IF($D$2&gt;=(COLUMN()-10),HLOOKUP($B30,INDIRECT(ADDRESS(2,11,1,,W$3)):INDIRECT(ADDRESS(25,playercnt+10,1,,W$3)),24),"")</f>
        <v>7</v>
      </c>
      <c r="X30" s="47">
        <v>12</v>
      </c>
      <c r="Y30" s="14">
        <f t="shared" si="17"/>
        <v>23</v>
      </c>
    </row>
    <row r="31" spans="1:25">
      <c r="A31" s="83">
        <f t="shared" si="7"/>
        <v>22</v>
      </c>
      <c r="B31" s="39" t="str">
        <f t="shared" ca="1" si="8"/>
        <v>Gilmer, Justin T</v>
      </c>
      <c r="C31" s="40">
        <f t="shared" si="9"/>
        <v>0</v>
      </c>
      <c r="D31" s="40">
        <f t="shared" si="10"/>
        <v>62</v>
      </c>
      <c r="E31" s="25">
        <f t="shared" si="11"/>
        <v>0.47692307692307695</v>
      </c>
      <c r="F31" s="11">
        <f t="shared" si="12"/>
        <v>14</v>
      </c>
      <c r="G31" s="16">
        <v>20</v>
      </c>
      <c r="H31" s="20">
        <f t="shared" si="13"/>
        <v>-2</v>
      </c>
      <c r="I31" s="17">
        <f t="shared" ca="1" si="14"/>
        <v>7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5</v>
      </c>
      <c r="M31" s="46">
        <f ca="1">IF($D$2&gt;=(COLUMN()-10),HLOOKUP($B31,INDIRECT(ADDRESS(2,11,1,,M$3)):INDIRECT(ADDRESS(25,playercnt+10,1,,M$3)),24),"")</f>
        <v>3</v>
      </c>
      <c r="N31" s="46">
        <f ca="1">IF($D$2&gt;=(COLUMN()-10),HLOOKUP($B31,INDIRECT(ADDRESS(2,11,1,,N$3)):INDIRECT(ADDRESS(25,playercnt+10,1,,N$3)),24),"")</f>
        <v>6</v>
      </c>
      <c r="O31" s="46">
        <f ca="1">IF($D$2&gt;=(COLUMN()-10),HLOOKUP($B31,INDIRECT(ADDRESS(2,11,1,,O$3)):INDIRECT(ADDRESS(25,playercnt+10,1,,O$3)),24),"")</f>
        <v>4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7</v>
      </c>
      <c r="R31" s="46">
        <f ca="1">IF($D$2&gt;=(COLUMN()-10),HLOOKUP($B31,INDIRECT(ADDRESS(2,11,1,,R$3)):INDIRECT(ADDRESS(25,playercnt+10,1,,R$3)),24),"")</f>
        <v>6</v>
      </c>
      <c r="S31" s="46">
        <f ca="1">IF($D$2&gt;=(COLUMN()-10),HLOOKUP($B31,INDIRECT(ADDRESS(2,11,1,,S$3)):INDIRECT(ADDRESS(25,playercnt+10,1,,S$3)),24),"")</f>
        <v>4</v>
      </c>
      <c r="T31" s="46">
        <f ca="1">IF($D$2&gt;=(COLUMN()-10),HLOOKUP($B31,INDIRECT(ADDRESS(2,11,1,,T$3)):INDIRECT(ADDRESS(25,playercnt+10,1,,T$3)),24),"")</f>
        <v>5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2</v>
      </c>
      <c r="W31" s="46">
        <f ca="1">IF($D$2&gt;=(COLUMN()-10),HLOOKUP($B31,INDIRECT(ADDRESS(2,11,1,,W$3)):INDIRECT(ADDRESS(25,playercnt+10,1,,W$3)),24),"")</f>
        <v>4</v>
      </c>
      <c r="X31" s="14">
        <v>18</v>
      </c>
      <c r="Y31" s="14">
        <f t="shared" si="17"/>
        <v>24</v>
      </c>
    </row>
    <row r="32" spans="1:25">
      <c r="A32" s="83">
        <f t="shared" si="7"/>
        <v>22</v>
      </c>
      <c r="B32" s="39" t="str">
        <f t="shared" ca="1" si="8"/>
        <v>Holden, Brent</v>
      </c>
      <c r="C32" s="40">
        <f t="shared" si="9"/>
        <v>0</v>
      </c>
      <c r="D32" s="40">
        <f t="shared" si="10"/>
        <v>62</v>
      </c>
      <c r="E32" s="25">
        <f t="shared" si="11"/>
        <v>0.47692307692307695</v>
      </c>
      <c r="F32" s="11">
        <f t="shared" si="12"/>
        <v>14</v>
      </c>
      <c r="G32" s="43">
        <v>20</v>
      </c>
      <c r="H32" s="20">
        <f t="shared" si="13"/>
        <v>-2</v>
      </c>
      <c r="I32" s="17">
        <f t="shared" ca="1" si="14"/>
        <v>8</v>
      </c>
      <c r="J32" s="17">
        <f t="shared" ca="1" si="15"/>
        <v>2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5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2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5</v>
      </c>
      <c r="T32" s="46">
        <f ca="1">IF($D$2&gt;=(COLUMN()-10),HLOOKUP($B32,INDIRECT(ADDRESS(2,11,1,,T$3)):INDIRECT(ADDRESS(25,playercnt+10,1,,T$3)),24),"")</f>
        <v>5</v>
      </c>
      <c r="U32" s="46">
        <f ca="1">IF($D$2&gt;=(COLUMN()-10),HLOOKUP($B32,INDIRECT(ADDRESS(2,11,1,,U$3)):INDIRECT(ADDRESS(25,playercnt+10,1,,U$3)),24),"")</f>
        <v>8</v>
      </c>
      <c r="V32" s="46">
        <f ca="1">IF($D$2&gt;=(COLUMN()-10),HLOOKUP($B32,INDIRECT(ADDRESS(2,11,1,,V$3)):INDIRECT(ADDRESS(25,playercnt+10,1,,V$3)),24),"")</f>
        <v>5</v>
      </c>
      <c r="W32" s="46">
        <f ca="1">IF($D$2&gt;=(COLUMN()-10),HLOOKUP($B32,INDIRECT(ADDRESS(2,11,1,,W$3)):INDIRECT(ADDRESS(25,playercnt+10,1,,W$3)),24),"")</f>
        <v>4</v>
      </c>
      <c r="X32" s="47">
        <v>21</v>
      </c>
      <c r="Y32" s="14">
        <f t="shared" si="17"/>
        <v>25</v>
      </c>
    </row>
    <row r="33" spans="1:25">
      <c r="A33" s="83">
        <f t="shared" si="7"/>
        <v>22</v>
      </c>
      <c r="B33" s="39" t="str">
        <f t="shared" ca="1" si="8"/>
        <v>Neill, Charles H</v>
      </c>
      <c r="C33" s="40">
        <f t="shared" si="9"/>
        <v>0</v>
      </c>
      <c r="D33" s="40">
        <f t="shared" si="10"/>
        <v>62</v>
      </c>
      <c r="E33" s="25">
        <f t="shared" si="11"/>
        <v>0.47692307692307695</v>
      </c>
      <c r="F33" s="11">
        <f t="shared" si="12"/>
        <v>14</v>
      </c>
      <c r="G33" s="16">
        <v>27</v>
      </c>
      <c r="H33" s="20">
        <f t="shared" si="13"/>
        <v>5</v>
      </c>
      <c r="I33" s="17">
        <f t="shared" ca="1" si="14"/>
        <v>6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5</v>
      </c>
      <c r="L33" s="46">
        <f ca="1">IF($D$2&gt;=(COLUMN()-10),HLOOKUP($B33,INDIRECT(ADDRESS(2,11,1,,L$3)):INDIRECT(ADDRESS(25,playercnt+10,1,,L$3)),24),"")</f>
        <v>3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6</v>
      </c>
      <c r="O33" s="46">
        <f ca="1">IF($D$2&gt;=(COLUMN()-10),HLOOKUP($B33,INDIRECT(ADDRESS(2,11,1,,O$3)):INDIRECT(ADDRESS(25,playercnt+10,1,,O$3)),24),"")</f>
        <v>6</v>
      </c>
      <c r="P33" s="46">
        <f ca="1">IF($D$2&gt;=(COLUMN()-10),HLOOKUP($B33,INDIRECT(ADDRESS(2,11,1,,P$3)):INDIRECT(ADDRESS(25,playercnt+10,1,,P$3)),24),"")</f>
        <v>6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3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6</v>
      </c>
      <c r="V33" s="46">
        <f ca="1">IF($D$2&gt;=(COLUMN()-10),HLOOKUP($B33,INDIRECT(ADDRESS(2,11,1,,V$3)):INDIRECT(ADDRESS(25,playercnt+10,1,,V$3)),24),"")</f>
        <v>4</v>
      </c>
      <c r="W33" s="46">
        <f ca="1">IF($D$2&gt;=(COLUMN()-10),HLOOKUP($B33,INDIRECT(ADDRESS(2,11,1,,W$3)):INDIRECT(ADDRESS(25,playercnt+10,1,,W$3)),24),"")</f>
        <v>6</v>
      </c>
      <c r="X33" s="14">
        <v>34</v>
      </c>
      <c r="Y33" s="14">
        <f t="shared" si="17"/>
        <v>26</v>
      </c>
    </row>
    <row r="34" spans="1:25">
      <c r="A34" s="83">
        <f t="shared" si="7"/>
        <v>27</v>
      </c>
      <c r="B34" s="39" t="str">
        <f t="shared" ca="1" si="8"/>
        <v>Bowers, Martin L</v>
      </c>
      <c r="C34" s="40">
        <f t="shared" si="9"/>
        <v>1</v>
      </c>
      <c r="D34" s="40">
        <f t="shared" si="10"/>
        <v>61</v>
      </c>
      <c r="E34" s="25">
        <f t="shared" si="11"/>
        <v>0.46923076923076923</v>
      </c>
      <c r="F34" s="11">
        <f t="shared" si="12"/>
        <v>15</v>
      </c>
      <c r="G34" s="43">
        <v>19</v>
      </c>
      <c r="H34" s="20">
        <f t="shared" si="13"/>
        <v>-8</v>
      </c>
      <c r="I34" s="17">
        <f t="shared" ca="1" si="14"/>
        <v>8</v>
      </c>
      <c r="J34" s="17">
        <f t="shared" ca="1" si="15"/>
        <v>2</v>
      </c>
      <c r="K34" s="46">
        <f ca="1">IF($D$2&gt;=(COLUMN()-10),HLOOKUP($B34,INDIRECT(ADDRESS(2,11,1,,K$3)):INDIRECT(ADDRESS(25,playercnt+10,1,,K$3)),24),"")</f>
        <v>5</v>
      </c>
      <c r="L34" s="46">
        <f ca="1">IF($D$2&gt;=(COLUMN()-10),HLOOKUP($B34,INDIRECT(ADDRESS(2,11,1,,L$3)):INDIRECT(ADDRESS(25,playercnt+10,1,,L$3)),24),"")</f>
        <v>4</v>
      </c>
      <c r="M34" s="46">
        <f ca="1">IF($D$2&gt;=(COLUMN()-10),HLOOKUP($B34,INDIRECT(ADDRESS(2,11,1,,M$3)):INDIRECT(ADDRESS(25,playercnt+10,1,,M$3)),24),"")</f>
        <v>3</v>
      </c>
      <c r="N34" s="46">
        <f ca="1">IF($D$2&gt;=(COLUMN()-10),HLOOKUP($B34,INDIRECT(ADDRESS(2,11,1,,N$3)):INDIRECT(ADDRESS(25,playercnt+10,1,,N$3)),24),"")</f>
        <v>7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4</v>
      </c>
      <c r="S34" s="46">
        <f ca="1">IF($D$2&gt;=(COLUMN()-10),HLOOKUP($B34,INDIRECT(ADDRESS(2,11,1,,S$3)):INDIRECT(ADDRESS(25,playercnt+10,1,,S$3)),24),"")</f>
        <v>4</v>
      </c>
      <c r="T34" s="46">
        <f ca="1">IF($D$2&gt;=(COLUMN()-10),HLOOKUP($B34,INDIRECT(ADDRESS(2,11,1,,T$3)):INDIRECT(ADDRESS(25,playercnt+10,1,,T$3)),24),"")</f>
        <v>5</v>
      </c>
      <c r="U34" s="46">
        <f ca="1">IF($D$2&gt;=(COLUMN()-10),HLOOKUP($B34,INDIRECT(ADDRESS(2,11,1,,U$3)):INDIRECT(ADDRESS(25,playercnt+10,1,,U$3)),24),"")</f>
        <v>8</v>
      </c>
      <c r="V34" s="46">
        <f ca="1">IF($D$2&gt;=(COLUMN()-10),HLOOKUP($B34,INDIRECT(ADDRESS(2,11,1,,V$3)):INDIRECT(ADDRESS(25,playercnt+10,1,,V$3)),24),"")</f>
        <v>3</v>
      </c>
      <c r="W34" s="46">
        <f ca="1">IF($D$2&gt;=(COLUMN()-10),HLOOKUP($B34,INDIRECT(ADDRESS(2,11,1,,W$3)):INDIRECT(ADDRESS(25,playercnt+10,1,,W$3)),24),"")</f>
        <v>2</v>
      </c>
      <c r="X34" s="47">
        <v>5</v>
      </c>
      <c r="Y34" s="14">
        <f t="shared" si="17"/>
        <v>27</v>
      </c>
    </row>
    <row r="35" spans="1:25">
      <c r="A35" s="83">
        <f t="shared" si="7"/>
        <v>27</v>
      </c>
      <c r="B35" s="39" t="str">
        <f t="shared" ca="1" si="8"/>
        <v>Penrose, Tim Remote</v>
      </c>
      <c r="C35" s="40">
        <f t="shared" si="9"/>
        <v>0</v>
      </c>
      <c r="D35" s="40">
        <f t="shared" si="10"/>
        <v>61</v>
      </c>
      <c r="E35" s="25">
        <f t="shared" si="11"/>
        <v>0.46923076923076923</v>
      </c>
      <c r="F35" s="11">
        <f t="shared" si="12"/>
        <v>15</v>
      </c>
      <c r="G35" s="16">
        <v>27</v>
      </c>
      <c r="H35" s="20">
        <f t="shared" si="13"/>
        <v>0</v>
      </c>
      <c r="I35" s="17">
        <f t="shared" ca="1" si="14"/>
        <v>7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2</v>
      </c>
      <c r="L35" s="46">
        <f ca="1">IF($D$2&gt;=(COLUMN()-10),HLOOKUP($B35,INDIRECT(ADDRESS(2,11,1,,L$3)):INDIRECT(ADDRESS(25,playercnt+10,1,,L$3)),24),"")</f>
        <v>3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7</v>
      </c>
      <c r="O35" s="46">
        <f ca="1">IF($D$2&gt;=(COLUMN()-10),HLOOKUP($B35,INDIRECT(ADDRESS(2,11,1,,O$3)):INDIRECT(ADDRESS(25,playercnt+10,1,,O$3)),24),"")</f>
        <v>6</v>
      </c>
      <c r="P35" s="46">
        <f ca="1">IF($D$2&gt;=(COLUMN()-10),HLOOKUP($B35,INDIRECT(ADDRESS(2,11,1,,P$3)):INDIRECT(ADDRESS(25,playercnt+10,1,,P$3)),24),"")</f>
        <v>4</v>
      </c>
      <c r="Q35" s="46">
        <f ca="1">IF($D$2&gt;=(COLUMN()-10),HLOOKUP($B35,INDIRECT(ADDRESS(2,11,1,,Q$3)):INDIRECT(ADDRESS(25,playercnt+10,1,,Q$3)),24),"")</f>
        <v>5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3</v>
      </c>
      <c r="T35" s="46">
        <f ca="1">IF($D$2&gt;=(COLUMN()-10),HLOOKUP($B35,INDIRECT(ADDRESS(2,11,1,,T$3)):INDIRECT(ADDRESS(25,playercnt+10,1,,T$3)),24),"")</f>
        <v>5</v>
      </c>
      <c r="U35" s="46">
        <f ca="1">IF($D$2&gt;=(COLUMN()-10),HLOOKUP($B35,INDIRECT(ADDRESS(2,11,1,,U$3)):INDIRECT(ADDRESS(25,playercnt+10,1,,U$3)),24),"")</f>
        <v>7</v>
      </c>
      <c r="V35" s="46">
        <f ca="1">IF($D$2&gt;=(COLUMN()-10),HLOOKUP($B35,INDIRECT(ADDRESS(2,11,1,,V$3)):INDIRECT(ADDRESS(25,playercnt+10,1,,V$3)),24),"")</f>
        <v>4</v>
      </c>
      <c r="W35" s="46">
        <f ca="1">IF($D$2&gt;=(COLUMN()-10),HLOOKUP($B35,INDIRECT(ADDRESS(2,11,1,,W$3)):INDIRECT(ADDRESS(25,playercnt+10,1,,W$3)),24),"")</f>
        <v>5</v>
      </c>
      <c r="X35" s="14">
        <v>36</v>
      </c>
      <c r="Y35" s="14">
        <f t="shared" si="17"/>
        <v>28</v>
      </c>
    </row>
    <row r="36" spans="1:25">
      <c r="A36" s="83">
        <f t="shared" si="7"/>
        <v>27</v>
      </c>
      <c r="B36" s="39" t="str">
        <f t="shared" ca="1" si="8"/>
        <v>Stonecypher, David</v>
      </c>
      <c r="C36" s="40">
        <f t="shared" si="9"/>
        <v>0</v>
      </c>
      <c r="D36" s="40">
        <f t="shared" si="10"/>
        <v>61</v>
      </c>
      <c r="E36" s="25">
        <f t="shared" si="11"/>
        <v>0.46923076923076923</v>
      </c>
      <c r="F36" s="11">
        <f t="shared" si="12"/>
        <v>15</v>
      </c>
      <c r="G36" s="43">
        <v>27</v>
      </c>
      <c r="H36" s="20">
        <f t="shared" si="13"/>
        <v>0</v>
      </c>
      <c r="I36" s="17">
        <f t="shared" ca="1" si="14"/>
        <v>8</v>
      </c>
      <c r="J36" s="17">
        <f t="shared" ca="1" si="15"/>
        <v>2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5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7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3</v>
      </c>
      <c r="R36" s="46">
        <f ca="1">IF($D$2&gt;=(COLUMN()-10),HLOOKUP($B36,INDIRECT(ADDRESS(2,11,1,,R$3)):INDIRECT(ADDRESS(25,playercnt+10,1,,R$3)),24),"")</f>
        <v>6</v>
      </c>
      <c r="S36" s="46">
        <f ca="1">IF($D$2&gt;=(COLUMN()-10),HLOOKUP($B36,INDIRECT(ADDRESS(2,11,1,,S$3)):INDIRECT(ADDRESS(25,playercnt+10,1,,S$3)),24),"")</f>
        <v>4</v>
      </c>
      <c r="T36" s="46">
        <f ca="1">IF($D$2&gt;=(COLUMN()-10),HLOOKUP($B36,INDIRECT(ADDRESS(2,11,1,,T$3)):INDIRECT(ADDRESS(25,playercnt+10,1,,T$3)),24),"")</f>
        <v>3</v>
      </c>
      <c r="U36" s="46">
        <f ca="1">IF($D$2&gt;=(COLUMN()-10),HLOOKUP($B36,INDIRECT(ADDRESS(2,11,1,,U$3)):INDIRECT(ADDRESS(25,playercnt+10,1,,U$3)),24),"")</f>
        <v>2</v>
      </c>
      <c r="V36" s="46">
        <f ca="1">IF($D$2&gt;=(COLUMN()-10),HLOOKUP($B36,INDIRECT(ADDRESS(2,11,1,,V$3)):INDIRECT(ADDRESS(25,playercnt+10,1,,V$3)),24),"")</f>
        <v>8</v>
      </c>
      <c r="W36" s="46">
        <f ca="1">IF($D$2&gt;=(COLUMN()-10),HLOOKUP($B36,INDIRECT(ADDRESS(2,11,1,,W$3)):INDIRECT(ADDRESS(25,playercnt+10,1,,W$3)),24),"")</f>
        <v>5</v>
      </c>
      <c r="X36" s="47">
        <v>48</v>
      </c>
      <c r="Y36" s="14">
        <f t="shared" si="17"/>
        <v>29</v>
      </c>
    </row>
    <row r="37" spans="1:25">
      <c r="A37" s="83">
        <f t="shared" si="7"/>
        <v>27</v>
      </c>
      <c r="B37" s="39" t="str">
        <f t="shared" ca="1" si="8"/>
        <v>Wells, Seth Remote</v>
      </c>
      <c r="C37" s="40">
        <f t="shared" si="9"/>
        <v>0</v>
      </c>
      <c r="D37" s="40">
        <f t="shared" si="10"/>
        <v>61</v>
      </c>
      <c r="E37" s="25">
        <f t="shared" si="11"/>
        <v>0.46923076923076923</v>
      </c>
      <c r="F37" s="11">
        <f t="shared" si="12"/>
        <v>15</v>
      </c>
      <c r="G37" s="16">
        <v>27</v>
      </c>
      <c r="H37" s="20">
        <f t="shared" si="13"/>
        <v>0</v>
      </c>
      <c r="I37" s="17">
        <f t="shared" ca="1" si="14"/>
        <v>6</v>
      </c>
      <c r="J37" s="17">
        <f t="shared" ca="1" si="15"/>
        <v>3</v>
      </c>
      <c r="K37" s="46">
        <f ca="1">IF($D$2&gt;=(COLUMN()-10),HLOOKUP($B37,INDIRECT(ADDRESS(2,11,1,,K$3)):INDIRECT(ADDRESS(25,playercnt+10,1,,K$3)),24),"")</f>
        <v>4</v>
      </c>
      <c r="L37" s="46">
        <f ca="1">IF($D$2&gt;=(COLUMN()-10),HLOOKUP($B37,INDIRECT(ADDRESS(2,11,1,,L$3)):INDIRECT(ADDRESS(25,playercnt+10,1,,L$3)),24),"")</f>
        <v>4</v>
      </c>
      <c r="M37" s="46">
        <f ca="1">IF($D$2&gt;=(COLUMN()-10),HLOOKUP($B37,INDIRECT(ADDRESS(2,11,1,,M$3)):INDIRECT(ADDRESS(25,playercnt+10,1,,M$3)),24),"")</f>
        <v>3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5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6</v>
      </c>
      <c r="T37" s="46">
        <f ca="1">IF($D$2&gt;=(COLUMN()-10),HLOOKUP($B37,INDIRECT(ADDRESS(2,11,1,,T$3)):INDIRECT(ADDRESS(25,playercnt+10,1,,T$3)),24),"")</f>
        <v>6</v>
      </c>
      <c r="U37" s="46">
        <f ca="1">IF($D$2&gt;=(COLUMN()-10),HLOOKUP($B37,INDIRECT(ADDRESS(2,11,1,,U$3)):INDIRECT(ADDRESS(25,playercnt+10,1,,U$3)),24),"")</f>
        <v>3</v>
      </c>
      <c r="V37" s="46">
        <f ca="1">IF($D$2&gt;=(COLUMN()-10),HLOOKUP($B37,INDIRECT(ADDRESS(2,11,1,,V$3)):INDIRECT(ADDRESS(25,playercnt+10,1,,V$3)),24),"")</f>
        <v>6</v>
      </c>
      <c r="W37" s="46">
        <f ca="1">IF($D$2&gt;=(COLUMN()-10),HLOOKUP($B37,INDIRECT(ADDRESS(2,11,1,,W$3)):INDIRECT(ADDRESS(25,playercnt+10,1,,W$3)),24),"")</f>
        <v>5</v>
      </c>
      <c r="X37" s="14">
        <v>52</v>
      </c>
      <c r="Y37" s="14">
        <f>Y36+1</f>
        <v>30</v>
      </c>
    </row>
    <row r="38" spans="1:25">
      <c r="A38" s="83">
        <f t="shared" si="7"/>
        <v>31</v>
      </c>
      <c r="B38" s="39" t="str">
        <f t="shared" ca="1" si="8"/>
        <v>Beckwith, Greg</v>
      </c>
      <c r="C38" s="40">
        <f t="shared" si="9"/>
        <v>0</v>
      </c>
      <c r="D38" s="40">
        <f t="shared" si="10"/>
        <v>60</v>
      </c>
      <c r="E38" s="25">
        <f t="shared" si="11"/>
        <v>0.46153846153846156</v>
      </c>
      <c r="F38" s="11">
        <f t="shared" si="12"/>
        <v>16</v>
      </c>
      <c r="G38" s="43">
        <v>27</v>
      </c>
      <c r="H38" s="20">
        <f t="shared" si="13"/>
        <v>-4</v>
      </c>
      <c r="I38" s="17">
        <f t="shared" ca="1" si="14"/>
        <v>8</v>
      </c>
      <c r="J38" s="17">
        <f t="shared" ca="1" si="15"/>
        <v>0</v>
      </c>
      <c r="K38" s="46">
        <f ca="1">IF($D$2&gt;=(COLUMN()-10),HLOOKUP($B38,INDIRECT(ADDRESS(2,11,1,,K$3)):INDIRECT(ADDRESS(25,playercnt+10,1,,K$3)),24),"")</f>
        <v>4</v>
      </c>
      <c r="L38" s="46">
        <f ca="1">IF($D$2&gt;=(COLUMN()-10),HLOOKUP($B38,INDIRECT(ADDRESS(2,11,1,,L$3)):INDIRECT(ADDRESS(25,playercnt+10,1,,L$3)),24),"")</f>
        <v>6</v>
      </c>
      <c r="M38" s="46">
        <f ca="1">IF($D$2&gt;=(COLUMN()-10),HLOOKUP($B38,INDIRECT(ADDRESS(2,11,1,,M$3)):INDIRECT(ADDRESS(25,playercnt+10,1,,M$3)),24),"")</f>
        <v>8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5</v>
      </c>
      <c r="P38" s="46">
        <f ca="1">IF($D$2&gt;=(COLUMN()-10),HLOOKUP($B38,INDIRECT(ADDRESS(2,11,1,,P$3)):INDIRECT(ADDRESS(25,playercnt+10,1,,P$3)),24),"")</f>
        <v>0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2</v>
      </c>
      <c r="T38" s="46">
        <f ca="1">IF($D$2&gt;=(COLUMN()-10),HLOOKUP($B38,INDIRECT(ADDRESS(2,11,1,,T$3)):INDIRECT(ADDRESS(25,playercnt+10,1,,T$3)),24),"")</f>
        <v>3</v>
      </c>
      <c r="U38" s="46">
        <f ca="1">IF($D$2&gt;=(COLUMN()-10),HLOOKUP($B38,INDIRECT(ADDRESS(2,11,1,,U$3)):INDIRECT(ADDRESS(25,playercnt+10,1,,U$3)),24),"")</f>
        <v>7</v>
      </c>
      <c r="V38" s="46">
        <f ca="1">IF($D$2&gt;=(COLUMN()-10),HLOOKUP($B38,INDIRECT(ADDRESS(2,11,1,,V$3)):INDIRECT(ADDRESS(25,playercnt+10,1,,V$3)),24),"")</f>
        <v>5</v>
      </c>
      <c r="W38" s="46">
        <f ca="1">IF($D$2&gt;=(COLUMN()-10),HLOOKUP($B38,INDIRECT(ADDRESS(2,11,1,,W$3)):INDIRECT(ADDRESS(25,playercnt+10,1,,W$3)),24),"")</f>
        <v>4</v>
      </c>
      <c r="X38" s="47">
        <v>4</v>
      </c>
      <c r="Y38" s="14">
        <f>Y37+1</f>
        <v>31</v>
      </c>
    </row>
    <row r="39" spans="1:25">
      <c r="A39" s="83">
        <f t="shared" si="7"/>
        <v>31</v>
      </c>
      <c r="B39" s="39" t="str">
        <f t="shared" ca="1" si="8"/>
        <v>Shuey, Jeffrey M</v>
      </c>
      <c r="C39" s="40">
        <f t="shared" si="9"/>
        <v>0</v>
      </c>
      <c r="D39" s="40">
        <f t="shared" si="10"/>
        <v>60</v>
      </c>
      <c r="E39" s="25">
        <f t="shared" si="11"/>
        <v>0.46153846153846156</v>
      </c>
      <c r="F39" s="11">
        <f t="shared" si="12"/>
        <v>16</v>
      </c>
      <c r="G39" s="16">
        <v>38</v>
      </c>
      <c r="H39" s="20">
        <f t="shared" si="13"/>
        <v>7</v>
      </c>
      <c r="I39" s="17">
        <f t="shared" ca="1" si="14"/>
        <v>7</v>
      </c>
      <c r="J39" s="17">
        <f t="shared" ca="1" si="15"/>
        <v>1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6</v>
      </c>
      <c r="M39" s="46">
        <f ca="1">IF($D$2&gt;=(COLUMN()-10),HLOOKUP($B39,INDIRECT(ADDRESS(2,11,1,,M$3)):INDIRECT(ADDRESS(25,playercnt+10,1,,M$3)),24),"")</f>
        <v>5</v>
      </c>
      <c r="N39" s="46">
        <f ca="1">IF($D$2&gt;=(COLUMN()-10),HLOOKUP($B39,INDIRECT(ADDRESS(2,11,1,,N$3)):INDIRECT(ADDRESS(25,playercnt+10,1,,N$3)),24),"")</f>
        <v>4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6</v>
      </c>
      <c r="Q39" s="46">
        <f ca="1">IF($D$2&gt;=(COLUMN()-10),HLOOKUP($B39,INDIRECT(ADDRESS(2,11,1,,Q$3)):INDIRECT(ADDRESS(25,playercnt+10,1,,Q$3)),24),"")</f>
        <v>4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1</v>
      </c>
      <c r="T39" s="46">
        <f ca="1">IF($D$2&gt;=(COLUMN()-10),HLOOKUP($B39,INDIRECT(ADDRESS(2,11,1,,T$3)):INDIRECT(ADDRESS(25,playercnt+10,1,,T$3)),24),"")</f>
        <v>3</v>
      </c>
      <c r="U39" s="46">
        <f ca="1">IF($D$2&gt;=(COLUMN()-10),HLOOKUP($B39,INDIRECT(ADDRESS(2,11,1,,U$3)):INDIRECT(ADDRESS(25,playercnt+10,1,,U$3)),24),"")</f>
        <v>6</v>
      </c>
      <c r="V39" s="46">
        <f ca="1">IF($D$2&gt;=(COLUMN()-10),HLOOKUP($B39,INDIRECT(ADDRESS(2,11,1,,V$3)):INDIRECT(ADDRESS(25,playercnt+10,1,,V$3)),24),"")</f>
        <v>3</v>
      </c>
      <c r="W39" s="46">
        <f ca="1">IF($D$2&gt;=(COLUMN()-10),HLOOKUP($B39,INDIRECT(ADDRESS(2,11,1,,W$3)):INDIRECT(ADDRESS(25,playercnt+10,1,,W$3)),24),"")</f>
        <v>7</v>
      </c>
      <c r="X39" s="14">
        <v>45</v>
      </c>
      <c r="Y39" s="14">
        <f t="shared" ref="Y39:Y44" si="18">Y38+1</f>
        <v>32</v>
      </c>
    </row>
    <row r="40" spans="1:25">
      <c r="A40" s="83">
        <f t="shared" ref="A40:A62" si="19">IF(D40=D39,A39,Y40)</f>
        <v>31</v>
      </c>
      <c r="B40" s="39" t="str">
        <f t="shared" ref="B40:B62" ca="1" si="20">INDIRECT(ADDRESS(2,10+INDIRECT(ADDRESS(ROW(),24)),,,"Chart"))</f>
        <v>Tunnell, Justin S</v>
      </c>
      <c r="C40" s="40">
        <f t="shared" ref="C40:C62" si="21">sumAcrossWkSheets(28,10,X40)</f>
        <v>0</v>
      </c>
      <c r="D40" s="40">
        <f t="shared" ref="D40:D62" si="22">sumAcrossWkSheets(25,10,X40)</f>
        <v>60</v>
      </c>
      <c r="E40" s="25">
        <f t="shared" ref="E40:E62" si="23">D40/games_completed</f>
        <v>0.46153846153846156</v>
      </c>
      <c r="F40" s="11">
        <f t="shared" ref="F40:F62" si="24">$D$8-D40</f>
        <v>16</v>
      </c>
      <c r="G40" s="43">
        <v>20</v>
      </c>
      <c r="H40" s="20">
        <f t="shared" ref="H40:H62" si="25">G40-A40</f>
        <v>-11</v>
      </c>
      <c r="I40" s="17">
        <f t="shared" ref="I40:I62" ca="1" si="26">MAX(K40:W40)</f>
        <v>8</v>
      </c>
      <c r="J40" s="17">
        <f t="shared" ref="J40:J62" ca="1" si="27">MIN(K40:W40)</f>
        <v>2</v>
      </c>
      <c r="K40" s="46">
        <f ca="1">IF($D$2&gt;=(COLUMN()-10),HLOOKUP($B40,INDIRECT(ADDRESS(2,11,1,,K$3)):INDIRECT(ADDRESS(25,playercnt+10,1,,K$3)),24),"")</f>
        <v>4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3</v>
      </c>
      <c r="N40" s="46">
        <f ca="1">IF($D$2&gt;=(COLUMN()-10),HLOOKUP($B40,INDIRECT(ADDRESS(2,11,1,,N$3)):INDIRECT(ADDRESS(25,playercnt+10,1,,N$3)),24),"")</f>
        <v>8</v>
      </c>
      <c r="O40" s="46">
        <f ca="1">IF($D$2&gt;=(COLUMN()-10),HLOOKUP($B40,INDIRECT(ADDRESS(2,11,1,,O$3)):INDIRECT(ADDRESS(25,playercnt+10,1,,O$3)),24),"")</f>
        <v>5</v>
      </c>
      <c r="P40" s="46">
        <f ca="1">IF($D$2&gt;=(COLUMN()-10),HLOOKUP($B40,INDIRECT(ADDRESS(2,11,1,,P$3)):INDIRECT(ADDRESS(25,playercnt+10,1,,P$3)),24),"")</f>
        <v>3</v>
      </c>
      <c r="Q40" s="46">
        <f ca="1">IF($D$2&gt;=(COLUMN()-10),HLOOKUP($B40,INDIRECT(ADDRESS(2,11,1,,Q$3)):INDIRECT(ADDRESS(25,playercnt+10,1,,Q$3)),24),"")</f>
        <v>5</v>
      </c>
      <c r="R40" s="46">
        <f ca="1">IF($D$2&gt;=(COLUMN()-10),HLOOKUP($B40,INDIRECT(ADDRESS(2,11,1,,R$3)):INDIRECT(ADDRESS(25,playercnt+10,1,,R$3)),24),"")</f>
        <v>5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6</v>
      </c>
      <c r="U40" s="46">
        <f ca="1">IF($D$2&gt;=(COLUMN()-10),HLOOKUP($B40,INDIRECT(ADDRESS(2,11,1,,U$3)):INDIRECT(ADDRESS(25,playercnt+10,1,,U$3)),24),"")</f>
        <v>5</v>
      </c>
      <c r="V40" s="46">
        <f ca="1">IF($D$2&gt;=(COLUMN()-10),HLOOKUP($B40,INDIRECT(ADDRESS(2,11,1,,V$3)):INDIRECT(ADDRESS(25,playercnt+10,1,,V$3)),24),"")</f>
        <v>5</v>
      </c>
      <c r="W40" s="46">
        <f ca="1">IF($D$2&gt;=(COLUMN()-10),HLOOKUP($B40,INDIRECT(ADDRESS(2,11,1,,W$3)):INDIRECT(ADDRESS(25,playercnt+10,1,,W$3)),24),"")</f>
        <v>2</v>
      </c>
      <c r="X40" s="47">
        <v>50</v>
      </c>
      <c r="Y40" s="14">
        <f t="shared" si="18"/>
        <v>33</v>
      </c>
    </row>
    <row r="41" spans="1:25">
      <c r="A41" s="83">
        <f t="shared" si="19"/>
        <v>34</v>
      </c>
      <c r="B41" s="39" t="str">
        <f t="shared" ca="1" si="20"/>
        <v>Edwards, Christopher S</v>
      </c>
      <c r="C41" s="40">
        <f t="shared" si="21"/>
        <v>1</v>
      </c>
      <c r="D41" s="40">
        <f t="shared" si="22"/>
        <v>59</v>
      </c>
      <c r="E41" s="25">
        <f t="shared" si="23"/>
        <v>0.45384615384615384</v>
      </c>
      <c r="F41" s="11">
        <f t="shared" si="24"/>
        <v>17</v>
      </c>
      <c r="G41" s="16">
        <v>26</v>
      </c>
      <c r="H41" s="20">
        <f t="shared" si="25"/>
        <v>-8</v>
      </c>
      <c r="I41" s="17">
        <f t="shared" ca="1" si="26"/>
        <v>7</v>
      </c>
      <c r="J41" s="17">
        <f t="shared" ca="1" si="27"/>
        <v>2</v>
      </c>
      <c r="K41" s="46">
        <f ca="1">IF($D$2&gt;=(COLUMN()-10),HLOOKUP($B41,INDIRECT(ADDRESS(2,11,1,,K$3)):INDIRECT(ADDRESS(25,playercnt+10,1,,K$3)),24),"")</f>
        <v>6</v>
      </c>
      <c r="L41" s="46">
        <f ca="1">IF($D$2&gt;=(COLUMN()-10),HLOOKUP($B41,INDIRECT(ADDRESS(2,11,1,,L$3)):INDIRECT(ADDRESS(25,playercnt+10,1,,L$3)),24),"")</f>
        <v>7</v>
      </c>
      <c r="M41" s="46">
        <f ca="1">IF($D$2&gt;=(COLUMN()-10),HLOOKUP($B41,INDIRECT(ADDRESS(2,11,1,,M$3)):INDIRECT(ADDRESS(25,playercnt+10,1,,M$3)),24),"")</f>
        <v>5</v>
      </c>
      <c r="N41" s="46">
        <f ca="1">IF($D$2&gt;=(COLUMN()-10),HLOOKUP($B41,INDIRECT(ADDRESS(2,11,1,,N$3)):INDIRECT(ADDRESS(25,playercnt+10,1,,N$3)),24),"")</f>
        <v>6</v>
      </c>
      <c r="O41" s="46">
        <f ca="1">IF($D$2&gt;=(COLUMN()-10),HLOOKUP($B41,INDIRECT(ADDRESS(2,11,1,,O$3)):INDIRECT(ADDRESS(25,playercnt+10,1,,O$3)),24),"")</f>
        <v>4</v>
      </c>
      <c r="P41" s="46">
        <f ca="1">IF($D$2&gt;=(COLUMN()-10),HLOOKUP($B41,INDIRECT(ADDRESS(2,11,1,,P$3)):INDIRECT(ADDRESS(25,playercnt+10,1,,P$3)),24),"")</f>
        <v>4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4</v>
      </c>
      <c r="S41" s="46">
        <f ca="1">IF($D$2&gt;=(COLUMN()-10),HLOOKUP($B41,INDIRECT(ADDRESS(2,11,1,,S$3)):INDIRECT(ADDRESS(25,playercnt+10,1,,S$3)),24),"")</f>
        <v>3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4</v>
      </c>
      <c r="V41" s="46">
        <f ca="1">IF($D$2&gt;=(COLUMN()-10),HLOOKUP($B41,INDIRECT(ADDRESS(2,11,1,,V$3)):INDIRECT(ADDRESS(25,playercnt+10,1,,V$3)),24),"")</f>
        <v>4</v>
      </c>
      <c r="W41" s="46">
        <f ca="1">IF($D$2&gt;=(COLUMN()-10),HLOOKUP($B41,INDIRECT(ADDRESS(2,11,1,,W$3)):INDIRECT(ADDRESS(25,playercnt+10,1,,W$3)),24),"")</f>
        <v>2</v>
      </c>
      <c r="X41" s="14">
        <v>13</v>
      </c>
      <c r="Y41" s="14">
        <f t="shared" si="18"/>
        <v>34</v>
      </c>
    </row>
    <row r="42" spans="1:25">
      <c r="A42" s="83">
        <f t="shared" si="19"/>
        <v>34</v>
      </c>
      <c r="B42" s="39" t="str">
        <f t="shared" ca="1" si="20"/>
        <v>Inabinet, Greg</v>
      </c>
      <c r="C42" s="40">
        <f t="shared" si="21"/>
        <v>0</v>
      </c>
      <c r="D42" s="40">
        <f t="shared" si="22"/>
        <v>59</v>
      </c>
      <c r="E42" s="25">
        <f t="shared" si="23"/>
        <v>0.45384615384615384</v>
      </c>
      <c r="F42" s="11">
        <f t="shared" si="24"/>
        <v>17</v>
      </c>
      <c r="G42" s="43">
        <v>33</v>
      </c>
      <c r="H42" s="20">
        <f t="shared" si="25"/>
        <v>-1</v>
      </c>
      <c r="I42" s="17">
        <f t="shared" ca="1" si="26"/>
        <v>8</v>
      </c>
      <c r="J42" s="17">
        <f t="shared" ca="1" si="27"/>
        <v>2</v>
      </c>
      <c r="K42" s="46">
        <f ca="1">IF($D$2&gt;=(COLUMN()-10),HLOOKUP($B42,INDIRECT(ADDRESS(2,11,1,,K$3)):INDIRECT(ADDRESS(25,playercnt+10,1,,K$3)),24),"")</f>
        <v>5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4</v>
      </c>
      <c r="N42" s="46">
        <f ca="1">IF($D$2&gt;=(COLUMN()-10),HLOOKUP($B42,INDIRECT(ADDRESS(2,11,1,,N$3)):INDIRECT(ADDRESS(25,playercnt+10,1,,N$3)),24),"")</f>
        <v>6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2</v>
      </c>
      <c r="Q42" s="46">
        <f ca="1">IF($D$2&gt;=(COLUMN()-10),HLOOKUP($B42,INDIRECT(ADDRESS(2,11,1,,Q$3)):INDIRECT(ADDRESS(25,playercnt+10,1,,Q$3)),24),"")</f>
        <v>3</v>
      </c>
      <c r="R42" s="46">
        <f ca="1">IF($D$2&gt;=(COLUMN()-10),HLOOKUP($B42,INDIRECT(ADDRESS(2,11,1,,R$3)):INDIRECT(ADDRESS(25,playercnt+10,1,,R$3)),24),"")</f>
        <v>8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4</v>
      </c>
      <c r="U42" s="46">
        <f ca="1">IF($D$2&gt;=(COLUMN()-10),HLOOKUP($B42,INDIRECT(ADDRESS(2,11,1,,U$3)):INDIRECT(ADDRESS(25,playercnt+10,1,,U$3)),24),"")</f>
        <v>4</v>
      </c>
      <c r="V42" s="46">
        <f ca="1">IF($D$2&gt;=(COLUMN()-10),HLOOKUP($B42,INDIRECT(ADDRESS(2,11,1,,V$3)):INDIRECT(ADDRESS(25,playercnt+10,1,,V$3)),24),"")</f>
        <v>5</v>
      </c>
      <c r="W42" s="46">
        <f ca="1">IF($D$2&gt;=(COLUMN()-10),HLOOKUP($B42,INDIRECT(ADDRESS(2,11,1,,W$3)):INDIRECT(ADDRESS(25,playercnt+10,1,,W$3)),24),"")</f>
        <v>4</v>
      </c>
      <c r="X42" s="47">
        <v>23</v>
      </c>
      <c r="Y42" s="14">
        <f t="shared" si="18"/>
        <v>35</v>
      </c>
    </row>
    <row r="43" spans="1:25">
      <c r="A43" s="83">
        <f t="shared" si="19"/>
        <v>34</v>
      </c>
      <c r="B43" s="39" t="str">
        <f t="shared" ca="1" si="20"/>
        <v>Locklear, Dave Remote</v>
      </c>
      <c r="C43" s="40">
        <f t="shared" si="21"/>
        <v>0</v>
      </c>
      <c r="D43" s="40">
        <f t="shared" si="22"/>
        <v>59</v>
      </c>
      <c r="E43" s="25">
        <f t="shared" si="23"/>
        <v>0.45384615384615384</v>
      </c>
      <c r="F43" s="11">
        <f t="shared" si="24"/>
        <v>17</v>
      </c>
      <c r="G43" s="16">
        <v>36</v>
      </c>
      <c r="H43" s="20">
        <f t="shared" si="25"/>
        <v>2</v>
      </c>
      <c r="I43" s="17">
        <f t="shared" ca="1" si="26"/>
        <v>9</v>
      </c>
      <c r="J43" s="17">
        <f t="shared" ca="1" si="27"/>
        <v>2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4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9</v>
      </c>
      <c r="O43" s="46">
        <f ca="1">IF($D$2&gt;=(COLUMN()-10),HLOOKUP($B43,INDIRECT(ADDRESS(2,11,1,,O$3)):INDIRECT(ADDRESS(25,playercnt+10,1,,O$3)),24),"")</f>
        <v>5</v>
      </c>
      <c r="P43" s="46">
        <f ca="1">IF($D$2&gt;=(COLUMN()-10),HLOOKUP($B43,INDIRECT(ADDRESS(2,11,1,,P$3)):INDIRECT(ADDRESS(25,playercnt+10,1,,P$3)),24),"")</f>
        <v>3</v>
      </c>
      <c r="Q43" s="46">
        <f ca="1">IF($D$2&gt;=(COLUMN()-10),HLOOKUP($B43,INDIRECT(ADDRESS(2,11,1,,Q$3)):INDIRECT(ADDRESS(25,playercnt+10,1,,Q$3)),24),"")</f>
        <v>2</v>
      </c>
      <c r="R43" s="46">
        <f ca="1">IF($D$2&gt;=(COLUMN()-10),HLOOKUP($B43,INDIRECT(ADDRESS(2,11,1,,R$3)):INDIRECT(ADDRESS(25,playercnt+10,1,,R$3)),24),"")</f>
        <v>2</v>
      </c>
      <c r="S43" s="46">
        <f ca="1">IF($D$2&gt;=(COLUMN()-10),HLOOKUP($B43,INDIRECT(ADDRESS(2,11,1,,S$3)):INDIRECT(ADDRESS(25,playercnt+10,1,,S$3)),24),"")</f>
        <v>7</v>
      </c>
      <c r="T43" s="46">
        <f ca="1">IF($D$2&gt;=(COLUMN()-10),HLOOKUP($B43,INDIRECT(ADDRESS(2,11,1,,T$3)):INDIRECT(ADDRESS(25,playercnt+10,1,,T$3)),24),"")</f>
        <v>6</v>
      </c>
      <c r="U43" s="46">
        <f ca="1">IF($D$2&gt;=(COLUMN()-10),HLOOKUP($B43,INDIRECT(ADDRESS(2,11,1,,U$3)):INDIRECT(ADDRESS(25,playercnt+10,1,,U$3)),24),"")</f>
        <v>3</v>
      </c>
      <c r="V43" s="46">
        <f ca="1">IF($D$2&gt;=(COLUMN()-10),HLOOKUP($B43,INDIRECT(ADDRESS(2,11,1,,V$3)):INDIRECT(ADDRESS(25,playercnt+10,1,,V$3)),24),"")</f>
        <v>5</v>
      </c>
      <c r="W43" s="46">
        <f ca="1">IF($D$2&gt;=(COLUMN()-10),HLOOKUP($B43,INDIRECT(ADDRESS(2,11,1,,W$3)):INDIRECT(ADDRESS(25,playercnt+10,1,,W$3)),24),"")</f>
        <v>5</v>
      </c>
      <c r="X43" s="14">
        <v>27</v>
      </c>
      <c r="Y43" s="14">
        <f t="shared" si="18"/>
        <v>36</v>
      </c>
    </row>
    <row r="44" spans="1:25">
      <c r="A44" s="83">
        <f t="shared" si="19"/>
        <v>34</v>
      </c>
      <c r="B44" s="39" t="str">
        <f t="shared" ca="1" si="20"/>
        <v>Staub, Kevin</v>
      </c>
      <c r="C44" s="40">
        <f t="shared" si="21"/>
        <v>0</v>
      </c>
      <c r="D44" s="40">
        <f t="shared" si="22"/>
        <v>59</v>
      </c>
      <c r="E44" s="25">
        <f t="shared" si="23"/>
        <v>0.45384615384615384</v>
      </c>
      <c r="F44" s="11">
        <f t="shared" si="24"/>
        <v>17</v>
      </c>
      <c r="G44" s="43">
        <v>36</v>
      </c>
      <c r="H44" s="20">
        <f t="shared" si="25"/>
        <v>2</v>
      </c>
      <c r="I44" s="17">
        <f t="shared" ca="1" si="26"/>
        <v>6</v>
      </c>
      <c r="J44" s="17">
        <f t="shared" ca="1" si="27"/>
        <v>2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2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5</v>
      </c>
      <c r="O44" s="46">
        <f ca="1">IF($D$2&gt;=(COLUMN()-10),HLOOKUP($B44,INDIRECT(ADDRESS(2,11,1,,O$3)):INDIRECT(ADDRESS(25,playercnt+10,1,,O$3)),24),"")</f>
        <v>5</v>
      </c>
      <c r="P44" s="46">
        <f ca="1">IF($D$2&gt;=(COLUMN()-10),HLOOKUP($B44,INDIRECT(ADDRESS(2,11,1,,P$3)):INDIRECT(ADDRESS(25,playercnt+10,1,,P$3)),24),"")</f>
        <v>4</v>
      </c>
      <c r="Q44" s="46">
        <f ca="1">IF($D$2&gt;=(COLUMN()-10),HLOOKUP($B44,INDIRECT(ADDRESS(2,11,1,,Q$3)):INDIRECT(ADDRESS(25,playercnt+10,1,,Q$3)),24),"")</f>
        <v>2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6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5</v>
      </c>
      <c r="V44" s="46">
        <f ca="1">IF($D$2&gt;=(COLUMN()-10),HLOOKUP($B44,INDIRECT(ADDRESS(2,11,1,,V$3)):INDIRECT(ADDRESS(25,playercnt+10,1,,V$3)),24),"")</f>
        <v>6</v>
      </c>
      <c r="W44" s="46">
        <f ca="1">IF($D$2&gt;=(COLUMN()-10),HLOOKUP($B44,INDIRECT(ADDRESS(2,11,1,,W$3)):INDIRECT(ADDRESS(25,playercnt+10,1,,W$3)),24),"")</f>
        <v>5</v>
      </c>
      <c r="X44" s="47">
        <v>46</v>
      </c>
      <c r="Y44" s="14">
        <f t="shared" si="18"/>
        <v>37</v>
      </c>
    </row>
    <row r="45" spans="1:25">
      <c r="A45" s="83">
        <f t="shared" si="19"/>
        <v>34</v>
      </c>
      <c r="B45" s="39" t="str">
        <f t="shared" ca="1" si="20"/>
        <v>White, Jarred</v>
      </c>
      <c r="C45" s="40">
        <f t="shared" si="21"/>
        <v>0</v>
      </c>
      <c r="D45" s="40">
        <f t="shared" si="22"/>
        <v>59</v>
      </c>
      <c r="E45" s="25">
        <f t="shared" si="23"/>
        <v>0.45384615384615384</v>
      </c>
      <c r="F45" s="11">
        <f t="shared" si="24"/>
        <v>17</v>
      </c>
      <c r="G45" s="16">
        <v>38</v>
      </c>
      <c r="H45" s="20">
        <f t="shared" si="25"/>
        <v>4</v>
      </c>
      <c r="I45" s="17">
        <f t="shared" ca="1" si="26"/>
        <v>6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5</v>
      </c>
      <c r="M45" s="46">
        <f ca="1">IF($D$2&gt;=(COLUMN()-10),HLOOKUP($B45,INDIRECT(ADDRESS(2,11,1,,M$3)):INDIRECT(ADDRESS(25,playercnt+10,1,,M$3)),24),"")</f>
        <v>5</v>
      </c>
      <c r="N45" s="46">
        <f ca="1">IF($D$2&gt;=(COLUMN()-10),HLOOKUP($B45,INDIRECT(ADDRESS(2,11,1,,N$3)):INDIRECT(ADDRESS(25,playercnt+10,1,,N$3)),24),"")</f>
        <v>2</v>
      </c>
      <c r="O45" s="46">
        <f ca="1">IF($D$2&gt;=(COLUMN()-10),HLOOKUP($B45,INDIRECT(ADDRESS(2,11,1,,O$3)):INDIRECT(ADDRESS(25,playercnt+10,1,,O$3)),24),"")</f>
        <v>4</v>
      </c>
      <c r="P45" s="46">
        <f ca="1">IF($D$2&gt;=(COLUMN()-10),HLOOKUP($B45,INDIRECT(ADDRESS(2,11,1,,P$3)):INDIRECT(ADDRESS(25,playercnt+10,1,,P$3)),24),"")</f>
        <v>3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5</v>
      </c>
      <c r="S45" s="46">
        <f ca="1">IF($D$2&gt;=(COLUMN()-10),HLOOKUP($B45,INDIRECT(ADDRESS(2,11,1,,S$3)):INDIRECT(ADDRESS(25,playercnt+10,1,,S$3)),24),"")</f>
        <v>4</v>
      </c>
      <c r="T45" s="46">
        <f ca="1">IF($D$2&gt;=(COLUMN()-10),HLOOKUP($B45,INDIRECT(ADDRESS(2,11,1,,T$3)):INDIRECT(ADDRESS(25,playercnt+10,1,,T$3)),24),"")</f>
        <v>6</v>
      </c>
      <c r="U45" s="46">
        <f ca="1">IF($D$2&gt;=(COLUMN()-10),HLOOKUP($B45,INDIRECT(ADDRESS(2,11,1,,U$3)):INDIRECT(ADDRESS(25,playercnt+10,1,,U$3)),24),"")</f>
        <v>6</v>
      </c>
      <c r="V45" s="46">
        <f ca="1">IF($D$2&gt;=(COLUMN()-10),HLOOKUP($B45,INDIRECT(ADDRESS(2,11,1,,V$3)):INDIRECT(ADDRESS(25,playercnt+10,1,,V$3)),24),"")</f>
        <v>3</v>
      </c>
      <c r="W45" s="46">
        <f ca="1">IF($D$2&gt;=(COLUMN()-10),HLOOKUP($B45,INDIRECT(ADDRESS(2,11,1,,W$3)):INDIRECT(ADDRESS(25,playercnt+10,1,,W$3)),24),"")</f>
        <v>6</v>
      </c>
      <c r="X45" s="14">
        <v>53</v>
      </c>
      <c r="Y45" s="14">
        <f t="shared" ref="Y45:Y50" si="28">Y44+1</f>
        <v>38</v>
      </c>
    </row>
    <row r="46" spans="1:25">
      <c r="A46" s="83">
        <f t="shared" si="19"/>
        <v>39</v>
      </c>
      <c r="B46" s="39" t="str">
        <f t="shared" ca="1" si="20"/>
        <v>Reams, Byron L</v>
      </c>
      <c r="C46" s="40">
        <f t="shared" si="21"/>
        <v>0</v>
      </c>
      <c r="D46" s="40">
        <f t="shared" si="22"/>
        <v>58</v>
      </c>
      <c r="E46" s="25">
        <f t="shared" si="23"/>
        <v>0.44615384615384618</v>
      </c>
      <c r="F46" s="11">
        <f t="shared" si="24"/>
        <v>18</v>
      </c>
      <c r="G46" s="43">
        <v>38</v>
      </c>
      <c r="H46" s="20">
        <f t="shared" si="25"/>
        <v>-1</v>
      </c>
      <c r="I46" s="17">
        <f t="shared" ca="1" si="26"/>
        <v>7</v>
      </c>
      <c r="J46" s="17">
        <f t="shared" ca="1" si="27"/>
        <v>1</v>
      </c>
      <c r="K46" s="46">
        <f ca="1">IF($D$2&gt;=(COLUMN()-10),HLOOKUP($B46,INDIRECT(ADDRESS(2,11,1,,K$3)):INDIRECT(ADDRESS(25,playercnt+10,1,,K$3)),24),"")</f>
        <v>1</v>
      </c>
      <c r="L46" s="46">
        <f ca="1">IF($D$2&gt;=(COLUMN()-10),HLOOKUP($B46,INDIRECT(ADDRESS(2,11,1,,L$3)):INDIRECT(ADDRESS(25,playercnt+10,1,,L$3)),24),"")</f>
        <v>5</v>
      </c>
      <c r="M46" s="46">
        <f ca="1">IF($D$2&gt;=(COLUMN()-10),HLOOKUP($B46,INDIRECT(ADDRESS(2,11,1,,M$3)):INDIRECT(ADDRESS(25,playercnt+10,1,,M$3)),24),"")</f>
        <v>3</v>
      </c>
      <c r="N46" s="46">
        <f ca="1">IF($D$2&gt;=(COLUMN()-10),HLOOKUP($B46,INDIRECT(ADDRESS(2,11,1,,N$3)):INDIRECT(ADDRESS(25,playercnt+10,1,,N$3)),24),"")</f>
        <v>7</v>
      </c>
      <c r="O46" s="46">
        <f ca="1">IF($D$2&gt;=(COLUMN()-10),HLOOKUP($B46,INDIRECT(ADDRESS(2,11,1,,O$3)):INDIRECT(ADDRESS(25,playercnt+10,1,,O$3)),24),"")</f>
        <v>4</v>
      </c>
      <c r="P46" s="46">
        <f ca="1">IF($D$2&gt;=(COLUMN()-10),HLOOKUP($B46,INDIRECT(ADDRESS(2,11,1,,P$3)):INDIRECT(ADDRESS(25,playercnt+10,1,,P$3)),24),"")</f>
        <v>3</v>
      </c>
      <c r="Q46" s="46">
        <f ca="1">IF($D$2&gt;=(COLUMN()-10),HLOOKUP($B46,INDIRECT(ADDRESS(2,11,1,,Q$3)):INDIRECT(ADDRESS(25,playercnt+10,1,,Q$3)),24),"")</f>
        <v>4</v>
      </c>
      <c r="R46" s="46">
        <f ca="1">IF($D$2&gt;=(COLUMN()-10),HLOOKUP($B46,INDIRECT(ADDRESS(2,11,1,,R$3)):INDIRECT(ADDRESS(25,playercnt+10,1,,R$3)),24),"")</f>
        <v>3</v>
      </c>
      <c r="S46" s="46">
        <f ca="1">IF($D$2&gt;=(COLUMN()-10),HLOOKUP($B46,INDIRECT(ADDRESS(2,11,1,,S$3)):INDIRECT(ADDRESS(25,playercnt+10,1,,S$3)),24),"")</f>
        <v>4</v>
      </c>
      <c r="T46" s="46">
        <f ca="1">IF($D$2&gt;=(COLUMN()-10),HLOOKUP($B46,INDIRECT(ADDRESS(2,11,1,,T$3)):INDIRECT(ADDRESS(25,playercnt+10,1,,T$3)),24),"")</f>
        <v>5</v>
      </c>
      <c r="U46" s="46">
        <f ca="1">IF($D$2&gt;=(COLUMN()-10),HLOOKUP($B46,INDIRECT(ADDRESS(2,11,1,,U$3)):INDIRECT(ADDRESS(25,playercnt+10,1,,U$3)),24),"")</f>
        <v>7</v>
      </c>
      <c r="V46" s="46">
        <f ca="1">IF($D$2&gt;=(COLUMN()-10),HLOOKUP($B46,INDIRECT(ADDRESS(2,11,1,,V$3)):INDIRECT(ADDRESS(25,playercnt+10,1,,V$3)),24),"")</f>
        <v>7</v>
      </c>
      <c r="W46" s="46">
        <f ca="1">IF($D$2&gt;=(COLUMN()-10),HLOOKUP($B46,INDIRECT(ADDRESS(2,11,1,,W$3)):INDIRECT(ADDRESS(25,playercnt+10,1,,W$3)),24),"")</f>
        <v>5</v>
      </c>
      <c r="X46" s="47">
        <v>39</v>
      </c>
      <c r="Y46" s="14">
        <f t="shared" si="28"/>
        <v>39</v>
      </c>
    </row>
    <row r="47" spans="1:25">
      <c r="A47" s="83">
        <f t="shared" si="19"/>
        <v>40</v>
      </c>
      <c r="B47" s="39" t="str">
        <f t="shared" ca="1" si="20"/>
        <v>Emptage, Nick</v>
      </c>
      <c r="C47" s="40">
        <f t="shared" si="21"/>
        <v>0</v>
      </c>
      <c r="D47" s="40">
        <f t="shared" si="22"/>
        <v>57</v>
      </c>
      <c r="E47" s="25">
        <f t="shared" si="23"/>
        <v>0.43846153846153846</v>
      </c>
      <c r="F47" s="11">
        <f t="shared" si="24"/>
        <v>19</v>
      </c>
      <c r="G47" s="16">
        <v>45</v>
      </c>
      <c r="H47" s="20">
        <f t="shared" si="25"/>
        <v>5</v>
      </c>
      <c r="I47" s="17">
        <f t="shared" ca="1" si="26"/>
        <v>6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4</v>
      </c>
      <c r="L47" s="46">
        <f ca="1">IF($D$2&gt;=(COLUMN()-10),HLOOKUP($B47,INDIRECT(ADDRESS(2,11,1,,L$3)):INDIRECT(ADDRESS(25,playercnt+10,1,,L$3)),24),"")</f>
        <v>3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5</v>
      </c>
      <c r="O47" s="46">
        <f ca="1">IF($D$2&gt;=(COLUMN()-10),HLOOKUP($B47,INDIRECT(ADDRESS(2,11,1,,O$3)):INDIRECT(ADDRESS(25,playercnt+10,1,,O$3)),24),"")</f>
        <v>5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3</v>
      </c>
      <c r="R47" s="46">
        <f ca="1">IF($D$2&gt;=(COLUMN()-10),HLOOKUP($B47,INDIRECT(ADDRESS(2,11,1,,R$3)):INDIRECT(ADDRESS(25,playercnt+10,1,,R$3)),24),"")</f>
        <v>6</v>
      </c>
      <c r="S47" s="46">
        <f ca="1">IF($D$2&gt;=(COLUMN()-10),HLOOKUP($B47,INDIRECT(ADDRESS(2,11,1,,S$3)):INDIRECT(ADDRESS(25,playercnt+10,1,,S$3)),24),"")</f>
        <v>5</v>
      </c>
      <c r="T47" s="46">
        <f ca="1">IF($D$2&gt;=(COLUMN()-10),HLOOKUP($B47,INDIRECT(ADDRESS(2,11,1,,T$3)):INDIRECT(ADDRESS(25,playercnt+10,1,,T$3)),24),"")</f>
        <v>3</v>
      </c>
      <c r="U47" s="46">
        <f ca="1">IF($D$2&gt;=(COLUMN()-10),HLOOKUP($B47,INDIRECT(ADDRESS(2,11,1,,U$3)):INDIRECT(ADDRESS(25,playercnt+10,1,,U$3)),24),"")</f>
        <v>5</v>
      </c>
      <c r="V47" s="46">
        <f ca="1">IF($D$2&gt;=(COLUMN()-10),HLOOKUP($B47,INDIRECT(ADDRESS(2,11,1,,V$3)):INDIRECT(ADDRESS(25,playercnt+10,1,,V$3)),24),"")</f>
        <v>5</v>
      </c>
      <c r="W47" s="46">
        <f ca="1">IF($D$2&gt;=(COLUMN()-10),HLOOKUP($B47,INDIRECT(ADDRESS(2,11,1,,W$3)):INDIRECT(ADDRESS(25,playercnt+10,1,,W$3)),24),"")</f>
        <v>6</v>
      </c>
      <c r="X47" s="14">
        <v>14</v>
      </c>
      <c r="Y47" s="14">
        <f t="shared" si="28"/>
        <v>40</v>
      </c>
    </row>
    <row r="48" spans="1:25">
      <c r="A48" s="83">
        <f t="shared" si="19"/>
        <v>40</v>
      </c>
      <c r="B48" s="39" t="str">
        <f t="shared" ca="1" si="20"/>
        <v>Martin, Douglas C</v>
      </c>
      <c r="C48" s="40">
        <f t="shared" si="21"/>
        <v>0</v>
      </c>
      <c r="D48" s="40">
        <f t="shared" si="22"/>
        <v>57</v>
      </c>
      <c r="E48" s="25">
        <f t="shared" si="23"/>
        <v>0.43846153846153846</v>
      </c>
      <c r="F48" s="11">
        <f t="shared" si="24"/>
        <v>19</v>
      </c>
      <c r="G48" s="43">
        <v>42</v>
      </c>
      <c r="H48" s="20">
        <f t="shared" si="25"/>
        <v>2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2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4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4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4</v>
      </c>
      <c r="R48" s="46">
        <f ca="1">IF($D$2&gt;=(COLUMN()-10),HLOOKUP($B48,INDIRECT(ADDRESS(2,11,1,,R$3)):INDIRECT(ADDRESS(25,playercnt+10,1,,R$3)),24),"")</f>
        <v>5</v>
      </c>
      <c r="S48" s="46">
        <f ca="1">IF($D$2&gt;=(COLUMN()-10),HLOOKUP($B48,INDIRECT(ADDRESS(2,11,1,,S$3)):INDIRECT(ADDRESS(25,playercnt+10,1,,S$3)),24),"")</f>
        <v>3</v>
      </c>
      <c r="T48" s="46">
        <f ca="1">IF($D$2&gt;=(COLUMN()-10),HLOOKUP($B48,INDIRECT(ADDRESS(2,11,1,,T$3)):INDIRECT(ADDRESS(25,playercnt+10,1,,T$3)),24),"")</f>
        <v>4</v>
      </c>
      <c r="U48" s="46">
        <f ca="1">IF($D$2&gt;=(COLUMN()-10),HLOOKUP($B48,INDIRECT(ADDRESS(2,11,1,,U$3)):INDIRECT(ADDRESS(25,playercnt+10,1,,U$3)),24),"")</f>
        <v>6</v>
      </c>
      <c r="V48" s="46">
        <f ca="1">IF($D$2&gt;=(COLUMN()-10),HLOOKUP($B48,INDIRECT(ADDRESS(2,11,1,,V$3)):INDIRECT(ADDRESS(25,playercnt+10,1,,V$3)),24),"")</f>
        <v>4</v>
      </c>
      <c r="W48" s="46">
        <f ca="1">IF($D$2&gt;=(COLUMN()-10),HLOOKUP($B48,INDIRECT(ADDRESS(2,11,1,,W$3)):INDIRECT(ADDRESS(25,playercnt+10,1,,W$3)),24),"")</f>
        <v>5</v>
      </c>
      <c r="X48" s="47">
        <v>29</v>
      </c>
      <c r="Y48" s="14">
        <f t="shared" si="28"/>
        <v>41</v>
      </c>
    </row>
    <row r="49" spans="1:25">
      <c r="A49" s="83">
        <f t="shared" si="19"/>
        <v>40</v>
      </c>
      <c r="B49" s="39" t="str">
        <f t="shared" ca="1" si="20"/>
        <v>Puga, Moises</v>
      </c>
      <c r="C49" s="40">
        <f t="shared" si="21"/>
        <v>0</v>
      </c>
      <c r="D49" s="40">
        <f t="shared" si="22"/>
        <v>57</v>
      </c>
      <c r="E49" s="25">
        <f t="shared" si="23"/>
        <v>0.43846153846153846</v>
      </c>
      <c r="F49" s="11">
        <f t="shared" si="24"/>
        <v>19</v>
      </c>
      <c r="G49" s="16">
        <v>33</v>
      </c>
      <c r="H49" s="20">
        <f t="shared" si="25"/>
        <v>-7</v>
      </c>
      <c r="I49" s="17">
        <f t="shared" ca="1" si="26"/>
        <v>8</v>
      </c>
      <c r="J49" s="17">
        <f t="shared" ca="1" si="27"/>
        <v>2</v>
      </c>
      <c r="K49" s="46">
        <f ca="1">IF($D$2&gt;=(COLUMN()-10),HLOOKUP($B49,INDIRECT(ADDRESS(2,11,1,,K$3)):INDIRECT(ADDRESS(25,playercnt+10,1,,K$3)),24),"")</f>
        <v>4</v>
      </c>
      <c r="L49" s="46">
        <f ca="1">IF($D$2&gt;=(COLUMN()-10),HLOOKUP($B49,INDIRECT(ADDRESS(2,11,1,,L$3)):INDIRECT(ADDRESS(25,playercnt+10,1,,L$3)),24),"")</f>
        <v>4</v>
      </c>
      <c r="M49" s="46">
        <f ca="1">IF($D$2&gt;=(COLUMN()-10),HLOOKUP($B49,INDIRECT(ADDRESS(2,11,1,,M$3)):INDIRECT(ADDRESS(25,playercnt+10,1,,M$3)),24),"")</f>
        <v>2</v>
      </c>
      <c r="N49" s="46">
        <f ca="1">IF($D$2&gt;=(COLUMN()-10),HLOOKUP($B49,INDIRECT(ADDRESS(2,11,1,,N$3)):INDIRECT(ADDRESS(25,playercnt+10,1,,N$3)),24),"")</f>
        <v>8</v>
      </c>
      <c r="O49" s="46">
        <f ca="1">IF($D$2&gt;=(COLUMN()-10),HLOOKUP($B49,INDIRECT(ADDRESS(2,11,1,,O$3)):INDIRECT(ADDRESS(25,playercnt+10,1,,O$3)),24),"")</f>
        <v>5</v>
      </c>
      <c r="P49" s="46">
        <f ca="1">IF($D$2&gt;=(COLUMN()-10),HLOOKUP($B49,INDIRECT(ADDRESS(2,11,1,,P$3)):INDIRECT(ADDRESS(25,playercnt+10,1,,P$3)),24),"")</f>
        <v>2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5</v>
      </c>
      <c r="S49" s="46">
        <f ca="1">IF($D$2&gt;=(COLUMN()-10),HLOOKUP($B49,INDIRECT(ADDRESS(2,11,1,,S$3)):INDIRECT(ADDRESS(25,playercnt+10,1,,S$3)),24),"")</f>
        <v>6</v>
      </c>
      <c r="T49" s="46">
        <f ca="1">IF($D$2&gt;=(COLUMN()-10),HLOOKUP($B49,INDIRECT(ADDRESS(2,11,1,,T$3)):INDIRECT(ADDRESS(25,playercnt+10,1,,T$3)),24),"")</f>
        <v>6</v>
      </c>
      <c r="U49" s="46">
        <f ca="1">IF($D$2&gt;=(COLUMN()-10),HLOOKUP($B49,INDIRECT(ADDRESS(2,11,1,,U$3)):INDIRECT(ADDRESS(25,playercnt+10,1,,U$3)),24),"")</f>
        <v>4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2</v>
      </c>
      <c r="X49" s="47">
        <v>38</v>
      </c>
      <c r="Y49" s="14">
        <f t="shared" si="28"/>
        <v>42</v>
      </c>
    </row>
    <row r="50" spans="1:25">
      <c r="A50" s="83">
        <f t="shared" si="19"/>
        <v>43</v>
      </c>
      <c r="B50" s="39" t="str">
        <f t="shared" ca="1" si="20"/>
        <v>Holley, Jeremy Remote</v>
      </c>
      <c r="C50" s="40">
        <f t="shared" si="21"/>
        <v>1</v>
      </c>
      <c r="D50" s="40">
        <f t="shared" si="22"/>
        <v>56</v>
      </c>
      <c r="E50" s="25">
        <f t="shared" si="23"/>
        <v>0.43076923076923079</v>
      </c>
      <c r="F50" s="11">
        <f t="shared" si="24"/>
        <v>20</v>
      </c>
      <c r="G50" s="43">
        <v>48</v>
      </c>
      <c r="H50" s="20">
        <f t="shared" si="25"/>
        <v>5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6</v>
      </c>
      <c r="L50" s="46">
        <f ca="1">IF($D$2&gt;=(COLUMN()-10),HLOOKUP($B50,INDIRECT(ADDRESS(2,11,1,,L$3)):INDIRECT(ADDRESS(25,playercnt+10,1,,L$3)),24),"")</f>
        <v>5</v>
      </c>
      <c r="M50" s="46">
        <f ca="1">IF($D$2&gt;=(COLUMN()-10),HLOOKUP($B50,INDIRECT(ADDRESS(2,11,1,,M$3)):INDIRECT(ADDRESS(25,playercnt+10,1,,M$3)),24),"")</f>
        <v>2</v>
      </c>
      <c r="N50" s="46">
        <f ca="1">IF($D$2&gt;=(COLUMN()-10),HLOOKUP($B50,INDIRECT(ADDRESS(2,11,1,,N$3)):INDIRECT(ADDRESS(25,playercnt+10,1,,N$3)),24),"")</f>
        <v>5</v>
      </c>
      <c r="O50" s="46">
        <f ca="1">IF($D$2&gt;=(COLUMN()-10),HLOOKUP($B50,INDIRECT(ADDRESS(2,11,1,,O$3)):INDIRECT(ADDRESS(25,playercnt+10,1,,O$3)),24),"")</f>
        <v>5</v>
      </c>
      <c r="P50" s="46">
        <f ca="1">IF($D$2&gt;=(COLUMN()-10),HLOOKUP($B50,INDIRECT(ADDRESS(2,11,1,,P$3)):INDIRECT(ADDRESS(25,playercnt+10,1,,P$3)),24),"")</f>
        <v>4</v>
      </c>
      <c r="Q50" s="46">
        <f ca="1">IF($D$2&gt;=(COLUMN()-10),HLOOKUP($B50,INDIRECT(ADDRESS(2,11,1,,Q$3)):INDIRECT(ADDRESS(25,playercnt+10,1,,Q$3)),24),"")</f>
        <v>3</v>
      </c>
      <c r="R50" s="46">
        <f ca="1">IF($D$2&gt;=(COLUMN()-10),HLOOKUP($B50,INDIRECT(ADDRESS(2,11,1,,R$3)):INDIRECT(ADDRESS(25,playercnt+10,1,,R$3)),24),"")</f>
        <v>2</v>
      </c>
      <c r="S50" s="46">
        <f ca="1">IF($D$2&gt;=(COLUMN()-10),HLOOKUP($B50,INDIRECT(ADDRESS(2,11,1,,S$3)):INDIRECT(ADDRESS(25,playercnt+10,1,,S$3)),24),"")</f>
        <v>4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5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7</v>
      </c>
      <c r="X50" s="47">
        <v>22</v>
      </c>
      <c r="Y50" s="14">
        <f t="shared" si="28"/>
        <v>43</v>
      </c>
    </row>
    <row r="51" spans="1:25">
      <c r="A51" s="83">
        <f t="shared" si="19"/>
        <v>43</v>
      </c>
      <c r="B51" s="39" t="str">
        <f t="shared" ca="1" si="20"/>
        <v>Sapp, Carl G</v>
      </c>
      <c r="C51" s="40">
        <f t="shared" si="21"/>
        <v>0</v>
      </c>
      <c r="D51" s="40">
        <f t="shared" si="22"/>
        <v>56</v>
      </c>
      <c r="E51" s="25">
        <f t="shared" si="23"/>
        <v>0.43076923076923079</v>
      </c>
      <c r="F51" s="11">
        <f t="shared" si="24"/>
        <v>20</v>
      </c>
      <c r="G51" s="16">
        <v>42</v>
      </c>
      <c r="H51" s="20">
        <f t="shared" si="25"/>
        <v>-1</v>
      </c>
      <c r="I51" s="17">
        <f t="shared" ca="1" si="26"/>
        <v>6</v>
      </c>
      <c r="J51" s="17">
        <f t="shared" ca="1" si="27"/>
        <v>2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4</v>
      </c>
      <c r="M51" s="46">
        <f ca="1">IF($D$2&gt;=(COLUMN()-10),HLOOKUP($B51,INDIRECT(ADDRESS(2,11,1,,M$3)):INDIRECT(ADDRESS(25,playercnt+10,1,,M$3)),24),"")</f>
        <v>5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3</v>
      </c>
      <c r="Q51" s="46">
        <f ca="1">IF($D$2&gt;=(COLUMN()-10),HLOOKUP($B51,INDIRECT(ADDRESS(2,11,1,,Q$3)):INDIRECT(ADDRESS(25,playercnt+10,1,,Q$3)),24),"")</f>
        <v>2</v>
      </c>
      <c r="R51" s="46">
        <f ca="1">IF($D$2&gt;=(COLUMN()-10),HLOOKUP($B51,INDIRECT(ADDRESS(2,11,1,,R$3)):INDIRECT(ADDRESS(25,playercnt+10,1,,R$3)),24),"")</f>
        <v>3</v>
      </c>
      <c r="S51" s="46">
        <f ca="1">IF($D$2&gt;=(COLUMN()-10),HLOOKUP($B51,INDIRECT(ADDRESS(2,11,1,,S$3)):INDIRECT(ADDRESS(25,playercnt+10,1,,S$3)),24),"")</f>
        <v>4</v>
      </c>
      <c r="T51" s="46">
        <f ca="1">IF($D$2&gt;=(COLUMN()-10),HLOOKUP($B51,INDIRECT(ADDRESS(2,11,1,,T$3)):INDIRECT(ADDRESS(25,playercnt+10,1,,T$3)),24),"")</f>
        <v>5</v>
      </c>
      <c r="U51" s="46">
        <f ca="1">IF($D$2&gt;=(COLUMN()-10),HLOOKUP($B51,INDIRECT(ADDRESS(2,11,1,,U$3)):INDIRECT(ADDRESS(25,playercnt+10,1,,U$3)),24),"")</f>
        <v>5</v>
      </c>
      <c r="V51" s="46">
        <f ca="1">IF($D$2&gt;=(COLUMN()-10),HLOOKUP($B51,INDIRECT(ADDRESS(2,11,1,,V$3)):INDIRECT(ADDRESS(25,playercnt+10,1,,V$3)),24),"")</f>
        <v>6</v>
      </c>
      <c r="W51" s="46">
        <f ca="1">IF($D$2&gt;=(COLUMN()-10),HLOOKUP($B51,INDIRECT(ADDRESS(2,11,1,,W$3)):INDIRECT(ADDRESS(25,playercnt+10,1,,W$3)),24),"")</f>
        <v>4</v>
      </c>
      <c r="X51" s="47">
        <v>44</v>
      </c>
      <c r="Y51" s="14">
        <f t="shared" ref="Y51:Y56" si="29">Y50+1</f>
        <v>44</v>
      </c>
    </row>
    <row r="52" spans="1:25">
      <c r="A52" s="83">
        <f t="shared" si="19"/>
        <v>43</v>
      </c>
      <c r="B52" s="39" t="str">
        <f t="shared" ca="1" si="20"/>
        <v>Winburn, Steve A</v>
      </c>
      <c r="C52" s="40">
        <f t="shared" si="21"/>
        <v>0</v>
      </c>
      <c r="D52" s="40">
        <f t="shared" si="22"/>
        <v>56</v>
      </c>
      <c r="E52" s="25">
        <f t="shared" si="23"/>
        <v>0.43076923076923079</v>
      </c>
      <c r="F52" s="11">
        <f t="shared" si="24"/>
        <v>20</v>
      </c>
      <c r="G52" s="43">
        <v>38</v>
      </c>
      <c r="H52" s="20">
        <f t="shared" si="25"/>
        <v>-5</v>
      </c>
      <c r="I52" s="17">
        <f t="shared" ca="1" si="26"/>
        <v>6</v>
      </c>
      <c r="J52" s="17">
        <f t="shared" ca="1" si="27"/>
        <v>2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5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6</v>
      </c>
      <c r="P52" s="46">
        <f ca="1">IF($D$2&gt;=(COLUMN()-10),HLOOKUP($B52,INDIRECT(ADDRESS(2,11,1,,P$3)):INDIRECT(ADDRESS(25,playercnt+10,1,,P$3)),24),"")</f>
        <v>2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5</v>
      </c>
      <c r="T52" s="46">
        <f ca="1">IF($D$2&gt;=(COLUMN()-10),HLOOKUP($B52,INDIRECT(ADDRESS(2,11,1,,T$3)):INDIRECT(ADDRESS(25,playercnt+10,1,,T$3)),24),"")</f>
        <v>3</v>
      </c>
      <c r="U52" s="46">
        <f ca="1">IF($D$2&gt;=(COLUMN()-10),HLOOKUP($B52,INDIRECT(ADDRESS(2,11,1,,U$3)):INDIRECT(ADDRESS(25,playercnt+10,1,,U$3)),24),"")</f>
        <v>4</v>
      </c>
      <c r="V52" s="46">
        <f ca="1">IF($D$2&gt;=(COLUMN()-10),HLOOKUP($B52,INDIRECT(ADDRESS(2,11,1,,V$3)):INDIRECT(ADDRESS(25,playercnt+10,1,,V$3)),24),"")</f>
        <v>4</v>
      </c>
      <c r="W52" s="46">
        <f ca="1">IF($D$2&gt;=(COLUMN()-10),HLOOKUP($B52,INDIRECT(ADDRESS(2,11,1,,W$3)):INDIRECT(ADDRESS(25,playercnt+10,1,,W$3)),24),"")</f>
        <v>3</v>
      </c>
      <c r="X52" s="47">
        <v>54</v>
      </c>
      <c r="Y52" s="14">
        <f t="shared" si="29"/>
        <v>45</v>
      </c>
    </row>
    <row r="53" spans="1:25">
      <c r="A53" s="83">
        <f t="shared" si="19"/>
        <v>46</v>
      </c>
      <c r="B53" s="39" t="str">
        <f t="shared" ca="1" si="20"/>
        <v>Barker, Christopher A</v>
      </c>
      <c r="C53" s="40">
        <f t="shared" si="21"/>
        <v>1</v>
      </c>
      <c r="D53" s="40">
        <f t="shared" si="22"/>
        <v>55</v>
      </c>
      <c r="E53" s="25">
        <f t="shared" si="23"/>
        <v>0.42307692307692307</v>
      </c>
      <c r="F53" s="11">
        <f t="shared" si="24"/>
        <v>21</v>
      </c>
      <c r="G53" s="16">
        <v>49</v>
      </c>
      <c r="H53" s="20">
        <f t="shared" si="25"/>
        <v>3</v>
      </c>
      <c r="I53" s="17">
        <f t="shared" ca="1" si="26"/>
        <v>7</v>
      </c>
      <c r="J53" s="17">
        <f t="shared" ca="1" si="27"/>
        <v>3</v>
      </c>
      <c r="K53" s="46">
        <f ca="1">IF($D$2&gt;=(COLUMN()-10),HLOOKUP($B53,INDIRECT(ADDRESS(2,11,1,,K$3)):INDIRECT(ADDRESS(25,playercnt+10,1,,K$3)),24),"")</f>
        <v>4</v>
      </c>
      <c r="L53" s="46">
        <f ca="1">IF($D$2&gt;=(COLUMN()-10),HLOOKUP($B53,INDIRECT(ADDRESS(2,11,1,,L$3)):INDIRECT(ADDRESS(25,playercnt+10,1,,L$3)),24),"")</f>
        <v>4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4</v>
      </c>
      <c r="O53" s="46">
        <f ca="1">IF($D$2&gt;=(COLUMN()-10),HLOOKUP($B53,INDIRECT(ADDRESS(2,11,1,,O$3)):INDIRECT(ADDRESS(25,playercnt+10,1,,O$3)),24),"")</f>
        <v>3</v>
      </c>
      <c r="P53" s="46">
        <f ca="1">IF($D$2&gt;=(COLUMN()-10),HLOOKUP($B53,INDIRECT(ADDRESS(2,11,1,,P$3)):INDIRECT(ADDRESS(25,playercnt+10,1,,P$3)),24),"")</f>
        <v>4</v>
      </c>
      <c r="Q53" s="46">
        <f ca="1">IF($D$2&gt;=(COLUMN()-10),HLOOKUP($B53,INDIRECT(ADDRESS(2,11,1,,Q$3)):INDIRECT(ADDRESS(25,playercnt+10,1,,Q$3)),24),"")</f>
        <v>4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5</v>
      </c>
      <c r="T53" s="46">
        <f ca="1">IF($D$2&gt;=(COLUMN()-10),HLOOKUP($B53,INDIRECT(ADDRESS(2,11,1,,T$3)):INDIRECT(ADDRESS(25,playercnt+10,1,,T$3)),24),"")</f>
        <v>3</v>
      </c>
      <c r="U53" s="46">
        <f ca="1">IF($D$2&gt;=(COLUMN()-10),HLOOKUP($B53,INDIRECT(ADDRESS(2,11,1,,U$3)):INDIRECT(ADDRESS(25,playercnt+10,1,,U$3)),24),"")</f>
        <v>5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7</v>
      </c>
      <c r="X53" s="47">
        <v>2</v>
      </c>
      <c r="Y53" s="14">
        <f t="shared" si="29"/>
        <v>46</v>
      </c>
    </row>
    <row r="54" spans="1:25">
      <c r="A54" s="83">
        <f t="shared" si="19"/>
        <v>46</v>
      </c>
      <c r="B54" s="39" t="str">
        <f t="shared" ca="1" si="20"/>
        <v>Redys, David Remote</v>
      </c>
      <c r="C54" s="40">
        <f t="shared" si="21"/>
        <v>1</v>
      </c>
      <c r="D54" s="40">
        <f t="shared" si="22"/>
        <v>55</v>
      </c>
      <c r="E54" s="25">
        <f t="shared" si="23"/>
        <v>0.42307692307692307</v>
      </c>
      <c r="F54" s="11">
        <f t="shared" si="24"/>
        <v>21</v>
      </c>
      <c r="G54" s="43">
        <v>46</v>
      </c>
      <c r="H54" s="20">
        <f t="shared" si="25"/>
        <v>0</v>
      </c>
      <c r="I54" s="17">
        <f t="shared" ca="1" si="26"/>
        <v>6</v>
      </c>
      <c r="J54" s="17">
        <f t="shared" ca="1" si="27"/>
        <v>2</v>
      </c>
      <c r="K54" s="46">
        <f ca="1">IF($D$2&gt;=(COLUMN()-10),HLOOKUP($B54,INDIRECT(ADDRESS(2,11,1,,K$3)):INDIRECT(ADDRESS(25,playercnt+10,1,,K$3)),24),"")</f>
        <v>4</v>
      </c>
      <c r="L54" s="46">
        <f ca="1">IF($D$2&gt;=(COLUMN()-10),HLOOKUP($B54,INDIRECT(ADDRESS(2,11,1,,L$3)):INDIRECT(ADDRESS(25,playercnt+10,1,,L$3)),24),"")</f>
        <v>5</v>
      </c>
      <c r="M54" s="46">
        <f ca="1">IF($D$2&gt;=(COLUMN()-10),HLOOKUP($B54,INDIRECT(ADDRESS(2,11,1,,M$3)):INDIRECT(ADDRESS(25,playercnt+10,1,,M$3)),24),"")</f>
        <v>2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4</v>
      </c>
      <c r="P54" s="46">
        <f ca="1">IF($D$2&gt;=(COLUMN()-10),HLOOKUP($B54,INDIRECT(ADDRESS(2,11,1,,P$3)):INDIRECT(ADDRESS(25,playercnt+10,1,,P$3)),24),"")</f>
        <v>5</v>
      </c>
      <c r="Q54" s="46">
        <f ca="1">IF($D$2&gt;=(COLUMN()-10),HLOOKUP($B54,INDIRECT(ADDRESS(2,11,1,,Q$3)):INDIRECT(ADDRESS(25,playercnt+10,1,,Q$3)),24),"")</f>
        <v>4</v>
      </c>
      <c r="R54" s="46">
        <f ca="1">IF($D$2&gt;=(COLUMN()-10),HLOOKUP($B54,INDIRECT(ADDRESS(2,11,1,,R$3)):INDIRECT(ADDRESS(25,playercnt+10,1,,R$3)),24),"")</f>
        <v>3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3</v>
      </c>
      <c r="U54" s="46">
        <f ca="1">IF($D$2&gt;=(COLUMN()-10),HLOOKUP($B54,INDIRECT(ADDRESS(2,11,1,,U$3)):INDIRECT(ADDRESS(25,playercnt+10,1,,U$3)),24),"")</f>
        <v>6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5</v>
      </c>
      <c r="X54" s="47">
        <v>40</v>
      </c>
      <c r="Y54" s="14">
        <f t="shared" si="29"/>
        <v>47</v>
      </c>
    </row>
    <row r="55" spans="1:25">
      <c r="A55" s="83">
        <f t="shared" si="19"/>
        <v>48</v>
      </c>
      <c r="B55" s="39" t="str">
        <f t="shared" ca="1" si="20"/>
        <v>Ferguson, Scott Remote</v>
      </c>
      <c r="C55" s="40">
        <f t="shared" si="21"/>
        <v>0</v>
      </c>
      <c r="D55" s="40">
        <f t="shared" si="22"/>
        <v>54</v>
      </c>
      <c r="E55" s="25">
        <f t="shared" si="23"/>
        <v>0.41538461538461541</v>
      </c>
      <c r="F55" s="11">
        <f t="shared" si="24"/>
        <v>22</v>
      </c>
      <c r="G55" s="16">
        <v>49</v>
      </c>
      <c r="H55" s="20">
        <f t="shared" si="25"/>
        <v>1</v>
      </c>
      <c r="I55" s="17">
        <f t="shared" ca="1" si="26"/>
        <v>8</v>
      </c>
      <c r="J55" s="17">
        <f t="shared" ca="1" si="27"/>
        <v>1</v>
      </c>
      <c r="K55" s="46">
        <f ca="1">IF($D$2&gt;=(COLUMN()-10),HLOOKUP($B55,INDIRECT(ADDRESS(2,11,1,,K$3)):INDIRECT(ADDRESS(25,playercnt+10,1,,K$3)),24),"")</f>
        <v>3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1</v>
      </c>
      <c r="N55" s="46">
        <f ca="1">IF($D$2&gt;=(COLUMN()-10),HLOOKUP($B55,INDIRECT(ADDRESS(2,11,1,,N$3)):INDIRECT(ADDRESS(25,playercnt+10,1,,N$3)),24),"")</f>
        <v>5</v>
      </c>
      <c r="O55" s="46">
        <f ca="1">IF($D$2&gt;=(COLUMN()-10),HLOOKUP($B55,INDIRECT(ADDRESS(2,11,1,,O$3)):INDIRECT(ADDRESS(25,playercnt+10,1,,O$3)),24),"")</f>
        <v>5</v>
      </c>
      <c r="P55" s="46">
        <f ca="1">IF($D$2&gt;=(COLUMN()-10),HLOOKUP($B55,INDIRECT(ADDRESS(2,11,1,,P$3)):INDIRECT(ADDRESS(25,playercnt+10,1,,P$3)),24),"")</f>
        <v>3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3</v>
      </c>
      <c r="S55" s="46">
        <f ca="1">IF($D$2&gt;=(COLUMN()-10),HLOOKUP($B55,INDIRECT(ADDRESS(2,11,1,,S$3)):INDIRECT(ADDRESS(25,playercnt+10,1,,S$3)),24),"")</f>
        <v>2</v>
      </c>
      <c r="T55" s="46">
        <f ca="1">IF($D$2&gt;=(COLUMN()-10),HLOOKUP($B55,INDIRECT(ADDRESS(2,11,1,,T$3)):INDIRECT(ADDRESS(25,playercnt+10,1,,T$3)),24),"")</f>
        <v>6</v>
      </c>
      <c r="U55" s="46">
        <f ca="1">IF($D$2&gt;=(COLUMN()-10),HLOOKUP($B55,INDIRECT(ADDRESS(2,11,1,,U$3)):INDIRECT(ADDRESS(25,playercnt+10,1,,U$3)),24),"")</f>
        <v>8</v>
      </c>
      <c r="V55" s="46">
        <f ca="1">IF($D$2&gt;=(COLUMN()-10),HLOOKUP($B55,INDIRECT(ADDRESS(2,11,1,,V$3)):INDIRECT(ADDRESS(25,playercnt+10,1,,V$3)),24),"")</f>
        <v>4</v>
      </c>
      <c r="W55" s="46">
        <f ca="1">IF($D$2&gt;=(COLUMN()-10),HLOOKUP($B55,INDIRECT(ADDRESS(2,11,1,,W$3)):INDIRECT(ADDRESS(25,playercnt+10,1,,W$3)),24),"")</f>
        <v>6</v>
      </c>
      <c r="X55" s="47">
        <v>15</v>
      </c>
      <c r="Y55" s="14">
        <f t="shared" si="29"/>
        <v>48</v>
      </c>
    </row>
    <row r="56" spans="1:25">
      <c r="A56" s="83">
        <f t="shared" si="19"/>
        <v>48</v>
      </c>
      <c r="B56" s="39" t="str">
        <f t="shared" ca="1" si="20"/>
        <v>Johnson, Robert J</v>
      </c>
      <c r="C56" s="40">
        <f t="shared" si="21"/>
        <v>1</v>
      </c>
      <c r="D56" s="40">
        <f t="shared" si="22"/>
        <v>54</v>
      </c>
      <c r="E56" s="25">
        <f t="shared" si="23"/>
        <v>0.41538461538461541</v>
      </c>
      <c r="F56" s="11">
        <f t="shared" si="24"/>
        <v>22</v>
      </c>
      <c r="G56" s="43">
        <v>42</v>
      </c>
      <c r="H56" s="20">
        <f t="shared" si="25"/>
        <v>-6</v>
      </c>
      <c r="I56" s="17">
        <f t="shared" ca="1" si="26"/>
        <v>6</v>
      </c>
      <c r="J56" s="17">
        <f t="shared" ca="1" si="27"/>
        <v>2</v>
      </c>
      <c r="K56" s="46">
        <f ca="1">IF($D$2&gt;=(COLUMN()-10),HLOOKUP($B56,INDIRECT(ADDRESS(2,11,1,,K$3)):INDIRECT(ADDRESS(25,playercnt+10,1,,K$3)),24),"")</f>
        <v>4</v>
      </c>
      <c r="L56" s="46">
        <f ca="1">IF($D$2&gt;=(COLUMN()-10),HLOOKUP($B56,INDIRECT(ADDRESS(2,11,1,,L$3)):INDIRECT(ADDRESS(25,playercnt+10,1,,L$3)),24),"")</f>
        <v>6</v>
      </c>
      <c r="M56" s="46">
        <f ca="1">IF($D$2&gt;=(COLUMN()-10),HLOOKUP($B56,INDIRECT(ADDRESS(2,11,1,,M$3)):INDIRECT(ADDRESS(25,playercnt+10,1,,M$3)),24),"")</f>
        <v>2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5</v>
      </c>
      <c r="P56" s="46">
        <f ca="1">IF($D$2&gt;=(COLUMN()-10),HLOOKUP($B56,INDIRECT(ADDRESS(2,11,1,,P$3)):INDIRECT(ADDRESS(25,playercnt+10,1,,P$3)),24),"")</f>
        <v>5</v>
      </c>
      <c r="Q56" s="46">
        <f ca="1">IF($D$2&gt;=(COLUMN()-10),HLOOKUP($B56,INDIRECT(ADDRESS(2,11,1,,Q$3)):INDIRECT(ADDRESS(25,playercnt+10,1,,Q$3)),24),"")</f>
        <v>3</v>
      </c>
      <c r="R56" s="46">
        <f ca="1">IF($D$2&gt;=(COLUMN()-10),HLOOKUP($B56,INDIRECT(ADDRESS(2,11,1,,R$3)):INDIRECT(ADDRESS(25,playercnt+10,1,,R$3)),24),"")</f>
        <v>3</v>
      </c>
      <c r="S56" s="46">
        <f ca="1">IF($D$2&gt;=(COLUMN()-10),HLOOKUP($B56,INDIRECT(ADDRESS(2,11,1,,S$3)):INDIRECT(ADDRESS(25,playercnt+10,1,,S$3)),24),"")</f>
        <v>5</v>
      </c>
      <c r="T56" s="46">
        <f ca="1">IF($D$2&gt;=(COLUMN()-10),HLOOKUP($B56,INDIRECT(ADDRESS(2,11,1,,T$3)):INDIRECT(ADDRESS(25,playercnt+10,1,,T$3)),24),"")</f>
        <v>6</v>
      </c>
      <c r="U56" s="46">
        <f ca="1">IF($D$2&gt;=(COLUMN()-10),HLOOKUP($B56,INDIRECT(ADDRESS(2,11,1,,U$3)):INDIRECT(ADDRESS(25,playercnt+10,1,,U$3)),24),"")</f>
        <v>6</v>
      </c>
      <c r="V56" s="46">
        <f ca="1">IF($D$2&gt;=(COLUMN()-10),HLOOKUP($B56,INDIRECT(ADDRESS(2,11,1,,V$3)):INDIRECT(ADDRESS(25,playercnt+10,1,,V$3)),24),"")</f>
        <v>3</v>
      </c>
      <c r="W56" s="46">
        <f ca="1">IF($D$2&gt;=(COLUMN()-10),HLOOKUP($B56,INDIRECT(ADDRESS(2,11,1,,W$3)):INDIRECT(ADDRESS(25,playercnt+10,1,,W$3)),24),"")</f>
        <v>2</v>
      </c>
      <c r="X56" s="47">
        <v>25</v>
      </c>
      <c r="Y56" s="14">
        <f t="shared" si="29"/>
        <v>49</v>
      </c>
    </row>
    <row r="57" spans="1:25">
      <c r="A57" s="83">
        <f t="shared" si="19"/>
        <v>48</v>
      </c>
      <c r="B57" s="39" t="str">
        <f t="shared" ca="1" si="20"/>
        <v>Ruffin, Chris</v>
      </c>
      <c r="C57" s="40">
        <f t="shared" si="21"/>
        <v>0</v>
      </c>
      <c r="D57" s="40">
        <f t="shared" si="22"/>
        <v>54</v>
      </c>
      <c r="E57" s="25">
        <f t="shared" si="23"/>
        <v>0.41538461538461541</v>
      </c>
      <c r="F57" s="11">
        <f t="shared" si="24"/>
        <v>22</v>
      </c>
      <c r="G57" s="16">
        <v>46</v>
      </c>
      <c r="H57" s="20">
        <f t="shared" si="25"/>
        <v>-2</v>
      </c>
      <c r="I57" s="17">
        <f t="shared" ca="1" si="26"/>
        <v>6</v>
      </c>
      <c r="J57" s="17">
        <f t="shared" ca="1" si="27"/>
        <v>1</v>
      </c>
      <c r="K57" s="46">
        <f ca="1">IF($D$2&gt;=(COLUMN()-10),HLOOKUP($B57,INDIRECT(ADDRESS(2,11,1,,K$3)):INDIRECT(ADDRESS(25,playercnt+10,1,,K$3)),24),"")</f>
        <v>2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3</v>
      </c>
      <c r="O57" s="46">
        <f ca="1">IF($D$2&gt;=(COLUMN()-10),HLOOKUP($B57,INDIRECT(ADDRESS(2,11,1,,O$3)):INDIRECT(ADDRESS(25,playercnt+10,1,,O$3)),24),"")</f>
        <v>4</v>
      </c>
      <c r="P57" s="46">
        <f ca="1">IF($D$2&gt;=(COLUMN()-10),HLOOKUP($B57,INDIRECT(ADDRESS(2,11,1,,P$3)):INDIRECT(ADDRESS(25,playercnt+10,1,,P$3)),24),"")</f>
        <v>6</v>
      </c>
      <c r="Q57" s="46">
        <f ca="1">IF($D$2&gt;=(COLUMN()-10),HLOOKUP($B57,INDIRECT(ADDRESS(2,11,1,,Q$3)):INDIRECT(ADDRESS(25,playercnt+10,1,,Q$3)),24),"")</f>
        <v>4</v>
      </c>
      <c r="R57" s="46">
        <f ca="1">IF($D$2&gt;=(COLUMN()-10),HLOOKUP($B57,INDIRECT(ADDRESS(2,11,1,,R$3)):INDIRECT(ADDRESS(25,playercnt+10,1,,R$3)),24),"")</f>
        <v>5</v>
      </c>
      <c r="S57" s="46">
        <f ca="1">IF($D$2&gt;=(COLUMN()-10),HLOOKUP($B57,INDIRECT(ADDRESS(2,11,1,,S$3)):INDIRECT(ADDRESS(25,playercnt+10,1,,S$3)),24),"")</f>
        <v>1</v>
      </c>
      <c r="T57" s="46">
        <f ca="1">IF($D$2&gt;=(COLUMN()-10),HLOOKUP($B57,INDIRECT(ADDRESS(2,11,1,,T$3)):INDIRECT(ADDRESS(25,playercnt+10,1,,T$3)),24),"")</f>
        <v>5</v>
      </c>
      <c r="U57" s="46">
        <f ca="1">IF($D$2&gt;=(COLUMN()-10),HLOOKUP($B57,INDIRECT(ADDRESS(2,11,1,,U$3)):INDIRECT(ADDRESS(25,playercnt+10,1,,U$3)),24),"")</f>
        <v>5</v>
      </c>
      <c r="V57" s="46">
        <f ca="1">IF($D$2&gt;=(COLUMN()-10),HLOOKUP($B57,INDIRECT(ADDRESS(2,11,1,,V$3)):INDIRECT(ADDRESS(25,playercnt+10,1,,V$3)),24),"")</f>
        <v>4</v>
      </c>
      <c r="W57" s="46">
        <f ca="1">IF($D$2&gt;=(COLUMN()-10),HLOOKUP($B57,INDIRECT(ADDRESS(2,11,1,,W$3)):INDIRECT(ADDRESS(25,playercnt+10,1,,W$3)),24),"")</f>
        <v>4</v>
      </c>
      <c r="X57" s="47">
        <v>42</v>
      </c>
      <c r="Y57" s="14">
        <f t="shared" ref="Y57:Y62" si="30">Y56+1</f>
        <v>50</v>
      </c>
    </row>
    <row r="58" spans="1:25">
      <c r="A58" s="83">
        <f t="shared" si="19"/>
        <v>51</v>
      </c>
      <c r="B58" s="39" t="str">
        <f t="shared" ca="1" si="20"/>
        <v>Nance, Rob</v>
      </c>
      <c r="C58" s="40">
        <f t="shared" si="21"/>
        <v>0</v>
      </c>
      <c r="D58" s="40">
        <f t="shared" si="22"/>
        <v>52</v>
      </c>
      <c r="E58" s="25">
        <f t="shared" si="23"/>
        <v>0.4</v>
      </c>
      <c r="F58" s="11">
        <f t="shared" si="24"/>
        <v>24</v>
      </c>
      <c r="G58" s="43">
        <v>52</v>
      </c>
      <c r="H58" s="20">
        <f t="shared" si="25"/>
        <v>1</v>
      </c>
      <c r="I58" s="17">
        <f t="shared" ca="1" si="26"/>
        <v>7</v>
      </c>
      <c r="J58" s="17">
        <f t="shared" ca="1" si="27"/>
        <v>1</v>
      </c>
      <c r="K58" s="46">
        <f ca="1">IF($D$2&gt;=(COLUMN()-10),HLOOKUP($B58,INDIRECT(ADDRESS(2,11,1,,K$3)):INDIRECT(ADDRESS(25,playercnt+10,1,,K$3)),24),"")</f>
        <v>5</v>
      </c>
      <c r="L58" s="46">
        <f ca="1">IF($D$2&gt;=(COLUMN()-10),HLOOKUP($B58,INDIRECT(ADDRESS(2,11,1,,L$3)):INDIRECT(ADDRESS(25,playercnt+10,1,,L$3)),24),"")</f>
        <v>4</v>
      </c>
      <c r="M58" s="46">
        <f ca="1">IF($D$2&gt;=(COLUMN()-10),HLOOKUP($B58,INDIRECT(ADDRESS(2,11,1,,M$3)):INDIRECT(ADDRESS(25,playercnt+10,1,,M$3)),24),"")</f>
        <v>3</v>
      </c>
      <c r="N58" s="46">
        <f ca="1">IF($D$2&gt;=(COLUMN()-10),HLOOKUP($B58,INDIRECT(ADDRESS(2,11,1,,N$3)):INDIRECT(ADDRESS(25,playercnt+10,1,,N$3)),24),"")</f>
        <v>5</v>
      </c>
      <c r="O58" s="46">
        <f ca="1">IF($D$2&gt;=(COLUMN()-10),HLOOKUP($B58,INDIRECT(ADDRESS(2,11,1,,O$3)):INDIRECT(ADDRESS(25,playercnt+10,1,,O$3)),24),"")</f>
        <v>3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5</v>
      </c>
      <c r="R58" s="46">
        <f ca="1">IF($D$2&gt;=(COLUMN()-10),HLOOKUP($B58,INDIRECT(ADDRESS(2,11,1,,R$3)):INDIRECT(ADDRESS(25,playercnt+10,1,,R$3)),24),"")</f>
        <v>2</v>
      </c>
      <c r="S58" s="46">
        <f ca="1">IF($D$2&gt;=(COLUMN()-10),HLOOKUP($B58,INDIRECT(ADDRESS(2,11,1,,S$3)):INDIRECT(ADDRESS(25,playercnt+10,1,,S$3)),24),"")</f>
        <v>1</v>
      </c>
      <c r="T58" s="46">
        <f ca="1">IF($D$2&gt;=(COLUMN()-10),HLOOKUP($B58,INDIRECT(ADDRESS(2,11,1,,T$3)):INDIRECT(ADDRESS(25,playercnt+10,1,,T$3)),24),"")</f>
        <v>3</v>
      </c>
      <c r="U58" s="46">
        <f ca="1">IF($D$2&gt;=(COLUMN()-10),HLOOKUP($B58,INDIRECT(ADDRESS(2,11,1,,U$3)):INDIRECT(ADDRESS(25,playercnt+10,1,,U$3)),24),"")</f>
        <v>4</v>
      </c>
      <c r="V58" s="46">
        <f ca="1">IF($D$2&gt;=(COLUMN()-10),HLOOKUP($B58,INDIRECT(ADDRESS(2,11,1,,V$3)):INDIRECT(ADDRESS(25,playercnt+10,1,,V$3)),24),"")</f>
        <v>7</v>
      </c>
      <c r="W58" s="46">
        <f ca="1">IF($D$2&gt;=(COLUMN()-10),HLOOKUP($B58,INDIRECT(ADDRESS(2,11,1,,W$3)):INDIRECT(ADDRESS(25,playercnt+10,1,,W$3)),24),"")</f>
        <v>6</v>
      </c>
      <c r="X58" s="47">
        <v>33</v>
      </c>
      <c r="Y58" s="14">
        <f t="shared" si="30"/>
        <v>51</v>
      </c>
    </row>
    <row r="59" spans="1:25">
      <c r="A59" s="83">
        <f t="shared" si="19"/>
        <v>51</v>
      </c>
      <c r="B59" s="39" t="str">
        <f t="shared" ca="1" si="20"/>
        <v>Steel, Van Remote</v>
      </c>
      <c r="C59" s="40">
        <f t="shared" si="21"/>
        <v>0</v>
      </c>
      <c r="D59" s="40">
        <f t="shared" si="22"/>
        <v>52</v>
      </c>
      <c r="E59" s="25">
        <f t="shared" si="23"/>
        <v>0.4</v>
      </c>
      <c r="F59" s="11">
        <f t="shared" si="24"/>
        <v>24</v>
      </c>
      <c r="G59" s="16">
        <v>51</v>
      </c>
      <c r="H59" s="20">
        <f t="shared" si="25"/>
        <v>0</v>
      </c>
      <c r="I59" s="17">
        <f t="shared" ca="1" si="26"/>
        <v>6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5</v>
      </c>
      <c r="M59" s="46">
        <f ca="1">IF($D$2&gt;=(COLUMN()-10),HLOOKUP($B59,INDIRECT(ADDRESS(2,11,1,,M$3)):INDIRECT(ADDRESS(25,playercnt+10,1,,M$3)),24),"")</f>
        <v>1</v>
      </c>
      <c r="N59" s="46">
        <f ca="1">IF($D$2&gt;=(COLUMN()-10),HLOOKUP($B59,INDIRECT(ADDRESS(2,11,1,,N$3)):INDIRECT(ADDRESS(25,playercnt+10,1,,N$3)),24),"")</f>
        <v>5</v>
      </c>
      <c r="O59" s="46">
        <f ca="1">IF($D$2&gt;=(COLUMN()-10),HLOOKUP($B59,INDIRECT(ADDRESS(2,11,1,,O$3)):INDIRECT(ADDRESS(25,playercnt+10,1,,O$3)),24),"")</f>
        <v>3</v>
      </c>
      <c r="P59" s="46">
        <f ca="1">IF($D$2&gt;=(COLUMN()-10),HLOOKUP($B59,INDIRECT(ADDRESS(2,11,1,,P$3)):INDIRECT(ADDRESS(25,playercnt+10,1,,P$3)),24),"")</f>
        <v>3</v>
      </c>
      <c r="Q59" s="46">
        <f ca="1">IF($D$2&gt;=(COLUMN()-10),HLOOKUP($B59,INDIRECT(ADDRESS(2,11,1,,Q$3)):INDIRECT(ADDRESS(25,playercnt+10,1,,Q$3)),24),"")</f>
        <v>4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6</v>
      </c>
      <c r="T59" s="46">
        <f ca="1">IF($D$2&gt;=(COLUMN()-10),HLOOKUP($B59,INDIRECT(ADDRESS(2,11,1,,T$3)):INDIRECT(ADDRESS(25,playercnt+10,1,,T$3)),24),"")</f>
        <v>6</v>
      </c>
      <c r="U59" s="46">
        <f ca="1">IF($D$2&gt;=(COLUMN()-10),HLOOKUP($B59,INDIRECT(ADDRESS(2,11,1,,U$3)):INDIRECT(ADDRESS(25,playercnt+10,1,,U$3)),24),"")</f>
        <v>3</v>
      </c>
      <c r="V59" s="46">
        <f ca="1">IF($D$2&gt;=(COLUMN()-10),HLOOKUP($B59,INDIRECT(ADDRESS(2,11,1,,V$3)):INDIRECT(ADDRESS(25,playercnt+10,1,,V$3)),24),"")</f>
        <v>1</v>
      </c>
      <c r="W59" s="46">
        <f ca="1">IF($D$2&gt;=(COLUMN()-10),HLOOKUP($B59,INDIRECT(ADDRESS(2,11,1,,W$3)):INDIRECT(ADDRESS(25,playercnt+10,1,,W$3)),24),"")</f>
        <v>5</v>
      </c>
      <c r="X59" s="47">
        <v>47</v>
      </c>
      <c r="Y59" s="14">
        <f t="shared" si="30"/>
        <v>52</v>
      </c>
    </row>
    <row r="60" spans="1:25">
      <c r="A60" s="83">
        <f t="shared" si="19"/>
        <v>53</v>
      </c>
      <c r="B60" s="39" t="str">
        <f t="shared" ca="1" si="20"/>
        <v>Desetto, Daniel</v>
      </c>
      <c r="C60" s="40">
        <f t="shared" si="21"/>
        <v>0</v>
      </c>
      <c r="D60" s="40">
        <f t="shared" si="22"/>
        <v>51</v>
      </c>
      <c r="E60" s="25">
        <f t="shared" si="23"/>
        <v>0.3923076923076923</v>
      </c>
      <c r="F60" s="11">
        <f t="shared" si="24"/>
        <v>25</v>
      </c>
      <c r="G60" s="43">
        <v>55</v>
      </c>
      <c r="H60" s="20">
        <f t="shared" si="25"/>
        <v>2</v>
      </c>
      <c r="I60" s="17">
        <f t="shared" ca="1" si="26"/>
        <v>9</v>
      </c>
      <c r="J60" s="17">
        <f t="shared" ca="1" si="27"/>
        <v>0</v>
      </c>
      <c r="K60" s="46">
        <f ca="1">IF($D$2&gt;=(COLUMN()-10),HLOOKUP($B60,INDIRECT(ADDRESS(2,11,1,,K$3)):INDIRECT(ADDRESS(25,playercnt+10,1,,K$3)),24),"")</f>
        <v>0</v>
      </c>
      <c r="L60" s="46">
        <f ca="1">IF($D$2&gt;=(COLUMN()-10),HLOOKUP($B60,INDIRECT(ADDRESS(2,11,1,,L$3)):INDIRECT(ADDRESS(25,playercnt+10,1,,L$3)),24),"")</f>
        <v>0</v>
      </c>
      <c r="M60" s="46">
        <f ca="1">IF($D$2&gt;=(COLUMN()-10),HLOOKUP($B60,INDIRECT(ADDRESS(2,11,1,,M$3)):INDIRECT(ADDRESS(25,playercnt+10,1,,M$3)),24),"")</f>
        <v>0</v>
      </c>
      <c r="N60" s="46">
        <f ca="1">IF($D$2&gt;=(COLUMN()-10),HLOOKUP($B60,INDIRECT(ADDRESS(2,11,1,,N$3)):INDIRECT(ADDRESS(25,playercnt+10,1,,N$3)),24),"")</f>
        <v>4</v>
      </c>
      <c r="O60" s="46">
        <f ca="1">IF($D$2&gt;=(COLUMN()-10),HLOOKUP($B60,INDIRECT(ADDRESS(2,11,1,,O$3)):INDIRECT(ADDRESS(25,playercnt+10,1,,O$3)),24),"")</f>
        <v>6</v>
      </c>
      <c r="P60" s="46">
        <f ca="1">IF($D$2&gt;=(COLUMN()-10),HLOOKUP($B60,INDIRECT(ADDRESS(2,11,1,,P$3)):INDIRECT(ADDRESS(25,playercnt+10,1,,P$3)),24),"")</f>
        <v>5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6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4</v>
      </c>
      <c r="U60" s="46">
        <f ca="1">IF($D$2&gt;=(COLUMN()-10),HLOOKUP($B60,INDIRECT(ADDRESS(2,11,1,,U$3)):INDIRECT(ADDRESS(25,playercnt+10,1,,U$3)),24),"")</f>
        <v>6</v>
      </c>
      <c r="V60" s="46">
        <f ca="1">IF($D$2&gt;=(COLUMN()-10),HLOOKUP($B60,INDIRECT(ADDRESS(2,11,1,,V$3)):INDIRECT(ADDRESS(25,playercnt+10,1,,V$3)),24),"")</f>
        <v>2</v>
      </c>
      <c r="W60" s="46">
        <f ca="1">IF($D$2&gt;=(COLUMN()-10),HLOOKUP($B60,INDIRECT(ADDRESS(2,11,1,,W$3)):INDIRECT(ADDRESS(25,playercnt+10,1,,W$3)),24),"")</f>
        <v>9</v>
      </c>
      <c r="X60" s="47">
        <v>11</v>
      </c>
      <c r="Y60" s="14">
        <f t="shared" si="30"/>
        <v>53</v>
      </c>
    </row>
    <row r="61" spans="1:25">
      <c r="A61" s="83">
        <f t="shared" si="19"/>
        <v>53</v>
      </c>
      <c r="B61" s="39" t="str">
        <f t="shared" ca="1" si="20"/>
        <v>Murphy, William A</v>
      </c>
      <c r="C61" s="40">
        <f t="shared" si="21"/>
        <v>0</v>
      </c>
      <c r="D61" s="40">
        <f t="shared" si="22"/>
        <v>51</v>
      </c>
      <c r="E61" s="25">
        <f t="shared" si="23"/>
        <v>0.3923076923076923</v>
      </c>
      <c r="F61" s="11">
        <f t="shared" si="24"/>
        <v>25</v>
      </c>
      <c r="G61" s="16">
        <v>53</v>
      </c>
      <c r="H61" s="20">
        <f t="shared" si="25"/>
        <v>0</v>
      </c>
      <c r="I61" s="17">
        <f t="shared" ca="1" si="26"/>
        <v>6</v>
      </c>
      <c r="J61" s="17">
        <f t="shared" ca="1" si="27"/>
        <v>2</v>
      </c>
      <c r="K61" s="46">
        <f ca="1">IF($D$2&gt;=(COLUMN()-10),HLOOKUP($B61,INDIRECT(ADDRESS(2,11,1,,K$3)):INDIRECT(ADDRESS(25,playercnt+10,1,,K$3)),24),"")</f>
        <v>6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2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4</v>
      </c>
      <c r="Q61" s="46">
        <f ca="1">IF($D$2&gt;=(COLUMN()-10),HLOOKUP($B61,INDIRECT(ADDRESS(2,11,1,,Q$3)):INDIRECT(ADDRESS(25,playercnt+10,1,,Q$3)),24),"")</f>
        <v>2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2</v>
      </c>
      <c r="U61" s="46">
        <f ca="1">IF($D$2&gt;=(COLUMN()-10),HLOOKUP($B61,INDIRECT(ADDRESS(2,11,1,,U$3)):INDIRECT(ADDRESS(25,playercnt+10,1,,U$3)),24),"")</f>
        <v>2</v>
      </c>
      <c r="V61" s="46">
        <f ca="1">IF($D$2&gt;=(COLUMN()-10),HLOOKUP($B61,INDIRECT(ADDRESS(2,11,1,,V$3)):INDIRECT(ADDRESS(25,playercnt+10,1,,V$3)),24),"")</f>
        <v>5</v>
      </c>
      <c r="W61" s="46">
        <f ca="1">IF($D$2&gt;=(COLUMN()-10),HLOOKUP($B61,INDIRECT(ADDRESS(2,11,1,,W$3)):INDIRECT(ADDRESS(25,playercnt+10,1,,W$3)),24),"")</f>
        <v>6</v>
      </c>
      <c r="X61" s="47">
        <v>32</v>
      </c>
      <c r="Y61" s="14">
        <f t="shared" si="30"/>
        <v>54</v>
      </c>
    </row>
    <row r="62" spans="1:25">
      <c r="A62" s="83">
        <f t="shared" si="19"/>
        <v>55</v>
      </c>
      <c r="B62" s="39" t="str">
        <f t="shared" ca="1" si="20"/>
        <v>Warren, Todd Remote</v>
      </c>
      <c r="C62" s="40">
        <f t="shared" si="21"/>
        <v>0</v>
      </c>
      <c r="D62" s="40">
        <f t="shared" si="22"/>
        <v>48</v>
      </c>
      <c r="E62" s="25">
        <f t="shared" si="23"/>
        <v>0.36923076923076925</v>
      </c>
      <c r="F62" s="11">
        <f t="shared" si="24"/>
        <v>28</v>
      </c>
      <c r="G62" s="16">
        <v>54</v>
      </c>
      <c r="H62" s="20">
        <f t="shared" si="25"/>
        <v>-1</v>
      </c>
      <c r="I62" s="17">
        <f t="shared" ca="1" si="26"/>
        <v>6</v>
      </c>
      <c r="J62" s="17">
        <f t="shared" ca="1" si="27"/>
        <v>1</v>
      </c>
      <c r="K62" s="46">
        <f ca="1">IF($D$2&gt;=(COLUMN()-10),HLOOKUP($B62,INDIRECT(ADDRESS(2,11,1,,K$3)):INDIRECT(ADDRESS(25,playercnt+10,1,,K$3)),24),"")</f>
        <v>1</v>
      </c>
      <c r="L62" s="46">
        <f ca="1">IF($D$2&gt;=(COLUMN()-10),HLOOKUP($B62,INDIRECT(ADDRESS(2,11,1,,L$3)):INDIRECT(ADDRESS(25,playercnt+10,1,,L$3)),24),"")</f>
        <v>2</v>
      </c>
      <c r="M62" s="46">
        <f ca="1">IF($D$2&gt;=(COLUMN()-10),HLOOKUP($B62,INDIRECT(ADDRESS(2,11,1,,M$3)):INDIRECT(ADDRESS(25,playercnt+10,1,,M$3)),24),"")</f>
        <v>5</v>
      </c>
      <c r="N62" s="46">
        <f ca="1">IF($D$2&gt;=(COLUMN()-10),HLOOKUP($B62,INDIRECT(ADDRESS(2,11,1,,N$3)):INDIRECT(ADDRESS(25,playercnt+10,1,,N$3)),24),"")</f>
        <v>6</v>
      </c>
      <c r="O62" s="46">
        <f ca="1">IF($D$2&gt;=(COLUMN()-10),HLOOKUP($B62,INDIRECT(ADDRESS(2,11,1,,O$3)):INDIRECT(ADDRESS(25,playercnt+10,1,,O$3)),24),"")</f>
        <v>6</v>
      </c>
      <c r="P62" s="46">
        <f ca="1">IF($D$2&gt;=(COLUMN()-10),HLOOKUP($B62,INDIRECT(ADDRESS(2,11,1,,P$3)):INDIRECT(ADDRESS(25,playercnt+10,1,,P$3)),24),"")</f>
        <v>3</v>
      </c>
      <c r="Q62" s="46">
        <f ca="1">IF($D$2&gt;=(COLUMN()-10),HLOOKUP($B62,INDIRECT(ADDRESS(2,11,1,,Q$3)):INDIRECT(ADDRESS(25,playercnt+10,1,,Q$3)),24),"")</f>
        <v>2</v>
      </c>
      <c r="R62" s="46">
        <f ca="1">IF($D$2&gt;=(COLUMN()-10),HLOOKUP($B62,INDIRECT(ADDRESS(2,11,1,,R$3)):INDIRECT(ADDRESS(25,playercnt+10,1,,R$3)),24),"")</f>
        <v>5</v>
      </c>
      <c r="S62" s="46">
        <f ca="1">IF($D$2&gt;=(COLUMN()-10),HLOOKUP($B62,INDIRECT(ADDRESS(2,11,1,,S$3)):INDIRECT(ADDRESS(25,playercnt+10,1,,S$3)),24),"")</f>
        <v>5</v>
      </c>
      <c r="T62" s="46">
        <f ca="1">IF($D$2&gt;=(COLUMN()-10),HLOOKUP($B62,INDIRECT(ADDRESS(2,11,1,,T$3)):INDIRECT(ADDRESS(25,playercnt+10,1,,T$3)),24),"")</f>
        <v>5</v>
      </c>
      <c r="U62" s="46">
        <f ca="1">IF($D$2&gt;=(COLUMN()-10),HLOOKUP($B62,INDIRECT(ADDRESS(2,11,1,,U$3)):INDIRECT(ADDRESS(25,playercnt+10,1,,U$3)),24),"")</f>
        <v>2</v>
      </c>
      <c r="V62" s="46">
        <f ca="1">IF($D$2&gt;=(COLUMN()-10),HLOOKUP($B62,INDIRECT(ADDRESS(2,11,1,,V$3)):INDIRECT(ADDRESS(25,playercnt+10,1,,V$3)),24),"")</f>
        <v>2</v>
      </c>
      <c r="W62" s="46">
        <f ca="1">IF($D$2&gt;=(COLUMN()-10),HLOOKUP($B62,INDIRECT(ADDRESS(2,11,1,,W$3)):INDIRECT(ADDRESS(25,playercnt+10,1,,W$3)),24),"")</f>
        <v>4</v>
      </c>
      <c r="X62" s="47">
        <v>51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279" priority="1" stopIfTrue="1">
      <formula>INDIRECT(ADDRESS(28,10+$X8,,,K$3))=1</formula>
    </cfRule>
    <cfRule type="cellIs" dxfId="278" priority="2" stopIfTrue="1" operator="between">
      <formula>10</formula>
      <formula>7</formula>
    </cfRule>
    <cfRule type="cellIs" dxfId="27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BZ31"/>
  <sheetViews>
    <sheetView topLeftCell="AO2" zoomScale="85" zoomScaleNormal="85" workbookViewId="0">
      <pane ySplit="3075" topLeftCell="A34"/>
      <selection activeCell="AT2" sqref="AT2"/>
      <selection pane="bottomLeft" activeCell="G17" sqref="G17:BM17"/>
    </sheetView>
  </sheetViews>
  <sheetFormatPr defaultRowHeight="12.75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26" width="3.28515625" customWidth="1"/>
    <col min="27" max="29" width="3" customWidth="1"/>
    <col min="30" max="30" width="3.42578125" customWidth="1"/>
    <col min="31" max="34" width="3" customWidth="1"/>
    <col min="35" max="35" width="3.85546875" customWidth="1"/>
    <col min="36" max="51" width="3" customWidth="1"/>
    <col min="52" max="78" width="3.28515625" customWidth="1"/>
  </cols>
  <sheetData>
    <row r="1" spans="1:78" ht="18">
      <c r="A1" s="7" t="s">
        <v>13</v>
      </c>
      <c r="B1" s="7"/>
      <c r="C1" s="7"/>
      <c r="D1" s="7"/>
      <c r="H1" s="6"/>
      <c r="J1">
        <f ca="1">SUM(INDIRECT("RC11:RC"&amp;11+playercnt-1, FALSE))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78" ht="138" customHeight="1">
      <c r="A2" s="56">
        <f>weekcnt</f>
        <v>13</v>
      </c>
      <c r="B2" s="98">
        <f>COUNTA(K2:BZ2)</f>
        <v>55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343</v>
      </c>
      <c r="M2" s="23" t="s">
        <v>300</v>
      </c>
      <c r="N2" s="4" t="s">
        <v>302</v>
      </c>
      <c r="O2" s="4" t="s">
        <v>137</v>
      </c>
      <c r="P2" s="23" t="s">
        <v>603</v>
      </c>
      <c r="Q2" s="4" t="s">
        <v>604</v>
      </c>
      <c r="R2" s="4" t="s">
        <v>288</v>
      </c>
      <c r="S2" s="23" t="s">
        <v>128</v>
      </c>
      <c r="T2" s="4" t="s">
        <v>272</v>
      </c>
      <c r="U2" s="23" t="s">
        <v>401</v>
      </c>
      <c r="V2" s="4" t="s">
        <v>284</v>
      </c>
      <c r="W2" s="4" t="s">
        <v>134</v>
      </c>
      <c r="X2" s="4" t="s">
        <v>143</v>
      </c>
      <c r="Y2" s="4" t="s">
        <v>138</v>
      </c>
      <c r="Z2" s="4" t="s">
        <v>277</v>
      </c>
      <c r="AA2" s="4" t="s">
        <v>301</v>
      </c>
      <c r="AB2" s="4" t="s">
        <v>304</v>
      </c>
      <c r="AC2" s="4" t="s">
        <v>139</v>
      </c>
      <c r="AD2" s="4" t="s">
        <v>126</v>
      </c>
      <c r="AE2" s="4" t="s">
        <v>605</v>
      </c>
      <c r="AF2" s="4" t="s">
        <v>296</v>
      </c>
      <c r="AG2" s="4" t="s">
        <v>278</v>
      </c>
      <c r="AH2" s="4" t="s">
        <v>606</v>
      </c>
      <c r="AI2" s="4" t="s">
        <v>140</v>
      </c>
      <c r="AJ2" s="23" t="s">
        <v>305</v>
      </c>
      <c r="AK2" s="23" t="s">
        <v>308</v>
      </c>
      <c r="AL2" s="23" t="s">
        <v>297</v>
      </c>
      <c r="AM2" s="23" t="s">
        <v>48</v>
      </c>
      <c r="AN2" s="23" t="s">
        <v>306</v>
      </c>
      <c r="AO2" s="23" t="s">
        <v>279</v>
      </c>
      <c r="AP2" s="23" t="s">
        <v>49</v>
      </c>
      <c r="AQ2" s="23" t="s">
        <v>607</v>
      </c>
      <c r="AR2" s="23" t="s">
        <v>285</v>
      </c>
      <c r="AS2" s="23" t="s">
        <v>608</v>
      </c>
      <c r="AT2" s="23" t="s">
        <v>135</v>
      </c>
      <c r="AU2" s="23" t="s">
        <v>275</v>
      </c>
      <c r="AV2" s="23" t="s">
        <v>127</v>
      </c>
      <c r="AW2" s="23" t="s">
        <v>50</v>
      </c>
      <c r="AX2" s="23" t="s">
        <v>136</v>
      </c>
      <c r="AY2" s="23" t="s">
        <v>43</v>
      </c>
      <c r="AZ2" s="23" t="s">
        <v>142</v>
      </c>
      <c r="BA2" s="23" t="s">
        <v>282</v>
      </c>
      <c r="BB2" s="23" t="s">
        <v>281</v>
      </c>
      <c r="BC2" s="23" t="s">
        <v>123</v>
      </c>
      <c r="BD2" s="23" t="s">
        <v>44</v>
      </c>
      <c r="BE2" s="23" t="s">
        <v>273</v>
      </c>
      <c r="BF2" s="4" t="s">
        <v>307</v>
      </c>
      <c r="BG2" s="23" t="s">
        <v>129</v>
      </c>
      <c r="BH2" s="23" t="s">
        <v>342</v>
      </c>
      <c r="BI2" s="23" t="s">
        <v>303</v>
      </c>
      <c r="BJ2" s="23" t="s">
        <v>141</v>
      </c>
      <c r="BK2" s="23" t="s">
        <v>274</v>
      </c>
      <c r="BL2" s="23" t="s">
        <v>286</v>
      </c>
      <c r="BM2" s="23" t="s">
        <v>287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</row>
    <row r="4" spans="1:78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0</v>
      </c>
      <c r="H4">
        <f ca="1">IF(($A$2)&gt;=(ROW()-3),H$17*(SUM(H$19:H19)-((ROW()-3)*5)),H3)</f>
        <v>0</v>
      </c>
      <c r="I4">
        <f ca="1">IF(($A$2)&gt;=(ROW()-3),I$17*(SUM(I$19:I19)-((ROW()-3)*5)),I3)</f>
        <v>-2</v>
      </c>
      <c r="J4">
        <f ca="1">IF(($A$2)&gt;=(ROW()-3),J$17*(SUM(J$19:J19)-((ROW()-3)*5)),J3)</f>
        <v>3</v>
      </c>
      <c r="K4">
        <f ca="1">IF(($A$2)&gt;=(ROW()-3),K$17*(SUM(K$19:K19)-((ROW()-3)*5)),K3)</f>
        <v>1</v>
      </c>
      <c r="L4">
        <f ca="1">IF(($A$2)&gt;=(ROW()-3),L$17*(SUM(L$19:L19)-((ROW()-3)*5)),L3)</f>
        <v>-1</v>
      </c>
      <c r="M4">
        <f ca="1">IF(($A$2)&gt;=(ROW()-3),M$17*(SUM(M$19:M19)-((ROW()-3)*5)),M3)</f>
        <v>-2</v>
      </c>
      <c r="N4">
        <f ca="1">IF(($A$2)&gt;=(ROW()-3),N$17*(SUM(N$19:N19)-((ROW()-3)*5)),N3)</f>
        <v>-1</v>
      </c>
      <c r="O4">
        <f ca="1">IF(($A$2)&gt;=(ROW()-3),O$17*(SUM(O$19:O19)-((ROW()-3)*5)),O3)</f>
        <v>0</v>
      </c>
      <c r="P4">
        <f ca="1">IF(($A$2)&gt;=(ROW()-3),P$17*(SUM(P$19:P19)-((ROW()-3)*5)),P3)</f>
        <v>1</v>
      </c>
      <c r="Q4">
        <f ca="1">IF(($A$2)&gt;=(ROW()-3),Q$17*(SUM(Q$19:Q19)-((ROW()-3)*5)),Q3)</f>
        <v>-1</v>
      </c>
      <c r="R4">
        <f ca="1">IF(($A$2)&gt;=(ROW()-3),R$17*(SUM(R$19:R19)-((ROW()-3)*5)),R3)</f>
        <v>1</v>
      </c>
      <c r="S4">
        <f ca="1">IF(($A$2)&gt;=(ROW()-3),S$17*(SUM(S$19:S19)-((ROW()-3)*5)),S3)</f>
        <v>0</v>
      </c>
      <c r="T4">
        <f ca="1">IF(($A$2)&gt;=(ROW()-3),T$17*(SUM(T$19:T19)-((ROW()-3)*5)),T3)</f>
        <v>2</v>
      </c>
      <c r="U4">
        <f ca="1">IF(($A$2)&gt;=(ROW()-3),U$17*(SUM(U$19:U19)-((ROW()-3)*5)),U3)</f>
        <v>-5</v>
      </c>
      <c r="V4">
        <f ca="1">IF(($A$2)&gt;=(ROW()-3),V$17*(SUM(V$19:V19)-((ROW()-3)*5)),V3)</f>
        <v>-4</v>
      </c>
      <c r="W4">
        <f ca="1">IF(($A$2)&gt;=(ROW()-3),W$17*(SUM(W$19:W19)-((ROW()-3)*5)),W3)</f>
        <v>1</v>
      </c>
      <c r="X4">
        <f ca="1">IF(($A$2)&gt;=(ROW()-3),X$17*(SUM(X$19:X19)-((ROW()-3)*5)),X3)</f>
        <v>-1</v>
      </c>
      <c r="Y4">
        <f ca="1">IF(($A$2)&gt;=(ROW()-3),Y$17*(SUM(Y$19:Y19)-((ROW()-3)*5)),Y3)</f>
        <v>-2</v>
      </c>
      <c r="Z4">
        <f ca="1">IF(($A$2)&gt;=(ROW()-3),Z$17*(SUM(Z$19:Z19)-((ROW()-3)*5)),Z3)</f>
        <v>1</v>
      </c>
      <c r="AA4">
        <f ca="1">IF(($A$2)&gt;=(ROW()-3),AA$17*(SUM(AA$19:AA19)-((ROW()-3)*5)),AA3)</f>
        <v>2</v>
      </c>
      <c r="AB4">
        <f ca="1">IF(($A$2)&gt;=(ROW()-3),AB$17*(SUM(AB$19:AB19)-((ROW()-3)*5)),AB3)</f>
        <v>0</v>
      </c>
      <c r="AC4">
        <f ca="1">IF(($A$2)&gt;=(ROW()-3),AC$17*(SUM(AC$19:AC19)-((ROW()-3)*5)),AC3)</f>
        <v>3</v>
      </c>
      <c r="AD4">
        <f ca="1">IF(($A$2)&gt;=(ROW()-3),AD$17*(SUM(AD$19:AD19)-((ROW()-3)*5)),AD3)</f>
        <v>0</v>
      </c>
      <c r="AE4">
        <f ca="1">IF(($A$2)&gt;=(ROW()-3),AE$17*(SUM(AE$19:AE19)-((ROW()-3)*5)),AE3)</f>
        <v>-1</v>
      </c>
      <c r="AF4">
        <f ca="1">IF(($A$2)&gt;=(ROW()-3),AF$17*(SUM(AF$19:AF19)-((ROW()-3)*5)),AF3)</f>
        <v>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-1</v>
      </c>
      <c r="AK4">
        <f ca="1">IF(($A$2)&gt;=(ROW()-3),AK$17*(SUM(AK$19:AK19)-((ROW()-3)*5)),AK3)</f>
        <v>-1</v>
      </c>
      <c r="AL4">
        <f ca="1">IF(($A$2)&gt;=(ROW()-3),AL$17*(SUM(AL$19:AL19)-((ROW()-3)*5)),AL3)</f>
        <v>-2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-1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0</v>
      </c>
      <c r="AS4">
        <f ca="1">IF(($A$2)&gt;=(ROW()-3),AS$17*(SUM(AS$19:AS19)-((ROW()-3)*5)),AS3)</f>
        <v>-1</v>
      </c>
      <c r="AT4">
        <f ca="1">IF(($A$2)&gt;=(ROW()-3),AT$17*(SUM(AT$19:AT19)-((ROW()-3)*5)),AT3)</f>
        <v>-3</v>
      </c>
      <c r="AU4">
        <f ca="1">IF(($A$2)&gt;=(ROW()-3),AU$17*(SUM(AU$19:AU19)-((ROW()-3)*5)),AU3)</f>
        <v>-3</v>
      </c>
      <c r="AV4">
        <f ca="1">IF(($A$2)&gt;=(ROW()-3),AV$17*(SUM(AV$19:AV19)-((ROW()-3)*5)),AV3)</f>
        <v>-1</v>
      </c>
      <c r="AW4">
        <f ca="1">IF(($A$2)&gt;=(ROW()-3),AW$17*(SUM(AW$19:AW19)-((ROW()-3)*5)),AW3)</f>
        <v>-4</v>
      </c>
      <c r="AX4">
        <f ca="1">IF(($A$2)&gt;=(ROW()-3),AX$17*(SUM(AX$19:AX19)-((ROW()-3)*5)),AX3)</f>
        <v>-1</v>
      </c>
      <c r="AY4">
        <f ca="1">IF(($A$2)&gt;=(ROW()-3),AY$17*(SUM(AY$19:AY19)-((ROW()-3)*5)),AY3)</f>
        <v>0</v>
      </c>
      <c r="AZ4">
        <f ca="1">IF(($A$2)&gt;=(ROW()-3),AZ$17*(SUM(AZ$19:AZ19)-((ROW()-3)*5)),AZ3)</f>
        <v>-3</v>
      </c>
      <c r="BA4">
        <f ca="1">IF(($A$2)&gt;=(ROW()-3),BA$17*(SUM(BA$19:BA19)-((ROW()-3)*5)),BA3)</f>
        <v>0</v>
      </c>
      <c r="BB4">
        <f ca="1">IF(($A$2)&gt;=(ROW()-3),BB$17*(SUM(BB$19:BB19)-((ROW()-3)*5)),BB3)</f>
        <v>-1</v>
      </c>
      <c r="BC4">
        <f ca="1">IF(($A$2)&gt;=(ROW()-3),BC$17*(SUM(BC$19:BC19)-((ROW()-3)*5)),BC3)</f>
        <v>0</v>
      </c>
      <c r="BD4">
        <f ca="1">IF(($A$2)&gt;=(ROW()-3),BD$17*(SUM(BD$19:BD19)-((ROW()-3)*5)),BD3)</f>
        <v>0</v>
      </c>
      <c r="BE4">
        <f ca="1">IF(($A$2)&gt;=(ROW()-3),BE$17*(SUM(BE$19:BE19)-((ROW()-3)*5)),BE3)</f>
        <v>1</v>
      </c>
      <c r="BF4">
        <f ca="1">IF(($A$2)&gt;=(ROW()-3),BF$17*(SUM(BF$19:BF19)-((ROW()-3)*5)),BF3)</f>
        <v>-1</v>
      </c>
      <c r="BG4">
        <f ca="1">IF(($A$2)&gt;=(ROW()-3),BG$17*(SUM(BG$19:BG19)-((ROW()-3)*5)),BG3)</f>
        <v>-1</v>
      </c>
      <c r="BH4">
        <f ca="1">IF(($A$2)&gt;=(ROW()-3),BH$17*(SUM(BH$19:BH19)-((ROW()-3)*5)),BH3)</f>
        <v>-1</v>
      </c>
      <c r="BI4">
        <f ca="1">IF(($A$2)&gt;=(ROW()-3),BI$17*(SUM(BI$19:BI19)-((ROW()-3)*5)),BI3)</f>
        <v>-4</v>
      </c>
      <c r="BJ4">
        <f ca="1">IF(($A$2)&gt;=(ROW()-3),BJ$17*(SUM(BJ$19:BJ19)-((ROW()-3)*5)),BJ3)</f>
        <v>-1</v>
      </c>
      <c r="BK4">
        <f ca="1">IF(($A$2)&gt;=(ROW()-3),BK$17*(SUM(BK$19:BK19)-((ROW()-3)*5)),BK3)</f>
        <v>1</v>
      </c>
      <c r="BL4">
        <f ca="1">IF(($A$2)&gt;=(ROW()-3),BL$17*(SUM(BL$19:BL19)-((ROW()-3)*5)),BL3)</f>
        <v>-1</v>
      </c>
      <c r="BM4">
        <f ca="1">IF(($A$2)&gt;=(ROW()-3),BM$17*(SUM(BM$19:BM19)-((ROW()-3)*5)),BM3)</f>
        <v>-1</v>
      </c>
    </row>
    <row r="5" spans="1:78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-1</v>
      </c>
      <c r="H5">
        <f ca="1">IF(($A$2)&gt;=(ROW()-3),H$17*(SUM(H$19:H20)-((ROW()-3)*5)),H4)</f>
        <v>0</v>
      </c>
      <c r="I5">
        <f ca="1">IF(($A$2)&gt;=(ROW()-3),I$17*(SUM(I$19:I20)-((ROW()-3)*5)),I4)</f>
        <v>-3</v>
      </c>
      <c r="J5">
        <f ca="1">IF(($A$2)&gt;=(ROW()-3),J$17*(SUM(J$19:J20)-((ROW()-3)*5)),J4)</f>
        <v>1</v>
      </c>
      <c r="K5">
        <f ca="1">IF(($A$2)&gt;=(ROW()-3),K$17*(SUM(K$19:K20)-((ROW()-3)*5)),K4)</f>
        <v>2</v>
      </c>
      <c r="L5">
        <f ca="1">IF(($A$2)&gt;=(ROW()-3),L$17*(SUM(L$19:L20)-((ROW()-3)*5)),L4)</f>
        <v>-2</v>
      </c>
      <c r="M5">
        <f ca="1">IF(($A$2)&gt;=(ROW()-3),M$17*(SUM(M$19:M20)-((ROW()-3)*5)),M4)</f>
        <v>1</v>
      </c>
      <c r="N5">
        <f ca="1">IF(($A$2)&gt;=(ROW()-3),N$17*(SUM(N$19:N20)-((ROW()-3)*5)),N4)</f>
        <v>0</v>
      </c>
      <c r="O5">
        <f ca="1">IF(($A$2)&gt;=(ROW()-3),O$17*(SUM(O$19:O20)-((ROW()-3)*5)),O4)</f>
        <v>-1</v>
      </c>
      <c r="P5">
        <f ca="1">IF(($A$2)&gt;=(ROW()-3),P$17*(SUM(P$19:P20)-((ROW()-3)*5)),P4)</f>
        <v>3</v>
      </c>
      <c r="Q5">
        <f ca="1">IF(($A$2)&gt;=(ROW()-3),Q$17*(SUM(Q$19:Q20)-((ROW()-3)*5)),Q4)</f>
        <v>-1</v>
      </c>
      <c r="R5">
        <f ca="1">IF(($A$2)&gt;=(ROW()-3),R$17*(SUM(R$19:R20)-((ROW()-3)*5)),R4)</f>
        <v>1</v>
      </c>
      <c r="S5">
        <f ca="1">IF(($A$2)&gt;=(ROW()-3),S$17*(SUM(S$19:S20)-((ROW()-3)*5)),S4)</f>
        <v>0</v>
      </c>
      <c r="T5">
        <f ca="1">IF(($A$2)&gt;=(ROW()-3),T$17*(SUM(T$19:T20)-((ROW()-3)*5)),T4)</f>
        <v>2</v>
      </c>
      <c r="U5">
        <f ca="1">IF(($A$2)&gt;=(ROW()-3),U$17*(SUM(U$19:U20)-((ROW()-3)*5)),U4)</f>
        <v>-10</v>
      </c>
      <c r="V5">
        <f ca="1">IF(($A$2)&gt;=(ROW()-3),V$17*(SUM(V$19:V20)-((ROW()-3)*5)),V4)</f>
        <v>-3</v>
      </c>
      <c r="W5">
        <f ca="1">IF(($A$2)&gt;=(ROW()-3),W$17*(SUM(W$19:W20)-((ROW()-3)*5)),W4)</f>
        <v>3</v>
      </c>
      <c r="X5">
        <f ca="1">IF(($A$2)&gt;=(ROW()-3),X$17*(SUM(X$19:X20)-((ROW()-3)*5)),X4)</f>
        <v>-3</v>
      </c>
      <c r="Y5">
        <f ca="1">IF(($A$2)&gt;=(ROW()-3),Y$17*(SUM(Y$19:Y20)-((ROW()-3)*5)),Y4)</f>
        <v>-3</v>
      </c>
      <c r="Z5">
        <f ca="1">IF(($A$2)&gt;=(ROW()-3),Z$17*(SUM(Z$19:Z20)-((ROW()-3)*5)),Z4)</f>
        <v>1</v>
      </c>
      <c r="AA5">
        <f ca="1">IF(($A$2)&gt;=(ROW()-3),AA$17*(SUM(AA$19:AA20)-((ROW()-3)*5)),AA4)</f>
        <v>4</v>
      </c>
      <c r="AB5">
        <f ca="1">IF(($A$2)&gt;=(ROW()-3),AB$17*(SUM(AB$19:AB20)-((ROW()-3)*5)),AB4)</f>
        <v>0</v>
      </c>
      <c r="AC5">
        <f ca="1">IF(($A$2)&gt;=(ROW()-3),AC$17*(SUM(AC$19:AC20)-((ROW()-3)*5)),AC4)</f>
        <v>3</v>
      </c>
      <c r="AD5">
        <f ca="1">IF(($A$2)&gt;=(ROW()-3),AD$17*(SUM(AD$19:AD20)-((ROW()-3)*5)),AD4)</f>
        <v>-1</v>
      </c>
      <c r="AE5">
        <f ca="1">IF(($A$2)&gt;=(ROW()-3),AE$17*(SUM(AE$19:AE20)-((ROW()-3)*5)),AE4)</f>
        <v>-1</v>
      </c>
      <c r="AF5">
        <f ca="1">IF(($A$2)&gt;=(ROW()-3),AF$17*(SUM(AF$19:AF20)-((ROW()-3)*5)),AF4)</f>
        <v>1</v>
      </c>
      <c r="AG5">
        <f ca="1">IF(($A$2)&gt;=(ROW()-3),AG$17*(SUM(AG$19:AG20)-((ROW()-3)*5)),AG4)</f>
        <v>0</v>
      </c>
      <c r="AH5">
        <f ca="1">IF(($A$2)&gt;=(ROW()-3),AH$17*(SUM(AH$19:AH20)-((ROW()-3)*5)),AH4)</f>
        <v>1</v>
      </c>
      <c r="AI5">
        <f ca="1">IF(($A$2)&gt;=(ROW()-3),AI$17*(SUM(AI$19:AI20)-((ROW()-3)*5)),AI4)</f>
        <v>0</v>
      </c>
      <c r="AJ5">
        <f ca="1">IF(($A$2)&gt;=(ROW()-3),AJ$17*(SUM(AJ$19:AJ20)-((ROW()-3)*5)),AJ4)</f>
        <v>-1</v>
      </c>
      <c r="AK5">
        <f ca="1">IF(($A$2)&gt;=(ROW()-3),AK$17*(SUM(AK$19:AK20)-((ROW()-3)*5)),AK4)</f>
        <v>-2</v>
      </c>
      <c r="AL5">
        <f ca="1">IF(($A$2)&gt;=(ROW()-3),AL$17*(SUM(AL$19:AL20)-((ROW()-3)*5)),AL4)</f>
        <v>-3</v>
      </c>
      <c r="AM5">
        <f ca="1">IF(($A$2)&gt;=(ROW()-3),AM$17*(SUM(AM$19:AM20)-((ROW()-3)*5)),AM4)</f>
        <v>-3</v>
      </c>
      <c r="AN5">
        <f ca="1">IF(($A$2)&gt;=(ROW()-3),AN$17*(SUM(AN$19:AN20)-((ROW()-3)*5)),AN4)</f>
        <v>0</v>
      </c>
      <c r="AO5">
        <f ca="1">IF(($A$2)&gt;=(ROW()-3),AO$17*(SUM(AO$19:AO20)-((ROW()-3)*5)),AO4)</f>
        <v>0</v>
      </c>
      <c r="AP5">
        <f ca="1">IF(($A$2)&gt;=(ROW()-3),AP$17*(SUM(AP$19:AP20)-((ROW()-3)*5)),AP4)</f>
        <v>0</v>
      </c>
      <c r="AQ5">
        <f ca="1">IF(($A$2)&gt;=(ROW()-3),AQ$17*(SUM(AQ$19:AQ20)-((ROW()-3)*5)),AQ4)</f>
        <v>-1</v>
      </c>
      <c r="AR5">
        <f ca="1">IF(($A$2)&gt;=(ROW()-3),AR$17*(SUM(AR$19:AR20)-((ROW()-3)*5)),AR4)</f>
        <v>-2</v>
      </c>
      <c r="AS5">
        <f ca="1">IF(($A$2)&gt;=(ROW()-3),AS$17*(SUM(AS$19:AS20)-((ROW()-3)*5)),AS4)</f>
        <v>0</v>
      </c>
      <c r="AT5">
        <f ca="1">IF(($A$2)&gt;=(ROW()-3),AT$17*(SUM(AT$19:AT20)-((ROW()-3)*5)),AT4)</f>
        <v>-5</v>
      </c>
      <c r="AU5">
        <f ca="1">IF(($A$2)&gt;=(ROW()-3),AU$17*(SUM(AU$19:AU20)-((ROW()-3)*5)),AU4)</f>
        <v>-2</v>
      </c>
      <c r="AV5">
        <f ca="1">IF(($A$2)&gt;=(ROW()-3),AV$17*(SUM(AV$19:AV20)-((ROW()-3)*5)),AV4)</f>
        <v>-2</v>
      </c>
      <c r="AW5">
        <f ca="1">IF(($A$2)&gt;=(ROW()-3),AW$17*(SUM(AW$19:AW20)-((ROW()-3)*5)),AW4)</f>
        <v>-4</v>
      </c>
      <c r="AX5">
        <f ca="1">IF(($A$2)&gt;=(ROW()-3),AX$17*(SUM(AX$19:AX20)-((ROW()-3)*5)),AX4)</f>
        <v>-1</v>
      </c>
      <c r="AY5">
        <f ca="1">IF(($A$2)&gt;=(ROW()-3),AY$17*(SUM(AY$19:AY20)-((ROW()-3)*5)),AY4)</f>
        <v>0</v>
      </c>
      <c r="AZ5">
        <f ca="1">IF(($A$2)&gt;=(ROW()-3),AZ$17*(SUM(AZ$19:AZ20)-((ROW()-3)*5)),AZ4)</f>
        <v>-2</v>
      </c>
      <c r="BA5">
        <f ca="1">IF(($A$2)&gt;=(ROW()-3),BA$17*(SUM(BA$19:BA20)-((ROW()-3)*5)),BA4)</f>
        <v>1</v>
      </c>
      <c r="BB5">
        <f ca="1">IF(($A$2)&gt;=(ROW()-3),BB$17*(SUM(BB$19:BB20)-((ROW()-3)*5)),BB4)</f>
        <v>-2</v>
      </c>
      <c r="BC5">
        <f ca="1">IF(($A$2)&gt;=(ROW()-3),BC$17*(SUM(BC$19:BC20)-((ROW()-3)*5)),BC4)</f>
        <v>1</v>
      </c>
      <c r="BD5">
        <f ca="1">IF(($A$2)&gt;=(ROW()-3),BD$17*(SUM(BD$19:BD20)-((ROW()-3)*5)),BD4)</f>
        <v>-3</v>
      </c>
      <c r="BE5">
        <f ca="1">IF(($A$2)&gt;=(ROW()-3),BE$17*(SUM(BE$19:BE20)-((ROW()-3)*5)),BE4)</f>
        <v>1</v>
      </c>
      <c r="BF5">
        <f ca="1">IF(($A$2)&gt;=(ROW()-3),BF$17*(SUM(BF$19:BF20)-((ROW()-3)*5)),BF4)</f>
        <v>-1</v>
      </c>
      <c r="BG5">
        <f ca="1">IF(($A$2)&gt;=(ROW()-3),BG$17*(SUM(BG$19:BG20)-((ROW()-3)*5)),BG4)</f>
        <v>-1</v>
      </c>
      <c r="BH5">
        <f ca="1">IF(($A$2)&gt;=(ROW()-3),BH$17*(SUM(BH$19:BH20)-((ROW()-3)*5)),BH4)</f>
        <v>-2</v>
      </c>
      <c r="BI5">
        <f ca="1">IF(($A$2)&gt;=(ROW()-3),BI$17*(SUM(BI$19:BI20)-((ROW()-3)*5)),BI4)</f>
        <v>-7</v>
      </c>
      <c r="BJ5">
        <f ca="1">IF(($A$2)&gt;=(ROW()-3),BJ$17*(SUM(BJ$19:BJ20)-((ROW()-3)*5)),BJ4)</f>
        <v>-2</v>
      </c>
      <c r="BK5">
        <f ca="1">IF(($A$2)&gt;=(ROW()-3),BK$17*(SUM(BK$19:BK20)-((ROW()-3)*5)),BK4)</f>
        <v>1</v>
      </c>
      <c r="BL5">
        <f ca="1">IF(($A$2)&gt;=(ROW()-3),BL$17*(SUM(BL$19:BL20)-((ROW()-3)*5)),BL4)</f>
        <v>-1</v>
      </c>
      <c r="BM5">
        <f ca="1">IF(($A$2)&gt;=(ROW()-3),BM$17*(SUM(BM$19:BM20)-((ROW()-3)*5)),BM4)</f>
        <v>0</v>
      </c>
    </row>
    <row r="6" spans="1:78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-1</v>
      </c>
      <c r="H6">
        <f ca="1">IF(($A$2)&gt;=(ROW()-3),H$17*(SUM(H$19:H21)-((ROW()-3)*5)),H5)</f>
        <v>-3</v>
      </c>
      <c r="I6">
        <f ca="1">IF(($A$2)&gt;=(ROW()-3),I$17*(SUM(I$19:I21)-((ROW()-3)*5)),I5)</f>
        <v>-5</v>
      </c>
      <c r="J6">
        <f ca="1">IF(($A$2)&gt;=(ROW()-3),J$17*(SUM(J$19:J21)-((ROW()-3)*5)),J5)</f>
        <v>-4</v>
      </c>
      <c r="K6">
        <f ca="1">IF(($A$2)&gt;=(ROW()-3),K$17*(SUM(K$19:K21)-((ROW()-3)*5)),K5)</f>
        <v>2</v>
      </c>
      <c r="L6">
        <f ca="1">IF(($A$2)&gt;=(ROW()-3),L$17*(SUM(L$19:L21)-((ROW()-3)*5)),L5)</f>
        <v>-3</v>
      </c>
      <c r="M6">
        <f ca="1">IF(($A$2)&gt;=(ROW()-3),M$17*(SUM(M$19:M21)-((ROW()-3)*5)),M5)</f>
        <v>-1</v>
      </c>
      <c r="N6">
        <f ca="1">IF(($A$2)&gt;=(ROW()-3),N$17*(SUM(N$19:N21)-((ROW()-3)*5)),N5)</f>
        <v>3</v>
      </c>
      <c r="O6">
        <f ca="1">IF(($A$2)&gt;=(ROW()-3),O$17*(SUM(O$19:O21)-((ROW()-3)*5)),O5)</f>
        <v>-3</v>
      </c>
      <c r="P6">
        <f ca="1">IF(($A$2)&gt;=(ROW()-3),P$17*(SUM(P$19:P21)-((ROW()-3)*5)),P5)</f>
        <v>2</v>
      </c>
      <c r="Q6">
        <f ca="1">IF(($A$2)&gt;=(ROW()-3),Q$17*(SUM(Q$19:Q21)-((ROW()-3)*5)),Q5)</f>
        <v>-3</v>
      </c>
      <c r="R6">
        <f ca="1">IF(($A$2)&gt;=(ROW()-3),R$17*(SUM(R$19:R21)-((ROW()-3)*5)),R5)</f>
        <v>-1</v>
      </c>
      <c r="S6">
        <f ca="1">IF(($A$2)&gt;=(ROW()-3),S$17*(SUM(S$19:S21)-((ROW()-3)*5)),S5)</f>
        <v>2</v>
      </c>
      <c r="T6">
        <f ca="1">IF(($A$2)&gt;=(ROW()-3),T$17*(SUM(T$19:T21)-((ROW()-3)*5)),T5)</f>
        <v>0</v>
      </c>
      <c r="U6">
        <f ca="1">IF(($A$2)&gt;=(ROW()-3),U$17*(SUM(U$19:U21)-((ROW()-3)*5)),U5)</f>
        <v>-15</v>
      </c>
      <c r="V6">
        <f ca="1">IF(($A$2)&gt;=(ROW()-3),V$17*(SUM(V$19:V21)-((ROW()-3)*5)),V5)</f>
        <v>-6</v>
      </c>
      <c r="W6">
        <f ca="1">IF(($A$2)&gt;=(ROW()-3),W$17*(SUM(W$19:W21)-((ROW()-3)*5)),W5)</f>
        <v>3</v>
      </c>
      <c r="X6">
        <f ca="1">IF(($A$2)&gt;=(ROW()-3),X$17*(SUM(X$19:X21)-((ROW()-3)*5)),X5)</f>
        <v>-4</v>
      </c>
      <c r="Y6">
        <f ca="1">IF(($A$2)&gt;=(ROW()-3),Y$17*(SUM(Y$19:Y21)-((ROW()-3)*5)),Y5)</f>
        <v>-7</v>
      </c>
      <c r="Z6">
        <f ca="1">IF(($A$2)&gt;=(ROW()-3),Z$17*(SUM(Z$19:Z21)-((ROW()-3)*5)),Z5)</f>
        <v>4</v>
      </c>
      <c r="AA6">
        <f ca="1">IF(($A$2)&gt;=(ROW()-3),AA$17*(SUM(AA$19:AA21)-((ROW()-3)*5)),AA5)</f>
        <v>3</v>
      </c>
      <c r="AB6">
        <f ca="1">IF(($A$2)&gt;=(ROW()-3),AB$17*(SUM(AB$19:AB21)-((ROW()-3)*5)),AB5)</f>
        <v>-2</v>
      </c>
      <c r="AC6">
        <f ca="1">IF(($A$2)&gt;=(ROW()-3),AC$17*(SUM(AC$19:AC21)-((ROW()-3)*5)),AC5)</f>
        <v>3</v>
      </c>
      <c r="AD6">
        <f ca="1">IF(($A$2)&gt;=(ROW()-3),AD$17*(SUM(AD$19:AD21)-((ROW()-3)*5)),AD5)</f>
        <v>0</v>
      </c>
      <c r="AE6">
        <f ca="1">IF(($A$2)&gt;=(ROW()-3),AE$17*(SUM(AE$19:AE21)-((ROW()-3)*5)),AE5)</f>
        <v>-2</v>
      </c>
      <c r="AF6">
        <f ca="1">IF(($A$2)&gt;=(ROW()-3),AF$17*(SUM(AF$19:AF21)-((ROW()-3)*5)),AF5)</f>
        <v>-2</v>
      </c>
      <c r="AG6">
        <f ca="1">IF(($A$2)&gt;=(ROW()-3),AG$17*(SUM(AG$19:AG21)-((ROW()-3)*5)),AG5)</f>
        <v>-1</v>
      </c>
      <c r="AH6">
        <f ca="1">IF(($A$2)&gt;=(ROW()-3),AH$17*(SUM(AH$19:AH21)-((ROW()-3)*5)),AH5)</f>
        <v>2</v>
      </c>
      <c r="AI6">
        <f ca="1">IF(($A$2)&gt;=(ROW()-3),AI$17*(SUM(AI$19:AI21)-((ROW()-3)*5)),AI5)</f>
        <v>-3</v>
      </c>
      <c r="AJ6">
        <f ca="1">IF(($A$2)&gt;=(ROW()-3),AJ$17*(SUM(AJ$19:AJ21)-((ROW()-3)*5)),AJ5)</f>
        <v>-4</v>
      </c>
      <c r="AK6">
        <f ca="1">IF(($A$2)&gt;=(ROW()-3),AK$17*(SUM(AK$19:AK21)-((ROW()-3)*5)),AK5)</f>
        <v>-3</v>
      </c>
      <c r="AL6">
        <f ca="1">IF(($A$2)&gt;=(ROW()-3),AL$17*(SUM(AL$19:AL21)-((ROW()-3)*5)),AL5)</f>
        <v>-2</v>
      </c>
      <c r="AM6">
        <f ca="1">IF(($A$2)&gt;=(ROW()-3),AM$17*(SUM(AM$19:AM21)-((ROW()-3)*5)),AM5)</f>
        <v>-4</v>
      </c>
      <c r="AN6">
        <f ca="1">IF(($A$2)&gt;=(ROW()-3),AN$17*(SUM(AN$19:AN21)-((ROW()-3)*5)),AN5)</f>
        <v>0</v>
      </c>
      <c r="AO6">
        <f ca="1">IF(($A$2)&gt;=(ROW()-3),AO$17*(SUM(AO$19:AO21)-((ROW()-3)*5)),AO5)</f>
        <v>-3</v>
      </c>
      <c r="AP6">
        <f ca="1">IF(($A$2)&gt;=(ROW()-3),AP$17*(SUM(AP$19:AP21)-((ROW()-3)*5)),AP5)</f>
        <v>0</v>
      </c>
      <c r="AQ6">
        <f ca="1">IF(($A$2)&gt;=(ROW()-3),AQ$17*(SUM(AQ$19:AQ21)-((ROW()-3)*5)),AQ5)</f>
        <v>-3</v>
      </c>
      <c r="AR6">
        <f ca="1">IF(($A$2)&gt;=(ROW()-3),AR$17*(SUM(AR$19:AR21)-((ROW()-3)*5)),AR5)</f>
        <v>-3</v>
      </c>
      <c r="AS6">
        <f ca="1">IF(($A$2)&gt;=(ROW()-3),AS$17*(SUM(AS$19:AS21)-((ROW()-3)*5)),AS5)</f>
        <v>1</v>
      </c>
      <c r="AT6">
        <f ca="1">IF(($A$2)&gt;=(ROW()-3),AT$17*(SUM(AT$19:AT21)-((ROW()-3)*5)),AT5)</f>
        <v>-5</v>
      </c>
      <c r="AU6">
        <f ca="1">IF(($A$2)&gt;=(ROW()-3),AU$17*(SUM(AU$19:AU21)-((ROW()-3)*5)),AU5)</f>
        <v>-2</v>
      </c>
      <c r="AV6">
        <f ca="1">IF(($A$2)&gt;=(ROW()-3),AV$17*(SUM(AV$19:AV21)-((ROW()-3)*5)),AV5)</f>
        <v>-5</v>
      </c>
      <c r="AW6">
        <f ca="1">IF(($A$2)&gt;=(ROW()-3),AW$17*(SUM(AW$19:AW21)-((ROW()-3)*5)),AW5)</f>
        <v>-6</v>
      </c>
      <c r="AX6">
        <f ca="1">IF(($A$2)&gt;=(ROW()-3),AX$17*(SUM(AX$19:AX21)-((ROW()-3)*5)),AX5)</f>
        <v>-4</v>
      </c>
      <c r="AY6">
        <f ca="1">IF(($A$2)&gt;=(ROW()-3),AY$17*(SUM(AY$19:AY21)-((ROW()-3)*5)),AY5)</f>
        <v>-1</v>
      </c>
      <c r="AZ6">
        <f ca="1">IF(($A$2)&gt;=(ROW()-3),AZ$17*(SUM(AZ$19:AZ21)-((ROW()-3)*5)),AZ5)</f>
        <v>-2</v>
      </c>
      <c r="BA6">
        <f ca="1">IF(($A$2)&gt;=(ROW()-3),BA$17*(SUM(BA$19:BA21)-((ROW()-3)*5)),BA5)</f>
        <v>0</v>
      </c>
      <c r="BB6">
        <f ca="1">IF(($A$2)&gt;=(ROW()-3),BB$17*(SUM(BB$19:BB21)-((ROW()-3)*5)),BB5)</f>
        <v>-2</v>
      </c>
      <c r="BC6">
        <f ca="1">IF(($A$2)&gt;=(ROW()-3),BC$17*(SUM(BC$19:BC21)-((ROW()-3)*5)),BC5)</f>
        <v>1</v>
      </c>
      <c r="BD6">
        <f ca="1">IF(($A$2)&gt;=(ROW()-3),BD$17*(SUM(BD$19:BD21)-((ROW()-3)*5)),BD5)</f>
        <v>-3</v>
      </c>
      <c r="BE6">
        <f ca="1">IF(($A$2)&gt;=(ROW()-3),BE$17*(SUM(BE$19:BE21)-((ROW()-3)*5)),BE5)</f>
        <v>-3</v>
      </c>
      <c r="BF6">
        <f ca="1">IF(($A$2)&gt;=(ROW()-3),BF$17*(SUM(BF$19:BF21)-((ROW()-3)*5)),BF5)</f>
        <v>-1</v>
      </c>
      <c r="BG6">
        <f ca="1">IF(($A$2)&gt;=(ROW()-3),BG$17*(SUM(BG$19:BG21)-((ROW()-3)*5)),BG5)</f>
        <v>-1</v>
      </c>
      <c r="BH6">
        <f ca="1">IF(($A$2)&gt;=(ROW()-3),BH$17*(SUM(BH$19:BH21)-((ROW()-3)*5)),BH5)</f>
        <v>-4</v>
      </c>
      <c r="BI6">
        <f ca="1">IF(($A$2)&gt;=(ROW()-3),BI$17*(SUM(BI$19:BI21)-((ROW()-3)*5)),BI5)</f>
        <v>-7</v>
      </c>
      <c r="BJ6">
        <f ca="1">IF(($A$2)&gt;=(ROW()-3),BJ$17*(SUM(BJ$19:BJ21)-((ROW()-3)*5)),BJ5)</f>
        <v>-4</v>
      </c>
      <c r="BK6">
        <f ca="1">IF(($A$2)&gt;=(ROW()-3),BK$17*(SUM(BK$19:BK21)-((ROW()-3)*5)),BK5)</f>
        <v>1</v>
      </c>
      <c r="BL6">
        <f ca="1">IF(($A$2)&gt;=(ROW()-3),BL$17*(SUM(BL$19:BL21)-((ROW()-3)*5)),BL5)</f>
        <v>-1</v>
      </c>
      <c r="BM6">
        <f ca="1">IF(($A$2)&gt;=(ROW()-3),BM$17*(SUM(BM$19:BM21)-((ROW()-3)*5)),BM5)</f>
        <v>2</v>
      </c>
    </row>
    <row r="7" spans="1:78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-1</v>
      </c>
      <c r="H7">
        <f ca="1">IF(($A$2)&gt;=(ROW()-3),H$17*(SUM(H$19:H22)-((ROW()-3)*5)),H6)</f>
        <v>-4</v>
      </c>
      <c r="I7">
        <f ca="1">IF(($A$2)&gt;=(ROW()-3),I$17*(SUM(I$19:I22)-((ROW()-3)*5)),I6)</f>
        <v>-3</v>
      </c>
      <c r="J7">
        <f ca="1">IF(($A$2)&gt;=(ROW()-3),J$17*(SUM(J$19:J22)-((ROW()-3)*5)),J6)</f>
        <v>-3</v>
      </c>
      <c r="K7">
        <f ca="1">IF(($A$2)&gt;=(ROW()-3),K$17*(SUM(K$19:K22)-((ROW()-3)*5)),K6)</f>
        <v>3</v>
      </c>
      <c r="L7">
        <f ca="1">IF(($A$2)&gt;=(ROW()-3),L$17*(SUM(L$19:L22)-((ROW()-3)*5)),L6)</f>
        <v>-4</v>
      </c>
      <c r="M7">
        <f ca="1">IF(($A$2)&gt;=(ROW()-3),M$17*(SUM(M$19:M22)-((ROW()-3)*5)),M6)</f>
        <v>-1</v>
      </c>
      <c r="N7">
        <f ca="1">IF(($A$2)&gt;=(ROW()-3),N$17*(SUM(N$19:N22)-((ROW()-3)*5)),N6)</f>
        <v>4</v>
      </c>
      <c r="O7">
        <f ca="1">IF(($A$2)&gt;=(ROW()-3),O$17*(SUM(O$19:O22)-((ROW()-3)*5)),O6)</f>
        <v>-1</v>
      </c>
      <c r="P7">
        <f ca="1">IF(($A$2)&gt;=(ROW()-3),P$17*(SUM(P$19:P22)-((ROW()-3)*5)),P6)</f>
        <v>1</v>
      </c>
      <c r="Q7">
        <f ca="1">IF(($A$2)&gt;=(ROW()-3),Q$17*(SUM(Q$19:Q22)-((ROW()-3)*5)),Q6)</f>
        <v>-4</v>
      </c>
      <c r="R7">
        <f ca="1">IF(($A$2)&gt;=(ROW()-3),R$17*(SUM(R$19:R22)-((ROW()-3)*5)),R6)</f>
        <v>-1</v>
      </c>
      <c r="S7">
        <f ca="1">IF(($A$2)&gt;=(ROW()-3),S$17*(SUM(S$19:S22)-((ROW()-3)*5)),S6)</f>
        <v>1</v>
      </c>
      <c r="T7">
        <f ca="1">IF(($A$2)&gt;=(ROW()-3),T$17*(SUM(T$19:T22)-((ROW()-3)*5)),T6)</f>
        <v>1</v>
      </c>
      <c r="U7">
        <f ca="1">IF(($A$2)&gt;=(ROW()-3),U$17*(SUM(U$19:U22)-((ROW()-3)*5)),U6)</f>
        <v>-16</v>
      </c>
      <c r="V7">
        <f ca="1">IF(($A$2)&gt;=(ROW()-3),V$17*(SUM(V$19:V22)-((ROW()-3)*5)),V6)</f>
        <v>-6</v>
      </c>
      <c r="W7">
        <f ca="1">IF(($A$2)&gt;=(ROW()-3),W$17*(SUM(W$19:W22)-((ROW()-3)*5)),W6)</f>
        <v>4</v>
      </c>
      <c r="X7">
        <f ca="1">IF(($A$2)&gt;=(ROW()-3),X$17*(SUM(X$19:X22)-((ROW()-3)*5)),X6)</f>
        <v>-4</v>
      </c>
      <c r="Y7">
        <f ca="1">IF(($A$2)&gt;=(ROW()-3),Y$17*(SUM(Y$19:Y22)-((ROW()-3)*5)),Y6)</f>
        <v>-7</v>
      </c>
      <c r="Z7">
        <f ca="1">IF(($A$2)&gt;=(ROW()-3),Z$17*(SUM(Z$19:Z22)-((ROW()-3)*5)),Z6)</f>
        <v>6</v>
      </c>
      <c r="AA7">
        <f ca="1">IF(($A$2)&gt;=(ROW()-3),AA$17*(SUM(AA$19:AA22)-((ROW()-3)*5)),AA6)</f>
        <v>6</v>
      </c>
      <c r="AB7">
        <f ca="1">IF(($A$2)&gt;=(ROW()-3),AB$17*(SUM(AB$19:AB22)-((ROW()-3)*5)),AB6)</f>
        <v>-1</v>
      </c>
      <c r="AC7">
        <f ca="1">IF(($A$2)&gt;=(ROW()-3),AC$17*(SUM(AC$19:AC22)-((ROW()-3)*5)),AC6)</f>
        <v>3</v>
      </c>
      <c r="AD7">
        <f ca="1">IF(($A$2)&gt;=(ROW()-3),AD$17*(SUM(AD$19:AD22)-((ROW()-3)*5)),AD6)</f>
        <v>2</v>
      </c>
      <c r="AE7">
        <f ca="1">IF(($A$2)&gt;=(ROW()-3),AE$17*(SUM(AE$19:AE22)-((ROW()-3)*5)),AE6)</f>
        <v>-1</v>
      </c>
      <c r="AF7">
        <f ca="1">IF(($A$2)&gt;=(ROW()-3),AF$17*(SUM(AF$19:AF22)-((ROW()-3)*5)),AF6)</f>
        <v>-2</v>
      </c>
      <c r="AG7">
        <f ca="1">IF(($A$2)&gt;=(ROW()-3),AG$17*(SUM(AG$19:AG22)-((ROW()-3)*5)),AG6)</f>
        <v>0</v>
      </c>
      <c r="AH7">
        <f ca="1">IF(($A$2)&gt;=(ROW()-3),AH$17*(SUM(AH$19:AH22)-((ROW()-3)*5)),AH6)</f>
        <v>2</v>
      </c>
      <c r="AI7">
        <f ca="1">IF(($A$2)&gt;=(ROW()-3),AI$17*(SUM(AI$19:AI22)-((ROW()-3)*5)),AI6)</f>
        <v>-4</v>
      </c>
      <c r="AJ7">
        <f ca="1">IF(($A$2)&gt;=(ROW()-3),AJ$17*(SUM(AJ$19:AJ22)-((ROW()-3)*5)),AJ6)</f>
        <v>-4</v>
      </c>
      <c r="AK7">
        <f ca="1">IF(($A$2)&gt;=(ROW()-3),AK$17*(SUM(AK$19:AK22)-((ROW()-3)*5)),AK6)</f>
        <v>1</v>
      </c>
      <c r="AL7">
        <f ca="1">IF(($A$2)&gt;=(ROW()-3),AL$17*(SUM(AL$19:AL22)-((ROW()-3)*5)),AL6)</f>
        <v>-2</v>
      </c>
      <c r="AM7">
        <f ca="1">IF(($A$2)&gt;=(ROW()-3),AM$17*(SUM(AM$19:AM22)-((ROW()-3)*5)),AM6)</f>
        <v>-3</v>
      </c>
      <c r="AN7">
        <f ca="1">IF(($A$2)&gt;=(ROW()-3),AN$17*(SUM(AN$19:AN22)-((ROW()-3)*5)),AN6)</f>
        <v>2</v>
      </c>
      <c r="AO7">
        <f ca="1">IF(($A$2)&gt;=(ROW()-3),AO$17*(SUM(AO$19:AO22)-((ROW()-3)*5)),AO6)</f>
        <v>-4</v>
      </c>
      <c r="AP7">
        <f ca="1">IF(($A$2)&gt;=(ROW()-3),AP$17*(SUM(AP$19:AP22)-((ROW()-3)*5)),AP6)</f>
        <v>-3</v>
      </c>
      <c r="AQ7">
        <f ca="1">IF(($A$2)&gt;=(ROW()-3),AQ$17*(SUM(AQ$19:AQ22)-((ROW()-3)*5)),AQ6)</f>
        <v>-3</v>
      </c>
      <c r="AR7">
        <f ca="1">IF(($A$2)&gt;=(ROW()-3),AR$17*(SUM(AR$19:AR22)-((ROW()-3)*5)),AR6)</f>
        <v>-2</v>
      </c>
      <c r="AS7">
        <f ca="1">IF(($A$2)&gt;=(ROW()-3),AS$17*(SUM(AS$19:AS22)-((ROW()-3)*5)),AS6)</f>
        <v>2</v>
      </c>
      <c r="AT7">
        <f ca="1">IF(($A$2)&gt;=(ROW()-3),AT$17*(SUM(AT$19:AT22)-((ROW()-3)*5)),AT6)</f>
        <v>-3</v>
      </c>
      <c r="AU7">
        <f ca="1">IF(($A$2)&gt;=(ROW()-3),AU$17*(SUM(AU$19:AU22)-((ROW()-3)*5)),AU6)</f>
        <v>0</v>
      </c>
      <c r="AV7">
        <f ca="1">IF(($A$2)&gt;=(ROW()-3),AV$17*(SUM(AV$19:AV22)-((ROW()-3)*5)),AV6)</f>
        <v>-2</v>
      </c>
      <c r="AW7">
        <f ca="1">IF(($A$2)&gt;=(ROW()-3),AW$17*(SUM(AW$19:AW22)-((ROW()-3)*5)),AW6)</f>
        <v>-4</v>
      </c>
      <c r="AX7">
        <f ca="1">IF(($A$2)&gt;=(ROW()-3),AX$17*(SUM(AX$19:AX22)-((ROW()-3)*5)),AX6)</f>
        <v>-6</v>
      </c>
      <c r="AY7">
        <f ca="1">IF(($A$2)&gt;=(ROW()-3),AY$17*(SUM(AY$19:AY22)-((ROW()-3)*5)),AY6)</f>
        <v>-1</v>
      </c>
      <c r="AZ7">
        <f ca="1">IF(($A$2)&gt;=(ROW()-3),AZ$17*(SUM(AZ$19:AZ22)-((ROW()-3)*5)),AZ6)</f>
        <v>-4</v>
      </c>
      <c r="BA7">
        <f ca="1">IF(($A$2)&gt;=(ROW()-3),BA$17*(SUM(BA$19:BA22)-((ROW()-3)*5)),BA6)</f>
        <v>3</v>
      </c>
      <c r="BB7">
        <f ca="1">IF(($A$2)&gt;=(ROW()-3),BB$17*(SUM(BB$19:BB22)-((ROW()-3)*5)),BB6)</f>
        <v>-1</v>
      </c>
      <c r="BC7">
        <f ca="1">IF(($A$2)&gt;=(ROW()-3),BC$17*(SUM(BC$19:BC22)-((ROW()-3)*5)),BC6)</f>
        <v>0</v>
      </c>
      <c r="BD7">
        <f ca="1">IF(($A$2)&gt;=(ROW()-3),BD$17*(SUM(BD$19:BD22)-((ROW()-3)*5)),BD6)</f>
        <v>-3</v>
      </c>
      <c r="BE7">
        <f ca="1">IF(($A$2)&gt;=(ROW()-3),BE$17*(SUM(BE$19:BE22)-((ROW()-3)*5)),BE6)</f>
        <v>-3</v>
      </c>
      <c r="BF7">
        <f ca="1">IF(($A$2)&gt;=(ROW()-3),BF$17*(SUM(BF$19:BF22)-((ROW()-3)*5)),BF6)</f>
        <v>1</v>
      </c>
      <c r="BG7">
        <f ca="1">IF(($A$2)&gt;=(ROW()-3),BG$17*(SUM(BG$19:BG22)-((ROW()-3)*5)),BG6)</f>
        <v>-2</v>
      </c>
      <c r="BH7">
        <f ca="1">IF(($A$2)&gt;=(ROW()-3),BH$17*(SUM(BH$19:BH22)-((ROW()-3)*5)),BH6)</f>
        <v>-1</v>
      </c>
      <c r="BI7">
        <f ca="1">IF(($A$2)&gt;=(ROW()-3),BI$17*(SUM(BI$19:BI22)-((ROW()-3)*5)),BI6)</f>
        <v>-6</v>
      </c>
      <c r="BJ7">
        <f ca="1">IF(($A$2)&gt;=(ROW()-3),BJ$17*(SUM(BJ$19:BJ22)-((ROW()-3)*5)),BJ6)</f>
        <v>-4</v>
      </c>
      <c r="BK7">
        <f ca="1">IF(($A$2)&gt;=(ROW()-3),BK$17*(SUM(BK$19:BK22)-((ROW()-3)*5)),BK6)</f>
        <v>-2</v>
      </c>
      <c r="BL7">
        <f ca="1">IF(($A$2)&gt;=(ROW()-3),BL$17*(SUM(BL$19:BL22)-((ROW()-3)*5)),BL6)</f>
        <v>-2</v>
      </c>
      <c r="BM7">
        <f ca="1">IF(($A$2)&gt;=(ROW()-3),BM$17*(SUM(BM$19:BM22)-((ROW()-3)*5)),BM6)</f>
        <v>6</v>
      </c>
    </row>
    <row r="8" spans="1:78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-4</v>
      </c>
      <c r="H8">
        <f ca="1">IF(($A$2)&gt;=(ROW()-3),H$17*(SUM(H$19:H23)-((ROW()-3)*5)),H7)</f>
        <v>-4</v>
      </c>
      <c r="I8">
        <f ca="1">IF(($A$2)&gt;=(ROW()-3),I$17*(SUM(I$19:I23)-((ROW()-3)*5)),I7)</f>
        <v>-3</v>
      </c>
      <c r="J8">
        <f ca="1">IF(($A$2)&gt;=(ROW()-3),J$17*(SUM(J$19:J23)-((ROW()-3)*5)),J7)</f>
        <v>-3</v>
      </c>
      <c r="K8">
        <f ca="1">IF(($A$2)&gt;=(ROW()-3),K$17*(SUM(K$19:K23)-((ROW()-3)*5)),K7)</f>
        <v>1</v>
      </c>
      <c r="L8">
        <f ca="1">IF(($A$2)&gt;=(ROW()-3),L$17*(SUM(L$19:L23)-((ROW()-3)*5)),L7)</f>
        <v>-6</v>
      </c>
      <c r="M8">
        <f ca="1">IF(($A$2)&gt;=(ROW()-3),M$17*(SUM(M$19:M23)-((ROW()-3)*5)),M7)</f>
        <v>0</v>
      </c>
      <c r="N8">
        <f ca="1">IF(($A$2)&gt;=(ROW()-3),N$17*(SUM(N$19:N23)-((ROW()-3)*5)),N7)</f>
        <v>4</v>
      </c>
      <c r="O8">
        <f ca="1">IF(($A$2)&gt;=(ROW()-3),O$17*(SUM(O$19:O23)-((ROW()-3)*5)),O7)</f>
        <v>-1</v>
      </c>
      <c r="P8">
        <f ca="1">IF(($A$2)&gt;=(ROW()-3),P$17*(SUM(P$19:P23)-((ROW()-3)*5)),P7)</f>
        <v>-1</v>
      </c>
      <c r="Q8">
        <f ca="1">IF(($A$2)&gt;=(ROW()-3),Q$17*(SUM(Q$19:Q23)-((ROW()-3)*5)),Q7)</f>
        <v>-2</v>
      </c>
      <c r="R8">
        <f ca="1">IF(($A$2)&gt;=(ROW()-3),R$17*(SUM(R$19:R23)-((ROW()-3)*5)),R7)</f>
        <v>-1</v>
      </c>
      <c r="S8">
        <f ca="1">IF(($A$2)&gt;=(ROW()-3),S$17*(SUM(S$19:S23)-((ROW()-3)*5)),S7)</f>
        <v>3</v>
      </c>
      <c r="T8">
        <f ca="1">IF(($A$2)&gt;=(ROW()-3),T$17*(SUM(T$19:T23)-((ROW()-3)*5)),T7)</f>
        <v>0</v>
      </c>
      <c r="U8">
        <f ca="1">IF(($A$2)&gt;=(ROW()-3),U$17*(SUM(U$19:U23)-((ROW()-3)*5)),U7)</f>
        <v>-15</v>
      </c>
      <c r="V8">
        <f ca="1">IF(($A$2)&gt;=(ROW()-3),V$17*(SUM(V$19:V23)-((ROW()-3)*5)),V7)</f>
        <v>-5</v>
      </c>
      <c r="W8">
        <f ca="1">IF(($A$2)&gt;=(ROW()-3),W$17*(SUM(W$19:W23)-((ROW()-3)*5)),W7)</f>
        <v>3</v>
      </c>
      <c r="X8">
        <f ca="1">IF(($A$2)&gt;=(ROW()-3),X$17*(SUM(X$19:X23)-((ROW()-3)*5)),X7)</f>
        <v>-4</v>
      </c>
      <c r="Y8">
        <f ca="1">IF(($A$2)&gt;=(ROW()-3),Y$17*(SUM(Y$19:Y23)-((ROW()-3)*5)),Y7)</f>
        <v>-7</v>
      </c>
      <c r="Z8">
        <f ca="1">IF(($A$2)&gt;=(ROW()-3),Z$17*(SUM(Z$19:Z23)-((ROW()-3)*5)),Z7)</f>
        <v>8</v>
      </c>
      <c r="AA8">
        <f ca="1">IF(($A$2)&gt;=(ROW()-3),AA$17*(SUM(AA$19:AA23)-((ROW()-3)*5)),AA7)</f>
        <v>4</v>
      </c>
      <c r="AB8">
        <f ca="1">IF(($A$2)&gt;=(ROW()-3),AB$17*(SUM(AB$19:AB23)-((ROW()-3)*5)),AB7)</f>
        <v>-2</v>
      </c>
      <c r="AC8">
        <f ca="1">IF(($A$2)&gt;=(ROW()-3),AC$17*(SUM(AC$19:AC23)-((ROW()-3)*5)),AC7)</f>
        <v>2</v>
      </c>
      <c r="AD8">
        <f ca="1">IF(($A$2)&gt;=(ROW()-3),AD$17*(SUM(AD$19:AD23)-((ROW()-3)*5)),AD7)</f>
        <v>3</v>
      </c>
      <c r="AE8">
        <f ca="1">IF(($A$2)&gt;=(ROW()-3),AE$17*(SUM(AE$19:AE23)-((ROW()-3)*5)),AE7)</f>
        <v>1</v>
      </c>
      <c r="AF8">
        <f ca="1">IF(($A$2)&gt;=(ROW()-3),AF$17*(SUM(AF$19:AF23)-((ROW()-3)*5)),AF7)</f>
        <v>-2</v>
      </c>
      <c r="AG8">
        <f ca="1">IF(($A$2)&gt;=(ROW()-3),AG$17*(SUM(AG$19:AG23)-((ROW()-3)*5)),AG7)</f>
        <v>0</v>
      </c>
      <c r="AH8">
        <f ca="1">IF(($A$2)&gt;=(ROW()-3),AH$17*(SUM(AH$19:AH23)-((ROW()-3)*5)),AH7)</f>
        <v>2</v>
      </c>
      <c r="AI8">
        <f ca="1">IF(($A$2)&gt;=(ROW()-3),AI$17*(SUM(AI$19:AI23)-((ROW()-3)*5)),AI7)</f>
        <v>-4</v>
      </c>
      <c r="AJ8">
        <f ca="1">IF(($A$2)&gt;=(ROW()-3),AJ$17*(SUM(AJ$19:AJ23)-((ROW()-3)*5)),AJ7)</f>
        <v>-4</v>
      </c>
      <c r="AK8">
        <f ca="1">IF(($A$2)&gt;=(ROW()-3),AK$17*(SUM(AK$19:AK23)-((ROW()-3)*5)),AK7)</f>
        <v>1</v>
      </c>
      <c r="AL8">
        <f ca="1">IF(($A$2)&gt;=(ROW()-3),AL$17*(SUM(AL$19:AL23)-((ROW()-3)*5)),AL7)</f>
        <v>-1</v>
      </c>
      <c r="AM8">
        <f ca="1">IF(($A$2)&gt;=(ROW()-3),AM$17*(SUM(AM$19:AM23)-((ROW()-3)*5)),AM7)</f>
        <v>-4</v>
      </c>
      <c r="AN8">
        <f ca="1">IF(($A$2)&gt;=(ROW()-3),AN$17*(SUM(AN$19:AN23)-((ROW()-3)*5)),AN7)</f>
        <v>3</v>
      </c>
      <c r="AO8">
        <f ca="1">IF(($A$2)&gt;=(ROW()-3),AO$17*(SUM(AO$19:AO23)-((ROW()-3)*5)),AO7)</f>
        <v>-2</v>
      </c>
      <c r="AP8">
        <f ca="1">IF(($A$2)&gt;=(ROW()-3),AP$17*(SUM(AP$19:AP23)-((ROW()-3)*5)),AP7)</f>
        <v>-3</v>
      </c>
      <c r="AQ8">
        <f ca="1">IF(($A$2)&gt;=(ROW()-3),AQ$17*(SUM(AQ$19:AQ23)-((ROW()-3)*5)),AQ7)</f>
        <v>-5</v>
      </c>
      <c r="AR8">
        <f ca="1">IF(($A$2)&gt;=(ROW()-3),AR$17*(SUM(AR$19:AR23)-((ROW()-3)*5)),AR7)</f>
        <v>-1</v>
      </c>
      <c r="AS8">
        <f ca="1">IF(($A$2)&gt;=(ROW()-3),AS$17*(SUM(AS$19:AS23)-((ROW()-3)*5)),AS7)</f>
        <v>6</v>
      </c>
      <c r="AT8">
        <f ca="1">IF(($A$2)&gt;=(ROW()-3),AT$17*(SUM(AT$19:AT23)-((ROW()-3)*5)),AT7)</f>
        <v>-2</v>
      </c>
      <c r="AU8">
        <f ca="1">IF(($A$2)&gt;=(ROW()-3),AU$17*(SUM(AU$19:AU23)-((ROW()-3)*5)),AU7)</f>
        <v>1</v>
      </c>
      <c r="AV8">
        <f ca="1">IF(($A$2)&gt;=(ROW()-3),AV$17*(SUM(AV$19:AV23)-((ROW()-3)*5)),AV7)</f>
        <v>-2</v>
      </c>
      <c r="AW8">
        <f ca="1">IF(($A$2)&gt;=(ROW()-3),AW$17*(SUM(AW$19:AW23)-((ROW()-3)*5)),AW7)</f>
        <v>-5</v>
      </c>
      <c r="AX8">
        <f ca="1">IF(($A$2)&gt;=(ROW()-3),AX$17*(SUM(AX$19:AX23)-((ROW()-3)*5)),AX7)</f>
        <v>-7</v>
      </c>
      <c r="AY8">
        <f ca="1">IF(($A$2)&gt;=(ROW()-3),AY$17*(SUM(AY$19:AY23)-((ROW()-3)*5)),AY7)</f>
        <v>-2</v>
      </c>
      <c r="AZ8">
        <f ca="1">IF(($A$2)&gt;=(ROW()-3),AZ$17*(SUM(AZ$19:AZ23)-((ROW()-3)*5)),AZ7)</f>
        <v>-5</v>
      </c>
      <c r="BA8">
        <f ca="1">IF(($A$2)&gt;=(ROW()-3),BA$17*(SUM(BA$19:BA23)-((ROW()-3)*5)),BA7)</f>
        <v>3</v>
      </c>
      <c r="BB8">
        <f ca="1">IF(($A$2)&gt;=(ROW()-3),BB$17*(SUM(BB$19:BB23)-((ROW()-3)*5)),BB7)</f>
        <v>-1</v>
      </c>
      <c r="BC8">
        <f ca="1">IF(($A$2)&gt;=(ROW()-3),BC$17*(SUM(BC$19:BC23)-((ROW()-3)*5)),BC7)</f>
        <v>-1</v>
      </c>
      <c r="BD8">
        <f ca="1">IF(($A$2)&gt;=(ROW()-3),BD$17*(SUM(BD$19:BD23)-((ROW()-3)*5)),BD7)</f>
        <v>-3</v>
      </c>
      <c r="BE8">
        <f ca="1">IF(($A$2)&gt;=(ROW()-3),BE$17*(SUM(BE$19:BE23)-((ROW()-3)*5)),BE7)</f>
        <v>-5</v>
      </c>
      <c r="BF8">
        <f ca="1">IF(($A$2)&gt;=(ROW()-3),BF$17*(SUM(BF$19:BF23)-((ROW()-3)*5)),BF7)</f>
        <v>0</v>
      </c>
      <c r="BG8">
        <f ca="1">IF(($A$2)&gt;=(ROW()-3),BG$17*(SUM(BG$19:BG23)-((ROW()-3)*5)),BG7)</f>
        <v>-1</v>
      </c>
      <c r="BH8">
        <f ca="1">IF(($A$2)&gt;=(ROW()-3),BH$17*(SUM(BH$19:BH23)-((ROW()-3)*5)),BH7)</f>
        <v>-1</v>
      </c>
      <c r="BI8">
        <f ca="1">IF(($A$2)&gt;=(ROW()-3),BI$17*(SUM(BI$19:BI23)-((ROW()-3)*5)),BI7)</f>
        <v>-5</v>
      </c>
      <c r="BJ8">
        <f ca="1">IF(($A$2)&gt;=(ROW()-3),BJ$17*(SUM(BJ$19:BJ23)-((ROW()-3)*5)),BJ7)</f>
        <v>-4</v>
      </c>
      <c r="BK8">
        <f ca="1">IF(($A$2)&gt;=(ROW()-3),BK$17*(SUM(BK$19:BK23)-((ROW()-3)*5)),BK7)</f>
        <v>-3</v>
      </c>
      <c r="BL8">
        <f ca="1">IF(($A$2)&gt;=(ROW()-3),BL$17*(SUM(BL$19:BL23)-((ROW()-3)*5)),BL7)</f>
        <v>-1</v>
      </c>
      <c r="BM8">
        <f ca="1">IF(($A$2)&gt;=(ROW()-3),BM$17*(SUM(BM$19:BM23)-((ROW()-3)*5)),BM7)</f>
        <v>6</v>
      </c>
    </row>
    <row r="9" spans="1:78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-1</v>
      </c>
      <c r="H9">
        <f ca="1">IF(($A$2)&gt;=(ROW()-3),H$17*(SUM(H$19:H24)-((ROW()-3)*5)),H8)</f>
        <v>-7</v>
      </c>
      <c r="I9">
        <f ca="1">IF(($A$2)&gt;=(ROW()-3),I$17*(SUM(I$19:I24)-((ROW()-3)*5)),I8)</f>
        <v>-6</v>
      </c>
      <c r="J9">
        <f ca="1">IF(($A$2)&gt;=(ROW()-3),J$17*(SUM(J$19:J24)-((ROW()-3)*5)),J8)</f>
        <v>-4</v>
      </c>
      <c r="K9">
        <f ca="1">IF(($A$2)&gt;=(ROW()-3),K$17*(SUM(K$19:K24)-((ROW()-3)*5)),K8)</f>
        <v>1</v>
      </c>
      <c r="L9">
        <f ca="1">IF(($A$2)&gt;=(ROW()-3),L$17*(SUM(L$19:L24)-((ROW()-3)*5)),L8)</f>
        <v>-7</v>
      </c>
      <c r="M9">
        <f ca="1">IF(($A$2)&gt;=(ROW()-3),M$17*(SUM(M$19:M24)-((ROW()-3)*5)),M8)</f>
        <v>-1</v>
      </c>
      <c r="N9">
        <f ca="1">IF(($A$2)&gt;=(ROW()-3),N$17*(SUM(N$19:N24)-((ROW()-3)*5)),N8)</f>
        <v>-1</v>
      </c>
      <c r="O9">
        <f ca="1">IF(($A$2)&gt;=(ROW()-3),O$17*(SUM(O$19:O24)-((ROW()-3)*5)),O8)</f>
        <v>-1</v>
      </c>
      <c r="P9">
        <f ca="1">IF(($A$2)&gt;=(ROW()-3),P$17*(SUM(P$19:P24)-((ROW()-3)*5)),P8)</f>
        <v>0</v>
      </c>
      <c r="Q9">
        <f ca="1">IF(($A$2)&gt;=(ROW()-3),Q$17*(SUM(Q$19:Q24)-((ROW()-3)*5)),Q8)</f>
        <v>-3</v>
      </c>
      <c r="R9">
        <f ca="1">IF(($A$2)&gt;=(ROW()-3),R$17*(SUM(R$19:R24)-((ROW()-3)*5)),R8)</f>
        <v>-1</v>
      </c>
      <c r="S9">
        <f ca="1">IF(($A$2)&gt;=(ROW()-3),S$17*(SUM(S$19:S24)-((ROW()-3)*5)),S8)</f>
        <v>4</v>
      </c>
      <c r="T9">
        <f ca="1">IF(($A$2)&gt;=(ROW()-3),T$17*(SUM(T$19:T24)-((ROW()-3)*5)),T8)</f>
        <v>-1</v>
      </c>
      <c r="U9">
        <f ca="1">IF(($A$2)&gt;=(ROW()-3),U$17*(SUM(U$19:U24)-((ROW()-3)*5)),U8)</f>
        <v>-15</v>
      </c>
      <c r="V9">
        <f ca="1">IF(($A$2)&gt;=(ROW()-3),V$17*(SUM(V$19:V24)-((ROW()-3)*5)),V8)</f>
        <v>-7</v>
      </c>
      <c r="W9">
        <f ca="1">IF(($A$2)&gt;=(ROW()-3),W$17*(SUM(W$19:W24)-((ROW()-3)*5)),W8)</f>
        <v>2</v>
      </c>
      <c r="X9">
        <f ca="1">IF(($A$2)&gt;=(ROW()-3),X$17*(SUM(X$19:X24)-((ROW()-3)*5)),X8)</f>
        <v>-6</v>
      </c>
      <c r="Y9">
        <f ca="1">IF(($A$2)&gt;=(ROW()-3),Y$17*(SUM(Y$19:Y24)-((ROW()-3)*5)),Y8)</f>
        <v>-9</v>
      </c>
      <c r="Z9">
        <f ca="1">IF(($A$2)&gt;=(ROW()-3),Z$17*(SUM(Z$19:Z24)-((ROW()-3)*5)),Z8)</f>
        <v>6</v>
      </c>
      <c r="AA9">
        <f ca="1">IF(($A$2)&gt;=(ROW()-3),AA$17*(SUM(AA$19:AA24)-((ROW()-3)*5)),AA8)</f>
        <v>5</v>
      </c>
      <c r="AB9">
        <f ca="1">IF(($A$2)&gt;=(ROW()-3),AB$17*(SUM(AB$19:AB24)-((ROW()-3)*5)),AB8)</f>
        <v>-2</v>
      </c>
      <c r="AC9">
        <f ca="1">IF(($A$2)&gt;=(ROW()-3),AC$17*(SUM(AC$19:AC24)-((ROW()-3)*5)),AC8)</f>
        <v>1</v>
      </c>
      <c r="AD9">
        <f ca="1">IF(($A$2)&gt;=(ROW()-3),AD$17*(SUM(AD$19:AD24)-((ROW()-3)*5)),AD8)</f>
        <v>4</v>
      </c>
      <c r="AE9">
        <f ca="1">IF(($A$2)&gt;=(ROW()-3),AE$17*(SUM(AE$19:AE24)-((ROW()-3)*5)),AE8)</f>
        <v>0</v>
      </c>
      <c r="AF9">
        <f ca="1">IF(($A$2)&gt;=(ROW()-3),AF$17*(SUM(AF$19:AF24)-((ROW()-3)*5)),AF8)</f>
        <v>-3</v>
      </c>
      <c r="AG9">
        <f ca="1">IF(($A$2)&gt;=(ROW()-3),AG$17*(SUM(AG$19:AG24)-((ROW()-3)*5)),AG8)</f>
        <v>-3</v>
      </c>
      <c r="AH9">
        <f ca="1">IF(($A$2)&gt;=(ROW()-3),AH$17*(SUM(AH$19:AH24)-((ROW()-3)*5)),AH8)</f>
        <v>1</v>
      </c>
      <c r="AI9">
        <f ca="1">IF(($A$2)&gt;=(ROW()-3),AI$17*(SUM(AI$19:AI24)-((ROW()-3)*5)),AI8)</f>
        <v>-4</v>
      </c>
      <c r="AJ9">
        <f ca="1">IF(($A$2)&gt;=(ROW()-3),AJ$17*(SUM(AJ$19:AJ24)-((ROW()-3)*5)),AJ8)</f>
        <v>-7</v>
      </c>
      <c r="AK9">
        <f ca="1">IF(($A$2)&gt;=(ROW()-3),AK$17*(SUM(AK$19:AK24)-((ROW()-3)*5)),AK8)</f>
        <v>-1</v>
      </c>
      <c r="AL9">
        <f ca="1">IF(($A$2)&gt;=(ROW()-3),AL$17*(SUM(AL$19:AL24)-((ROW()-3)*5)),AL8)</f>
        <v>0</v>
      </c>
      <c r="AM9">
        <f ca="1">IF(($A$2)&gt;=(ROW()-3),AM$17*(SUM(AM$19:AM24)-((ROW()-3)*5)),AM8)</f>
        <v>-4</v>
      </c>
      <c r="AN9">
        <f ca="1">IF(($A$2)&gt;=(ROW()-3),AN$17*(SUM(AN$19:AN24)-((ROW()-3)*5)),AN8)</f>
        <v>3</v>
      </c>
      <c r="AO9">
        <f ca="1">IF(($A$2)&gt;=(ROW()-3),AO$17*(SUM(AO$19:AO24)-((ROW()-3)*5)),AO8)</f>
        <v>-3</v>
      </c>
      <c r="AP9">
        <f ca="1">IF(($A$2)&gt;=(ROW()-3),AP$17*(SUM(AP$19:AP24)-((ROW()-3)*5)),AP8)</f>
        <v>-4</v>
      </c>
      <c r="AQ9">
        <f ca="1">IF(($A$2)&gt;=(ROW()-3),AQ$17*(SUM(AQ$19:AQ24)-((ROW()-3)*5)),AQ8)</f>
        <v>-6</v>
      </c>
      <c r="AR9">
        <f ca="1">IF(($A$2)&gt;=(ROW()-3),AR$17*(SUM(AR$19:AR24)-((ROW()-3)*5)),AR8)</f>
        <v>0</v>
      </c>
      <c r="AS9">
        <f ca="1">IF(($A$2)&gt;=(ROW()-3),AS$17*(SUM(AS$19:AS24)-((ROW()-3)*5)),AS8)</f>
        <v>5</v>
      </c>
      <c r="AT9">
        <f ca="1">IF(($A$2)&gt;=(ROW()-3),AT$17*(SUM(AT$19:AT24)-((ROW()-3)*5)),AT8)</f>
        <v>-3</v>
      </c>
      <c r="AU9">
        <f ca="1">IF(($A$2)&gt;=(ROW()-3),AU$17*(SUM(AU$19:AU24)-((ROW()-3)*5)),AU8)</f>
        <v>1</v>
      </c>
      <c r="AV9">
        <f ca="1">IF(($A$2)&gt;=(ROW()-3),AV$17*(SUM(AV$19:AV24)-((ROW()-3)*5)),AV8)</f>
        <v>-5</v>
      </c>
      <c r="AW9">
        <f ca="1">IF(($A$2)&gt;=(ROW()-3),AW$17*(SUM(AW$19:AW24)-((ROW()-3)*5)),AW8)</f>
        <v>-7</v>
      </c>
      <c r="AX9">
        <f ca="1">IF(($A$2)&gt;=(ROW()-3),AX$17*(SUM(AX$19:AX24)-((ROW()-3)*5)),AX8)</f>
        <v>-7</v>
      </c>
      <c r="AY9">
        <f ca="1">IF(($A$2)&gt;=(ROW()-3),AY$17*(SUM(AY$19:AY24)-((ROW()-3)*5)),AY8)</f>
        <v>0</v>
      </c>
      <c r="AZ9">
        <f ca="1">IF(($A$2)&gt;=(ROW()-3),AZ$17*(SUM(AZ$19:AZ24)-((ROW()-3)*5)),AZ8)</f>
        <v>-4</v>
      </c>
      <c r="BA9">
        <f ca="1">IF(($A$2)&gt;=(ROW()-3),BA$17*(SUM(BA$19:BA24)-((ROW()-3)*5)),BA8)</f>
        <v>0</v>
      </c>
      <c r="BB9">
        <f ca="1">IF(($A$2)&gt;=(ROW()-3),BB$17*(SUM(BB$19:BB24)-((ROW()-3)*5)),BB8)</f>
        <v>-3</v>
      </c>
      <c r="BC9">
        <f ca="1">IF(($A$2)&gt;=(ROW()-3),BC$17*(SUM(BC$19:BC24)-((ROW()-3)*5)),BC8)</f>
        <v>0</v>
      </c>
      <c r="BD9">
        <f ca="1">IF(($A$2)&gt;=(ROW()-3),BD$17*(SUM(BD$19:BD24)-((ROW()-3)*5)),BD8)</f>
        <v>-4</v>
      </c>
      <c r="BE9">
        <f ca="1">IF(($A$2)&gt;=(ROW()-3),BE$17*(SUM(BE$19:BE24)-((ROW()-3)*5)),BE8)</f>
        <v>-7</v>
      </c>
      <c r="BF9">
        <f ca="1">IF(($A$2)&gt;=(ROW()-3),BF$17*(SUM(BF$19:BF24)-((ROW()-3)*5)),BF8)</f>
        <v>0</v>
      </c>
      <c r="BG9">
        <f ca="1">IF(($A$2)&gt;=(ROW()-3),BG$17*(SUM(BG$19:BG24)-((ROW()-3)*5)),BG8)</f>
        <v>3</v>
      </c>
      <c r="BH9">
        <f ca="1">IF(($A$2)&gt;=(ROW()-3),BH$17*(SUM(BH$19:BH24)-((ROW()-3)*5)),BH8)</f>
        <v>-3</v>
      </c>
      <c r="BI9">
        <f ca="1">IF(($A$2)&gt;=(ROW()-3),BI$17*(SUM(BI$19:BI24)-((ROW()-3)*5)),BI8)</f>
        <v>-7</v>
      </c>
      <c r="BJ9">
        <f ca="1">IF(($A$2)&gt;=(ROW()-3),BJ$17*(SUM(BJ$19:BJ24)-((ROW()-3)*5)),BJ8)</f>
        <v>-5</v>
      </c>
      <c r="BK9">
        <f ca="1">IF(($A$2)&gt;=(ROW()-3),BK$17*(SUM(BK$19:BK24)-((ROW()-3)*5)),BK8)</f>
        <v>-5</v>
      </c>
      <c r="BL9">
        <f ca="1">IF(($A$2)&gt;=(ROW()-3),BL$17*(SUM(BL$19:BL24)-((ROW()-3)*5)),BL8)</f>
        <v>-4</v>
      </c>
      <c r="BM9">
        <f ca="1">IF(($A$2)&gt;=(ROW()-3),BM$17*(SUM(BM$19:BM24)-((ROW()-3)*5)),BM8)</f>
        <v>5</v>
      </c>
    </row>
    <row r="10" spans="1:78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-3</v>
      </c>
      <c r="H10">
        <f ca="1">IF(($A$2)&gt;=(ROW()-3),H$17*(SUM(H$19:H25)-((ROW()-3)*5)),H9)</f>
        <v>-10</v>
      </c>
      <c r="I10">
        <f ca="1">IF(($A$2)&gt;=(ROW()-3),I$17*(SUM(I$19:I25)-((ROW()-3)*5)),I9)</f>
        <v>-6</v>
      </c>
      <c r="J10">
        <f ca="1">IF(($A$2)&gt;=(ROW()-3),J$17*(SUM(J$19:J25)-((ROW()-3)*5)),J9)</f>
        <v>-2</v>
      </c>
      <c r="K10">
        <f ca="1">IF(($A$2)&gt;=(ROW()-3),K$17*(SUM(K$19:K25)-((ROW()-3)*5)),K9)</f>
        <v>0</v>
      </c>
      <c r="L10">
        <f ca="1">IF(($A$2)&gt;=(ROW()-3),L$17*(SUM(L$19:L25)-((ROW()-3)*5)),L9)</f>
        <v>-8</v>
      </c>
      <c r="M10">
        <f ca="1">IF(($A$2)&gt;=(ROW()-3),M$17*(SUM(M$19:M25)-((ROW()-3)*5)),M9)</f>
        <v>-2</v>
      </c>
      <c r="N10">
        <f ca="1">IF(($A$2)&gt;=(ROW()-3),N$17*(SUM(N$19:N25)-((ROW()-3)*5)),N9)</f>
        <v>-1</v>
      </c>
      <c r="O10">
        <f ca="1">IF(($A$2)&gt;=(ROW()-3),O$17*(SUM(O$19:O25)-((ROW()-3)*5)),O9)</f>
        <v>0</v>
      </c>
      <c r="P10">
        <f ca="1">IF(($A$2)&gt;=(ROW()-3),P$17*(SUM(P$19:P25)-((ROW()-3)*5)),P9)</f>
        <v>4</v>
      </c>
      <c r="Q10">
        <f ca="1">IF(($A$2)&gt;=(ROW()-3),Q$17*(SUM(Q$19:Q25)-((ROW()-3)*5)),Q9)</f>
        <v>-1</v>
      </c>
      <c r="R10">
        <f ca="1">IF(($A$2)&gt;=(ROW()-3),R$17*(SUM(R$19:R25)-((ROW()-3)*5)),R9)</f>
        <v>1</v>
      </c>
      <c r="S10">
        <f ca="1">IF(($A$2)&gt;=(ROW()-3),S$17*(SUM(S$19:S25)-((ROW()-3)*5)),S9)</f>
        <v>4</v>
      </c>
      <c r="T10">
        <f ca="1">IF(($A$2)&gt;=(ROW()-3),T$17*(SUM(T$19:T25)-((ROW()-3)*5)),T9)</f>
        <v>0</v>
      </c>
      <c r="U10">
        <f ca="1">IF(($A$2)&gt;=(ROW()-3),U$17*(SUM(U$19:U25)-((ROW()-3)*5)),U9)</f>
        <v>-16</v>
      </c>
      <c r="V10">
        <f ca="1">IF(($A$2)&gt;=(ROW()-3),V$17*(SUM(V$19:V25)-((ROW()-3)*5)),V9)</f>
        <v>-6</v>
      </c>
      <c r="W10">
        <f ca="1">IF(($A$2)&gt;=(ROW()-3),W$17*(SUM(W$19:W25)-((ROW()-3)*5)),W9)</f>
        <v>2</v>
      </c>
      <c r="X10">
        <f ca="1">IF(($A$2)&gt;=(ROW()-3),X$17*(SUM(X$19:X25)-((ROW()-3)*5)),X9)</f>
        <v>-8</v>
      </c>
      <c r="Y10">
        <f ca="1">IF(($A$2)&gt;=(ROW()-3),Y$17*(SUM(Y$19:Y25)-((ROW()-3)*5)),Y9)</f>
        <v>-10</v>
      </c>
      <c r="Z10">
        <f ca="1">IF(($A$2)&gt;=(ROW()-3),Z$17*(SUM(Z$19:Z25)-((ROW()-3)*5)),Z9)</f>
        <v>6</v>
      </c>
      <c r="AA10">
        <f ca="1">IF(($A$2)&gt;=(ROW()-3),AA$17*(SUM(AA$19:AA25)-((ROW()-3)*5)),AA9)</f>
        <v>4</v>
      </c>
      <c r="AB10">
        <f ca="1">IF(($A$2)&gt;=(ROW()-3),AB$17*(SUM(AB$19:AB25)-((ROW()-3)*5)),AB9)</f>
        <v>0</v>
      </c>
      <c r="AC10">
        <f ca="1">IF(($A$2)&gt;=(ROW()-3),AC$17*(SUM(AC$19:AC25)-((ROW()-3)*5)),AC9)</f>
        <v>2</v>
      </c>
      <c r="AD10">
        <f ca="1">IF(($A$2)&gt;=(ROW()-3),AD$17*(SUM(AD$19:AD25)-((ROW()-3)*5)),AD9)</f>
        <v>2</v>
      </c>
      <c r="AE10">
        <f ca="1">IF(($A$2)&gt;=(ROW()-3),AE$17*(SUM(AE$19:AE25)-((ROW()-3)*5)),AE9)</f>
        <v>-3</v>
      </c>
      <c r="AF10">
        <f ca="1">IF(($A$2)&gt;=(ROW()-3),AF$17*(SUM(AF$19:AF25)-((ROW()-3)*5)),AF9)</f>
        <v>-5</v>
      </c>
      <c r="AG10">
        <f ca="1">IF(($A$2)&gt;=(ROW()-3),AG$17*(SUM(AG$19:AG25)-((ROW()-3)*5)),AG9)</f>
        <v>-5</v>
      </c>
      <c r="AH10">
        <f ca="1">IF(($A$2)&gt;=(ROW()-3),AH$17*(SUM(AH$19:AH25)-((ROW()-3)*5)),AH9)</f>
        <v>0</v>
      </c>
      <c r="AI10">
        <f ca="1">IF(($A$2)&gt;=(ROW()-3),AI$17*(SUM(AI$19:AI25)-((ROW()-3)*5)),AI9)</f>
        <v>-6</v>
      </c>
      <c r="AJ10">
        <f ca="1">IF(($A$2)&gt;=(ROW()-3),AJ$17*(SUM(AJ$19:AJ25)-((ROW()-3)*5)),AJ9)</f>
        <v>-7</v>
      </c>
      <c r="AK10">
        <f ca="1">IF(($A$2)&gt;=(ROW()-3),AK$17*(SUM(AK$19:AK25)-((ROW()-3)*5)),AK9)</f>
        <v>-4</v>
      </c>
      <c r="AL10">
        <f ca="1">IF(($A$2)&gt;=(ROW()-3),AL$17*(SUM(AL$19:AL25)-((ROW()-3)*5)),AL9)</f>
        <v>0</v>
      </c>
      <c r="AM10">
        <f ca="1">IF(($A$2)&gt;=(ROW()-3),AM$17*(SUM(AM$19:AM25)-((ROW()-3)*5)),AM9)</f>
        <v>-5</v>
      </c>
      <c r="AN10">
        <f ca="1">IF(($A$2)&gt;=(ROW()-3),AN$17*(SUM(AN$19:AN25)-((ROW()-3)*5)),AN9)</f>
        <v>4</v>
      </c>
      <c r="AO10">
        <f ca="1">IF(($A$2)&gt;=(ROW()-3),AO$17*(SUM(AO$19:AO25)-((ROW()-3)*5)),AO9)</f>
        <v>-3</v>
      </c>
      <c r="AP10">
        <f ca="1">IF(($A$2)&gt;=(ROW()-3),AP$17*(SUM(AP$19:AP25)-((ROW()-3)*5)),AP9)</f>
        <v>-7</v>
      </c>
      <c r="AQ10">
        <f ca="1">IF(($A$2)&gt;=(ROW()-3),AQ$17*(SUM(AQ$19:AQ25)-((ROW()-3)*5)),AQ9)</f>
        <v>-6</v>
      </c>
      <c r="AR10">
        <f ca="1">IF(($A$2)&gt;=(ROW()-3),AR$17*(SUM(AR$19:AR25)-((ROW()-3)*5)),AR9)</f>
        <v>-1</v>
      </c>
      <c r="AS10">
        <f ca="1">IF(($A$2)&gt;=(ROW()-3),AS$17*(SUM(AS$19:AS25)-((ROW()-3)*5)),AS9)</f>
        <v>7</v>
      </c>
      <c r="AT10">
        <f ca="1">IF(($A$2)&gt;=(ROW()-3),AT$17*(SUM(AT$19:AT25)-((ROW()-3)*5)),AT9)</f>
        <v>-3</v>
      </c>
      <c r="AU10">
        <f ca="1">IF(($A$2)&gt;=(ROW()-3),AU$17*(SUM(AU$19:AU25)-((ROW()-3)*5)),AU9)</f>
        <v>0</v>
      </c>
      <c r="AV10">
        <f ca="1">IF(($A$2)&gt;=(ROW()-3),AV$17*(SUM(AV$19:AV25)-((ROW()-3)*5)),AV9)</f>
        <v>-5</v>
      </c>
      <c r="AW10">
        <f ca="1">IF(($A$2)&gt;=(ROW()-3),AW$17*(SUM(AW$19:AW25)-((ROW()-3)*5)),AW9)</f>
        <v>-8</v>
      </c>
      <c r="AX10">
        <f ca="1">IF(($A$2)&gt;=(ROW()-3),AX$17*(SUM(AX$19:AX25)-((ROW()-3)*5)),AX9)</f>
        <v>-8</v>
      </c>
      <c r="AY10">
        <f ca="1">IF(($A$2)&gt;=(ROW()-3),AY$17*(SUM(AY$19:AY25)-((ROW()-3)*5)),AY9)</f>
        <v>-1</v>
      </c>
      <c r="AZ10">
        <f ca="1">IF(($A$2)&gt;=(ROW()-3),AZ$17*(SUM(AZ$19:AZ25)-((ROW()-3)*5)),AZ9)</f>
        <v>-5</v>
      </c>
      <c r="BA10">
        <f ca="1">IF(($A$2)&gt;=(ROW()-3),BA$17*(SUM(BA$19:BA25)-((ROW()-3)*5)),BA9)</f>
        <v>-2</v>
      </c>
      <c r="BB10">
        <f ca="1">IF(($A$2)&gt;=(ROW()-3),BB$17*(SUM(BB$19:BB25)-((ROW()-3)*5)),BB9)</f>
        <v>-6</v>
      </c>
      <c r="BC10">
        <f ca="1">IF(($A$2)&gt;=(ROW()-3),BC$17*(SUM(BC$19:BC25)-((ROW()-3)*5)),BC9)</f>
        <v>-1</v>
      </c>
      <c r="BD10">
        <f ca="1">IF(($A$2)&gt;=(ROW()-3),BD$17*(SUM(BD$19:BD25)-((ROW()-3)*5)),BD9)</f>
        <v>-7</v>
      </c>
      <c r="BE10">
        <f ca="1">IF(($A$2)&gt;=(ROW()-3),BE$17*(SUM(BE$19:BE25)-((ROW()-3)*5)),BE9)</f>
        <v>-8</v>
      </c>
      <c r="BF10">
        <f ca="1">IF(($A$2)&gt;=(ROW()-3),BF$17*(SUM(BF$19:BF25)-((ROW()-3)*5)),BF9)</f>
        <v>-2</v>
      </c>
      <c r="BG10">
        <f ca="1">IF(($A$2)&gt;=(ROW()-3),BG$17*(SUM(BG$19:BG25)-((ROW()-3)*5)),BG9)</f>
        <v>3</v>
      </c>
      <c r="BH10">
        <f ca="1">IF(($A$2)&gt;=(ROW()-3),BH$17*(SUM(BH$19:BH25)-((ROW()-3)*5)),BH9)</f>
        <v>-3</v>
      </c>
      <c r="BI10">
        <f ca="1">IF(($A$2)&gt;=(ROW()-3),BI$17*(SUM(BI$19:BI25)-((ROW()-3)*5)),BI9)</f>
        <v>-10</v>
      </c>
      <c r="BJ10">
        <f ca="1">IF(($A$2)&gt;=(ROW()-3),BJ$17*(SUM(BJ$19:BJ25)-((ROW()-3)*5)),BJ9)</f>
        <v>-4</v>
      </c>
      <c r="BK10">
        <f ca="1">IF(($A$2)&gt;=(ROW()-3),BK$17*(SUM(BK$19:BK25)-((ROW()-3)*5)),BK9)</f>
        <v>-6</v>
      </c>
      <c r="BL10">
        <f ca="1">IF(($A$2)&gt;=(ROW()-3),BL$17*(SUM(BL$19:BL25)-((ROW()-3)*5)),BL9)</f>
        <v>-3</v>
      </c>
      <c r="BM10">
        <f ca="1">IF(($A$2)&gt;=(ROW()-3),BM$17*(SUM(BM$19:BM25)-((ROW()-3)*5)),BM9)</f>
        <v>8</v>
      </c>
    </row>
    <row r="11" spans="1:78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-1</v>
      </c>
      <c r="H11">
        <f ca="1">IF(($A$2)&gt;=(ROW()-3),H$17*(SUM(H$19:H26)-((ROW()-3)*5)),H10)</f>
        <v>-11</v>
      </c>
      <c r="I11">
        <f ca="1">IF(($A$2)&gt;=(ROW()-3),I$17*(SUM(I$19:I26)-((ROW()-3)*5)),I10)</f>
        <v>-7</v>
      </c>
      <c r="J11">
        <f ca="1">IF(($A$2)&gt;=(ROW()-3),J$17*(SUM(J$19:J26)-((ROW()-3)*5)),J10)</f>
        <v>-2</v>
      </c>
      <c r="K11">
        <f ca="1">IF(($A$2)&gt;=(ROW()-3),K$17*(SUM(K$19:K26)-((ROW()-3)*5)),K10)</f>
        <v>0</v>
      </c>
      <c r="L11">
        <f ca="1">IF(($A$2)&gt;=(ROW()-3),L$17*(SUM(L$19:L26)-((ROW()-3)*5)),L10)</f>
        <v>-9</v>
      </c>
      <c r="M11">
        <f ca="1">IF(($A$2)&gt;=(ROW()-3),M$17*(SUM(M$19:M26)-((ROW()-3)*5)),M10)</f>
        <v>-3</v>
      </c>
      <c r="N11">
        <f ca="1">IF(($A$2)&gt;=(ROW()-3),N$17*(SUM(N$19:N26)-((ROW()-3)*5)),N10)</f>
        <v>-1</v>
      </c>
      <c r="O11">
        <f ca="1">IF(($A$2)&gt;=(ROW()-3),O$17*(SUM(O$19:O26)-((ROW()-3)*5)),O10)</f>
        <v>-1</v>
      </c>
      <c r="P11">
        <f ca="1">IF(($A$2)&gt;=(ROW()-3),P$17*(SUM(P$19:P26)-((ROW()-3)*5)),P10)</f>
        <v>5</v>
      </c>
      <c r="Q11">
        <f ca="1">IF(($A$2)&gt;=(ROW()-3),Q$17*(SUM(Q$19:Q26)-((ROW()-3)*5)),Q10)</f>
        <v>-3</v>
      </c>
      <c r="R11">
        <f ca="1">IF(($A$2)&gt;=(ROW()-3),R$17*(SUM(R$19:R26)-((ROW()-3)*5)),R10)</f>
        <v>2</v>
      </c>
      <c r="S11">
        <f ca="1">IF(($A$2)&gt;=(ROW()-3),S$17*(SUM(S$19:S26)-((ROW()-3)*5)),S10)</f>
        <v>3</v>
      </c>
      <c r="T11">
        <f ca="1">IF(($A$2)&gt;=(ROW()-3),T$17*(SUM(T$19:T26)-((ROW()-3)*5)),T10)</f>
        <v>1</v>
      </c>
      <c r="U11">
        <f ca="1">IF(($A$2)&gt;=(ROW()-3),U$17*(SUM(U$19:U26)-((ROW()-3)*5)),U10)</f>
        <v>-15</v>
      </c>
      <c r="V11">
        <f ca="1">IF(($A$2)&gt;=(ROW()-3),V$17*(SUM(V$19:V26)-((ROW()-3)*5)),V10)</f>
        <v>-6</v>
      </c>
      <c r="W11">
        <f ca="1">IF(($A$2)&gt;=(ROW()-3),W$17*(SUM(W$19:W26)-((ROW()-3)*5)),W10)</f>
        <v>1</v>
      </c>
      <c r="X11">
        <f ca="1">IF(($A$2)&gt;=(ROW()-3),X$17*(SUM(X$19:X26)-((ROW()-3)*5)),X10)</f>
        <v>-7</v>
      </c>
      <c r="Y11">
        <f ca="1">IF(($A$2)&gt;=(ROW()-3),Y$17*(SUM(Y$19:Y26)-((ROW()-3)*5)),Y10)</f>
        <v>-12</v>
      </c>
      <c r="Z11">
        <f ca="1">IF(($A$2)&gt;=(ROW()-3),Z$17*(SUM(Z$19:Z26)-((ROW()-3)*5)),Z10)</f>
        <v>7</v>
      </c>
      <c r="AA11">
        <f ca="1">IF(($A$2)&gt;=(ROW()-3),AA$17*(SUM(AA$19:AA26)-((ROW()-3)*5)),AA10)</f>
        <v>3</v>
      </c>
      <c r="AB11">
        <f ca="1">IF(($A$2)&gt;=(ROW()-3),AB$17*(SUM(AB$19:AB26)-((ROW()-3)*5)),AB10)</f>
        <v>1</v>
      </c>
      <c r="AC11">
        <f ca="1">IF(($A$2)&gt;=(ROW()-3),AC$17*(SUM(AC$19:AC26)-((ROW()-3)*5)),AC10)</f>
        <v>2</v>
      </c>
      <c r="AD11">
        <f ca="1">IF(($A$2)&gt;=(ROW()-3),AD$17*(SUM(AD$19:AD26)-((ROW()-3)*5)),AD10)</f>
        <v>5</v>
      </c>
      <c r="AE11">
        <f ca="1">IF(($A$2)&gt;=(ROW()-3),AE$17*(SUM(AE$19:AE26)-((ROW()-3)*5)),AE10)</f>
        <v>-5</v>
      </c>
      <c r="AF11">
        <f ca="1">IF(($A$2)&gt;=(ROW()-3),AF$17*(SUM(AF$19:AF26)-((ROW()-3)*5)),AF10)</f>
        <v>-8</v>
      </c>
      <c r="AG11">
        <f ca="1">IF(($A$2)&gt;=(ROW()-3),AG$17*(SUM(AG$19:AG26)-((ROW()-3)*5)),AG10)</f>
        <v>-2</v>
      </c>
      <c r="AH11">
        <f ca="1">IF(($A$2)&gt;=(ROW()-3),AH$17*(SUM(AH$19:AH26)-((ROW()-3)*5)),AH10)</f>
        <v>1</v>
      </c>
      <c r="AI11">
        <f ca="1">IF(($A$2)&gt;=(ROW()-3),AI$17*(SUM(AI$19:AI26)-((ROW()-3)*5)),AI10)</f>
        <v>-8</v>
      </c>
      <c r="AJ11">
        <f ca="1">IF(($A$2)&gt;=(ROW()-3),AJ$17*(SUM(AJ$19:AJ26)-((ROW()-3)*5)),AJ10)</f>
        <v>-5</v>
      </c>
      <c r="AK11">
        <f ca="1">IF(($A$2)&gt;=(ROW()-3),AK$17*(SUM(AK$19:AK26)-((ROW()-3)*5)),AK10)</f>
        <v>-7</v>
      </c>
      <c r="AL11">
        <f ca="1">IF(($A$2)&gt;=(ROW()-3),AL$17*(SUM(AL$19:AL26)-((ROW()-3)*5)),AL10)</f>
        <v>2</v>
      </c>
      <c r="AM11">
        <f ca="1">IF(($A$2)&gt;=(ROW()-3),AM$17*(SUM(AM$19:AM26)-((ROW()-3)*5)),AM10)</f>
        <v>-5</v>
      </c>
      <c r="AN11">
        <f ca="1">IF(($A$2)&gt;=(ROW()-3),AN$17*(SUM(AN$19:AN26)-((ROW()-3)*5)),AN10)</f>
        <v>3</v>
      </c>
      <c r="AO11">
        <f ca="1">IF(($A$2)&gt;=(ROW()-3),AO$17*(SUM(AO$19:AO26)-((ROW()-3)*5)),AO10)</f>
        <v>-4</v>
      </c>
      <c r="AP11">
        <f ca="1">IF(($A$2)&gt;=(ROW()-3),AP$17*(SUM(AP$19:AP26)-((ROW()-3)*5)),AP10)</f>
        <v>-8</v>
      </c>
      <c r="AQ11">
        <f ca="1">IF(($A$2)&gt;=(ROW()-3),AQ$17*(SUM(AQ$19:AQ26)-((ROW()-3)*5)),AQ10)</f>
        <v>-9</v>
      </c>
      <c r="AR11">
        <f ca="1">IF(($A$2)&gt;=(ROW()-3),AR$17*(SUM(AR$19:AR26)-((ROW()-3)*5)),AR10)</f>
        <v>-3</v>
      </c>
      <c r="AS11">
        <f ca="1">IF(($A$2)&gt;=(ROW()-3),AS$17*(SUM(AS$19:AS26)-((ROW()-3)*5)),AS10)</f>
        <v>5</v>
      </c>
      <c r="AT11">
        <f ca="1">IF(($A$2)&gt;=(ROW()-3),AT$17*(SUM(AT$19:AT26)-((ROW()-3)*5)),AT10)</f>
        <v>-3</v>
      </c>
      <c r="AU11">
        <f ca="1">IF(($A$2)&gt;=(ROW()-3),AU$17*(SUM(AU$19:AU26)-((ROW()-3)*5)),AU10)</f>
        <v>0</v>
      </c>
      <c r="AV11">
        <f ca="1">IF(($A$2)&gt;=(ROW()-3),AV$17*(SUM(AV$19:AV26)-((ROW()-3)*5)),AV10)</f>
        <v>-5</v>
      </c>
      <c r="AW11">
        <f ca="1">IF(($A$2)&gt;=(ROW()-3),AW$17*(SUM(AW$19:AW26)-((ROW()-3)*5)),AW10)</f>
        <v>-10</v>
      </c>
      <c r="AX11">
        <f ca="1">IF(($A$2)&gt;=(ROW()-3),AX$17*(SUM(AX$19:AX26)-((ROW()-3)*5)),AX10)</f>
        <v>-10</v>
      </c>
      <c r="AY11">
        <f ca="1">IF(($A$2)&gt;=(ROW()-3),AY$17*(SUM(AY$19:AY26)-((ROW()-3)*5)),AY10)</f>
        <v>0</v>
      </c>
      <c r="AZ11">
        <f ca="1">IF(($A$2)&gt;=(ROW()-3),AZ$17*(SUM(AZ$19:AZ26)-((ROW()-3)*5)),AZ10)</f>
        <v>-5</v>
      </c>
      <c r="BA11">
        <f ca="1">IF(($A$2)&gt;=(ROW()-3),BA$17*(SUM(BA$19:BA26)-((ROW()-3)*5)),BA10)</f>
        <v>-2</v>
      </c>
      <c r="BB11">
        <f ca="1">IF(($A$2)&gt;=(ROW()-3),BB$17*(SUM(BB$19:BB26)-((ROW()-3)*5)),BB10)</f>
        <v>-8</v>
      </c>
      <c r="BC11">
        <f ca="1">IF(($A$2)&gt;=(ROW()-3),BC$17*(SUM(BC$19:BC26)-((ROW()-3)*5)),BC10)</f>
        <v>0</v>
      </c>
      <c r="BD11">
        <f ca="1">IF(($A$2)&gt;=(ROW()-3),BD$17*(SUM(BD$19:BD26)-((ROW()-3)*5)),BD10)</f>
        <v>-8</v>
      </c>
      <c r="BE11">
        <f ca="1">IF(($A$2)&gt;=(ROW()-3),BE$17*(SUM(BE$19:BE26)-((ROW()-3)*5)),BE10)</f>
        <v>-9</v>
      </c>
      <c r="BF11">
        <f ca="1">IF(($A$2)&gt;=(ROW()-3),BF$17*(SUM(BF$19:BF26)-((ROW()-3)*5)),BF10)</f>
        <v>-1</v>
      </c>
      <c r="BG11">
        <f ca="1">IF(($A$2)&gt;=(ROW()-3),BG$17*(SUM(BG$19:BG26)-((ROW()-3)*5)),BG10)</f>
        <v>6</v>
      </c>
      <c r="BH11">
        <f ca="1">IF(($A$2)&gt;=(ROW()-3),BH$17*(SUM(BH$19:BH26)-((ROW()-3)*5)),BH10)</f>
        <v>-3</v>
      </c>
      <c r="BI11">
        <f ca="1">IF(($A$2)&gt;=(ROW()-3),BI$17*(SUM(BI$19:BI26)-((ROW()-3)*5)),BI10)</f>
        <v>-10</v>
      </c>
      <c r="BJ11">
        <f ca="1">IF(($A$2)&gt;=(ROW()-3),BJ$17*(SUM(BJ$19:BJ26)-((ROW()-3)*5)),BJ10)</f>
        <v>-5</v>
      </c>
      <c r="BK11">
        <f ca="1">IF(($A$2)&gt;=(ROW()-3),BK$17*(SUM(BK$19:BK26)-((ROW()-3)*5)),BK10)</f>
        <v>-6</v>
      </c>
      <c r="BL11">
        <f ca="1">IF(($A$2)&gt;=(ROW()-3),BL$17*(SUM(BL$19:BL26)-((ROW()-3)*5)),BL10)</f>
        <v>-3</v>
      </c>
      <c r="BM11">
        <f ca="1">IF(($A$2)&gt;=(ROW()-3),BM$17*(SUM(BM$19:BM26)-((ROW()-3)*5)),BM10)</f>
        <v>8</v>
      </c>
    </row>
    <row r="12" spans="1:78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-3</v>
      </c>
      <c r="H12">
        <f ca="1">IF(($A$2)&gt;=(ROW()-3),H$17*(SUM(H$19:H27)-((ROW()-3)*5)),H11)</f>
        <v>-15</v>
      </c>
      <c r="I12">
        <f ca="1">IF(($A$2)&gt;=(ROW()-3),I$17*(SUM(I$19:I27)-((ROW()-3)*5)),I11)</f>
        <v>-8</v>
      </c>
      <c r="J12">
        <f ca="1">IF(($A$2)&gt;=(ROW()-3),J$17*(SUM(J$19:J27)-((ROW()-3)*5)),J11)</f>
        <v>-3</v>
      </c>
      <c r="K12">
        <f ca="1">IF(($A$2)&gt;=(ROW()-3),K$17*(SUM(K$19:K27)-((ROW()-3)*5)),K11)</f>
        <v>0</v>
      </c>
      <c r="L12">
        <f ca="1">IF(($A$2)&gt;=(ROW()-3),L$17*(SUM(L$19:L27)-((ROW()-3)*5)),L11)</f>
        <v>-9</v>
      </c>
      <c r="M12">
        <f ca="1">IF(($A$2)&gt;=(ROW()-3),M$17*(SUM(M$19:M27)-((ROW()-3)*5)),M11)</f>
        <v>-3</v>
      </c>
      <c r="N12">
        <f ca="1">IF(($A$2)&gt;=(ROW()-3),N$17*(SUM(N$19:N27)-((ROW()-3)*5)),N11)</f>
        <v>-4</v>
      </c>
      <c r="O12">
        <f ca="1">IF(($A$2)&gt;=(ROW()-3),O$17*(SUM(O$19:O27)-((ROW()-3)*5)),O11)</f>
        <v>-2</v>
      </c>
      <c r="P12">
        <f ca="1">IF(($A$2)&gt;=(ROW()-3),P$17*(SUM(P$19:P27)-((ROW()-3)*5)),P11)</f>
        <v>6</v>
      </c>
      <c r="Q12">
        <f ca="1">IF(($A$2)&gt;=(ROW()-3),Q$17*(SUM(Q$19:Q27)-((ROW()-3)*5)),Q11)</f>
        <v>-5</v>
      </c>
      <c r="R12">
        <f ca="1">IF(($A$2)&gt;=(ROW()-3),R$17*(SUM(R$19:R27)-((ROW()-3)*5)),R11)</f>
        <v>3</v>
      </c>
      <c r="S12">
        <f ca="1">IF(($A$2)&gt;=(ROW()-3),S$17*(SUM(S$19:S27)-((ROW()-3)*5)),S11)</f>
        <v>2</v>
      </c>
      <c r="T12">
        <f ca="1">IF(($A$2)&gt;=(ROW()-3),T$17*(SUM(T$19:T27)-((ROW()-3)*5)),T11)</f>
        <v>-1</v>
      </c>
      <c r="U12">
        <f ca="1">IF(($A$2)&gt;=(ROW()-3),U$17*(SUM(U$19:U27)-((ROW()-3)*5)),U11)</f>
        <v>-15</v>
      </c>
      <c r="V12">
        <f ca="1">IF(($A$2)&gt;=(ROW()-3),V$17*(SUM(V$19:V27)-((ROW()-3)*5)),V11)</f>
        <v>-6</v>
      </c>
      <c r="W12">
        <f ca="1">IF(($A$2)&gt;=(ROW()-3),W$17*(SUM(W$19:W27)-((ROW()-3)*5)),W11)</f>
        <v>-1</v>
      </c>
      <c r="X12">
        <f ca="1">IF(($A$2)&gt;=(ROW()-3),X$17*(SUM(X$19:X27)-((ROW()-3)*5)),X11)</f>
        <v>-7</v>
      </c>
      <c r="Y12">
        <f ca="1">IF(($A$2)&gt;=(ROW()-3),Y$17*(SUM(Y$19:Y27)-((ROW()-3)*5)),Y11)</f>
        <v>-15</v>
      </c>
      <c r="Z12">
        <f ca="1">IF(($A$2)&gt;=(ROW()-3),Z$17*(SUM(Z$19:Z27)-((ROW()-3)*5)),Z11)</f>
        <v>7</v>
      </c>
      <c r="AA12">
        <f ca="1">IF(($A$2)&gt;=(ROW()-3),AA$17*(SUM(AA$19:AA27)-((ROW()-3)*5)),AA11)</f>
        <v>2</v>
      </c>
      <c r="AB12">
        <f ca="1">IF(($A$2)&gt;=(ROW()-3),AB$17*(SUM(AB$19:AB27)-((ROW()-3)*5)),AB11)</f>
        <v>0</v>
      </c>
      <c r="AC12">
        <f ca="1">IF(($A$2)&gt;=(ROW()-3),AC$17*(SUM(AC$19:AC27)-((ROW()-3)*5)),AC11)</f>
        <v>1</v>
      </c>
      <c r="AD12">
        <f ca="1">IF(($A$2)&gt;=(ROW()-3),AD$17*(SUM(AD$19:AD27)-((ROW()-3)*5)),AD11)</f>
        <v>3</v>
      </c>
      <c r="AE12">
        <f ca="1">IF(($A$2)&gt;=(ROW()-3),AE$17*(SUM(AE$19:AE27)-((ROW()-3)*5)),AE11)</f>
        <v>-5</v>
      </c>
      <c r="AF12">
        <f ca="1">IF(($A$2)&gt;=(ROW()-3),AF$17*(SUM(AF$19:AF27)-((ROW()-3)*5)),AF11)</f>
        <v>-9</v>
      </c>
      <c r="AG12">
        <f ca="1">IF(($A$2)&gt;=(ROW()-3),AG$17*(SUM(AG$19:AG27)-((ROW()-3)*5)),AG11)</f>
        <v>-3</v>
      </c>
      <c r="AH12">
        <f ca="1">IF(($A$2)&gt;=(ROW()-3),AH$17*(SUM(AH$19:AH27)-((ROW()-3)*5)),AH11)</f>
        <v>2</v>
      </c>
      <c r="AI12">
        <f ca="1">IF(($A$2)&gt;=(ROW()-3),AI$17*(SUM(AI$19:AI27)-((ROW()-3)*5)),AI11)</f>
        <v>-8</v>
      </c>
      <c r="AJ12">
        <f ca="1">IF(($A$2)&gt;=(ROW()-3),AJ$17*(SUM(AJ$19:AJ27)-((ROW()-3)*5)),AJ11)</f>
        <v>-4</v>
      </c>
      <c r="AK12">
        <f ca="1">IF(($A$2)&gt;=(ROW()-3),AK$17*(SUM(AK$19:AK27)-((ROW()-3)*5)),AK11)</f>
        <v>-5</v>
      </c>
      <c r="AL12">
        <f ca="1">IF(($A$2)&gt;=(ROW()-3),AL$17*(SUM(AL$19:AL27)-((ROW()-3)*5)),AL11)</f>
        <v>3</v>
      </c>
      <c r="AM12">
        <f ca="1">IF(($A$2)&gt;=(ROW()-3),AM$17*(SUM(AM$19:AM27)-((ROW()-3)*5)),AM11)</f>
        <v>-7</v>
      </c>
      <c r="AN12">
        <f ca="1">IF(($A$2)&gt;=(ROW()-3),AN$17*(SUM(AN$19:AN27)-((ROW()-3)*5)),AN11)</f>
        <v>2</v>
      </c>
      <c r="AO12">
        <f ca="1">IF(($A$2)&gt;=(ROW()-3),AO$17*(SUM(AO$19:AO27)-((ROW()-3)*5)),AO11)</f>
        <v>-3</v>
      </c>
      <c r="AP12">
        <f ca="1">IF(($A$2)&gt;=(ROW()-3),AP$17*(SUM(AP$19:AP27)-((ROW()-3)*5)),AP11)</f>
        <v>-9</v>
      </c>
      <c r="AQ12">
        <f ca="1">IF(($A$2)&gt;=(ROW()-3),AQ$17*(SUM(AQ$19:AQ27)-((ROW()-3)*5)),AQ11)</f>
        <v>-13</v>
      </c>
      <c r="AR12">
        <f ca="1">IF(($A$2)&gt;=(ROW()-3),AR$17*(SUM(AR$19:AR27)-((ROW()-3)*5)),AR11)</f>
        <v>-4</v>
      </c>
      <c r="AS12">
        <f ca="1">IF(($A$2)&gt;=(ROW()-3),AS$17*(SUM(AS$19:AS27)-((ROW()-3)*5)),AS11)</f>
        <v>5</v>
      </c>
      <c r="AT12">
        <f ca="1">IF(($A$2)&gt;=(ROW()-3),AT$17*(SUM(AT$19:AT27)-((ROW()-3)*5)),AT11)</f>
        <v>-5</v>
      </c>
      <c r="AU12">
        <f ca="1">IF(($A$2)&gt;=(ROW()-3),AU$17*(SUM(AU$19:AU27)-((ROW()-3)*5)),AU11)</f>
        <v>-1</v>
      </c>
      <c r="AV12">
        <f ca="1">IF(($A$2)&gt;=(ROW()-3),AV$17*(SUM(AV$19:AV27)-((ROW()-3)*5)),AV11)</f>
        <v>-4</v>
      </c>
      <c r="AW12">
        <f ca="1">IF(($A$2)&gt;=(ROW()-3),AW$17*(SUM(AW$19:AW27)-((ROW()-3)*5)),AW11)</f>
        <v>-11</v>
      </c>
      <c r="AX12">
        <f ca="1">IF(($A$2)&gt;=(ROW()-3),AX$17*(SUM(AX$19:AX27)-((ROW()-3)*5)),AX11)</f>
        <v>-9</v>
      </c>
      <c r="AY12">
        <f ca="1">IF(($A$2)&gt;=(ROW()-3),AY$17*(SUM(AY$19:AY27)-((ROW()-3)*5)),AY11)</f>
        <v>0</v>
      </c>
      <c r="AZ12">
        <f ca="1">IF(($A$2)&gt;=(ROW()-3),AZ$17*(SUM(AZ$19:AZ27)-((ROW()-3)*5)),AZ11)</f>
        <v>-9</v>
      </c>
      <c r="BA12">
        <f ca="1">IF(($A$2)&gt;=(ROW()-3),BA$17*(SUM(BA$19:BA27)-((ROW()-3)*5)),BA11)</f>
        <v>-1</v>
      </c>
      <c r="BB12">
        <f ca="1">IF(($A$2)&gt;=(ROW()-3),BB$17*(SUM(BB$19:BB27)-((ROW()-3)*5)),BB11)</f>
        <v>-9</v>
      </c>
      <c r="BC12">
        <f ca="1">IF(($A$2)&gt;=(ROW()-3),BC$17*(SUM(BC$19:BC27)-((ROW()-3)*5)),BC11)</f>
        <v>-4</v>
      </c>
      <c r="BD12">
        <f ca="1">IF(($A$2)&gt;=(ROW()-3),BD$17*(SUM(BD$19:BD27)-((ROW()-3)*5)),BD11)</f>
        <v>-7</v>
      </c>
      <c r="BE12">
        <f ca="1">IF(($A$2)&gt;=(ROW()-3),BE$17*(SUM(BE$19:BE27)-((ROW()-3)*5)),BE11)</f>
        <v>-8</v>
      </c>
      <c r="BF12">
        <f ca="1">IF(($A$2)&gt;=(ROW()-3),BF$17*(SUM(BF$19:BF27)-((ROW()-3)*5)),BF11)</f>
        <v>-2</v>
      </c>
      <c r="BG12">
        <f ca="1">IF(($A$2)&gt;=(ROW()-3),BG$17*(SUM(BG$19:BG27)-((ROW()-3)*5)),BG11)</f>
        <v>9</v>
      </c>
      <c r="BH12">
        <f ca="1">IF(($A$2)&gt;=(ROW()-3),BH$17*(SUM(BH$19:BH27)-((ROW()-3)*5)),BH11)</f>
        <v>-3</v>
      </c>
      <c r="BI12">
        <f ca="1">IF(($A$2)&gt;=(ROW()-3),BI$17*(SUM(BI$19:BI27)-((ROW()-3)*5)),BI11)</f>
        <v>-10</v>
      </c>
      <c r="BJ12">
        <f ca="1">IF(($A$2)&gt;=(ROW()-3),BJ$17*(SUM(BJ$19:BJ27)-((ROW()-3)*5)),BJ11)</f>
        <v>-4</v>
      </c>
      <c r="BK12">
        <f ca="1">IF(($A$2)&gt;=(ROW()-3),BK$17*(SUM(BK$19:BK27)-((ROW()-3)*5)),BK11)</f>
        <v>-7</v>
      </c>
      <c r="BL12">
        <f ca="1">IF(($A$2)&gt;=(ROW()-3),BL$17*(SUM(BL$19:BL27)-((ROW()-3)*5)),BL11)</f>
        <v>-3</v>
      </c>
      <c r="BM12">
        <f ca="1">IF(($A$2)&gt;=(ROW()-3),BM$17*(SUM(BM$19:BM27)-((ROW()-3)*5)),BM11)</f>
        <v>8</v>
      </c>
    </row>
    <row r="13" spans="1:78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-4</v>
      </c>
      <c r="H13">
        <f ca="1">IF(($A$2)&gt;=(ROW()-3),H$17*(SUM(H$19:H28)-((ROW()-3)*5)),H12)</f>
        <v>-16</v>
      </c>
      <c r="I13">
        <f ca="1">IF(($A$2)&gt;=(ROW()-3),I$17*(SUM(I$19:I28)-((ROW()-3)*5)),I12)</f>
        <v>-7</v>
      </c>
      <c r="J13">
        <f ca="1">IF(($A$2)&gt;=(ROW()-3),J$17*(SUM(J$19:J28)-((ROW()-3)*5)),J12)</f>
        <v>-8</v>
      </c>
      <c r="K13">
        <f ca="1">IF(($A$2)&gt;=(ROW()-3),K$17*(SUM(K$19:K28)-((ROW()-3)*5)),K12)</f>
        <v>-1</v>
      </c>
      <c r="L13">
        <f ca="1">IF(($A$2)&gt;=(ROW()-3),L$17*(SUM(L$19:L28)-((ROW()-3)*5)),L12)</f>
        <v>-11</v>
      </c>
      <c r="M13">
        <f ca="1">IF(($A$2)&gt;=(ROW()-3),M$17*(SUM(M$19:M28)-((ROW()-3)*5)),M12)</f>
        <v>-4</v>
      </c>
      <c r="N13">
        <f ca="1">IF(($A$2)&gt;=(ROW()-3),N$17*(SUM(N$19:N28)-((ROW()-3)*5)),N12)</f>
        <v>-6</v>
      </c>
      <c r="O13">
        <f ca="1">IF(($A$2)&gt;=(ROW()-3),O$17*(SUM(O$19:O28)-((ROW()-3)*5)),O12)</f>
        <v>-2</v>
      </c>
      <c r="P13">
        <f ca="1">IF(($A$2)&gt;=(ROW()-3),P$17*(SUM(P$19:P28)-((ROW()-3)*5)),P12)</f>
        <v>7</v>
      </c>
      <c r="Q13">
        <f ca="1">IF(($A$2)&gt;=(ROW()-3),Q$17*(SUM(Q$19:Q28)-((ROW()-3)*5)),Q12)</f>
        <v>-6</v>
      </c>
      <c r="R13">
        <f ca="1">IF(($A$2)&gt;=(ROW()-3),R$17*(SUM(R$19:R28)-((ROW()-3)*5)),R12)</f>
        <v>3</v>
      </c>
      <c r="S13">
        <f ca="1">IF(($A$2)&gt;=(ROW()-3),S$17*(SUM(S$19:S28)-((ROW()-3)*5)),S12)</f>
        <v>0</v>
      </c>
      <c r="T13">
        <f ca="1">IF(($A$2)&gt;=(ROW()-3),T$17*(SUM(T$19:T28)-((ROW()-3)*5)),T12)</f>
        <v>-1</v>
      </c>
      <c r="U13">
        <f ca="1">IF(($A$2)&gt;=(ROW()-3),U$17*(SUM(U$19:U28)-((ROW()-3)*5)),U12)</f>
        <v>-16</v>
      </c>
      <c r="V13">
        <f ca="1">IF(($A$2)&gt;=(ROW()-3),V$17*(SUM(V$19:V28)-((ROW()-3)*5)),V12)</f>
        <v>-5</v>
      </c>
      <c r="W13">
        <f ca="1">IF(($A$2)&gt;=(ROW()-3),W$17*(SUM(W$19:W28)-((ROW()-3)*5)),W12)</f>
        <v>-1</v>
      </c>
      <c r="X13">
        <f ca="1">IF(($A$2)&gt;=(ROW()-3),X$17*(SUM(X$19:X28)-((ROW()-3)*5)),X12)</f>
        <v>-9</v>
      </c>
      <c r="Y13">
        <f ca="1">IF(($A$2)&gt;=(ROW()-3),Y$17*(SUM(Y$19:Y28)-((ROW()-3)*5)),Y12)</f>
        <v>-14</v>
      </c>
      <c r="Z13">
        <f ca="1">IF(($A$2)&gt;=(ROW()-3),Z$17*(SUM(Z$19:Z28)-((ROW()-3)*5)),Z12)</f>
        <v>8</v>
      </c>
      <c r="AA13">
        <f ca="1">IF(($A$2)&gt;=(ROW()-3),AA$17*(SUM(AA$19:AA28)-((ROW()-3)*5)),AA12)</f>
        <v>3</v>
      </c>
      <c r="AB13">
        <f ca="1">IF(($A$2)&gt;=(ROW()-3),AB$17*(SUM(AB$19:AB28)-((ROW()-3)*5)),AB12)</f>
        <v>0</v>
      </c>
      <c r="AC13">
        <f ca="1">IF(($A$2)&gt;=(ROW()-3),AC$17*(SUM(AC$19:AC28)-((ROW()-3)*5)),AC12)</f>
        <v>1</v>
      </c>
      <c r="AD13">
        <f ca="1">IF(($A$2)&gt;=(ROW()-3),AD$17*(SUM(AD$19:AD28)-((ROW()-3)*5)),AD12)</f>
        <v>4</v>
      </c>
      <c r="AE13">
        <f ca="1">IF(($A$2)&gt;=(ROW()-3),AE$17*(SUM(AE$19:AE28)-((ROW()-3)*5)),AE12)</f>
        <v>-5</v>
      </c>
      <c r="AF13">
        <f ca="1">IF(($A$2)&gt;=(ROW()-3),AF$17*(SUM(AF$19:AF28)-((ROW()-3)*5)),AF12)</f>
        <v>-12</v>
      </c>
      <c r="AG13">
        <f ca="1">IF(($A$2)&gt;=(ROW()-3),AG$17*(SUM(AG$19:AG28)-((ROW()-3)*5)),AG12)</f>
        <v>-4</v>
      </c>
      <c r="AH13">
        <f ca="1">IF(($A$2)&gt;=(ROW()-3),AH$17*(SUM(AH$19:AH28)-((ROW()-3)*5)),AH12)</f>
        <v>0</v>
      </c>
      <c r="AI13">
        <f ca="1">IF(($A$2)&gt;=(ROW()-3),AI$17*(SUM(AI$19:AI28)-((ROW()-3)*5)),AI12)</f>
        <v>-7</v>
      </c>
      <c r="AJ13">
        <f ca="1">IF(($A$2)&gt;=(ROW()-3),AJ$17*(SUM(AJ$19:AJ28)-((ROW()-3)*5)),AJ12)</f>
        <v>-1</v>
      </c>
      <c r="AK13">
        <f ca="1">IF(($A$2)&gt;=(ROW()-3),AK$17*(SUM(AK$19:AK28)-((ROW()-3)*5)),AK12)</f>
        <v>-4</v>
      </c>
      <c r="AL13">
        <f ca="1">IF(($A$2)&gt;=(ROW()-3),AL$17*(SUM(AL$19:AL28)-((ROW()-3)*5)),AL12)</f>
        <v>2</v>
      </c>
      <c r="AM13">
        <f ca="1">IF(($A$2)&gt;=(ROW()-3),AM$17*(SUM(AM$19:AM28)-((ROW()-3)*5)),AM12)</f>
        <v>-8</v>
      </c>
      <c r="AN13">
        <f ca="1">IF(($A$2)&gt;=(ROW()-3),AN$17*(SUM(AN$19:AN28)-((ROW()-3)*5)),AN12)</f>
        <v>1</v>
      </c>
      <c r="AO13">
        <f ca="1">IF(($A$2)&gt;=(ROW()-3),AO$17*(SUM(AO$19:AO28)-((ROW()-3)*5)),AO12)</f>
        <v>-3</v>
      </c>
      <c r="AP13">
        <f ca="1">IF(($A$2)&gt;=(ROW()-3),AP$17*(SUM(AP$19:AP28)-((ROW()-3)*5)),AP12)</f>
        <v>-12</v>
      </c>
      <c r="AQ13">
        <f ca="1">IF(($A$2)&gt;=(ROW()-3),AQ$17*(SUM(AQ$19:AQ28)-((ROW()-3)*5)),AQ12)</f>
        <v>-15</v>
      </c>
      <c r="AR13">
        <f ca="1">IF(($A$2)&gt;=(ROW()-3),AR$17*(SUM(AR$19:AR28)-((ROW()-3)*5)),AR12)</f>
        <v>-4</v>
      </c>
      <c r="AS13">
        <f ca="1">IF(($A$2)&gt;=(ROW()-3),AS$17*(SUM(AS$19:AS28)-((ROW()-3)*5)),AS12)</f>
        <v>6</v>
      </c>
      <c r="AT13">
        <f ca="1">IF(($A$2)&gt;=(ROW()-3),AT$17*(SUM(AT$19:AT28)-((ROW()-3)*5)),AT12)</f>
        <v>-5</v>
      </c>
      <c r="AU13">
        <f ca="1">IF(($A$2)&gt;=(ROW()-3),AU$17*(SUM(AU$19:AU28)-((ROW()-3)*5)),AU12)</f>
        <v>-2</v>
      </c>
      <c r="AV13">
        <f ca="1">IF(($A$2)&gt;=(ROW()-3),AV$17*(SUM(AV$19:AV28)-((ROW()-3)*5)),AV12)</f>
        <v>-3</v>
      </c>
      <c r="AW13">
        <f ca="1">IF(($A$2)&gt;=(ROW()-3),AW$17*(SUM(AW$19:AW28)-((ROW()-3)*5)),AW12)</f>
        <v>-11</v>
      </c>
      <c r="AX13">
        <f ca="1">IF(($A$2)&gt;=(ROW()-3),AX$17*(SUM(AX$19:AX28)-((ROW()-3)*5)),AX12)</f>
        <v>-11</v>
      </c>
      <c r="AY13">
        <f ca="1">IF(($A$2)&gt;=(ROW()-3),AY$17*(SUM(AY$19:AY28)-((ROW()-3)*5)),AY12)</f>
        <v>0</v>
      </c>
      <c r="AZ13">
        <f ca="1">IF(($A$2)&gt;=(ROW()-3),AZ$17*(SUM(AZ$19:AZ28)-((ROW()-3)*5)),AZ12)</f>
        <v>-9</v>
      </c>
      <c r="BA13">
        <f ca="1">IF(($A$2)&gt;=(ROW()-3),BA$17*(SUM(BA$19:BA28)-((ROW()-3)*5)),BA12)</f>
        <v>-1</v>
      </c>
      <c r="BB13">
        <f ca="1">IF(($A$2)&gt;=(ROW()-3),BB$17*(SUM(BB$19:BB28)-((ROW()-3)*5)),BB12)</f>
        <v>-9</v>
      </c>
      <c r="BC13">
        <f ca="1">IF(($A$2)&gt;=(ROW()-3),BC$17*(SUM(BC$19:BC28)-((ROW()-3)*5)),BC12)</f>
        <v>-6</v>
      </c>
      <c r="BD13">
        <f ca="1">IF(($A$2)&gt;=(ROW()-3),BD$17*(SUM(BD$19:BD28)-((ROW()-3)*5)),BD12)</f>
        <v>-7</v>
      </c>
      <c r="BE13">
        <f ca="1">IF(($A$2)&gt;=(ROW()-3),BE$17*(SUM(BE$19:BE28)-((ROW()-3)*5)),BE12)</f>
        <v>-7</v>
      </c>
      <c r="BF13">
        <f ca="1">IF(($A$2)&gt;=(ROW()-3),BF$17*(SUM(BF$19:BF28)-((ROW()-3)*5)),BF12)</f>
        <v>-4</v>
      </c>
      <c r="BG13">
        <f ca="1">IF(($A$2)&gt;=(ROW()-3),BG$17*(SUM(BG$19:BG28)-((ROW()-3)*5)),BG12)</f>
        <v>9</v>
      </c>
      <c r="BH13">
        <f ca="1">IF(($A$2)&gt;=(ROW()-3),BH$17*(SUM(BH$19:BH28)-((ROW()-3)*5)),BH12)</f>
        <v>-2</v>
      </c>
      <c r="BI13">
        <f ca="1">IF(($A$2)&gt;=(ROW()-3),BI$17*(SUM(BI$19:BI28)-((ROW()-3)*5)),BI12)</f>
        <v>-10</v>
      </c>
      <c r="BJ13">
        <f ca="1">IF(($A$2)&gt;=(ROW()-3),BJ$17*(SUM(BJ$19:BJ28)-((ROW()-3)*5)),BJ12)</f>
        <v>-3</v>
      </c>
      <c r="BK13">
        <f ca="1">IF(($A$2)&gt;=(ROW()-3),BK$17*(SUM(BK$19:BK28)-((ROW()-3)*5)),BK12)</f>
        <v>-6</v>
      </c>
      <c r="BL13">
        <f ca="1">IF(($A$2)&gt;=(ROW()-3),BL$17*(SUM(BL$19:BL28)-((ROW()-3)*5)),BL12)</f>
        <v>-5</v>
      </c>
      <c r="BM13">
        <f ca="1">IF(($A$2)&gt;=(ROW()-3),BM$17*(SUM(BM$19:BM28)-((ROW()-3)*5)),BM12)</f>
        <v>6</v>
      </c>
    </row>
    <row r="14" spans="1:78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-14</v>
      </c>
      <c r="I14">
        <f ca="1">IF(($A$2)&gt;=(ROW()-3),I$17*(SUM(I$19:I29)-((ROW()-3)*5)),I13)</f>
        <v>-5</v>
      </c>
      <c r="J14">
        <f ca="1">IF(($A$2)&gt;=(ROW()-3),J$17*(SUM(J$19:J29)-((ROW()-3)*5)),J13)</f>
        <v>-8</v>
      </c>
      <c r="K14">
        <f ca="1">IF(($A$2)&gt;=(ROW()-3),K$17*(SUM(K$19:K29)-((ROW()-3)*5)),K13)</f>
        <v>0</v>
      </c>
      <c r="L14">
        <f ca="1">IF(($A$2)&gt;=(ROW()-3),L$17*(SUM(L$19:L29)-((ROW()-3)*5)),L13)</f>
        <v>-11</v>
      </c>
      <c r="M14">
        <f ca="1">IF(($A$2)&gt;=(ROW()-3),M$17*(SUM(M$19:M29)-((ROW()-3)*5)),M13)</f>
        <v>-2</v>
      </c>
      <c r="N14">
        <f ca="1">IF(($A$2)&gt;=(ROW()-3),N$17*(SUM(N$19:N29)-((ROW()-3)*5)),N13)</f>
        <v>-4</v>
      </c>
      <c r="O14">
        <f ca="1">IF(($A$2)&gt;=(ROW()-3),O$17*(SUM(O$19:O29)-((ROW()-3)*5)),O13)</f>
        <v>1</v>
      </c>
      <c r="P14">
        <f ca="1">IF(($A$2)&gt;=(ROW()-3),P$17*(SUM(P$19:P29)-((ROW()-3)*5)),P13)</f>
        <v>7</v>
      </c>
      <c r="Q14">
        <f ca="1">IF(($A$2)&gt;=(ROW()-3),Q$17*(SUM(Q$19:Q29)-((ROW()-3)*5)),Q13)</f>
        <v>-3</v>
      </c>
      <c r="R14">
        <f ca="1">IF(($A$2)&gt;=(ROW()-3),R$17*(SUM(R$19:R29)-((ROW()-3)*5)),R13)</f>
        <v>8</v>
      </c>
      <c r="S14">
        <f ca="1">IF(($A$2)&gt;=(ROW()-3),S$17*(SUM(S$19:S29)-((ROW()-3)*5)),S13)</f>
        <v>1</v>
      </c>
      <c r="T14">
        <f ca="1">IF(($A$2)&gt;=(ROW()-3),T$17*(SUM(T$19:T29)-((ROW()-3)*5)),T13)</f>
        <v>1</v>
      </c>
      <c r="U14">
        <f ca="1">IF(($A$2)&gt;=(ROW()-3),U$17*(SUM(U$19:U29)-((ROW()-3)*5)),U13)</f>
        <v>-15</v>
      </c>
      <c r="V14">
        <f ca="1">IF(($A$2)&gt;=(ROW()-3),V$17*(SUM(V$19:V29)-((ROW()-3)*5)),V13)</f>
        <v>-5</v>
      </c>
      <c r="W14">
        <f ca="1">IF(($A$2)&gt;=(ROW()-3),W$17*(SUM(W$19:W29)-((ROW()-3)*5)),W13)</f>
        <v>-2</v>
      </c>
      <c r="X14">
        <f ca="1">IF(($A$2)&gt;=(ROW()-3),X$17*(SUM(X$19:X29)-((ROW()-3)*5)),X13)</f>
        <v>-9</v>
      </c>
      <c r="Y14">
        <f ca="1">IF(($A$2)&gt;=(ROW()-3),Y$17*(SUM(Y$19:Y29)-((ROW()-3)*5)),Y13)</f>
        <v>-11</v>
      </c>
      <c r="Z14">
        <f ca="1">IF(($A$2)&gt;=(ROW()-3),Z$17*(SUM(Z$19:Z29)-((ROW()-3)*5)),Z13)</f>
        <v>9</v>
      </c>
      <c r="AA14">
        <f ca="1">IF(($A$2)&gt;=(ROW()-3),AA$17*(SUM(AA$19:AA29)-((ROW()-3)*5)),AA13)</f>
        <v>3</v>
      </c>
      <c r="AB14">
        <f ca="1">IF(($A$2)&gt;=(ROW()-3),AB$17*(SUM(AB$19:AB29)-((ROW()-3)*5)),AB13)</f>
        <v>1</v>
      </c>
      <c r="AC14">
        <f ca="1">IF(($A$2)&gt;=(ROW()-3),AC$17*(SUM(AC$19:AC29)-((ROW()-3)*5)),AC13)</f>
        <v>4</v>
      </c>
      <c r="AD14">
        <f ca="1">IF(($A$2)&gt;=(ROW()-3),AD$17*(SUM(AD$19:AD29)-((ROW()-3)*5)),AD13)</f>
        <v>3</v>
      </c>
      <c r="AE14">
        <f ca="1">IF(($A$2)&gt;=(ROW()-3),AE$17*(SUM(AE$19:AE29)-((ROW()-3)*5)),AE13)</f>
        <v>-2</v>
      </c>
      <c r="AF14">
        <f ca="1">IF(($A$2)&gt;=(ROW()-3),AF$17*(SUM(AF$19:AF29)-((ROW()-3)*5)),AF13)</f>
        <v>-12</v>
      </c>
      <c r="AG14">
        <f ca="1">IF(($A$2)&gt;=(ROW()-3),AG$17*(SUM(AG$19:AG29)-((ROW()-3)*5)),AG13)</f>
        <v>-5</v>
      </c>
      <c r="AH14">
        <f ca="1">IF(($A$2)&gt;=(ROW()-3),AH$17*(SUM(AH$19:AH29)-((ROW()-3)*5)),AH13)</f>
        <v>1</v>
      </c>
      <c r="AI14">
        <f ca="1">IF(($A$2)&gt;=(ROW()-3),AI$17*(SUM(AI$19:AI29)-((ROW()-3)*5)),AI13)</f>
        <v>-6</v>
      </c>
      <c r="AJ14">
        <f ca="1">IF(($A$2)&gt;=(ROW()-3),AJ$17*(SUM(AJ$19:AJ29)-((ROW()-3)*5)),AJ13)</f>
        <v>2</v>
      </c>
      <c r="AK14">
        <f ca="1">IF(($A$2)&gt;=(ROW()-3),AK$17*(SUM(AK$19:AK29)-((ROW()-3)*5)),AK13)</f>
        <v>-6</v>
      </c>
      <c r="AL14">
        <f ca="1">IF(($A$2)&gt;=(ROW()-3),AL$17*(SUM(AL$19:AL29)-((ROW()-3)*5)),AL13)</f>
        <v>2</v>
      </c>
      <c r="AM14">
        <f ca="1">IF(($A$2)&gt;=(ROW()-3),AM$17*(SUM(AM$19:AM29)-((ROW()-3)*5)),AM13)</f>
        <v>-7</v>
      </c>
      <c r="AN14">
        <f ca="1">IF(($A$2)&gt;=(ROW()-3),AN$17*(SUM(AN$19:AN29)-((ROW()-3)*5)),AN13)</f>
        <v>2</v>
      </c>
      <c r="AO14">
        <f ca="1">IF(($A$2)&gt;=(ROW()-3),AO$17*(SUM(AO$19:AO29)-((ROW()-3)*5)),AO13)</f>
        <v>0</v>
      </c>
      <c r="AP14">
        <f ca="1">IF(($A$2)&gt;=(ROW()-3),AP$17*(SUM(AP$19:AP29)-((ROW()-3)*5)),AP13)</f>
        <v>-15</v>
      </c>
      <c r="AQ14">
        <f ca="1">IF(($A$2)&gt;=(ROW()-3),AQ$17*(SUM(AQ$19:AQ29)-((ROW()-3)*5)),AQ13)</f>
        <v>-16</v>
      </c>
      <c r="AR14">
        <f ca="1">IF(($A$2)&gt;=(ROW()-3),AR$17*(SUM(AR$19:AR29)-((ROW()-3)*5)),AR13)</f>
        <v>-3</v>
      </c>
      <c r="AS14">
        <f ca="1">IF(($A$2)&gt;=(ROW()-3),AS$17*(SUM(AS$19:AS29)-((ROW()-3)*5)),AS13)</f>
        <v>7</v>
      </c>
      <c r="AT14">
        <f ca="1">IF(($A$2)&gt;=(ROW()-3),AT$17*(SUM(AT$19:AT29)-((ROW()-3)*5)),AT13)</f>
        <v>-3</v>
      </c>
      <c r="AU14">
        <f ca="1">IF(($A$2)&gt;=(ROW()-3),AU$17*(SUM(AU$19:AU29)-((ROW()-3)*5)),AU13)</f>
        <v>1</v>
      </c>
      <c r="AV14">
        <f ca="1">IF(($A$2)&gt;=(ROW()-3),AV$17*(SUM(AV$19:AV29)-((ROW()-3)*5)),AV13)</f>
        <v>-4</v>
      </c>
      <c r="AW14">
        <f ca="1">IF(($A$2)&gt;=(ROW()-3),AW$17*(SUM(AW$19:AW29)-((ROW()-3)*5)),AW13)</f>
        <v>-9</v>
      </c>
      <c r="AX14">
        <f ca="1">IF(($A$2)&gt;=(ROW()-3),AX$17*(SUM(AX$19:AX29)-((ROW()-3)*5)),AX13)</f>
        <v>-10</v>
      </c>
      <c r="AY14">
        <f ca="1">IF(($A$2)&gt;=(ROW()-3),AY$17*(SUM(AY$19:AY29)-((ROW()-3)*5)),AY13)</f>
        <v>1</v>
      </c>
      <c r="AZ14">
        <f ca="1">IF(($A$2)&gt;=(ROW()-3),AZ$17*(SUM(AZ$19:AZ29)-((ROW()-3)*5)),AZ13)</f>
        <v>-9</v>
      </c>
      <c r="BA14">
        <f ca="1">IF(($A$2)&gt;=(ROW()-3),BA$17*(SUM(BA$19:BA29)-((ROW()-3)*5)),BA13)</f>
        <v>0</v>
      </c>
      <c r="BB14">
        <f ca="1">IF(($A$2)&gt;=(ROW()-3),BB$17*(SUM(BB$19:BB29)-((ROW()-3)*5)),BB13)</f>
        <v>-9</v>
      </c>
      <c r="BC14">
        <f ca="1">IF(($A$2)&gt;=(ROW()-3),BC$17*(SUM(BC$19:BC29)-((ROW()-3)*5)),BC13)</f>
        <v>-5</v>
      </c>
      <c r="BD14">
        <f ca="1">IF(($A$2)&gt;=(ROW()-3),BD$17*(SUM(BD$19:BD29)-((ROW()-3)*5)),BD13)</f>
        <v>-7</v>
      </c>
      <c r="BE14">
        <f ca="1">IF(($A$2)&gt;=(ROW()-3),BE$17*(SUM(BE$19:BE29)-((ROW()-3)*5)),BE13)</f>
        <v>-9</v>
      </c>
      <c r="BF14">
        <f ca="1">IF(($A$2)&gt;=(ROW()-3),BF$17*(SUM(BF$19:BF29)-((ROW()-3)*5)),BF13)</f>
        <v>-7</v>
      </c>
      <c r="BG14">
        <f ca="1">IF(($A$2)&gt;=(ROW()-3),BG$17*(SUM(BG$19:BG29)-((ROW()-3)*5)),BG13)</f>
        <v>8</v>
      </c>
      <c r="BH14">
        <f ca="1">IF(($A$2)&gt;=(ROW()-3),BH$17*(SUM(BH$19:BH29)-((ROW()-3)*5)),BH13)</f>
        <v>-2</v>
      </c>
      <c r="BI14">
        <f ca="1">IF(($A$2)&gt;=(ROW()-3),BI$17*(SUM(BI$19:BI29)-((ROW()-3)*5)),BI13)</f>
        <v>-13</v>
      </c>
      <c r="BJ14">
        <f ca="1">IF(($A$2)&gt;=(ROW()-3),BJ$17*(SUM(BJ$19:BJ29)-((ROW()-3)*5)),BJ13)</f>
        <v>-5</v>
      </c>
      <c r="BK14">
        <f ca="1">IF(($A$2)&gt;=(ROW()-3),BK$17*(SUM(BK$19:BK29)-((ROW()-3)*5)),BK13)</f>
        <v>-5</v>
      </c>
      <c r="BL14">
        <f ca="1">IF(($A$2)&gt;=(ROW()-3),BL$17*(SUM(BL$19:BL29)-((ROW()-3)*5)),BL13)</f>
        <v>-6</v>
      </c>
      <c r="BM14">
        <f ca="1">IF(($A$2)&gt;=(ROW()-3),BM$17*(SUM(BM$19:BM29)-((ROW()-3)*5)),BM13)</f>
        <v>8</v>
      </c>
    </row>
    <row r="15" spans="1:78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-5</v>
      </c>
      <c r="H15">
        <f ca="1">IF(($A$2)&gt;=(ROW()-3),H$17*(SUM(H$19:H30)-((ROW()-3)*5)),H14)</f>
        <v>-15</v>
      </c>
      <c r="I15">
        <f ca="1">IF(($A$2)&gt;=(ROW()-3),I$17*(SUM(I$19:I30)-((ROW()-3)*5)),I14)</f>
        <v>-6</v>
      </c>
      <c r="J15">
        <f ca="1">IF(($A$2)&gt;=(ROW()-3),J$17*(SUM(J$19:J30)-((ROW()-3)*5)),J14)</f>
        <v>-11</v>
      </c>
      <c r="K15">
        <f ca="1">IF(($A$2)&gt;=(ROW()-3),K$17*(SUM(K$19:K30)-((ROW()-3)*5)),K14)</f>
        <v>4</v>
      </c>
      <c r="L15">
        <f ca="1">IF(($A$2)&gt;=(ROW()-3),L$17*(SUM(L$19:L30)-((ROW()-3)*5)),L14)</f>
        <v>-12</v>
      </c>
      <c r="M15">
        <f ca="1">IF(($A$2)&gt;=(ROW()-3),M$17*(SUM(M$19:M30)-((ROW()-3)*5)),M14)</f>
        <v>-4</v>
      </c>
      <c r="N15">
        <f ca="1">IF(($A$2)&gt;=(ROW()-3),N$17*(SUM(N$19:N30)-((ROW()-3)*5)),N14)</f>
        <v>-4</v>
      </c>
      <c r="O15">
        <f ca="1">IF(($A$2)&gt;=(ROW()-3),O$17*(SUM(O$19:O30)-((ROW()-3)*5)),O14)</f>
        <v>-1</v>
      </c>
      <c r="P15">
        <f ca="1">IF(($A$2)&gt;=(ROW()-3),P$17*(SUM(P$19:P30)-((ROW()-3)*5)),P14)</f>
        <v>4</v>
      </c>
      <c r="Q15">
        <f ca="1">IF(($A$2)&gt;=(ROW()-3),Q$17*(SUM(Q$19:Q30)-((ROW()-3)*5)),Q14)</f>
        <v>-2</v>
      </c>
      <c r="R15">
        <f ca="1">IF(($A$2)&gt;=(ROW()-3),R$17*(SUM(R$19:R30)-((ROW()-3)*5)),R14)</f>
        <v>9</v>
      </c>
      <c r="S15">
        <f ca="1">IF(($A$2)&gt;=(ROW()-3),S$17*(SUM(S$19:S30)-((ROW()-3)*5)),S14)</f>
        <v>3</v>
      </c>
      <c r="T15">
        <f ca="1">IF(($A$2)&gt;=(ROW()-3),T$17*(SUM(T$19:T30)-((ROW()-3)*5)),T14)</f>
        <v>4</v>
      </c>
      <c r="U15">
        <f ca="1">IF(($A$2)&gt;=(ROW()-3),U$17*(SUM(U$19:U30)-((ROW()-3)*5)),U14)</f>
        <v>-18</v>
      </c>
      <c r="V15">
        <f ca="1">IF(($A$2)&gt;=(ROW()-3),V$17*(SUM(V$19:V30)-((ROW()-3)*5)),V14)</f>
        <v>-5</v>
      </c>
      <c r="W15">
        <f ca="1">IF(($A$2)&gt;=(ROW()-3),W$17*(SUM(W$19:W30)-((ROW()-3)*5)),W14)</f>
        <v>-3</v>
      </c>
      <c r="X15">
        <f ca="1">IF(($A$2)&gt;=(ROW()-3),X$17*(SUM(X$19:X30)-((ROW()-3)*5)),X14)</f>
        <v>-9</v>
      </c>
      <c r="Y15">
        <f ca="1">IF(($A$2)&gt;=(ROW()-3),Y$17*(SUM(Y$19:Y30)-((ROW()-3)*5)),Y14)</f>
        <v>-12</v>
      </c>
      <c r="Z15">
        <f ca="1">IF(($A$2)&gt;=(ROW()-3),Z$17*(SUM(Z$19:Z30)-((ROW()-3)*5)),Z14)</f>
        <v>8</v>
      </c>
      <c r="AA15">
        <f ca="1">IF(($A$2)&gt;=(ROW()-3),AA$17*(SUM(AA$19:AA30)-((ROW()-3)*5)),AA14)</f>
        <v>2</v>
      </c>
      <c r="AB15">
        <f ca="1">IF(($A$2)&gt;=(ROW()-3),AB$17*(SUM(AB$19:AB30)-((ROW()-3)*5)),AB14)</f>
        <v>-2</v>
      </c>
      <c r="AC15">
        <f ca="1">IF(($A$2)&gt;=(ROW()-3),AC$17*(SUM(AC$19:AC30)-((ROW()-3)*5)),AC14)</f>
        <v>3</v>
      </c>
      <c r="AD15">
        <f ca="1">IF(($A$2)&gt;=(ROW()-3),AD$17*(SUM(AD$19:AD30)-((ROW()-3)*5)),AD14)</f>
        <v>5</v>
      </c>
      <c r="AE15">
        <f ca="1">IF(($A$2)&gt;=(ROW()-3),AE$17*(SUM(AE$19:AE30)-((ROW()-3)*5)),AE14)</f>
        <v>-2</v>
      </c>
      <c r="AF15">
        <f ca="1">IF(($A$2)&gt;=(ROW()-3),AF$17*(SUM(AF$19:AF30)-((ROW()-3)*5)),AF14)</f>
        <v>-11</v>
      </c>
      <c r="AG15">
        <f ca="1">IF(($A$2)&gt;=(ROW()-3),AG$17*(SUM(AG$19:AG30)-((ROW()-3)*5)),AG14)</f>
        <v>-5</v>
      </c>
      <c r="AH15">
        <f ca="1">IF(($A$2)&gt;=(ROW()-3),AH$17*(SUM(AH$19:AH30)-((ROW()-3)*5)),AH14)</f>
        <v>0</v>
      </c>
      <c r="AI15">
        <f ca="1">IF(($A$2)&gt;=(ROW()-3),AI$17*(SUM(AI$19:AI30)-((ROW()-3)*5)),AI14)</f>
        <v>-8</v>
      </c>
      <c r="AJ15">
        <f ca="1">IF(($A$2)&gt;=(ROW()-3),AJ$17*(SUM(AJ$19:AJ30)-((ROW()-3)*5)),AJ14)</f>
        <v>1</v>
      </c>
      <c r="AK15">
        <f ca="1">IF(($A$2)&gt;=(ROW()-3),AK$17*(SUM(AK$19:AK30)-((ROW()-3)*5)),AK14)</f>
        <v>-6</v>
      </c>
      <c r="AL15">
        <f ca="1">IF(($A$2)&gt;=(ROW()-3),AL$17*(SUM(AL$19:AL30)-((ROW()-3)*5)),AL14)</f>
        <v>2</v>
      </c>
      <c r="AM15">
        <f ca="1">IF(($A$2)&gt;=(ROW()-3),AM$17*(SUM(AM$19:AM30)-((ROW()-3)*5)),AM14)</f>
        <v>-8</v>
      </c>
      <c r="AN15">
        <f ca="1">IF(($A$2)&gt;=(ROW()-3),AN$17*(SUM(AN$19:AN30)-((ROW()-3)*5)),AN14)</f>
        <v>1</v>
      </c>
      <c r="AO15">
        <f ca="1">IF(($A$2)&gt;=(ROW()-3),AO$17*(SUM(AO$19:AO30)-((ROW()-3)*5)),AO14)</f>
        <v>-2</v>
      </c>
      <c r="AP15">
        <f ca="1">IF(($A$2)&gt;=(ROW()-3),AP$17*(SUM(AP$19:AP30)-((ROW()-3)*5)),AP14)</f>
        <v>-15</v>
      </c>
      <c r="AQ15">
        <f ca="1">IF(($A$2)&gt;=(ROW()-3),AQ$17*(SUM(AQ$19:AQ30)-((ROW()-3)*5)),AQ14)</f>
        <v>-14</v>
      </c>
      <c r="AR15">
        <f ca="1">IF(($A$2)&gt;=(ROW()-3),AR$17*(SUM(AR$19:AR30)-((ROW()-3)*5)),AR14)</f>
        <v>-4</v>
      </c>
      <c r="AS15">
        <f ca="1">IF(($A$2)&gt;=(ROW()-3),AS$17*(SUM(AS$19:AS30)-((ROW()-3)*5)),AS14)</f>
        <v>6</v>
      </c>
      <c r="AT15">
        <f ca="1">IF(($A$2)&gt;=(ROW()-3),AT$17*(SUM(AT$19:AT30)-((ROW()-3)*5)),AT14)</f>
        <v>-4</v>
      </c>
      <c r="AU15">
        <f ca="1">IF(($A$2)&gt;=(ROW()-3),AU$17*(SUM(AU$19:AU30)-((ROW()-3)*5)),AU14)</f>
        <v>2</v>
      </c>
      <c r="AV15">
        <f ca="1">IF(($A$2)&gt;=(ROW()-3),AV$17*(SUM(AV$19:AV30)-((ROW()-3)*5)),AV14)</f>
        <v>-5</v>
      </c>
      <c r="AW15">
        <f ca="1">IF(($A$2)&gt;=(ROW()-3),AW$17*(SUM(AW$19:AW30)-((ROW()-3)*5)),AW14)</f>
        <v>-7</v>
      </c>
      <c r="AX15">
        <f ca="1">IF(($A$2)&gt;=(ROW()-3),AX$17*(SUM(AX$19:AX30)-((ROW()-3)*5)),AX14)</f>
        <v>-10</v>
      </c>
      <c r="AY15">
        <f ca="1">IF(($A$2)&gt;=(ROW()-3),AY$17*(SUM(AY$19:AY30)-((ROW()-3)*5)),AY14)</f>
        <v>1</v>
      </c>
      <c r="AZ15">
        <f ca="1">IF(($A$2)&gt;=(ROW()-3),AZ$17*(SUM(AZ$19:AZ30)-((ROW()-3)*5)),AZ14)</f>
        <v>-10</v>
      </c>
      <c r="BA15">
        <f ca="1">IF(($A$2)&gt;=(ROW()-3),BA$17*(SUM(BA$19:BA30)-((ROW()-3)*5)),BA14)</f>
        <v>-2</v>
      </c>
      <c r="BB15">
        <f ca="1">IF(($A$2)&gt;=(ROW()-3),BB$17*(SUM(BB$19:BB30)-((ROW()-3)*5)),BB14)</f>
        <v>-8</v>
      </c>
      <c r="BC15">
        <f ca="1">IF(($A$2)&gt;=(ROW()-3),BC$17*(SUM(BC$19:BC30)-((ROW()-3)*5)),BC14)</f>
        <v>-7</v>
      </c>
      <c r="BD15">
        <f ca="1">IF(($A$2)&gt;=(ROW()-3),BD$17*(SUM(BD$19:BD30)-((ROW()-3)*5)),BD14)</f>
        <v>-6</v>
      </c>
      <c r="BE15">
        <f ca="1">IF(($A$2)&gt;=(ROW()-3),BE$17*(SUM(BE$19:BE30)-((ROW()-3)*5)),BE14)</f>
        <v>-13</v>
      </c>
      <c r="BF15">
        <f ca="1">IF(($A$2)&gt;=(ROW()-3),BF$17*(SUM(BF$19:BF30)-((ROW()-3)*5)),BF14)</f>
        <v>-4</v>
      </c>
      <c r="BG15">
        <f ca="1">IF(($A$2)&gt;=(ROW()-3),BG$17*(SUM(BG$19:BG30)-((ROW()-3)*5)),BG14)</f>
        <v>8</v>
      </c>
      <c r="BH15">
        <f ca="1">IF(($A$2)&gt;=(ROW()-3),BH$17*(SUM(BH$19:BH30)-((ROW()-3)*5)),BH14)</f>
        <v>-2</v>
      </c>
      <c r="BI15">
        <f ca="1">IF(($A$2)&gt;=(ROW()-3),BI$17*(SUM(BI$19:BI30)-((ROW()-3)*5)),BI14)</f>
        <v>-16</v>
      </c>
      <c r="BJ15">
        <f ca="1">IF(($A$2)&gt;=(ROW()-3),BJ$17*(SUM(BJ$19:BJ30)-((ROW()-3)*5)),BJ14)</f>
        <v>-4</v>
      </c>
      <c r="BK15">
        <f ca="1">IF(($A$2)&gt;=(ROW()-3),BK$17*(SUM(BK$19:BK30)-((ROW()-3)*5)),BK14)</f>
        <v>-7</v>
      </c>
      <c r="BL15">
        <f ca="1">IF(($A$2)&gt;=(ROW()-3),BL$17*(SUM(BL$19:BL30)-((ROW()-3)*5)),BL14)</f>
        <v>-7</v>
      </c>
      <c r="BM15">
        <f ca="1">IF(($A$2)&gt;=(ROW()-3),BM$17*(SUM(BM$19:BM30)-((ROW()-3)*5)),BM14)</f>
        <v>9</v>
      </c>
    </row>
    <row r="16" spans="1:78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-5</v>
      </c>
      <c r="H16">
        <f ca="1">IF(($A$2)&gt;=(ROW()-3),H$17*(SUM(H$19:H31)-((ROW()-3)*5)),H15)</f>
        <v>-15</v>
      </c>
      <c r="I16">
        <f ca="1">IF(($A$2)&gt;=(ROW()-3),I$17*(SUM(I$19:I31)-((ROW()-3)*5)),I15)</f>
        <v>-9</v>
      </c>
      <c r="J16">
        <f ca="1">IF(($A$2)&gt;=(ROW()-3),J$17*(SUM(J$19:J31)-((ROW()-3)*5)),J15)</f>
        <v>-11</v>
      </c>
      <c r="K16">
        <f ca="1">IF(($A$2)&gt;=(ROW()-3),K$17*(SUM(K$19:K31)-((ROW()-3)*5)),K15)</f>
        <v>2</v>
      </c>
      <c r="L16">
        <f ca="1">IF(($A$2)&gt;=(ROW()-3),L$17*(SUM(L$19:L31)-((ROW()-3)*5)),L15)</f>
        <v>-10</v>
      </c>
      <c r="M16">
        <f ca="1">IF(($A$2)&gt;=(ROW()-3),M$17*(SUM(M$19:M31)-((ROW()-3)*5)),M15)</f>
        <v>-3</v>
      </c>
      <c r="N16">
        <f ca="1">IF(($A$2)&gt;=(ROW()-3),N$17*(SUM(N$19:N31)-((ROW()-3)*5)),N15)</f>
        <v>-5</v>
      </c>
      <c r="O16">
        <f ca="1">IF(($A$2)&gt;=(ROW()-3),O$17*(SUM(O$19:O31)-((ROW()-3)*5)),O15)</f>
        <v>-4</v>
      </c>
      <c r="P16">
        <f ca="1">IF(($A$2)&gt;=(ROW()-3),P$17*(SUM(P$19:P31)-((ROW()-3)*5)),P15)</f>
        <v>3</v>
      </c>
      <c r="Q16">
        <f ca="1">IF(($A$2)&gt;=(ROW()-3),Q$17*(SUM(Q$19:Q31)-((ROW()-3)*5)),Q15)</f>
        <v>-2</v>
      </c>
      <c r="R16">
        <f ca="1">IF(($A$2)&gt;=(ROW()-3),R$17*(SUM(R$19:R31)-((ROW()-3)*5)),R15)</f>
        <v>7</v>
      </c>
      <c r="S16">
        <f ca="1">IF(($A$2)&gt;=(ROW()-3),S$17*(SUM(S$19:S31)-((ROW()-3)*5)),S15)</f>
        <v>4</v>
      </c>
      <c r="T16">
        <f ca="1">IF(($A$2)&gt;=(ROW()-3),T$17*(SUM(T$19:T31)-((ROW()-3)*5)),T15)</f>
        <v>4</v>
      </c>
      <c r="U16">
        <f ca="1">IF(($A$2)&gt;=(ROW()-3),U$17*(SUM(U$19:U31)-((ROW()-3)*5)),U15)</f>
        <v>-14</v>
      </c>
      <c r="V16">
        <f ca="1">IF(($A$2)&gt;=(ROW()-3),V$17*(SUM(V$19:V31)-((ROW()-3)*5)),V15)</f>
        <v>-3</v>
      </c>
      <c r="W16">
        <f ca="1">IF(($A$2)&gt;=(ROW()-3),W$17*(SUM(W$19:W31)-((ROW()-3)*5)),W15)</f>
        <v>-6</v>
      </c>
      <c r="X16">
        <f ca="1">IF(($A$2)&gt;=(ROW()-3),X$17*(SUM(X$19:X31)-((ROW()-3)*5)),X15)</f>
        <v>-8</v>
      </c>
      <c r="Y16">
        <f ca="1">IF(($A$2)&gt;=(ROW()-3),Y$17*(SUM(Y$19:Y31)-((ROW()-3)*5)),Y15)</f>
        <v>-11</v>
      </c>
      <c r="Z16">
        <f ca="1">IF(($A$2)&gt;=(ROW()-3),Z$17*(SUM(Z$19:Z31)-((ROW()-3)*5)),Z15)</f>
        <v>9</v>
      </c>
      <c r="AA16">
        <f ca="1">IF(($A$2)&gt;=(ROW()-3),AA$17*(SUM(AA$19:AA31)-((ROW()-3)*5)),AA15)</f>
        <v>4</v>
      </c>
      <c r="AB16">
        <f ca="1">IF(($A$2)&gt;=(ROW()-3),AB$17*(SUM(AB$19:AB31)-((ROW()-3)*5)),AB15)</f>
        <v>-3</v>
      </c>
      <c r="AC16">
        <f ca="1">IF(($A$2)&gt;=(ROW()-3),AC$17*(SUM(AC$19:AC31)-((ROW()-3)*5)),AC15)</f>
        <v>1</v>
      </c>
      <c r="AD16">
        <f ca="1">IF(($A$2)&gt;=(ROW()-3),AD$17*(SUM(AD$19:AD31)-((ROW()-3)*5)),AD15)</f>
        <v>4</v>
      </c>
      <c r="AE16">
        <f ca="1">IF(($A$2)&gt;=(ROW()-3),AE$17*(SUM(AE$19:AE31)-((ROW()-3)*5)),AE15)</f>
        <v>-3</v>
      </c>
      <c r="AF16">
        <f ca="1">IF(($A$2)&gt;=(ROW()-3),AF$17*(SUM(AF$19:AF31)-((ROW()-3)*5)),AF15)</f>
        <v>-9</v>
      </c>
      <c r="AG16">
        <f ca="1">IF(($A$2)&gt;=(ROW()-3),AG$17*(SUM(AG$19:AG31)-((ROW()-3)*5)),AG15)</f>
        <v>-6</v>
      </c>
      <c r="AH16">
        <f ca="1">IF(($A$2)&gt;=(ROW()-3),AH$17*(SUM(AH$19:AH31)-((ROW()-3)*5)),AH15)</f>
        <v>2</v>
      </c>
      <c r="AI16">
        <f ca="1">IF(($A$2)&gt;=(ROW()-3),AI$17*(SUM(AI$19:AI31)-((ROW()-3)*5)),AI15)</f>
        <v>-11</v>
      </c>
      <c r="AJ16">
        <f ca="1">IF(($A$2)&gt;=(ROW()-3),AJ$17*(SUM(AJ$19:AJ31)-((ROW()-3)*5)),AJ15)</f>
        <v>-2</v>
      </c>
      <c r="AK16">
        <f ca="1">IF(($A$2)&gt;=(ROW()-3),AK$17*(SUM(AK$19:AK31)-((ROW()-3)*5)),AK15)</f>
        <v>-6</v>
      </c>
      <c r="AL16">
        <f ca="1">IF(($A$2)&gt;=(ROW()-3),AL$17*(SUM(AL$19:AL31)-((ROW()-3)*5)),AL15)</f>
        <v>-1</v>
      </c>
      <c r="AM16">
        <f ca="1">IF(($A$2)&gt;=(ROW()-3),AM$17*(SUM(AM$19:AM31)-((ROW()-3)*5)),AM15)</f>
        <v>-8</v>
      </c>
      <c r="AN16">
        <f ca="1">IF(($A$2)&gt;=(ROW()-3),AN$17*(SUM(AN$19:AN31)-((ROW()-3)*5)),AN15)</f>
        <v>1</v>
      </c>
      <c r="AO16">
        <f ca="1">IF(($A$2)&gt;=(ROW()-3),AO$17*(SUM(AO$19:AO31)-((ROW()-3)*5)),AO15)</f>
        <v>-2</v>
      </c>
      <c r="AP16">
        <f ca="1">IF(($A$2)&gt;=(ROW()-3),AP$17*(SUM(AP$19:AP31)-((ROW()-3)*5)),AP15)</f>
        <v>-14</v>
      </c>
      <c r="AQ16">
        <f ca="1">IF(($A$2)&gt;=(ROW()-3),AQ$17*(SUM(AQ$19:AQ31)-((ROW()-3)*5)),AQ15)</f>
        <v>-13</v>
      </c>
      <c r="AR16">
        <f ca="1">IF(($A$2)&gt;=(ROW()-3),AR$17*(SUM(AR$19:AR31)-((ROW()-3)*5)),AR15)</f>
        <v>-3</v>
      </c>
      <c r="AS16">
        <f ca="1">IF(($A$2)&gt;=(ROW()-3),AS$17*(SUM(AS$19:AS31)-((ROW()-3)*5)),AS15)</f>
        <v>3</v>
      </c>
      <c r="AT16">
        <f ca="1">IF(($A$2)&gt;=(ROW()-3),AT$17*(SUM(AT$19:AT31)-((ROW()-3)*5)),AT15)</f>
        <v>-4</v>
      </c>
      <c r="AU16">
        <f ca="1">IF(($A$2)&gt;=(ROW()-3),AU$17*(SUM(AU$19:AU31)-((ROW()-3)*5)),AU15)</f>
        <v>-1</v>
      </c>
      <c r="AV16">
        <f ca="1">IF(($A$2)&gt;=(ROW()-3),AV$17*(SUM(AV$19:AV31)-((ROW()-3)*5)),AV15)</f>
        <v>-8</v>
      </c>
      <c r="AW16">
        <f ca="1">IF(($A$2)&gt;=(ROW()-3),AW$17*(SUM(AW$19:AW31)-((ROW()-3)*5)),AW15)</f>
        <v>-7</v>
      </c>
      <c r="AX16">
        <f ca="1">IF(($A$2)&gt;=(ROW()-3),AX$17*(SUM(AX$19:AX31)-((ROW()-3)*5)),AX15)</f>
        <v>-10</v>
      </c>
      <c r="AY16">
        <f ca="1">IF(($A$2)&gt;=(ROW()-3),AY$17*(SUM(AY$19:AY31)-((ROW()-3)*5)),AY15)</f>
        <v>1</v>
      </c>
      <c r="AZ16">
        <f ca="1">IF(($A$2)&gt;=(ROW()-3),AZ$17*(SUM(AZ$19:AZ31)-((ROW()-3)*5)),AZ15)</f>
        <v>-11</v>
      </c>
      <c r="BA16">
        <f ca="1">IF(($A$2)&gt;=(ROW()-3),BA$17*(SUM(BA$19:BA31)-((ROW()-3)*5)),BA15)</f>
        <v>-2</v>
      </c>
      <c r="BB16">
        <f ca="1">IF(($A$2)&gt;=(ROW()-3),BB$17*(SUM(BB$19:BB31)-((ROW()-3)*5)),BB15)</f>
        <v>-9</v>
      </c>
      <c r="BC16">
        <f ca="1">IF(($A$2)&gt;=(ROW()-3),BC$17*(SUM(BC$19:BC31)-((ROW()-3)*5)),BC15)</f>
        <v>-5</v>
      </c>
      <c r="BD16">
        <f ca="1">IF(($A$2)&gt;=(ROW()-3),BD$17*(SUM(BD$19:BD31)-((ROW()-3)*5)),BD15)</f>
        <v>-6</v>
      </c>
      <c r="BE16">
        <f ca="1">IF(($A$2)&gt;=(ROW()-3),BE$17*(SUM(BE$19:BE31)-((ROW()-3)*5)),BE15)</f>
        <v>-13</v>
      </c>
      <c r="BF16">
        <f ca="1">IF(($A$2)&gt;=(ROW()-3),BF$17*(SUM(BF$19:BF31)-((ROW()-3)*5)),BF15)</f>
        <v>-4</v>
      </c>
      <c r="BG16">
        <f ca="1">IF(($A$2)&gt;=(ROW()-3),BG$17*(SUM(BG$19:BG31)-((ROW()-3)*5)),BG15)</f>
        <v>9</v>
      </c>
      <c r="BH16">
        <f ca="1">IF(($A$2)&gt;=(ROW()-3),BH$17*(SUM(BH$19:BH31)-((ROW()-3)*5)),BH15)</f>
        <v>-5</v>
      </c>
      <c r="BI16">
        <f ca="1">IF(($A$2)&gt;=(ROW()-3),BI$17*(SUM(BI$19:BI31)-((ROW()-3)*5)),BI15)</f>
        <v>-17</v>
      </c>
      <c r="BJ16">
        <f ca="1">IF(($A$2)&gt;=(ROW()-3),BJ$17*(SUM(BJ$19:BJ31)-((ROW()-3)*5)),BJ15)</f>
        <v>-4</v>
      </c>
      <c r="BK16">
        <f ca="1">IF(($A$2)&gt;=(ROW()-3),BK$17*(SUM(BK$19:BK31)-((ROW()-3)*5)),BK15)</f>
        <v>-6</v>
      </c>
      <c r="BL16">
        <f ca="1">IF(($A$2)&gt;=(ROW()-3),BL$17*(SUM(BL$19:BL31)-((ROW()-3)*5)),BL15)</f>
        <v>-9</v>
      </c>
      <c r="BM16">
        <f ca="1">IF(($A$2)&gt;=(ROW()-3),BM$17*(SUM(BM$19:BM31)-((ROW()-3)*5)),BM15)</f>
        <v>11</v>
      </c>
    </row>
    <row r="17" spans="1:65">
      <c r="A17" s="6" t="s">
        <v>132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</row>
    <row r="19" spans="1:6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5</v>
      </c>
      <c r="H19">
        <f t="shared" ca="1" si="0"/>
        <v>5</v>
      </c>
      <c r="I19">
        <f t="shared" ref="I19:AK28" ca="1" si="1">INDIRECT(ADDRESS(25,COLUMN(),1,,$A19))</f>
        <v>3</v>
      </c>
      <c r="J19">
        <f t="shared" ca="1" si="1"/>
        <v>8</v>
      </c>
      <c r="K19">
        <f t="shared" ca="1" si="1"/>
        <v>6</v>
      </c>
      <c r="L19">
        <f t="shared" ca="1" si="1"/>
        <v>4</v>
      </c>
      <c r="M19">
        <f t="shared" ca="1" si="1"/>
        <v>3</v>
      </c>
      <c r="N19">
        <f t="shared" ca="1" si="1"/>
        <v>4</v>
      </c>
      <c r="O19">
        <f t="shared" ca="1" si="1"/>
        <v>5</v>
      </c>
      <c r="P19">
        <f t="shared" ca="1" si="1"/>
        <v>6</v>
      </c>
      <c r="Q19">
        <f t="shared" ca="1" si="1"/>
        <v>4</v>
      </c>
      <c r="R19">
        <f t="shared" ca="1" si="1"/>
        <v>6</v>
      </c>
      <c r="S19">
        <f t="shared" ca="1" si="1"/>
        <v>5</v>
      </c>
      <c r="T19">
        <f t="shared" ca="1" si="1"/>
        <v>7</v>
      </c>
      <c r="U19">
        <f t="shared" ca="1" si="1"/>
        <v>0</v>
      </c>
      <c r="V19">
        <f t="shared" ca="1" si="1"/>
        <v>1</v>
      </c>
      <c r="W19">
        <f t="shared" ca="1" si="1"/>
        <v>6</v>
      </c>
      <c r="X19">
        <f t="shared" ca="1" si="1"/>
        <v>4</v>
      </c>
      <c r="Y19">
        <f t="shared" ca="1" si="1"/>
        <v>3</v>
      </c>
      <c r="Z19">
        <f t="shared" ca="1" si="1"/>
        <v>6</v>
      </c>
      <c r="AA19">
        <f t="shared" ca="1" si="1"/>
        <v>7</v>
      </c>
      <c r="AB19">
        <f t="shared" ca="1" si="1"/>
        <v>5</v>
      </c>
      <c r="AC19">
        <f t="shared" ca="1" si="1"/>
        <v>8</v>
      </c>
      <c r="AD19">
        <f t="shared" ca="1" si="1"/>
        <v>5</v>
      </c>
      <c r="AE19">
        <f t="shared" ca="1" si="1"/>
        <v>4</v>
      </c>
      <c r="AF19">
        <f t="shared" ca="1" si="1"/>
        <v>6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4</v>
      </c>
      <c r="AK19">
        <f t="shared" ca="1" si="1"/>
        <v>4</v>
      </c>
      <c r="AL19">
        <f t="shared" ref="AL19:BC31" ca="1" si="2">INDIRECT(ADDRESS(25,COLUMN(),1,,$A19))</f>
        <v>3</v>
      </c>
      <c r="AM19">
        <f t="shared" ca="1" si="2"/>
        <v>2</v>
      </c>
      <c r="AN19">
        <f t="shared" ca="1" si="2"/>
        <v>4</v>
      </c>
      <c r="AO19">
        <f t="shared" ca="1" si="2"/>
        <v>4</v>
      </c>
      <c r="AP19">
        <f t="shared" ca="1" si="2"/>
        <v>6</v>
      </c>
      <c r="AQ19">
        <f t="shared" ca="1" si="2"/>
        <v>5</v>
      </c>
      <c r="AR19">
        <f t="shared" ca="1" si="2"/>
        <v>5</v>
      </c>
      <c r="AS19">
        <f t="shared" ca="1" si="2"/>
        <v>4</v>
      </c>
      <c r="AT19">
        <f t="shared" ca="1" si="2"/>
        <v>2</v>
      </c>
      <c r="AU19">
        <f t="shared" ca="1" si="2"/>
        <v>2</v>
      </c>
      <c r="AV19">
        <f t="shared" ca="1" si="2"/>
        <v>4</v>
      </c>
      <c r="AW19">
        <f t="shared" ca="1" si="2"/>
        <v>1</v>
      </c>
      <c r="AX19">
        <f t="shared" ca="1" si="2"/>
        <v>4</v>
      </c>
      <c r="AY19">
        <f t="shared" ca="1" si="2"/>
        <v>5</v>
      </c>
      <c r="AZ19">
        <f t="shared" ca="1" si="2"/>
        <v>2</v>
      </c>
      <c r="BA19">
        <f t="shared" ca="1" si="2"/>
        <v>5</v>
      </c>
      <c r="BB19">
        <f t="shared" ca="1" si="2"/>
        <v>4</v>
      </c>
      <c r="BC19">
        <f t="shared" ca="1" si="2"/>
        <v>5</v>
      </c>
      <c r="BD19">
        <f t="shared" ref="BD19:BM31" ca="1" si="3">INDIRECT(ADDRESS(25,COLUMN(),1,,$A19))</f>
        <v>5</v>
      </c>
      <c r="BE19">
        <f t="shared" ca="1" si="3"/>
        <v>6</v>
      </c>
      <c r="BF19">
        <f t="shared" ca="1" si="3"/>
        <v>4</v>
      </c>
      <c r="BG19">
        <f t="shared" ca="1" si="3"/>
        <v>4</v>
      </c>
      <c r="BH19">
        <f t="shared" ca="1" si="3"/>
        <v>4</v>
      </c>
      <c r="BI19">
        <f t="shared" ca="1" si="3"/>
        <v>1</v>
      </c>
      <c r="BJ19">
        <f t="shared" ca="1" si="3"/>
        <v>4</v>
      </c>
      <c r="BK19">
        <f t="shared" ca="1" si="3"/>
        <v>6</v>
      </c>
      <c r="BL19">
        <f t="shared" ca="1" si="3"/>
        <v>4</v>
      </c>
      <c r="BM19">
        <f t="shared" ca="1" si="3"/>
        <v>4</v>
      </c>
    </row>
    <row r="20" spans="1:65">
      <c r="A20" s="6" t="str">
        <f t="shared" ref="A20:A31" si="4">A5</f>
        <v>Wk02</v>
      </c>
      <c r="B20" s="6"/>
      <c r="C20" s="6"/>
      <c r="D20" s="6"/>
      <c r="E20">
        <f t="shared" ref="E20:F31" si="5">E$2*10</f>
        <v>5.5384615384615383</v>
      </c>
      <c r="F20">
        <f t="shared" si="5"/>
        <v>6.4615384615384617</v>
      </c>
      <c r="G20">
        <f t="shared" ca="1" si="0"/>
        <v>4</v>
      </c>
      <c r="H20">
        <f t="shared" ca="1" si="0"/>
        <v>5</v>
      </c>
      <c r="I20">
        <f t="shared" ref="I20:W20" ca="1" si="6">INDIRECT(ADDRESS(25,COLUMN(),1,,$A20))</f>
        <v>4</v>
      </c>
      <c r="J20">
        <f t="shared" ca="1" si="6"/>
        <v>3</v>
      </c>
      <c r="K20">
        <f t="shared" ca="1" si="6"/>
        <v>6</v>
      </c>
      <c r="L20">
        <f t="shared" ca="1" si="6"/>
        <v>4</v>
      </c>
      <c r="M20">
        <f t="shared" ca="1" si="6"/>
        <v>8</v>
      </c>
      <c r="N20">
        <f t="shared" ca="1" si="6"/>
        <v>6</v>
      </c>
      <c r="O20">
        <f t="shared" ca="1" si="6"/>
        <v>4</v>
      </c>
      <c r="P20">
        <f t="shared" ca="1" si="6"/>
        <v>7</v>
      </c>
      <c r="Q20">
        <f t="shared" ca="1" si="6"/>
        <v>5</v>
      </c>
      <c r="R20">
        <f t="shared" ca="1" si="6"/>
        <v>5</v>
      </c>
      <c r="S20">
        <f t="shared" ca="1" si="6"/>
        <v>5</v>
      </c>
      <c r="T20">
        <f t="shared" ca="1" si="6"/>
        <v>5</v>
      </c>
      <c r="U20">
        <f t="shared" ca="1" si="6"/>
        <v>0</v>
      </c>
      <c r="V20">
        <f t="shared" ca="1" si="6"/>
        <v>6</v>
      </c>
      <c r="W20">
        <f t="shared" ca="1" si="6"/>
        <v>7</v>
      </c>
      <c r="X20">
        <f t="shared" ca="1" si="1"/>
        <v>3</v>
      </c>
      <c r="Y20">
        <f t="shared" ca="1" si="1"/>
        <v>4</v>
      </c>
      <c r="Z20">
        <f t="shared" ca="1" si="1"/>
        <v>5</v>
      </c>
      <c r="AA20">
        <f t="shared" ca="1" si="1"/>
        <v>7</v>
      </c>
      <c r="AB20">
        <f t="shared" ca="1" si="1"/>
        <v>5</v>
      </c>
      <c r="AC20">
        <f t="shared" ca="1" si="1"/>
        <v>5</v>
      </c>
      <c r="AD20">
        <f t="shared" ca="1" si="1"/>
        <v>4</v>
      </c>
      <c r="AE20">
        <f t="shared" ca="1" si="1"/>
        <v>5</v>
      </c>
      <c r="AF20">
        <f t="shared" ca="1" si="1"/>
        <v>5</v>
      </c>
      <c r="AG20">
        <f t="shared" ca="1" si="1"/>
        <v>5</v>
      </c>
      <c r="AH20">
        <f t="shared" ca="1" si="1"/>
        <v>5</v>
      </c>
      <c r="AI20">
        <f t="shared" ca="1" si="1"/>
        <v>6</v>
      </c>
      <c r="AJ20">
        <f t="shared" ca="1" si="1"/>
        <v>5</v>
      </c>
      <c r="AK20">
        <f t="shared" ca="1" si="1"/>
        <v>4</v>
      </c>
      <c r="AL20">
        <f t="shared" ca="1" si="2"/>
        <v>4</v>
      </c>
      <c r="AM20">
        <f t="shared" ca="1" si="2"/>
        <v>5</v>
      </c>
      <c r="AN20">
        <f t="shared" ca="1" si="2"/>
        <v>6</v>
      </c>
      <c r="AO20">
        <f t="shared" ca="1" si="2"/>
        <v>6</v>
      </c>
      <c r="AP20">
        <f t="shared" ca="1" si="2"/>
        <v>4</v>
      </c>
      <c r="AQ20">
        <f t="shared" ca="1" si="2"/>
        <v>4</v>
      </c>
      <c r="AR20">
        <f t="shared" ca="1" si="2"/>
        <v>3</v>
      </c>
      <c r="AS20">
        <f t="shared" ca="1" si="2"/>
        <v>6</v>
      </c>
      <c r="AT20">
        <f t="shared" ca="1" si="2"/>
        <v>3</v>
      </c>
      <c r="AU20">
        <f t="shared" ca="1" si="2"/>
        <v>6</v>
      </c>
      <c r="AV20">
        <f t="shared" ca="1" si="2"/>
        <v>4</v>
      </c>
      <c r="AW20">
        <f t="shared" ca="1" si="2"/>
        <v>5</v>
      </c>
      <c r="AX20">
        <f t="shared" ca="1" si="2"/>
        <v>5</v>
      </c>
      <c r="AY20">
        <f t="shared" ca="1" si="2"/>
        <v>5</v>
      </c>
      <c r="AZ20">
        <f t="shared" ca="1" si="2"/>
        <v>6</v>
      </c>
      <c r="BA20">
        <f t="shared" ca="1" si="2"/>
        <v>6</v>
      </c>
      <c r="BB20">
        <f t="shared" ca="1" si="2"/>
        <v>4</v>
      </c>
      <c r="BC20">
        <f t="shared" ref="BC20:BC31" ca="1" si="7">INDIRECT(ADDRESS(25,COLUMN(),1,,$A20))</f>
        <v>6</v>
      </c>
      <c r="BD20">
        <f t="shared" ca="1" si="3"/>
        <v>2</v>
      </c>
      <c r="BE20">
        <f t="shared" ca="1" si="3"/>
        <v>5</v>
      </c>
      <c r="BF20">
        <f t="shared" ca="1" si="3"/>
        <v>5</v>
      </c>
      <c r="BG20">
        <f t="shared" ca="1" si="3"/>
        <v>5</v>
      </c>
      <c r="BH20">
        <f t="shared" ca="1" si="3"/>
        <v>4</v>
      </c>
      <c r="BI20">
        <f t="shared" ca="1" si="3"/>
        <v>2</v>
      </c>
      <c r="BJ20">
        <f t="shared" ca="1" si="3"/>
        <v>4</v>
      </c>
      <c r="BK20">
        <f t="shared" ca="1" si="3"/>
        <v>5</v>
      </c>
      <c r="BL20">
        <f t="shared" ca="1" si="3"/>
        <v>5</v>
      </c>
      <c r="BM20">
        <f t="shared" ca="1" si="3"/>
        <v>6</v>
      </c>
    </row>
    <row r="21" spans="1:65">
      <c r="A21" s="6" t="str">
        <f t="shared" si="4"/>
        <v>Wk03</v>
      </c>
      <c r="B21" s="6"/>
      <c r="C21" s="6"/>
      <c r="D21" s="6"/>
      <c r="E21">
        <f t="shared" si="5"/>
        <v>5.5384615384615383</v>
      </c>
      <c r="F21">
        <f t="shared" si="5"/>
        <v>6.4615384615384617</v>
      </c>
      <c r="G21">
        <f t="shared" ca="1" si="0"/>
        <v>5</v>
      </c>
      <c r="H21">
        <f t="shared" ca="1" si="0"/>
        <v>2</v>
      </c>
      <c r="I21">
        <f t="shared" ca="1" si="1"/>
        <v>3</v>
      </c>
      <c r="J21">
        <f t="shared" ca="1" si="1"/>
        <v>0</v>
      </c>
      <c r="K21">
        <f t="shared" ca="1" si="1"/>
        <v>5</v>
      </c>
      <c r="L21">
        <f t="shared" ca="1" si="1"/>
        <v>4</v>
      </c>
      <c r="M21">
        <f t="shared" ca="1" si="1"/>
        <v>3</v>
      </c>
      <c r="N21">
        <f t="shared" ca="1" si="1"/>
        <v>8</v>
      </c>
      <c r="O21">
        <f t="shared" ca="1" si="1"/>
        <v>3</v>
      </c>
      <c r="P21">
        <f t="shared" ca="1" si="1"/>
        <v>4</v>
      </c>
      <c r="Q21">
        <f t="shared" ca="1" si="1"/>
        <v>3</v>
      </c>
      <c r="R21">
        <f t="shared" ca="1" si="1"/>
        <v>3</v>
      </c>
      <c r="S21">
        <f t="shared" ca="1" si="1"/>
        <v>7</v>
      </c>
      <c r="T21">
        <f t="shared" ca="1" si="1"/>
        <v>3</v>
      </c>
      <c r="U21">
        <f t="shared" ca="1" si="1"/>
        <v>0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1</v>
      </c>
      <c r="Z21">
        <f t="shared" ca="1" si="1"/>
        <v>8</v>
      </c>
      <c r="AA21">
        <f t="shared" ca="1" si="1"/>
        <v>4</v>
      </c>
      <c r="AB21">
        <f t="shared" ca="1" si="1"/>
        <v>3</v>
      </c>
      <c r="AC21">
        <f t="shared" ca="1" si="1"/>
        <v>5</v>
      </c>
      <c r="AD21">
        <f t="shared" ca="1" si="1"/>
        <v>6</v>
      </c>
      <c r="AE21">
        <f t="shared" ca="1" si="1"/>
        <v>4</v>
      </c>
      <c r="AF21">
        <f t="shared" ca="1" si="1"/>
        <v>2</v>
      </c>
      <c r="AG21">
        <f t="shared" ca="1" si="1"/>
        <v>4</v>
      </c>
      <c r="AH21">
        <f t="shared" ca="1" si="1"/>
        <v>6</v>
      </c>
      <c r="AI21">
        <f t="shared" ca="1" si="1"/>
        <v>2</v>
      </c>
      <c r="AJ21">
        <f t="shared" ca="1" si="1"/>
        <v>2</v>
      </c>
      <c r="AK21">
        <f t="shared" ca="1" si="1"/>
        <v>4</v>
      </c>
      <c r="AL21">
        <f t="shared" ca="1" si="2"/>
        <v>6</v>
      </c>
      <c r="AM21">
        <f t="shared" ca="1" si="2"/>
        <v>4</v>
      </c>
      <c r="AN21">
        <f t="shared" ca="1" si="2"/>
        <v>5</v>
      </c>
      <c r="AO21">
        <f t="shared" ca="1" si="2"/>
        <v>2</v>
      </c>
      <c r="AP21">
        <f t="shared" ca="1" si="2"/>
        <v>5</v>
      </c>
      <c r="AQ21">
        <f t="shared" ca="1" si="2"/>
        <v>3</v>
      </c>
      <c r="AR21">
        <f t="shared" ca="1" si="2"/>
        <v>4</v>
      </c>
      <c r="AS21">
        <f t="shared" ca="1" si="2"/>
        <v>6</v>
      </c>
      <c r="AT21">
        <f t="shared" ca="1" si="2"/>
        <v>5</v>
      </c>
      <c r="AU21">
        <f t="shared" ca="1" si="2"/>
        <v>5</v>
      </c>
      <c r="AV21">
        <f t="shared" ca="1" si="2"/>
        <v>2</v>
      </c>
      <c r="AW21">
        <f t="shared" ca="1" si="2"/>
        <v>3</v>
      </c>
      <c r="AX21">
        <f t="shared" ca="1" si="2"/>
        <v>2</v>
      </c>
      <c r="AY21">
        <f t="shared" ca="1" si="2"/>
        <v>4</v>
      </c>
      <c r="AZ21">
        <f t="shared" ca="1" si="2"/>
        <v>5</v>
      </c>
      <c r="BA21">
        <f t="shared" ca="1" si="2"/>
        <v>4</v>
      </c>
      <c r="BB21">
        <f t="shared" ca="1" si="2"/>
        <v>5</v>
      </c>
      <c r="BC21">
        <f t="shared" ca="1" si="7"/>
        <v>5</v>
      </c>
      <c r="BD21">
        <f t="shared" ca="1" si="3"/>
        <v>5</v>
      </c>
      <c r="BE21">
        <f t="shared" ca="1" si="3"/>
        <v>1</v>
      </c>
      <c r="BF21">
        <f t="shared" ca="1" si="3"/>
        <v>5</v>
      </c>
      <c r="BG21">
        <f t="shared" ca="1" si="3"/>
        <v>5</v>
      </c>
      <c r="BH21">
        <f t="shared" ca="1" si="3"/>
        <v>3</v>
      </c>
      <c r="BI21">
        <f t="shared" ca="1" si="3"/>
        <v>5</v>
      </c>
      <c r="BJ21">
        <f t="shared" ca="1" si="3"/>
        <v>3</v>
      </c>
      <c r="BK21">
        <f t="shared" ca="1" si="3"/>
        <v>5</v>
      </c>
      <c r="BL21">
        <f t="shared" ca="1" si="3"/>
        <v>5</v>
      </c>
      <c r="BM21">
        <f t="shared" ca="1" si="3"/>
        <v>7</v>
      </c>
    </row>
    <row r="22" spans="1:65">
      <c r="A22" s="6" t="str">
        <f t="shared" si="4"/>
        <v>Wk04</v>
      </c>
      <c r="B22" s="6"/>
      <c r="C22" s="6"/>
      <c r="D22" s="6"/>
      <c r="E22">
        <f t="shared" si="5"/>
        <v>5.5384615384615383</v>
      </c>
      <c r="F22">
        <f t="shared" si="5"/>
        <v>6.4615384615384617</v>
      </c>
      <c r="G22">
        <f t="shared" ca="1" si="0"/>
        <v>5</v>
      </c>
      <c r="H22">
        <f t="shared" ca="1" si="0"/>
        <v>4</v>
      </c>
      <c r="I22">
        <f t="shared" ca="1" si="1"/>
        <v>7</v>
      </c>
      <c r="J22">
        <f t="shared" ca="1" si="1"/>
        <v>6</v>
      </c>
      <c r="K22">
        <f t="shared" ca="1" si="1"/>
        <v>6</v>
      </c>
      <c r="L22">
        <f t="shared" ca="1" si="1"/>
        <v>4</v>
      </c>
      <c r="M22">
        <f t="shared" ca="1" si="1"/>
        <v>5</v>
      </c>
      <c r="N22">
        <f t="shared" ca="1" si="1"/>
        <v>6</v>
      </c>
      <c r="O22">
        <f t="shared" ca="1" si="1"/>
        <v>7</v>
      </c>
      <c r="P22">
        <f t="shared" ca="1" si="1"/>
        <v>4</v>
      </c>
      <c r="Q22">
        <f t="shared" ca="1" si="1"/>
        <v>4</v>
      </c>
      <c r="R22">
        <f t="shared" ca="1" si="1"/>
        <v>5</v>
      </c>
      <c r="S22">
        <f t="shared" ca="1" si="1"/>
        <v>4</v>
      </c>
      <c r="T22">
        <f t="shared" ca="1" si="1"/>
        <v>6</v>
      </c>
      <c r="U22">
        <f t="shared" ca="1" si="1"/>
        <v>4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5</v>
      </c>
      <c r="Z22">
        <f t="shared" ca="1" si="1"/>
        <v>7</v>
      </c>
      <c r="AA22">
        <f t="shared" ca="1" si="1"/>
        <v>8</v>
      </c>
      <c r="AB22">
        <f t="shared" ca="1" si="1"/>
        <v>6</v>
      </c>
      <c r="AC22">
        <f t="shared" ca="1" si="1"/>
        <v>5</v>
      </c>
      <c r="AD22">
        <f t="shared" ca="1" si="1"/>
        <v>7</v>
      </c>
      <c r="AE22">
        <f t="shared" ca="1" si="1"/>
        <v>6</v>
      </c>
      <c r="AF22">
        <f t="shared" ca="1" si="1"/>
        <v>5</v>
      </c>
      <c r="AG22">
        <f t="shared" ca="1" si="1"/>
        <v>6</v>
      </c>
      <c r="AH22">
        <f t="shared" ca="1" si="1"/>
        <v>5</v>
      </c>
      <c r="AI22">
        <f t="shared" ca="1" si="1"/>
        <v>4</v>
      </c>
      <c r="AJ22">
        <f t="shared" ca="1" si="1"/>
        <v>5</v>
      </c>
      <c r="AK22">
        <f t="shared" ca="1" si="1"/>
        <v>9</v>
      </c>
      <c r="AL22">
        <f t="shared" ca="1" si="2"/>
        <v>5</v>
      </c>
      <c r="AM22">
        <f t="shared" ca="1" si="2"/>
        <v>6</v>
      </c>
      <c r="AN22">
        <f t="shared" ca="1" si="2"/>
        <v>7</v>
      </c>
      <c r="AO22">
        <f t="shared" ca="1" si="2"/>
        <v>4</v>
      </c>
      <c r="AP22">
        <f t="shared" ca="1" si="2"/>
        <v>2</v>
      </c>
      <c r="AQ22">
        <f t="shared" ca="1" si="2"/>
        <v>5</v>
      </c>
      <c r="AR22">
        <f t="shared" ca="1" si="2"/>
        <v>6</v>
      </c>
      <c r="AS22">
        <f t="shared" ca="1" si="2"/>
        <v>6</v>
      </c>
      <c r="AT22">
        <f t="shared" ca="1" si="2"/>
        <v>7</v>
      </c>
      <c r="AU22">
        <f t="shared" ca="1" si="2"/>
        <v>7</v>
      </c>
      <c r="AV22">
        <f t="shared" ca="1" si="2"/>
        <v>8</v>
      </c>
      <c r="AW22">
        <f t="shared" ca="1" si="2"/>
        <v>7</v>
      </c>
      <c r="AX22">
        <f t="shared" ca="1" si="2"/>
        <v>3</v>
      </c>
      <c r="AY22">
        <f t="shared" ca="1" si="2"/>
        <v>5</v>
      </c>
      <c r="AZ22">
        <f t="shared" ca="1" si="2"/>
        <v>3</v>
      </c>
      <c r="BA22">
        <f t="shared" ca="1" si="2"/>
        <v>8</v>
      </c>
      <c r="BB22">
        <f t="shared" ca="1" si="2"/>
        <v>6</v>
      </c>
      <c r="BC22">
        <f t="shared" ca="1" si="7"/>
        <v>4</v>
      </c>
      <c r="BD22">
        <f t="shared" ca="1" si="3"/>
        <v>5</v>
      </c>
      <c r="BE22">
        <f t="shared" ca="1" si="3"/>
        <v>5</v>
      </c>
      <c r="BF22">
        <f t="shared" ca="1" si="3"/>
        <v>7</v>
      </c>
      <c r="BG22">
        <f t="shared" ca="1" si="3"/>
        <v>4</v>
      </c>
      <c r="BH22">
        <f t="shared" ca="1" si="3"/>
        <v>8</v>
      </c>
      <c r="BI22">
        <f t="shared" ca="1" si="3"/>
        <v>6</v>
      </c>
      <c r="BJ22">
        <f t="shared" ca="1" si="3"/>
        <v>5</v>
      </c>
      <c r="BK22">
        <f t="shared" ca="1" si="3"/>
        <v>2</v>
      </c>
      <c r="BL22">
        <f t="shared" ca="1" si="3"/>
        <v>4</v>
      </c>
      <c r="BM22">
        <f t="shared" ca="1" si="3"/>
        <v>9</v>
      </c>
    </row>
    <row r="23" spans="1:65">
      <c r="A23" s="6" t="str">
        <f t="shared" si="4"/>
        <v>Wk05</v>
      </c>
      <c r="B23" s="6"/>
      <c r="C23" s="6"/>
      <c r="D23" s="6"/>
      <c r="E23">
        <f t="shared" si="5"/>
        <v>5.5384615384615383</v>
      </c>
      <c r="F23">
        <f t="shared" si="5"/>
        <v>6.4615384615384617</v>
      </c>
      <c r="G23">
        <f t="shared" ca="1" si="0"/>
        <v>2</v>
      </c>
      <c r="H23">
        <f t="shared" ca="1" si="0"/>
        <v>5</v>
      </c>
      <c r="I23">
        <f t="shared" ca="1" si="1"/>
        <v>5</v>
      </c>
      <c r="J23">
        <f t="shared" ca="1" si="1"/>
        <v>5</v>
      </c>
      <c r="K23">
        <f t="shared" ca="1" si="1"/>
        <v>3</v>
      </c>
      <c r="L23">
        <f t="shared" ca="1" si="1"/>
        <v>3</v>
      </c>
      <c r="M23">
        <f t="shared" ca="1" si="1"/>
        <v>6</v>
      </c>
      <c r="N23">
        <f t="shared" ca="1" si="1"/>
        <v>5</v>
      </c>
      <c r="O23">
        <f t="shared" ca="1" si="1"/>
        <v>5</v>
      </c>
      <c r="P23">
        <f t="shared" ca="1" si="1"/>
        <v>3</v>
      </c>
      <c r="Q23">
        <f t="shared" ca="1" si="1"/>
        <v>7</v>
      </c>
      <c r="R23">
        <f t="shared" ca="1" si="1"/>
        <v>5</v>
      </c>
      <c r="S23">
        <f t="shared" ca="1" si="1"/>
        <v>7</v>
      </c>
      <c r="T23">
        <f t="shared" ca="1" si="1"/>
        <v>4</v>
      </c>
      <c r="U23">
        <f t="shared" ca="1" si="1"/>
        <v>6</v>
      </c>
      <c r="V23">
        <f t="shared" ca="1" si="1"/>
        <v>6</v>
      </c>
      <c r="W23">
        <f t="shared" ca="1" si="1"/>
        <v>4</v>
      </c>
      <c r="X23">
        <f t="shared" ca="1" si="1"/>
        <v>5</v>
      </c>
      <c r="Y23">
        <f t="shared" ca="1" si="1"/>
        <v>5</v>
      </c>
      <c r="Z23">
        <f t="shared" ca="1" si="1"/>
        <v>7</v>
      </c>
      <c r="AA23">
        <f t="shared" ca="1" si="1"/>
        <v>3</v>
      </c>
      <c r="AB23">
        <f t="shared" ca="1" si="1"/>
        <v>4</v>
      </c>
      <c r="AC23">
        <f t="shared" ca="1" si="1"/>
        <v>4</v>
      </c>
      <c r="AD23">
        <f t="shared" ca="1" si="1"/>
        <v>6</v>
      </c>
      <c r="AE23">
        <f t="shared" ca="1" si="1"/>
        <v>7</v>
      </c>
      <c r="AF23">
        <f t="shared" ca="1" si="1"/>
        <v>5</v>
      </c>
      <c r="AG23">
        <f t="shared" ca="1" si="1"/>
        <v>5</v>
      </c>
      <c r="AH23">
        <f t="shared" ca="1" si="1"/>
        <v>5</v>
      </c>
      <c r="AI23">
        <f t="shared" ca="1" si="1"/>
        <v>5</v>
      </c>
      <c r="AJ23">
        <f t="shared" ca="1" si="1"/>
        <v>5</v>
      </c>
      <c r="AK23">
        <f t="shared" ca="1" si="1"/>
        <v>5</v>
      </c>
      <c r="AL23">
        <f t="shared" ca="1" si="2"/>
        <v>6</v>
      </c>
      <c r="AM23">
        <f t="shared" ca="1" si="2"/>
        <v>4</v>
      </c>
      <c r="AN23">
        <f t="shared" ca="1" si="2"/>
        <v>6</v>
      </c>
      <c r="AO23">
        <f t="shared" ca="1" si="2"/>
        <v>7</v>
      </c>
      <c r="AP23">
        <f t="shared" ca="1" si="2"/>
        <v>5</v>
      </c>
      <c r="AQ23">
        <f t="shared" ca="1" si="2"/>
        <v>3</v>
      </c>
      <c r="AR23">
        <f t="shared" ca="1" si="2"/>
        <v>6</v>
      </c>
      <c r="AS23">
        <f t="shared" ca="1" si="2"/>
        <v>9</v>
      </c>
      <c r="AT23">
        <f t="shared" ca="1" si="2"/>
        <v>6</v>
      </c>
      <c r="AU23">
        <f t="shared" ca="1" si="2"/>
        <v>6</v>
      </c>
      <c r="AV23">
        <f t="shared" ca="1" si="2"/>
        <v>5</v>
      </c>
      <c r="AW23">
        <f t="shared" ca="1" si="2"/>
        <v>4</v>
      </c>
      <c r="AX23">
        <f t="shared" ca="1" si="2"/>
        <v>4</v>
      </c>
      <c r="AY23">
        <f t="shared" ca="1" si="2"/>
        <v>4</v>
      </c>
      <c r="AZ23">
        <f t="shared" ca="1" si="2"/>
        <v>4</v>
      </c>
      <c r="BA23">
        <f t="shared" ca="1" si="2"/>
        <v>5</v>
      </c>
      <c r="BB23">
        <f t="shared" ca="1" si="2"/>
        <v>5</v>
      </c>
      <c r="BC23">
        <f t="shared" ca="1" si="7"/>
        <v>4</v>
      </c>
      <c r="BD23">
        <f t="shared" ca="1" si="3"/>
        <v>5</v>
      </c>
      <c r="BE23">
        <f t="shared" ca="1" si="3"/>
        <v>3</v>
      </c>
      <c r="BF23">
        <f t="shared" ca="1" si="3"/>
        <v>4</v>
      </c>
      <c r="BG23">
        <f t="shared" ca="1" si="3"/>
        <v>6</v>
      </c>
      <c r="BH23">
        <f t="shared" ca="1" si="3"/>
        <v>5</v>
      </c>
      <c r="BI23">
        <f t="shared" ca="1" si="3"/>
        <v>6</v>
      </c>
      <c r="BJ23">
        <f t="shared" ca="1" si="3"/>
        <v>5</v>
      </c>
      <c r="BK23">
        <f t="shared" ca="1" si="3"/>
        <v>4</v>
      </c>
      <c r="BL23">
        <f t="shared" ca="1" si="3"/>
        <v>6</v>
      </c>
      <c r="BM23">
        <f t="shared" ca="1" si="3"/>
        <v>5</v>
      </c>
    </row>
    <row r="24" spans="1:65">
      <c r="A24" s="6" t="str">
        <f t="shared" si="4"/>
        <v>Wk06</v>
      </c>
      <c r="B24" s="6"/>
      <c r="C24" s="6"/>
      <c r="D24" s="6"/>
      <c r="E24">
        <f t="shared" si="5"/>
        <v>5.5384615384615383</v>
      </c>
      <c r="F24">
        <f t="shared" si="5"/>
        <v>6.4615384615384617</v>
      </c>
      <c r="G24">
        <f t="shared" ca="1" si="0"/>
        <v>8</v>
      </c>
      <c r="H24">
        <f t="shared" ca="1" si="0"/>
        <v>2</v>
      </c>
      <c r="I24">
        <f t="shared" ca="1" si="1"/>
        <v>2</v>
      </c>
      <c r="J24">
        <f t="shared" ca="1" si="1"/>
        <v>4</v>
      </c>
      <c r="K24">
        <f t="shared" ca="1" si="1"/>
        <v>5</v>
      </c>
      <c r="L24">
        <f t="shared" ca="1" si="1"/>
        <v>4</v>
      </c>
      <c r="M24">
        <f t="shared" ca="1" si="1"/>
        <v>4</v>
      </c>
      <c r="N24">
        <f t="shared" ca="1" si="1"/>
        <v>0</v>
      </c>
      <c r="O24">
        <f t="shared" ca="1" si="1"/>
        <v>5</v>
      </c>
      <c r="P24">
        <f t="shared" ca="1" si="1"/>
        <v>6</v>
      </c>
      <c r="Q24">
        <f t="shared" ca="1" si="1"/>
        <v>4</v>
      </c>
      <c r="R24">
        <f t="shared" ca="1" si="1"/>
        <v>5</v>
      </c>
      <c r="S24">
        <f t="shared" ca="1" si="1"/>
        <v>6</v>
      </c>
      <c r="T24">
        <f t="shared" ca="1" si="1"/>
        <v>4</v>
      </c>
      <c r="U24">
        <f t="shared" ca="1" si="1"/>
        <v>5</v>
      </c>
      <c r="V24">
        <f t="shared" ca="1" si="1"/>
        <v>3</v>
      </c>
      <c r="W24">
        <f t="shared" ca="1" si="1"/>
        <v>4</v>
      </c>
      <c r="X24">
        <f t="shared" ca="1" si="1"/>
        <v>3</v>
      </c>
      <c r="Y24">
        <f t="shared" ca="1" si="1"/>
        <v>3</v>
      </c>
      <c r="Z24">
        <f t="shared" ca="1" si="1"/>
        <v>3</v>
      </c>
      <c r="AA24">
        <f t="shared" ca="1" si="1"/>
        <v>6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4</v>
      </c>
      <c r="AF24">
        <f t="shared" ca="1" si="1"/>
        <v>4</v>
      </c>
      <c r="AG24">
        <f t="shared" ca="1" si="1"/>
        <v>2</v>
      </c>
      <c r="AH24">
        <f t="shared" ca="1" si="1"/>
        <v>4</v>
      </c>
      <c r="AI24">
        <f t="shared" ca="1" si="1"/>
        <v>5</v>
      </c>
      <c r="AJ24">
        <f t="shared" ca="1" si="1"/>
        <v>2</v>
      </c>
      <c r="AK24">
        <f t="shared" ca="1" si="1"/>
        <v>3</v>
      </c>
      <c r="AL24">
        <f t="shared" ca="1" si="2"/>
        <v>6</v>
      </c>
      <c r="AM24">
        <f t="shared" ca="1" si="2"/>
        <v>5</v>
      </c>
      <c r="AN24">
        <f t="shared" ca="1" si="2"/>
        <v>5</v>
      </c>
      <c r="AO24">
        <f t="shared" ca="1" si="2"/>
        <v>4</v>
      </c>
      <c r="AP24">
        <f t="shared" ca="1" si="2"/>
        <v>4</v>
      </c>
      <c r="AQ24">
        <f t="shared" ca="1" si="2"/>
        <v>4</v>
      </c>
      <c r="AR24">
        <f t="shared" ca="1" si="2"/>
        <v>6</v>
      </c>
      <c r="AS24">
        <f t="shared" ca="1" si="2"/>
        <v>4</v>
      </c>
      <c r="AT24">
        <f t="shared" ca="1" si="2"/>
        <v>4</v>
      </c>
      <c r="AU24">
        <f t="shared" ca="1" si="2"/>
        <v>5</v>
      </c>
      <c r="AV24">
        <f t="shared" ca="1" si="2"/>
        <v>2</v>
      </c>
      <c r="AW24">
        <f t="shared" ca="1" si="2"/>
        <v>3</v>
      </c>
      <c r="AX24">
        <f t="shared" ca="1" si="2"/>
        <v>5</v>
      </c>
      <c r="AY24">
        <f t="shared" ca="1" si="2"/>
        <v>7</v>
      </c>
      <c r="AZ24">
        <f t="shared" ca="1" si="2"/>
        <v>6</v>
      </c>
      <c r="BA24">
        <f t="shared" ca="1" si="2"/>
        <v>2</v>
      </c>
      <c r="BB24">
        <f t="shared" ca="1" si="2"/>
        <v>3</v>
      </c>
      <c r="BC24">
        <f t="shared" ca="1" si="7"/>
        <v>6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9</v>
      </c>
      <c r="BH24">
        <f t="shared" ca="1" si="3"/>
        <v>3</v>
      </c>
      <c r="BI24">
        <f t="shared" ca="1" si="3"/>
        <v>3</v>
      </c>
      <c r="BJ24">
        <f t="shared" ca="1" si="3"/>
        <v>4</v>
      </c>
      <c r="BK24">
        <f t="shared" ca="1" si="3"/>
        <v>3</v>
      </c>
      <c r="BL24">
        <f t="shared" ca="1" si="3"/>
        <v>2</v>
      </c>
      <c r="BM24">
        <f t="shared" ca="1" si="3"/>
        <v>4</v>
      </c>
    </row>
    <row r="25" spans="1:65">
      <c r="A25" s="6" t="str">
        <f t="shared" si="4"/>
        <v>Wk07</v>
      </c>
      <c r="B25" s="6"/>
      <c r="C25" s="6"/>
      <c r="D25" s="6"/>
      <c r="E25">
        <f t="shared" si="5"/>
        <v>5.5384615384615383</v>
      </c>
      <c r="F25">
        <f t="shared" si="5"/>
        <v>6.4615384615384617</v>
      </c>
      <c r="G25">
        <f t="shared" ca="1" si="0"/>
        <v>3</v>
      </c>
      <c r="H25">
        <f t="shared" ca="1" si="0"/>
        <v>2</v>
      </c>
      <c r="I25">
        <f t="shared" ca="1" si="1"/>
        <v>5</v>
      </c>
      <c r="J25">
        <f t="shared" ca="1" si="1"/>
        <v>7</v>
      </c>
      <c r="K25">
        <f t="shared" ca="1" si="1"/>
        <v>4</v>
      </c>
      <c r="L25">
        <f t="shared" ca="1" si="1"/>
        <v>4</v>
      </c>
      <c r="M25">
        <f t="shared" ca="1" si="1"/>
        <v>4</v>
      </c>
      <c r="N25">
        <f t="shared" ca="1" si="1"/>
        <v>5</v>
      </c>
      <c r="O25">
        <f t="shared" ca="1" si="1"/>
        <v>6</v>
      </c>
      <c r="P25">
        <f t="shared" ca="1" si="1"/>
        <v>9</v>
      </c>
      <c r="Q25">
        <f t="shared" ca="1" si="1"/>
        <v>7</v>
      </c>
      <c r="R25">
        <f t="shared" ca="1" si="1"/>
        <v>7</v>
      </c>
      <c r="S25">
        <f t="shared" ca="1" si="1"/>
        <v>5</v>
      </c>
      <c r="T25">
        <f t="shared" ca="1" si="1"/>
        <v>6</v>
      </c>
      <c r="U25">
        <f t="shared" ca="1" si="1"/>
        <v>4</v>
      </c>
      <c r="V25">
        <f t="shared" ca="1" si="1"/>
        <v>6</v>
      </c>
      <c r="W25">
        <f t="shared" ca="1" si="1"/>
        <v>5</v>
      </c>
      <c r="X25">
        <f t="shared" ca="1" si="1"/>
        <v>3</v>
      </c>
      <c r="Y25">
        <f t="shared" ca="1" si="1"/>
        <v>4</v>
      </c>
      <c r="Z25">
        <f t="shared" ca="1" si="1"/>
        <v>5</v>
      </c>
      <c r="AA25">
        <f t="shared" ca="1" si="1"/>
        <v>4</v>
      </c>
      <c r="AB25">
        <f t="shared" ca="1" si="1"/>
        <v>7</v>
      </c>
      <c r="AC25">
        <f t="shared" ca="1" si="1"/>
        <v>6</v>
      </c>
      <c r="AD25">
        <f t="shared" ca="1" si="1"/>
        <v>3</v>
      </c>
      <c r="AE25">
        <f t="shared" ca="1" si="1"/>
        <v>2</v>
      </c>
      <c r="AF25">
        <f t="shared" ca="1" si="1"/>
        <v>3</v>
      </c>
      <c r="AG25">
        <f t="shared" ca="1" si="1"/>
        <v>3</v>
      </c>
      <c r="AH25">
        <f t="shared" ca="1" si="1"/>
        <v>4</v>
      </c>
      <c r="AI25">
        <f t="shared" ca="1" si="1"/>
        <v>3</v>
      </c>
      <c r="AJ25">
        <f t="shared" ca="1" si="1"/>
        <v>5</v>
      </c>
      <c r="AK25">
        <f t="shared" ca="1" si="1"/>
        <v>2</v>
      </c>
      <c r="AL25">
        <f t="shared" ca="1" si="2"/>
        <v>5</v>
      </c>
      <c r="AM25">
        <f t="shared" ca="1" si="2"/>
        <v>4</v>
      </c>
      <c r="AN25">
        <f t="shared" ca="1" si="2"/>
        <v>6</v>
      </c>
      <c r="AO25">
        <f t="shared" ca="1" si="2"/>
        <v>5</v>
      </c>
      <c r="AP25">
        <f t="shared" ca="1" si="2"/>
        <v>2</v>
      </c>
      <c r="AQ25">
        <f t="shared" ca="1" si="2"/>
        <v>5</v>
      </c>
      <c r="AR25">
        <f t="shared" ca="1" si="2"/>
        <v>4</v>
      </c>
      <c r="AS25">
        <f t="shared" ca="1" si="2"/>
        <v>7</v>
      </c>
      <c r="AT25">
        <f t="shared" ca="1" si="2"/>
        <v>5</v>
      </c>
      <c r="AU25">
        <f t="shared" ca="1" si="2"/>
        <v>4</v>
      </c>
      <c r="AV25">
        <f t="shared" ca="1" si="2"/>
        <v>5</v>
      </c>
      <c r="AW25">
        <f t="shared" ca="1" si="2"/>
        <v>4</v>
      </c>
      <c r="AX25">
        <f t="shared" ca="1" si="2"/>
        <v>4</v>
      </c>
      <c r="AY25">
        <f t="shared" ca="1" si="2"/>
        <v>4</v>
      </c>
      <c r="AZ25">
        <f t="shared" ca="1" si="2"/>
        <v>4</v>
      </c>
      <c r="BA25">
        <f t="shared" ca="1" si="2"/>
        <v>3</v>
      </c>
      <c r="BB25">
        <f t="shared" ca="1" si="2"/>
        <v>2</v>
      </c>
      <c r="BC25">
        <f t="shared" ca="1" si="7"/>
        <v>4</v>
      </c>
      <c r="BD25">
        <f t="shared" ca="1" si="3"/>
        <v>2</v>
      </c>
      <c r="BE25">
        <f t="shared" ca="1" si="3"/>
        <v>4</v>
      </c>
      <c r="BF25">
        <f t="shared" ca="1" si="3"/>
        <v>3</v>
      </c>
      <c r="BG25">
        <f t="shared" ca="1" si="3"/>
        <v>5</v>
      </c>
      <c r="BH25">
        <f t="shared" ca="1" si="3"/>
        <v>5</v>
      </c>
      <c r="BI25">
        <f t="shared" ca="1" si="3"/>
        <v>2</v>
      </c>
      <c r="BJ25">
        <f t="shared" ca="1" si="3"/>
        <v>6</v>
      </c>
      <c r="BK25">
        <f t="shared" ca="1" si="3"/>
        <v>4</v>
      </c>
      <c r="BL25">
        <f t="shared" ca="1" si="3"/>
        <v>6</v>
      </c>
      <c r="BM25">
        <f t="shared" ca="1" si="3"/>
        <v>8</v>
      </c>
    </row>
    <row r="26" spans="1:65">
      <c r="A26" s="6" t="str">
        <f t="shared" si="4"/>
        <v>Wk08</v>
      </c>
      <c r="B26" s="6"/>
      <c r="C26" s="6"/>
      <c r="D26" s="6"/>
      <c r="E26">
        <f t="shared" si="5"/>
        <v>5.5384615384615383</v>
      </c>
      <c r="F26">
        <f t="shared" si="5"/>
        <v>6.4615384615384617</v>
      </c>
      <c r="G26">
        <f t="shared" ca="1" si="0"/>
        <v>7</v>
      </c>
      <c r="H26">
        <f t="shared" ca="1" si="0"/>
        <v>4</v>
      </c>
      <c r="I26">
        <f t="shared" ca="1" si="1"/>
        <v>4</v>
      </c>
      <c r="J26">
        <f t="shared" ca="1" si="1"/>
        <v>5</v>
      </c>
      <c r="K26">
        <f t="shared" ca="1" si="1"/>
        <v>5</v>
      </c>
      <c r="L26">
        <f t="shared" ca="1" si="1"/>
        <v>4</v>
      </c>
      <c r="M26">
        <f t="shared" ca="1" si="1"/>
        <v>4</v>
      </c>
      <c r="N26">
        <f t="shared" ca="1" si="1"/>
        <v>5</v>
      </c>
      <c r="O26">
        <f t="shared" ca="1" si="1"/>
        <v>4</v>
      </c>
      <c r="P26">
        <f t="shared" ca="1" si="1"/>
        <v>6</v>
      </c>
      <c r="Q26">
        <f t="shared" ca="1" si="1"/>
        <v>3</v>
      </c>
      <c r="R26">
        <f t="shared" ca="1" si="1"/>
        <v>6</v>
      </c>
      <c r="S26">
        <f t="shared" ca="1" si="1"/>
        <v>4</v>
      </c>
      <c r="T26">
        <f t="shared" ca="1" si="1"/>
        <v>6</v>
      </c>
      <c r="U26">
        <f t="shared" ca="1" si="1"/>
        <v>6</v>
      </c>
      <c r="V26">
        <f t="shared" ca="1" si="1"/>
        <v>5</v>
      </c>
      <c r="W26">
        <f t="shared" ca="1" si="1"/>
        <v>4</v>
      </c>
      <c r="X26">
        <f t="shared" ca="1" si="1"/>
        <v>6</v>
      </c>
      <c r="Y26">
        <f t="shared" ca="1" si="1"/>
        <v>3</v>
      </c>
      <c r="Z26">
        <f t="shared" ca="1" si="1"/>
        <v>6</v>
      </c>
      <c r="AA26">
        <f t="shared" ca="1" si="1"/>
        <v>4</v>
      </c>
      <c r="AB26">
        <f t="shared" ca="1" si="1"/>
        <v>6</v>
      </c>
      <c r="AC26">
        <f t="shared" ca="1" si="1"/>
        <v>5</v>
      </c>
      <c r="AD26">
        <f t="shared" ca="1" si="1"/>
        <v>8</v>
      </c>
      <c r="AE26">
        <f t="shared" ca="1" si="1"/>
        <v>3</v>
      </c>
      <c r="AF26">
        <f t="shared" ca="1" si="1"/>
        <v>2</v>
      </c>
      <c r="AG26">
        <f t="shared" ca="1" si="1"/>
        <v>8</v>
      </c>
      <c r="AH26">
        <f t="shared" ca="1" si="1"/>
        <v>6</v>
      </c>
      <c r="AI26">
        <f t="shared" ca="1" si="1"/>
        <v>3</v>
      </c>
      <c r="AJ26">
        <f t="shared" ca="1" si="1"/>
        <v>7</v>
      </c>
      <c r="AK26">
        <f t="shared" ca="1" si="1"/>
        <v>2</v>
      </c>
      <c r="AL26">
        <f t="shared" ca="1" si="2"/>
        <v>7</v>
      </c>
      <c r="AM26">
        <f t="shared" ca="1" si="2"/>
        <v>5</v>
      </c>
      <c r="AN26">
        <f t="shared" ca="1" si="2"/>
        <v>4</v>
      </c>
      <c r="AO26">
        <f t="shared" ca="1" si="2"/>
        <v>4</v>
      </c>
      <c r="AP26">
        <f t="shared" ca="1" si="2"/>
        <v>4</v>
      </c>
      <c r="AQ26">
        <f t="shared" ca="1" si="2"/>
        <v>2</v>
      </c>
      <c r="AR26">
        <f t="shared" ca="1" si="2"/>
        <v>3</v>
      </c>
      <c r="AS26">
        <f t="shared" ca="1" si="2"/>
        <v>3</v>
      </c>
      <c r="AT26">
        <f t="shared" ca="1" si="2"/>
        <v>5</v>
      </c>
      <c r="AU26">
        <f t="shared" ca="1" si="2"/>
        <v>5</v>
      </c>
      <c r="AV26">
        <f t="shared" ca="1" si="2"/>
        <v>5</v>
      </c>
      <c r="AW26">
        <f t="shared" ca="1" si="2"/>
        <v>3</v>
      </c>
      <c r="AX26">
        <f t="shared" ca="1" si="2"/>
        <v>3</v>
      </c>
      <c r="AY26">
        <f t="shared" ca="1" si="2"/>
        <v>6</v>
      </c>
      <c r="AZ26">
        <f t="shared" ca="1" si="2"/>
        <v>5</v>
      </c>
      <c r="BA26">
        <f t="shared" ca="1" si="2"/>
        <v>5</v>
      </c>
      <c r="BB26">
        <f t="shared" ca="1" si="2"/>
        <v>3</v>
      </c>
      <c r="BC26">
        <f t="shared" ca="1" si="7"/>
        <v>6</v>
      </c>
      <c r="BD26">
        <f t="shared" ca="1" si="3"/>
        <v>4</v>
      </c>
      <c r="BE26">
        <f t="shared" ca="1" si="3"/>
        <v>4</v>
      </c>
      <c r="BF26">
        <f t="shared" ca="1" si="3"/>
        <v>6</v>
      </c>
      <c r="BG26">
        <f t="shared" ca="1" si="3"/>
        <v>8</v>
      </c>
      <c r="BH26">
        <f t="shared" ca="1" si="3"/>
        <v>5</v>
      </c>
      <c r="BI26">
        <f t="shared" ca="1" si="3"/>
        <v>5</v>
      </c>
      <c r="BJ26">
        <f t="shared" ca="1" si="3"/>
        <v>4</v>
      </c>
      <c r="BK26">
        <f t="shared" ca="1" si="3"/>
        <v>5</v>
      </c>
      <c r="BL26">
        <f t="shared" ca="1" si="3"/>
        <v>5</v>
      </c>
      <c r="BM26">
        <f t="shared" ca="1" si="3"/>
        <v>5</v>
      </c>
    </row>
    <row r="27" spans="1:65">
      <c r="A27" s="6" t="str">
        <f t="shared" si="4"/>
        <v>Wk09</v>
      </c>
      <c r="B27" s="6"/>
      <c r="C27" s="6"/>
      <c r="D27" s="6"/>
      <c r="E27">
        <f t="shared" si="5"/>
        <v>5.5384615384615383</v>
      </c>
      <c r="F27">
        <f t="shared" si="5"/>
        <v>6.4615384615384617</v>
      </c>
      <c r="G27">
        <f t="shared" ca="1" si="0"/>
        <v>3</v>
      </c>
      <c r="H27">
        <f t="shared" ca="1" si="0"/>
        <v>1</v>
      </c>
      <c r="I27">
        <f t="shared" ca="1" si="1"/>
        <v>4</v>
      </c>
      <c r="J27">
        <f t="shared" ca="1" si="1"/>
        <v>4</v>
      </c>
      <c r="K27">
        <f t="shared" ca="1" si="1"/>
        <v>5</v>
      </c>
      <c r="L27">
        <f t="shared" ca="1" si="1"/>
        <v>5</v>
      </c>
      <c r="M27">
        <f t="shared" ca="1" si="1"/>
        <v>5</v>
      </c>
      <c r="N27">
        <f t="shared" ca="1" si="1"/>
        <v>2</v>
      </c>
      <c r="O27">
        <f t="shared" ca="1" si="1"/>
        <v>4</v>
      </c>
      <c r="P27">
        <f t="shared" ca="1" si="1"/>
        <v>6</v>
      </c>
      <c r="Q27">
        <f t="shared" ca="1" si="1"/>
        <v>3</v>
      </c>
      <c r="R27">
        <f t="shared" ca="1" si="1"/>
        <v>6</v>
      </c>
      <c r="S27">
        <f t="shared" ca="1" si="1"/>
        <v>4</v>
      </c>
      <c r="T27">
        <f t="shared" ca="1" si="1"/>
        <v>3</v>
      </c>
      <c r="U27">
        <f t="shared" ca="1" si="1"/>
        <v>5</v>
      </c>
      <c r="V27">
        <f t="shared" ca="1" si="1"/>
        <v>5</v>
      </c>
      <c r="W27">
        <f t="shared" ca="1" si="1"/>
        <v>3</v>
      </c>
      <c r="X27">
        <f t="shared" ca="1" si="1"/>
        <v>5</v>
      </c>
      <c r="Y27">
        <f t="shared" ca="1" si="1"/>
        <v>2</v>
      </c>
      <c r="Z27">
        <f t="shared" ca="1" si="1"/>
        <v>5</v>
      </c>
      <c r="AA27">
        <f t="shared" ca="1" si="1"/>
        <v>4</v>
      </c>
      <c r="AB27">
        <f t="shared" ca="1" si="1"/>
        <v>4</v>
      </c>
      <c r="AC27">
        <f t="shared" ca="1" si="1"/>
        <v>4</v>
      </c>
      <c r="AD27">
        <f t="shared" ca="1" si="1"/>
        <v>3</v>
      </c>
      <c r="AE27">
        <f t="shared" ca="1" si="1"/>
        <v>5</v>
      </c>
      <c r="AF27">
        <f t="shared" ca="1" si="1"/>
        <v>4</v>
      </c>
      <c r="AG27">
        <f t="shared" ca="1" si="1"/>
        <v>4</v>
      </c>
      <c r="AH27">
        <f t="shared" ca="1" si="1"/>
        <v>6</v>
      </c>
      <c r="AI27">
        <f t="shared" ca="1" si="1"/>
        <v>5</v>
      </c>
      <c r="AJ27">
        <f t="shared" ca="1" si="1"/>
        <v>6</v>
      </c>
      <c r="AK27">
        <f t="shared" ca="1" si="1"/>
        <v>7</v>
      </c>
      <c r="AL27">
        <f t="shared" ca="1" si="2"/>
        <v>6</v>
      </c>
      <c r="AM27">
        <f t="shared" ca="1" si="2"/>
        <v>3</v>
      </c>
      <c r="AN27">
        <f t="shared" ca="1" si="2"/>
        <v>4</v>
      </c>
      <c r="AO27">
        <f t="shared" ca="1" si="2"/>
        <v>6</v>
      </c>
      <c r="AP27">
        <f t="shared" ca="1" si="2"/>
        <v>4</v>
      </c>
      <c r="AQ27">
        <f t="shared" ca="1" si="2"/>
        <v>1</v>
      </c>
      <c r="AR27">
        <f t="shared" ca="1" si="2"/>
        <v>4</v>
      </c>
      <c r="AS27">
        <f t="shared" ca="1" si="2"/>
        <v>5</v>
      </c>
      <c r="AT27">
        <f t="shared" ca="1" si="2"/>
        <v>3</v>
      </c>
      <c r="AU27">
        <f t="shared" ca="1" si="2"/>
        <v>4</v>
      </c>
      <c r="AV27">
        <f t="shared" ca="1" si="2"/>
        <v>6</v>
      </c>
      <c r="AW27">
        <f t="shared" ca="1" si="2"/>
        <v>4</v>
      </c>
      <c r="AX27">
        <f t="shared" ca="1" si="2"/>
        <v>6</v>
      </c>
      <c r="AY27">
        <f t="shared" ca="1" si="2"/>
        <v>5</v>
      </c>
      <c r="AZ27">
        <f t="shared" ca="1" si="2"/>
        <v>1</v>
      </c>
      <c r="BA27">
        <f t="shared" ca="1" si="2"/>
        <v>6</v>
      </c>
      <c r="BB27">
        <f t="shared" ca="1" si="2"/>
        <v>4</v>
      </c>
      <c r="BC27">
        <f t="shared" ca="1" si="7"/>
        <v>1</v>
      </c>
      <c r="BD27">
        <f t="shared" ca="1" si="3"/>
        <v>6</v>
      </c>
      <c r="BE27">
        <f t="shared" ca="1" si="3"/>
        <v>6</v>
      </c>
      <c r="BF27">
        <f t="shared" ca="1" si="3"/>
        <v>4</v>
      </c>
      <c r="BG27">
        <f t="shared" ca="1" si="3"/>
        <v>8</v>
      </c>
      <c r="BH27">
        <f t="shared" ca="1" si="3"/>
        <v>5</v>
      </c>
      <c r="BI27">
        <f t="shared" ca="1" si="3"/>
        <v>5</v>
      </c>
      <c r="BJ27">
        <f t="shared" ca="1" si="3"/>
        <v>6</v>
      </c>
      <c r="BK27">
        <f t="shared" ca="1" si="3"/>
        <v>4</v>
      </c>
      <c r="BL27">
        <f t="shared" ca="1" si="3"/>
        <v>5</v>
      </c>
      <c r="BM27">
        <f t="shared" ca="1" si="3"/>
        <v>5</v>
      </c>
    </row>
    <row r="28" spans="1:65">
      <c r="A28" s="6" t="str">
        <f t="shared" si="4"/>
        <v>Wk10</v>
      </c>
      <c r="B28" s="6"/>
      <c r="C28" s="6"/>
      <c r="D28" s="6"/>
      <c r="E28">
        <f t="shared" si="5"/>
        <v>5.5384615384615383</v>
      </c>
      <c r="F28">
        <f t="shared" si="5"/>
        <v>6.4615384615384617</v>
      </c>
      <c r="G28">
        <f t="shared" ca="1" si="0"/>
        <v>4</v>
      </c>
      <c r="H28">
        <f t="shared" ca="1" si="0"/>
        <v>4</v>
      </c>
      <c r="I28">
        <f t="shared" ca="1" si="1"/>
        <v>6</v>
      </c>
      <c r="J28">
        <f t="shared" ca="1" si="1"/>
        <v>0</v>
      </c>
      <c r="K28">
        <f t="shared" ca="1" si="1"/>
        <v>4</v>
      </c>
      <c r="L28">
        <f t="shared" ca="1" si="1"/>
        <v>3</v>
      </c>
      <c r="M28">
        <f t="shared" ca="1" si="1"/>
        <v>4</v>
      </c>
      <c r="N28">
        <f t="shared" ca="1" si="1"/>
        <v>3</v>
      </c>
      <c r="O28">
        <f t="shared" ca="1" si="1"/>
        <v>5</v>
      </c>
      <c r="P28">
        <f t="shared" ca="1" si="1"/>
        <v>6</v>
      </c>
      <c r="Q28">
        <f t="shared" ca="1" si="1"/>
        <v>4</v>
      </c>
      <c r="R28">
        <f t="shared" ref="I28:AM31" ca="1" si="8">INDIRECT(ADDRESS(25,COLUMN(),1,,$A28))</f>
        <v>5</v>
      </c>
      <c r="S28">
        <f t="shared" ca="1" si="8"/>
        <v>3</v>
      </c>
      <c r="T28">
        <f t="shared" ca="1" si="8"/>
        <v>5</v>
      </c>
      <c r="U28">
        <f t="shared" ca="1" si="8"/>
        <v>4</v>
      </c>
      <c r="V28">
        <f t="shared" ca="1" si="8"/>
        <v>6</v>
      </c>
      <c r="W28">
        <f t="shared" ca="1" si="8"/>
        <v>5</v>
      </c>
      <c r="X28">
        <f t="shared" ca="1" si="8"/>
        <v>3</v>
      </c>
      <c r="Y28">
        <f t="shared" ca="1" si="8"/>
        <v>6</v>
      </c>
      <c r="Z28">
        <f t="shared" ca="1" si="8"/>
        <v>6</v>
      </c>
      <c r="AA28">
        <f t="shared" ca="1" si="8"/>
        <v>6</v>
      </c>
      <c r="AB28">
        <f t="shared" ca="1" si="8"/>
        <v>5</v>
      </c>
      <c r="AC28">
        <f t="shared" ca="1" si="8"/>
        <v>5</v>
      </c>
      <c r="AD28">
        <f t="shared" ca="1" si="8"/>
        <v>6</v>
      </c>
      <c r="AE28">
        <f t="shared" ca="1" si="8"/>
        <v>5</v>
      </c>
      <c r="AF28">
        <f t="shared" ca="1" si="8"/>
        <v>2</v>
      </c>
      <c r="AG28">
        <f t="shared" ca="1" si="8"/>
        <v>4</v>
      </c>
      <c r="AH28">
        <f t="shared" ca="1" si="8"/>
        <v>3</v>
      </c>
      <c r="AI28">
        <f t="shared" ca="1" si="8"/>
        <v>6</v>
      </c>
      <c r="AJ28">
        <f t="shared" ca="1" si="8"/>
        <v>8</v>
      </c>
      <c r="AK28">
        <f t="shared" ca="1" si="8"/>
        <v>6</v>
      </c>
      <c r="AL28">
        <f t="shared" ca="1" si="8"/>
        <v>4</v>
      </c>
      <c r="AM28">
        <f t="shared" ca="1" si="8"/>
        <v>4</v>
      </c>
      <c r="AN28">
        <f t="shared" ca="1" si="2"/>
        <v>4</v>
      </c>
      <c r="AO28">
        <f t="shared" ca="1" si="2"/>
        <v>5</v>
      </c>
      <c r="AP28">
        <f t="shared" ca="1" si="2"/>
        <v>2</v>
      </c>
      <c r="AQ28">
        <f t="shared" ca="1" si="2"/>
        <v>3</v>
      </c>
      <c r="AR28">
        <f t="shared" ca="1" si="2"/>
        <v>5</v>
      </c>
      <c r="AS28">
        <f t="shared" ca="1" si="2"/>
        <v>6</v>
      </c>
      <c r="AT28">
        <f t="shared" ca="1" si="2"/>
        <v>5</v>
      </c>
      <c r="AU28">
        <f t="shared" ca="1" si="2"/>
        <v>4</v>
      </c>
      <c r="AV28">
        <f t="shared" ca="1" si="2"/>
        <v>6</v>
      </c>
      <c r="AW28">
        <f t="shared" ca="1" si="2"/>
        <v>5</v>
      </c>
      <c r="AX28">
        <f t="shared" ca="1" si="2"/>
        <v>3</v>
      </c>
      <c r="AY28">
        <f t="shared" ca="1" si="2"/>
        <v>5</v>
      </c>
      <c r="AZ28">
        <f t="shared" ca="1" si="2"/>
        <v>5</v>
      </c>
      <c r="BA28">
        <f t="shared" ca="1" si="2"/>
        <v>5</v>
      </c>
      <c r="BB28">
        <f t="shared" ca="1" si="2"/>
        <v>5</v>
      </c>
      <c r="BC28">
        <f t="shared" ca="1" si="7"/>
        <v>3</v>
      </c>
      <c r="BD28">
        <f t="shared" ca="1" si="3"/>
        <v>5</v>
      </c>
      <c r="BE28">
        <f t="shared" ca="1" si="3"/>
        <v>6</v>
      </c>
      <c r="BF28">
        <f t="shared" ca="1" si="3"/>
        <v>3</v>
      </c>
      <c r="BG28">
        <f t="shared" ca="1" si="3"/>
        <v>5</v>
      </c>
      <c r="BH28">
        <f t="shared" ca="1" si="3"/>
        <v>6</v>
      </c>
      <c r="BI28">
        <f t="shared" ca="1" si="3"/>
        <v>5</v>
      </c>
      <c r="BJ28">
        <f t="shared" ca="1" si="3"/>
        <v>6</v>
      </c>
      <c r="BK28">
        <f t="shared" ca="1" si="3"/>
        <v>6</v>
      </c>
      <c r="BL28">
        <f t="shared" ca="1" si="3"/>
        <v>3</v>
      </c>
      <c r="BM28">
        <f t="shared" ca="1" si="3"/>
        <v>3</v>
      </c>
    </row>
    <row r="29" spans="1:65">
      <c r="A29" s="6" t="str">
        <f t="shared" si="4"/>
        <v>Wk11</v>
      </c>
      <c r="B29" s="6"/>
      <c r="C29" s="6"/>
      <c r="D29" s="6"/>
      <c r="E29">
        <f t="shared" si="5"/>
        <v>5.5384615384615383</v>
      </c>
      <c r="F29">
        <f t="shared" si="5"/>
        <v>6.4615384615384617</v>
      </c>
      <c r="G29">
        <f t="shared" ca="1" si="0"/>
        <v>3</v>
      </c>
      <c r="H29">
        <f t="shared" ca="1" si="0"/>
        <v>7</v>
      </c>
      <c r="I29">
        <f t="shared" ca="1" si="8"/>
        <v>7</v>
      </c>
      <c r="J29">
        <f t="shared" ca="1" si="8"/>
        <v>5</v>
      </c>
      <c r="K29">
        <f t="shared" ca="1" si="8"/>
        <v>6</v>
      </c>
      <c r="L29">
        <f t="shared" ca="1" si="8"/>
        <v>5</v>
      </c>
      <c r="M29">
        <f t="shared" ca="1" si="8"/>
        <v>7</v>
      </c>
      <c r="N29">
        <f t="shared" ca="1" si="8"/>
        <v>7</v>
      </c>
      <c r="O29">
        <f t="shared" ca="1" si="8"/>
        <v>8</v>
      </c>
      <c r="P29">
        <f t="shared" ca="1" si="8"/>
        <v>5</v>
      </c>
      <c r="Q29">
        <f t="shared" ca="1" si="8"/>
        <v>8</v>
      </c>
      <c r="R29">
        <f t="shared" ca="1" si="8"/>
        <v>10</v>
      </c>
      <c r="S29">
        <f t="shared" ca="1" si="8"/>
        <v>6</v>
      </c>
      <c r="T29">
        <f t="shared" ca="1" si="8"/>
        <v>7</v>
      </c>
      <c r="U29">
        <f t="shared" ca="1" si="8"/>
        <v>6</v>
      </c>
      <c r="V29">
        <f t="shared" ca="1" si="8"/>
        <v>5</v>
      </c>
      <c r="W29">
        <f t="shared" ca="1" si="8"/>
        <v>4</v>
      </c>
      <c r="X29">
        <f t="shared" ca="1" si="8"/>
        <v>5</v>
      </c>
      <c r="Y29">
        <f t="shared" ca="1" si="8"/>
        <v>8</v>
      </c>
      <c r="Z29">
        <f t="shared" ca="1" si="8"/>
        <v>6</v>
      </c>
      <c r="AA29">
        <f t="shared" ca="1" si="8"/>
        <v>5</v>
      </c>
      <c r="AB29">
        <f t="shared" ca="1" si="8"/>
        <v>6</v>
      </c>
      <c r="AC29">
        <f t="shared" ca="1" si="8"/>
        <v>8</v>
      </c>
      <c r="AD29">
        <f t="shared" ca="1" si="8"/>
        <v>4</v>
      </c>
      <c r="AE29">
        <f t="shared" ca="1" si="8"/>
        <v>8</v>
      </c>
      <c r="AF29">
        <f t="shared" ca="1" si="8"/>
        <v>5</v>
      </c>
      <c r="AG29">
        <f t="shared" ca="1" si="8"/>
        <v>4</v>
      </c>
      <c r="AH29">
        <f t="shared" ca="1" si="8"/>
        <v>6</v>
      </c>
      <c r="AI29">
        <f t="shared" ca="1" si="8"/>
        <v>6</v>
      </c>
      <c r="AJ29">
        <f t="shared" ca="1" si="8"/>
        <v>8</v>
      </c>
      <c r="AK29">
        <f t="shared" ca="1" si="8"/>
        <v>3</v>
      </c>
      <c r="AL29">
        <f t="shared" ca="1" si="8"/>
        <v>5</v>
      </c>
      <c r="AM29">
        <f t="shared" ca="1" si="2"/>
        <v>6</v>
      </c>
      <c r="AN29">
        <f t="shared" ca="1" si="2"/>
        <v>6</v>
      </c>
      <c r="AO29">
        <f t="shared" ca="1" si="2"/>
        <v>8</v>
      </c>
      <c r="AP29">
        <f t="shared" ca="1" si="2"/>
        <v>2</v>
      </c>
      <c r="AQ29">
        <f t="shared" ca="1" si="2"/>
        <v>4</v>
      </c>
      <c r="AR29">
        <f t="shared" ca="1" si="2"/>
        <v>6</v>
      </c>
      <c r="AS29">
        <f t="shared" ca="1" si="2"/>
        <v>6</v>
      </c>
      <c r="AT29">
        <f t="shared" ca="1" si="2"/>
        <v>7</v>
      </c>
      <c r="AU29">
        <f t="shared" ca="1" si="2"/>
        <v>8</v>
      </c>
      <c r="AV29">
        <f t="shared" ca="1" si="2"/>
        <v>4</v>
      </c>
      <c r="AW29">
        <f t="shared" ca="1" si="2"/>
        <v>7</v>
      </c>
      <c r="AX29">
        <f t="shared" ca="1" si="2"/>
        <v>6</v>
      </c>
      <c r="AY29">
        <f t="shared" ca="1" si="2"/>
        <v>6</v>
      </c>
      <c r="AZ29">
        <f t="shared" ca="1" si="2"/>
        <v>5</v>
      </c>
      <c r="BA29">
        <f t="shared" ca="1" si="2"/>
        <v>6</v>
      </c>
      <c r="BB29">
        <f t="shared" ca="1" si="2"/>
        <v>5</v>
      </c>
      <c r="BC29">
        <f t="shared" ca="1" si="7"/>
        <v>6</v>
      </c>
      <c r="BD29">
        <f t="shared" ca="1" si="3"/>
        <v>5</v>
      </c>
      <c r="BE29">
        <f t="shared" ca="1" si="3"/>
        <v>3</v>
      </c>
      <c r="BF29">
        <f t="shared" ca="1" si="3"/>
        <v>2</v>
      </c>
      <c r="BG29">
        <f t="shared" ca="1" si="3"/>
        <v>4</v>
      </c>
      <c r="BH29">
        <f t="shared" ca="1" si="3"/>
        <v>5</v>
      </c>
      <c r="BI29">
        <f t="shared" ca="1" si="3"/>
        <v>2</v>
      </c>
      <c r="BJ29">
        <f t="shared" ca="1" si="3"/>
        <v>3</v>
      </c>
      <c r="BK29">
        <f t="shared" ca="1" si="3"/>
        <v>6</v>
      </c>
      <c r="BL29">
        <f t="shared" ca="1" si="3"/>
        <v>4</v>
      </c>
      <c r="BM29">
        <f t="shared" ca="1" si="3"/>
        <v>7</v>
      </c>
    </row>
    <row r="30" spans="1:65">
      <c r="A30" s="6" t="str">
        <f t="shared" si="4"/>
        <v>Wk12</v>
      </c>
      <c r="B30" s="6"/>
      <c r="C30" s="6"/>
      <c r="D30" s="6"/>
      <c r="E30">
        <f t="shared" si="5"/>
        <v>5.5384615384615383</v>
      </c>
      <c r="F30">
        <f t="shared" si="5"/>
        <v>6.4615384615384617</v>
      </c>
      <c r="G30">
        <f t="shared" ca="1" si="0"/>
        <v>6</v>
      </c>
      <c r="H30">
        <f t="shared" ca="1" si="0"/>
        <v>4</v>
      </c>
      <c r="I30">
        <f t="shared" ca="1" si="8"/>
        <v>4</v>
      </c>
      <c r="J30">
        <f t="shared" ca="1" si="8"/>
        <v>2</v>
      </c>
      <c r="K30">
        <f t="shared" ca="1" si="8"/>
        <v>9</v>
      </c>
      <c r="L30">
        <f t="shared" ca="1" si="8"/>
        <v>4</v>
      </c>
      <c r="M30">
        <f t="shared" ca="1" si="8"/>
        <v>3</v>
      </c>
      <c r="N30">
        <f t="shared" ca="1" si="8"/>
        <v>5</v>
      </c>
      <c r="O30">
        <f t="shared" ca="1" si="8"/>
        <v>3</v>
      </c>
      <c r="P30">
        <f t="shared" ca="1" si="8"/>
        <v>2</v>
      </c>
      <c r="Q30">
        <f t="shared" ca="1" si="8"/>
        <v>6</v>
      </c>
      <c r="R30">
        <f t="shared" ca="1" si="8"/>
        <v>6</v>
      </c>
      <c r="S30">
        <f t="shared" ca="1" si="8"/>
        <v>7</v>
      </c>
      <c r="T30">
        <f t="shared" ca="1" si="8"/>
        <v>8</v>
      </c>
      <c r="U30">
        <f t="shared" ca="1" si="8"/>
        <v>2</v>
      </c>
      <c r="V30">
        <f t="shared" ca="1" si="8"/>
        <v>5</v>
      </c>
      <c r="W30">
        <f t="shared" ca="1" si="8"/>
        <v>4</v>
      </c>
      <c r="X30">
        <f t="shared" ca="1" si="8"/>
        <v>5</v>
      </c>
      <c r="Y30">
        <f t="shared" ca="1" si="8"/>
        <v>4</v>
      </c>
      <c r="Z30">
        <f t="shared" ca="1" si="8"/>
        <v>4</v>
      </c>
      <c r="AA30">
        <f t="shared" ca="1" si="8"/>
        <v>4</v>
      </c>
      <c r="AB30">
        <f t="shared" ca="1" si="8"/>
        <v>2</v>
      </c>
      <c r="AC30">
        <f t="shared" ca="1" si="8"/>
        <v>4</v>
      </c>
      <c r="AD30">
        <f t="shared" ca="1" si="8"/>
        <v>7</v>
      </c>
      <c r="AE30">
        <f t="shared" ca="1" si="8"/>
        <v>5</v>
      </c>
      <c r="AF30">
        <f t="shared" ca="1" si="8"/>
        <v>6</v>
      </c>
      <c r="AG30">
        <f t="shared" ca="1" si="8"/>
        <v>5</v>
      </c>
      <c r="AH30">
        <f t="shared" ca="1" si="8"/>
        <v>4</v>
      </c>
      <c r="AI30">
        <f t="shared" ca="1" si="8"/>
        <v>3</v>
      </c>
      <c r="AJ30">
        <f t="shared" ca="1" si="8"/>
        <v>4</v>
      </c>
      <c r="AK30">
        <f t="shared" ca="1" si="8"/>
        <v>5</v>
      </c>
      <c r="AL30">
        <f t="shared" ca="1" si="8"/>
        <v>5</v>
      </c>
      <c r="AM30">
        <f t="shared" ca="1" si="2"/>
        <v>4</v>
      </c>
      <c r="AN30">
        <f t="shared" ca="1" si="2"/>
        <v>4</v>
      </c>
      <c r="AO30">
        <f t="shared" ca="1" si="2"/>
        <v>3</v>
      </c>
      <c r="AP30">
        <f t="shared" ca="1" si="2"/>
        <v>5</v>
      </c>
      <c r="AQ30">
        <f t="shared" ca="1" si="2"/>
        <v>7</v>
      </c>
      <c r="AR30">
        <f t="shared" ca="1" si="2"/>
        <v>4</v>
      </c>
      <c r="AS30">
        <f t="shared" ca="1" si="2"/>
        <v>4</v>
      </c>
      <c r="AT30">
        <f t="shared" ca="1" si="2"/>
        <v>4</v>
      </c>
      <c r="AU30">
        <f t="shared" ca="1" si="2"/>
        <v>6</v>
      </c>
      <c r="AV30">
        <f t="shared" ca="1" si="2"/>
        <v>4</v>
      </c>
      <c r="AW30">
        <f t="shared" ca="1" si="2"/>
        <v>7</v>
      </c>
      <c r="AX30">
        <f t="shared" ca="1" si="2"/>
        <v>5</v>
      </c>
      <c r="AY30">
        <f t="shared" ca="1" si="2"/>
        <v>5</v>
      </c>
      <c r="AZ30">
        <f t="shared" ca="1" si="2"/>
        <v>4</v>
      </c>
      <c r="BA30">
        <f t="shared" ca="1" si="2"/>
        <v>3</v>
      </c>
      <c r="BB30">
        <f t="shared" ca="1" si="2"/>
        <v>6</v>
      </c>
      <c r="BC30">
        <f t="shared" ca="1" si="7"/>
        <v>3</v>
      </c>
      <c r="BD30">
        <f t="shared" ca="1" si="3"/>
        <v>6</v>
      </c>
      <c r="BE30">
        <f t="shared" ca="1" si="3"/>
        <v>1</v>
      </c>
      <c r="BF30">
        <f t="shared" ca="1" si="3"/>
        <v>8</v>
      </c>
      <c r="BG30">
        <f t="shared" ca="1" si="3"/>
        <v>5</v>
      </c>
      <c r="BH30">
        <f t="shared" ca="1" si="3"/>
        <v>5</v>
      </c>
      <c r="BI30">
        <f t="shared" ca="1" si="3"/>
        <v>2</v>
      </c>
      <c r="BJ30">
        <f t="shared" ca="1" si="3"/>
        <v>6</v>
      </c>
      <c r="BK30">
        <f t="shared" ca="1" si="3"/>
        <v>3</v>
      </c>
      <c r="BL30">
        <f t="shared" ca="1" si="3"/>
        <v>4</v>
      </c>
      <c r="BM30">
        <f t="shared" ca="1" si="3"/>
        <v>6</v>
      </c>
    </row>
    <row r="31" spans="1:65">
      <c r="A31" s="6" t="str">
        <f t="shared" si="4"/>
        <v>Wk13</v>
      </c>
      <c r="B31" s="6"/>
      <c r="C31" s="6"/>
      <c r="D31" s="6"/>
      <c r="E31">
        <f t="shared" si="5"/>
        <v>5.5384615384615383</v>
      </c>
      <c r="F31">
        <f t="shared" si="5"/>
        <v>6.4615384615384617</v>
      </c>
      <c r="G31">
        <f t="shared" ca="1" si="0"/>
        <v>5</v>
      </c>
      <c r="H31">
        <f t="shared" ca="1" si="0"/>
        <v>5</v>
      </c>
      <c r="I31">
        <f t="shared" ca="1" si="8"/>
        <v>2</v>
      </c>
      <c r="J31">
        <f t="shared" ca="1" si="8"/>
        <v>5</v>
      </c>
      <c r="K31">
        <f t="shared" ca="1" si="8"/>
        <v>3</v>
      </c>
      <c r="L31">
        <f t="shared" ca="1" si="8"/>
        <v>7</v>
      </c>
      <c r="M31">
        <f t="shared" ca="1" si="8"/>
        <v>6</v>
      </c>
      <c r="N31">
        <f t="shared" ca="1" si="8"/>
        <v>4</v>
      </c>
      <c r="O31">
        <f t="shared" ca="1" si="8"/>
        <v>2</v>
      </c>
      <c r="P31">
        <f t="shared" ca="1" si="8"/>
        <v>4</v>
      </c>
      <c r="Q31">
        <f t="shared" ca="1" si="8"/>
        <v>5</v>
      </c>
      <c r="R31">
        <f t="shared" ca="1" si="8"/>
        <v>3</v>
      </c>
      <c r="S31">
        <f t="shared" ca="1" si="8"/>
        <v>6</v>
      </c>
      <c r="T31">
        <f t="shared" ca="1" si="8"/>
        <v>5</v>
      </c>
      <c r="U31">
        <f t="shared" ca="1" si="8"/>
        <v>9</v>
      </c>
      <c r="V31">
        <f t="shared" ca="1" si="8"/>
        <v>7</v>
      </c>
      <c r="W31">
        <f t="shared" ca="1" si="8"/>
        <v>2</v>
      </c>
      <c r="X31">
        <f t="shared" ca="1" si="8"/>
        <v>6</v>
      </c>
      <c r="Y31">
        <f t="shared" ca="1" si="8"/>
        <v>6</v>
      </c>
      <c r="Z31">
        <f t="shared" ca="1" si="8"/>
        <v>6</v>
      </c>
      <c r="AA31">
        <f t="shared" ca="1" si="8"/>
        <v>7</v>
      </c>
      <c r="AB31">
        <f t="shared" ca="1" si="8"/>
        <v>4</v>
      </c>
      <c r="AC31">
        <f t="shared" ca="1" si="8"/>
        <v>3</v>
      </c>
      <c r="AD31">
        <f t="shared" ca="1" si="8"/>
        <v>4</v>
      </c>
      <c r="AE31">
        <f t="shared" ca="1" si="8"/>
        <v>4</v>
      </c>
      <c r="AF31">
        <f t="shared" ca="1" si="8"/>
        <v>7</v>
      </c>
      <c r="AG31">
        <f t="shared" ca="1" si="8"/>
        <v>4</v>
      </c>
      <c r="AH31">
        <f t="shared" ca="1" si="8"/>
        <v>7</v>
      </c>
      <c r="AI31">
        <f t="shared" ca="1" si="8"/>
        <v>2</v>
      </c>
      <c r="AJ31">
        <f t="shared" ca="1" si="8"/>
        <v>2</v>
      </c>
      <c r="AK31">
        <f t="shared" ca="1" si="8"/>
        <v>5</v>
      </c>
      <c r="AL31">
        <f t="shared" ca="1" si="8"/>
        <v>2</v>
      </c>
      <c r="AM31">
        <f t="shared" ca="1" si="2"/>
        <v>5</v>
      </c>
      <c r="AN31">
        <f t="shared" ca="1" si="2"/>
        <v>5</v>
      </c>
      <c r="AO31">
        <f t="shared" ca="1" si="2"/>
        <v>5</v>
      </c>
      <c r="AP31">
        <f t="shared" ca="1" si="2"/>
        <v>6</v>
      </c>
      <c r="AQ31">
        <f t="shared" ca="1" si="2"/>
        <v>6</v>
      </c>
      <c r="AR31">
        <f t="shared" ca="1" si="2"/>
        <v>6</v>
      </c>
      <c r="AS31">
        <f t="shared" ca="1" si="2"/>
        <v>2</v>
      </c>
      <c r="AT31">
        <f t="shared" ca="1" si="2"/>
        <v>5</v>
      </c>
      <c r="AU31">
        <f t="shared" ca="1" si="2"/>
        <v>2</v>
      </c>
      <c r="AV31">
        <f t="shared" ca="1" si="2"/>
        <v>2</v>
      </c>
      <c r="AW31">
        <f t="shared" ca="1" si="2"/>
        <v>5</v>
      </c>
      <c r="AX31">
        <f t="shared" ca="1" si="2"/>
        <v>5</v>
      </c>
      <c r="AY31">
        <f t="shared" ca="1" si="2"/>
        <v>5</v>
      </c>
      <c r="AZ31">
        <f t="shared" ca="1" si="2"/>
        <v>4</v>
      </c>
      <c r="BA31">
        <f t="shared" ca="1" si="2"/>
        <v>5</v>
      </c>
      <c r="BB31">
        <f t="shared" ca="1" si="2"/>
        <v>4</v>
      </c>
      <c r="BC31">
        <f t="shared" ca="1" si="7"/>
        <v>7</v>
      </c>
      <c r="BD31">
        <f t="shared" ca="1" si="3"/>
        <v>5</v>
      </c>
      <c r="BE31">
        <f t="shared" ca="1" si="3"/>
        <v>5</v>
      </c>
      <c r="BF31">
        <f t="shared" ca="1" si="3"/>
        <v>5</v>
      </c>
      <c r="BG31">
        <f t="shared" ca="1" si="3"/>
        <v>6</v>
      </c>
      <c r="BH31">
        <f t="shared" ca="1" si="3"/>
        <v>2</v>
      </c>
      <c r="BI31">
        <f t="shared" ca="1" si="3"/>
        <v>4</v>
      </c>
      <c r="BJ31">
        <f t="shared" ca="1" si="3"/>
        <v>5</v>
      </c>
      <c r="BK31">
        <f t="shared" ca="1" si="3"/>
        <v>6</v>
      </c>
      <c r="BL31">
        <f t="shared" ca="1" si="3"/>
        <v>3</v>
      </c>
      <c r="BM31">
        <f t="shared" ca="1" si="3"/>
        <v>7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2.75"/>
  <sheetData>
    <row r="1" spans="1:2">
      <c r="A1" s="26" t="str">
        <f>IF(ISBLANK(B1),IF((weekcnt)&lt;10,("Wk0"&amp;(weekcnt)),("Wk"&amp;(weekcnt))),B1)</f>
        <v>Wk13</v>
      </c>
      <c r="B1" s="26"/>
    </row>
    <row r="3" spans="1:2" ht="13.5" thickBot="1"/>
    <row r="4" spans="1:2">
      <c r="A4" s="77" t="s">
        <v>110</v>
      </c>
      <c r="B4" s="77" t="s">
        <v>109</v>
      </c>
    </row>
    <row r="5" spans="1:2">
      <c r="A5" s="74">
        <v>0</v>
      </c>
      <c r="B5" s="75">
        <f ca="1">histoBin(INDIRECT($A$1&amp;"!R25C11:R25C"&amp;11+[0]!playercnt-1,FALSE),A5-0.5,A5+0.5)</f>
        <v>0</v>
      </c>
    </row>
    <row r="6" spans="1:2">
      <c r="A6" s="74">
        <v>1</v>
      </c>
      <c r="B6" s="75">
        <f ca="1">histoBin(INDIRECT($A$1&amp;"!R25C11:R25C"&amp;11+[0]!playercnt-1,FALSE),A6-0.5,A6+0.5)</f>
        <v>0</v>
      </c>
    </row>
    <row r="7" spans="1:2">
      <c r="A7" s="74">
        <v>2</v>
      </c>
      <c r="B7" s="75">
        <f ca="1">histoBin(INDIRECT($A$1&amp;"!R25C11:R25C"&amp;11+[0]!playercnt-1,FALSE),A7-0.5,A7+0.5)</f>
        <v>9</v>
      </c>
    </row>
    <row r="8" spans="1:2">
      <c r="A8" s="74">
        <v>3</v>
      </c>
      <c r="B8" s="75">
        <f ca="1">histoBin(INDIRECT($A$1&amp;"!R25C11:R25C"&amp;11+[0]!playercnt-1,FALSE),A8-0.5,A8+0.5)</f>
        <v>4</v>
      </c>
    </row>
    <row r="9" spans="1:2">
      <c r="A9" s="74">
        <v>4</v>
      </c>
      <c r="B9" s="75">
        <f ca="1">histoBin(INDIRECT($A$1&amp;"!R25C11:R25C"&amp;11+[0]!playercnt-1,FALSE),A9-0.5,A9+0.5)</f>
        <v>9</v>
      </c>
    </row>
    <row r="10" spans="1:2">
      <c r="A10" s="74">
        <v>5</v>
      </c>
      <c r="B10" s="75">
        <f ca="1">histoBin(INDIRECT($A$1&amp;"!R25C11:R25C"&amp;11+[0]!playercnt-1,FALSE),A10-0.5,A10+0.5)</f>
        <v>15</v>
      </c>
    </row>
    <row r="11" spans="1:2">
      <c r="A11" s="74">
        <v>6</v>
      </c>
      <c r="B11" s="75">
        <f ca="1">histoBin(INDIRECT($A$1&amp;"!R25C11:R25C"&amp;11+[0]!playercnt-1,FALSE),A11-0.5,A11+0.5)</f>
        <v>10</v>
      </c>
    </row>
    <row r="12" spans="1:2">
      <c r="A12" s="74">
        <v>7</v>
      </c>
      <c r="B12" s="75">
        <f ca="1">histoBin(INDIRECT($A$1&amp;"!R25C11:R25C"&amp;11+[0]!playercnt-1,FALSE),A12-0.5,A12+0.5)</f>
        <v>7</v>
      </c>
    </row>
    <row r="13" spans="1:2">
      <c r="A13" s="74">
        <v>8</v>
      </c>
      <c r="B13" s="75">
        <f ca="1">histoBin(INDIRECT($A$1&amp;"!R25C11:R25C"&amp;11+[0]!playercnt-1,FALSE),A13-0.5,A13+0.5)</f>
        <v>0</v>
      </c>
    </row>
    <row r="14" spans="1:2">
      <c r="A14" s="74">
        <v>9</v>
      </c>
      <c r="B14" s="75">
        <f ca="1">histoBin(INDIRECT($A$1&amp;"!R25C11:R25C"&amp;11+[0]!playercnt-1,FALSE),A14-0.5,A14+0.5)</f>
        <v>1</v>
      </c>
    </row>
    <row r="15" spans="1: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>
      <c r="A16" s="76"/>
      <c r="B16" s="76"/>
    </row>
    <row r="29" spans="1:2">
      <c r="A29" t="s">
        <v>111</v>
      </c>
      <c r="B29" s="74">
        <f ca="1">MIN(INDIRECT("Standings!R8C4:R"&amp;8+playercnt-1&amp;"C4",FALSE))</f>
        <v>48</v>
      </c>
    </row>
    <row r="30" spans="1:2">
      <c r="A30" t="s">
        <v>112</v>
      </c>
      <c r="B30" s="74">
        <f ca="1">MAX(INDIRECT("Standings!R8C4:R"&amp;8+playercnt-1&amp;"C4",FALSE))</f>
        <v>76</v>
      </c>
    </row>
    <row r="31" spans="1:2" ht="13.5" thickBot="1">
      <c r="A31" t="s">
        <v>113</v>
      </c>
      <c r="B31">
        <f ca="1">IF((B30-B29)&lt;=10,1,(((B30-B29)/10)))</f>
        <v>2.8</v>
      </c>
    </row>
    <row r="32" spans="1:2">
      <c r="A32" s="77" t="s">
        <v>110</v>
      </c>
      <c r="B32" s="77" t="s">
        <v>109</v>
      </c>
    </row>
    <row r="33" spans="1:2">
      <c r="A33" s="74">
        <f ca="1">B29</f>
        <v>48</v>
      </c>
      <c r="B33" s="75">
        <f ca="1">histoBin(INDIRECT("Standings!R8C4:R"&amp;8+playercnt-1&amp;"C4",FALSE),A33-($B$31/2),A33+($B$31/2))</f>
        <v>1</v>
      </c>
    </row>
    <row r="34" spans="1:2">
      <c r="A34" s="74">
        <f ca="1">A33+$B$31</f>
        <v>50.8</v>
      </c>
      <c r="B34" s="75">
        <f t="shared" ref="B34:B43" ca="1" si="0">histoBin(INDIRECT("Standings!R8C4:R"&amp;8+playercnt-1&amp;"C4",FALSE),A34-($B$31/2),A34+($B$31/2))</f>
        <v>4</v>
      </c>
    </row>
    <row r="35" spans="1:2">
      <c r="A35" s="74">
        <f t="shared" ref="A35:A42" ca="1" si="1">A34+$B$31</f>
        <v>53.599999999999994</v>
      </c>
      <c r="B35" s="75">
        <f t="shared" ca="1" si="0"/>
        <v>3</v>
      </c>
    </row>
    <row r="36" spans="1:2">
      <c r="A36" s="74">
        <f t="shared" ca="1" si="1"/>
        <v>56.399999999999991</v>
      </c>
      <c r="B36" s="75">
        <f t="shared" ca="1" si="0"/>
        <v>8</v>
      </c>
    </row>
    <row r="37" spans="1:2">
      <c r="A37" s="74">
        <f t="shared" ca="1" si="1"/>
        <v>59.199999999999989</v>
      </c>
      <c r="B37" s="75">
        <f t="shared" ca="1" si="0"/>
        <v>9</v>
      </c>
    </row>
    <row r="38" spans="1:2">
      <c r="A38" s="74">
        <f t="shared" ca="1" si="1"/>
        <v>61.999999999999986</v>
      </c>
      <c r="B38" s="75">
        <f t="shared" ca="1" si="0"/>
        <v>13</v>
      </c>
    </row>
    <row r="39" spans="1:2">
      <c r="A39" s="74">
        <f t="shared" ca="1" si="1"/>
        <v>64.799999999999983</v>
      </c>
      <c r="B39" s="75">
        <f t="shared" ca="1" si="0"/>
        <v>5</v>
      </c>
    </row>
    <row r="40" spans="1:2">
      <c r="A40" s="74">
        <f t="shared" ca="1" si="1"/>
        <v>67.59999999999998</v>
      </c>
      <c r="B40" s="75">
        <f t="shared" ca="1" si="0"/>
        <v>4</v>
      </c>
    </row>
    <row r="41" spans="1:2">
      <c r="A41" s="74">
        <f t="shared" ca="1" si="1"/>
        <v>70.399999999999977</v>
      </c>
      <c r="B41" s="75">
        <f t="shared" ca="1" si="0"/>
        <v>4</v>
      </c>
    </row>
    <row r="42" spans="1:2">
      <c r="A42" s="74">
        <f t="shared" ca="1" si="1"/>
        <v>73.199999999999974</v>
      </c>
      <c r="B42" s="75">
        <f t="shared" ca="1" si="0"/>
        <v>3</v>
      </c>
    </row>
    <row r="43" spans="1:2">
      <c r="A43" s="74">
        <f ca="1">A42+$B$31</f>
        <v>75.999999999999972</v>
      </c>
      <c r="B43" s="75">
        <f t="shared" ca="1" si="0"/>
        <v>1</v>
      </c>
    </row>
    <row r="44" spans="1:2" ht="13.5" thickBot="1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X110"/>
  <sheetViews>
    <sheetView zoomScale="80" zoomScaleNormal="80" workbookViewId="0">
      <pane ySplit="2445" topLeftCell="A34"/>
      <selection activeCell="AP1" sqref="AP1:AP1048576"/>
      <selection pane="bottomLeft" activeCell="AX80" sqref="AX80"/>
    </sheetView>
  </sheetViews>
  <sheetFormatPr defaultRowHeight="12.75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76" width="3.28515625" customWidth="1"/>
  </cols>
  <sheetData>
    <row r="2" spans="4:76" ht="32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>
      <c r="C25">
        <f ca="1">SUM(INDIRECT("RC11:RC"&amp;11+playercnt-1,FALSE))</f>
        <v>55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>
      <c r="A33" s="26" t="str">
        <f>IF(ISBLANK(B33),IF((weekcnt+1)&lt;10,("Wk0"&amp;(weekcnt+1)),("Wk"&amp;(weekcnt+1))),B33)</f>
        <v>Wk14</v>
      </c>
    </row>
    <row r="34" spans="1:76" ht="111" customHeight="1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e">
        <f t="shared" ca="1" si="26"/>
        <v>#REF!</v>
      </c>
      <c r="AD34" s="2" t="e">
        <f t="shared" ca="1" si="26"/>
        <v>#REF!</v>
      </c>
      <c r="AE34" s="2" t="e">
        <f t="shared" ca="1" si="26"/>
        <v>#REF!</v>
      </c>
      <c r="AF34" s="2" t="e">
        <f t="shared" ca="1" si="26"/>
        <v>#REF!</v>
      </c>
      <c r="AG34" s="2" t="e">
        <f t="shared" ca="1" si="26"/>
        <v>#REF!</v>
      </c>
      <c r="AH34" s="2" t="e">
        <f t="shared" ca="1" si="26"/>
        <v>#REF!</v>
      </c>
      <c r="AI34" s="2" t="e">
        <f t="shared" ca="1" si="26"/>
        <v>#REF!</v>
      </c>
      <c r="AJ34" s="2" t="e">
        <f t="shared" ca="1" si="26"/>
        <v>#REF!</v>
      </c>
      <c r="AK34" s="2" t="e">
        <f t="shared" ca="1" si="26"/>
        <v>#REF!</v>
      </c>
      <c r="AL34" s="2" t="e">
        <f t="shared" ca="1" si="26"/>
        <v>#REF!</v>
      </c>
      <c r="AM34" s="2" t="e">
        <f t="shared" ca="1" si="26"/>
        <v>#REF!</v>
      </c>
      <c r="AN34" s="2" t="e">
        <f t="shared" ca="1" si="26"/>
        <v>#REF!</v>
      </c>
      <c r="AO34" s="2" t="e">
        <f t="shared" ca="1" si="26"/>
        <v>#REF!</v>
      </c>
      <c r="AP34" s="2" t="e">
        <f t="shared" ca="1" si="26"/>
        <v>#REF!</v>
      </c>
      <c r="AQ34" s="2" t="e">
        <f t="shared" ca="1" si="26"/>
        <v>#REF!</v>
      </c>
      <c r="AR34" s="2" t="e">
        <f t="shared" ca="1" si="26"/>
        <v>#REF!</v>
      </c>
      <c r="AS34" s="2" t="e">
        <f t="shared" ca="1" si="26"/>
        <v>#REF!</v>
      </c>
      <c r="AT34" s="2" t="e">
        <f t="shared" ca="1" si="26"/>
        <v>#REF!</v>
      </c>
      <c r="AU34" s="2" t="e">
        <f t="shared" ca="1" si="26"/>
        <v>#REF!</v>
      </c>
      <c r="AV34" s="2" t="e">
        <f t="shared" ca="1" si="26"/>
        <v>#REF!</v>
      </c>
      <c r="AW34" s="2" t="e">
        <f t="shared" ca="1" si="26"/>
        <v>#REF!</v>
      </c>
      <c r="AX34" s="2" t="e">
        <f t="shared" ca="1" si="26"/>
        <v>#REF!</v>
      </c>
      <c r="AY34" s="2" t="e">
        <f t="shared" ca="1" si="26"/>
        <v>#REF!</v>
      </c>
      <c r="AZ34" s="2" t="e">
        <f t="shared" ca="1" si="26"/>
        <v>#REF!</v>
      </c>
      <c r="BA34" s="2" t="e">
        <f t="shared" ca="1" si="26"/>
        <v>#REF!</v>
      </c>
      <c r="BB34" s="2" t="e">
        <f t="shared" ca="1" si="26"/>
        <v>#REF!</v>
      </c>
      <c r="BC34" s="2" t="e">
        <f t="shared" ca="1" si="26"/>
        <v>#REF!</v>
      </c>
      <c r="BD34" s="2" t="e">
        <f t="shared" ca="1" si="26"/>
        <v>#REF!</v>
      </c>
      <c r="BE34" s="2" t="e">
        <f t="shared" ca="1" si="26"/>
        <v>#REF!</v>
      </c>
      <c r="BF34" s="2" t="e">
        <f t="shared" ca="1" si="26"/>
        <v>#REF!</v>
      </c>
      <c r="BG34" s="2" t="e">
        <f t="shared" ca="1" si="26"/>
        <v>#REF!</v>
      </c>
      <c r="BH34" s="2" t="e">
        <f t="shared" ca="1" si="26"/>
        <v>#REF!</v>
      </c>
      <c r="BI34" s="2" t="e">
        <f t="shared" ca="1" si="26"/>
        <v>#REF!</v>
      </c>
      <c r="BJ34" s="2" t="e">
        <f t="shared" ca="1" si="26"/>
        <v>#REF!</v>
      </c>
      <c r="BK34" s="2" t="e">
        <f t="shared" ca="1" si="26"/>
        <v>#REF!</v>
      </c>
      <c r="BL34" s="2" t="e">
        <f t="shared" ca="1" si="26"/>
        <v>#REF!</v>
      </c>
      <c r="BM34" s="2" t="e">
        <f t="shared" ca="1" si="26"/>
        <v>#REF!</v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>
      <c r="A35" s="22"/>
      <c r="B35" s="27" t="str">
        <f ca="1">IF(INDIRECT(ADDRESS(ROW(),COLUMN()+(ROW()-33)))=10,(SUM(D35:AW35)-10)/(playercnt-1),"")</f>
        <v/>
      </c>
    </row>
    <row r="36" spans="1:76" ht="3.75" customHeight="1">
      <c r="A36" s="22"/>
      <c r="B36" s="27" t="str">
        <f ca="1">IF(INDIRECT(ADDRESS(ROW(),COLUMN()+(ROW()-33)))=10,(SUM(D36:AW36)-10)/(playercnt-1),"")</f>
        <v/>
      </c>
    </row>
    <row r="37" spans="1:76" ht="3" customHeight="1">
      <c r="B37" s="27" t="str">
        <f ca="1">IF(INDIRECT(ADDRESS(ROW(),COLUMN()+(ROW()-33)))=10,(SUM(D37:AW37)-10)/(playercnt-1),"")</f>
        <v/>
      </c>
    </row>
    <row r="38" spans="1:76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>
      <c r="B60" s="27" t="str">
        <f t="shared" ca="1" si="29"/>
        <v/>
      </c>
      <c r="C60" t="e">
        <f t="shared" ca="1" si="30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>
      <c r="B61" s="27" t="str">
        <f t="shared" ca="1" si="29"/>
        <v/>
      </c>
      <c r="C61" t="e">
        <f t="shared" ca="1" si="30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>
      <c r="B62" s="27" t="str">
        <f t="shared" ca="1" si="29"/>
        <v/>
      </c>
      <c r="C62" t="e">
        <f t="shared" ca="1" si="30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>
      <c r="B63" s="27" t="str">
        <f t="shared" ca="1" si="29"/>
        <v/>
      </c>
      <c r="C63" t="e">
        <f t="shared" ca="1" si="30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>
      <c r="B64" s="27" t="str">
        <f t="shared" ca="1" si="29"/>
        <v/>
      </c>
      <c r="C64" t="e">
        <f t="shared" ca="1" si="30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>
      <c r="B65" s="27" t="str">
        <f t="shared" ca="1" si="29"/>
        <v/>
      </c>
      <c r="C65" t="e">
        <f t="shared" ca="1" si="30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>
      <c r="B66" s="27" t="str">
        <f t="shared" ca="1" si="29"/>
        <v/>
      </c>
      <c r="C66" t="e">
        <f t="shared" ca="1" si="30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>
      <c r="B67" s="27" t="str">
        <f t="shared" ca="1" si="29"/>
        <v/>
      </c>
      <c r="C67" t="e">
        <f t="shared" ca="1" si="30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>
      <c r="B68" s="27" t="str">
        <f t="shared" ca="1" si="29"/>
        <v/>
      </c>
      <c r="C68" t="e">
        <f t="shared" ca="1" si="30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>
      <c r="B69" s="27" t="str">
        <f t="shared" ca="1" si="29"/>
        <v/>
      </c>
      <c r="C69" t="e">
        <f t="shared" ca="1" si="30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>
      <c r="B70" s="27" t="str">
        <f t="shared" ca="1" si="29"/>
        <v/>
      </c>
      <c r="C70" t="e">
        <f t="shared" ca="1" si="30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>
      <c r="B71" s="27" t="str">
        <f t="shared" ca="1" si="29"/>
        <v/>
      </c>
      <c r="C71" t="e">
        <f t="shared" ca="1" si="30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>
      <c r="B72" s="27" t="str">
        <f t="shared" ca="1" si="29"/>
        <v/>
      </c>
      <c r="C72" t="e">
        <f t="shared" ca="1" si="30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>
      <c r="B73" s="27" t="str">
        <f t="shared" ca="1" si="29"/>
        <v/>
      </c>
      <c r="C73" t="e">
        <f t="shared" ca="1" si="30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>
      <c r="B74" s="27" t="str">
        <f t="shared" ca="1" si="29"/>
        <v/>
      </c>
      <c r="C74" t="e">
        <f t="shared" ca="1" si="30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>
      <c r="B75" s="27" t="str">
        <f t="shared" ca="1" si="29"/>
        <v/>
      </c>
      <c r="C75" t="e">
        <f t="shared" ca="1" si="30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>
      <c r="B76" s="27" t="str">
        <f t="shared" ca="1" si="29"/>
        <v/>
      </c>
      <c r="C76" t="e">
        <f t="shared" ca="1" si="30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>
      <c r="B77" s="27" t="str">
        <f t="shared" ca="1" si="29"/>
        <v/>
      </c>
      <c r="C77" t="e">
        <f t="shared" ca="1" si="30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>
      <c r="B78" s="27" t="str">
        <f t="shared" ca="1" si="29"/>
        <v/>
      </c>
      <c r="C78" t="e">
        <f t="shared" ca="1" si="30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>
      <c r="B79" s="27" t="str">
        <f t="shared" ca="1" si="29"/>
        <v/>
      </c>
      <c r="C79" t="e">
        <f t="shared" ca="1" si="30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>
      <c r="B80" s="27" t="str">
        <f t="shared" ca="1" si="29"/>
        <v/>
      </c>
      <c r="C80" t="e">
        <f t="shared" ca="1" si="30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>
      <c r="B81" s="27" t="str">
        <f t="shared" ca="1" si="29"/>
        <v/>
      </c>
      <c r="C81" t="e">
        <f t="shared" ca="1" si="30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>
      <c r="B82" s="27" t="str">
        <f t="shared" ca="1" si="29"/>
        <v/>
      </c>
      <c r="C82" t="e">
        <f t="shared" ca="1" si="30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>
      <c r="B83" s="27" t="str">
        <f t="shared" ca="1" si="29"/>
        <v/>
      </c>
      <c r="C83" t="e">
        <f t="shared" ca="1" si="30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>
      <c r="B84" s="27" t="str">
        <f t="shared" ca="1" si="29"/>
        <v/>
      </c>
      <c r="C84" t="e">
        <f t="shared" ca="1" si="30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>
      <c r="B85" s="27" t="str">
        <f t="shared" ca="1" si="29"/>
        <v/>
      </c>
      <c r="C85" t="e">
        <f t="shared" ca="1" si="30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>
      <c r="B86" s="27" t="str">
        <f t="shared" ca="1" si="29"/>
        <v/>
      </c>
      <c r="C86" t="e">
        <f t="shared" ca="1" si="30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>
      <c r="B87" s="27" t="str">
        <f t="shared" ca="1" si="29"/>
        <v/>
      </c>
      <c r="C87" t="e">
        <f t="shared" ca="1" si="30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>
      <c r="B88" s="27" t="str">
        <f t="shared" ca="1" si="29"/>
        <v/>
      </c>
      <c r="C88" t="e">
        <f t="shared" ca="1" si="30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>
      <c r="B89" s="27" t="str">
        <f t="shared" ca="1" si="29"/>
        <v/>
      </c>
      <c r="C89" t="e">
        <f t="shared" ca="1" si="30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>
      <c r="B90" s="27" t="str">
        <f t="shared" ca="1" si="29"/>
        <v/>
      </c>
      <c r="C90" t="e">
        <f t="shared" ca="1" si="30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>
      <c r="B91" s="27" t="str">
        <f t="shared" ca="1" si="29"/>
        <v/>
      </c>
      <c r="C91" t="e">
        <f t="shared" ca="1" si="30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>
      <c r="B92" s="27" t="str">
        <f t="shared" ca="1" si="29"/>
        <v/>
      </c>
      <c r="C92" t="e">
        <f t="shared" ca="1" si="30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>
      <c r="B93" s="27" t="str">
        <f t="shared" ca="1" si="29"/>
        <v/>
      </c>
      <c r="C93" t="e">
        <f t="shared" ca="1" si="30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>
      <c r="B94" s="27" t="str">
        <f t="shared" ca="1" si="29"/>
        <v/>
      </c>
      <c r="C94" t="e">
        <f t="shared" ca="1" si="30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>
      <c r="B95" s="27" t="str">
        <f t="shared" ca="1" si="29"/>
        <v/>
      </c>
      <c r="C95" t="e">
        <f t="shared" ca="1" si="30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>
      <c r="B96" s="27" t="str">
        <f t="shared" ca="1" si="29"/>
        <v/>
      </c>
      <c r="C96" t="e">
        <f t="shared" ca="1" si="30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76" priority="1" stopIfTrue="1">
      <formula>MOD(G38,10) = 0</formula>
    </cfRule>
    <cfRule type="expression" dxfId="275" priority="2" stopIfTrue="1">
      <formula>MOD(G38,8) = 1</formula>
    </cfRule>
    <cfRule type="expression" dxfId="274" priority="3" stopIfTrue="1">
      <formula>MOD(G38,6) = 2</formula>
    </cfRule>
  </conditionalFormatting>
  <conditionalFormatting sqref="B35:B37">
    <cfRule type="cellIs" dxfId="273" priority="4" stopIfTrue="1" operator="greaterThan">
      <formula>$A$35-$A$37</formula>
    </cfRule>
    <cfRule type="cellIs" dxfId="272" priority="5" stopIfTrue="1" operator="lessThan">
      <formula>$A$36+$A$37</formula>
    </cfRule>
  </conditionalFormatting>
  <conditionalFormatting sqref="B38:B110">
    <cfRule type="cellIs" dxfId="271" priority="6" stopIfTrue="1" operator="greaterThan">
      <formula>$A$42-$A$44</formula>
    </cfRule>
    <cfRule type="cellIs" dxfId="27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11"/>
  <dimension ref="A1:W34"/>
  <sheetViews>
    <sheetView workbookViewId="0">
      <selection activeCell="D7" sqref="D7:D26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>
      <c r="A4">
        <f>weekcnt*10</f>
        <v>130</v>
      </c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69" priority="1" stopIfTrue="1" operator="equal">
      <formula>10</formula>
    </cfRule>
    <cfRule type="cellIs" dxfId="268" priority="2" stopIfTrue="1" operator="equal">
      <formula>9</formula>
    </cfRule>
    <cfRule type="cellIs" dxfId="26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M58"/>
  <sheetViews>
    <sheetView zoomScale="90" zoomScaleNormal="100" zoomScaleSheetLayoutView="100" workbookViewId="0">
      <selection activeCell="U22" sqref="U22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195</v>
      </c>
      <c r="C3" s="65"/>
      <c r="D3" s="64">
        <v>52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320</v>
      </c>
      <c r="K3" s="69"/>
      <c r="L3" s="69"/>
      <c r="M3" s="69"/>
      <c r="N3" s="69" t="s">
        <v>311</v>
      </c>
      <c r="O3" s="69"/>
      <c r="P3" s="69"/>
      <c r="Q3" s="69"/>
      <c r="R3" s="69"/>
      <c r="S3" s="69"/>
      <c r="T3" s="69"/>
      <c r="U3" s="69"/>
      <c r="V3" s="69"/>
      <c r="W3" s="69" t="s">
        <v>312</v>
      </c>
      <c r="X3" s="69"/>
      <c r="Y3" s="69"/>
      <c r="Z3" s="69" t="s">
        <v>311</v>
      </c>
      <c r="AA3" s="69" t="s">
        <v>311</v>
      </c>
      <c r="AB3" s="69"/>
      <c r="AC3" s="69"/>
      <c r="AD3" s="69" t="s">
        <v>345</v>
      </c>
      <c r="AE3" s="69"/>
      <c r="AF3" s="69"/>
      <c r="AG3" s="69" t="s">
        <v>350</v>
      </c>
      <c r="AH3" s="69" t="s">
        <v>352</v>
      </c>
      <c r="AI3" s="69" t="s">
        <v>312</v>
      </c>
      <c r="AJ3" s="69"/>
      <c r="AK3" s="69"/>
      <c r="AL3" s="69"/>
      <c r="AM3" s="69"/>
      <c r="AN3" s="69"/>
      <c r="AO3" s="69"/>
      <c r="AP3" s="69" t="s">
        <v>322</v>
      </c>
      <c r="AQ3" s="69" t="s">
        <v>311</v>
      </c>
      <c r="AR3" s="96" t="s">
        <v>309</v>
      </c>
      <c r="AS3" s="69"/>
      <c r="AT3" s="69"/>
      <c r="AU3" s="69"/>
      <c r="AV3" s="69"/>
      <c r="AW3" s="69"/>
      <c r="AX3" s="69"/>
      <c r="AY3" s="69" t="s">
        <v>324</v>
      </c>
      <c r="AZ3" s="69"/>
      <c r="BA3" s="69"/>
      <c r="BB3" s="69"/>
      <c r="BC3" s="69" t="s">
        <v>309</v>
      </c>
      <c r="BD3" s="69" t="s">
        <v>312</v>
      </c>
      <c r="BE3" s="96" t="s">
        <v>364</v>
      </c>
      <c r="BF3" s="69"/>
      <c r="BG3" s="69"/>
      <c r="BH3" s="69" t="s">
        <v>311</v>
      </c>
      <c r="BI3" s="69"/>
      <c r="BJ3" s="69"/>
      <c r="BK3" s="69"/>
      <c r="BL3" s="69" t="s">
        <v>311</v>
      </c>
      <c r="BM3" s="69"/>
    </row>
    <row r="4" spans="1:65">
      <c r="A4" s="61" t="s">
        <v>3</v>
      </c>
      <c r="B4" s="68" t="s">
        <v>157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309</v>
      </c>
      <c r="L4" s="70" t="s">
        <v>309</v>
      </c>
      <c r="M4" s="70" t="s">
        <v>310</v>
      </c>
      <c r="N4" s="70"/>
      <c r="O4" s="70" t="s">
        <v>309</v>
      </c>
      <c r="P4" s="70" t="s">
        <v>309</v>
      </c>
      <c r="Q4" s="70" t="s">
        <v>335</v>
      </c>
      <c r="R4" s="70" t="s">
        <v>309</v>
      </c>
      <c r="S4" s="70" t="s">
        <v>311</v>
      </c>
      <c r="T4" s="70" t="s">
        <v>344</v>
      </c>
      <c r="U4" s="97" t="s">
        <v>402</v>
      </c>
      <c r="V4" s="70" t="s">
        <v>309</v>
      </c>
      <c r="W4" s="70"/>
      <c r="X4" s="70" t="s">
        <v>322</v>
      </c>
      <c r="Y4" s="70" t="s">
        <v>311</v>
      </c>
      <c r="Z4" s="70"/>
      <c r="AA4" s="70"/>
      <c r="AB4" s="70" t="s">
        <v>327</v>
      </c>
      <c r="AC4" s="70" t="s">
        <v>311</v>
      </c>
      <c r="AD4" s="70"/>
      <c r="AE4" s="70" t="s">
        <v>311</v>
      </c>
      <c r="AF4" s="70" t="s">
        <v>349</v>
      </c>
      <c r="AG4" s="70"/>
      <c r="AH4" s="70"/>
      <c r="AI4" s="70"/>
      <c r="AJ4" s="70" t="s">
        <v>328</v>
      </c>
      <c r="AK4" s="70" t="s">
        <v>311</v>
      </c>
      <c r="AL4" s="70" t="s">
        <v>327</v>
      </c>
      <c r="AM4" s="70" t="s">
        <v>312</v>
      </c>
      <c r="AN4" s="70" t="s">
        <v>335</v>
      </c>
      <c r="AO4" s="70" t="s">
        <v>311</v>
      </c>
      <c r="AP4" s="70"/>
      <c r="AQ4" s="70"/>
      <c r="AR4" s="70"/>
      <c r="AS4" s="70" t="s">
        <v>334</v>
      </c>
      <c r="AT4" s="70" t="s">
        <v>336</v>
      </c>
      <c r="AU4" s="70" t="s">
        <v>309</v>
      </c>
      <c r="AV4" s="70" t="s">
        <v>311</v>
      </c>
      <c r="AW4" s="70" t="s">
        <v>358</v>
      </c>
      <c r="AX4" s="70" t="s">
        <v>361</v>
      </c>
      <c r="AY4" s="70"/>
      <c r="AZ4" s="70" t="s">
        <v>311</v>
      </c>
      <c r="BA4" s="70" t="s">
        <v>339</v>
      </c>
      <c r="BB4" s="70" t="s">
        <v>314</v>
      </c>
      <c r="BC4" s="70"/>
      <c r="BD4" s="70"/>
      <c r="BE4" s="70"/>
      <c r="BF4" s="70" t="s">
        <v>309</v>
      </c>
      <c r="BG4" s="70" t="s">
        <v>311</v>
      </c>
      <c r="BH4" s="70"/>
      <c r="BI4" s="70" t="s">
        <v>369</v>
      </c>
      <c r="BJ4" s="70" t="s">
        <v>331</v>
      </c>
      <c r="BK4" s="70" t="s">
        <v>309</v>
      </c>
      <c r="BL4" s="70"/>
      <c r="BM4" s="70" t="s">
        <v>328</v>
      </c>
    </row>
    <row r="5" spans="1:65">
      <c r="A5" s="59">
        <v>2</v>
      </c>
      <c r="B5" s="67" t="s">
        <v>175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25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320</v>
      </c>
      <c r="K5" s="69"/>
      <c r="L5" s="69"/>
      <c r="M5" s="69"/>
      <c r="N5" s="69"/>
      <c r="O5" s="69" t="s">
        <v>309</v>
      </c>
      <c r="P5" s="69"/>
      <c r="Q5" s="69"/>
      <c r="R5" s="69"/>
      <c r="S5" s="69" t="s">
        <v>311</v>
      </c>
      <c r="T5" s="69"/>
      <c r="U5" s="96" t="s">
        <v>402</v>
      </c>
      <c r="V5" s="69" t="s">
        <v>309</v>
      </c>
      <c r="W5" s="69"/>
      <c r="X5" s="69"/>
      <c r="Y5" s="69" t="s">
        <v>311</v>
      </c>
      <c r="Z5" s="69"/>
      <c r="AA5" s="69"/>
      <c r="AB5" s="69"/>
      <c r="AC5" s="69"/>
      <c r="AD5" s="69" t="s">
        <v>346</v>
      </c>
      <c r="AE5" s="69" t="s">
        <v>311</v>
      </c>
      <c r="AF5" s="69"/>
      <c r="AG5" s="69" t="s">
        <v>337</v>
      </c>
      <c r="AH5" s="69"/>
      <c r="AI5" s="69"/>
      <c r="AJ5" s="69" t="s">
        <v>327</v>
      </c>
      <c r="AK5" s="69" t="s">
        <v>311</v>
      </c>
      <c r="AL5" s="69" t="s">
        <v>327</v>
      </c>
      <c r="AM5" s="69"/>
      <c r="AN5" s="69"/>
      <c r="AO5" s="69"/>
      <c r="AP5" s="69" t="s">
        <v>313</v>
      </c>
      <c r="AQ5" s="69" t="s">
        <v>311</v>
      </c>
      <c r="AR5" s="96" t="s">
        <v>309</v>
      </c>
      <c r="AS5" s="69" t="s">
        <v>312</v>
      </c>
      <c r="AT5" s="69" t="s">
        <v>336</v>
      </c>
      <c r="AU5" s="69" t="s">
        <v>309</v>
      </c>
      <c r="AV5" s="69"/>
      <c r="AW5" s="69" t="s">
        <v>359</v>
      </c>
      <c r="AX5" s="69"/>
      <c r="AY5" s="69"/>
      <c r="AZ5" s="69" t="s">
        <v>311</v>
      </c>
      <c r="BA5" s="69" t="s">
        <v>339</v>
      </c>
      <c r="BB5" s="69"/>
      <c r="BC5" s="69" t="s">
        <v>309</v>
      </c>
      <c r="BD5" s="69"/>
      <c r="BE5" s="69"/>
      <c r="BF5" s="69"/>
      <c r="BG5" s="69"/>
      <c r="BH5" s="69" t="s">
        <v>311</v>
      </c>
      <c r="BI5" s="69" t="s">
        <v>369</v>
      </c>
      <c r="BJ5" s="69"/>
      <c r="BK5" s="69"/>
      <c r="BL5" s="69" t="s">
        <v>311</v>
      </c>
      <c r="BM5" s="69" t="s">
        <v>327</v>
      </c>
    </row>
    <row r="6" spans="1:65">
      <c r="A6" s="61" t="s">
        <v>3</v>
      </c>
      <c r="B6" s="68" t="s">
        <v>255</v>
      </c>
      <c r="C6" s="66">
        <v>10.5</v>
      </c>
      <c r="D6" s="64">
        <v>35</v>
      </c>
      <c r="E6" s="64">
        <f>IF(ISBLANK($D6),"0",IF(($D6-$D5)&gt;($C6-$C5),1,0))</f>
        <v>1</v>
      </c>
      <c r="F6" s="64">
        <f t="shared" ca="1" si="1"/>
        <v>30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309</v>
      </c>
      <c r="L6" s="70" t="s">
        <v>309</v>
      </c>
      <c r="M6" s="70" t="s">
        <v>310</v>
      </c>
      <c r="N6" s="70" t="s">
        <v>311</v>
      </c>
      <c r="O6" s="70"/>
      <c r="P6" s="70" t="s">
        <v>309</v>
      </c>
      <c r="Q6" s="70" t="s">
        <v>335</v>
      </c>
      <c r="R6" s="70" t="s">
        <v>309</v>
      </c>
      <c r="S6" s="70"/>
      <c r="T6" s="70" t="s">
        <v>344</v>
      </c>
      <c r="U6" s="70"/>
      <c r="V6" s="70"/>
      <c r="W6" s="70" t="s">
        <v>313</v>
      </c>
      <c r="X6" s="70" t="s">
        <v>323</v>
      </c>
      <c r="Y6" s="70"/>
      <c r="Z6" s="70" t="s">
        <v>311</v>
      </c>
      <c r="AA6" s="70" t="s">
        <v>311</v>
      </c>
      <c r="AB6" s="70" t="s">
        <v>327</v>
      </c>
      <c r="AC6" s="70" t="s">
        <v>311</v>
      </c>
      <c r="AD6" s="70"/>
      <c r="AE6" s="70"/>
      <c r="AF6" s="70" t="s">
        <v>349</v>
      </c>
      <c r="AG6" s="70"/>
      <c r="AH6" s="70" t="s">
        <v>353</v>
      </c>
      <c r="AI6" s="70" t="s">
        <v>313</v>
      </c>
      <c r="AJ6" s="70"/>
      <c r="AK6" s="70"/>
      <c r="AL6" s="70"/>
      <c r="AM6" s="70" t="s">
        <v>330</v>
      </c>
      <c r="AN6" s="70" t="s">
        <v>335</v>
      </c>
      <c r="AO6" s="70" t="s">
        <v>311</v>
      </c>
      <c r="AP6" s="70"/>
      <c r="AQ6" s="70"/>
      <c r="AR6" s="70"/>
      <c r="AS6" s="70"/>
      <c r="AT6" s="70"/>
      <c r="AU6" s="70"/>
      <c r="AV6" s="70" t="s">
        <v>311</v>
      </c>
      <c r="AW6" s="70"/>
      <c r="AX6" s="70" t="s">
        <v>331</v>
      </c>
      <c r="AY6" s="70" t="s">
        <v>313</v>
      </c>
      <c r="AZ6" s="70"/>
      <c r="BA6" s="70"/>
      <c r="BB6" s="70" t="s">
        <v>314</v>
      </c>
      <c r="BC6" s="70"/>
      <c r="BD6" s="70" t="s">
        <v>314</v>
      </c>
      <c r="BE6" s="97" t="s">
        <v>364</v>
      </c>
      <c r="BF6" s="70" t="s">
        <v>309</v>
      </c>
      <c r="BG6" s="70" t="s">
        <v>311</v>
      </c>
      <c r="BH6" s="70"/>
      <c r="BI6" s="70"/>
      <c r="BJ6" s="70" t="s">
        <v>332</v>
      </c>
      <c r="BK6" s="70" t="s">
        <v>309</v>
      </c>
      <c r="BL6" s="70"/>
      <c r="BM6" s="70"/>
    </row>
    <row r="7" spans="1:65">
      <c r="A7" s="59">
        <v>3</v>
      </c>
      <c r="B7" s="67" t="s">
        <v>148</v>
      </c>
      <c r="C7" s="65"/>
      <c r="D7" s="64">
        <v>31</v>
      </c>
      <c r="E7" s="64">
        <f>IF(ISBLANK($D7),"0",IF(($D8-$D7)&lt;($C8-$C7),1,0))</f>
        <v>1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/>
      <c r="N7" s="69"/>
      <c r="O7" s="69"/>
      <c r="P7" s="69" t="s">
        <v>309</v>
      </c>
      <c r="Q7" s="69" t="s">
        <v>335</v>
      </c>
      <c r="R7" s="96" t="s">
        <v>309</v>
      </c>
      <c r="S7" s="96" t="s">
        <v>311</v>
      </c>
      <c r="T7" s="96"/>
      <c r="U7" s="96"/>
      <c r="V7" s="69"/>
      <c r="W7" s="69" t="s">
        <v>314</v>
      </c>
      <c r="X7" s="69"/>
      <c r="Y7" s="69"/>
      <c r="Z7" s="69"/>
      <c r="AA7" s="69" t="s">
        <v>311</v>
      </c>
      <c r="AB7" s="69"/>
      <c r="AC7" s="69" t="s">
        <v>311</v>
      </c>
      <c r="AD7" s="69" t="s">
        <v>337</v>
      </c>
      <c r="AE7" s="69"/>
      <c r="AF7" s="69" t="s">
        <v>349</v>
      </c>
      <c r="AG7" s="69"/>
      <c r="AH7" s="69"/>
      <c r="AI7" s="69"/>
      <c r="AJ7" s="69"/>
      <c r="AK7" s="69"/>
      <c r="AL7" s="69" t="s">
        <v>327</v>
      </c>
      <c r="AM7" s="69"/>
      <c r="AN7" s="69"/>
      <c r="AO7" s="69"/>
      <c r="AP7" s="69" t="s">
        <v>318</v>
      </c>
      <c r="AQ7" s="69"/>
      <c r="AR7" s="96" t="s">
        <v>309</v>
      </c>
      <c r="AS7" s="69"/>
      <c r="AT7" s="69" t="s">
        <v>336</v>
      </c>
      <c r="AU7" s="69"/>
      <c r="AV7" s="69"/>
      <c r="AW7" s="69"/>
      <c r="AX7" s="69"/>
      <c r="AY7" s="69"/>
      <c r="AZ7" s="69"/>
      <c r="BA7" s="69" t="s">
        <v>339</v>
      </c>
      <c r="BB7" s="69"/>
      <c r="BC7" s="69"/>
      <c r="BD7" s="69"/>
      <c r="BE7" s="96"/>
      <c r="BF7" s="69" t="s">
        <v>309</v>
      </c>
      <c r="BG7" s="69" t="s">
        <v>311</v>
      </c>
      <c r="BH7" s="69"/>
      <c r="BI7" s="69"/>
      <c r="BJ7" s="69"/>
      <c r="BK7" s="69"/>
      <c r="BL7" s="69"/>
      <c r="BM7" s="69"/>
    </row>
    <row r="8" spans="1:65">
      <c r="A8" s="61" t="s">
        <v>3</v>
      </c>
      <c r="B8" s="68" t="s">
        <v>149</v>
      </c>
      <c r="C8" s="66">
        <v>3.5</v>
      </c>
      <c r="D8" s="64">
        <v>17</v>
      </c>
      <c r="E8" s="64">
        <f>IF(ISBLANK($D8),"0",IF(($D8-$D7)&gt;($C8-$C7),1,0))</f>
        <v>0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 t="s">
        <v>310</v>
      </c>
      <c r="N8" s="70" t="s">
        <v>311</v>
      </c>
      <c r="O8" s="70" t="s">
        <v>309</v>
      </c>
      <c r="P8" s="70"/>
      <c r="Q8" s="70"/>
      <c r="R8" s="97"/>
      <c r="S8" s="97"/>
      <c r="T8" s="97" t="s">
        <v>344</v>
      </c>
      <c r="U8" s="97" t="s">
        <v>402</v>
      </c>
      <c r="V8" s="70" t="s">
        <v>309</v>
      </c>
      <c r="W8" s="70"/>
      <c r="X8" s="70" t="s">
        <v>324</v>
      </c>
      <c r="Y8" s="70" t="s">
        <v>311</v>
      </c>
      <c r="Z8" s="70" t="s">
        <v>311</v>
      </c>
      <c r="AA8" s="70"/>
      <c r="AB8" s="70" t="s">
        <v>327</v>
      </c>
      <c r="AC8" s="70"/>
      <c r="AD8" s="70"/>
      <c r="AE8" s="70" t="s">
        <v>311</v>
      </c>
      <c r="AF8" s="70"/>
      <c r="AG8" s="70" t="s">
        <v>340</v>
      </c>
      <c r="AH8" s="70" t="s">
        <v>345</v>
      </c>
      <c r="AI8" s="70" t="s">
        <v>314</v>
      </c>
      <c r="AJ8" s="70" t="s">
        <v>329</v>
      </c>
      <c r="AK8" s="70" t="s">
        <v>311</v>
      </c>
      <c r="AL8" s="70"/>
      <c r="AM8" s="70" t="s">
        <v>327</v>
      </c>
      <c r="AN8" s="70" t="s">
        <v>335</v>
      </c>
      <c r="AO8" s="70" t="s">
        <v>311</v>
      </c>
      <c r="AP8" s="70"/>
      <c r="AQ8" s="70" t="s">
        <v>311</v>
      </c>
      <c r="AR8" s="70"/>
      <c r="AS8" s="70" t="s">
        <v>331</v>
      </c>
      <c r="AT8" s="70"/>
      <c r="AU8" s="70" t="s">
        <v>309</v>
      </c>
      <c r="AV8" s="70" t="s">
        <v>311</v>
      </c>
      <c r="AW8" s="70" t="s">
        <v>331</v>
      </c>
      <c r="AX8" s="70" t="s">
        <v>323</v>
      </c>
      <c r="AY8" s="70" t="s">
        <v>325</v>
      </c>
      <c r="AZ8" s="70" t="s">
        <v>311</v>
      </c>
      <c r="BA8" s="70"/>
      <c r="BB8" s="70" t="s">
        <v>314</v>
      </c>
      <c r="BC8" s="70" t="s">
        <v>309</v>
      </c>
      <c r="BD8" s="70" t="s">
        <v>340</v>
      </c>
      <c r="BE8" s="70" t="s">
        <v>364</v>
      </c>
      <c r="BF8" s="70"/>
      <c r="BG8" s="70"/>
      <c r="BH8" s="70" t="s">
        <v>311</v>
      </c>
      <c r="BI8" s="70" t="s">
        <v>369</v>
      </c>
      <c r="BJ8" s="70" t="s">
        <v>331</v>
      </c>
      <c r="BK8" s="70" t="s">
        <v>309</v>
      </c>
      <c r="BL8" s="70" t="s">
        <v>311</v>
      </c>
      <c r="BM8" s="70" t="s">
        <v>329</v>
      </c>
    </row>
    <row r="9" spans="1:65">
      <c r="A9" s="59">
        <v>4</v>
      </c>
      <c r="B9" s="108" t="s">
        <v>382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 t="s">
        <v>309</v>
      </c>
      <c r="M9" s="69"/>
      <c r="N9" s="69" t="s">
        <v>311</v>
      </c>
      <c r="O9" s="69" t="s">
        <v>309</v>
      </c>
      <c r="P9" s="69"/>
      <c r="Q9" s="69" t="s">
        <v>335</v>
      </c>
      <c r="R9" s="96"/>
      <c r="S9" s="96" t="s">
        <v>311</v>
      </c>
      <c r="T9" s="96" t="s">
        <v>344</v>
      </c>
      <c r="U9" s="96" t="s">
        <v>402</v>
      </c>
      <c r="V9" s="69" t="s">
        <v>309</v>
      </c>
      <c r="W9" s="69"/>
      <c r="X9" s="69"/>
      <c r="Y9" s="69" t="s">
        <v>311</v>
      </c>
      <c r="Z9" s="69" t="s">
        <v>311</v>
      </c>
      <c r="AA9" s="69"/>
      <c r="AB9" s="69"/>
      <c r="AC9" s="69"/>
      <c r="AD9" s="69"/>
      <c r="AE9" s="69"/>
      <c r="AF9" s="69"/>
      <c r="AG9" s="69"/>
      <c r="AH9" s="69"/>
      <c r="AI9" s="69"/>
      <c r="AJ9" s="69" t="s">
        <v>330</v>
      </c>
      <c r="AK9" s="69" t="s">
        <v>311</v>
      </c>
      <c r="AL9" s="69"/>
      <c r="AM9" s="69" t="s">
        <v>336</v>
      </c>
      <c r="AN9" s="69" t="s">
        <v>335</v>
      </c>
      <c r="AO9" s="69" t="s">
        <v>311</v>
      </c>
      <c r="AP9" s="69"/>
      <c r="AQ9" s="69" t="s">
        <v>311</v>
      </c>
      <c r="AR9" s="96" t="s">
        <v>309</v>
      </c>
      <c r="AS9" s="69" t="s">
        <v>327</v>
      </c>
      <c r="AT9" s="69" t="s">
        <v>336</v>
      </c>
      <c r="AU9" s="69" t="s">
        <v>309</v>
      </c>
      <c r="AV9" s="69" t="s">
        <v>311</v>
      </c>
      <c r="AW9" s="69" t="s">
        <v>323</v>
      </c>
      <c r="AX9" s="69" t="s">
        <v>362</v>
      </c>
      <c r="AY9" s="69"/>
      <c r="AZ9" s="69" t="s">
        <v>311</v>
      </c>
      <c r="BA9" s="69"/>
      <c r="BB9" s="69" t="s">
        <v>314</v>
      </c>
      <c r="BC9" s="69"/>
      <c r="BD9" s="69"/>
      <c r="BE9" s="96" t="s">
        <v>364</v>
      </c>
      <c r="BF9" s="69"/>
      <c r="BG9" s="69" t="s">
        <v>311</v>
      </c>
      <c r="BH9" s="69" t="s">
        <v>311</v>
      </c>
      <c r="BI9" s="69" t="s">
        <v>369</v>
      </c>
      <c r="BJ9" s="69" t="s">
        <v>333</v>
      </c>
      <c r="BK9" s="69"/>
      <c r="BL9" s="69" t="s">
        <v>311</v>
      </c>
      <c r="BM9" s="69" t="s">
        <v>330</v>
      </c>
    </row>
    <row r="10" spans="1:65">
      <c r="A10" s="61" t="s">
        <v>3</v>
      </c>
      <c r="B10" s="68" t="s">
        <v>169</v>
      </c>
      <c r="C10" s="66">
        <v>34.5</v>
      </c>
      <c r="D10" s="64">
        <v>52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310</v>
      </c>
      <c r="N10" s="70"/>
      <c r="O10" s="70"/>
      <c r="P10" s="70" t="s">
        <v>309</v>
      </c>
      <c r="Q10" s="70"/>
      <c r="R10" s="97" t="s">
        <v>309</v>
      </c>
      <c r="S10" s="97"/>
      <c r="T10" s="97"/>
      <c r="U10" s="70"/>
      <c r="V10" s="70"/>
      <c r="W10" s="70" t="s">
        <v>315</v>
      </c>
      <c r="X10" s="70" t="s">
        <v>323</v>
      </c>
      <c r="Y10" s="70"/>
      <c r="Z10" s="70"/>
      <c r="AA10" s="70" t="s">
        <v>311</v>
      </c>
      <c r="AB10" s="70" t="s">
        <v>327</v>
      </c>
      <c r="AC10" s="70" t="s">
        <v>311</v>
      </c>
      <c r="AD10" s="70" t="s">
        <v>319</v>
      </c>
      <c r="AE10" s="70" t="s">
        <v>311</v>
      </c>
      <c r="AF10" s="70" t="s">
        <v>349</v>
      </c>
      <c r="AG10" s="70" t="s">
        <v>322</v>
      </c>
      <c r="AH10" s="70" t="s">
        <v>323</v>
      </c>
      <c r="AI10" s="70" t="s">
        <v>315</v>
      </c>
      <c r="AJ10" s="70"/>
      <c r="AK10" s="70"/>
      <c r="AL10" s="70" t="s">
        <v>327</v>
      </c>
      <c r="AM10" s="70"/>
      <c r="AN10" s="70"/>
      <c r="AO10" s="70"/>
      <c r="AP10" s="70" t="s">
        <v>315</v>
      </c>
      <c r="AQ10" s="70"/>
      <c r="AR10" s="70"/>
      <c r="AS10" s="70"/>
      <c r="AT10" s="70"/>
      <c r="AU10" s="70"/>
      <c r="AV10" s="70"/>
      <c r="AW10" s="70"/>
      <c r="AX10" s="70"/>
      <c r="AY10" s="70" t="s">
        <v>313</v>
      </c>
      <c r="AZ10" s="70"/>
      <c r="BA10" s="70" t="s">
        <v>339</v>
      </c>
      <c r="BB10" s="70"/>
      <c r="BC10" s="70" t="s">
        <v>309</v>
      </c>
      <c r="BD10" s="70" t="s">
        <v>340</v>
      </c>
      <c r="BE10" s="70"/>
      <c r="BF10" s="70" t="s">
        <v>309</v>
      </c>
      <c r="BG10" s="70"/>
      <c r="BH10" s="70"/>
      <c r="BI10" s="70"/>
      <c r="BJ10" s="70"/>
      <c r="BK10" s="70" t="s">
        <v>309</v>
      </c>
      <c r="BL10" s="70"/>
      <c r="BM10" s="70"/>
    </row>
    <row r="11" spans="1:65">
      <c r="A11" s="59">
        <v>5</v>
      </c>
      <c r="B11" s="67" t="s">
        <v>202</v>
      </c>
      <c r="C11" s="65"/>
      <c r="D11" s="64">
        <v>23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 t="s">
        <v>309</v>
      </c>
      <c r="L11" s="69" t="s">
        <v>309</v>
      </c>
      <c r="M11" s="69"/>
      <c r="N11" s="69"/>
      <c r="O11" s="69" t="s">
        <v>309</v>
      </c>
      <c r="P11" s="69"/>
      <c r="Q11" s="69"/>
      <c r="R11" s="96"/>
      <c r="S11" s="96" t="s">
        <v>311</v>
      </c>
      <c r="T11" s="96" t="s">
        <v>344</v>
      </c>
      <c r="U11" s="69"/>
      <c r="V11" s="69" t="s">
        <v>309</v>
      </c>
      <c r="W11" s="69"/>
      <c r="X11" s="69" t="s">
        <v>325</v>
      </c>
      <c r="Y11" s="69" t="s">
        <v>311</v>
      </c>
      <c r="Z11" s="69" t="s">
        <v>311</v>
      </c>
      <c r="AA11" s="69"/>
      <c r="AB11" s="69"/>
      <c r="AC11" s="69" t="s">
        <v>311</v>
      </c>
      <c r="AD11" s="69"/>
      <c r="AE11" s="69" t="s">
        <v>311</v>
      </c>
      <c r="AF11" s="69"/>
      <c r="AG11" s="69" t="s">
        <v>323</v>
      </c>
      <c r="AH11" s="69"/>
      <c r="AI11" s="69"/>
      <c r="AJ11" s="69"/>
      <c r="AK11" s="69" t="s">
        <v>311</v>
      </c>
      <c r="AL11" s="69"/>
      <c r="AM11" s="69"/>
      <c r="AN11" s="69"/>
      <c r="AO11" s="69" t="s">
        <v>311</v>
      </c>
      <c r="AP11" s="69"/>
      <c r="AQ11" s="69"/>
      <c r="AR11" s="69" t="s">
        <v>309</v>
      </c>
      <c r="AS11" s="69" t="s">
        <v>350</v>
      </c>
      <c r="AT11" s="69"/>
      <c r="AU11" s="69"/>
      <c r="AV11" s="69" t="s">
        <v>311</v>
      </c>
      <c r="AW11" s="69"/>
      <c r="AX11" s="69"/>
      <c r="AY11" s="69"/>
      <c r="AZ11" s="69"/>
      <c r="BA11" s="69"/>
      <c r="BB11" s="69" t="s">
        <v>314</v>
      </c>
      <c r="BC11" s="69" t="s">
        <v>309</v>
      </c>
      <c r="BD11" s="69"/>
      <c r="BE11" s="96" t="s">
        <v>364</v>
      </c>
      <c r="BF11" s="69"/>
      <c r="BG11" s="69"/>
      <c r="BH11" s="69" t="s">
        <v>311</v>
      </c>
      <c r="BI11" s="69" t="s">
        <v>369</v>
      </c>
      <c r="BJ11" s="69"/>
      <c r="BK11" s="69" t="s">
        <v>309</v>
      </c>
      <c r="BL11" s="69" t="s">
        <v>311</v>
      </c>
      <c r="BM11" s="69" t="s">
        <v>331</v>
      </c>
    </row>
    <row r="12" spans="1:65">
      <c r="A12" s="61" t="s">
        <v>3</v>
      </c>
      <c r="B12" s="68" t="s">
        <v>166</v>
      </c>
      <c r="C12" s="66">
        <v>24.5</v>
      </c>
      <c r="D12" s="64">
        <v>33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310</v>
      </c>
      <c r="N12" s="70" t="s">
        <v>311</v>
      </c>
      <c r="O12" s="70"/>
      <c r="P12" s="70" t="s">
        <v>309</v>
      </c>
      <c r="Q12" s="70" t="s">
        <v>335</v>
      </c>
      <c r="R12" s="97" t="s">
        <v>309</v>
      </c>
      <c r="S12" s="97"/>
      <c r="T12" s="97"/>
      <c r="U12" s="97" t="s">
        <v>402</v>
      </c>
      <c r="V12" s="70"/>
      <c r="W12" s="70" t="s">
        <v>316</v>
      </c>
      <c r="X12" s="70"/>
      <c r="Y12" s="70"/>
      <c r="Z12" s="70"/>
      <c r="AA12" s="70" t="s">
        <v>311</v>
      </c>
      <c r="AB12" s="70" t="s">
        <v>327</v>
      </c>
      <c r="AC12" s="70"/>
      <c r="AD12" s="70" t="s">
        <v>338</v>
      </c>
      <c r="AE12" s="70"/>
      <c r="AF12" s="70" t="s">
        <v>349</v>
      </c>
      <c r="AG12" s="70"/>
      <c r="AH12" s="70" t="s">
        <v>323</v>
      </c>
      <c r="AI12" s="70" t="s">
        <v>317</v>
      </c>
      <c r="AJ12" s="70" t="s">
        <v>331</v>
      </c>
      <c r="AK12" s="70"/>
      <c r="AL12" s="70" t="s">
        <v>327</v>
      </c>
      <c r="AM12" s="70" t="s">
        <v>356</v>
      </c>
      <c r="AN12" s="70" t="s">
        <v>335</v>
      </c>
      <c r="AO12" s="70"/>
      <c r="AP12" s="70" t="s">
        <v>313</v>
      </c>
      <c r="AQ12" s="70" t="s">
        <v>311</v>
      </c>
      <c r="AR12" s="97"/>
      <c r="AS12" s="70"/>
      <c r="AT12" s="70" t="s">
        <v>336</v>
      </c>
      <c r="AU12" s="70" t="s">
        <v>309</v>
      </c>
      <c r="AV12" s="70"/>
      <c r="AW12" s="70" t="s">
        <v>318</v>
      </c>
      <c r="AX12" s="70" t="s">
        <v>363</v>
      </c>
      <c r="AY12" s="70" t="s">
        <v>367</v>
      </c>
      <c r="AZ12" s="70" t="s">
        <v>311</v>
      </c>
      <c r="BA12" s="70" t="s">
        <v>339</v>
      </c>
      <c r="BB12" s="70"/>
      <c r="BC12" s="70"/>
      <c r="BD12" s="70" t="s">
        <v>313</v>
      </c>
      <c r="BE12" s="70"/>
      <c r="BF12" s="70" t="s">
        <v>309</v>
      </c>
      <c r="BG12" s="70" t="s">
        <v>309</v>
      </c>
      <c r="BH12" s="70"/>
      <c r="BI12" s="70"/>
      <c r="BJ12" s="70" t="s">
        <v>334</v>
      </c>
      <c r="BK12" s="70"/>
      <c r="BL12" s="70"/>
      <c r="BM12" s="70"/>
    </row>
    <row r="13" spans="1:65">
      <c r="A13" s="59">
        <v>6</v>
      </c>
      <c r="B13" s="67" t="s">
        <v>209</v>
      </c>
      <c r="C13" s="65">
        <v>14.5</v>
      </c>
      <c r="D13" s="64">
        <v>34</v>
      </c>
      <c r="E13" s="64">
        <f>IF(ISBLANK($D13),"0",IF(($D14-$D13)&lt;($C14-$C13),1,0))</f>
        <v>1</v>
      </c>
      <c r="F13" s="64">
        <f t="shared" ca="1" si="1"/>
        <v>40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320</v>
      </c>
      <c r="K13" s="69" t="s">
        <v>309</v>
      </c>
      <c r="L13" s="69"/>
      <c r="M13" s="69" t="s">
        <v>310</v>
      </c>
      <c r="N13" s="69" t="s">
        <v>311</v>
      </c>
      <c r="O13" s="69" t="s">
        <v>309</v>
      </c>
      <c r="P13" s="69" t="s">
        <v>309</v>
      </c>
      <c r="Q13" s="69"/>
      <c r="R13" s="96" t="s">
        <v>309</v>
      </c>
      <c r="S13" s="96" t="s">
        <v>311</v>
      </c>
      <c r="T13" s="96" t="s">
        <v>344</v>
      </c>
      <c r="U13" s="69"/>
      <c r="V13" s="69"/>
      <c r="W13" s="69" t="s">
        <v>317</v>
      </c>
      <c r="X13" s="69"/>
      <c r="Y13" s="69" t="s">
        <v>311</v>
      </c>
      <c r="Z13" s="69" t="s">
        <v>311</v>
      </c>
      <c r="AA13" s="69" t="s">
        <v>311</v>
      </c>
      <c r="AB13" s="69" t="s">
        <v>327</v>
      </c>
      <c r="AC13" s="69" t="s">
        <v>311</v>
      </c>
      <c r="AD13" s="69"/>
      <c r="AE13" s="69" t="s">
        <v>311</v>
      </c>
      <c r="AF13" s="69" t="s">
        <v>349</v>
      </c>
      <c r="AG13" s="69" t="s">
        <v>331</v>
      </c>
      <c r="AH13" s="69" t="s">
        <v>315</v>
      </c>
      <c r="AI13" s="69"/>
      <c r="AJ13" s="69" t="s">
        <v>332</v>
      </c>
      <c r="AK13" s="69"/>
      <c r="AL13" s="69"/>
      <c r="AM13" s="69" t="s">
        <v>327</v>
      </c>
      <c r="AN13" s="69" t="s">
        <v>335</v>
      </c>
      <c r="AO13" s="69" t="s">
        <v>311</v>
      </c>
      <c r="AP13" s="69" t="s">
        <v>325</v>
      </c>
      <c r="AQ13" s="69" t="s">
        <v>311</v>
      </c>
      <c r="AR13" s="96" t="s">
        <v>309</v>
      </c>
      <c r="AS13" s="69" t="s">
        <v>332</v>
      </c>
      <c r="AT13" s="69" t="s">
        <v>336</v>
      </c>
      <c r="AU13" s="69" t="s">
        <v>309</v>
      </c>
      <c r="AV13" s="69" t="s">
        <v>311</v>
      </c>
      <c r="AW13" s="69" t="s">
        <v>340</v>
      </c>
      <c r="AX13" s="69"/>
      <c r="AY13" s="69" t="s">
        <v>313</v>
      </c>
      <c r="AZ13" s="69"/>
      <c r="BA13" s="69"/>
      <c r="BB13" s="69" t="s">
        <v>314</v>
      </c>
      <c r="BC13" s="69"/>
      <c r="BD13" s="69" t="s">
        <v>325</v>
      </c>
      <c r="BE13" s="96" t="s">
        <v>364</v>
      </c>
      <c r="BF13" s="69" t="s">
        <v>309</v>
      </c>
      <c r="BG13" s="69" t="s">
        <v>309</v>
      </c>
      <c r="BH13" s="69" t="s">
        <v>311</v>
      </c>
      <c r="BI13" s="69"/>
      <c r="BJ13" s="69" t="s">
        <v>326</v>
      </c>
      <c r="BK13" s="69"/>
      <c r="BL13" s="69" t="s">
        <v>311</v>
      </c>
      <c r="BM13" s="69" t="s">
        <v>332</v>
      </c>
    </row>
    <row r="14" spans="1:65">
      <c r="A14" s="61" t="s">
        <v>3</v>
      </c>
      <c r="B14" s="68" t="s">
        <v>223</v>
      </c>
      <c r="C14" s="66"/>
      <c r="D14" s="64">
        <v>17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309</v>
      </c>
      <c r="M14" s="70"/>
      <c r="N14" s="70"/>
      <c r="O14" s="70"/>
      <c r="P14" s="70"/>
      <c r="Q14" s="70" t="s">
        <v>335</v>
      </c>
      <c r="R14" s="97"/>
      <c r="S14" s="97"/>
      <c r="T14" s="97"/>
      <c r="U14" s="97" t="s">
        <v>402</v>
      </c>
      <c r="V14" s="70" t="s">
        <v>309</v>
      </c>
      <c r="W14" s="70"/>
      <c r="X14" s="70" t="s">
        <v>325</v>
      </c>
      <c r="Y14" s="70"/>
      <c r="Z14" s="70"/>
      <c r="AA14" s="70"/>
      <c r="AB14" s="70"/>
      <c r="AC14" s="70"/>
      <c r="AD14" s="70" t="s">
        <v>323</v>
      </c>
      <c r="AE14" s="70"/>
      <c r="AF14" s="70"/>
      <c r="AG14" s="70"/>
      <c r="AH14" s="70"/>
      <c r="AI14" s="70" t="s">
        <v>318</v>
      </c>
      <c r="AJ14" s="70"/>
      <c r="AK14" s="70" t="s">
        <v>311</v>
      </c>
      <c r="AL14" s="70" t="s">
        <v>327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 t="s">
        <v>320</v>
      </c>
      <c r="AY14" s="70"/>
      <c r="AZ14" s="70" t="s">
        <v>311</v>
      </c>
      <c r="BA14" s="70" t="s">
        <v>339</v>
      </c>
      <c r="BB14" s="70"/>
      <c r="BC14" s="70" t="s">
        <v>309</v>
      </c>
      <c r="BD14" s="70"/>
      <c r="BE14" s="70"/>
      <c r="BF14" s="70"/>
      <c r="BG14" s="70"/>
      <c r="BH14" s="70"/>
      <c r="BI14" s="70" t="s">
        <v>369</v>
      </c>
      <c r="BJ14" s="70"/>
      <c r="BK14" s="70" t="s">
        <v>309</v>
      </c>
      <c r="BL14" s="70"/>
      <c r="BM14" s="70"/>
    </row>
    <row r="15" spans="1:65">
      <c r="A15" s="59">
        <v>7</v>
      </c>
      <c r="B15" s="67" t="s">
        <v>162</v>
      </c>
      <c r="C15" s="65">
        <v>17.5</v>
      </c>
      <c r="D15" s="64">
        <v>37</v>
      </c>
      <c r="E15" s="64">
        <f>IF(ISBLANK($D15),"0",IF(($D16-$D15)&lt;($C16-$C15),1,0))</f>
        <v>0</v>
      </c>
      <c r="F15" s="64">
        <f t="shared" ca="1" si="1"/>
        <v>31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309</v>
      </c>
      <c r="M15" s="69" t="s">
        <v>310</v>
      </c>
      <c r="N15" s="69" t="s">
        <v>311</v>
      </c>
      <c r="O15" s="69"/>
      <c r="P15" s="69" t="s">
        <v>309</v>
      </c>
      <c r="Q15" s="69"/>
      <c r="R15" s="96" t="s">
        <v>309</v>
      </c>
      <c r="S15" s="96" t="s">
        <v>311</v>
      </c>
      <c r="T15" s="96"/>
      <c r="U15" s="96" t="s">
        <v>402</v>
      </c>
      <c r="V15" s="69" t="s">
        <v>309</v>
      </c>
      <c r="W15" s="69" t="s">
        <v>318</v>
      </c>
      <c r="X15" s="69" t="s">
        <v>323</v>
      </c>
      <c r="Y15" s="69" t="s">
        <v>311</v>
      </c>
      <c r="Z15" s="69"/>
      <c r="AA15" s="69"/>
      <c r="AB15" s="69" t="s">
        <v>327</v>
      </c>
      <c r="AC15" s="69"/>
      <c r="AD15" s="69"/>
      <c r="AE15" s="69"/>
      <c r="AF15" s="69"/>
      <c r="AG15" s="69" t="s">
        <v>323</v>
      </c>
      <c r="AH15" s="69"/>
      <c r="AI15" s="69"/>
      <c r="AJ15" s="69"/>
      <c r="AK15" s="69"/>
      <c r="AL15" s="69"/>
      <c r="AM15" s="69" t="s">
        <v>328</v>
      </c>
      <c r="AN15" s="69" t="s">
        <v>335</v>
      </c>
      <c r="AO15" s="69" t="s">
        <v>311</v>
      </c>
      <c r="AP15" s="69"/>
      <c r="AQ15" s="69"/>
      <c r="AR15" s="69"/>
      <c r="AS15" s="69"/>
      <c r="AT15" s="69" t="s">
        <v>336</v>
      </c>
      <c r="AU15" s="69" t="s">
        <v>309</v>
      </c>
      <c r="AV15" s="69" t="s">
        <v>311</v>
      </c>
      <c r="AW15" s="69" t="s">
        <v>315</v>
      </c>
      <c r="AX15" s="69"/>
      <c r="AY15" s="69" t="s">
        <v>360</v>
      </c>
      <c r="AZ15" s="69" t="s">
        <v>311</v>
      </c>
      <c r="BA15" s="69" t="s">
        <v>339</v>
      </c>
      <c r="BB15" s="69" t="s">
        <v>314</v>
      </c>
      <c r="BC15" s="69"/>
      <c r="BD15" s="69"/>
      <c r="BE15" s="96"/>
      <c r="BF15" s="69" t="s">
        <v>309</v>
      </c>
      <c r="BG15" s="69" t="s">
        <v>311</v>
      </c>
      <c r="BH15" s="69" t="s">
        <v>311</v>
      </c>
      <c r="BI15" s="69" t="s">
        <v>369</v>
      </c>
      <c r="BJ15" s="69" t="s">
        <v>365</v>
      </c>
      <c r="BK15" s="69"/>
      <c r="BL15" s="69" t="s">
        <v>311</v>
      </c>
      <c r="BM15" s="69" t="s">
        <v>331</v>
      </c>
    </row>
    <row r="16" spans="1:65">
      <c r="A16" s="61" t="s">
        <v>3</v>
      </c>
      <c r="B16" s="68" t="s">
        <v>154</v>
      </c>
      <c r="C16" s="66"/>
      <c r="D16" s="64">
        <v>31</v>
      </c>
      <c r="E16" s="64">
        <f>IF(ISBLANK($D16),"0",IF(($D16-$D15)&gt;($C16-$C15),1,0))</f>
        <v>1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/>
      <c r="M16" s="70"/>
      <c r="N16" s="70"/>
      <c r="O16" s="70" t="s">
        <v>309</v>
      </c>
      <c r="P16" s="70"/>
      <c r="Q16" s="70" t="s">
        <v>335</v>
      </c>
      <c r="R16" s="70"/>
      <c r="S16" s="70"/>
      <c r="T16" s="70" t="s">
        <v>344</v>
      </c>
      <c r="U16" s="70"/>
      <c r="V16" s="70"/>
      <c r="W16" s="70"/>
      <c r="X16" s="70"/>
      <c r="Y16" s="70"/>
      <c r="Z16" s="70" t="s">
        <v>311</v>
      </c>
      <c r="AA16" s="70" t="s">
        <v>311</v>
      </c>
      <c r="AB16" s="70"/>
      <c r="AC16" s="70" t="s">
        <v>311</v>
      </c>
      <c r="AD16" s="70" t="s">
        <v>347</v>
      </c>
      <c r="AE16" s="70" t="s">
        <v>311</v>
      </c>
      <c r="AF16" s="70" t="s">
        <v>349</v>
      </c>
      <c r="AG16" s="70"/>
      <c r="AH16" s="70" t="s">
        <v>354</v>
      </c>
      <c r="AI16" s="70" t="s">
        <v>355</v>
      </c>
      <c r="AJ16" s="70" t="s">
        <v>331</v>
      </c>
      <c r="AK16" s="70" t="s">
        <v>311</v>
      </c>
      <c r="AL16" s="70" t="s">
        <v>327</v>
      </c>
      <c r="AM16" s="70"/>
      <c r="AN16" s="70"/>
      <c r="AO16" s="70"/>
      <c r="AP16" s="70" t="s">
        <v>336</v>
      </c>
      <c r="AQ16" s="70" t="s">
        <v>311</v>
      </c>
      <c r="AR16" s="97" t="s">
        <v>309</v>
      </c>
      <c r="AS16" s="70" t="s">
        <v>332</v>
      </c>
      <c r="AT16" s="70"/>
      <c r="AU16" s="70"/>
      <c r="AV16" s="70"/>
      <c r="AW16" s="70"/>
      <c r="AX16" s="70" t="s">
        <v>321</v>
      </c>
      <c r="AY16" s="70"/>
      <c r="AZ16" s="70"/>
      <c r="BA16" s="70"/>
      <c r="BB16" s="70"/>
      <c r="BC16" s="70" t="s">
        <v>309</v>
      </c>
      <c r="BD16" s="70" t="s">
        <v>341</v>
      </c>
      <c r="BE16" s="70" t="s">
        <v>364</v>
      </c>
      <c r="BF16" s="70"/>
      <c r="BG16" s="70"/>
      <c r="BH16" s="70"/>
      <c r="BI16" s="70"/>
      <c r="BJ16" s="70"/>
      <c r="BK16" s="70" t="s">
        <v>309</v>
      </c>
      <c r="BL16" s="70"/>
      <c r="BM16" s="70"/>
    </row>
    <row r="17" spans="1:65">
      <c r="A17" s="59">
        <v>8</v>
      </c>
      <c r="B17" s="67" t="s">
        <v>212</v>
      </c>
      <c r="C17" s="65"/>
      <c r="D17" s="64">
        <v>24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320</v>
      </c>
      <c r="K17" s="69"/>
      <c r="L17" s="69"/>
      <c r="M17" s="69"/>
      <c r="N17" s="69"/>
      <c r="O17" s="69" t="s">
        <v>309</v>
      </c>
      <c r="P17" s="69"/>
      <c r="Q17" s="69"/>
      <c r="R17" s="69"/>
      <c r="S17" s="69" t="s">
        <v>311</v>
      </c>
      <c r="T17" s="69" t="s">
        <v>344</v>
      </c>
      <c r="U17" s="69"/>
      <c r="V17" s="69"/>
      <c r="W17" s="69"/>
      <c r="X17" s="69"/>
      <c r="Y17" s="69"/>
      <c r="Z17" s="69"/>
      <c r="AA17" s="69" t="s">
        <v>311</v>
      </c>
      <c r="AB17" s="69" t="s">
        <v>327</v>
      </c>
      <c r="AC17" s="69"/>
      <c r="AD17" s="69" t="s">
        <v>313</v>
      </c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 t="s">
        <v>350</v>
      </c>
      <c r="AT17" s="69"/>
      <c r="AU17" s="69"/>
      <c r="AV17" s="69"/>
      <c r="AW17" s="69"/>
      <c r="AX17" s="69"/>
      <c r="AY17" s="69"/>
      <c r="AZ17" s="69" t="s">
        <v>311</v>
      </c>
      <c r="BA17" s="69" t="s">
        <v>339</v>
      </c>
      <c r="BB17" s="69"/>
      <c r="BC17" s="69"/>
      <c r="BD17" s="69"/>
      <c r="BE17" s="69"/>
      <c r="BF17" s="69"/>
      <c r="BG17" s="69" t="s">
        <v>311</v>
      </c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144</v>
      </c>
      <c r="C18" s="66">
        <v>4.5</v>
      </c>
      <c r="D18" s="64">
        <v>28</v>
      </c>
      <c r="E18" s="64">
        <f>IF(ISBLANK($D18),"0",IF(($D18-$D17)&gt;($C18-$C17),1,0))</f>
        <v>0</v>
      </c>
      <c r="F18" s="64">
        <f t="shared" ca="1" si="1"/>
        <v>45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309</v>
      </c>
      <c r="L18" s="70" t="s">
        <v>309</v>
      </c>
      <c r="M18" s="70" t="s">
        <v>310</v>
      </c>
      <c r="N18" s="70" t="s">
        <v>311</v>
      </c>
      <c r="O18" s="70"/>
      <c r="P18" s="70" t="s">
        <v>309</v>
      </c>
      <c r="Q18" s="70" t="s">
        <v>335</v>
      </c>
      <c r="R18" s="70" t="s">
        <v>309</v>
      </c>
      <c r="S18" s="70"/>
      <c r="T18" s="70"/>
      <c r="U18" s="97" t="s">
        <v>402</v>
      </c>
      <c r="V18" s="70" t="s">
        <v>309</v>
      </c>
      <c r="W18" s="70" t="s">
        <v>319</v>
      </c>
      <c r="X18" s="70" t="s">
        <v>325</v>
      </c>
      <c r="Y18" s="70" t="s">
        <v>311</v>
      </c>
      <c r="Z18" s="70" t="s">
        <v>311</v>
      </c>
      <c r="AA18" s="70"/>
      <c r="AB18" s="70"/>
      <c r="AC18" s="70" t="s">
        <v>311</v>
      </c>
      <c r="AD18" s="70"/>
      <c r="AE18" s="70" t="s">
        <v>311</v>
      </c>
      <c r="AF18" s="70" t="s">
        <v>349</v>
      </c>
      <c r="AG18" s="70" t="s">
        <v>351</v>
      </c>
      <c r="AH18" s="70" t="s">
        <v>314</v>
      </c>
      <c r="AI18" s="70" t="s">
        <v>337</v>
      </c>
      <c r="AJ18" s="70" t="s">
        <v>333</v>
      </c>
      <c r="AK18" s="70" t="s">
        <v>311</v>
      </c>
      <c r="AL18" s="70" t="s">
        <v>327</v>
      </c>
      <c r="AM18" s="70" t="s">
        <v>327</v>
      </c>
      <c r="AN18" s="70" t="s">
        <v>335</v>
      </c>
      <c r="AO18" s="70" t="s">
        <v>311</v>
      </c>
      <c r="AP18" s="70" t="s">
        <v>337</v>
      </c>
      <c r="AQ18" s="70" t="s">
        <v>311</v>
      </c>
      <c r="AR18" s="70" t="s">
        <v>309</v>
      </c>
      <c r="AS18" s="70"/>
      <c r="AT18" s="70" t="s">
        <v>336</v>
      </c>
      <c r="AU18" s="70" t="s">
        <v>309</v>
      </c>
      <c r="AV18" s="70" t="s">
        <v>311</v>
      </c>
      <c r="AW18" s="70" t="s">
        <v>337</v>
      </c>
      <c r="AX18" s="70" t="s">
        <v>321</v>
      </c>
      <c r="AY18" s="70" t="s">
        <v>323</v>
      </c>
      <c r="AZ18" s="70"/>
      <c r="BA18" s="70"/>
      <c r="BB18" s="70" t="s">
        <v>314</v>
      </c>
      <c r="BC18" s="70" t="s">
        <v>309</v>
      </c>
      <c r="BD18" s="70" t="s">
        <v>313</v>
      </c>
      <c r="BE18" s="97" t="s">
        <v>364</v>
      </c>
      <c r="BF18" s="70" t="s">
        <v>309</v>
      </c>
      <c r="BG18" s="70"/>
      <c r="BH18" s="70" t="s">
        <v>311</v>
      </c>
      <c r="BI18" s="70" t="s">
        <v>369</v>
      </c>
      <c r="BJ18" s="70" t="s">
        <v>348</v>
      </c>
      <c r="BK18" s="70" t="s">
        <v>309</v>
      </c>
      <c r="BL18" s="70" t="s">
        <v>311</v>
      </c>
      <c r="BM18" s="70" t="s">
        <v>333</v>
      </c>
    </row>
    <row r="19" spans="1:65">
      <c r="A19" s="59">
        <v>9</v>
      </c>
      <c r="B19" s="67" t="s">
        <v>164</v>
      </c>
      <c r="C19" s="65"/>
      <c r="D19" s="64">
        <v>13</v>
      </c>
      <c r="E19" s="64">
        <f>IF(ISBLANK($D19),"0",IF(($D20-$D19)&lt;($C20-$C19),1,0))</f>
        <v>0</v>
      </c>
      <c r="F19" s="64">
        <f t="shared" ca="1" si="1"/>
        <v>23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309</v>
      </c>
      <c r="M19" s="69" t="s">
        <v>310</v>
      </c>
      <c r="N19" s="69" t="s">
        <v>311</v>
      </c>
      <c r="O19" s="69" t="s">
        <v>309</v>
      </c>
      <c r="P19" s="69"/>
      <c r="Q19" s="69"/>
      <c r="R19" s="69"/>
      <c r="S19" s="69"/>
      <c r="T19" s="69"/>
      <c r="U19" s="96" t="s">
        <v>402</v>
      </c>
      <c r="V19" s="69" t="s">
        <v>309</v>
      </c>
      <c r="W19" s="69"/>
      <c r="X19" s="69" t="s">
        <v>317</v>
      </c>
      <c r="Y19" s="69"/>
      <c r="Z19" s="69"/>
      <c r="AA19" s="69" t="s">
        <v>311</v>
      </c>
      <c r="AB19" s="69"/>
      <c r="AC19" s="69"/>
      <c r="AD19" s="69" t="s">
        <v>348</v>
      </c>
      <c r="AE19" s="69" t="s">
        <v>311</v>
      </c>
      <c r="AF19" s="69"/>
      <c r="AG19" s="69"/>
      <c r="AH19" s="69"/>
      <c r="AI19" s="69" t="s">
        <v>313</v>
      </c>
      <c r="AJ19" s="69"/>
      <c r="AK19" s="69"/>
      <c r="AL19" s="69" t="s">
        <v>327</v>
      </c>
      <c r="AM19" s="69" t="s">
        <v>357</v>
      </c>
      <c r="AN19" s="69"/>
      <c r="AO19" s="69"/>
      <c r="AP19" s="69"/>
      <c r="AQ19" s="69"/>
      <c r="AR19" s="69" t="s">
        <v>309</v>
      </c>
      <c r="AS19" s="69" t="s">
        <v>329</v>
      </c>
      <c r="AT19" s="69" t="s">
        <v>336</v>
      </c>
      <c r="AU19" s="69"/>
      <c r="AV19" s="69" t="s">
        <v>311</v>
      </c>
      <c r="AW19" s="69" t="s">
        <v>340</v>
      </c>
      <c r="AX19" s="69"/>
      <c r="AY19" s="69"/>
      <c r="AZ19" s="69"/>
      <c r="BA19" s="69"/>
      <c r="BB19" s="69"/>
      <c r="BC19" s="69"/>
      <c r="BD19" s="69" t="s">
        <v>314</v>
      </c>
      <c r="BE19" s="69" t="s">
        <v>364</v>
      </c>
      <c r="BF19" s="69" t="s">
        <v>309</v>
      </c>
      <c r="BG19" s="69" t="s">
        <v>311</v>
      </c>
      <c r="BH19" s="69"/>
      <c r="BI19" s="69" t="s">
        <v>369</v>
      </c>
      <c r="BJ19" s="69"/>
      <c r="BK19" s="69"/>
      <c r="BL19" s="69"/>
      <c r="BM19" s="69"/>
    </row>
    <row r="20" spans="1:65">
      <c r="A20" s="61" t="s">
        <v>3</v>
      </c>
      <c r="B20" s="68" t="s">
        <v>199</v>
      </c>
      <c r="C20" s="66">
        <v>3.5</v>
      </c>
      <c r="D20" s="64">
        <v>31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320</v>
      </c>
      <c r="K20" s="70" t="s">
        <v>309</v>
      </c>
      <c r="L20" s="70"/>
      <c r="M20" s="70"/>
      <c r="N20" s="70"/>
      <c r="O20" s="70"/>
      <c r="P20" s="70" t="s">
        <v>309</v>
      </c>
      <c r="Q20" s="70" t="s">
        <v>335</v>
      </c>
      <c r="R20" s="70" t="s">
        <v>309</v>
      </c>
      <c r="S20" s="70" t="s">
        <v>311</v>
      </c>
      <c r="T20" s="70" t="s">
        <v>344</v>
      </c>
      <c r="U20" s="70"/>
      <c r="V20" s="70"/>
      <c r="W20" s="70" t="s">
        <v>320</v>
      </c>
      <c r="X20" s="70"/>
      <c r="Y20" s="70" t="s">
        <v>311</v>
      </c>
      <c r="Z20" s="70" t="s">
        <v>311</v>
      </c>
      <c r="AA20" s="70"/>
      <c r="AB20" s="70" t="s">
        <v>327</v>
      </c>
      <c r="AC20" s="70" t="s">
        <v>311</v>
      </c>
      <c r="AD20" s="70"/>
      <c r="AE20" s="70"/>
      <c r="AF20" s="70" t="s">
        <v>349</v>
      </c>
      <c r="AG20" s="70" t="s">
        <v>313</v>
      </c>
      <c r="AH20" s="70" t="s">
        <v>346</v>
      </c>
      <c r="AI20" s="70"/>
      <c r="AJ20" s="70" t="s">
        <v>334</v>
      </c>
      <c r="AK20" s="70" t="s">
        <v>311</v>
      </c>
      <c r="AL20" s="70"/>
      <c r="AM20" s="70"/>
      <c r="AN20" s="70" t="s">
        <v>335</v>
      </c>
      <c r="AO20" s="70" t="s">
        <v>311</v>
      </c>
      <c r="AP20" s="70" t="s">
        <v>338</v>
      </c>
      <c r="AQ20" s="70" t="s">
        <v>311</v>
      </c>
      <c r="AR20" s="97"/>
      <c r="AS20" s="70"/>
      <c r="AT20" s="70"/>
      <c r="AU20" s="70" t="s">
        <v>309</v>
      </c>
      <c r="AV20" s="70"/>
      <c r="AW20" s="70"/>
      <c r="AX20" s="70" t="s">
        <v>321</v>
      </c>
      <c r="AY20" s="70" t="s">
        <v>321</v>
      </c>
      <c r="AZ20" s="70" t="s">
        <v>311</v>
      </c>
      <c r="BA20" s="70" t="s">
        <v>339</v>
      </c>
      <c r="BB20" s="70" t="s">
        <v>314</v>
      </c>
      <c r="BC20" s="70" t="s">
        <v>309</v>
      </c>
      <c r="BD20" s="70"/>
      <c r="BE20" s="97"/>
      <c r="BF20" s="70"/>
      <c r="BG20" s="70"/>
      <c r="BH20" s="70" t="s">
        <v>311</v>
      </c>
      <c r="BI20" s="70"/>
      <c r="BJ20" s="70" t="s">
        <v>366</v>
      </c>
      <c r="BK20" s="70" t="s">
        <v>309</v>
      </c>
      <c r="BL20" s="70" t="s">
        <v>311</v>
      </c>
      <c r="BM20" s="70" t="s">
        <v>334</v>
      </c>
    </row>
    <row r="21" spans="1:65">
      <c r="A21" s="59">
        <v>10</v>
      </c>
      <c r="B21" s="67" t="s">
        <v>163</v>
      </c>
      <c r="C21" s="65"/>
      <c r="D21" s="64">
        <v>21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310</v>
      </c>
      <c r="N21" s="69"/>
      <c r="O21" s="69"/>
      <c r="P21" s="69"/>
      <c r="Q21" s="69" t="s">
        <v>335</v>
      </c>
      <c r="R21" s="69"/>
      <c r="S21" s="69" t="s">
        <v>311</v>
      </c>
      <c r="T21" s="69"/>
      <c r="U21" s="96" t="s">
        <v>402</v>
      </c>
      <c r="V21" s="69" t="s">
        <v>309</v>
      </c>
      <c r="W21" s="69" t="s">
        <v>321</v>
      </c>
      <c r="X21" s="69"/>
      <c r="Y21" s="69" t="s">
        <v>311</v>
      </c>
      <c r="Z21" s="69" t="s">
        <v>311</v>
      </c>
      <c r="AA21" s="69" t="s">
        <v>311</v>
      </c>
      <c r="AB21" s="69" t="s">
        <v>327</v>
      </c>
      <c r="AC21" s="69"/>
      <c r="AD21" s="69" t="s">
        <v>321</v>
      </c>
      <c r="AE21" s="69" t="s">
        <v>311</v>
      </c>
      <c r="AF21" s="69" t="s">
        <v>349</v>
      </c>
      <c r="AG21" s="69" t="s">
        <v>325</v>
      </c>
      <c r="AH21" s="69" t="s">
        <v>346</v>
      </c>
      <c r="AI21" s="69" t="s">
        <v>320</v>
      </c>
      <c r="AJ21" s="69"/>
      <c r="AK21" s="69"/>
      <c r="AL21" s="69" t="s">
        <v>327</v>
      </c>
      <c r="AM21" s="69" t="s">
        <v>322</v>
      </c>
      <c r="AN21" s="69"/>
      <c r="AO21" s="69" t="s">
        <v>311</v>
      </c>
      <c r="AP21" s="69" t="s">
        <v>313</v>
      </c>
      <c r="AQ21" s="69"/>
      <c r="AR21" s="96" t="s">
        <v>309</v>
      </c>
      <c r="AS21" s="69" t="s">
        <v>331</v>
      </c>
      <c r="AT21" s="69" t="s">
        <v>336</v>
      </c>
      <c r="AU21" s="69" t="s">
        <v>309</v>
      </c>
      <c r="AV21" s="69"/>
      <c r="AW21" s="69" t="s">
        <v>360</v>
      </c>
      <c r="AX21" s="69"/>
      <c r="AY21" s="69" t="s">
        <v>368</v>
      </c>
      <c r="AZ21" s="69" t="s">
        <v>311</v>
      </c>
      <c r="BA21" s="69"/>
      <c r="BB21" s="69" t="s">
        <v>314</v>
      </c>
      <c r="BC21" s="69" t="s">
        <v>309</v>
      </c>
      <c r="BD21" s="69" t="s">
        <v>325</v>
      </c>
      <c r="BE21" s="96"/>
      <c r="BF21" s="69" t="s">
        <v>309</v>
      </c>
      <c r="BG21" s="69" t="s">
        <v>311</v>
      </c>
      <c r="BH21" s="69" t="s">
        <v>311</v>
      </c>
      <c r="BI21" s="69" t="s">
        <v>369</v>
      </c>
      <c r="BJ21" s="69"/>
      <c r="BK21" s="69"/>
      <c r="BL21" s="69" t="s">
        <v>311</v>
      </c>
      <c r="BM21" s="69"/>
    </row>
    <row r="22" spans="1:65">
      <c r="A22" s="61" t="s">
        <v>3</v>
      </c>
      <c r="B22" s="68" t="s">
        <v>155</v>
      </c>
      <c r="C22" s="66">
        <v>7.5</v>
      </c>
      <c r="D22" s="64">
        <v>45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 t="s">
        <v>309</v>
      </c>
      <c r="L22" s="70" t="s">
        <v>309</v>
      </c>
      <c r="M22" s="70"/>
      <c r="N22" s="70" t="s">
        <v>311</v>
      </c>
      <c r="O22" s="70" t="s">
        <v>309</v>
      </c>
      <c r="P22" s="70" t="s">
        <v>328</v>
      </c>
      <c r="Q22" s="70"/>
      <c r="R22" s="70" t="s">
        <v>309</v>
      </c>
      <c r="S22" s="70"/>
      <c r="T22" s="70" t="s">
        <v>344</v>
      </c>
      <c r="U22" s="70"/>
      <c r="V22" s="70"/>
      <c r="W22" s="70"/>
      <c r="X22" s="70" t="s">
        <v>326</v>
      </c>
      <c r="Y22" s="70"/>
      <c r="Z22" s="70"/>
      <c r="AA22" s="70"/>
      <c r="AB22" s="70"/>
      <c r="AC22" s="70" t="s">
        <v>311</v>
      </c>
      <c r="AD22" s="70"/>
      <c r="AE22" s="70"/>
      <c r="AF22" s="70"/>
      <c r="AG22" s="70"/>
      <c r="AH22" s="70"/>
      <c r="AI22" s="70"/>
      <c r="AJ22" s="70" t="s">
        <v>321</v>
      </c>
      <c r="AK22" s="70" t="s">
        <v>311</v>
      </c>
      <c r="AL22" s="70"/>
      <c r="AM22" s="70"/>
      <c r="AN22" s="70" t="s">
        <v>335</v>
      </c>
      <c r="AO22" s="70"/>
      <c r="AP22" s="70"/>
      <c r="AQ22" s="70" t="s">
        <v>311</v>
      </c>
      <c r="AR22" s="70"/>
      <c r="AS22" s="70"/>
      <c r="AT22" s="70"/>
      <c r="AU22" s="70"/>
      <c r="AV22" s="70" t="s">
        <v>311</v>
      </c>
      <c r="AW22" s="70"/>
      <c r="AX22" s="70" t="s">
        <v>321</v>
      </c>
      <c r="AY22" s="70"/>
      <c r="AZ22" s="70"/>
      <c r="BA22" s="70" t="s">
        <v>339</v>
      </c>
      <c r="BB22" s="70"/>
      <c r="BC22" s="70"/>
      <c r="BD22" s="70"/>
      <c r="BE22" s="70" t="s">
        <v>364</v>
      </c>
      <c r="BF22" s="70"/>
      <c r="BG22" s="70"/>
      <c r="BH22" s="70"/>
      <c r="BI22" s="70"/>
      <c r="BJ22" s="70" t="s">
        <v>321</v>
      </c>
      <c r="BK22" s="70" t="s">
        <v>309</v>
      </c>
      <c r="BL22" s="70"/>
      <c r="BM22" s="70" t="s">
        <v>321</v>
      </c>
    </row>
    <row r="23" spans="1:6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14</v>
      </c>
      <c r="L23" s="78">
        <v>13</v>
      </c>
      <c r="M23" s="78">
        <v>31</v>
      </c>
      <c r="N23" s="80">
        <v>17</v>
      </c>
      <c r="O23" s="78">
        <v>21</v>
      </c>
      <c r="P23" s="78">
        <v>14</v>
      </c>
      <c r="Q23" s="78">
        <v>28</v>
      </c>
      <c r="R23" s="78">
        <v>35</v>
      </c>
      <c r="S23" s="78">
        <v>17</v>
      </c>
      <c r="T23" s="78">
        <v>21</v>
      </c>
      <c r="U23" s="78"/>
      <c r="V23" s="78">
        <v>28</v>
      </c>
      <c r="W23" s="78">
        <v>28</v>
      </c>
      <c r="X23" s="78">
        <v>20</v>
      </c>
      <c r="Y23" s="78">
        <v>28</v>
      </c>
      <c r="Z23" s="78">
        <v>31</v>
      </c>
      <c r="AA23" s="78">
        <v>24</v>
      </c>
      <c r="AB23" s="78">
        <v>30</v>
      </c>
      <c r="AC23" s="78">
        <v>20</v>
      </c>
      <c r="AD23" s="78">
        <v>21</v>
      </c>
      <c r="AE23" s="78">
        <v>24</v>
      </c>
      <c r="AF23" s="78">
        <v>21</v>
      </c>
      <c r="AG23" s="78">
        <v>31</v>
      </c>
      <c r="AH23" s="78">
        <v>31</v>
      </c>
      <c r="AI23" s="78">
        <v>28</v>
      </c>
      <c r="AJ23" s="78">
        <v>14</v>
      </c>
      <c r="AK23" s="78">
        <v>21</v>
      </c>
      <c r="AL23" s="78">
        <v>24</v>
      </c>
      <c r="AM23" s="78">
        <v>27</v>
      </c>
      <c r="AN23" s="78">
        <v>21</v>
      </c>
      <c r="AO23" s="78">
        <v>27</v>
      </c>
      <c r="AP23" s="78">
        <v>31</v>
      </c>
      <c r="AQ23" s="78">
        <v>20</v>
      </c>
      <c r="AR23" s="78">
        <v>31</v>
      </c>
      <c r="AS23" s="78">
        <v>17</v>
      </c>
      <c r="AT23" s="78">
        <v>35</v>
      </c>
      <c r="AU23" s="78">
        <v>31</v>
      </c>
      <c r="AV23" s="78">
        <v>14</v>
      </c>
      <c r="AW23" s="78">
        <v>17</v>
      </c>
      <c r="AX23" s="78">
        <v>14</v>
      </c>
      <c r="AY23" s="78">
        <v>23</v>
      </c>
      <c r="AZ23" s="78">
        <v>21</v>
      </c>
      <c r="BA23" s="78">
        <v>52</v>
      </c>
      <c r="BB23" s="78">
        <v>17</v>
      </c>
      <c r="BC23" s="78">
        <v>28</v>
      </c>
      <c r="BD23" s="78">
        <v>17</v>
      </c>
      <c r="BE23" s="78">
        <v>28</v>
      </c>
      <c r="BF23" s="78">
        <v>24</v>
      </c>
      <c r="BG23" s="78">
        <v>31</v>
      </c>
      <c r="BH23" s="78">
        <v>34</v>
      </c>
      <c r="BI23" s="78"/>
      <c r="BJ23" s="78">
        <v>17</v>
      </c>
      <c r="BK23" s="78">
        <v>21</v>
      </c>
      <c r="BL23" s="78">
        <v>24</v>
      </c>
      <c r="BM23" s="78">
        <v>28</v>
      </c>
    </row>
    <row r="24" spans="1:6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35</v>
      </c>
      <c r="L24" s="79">
        <v>27</v>
      </c>
      <c r="M24" s="79">
        <v>24</v>
      </c>
      <c r="N24" s="79">
        <v>35</v>
      </c>
      <c r="O24" s="79">
        <v>31</v>
      </c>
      <c r="P24" s="79">
        <v>27</v>
      </c>
      <c r="Q24" s="79">
        <v>14</v>
      </c>
      <c r="R24" s="79">
        <v>45</v>
      </c>
      <c r="S24" s="79">
        <v>20</v>
      </c>
      <c r="T24" s="79">
        <v>34</v>
      </c>
      <c r="U24" s="79"/>
      <c r="V24" s="79">
        <v>35</v>
      </c>
      <c r="W24" s="79">
        <v>27</v>
      </c>
      <c r="X24" s="79">
        <v>30</v>
      </c>
      <c r="Y24" s="79">
        <v>24</v>
      </c>
      <c r="Z24" s="79">
        <v>34</v>
      </c>
      <c r="AA24" s="79">
        <v>28</v>
      </c>
      <c r="AB24" s="79">
        <v>27</v>
      </c>
      <c r="AC24" s="79">
        <v>28</v>
      </c>
      <c r="AD24" s="79">
        <v>24</v>
      </c>
      <c r="AE24" s="79">
        <v>31</v>
      </c>
      <c r="AF24" s="79">
        <v>28</v>
      </c>
      <c r="AG24" s="79">
        <v>35</v>
      </c>
      <c r="AH24" s="79">
        <v>27</v>
      </c>
      <c r="AI24" s="79">
        <v>17</v>
      </c>
      <c r="AJ24" s="79">
        <v>28</v>
      </c>
      <c r="AK24" s="79">
        <v>29</v>
      </c>
      <c r="AL24" s="79">
        <v>27</v>
      </c>
      <c r="AM24" s="79">
        <v>24</v>
      </c>
      <c r="AN24" s="79">
        <v>35</v>
      </c>
      <c r="AO24" s="79">
        <v>21</v>
      </c>
      <c r="AP24" s="79">
        <v>28</v>
      </c>
      <c r="AQ24" s="79">
        <v>31</v>
      </c>
      <c r="AR24" s="79">
        <v>24</v>
      </c>
      <c r="AS24" s="79">
        <v>23</v>
      </c>
      <c r="AT24" s="79">
        <v>38</v>
      </c>
      <c r="AU24" s="79">
        <v>30</v>
      </c>
      <c r="AV24" s="79">
        <v>27</v>
      </c>
      <c r="AW24" s="79">
        <v>24</v>
      </c>
      <c r="AX24" s="79">
        <v>28</v>
      </c>
      <c r="AY24" s="79">
        <v>27</v>
      </c>
      <c r="AZ24" s="79">
        <v>14</v>
      </c>
      <c r="BA24" s="79">
        <v>63</v>
      </c>
      <c r="BB24" s="79">
        <v>14</v>
      </c>
      <c r="BC24" s="79">
        <v>24</v>
      </c>
      <c r="BD24" s="79">
        <v>20</v>
      </c>
      <c r="BE24" s="79">
        <v>36</v>
      </c>
      <c r="BF24" s="79">
        <v>17</v>
      </c>
      <c r="BG24" s="79">
        <v>28</v>
      </c>
      <c r="BH24" s="79">
        <v>35</v>
      </c>
      <c r="BI24" s="79"/>
      <c r="BJ24" s="79">
        <v>28</v>
      </c>
      <c r="BK24" s="79">
        <v>31</v>
      </c>
      <c r="BL24" s="79">
        <v>27</v>
      </c>
      <c r="BM24" s="79">
        <v>21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8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6</v>
      </c>
      <c r="S25" s="36">
        <f t="shared" si="3"/>
        <v>5</v>
      </c>
      <c r="T25" s="36">
        <f t="shared" si="3"/>
        <v>7</v>
      </c>
      <c r="U25" s="36">
        <f t="shared" si="3"/>
        <v>0</v>
      </c>
      <c r="V25" s="36">
        <f t="shared" si="3"/>
        <v>1</v>
      </c>
      <c r="W25" s="36">
        <f t="shared" si="3"/>
        <v>6</v>
      </c>
      <c r="X25" s="36">
        <f t="shared" si="3"/>
        <v>4</v>
      </c>
      <c r="Y25" s="36">
        <f t="shared" si="3"/>
        <v>3</v>
      </c>
      <c r="Z25" s="36">
        <f t="shared" si="3"/>
        <v>6</v>
      </c>
      <c r="AA25" s="36">
        <f t="shared" si="3"/>
        <v>7</v>
      </c>
      <c r="AB25" s="36">
        <f t="shared" si="3"/>
        <v>5</v>
      </c>
      <c r="AC25" s="36">
        <f t="shared" si="3"/>
        <v>8</v>
      </c>
      <c r="AD25" s="36">
        <f t="shared" si="3"/>
        <v>5</v>
      </c>
      <c r="AE25" s="36">
        <f t="shared" si="3"/>
        <v>4</v>
      </c>
      <c r="AF25" s="36">
        <f t="shared" si="3"/>
        <v>6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4</v>
      </c>
      <c r="AK25" s="36">
        <f t="shared" si="3"/>
        <v>4</v>
      </c>
      <c r="AL25" s="36">
        <f t="shared" si="3"/>
        <v>3</v>
      </c>
      <c r="AM25" s="36">
        <f t="shared" si="3"/>
        <v>2</v>
      </c>
      <c r="AN25" s="36">
        <f t="shared" si="3"/>
        <v>4</v>
      </c>
      <c r="AO25" s="36">
        <f t="shared" si="3"/>
        <v>4</v>
      </c>
      <c r="AP25" s="36">
        <f t="shared" si="3"/>
        <v>6</v>
      </c>
      <c r="AQ25" s="36">
        <f t="shared" si="3"/>
        <v>5</v>
      </c>
      <c r="AR25" s="36">
        <f t="shared" si="3"/>
        <v>5</v>
      </c>
      <c r="AS25" s="36">
        <f t="shared" si="3"/>
        <v>4</v>
      </c>
      <c r="AT25" s="36">
        <f t="shared" si="3"/>
        <v>2</v>
      </c>
      <c r="AU25" s="36">
        <f t="shared" si="3"/>
        <v>2</v>
      </c>
      <c r="AV25" s="36">
        <f t="shared" si="3"/>
        <v>4</v>
      </c>
      <c r="AW25" s="36">
        <f t="shared" si="3"/>
        <v>1</v>
      </c>
      <c r="AX25" s="36">
        <f t="shared" si="3"/>
        <v>4</v>
      </c>
      <c r="AY25" s="36">
        <f t="shared" si="3"/>
        <v>5</v>
      </c>
      <c r="AZ25" s="36">
        <f t="shared" si="3"/>
        <v>2</v>
      </c>
      <c r="BA25" s="36">
        <f t="shared" si="3"/>
        <v>5</v>
      </c>
      <c r="BB25" s="36">
        <f t="shared" si="3"/>
        <v>4</v>
      </c>
      <c r="BC25" s="36">
        <f t="shared" si="3"/>
        <v>5</v>
      </c>
      <c r="BD25" s="36">
        <f t="shared" si="3"/>
        <v>5</v>
      </c>
      <c r="BE25" s="36">
        <f t="shared" si="3"/>
        <v>6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4</v>
      </c>
      <c r="BH25" s="36">
        <f t="shared" si="4"/>
        <v>4</v>
      </c>
      <c r="BI25" s="36">
        <f t="shared" si="4"/>
        <v>1</v>
      </c>
      <c r="BJ25" s="36">
        <f t="shared" si="4"/>
        <v>4</v>
      </c>
      <c r="BK25" s="36">
        <f t="shared" si="4"/>
        <v>6</v>
      </c>
      <c r="BL25" s="36">
        <f t="shared" si="4"/>
        <v>4</v>
      </c>
      <c r="BM25" s="36">
        <f t="shared" ref="BM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AO26" si="6">ABS((L23-L24)-($D21-$D22))</f>
        <v>10</v>
      </c>
      <c r="M26" s="71">
        <f t="shared" si="6"/>
        <v>31</v>
      </c>
      <c r="N26" s="71">
        <f t="shared" si="6"/>
        <v>6</v>
      </c>
      <c r="O26" s="71">
        <f t="shared" si="6"/>
        <v>14</v>
      </c>
      <c r="P26" s="71">
        <f t="shared" si="6"/>
        <v>11</v>
      </c>
      <c r="Q26" s="71">
        <f t="shared" si="6"/>
        <v>38</v>
      </c>
      <c r="R26" s="71">
        <f t="shared" si="6"/>
        <v>14</v>
      </c>
      <c r="S26" s="71">
        <f t="shared" si="6"/>
        <v>21</v>
      </c>
      <c r="T26" s="71">
        <f t="shared" si="6"/>
        <v>11</v>
      </c>
      <c r="U26" s="71">
        <f t="shared" si="6"/>
        <v>24</v>
      </c>
      <c r="V26" s="71">
        <f t="shared" si="6"/>
        <v>17</v>
      </c>
      <c r="W26" s="71">
        <f t="shared" si="6"/>
        <v>25</v>
      </c>
      <c r="X26" s="71">
        <f t="shared" si="6"/>
        <v>14</v>
      </c>
      <c r="Y26" s="71">
        <f t="shared" si="6"/>
        <v>28</v>
      </c>
      <c r="Z26" s="71">
        <f t="shared" si="6"/>
        <v>21</v>
      </c>
      <c r="AA26" s="71">
        <f t="shared" si="6"/>
        <v>20</v>
      </c>
      <c r="AB26" s="71">
        <f t="shared" si="6"/>
        <v>27</v>
      </c>
      <c r="AC26" s="71">
        <f t="shared" si="6"/>
        <v>16</v>
      </c>
      <c r="AD26" s="71">
        <f t="shared" si="6"/>
        <v>21</v>
      </c>
      <c r="AE26" s="71">
        <f t="shared" si="6"/>
        <v>17</v>
      </c>
      <c r="AF26" s="71">
        <f t="shared" si="6"/>
        <v>17</v>
      </c>
      <c r="AG26" s="71">
        <f t="shared" si="6"/>
        <v>20</v>
      </c>
      <c r="AH26" s="71">
        <f t="shared" si="6"/>
        <v>28</v>
      </c>
      <c r="AI26" s="71">
        <f t="shared" si="6"/>
        <v>35</v>
      </c>
      <c r="AJ26" s="71">
        <f t="shared" si="6"/>
        <v>10</v>
      </c>
      <c r="AK26" s="71">
        <f t="shared" si="6"/>
        <v>16</v>
      </c>
      <c r="AL26" s="71">
        <f t="shared" si="6"/>
        <v>21</v>
      </c>
      <c r="AM26" s="71">
        <f t="shared" si="6"/>
        <v>27</v>
      </c>
      <c r="AN26" s="71">
        <f t="shared" si="6"/>
        <v>10</v>
      </c>
      <c r="AO26" s="71">
        <f t="shared" si="6"/>
        <v>30</v>
      </c>
      <c r="AP26" s="71">
        <f t="shared" ref="AP26:AU26" si="7">ABS((AP23-AP24)-($D21-$D22))</f>
        <v>27</v>
      </c>
      <c r="AQ26" s="71">
        <f t="shared" si="7"/>
        <v>13</v>
      </c>
      <c r="AR26" s="71">
        <f t="shared" si="7"/>
        <v>31</v>
      </c>
      <c r="AS26" s="71">
        <f t="shared" si="7"/>
        <v>18</v>
      </c>
      <c r="AT26" s="71">
        <f t="shared" si="7"/>
        <v>21</v>
      </c>
      <c r="AU26" s="71">
        <f t="shared" si="7"/>
        <v>25</v>
      </c>
      <c r="AV26" s="71">
        <f t="shared" ref="AV26:BA26" si="8">ABS((AV23-AV24)-($D21-$D22))</f>
        <v>11</v>
      </c>
      <c r="AW26" s="71">
        <f t="shared" si="8"/>
        <v>17</v>
      </c>
      <c r="AX26" s="71">
        <f t="shared" si="8"/>
        <v>10</v>
      </c>
      <c r="AY26" s="71">
        <f t="shared" si="8"/>
        <v>20</v>
      </c>
      <c r="AZ26" s="71">
        <f t="shared" si="8"/>
        <v>31</v>
      </c>
      <c r="BA26" s="71">
        <f t="shared" si="8"/>
        <v>13</v>
      </c>
      <c r="BB26" s="71">
        <f t="shared" ref="BB26:BG26" si="9">ABS((BB23-BB24)-($D21-$D22))</f>
        <v>27</v>
      </c>
      <c r="BC26" s="71">
        <f t="shared" si="9"/>
        <v>28</v>
      </c>
      <c r="BD26" s="71">
        <f t="shared" si="9"/>
        <v>21</v>
      </c>
      <c r="BE26" s="71">
        <f t="shared" si="9"/>
        <v>16</v>
      </c>
      <c r="BF26" s="71">
        <f t="shared" si="9"/>
        <v>31</v>
      </c>
      <c r="BG26" s="71">
        <f t="shared" si="9"/>
        <v>27</v>
      </c>
      <c r="BH26" s="71">
        <f t="shared" ref="BH26:BL26" si="10">ABS((BH23-BH24)-($D21-$D22))</f>
        <v>23</v>
      </c>
      <c r="BI26" s="71">
        <f t="shared" si="10"/>
        <v>24</v>
      </c>
      <c r="BJ26" s="71">
        <f t="shared" si="10"/>
        <v>13</v>
      </c>
      <c r="BK26" s="71">
        <f t="shared" si="10"/>
        <v>14</v>
      </c>
      <c r="BL26" s="71">
        <f t="shared" si="10"/>
        <v>21</v>
      </c>
      <c r="BM26" s="71">
        <f t="shared" ref="BM26" si="11">ABS((BM23-BM24)-($D21-$D22))</f>
        <v>31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AO27" si="12">ABS(($D21+$D22)-(L23+L24))</f>
        <v>26</v>
      </c>
      <c r="M27" s="71">
        <f t="shared" si="12"/>
        <v>11</v>
      </c>
      <c r="N27" s="71">
        <f t="shared" si="12"/>
        <v>14</v>
      </c>
      <c r="O27" s="71">
        <f t="shared" si="12"/>
        <v>14</v>
      </c>
      <c r="P27" s="71">
        <f t="shared" si="12"/>
        <v>25</v>
      </c>
      <c r="Q27" s="71">
        <f t="shared" si="12"/>
        <v>24</v>
      </c>
      <c r="R27" s="71">
        <f t="shared" si="12"/>
        <v>14</v>
      </c>
      <c r="S27" s="71">
        <f t="shared" si="12"/>
        <v>29</v>
      </c>
      <c r="T27" s="71">
        <f t="shared" si="12"/>
        <v>11</v>
      </c>
      <c r="U27" s="71">
        <f t="shared" si="12"/>
        <v>66</v>
      </c>
      <c r="V27" s="71">
        <f t="shared" si="12"/>
        <v>3</v>
      </c>
      <c r="W27" s="71">
        <f t="shared" si="12"/>
        <v>11</v>
      </c>
      <c r="X27" s="71">
        <f t="shared" si="12"/>
        <v>16</v>
      </c>
      <c r="Y27" s="71">
        <f t="shared" si="12"/>
        <v>14</v>
      </c>
      <c r="Z27" s="71">
        <f t="shared" si="12"/>
        <v>1</v>
      </c>
      <c r="AA27" s="71">
        <f t="shared" si="12"/>
        <v>14</v>
      </c>
      <c r="AB27" s="71">
        <f t="shared" si="12"/>
        <v>9</v>
      </c>
      <c r="AC27" s="71">
        <f t="shared" si="12"/>
        <v>18</v>
      </c>
      <c r="AD27" s="71">
        <f t="shared" si="12"/>
        <v>21</v>
      </c>
      <c r="AE27" s="71">
        <f t="shared" si="12"/>
        <v>11</v>
      </c>
      <c r="AF27" s="71">
        <f t="shared" si="12"/>
        <v>17</v>
      </c>
      <c r="AG27" s="71">
        <f t="shared" si="12"/>
        <v>0</v>
      </c>
      <c r="AH27" s="71">
        <f t="shared" si="12"/>
        <v>8</v>
      </c>
      <c r="AI27" s="71">
        <f t="shared" si="12"/>
        <v>21</v>
      </c>
      <c r="AJ27" s="71">
        <f t="shared" si="12"/>
        <v>24</v>
      </c>
      <c r="AK27" s="71">
        <f t="shared" si="12"/>
        <v>16</v>
      </c>
      <c r="AL27" s="71">
        <f t="shared" si="12"/>
        <v>15</v>
      </c>
      <c r="AM27" s="71">
        <f t="shared" si="12"/>
        <v>15</v>
      </c>
      <c r="AN27" s="71">
        <f t="shared" si="12"/>
        <v>10</v>
      </c>
      <c r="AO27" s="71">
        <f t="shared" si="12"/>
        <v>18</v>
      </c>
      <c r="AP27" s="71">
        <f t="shared" ref="AP27:AU27" si="13">ABS(($D21+$D22)-(AP23+AP24))</f>
        <v>7</v>
      </c>
      <c r="AQ27" s="71">
        <f t="shared" si="13"/>
        <v>15</v>
      </c>
      <c r="AR27" s="71">
        <f t="shared" si="13"/>
        <v>11</v>
      </c>
      <c r="AS27" s="71">
        <f t="shared" si="13"/>
        <v>26</v>
      </c>
      <c r="AT27" s="71">
        <f t="shared" si="13"/>
        <v>7</v>
      </c>
      <c r="AU27" s="71">
        <f t="shared" si="13"/>
        <v>5</v>
      </c>
      <c r="AV27" s="71">
        <f t="shared" ref="AV27:BA27" si="14">ABS(($D21+$D22)-(AV23+AV24))</f>
        <v>25</v>
      </c>
      <c r="AW27" s="71">
        <f t="shared" si="14"/>
        <v>25</v>
      </c>
      <c r="AX27" s="71">
        <f t="shared" si="14"/>
        <v>24</v>
      </c>
      <c r="AY27" s="71">
        <f t="shared" si="14"/>
        <v>16</v>
      </c>
      <c r="AZ27" s="71">
        <f t="shared" si="14"/>
        <v>31</v>
      </c>
      <c r="BA27" s="71">
        <f t="shared" si="14"/>
        <v>49</v>
      </c>
      <c r="BB27" s="71">
        <f t="shared" ref="BB27:BG27" si="15">ABS(($D21+$D22)-(BB23+BB24))</f>
        <v>35</v>
      </c>
      <c r="BC27" s="71">
        <f t="shared" si="15"/>
        <v>14</v>
      </c>
      <c r="BD27" s="71">
        <f t="shared" si="15"/>
        <v>29</v>
      </c>
      <c r="BE27" s="71">
        <f t="shared" si="15"/>
        <v>2</v>
      </c>
      <c r="BF27" s="71">
        <f t="shared" si="15"/>
        <v>25</v>
      </c>
      <c r="BG27" s="71">
        <f t="shared" si="15"/>
        <v>7</v>
      </c>
      <c r="BH27" s="71">
        <f t="shared" ref="BH27:BL27" si="16">ABS(($D21+$D22)-(BH23+BH24))</f>
        <v>3</v>
      </c>
      <c r="BI27" s="71">
        <f t="shared" si="16"/>
        <v>66</v>
      </c>
      <c r="BJ27" s="71">
        <f t="shared" si="16"/>
        <v>21</v>
      </c>
      <c r="BK27" s="71">
        <f t="shared" si="16"/>
        <v>14</v>
      </c>
      <c r="BL27" s="71">
        <f t="shared" si="16"/>
        <v>15</v>
      </c>
      <c r="BM27" s="71">
        <f t="shared" ref="BM27" si="17">ABS(($D21+$D22)-(BM23+BM24))</f>
        <v>17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8">IF(COUNTA($D$3:$D$22)&lt;2,"",IF(L36=MAX(INDIRECT("R36C11:R36C"&amp;11+playercnt-1,FALSE)),1,""))</f>
        <v/>
      </c>
      <c r="M28" s="72" t="str">
        <f t="shared" ca="1" si="18"/>
        <v/>
      </c>
      <c r="N28" s="72" t="str">
        <f t="shared" ca="1" si="18"/>
        <v/>
      </c>
      <c r="O28" s="72" t="str">
        <f t="shared" ca="1" si="18"/>
        <v/>
      </c>
      <c r="P28" s="72" t="str">
        <f t="shared" ca="1" si="18"/>
        <v/>
      </c>
      <c r="Q28" s="72" t="str">
        <f t="shared" ca="1" si="18"/>
        <v/>
      </c>
      <c r="R28" s="72" t="str">
        <f t="shared" ca="1" si="18"/>
        <v/>
      </c>
      <c r="S28" s="72" t="str">
        <f t="shared" ca="1" si="18"/>
        <v/>
      </c>
      <c r="T28" s="72" t="str">
        <f t="shared" ca="1" si="18"/>
        <v/>
      </c>
      <c r="U28" s="72" t="str">
        <f t="shared" ca="1" si="18"/>
        <v/>
      </c>
      <c r="V28" s="72" t="str">
        <f t="shared" ca="1" si="18"/>
        <v/>
      </c>
      <c r="W28" s="72" t="str">
        <f t="shared" ca="1" si="18"/>
        <v/>
      </c>
      <c r="X28" s="72" t="str">
        <f t="shared" ca="1" si="18"/>
        <v/>
      </c>
      <c r="Y28" s="72" t="str">
        <f t="shared" ca="1" si="18"/>
        <v/>
      </c>
      <c r="Z28" s="72" t="str">
        <f t="shared" ca="1" si="18"/>
        <v/>
      </c>
      <c r="AA28" s="72" t="str">
        <f t="shared" ca="1" si="18"/>
        <v/>
      </c>
      <c r="AB28" s="72" t="str">
        <f t="shared" ca="1" si="18"/>
        <v/>
      </c>
      <c r="AC28" s="72">
        <f t="shared" ca="1" si="18"/>
        <v>1</v>
      </c>
      <c r="AD28" s="72" t="str">
        <f t="shared" ca="1" si="18"/>
        <v/>
      </c>
      <c r="AE28" s="72" t="str">
        <f t="shared" ca="1" si="18"/>
        <v/>
      </c>
      <c r="AF28" s="72" t="str">
        <f t="shared" ca="1" si="18"/>
        <v/>
      </c>
      <c r="AG28" s="72" t="str">
        <f t="shared" ca="1" si="18"/>
        <v/>
      </c>
      <c r="AH28" s="72" t="str">
        <f t="shared" ca="1" si="18"/>
        <v/>
      </c>
      <c r="AI28" s="72" t="str">
        <f t="shared" ca="1" si="18"/>
        <v/>
      </c>
      <c r="AJ28" s="72" t="str">
        <f t="shared" ca="1" si="18"/>
        <v/>
      </c>
      <c r="AK28" s="72" t="str">
        <f t="shared" ca="1" si="18"/>
        <v/>
      </c>
      <c r="AL28" s="72" t="str">
        <f t="shared" ca="1" si="18"/>
        <v/>
      </c>
      <c r="AM28" s="72" t="str">
        <f t="shared" ca="1" si="18"/>
        <v/>
      </c>
      <c r="AN28" s="72" t="str">
        <f t="shared" ca="1" si="18"/>
        <v/>
      </c>
      <c r="AO28" s="72" t="str">
        <f t="shared" ca="1" si="18"/>
        <v/>
      </c>
      <c r="AP28" s="72" t="str">
        <f t="shared" ca="1" si="18"/>
        <v/>
      </c>
      <c r="AQ28" s="72" t="str">
        <f t="shared" ca="1" si="18"/>
        <v/>
      </c>
      <c r="AR28" s="72" t="str">
        <f t="shared" ca="1" si="18"/>
        <v/>
      </c>
      <c r="AS28" s="72" t="str">
        <f t="shared" ca="1" si="18"/>
        <v/>
      </c>
      <c r="AT28" s="72" t="str">
        <f t="shared" ca="1" si="18"/>
        <v/>
      </c>
      <c r="AU28" s="72" t="str">
        <f t="shared" ca="1" si="18"/>
        <v/>
      </c>
      <c r="AV28" s="72" t="str">
        <f t="shared" ref="AV28:BA28" ca="1" si="19">IF(COUNTA($D$3:$D$22)&lt;2,"",IF(AV36=MAX(INDIRECT("R36C11:R36C"&amp;11+playercnt-1,FALSE)),1,""))</f>
        <v/>
      </c>
      <c r="AW28" s="72" t="str">
        <f t="shared" ca="1" si="19"/>
        <v/>
      </c>
      <c r="AX28" s="72" t="str">
        <f t="shared" ca="1" si="19"/>
        <v/>
      </c>
      <c r="AY28" s="72" t="str">
        <f t="shared" ca="1" si="19"/>
        <v/>
      </c>
      <c r="AZ28" s="72" t="str">
        <f t="shared" ca="1" si="19"/>
        <v/>
      </c>
      <c r="BA28" s="72" t="str">
        <f t="shared" ca="1" si="19"/>
        <v/>
      </c>
      <c r="BB28" s="72" t="str">
        <f t="shared" ref="BB28:BG28" ca="1" si="20">IF(COUNTA($D$3:$D$22)&lt;2,"",IF(BB36=MAX(INDIRECT("R36C11:R36C"&amp;11+playercnt-1,FALSE)),1,""))</f>
        <v/>
      </c>
      <c r="BC28" s="72" t="str">
        <f t="shared" ca="1" si="20"/>
        <v/>
      </c>
      <c r="BD28" s="72" t="str">
        <f t="shared" ca="1" si="20"/>
        <v/>
      </c>
      <c r="BE28" s="72" t="str">
        <f t="shared" ca="1" si="20"/>
        <v/>
      </c>
      <c r="BF28" s="72" t="str">
        <f t="shared" ca="1" si="20"/>
        <v/>
      </c>
      <c r="BG28" s="72" t="str">
        <f t="shared" ca="1" si="20"/>
        <v/>
      </c>
      <c r="BH28" s="72" t="str">
        <f t="shared" ref="BH28:BL28" ca="1" si="21">IF(COUNTA($D$3:$D$22)&lt;2,"",IF(BH36=MAX(INDIRECT("R36C11:R36C"&amp;11+playercnt-1,FALSE)),1,""))</f>
        <v/>
      </c>
      <c r="BI28" s="72" t="str">
        <f t="shared" ca="1" si="21"/>
        <v/>
      </c>
      <c r="BJ28" s="72" t="str">
        <f t="shared" ca="1" si="21"/>
        <v/>
      </c>
      <c r="BK28" s="72" t="str">
        <f t="shared" ca="1" si="21"/>
        <v/>
      </c>
      <c r="BL28" s="72" t="str">
        <f t="shared" ca="1" si="21"/>
        <v/>
      </c>
      <c r="BM28" s="72" t="str">
        <f t="shared" ref="BM28" ca="1" si="22">IF(COUNTA($D$3:$D$22)&lt;2,"",IF(BM36=MAX(INDIRECT("R36C11:R36C"&amp;11+playercnt-1,FALSE)),1,""))</f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0.43090909090909091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23">COUNTA(L$3,L$5,L$7,L$9,L$11,L$13,L$15,L$17,L$19,L$21)</f>
        <v>5</v>
      </c>
      <c r="M29" s="71">
        <f t="shared" si="23"/>
        <v>4</v>
      </c>
      <c r="N29" s="71">
        <f t="shared" si="23"/>
        <v>5</v>
      </c>
      <c r="O29" s="71">
        <f t="shared" si="23"/>
        <v>6</v>
      </c>
      <c r="P29" s="71">
        <f t="shared" si="23"/>
        <v>3</v>
      </c>
      <c r="Q29" s="71">
        <f t="shared" si="23"/>
        <v>3</v>
      </c>
      <c r="R29" s="71">
        <f t="shared" si="23"/>
        <v>3</v>
      </c>
      <c r="S29" s="71">
        <f t="shared" si="23"/>
        <v>8</v>
      </c>
      <c r="T29" s="71">
        <f t="shared" si="23"/>
        <v>4</v>
      </c>
      <c r="U29" s="71">
        <f t="shared" si="23"/>
        <v>5</v>
      </c>
      <c r="V29" s="71">
        <f t="shared" si="23"/>
        <v>6</v>
      </c>
      <c r="W29" s="71">
        <f t="shared" si="23"/>
        <v>5</v>
      </c>
      <c r="X29" s="71">
        <f t="shared" si="23"/>
        <v>3</v>
      </c>
      <c r="Y29" s="71">
        <f t="shared" si="23"/>
        <v>6</v>
      </c>
      <c r="Z29" s="71">
        <f t="shared" si="23"/>
        <v>5</v>
      </c>
      <c r="AA29" s="71">
        <f t="shared" si="23"/>
        <v>6</v>
      </c>
      <c r="AB29" s="71">
        <f t="shared" si="23"/>
        <v>4</v>
      </c>
      <c r="AC29" s="71">
        <f t="shared" si="23"/>
        <v>3</v>
      </c>
      <c r="AD29" s="71">
        <f t="shared" si="23"/>
        <v>6</v>
      </c>
      <c r="AE29" s="71">
        <f t="shared" si="23"/>
        <v>5</v>
      </c>
      <c r="AF29" s="71">
        <f t="shared" si="23"/>
        <v>3</v>
      </c>
      <c r="AG29" s="71">
        <f t="shared" si="23"/>
        <v>6</v>
      </c>
      <c r="AH29" s="71">
        <f t="shared" si="23"/>
        <v>3</v>
      </c>
      <c r="AI29" s="71">
        <f t="shared" si="23"/>
        <v>3</v>
      </c>
      <c r="AJ29" s="71">
        <f t="shared" si="23"/>
        <v>3</v>
      </c>
      <c r="AK29" s="71">
        <f t="shared" si="23"/>
        <v>3</v>
      </c>
      <c r="AL29" s="71">
        <f t="shared" si="23"/>
        <v>4</v>
      </c>
      <c r="AM29" s="71">
        <f t="shared" si="23"/>
        <v>5</v>
      </c>
      <c r="AN29" s="71">
        <f t="shared" si="23"/>
        <v>3</v>
      </c>
      <c r="AO29" s="71">
        <f t="shared" si="23"/>
        <v>5</v>
      </c>
      <c r="AP29" s="71">
        <f t="shared" si="23"/>
        <v>5</v>
      </c>
      <c r="AQ29" s="71">
        <f t="shared" si="23"/>
        <v>4</v>
      </c>
      <c r="AR29" s="71">
        <f t="shared" si="23"/>
        <v>8</v>
      </c>
      <c r="AS29" s="71">
        <f t="shared" si="23"/>
        <v>7</v>
      </c>
      <c r="AT29" s="71">
        <f t="shared" si="23"/>
        <v>7</v>
      </c>
      <c r="AU29" s="71">
        <f t="shared" si="23"/>
        <v>5</v>
      </c>
      <c r="AV29" s="71">
        <f t="shared" si="23"/>
        <v>5</v>
      </c>
      <c r="AW29" s="71">
        <f t="shared" si="23"/>
        <v>6</v>
      </c>
      <c r="AX29" s="71">
        <f t="shared" si="23"/>
        <v>1</v>
      </c>
      <c r="AY29" s="71">
        <f t="shared" si="23"/>
        <v>4</v>
      </c>
      <c r="AZ29" s="71">
        <f t="shared" si="23"/>
        <v>5</v>
      </c>
      <c r="BA29" s="71">
        <f t="shared" si="23"/>
        <v>4</v>
      </c>
      <c r="BB29" s="71">
        <f t="shared" si="23"/>
        <v>5</v>
      </c>
      <c r="BC29" s="71">
        <f t="shared" si="23"/>
        <v>4</v>
      </c>
      <c r="BD29" s="71">
        <f t="shared" si="23"/>
        <v>4</v>
      </c>
      <c r="BE29" s="71">
        <f t="shared" si="23"/>
        <v>5</v>
      </c>
      <c r="BF29" s="71">
        <f t="shared" si="23"/>
        <v>5</v>
      </c>
      <c r="BG29" s="71">
        <f t="shared" si="23"/>
        <v>7</v>
      </c>
      <c r="BH29" s="71">
        <f t="shared" si="23"/>
        <v>7</v>
      </c>
      <c r="BI29" s="71">
        <f t="shared" si="23"/>
        <v>6</v>
      </c>
      <c r="BJ29" s="71">
        <f t="shared" si="23"/>
        <v>3</v>
      </c>
      <c r="BK29" s="71">
        <f t="shared" si="23"/>
        <v>1</v>
      </c>
      <c r="BL29" s="71">
        <f t="shared" si="23"/>
        <v>7</v>
      </c>
      <c r="BM29" s="71">
        <f t="shared" si="23"/>
        <v>5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-38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4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24"/>
        <v>2</v>
      </c>
      <c r="N30" s="73">
        <f t="shared" si="24"/>
        <v>3</v>
      </c>
      <c r="O30" s="73">
        <f t="shared" si="24"/>
        <v>6</v>
      </c>
      <c r="P30" s="73">
        <f t="shared" si="24"/>
        <v>1</v>
      </c>
      <c r="Q30" s="73">
        <f t="shared" si="24"/>
        <v>5</v>
      </c>
      <c r="R30" s="73">
        <f t="shared" si="24"/>
        <v>1</v>
      </c>
      <c r="S30" s="73">
        <f t="shared" si="24"/>
        <v>6</v>
      </c>
      <c r="T30" s="73">
        <f t="shared" si="24"/>
        <v>4</v>
      </c>
      <c r="U30" s="73">
        <f t="shared" si="24"/>
        <v>5</v>
      </c>
      <c r="V30" s="73">
        <f t="shared" si="24"/>
        <v>6</v>
      </c>
      <c r="W30" s="73">
        <f t="shared" si="24"/>
        <v>3</v>
      </c>
      <c r="X30" s="73">
        <f t="shared" si="24"/>
        <v>3</v>
      </c>
      <c r="Y30" s="73">
        <f t="shared" si="24"/>
        <v>4</v>
      </c>
      <c r="Z30" s="73">
        <f t="shared" si="24"/>
        <v>5</v>
      </c>
      <c r="AA30" s="73">
        <f t="shared" si="24"/>
        <v>6</v>
      </c>
      <c r="AB30" s="73">
        <f t="shared" si="24"/>
        <v>2</v>
      </c>
      <c r="AC30" s="73">
        <f t="shared" si="24"/>
        <v>3</v>
      </c>
      <c r="AD30" s="73">
        <f t="shared" si="24"/>
        <v>8</v>
      </c>
      <c r="AE30" s="73">
        <f t="shared" si="24"/>
        <v>5</v>
      </c>
      <c r="AF30" s="73">
        <f t="shared" si="24"/>
        <v>3</v>
      </c>
      <c r="AG30" s="73">
        <f t="shared" si="24"/>
        <v>4</v>
      </c>
      <c r="AH30" s="73">
        <f t="shared" si="24"/>
        <v>3</v>
      </c>
      <c r="AI30" s="73">
        <f t="shared" si="24"/>
        <v>5</v>
      </c>
      <c r="AJ30" s="73">
        <f t="shared" si="24"/>
        <v>3</v>
      </c>
      <c r="AK30" s="73">
        <f t="shared" si="24"/>
        <v>5</v>
      </c>
      <c r="AL30" s="73">
        <f t="shared" si="24"/>
        <v>6</v>
      </c>
      <c r="AM30" s="73">
        <f t="shared" si="24"/>
        <v>3</v>
      </c>
      <c r="AN30" s="73">
        <f t="shared" si="24"/>
        <v>1</v>
      </c>
      <c r="AO30" s="73">
        <f t="shared" si="24"/>
        <v>3</v>
      </c>
      <c r="AP30" s="73">
        <f t="shared" si="24"/>
        <v>5</v>
      </c>
      <c r="AQ30" s="73">
        <f t="shared" si="24"/>
        <v>4</v>
      </c>
      <c r="AR30" s="73">
        <f t="shared" si="24"/>
        <v>8</v>
      </c>
      <c r="AS30" s="73">
        <f t="shared" si="24"/>
        <v>7</v>
      </c>
      <c r="AT30" s="73">
        <f t="shared" si="24"/>
        <v>5</v>
      </c>
      <c r="AU30" s="73">
        <f t="shared" si="24"/>
        <v>3</v>
      </c>
      <c r="AV30" s="73">
        <f t="shared" si="24"/>
        <v>3</v>
      </c>
      <c r="AW30" s="73">
        <f t="shared" si="24"/>
        <v>4</v>
      </c>
      <c r="AX30" s="73">
        <f t="shared" si="24"/>
        <v>3</v>
      </c>
      <c r="AY30" s="73">
        <f t="shared" si="24"/>
        <v>2</v>
      </c>
      <c r="AZ30" s="73">
        <f t="shared" si="24"/>
        <v>5</v>
      </c>
      <c r="BA30" s="73">
        <f t="shared" si="24"/>
        <v>4</v>
      </c>
      <c r="BB30" s="73">
        <f t="shared" si="24"/>
        <v>3</v>
      </c>
      <c r="BC30" s="73">
        <f t="shared" si="24"/>
        <v>6</v>
      </c>
      <c r="BD30" s="73">
        <f t="shared" si="24"/>
        <v>4</v>
      </c>
      <c r="BE30" s="73">
        <f t="shared" si="24"/>
        <v>5</v>
      </c>
      <c r="BF30" s="73">
        <f t="shared" si="24"/>
        <v>3</v>
      </c>
      <c r="BG30" s="73">
        <f t="shared" si="24"/>
        <v>5</v>
      </c>
      <c r="BH30" s="73">
        <f t="shared" si="24"/>
        <v>5</v>
      </c>
      <c r="BI30" s="73">
        <f t="shared" si="24"/>
        <v>6</v>
      </c>
      <c r="BJ30" s="73">
        <f t="shared" si="24"/>
        <v>1</v>
      </c>
      <c r="BK30" s="73">
        <f t="shared" si="24"/>
        <v>3</v>
      </c>
      <c r="BL30" s="73">
        <f t="shared" si="24"/>
        <v>5</v>
      </c>
      <c r="BM30" s="73">
        <f t="shared" si="24"/>
        <v>3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25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25"/>
        <v>2</v>
      </c>
      <c r="N31" s="71">
        <f t="shared" ca="1" si="25"/>
        <v>3</v>
      </c>
      <c r="O31" s="71">
        <f t="shared" ca="1" si="25"/>
        <v>6</v>
      </c>
      <c r="P31" s="71">
        <f t="shared" ca="1" si="25"/>
        <v>3</v>
      </c>
      <c r="Q31" s="71">
        <f t="shared" ca="1" si="25"/>
        <v>3</v>
      </c>
      <c r="R31" s="71">
        <f t="shared" ca="1" si="25"/>
        <v>3</v>
      </c>
      <c r="S31" s="71">
        <f t="shared" ca="1" si="25"/>
        <v>4</v>
      </c>
      <c r="T31" s="71">
        <f t="shared" ca="1" si="25"/>
        <v>4</v>
      </c>
      <c r="U31" s="71">
        <f t="shared" ca="1" si="25"/>
        <v>3</v>
      </c>
      <c r="V31" s="71">
        <f t="shared" ca="1" si="25"/>
        <v>4</v>
      </c>
      <c r="W31" s="71">
        <f t="shared" ca="1" si="25"/>
        <v>3</v>
      </c>
      <c r="X31" s="71">
        <f t="shared" ca="1" si="25"/>
        <v>5</v>
      </c>
      <c r="Y31" s="71">
        <f t="shared" ca="1" si="25"/>
        <v>2</v>
      </c>
      <c r="Z31" s="71">
        <f t="shared" ca="1" si="25"/>
        <v>3</v>
      </c>
      <c r="AA31" s="71">
        <f t="shared" ca="1" si="25"/>
        <v>6</v>
      </c>
      <c r="AB31" s="71">
        <f t="shared" ca="1" si="25"/>
        <v>2</v>
      </c>
      <c r="AC31" s="71">
        <f t="shared" ca="1" si="25"/>
        <v>5</v>
      </c>
      <c r="AD31" s="71">
        <f t="shared" ca="1" si="25"/>
        <v>8</v>
      </c>
      <c r="AE31" s="71">
        <f t="shared" ca="1" si="25"/>
        <v>5</v>
      </c>
      <c r="AF31" s="71">
        <f t="shared" ca="1" si="25"/>
        <v>3</v>
      </c>
      <c r="AG31" s="71">
        <f t="shared" ca="1" si="25"/>
        <v>4</v>
      </c>
      <c r="AH31" s="71">
        <f t="shared" ca="1" si="25"/>
        <v>3</v>
      </c>
      <c r="AI31" s="71">
        <f t="shared" ca="1" si="25"/>
        <v>5</v>
      </c>
      <c r="AJ31" s="71">
        <f t="shared" ca="1" si="25"/>
        <v>3</v>
      </c>
      <c r="AK31" s="71">
        <f t="shared" ca="1" si="25"/>
        <v>5</v>
      </c>
      <c r="AL31" s="71">
        <f t="shared" ca="1" si="25"/>
        <v>6</v>
      </c>
      <c r="AM31" s="71">
        <f t="shared" ca="1" si="25"/>
        <v>1</v>
      </c>
      <c r="AN31" s="71">
        <f t="shared" ca="1" si="25"/>
        <v>1</v>
      </c>
      <c r="AO31" s="71">
        <f t="shared" ca="1" si="25"/>
        <v>1</v>
      </c>
      <c r="AP31" s="71">
        <f t="shared" ca="1" si="25"/>
        <v>5</v>
      </c>
      <c r="AQ31" s="71">
        <f t="shared" ca="1" si="25"/>
        <v>4</v>
      </c>
      <c r="AR31" s="71">
        <f t="shared" ca="1" si="25"/>
        <v>6</v>
      </c>
      <c r="AS31" s="71">
        <f t="shared" ca="1" si="25"/>
        <v>5</v>
      </c>
      <c r="AT31" s="71">
        <f t="shared" ca="1" si="25"/>
        <v>3</v>
      </c>
      <c r="AU31" s="71">
        <f t="shared" ca="1" si="25"/>
        <v>1</v>
      </c>
      <c r="AV31" s="71">
        <f t="shared" ca="1" si="25"/>
        <v>3</v>
      </c>
      <c r="AW31" s="71">
        <f t="shared" ca="1" si="25"/>
        <v>2</v>
      </c>
      <c r="AX31" s="71">
        <f t="shared" ca="1" si="25"/>
        <v>3</v>
      </c>
      <c r="AY31" s="71">
        <f t="shared" ca="1" si="25"/>
        <v>2</v>
      </c>
      <c r="AZ31" s="71">
        <f t="shared" ca="1" si="25"/>
        <v>3</v>
      </c>
      <c r="BA31" s="71">
        <f t="shared" ca="1" si="25"/>
        <v>6</v>
      </c>
      <c r="BB31" s="71">
        <f t="shared" ca="1" si="25"/>
        <v>1</v>
      </c>
      <c r="BC31" s="71">
        <f t="shared" ca="1" si="25"/>
        <v>6</v>
      </c>
      <c r="BD31" s="71">
        <f t="shared" ca="1" si="25"/>
        <v>4</v>
      </c>
      <c r="BE31" s="71">
        <f t="shared" ca="1" si="25"/>
        <v>5</v>
      </c>
      <c r="BF31" s="71">
        <f t="shared" ca="1" si="25"/>
        <v>3</v>
      </c>
      <c r="BG31" s="71">
        <f t="shared" ca="1" si="25"/>
        <v>3</v>
      </c>
      <c r="BH31" s="71">
        <f t="shared" ca="1" si="25"/>
        <v>3</v>
      </c>
      <c r="BI31" s="71">
        <f t="shared" ca="1" si="25"/>
        <v>4</v>
      </c>
      <c r="BJ31" s="71">
        <f t="shared" ca="1" si="25"/>
        <v>1</v>
      </c>
      <c r="BK31" s="71">
        <f t="shared" ca="1" si="25"/>
        <v>5</v>
      </c>
      <c r="BL31" s="71">
        <f t="shared" ca="1" si="25"/>
        <v>3</v>
      </c>
      <c r="BM31" s="71">
        <f t="shared" ca="1" si="25"/>
        <v>3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6">COUNTA(K3:K22)</f>
        <v>10</v>
      </c>
      <c r="L35" s="35">
        <f t="shared" si="26"/>
        <v>10</v>
      </c>
      <c r="M35" s="35">
        <f t="shared" si="26"/>
        <v>10</v>
      </c>
      <c r="N35" s="35">
        <f t="shared" si="26"/>
        <v>10</v>
      </c>
      <c r="O35" s="35">
        <f t="shared" si="26"/>
        <v>10</v>
      </c>
      <c r="P35" s="35">
        <f t="shared" si="26"/>
        <v>10</v>
      </c>
      <c r="Q35" s="35">
        <f t="shared" si="26"/>
        <v>10</v>
      </c>
      <c r="R35" s="35">
        <f t="shared" ref="R35:AB35" si="27">COUNTA(R3:R22)</f>
        <v>10</v>
      </c>
      <c r="S35" s="35">
        <f t="shared" si="27"/>
        <v>10</v>
      </c>
      <c r="T35" s="35">
        <f t="shared" si="27"/>
        <v>10</v>
      </c>
      <c r="U35" s="35">
        <f t="shared" si="27"/>
        <v>10</v>
      </c>
      <c r="V35" s="35">
        <f t="shared" si="27"/>
        <v>10</v>
      </c>
      <c r="W35" s="35">
        <f t="shared" si="27"/>
        <v>10</v>
      </c>
      <c r="X35" s="35">
        <f t="shared" si="27"/>
        <v>10</v>
      </c>
      <c r="Y35" s="35">
        <f t="shared" si="27"/>
        <v>10</v>
      </c>
      <c r="Z35" s="35">
        <f t="shared" si="27"/>
        <v>10</v>
      </c>
      <c r="AA35" s="35">
        <f t="shared" si="27"/>
        <v>10</v>
      </c>
      <c r="AB35" s="35">
        <f t="shared" si="27"/>
        <v>10</v>
      </c>
      <c r="AC35" s="35">
        <f t="shared" si="26"/>
        <v>10</v>
      </c>
      <c r="AD35" s="35">
        <f t="shared" si="26"/>
        <v>10</v>
      </c>
      <c r="AE35" s="35">
        <f t="shared" si="26"/>
        <v>10</v>
      </c>
      <c r="AF35" s="35">
        <f t="shared" si="26"/>
        <v>10</v>
      </c>
      <c r="AG35" s="35">
        <f t="shared" si="26"/>
        <v>10</v>
      </c>
      <c r="AH35" s="35">
        <f t="shared" si="26"/>
        <v>10</v>
      </c>
      <c r="AI35" s="35">
        <f t="shared" si="26"/>
        <v>10</v>
      </c>
      <c r="AJ35" s="35">
        <f t="shared" si="26"/>
        <v>10</v>
      </c>
      <c r="AK35" s="35">
        <f t="shared" si="26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8">COUNTA(AP3:AP22)</f>
        <v>10</v>
      </c>
      <c r="AQ35" s="35">
        <f t="shared" si="28"/>
        <v>10</v>
      </c>
      <c r="AR35" s="35">
        <f t="shared" si="28"/>
        <v>10</v>
      </c>
      <c r="AS35" s="35">
        <f t="shared" si="28"/>
        <v>10</v>
      </c>
      <c r="AT35" s="35">
        <f t="shared" si="28"/>
        <v>10</v>
      </c>
      <c r="AU35" s="35">
        <f t="shared" si="28"/>
        <v>10</v>
      </c>
      <c r="AV35" s="35">
        <f t="shared" ref="AV35:BA35" si="29">COUNTA(AV3:AV22)</f>
        <v>10</v>
      </c>
      <c r="AW35" s="35">
        <f t="shared" si="29"/>
        <v>10</v>
      </c>
      <c r="AX35" s="35">
        <f t="shared" si="29"/>
        <v>10</v>
      </c>
      <c r="AY35" s="35">
        <f t="shared" si="29"/>
        <v>10</v>
      </c>
      <c r="AZ35" s="35">
        <f t="shared" si="29"/>
        <v>10</v>
      </c>
      <c r="BA35" s="35">
        <f t="shared" si="29"/>
        <v>10</v>
      </c>
      <c r="BB35" s="35">
        <f t="shared" ref="BB35:BG35" si="30">COUNTA(BB3:BB22)</f>
        <v>10</v>
      </c>
      <c r="BC35" s="35">
        <f t="shared" si="30"/>
        <v>10</v>
      </c>
      <c r="BD35" s="35">
        <f t="shared" si="30"/>
        <v>10</v>
      </c>
      <c r="BE35" s="35">
        <f t="shared" si="30"/>
        <v>10</v>
      </c>
      <c r="BF35" s="35">
        <f t="shared" si="30"/>
        <v>10</v>
      </c>
      <c r="BG35" s="35">
        <f t="shared" si="30"/>
        <v>10</v>
      </c>
      <c r="BH35" s="35">
        <f t="shared" ref="BH35:BL35" si="31">COUNTA(BH3:BH22)</f>
        <v>10</v>
      </c>
      <c r="BI35" s="35">
        <f t="shared" si="31"/>
        <v>10</v>
      </c>
      <c r="BJ35" s="35">
        <f t="shared" si="31"/>
        <v>10</v>
      </c>
      <c r="BK35" s="35">
        <f t="shared" si="31"/>
        <v>10</v>
      </c>
      <c r="BL35" s="35">
        <f t="shared" si="31"/>
        <v>10</v>
      </c>
      <c r="BM35" s="35">
        <f t="shared" ref="BM35" si="32">COUNTA(BM3:BM22)</f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121987932</v>
      </c>
      <c r="L36" s="32">
        <f t="shared" ref="L36:AO36" si="33">COUNTA(L23:L24)*((10000000*L25)+(1000000*(COUNTA(L21)*$E21+COUNTA(L22)*$E22))-(COUNTA($D$21:$D$22)*1000*L26)-(COUNTA($D$21:$D$22)*L27))</f>
        <v>81959896</v>
      </c>
      <c r="M36" s="32">
        <f t="shared" si="33"/>
        <v>59875956</v>
      </c>
      <c r="N36" s="32">
        <f t="shared" si="33"/>
        <v>81975944</v>
      </c>
      <c r="O36" s="32">
        <f t="shared" si="33"/>
        <v>101943944</v>
      </c>
      <c r="P36" s="32">
        <f t="shared" si="33"/>
        <v>121955900</v>
      </c>
      <c r="Q36" s="32">
        <f t="shared" si="33"/>
        <v>79847904</v>
      </c>
      <c r="R36" s="32">
        <f t="shared" si="33"/>
        <v>121943944</v>
      </c>
      <c r="S36" s="32">
        <f t="shared" si="33"/>
        <v>99915884</v>
      </c>
      <c r="T36" s="32">
        <f t="shared" si="33"/>
        <v>141955956</v>
      </c>
      <c r="U36" s="32">
        <f t="shared" si="33"/>
        <v>0</v>
      </c>
      <c r="V36" s="32">
        <f t="shared" si="33"/>
        <v>19931988</v>
      </c>
      <c r="W36" s="32">
        <f t="shared" si="33"/>
        <v>119899956</v>
      </c>
      <c r="X36" s="32">
        <f t="shared" si="33"/>
        <v>81943936</v>
      </c>
      <c r="Y36" s="32">
        <f t="shared" si="33"/>
        <v>59887944</v>
      </c>
      <c r="Z36" s="32">
        <f t="shared" si="33"/>
        <v>119915996</v>
      </c>
      <c r="AA36" s="32">
        <f t="shared" si="33"/>
        <v>139919944</v>
      </c>
      <c r="AB36" s="32">
        <f t="shared" si="33"/>
        <v>99891964</v>
      </c>
      <c r="AC36" s="32">
        <f t="shared" si="33"/>
        <v>161935928</v>
      </c>
      <c r="AD36" s="32">
        <f t="shared" si="33"/>
        <v>99915916</v>
      </c>
      <c r="AE36" s="32">
        <f t="shared" si="33"/>
        <v>79931956</v>
      </c>
      <c r="AF36" s="32">
        <f t="shared" si="33"/>
        <v>119931932</v>
      </c>
      <c r="AG36" s="32">
        <f t="shared" si="33"/>
        <v>99920000</v>
      </c>
      <c r="AH36" s="32">
        <f t="shared" si="33"/>
        <v>119887968</v>
      </c>
      <c r="AI36" s="32">
        <f t="shared" si="33"/>
        <v>79859916</v>
      </c>
      <c r="AJ36" s="32">
        <f t="shared" si="33"/>
        <v>81959904</v>
      </c>
      <c r="AK36" s="32">
        <f t="shared" si="33"/>
        <v>81935936</v>
      </c>
      <c r="AL36" s="32">
        <f t="shared" si="33"/>
        <v>59915940</v>
      </c>
      <c r="AM36" s="32">
        <f t="shared" si="33"/>
        <v>39891940</v>
      </c>
      <c r="AN36" s="32">
        <f t="shared" si="33"/>
        <v>81959960</v>
      </c>
      <c r="AO36" s="32">
        <f t="shared" si="33"/>
        <v>79879928</v>
      </c>
      <c r="AP36" s="32">
        <f t="shared" ref="AP36:AU36" si="34">COUNTA(AP23:AP24)*((10000000*AP25)+(1000000*(COUNTA(AP21)*$E21+COUNTA(AP22)*$E22))-(COUNTA($D$21:$D$22)*1000*AP26)-(COUNTA($D$21:$D$22)*AP27))</f>
        <v>119891972</v>
      </c>
      <c r="AQ36" s="32">
        <f t="shared" si="34"/>
        <v>101947940</v>
      </c>
      <c r="AR36" s="32">
        <f t="shared" si="34"/>
        <v>99875956</v>
      </c>
      <c r="AS36" s="32">
        <f t="shared" si="34"/>
        <v>79927896</v>
      </c>
      <c r="AT36" s="32">
        <f t="shared" si="34"/>
        <v>39915972</v>
      </c>
      <c r="AU36" s="32">
        <f t="shared" si="34"/>
        <v>39899980</v>
      </c>
      <c r="AV36" s="32">
        <f t="shared" ref="AV36:BA36" si="35">COUNTA(AV23:AV24)*((10000000*AV25)+(1000000*(COUNTA(AV21)*$E21+COUNTA(AV22)*$E22))-(COUNTA($D$21:$D$22)*1000*AV26)-(COUNTA($D$21:$D$22)*AV27))</f>
        <v>81955900</v>
      </c>
      <c r="AW36" s="32">
        <f t="shared" si="35"/>
        <v>19931900</v>
      </c>
      <c r="AX36" s="32">
        <f t="shared" si="35"/>
        <v>81959904</v>
      </c>
      <c r="AY36" s="32">
        <f t="shared" si="35"/>
        <v>99919936</v>
      </c>
      <c r="AZ36" s="32">
        <f t="shared" si="35"/>
        <v>39875876</v>
      </c>
      <c r="BA36" s="32">
        <f t="shared" si="35"/>
        <v>101947804</v>
      </c>
      <c r="BB36" s="32">
        <f t="shared" ref="BB36:BG36" si="36">COUNTA(BB23:BB24)*((10000000*BB25)+(1000000*(COUNTA(BB21)*$E21+COUNTA(BB22)*$E22))-(COUNTA($D$21:$D$22)*1000*BB26)-(COUNTA($D$21:$D$22)*BB27))</f>
        <v>79891860</v>
      </c>
      <c r="BC36" s="32">
        <f t="shared" si="36"/>
        <v>99887944</v>
      </c>
      <c r="BD36" s="32">
        <f t="shared" si="36"/>
        <v>99915884</v>
      </c>
      <c r="BE36" s="32">
        <f t="shared" si="36"/>
        <v>121935992</v>
      </c>
      <c r="BF36" s="32">
        <f t="shared" si="36"/>
        <v>79875900</v>
      </c>
      <c r="BG36" s="32">
        <f t="shared" si="36"/>
        <v>79891972</v>
      </c>
      <c r="BH36" s="32">
        <f t="shared" ref="BH36:BL36" si="37">COUNTA(BH23:BH24)*((10000000*BH25)+(1000000*(COUNTA(BH21)*$E21+COUNTA(BH22)*$E22))-(COUNTA($D$21:$D$22)*1000*BH26)-(COUNTA($D$21:$D$22)*BH27))</f>
        <v>79907988</v>
      </c>
      <c r="BI36" s="32">
        <f t="shared" si="37"/>
        <v>0</v>
      </c>
      <c r="BJ36" s="32">
        <f t="shared" si="37"/>
        <v>81947916</v>
      </c>
      <c r="BK36" s="32">
        <f t="shared" si="37"/>
        <v>121943944</v>
      </c>
      <c r="BL36" s="32">
        <f t="shared" si="37"/>
        <v>79915940</v>
      </c>
      <c r="BM36" s="32">
        <f t="shared" ref="BM36" si="38">COUNTA(BM23:BM24)*((10000000*BM25)+(1000000*(COUNTA(BM21)*$E21+COUNTA(BM22)*$E22))-(COUNTA($D$21:$D$22)*1000*BM26)-(COUNTA($D$21:$D$22)*BM27))</f>
        <v>81875932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9">IF(L35&lt;&gt;10, L$2,"")</f>
        <v/>
      </c>
      <c r="M39" s="3" t="str">
        <f t="shared" si="39"/>
        <v/>
      </c>
      <c r="N39" s="3" t="str">
        <f t="shared" si="39"/>
        <v/>
      </c>
      <c r="O39" s="3" t="str">
        <f t="shared" si="39"/>
        <v/>
      </c>
      <c r="P39" s="3" t="str">
        <f t="shared" si="39"/>
        <v/>
      </c>
      <c r="Q39" s="3" t="str">
        <f t="shared" si="39"/>
        <v/>
      </c>
      <c r="R39" s="3" t="str">
        <f t="shared" si="39"/>
        <v/>
      </c>
      <c r="S39" s="3" t="str">
        <f t="shared" si="39"/>
        <v/>
      </c>
      <c r="T39" s="3" t="str">
        <f t="shared" si="39"/>
        <v/>
      </c>
      <c r="U39" s="3" t="str">
        <f t="shared" si="39"/>
        <v/>
      </c>
      <c r="V39" s="3" t="str">
        <f t="shared" si="39"/>
        <v/>
      </c>
      <c r="W39" s="3" t="str">
        <f t="shared" si="39"/>
        <v/>
      </c>
      <c r="X39" s="3" t="str">
        <f t="shared" si="39"/>
        <v/>
      </c>
      <c r="Y39" s="3" t="str">
        <f t="shared" si="39"/>
        <v/>
      </c>
      <c r="Z39" s="3" t="str">
        <f t="shared" si="39"/>
        <v/>
      </c>
      <c r="AA39" s="3" t="str">
        <f t="shared" si="39"/>
        <v/>
      </c>
      <c r="AB39" s="3" t="str">
        <f t="shared" si="39"/>
        <v/>
      </c>
      <c r="AC39" s="3" t="str">
        <f t="shared" si="39"/>
        <v/>
      </c>
      <c r="AD39" s="3" t="str">
        <f t="shared" si="39"/>
        <v/>
      </c>
      <c r="AE39" s="3" t="str">
        <f t="shared" si="39"/>
        <v/>
      </c>
      <c r="AF39" s="3" t="str">
        <f t="shared" si="39"/>
        <v/>
      </c>
      <c r="AG39" s="3" t="str">
        <f t="shared" si="39"/>
        <v/>
      </c>
      <c r="AH39" s="3" t="str">
        <f t="shared" si="39"/>
        <v/>
      </c>
      <c r="AI39" s="3" t="str">
        <f t="shared" si="39"/>
        <v/>
      </c>
      <c r="AJ39" s="3" t="str">
        <f t="shared" si="39"/>
        <v/>
      </c>
      <c r="AK39" s="3" t="str">
        <f t="shared" si="39"/>
        <v/>
      </c>
      <c r="AL39" s="3" t="str">
        <f t="shared" si="39"/>
        <v/>
      </c>
      <c r="AM39" s="3" t="str">
        <f t="shared" si="39"/>
        <v/>
      </c>
      <c r="AN39" s="3" t="str">
        <f t="shared" si="39"/>
        <v/>
      </c>
      <c r="AO39" s="3" t="str">
        <f t="shared" si="39"/>
        <v/>
      </c>
      <c r="AP39" s="3" t="str">
        <f t="shared" si="39"/>
        <v/>
      </c>
      <c r="AQ39" s="3" t="str">
        <f t="shared" si="39"/>
        <v/>
      </c>
      <c r="AR39" s="3" t="str">
        <f t="shared" si="39"/>
        <v/>
      </c>
      <c r="AS39" s="3" t="str">
        <f t="shared" si="39"/>
        <v/>
      </c>
      <c r="AT39" s="3" t="str">
        <f t="shared" si="39"/>
        <v/>
      </c>
      <c r="AU39" s="3" t="str">
        <f t="shared" si="39"/>
        <v/>
      </c>
      <c r="AV39" s="3" t="str">
        <f t="shared" ref="AV39:BA39" si="40">IF(AV35&lt;&gt;10, AV$2,"")</f>
        <v/>
      </c>
      <c r="AW39" s="3" t="str">
        <f t="shared" si="40"/>
        <v/>
      </c>
      <c r="AX39" s="3" t="str">
        <f t="shared" si="40"/>
        <v/>
      </c>
      <c r="AY39" s="3" t="str">
        <f t="shared" si="40"/>
        <v/>
      </c>
      <c r="AZ39" s="3" t="str">
        <f t="shared" si="40"/>
        <v/>
      </c>
      <c r="BA39" s="3" t="str">
        <f t="shared" si="40"/>
        <v/>
      </c>
      <c r="BB39" s="3" t="str">
        <f t="shared" ref="BB39:BG39" si="41">IF(BB35&lt;&gt;10, BB$2,"")</f>
        <v/>
      </c>
      <c r="BC39" s="3" t="str">
        <f t="shared" si="41"/>
        <v/>
      </c>
      <c r="BD39" s="3" t="str">
        <f t="shared" si="41"/>
        <v/>
      </c>
      <c r="BE39" s="3" t="str">
        <f t="shared" si="41"/>
        <v/>
      </c>
      <c r="BF39" s="3" t="str">
        <f t="shared" si="41"/>
        <v/>
      </c>
      <c r="BG39" s="3" t="str">
        <f t="shared" si="41"/>
        <v/>
      </c>
      <c r="BH39" s="3" t="str">
        <f t="shared" ref="BH39:BL39" si="42">IF(BH35&lt;&gt;10, BH$2,"")</f>
        <v/>
      </c>
      <c r="BI39" s="3" t="str">
        <f t="shared" si="42"/>
        <v/>
      </c>
      <c r="BJ39" s="3" t="str">
        <f t="shared" si="42"/>
        <v/>
      </c>
      <c r="BK39" s="3" t="str">
        <f t="shared" si="42"/>
        <v/>
      </c>
      <c r="BL39" s="3" t="str">
        <f t="shared" si="42"/>
        <v/>
      </c>
      <c r="BM39" s="3" t="str">
        <f t="shared" ref="BM39" si="43">IF(BM35&lt;&gt;10, BM$2,"")</f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44">IF(L$1 &lt; 1,L$2,"")</f>
        <v>Barker, Christopher A</v>
      </c>
      <c r="M40" s="3" t="str">
        <f t="shared" ca="1" si="44"/>
        <v>Beasley, Tate</v>
      </c>
      <c r="N40" s="3" t="str">
        <f t="shared" ca="1" si="44"/>
        <v>Beckwith, Greg</v>
      </c>
      <c r="O40" s="3" t="str">
        <f t="shared" ca="1" si="44"/>
        <v>Bowers, Martin L</v>
      </c>
      <c r="P40" s="3" t="str">
        <f t="shared" ca="1" si="44"/>
        <v>Boykin, Jerome W</v>
      </c>
      <c r="Q40" s="3" t="str">
        <f t="shared" ca="1" si="44"/>
        <v>Brokaw, Brantley A</v>
      </c>
      <c r="R40" s="3" t="str">
        <f t="shared" ca="1" si="44"/>
        <v>Brunt, DavidRemote</v>
      </c>
      <c r="S40" s="3" t="str">
        <f t="shared" ca="1" si="44"/>
        <v>Carter, Chris</v>
      </c>
      <c r="T40" s="3" t="str">
        <f t="shared" ca="1" si="44"/>
        <v>Chan, Simon</v>
      </c>
      <c r="U40" s="3" t="str">
        <f t="shared" ca="1" si="44"/>
        <v>Desetto, Daniel</v>
      </c>
      <c r="V40" s="3" t="str">
        <f t="shared" ca="1" si="44"/>
        <v>Desing, Scott M</v>
      </c>
      <c r="W40" s="3" t="str">
        <f t="shared" ca="1" si="44"/>
        <v>Edwards, Christopher S</v>
      </c>
      <c r="X40" s="3" t="str">
        <f t="shared" ca="1" si="44"/>
        <v>Emptage, Nick</v>
      </c>
      <c r="Y40" s="3" t="str">
        <f t="shared" ca="1" si="44"/>
        <v>Ferguson, Scott Remote</v>
      </c>
      <c r="Z40" s="3" t="str">
        <f t="shared" ca="1" si="44"/>
        <v>Fonville, Chris</v>
      </c>
      <c r="AA40" s="3" t="str">
        <f t="shared" ca="1" si="44"/>
        <v>Fonville, Stephanie Remote</v>
      </c>
      <c r="AB40" s="3" t="str">
        <f t="shared" ca="1" si="44"/>
        <v>Gilmer, Justin T</v>
      </c>
      <c r="AC40" s="3" t="str">
        <f t="shared" ca="1" si="44"/>
        <v>Gregory, Adam J</v>
      </c>
      <c r="AD40" s="3" t="str">
        <f t="shared" ca="1" si="44"/>
        <v>Hendrick, Matt R</v>
      </c>
      <c r="AE40" s="3" t="str">
        <f t="shared" ca="1" si="44"/>
        <v>Holden, Brent</v>
      </c>
      <c r="AF40" s="3" t="str">
        <f t="shared" ca="1" si="44"/>
        <v>Holley, Jeremy Remote</v>
      </c>
      <c r="AG40" s="3" t="str">
        <f t="shared" ca="1" si="44"/>
        <v>Inabinet, Greg</v>
      </c>
      <c r="AH40" s="3" t="str">
        <f t="shared" ca="1" si="44"/>
        <v>James, Larry C</v>
      </c>
      <c r="AI40" s="3" t="str">
        <f t="shared" ca="1" si="44"/>
        <v>Johnson, Robert J</v>
      </c>
      <c r="AJ40" s="3" t="str">
        <f t="shared" ca="1" si="44"/>
        <v>Kandela, Marwan</v>
      </c>
      <c r="AK40" s="3" t="str">
        <f t="shared" ca="1" si="44"/>
        <v>Locklear, Dave Remote</v>
      </c>
      <c r="AL40" s="3" t="str">
        <f t="shared" ca="1" si="44"/>
        <v>Marsh, Alexander Remote</v>
      </c>
      <c r="AM40" s="3" t="str">
        <f t="shared" ca="1" si="44"/>
        <v>Martin, Douglas C</v>
      </c>
      <c r="AN40" s="3" t="str">
        <f t="shared" ca="1" si="44"/>
        <v>Mccoy, William M</v>
      </c>
      <c r="AO40" s="3" t="str">
        <f t="shared" ca="1" si="44"/>
        <v>Moore, Kevin B</v>
      </c>
      <c r="AP40" s="3" t="str">
        <f t="shared" ca="1" si="44"/>
        <v>Murphy, William A</v>
      </c>
      <c r="AQ40" s="3" t="str">
        <f t="shared" ca="1" si="44"/>
        <v>Nance, Rob</v>
      </c>
      <c r="AR40" s="3" t="str">
        <f t="shared" ca="1" si="44"/>
        <v>Neill, Charles H</v>
      </c>
      <c r="AS40" s="3" t="str">
        <f t="shared" ca="1" si="44"/>
        <v>Nguyen, Thai</v>
      </c>
      <c r="AT40" s="3" t="str">
        <f t="shared" ca="1" si="44"/>
        <v>Penrose, Tim Remote</v>
      </c>
      <c r="AU40" s="3" t="str">
        <f t="shared" ca="1" si="44"/>
        <v>Powell, LaMar</v>
      </c>
      <c r="AV40" s="3" t="str">
        <f t="shared" ca="1" si="44"/>
        <v>Puga, Moises</v>
      </c>
      <c r="AW40" s="3" t="str">
        <f t="shared" ca="1" si="44"/>
        <v>Reams, Byron L</v>
      </c>
      <c r="AX40" s="3" t="str">
        <f t="shared" ca="1" si="44"/>
        <v>Redys, David Remote</v>
      </c>
      <c r="AY40" s="3" t="str">
        <f t="shared" ca="1" si="44"/>
        <v>Robbins, Dale</v>
      </c>
      <c r="AZ40" s="3" t="str">
        <f t="shared" ca="1" si="44"/>
        <v>Ruffin, Chris</v>
      </c>
      <c r="BA40" s="3" t="str">
        <f t="shared" ca="1" si="44"/>
        <v>Sams, David</v>
      </c>
      <c r="BB40" s="3" t="str">
        <f t="shared" ca="1" si="44"/>
        <v>Sapp, Carl G</v>
      </c>
      <c r="BC40" s="3" t="str">
        <f t="shared" ca="1" si="44"/>
        <v>Shuey, Jeffrey M</v>
      </c>
      <c r="BD40" s="3" t="str">
        <f t="shared" ca="1" si="44"/>
        <v>Staub, Kevin</v>
      </c>
      <c r="BE40" s="3" t="str">
        <f t="shared" ca="1" si="44"/>
        <v>Steel, Van Remote</v>
      </c>
      <c r="BF40" s="3" t="str">
        <f t="shared" ca="1" si="44"/>
        <v>Stonecypher, David</v>
      </c>
      <c r="BG40" s="3" t="str">
        <f t="shared" ca="1" si="44"/>
        <v>Straw, Adam D</v>
      </c>
      <c r="BH40" s="3" t="str">
        <f t="shared" ca="1" si="44"/>
        <v>Tunnell, Justin S</v>
      </c>
      <c r="BI40" s="3" t="str">
        <f t="shared" ca="1" si="44"/>
        <v>Warren, Todd Remote</v>
      </c>
      <c r="BJ40" s="3" t="str">
        <f t="shared" ca="1" si="44"/>
        <v>Wells, Seth Remote</v>
      </c>
      <c r="BK40" s="3" t="str">
        <f t="shared" ca="1" si="44"/>
        <v>White, Jarred</v>
      </c>
      <c r="BL40" s="3" t="str">
        <f t="shared" ca="1" si="44"/>
        <v>Winburn, Steve A</v>
      </c>
      <c r="BM40" s="3" t="str">
        <f t="shared" ca="1" si="4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6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65" priority="30" stopIfTrue="1" operator="equal">
      <formula>0</formula>
    </cfRule>
  </conditionalFormatting>
  <conditionalFormatting sqref="D26:J28 K28:BE28">
    <cfRule type="cellIs" dxfId="264" priority="31" stopIfTrue="1" operator="equal">
      <formula>1</formula>
    </cfRule>
  </conditionalFormatting>
  <conditionalFormatting sqref="H3:I3 F23 H5:I5 H7:I7 H9:I9 H11:I11 H13:I13 H15:I15 H17:I17 H19:I19 H21:I21">
    <cfRule type="cellIs" dxfId="263" priority="32" stopIfTrue="1" operator="equal">
      <formula>0</formula>
    </cfRule>
  </conditionalFormatting>
  <conditionalFormatting sqref="H4:I4 F24 H6:I6 H8:I8 H10:I10 H12:I12 H14:I14 H16:I16 H18:I18 H20:I20 H22:I22">
    <cfRule type="cellIs" dxfId="262" priority="33" stopIfTrue="1" operator="equal">
      <formula>0</formula>
    </cfRule>
  </conditionalFormatting>
  <conditionalFormatting sqref="F3 F5 F7 F9 F11 F13 F15 F17 F19 F21">
    <cfRule type="cellIs" dxfId="26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59" priority="36" stopIfTrue="1">
      <formula>AND(COUNTA(J4)=1,$E4=1,SUM($E3:$E4)=1)</formula>
    </cfRule>
    <cfRule type="expression" dxfId="25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57" priority="38" stopIfTrue="1">
      <formula>AND(COUNTA(J3)=1,$E3=1,SUM($E3:$E4)=1)</formula>
    </cfRule>
    <cfRule type="expression" dxfId="256" priority="39" stopIfTrue="1">
      <formula>AND(COUNTA(J3)=1,$E3=0,SUM($E3:$E4)=1)</formula>
    </cfRule>
  </conditionalFormatting>
  <conditionalFormatting sqref="BF23:BM23">
    <cfRule type="cellIs" dxfId="255" priority="7" stopIfTrue="1" operator="equal">
      <formula>0</formula>
    </cfRule>
  </conditionalFormatting>
  <conditionalFormatting sqref="BF24:BM24">
    <cfRule type="cellIs" dxfId="254" priority="6" stopIfTrue="1" operator="equal">
      <formula>0</formula>
    </cfRule>
  </conditionalFormatting>
  <conditionalFormatting sqref="BF28:BM28">
    <cfRule type="cellIs" dxfId="25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52" priority="3" stopIfTrue="1">
      <formula>AND(COUNTA(BF4)=1,$E4=1,SUM($E3:$E4)=1)</formula>
    </cfRule>
    <cfRule type="expression" dxfId="25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50" priority="1" stopIfTrue="1">
      <formula>AND(COUNTA(BF3)=1,$E3=1,SUM($E3:$E4)=1)</formula>
    </cfRule>
    <cfRule type="expression" dxfId="24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BM58"/>
  <sheetViews>
    <sheetView zoomScale="90" zoomScaleNormal="100" zoomScaleSheetLayoutView="100" workbookViewId="0">
      <selection activeCell="U21" sqref="U21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200</v>
      </c>
      <c r="C3" s="65">
        <v>4.5</v>
      </c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309</v>
      </c>
      <c r="L3" s="69"/>
      <c r="M3" s="69" t="s">
        <v>350</v>
      </c>
      <c r="N3" s="69" t="s">
        <v>381</v>
      </c>
      <c r="O3" s="69"/>
      <c r="P3" s="69" t="s">
        <v>309</v>
      </c>
      <c r="Q3" s="69"/>
      <c r="R3" s="69" t="s">
        <v>309</v>
      </c>
      <c r="S3" s="69" t="s">
        <v>311</v>
      </c>
      <c r="T3" s="69" t="s">
        <v>344</v>
      </c>
      <c r="U3" s="69"/>
      <c r="V3" s="69" t="s">
        <v>309</v>
      </c>
      <c r="W3" s="69" t="s">
        <v>328</v>
      </c>
      <c r="X3" s="69" t="s">
        <v>309</v>
      </c>
      <c r="Y3" s="69" t="s">
        <v>311</v>
      </c>
      <c r="Z3" s="69" t="s">
        <v>311</v>
      </c>
      <c r="AA3" s="69"/>
      <c r="AB3" s="69" t="s">
        <v>336</v>
      </c>
      <c r="AC3" s="69" t="s">
        <v>311</v>
      </c>
      <c r="AD3" s="69" t="s">
        <v>345</v>
      </c>
      <c r="AE3" s="69" t="s">
        <v>311</v>
      </c>
      <c r="AF3" s="69"/>
      <c r="AG3" s="69"/>
      <c r="AH3" s="69"/>
      <c r="AI3" s="69" t="s">
        <v>328</v>
      </c>
      <c r="AJ3" s="69" t="s">
        <v>329</v>
      </c>
      <c r="AK3" s="69"/>
      <c r="AL3" s="69"/>
      <c r="AM3" s="69" t="s">
        <v>330</v>
      </c>
      <c r="AN3" s="69" t="s">
        <v>335</v>
      </c>
      <c r="AO3" s="69" t="s">
        <v>311</v>
      </c>
      <c r="AP3" s="69" t="s">
        <v>336</v>
      </c>
      <c r="AQ3" s="69" t="s">
        <v>311</v>
      </c>
      <c r="AR3" s="96" t="s">
        <v>309</v>
      </c>
      <c r="AS3" s="69"/>
      <c r="AT3" s="69" t="s">
        <v>336</v>
      </c>
      <c r="AU3" s="69"/>
      <c r="AV3" s="69" t="s">
        <v>311</v>
      </c>
      <c r="AW3" s="69"/>
      <c r="AX3" s="69" t="s">
        <v>361</v>
      </c>
      <c r="AY3" s="69" t="s">
        <v>367</v>
      </c>
      <c r="AZ3" s="69" t="s">
        <v>311</v>
      </c>
      <c r="BA3" s="69" t="s">
        <v>311</v>
      </c>
      <c r="BB3" s="69" t="s">
        <v>348</v>
      </c>
      <c r="BC3" s="69"/>
      <c r="BD3" s="69"/>
      <c r="BE3" s="96" t="s">
        <v>364</v>
      </c>
      <c r="BF3" s="69"/>
      <c r="BG3" s="69"/>
      <c r="BH3" s="69" t="s">
        <v>311</v>
      </c>
      <c r="BI3" s="69"/>
      <c r="BJ3" s="69"/>
      <c r="BK3" s="69" t="s">
        <v>309</v>
      </c>
      <c r="BL3" s="69" t="s">
        <v>311</v>
      </c>
      <c r="BM3" s="69"/>
    </row>
    <row r="4" spans="1:65">
      <c r="A4" s="61" t="s">
        <v>3</v>
      </c>
      <c r="B4" s="68" t="s">
        <v>151</v>
      </c>
      <c r="C4" s="66"/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/>
      <c r="L4" s="70" t="s">
        <v>339</v>
      </c>
      <c r="M4" s="70"/>
      <c r="N4" s="70"/>
      <c r="O4" s="70" t="s">
        <v>309</v>
      </c>
      <c r="P4" s="70"/>
      <c r="Q4" s="70" t="s">
        <v>335</v>
      </c>
      <c r="R4" s="70"/>
      <c r="S4" s="70"/>
      <c r="T4" s="70"/>
      <c r="U4" s="97" t="s">
        <v>402</v>
      </c>
      <c r="V4" s="70"/>
      <c r="W4" s="70"/>
      <c r="X4" s="70"/>
      <c r="Y4" s="70"/>
      <c r="Z4" s="70"/>
      <c r="AA4" s="70" t="s">
        <v>309</v>
      </c>
      <c r="AB4" s="70"/>
      <c r="AC4" s="70"/>
      <c r="AD4" s="70"/>
      <c r="AE4" s="70"/>
      <c r="AF4" s="70" t="s">
        <v>349</v>
      </c>
      <c r="AG4" s="70" t="s">
        <v>311</v>
      </c>
      <c r="AH4" s="70" t="s">
        <v>370</v>
      </c>
      <c r="AI4" s="70"/>
      <c r="AJ4" s="70"/>
      <c r="AK4" s="70" t="s">
        <v>311</v>
      </c>
      <c r="AL4" s="70" t="s">
        <v>327</v>
      </c>
      <c r="AM4" s="70"/>
      <c r="AN4" s="70"/>
      <c r="AO4" s="70"/>
      <c r="AP4" s="70"/>
      <c r="AQ4" s="70"/>
      <c r="AR4" s="70"/>
      <c r="AS4" s="70" t="s">
        <v>312</v>
      </c>
      <c r="AT4" s="70"/>
      <c r="AU4" s="70" t="s">
        <v>309</v>
      </c>
      <c r="AV4" s="70"/>
      <c r="AW4" s="70" t="s">
        <v>312</v>
      </c>
      <c r="AX4" s="70"/>
      <c r="AY4" s="70"/>
      <c r="AZ4" s="70"/>
      <c r="BA4" s="70"/>
      <c r="BB4" s="70"/>
      <c r="BC4" s="70" t="s">
        <v>309</v>
      </c>
      <c r="BD4" s="70" t="s">
        <v>378</v>
      </c>
      <c r="BE4" s="70"/>
      <c r="BF4" s="70" t="s">
        <v>311</v>
      </c>
      <c r="BG4" s="70" t="s">
        <v>311</v>
      </c>
      <c r="BH4" s="70"/>
      <c r="BI4" s="70" t="s">
        <v>378</v>
      </c>
      <c r="BJ4" s="70" t="s">
        <v>312</v>
      </c>
      <c r="BK4" s="70"/>
      <c r="BL4" s="70"/>
      <c r="BM4" s="70" t="s">
        <v>328</v>
      </c>
    </row>
    <row r="5" spans="1:65">
      <c r="A5" s="59">
        <v>2</v>
      </c>
      <c r="B5" s="67" t="s">
        <v>169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 t="s">
        <v>339</v>
      </c>
      <c r="M5" s="69"/>
      <c r="N5" s="69"/>
      <c r="O5" s="69"/>
      <c r="P5" s="69"/>
      <c r="Q5" s="69"/>
      <c r="R5" s="69"/>
      <c r="S5" s="69"/>
      <c r="T5" s="69" t="s">
        <v>344</v>
      </c>
      <c r="U5" s="96" t="s">
        <v>402</v>
      </c>
      <c r="V5" s="69"/>
      <c r="W5" s="69"/>
      <c r="X5" s="69" t="s">
        <v>309</v>
      </c>
      <c r="Y5" s="69" t="s">
        <v>311</v>
      </c>
      <c r="Z5" s="69"/>
      <c r="AA5" s="69" t="s">
        <v>309</v>
      </c>
      <c r="AB5" s="69" t="s">
        <v>336</v>
      </c>
      <c r="AC5" s="69"/>
      <c r="AD5" s="69"/>
      <c r="AE5" s="69"/>
      <c r="AF5" s="69"/>
      <c r="AG5" s="69" t="s">
        <v>311</v>
      </c>
      <c r="AH5" s="69" t="s">
        <v>371</v>
      </c>
      <c r="AI5" s="69"/>
      <c r="AJ5" s="69"/>
      <c r="AK5" s="69"/>
      <c r="AL5" s="69" t="s">
        <v>327</v>
      </c>
      <c r="AM5" s="69"/>
      <c r="AN5" s="69"/>
      <c r="AO5" s="69"/>
      <c r="AP5" s="69" t="s">
        <v>330</v>
      </c>
      <c r="AQ5" s="69"/>
      <c r="AR5" s="96" t="s">
        <v>309</v>
      </c>
      <c r="AS5" s="69" t="s">
        <v>329</v>
      </c>
      <c r="AT5" s="69" t="s">
        <v>336</v>
      </c>
      <c r="AU5" s="69"/>
      <c r="AV5" s="69"/>
      <c r="AW5" s="69" t="s">
        <v>323</v>
      </c>
      <c r="AX5" s="69"/>
      <c r="AY5" s="69" t="s">
        <v>311</v>
      </c>
      <c r="AZ5" s="69" t="s">
        <v>311</v>
      </c>
      <c r="BA5" s="69" t="s">
        <v>311</v>
      </c>
      <c r="BB5" s="69" t="s">
        <v>348</v>
      </c>
      <c r="BC5" s="69"/>
      <c r="BD5" s="69" t="s">
        <v>378</v>
      </c>
      <c r="BE5" s="69" t="s">
        <v>364</v>
      </c>
      <c r="BF5" s="69" t="s">
        <v>311</v>
      </c>
      <c r="BG5" s="69" t="s">
        <v>311</v>
      </c>
      <c r="BH5" s="69" t="s">
        <v>311</v>
      </c>
      <c r="BI5" s="69" t="s">
        <v>378</v>
      </c>
      <c r="BJ5" s="69"/>
      <c r="BK5" s="69"/>
      <c r="BL5" s="69" t="s">
        <v>311</v>
      </c>
      <c r="BM5" s="69"/>
    </row>
    <row r="6" spans="1:65">
      <c r="A6" s="61" t="s">
        <v>3</v>
      </c>
      <c r="B6" s="68" t="s">
        <v>147</v>
      </c>
      <c r="C6" s="66">
        <v>4.5</v>
      </c>
      <c r="D6" s="64">
        <v>31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/>
      <c r="M6" s="70" t="s">
        <v>350</v>
      </c>
      <c r="N6" s="70" t="s">
        <v>381</v>
      </c>
      <c r="O6" s="70" t="s">
        <v>309</v>
      </c>
      <c r="P6" s="70" t="s">
        <v>309</v>
      </c>
      <c r="Q6" s="70" t="s">
        <v>335</v>
      </c>
      <c r="R6" s="70" t="s">
        <v>309</v>
      </c>
      <c r="S6" s="70" t="s">
        <v>311</v>
      </c>
      <c r="T6" s="70"/>
      <c r="U6" s="70"/>
      <c r="V6" s="70" t="s">
        <v>309</v>
      </c>
      <c r="W6" s="70" t="s">
        <v>323</v>
      </c>
      <c r="X6" s="70"/>
      <c r="Y6" s="70"/>
      <c r="Z6" s="70" t="s">
        <v>311</v>
      </c>
      <c r="AA6" s="70"/>
      <c r="AB6" s="70"/>
      <c r="AC6" s="70" t="s">
        <v>311</v>
      </c>
      <c r="AD6" s="70" t="s">
        <v>346</v>
      </c>
      <c r="AE6" s="70" t="s">
        <v>311</v>
      </c>
      <c r="AF6" s="70" t="s">
        <v>349</v>
      </c>
      <c r="AG6" s="70"/>
      <c r="AH6" s="70"/>
      <c r="AI6" s="70" t="s">
        <v>323</v>
      </c>
      <c r="AJ6" s="70" t="s">
        <v>329</v>
      </c>
      <c r="AK6" s="70" t="s">
        <v>311</v>
      </c>
      <c r="AL6" s="70"/>
      <c r="AM6" s="70" t="s">
        <v>314</v>
      </c>
      <c r="AN6" s="70" t="s">
        <v>335</v>
      </c>
      <c r="AO6" s="70" t="s">
        <v>311</v>
      </c>
      <c r="AP6" s="70"/>
      <c r="AQ6" s="70" t="s">
        <v>311</v>
      </c>
      <c r="AR6" s="70"/>
      <c r="AS6" s="70"/>
      <c r="AT6" s="70"/>
      <c r="AU6" s="70" t="s">
        <v>309</v>
      </c>
      <c r="AV6" s="70" t="s">
        <v>311</v>
      </c>
      <c r="AW6" s="70"/>
      <c r="AX6" s="70" t="s">
        <v>349</v>
      </c>
      <c r="AY6" s="70"/>
      <c r="AZ6" s="70"/>
      <c r="BA6" s="70"/>
      <c r="BB6" s="70"/>
      <c r="BC6" s="70" t="s">
        <v>309</v>
      </c>
      <c r="BD6" s="70"/>
      <c r="BE6" s="97"/>
      <c r="BF6" s="70"/>
      <c r="BG6" s="70"/>
      <c r="BH6" s="70"/>
      <c r="BI6" s="70"/>
      <c r="BJ6" s="70" t="s">
        <v>313</v>
      </c>
      <c r="BK6" s="70" t="s">
        <v>309</v>
      </c>
      <c r="BL6" s="70"/>
      <c r="BM6" s="70" t="s">
        <v>327</v>
      </c>
    </row>
    <row r="7" spans="1:65">
      <c r="A7" s="59">
        <v>3</v>
      </c>
      <c r="B7" s="67" t="s">
        <v>206</v>
      </c>
      <c r="C7" s="65"/>
      <c r="D7" s="64">
        <v>27</v>
      </c>
      <c r="E7" s="64">
        <f>IF(ISBLANK($D7),"0",IF(($D8-$D7)&lt;($C8-$C7),1,0))</f>
        <v>0</v>
      </c>
      <c r="F7" s="64">
        <f t="shared" ca="1" si="1"/>
        <v>29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/>
      <c r="L7" s="69" t="s">
        <v>339</v>
      </c>
      <c r="M7" s="69"/>
      <c r="N7" s="69"/>
      <c r="O7" s="69" t="s">
        <v>309</v>
      </c>
      <c r="P7" s="69" t="s">
        <v>309</v>
      </c>
      <c r="Q7" s="69"/>
      <c r="R7" s="96" t="s">
        <v>309</v>
      </c>
      <c r="S7" s="96" t="s">
        <v>311</v>
      </c>
      <c r="T7" s="96"/>
      <c r="U7" s="96" t="s">
        <v>402</v>
      </c>
      <c r="V7" s="69" t="s">
        <v>309</v>
      </c>
      <c r="W7" s="69"/>
      <c r="X7" s="69" t="s">
        <v>309</v>
      </c>
      <c r="Y7" s="69"/>
      <c r="Z7" s="69" t="s">
        <v>311</v>
      </c>
      <c r="AA7" s="69"/>
      <c r="AB7" s="69"/>
      <c r="AC7" s="69"/>
      <c r="AD7" s="69" t="s">
        <v>337</v>
      </c>
      <c r="AE7" s="69" t="s">
        <v>311</v>
      </c>
      <c r="AF7" s="69" t="s">
        <v>349</v>
      </c>
      <c r="AG7" s="69"/>
      <c r="AH7" s="69" t="s">
        <v>316</v>
      </c>
      <c r="AI7" s="69"/>
      <c r="AJ7" s="69" t="s">
        <v>329</v>
      </c>
      <c r="AK7" s="69"/>
      <c r="AL7" s="69" t="s">
        <v>327</v>
      </c>
      <c r="AM7" s="69"/>
      <c r="AN7" s="69"/>
      <c r="AO7" s="69" t="s">
        <v>311</v>
      </c>
      <c r="AP7" s="69" t="s">
        <v>322</v>
      </c>
      <c r="AQ7" s="69" t="s">
        <v>311</v>
      </c>
      <c r="AR7" s="96" t="s">
        <v>309</v>
      </c>
      <c r="AS7" s="69" t="s">
        <v>329</v>
      </c>
      <c r="AT7" s="69" t="s">
        <v>336</v>
      </c>
      <c r="AU7" s="69"/>
      <c r="AV7" s="69" t="s">
        <v>311</v>
      </c>
      <c r="AW7" s="69"/>
      <c r="AX7" s="69" t="s">
        <v>314</v>
      </c>
      <c r="AY7" s="69"/>
      <c r="AZ7" s="69"/>
      <c r="BA7" s="69"/>
      <c r="BB7" s="69"/>
      <c r="BC7" s="69"/>
      <c r="BD7" s="69" t="s">
        <v>378</v>
      </c>
      <c r="BE7" s="96" t="s">
        <v>364</v>
      </c>
      <c r="BF7" s="69"/>
      <c r="BG7" s="69" t="s">
        <v>311</v>
      </c>
      <c r="BH7" s="69" t="s">
        <v>311</v>
      </c>
      <c r="BI7" s="69" t="s">
        <v>378</v>
      </c>
      <c r="BJ7" s="69"/>
      <c r="BK7" s="69"/>
      <c r="BL7" s="69" t="s">
        <v>311</v>
      </c>
      <c r="BM7" s="69"/>
    </row>
    <row r="8" spans="1:65">
      <c r="A8" s="61" t="s">
        <v>3</v>
      </c>
      <c r="B8" s="68" t="s">
        <v>168</v>
      </c>
      <c r="C8" s="66">
        <v>12.5</v>
      </c>
      <c r="D8" s="64">
        <v>46</v>
      </c>
      <c r="E8" s="64">
        <f>IF(ISBLANK($D8),"0",IF(($D8-$D7)&gt;($C8-$C7),1,0))</f>
        <v>1</v>
      </c>
      <c r="F8" s="64">
        <f t="shared" ca="1" si="1"/>
        <v>26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/>
      <c r="M8" s="70" t="s">
        <v>350</v>
      </c>
      <c r="N8" s="70" t="s">
        <v>381</v>
      </c>
      <c r="O8" s="70"/>
      <c r="P8" s="70"/>
      <c r="Q8" s="70" t="s">
        <v>335</v>
      </c>
      <c r="R8" s="97"/>
      <c r="S8" s="97"/>
      <c r="T8" s="97" t="s">
        <v>344</v>
      </c>
      <c r="U8" s="70"/>
      <c r="V8" s="70"/>
      <c r="W8" s="70" t="s">
        <v>317</v>
      </c>
      <c r="X8" s="70"/>
      <c r="Y8" s="70" t="s">
        <v>311</v>
      </c>
      <c r="Z8" s="70"/>
      <c r="AA8" s="70" t="s">
        <v>309</v>
      </c>
      <c r="AB8" s="70" t="s">
        <v>336</v>
      </c>
      <c r="AC8" s="70" t="s">
        <v>311</v>
      </c>
      <c r="AD8" s="70"/>
      <c r="AE8" s="70"/>
      <c r="AF8" s="70"/>
      <c r="AG8" s="70" t="s">
        <v>311</v>
      </c>
      <c r="AH8" s="70"/>
      <c r="AI8" s="70" t="s">
        <v>336</v>
      </c>
      <c r="AJ8" s="70"/>
      <c r="AK8" s="70" t="s">
        <v>311</v>
      </c>
      <c r="AL8" s="70"/>
      <c r="AM8" s="70" t="s">
        <v>320</v>
      </c>
      <c r="AN8" s="70" t="s">
        <v>335</v>
      </c>
      <c r="AO8" s="70"/>
      <c r="AP8" s="70"/>
      <c r="AQ8" s="70"/>
      <c r="AR8" s="70"/>
      <c r="AS8" s="70"/>
      <c r="AT8" s="70"/>
      <c r="AU8" s="70" t="s">
        <v>309</v>
      </c>
      <c r="AV8" s="70"/>
      <c r="AW8" s="70" t="s">
        <v>318</v>
      </c>
      <c r="AX8" s="70"/>
      <c r="AY8" s="70" t="s">
        <v>311</v>
      </c>
      <c r="AZ8" s="70" t="s">
        <v>311</v>
      </c>
      <c r="BA8" s="70" t="s">
        <v>311</v>
      </c>
      <c r="BB8" s="70" t="s">
        <v>348</v>
      </c>
      <c r="BC8" s="70" t="s">
        <v>309</v>
      </c>
      <c r="BD8" s="70"/>
      <c r="BE8" s="70"/>
      <c r="BF8" s="70" t="s">
        <v>311</v>
      </c>
      <c r="BG8" s="70"/>
      <c r="BH8" s="70"/>
      <c r="BI8" s="70"/>
      <c r="BJ8" s="70" t="s">
        <v>314</v>
      </c>
      <c r="BK8" s="70" t="s">
        <v>309</v>
      </c>
      <c r="BL8" s="70"/>
      <c r="BM8" s="70" t="s">
        <v>329</v>
      </c>
    </row>
    <row r="9" spans="1:65">
      <c r="A9" s="59">
        <v>4</v>
      </c>
      <c r="B9" s="108" t="s">
        <v>172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339</v>
      </c>
      <c r="M9" s="69" t="s">
        <v>350</v>
      </c>
      <c r="N9" s="69" t="s">
        <v>381</v>
      </c>
      <c r="O9" s="69"/>
      <c r="P9" s="69" t="s">
        <v>309</v>
      </c>
      <c r="Q9" s="69"/>
      <c r="R9" s="96"/>
      <c r="S9" s="96"/>
      <c r="T9" s="96" t="s">
        <v>344</v>
      </c>
      <c r="U9" s="69"/>
      <c r="V9" s="69"/>
      <c r="W9" s="69" t="s">
        <v>337</v>
      </c>
      <c r="X9" s="69"/>
      <c r="Y9" s="69"/>
      <c r="Z9" s="69" t="s">
        <v>311</v>
      </c>
      <c r="AA9" s="69"/>
      <c r="AB9" s="69"/>
      <c r="AC9" s="69"/>
      <c r="AD9" s="69"/>
      <c r="AE9" s="69" t="s">
        <v>311</v>
      </c>
      <c r="AF9" s="69"/>
      <c r="AG9" s="69" t="s">
        <v>311</v>
      </c>
      <c r="AH9" s="69" t="s">
        <v>372</v>
      </c>
      <c r="AI9" s="69"/>
      <c r="AJ9" s="69" t="s">
        <v>329</v>
      </c>
      <c r="AK9" s="69"/>
      <c r="AL9" s="69"/>
      <c r="AM9" s="69"/>
      <c r="AN9" s="69"/>
      <c r="AO9" s="69" t="s">
        <v>311</v>
      </c>
      <c r="AP9" s="69" t="s">
        <v>332</v>
      </c>
      <c r="AQ9" s="69"/>
      <c r="AR9" s="96" t="s">
        <v>309</v>
      </c>
      <c r="AS9" s="69" t="s">
        <v>330</v>
      </c>
      <c r="AT9" s="69" t="s">
        <v>336</v>
      </c>
      <c r="AU9" s="69" t="s">
        <v>309</v>
      </c>
      <c r="AV9" s="69"/>
      <c r="AW9" s="69" t="s">
        <v>340</v>
      </c>
      <c r="AX9" s="69"/>
      <c r="AY9" s="69"/>
      <c r="AZ9" s="69"/>
      <c r="BA9" s="69"/>
      <c r="BB9" s="69" t="s">
        <v>348</v>
      </c>
      <c r="BC9" s="69" t="s">
        <v>309</v>
      </c>
      <c r="BD9" s="69"/>
      <c r="BE9" s="96" t="s">
        <v>364</v>
      </c>
      <c r="BF9" s="69"/>
      <c r="BG9" s="69"/>
      <c r="BH9" s="69" t="s">
        <v>311</v>
      </c>
      <c r="BI9" s="69"/>
      <c r="BJ9" s="69"/>
      <c r="BK9" s="69"/>
      <c r="BL9" s="69" t="s">
        <v>311</v>
      </c>
      <c r="BM9" s="69"/>
    </row>
    <row r="10" spans="1:65">
      <c r="A10" s="61" t="s">
        <v>3</v>
      </c>
      <c r="B10" s="68" t="s">
        <v>157</v>
      </c>
      <c r="C10" s="66">
        <v>16.5</v>
      </c>
      <c r="D10" s="64">
        <v>33</v>
      </c>
      <c r="E10" s="64">
        <f>IF(ISBLANK($D10),"0",IF(($D10-$D9)&gt;($C10-$C9),1,0))</f>
        <v>0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 t="s">
        <v>309</v>
      </c>
      <c r="L10" s="70"/>
      <c r="M10" s="70"/>
      <c r="N10" s="70"/>
      <c r="O10" s="70" t="s">
        <v>309</v>
      </c>
      <c r="P10" s="70"/>
      <c r="Q10" s="70" t="s">
        <v>335</v>
      </c>
      <c r="R10" s="97" t="s">
        <v>309</v>
      </c>
      <c r="S10" s="97" t="s">
        <v>311</v>
      </c>
      <c r="T10" s="97"/>
      <c r="U10" s="97" t="s">
        <v>402</v>
      </c>
      <c r="V10" s="70" t="s">
        <v>309</v>
      </c>
      <c r="W10" s="70"/>
      <c r="X10" s="70" t="s">
        <v>309</v>
      </c>
      <c r="Y10" s="70" t="s">
        <v>311</v>
      </c>
      <c r="Z10" s="70"/>
      <c r="AA10" s="70" t="s">
        <v>309</v>
      </c>
      <c r="AB10" s="70" t="s">
        <v>336</v>
      </c>
      <c r="AC10" s="70" t="s">
        <v>311</v>
      </c>
      <c r="AD10" s="70" t="s">
        <v>319</v>
      </c>
      <c r="AE10" s="70"/>
      <c r="AF10" s="70" t="s">
        <v>349</v>
      </c>
      <c r="AG10" s="70"/>
      <c r="AH10" s="70"/>
      <c r="AI10" s="70" t="s">
        <v>337</v>
      </c>
      <c r="AJ10" s="70"/>
      <c r="AK10" s="70" t="s">
        <v>311</v>
      </c>
      <c r="AL10" s="70" t="s">
        <v>327</v>
      </c>
      <c r="AM10" s="70" t="s">
        <v>337</v>
      </c>
      <c r="AN10" s="70" t="s">
        <v>335</v>
      </c>
      <c r="AO10" s="70"/>
      <c r="AP10" s="70"/>
      <c r="AQ10" s="70" t="s">
        <v>311</v>
      </c>
      <c r="AR10" s="70"/>
      <c r="AS10" s="70"/>
      <c r="AT10" s="70"/>
      <c r="AU10" s="70"/>
      <c r="AV10" s="70" t="s">
        <v>311</v>
      </c>
      <c r="AW10" s="70"/>
      <c r="AX10" s="70" t="s">
        <v>362</v>
      </c>
      <c r="AY10" s="70" t="s">
        <v>311</v>
      </c>
      <c r="AZ10" s="70" t="s">
        <v>311</v>
      </c>
      <c r="BA10" s="70" t="s">
        <v>311</v>
      </c>
      <c r="BB10" s="70"/>
      <c r="BC10" s="70"/>
      <c r="BD10" s="70" t="s">
        <v>378</v>
      </c>
      <c r="BE10" s="70"/>
      <c r="BF10" s="70" t="s">
        <v>311</v>
      </c>
      <c r="BG10" s="70" t="s">
        <v>311</v>
      </c>
      <c r="BH10" s="70"/>
      <c r="BI10" s="70" t="s">
        <v>378</v>
      </c>
      <c r="BJ10" s="70" t="s">
        <v>315</v>
      </c>
      <c r="BK10" s="70" t="s">
        <v>309</v>
      </c>
      <c r="BL10" s="70"/>
      <c r="BM10" s="70" t="s">
        <v>330</v>
      </c>
    </row>
    <row r="11" spans="1:65">
      <c r="A11" s="59">
        <v>5</v>
      </c>
      <c r="B11" s="67" t="s">
        <v>280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12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350</v>
      </c>
      <c r="N11" s="69"/>
      <c r="O11" s="69"/>
      <c r="P11" s="69"/>
      <c r="Q11" s="69"/>
      <c r="R11" s="96" t="s">
        <v>309</v>
      </c>
      <c r="S11" s="96"/>
      <c r="T11" s="96"/>
      <c r="U11" s="69"/>
      <c r="V11" s="69"/>
      <c r="W11" s="69" t="s">
        <v>325</v>
      </c>
      <c r="X11" s="69"/>
      <c r="Y11" s="69"/>
      <c r="Z11" s="69"/>
      <c r="AA11" s="69" t="s">
        <v>309</v>
      </c>
      <c r="AB11" s="69" t="s">
        <v>336</v>
      </c>
      <c r="AC11" s="69"/>
      <c r="AD11" s="69"/>
      <c r="AE11" s="69"/>
      <c r="AF11" s="69"/>
      <c r="AG11" s="69" t="s">
        <v>311</v>
      </c>
      <c r="AH11" s="69" t="s">
        <v>313</v>
      </c>
      <c r="AI11" s="69"/>
      <c r="AJ11" s="69" t="s">
        <v>329</v>
      </c>
      <c r="AK11" s="69"/>
      <c r="AL11" s="69" t="s">
        <v>327</v>
      </c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 t="s">
        <v>363</v>
      </c>
      <c r="AY11" s="69"/>
      <c r="AZ11" s="69"/>
      <c r="BA11" s="69"/>
      <c r="BB11" s="69"/>
      <c r="BC11" s="69"/>
      <c r="BD11" s="69"/>
      <c r="BE11" s="96"/>
      <c r="BF11" s="69" t="s">
        <v>311</v>
      </c>
      <c r="BG11" s="69" t="s">
        <v>311</v>
      </c>
      <c r="BH11" s="69"/>
      <c r="BI11" s="69"/>
      <c r="BJ11" s="69"/>
      <c r="BK11" s="69"/>
      <c r="BL11" s="69"/>
      <c r="BM11" s="69"/>
    </row>
    <row r="12" spans="1:65">
      <c r="A12" s="61" t="s">
        <v>3</v>
      </c>
      <c r="B12" s="68" t="s">
        <v>194</v>
      </c>
      <c r="C12" s="66">
        <v>3.5</v>
      </c>
      <c r="D12" s="64">
        <v>7</v>
      </c>
      <c r="E12" s="64">
        <f>IF(ISBLANK($D12),"0",IF(($D12-$D11)&gt;($C12-$C11),1,0))</f>
        <v>0</v>
      </c>
      <c r="F12" s="64">
        <f t="shared" ca="1" si="1"/>
        <v>43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339</v>
      </c>
      <c r="M12" s="70"/>
      <c r="N12" s="70" t="s">
        <v>381</v>
      </c>
      <c r="O12" s="70" t="s">
        <v>309</v>
      </c>
      <c r="P12" s="70" t="s">
        <v>309</v>
      </c>
      <c r="Q12" s="70" t="s">
        <v>335</v>
      </c>
      <c r="R12" s="97"/>
      <c r="S12" s="97" t="s">
        <v>311</v>
      </c>
      <c r="T12" s="97" t="s">
        <v>344</v>
      </c>
      <c r="U12" s="97" t="s">
        <v>402</v>
      </c>
      <c r="V12" s="70" t="s">
        <v>309</v>
      </c>
      <c r="W12" s="70"/>
      <c r="X12" s="70" t="s">
        <v>309</v>
      </c>
      <c r="Y12" s="70" t="s">
        <v>311</v>
      </c>
      <c r="Z12" s="70" t="s">
        <v>311</v>
      </c>
      <c r="AA12" s="70"/>
      <c r="AB12" s="70"/>
      <c r="AC12" s="70" t="s">
        <v>311</v>
      </c>
      <c r="AD12" s="70" t="s">
        <v>338</v>
      </c>
      <c r="AE12" s="70" t="s">
        <v>311</v>
      </c>
      <c r="AF12" s="70" t="s">
        <v>349</v>
      </c>
      <c r="AG12" s="70"/>
      <c r="AH12" s="70"/>
      <c r="AI12" s="70" t="s">
        <v>360</v>
      </c>
      <c r="AJ12" s="70"/>
      <c r="AK12" s="70" t="s">
        <v>311</v>
      </c>
      <c r="AL12" s="70"/>
      <c r="AM12" s="70" t="s">
        <v>313</v>
      </c>
      <c r="AN12" s="70" t="s">
        <v>335</v>
      </c>
      <c r="AO12" s="70" t="s">
        <v>311</v>
      </c>
      <c r="AP12" s="70" t="s">
        <v>374</v>
      </c>
      <c r="AQ12" s="70" t="s">
        <v>311</v>
      </c>
      <c r="AR12" s="97" t="s">
        <v>309</v>
      </c>
      <c r="AS12" s="70" t="s">
        <v>336</v>
      </c>
      <c r="AT12" s="70" t="s">
        <v>336</v>
      </c>
      <c r="AU12" s="70" t="s">
        <v>309</v>
      </c>
      <c r="AV12" s="70" t="s">
        <v>311</v>
      </c>
      <c r="AW12" s="70" t="s">
        <v>362</v>
      </c>
      <c r="AX12" s="70"/>
      <c r="AY12" s="70" t="s">
        <v>311</v>
      </c>
      <c r="AZ12" s="70" t="s">
        <v>311</v>
      </c>
      <c r="BA12" s="70" t="s">
        <v>311</v>
      </c>
      <c r="BB12" s="70" t="s">
        <v>348</v>
      </c>
      <c r="BC12" s="70" t="s">
        <v>309</v>
      </c>
      <c r="BD12" s="70" t="s">
        <v>378</v>
      </c>
      <c r="BE12" s="70" t="s">
        <v>364</v>
      </c>
      <c r="BF12" s="70"/>
      <c r="BG12" s="70"/>
      <c r="BH12" s="70" t="s">
        <v>311</v>
      </c>
      <c r="BI12" s="70" t="s">
        <v>378</v>
      </c>
      <c r="BJ12" s="70" t="s">
        <v>379</v>
      </c>
      <c r="BK12" s="70" t="s">
        <v>309</v>
      </c>
      <c r="BL12" s="70" t="s">
        <v>311</v>
      </c>
      <c r="BM12" s="70" t="s">
        <v>331</v>
      </c>
    </row>
    <row r="13" spans="1:65">
      <c r="A13" s="59">
        <v>6</v>
      </c>
      <c r="B13" s="67" t="s">
        <v>174</v>
      </c>
      <c r="C13" s="65"/>
      <c r="D13" s="64">
        <v>35</v>
      </c>
      <c r="E13" s="64">
        <f>IF(ISBLANK($D13),"0",IF(($D14-$D13)&lt;($C14-$C13),1,0))</f>
        <v>1</v>
      </c>
      <c r="F13" s="64">
        <f t="shared" ca="1" si="1"/>
        <v>34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339</v>
      </c>
      <c r="M13" s="69"/>
      <c r="N13" s="69"/>
      <c r="O13" s="69" t="s">
        <v>309</v>
      </c>
      <c r="P13" s="69" t="s">
        <v>309</v>
      </c>
      <c r="Q13" s="69" t="s">
        <v>335</v>
      </c>
      <c r="R13" s="96" t="s">
        <v>309</v>
      </c>
      <c r="S13" s="96"/>
      <c r="T13" s="96" t="s">
        <v>344</v>
      </c>
      <c r="U13" s="69"/>
      <c r="V13" s="69" t="s">
        <v>309</v>
      </c>
      <c r="W13" s="69" t="s">
        <v>314</v>
      </c>
      <c r="X13" s="69"/>
      <c r="Y13" s="69"/>
      <c r="Z13" s="69" t="s">
        <v>311</v>
      </c>
      <c r="AA13" s="69" t="s">
        <v>309</v>
      </c>
      <c r="AB13" s="69"/>
      <c r="AC13" s="69" t="s">
        <v>311</v>
      </c>
      <c r="AD13" s="69"/>
      <c r="AE13" s="69" t="s">
        <v>311</v>
      </c>
      <c r="AF13" s="69" t="s">
        <v>349</v>
      </c>
      <c r="AG13" s="69"/>
      <c r="AH13" s="69"/>
      <c r="AI13" s="69" t="s">
        <v>313</v>
      </c>
      <c r="AJ13" s="69"/>
      <c r="AK13" s="69" t="s">
        <v>311</v>
      </c>
      <c r="AL13" s="69" t="s">
        <v>327</v>
      </c>
      <c r="AM13" s="69" t="s">
        <v>325</v>
      </c>
      <c r="AN13" s="69" t="s">
        <v>335</v>
      </c>
      <c r="AO13" s="69" t="s">
        <v>311</v>
      </c>
      <c r="AP13" s="69" t="s">
        <v>312</v>
      </c>
      <c r="AQ13" s="69"/>
      <c r="AR13" s="96"/>
      <c r="AS13" s="69" t="s">
        <v>364</v>
      </c>
      <c r="AT13" s="69"/>
      <c r="AU13" s="69"/>
      <c r="AV13" s="69"/>
      <c r="AW13" s="69" t="s">
        <v>313</v>
      </c>
      <c r="AX13" s="69" t="s">
        <v>313</v>
      </c>
      <c r="AY13" s="69" t="s">
        <v>311</v>
      </c>
      <c r="AZ13" s="69" t="s">
        <v>311</v>
      </c>
      <c r="BA13" s="69"/>
      <c r="BB13" s="69"/>
      <c r="BC13" s="69" t="s">
        <v>309</v>
      </c>
      <c r="BD13" s="69" t="s">
        <v>378</v>
      </c>
      <c r="BE13" s="96" t="s">
        <v>364</v>
      </c>
      <c r="BF13" s="69"/>
      <c r="BG13" s="69" t="s">
        <v>311</v>
      </c>
      <c r="BH13" s="69"/>
      <c r="BI13" s="69" t="s">
        <v>378</v>
      </c>
      <c r="BJ13" s="69"/>
      <c r="BK13" s="69" t="s">
        <v>309</v>
      </c>
      <c r="BL13" s="69" t="s">
        <v>311</v>
      </c>
      <c r="BM13" s="69" t="s">
        <v>332</v>
      </c>
    </row>
    <row r="14" spans="1:65">
      <c r="A14" s="61" t="s">
        <v>3</v>
      </c>
      <c r="B14" s="68" t="s">
        <v>209</v>
      </c>
      <c r="C14" s="66">
        <v>11.5</v>
      </c>
      <c r="D14" s="64">
        <v>21</v>
      </c>
      <c r="E14" s="64">
        <f>IF(ISBLANK($D14),"0",IF(($D14-$D13)&gt;($C14-$C13),1,0))</f>
        <v>0</v>
      </c>
      <c r="F14" s="64">
        <f t="shared" ca="1" si="1"/>
        <v>21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 t="s">
        <v>350</v>
      </c>
      <c r="N14" s="70" t="s">
        <v>381</v>
      </c>
      <c r="O14" s="70"/>
      <c r="P14" s="70"/>
      <c r="Q14" s="70"/>
      <c r="R14" s="97"/>
      <c r="S14" s="97" t="s">
        <v>311</v>
      </c>
      <c r="T14" s="97"/>
      <c r="U14" s="97" t="s">
        <v>402</v>
      </c>
      <c r="V14" s="70"/>
      <c r="W14" s="70"/>
      <c r="X14" s="70" t="s">
        <v>309</v>
      </c>
      <c r="Y14" s="70" t="s">
        <v>311</v>
      </c>
      <c r="Z14" s="70"/>
      <c r="AA14" s="70"/>
      <c r="AB14" s="70" t="s">
        <v>336</v>
      </c>
      <c r="AC14" s="70"/>
      <c r="AD14" s="70" t="s">
        <v>323</v>
      </c>
      <c r="AE14" s="70"/>
      <c r="AF14" s="70"/>
      <c r="AG14" s="70" t="s">
        <v>311</v>
      </c>
      <c r="AH14" s="70" t="s">
        <v>373</v>
      </c>
      <c r="AI14" s="70"/>
      <c r="AJ14" s="70" t="s">
        <v>329</v>
      </c>
      <c r="AK14" s="70"/>
      <c r="AL14" s="70"/>
      <c r="AM14" s="70"/>
      <c r="AN14" s="70"/>
      <c r="AO14" s="70"/>
      <c r="AP14" s="70"/>
      <c r="AQ14" s="70" t="s">
        <v>311</v>
      </c>
      <c r="AR14" s="70" t="s">
        <v>309</v>
      </c>
      <c r="AS14" s="70"/>
      <c r="AT14" s="70" t="s">
        <v>336</v>
      </c>
      <c r="AU14" s="70" t="s">
        <v>309</v>
      </c>
      <c r="AV14" s="70" t="s">
        <v>311</v>
      </c>
      <c r="AW14" s="70"/>
      <c r="AX14" s="70"/>
      <c r="AY14" s="70"/>
      <c r="AZ14" s="70"/>
      <c r="BA14" s="70" t="s">
        <v>311</v>
      </c>
      <c r="BB14" s="70" t="s">
        <v>348</v>
      </c>
      <c r="BC14" s="70"/>
      <c r="BD14" s="70"/>
      <c r="BE14" s="70"/>
      <c r="BF14" s="70" t="s">
        <v>311</v>
      </c>
      <c r="BG14" s="70"/>
      <c r="BH14" s="70" t="s">
        <v>311</v>
      </c>
      <c r="BI14" s="70"/>
      <c r="BJ14" s="70" t="s">
        <v>330</v>
      </c>
      <c r="BK14" s="70"/>
      <c r="BL14" s="70"/>
      <c r="BM14" s="70"/>
    </row>
    <row r="15" spans="1:65">
      <c r="A15" s="59">
        <v>7</v>
      </c>
      <c r="B15" s="67" t="s">
        <v>238</v>
      </c>
      <c r="C15" s="65">
        <v>2.5</v>
      </c>
      <c r="D15" s="64">
        <v>13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381</v>
      </c>
      <c r="O15" s="69" t="s">
        <v>309</v>
      </c>
      <c r="P15" s="69" t="s">
        <v>309</v>
      </c>
      <c r="Q15" s="69" t="s">
        <v>335</v>
      </c>
      <c r="R15" s="96" t="s">
        <v>309</v>
      </c>
      <c r="S15" s="96" t="s">
        <v>311</v>
      </c>
      <c r="T15" s="96" t="s">
        <v>344</v>
      </c>
      <c r="U15" s="96" t="s">
        <v>402</v>
      </c>
      <c r="V15" s="69"/>
      <c r="W15" s="69" t="s">
        <v>315</v>
      </c>
      <c r="X15" s="69" t="s">
        <v>309</v>
      </c>
      <c r="Y15" s="69" t="s">
        <v>311</v>
      </c>
      <c r="Z15" s="69" t="s">
        <v>311</v>
      </c>
      <c r="AA15" s="69"/>
      <c r="AB15" s="69" t="s">
        <v>336</v>
      </c>
      <c r="AC15" s="69" t="s">
        <v>311</v>
      </c>
      <c r="AD15" s="69"/>
      <c r="AE15" s="69" t="s">
        <v>311</v>
      </c>
      <c r="AF15" s="69" t="s">
        <v>349</v>
      </c>
      <c r="AG15" s="69"/>
      <c r="AH15" s="69" t="s">
        <v>313</v>
      </c>
      <c r="AI15" s="69" t="s">
        <v>325</v>
      </c>
      <c r="AJ15" s="69" t="s">
        <v>329</v>
      </c>
      <c r="AK15" s="69"/>
      <c r="AL15" s="69" t="s">
        <v>327</v>
      </c>
      <c r="AM15" s="69" t="s">
        <v>372</v>
      </c>
      <c r="AN15" s="69" t="s">
        <v>335</v>
      </c>
      <c r="AO15" s="69" t="s">
        <v>311</v>
      </c>
      <c r="AP15" s="69" t="s">
        <v>375</v>
      </c>
      <c r="AQ15" s="69"/>
      <c r="AR15" s="69" t="s">
        <v>309</v>
      </c>
      <c r="AS15" s="69"/>
      <c r="AT15" s="69" t="s">
        <v>336</v>
      </c>
      <c r="AU15" s="69"/>
      <c r="AV15" s="69" t="s">
        <v>311</v>
      </c>
      <c r="AW15" s="69" t="s">
        <v>312</v>
      </c>
      <c r="AX15" s="69"/>
      <c r="AY15" s="69" t="s">
        <v>311</v>
      </c>
      <c r="AZ15" s="69"/>
      <c r="BA15" s="69"/>
      <c r="BB15" s="69" t="s">
        <v>348</v>
      </c>
      <c r="BC15" s="69"/>
      <c r="BD15" s="69" t="s">
        <v>378</v>
      </c>
      <c r="BE15" s="96" t="s">
        <v>364</v>
      </c>
      <c r="BF15" s="69"/>
      <c r="BG15" s="69" t="s">
        <v>311</v>
      </c>
      <c r="BH15" s="69" t="s">
        <v>311</v>
      </c>
      <c r="BI15" s="69" t="s">
        <v>378</v>
      </c>
      <c r="BJ15" s="69"/>
      <c r="BK15" s="69" t="s">
        <v>309</v>
      </c>
      <c r="BL15" s="69" t="s">
        <v>311</v>
      </c>
      <c r="BM15" s="69"/>
    </row>
    <row r="16" spans="1:65">
      <c r="A16" s="61" t="s">
        <v>3</v>
      </c>
      <c r="B16" s="68" t="s">
        <v>244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 t="s">
        <v>339</v>
      </c>
      <c r="M16" s="70" t="s">
        <v>350</v>
      </c>
      <c r="N16" s="70"/>
      <c r="O16" s="70"/>
      <c r="P16" s="70"/>
      <c r="Q16" s="70"/>
      <c r="R16" s="70"/>
      <c r="S16" s="70"/>
      <c r="T16" s="70"/>
      <c r="U16" s="70"/>
      <c r="V16" s="70" t="s">
        <v>309</v>
      </c>
      <c r="W16" s="70"/>
      <c r="X16" s="70"/>
      <c r="Y16" s="70"/>
      <c r="Z16" s="70"/>
      <c r="AA16" s="70" t="s">
        <v>309</v>
      </c>
      <c r="AB16" s="70"/>
      <c r="AC16" s="70"/>
      <c r="AD16" s="70" t="s">
        <v>347</v>
      </c>
      <c r="AE16" s="70"/>
      <c r="AF16" s="70"/>
      <c r="AG16" s="70" t="s">
        <v>311</v>
      </c>
      <c r="AH16" s="70"/>
      <c r="AI16" s="70"/>
      <c r="AJ16" s="70"/>
      <c r="AK16" s="70" t="s">
        <v>311</v>
      </c>
      <c r="AL16" s="70"/>
      <c r="AM16" s="70"/>
      <c r="AN16" s="70"/>
      <c r="AO16" s="70"/>
      <c r="AP16" s="70"/>
      <c r="AQ16" s="70" t="s">
        <v>311</v>
      </c>
      <c r="AR16" s="97"/>
      <c r="AS16" s="70" t="s">
        <v>350</v>
      </c>
      <c r="AT16" s="70"/>
      <c r="AU16" s="70" t="s">
        <v>309</v>
      </c>
      <c r="AV16" s="70"/>
      <c r="AW16" s="70"/>
      <c r="AX16" s="70" t="s">
        <v>315</v>
      </c>
      <c r="AY16" s="70"/>
      <c r="AZ16" s="70" t="s">
        <v>311</v>
      </c>
      <c r="BA16" s="70" t="s">
        <v>311</v>
      </c>
      <c r="BB16" s="70"/>
      <c r="BC16" s="70" t="s">
        <v>309</v>
      </c>
      <c r="BD16" s="70"/>
      <c r="BE16" s="70"/>
      <c r="BF16" s="70" t="s">
        <v>311</v>
      </c>
      <c r="BG16" s="70"/>
      <c r="BH16" s="70"/>
      <c r="BI16" s="70"/>
      <c r="BJ16" s="70" t="s">
        <v>331</v>
      </c>
      <c r="BK16" s="70"/>
      <c r="BL16" s="70"/>
      <c r="BM16" s="70" t="s">
        <v>331</v>
      </c>
    </row>
    <row r="17" spans="1:65">
      <c r="A17" s="59">
        <v>8</v>
      </c>
      <c r="B17" s="67" t="s">
        <v>148</v>
      </c>
      <c r="C17" s="65"/>
      <c r="D17" s="64">
        <v>24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339</v>
      </c>
      <c r="M17" s="69"/>
      <c r="N17" s="69"/>
      <c r="O17" s="69"/>
      <c r="P17" s="69"/>
      <c r="Q17" s="69"/>
      <c r="R17" s="69" t="s">
        <v>309</v>
      </c>
      <c r="S17" s="69"/>
      <c r="T17" s="69" t="s">
        <v>344</v>
      </c>
      <c r="U17" s="96" t="s">
        <v>402</v>
      </c>
      <c r="V17" s="69"/>
      <c r="W17" s="69" t="s">
        <v>313</v>
      </c>
      <c r="X17" s="69" t="s">
        <v>309</v>
      </c>
      <c r="Y17" s="69" t="s">
        <v>311</v>
      </c>
      <c r="Z17" s="69" t="s">
        <v>311</v>
      </c>
      <c r="AA17" s="69"/>
      <c r="AB17" s="69"/>
      <c r="AC17" s="69" t="s">
        <v>311</v>
      </c>
      <c r="AD17" s="69" t="s">
        <v>313</v>
      </c>
      <c r="AE17" s="69" t="s">
        <v>311</v>
      </c>
      <c r="AF17" s="69"/>
      <c r="AG17" s="69" t="s">
        <v>311</v>
      </c>
      <c r="AH17" s="69"/>
      <c r="AI17" s="69"/>
      <c r="AJ17" s="69" t="s">
        <v>329</v>
      </c>
      <c r="AK17" s="69" t="s">
        <v>311</v>
      </c>
      <c r="AL17" s="69"/>
      <c r="AM17" s="69" t="s">
        <v>314</v>
      </c>
      <c r="AN17" s="69" t="s">
        <v>335</v>
      </c>
      <c r="AO17" s="69" t="s">
        <v>311</v>
      </c>
      <c r="AP17" s="69" t="s">
        <v>334</v>
      </c>
      <c r="AQ17" s="69"/>
      <c r="AR17" s="96" t="s">
        <v>309</v>
      </c>
      <c r="AS17" s="69"/>
      <c r="AT17" s="69" t="s">
        <v>336</v>
      </c>
      <c r="AU17" s="69" t="s">
        <v>309</v>
      </c>
      <c r="AV17" s="69" t="s">
        <v>311</v>
      </c>
      <c r="AW17" s="69" t="s">
        <v>314</v>
      </c>
      <c r="AX17" s="69" t="s">
        <v>320</v>
      </c>
      <c r="AY17" s="69"/>
      <c r="AZ17" s="69"/>
      <c r="BA17" s="69"/>
      <c r="BB17" s="69" t="s">
        <v>348</v>
      </c>
      <c r="BC17" s="69" t="s">
        <v>309</v>
      </c>
      <c r="BD17" s="69" t="s">
        <v>378</v>
      </c>
      <c r="BE17" s="69" t="s">
        <v>364</v>
      </c>
      <c r="BF17" s="69" t="s">
        <v>311</v>
      </c>
      <c r="BG17" s="69"/>
      <c r="BH17" s="69"/>
      <c r="BI17" s="69" t="s">
        <v>378</v>
      </c>
      <c r="BJ17" s="69" t="s">
        <v>375</v>
      </c>
      <c r="BK17" s="69"/>
      <c r="BL17" s="69"/>
      <c r="BM17" s="69" t="s">
        <v>333</v>
      </c>
    </row>
    <row r="18" spans="1:65">
      <c r="A18" s="61" t="s">
        <v>3</v>
      </c>
      <c r="B18" s="68" t="s">
        <v>175</v>
      </c>
      <c r="C18" s="66">
        <v>10.5</v>
      </c>
      <c r="D18" s="64">
        <v>37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 t="s">
        <v>309</v>
      </c>
      <c r="L18" s="70"/>
      <c r="M18" s="70" t="s">
        <v>350</v>
      </c>
      <c r="N18" s="70" t="s">
        <v>381</v>
      </c>
      <c r="O18" s="70" t="s">
        <v>309</v>
      </c>
      <c r="P18" s="70" t="s">
        <v>309</v>
      </c>
      <c r="Q18" s="70" t="s">
        <v>335</v>
      </c>
      <c r="R18" s="70"/>
      <c r="S18" s="70" t="s">
        <v>311</v>
      </c>
      <c r="T18" s="70"/>
      <c r="U18" s="70"/>
      <c r="V18" s="70" t="s">
        <v>309</v>
      </c>
      <c r="W18" s="70"/>
      <c r="X18" s="70"/>
      <c r="Y18" s="70"/>
      <c r="Z18" s="70"/>
      <c r="AA18" s="70" t="s">
        <v>309</v>
      </c>
      <c r="AB18" s="70" t="s">
        <v>336</v>
      </c>
      <c r="AC18" s="70"/>
      <c r="AD18" s="70"/>
      <c r="AE18" s="70"/>
      <c r="AF18" s="70" t="s">
        <v>349</v>
      </c>
      <c r="AG18" s="70"/>
      <c r="AH18" s="70" t="s">
        <v>340</v>
      </c>
      <c r="AI18" s="70" t="s">
        <v>320</v>
      </c>
      <c r="AJ18" s="70"/>
      <c r="AK18" s="70"/>
      <c r="AL18" s="70" t="s">
        <v>327</v>
      </c>
      <c r="AM18" s="70"/>
      <c r="AN18" s="70"/>
      <c r="AO18" s="70"/>
      <c r="AP18" s="70"/>
      <c r="AQ18" s="70" t="s">
        <v>311</v>
      </c>
      <c r="AR18" s="70"/>
      <c r="AS18" s="70" t="s">
        <v>312</v>
      </c>
      <c r="AT18" s="70"/>
      <c r="AU18" s="70"/>
      <c r="AV18" s="70"/>
      <c r="AW18" s="70"/>
      <c r="AX18" s="70"/>
      <c r="AY18" s="70" t="s">
        <v>311</v>
      </c>
      <c r="AZ18" s="70" t="s">
        <v>311</v>
      </c>
      <c r="BA18" s="70" t="s">
        <v>311</v>
      </c>
      <c r="BB18" s="70"/>
      <c r="BC18" s="70"/>
      <c r="BD18" s="70"/>
      <c r="BE18" s="97"/>
      <c r="BF18" s="70"/>
      <c r="BG18" s="70" t="s">
        <v>311</v>
      </c>
      <c r="BH18" s="70" t="s">
        <v>311</v>
      </c>
      <c r="BI18" s="70"/>
      <c r="BJ18" s="70"/>
      <c r="BK18" s="70" t="s">
        <v>309</v>
      </c>
      <c r="BL18" s="70" t="s">
        <v>311</v>
      </c>
      <c r="BM18" s="70"/>
    </row>
    <row r="19" spans="1:65">
      <c r="A19" s="59">
        <v>9</v>
      </c>
      <c r="B19" s="67" t="s">
        <v>146</v>
      </c>
      <c r="C19" s="65">
        <v>10.5</v>
      </c>
      <c r="D19" s="64">
        <v>38</v>
      </c>
      <c r="E19" s="64">
        <f>IF(ISBLANK($D19),"0",IF(($D20-$D19)&lt;($C20-$C19),1,0))</f>
        <v>1</v>
      </c>
      <c r="F19" s="64">
        <f t="shared" ca="1" si="1"/>
        <v>44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/>
      <c r="M19" s="69" t="s">
        <v>350</v>
      </c>
      <c r="N19" s="69" t="s">
        <v>381</v>
      </c>
      <c r="O19" s="69" t="s">
        <v>309</v>
      </c>
      <c r="P19" s="69" t="s">
        <v>309</v>
      </c>
      <c r="Q19" s="69" t="s">
        <v>335</v>
      </c>
      <c r="R19" s="69" t="s">
        <v>309</v>
      </c>
      <c r="S19" s="69" t="s">
        <v>311</v>
      </c>
      <c r="T19" s="69" t="s">
        <v>344</v>
      </c>
      <c r="U19" s="69"/>
      <c r="V19" s="69" t="s">
        <v>309</v>
      </c>
      <c r="W19" s="69" t="s">
        <v>320</v>
      </c>
      <c r="X19" s="69" t="s">
        <v>309</v>
      </c>
      <c r="Y19" s="69" t="s">
        <v>311</v>
      </c>
      <c r="Z19" s="69" t="s">
        <v>311</v>
      </c>
      <c r="AA19" s="69" t="s">
        <v>309</v>
      </c>
      <c r="AB19" s="69" t="s">
        <v>336</v>
      </c>
      <c r="AC19" s="69" t="s">
        <v>311</v>
      </c>
      <c r="AD19" s="69"/>
      <c r="AE19" s="69" t="s">
        <v>311</v>
      </c>
      <c r="AF19" s="69" t="s">
        <v>349</v>
      </c>
      <c r="AG19" s="69" t="s">
        <v>311</v>
      </c>
      <c r="AH19" s="69" t="s">
        <v>320</v>
      </c>
      <c r="AI19" s="69" t="s">
        <v>321</v>
      </c>
      <c r="AJ19" s="69" t="s">
        <v>329</v>
      </c>
      <c r="AK19" s="69"/>
      <c r="AL19" s="69"/>
      <c r="AM19" s="69" t="s">
        <v>367</v>
      </c>
      <c r="AN19" s="69" t="s">
        <v>335</v>
      </c>
      <c r="AO19" s="69" t="s">
        <v>311</v>
      </c>
      <c r="AP19" s="69"/>
      <c r="AQ19" s="69"/>
      <c r="AR19" s="69" t="s">
        <v>309</v>
      </c>
      <c r="AS19" s="69" t="s">
        <v>328</v>
      </c>
      <c r="AT19" s="69" t="s">
        <v>336</v>
      </c>
      <c r="AU19" s="69" t="s">
        <v>309</v>
      </c>
      <c r="AV19" s="69" t="s">
        <v>311</v>
      </c>
      <c r="AW19" s="69" t="s">
        <v>362</v>
      </c>
      <c r="AX19" s="69"/>
      <c r="AY19" s="69" t="s">
        <v>311</v>
      </c>
      <c r="AZ19" s="69" t="s">
        <v>311</v>
      </c>
      <c r="BA19" s="69" t="s">
        <v>311</v>
      </c>
      <c r="BB19" s="69" t="s">
        <v>348</v>
      </c>
      <c r="BC19" s="69" t="s">
        <v>309</v>
      </c>
      <c r="BD19" s="69"/>
      <c r="BE19" s="69" t="s">
        <v>364</v>
      </c>
      <c r="BF19" s="69" t="s">
        <v>311</v>
      </c>
      <c r="BG19" s="69" t="s">
        <v>311</v>
      </c>
      <c r="BH19" s="69" t="s">
        <v>311</v>
      </c>
      <c r="BI19" s="69"/>
      <c r="BJ19" s="69" t="s">
        <v>380</v>
      </c>
      <c r="BK19" s="69"/>
      <c r="BL19" s="69" t="s">
        <v>311</v>
      </c>
      <c r="BM19" s="69" t="s">
        <v>334</v>
      </c>
    </row>
    <row r="20" spans="1:65">
      <c r="A20" s="61" t="s">
        <v>3</v>
      </c>
      <c r="B20" s="68" t="s">
        <v>220</v>
      </c>
      <c r="C20" s="66"/>
      <c r="D20" s="64">
        <v>21</v>
      </c>
      <c r="E20" s="64">
        <f>IF(ISBLANK($D20),"0",IF(($D20-$D19)&gt;($C20-$C19),1,0))</f>
        <v>0</v>
      </c>
      <c r="F20" s="64">
        <f t="shared" ca="1" si="1"/>
        <v>11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 t="s">
        <v>339</v>
      </c>
      <c r="M20" s="70"/>
      <c r="N20" s="70"/>
      <c r="O20" s="70"/>
      <c r="P20" s="70"/>
      <c r="Q20" s="70"/>
      <c r="R20" s="70"/>
      <c r="S20" s="70"/>
      <c r="T20" s="70"/>
      <c r="U20" s="97" t="s">
        <v>402</v>
      </c>
      <c r="V20" s="70"/>
      <c r="W20" s="70"/>
      <c r="X20" s="70"/>
      <c r="Y20" s="70"/>
      <c r="Z20" s="70"/>
      <c r="AA20" s="70"/>
      <c r="AB20" s="70"/>
      <c r="AC20" s="70"/>
      <c r="AD20" s="70" t="s">
        <v>326</v>
      </c>
      <c r="AE20" s="70"/>
      <c r="AF20" s="70"/>
      <c r="AG20" s="70"/>
      <c r="AH20" s="70"/>
      <c r="AI20" s="70"/>
      <c r="AJ20" s="70"/>
      <c r="AK20" s="70" t="s">
        <v>311</v>
      </c>
      <c r="AL20" s="70" t="s">
        <v>327</v>
      </c>
      <c r="AM20" s="70"/>
      <c r="AN20" s="70"/>
      <c r="AO20" s="70"/>
      <c r="AP20" s="70" t="s">
        <v>336</v>
      </c>
      <c r="AQ20" s="70" t="s">
        <v>311</v>
      </c>
      <c r="AR20" s="97"/>
      <c r="AS20" s="70"/>
      <c r="AT20" s="70"/>
      <c r="AU20" s="70"/>
      <c r="AV20" s="70"/>
      <c r="AW20" s="70"/>
      <c r="AX20" s="70" t="s">
        <v>376</v>
      </c>
      <c r="AY20" s="70"/>
      <c r="AZ20" s="70"/>
      <c r="BA20" s="70"/>
      <c r="BB20" s="70"/>
      <c r="BC20" s="70"/>
      <c r="BD20" s="70" t="s">
        <v>378</v>
      </c>
      <c r="BE20" s="97"/>
      <c r="BF20" s="70"/>
      <c r="BG20" s="70"/>
      <c r="BH20" s="70"/>
      <c r="BI20" s="70" t="s">
        <v>378</v>
      </c>
      <c r="BJ20" s="70"/>
      <c r="BK20" s="70" t="s">
        <v>309</v>
      </c>
      <c r="BL20" s="70"/>
      <c r="BM20" s="70"/>
    </row>
    <row r="21" spans="1:65">
      <c r="A21" s="59">
        <v>10</v>
      </c>
      <c r="B21" s="67" t="s">
        <v>248</v>
      </c>
      <c r="C21" s="65"/>
      <c r="D21" s="64">
        <v>13</v>
      </c>
      <c r="E21" s="64">
        <f>IF(ISBLANK($D21),"0",IF(($D22-$D21)&lt;($C22-$C21),1,0))</f>
        <v>1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339</v>
      </c>
      <c r="M21" s="69"/>
      <c r="N21" s="69"/>
      <c r="O21" s="69"/>
      <c r="P21" s="69" t="s">
        <v>309</v>
      </c>
      <c r="Q21" s="69"/>
      <c r="R21" s="69"/>
      <c r="S21" s="69" t="s">
        <v>311</v>
      </c>
      <c r="T21" s="69"/>
      <c r="U21" s="69"/>
      <c r="V21" s="69"/>
      <c r="W21" s="69"/>
      <c r="X21" s="69" t="s">
        <v>309</v>
      </c>
      <c r="Y21" s="69" t="s">
        <v>311</v>
      </c>
      <c r="Z21" s="69"/>
      <c r="AA21" s="69" t="s">
        <v>309</v>
      </c>
      <c r="AB21" s="69"/>
      <c r="AC21" s="69"/>
      <c r="AD21" s="69" t="s">
        <v>321</v>
      </c>
      <c r="AE21" s="69"/>
      <c r="AF21" s="69" t="s">
        <v>349</v>
      </c>
      <c r="AG21" s="69"/>
      <c r="AH21" s="69" t="s">
        <v>313</v>
      </c>
      <c r="AI21" s="69"/>
      <c r="AJ21" s="69"/>
      <c r="AK21" s="69"/>
      <c r="AL21" s="69" t="s">
        <v>327</v>
      </c>
      <c r="AM21" s="69"/>
      <c r="AN21" s="69" t="s">
        <v>335</v>
      </c>
      <c r="AO21" s="69" t="s">
        <v>311</v>
      </c>
      <c r="AP21" s="69" t="s">
        <v>321</v>
      </c>
      <c r="AQ21" s="69"/>
      <c r="AR21" s="96"/>
      <c r="AS21" s="69" t="s">
        <v>334</v>
      </c>
      <c r="AT21" s="69"/>
      <c r="AU21" s="69" t="s">
        <v>309</v>
      </c>
      <c r="AV21" s="69" t="s">
        <v>311</v>
      </c>
      <c r="AW21" s="69" t="s">
        <v>363</v>
      </c>
      <c r="AX21" s="69"/>
      <c r="AY21" s="69"/>
      <c r="AZ21" s="69"/>
      <c r="BA21" s="69" t="s">
        <v>311</v>
      </c>
      <c r="BB21" s="69"/>
      <c r="BC21" s="69"/>
      <c r="BD21" s="69" t="s">
        <v>378</v>
      </c>
      <c r="BE21" s="96" t="s">
        <v>364</v>
      </c>
      <c r="BF21" s="69" t="s">
        <v>311</v>
      </c>
      <c r="BG21" s="69" t="s">
        <v>311</v>
      </c>
      <c r="BH21" s="69"/>
      <c r="BI21" s="69" t="s">
        <v>378</v>
      </c>
      <c r="BJ21" s="69"/>
      <c r="BK21" s="69"/>
      <c r="BL21" s="69"/>
      <c r="BM21" s="69" t="s">
        <v>328</v>
      </c>
    </row>
    <row r="22" spans="1:65">
      <c r="A22" s="61" t="s">
        <v>3</v>
      </c>
      <c r="B22" s="68" t="s">
        <v>249</v>
      </c>
      <c r="C22" s="66">
        <v>4.5</v>
      </c>
      <c r="D22" s="64">
        <v>10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/>
      <c r="M22" s="70" t="s">
        <v>350</v>
      </c>
      <c r="N22" s="70" t="s">
        <v>381</v>
      </c>
      <c r="O22" s="70" t="s">
        <v>309</v>
      </c>
      <c r="P22" s="70"/>
      <c r="Q22" s="70" t="s">
        <v>335</v>
      </c>
      <c r="R22" s="70" t="s">
        <v>309</v>
      </c>
      <c r="S22" s="70"/>
      <c r="T22" s="70" t="s">
        <v>344</v>
      </c>
      <c r="U22" s="97" t="s">
        <v>402</v>
      </c>
      <c r="V22" s="70" t="s">
        <v>309</v>
      </c>
      <c r="W22" s="70" t="s">
        <v>321</v>
      </c>
      <c r="X22" s="70"/>
      <c r="Y22" s="70"/>
      <c r="Z22" s="70" t="s">
        <v>311</v>
      </c>
      <c r="AA22" s="70"/>
      <c r="AB22" s="70" t="s">
        <v>336</v>
      </c>
      <c r="AC22" s="70" t="s">
        <v>311</v>
      </c>
      <c r="AD22" s="70"/>
      <c r="AE22" s="70" t="s">
        <v>311</v>
      </c>
      <c r="AF22" s="70"/>
      <c r="AG22" s="70" t="s">
        <v>311</v>
      </c>
      <c r="AH22" s="70"/>
      <c r="AI22" s="70" t="s">
        <v>321</v>
      </c>
      <c r="AJ22" s="70" t="s">
        <v>329</v>
      </c>
      <c r="AK22" s="70" t="s">
        <v>311</v>
      </c>
      <c r="AL22" s="70"/>
      <c r="AM22" s="70" t="s">
        <v>360</v>
      </c>
      <c r="AN22" s="70"/>
      <c r="AO22" s="70"/>
      <c r="AP22" s="70"/>
      <c r="AQ22" s="70" t="s">
        <v>311</v>
      </c>
      <c r="AR22" s="70" t="s">
        <v>309</v>
      </c>
      <c r="AS22" s="70"/>
      <c r="AT22" s="70" t="s">
        <v>336</v>
      </c>
      <c r="AU22" s="70"/>
      <c r="AV22" s="70"/>
      <c r="AW22" s="70"/>
      <c r="AX22" s="70" t="s">
        <v>377</v>
      </c>
      <c r="AY22" s="70" t="s">
        <v>367</v>
      </c>
      <c r="AZ22" s="70" t="s">
        <v>311</v>
      </c>
      <c r="BA22" s="70"/>
      <c r="BB22" s="70" t="s">
        <v>348</v>
      </c>
      <c r="BC22" s="70" t="s">
        <v>309</v>
      </c>
      <c r="BD22" s="70"/>
      <c r="BE22" s="70"/>
      <c r="BF22" s="70"/>
      <c r="BG22" s="70"/>
      <c r="BH22" s="70" t="s">
        <v>311</v>
      </c>
      <c r="BI22" s="70"/>
      <c r="BJ22" s="70" t="s">
        <v>380</v>
      </c>
      <c r="BK22" s="70" t="s">
        <v>309</v>
      </c>
      <c r="BL22" s="70" t="s">
        <v>311</v>
      </c>
      <c r="BM22" s="70"/>
    </row>
    <row r="23" spans="1:65">
      <c r="A23" s="59"/>
      <c r="B23" s="67" t="str">
        <f>B21&amp; " - score"</f>
        <v>Southern Cal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63</v>
      </c>
      <c r="M23" s="78">
        <v>21</v>
      </c>
      <c r="N23" s="80">
        <v>24</v>
      </c>
      <c r="O23" s="78">
        <v>24</v>
      </c>
      <c r="P23" s="78">
        <v>24</v>
      </c>
      <c r="Q23" s="78">
        <v>7</v>
      </c>
      <c r="R23" s="78">
        <v>24</v>
      </c>
      <c r="S23" s="78">
        <v>27</v>
      </c>
      <c r="T23" s="78">
        <v>24</v>
      </c>
      <c r="U23" s="78"/>
      <c r="V23" s="78">
        <v>21</v>
      </c>
      <c r="W23" s="78">
        <v>17</v>
      </c>
      <c r="X23" s="78">
        <v>27</v>
      </c>
      <c r="Y23" s="78">
        <v>28</v>
      </c>
      <c r="Z23" s="78">
        <v>17</v>
      </c>
      <c r="AA23" s="78">
        <v>28</v>
      </c>
      <c r="AB23" s="78">
        <v>14</v>
      </c>
      <c r="AC23" s="78">
        <v>21</v>
      </c>
      <c r="AD23" s="78">
        <v>31</v>
      </c>
      <c r="AE23" s="78">
        <v>24</v>
      </c>
      <c r="AF23" s="78">
        <v>28</v>
      </c>
      <c r="AG23" s="78">
        <v>24</v>
      </c>
      <c r="AH23" s="78">
        <v>24</v>
      </c>
      <c r="AI23" s="78">
        <v>27</v>
      </c>
      <c r="AJ23" s="78">
        <v>21</v>
      </c>
      <c r="AK23" s="78">
        <v>21</v>
      </c>
      <c r="AL23" s="78">
        <v>24</v>
      </c>
      <c r="AM23" s="78">
        <v>21</v>
      </c>
      <c r="AN23" s="78">
        <v>35</v>
      </c>
      <c r="AO23" s="78">
        <v>28</v>
      </c>
      <c r="AP23" s="78">
        <v>20</v>
      </c>
      <c r="AQ23" s="78">
        <v>24</v>
      </c>
      <c r="AR23" s="78">
        <v>21</v>
      </c>
      <c r="AS23" s="78">
        <v>24</v>
      </c>
      <c r="AT23" s="78">
        <v>28</v>
      </c>
      <c r="AU23" s="78">
        <v>24</v>
      </c>
      <c r="AV23" s="78">
        <v>27</v>
      </c>
      <c r="AW23" s="78">
        <v>27</v>
      </c>
      <c r="AX23" s="78">
        <v>14</v>
      </c>
      <c r="AY23" s="78">
        <v>23</v>
      </c>
      <c r="AZ23" s="78">
        <v>21</v>
      </c>
      <c r="BA23" s="78">
        <v>45</v>
      </c>
      <c r="BB23" s="78">
        <v>14</v>
      </c>
      <c r="BC23" s="78">
        <v>31</v>
      </c>
      <c r="BD23" s="78">
        <v>21</v>
      </c>
      <c r="BE23" s="78">
        <v>45</v>
      </c>
      <c r="BF23" s="78">
        <v>17</v>
      </c>
      <c r="BG23" s="78">
        <v>30</v>
      </c>
      <c r="BH23" s="78">
        <v>21</v>
      </c>
      <c r="BI23" s="78"/>
      <c r="BJ23" s="78">
        <v>27</v>
      </c>
      <c r="BK23" s="78">
        <v>30</v>
      </c>
      <c r="BL23" s="78">
        <v>24</v>
      </c>
      <c r="BM23" s="78">
        <v>28</v>
      </c>
    </row>
    <row r="24" spans="1:65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36</v>
      </c>
      <c r="K24" s="79">
        <v>35</v>
      </c>
      <c r="L24" s="79">
        <v>10</v>
      </c>
      <c r="M24" s="79">
        <v>28</v>
      </c>
      <c r="N24" s="79">
        <v>31</v>
      </c>
      <c r="O24" s="79">
        <v>31</v>
      </c>
      <c r="P24" s="79">
        <v>27</v>
      </c>
      <c r="Q24" s="79">
        <v>14</v>
      </c>
      <c r="R24" s="79">
        <v>31</v>
      </c>
      <c r="S24" s="79">
        <v>23</v>
      </c>
      <c r="T24" s="79">
        <v>31</v>
      </c>
      <c r="U24" s="79"/>
      <c r="V24" s="79">
        <v>28</v>
      </c>
      <c r="W24" s="79">
        <v>28</v>
      </c>
      <c r="X24" s="79">
        <v>20</v>
      </c>
      <c r="Y24" s="79">
        <v>21</v>
      </c>
      <c r="Z24" s="79">
        <v>24</v>
      </c>
      <c r="AA24" s="79">
        <v>31</v>
      </c>
      <c r="AB24" s="79">
        <v>21</v>
      </c>
      <c r="AC24" s="79">
        <v>28</v>
      </c>
      <c r="AD24" s="79">
        <v>23</v>
      </c>
      <c r="AE24" s="79">
        <v>31</v>
      </c>
      <c r="AF24" s="79">
        <v>21</v>
      </c>
      <c r="AG24" s="79">
        <v>34</v>
      </c>
      <c r="AH24" s="79">
        <v>27</v>
      </c>
      <c r="AI24" s="79">
        <v>35</v>
      </c>
      <c r="AJ24" s="79">
        <v>28</v>
      </c>
      <c r="AK24" s="79">
        <v>27</v>
      </c>
      <c r="AL24" s="79">
        <v>27</v>
      </c>
      <c r="AM24" s="79">
        <v>27</v>
      </c>
      <c r="AN24" s="79">
        <v>21</v>
      </c>
      <c r="AO24" s="79">
        <v>24</v>
      </c>
      <c r="AP24" s="79">
        <v>24</v>
      </c>
      <c r="AQ24" s="79">
        <v>31</v>
      </c>
      <c r="AR24" s="79">
        <v>35</v>
      </c>
      <c r="AS24" s="79">
        <v>20</v>
      </c>
      <c r="AT24" s="79">
        <v>38</v>
      </c>
      <c r="AU24" s="79">
        <v>21</v>
      </c>
      <c r="AV24" s="79">
        <v>24</v>
      </c>
      <c r="AW24" s="79">
        <v>24</v>
      </c>
      <c r="AX24" s="79">
        <v>35</v>
      </c>
      <c r="AY24" s="79">
        <v>28</v>
      </c>
      <c r="AZ24" s="79">
        <v>35</v>
      </c>
      <c r="BA24" s="79">
        <v>20</v>
      </c>
      <c r="BB24" s="79">
        <v>21</v>
      </c>
      <c r="BC24" s="79">
        <v>47</v>
      </c>
      <c r="BD24" s="79">
        <v>20</v>
      </c>
      <c r="BE24" s="79">
        <v>42</v>
      </c>
      <c r="BF24" s="79">
        <v>14</v>
      </c>
      <c r="BG24" s="79">
        <v>24</v>
      </c>
      <c r="BH24" s="79">
        <v>31</v>
      </c>
      <c r="BI24" s="79"/>
      <c r="BJ24" s="79">
        <v>35</v>
      </c>
      <c r="BK24" s="79">
        <v>35</v>
      </c>
      <c r="BL24" s="79">
        <v>34</v>
      </c>
      <c r="BM24" s="79">
        <v>21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8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7</v>
      </c>
      <c r="Q25" s="36">
        <f t="shared" si="3"/>
        <v>5</v>
      </c>
      <c r="R25" s="36">
        <f t="shared" si="3"/>
        <v>5</v>
      </c>
      <c r="S25" s="36">
        <f t="shared" si="3"/>
        <v>5</v>
      </c>
      <c r="T25" s="36">
        <f t="shared" si="3"/>
        <v>5</v>
      </c>
      <c r="U25" s="36">
        <f t="shared" si="3"/>
        <v>0</v>
      </c>
      <c r="V25" s="36">
        <f t="shared" si="3"/>
        <v>6</v>
      </c>
      <c r="W25" s="36">
        <f t="shared" si="3"/>
        <v>7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7</v>
      </c>
      <c r="AB25" s="36">
        <f t="shared" si="3"/>
        <v>5</v>
      </c>
      <c r="AC25" s="36">
        <f t="shared" si="3"/>
        <v>5</v>
      </c>
      <c r="AD25" s="36">
        <f t="shared" si="3"/>
        <v>4</v>
      </c>
      <c r="AE25" s="36">
        <f t="shared" si="3"/>
        <v>5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4</v>
      </c>
      <c r="AM25" s="36">
        <f t="shared" si="3"/>
        <v>5</v>
      </c>
      <c r="AN25" s="36">
        <f t="shared" si="3"/>
        <v>6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3</v>
      </c>
      <c r="AS25" s="36">
        <f t="shared" si="3"/>
        <v>6</v>
      </c>
      <c r="AT25" s="36">
        <f t="shared" si="3"/>
        <v>3</v>
      </c>
      <c r="AU25" s="36">
        <f t="shared" si="3"/>
        <v>6</v>
      </c>
      <c r="AV25" s="36">
        <f t="shared" si="3"/>
        <v>4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6</v>
      </c>
      <c r="BA25" s="36">
        <f t="shared" si="3"/>
        <v>6</v>
      </c>
      <c r="BB25" s="36">
        <f t="shared" si="3"/>
        <v>4</v>
      </c>
      <c r="BC25" s="36">
        <f t="shared" si="3"/>
        <v>6</v>
      </c>
      <c r="BD25" s="36">
        <f t="shared" si="3"/>
        <v>2</v>
      </c>
      <c r="BE25" s="36">
        <f t="shared" si="3"/>
        <v>5</v>
      </c>
      <c r="BF25" s="36">
        <f t="shared" si="3"/>
        <v>5</v>
      </c>
      <c r="BG25" s="36">
        <f t="shared" si="3"/>
        <v>5</v>
      </c>
      <c r="BH25" s="36">
        <f t="shared" si="3"/>
        <v>4</v>
      </c>
      <c r="BI25" s="36">
        <f t="shared" si="3"/>
        <v>2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6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BM26" si="4">ABS((L23-L24)-($D21-$D22))</f>
        <v>50</v>
      </c>
      <c r="M26" s="71">
        <f t="shared" si="4"/>
        <v>10</v>
      </c>
      <c r="N26" s="71">
        <f t="shared" si="4"/>
        <v>10</v>
      </c>
      <c r="O26" s="71">
        <f t="shared" si="4"/>
        <v>10</v>
      </c>
      <c r="P26" s="71">
        <f t="shared" si="4"/>
        <v>6</v>
      </c>
      <c r="Q26" s="71">
        <f t="shared" si="4"/>
        <v>10</v>
      </c>
      <c r="R26" s="71">
        <f t="shared" si="4"/>
        <v>10</v>
      </c>
      <c r="S26" s="71">
        <f t="shared" si="4"/>
        <v>1</v>
      </c>
      <c r="T26" s="71">
        <f t="shared" si="4"/>
        <v>10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4</v>
      </c>
      <c r="Y26" s="71">
        <f t="shared" si="4"/>
        <v>4</v>
      </c>
      <c r="Z26" s="71">
        <f t="shared" si="4"/>
        <v>10</v>
      </c>
      <c r="AA26" s="71">
        <f t="shared" si="4"/>
        <v>6</v>
      </c>
      <c r="AB26" s="71">
        <f t="shared" si="4"/>
        <v>10</v>
      </c>
      <c r="AC26" s="71">
        <f t="shared" si="4"/>
        <v>10</v>
      </c>
      <c r="AD26" s="71">
        <f t="shared" si="4"/>
        <v>5</v>
      </c>
      <c r="AE26" s="71">
        <f t="shared" si="4"/>
        <v>10</v>
      </c>
      <c r="AF26" s="71">
        <f t="shared" si="4"/>
        <v>4</v>
      </c>
      <c r="AG26" s="71">
        <f t="shared" si="4"/>
        <v>13</v>
      </c>
      <c r="AH26" s="71">
        <f t="shared" si="4"/>
        <v>6</v>
      </c>
      <c r="AI26" s="71">
        <f t="shared" si="4"/>
        <v>11</v>
      </c>
      <c r="AJ26" s="71">
        <f t="shared" si="4"/>
        <v>10</v>
      </c>
      <c r="AK26" s="71">
        <f t="shared" si="4"/>
        <v>9</v>
      </c>
      <c r="AL26" s="71">
        <f t="shared" si="4"/>
        <v>6</v>
      </c>
      <c r="AM26" s="71">
        <f t="shared" si="4"/>
        <v>9</v>
      </c>
      <c r="AN26" s="71">
        <f t="shared" si="4"/>
        <v>11</v>
      </c>
      <c r="AO26" s="71">
        <f t="shared" si="4"/>
        <v>1</v>
      </c>
      <c r="AP26" s="71">
        <f t="shared" si="4"/>
        <v>7</v>
      </c>
      <c r="AQ26" s="71">
        <f t="shared" si="4"/>
        <v>10</v>
      </c>
      <c r="AR26" s="71">
        <f t="shared" si="4"/>
        <v>17</v>
      </c>
      <c r="AS26" s="71">
        <f t="shared" si="4"/>
        <v>1</v>
      </c>
      <c r="AT26" s="71">
        <f t="shared" si="4"/>
        <v>13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24</v>
      </c>
      <c r="AY26" s="71">
        <f t="shared" si="4"/>
        <v>8</v>
      </c>
      <c r="AZ26" s="71">
        <f t="shared" si="4"/>
        <v>17</v>
      </c>
      <c r="BA26" s="71">
        <f t="shared" si="4"/>
        <v>22</v>
      </c>
      <c r="BB26" s="71">
        <f t="shared" si="4"/>
        <v>10</v>
      </c>
      <c r="BC26" s="71">
        <f t="shared" si="4"/>
        <v>19</v>
      </c>
      <c r="BD26" s="71">
        <f t="shared" si="4"/>
        <v>2</v>
      </c>
      <c r="BE26" s="71">
        <f t="shared" si="4"/>
        <v>0</v>
      </c>
      <c r="BF26" s="71">
        <f t="shared" si="4"/>
        <v>0</v>
      </c>
      <c r="BG26" s="71">
        <f t="shared" si="4"/>
        <v>3</v>
      </c>
      <c r="BH26" s="71">
        <f t="shared" si="4"/>
        <v>13</v>
      </c>
      <c r="BI26" s="71">
        <f t="shared" si="4"/>
        <v>3</v>
      </c>
      <c r="BJ26" s="71">
        <f t="shared" si="4"/>
        <v>11</v>
      </c>
      <c r="BK26" s="71">
        <f t="shared" si="4"/>
        <v>8</v>
      </c>
      <c r="BL26" s="71">
        <f t="shared" si="4"/>
        <v>13</v>
      </c>
      <c r="BM26" s="71">
        <f t="shared" si="4"/>
        <v>4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33</v>
      </c>
      <c r="L27" s="71">
        <f t="shared" ref="L27:BM27" si="5">ABS(($D21+$D22)-(L23+L24))</f>
        <v>50</v>
      </c>
      <c r="M27" s="71">
        <f t="shared" si="5"/>
        <v>26</v>
      </c>
      <c r="N27" s="71">
        <f t="shared" si="5"/>
        <v>32</v>
      </c>
      <c r="O27" s="71">
        <f t="shared" si="5"/>
        <v>32</v>
      </c>
      <c r="P27" s="71">
        <f t="shared" si="5"/>
        <v>28</v>
      </c>
      <c r="Q27" s="71">
        <f t="shared" si="5"/>
        <v>2</v>
      </c>
      <c r="R27" s="71">
        <f t="shared" si="5"/>
        <v>32</v>
      </c>
      <c r="S27" s="71">
        <f t="shared" si="5"/>
        <v>27</v>
      </c>
      <c r="T27" s="71">
        <f t="shared" si="5"/>
        <v>32</v>
      </c>
      <c r="U27" s="71">
        <f t="shared" si="5"/>
        <v>23</v>
      </c>
      <c r="V27" s="71">
        <f t="shared" si="5"/>
        <v>26</v>
      </c>
      <c r="W27" s="71">
        <f t="shared" si="5"/>
        <v>22</v>
      </c>
      <c r="X27" s="71">
        <f t="shared" si="5"/>
        <v>24</v>
      </c>
      <c r="Y27" s="71">
        <f t="shared" si="5"/>
        <v>26</v>
      </c>
      <c r="Z27" s="71">
        <f t="shared" si="5"/>
        <v>18</v>
      </c>
      <c r="AA27" s="71">
        <f t="shared" si="5"/>
        <v>36</v>
      </c>
      <c r="AB27" s="71">
        <f t="shared" si="5"/>
        <v>12</v>
      </c>
      <c r="AC27" s="71">
        <f t="shared" si="5"/>
        <v>26</v>
      </c>
      <c r="AD27" s="71">
        <f t="shared" si="5"/>
        <v>31</v>
      </c>
      <c r="AE27" s="71">
        <f t="shared" si="5"/>
        <v>32</v>
      </c>
      <c r="AF27" s="71">
        <f t="shared" si="5"/>
        <v>26</v>
      </c>
      <c r="AG27" s="71">
        <f t="shared" si="5"/>
        <v>35</v>
      </c>
      <c r="AH27" s="71">
        <f t="shared" si="5"/>
        <v>28</v>
      </c>
      <c r="AI27" s="71">
        <f t="shared" si="5"/>
        <v>39</v>
      </c>
      <c r="AJ27" s="71">
        <f t="shared" si="5"/>
        <v>26</v>
      </c>
      <c r="AK27" s="71">
        <f t="shared" si="5"/>
        <v>25</v>
      </c>
      <c r="AL27" s="71">
        <f t="shared" si="5"/>
        <v>28</v>
      </c>
      <c r="AM27" s="71">
        <f t="shared" si="5"/>
        <v>25</v>
      </c>
      <c r="AN27" s="71">
        <f t="shared" si="5"/>
        <v>33</v>
      </c>
      <c r="AO27" s="71">
        <f t="shared" si="5"/>
        <v>29</v>
      </c>
      <c r="AP27" s="71">
        <f t="shared" si="5"/>
        <v>21</v>
      </c>
      <c r="AQ27" s="71">
        <f t="shared" si="5"/>
        <v>32</v>
      </c>
      <c r="AR27" s="71">
        <f t="shared" si="5"/>
        <v>33</v>
      </c>
      <c r="AS27" s="71">
        <f t="shared" si="5"/>
        <v>21</v>
      </c>
      <c r="AT27" s="71">
        <f t="shared" si="5"/>
        <v>43</v>
      </c>
      <c r="AU27" s="71">
        <f t="shared" si="5"/>
        <v>22</v>
      </c>
      <c r="AV27" s="71">
        <f t="shared" si="5"/>
        <v>28</v>
      </c>
      <c r="AW27" s="71">
        <f t="shared" si="5"/>
        <v>28</v>
      </c>
      <c r="AX27" s="71">
        <f t="shared" si="5"/>
        <v>26</v>
      </c>
      <c r="AY27" s="71">
        <f t="shared" si="5"/>
        <v>28</v>
      </c>
      <c r="AZ27" s="71">
        <f t="shared" si="5"/>
        <v>33</v>
      </c>
      <c r="BA27" s="71">
        <f t="shared" si="5"/>
        <v>42</v>
      </c>
      <c r="BB27" s="71">
        <f t="shared" si="5"/>
        <v>12</v>
      </c>
      <c r="BC27" s="71">
        <f t="shared" si="5"/>
        <v>55</v>
      </c>
      <c r="BD27" s="71">
        <f t="shared" si="5"/>
        <v>18</v>
      </c>
      <c r="BE27" s="71">
        <f t="shared" si="5"/>
        <v>64</v>
      </c>
      <c r="BF27" s="71">
        <f t="shared" si="5"/>
        <v>8</v>
      </c>
      <c r="BG27" s="71">
        <f t="shared" si="5"/>
        <v>31</v>
      </c>
      <c r="BH27" s="71">
        <f t="shared" si="5"/>
        <v>29</v>
      </c>
      <c r="BI27" s="71">
        <f t="shared" si="5"/>
        <v>23</v>
      </c>
      <c r="BJ27" s="71">
        <f t="shared" si="5"/>
        <v>39</v>
      </c>
      <c r="BK27" s="71">
        <f t="shared" si="5"/>
        <v>42</v>
      </c>
      <c r="BL27" s="71">
        <f t="shared" si="5"/>
        <v>35</v>
      </c>
      <c r="BM27" s="71">
        <f t="shared" si="5"/>
        <v>26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>
        <f t="shared" ca="1" si="6"/>
        <v>1</v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4</v>
      </c>
      <c r="N29" s="71">
        <f t="shared" si="7"/>
        <v>4</v>
      </c>
      <c r="O29" s="71">
        <f t="shared" si="7"/>
        <v>4</v>
      </c>
      <c r="P29" s="71">
        <f t="shared" si="7"/>
        <v>7</v>
      </c>
      <c r="Q29" s="71">
        <f t="shared" si="7"/>
        <v>3</v>
      </c>
      <c r="R29" s="71">
        <f t="shared" si="7"/>
        <v>7</v>
      </c>
      <c r="S29" s="71">
        <f t="shared" si="7"/>
        <v>5</v>
      </c>
      <c r="T29" s="71">
        <f t="shared" si="7"/>
        <v>7</v>
      </c>
      <c r="U29" s="71">
        <f t="shared" si="7"/>
        <v>4</v>
      </c>
      <c r="V29" s="71">
        <f t="shared" si="7"/>
        <v>4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7</v>
      </c>
      <c r="AK29" s="71">
        <f t="shared" si="7"/>
        <v>2</v>
      </c>
      <c r="AL29" s="71">
        <f t="shared" si="7"/>
        <v>6</v>
      </c>
      <c r="AM29" s="71">
        <f t="shared" si="7"/>
        <v>5</v>
      </c>
      <c r="AN29" s="71">
        <f t="shared" si="7"/>
        <v>6</v>
      </c>
      <c r="AO29" s="71">
        <f t="shared" si="7"/>
        <v>8</v>
      </c>
      <c r="AP29" s="71">
        <f t="shared" si="7"/>
        <v>8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7</v>
      </c>
      <c r="AU29" s="71">
        <f t="shared" si="7"/>
        <v>4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5</v>
      </c>
      <c r="AZ29" s="71">
        <f t="shared" si="7"/>
        <v>4</v>
      </c>
      <c r="BA29" s="71">
        <f t="shared" si="7"/>
        <v>4</v>
      </c>
      <c r="BB29" s="71">
        <f t="shared" si="7"/>
        <v>6</v>
      </c>
      <c r="BC29" s="71">
        <f t="shared" si="7"/>
        <v>4</v>
      </c>
      <c r="BD29" s="71">
        <f t="shared" si="7"/>
        <v>6</v>
      </c>
      <c r="BE29" s="71">
        <f t="shared" si="7"/>
        <v>9</v>
      </c>
      <c r="BF29" s="71">
        <f t="shared" si="7"/>
        <v>5</v>
      </c>
      <c r="BG29" s="71">
        <f t="shared" si="7"/>
        <v>7</v>
      </c>
      <c r="BH29" s="71">
        <f t="shared" si="7"/>
        <v>6</v>
      </c>
      <c r="BI29" s="71">
        <f t="shared" si="7"/>
        <v>6</v>
      </c>
      <c r="BJ29" s="71">
        <f t="shared" si="7"/>
        <v>2</v>
      </c>
      <c r="BK29" s="71">
        <f t="shared" si="7"/>
        <v>3</v>
      </c>
      <c r="BL29" s="71">
        <f t="shared" si="7"/>
        <v>7</v>
      </c>
      <c r="BM29" s="71">
        <f t="shared" si="7"/>
        <v>4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9</v>
      </c>
      <c r="M30" s="73">
        <f t="shared" si="8"/>
        <v>3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2</v>
      </c>
      <c r="R30" s="73">
        <f t="shared" si="8"/>
        <v>4</v>
      </c>
      <c r="S30" s="73">
        <f t="shared" si="8"/>
        <v>2</v>
      </c>
      <c r="T30" s="73">
        <f t="shared" si="8"/>
        <v>4</v>
      </c>
      <c r="U30" s="73">
        <f t="shared" si="8"/>
        <v>5</v>
      </c>
      <c r="V30" s="73">
        <f t="shared" si="8"/>
        <v>3</v>
      </c>
      <c r="W30" s="73">
        <f t="shared" si="8"/>
        <v>4</v>
      </c>
      <c r="X30" s="73">
        <f t="shared" si="8"/>
        <v>4</v>
      </c>
      <c r="Y30" s="73">
        <f t="shared" si="8"/>
        <v>3</v>
      </c>
      <c r="Z30" s="73">
        <f t="shared" si="8"/>
        <v>4</v>
      </c>
      <c r="AA30" s="73">
        <f t="shared" si="8"/>
        <v>6</v>
      </c>
      <c r="AB30" s="73">
        <f t="shared" si="8"/>
        <v>2</v>
      </c>
      <c r="AC30" s="73">
        <f t="shared" si="8"/>
        <v>2</v>
      </c>
      <c r="AD30" s="73">
        <f t="shared" si="8"/>
        <v>5</v>
      </c>
      <c r="AE30" s="73">
        <f t="shared" si="8"/>
        <v>4</v>
      </c>
      <c r="AF30" s="73">
        <f t="shared" si="8"/>
        <v>4</v>
      </c>
      <c r="AG30" s="73">
        <f t="shared" si="8"/>
        <v>6</v>
      </c>
      <c r="AH30" s="73">
        <f t="shared" si="8"/>
        <v>6</v>
      </c>
      <c r="AI30" s="73">
        <f t="shared" si="8"/>
        <v>1</v>
      </c>
      <c r="AJ30" s="73">
        <f t="shared" si="8"/>
        <v>4</v>
      </c>
      <c r="AK30" s="73">
        <f t="shared" si="8"/>
        <v>5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7</v>
      </c>
      <c r="AQ30" s="73">
        <f t="shared" si="8"/>
        <v>3</v>
      </c>
      <c r="AR30" s="73">
        <f t="shared" si="8"/>
        <v>4</v>
      </c>
      <c r="AS30" s="73">
        <f t="shared" si="8"/>
        <v>7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7</v>
      </c>
      <c r="BE30" s="73">
        <f t="shared" si="8"/>
        <v>6</v>
      </c>
      <c r="BF30" s="73">
        <f t="shared" si="8"/>
        <v>6</v>
      </c>
      <c r="BG30" s="73">
        <f t="shared" si="8"/>
        <v>6</v>
      </c>
      <c r="BH30" s="73">
        <f t="shared" si="8"/>
        <v>3</v>
      </c>
      <c r="BI30" s="73">
        <f t="shared" si="8"/>
        <v>7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5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6</v>
      </c>
      <c r="N31" s="71">
        <f t="shared" ca="1" si="9"/>
        <v>4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1</v>
      </c>
      <c r="S31" s="71">
        <f t="shared" ca="1" si="9"/>
        <v>3</v>
      </c>
      <c r="T31" s="71">
        <f t="shared" ca="1" si="9"/>
        <v>3</v>
      </c>
      <c r="U31" s="71">
        <f t="shared" ca="1" si="9"/>
        <v>4</v>
      </c>
      <c r="V31" s="71">
        <f t="shared" ca="1" si="9"/>
        <v>2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1</v>
      </c>
      <c r="AA31" s="71">
        <f t="shared" ca="1" si="9"/>
        <v>7</v>
      </c>
      <c r="AB31" s="71">
        <f t="shared" ca="1" si="9"/>
        <v>5</v>
      </c>
      <c r="AC31" s="71">
        <f t="shared" ca="1" si="9"/>
        <v>1</v>
      </c>
      <c r="AD31" s="71">
        <f t="shared" ca="1" si="9"/>
        <v>4</v>
      </c>
      <c r="AE31" s="71">
        <f t="shared" ca="1" si="9"/>
        <v>1</v>
      </c>
      <c r="AF31" s="71">
        <f t="shared" ca="1" si="9"/>
        <v>3</v>
      </c>
      <c r="AG31" s="71">
        <f t="shared" ca="1" si="9"/>
        <v>7</v>
      </c>
      <c r="AH31" s="71">
        <f t="shared" ca="1" si="9"/>
        <v>7</v>
      </c>
      <c r="AI31" s="71">
        <f t="shared" ca="1" si="9"/>
        <v>2</v>
      </c>
      <c r="AJ31" s="71">
        <f t="shared" ca="1" si="9"/>
        <v>3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3</v>
      </c>
      <c r="AU31" s="71">
        <f t="shared" ca="1" si="9"/>
        <v>6</v>
      </c>
      <c r="AV31" s="71">
        <f t="shared" ca="1" si="9"/>
        <v>2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4</v>
      </c>
      <c r="BA31" s="71">
        <f t="shared" ca="1" si="9"/>
        <v>6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3</v>
      </c>
      <c r="BF31" s="71">
        <f t="shared" ca="1" si="9"/>
        <v>7</v>
      </c>
      <c r="BG31" s="71">
        <f t="shared" ca="1" si="9"/>
        <v>5</v>
      </c>
      <c r="BH31" s="71">
        <f t="shared" ca="1" si="9"/>
        <v>4</v>
      </c>
      <c r="BI31" s="71">
        <f t="shared" ca="1" si="9"/>
        <v>4</v>
      </c>
      <c r="BJ31" s="71">
        <f t="shared" ca="1" si="9"/>
        <v>4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119931868</v>
      </c>
      <c r="L36" s="32">
        <f t="shared" ref="L36:BM36" si="12">COUNTA(L23:L24)*((10000000*L25)+(1000000*(COUNTA(L21)*$E21+COUNTA(L22)*$E22))-(COUNTA($D$21:$D$22)*1000*L26)-(COUNTA($D$21:$D$22)*L27))</f>
        <v>81799800</v>
      </c>
      <c r="M36" s="32">
        <f t="shared" si="12"/>
        <v>159959896</v>
      </c>
      <c r="N36" s="32">
        <f t="shared" si="12"/>
        <v>119959872</v>
      </c>
      <c r="O36" s="32">
        <f t="shared" si="12"/>
        <v>79959872</v>
      </c>
      <c r="P36" s="32">
        <f t="shared" si="12"/>
        <v>141975888</v>
      </c>
      <c r="Q36" s="32">
        <f t="shared" si="12"/>
        <v>99959992</v>
      </c>
      <c r="R36" s="32">
        <f t="shared" si="12"/>
        <v>99959872</v>
      </c>
      <c r="S36" s="32">
        <f t="shared" si="12"/>
        <v>101995892</v>
      </c>
      <c r="T36" s="32">
        <f t="shared" si="12"/>
        <v>99959872</v>
      </c>
      <c r="U36" s="32">
        <f t="shared" si="12"/>
        <v>0</v>
      </c>
      <c r="V36" s="32">
        <f t="shared" si="12"/>
        <v>119959896</v>
      </c>
      <c r="W36" s="32">
        <f t="shared" si="12"/>
        <v>139943912</v>
      </c>
      <c r="X36" s="32">
        <f t="shared" si="12"/>
        <v>61983904</v>
      </c>
      <c r="Y36" s="32">
        <f t="shared" si="12"/>
        <v>81983896</v>
      </c>
      <c r="Z36" s="32">
        <f t="shared" si="12"/>
        <v>99959928</v>
      </c>
      <c r="AA36" s="32">
        <f t="shared" si="12"/>
        <v>141975856</v>
      </c>
      <c r="AB36" s="32">
        <f t="shared" si="12"/>
        <v>99959952</v>
      </c>
      <c r="AC36" s="32">
        <f t="shared" si="12"/>
        <v>99959896</v>
      </c>
      <c r="AD36" s="32">
        <f t="shared" si="12"/>
        <v>81979876</v>
      </c>
      <c r="AE36" s="32">
        <f t="shared" si="12"/>
        <v>99959872</v>
      </c>
      <c r="AF36" s="32">
        <f t="shared" si="12"/>
        <v>101983896</v>
      </c>
      <c r="AG36" s="32">
        <f t="shared" si="12"/>
        <v>99947860</v>
      </c>
      <c r="AH36" s="32">
        <f t="shared" si="12"/>
        <v>101975888</v>
      </c>
      <c r="AI36" s="32">
        <f t="shared" si="12"/>
        <v>119955844</v>
      </c>
      <c r="AJ36" s="32">
        <f t="shared" si="12"/>
        <v>99959896</v>
      </c>
      <c r="AK36" s="32">
        <f t="shared" si="12"/>
        <v>79963900</v>
      </c>
      <c r="AL36" s="32">
        <f t="shared" si="12"/>
        <v>81975888</v>
      </c>
      <c r="AM36" s="32">
        <f t="shared" si="12"/>
        <v>99963900</v>
      </c>
      <c r="AN36" s="32">
        <f t="shared" si="12"/>
        <v>121955868</v>
      </c>
      <c r="AO36" s="32">
        <f t="shared" si="12"/>
        <v>121995884</v>
      </c>
      <c r="AP36" s="32">
        <f t="shared" si="12"/>
        <v>81971916</v>
      </c>
      <c r="AQ36" s="32">
        <f t="shared" si="12"/>
        <v>79959872</v>
      </c>
      <c r="AR36" s="32">
        <f t="shared" si="12"/>
        <v>59931868</v>
      </c>
      <c r="AS36" s="32">
        <f t="shared" si="12"/>
        <v>121995916</v>
      </c>
      <c r="AT36" s="32">
        <f t="shared" si="12"/>
        <v>59947828</v>
      </c>
      <c r="AU36" s="32">
        <f t="shared" si="12"/>
        <v>121999912</v>
      </c>
      <c r="AV36" s="32">
        <f t="shared" si="12"/>
        <v>81999888</v>
      </c>
      <c r="AW36" s="32">
        <f t="shared" si="12"/>
        <v>101999888</v>
      </c>
      <c r="AX36" s="32">
        <f t="shared" si="12"/>
        <v>99903896</v>
      </c>
      <c r="AY36" s="32">
        <f t="shared" si="12"/>
        <v>99967888</v>
      </c>
      <c r="AZ36" s="32">
        <f t="shared" si="12"/>
        <v>119931868</v>
      </c>
      <c r="BA36" s="32">
        <f t="shared" si="12"/>
        <v>121911832</v>
      </c>
      <c r="BB36" s="32">
        <f t="shared" si="12"/>
        <v>79959952</v>
      </c>
      <c r="BC36" s="32">
        <f t="shared" si="12"/>
        <v>119923780</v>
      </c>
      <c r="BD36" s="32">
        <f t="shared" si="12"/>
        <v>41991928</v>
      </c>
      <c r="BE36" s="32">
        <f t="shared" si="12"/>
        <v>101999744</v>
      </c>
      <c r="BF36" s="32">
        <f t="shared" si="12"/>
        <v>101999968</v>
      </c>
      <c r="BG36" s="32">
        <f t="shared" si="12"/>
        <v>101987876</v>
      </c>
      <c r="BH36" s="32">
        <f t="shared" si="12"/>
        <v>79947884</v>
      </c>
      <c r="BI36" s="32">
        <f t="shared" si="12"/>
        <v>0</v>
      </c>
      <c r="BJ36" s="32">
        <f t="shared" si="12"/>
        <v>79955844</v>
      </c>
      <c r="BK36" s="32">
        <f t="shared" si="12"/>
        <v>99967832</v>
      </c>
      <c r="BL36" s="32">
        <f t="shared" si="12"/>
        <v>99947860</v>
      </c>
      <c r="BM36" s="32">
        <f t="shared" si="12"/>
        <v>121983896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47" priority="9" stopIfTrue="1" operator="equal">
      <formula>0</formula>
    </cfRule>
  </conditionalFormatting>
  <conditionalFormatting sqref="D26:J28 K28:BE28">
    <cfRule type="cellIs" dxfId="246" priority="10" stopIfTrue="1" operator="equal">
      <formula>1</formula>
    </cfRule>
  </conditionalFormatting>
  <conditionalFormatting sqref="H3:I3 F23 H5:I5 H7:I7 H9:I9 H11:I11 H13:I13 H15:I15 H17:I17 H19:I19 H21:I21">
    <cfRule type="cellIs" dxfId="245" priority="11" stopIfTrue="1" operator="equal">
      <formula>0</formula>
    </cfRule>
  </conditionalFormatting>
  <conditionalFormatting sqref="H4:I4 F24 H6:I6 H8:I8 H10:I10 H12:I12 H14:I14 H16:I16 H18:I18 H20:I20 H22:I22">
    <cfRule type="cellIs" dxfId="244" priority="12" stopIfTrue="1" operator="equal">
      <formula>0</formula>
    </cfRule>
  </conditionalFormatting>
  <conditionalFormatting sqref="F3 F5 F7 F9 F11 F13 F15 F17 F19 F21">
    <cfRule type="cellIs" dxfId="24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4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41" priority="15" stopIfTrue="1">
      <formula>AND(COUNTA(J4)=1,$E4=1,SUM($E3:$E4)=1)</formula>
    </cfRule>
    <cfRule type="expression" dxfId="24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39" priority="17" stopIfTrue="1">
      <formula>AND(COUNTA(J3)=1,$E3=1,SUM($E3:$E4)=1)</formula>
    </cfRule>
    <cfRule type="expression" dxfId="238" priority="18" stopIfTrue="1">
      <formula>AND(COUNTA(J3)=1,$E3=0,SUM($E3:$E4)=1)</formula>
    </cfRule>
  </conditionalFormatting>
  <conditionalFormatting sqref="BF23:BM23">
    <cfRule type="cellIs" dxfId="237" priority="7" stopIfTrue="1" operator="equal">
      <formula>0</formula>
    </cfRule>
  </conditionalFormatting>
  <conditionalFormatting sqref="BF24:BM24">
    <cfRule type="cellIs" dxfId="236" priority="6" stopIfTrue="1" operator="equal">
      <formula>0</formula>
    </cfRule>
  </conditionalFormatting>
  <conditionalFormatting sqref="BF28:BM28">
    <cfRule type="cellIs" dxfId="23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34" priority="3" stopIfTrue="1">
      <formula>AND(COUNTA(BF4)=1,$E4=1,SUM($E3:$E4)=1)</formula>
    </cfRule>
    <cfRule type="expression" dxfId="23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32" priority="1" stopIfTrue="1">
      <formula>AND(COUNTA(BF3)=1,$E3=1,SUM($E3:$E4)=1)</formula>
    </cfRule>
    <cfRule type="expression" dxfId="23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172</v>
      </c>
      <c r="C3" s="65"/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19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384</v>
      </c>
      <c r="O3" s="69"/>
      <c r="P3" s="69"/>
      <c r="Q3" s="69"/>
      <c r="R3" s="69"/>
      <c r="S3" s="69"/>
      <c r="T3" s="69" t="s">
        <v>344</v>
      </c>
      <c r="U3" s="69"/>
      <c r="V3" s="69"/>
      <c r="W3" s="69"/>
      <c r="X3" s="69"/>
      <c r="Y3" s="69"/>
      <c r="Z3" s="69" t="s">
        <v>311</v>
      </c>
      <c r="AA3" s="69" t="s">
        <v>311</v>
      </c>
      <c r="AB3" s="69"/>
      <c r="AC3" s="69"/>
      <c r="AD3" s="69" t="s">
        <v>345</v>
      </c>
      <c r="AE3" s="69"/>
      <c r="AF3" s="69"/>
      <c r="AG3" s="69"/>
      <c r="AH3" s="69"/>
      <c r="AI3" s="69"/>
      <c r="AJ3" s="69" t="s">
        <v>329</v>
      </c>
      <c r="AK3" s="69"/>
      <c r="AL3" s="69"/>
      <c r="AM3" s="69"/>
      <c r="AN3" s="69" t="s">
        <v>335</v>
      </c>
      <c r="AO3" s="69"/>
      <c r="AP3" s="69"/>
      <c r="AQ3" s="69"/>
      <c r="AR3" s="96" t="s">
        <v>309</v>
      </c>
      <c r="AS3" s="69"/>
      <c r="AT3" s="69"/>
      <c r="AU3" s="69" t="s">
        <v>309</v>
      </c>
      <c r="AV3" s="69"/>
      <c r="AW3" s="69"/>
      <c r="AX3" s="69" t="s">
        <v>399</v>
      </c>
      <c r="AY3" s="69"/>
      <c r="AZ3" s="69"/>
      <c r="BA3" s="69" t="s">
        <v>311</v>
      </c>
      <c r="BB3" s="69" t="s">
        <v>348</v>
      </c>
      <c r="BC3" s="69" t="s">
        <v>309</v>
      </c>
      <c r="BD3" s="69" t="s">
        <v>328</v>
      </c>
      <c r="BE3" s="96"/>
      <c r="BF3" s="69"/>
      <c r="BG3" s="69" t="s">
        <v>339</v>
      </c>
      <c r="BH3" s="69" t="s">
        <v>311</v>
      </c>
      <c r="BI3" s="69" t="s">
        <v>311</v>
      </c>
      <c r="BJ3" s="69"/>
      <c r="BK3" s="69" t="s">
        <v>309</v>
      </c>
      <c r="BL3" s="69"/>
      <c r="BM3" s="69" t="s">
        <v>328</v>
      </c>
    </row>
    <row r="4" spans="1:65">
      <c r="A4" s="61" t="s">
        <v>3</v>
      </c>
      <c r="B4" s="68" t="s">
        <v>174</v>
      </c>
      <c r="C4" s="66">
        <v>10.5</v>
      </c>
      <c r="D4" s="64">
        <v>21</v>
      </c>
      <c r="E4" s="64">
        <f>IF(ISBLANK($D4),"0",IF(($D4-$D3)&gt;($C4-$C3),1,0))</f>
        <v>0</v>
      </c>
      <c r="F4" s="64">
        <f t="shared" ref="F4:F22" ca="1" si="1">COUNTA(INDIRECT("RC11:RC"&amp;11+playercnt-1,FALSE))</f>
        <v>36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 t="s">
        <v>309</v>
      </c>
      <c r="L4" s="70" t="s">
        <v>309</v>
      </c>
      <c r="M4" s="70" t="s">
        <v>350</v>
      </c>
      <c r="N4" s="70"/>
      <c r="O4" s="70" t="s">
        <v>309</v>
      </c>
      <c r="P4" s="70" t="s">
        <v>309</v>
      </c>
      <c r="Q4" s="70" t="s">
        <v>335</v>
      </c>
      <c r="R4" s="70" t="s">
        <v>309</v>
      </c>
      <c r="S4" s="70" t="s">
        <v>311</v>
      </c>
      <c r="T4" s="70"/>
      <c r="U4" s="97" t="s">
        <v>402</v>
      </c>
      <c r="V4" s="70" t="s">
        <v>309</v>
      </c>
      <c r="W4" s="70" t="s">
        <v>329</v>
      </c>
      <c r="X4" s="70" t="s">
        <v>375</v>
      </c>
      <c r="Y4" s="70" t="s">
        <v>311</v>
      </c>
      <c r="Z4" s="70"/>
      <c r="AA4" s="70"/>
      <c r="AB4" s="70" t="s">
        <v>327</v>
      </c>
      <c r="AC4" s="70" t="s">
        <v>311</v>
      </c>
      <c r="AD4" s="70"/>
      <c r="AE4" s="70" t="s">
        <v>311</v>
      </c>
      <c r="AF4" s="70" t="s">
        <v>349</v>
      </c>
      <c r="AG4" s="70" t="s">
        <v>350</v>
      </c>
      <c r="AH4" s="70" t="s">
        <v>312</v>
      </c>
      <c r="AI4" s="70" t="s">
        <v>312</v>
      </c>
      <c r="AJ4" s="70"/>
      <c r="AK4" s="70" t="s">
        <v>311</v>
      </c>
      <c r="AL4" s="70" t="s">
        <v>327</v>
      </c>
      <c r="AM4" s="70" t="s">
        <v>372</v>
      </c>
      <c r="AN4" s="70"/>
      <c r="AO4" s="70" t="s">
        <v>311</v>
      </c>
      <c r="AP4" s="70" t="s">
        <v>328</v>
      </c>
      <c r="AQ4" s="70" t="s">
        <v>311</v>
      </c>
      <c r="AR4" s="70"/>
      <c r="AS4" s="70" t="s">
        <v>364</v>
      </c>
      <c r="AT4" s="70" t="s">
        <v>336</v>
      </c>
      <c r="AU4" s="70"/>
      <c r="AV4" s="70" t="s">
        <v>311</v>
      </c>
      <c r="AW4" s="70" t="s">
        <v>345</v>
      </c>
      <c r="AX4" s="70"/>
      <c r="AY4" s="70" t="s">
        <v>365</v>
      </c>
      <c r="AZ4" s="70" t="s">
        <v>311</v>
      </c>
      <c r="BA4" s="70"/>
      <c r="BB4" s="70"/>
      <c r="BC4" s="70"/>
      <c r="BD4" s="70"/>
      <c r="BE4" s="70" t="s">
        <v>364</v>
      </c>
      <c r="BF4" s="70" t="s">
        <v>311</v>
      </c>
      <c r="BG4" s="70"/>
      <c r="BH4" s="70"/>
      <c r="BI4" s="70"/>
      <c r="BJ4" s="70" t="s">
        <v>372</v>
      </c>
      <c r="BK4" s="70"/>
      <c r="BL4" s="70" t="s">
        <v>311</v>
      </c>
      <c r="BM4" s="70"/>
    </row>
    <row r="5" spans="1:65">
      <c r="A5" s="59">
        <v>2</v>
      </c>
      <c r="B5" s="67" t="s">
        <v>189</v>
      </c>
      <c r="C5" s="65"/>
      <c r="D5" s="64">
        <v>20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309</v>
      </c>
      <c r="M5" s="69"/>
      <c r="N5" s="69" t="s">
        <v>384</v>
      </c>
      <c r="O5" s="69"/>
      <c r="P5" s="69"/>
      <c r="Q5" s="69"/>
      <c r="R5" s="69"/>
      <c r="S5" s="69" t="s">
        <v>311</v>
      </c>
      <c r="T5" s="69"/>
      <c r="U5" s="69"/>
      <c r="V5" s="69"/>
      <c r="W5" s="69" t="s">
        <v>323</v>
      </c>
      <c r="X5" s="69"/>
      <c r="Y5" s="69"/>
      <c r="Z5" s="69" t="s">
        <v>311</v>
      </c>
      <c r="AA5" s="69" t="s">
        <v>311</v>
      </c>
      <c r="AB5" s="69"/>
      <c r="AC5" s="69" t="s">
        <v>311</v>
      </c>
      <c r="AD5" s="69"/>
      <c r="AE5" s="69"/>
      <c r="AF5" s="69" t="s">
        <v>349</v>
      </c>
      <c r="AG5" s="69"/>
      <c r="AH5" s="69" t="s">
        <v>390</v>
      </c>
      <c r="AI5" s="69"/>
      <c r="AJ5" s="69"/>
      <c r="AK5" s="69" t="s">
        <v>311</v>
      </c>
      <c r="AL5" s="69" t="s">
        <v>327</v>
      </c>
      <c r="AM5" s="69"/>
      <c r="AN5" s="69"/>
      <c r="AO5" s="69"/>
      <c r="AP5" s="69" t="s">
        <v>338</v>
      </c>
      <c r="AQ5" s="69" t="s">
        <v>311</v>
      </c>
      <c r="AR5" s="96" t="s">
        <v>309</v>
      </c>
      <c r="AS5" s="69" t="s">
        <v>357</v>
      </c>
      <c r="AT5" s="69" t="s">
        <v>336</v>
      </c>
      <c r="AU5" s="69"/>
      <c r="AV5" s="69"/>
      <c r="AW5" s="69"/>
      <c r="AX5" s="69" t="s">
        <v>400</v>
      </c>
      <c r="AY5" s="69" t="s">
        <v>359</v>
      </c>
      <c r="AZ5" s="69" t="s">
        <v>311</v>
      </c>
      <c r="BA5" s="69"/>
      <c r="BB5" s="69" t="s">
        <v>348</v>
      </c>
      <c r="BC5" s="69"/>
      <c r="BD5" s="69" t="s">
        <v>323</v>
      </c>
      <c r="BE5" s="69"/>
      <c r="BF5" s="69"/>
      <c r="BG5" s="69" t="s">
        <v>339</v>
      </c>
      <c r="BH5" s="69"/>
      <c r="BI5" s="69" t="s">
        <v>311</v>
      </c>
      <c r="BJ5" s="69"/>
      <c r="BK5" s="69"/>
      <c r="BL5" s="69"/>
      <c r="BM5" s="69" t="s">
        <v>327</v>
      </c>
    </row>
    <row r="6" spans="1:65">
      <c r="A6" s="61" t="s">
        <v>3</v>
      </c>
      <c r="B6" s="68" t="s">
        <v>205</v>
      </c>
      <c r="C6" s="66">
        <v>12.5</v>
      </c>
      <c r="D6" s="64">
        <v>17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/>
      <c r="M6" s="70" t="s">
        <v>350</v>
      </c>
      <c r="N6" s="70"/>
      <c r="O6" s="70" t="s">
        <v>309</v>
      </c>
      <c r="P6" s="70" t="s">
        <v>309</v>
      </c>
      <c r="Q6" s="70" t="s">
        <v>335</v>
      </c>
      <c r="R6" s="70" t="s">
        <v>309</v>
      </c>
      <c r="S6" s="70"/>
      <c r="T6" s="70" t="s">
        <v>344</v>
      </c>
      <c r="U6" s="97" t="s">
        <v>402</v>
      </c>
      <c r="V6" s="70" t="s">
        <v>309</v>
      </c>
      <c r="W6" s="70"/>
      <c r="X6" s="70" t="s">
        <v>334</v>
      </c>
      <c r="Y6" s="70" t="s">
        <v>311</v>
      </c>
      <c r="Z6" s="70"/>
      <c r="AA6" s="70"/>
      <c r="AB6" s="70" t="s">
        <v>327</v>
      </c>
      <c r="AC6" s="70"/>
      <c r="AD6" s="70" t="s">
        <v>346</v>
      </c>
      <c r="AE6" s="70" t="s">
        <v>311</v>
      </c>
      <c r="AF6" s="70"/>
      <c r="AG6" s="70" t="s">
        <v>313</v>
      </c>
      <c r="AH6" s="70"/>
      <c r="AI6" s="70" t="s">
        <v>313</v>
      </c>
      <c r="AJ6" s="70" t="s">
        <v>329</v>
      </c>
      <c r="AK6" s="70"/>
      <c r="AL6" s="70"/>
      <c r="AM6" s="70" t="s">
        <v>314</v>
      </c>
      <c r="AN6" s="70" t="s">
        <v>335</v>
      </c>
      <c r="AO6" s="70" t="s">
        <v>311</v>
      </c>
      <c r="AP6" s="70"/>
      <c r="AQ6" s="70"/>
      <c r="AR6" s="70"/>
      <c r="AS6" s="70"/>
      <c r="AT6" s="70"/>
      <c r="AU6" s="70" t="s">
        <v>309</v>
      </c>
      <c r="AV6" s="70" t="s">
        <v>311</v>
      </c>
      <c r="AW6" s="70" t="s">
        <v>323</v>
      </c>
      <c r="AX6" s="70"/>
      <c r="AY6" s="70"/>
      <c r="AZ6" s="70"/>
      <c r="BA6" s="70" t="s">
        <v>311</v>
      </c>
      <c r="BB6" s="70"/>
      <c r="BC6" s="70" t="s">
        <v>309</v>
      </c>
      <c r="BD6" s="70"/>
      <c r="BE6" s="97" t="s">
        <v>364</v>
      </c>
      <c r="BF6" s="70" t="s">
        <v>311</v>
      </c>
      <c r="BG6" s="70"/>
      <c r="BH6" s="70" t="s">
        <v>311</v>
      </c>
      <c r="BI6" s="70"/>
      <c r="BJ6" s="70" t="s">
        <v>323</v>
      </c>
      <c r="BK6" s="70" t="s">
        <v>309</v>
      </c>
      <c r="BL6" s="70" t="s">
        <v>311</v>
      </c>
      <c r="BM6" s="70"/>
    </row>
    <row r="7" spans="1:65">
      <c r="A7" s="59">
        <v>3</v>
      </c>
      <c r="B7" s="67" t="s">
        <v>202</v>
      </c>
      <c r="C7" s="65"/>
      <c r="D7" s="64">
        <v>40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309</v>
      </c>
      <c r="L7" s="69" t="s">
        <v>309</v>
      </c>
      <c r="M7" s="69" t="s">
        <v>350</v>
      </c>
      <c r="N7" s="69" t="s">
        <v>384</v>
      </c>
      <c r="O7" s="69" t="s">
        <v>309</v>
      </c>
      <c r="P7" s="69" t="s">
        <v>309</v>
      </c>
      <c r="Q7" s="69"/>
      <c r="R7" s="96"/>
      <c r="S7" s="96" t="s">
        <v>311</v>
      </c>
      <c r="T7" s="96"/>
      <c r="U7" s="96"/>
      <c r="V7" s="69" t="s">
        <v>309</v>
      </c>
      <c r="W7" s="69" t="s">
        <v>351</v>
      </c>
      <c r="X7" s="69"/>
      <c r="Y7" s="69"/>
      <c r="Z7" s="69" t="s">
        <v>311</v>
      </c>
      <c r="AA7" s="69" t="s">
        <v>311</v>
      </c>
      <c r="AB7" s="69" t="s">
        <v>327</v>
      </c>
      <c r="AC7" s="69" t="s">
        <v>311</v>
      </c>
      <c r="AD7" s="69"/>
      <c r="AE7" s="69" t="s">
        <v>311</v>
      </c>
      <c r="AF7" s="69"/>
      <c r="AG7" s="69" t="s">
        <v>331</v>
      </c>
      <c r="AH7" s="69" t="s">
        <v>313</v>
      </c>
      <c r="AI7" s="69" t="s">
        <v>314</v>
      </c>
      <c r="AJ7" s="69"/>
      <c r="AK7" s="69"/>
      <c r="AL7" s="69" t="s">
        <v>327</v>
      </c>
      <c r="AM7" s="69" t="s">
        <v>367</v>
      </c>
      <c r="AN7" s="69" t="s">
        <v>335</v>
      </c>
      <c r="AO7" s="69" t="s">
        <v>311</v>
      </c>
      <c r="AP7" s="69" t="s">
        <v>372</v>
      </c>
      <c r="AQ7" s="69"/>
      <c r="AR7" s="96" t="s">
        <v>309</v>
      </c>
      <c r="AS7" s="69" t="s">
        <v>350</v>
      </c>
      <c r="AT7" s="69"/>
      <c r="AU7" s="69" t="s">
        <v>309</v>
      </c>
      <c r="AV7" s="69"/>
      <c r="AW7" s="69"/>
      <c r="AX7" s="69"/>
      <c r="AY7" s="69" t="s">
        <v>326</v>
      </c>
      <c r="AZ7" s="69"/>
      <c r="BA7" s="69" t="s">
        <v>311</v>
      </c>
      <c r="BB7" s="69"/>
      <c r="BC7" s="69"/>
      <c r="BD7" s="69" t="s">
        <v>323</v>
      </c>
      <c r="BE7" s="96" t="s">
        <v>364</v>
      </c>
      <c r="BF7" s="69" t="s">
        <v>311</v>
      </c>
      <c r="BG7" s="69"/>
      <c r="BH7" s="69" t="s">
        <v>311</v>
      </c>
      <c r="BI7" s="69" t="s">
        <v>311</v>
      </c>
      <c r="BJ7" s="69" t="s">
        <v>360</v>
      </c>
      <c r="BK7" s="69" t="s">
        <v>309</v>
      </c>
      <c r="BL7" s="69" t="s">
        <v>311</v>
      </c>
      <c r="BM7" s="69"/>
    </row>
    <row r="8" spans="1:65">
      <c r="A8" s="61" t="s">
        <v>3</v>
      </c>
      <c r="B8" s="68" t="s">
        <v>186</v>
      </c>
      <c r="C8" s="66">
        <v>3.5</v>
      </c>
      <c r="D8" s="64">
        <v>37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320</v>
      </c>
      <c r="K8" s="70"/>
      <c r="L8" s="70"/>
      <c r="M8" s="70"/>
      <c r="N8" s="70"/>
      <c r="O8" s="70"/>
      <c r="P8" s="70"/>
      <c r="Q8" s="70" t="s">
        <v>335</v>
      </c>
      <c r="R8" s="97" t="s">
        <v>309</v>
      </c>
      <c r="S8" s="97"/>
      <c r="T8" s="97" t="s">
        <v>344</v>
      </c>
      <c r="U8" s="97" t="s">
        <v>402</v>
      </c>
      <c r="V8" s="70"/>
      <c r="W8" s="70"/>
      <c r="X8" s="70" t="s">
        <v>331</v>
      </c>
      <c r="Y8" s="70" t="s">
        <v>311</v>
      </c>
      <c r="Z8" s="70"/>
      <c r="AA8" s="70"/>
      <c r="AB8" s="70"/>
      <c r="AC8" s="70"/>
      <c r="AD8" s="70" t="s">
        <v>337</v>
      </c>
      <c r="AE8" s="70"/>
      <c r="AF8" s="70" t="s">
        <v>349</v>
      </c>
      <c r="AG8" s="70"/>
      <c r="AH8" s="70"/>
      <c r="AI8" s="70"/>
      <c r="AJ8" s="70" t="s">
        <v>329</v>
      </c>
      <c r="AK8" s="70" t="s">
        <v>311</v>
      </c>
      <c r="AL8" s="70"/>
      <c r="AM8" s="70"/>
      <c r="AN8" s="70"/>
      <c r="AO8" s="70"/>
      <c r="AP8" s="70"/>
      <c r="AQ8" s="70" t="s">
        <v>311</v>
      </c>
      <c r="AR8" s="70"/>
      <c r="AS8" s="70"/>
      <c r="AT8" s="70" t="s">
        <v>336</v>
      </c>
      <c r="AU8" s="70"/>
      <c r="AV8" s="70" t="s">
        <v>311</v>
      </c>
      <c r="AW8" s="70" t="s">
        <v>325</v>
      </c>
      <c r="AX8" s="70" t="s">
        <v>328</v>
      </c>
      <c r="AY8" s="70"/>
      <c r="AZ8" s="70" t="s">
        <v>311</v>
      </c>
      <c r="BA8" s="70"/>
      <c r="BB8" s="70" t="s">
        <v>348</v>
      </c>
      <c r="BC8" s="70" t="s">
        <v>309</v>
      </c>
      <c r="BD8" s="70"/>
      <c r="BE8" s="70"/>
      <c r="BF8" s="70"/>
      <c r="BG8" s="70" t="s">
        <v>339</v>
      </c>
      <c r="BH8" s="70"/>
      <c r="BI8" s="70"/>
      <c r="BJ8" s="70"/>
      <c r="BK8" s="70"/>
      <c r="BL8" s="70"/>
      <c r="BM8" s="70" t="s">
        <v>329</v>
      </c>
    </row>
    <row r="9" spans="1:65">
      <c r="A9" s="59">
        <v>4</v>
      </c>
      <c r="B9" s="108" t="s">
        <v>199</v>
      </c>
      <c r="C9" s="65">
        <v>6.5</v>
      </c>
      <c r="D9" s="81">
        <v>21</v>
      </c>
      <c r="E9" s="64">
        <f>IF(ISBLANK($D9),"0",IF(($D10-$D9)&lt;($C10-$C9),1,0))</f>
        <v>0</v>
      </c>
      <c r="F9" s="64">
        <f t="shared" ca="1" si="1"/>
        <v>43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/>
      <c r="M9" s="69" t="s">
        <v>350</v>
      </c>
      <c r="N9" s="69"/>
      <c r="O9" s="69" t="s">
        <v>309</v>
      </c>
      <c r="P9" s="69" t="s">
        <v>309</v>
      </c>
      <c r="Q9" s="69" t="s">
        <v>335</v>
      </c>
      <c r="R9" s="96" t="s">
        <v>309</v>
      </c>
      <c r="S9" s="96"/>
      <c r="T9" s="96" t="s">
        <v>344</v>
      </c>
      <c r="U9" s="96" t="s">
        <v>402</v>
      </c>
      <c r="V9" s="69" t="s">
        <v>309</v>
      </c>
      <c r="W9" s="69" t="s">
        <v>313</v>
      </c>
      <c r="X9" s="69"/>
      <c r="Y9" s="69" t="s">
        <v>311</v>
      </c>
      <c r="Z9" s="69"/>
      <c r="AA9" s="69" t="s">
        <v>311</v>
      </c>
      <c r="AB9" s="69" t="s">
        <v>327</v>
      </c>
      <c r="AC9" s="69" t="s">
        <v>311</v>
      </c>
      <c r="AD9" s="69"/>
      <c r="AE9" s="69"/>
      <c r="AF9" s="69" t="s">
        <v>349</v>
      </c>
      <c r="AG9" s="69" t="s">
        <v>314</v>
      </c>
      <c r="AH9" s="69" t="s">
        <v>350</v>
      </c>
      <c r="AI9" s="69" t="s">
        <v>315</v>
      </c>
      <c r="AJ9" s="69" t="s">
        <v>329</v>
      </c>
      <c r="AK9" s="69" t="s">
        <v>311</v>
      </c>
      <c r="AL9" s="69" t="s">
        <v>327</v>
      </c>
      <c r="AM9" s="69" t="s">
        <v>360</v>
      </c>
      <c r="AN9" s="69" t="s">
        <v>335</v>
      </c>
      <c r="AO9" s="69" t="s">
        <v>311</v>
      </c>
      <c r="AP9" s="69"/>
      <c r="AQ9" s="69" t="s">
        <v>311</v>
      </c>
      <c r="AR9" s="96" t="s">
        <v>309</v>
      </c>
      <c r="AS9" s="69"/>
      <c r="AT9" s="69"/>
      <c r="AU9" s="69"/>
      <c r="AV9" s="69" t="s">
        <v>311</v>
      </c>
      <c r="AW9" s="69" t="s">
        <v>336</v>
      </c>
      <c r="AX9" s="69" t="s">
        <v>323</v>
      </c>
      <c r="AY9" s="69" t="s">
        <v>337</v>
      </c>
      <c r="AZ9" s="69" t="s">
        <v>311</v>
      </c>
      <c r="BA9" s="69" t="s">
        <v>311</v>
      </c>
      <c r="BB9" s="69" t="s">
        <v>348</v>
      </c>
      <c r="BC9" s="69" t="s">
        <v>309</v>
      </c>
      <c r="BD9" s="69" t="s">
        <v>347</v>
      </c>
      <c r="BE9" s="96" t="s">
        <v>364</v>
      </c>
      <c r="BF9" s="69" t="s">
        <v>311</v>
      </c>
      <c r="BG9" s="69" t="s">
        <v>339</v>
      </c>
      <c r="BH9" s="69" t="s">
        <v>311</v>
      </c>
      <c r="BI9" s="69" t="s">
        <v>311</v>
      </c>
      <c r="BJ9" s="69" t="s">
        <v>320</v>
      </c>
      <c r="BK9" s="69" t="s">
        <v>309</v>
      </c>
      <c r="BL9" s="69" t="s">
        <v>311</v>
      </c>
      <c r="BM9" s="69"/>
    </row>
    <row r="10" spans="1:65">
      <c r="A10" s="61" t="s">
        <v>3</v>
      </c>
      <c r="B10" s="68" t="s">
        <v>188</v>
      </c>
      <c r="C10" s="66"/>
      <c r="D10" s="64">
        <v>23</v>
      </c>
      <c r="E10" s="64">
        <f>IF(ISBLANK($D10),"0",IF(($D10-$D9)&gt;($C10-$C9),1,0))</f>
        <v>1</v>
      </c>
      <c r="F10" s="64">
        <f t="shared" ca="1" si="1"/>
        <v>12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309</v>
      </c>
      <c r="M10" s="70"/>
      <c r="N10" s="70" t="s">
        <v>384</v>
      </c>
      <c r="O10" s="70"/>
      <c r="P10" s="70"/>
      <c r="Q10" s="70"/>
      <c r="R10" s="97"/>
      <c r="S10" s="97" t="s">
        <v>311</v>
      </c>
      <c r="T10" s="97"/>
      <c r="U10" s="70"/>
      <c r="V10" s="70"/>
      <c r="W10" s="70"/>
      <c r="X10" s="70" t="s">
        <v>385</v>
      </c>
      <c r="Y10" s="70"/>
      <c r="Z10" s="70" t="s">
        <v>311</v>
      </c>
      <c r="AA10" s="70"/>
      <c r="AB10" s="70"/>
      <c r="AC10" s="70"/>
      <c r="AD10" s="70" t="s">
        <v>319</v>
      </c>
      <c r="AE10" s="70" t="s">
        <v>311</v>
      </c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 t="s">
        <v>314</v>
      </c>
      <c r="AQ10" s="70"/>
      <c r="AR10" s="70"/>
      <c r="AS10" s="70" t="s">
        <v>364</v>
      </c>
      <c r="AT10" s="70" t="s">
        <v>336</v>
      </c>
      <c r="AU10" s="70" t="s">
        <v>309</v>
      </c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 t="s">
        <v>330</v>
      </c>
    </row>
    <row r="11" spans="1:65">
      <c r="A11" s="59">
        <v>5</v>
      </c>
      <c r="B11" s="67" t="s">
        <v>176</v>
      </c>
      <c r="C11" s="65">
        <v>2.5</v>
      </c>
      <c r="D11" s="64">
        <v>49</v>
      </c>
      <c r="E11" s="64">
        <f>IF(ISBLANK($D11),"0",IF(($D12-$D11)&lt;($C12-$C11),1,0))</f>
        <v>1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309</v>
      </c>
      <c r="L11" s="69" t="s">
        <v>309</v>
      </c>
      <c r="M11" s="69"/>
      <c r="N11" s="69" t="s">
        <v>384</v>
      </c>
      <c r="O11" s="69"/>
      <c r="P11" s="69" t="s">
        <v>309</v>
      </c>
      <c r="Q11" s="69" t="s">
        <v>335</v>
      </c>
      <c r="R11" s="96" t="s">
        <v>309</v>
      </c>
      <c r="S11" s="96" t="s">
        <v>311</v>
      </c>
      <c r="T11" s="96" t="s">
        <v>344</v>
      </c>
      <c r="U11" s="69"/>
      <c r="V11" s="69"/>
      <c r="W11" s="69" t="s">
        <v>336</v>
      </c>
      <c r="X11" s="69"/>
      <c r="Y11" s="69"/>
      <c r="Z11" s="69" t="s">
        <v>311</v>
      </c>
      <c r="AA11" s="69"/>
      <c r="AB11" s="69"/>
      <c r="AC11" s="69" t="s">
        <v>311</v>
      </c>
      <c r="AD11" s="69"/>
      <c r="AE11" s="69" t="s">
        <v>311</v>
      </c>
      <c r="AF11" s="69"/>
      <c r="AG11" s="69" t="s">
        <v>340</v>
      </c>
      <c r="AH11" s="69"/>
      <c r="AI11" s="69"/>
      <c r="AJ11" s="69" t="s">
        <v>329</v>
      </c>
      <c r="AK11" s="69"/>
      <c r="AL11" s="69"/>
      <c r="AM11" s="69"/>
      <c r="AN11" s="69" t="s">
        <v>335</v>
      </c>
      <c r="AO11" s="69"/>
      <c r="AP11" s="69" t="s">
        <v>390</v>
      </c>
      <c r="AQ11" s="69" t="s">
        <v>311</v>
      </c>
      <c r="AR11" s="69"/>
      <c r="AS11" s="69"/>
      <c r="AT11" s="69" t="s">
        <v>336</v>
      </c>
      <c r="AU11" s="69" t="s">
        <v>309</v>
      </c>
      <c r="AV11" s="69"/>
      <c r="AW11" s="69" t="s">
        <v>389</v>
      </c>
      <c r="AX11" s="69"/>
      <c r="AY11" s="69" t="s">
        <v>340</v>
      </c>
      <c r="AZ11" s="69"/>
      <c r="BA11" s="69"/>
      <c r="BB11" s="69" t="s">
        <v>348</v>
      </c>
      <c r="BC11" s="69" t="s">
        <v>309</v>
      </c>
      <c r="BD11" s="69"/>
      <c r="BE11" s="96"/>
      <c r="BF11" s="69" t="s">
        <v>311</v>
      </c>
      <c r="BG11" s="69" t="s">
        <v>339</v>
      </c>
      <c r="BH11" s="69" t="s">
        <v>311</v>
      </c>
      <c r="BI11" s="69" t="s">
        <v>311</v>
      </c>
      <c r="BJ11" s="69"/>
      <c r="BK11" s="69" t="s">
        <v>309</v>
      </c>
      <c r="BL11" s="69" t="s">
        <v>311</v>
      </c>
      <c r="BM11" s="69"/>
    </row>
    <row r="12" spans="1:65">
      <c r="A12" s="61" t="s">
        <v>3</v>
      </c>
      <c r="B12" s="68" t="s">
        <v>173</v>
      </c>
      <c r="C12" s="66"/>
      <c r="D12" s="64">
        <v>17</v>
      </c>
      <c r="E12" s="64">
        <f>IF(ISBLANK($D12),"0",IF(($D12-$D11)&gt;($C12-$C11),1,0))</f>
        <v>0</v>
      </c>
      <c r="F12" s="64">
        <f t="shared" ca="1" si="1"/>
        <v>26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320</v>
      </c>
      <c r="K12" s="70"/>
      <c r="L12" s="70"/>
      <c r="M12" s="70" t="s">
        <v>350</v>
      </c>
      <c r="N12" s="70"/>
      <c r="O12" s="70" t="s">
        <v>309</v>
      </c>
      <c r="P12" s="70"/>
      <c r="Q12" s="70"/>
      <c r="R12" s="97"/>
      <c r="S12" s="97"/>
      <c r="T12" s="97"/>
      <c r="U12" s="97" t="s">
        <v>402</v>
      </c>
      <c r="V12" s="70" t="s">
        <v>309</v>
      </c>
      <c r="W12" s="70"/>
      <c r="X12" s="70" t="s">
        <v>333</v>
      </c>
      <c r="Y12" s="70" t="s">
        <v>311</v>
      </c>
      <c r="Z12" s="70"/>
      <c r="AA12" s="70" t="s">
        <v>311</v>
      </c>
      <c r="AB12" s="70" t="s">
        <v>327</v>
      </c>
      <c r="AC12" s="70"/>
      <c r="AD12" s="70" t="s">
        <v>338</v>
      </c>
      <c r="AE12" s="70"/>
      <c r="AF12" s="70" t="s">
        <v>349</v>
      </c>
      <c r="AG12" s="70"/>
      <c r="AH12" s="70" t="s">
        <v>397</v>
      </c>
      <c r="AI12" s="70" t="s">
        <v>388</v>
      </c>
      <c r="AJ12" s="70"/>
      <c r="AK12" s="70" t="s">
        <v>311</v>
      </c>
      <c r="AL12" s="70" t="s">
        <v>327</v>
      </c>
      <c r="AM12" s="70" t="s">
        <v>320</v>
      </c>
      <c r="AN12" s="70"/>
      <c r="AO12" s="70" t="s">
        <v>311</v>
      </c>
      <c r="AP12" s="70"/>
      <c r="AQ12" s="70"/>
      <c r="AR12" s="97" t="s">
        <v>309</v>
      </c>
      <c r="AS12" s="70" t="s">
        <v>334</v>
      </c>
      <c r="AT12" s="70"/>
      <c r="AU12" s="70"/>
      <c r="AV12" s="70" t="s">
        <v>311</v>
      </c>
      <c r="AW12" s="70"/>
      <c r="AX12" s="70" t="s">
        <v>331</v>
      </c>
      <c r="AY12" s="70"/>
      <c r="AZ12" s="70" t="s">
        <v>311</v>
      </c>
      <c r="BA12" s="70" t="s">
        <v>311</v>
      </c>
      <c r="BB12" s="70"/>
      <c r="BC12" s="70"/>
      <c r="BD12" s="70" t="s">
        <v>393</v>
      </c>
      <c r="BE12" s="70" t="s">
        <v>364</v>
      </c>
      <c r="BF12" s="70"/>
      <c r="BG12" s="70"/>
      <c r="BH12" s="70"/>
      <c r="BI12" s="70"/>
      <c r="BJ12" s="70" t="s">
        <v>396</v>
      </c>
      <c r="BK12" s="70"/>
      <c r="BL12" s="70"/>
      <c r="BM12" s="70" t="s">
        <v>331</v>
      </c>
    </row>
    <row r="13" spans="1:65">
      <c r="A13" s="59">
        <v>6</v>
      </c>
      <c r="B13" s="67" t="s">
        <v>254</v>
      </c>
      <c r="C13" s="65"/>
      <c r="D13" s="64">
        <v>49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309</v>
      </c>
      <c r="L13" s="69"/>
      <c r="M13" s="69" t="s">
        <v>350</v>
      </c>
      <c r="N13" s="69" t="s">
        <v>384</v>
      </c>
      <c r="O13" s="69" t="s">
        <v>309</v>
      </c>
      <c r="P13" s="69"/>
      <c r="Q13" s="69" t="s">
        <v>335</v>
      </c>
      <c r="R13" s="96" t="s">
        <v>309</v>
      </c>
      <c r="S13" s="96" t="s">
        <v>311</v>
      </c>
      <c r="T13" s="96"/>
      <c r="U13" s="69"/>
      <c r="V13" s="69"/>
      <c r="W13" s="69" t="s">
        <v>323</v>
      </c>
      <c r="X13" s="69" t="s">
        <v>337</v>
      </c>
      <c r="Y13" s="69" t="s">
        <v>311</v>
      </c>
      <c r="Z13" s="69"/>
      <c r="AA13" s="69"/>
      <c r="AB13" s="69" t="s">
        <v>327</v>
      </c>
      <c r="AC13" s="69" t="s">
        <v>311</v>
      </c>
      <c r="AD13" s="69" t="s">
        <v>323</v>
      </c>
      <c r="AE13" s="69" t="s">
        <v>311</v>
      </c>
      <c r="AF13" s="69"/>
      <c r="AG13" s="69"/>
      <c r="AH13" s="69" t="s">
        <v>363</v>
      </c>
      <c r="AI13" s="69"/>
      <c r="AJ13" s="69"/>
      <c r="AK13" s="69" t="s">
        <v>311</v>
      </c>
      <c r="AL13" s="69" t="s">
        <v>327</v>
      </c>
      <c r="AM13" s="69" t="s">
        <v>326</v>
      </c>
      <c r="AN13" s="69" t="s">
        <v>335</v>
      </c>
      <c r="AO13" s="69"/>
      <c r="AP13" s="69"/>
      <c r="AQ13" s="69"/>
      <c r="AR13" s="96"/>
      <c r="AS13" s="69"/>
      <c r="AT13" s="69"/>
      <c r="AU13" s="69" t="s">
        <v>309</v>
      </c>
      <c r="AV13" s="69"/>
      <c r="AW13" s="69" t="s">
        <v>313</v>
      </c>
      <c r="AX13" s="69"/>
      <c r="AY13" s="69"/>
      <c r="AZ13" s="69"/>
      <c r="BA13" s="69"/>
      <c r="BB13" s="69" t="s">
        <v>348</v>
      </c>
      <c r="BC13" s="69"/>
      <c r="BD13" s="69"/>
      <c r="BE13" s="96"/>
      <c r="BF13" s="69" t="s">
        <v>311</v>
      </c>
      <c r="BG13" s="69"/>
      <c r="BH13" s="69"/>
      <c r="BI13" s="69" t="s">
        <v>311</v>
      </c>
      <c r="BJ13" s="69" t="s">
        <v>331</v>
      </c>
      <c r="BK13" s="69"/>
      <c r="BL13" s="69" t="s">
        <v>311</v>
      </c>
      <c r="BM13" s="69" t="s">
        <v>332</v>
      </c>
    </row>
    <row r="14" spans="1:65">
      <c r="A14" s="61" t="s">
        <v>3</v>
      </c>
      <c r="B14" s="68" t="s">
        <v>196</v>
      </c>
      <c r="C14" s="66">
        <v>3.5</v>
      </c>
      <c r="D14" s="64">
        <v>28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/>
      <c r="L14" s="70" t="s">
        <v>309</v>
      </c>
      <c r="M14" s="70"/>
      <c r="N14" s="70"/>
      <c r="O14" s="70"/>
      <c r="P14" s="70" t="s">
        <v>309</v>
      </c>
      <c r="Q14" s="70"/>
      <c r="R14" s="97"/>
      <c r="S14" s="97"/>
      <c r="T14" s="97" t="s">
        <v>344</v>
      </c>
      <c r="U14" s="97" t="s">
        <v>402</v>
      </c>
      <c r="V14" s="70" t="s">
        <v>309</v>
      </c>
      <c r="W14" s="70"/>
      <c r="X14" s="70"/>
      <c r="Y14" s="70"/>
      <c r="Z14" s="70" t="s">
        <v>311</v>
      </c>
      <c r="AA14" s="70" t="s">
        <v>311</v>
      </c>
      <c r="AB14" s="70"/>
      <c r="AC14" s="70"/>
      <c r="AD14" s="70"/>
      <c r="AE14" s="70"/>
      <c r="AF14" s="70" t="s">
        <v>349</v>
      </c>
      <c r="AG14" s="70" t="s">
        <v>324</v>
      </c>
      <c r="AH14" s="70"/>
      <c r="AI14" s="70" t="s">
        <v>367</v>
      </c>
      <c r="AJ14" s="70" t="s">
        <v>329</v>
      </c>
      <c r="AK14" s="70"/>
      <c r="AL14" s="70"/>
      <c r="AM14" s="70"/>
      <c r="AN14" s="70"/>
      <c r="AO14" s="70" t="s">
        <v>311</v>
      </c>
      <c r="AP14" s="70" t="s">
        <v>345</v>
      </c>
      <c r="AQ14" s="70" t="s">
        <v>311</v>
      </c>
      <c r="AR14" s="70" t="s">
        <v>309</v>
      </c>
      <c r="AS14" s="70" t="s">
        <v>336</v>
      </c>
      <c r="AT14" s="70" t="s">
        <v>336</v>
      </c>
      <c r="AU14" s="70"/>
      <c r="AV14" s="70" t="s">
        <v>311</v>
      </c>
      <c r="AW14" s="70"/>
      <c r="AX14" s="70" t="s">
        <v>323</v>
      </c>
      <c r="AY14" s="70" t="s">
        <v>334</v>
      </c>
      <c r="AZ14" s="70" t="s">
        <v>311</v>
      </c>
      <c r="BA14" s="70" t="s">
        <v>311</v>
      </c>
      <c r="BB14" s="70"/>
      <c r="BC14" s="70" t="s">
        <v>309</v>
      </c>
      <c r="BD14" s="70" t="s">
        <v>318</v>
      </c>
      <c r="BE14" s="70" t="s">
        <v>364</v>
      </c>
      <c r="BF14" s="70"/>
      <c r="BG14" s="70" t="s">
        <v>339</v>
      </c>
      <c r="BH14" s="70" t="s">
        <v>311</v>
      </c>
      <c r="BI14" s="70"/>
      <c r="BJ14" s="70"/>
      <c r="BK14" s="70" t="s">
        <v>309</v>
      </c>
      <c r="BL14" s="70"/>
      <c r="BM14" s="70"/>
    </row>
    <row r="15" spans="1:65">
      <c r="A15" s="59">
        <v>7</v>
      </c>
      <c r="B15" s="67" t="s">
        <v>250</v>
      </c>
      <c r="C15" s="65">
        <v>7.5</v>
      </c>
      <c r="D15" s="64">
        <v>20</v>
      </c>
      <c r="E15" s="64">
        <f>IF(ISBLANK($D15),"0",IF(($D16-$D15)&lt;($C16-$C15),1,0))</f>
        <v>0</v>
      </c>
      <c r="F15" s="64">
        <f t="shared" ca="1" si="1"/>
        <v>35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/>
      <c r="L15" s="69" t="s">
        <v>309</v>
      </c>
      <c r="M15" s="69" t="s">
        <v>350</v>
      </c>
      <c r="N15" s="69" t="s">
        <v>384</v>
      </c>
      <c r="O15" s="69" t="s">
        <v>309</v>
      </c>
      <c r="P15" s="69" t="s">
        <v>309</v>
      </c>
      <c r="Q15" s="69" t="s">
        <v>335</v>
      </c>
      <c r="R15" s="96" t="s">
        <v>309</v>
      </c>
      <c r="S15" s="96"/>
      <c r="T15" s="96" t="s">
        <v>344</v>
      </c>
      <c r="U15" s="96" t="s">
        <v>402</v>
      </c>
      <c r="V15" s="69" t="s">
        <v>309</v>
      </c>
      <c r="W15" s="69" t="s">
        <v>336</v>
      </c>
      <c r="X15" s="69"/>
      <c r="Y15" s="69" t="s">
        <v>311</v>
      </c>
      <c r="Z15" s="69"/>
      <c r="AA15" s="69" t="s">
        <v>311</v>
      </c>
      <c r="AB15" s="69" t="s">
        <v>327</v>
      </c>
      <c r="AC15" s="69" t="s">
        <v>311</v>
      </c>
      <c r="AD15" s="69"/>
      <c r="AE15" s="69" t="s">
        <v>311</v>
      </c>
      <c r="AF15" s="69" t="s">
        <v>349</v>
      </c>
      <c r="AG15" s="69"/>
      <c r="AH15" s="69"/>
      <c r="AI15" s="69" t="s">
        <v>313</v>
      </c>
      <c r="AJ15" s="69" t="s">
        <v>329</v>
      </c>
      <c r="AK15" s="69"/>
      <c r="AL15" s="69"/>
      <c r="AM15" s="69"/>
      <c r="AN15" s="69" t="s">
        <v>335</v>
      </c>
      <c r="AO15" s="69" t="s">
        <v>311</v>
      </c>
      <c r="AP15" s="69" t="s">
        <v>314</v>
      </c>
      <c r="AQ15" s="69"/>
      <c r="AR15" s="69" t="s">
        <v>309</v>
      </c>
      <c r="AS15" s="69"/>
      <c r="AT15" s="69"/>
      <c r="AU15" s="69" t="s">
        <v>309</v>
      </c>
      <c r="AV15" s="69" t="s">
        <v>311</v>
      </c>
      <c r="AW15" s="69"/>
      <c r="AX15" s="69" t="s">
        <v>362</v>
      </c>
      <c r="AY15" s="69" t="s">
        <v>330</v>
      </c>
      <c r="AZ15" s="69"/>
      <c r="BA15" s="69"/>
      <c r="BB15" s="69" t="s">
        <v>348</v>
      </c>
      <c r="BC15" s="69"/>
      <c r="BD15" s="69"/>
      <c r="BE15" s="96" t="s">
        <v>364</v>
      </c>
      <c r="BF15" s="69" t="s">
        <v>311</v>
      </c>
      <c r="BG15" s="69" t="s">
        <v>339</v>
      </c>
      <c r="BH15" s="69" t="s">
        <v>311</v>
      </c>
      <c r="BI15" s="69" t="s">
        <v>311</v>
      </c>
      <c r="BJ15" s="69" t="s">
        <v>323</v>
      </c>
      <c r="BK15" s="69"/>
      <c r="BL15" s="69" t="s">
        <v>311</v>
      </c>
      <c r="BM15" s="69"/>
    </row>
    <row r="16" spans="1:65">
      <c r="A16" s="61" t="s">
        <v>3</v>
      </c>
      <c r="B16" s="68" t="s">
        <v>194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20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309</v>
      </c>
      <c r="L16" s="70"/>
      <c r="M16" s="70"/>
      <c r="N16" s="70"/>
      <c r="O16" s="70"/>
      <c r="P16" s="70"/>
      <c r="Q16" s="70"/>
      <c r="R16" s="70"/>
      <c r="S16" s="70" t="s">
        <v>311</v>
      </c>
      <c r="T16" s="70"/>
      <c r="U16" s="70"/>
      <c r="V16" s="70"/>
      <c r="W16" s="70"/>
      <c r="X16" s="70" t="s">
        <v>354</v>
      </c>
      <c r="Y16" s="70"/>
      <c r="Z16" s="70" t="s">
        <v>311</v>
      </c>
      <c r="AA16" s="70"/>
      <c r="AB16" s="70"/>
      <c r="AC16" s="70"/>
      <c r="AD16" s="70" t="s">
        <v>347</v>
      </c>
      <c r="AE16" s="70"/>
      <c r="AF16" s="70"/>
      <c r="AG16" s="70" t="s">
        <v>314</v>
      </c>
      <c r="AH16" s="70" t="s">
        <v>312</v>
      </c>
      <c r="AI16" s="70"/>
      <c r="AJ16" s="70"/>
      <c r="AK16" s="70" t="s">
        <v>311</v>
      </c>
      <c r="AL16" s="70" t="s">
        <v>327</v>
      </c>
      <c r="AM16" s="70" t="s">
        <v>338</v>
      </c>
      <c r="AN16" s="70"/>
      <c r="AO16" s="70"/>
      <c r="AP16" s="70"/>
      <c r="AQ16" s="70" t="s">
        <v>311</v>
      </c>
      <c r="AR16" s="97"/>
      <c r="AS16" s="70" t="s">
        <v>336</v>
      </c>
      <c r="AT16" s="70" t="s">
        <v>336</v>
      </c>
      <c r="AU16" s="70"/>
      <c r="AV16" s="70"/>
      <c r="AW16" s="70" t="s">
        <v>334</v>
      </c>
      <c r="AX16" s="70"/>
      <c r="AY16" s="70"/>
      <c r="AZ16" s="70" t="s">
        <v>311</v>
      </c>
      <c r="BA16" s="70" t="s">
        <v>311</v>
      </c>
      <c r="BB16" s="70"/>
      <c r="BC16" s="70" t="s">
        <v>309</v>
      </c>
      <c r="BD16" s="70" t="s">
        <v>362</v>
      </c>
      <c r="BE16" s="70"/>
      <c r="BF16" s="70"/>
      <c r="BG16" s="70"/>
      <c r="BH16" s="70"/>
      <c r="BI16" s="70"/>
      <c r="BJ16" s="70"/>
      <c r="BK16" s="70" t="s">
        <v>309</v>
      </c>
      <c r="BL16" s="70"/>
      <c r="BM16" s="70" t="s">
        <v>331</v>
      </c>
    </row>
    <row r="17" spans="1:65">
      <c r="A17" s="59">
        <v>8</v>
      </c>
      <c r="B17" s="67" t="s">
        <v>210</v>
      </c>
      <c r="C17" s="65">
        <v>3.5</v>
      </c>
      <c r="D17" s="64">
        <v>13</v>
      </c>
      <c r="E17" s="64">
        <f>IF(ISBLANK($D17),"0",IF(($D18-$D17)&lt;($C18-$C17),1,0))</f>
        <v>0</v>
      </c>
      <c r="F17" s="64">
        <f t="shared" ca="1" si="1"/>
        <v>47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 t="s">
        <v>309</v>
      </c>
      <c r="M17" s="69" t="s">
        <v>350</v>
      </c>
      <c r="N17" s="69" t="s">
        <v>384</v>
      </c>
      <c r="O17" s="69" t="s">
        <v>309</v>
      </c>
      <c r="P17" s="69" t="s">
        <v>309</v>
      </c>
      <c r="Q17" s="69" t="s">
        <v>335</v>
      </c>
      <c r="R17" s="69" t="s">
        <v>309</v>
      </c>
      <c r="S17" s="69"/>
      <c r="T17" s="69" t="s">
        <v>344</v>
      </c>
      <c r="U17" s="96" t="s">
        <v>402</v>
      </c>
      <c r="V17" s="69" t="s">
        <v>309</v>
      </c>
      <c r="W17" s="69" t="s">
        <v>323</v>
      </c>
      <c r="X17" s="69" t="s">
        <v>354</v>
      </c>
      <c r="Y17" s="69" t="s">
        <v>311</v>
      </c>
      <c r="Z17" s="69" t="s">
        <v>311</v>
      </c>
      <c r="AA17" s="69" t="s">
        <v>311</v>
      </c>
      <c r="AB17" s="69" t="s">
        <v>327</v>
      </c>
      <c r="AC17" s="69" t="s">
        <v>311</v>
      </c>
      <c r="AD17" s="69"/>
      <c r="AE17" s="69" t="s">
        <v>311</v>
      </c>
      <c r="AF17" s="69" t="s">
        <v>349</v>
      </c>
      <c r="AG17" s="69" t="s">
        <v>320</v>
      </c>
      <c r="AH17" s="69"/>
      <c r="AI17" s="69" t="s">
        <v>313</v>
      </c>
      <c r="AJ17" s="69" t="s">
        <v>329</v>
      </c>
      <c r="AK17" s="69"/>
      <c r="AL17" s="69" t="s">
        <v>327</v>
      </c>
      <c r="AM17" s="69" t="s">
        <v>318</v>
      </c>
      <c r="AN17" s="69" t="s">
        <v>335</v>
      </c>
      <c r="AO17" s="69" t="s">
        <v>311</v>
      </c>
      <c r="AP17" s="69" t="s">
        <v>325</v>
      </c>
      <c r="AQ17" s="69" t="s">
        <v>311</v>
      </c>
      <c r="AR17" s="96" t="s">
        <v>309</v>
      </c>
      <c r="AS17" s="69" t="s">
        <v>317</v>
      </c>
      <c r="AT17" s="69" t="s">
        <v>336</v>
      </c>
      <c r="AU17" s="69" t="s">
        <v>309</v>
      </c>
      <c r="AV17" s="69" t="s">
        <v>311</v>
      </c>
      <c r="AW17" s="69" t="s">
        <v>330</v>
      </c>
      <c r="AX17" s="69" t="s">
        <v>363</v>
      </c>
      <c r="AY17" s="69" t="s">
        <v>331</v>
      </c>
      <c r="AZ17" s="69"/>
      <c r="BA17" s="69" t="s">
        <v>311</v>
      </c>
      <c r="BB17" s="69" t="s">
        <v>348</v>
      </c>
      <c r="BC17" s="69"/>
      <c r="BD17" s="69" t="s">
        <v>363</v>
      </c>
      <c r="BE17" s="69" t="s">
        <v>364</v>
      </c>
      <c r="BF17" s="69"/>
      <c r="BG17" s="69" t="s">
        <v>339</v>
      </c>
      <c r="BH17" s="69" t="s">
        <v>311</v>
      </c>
      <c r="BI17" s="69" t="s">
        <v>311</v>
      </c>
      <c r="BJ17" s="69" t="s">
        <v>362</v>
      </c>
      <c r="BK17" s="69" t="s">
        <v>309</v>
      </c>
      <c r="BL17" s="69"/>
      <c r="BM17" s="69" t="s">
        <v>333</v>
      </c>
    </row>
    <row r="18" spans="1:65">
      <c r="A18" s="61" t="s">
        <v>3</v>
      </c>
      <c r="B18" s="68" t="s">
        <v>201</v>
      </c>
      <c r="C18" s="66"/>
      <c r="D18" s="64">
        <v>10</v>
      </c>
      <c r="E18" s="64">
        <f>IF(ISBLANK($D18),"0",IF(($D18-$D17)&gt;($C18-$C17),1,0))</f>
        <v>1</v>
      </c>
      <c r="F18" s="64">
        <f t="shared" ca="1" si="1"/>
        <v>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 t="s">
        <v>311</v>
      </c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 t="s">
        <v>313</v>
      </c>
      <c r="AE18" s="70"/>
      <c r="AF18" s="70"/>
      <c r="AG18" s="70"/>
      <c r="AH18" s="70" t="s">
        <v>346</v>
      </c>
      <c r="AI18" s="70"/>
      <c r="AJ18" s="70"/>
      <c r="AK18" s="70" t="s">
        <v>311</v>
      </c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 t="s">
        <v>311</v>
      </c>
      <c r="BA18" s="70"/>
      <c r="BB18" s="70"/>
      <c r="BC18" s="70" t="s">
        <v>309</v>
      </c>
      <c r="BD18" s="70"/>
      <c r="BE18" s="97"/>
      <c r="BF18" s="70" t="s">
        <v>311</v>
      </c>
      <c r="BG18" s="70"/>
      <c r="BH18" s="70"/>
      <c r="BI18" s="70"/>
      <c r="BJ18" s="70"/>
      <c r="BK18" s="70"/>
      <c r="BL18" s="70" t="s">
        <v>311</v>
      </c>
      <c r="BM18" s="70"/>
    </row>
    <row r="19" spans="1:65">
      <c r="A19" s="59">
        <v>9</v>
      </c>
      <c r="B19" s="67" t="s">
        <v>214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320</v>
      </c>
      <c r="K19" s="69"/>
      <c r="L19" s="69" t="s">
        <v>309</v>
      </c>
      <c r="M19" s="69"/>
      <c r="N19" s="69"/>
      <c r="O19" s="69"/>
      <c r="P19" s="69"/>
      <c r="Q19" s="69"/>
      <c r="R19" s="69"/>
      <c r="S19" s="69" t="s">
        <v>311</v>
      </c>
      <c r="T19" s="69" t="s">
        <v>344</v>
      </c>
      <c r="U19" s="96" t="s">
        <v>402</v>
      </c>
      <c r="V19" s="69"/>
      <c r="W19" s="69"/>
      <c r="X19" s="69"/>
      <c r="Y19" s="69" t="s">
        <v>311</v>
      </c>
      <c r="Z19" s="69"/>
      <c r="AA19" s="69"/>
      <c r="AB19" s="69"/>
      <c r="AC19" s="69"/>
      <c r="AD19" s="69"/>
      <c r="AE19" s="69" t="s">
        <v>311</v>
      </c>
      <c r="AF19" s="69"/>
      <c r="AG19" s="69"/>
      <c r="AH19" s="69"/>
      <c r="AI19" s="69"/>
      <c r="AJ19" s="69" t="s">
        <v>329</v>
      </c>
      <c r="AK19" s="69" t="s">
        <v>311</v>
      </c>
      <c r="AL19" s="69"/>
      <c r="AM19" s="69"/>
      <c r="AN19" s="69"/>
      <c r="AO19" s="69"/>
      <c r="AP19" s="69"/>
      <c r="AQ19" s="69" t="s">
        <v>311</v>
      </c>
      <c r="AR19" s="69"/>
      <c r="AS19" s="69"/>
      <c r="AT19" s="69"/>
      <c r="AU19" s="69" t="s">
        <v>309</v>
      </c>
      <c r="AV19" s="69"/>
      <c r="AW19" s="69" t="s">
        <v>331</v>
      </c>
      <c r="AX19" s="69" t="s">
        <v>320</v>
      </c>
      <c r="AY19" s="69"/>
      <c r="AZ19" s="69"/>
      <c r="BA19" s="69"/>
      <c r="BB19" s="69"/>
      <c r="BC19" s="69"/>
      <c r="BD19" s="69"/>
      <c r="BE19" s="69" t="s">
        <v>364</v>
      </c>
      <c r="BF19" s="69"/>
      <c r="BG19" s="69"/>
      <c r="BH19" s="69" t="s">
        <v>311</v>
      </c>
      <c r="BI19" s="69" t="s">
        <v>311</v>
      </c>
      <c r="BJ19" s="69"/>
      <c r="BK19" s="69"/>
      <c r="BL19" s="69"/>
      <c r="BM19" s="69"/>
    </row>
    <row r="20" spans="1:65">
      <c r="A20" s="61" t="s">
        <v>3</v>
      </c>
      <c r="B20" s="68" t="s">
        <v>191</v>
      </c>
      <c r="C20" s="66">
        <v>9.5</v>
      </c>
      <c r="D20" s="64">
        <v>38</v>
      </c>
      <c r="E20" s="64">
        <f>IF(ISBLANK($D20),"0",IF(($D20-$D19)&gt;($C20-$C19),1,0))</f>
        <v>1</v>
      </c>
      <c r="F20" s="64">
        <f t="shared" ca="1" si="1"/>
        <v>40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309</v>
      </c>
      <c r="L20" s="70"/>
      <c r="M20" s="70" t="s">
        <v>350</v>
      </c>
      <c r="N20" s="70" t="s">
        <v>384</v>
      </c>
      <c r="O20" s="70" t="s">
        <v>309</v>
      </c>
      <c r="P20" s="70" t="s">
        <v>309</v>
      </c>
      <c r="Q20" s="70" t="s">
        <v>335</v>
      </c>
      <c r="R20" s="70" t="s">
        <v>309</v>
      </c>
      <c r="S20" s="70"/>
      <c r="T20" s="70"/>
      <c r="U20" s="70"/>
      <c r="V20" s="70" t="s">
        <v>309</v>
      </c>
      <c r="W20" s="70" t="s">
        <v>319</v>
      </c>
      <c r="X20" s="70" t="s">
        <v>386</v>
      </c>
      <c r="Y20" s="70"/>
      <c r="Z20" s="70" t="s">
        <v>311</v>
      </c>
      <c r="AA20" s="70" t="s">
        <v>311</v>
      </c>
      <c r="AB20" s="70" t="s">
        <v>327</v>
      </c>
      <c r="AC20" s="70" t="s">
        <v>311</v>
      </c>
      <c r="AD20" s="70" t="s">
        <v>387</v>
      </c>
      <c r="AE20" s="70"/>
      <c r="AF20" s="70" t="s">
        <v>349</v>
      </c>
      <c r="AG20" s="70" t="s">
        <v>372</v>
      </c>
      <c r="AH20" s="70" t="s">
        <v>318</v>
      </c>
      <c r="AI20" s="70" t="s">
        <v>363</v>
      </c>
      <c r="AJ20" s="70"/>
      <c r="AK20" s="70"/>
      <c r="AL20" s="70" t="s">
        <v>327</v>
      </c>
      <c r="AM20" s="70" t="s">
        <v>362</v>
      </c>
      <c r="AN20" s="70" t="s">
        <v>335</v>
      </c>
      <c r="AO20" s="70" t="s">
        <v>311</v>
      </c>
      <c r="AP20" s="70" t="s">
        <v>360</v>
      </c>
      <c r="AQ20" s="70"/>
      <c r="AR20" s="97" t="s">
        <v>309</v>
      </c>
      <c r="AS20" s="70" t="s">
        <v>329</v>
      </c>
      <c r="AT20" s="70" t="s">
        <v>336</v>
      </c>
      <c r="AU20" s="70"/>
      <c r="AV20" s="70" t="s">
        <v>311</v>
      </c>
      <c r="AW20" s="70"/>
      <c r="AX20" s="70"/>
      <c r="AY20" s="70" t="s">
        <v>321</v>
      </c>
      <c r="AZ20" s="70" t="s">
        <v>311</v>
      </c>
      <c r="BA20" s="70" t="s">
        <v>311</v>
      </c>
      <c r="BB20" s="70" t="s">
        <v>348</v>
      </c>
      <c r="BC20" s="70" t="s">
        <v>309</v>
      </c>
      <c r="BD20" s="70" t="s">
        <v>394</v>
      </c>
      <c r="BE20" s="97"/>
      <c r="BF20" s="70" t="s">
        <v>311</v>
      </c>
      <c r="BG20" s="70" t="s">
        <v>339</v>
      </c>
      <c r="BH20" s="70"/>
      <c r="BI20" s="70"/>
      <c r="BJ20" s="70" t="s">
        <v>363</v>
      </c>
      <c r="BK20" s="70" t="s">
        <v>309</v>
      </c>
      <c r="BL20" s="70" t="s">
        <v>311</v>
      </c>
      <c r="BM20" s="70" t="s">
        <v>334</v>
      </c>
    </row>
    <row r="21" spans="1:65">
      <c r="A21" s="59">
        <v>10</v>
      </c>
      <c r="B21" s="67" t="s">
        <v>155</v>
      </c>
      <c r="C21" s="65">
        <v>6.5</v>
      </c>
      <c r="D21" s="64">
        <v>35</v>
      </c>
      <c r="E21" s="64">
        <f>IF(ISBLANK($D21),"0",IF(($D22-$D21)&lt;($C22-$C21),1,0))</f>
        <v>0</v>
      </c>
      <c r="F21" s="64">
        <f t="shared" ca="1" si="1"/>
        <v>45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309</v>
      </c>
      <c r="P21" s="69"/>
      <c r="Q21" s="69" t="s">
        <v>335</v>
      </c>
      <c r="R21" s="69" t="s">
        <v>309</v>
      </c>
      <c r="S21" s="69" t="s">
        <v>311</v>
      </c>
      <c r="T21" s="69"/>
      <c r="U21" s="96" t="s">
        <v>402</v>
      </c>
      <c r="V21" s="69" t="s">
        <v>309</v>
      </c>
      <c r="W21" s="69" t="s">
        <v>321</v>
      </c>
      <c r="X21" s="69" t="s">
        <v>313</v>
      </c>
      <c r="Y21" s="69" t="s">
        <v>311</v>
      </c>
      <c r="Z21" s="69"/>
      <c r="AA21" s="69" t="s">
        <v>311</v>
      </c>
      <c r="AB21" s="69" t="s">
        <v>327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380</v>
      </c>
      <c r="AH21" s="69" t="s">
        <v>398</v>
      </c>
      <c r="AI21" s="69" t="s">
        <v>321</v>
      </c>
      <c r="AJ21" s="69" t="s">
        <v>329</v>
      </c>
      <c r="AK21" s="69" t="s">
        <v>311</v>
      </c>
      <c r="AL21" s="69"/>
      <c r="AM21" s="69" t="s">
        <v>389</v>
      </c>
      <c r="AN21" s="69" t="s">
        <v>335</v>
      </c>
      <c r="AO21" s="69" t="s">
        <v>311</v>
      </c>
      <c r="AP21" s="69" t="s">
        <v>323</v>
      </c>
      <c r="AQ21" s="69" t="s">
        <v>311</v>
      </c>
      <c r="AR21" s="96" t="s">
        <v>309</v>
      </c>
      <c r="AS21" s="69"/>
      <c r="AT21" s="69" t="s">
        <v>336</v>
      </c>
      <c r="AU21" s="69" t="s">
        <v>309</v>
      </c>
      <c r="AV21" s="69"/>
      <c r="AW21" s="69" t="s">
        <v>391</v>
      </c>
      <c r="AX21" s="69" t="s">
        <v>321</v>
      </c>
      <c r="AY21" s="69" t="s">
        <v>392</v>
      </c>
      <c r="AZ21" s="69"/>
      <c r="BA21" s="69" t="s">
        <v>311</v>
      </c>
      <c r="BB21" s="69" t="s">
        <v>348</v>
      </c>
      <c r="BC21" s="69" t="s">
        <v>309</v>
      </c>
      <c r="BD21" s="69" t="s">
        <v>395</v>
      </c>
      <c r="BE21" s="96" t="s">
        <v>364</v>
      </c>
      <c r="BF21" s="69" t="s">
        <v>311</v>
      </c>
      <c r="BG21" s="69"/>
      <c r="BH21" s="69" t="s">
        <v>311</v>
      </c>
      <c r="BI21" s="69" t="s">
        <v>311</v>
      </c>
      <c r="BJ21" s="69" t="s">
        <v>320</v>
      </c>
      <c r="BK21" s="69" t="s">
        <v>309</v>
      </c>
      <c r="BL21" s="69" t="s">
        <v>311</v>
      </c>
      <c r="BM21" s="69"/>
    </row>
    <row r="22" spans="1:65">
      <c r="A22" s="61" t="s">
        <v>3</v>
      </c>
      <c r="B22" s="68" t="s">
        <v>157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10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384</v>
      </c>
      <c r="O22" s="70"/>
      <c r="P22" s="70" t="s">
        <v>309</v>
      </c>
      <c r="Q22" s="70"/>
      <c r="R22" s="70"/>
      <c r="S22" s="70"/>
      <c r="T22" s="70" t="s">
        <v>344</v>
      </c>
      <c r="U22" s="70"/>
      <c r="V22" s="70"/>
      <c r="W22" s="70"/>
      <c r="X22" s="70"/>
      <c r="Y22" s="70"/>
      <c r="Z22" s="70" t="s">
        <v>311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 t="s">
        <v>327</v>
      </c>
      <c r="AM22" s="70"/>
      <c r="AN22" s="70"/>
      <c r="AO22" s="70"/>
      <c r="AP22" s="70"/>
      <c r="AQ22" s="70"/>
      <c r="AR22" s="70"/>
      <c r="AS22" s="70" t="s">
        <v>334</v>
      </c>
      <c r="AT22" s="70"/>
      <c r="AU22" s="70"/>
      <c r="AV22" s="70" t="s">
        <v>311</v>
      </c>
      <c r="AW22" s="70"/>
      <c r="AX22" s="70"/>
      <c r="AY22" s="70"/>
      <c r="AZ22" s="70" t="s">
        <v>311</v>
      </c>
      <c r="BA22" s="70"/>
      <c r="BB22" s="70"/>
      <c r="BC22" s="70"/>
      <c r="BD22" s="70"/>
      <c r="BE22" s="70"/>
      <c r="BF22" s="70"/>
      <c r="BG22" s="70" t="s">
        <v>339</v>
      </c>
      <c r="BH22" s="70"/>
      <c r="BI22" s="70"/>
      <c r="BJ22" s="70"/>
      <c r="BK22" s="70"/>
      <c r="BL22" s="70"/>
      <c r="BM22" s="70" t="s">
        <v>321</v>
      </c>
    </row>
    <row r="23" spans="1:6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34</v>
      </c>
      <c r="G23" s="59"/>
      <c r="H23" s="59"/>
      <c r="I23" s="60"/>
      <c r="J23" s="78">
        <v>35</v>
      </c>
      <c r="K23" s="78">
        <v>42</v>
      </c>
      <c r="L23" s="78">
        <v>28</v>
      </c>
      <c r="M23" s="78">
        <v>35</v>
      </c>
      <c r="N23" s="80">
        <v>22</v>
      </c>
      <c r="O23" s="78">
        <v>42</v>
      </c>
      <c r="P23" s="78">
        <v>24</v>
      </c>
      <c r="Q23" s="78">
        <v>23</v>
      </c>
      <c r="R23" s="78">
        <v>38</v>
      </c>
      <c r="S23" s="78">
        <v>38</v>
      </c>
      <c r="T23" s="78">
        <v>21</v>
      </c>
      <c r="U23" s="78"/>
      <c r="V23" s="78">
        <v>35</v>
      </c>
      <c r="W23" s="78">
        <v>35</v>
      </c>
      <c r="X23" s="78">
        <v>45</v>
      </c>
      <c r="Y23" s="78">
        <v>42</v>
      </c>
      <c r="Z23" s="78">
        <v>34</v>
      </c>
      <c r="AA23" s="78">
        <v>34</v>
      </c>
      <c r="AB23" s="78">
        <v>35</v>
      </c>
      <c r="AC23" s="78">
        <v>35</v>
      </c>
      <c r="AD23" s="78">
        <v>42</v>
      </c>
      <c r="AE23" s="78">
        <v>31</v>
      </c>
      <c r="AF23" s="78">
        <v>33</v>
      </c>
      <c r="AG23" s="78">
        <v>45</v>
      </c>
      <c r="AH23" s="78">
        <v>35</v>
      </c>
      <c r="AI23" s="78">
        <v>42</v>
      </c>
      <c r="AJ23" s="78">
        <v>28</v>
      </c>
      <c r="AK23" s="78">
        <v>42</v>
      </c>
      <c r="AL23" s="78">
        <v>27</v>
      </c>
      <c r="AM23" s="78">
        <v>42</v>
      </c>
      <c r="AN23" s="78">
        <v>35</v>
      </c>
      <c r="AO23" s="78">
        <v>28</v>
      </c>
      <c r="AP23" s="78">
        <v>34</v>
      </c>
      <c r="AQ23" s="78">
        <v>28</v>
      </c>
      <c r="AR23" s="78">
        <v>35</v>
      </c>
      <c r="AS23" s="78">
        <v>24</v>
      </c>
      <c r="AT23" s="78">
        <v>33</v>
      </c>
      <c r="AU23" s="78">
        <v>24</v>
      </c>
      <c r="AV23" s="78">
        <v>18</v>
      </c>
      <c r="AW23" s="78">
        <v>31</v>
      </c>
      <c r="AX23" s="78">
        <v>35</v>
      </c>
      <c r="AY23" s="78">
        <v>42</v>
      </c>
      <c r="AZ23" s="78">
        <v>14</v>
      </c>
      <c r="BA23" s="78">
        <v>40</v>
      </c>
      <c r="BB23" s="78">
        <v>28</v>
      </c>
      <c r="BC23" s="78">
        <v>31</v>
      </c>
      <c r="BD23" s="78">
        <v>35</v>
      </c>
      <c r="BE23" s="78">
        <v>31</v>
      </c>
      <c r="BF23" s="78">
        <v>38</v>
      </c>
      <c r="BG23" s="78">
        <v>28</v>
      </c>
      <c r="BH23" s="78">
        <v>41</v>
      </c>
      <c r="BI23" s="78">
        <v>31</v>
      </c>
      <c r="BJ23" s="78">
        <v>41</v>
      </c>
      <c r="BK23" s="78">
        <v>45</v>
      </c>
      <c r="BL23" s="78">
        <v>45</v>
      </c>
      <c r="BM23" s="78">
        <v>21</v>
      </c>
    </row>
    <row r="24" spans="1:6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21</v>
      </c>
      <c r="L24" s="79">
        <v>17</v>
      </c>
      <c r="M24" s="79">
        <v>17</v>
      </c>
      <c r="N24" s="79">
        <v>24</v>
      </c>
      <c r="O24" s="79">
        <v>24</v>
      </c>
      <c r="P24" s="79">
        <v>20</v>
      </c>
      <c r="Q24" s="79">
        <v>7</v>
      </c>
      <c r="R24" s="79">
        <v>24</v>
      </c>
      <c r="S24" s="79">
        <v>21</v>
      </c>
      <c r="T24" s="79">
        <v>24</v>
      </c>
      <c r="U24" s="79"/>
      <c r="V24" s="79">
        <v>28</v>
      </c>
      <c r="W24" s="79">
        <v>24</v>
      </c>
      <c r="X24" s="79">
        <v>10</v>
      </c>
      <c r="Y24" s="79">
        <v>28</v>
      </c>
      <c r="Z24" s="79">
        <v>28</v>
      </c>
      <c r="AA24" s="79">
        <v>27</v>
      </c>
      <c r="AB24" s="79">
        <v>21</v>
      </c>
      <c r="AC24" s="79">
        <v>28</v>
      </c>
      <c r="AD24" s="79">
        <v>23</v>
      </c>
      <c r="AE24" s="79">
        <v>21</v>
      </c>
      <c r="AF24" s="79">
        <v>23</v>
      </c>
      <c r="AG24" s="79">
        <v>16</v>
      </c>
      <c r="AH24" s="79">
        <v>28</v>
      </c>
      <c r="AI24" s="79">
        <v>27</v>
      </c>
      <c r="AJ24" s="79">
        <v>17</v>
      </c>
      <c r="AK24" s="79">
        <v>24</v>
      </c>
      <c r="AL24" s="79">
        <v>24</v>
      </c>
      <c r="AM24" s="79">
        <v>21</v>
      </c>
      <c r="AN24" s="79">
        <v>14</v>
      </c>
      <c r="AO24" s="79">
        <v>17</v>
      </c>
      <c r="AP24" s="79">
        <v>17</v>
      </c>
      <c r="AQ24" s="79">
        <v>17</v>
      </c>
      <c r="AR24" s="79">
        <v>28</v>
      </c>
      <c r="AS24" s="79">
        <v>27</v>
      </c>
      <c r="AT24" s="79">
        <v>21</v>
      </c>
      <c r="AU24" s="79">
        <v>14</v>
      </c>
      <c r="AV24" s="79">
        <v>20</v>
      </c>
      <c r="AW24" s="79">
        <v>24</v>
      </c>
      <c r="AX24" s="79">
        <v>14</v>
      </c>
      <c r="AY24" s="79">
        <v>28</v>
      </c>
      <c r="AZ24" s="79">
        <v>21</v>
      </c>
      <c r="BA24" s="79">
        <v>20</v>
      </c>
      <c r="BB24" s="79">
        <v>21</v>
      </c>
      <c r="BC24" s="79">
        <v>13</v>
      </c>
      <c r="BD24" s="79">
        <v>17</v>
      </c>
      <c r="BE24" s="79">
        <v>21</v>
      </c>
      <c r="BF24" s="79">
        <v>17</v>
      </c>
      <c r="BG24" s="79">
        <v>24</v>
      </c>
      <c r="BH24" s="79">
        <v>30</v>
      </c>
      <c r="BI24" s="79">
        <v>23</v>
      </c>
      <c r="BJ24" s="79">
        <v>17</v>
      </c>
      <c r="BK24" s="79">
        <v>21</v>
      </c>
      <c r="BL24" s="79">
        <v>17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2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3</v>
      </c>
      <c r="P25" s="36">
        <f t="shared" si="3"/>
        <v>4</v>
      </c>
      <c r="Q25" s="36">
        <f t="shared" si="3"/>
        <v>3</v>
      </c>
      <c r="R25" s="36">
        <f t="shared" si="3"/>
        <v>3</v>
      </c>
      <c r="S25" s="36">
        <f t="shared" si="3"/>
        <v>7</v>
      </c>
      <c r="T25" s="36">
        <f t="shared" si="3"/>
        <v>3</v>
      </c>
      <c r="U25" s="36">
        <f t="shared" si="3"/>
        <v>0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1</v>
      </c>
      <c r="Z25" s="36">
        <f t="shared" si="3"/>
        <v>8</v>
      </c>
      <c r="AA25" s="36">
        <f t="shared" si="3"/>
        <v>4</v>
      </c>
      <c r="AB25" s="36">
        <f t="shared" si="3"/>
        <v>3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2</v>
      </c>
      <c r="AG25" s="36">
        <f t="shared" si="3"/>
        <v>4</v>
      </c>
      <c r="AH25" s="36">
        <f t="shared" si="3"/>
        <v>6</v>
      </c>
      <c r="AI25" s="36">
        <f t="shared" si="3"/>
        <v>2</v>
      </c>
      <c r="AJ25" s="36">
        <f t="shared" si="3"/>
        <v>2</v>
      </c>
      <c r="AK25" s="36">
        <f t="shared" si="3"/>
        <v>4</v>
      </c>
      <c r="AL25" s="36">
        <f t="shared" si="3"/>
        <v>6</v>
      </c>
      <c r="AM25" s="36">
        <f t="shared" si="3"/>
        <v>4</v>
      </c>
      <c r="AN25" s="36">
        <f t="shared" si="3"/>
        <v>5</v>
      </c>
      <c r="AO25" s="36">
        <f t="shared" si="3"/>
        <v>2</v>
      </c>
      <c r="AP25" s="36">
        <f t="shared" si="3"/>
        <v>5</v>
      </c>
      <c r="AQ25" s="36">
        <f t="shared" si="3"/>
        <v>3</v>
      </c>
      <c r="AR25" s="36">
        <f t="shared" si="3"/>
        <v>4</v>
      </c>
      <c r="AS25" s="36">
        <f t="shared" si="3"/>
        <v>6</v>
      </c>
      <c r="AT25" s="36">
        <f t="shared" si="3"/>
        <v>5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2</v>
      </c>
      <c r="AY25" s="36">
        <f t="shared" si="3"/>
        <v>4</v>
      </c>
      <c r="AZ25" s="36">
        <f t="shared" si="3"/>
        <v>5</v>
      </c>
      <c r="BA25" s="36">
        <f t="shared" si="3"/>
        <v>4</v>
      </c>
      <c r="BB25" s="36">
        <f t="shared" si="3"/>
        <v>5</v>
      </c>
      <c r="BC25" s="36">
        <f t="shared" si="3"/>
        <v>5</v>
      </c>
      <c r="BD25" s="36">
        <f t="shared" si="3"/>
        <v>5</v>
      </c>
      <c r="BE25" s="36">
        <f t="shared" si="3"/>
        <v>1</v>
      </c>
      <c r="BF25" s="36">
        <f t="shared" si="3"/>
        <v>5</v>
      </c>
      <c r="BG25" s="36">
        <f t="shared" si="3"/>
        <v>5</v>
      </c>
      <c r="BH25" s="36">
        <f t="shared" si="3"/>
        <v>3</v>
      </c>
      <c r="BI25" s="36">
        <f t="shared" si="3"/>
        <v>5</v>
      </c>
      <c r="BJ25" s="36">
        <f t="shared" si="3"/>
        <v>3</v>
      </c>
      <c r="BK25" s="36">
        <f t="shared" si="3"/>
        <v>5</v>
      </c>
      <c r="BL25" s="36">
        <f t="shared" si="3"/>
        <v>5</v>
      </c>
      <c r="BM25" s="36">
        <f t="shared" si="3"/>
        <v>7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24</v>
      </c>
      <c r="L26" s="71">
        <f t="shared" ref="L26:BM26" si="4">ABS((L23-L24)-($D21-$D22))</f>
        <v>14</v>
      </c>
      <c r="M26" s="71">
        <f t="shared" si="4"/>
        <v>21</v>
      </c>
      <c r="N26" s="71">
        <f t="shared" si="4"/>
        <v>1</v>
      </c>
      <c r="O26" s="71">
        <f t="shared" si="4"/>
        <v>21</v>
      </c>
      <c r="P26" s="71">
        <f t="shared" si="4"/>
        <v>7</v>
      </c>
      <c r="Q26" s="71">
        <f t="shared" si="4"/>
        <v>19</v>
      </c>
      <c r="R26" s="71">
        <f t="shared" si="4"/>
        <v>17</v>
      </c>
      <c r="S26" s="71">
        <f t="shared" si="4"/>
        <v>20</v>
      </c>
      <c r="T26" s="71">
        <f t="shared" si="4"/>
        <v>0</v>
      </c>
      <c r="U26" s="71">
        <f t="shared" si="4"/>
        <v>3</v>
      </c>
      <c r="V26" s="71">
        <f t="shared" si="4"/>
        <v>10</v>
      </c>
      <c r="W26" s="71">
        <f t="shared" si="4"/>
        <v>14</v>
      </c>
      <c r="X26" s="71">
        <f t="shared" si="4"/>
        <v>38</v>
      </c>
      <c r="Y26" s="71">
        <f t="shared" si="4"/>
        <v>17</v>
      </c>
      <c r="Z26" s="71">
        <f t="shared" si="4"/>
        <v>9</v>
      </c>
      <c r="AA26" s="71">
        <f t="shared" si="4"/>
        <v>10</v>
      </c>
      <c r="AB26" s="71">
        <f t="shared" si="4"/>
        <v>17</v>
      </c>
      <c r="AC26" s="71">
        <f t="shared" si="4"/>
        <v>10</v>
      </c>
      <c r="AD26" s="71">
        <f t="shared" si="4"/>
        <v>22</v>
      </c>
      <c r="AE26" s="71">
        <f t="shared" si="4"/>
        <v>13</v>
      </c>
      <c r="AF26" s="71">
        <f t="shared" si="4"/>
        <v>13</v>
      </c>
      <c r="AG26" s="71">
        <f t="shared" si="4"/>
        <v>32</v>
      </c>
      <c r="AH26" s="71">
        <f t="shared" si="4"/>
        <v>10</v>
      </c>
      <c r="AI26" s="71">
        <f t="shared" si="4"/>
        <v>18</v>
      </c>
      <c r="AJ26" s="71">
        <f t="shared" si="4"/>
        <v>14</v>
      </c>
      <c r="AK26" s="71">
        <f t="shared" si="4"/>
        <v>21</v>
      </c>
      <c r="AL26" s="71">
        <f t="shared" si="4"/>
        <v>6</v>
      </c>
      <c r="AM26" s="71">
        <f t="shared" si="4"/>
        <v>24</v>
      </c>
      <c r="AN26" s="71">
        <f t="shared" si="4"/>
        <v>24</v>
      </c>
      <c r="AO26" s="71">
        <f t="shared" si="4"/>
        <v>14</v>
      </c>
      <c r="AP26" s="71">
        <f t="shared" si="4"/>
        <v>20</v>
      </c>
      <c r="AQ26" s="71">
        <f t="shared" si="4"/>
        <v>14</v>
      </c>
      <c r="AR26" s="71">
        <f t="shared" si="4"/>
        <v>10</v>
      </c>
      <c r="AS26" s="71">
        <f t="shared" si="4"/>
        <v>0</v>
      </c>
      <c r="AT26" s="71">
        <f t="shared" si="4"/>
        <v>15</v>
      </c>
      <c r="AU26" s="71">
        <f t="shared" si="4"/>
        <v>13</v>
      </c>
      <c r="AV26" s="71">
        <f t="shared" si="4"/>
        <v>1</v>
      </c>
      <c r="AW26" s="71">
        <f t="shared" si="4"/>
        <v>10</v>
      </c>
      <c r="AX26" s="71">
        <f t="shared" si="4"/>
        <v>24</v>
      </c>
      <c r="AY26" s="71">
        <f t="shared" si="4"/>
        <v>17</v>
      </c>
      <c r="AZ26" s="71">
        <f t="shared" si="4"/>
        <v>4</v>
      </c>
      <c r="BA26" s="71">
        <f t="shared" si="4"/>
        <v>23</v>
      </c>
      <c r="BB26" s="71">
        <f t="shared" si="4"/>
        <v>10</v>
      </c>
      <c r="BC26" s="71">
        <f t="shared" si="4"/>
        <v>21</v>
      </c>
      <c r="BD26" s="71">
        <f t="shared" si="4"/>
        <v>21</v>
      </c>
      <c r="BE26" s="71">
        <f t="shared" si="4"/>
        <v>13</v>
      </c>
      <c r="BF26" s="71">
        <f t="shared" si="4"/>
        <v>24</v>
      </c>
      <c r="BG26" s="71">
        <f t="shared" si="4"/>
        <v>7</v>
      </c>
      <c r="BH26" s="71">
        <f t="shared" si="4"/>
        <v>14</v>
      </c>
      <c r="BI26" s="71">
        <f t="shared" si="4"/>
        <v>11</v>
      </c>
      <c r="BJ26" s="71">
        <f t="shared" si="4"/>
        <v>27</v>
      </c>
      <c r="BK26" s="71">
        <f t="shared" si="4"/>
        <v>27</v>
      </c>
      <c r="BL26" s="71">
        <f t="shared" si="4"/>
        <v>31</v>
      </c>
      <c r="BM26" s="71">
        <f t="shared" si="4"/>
        <v>4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28</v>
      </c>
      <c r="M27" s="71">
        <f t="shared" si="5"/>
        <v>21</v>
      </c>
      <c r="N27" s="71">
        <f t="shared" si="5"/>
        <v>27</v>
      </c>
      <c r="O27" s="71">
        <f t="shared" si="5"/>
        <v>7</v>
      </c>
      <c r="P27" s="71">
        <f t="shared" si="5"/>
        <v>29</v>
      </c>
      <c r="Q27" s="71">
        <f t="shared" si="5"/>
        <v>43</v>
      </c>
      <c r="R27" s="71">
        <f t="shared" si="5"/>
        <v>11</v>
      </c>
      <c r="S27" s="71">
        <f t="shared" si="5"/>
        <v>14</v>
      </c>
      <c r="T27" s="71">
        <f t="shared" si="5"/>
        <v>28</v>
      </c>
      <c r="U27" s="71">
        <f t="shared" si="5"/>
        <v>73</v>
      </c>
      <c r="V27" s="71">
        <f t="shared" si="5"/>
        <v>10</v>
      </c>
      <c r="W27" s="71">
        <f t="shared" si="5"/>
        <v>14</v>
      </c>
      <c r="X27" s="71">
        <f t="shared" si="5"/>
        <v>18</v>
      </c>
      <c r="Y27" s="71">
        <f t="shared" si="5"/>
        <v>3</v>
      </c>
      <c r="Z27" s="71">
        <f t="shared" si="5"/>
        <v>11</v>
      </c>
      <c r="AA27" s="71">
        <f t="shared" si="5"/>
        <v>12</v>
      </c>
      <c r="AB27" s="71">
        <f t="shared" si="5"/>
        <v>17</v>
      </c>
      <c r="AC27" s="71">
        <f t="shared" si="5"/>
        <v>10</v>
      </c>
      <c r="AD27" s="71">
        <f t="shared" si="5"/>
        <v>8</v>
      </c>
      <c r="AE27" s="71">
        <f t="shared" si="5"/>
        <v>21</v>
      </c>
      <c r="AF27" s="71">
        <f t="shared" si="5"/>
        <v>17</v>
      </c>
      <c r="AG27" s="71">
        <f t="shared" si="5"/>
        <v>12</v>
      </c>
      <c r="AH27" s="71">
        <f t="shared" si="5"/>
        <v>10</v>
      </c>
      <c r="AI27" s="71">
        <f t="shared" si="5"/>
        <v>4</v>
      </c>
      <c r="AJ27" s="71">
        <f t="shared" si="5"/>
        <v>28</v>
      </c>
      <c r="AK27" s="71">
        <f t="shared" si="5"/>
        <v>7</v>
      </c>
      <c r="AL27" s="71">
        <f t="shared" si="5"/>
        <v>22</v>
      </c>
      <c r="AM27" s="71">
        <f t="shared" si="5"/>
        <v>10</v>
      </c>
      <c r="AN27" s="71">
        <f t="shared" si="5"/>
        <v>24</v>
      </c>
      <c r="AO27" s="71">
        <f t="shared" si="5"/>
        <v>28</v>
      </c>
      <c r="AP27" s="71">
        <f t="shared" si="5"/>
        <v>22</v>
      </c>
      <c r="AQ27" s="71">
        <f t="shared" si="5"/>
        <v>28</v>
      </c>
      <c r="AR27" s="71">
        <f t="shared" si="5"/>
        <v>10</v>
      </c>
      <c r="AS27" s="71">
        <f t="shared" si="5"/>
        <v>22</v>
      </c>
      <c r="AT27" s="71">
        <f t="shared" si="5"/>
        <v>19</v>
      </c>
      <c r="AU27" s="71">
        <f t="shared" si="5"/>
        <v>35</v>
      </c>
      <c r="AV27" s="71">
        <f t="shared" si="5"/>
        <v>35</v>
      </c>
      <c r="AW27" s="71">
        <f t="shared" si="5"/>
        <v>18</v>
      </c>
      <c r="AX27" s="71">
        <f t="shared" si="5"/>
        <v>24</v>
      </c>
      <c r="AY27" s="71">
        <f t="shared" si="5"/>
        <v>3</v>
      </c>
      <c r="AZ27" s="71">
        <f t="shared" si="5"/>
        <v>38</v>
      </c>
      <c r="BA27" s="71">
        <f t="shared" si="5"/>
        <v>13</v>
      </c>
      <c r="BB27" s="71">
        <f t="shared" si="5"/>
        <v>24</v>
      </c>
      <c r="BC27" s="71">
        <f t="shared" si="5"/>
        <v>29</v>
      </c>
      <c r="BD27" s="71">
        <f t="shared" si="5"/>
        <v>21</v>
      </c>
      <c r="BE27" s="71">
        <f t="shared" si="5"/>
        <v>21</v>
      </c>
      <c r="BF27" s="71">
        <f t="shared" si="5"/>
        <v>18</v>
      </c>
      <c r="BG27" s="71">
        <f t="shared" si="5"/>
        <v>21</v>
      </c>
      <c r="BH27" s="71">
        <f t="shared" si="5"/>
        <v>2</v>
      </c>
      <c r="BI27" s="71">
        <f t="shared" si="5"/>
        <v>19</v>
      </c>
      <c r="BJ27" s="71">
        <f t="shared" si="5"/>
        <v>15</v>
      </c>
      <c r="BK27" s="71">
        <f t="shared" si="5"/>
        <v>7</v>
      </c>
      <c r="BL27" s="71">
        <f t="shared" si="5"/>
        <v>11</v>
      </c>
      <c r="BM27" s="71">
        <f t="shared" si="5"/>
        <v>24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0.40727272727272729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6</v>
      </c>
      <c r="R29" s="71">
        <f t="shared" si="7"/>
        <v>6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5</v>
      </c>
      <c r="W29" s="71">
        <f t="shared" si="7"/>
        <v>8</v>
      </c>
      <c r="X29" s="71">
        <f t="shared" si="7"/>
        <v>3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8</v>
      </c>
      <c r="AD29" s="71">
        <f t="shared" si="7"/>
        <v>3</v>
      </c>
      <c r="AE29" s="71">
        <f t="shared" si="7"/>
        <v>7</v>
      </c>
      <c r="AF29" s="71">
        <f t="shared" si="7"/>
        <v>5</v>
      </c>
      <c r="AG29" s="71">
        <f t="shared" si="7"/>
        <v>5</v>
      </c>
      <c r="AH29" s="71">
        <f t="shared" si="7"/>
        <v>5</v>
      </c>
      <c r="AI29" s="71">
        <f t="shared" si="7"/>
        <v>5</v>
      </c>
      <c r="AJ29" s="71">
        <f t="shared" si="7"/>
        <v>7</v>
      </c>
      <c r="AK29" s="71">
        <f t="shared" si="7"/>
        <v>5</v>
      </c>
      <c r="AL29" s="71">
        <f t="shared" si="7"/>
        <v>5</v>
      </c>
      <c r="AM29" s="71">
        <f t="shared" si="7"/>
        <v>5</v>
      </c>
      <c r="AN29" s="71">
        <f t="shared" si="7"/>
        <v>8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7</v>
      </c>
      <c r="AS29" s="71">
        <f t="shared" si="7"/>
        <v>3</v>
      </c>
      <c r="AT29" s="71">
        <f t="shared" si="7"/>
        <v>4</v>
      </c>
      <c r="AU29" s="71">
        <f t="shared" si="7"/>
        <v>8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7</v>
      </c>
      <c r="AZ29" s="71">
        <f t="shared" si="7"/>
        <v>2</v>
      </c>
      <c r="BA29" s="71">
        <f t="shared" si="7"/>
        <v>5</v>
      </c>
      <c r="BB29" s="71">
        <f t="shared" si="7"/>
        <v>8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10</v>
      </c>
      <c r="BJ29" s="71">
        <f t="shared" si="7"/>
        <v>6</v>
      </c>
      <c r="BK29" s="71">
        <f t="shared" si="7"/>
        <v>6</v>
      </c>
      <c r="BL29" s="71">
        <f t="shared" si="7"/>
        <v>6</v>
      </c>
      <c r="BM29" s="71">
        <f t="shared" si="7"/>
        <v>4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-51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6</v>
      </c>
      <c r="O30" s="73">
        <f t="shared" si="8"/>
        <v>3</v>
      </c>
      <c r="P30" s="73">
        <f t="shared" si="8"/>
        <v>2</v>
      </c>
      <c r="Q30" s="73">
        <f t="shared" si="8"/>
        <v>1</v>
      </c>
      <c r="R30" s="73">
        <f t="shared" si="8"/>
        <v>1</v>
      </c>
      <c r="S30" s="73">
        <f t="shared" si="8"/>
        <v>7</v>
      </c>
      <c r="T30" s="73">
        <f t="shared" si="8"/>
        <v>3</v>
      </c>
      <c r="U30" s="73">
        <f t="shared" si="8"/>
        <v>2</v>
      </c>
      <c r="V30" s="73">
        <f t="shared" si="8"/>
        <v>2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6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6</v>
      </c>
      <c r="AE30" s="73">
        <f t="shared" si="8"/>
        <v>4</v>
      </c>
      <c r="AF30" s="73">
        <f t="shared" si="8"/>
        <v>2</v>
      </c>
      <c r="AG30" s="73">
        <f t="shared" si="8"/>
        <v>2</v>
      </c>
      <c r="AH30" s="73">
        <f t="shared" si="8"/>
        <v>6</v>
      </c>
      <c r="AI30" s="73">
        <f t="shared" si="8"/>
        <v>2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3</v>
      </c>
      <c r="AO30" s="73">
        <f t="shared" si="8"/>
        <v>2</v>
      </c>
      <c r="AP30" s="73">
        <f t="shared" si="8"/>
        <v>3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3</v>
      </c>
      <c r="AU30" s="73">
        <f t="shared" si="8"/>
        <v>5</v>
      </c>
      <c r="AV30" s="73">
        <f t="shared" si="8"/>
        <v>2</v>
      </c>
      <c r="AW30" s="73">
        <f t="shared" si="8"/>
        <v>3</v>
      </c>
      <c r="AX30" s="73">
        <f t="shared" si="8"/>
        <v>4</v>
      </c>
      <c r="AY30" s="73">
        <f t="shared" si="8"/>
        <v>2</v>
      </c>
      <c r="AZ30" s="73">
        <f t="shared" si="8"/>
        <v>5</v>
      </c>
      <c r="BA30" s="73">
        <f t="shared" si="8"/>
        <v>4</v>
      </c>
      <c r="BB30" s="73">
        <f t="shared" si="8"/>
        <v>3</v>
      </c>
      <c r="BC30" s="73">
        <f t="shared" si="8"/>
        <v>3</v>
      </c>
      <c r="BD30" s="73">
        <f t="shared" si="8"/>
        <v>5</v>
      </c>
      <c r="BE30" s="73">
        <f t="shared" si="8"/>
        <v>3</v>
      </c>
      <c r="BF30" s="73">
        <f t="shared" si="8"/>
        <v>3</v>
      </c>
      <c r="BG30" s="73">
        <f t="shared" si="8"/>
        <v>3</v>
      </c>
      <c r="BH30" s="73">
        <f t="shared" si="8"/>
        <v>3</v>
      </c>
      <c r="BI30" s="73">
        <f t="shared" si="8"/>
        <v>5</v>
      </c>
      <c r="BJ30" s="73">
        <f t="shared" si="8"/>
        <v>3</v>
      </c>
      <c r="BK30" s="73">
        <f t="shared" si="8"/>
        <v>3</v>
      </c>
      <c r="BL30" s="73">
        <f t="shared" si="8"/>
        <v>3</v>
      </c>
      <c r="BM30" s="73">
        <f t="shared" si="8"/>
        <v>7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1</v>
      </c>
      <c r="W31" s="71">
        <f t="shared" ca="1" si="9"/>
        <v>2</v>
      </c>
      <c r="X31" s="71">
        <f t="shared" ca="1" si="9"/>
        <v>5</v>
      </c>
      <c r="Y31" s="71">
        <f t="shared" ca="1" si="9"/>
        <v>4</v>
      </c>
      <c r="Z31" s="71">
        <f t="shared" ca="1" si="9"/>
        <v>5</v>
      </c>
      <c r="AA31" s="71">
        <f t="shared" ca="1" si="9"/>
        <v>3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3</v>
      </c>
      <c r="AG31" s="71">
        <f t="shared" ca="1" si="9"/>
        <v>1</v>
      </c>
      <c r="AH31" s="71">
        <f t="shared" ca="1" si="9"/>
        <v>5</v>
      </c>
      <c r="AI31" s="71">
        <f t="shared" ca="1" si="9"/>
        <v>1</v>
      </c>
      <c r="AJ31" s="71">
        <f t="shared" ca="1" si="9"/>
        <v>3</v>
      </c>
      <c r="AK31" s="71">
        <f t="shared" ca="1" si="9"/>
        <v>7</v>
      </c>
      <c r="AL31" s="71">
        <f t="shared" ca="1" si="9"/>
        <v>5</v>
      </c>
      <c r="AM31" s="71">
        <f t="shared" ca="1" si="9"/>
        <v>3</v>
      </c>
      <c r="AN31" s="71">
        <f t="shared" ca="1" si="9"/>
        <v>2</v>
      </c>
      <c r="AO31" s="71">
        <f t="shared" ca="1" si="9"/>
        <v>1</v>
      </c>
      <c r="AP31" s="71">
        <f t="shared" ca="1" si="9"/>
        <v>2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5</v>
      </c>
      <c r="AY31" s="71">
        <f t="shared" ca="1" si="9"/>
        <v>1</v>
      </c>
      <c r="AZ31" s="71">
        <f t="shared" ca="1" si="9"/>
        <v>6</v>
      </c>
      <c r="BA31" s="71">
        <f t="shared" ca="1" si="9"/>
        <v>3</v>
      </c>
      <c r="BB31" s="71">
        <f t="shared" ca="1" si="9"/>
        <v>4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2</v>
      </c>
      <c r="BG31" s="71">
        <f t="shared" ca="1" si="9"/>
        <v>4</v>
      </c>
      <c r="BH31" s="71">
        <f t="shared" ca="1" si="9"/>
        <v>2</v>
      </c>
      <c r="BI31" s="71">
        <f t="shared" ca="1" si="9"/>
        <v>4</v>
      </c>
      <c r="BJ31" s="71">
        <f t="shared" ca="1" si="9"/>
        <v>2</v>
      </c>
      <c r="BK31" s="71">
        <f t="shared" ca="1" si="9"/>
        <v>2</v>
      </c>
      <c r="BL31" s="71">
        <f t="shared" ca="1" si="9"/>
        <v>2</v>
      </c>
      <c r="BM31" s="71">
        <f t="shared" ca="1" si="9"/>
        <v>8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99903960</v>
      </c>
      <c r="L36" s="32">
        <f t="shared" ref="L36:BM36" si="12">COUNTA(L23:L24)*((10000000*L25)+(1000000*(COUNTA(L21)*$E21+COUNTA(L22)*$E22))-(COUNTA($D$21:$D$22)*1000*L26)-(COUNTA($D$21:$D$22)*L27))</f>
        <v>79943888</v>
      </c>
      <c r="M36" s="32">
        <f t="shared" si="12"/>
        <v>59915916</v>
      </c>
      <c r="N36" s="32">
        <f t="shared" si="12"/>
        <v>161995892</v>
      </c>
      <c r="O36" s="32">
        <f t="shared" si="12"/>
        <v>59915972</v>
      </c>
      <c r="P36" s="32">
        <f t="shared" si="12"/>
        <v>81971884</v>
      </c>
      <c r="Q36" s="32">
        <f t="shared" si="12"/>
        <v>59923828</v>
      </c>
      <c r="R36" s="32">
        <f t="shared" si="12"/>
        <v>59931956</v>
      </c>
      <c r="S36" s="32">
        <f t="shared" si="12"/>
        <v>139919944</v>
      </c>
      <c r="T36" s="32">
        <f t="shared" si="12"/>
        <v>61999888</v>
      </c>
      <c r="U36" s="32">
        <f t="shared" si="12"/>
        <v>0</v>
      </c>
      <c r="V36" s="32">
        <f t="shared" si="12"/>
        <v>39959960</v>
      </c>
      <c r="W36" s="32">
        <f t="shared" si="12"/>
        <v>99943944</v>
      </c>
      <c r="X36" s="32">
        <f t="shared" si="12"/>
        <v>79847928</v>
      </c>
      <c r="Y36" s="32">
        <f t="shared" si="12"/>
        <v>19931988</v>
      </c>
      <c r="Z36" s="32">
        <f t="shared" si="12"/>
        <v>161963956</v>
      </c>
      <c r="AA36" s="32">
        <f t="shared" si="12"/>
        <v>79959952</v>
      </c>
      <c r="AB36" s="32">
        <f t="shared" si="12"/>
        <v>59931932</v>
      </c>
      <c r="AC36" s="32">
        <f t="shared" si="12"/>
        <v>99959960</v>
      </c>
      <c r="AD36" s="32">
        <f t="shared" si="12"/>
        <v>119911968</v>
      </c>
      <c r="AE36" s="32">
        <f t="shared" si="12"/>
        <v>79947916</v>
      </c>
      <c r="AF36" s="32">
        <f t="shared" si="12"/>
        <v>39947932</v>
      </c>
      <c r="AG36" s="32">
        <f t="shared" si="12"/>
        <v>79871952</v>
      </c>
      <c r="AH36" s="32">
        <f t="shared" si="12"/>
        <v>119959960</v>
      </c>
      <c r="AI36" s="32">
        <f t="shared" si="12"/>
        <v>39927984</v>
      </c>
      <c r="AJ36" s="32">
        <f t="shared" si="12"/>
        <v>39943888</v>
      </c>
      <c r="AK36" s="32">
        <f t="shared" si="12"/>
        <v>79915972</v>
      </c>
      <c r="AL36" s="32">
        <f t="shared" si="12"/>
        <v>121975912</v>
      </c>
      <c r="AM36" s="32">
        <f t="shared" si="12"/>
        <v>79903960</v>
      </c>
      <c r="AN36" s="32">
        <f t="shared" si="12"/>
        <v>99903904</v>
      </c>
      <c r="AO36" s="32">
        <f t="shared" si="12"/>
        <v>39943888</v>
      </c>
      <c r="AP36" s="32">
        <f t="shared" si="12"/>
        <v>99919912</v>
      </c>
      <c r="AQ36" s="32">
        <f t="shared" si="12"/>
        <v>59943888</v>
      </c>
      <c r="AR36" s="32">
        <f t="shared" si="12"/>
        <v>79959960</v>
      </c>
      <c r="AS36" s="32">
        <f t="shared" si="12"/>
        <v>121999912</v>
      </c>
      <c r="AT36" s="32">
        <f t="shared" si="12"/>
        <v>99939924</v>
      </c>
      <c r="AU36" s="32">
        <f t="shared" si="12"/>
        <v>99947860</v>
      </c>
      <c r="AV36" s="32">
        <f t="shared" si="12"/>
        <v>41995860</v>
      </c>
      <c r="AW36" s="32">
        <f t="shared" si="12"/>
        <v>59959928</v>
      </c>
      <c r="AX36" s="32">
        <f t="shared" si="12"/>
        <v>39903904</v>
      </c>
      <c r="AY36" s="32">
        <f t="shared" si="12"/>
        <v>79931988</v>
      </c>
      <c r="AZ36" s="32">
        <f t="shared" si="12"/>
        <v>101983848</v>
      </c>
      <c r="BA36" s="32">
        <f t="shared" si="12"/>
        <v>79907948</v>
      </c>
      <c r="BB36" s="32">
        <f t="shared" si="12"/>
        <v>99959904</v>
      </c>
      <c r="BC36" s="32">
        <f t="shared" si="12"/>
        <v>99915884</v>
      </c>
      <c r="BD36" s="32">
        <f t="shared" si="12"/>
        <v>99915916</v>
      </c>
      <c r="BE36" s="32">
        <f t="shared" si="12"/>
        <v>19947916</v>
      </c>
      <c r="BF36" s="32">
        <f t="shared" si="12"/>
        <v>99903928</v>
      </c>
      <c r="BG36" s="32">
        <f t="shared" si="12"/>
        <v>101971916</v>
      </c>
      <c r="BH36" s="32">
        <f t="shared" si="12"/>
        <v>59943992</v>
      </c>
      <c r="BI36" s="32">
        <f t="shared" si="12"/>
        <v>99955924</v>
      </c>
      <c r="BJ36" s="32">
        <f t="shared" si="12"/>
        <v>59891940</v>
      </c>
      <c r="BK36" s="32">
        <f t="shared" si="12"/>
        <v>99891972</v>
      </c>
      <c r="BL36" s="32">
        <f t="shared" si="12"/>
        <v>99875956</v>
      </c>
      <c r="BM36" s="32">
        <f t="shared" si="12"/>
        <v>141983904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3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9" priority="9" stopIfTrue="1" operator="equal">
      <formula>0</formula>
    </cfRule>
  </conditionalFormatting>
  <conditionalFormatting sqref="D26:J28 K28:BE28">
    <cfRule type="cellIs" dxfId="228" priority="10" stopIfTrue="1" operator="equal">
      <formula>1</formula>
    </cfRule>
  </conditionalFormatting>
  <conditionalFormatting sqref="H3:I3 F23 H5:I5 H7:I7 H9:I9 H11:I11 H13:I13 H15:I15 H17:I17 H19:I19 H21:I21">
    <cfRule type="cellIs" dxfId="227" priority="11" stopIfTrue="1" operator="equal">
      <formula>0</formula>
    </cfRule>
  </conditionalFormatting>
  <conditionalFormatting sqref="H4:I4 F24 H6:I6 H8:I8 H10:I10 H12:I12 H14:I14 H16:I16 H18:I18 H20:I20 H22:I22">
    <cfRule type="cellIs" dxfId="226" priority="12" stopIfTrue="1" operator="equal">
      <formula>0</formula>
    </cfRule>
  </conditionalFormatting>
  <conditionalFormatting sqref="F3 F5 F7 F9 F11 F13 F15 F17 F19 F21">
    <cfRule type="cellIs" dxfId="22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2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3" priority="15" stopIfTrue="1">
      <formula>AND(COUNTA(J4)=1,$E4=1,SUM($E3:$E4)=1)</formula>
    </cfRule>
    <cfRule type="expression" dxfId="22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21" priority="17" stopIfTrue="1">
      <formula>AND(COUNTA(J3)=1,$E3=1,SUM($E3:$E4)=1)</formula>
    </cfRule>
    <cfRule type="expression" dxfId="220" priority="18" stopIfTrue="1">
      <formula>AND(COUNTA(J3)=1,$E3=0,SUM($E3:$E4)=1)</formula>
    </cfRule>
  </conditionalFormatting>
  <conditionalFormatting sqref="BF23:BM23">
    <cfRule type="cellIs" dxfId="219" priority="7" stopIfTrue="1" operator="equal">
      <formula>0</formula>
    </cfRule>
  </conditionalFormatting>
  <conditionalFormatting sqref="BF24:BM24">
    <cfRule type="cellIs" dxfId="218" priority="6" stopIfTrue="1" operator="equal">
      <formula>0</formula>
    </cfRule>
  </conditionalFormatting>
  <conditionalFormatting sqref="BF28:BM28">
    <cfRule type="cellIs" dxfId="21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16" priority="3" stopIfTrue="1">
      <formula>AND(COUNTA(BF4)=1,$E4=1,SUM($E3:$E4)=1)</formula>
    </cfRule>
    <cfRule type="expression" dxfId="21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14" priority="1" stopIfTrue="1">
      <formula>AND(COUNTA(BF3)=1,$E3=1,SUM($E3:$E4)=1)</formula>
    </cfRule>
    <cfRule type="expression" dxfId="21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pageSetUpPr fitToPage="1"/>
  </sheetPr>
  <dimension ref="A1:BM58"/>
  <sheetViews>
    <sheetView zoomScale="75" zoomScaleNormal="75" zoomScaleSheetLayoutView="100" workbookViewId="0">
      <selection activeCell="B15" sqref="B15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159</v>
      </c>
      <c r="C3" s="65">
        <v>9.5</v>
      </c>
      <c r="D3" s="64">
        <v>20</v>
      </c>
      <c r="E3" s="64">
        <f>IF(ISBLANK($D3),"0",IF(($D4-$D3)&lt;($C4-$C3),1,0))</f>
        <v>0</v>
      </c>
      <c r="F3" s="64">
        <f ca="1">COUNTA(INDIRECT("RC11:RC"&amp;11+playercnt-1,FALSE))</f>
        <v>40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309</v>
      </c>
      <c r="L3" s="69" t="s">
        <v>309</v>
      </c>
      <c r="M3" s="69" t="s">
        <v>350</v>
      </c>
      <c r="N3" s="69" t="s">
        <v>362</v>
      </c>
      <c r="O3" s="69" t="s">
        <v>309</v>
      </c>
      <c r="P3" s="69" t="s">
        <v>311</v>
      </c>
      <c r="Q3" s="69" t="s">
        <v>328</v>
      </c>
      <c r="R3" s="69" t="s">
        <v>309</v>
      </c>
      <c r="S3" s="69" t="s">
        <v>311</v>
      </c>
      <c r="T3" s="69" t="s">
        <v>336</v>
      </c>
      <c r="U3" s="69" t="s">
        <v>322</v>
      </c>
      <c r="V3" s="69" t="s">
        <v>309</v>
      </c>
      <c r="W3" s="69" t="s">
        <v>336</v>
      </c>
      <c r="X3" s="69" t="s">
        <v>331</v>
      </c>
      <c r="Y3" s="69" t="s">
        <v>374</v>
      </c>
      <c r="Z3" s="69"/>
      <c r="AA3" s="69"/>
      <c r="AB3" s="69" t="s">
        <v>309</v>
      </c>
      <c r="AC3" s="69" t="s">
        <v>311</v>
      </c>
      <c r="AD3" s="69"/>
      <c r="AE3" s="69"/>
      <c r="AF3" s="69" t="s">
        <v>349</v>
      </c>
      <c r="AG3" s="69" t="s">
        <v>311</v>
      </c>
      <c r="AH3" s="69"/>
      <c r="AI3" s="69" t="s">
        <v>311</v>
      </c>
      <c r="AJ3" s="69" t="s">
        <v>329</v>
      </c>
      <c r="AK3" s="69"/>
      <c r="AL3" s="69"/>
      <c r="AM3" s="69" t="s">
        <v>331</v>
      </c>
      <c r="AN3" s="69" t="s">
        <v>335</v>
      </c>
      <c r="AO3" s="69" t="s">
        <v>311</v>
      </c>
      <c r="AP3" s="69"/>
      <c r="AQ3" s="69" t="s">
        <v>311</v>
      </c>
      <c r="AR3" s="96"/>
      <c r="AS3" s="69" t="s">
        <v>327</v>
      </c>
      <c r="AT3" s="69" t="s">
        <v>336</v>
      </c>
      <c r="AU3" s="69" t="s">
        <v>309</v>
      </c>
      <c r="AV3" s="69"/>
      <c r="AW3" s="69" t="s">
        <v>322</v>
      </c>
      <c r="AX3" s="69" t="s">
        <v>361</v>
      </c>
      <c r="AY3" s="69"/>
      <c r="AZ3" s="69" t="s">
        <v>311</v>
      </c>
      <c r="BA3" s="69" t="s">
        <v>311</v>
      </c>
      <c r="BB3" s="69"/>
      <c r="BC3" s="69" t="s">
        <v>309</v>
      </c>
      <c r="BD3" s="69" t="s">
        <v>378</v>
      </c>
      <c r="BE3" s="96"/>
      <c r="BF3" s="69" t="s">
        <v>311</v>
      </c>
      <c r="BG3" s="69" t="s">
        <v>311</v>
      </c>
      <c r="BH3" s="69"/>
      <c r="BI3" s="69" t="s">
        <v>315</v>
      </c>
      <c r="BJ3" s="69" t="s">
        <v>413</v>
      </c>
      <c r="BK3" s="69" t="s">
        <v>309</v>
      </c>
      <c r="BL3" s="69" t="s">
        <v>311</v>
      </c>
      <c r="BM3" s="69"/>
    </row>
    <row r="4" spans="1:65">
      <c r="A4" s="61" t="s">
        <v>3</v>
      </c>
      <c r="B4" s="68" t="s">
        <v>158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 t="s">
        <v>311</v>
      </c>
      <c r="AA4" s="70" t="s">
        <v>311</v>
      </c>
      <c r="AB4" s="70"/>
      <c r="AC4" s="70"/>
      <c r="AD4" s="70" t="s">
        <v>345</v>
      </c>
      <c r="AE4" s="70" t="s">
        <v>311</v>
      </c>
      <c r="AF4" s="70"/>
      <c r="AG4" s="70"/>
      <c r="AH4" s="70" t="s">
        <v>336</v>
      </c>
      <c r="AI4" s="70"/>
      <c r="AJ4" s="70"/>
      <c r="AK4" s="70" t="s">
        <v>311</v>
      </c>
      <c r="AL4" s="70" t="s">
        <v>327</v>
      </c>
      <c r="AM4" s="70"/>
      <c r="AN4" s="70"/>
      <c r="AO4" s="70"/>
      <c r="AP4" s="70" t="s">
        <v>334</v>
      </c>
      <c r="AQ4" s="70"/>
      <c r="AR4" s="70" t="s">
        <v>309</v>
      </c>
      <c r="AS4" s="70"/>
      <c r="AT4" s="70"/>
      <c r="AU4" s="70"/>
      <c r="AV4" s="70" t="s">
        <v>311</v>
      </c>
      <c r="AW4" s="70"/>
      <c r="AX4" s="70"/>
      <c r="AY4" s="70" t="s">
        <v>322</v>
      </c>
      <c r="AZ4" s="70"/>
      <c r="BA4" s="70"/>
      <c r="BB4" s="70" t="s">
        <v>348</v>
      </c>
      <c r="BC4" s="70"/>
      <c r="BD4" s="70"/>
      <c r="BE4" s="70" t="s">
        <v>364</v>
      </c>
      <c r="BF4" s="70"/>
      <c r="BG4" s="70"/>
      <c r="BH4" s="70" t="s">
        <v>311</v>
      </c>
      <c r="BI4" s="70"/>
      <c r="BJ4" s="70"/>
      <c r="BK4" s="70"/>
      <c r="BL4" s="70"/>
      <c r="BM4" s="70" t="s">
        <v>328</v>
      </c>
    </row>
    <row r="5" spans="1:65">
      <c r="A5" s="59">
        <v>2</v>
      </c>
      <c r="B5" s="67" t="s">
        <v>146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 t="s">
        <v>309</v>
      </c>
      <c r="M5" s="69"/>
      <c r="N5" s="69" t="s">
        <v>318</v>
      </c>
      <c r="O5" s="69" t="s">
        <v>309</v>
      </c>
      <c r="P5" s="69"/>
      <c r="Q5" s="69"/>
      <c r="R5" s="69"/>
      <c r="S5" s="69"/>
      <c r="T5" s="69"/>
      <c r="U5" s="69"/>
      <c r="V5" s="69" t="s">
        <v>309</v>
      </c>
      <c r="W5" s="69"/>
      <c r="X5" s="69"/>
      <c r="Y5" s="69" t="s">
        <v>314</v>
      </c>
      <c r="Z5" s="69" t="s">
        <v>311</v>
      </c>
      <c r="AA5" s="69" t="s">
        <v>311</v>
      </c>
      <c r="AB5" s="69"/>
      <c r="AC5" s="69"/>
      <c r="AD5" s="69" t="s">
        <v>346</v>
      </c>
      <c r="AE5" s="69" t="s">
        <v>311</v>
      </c>
      <c r="AF5" s="69"/>
      <c r="AG5" s="69"/>
      <c r="AH5" s="69" t="s">
        <v>337</v>
      </c>
      <c r="AI5" s="69"/>
      <c r="AJ5" s="69"/>
      <c r="AK5" s="69" t="s">
        <v>311</v>
      </c>
      <c r="AL5" s="69" t="s">
        <v>327</v>
      </c>
      <c r="AM5" s="69"/>
      <c r="AN5" s="69" t="s">
        <v>335</v>
      </c>
      <c r="AO5" s="69"/>
      <c r="AP5" s="69"/>
      <c r="AQ5" s="69"/>
      <c r="AR5" s="96"/>
      <c r="AS5" s="69" t="s">
        <v>328</v>
      </c>
      <c r="AT5" s="69" t="s">
        <v>336</v>
      </c>
      <c r="AU5" s="69" t="s">
        <v>309</v>
      </c>
      <c r="AV5" s="69" t="s">
        <v>311</v>
      </c>
      <c r="AW5" s="69"/>
      <c r="AX5" s="69" t="s">
        <v>336</v>
      </c>
      <c r="AY5" s="69"/>
      <c r="AZ5" s="69"/>
      <c r="BA5" s="69"/>
      <c r="BB5" s="69"/>
      <c r="BC5" s="69" t="s">
        <v>309</v>
      </c>
      <c r="BD5" s="69"/>
      <c r="BE5" s="69"/>
      <c r="BF5" s="69" t="s">
        <v>311</v>
      </c>
      <c r="BG5" s="69" t="s">
        <v>309</v>
      </c>
      <c r="BH5" s="69"/>
      <c r="BI5" s="69"/>
      <c r="BJ5" s="69"/>
      <c r="BK5" s="69"/>
      <c r="BL5" s="69"/>
      <c r="BM5" s="69" t="s">
        <v>327</v>
      </c>
    </row>
    <row r="6" spans="1:65">
      <c r="A6" s="61" t="s">
        <v>3</v>
      </c>
      <c r="B6" s="68" t="s">
        <v>174</v>
      </c>
      <c r="C6" s="66">
        <v>8.5</v>
      </c>
      <c r="D6" s="64">
        <v>24</v>
      </c>
      <c r="E6" s="64">
        <f>IF(ISBLANK($D6),"0",IF(($D6-$D5)&gt;($C6-$C5),1,0))</f>
        <v>0</v>
      </c>
      <c r="F6" s="64">
        <f t="shared" ca="1" si="1"/>
        <v>32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/>
      <c r="M6" s="70" t="s">
        <v>350</v>
      </c>
      <c r="N6" s="70"/>
      <c r="O6" s="70"/>
      <c r="P6" s="70" t="s">
        <v>311</v>
      </c>
      <c r="Q6" s="70" t="s">
        <v>332</v>
      </c>
      <c r="R6" s="70" t="s">
        <v>309</v>
      </c>
      <c r="S6" s="70" t="s">
        <v>311</v>
      </c>
      <c r="T6" s="70" t="s">
        <v>337</v>
      </c>
      <c r="U6" s="70" t="s">
        <v>403</v>
      </c>
      <c r="V6" s="70"/>
      <c r="W6" s="70" t="s">
        <v>325</v>
      </c>
      <c r="X6" s="70" t="s">
        <v>323</v>
      </c>
      <c r="Y6" s="70"/>
      <c r="Z6" s="70"/>
      <c r="AA6" s="70"/>
      <c r="AB6" s="70" t="s">
        <v>309</v>
      </c>
      <c r="AC6" s="70" t="s">
        <v>311</v>
      </c>
      <c r="AD6" s="70"/>
      <c r="AE6" s="70"/>
      <c r="AF6" s="70" t="s">
        <v>349</v>
      </c>
      <c r="AG6" s="70" t="s">
        <v>311</v>
      </c>
      <c r="AH6" s="70"/>
      <c r="AI6" s="70" t="s">
        <v>311</v>
      </c>
      <c r="AJ6" s="70" t="s">
        <v>329</v>
      </c>
      <c r="AK6" s="70"/>
      <c r="AL6" s="70"/>
      <c r="AM6" s="70" t="s">
        <v>323</v>
      </c>
      <c r="AN6" s="70"/>
      <c r="AO6" s="70" t="s">
        <v>311</v>
      </c>
      <c r="AP6" s="70" t="s">
        <v>319</v>
      </c>
      <c r="AQ6" s="70" t="s">
        <v>311</v>
      </c>
      <c r="AR6" s="70" t="s">
        <v>309</v>
      </c>
      <c r="AS6" s="70"/>
      <c r="AT6" s="70"/>
      <c r="AU6" s="70"/>
      <c r="AV6" s="70"/>
      <c r="AW6" s="70" t="s">
        <v>323</v>
      </c>
      <c r="AX6" s="70"/>
      <c r="AY6" s="70" t="s">
        <v>323</v>
      </c>
      <c r="AZ6" s="70" t="s">
        <v>311</v>
      </c>
      <c r="BA6" s="70" t="s">
        <v>311</v>
      </c>
      <c r="BB6" s="70" t="s">
        <v>348</v>
      </c>
      <c r="BC6" s="70"/>
      <c r="BD6" s="70" t="s">
        <v>378</v>
      </c>
      <c r="BE6" s="97" t="s">
        <v>364</v>
      </c>
      <c r="BF6" s="70"/>
      <c r="BG6" s="70"/>
      <c r="BH6" s="70" t="s">
        <v>311</v>
      </c>
      <c r="BI6" s="70" t="s">
        <v>315</v>
      </c>
      <c r="BJ6" s="70" t="s">
        <v>413</v>
      </c>
      <c r="BK6" s="70" t="s">
        <v>309</v>
      </c>
      <c r="BL6" s="70" t="s">
        <v>311</v>
      </c>
      <c r="BM6" s="70"/>
    </row>
    <row r="7" spans="1:65">
      <c r="A7" s="59">
        <v>3</v>
      </c>
      <c r="B7" s="67" t="s">
        <v>171</v>
      </c>
      <c r="C7" s="65"/>
      <c r="D7" s="64">
        <v>41</v>
      </c>
      <c r="E7" s="64">
        <f>IF(ISBLANK($D7),"0",IF(($D8-$D7)&lt;($C8-$C7),1,0))</f>
        <v>0</v>
      </c>
      <c r="F7" s="64">
        <f t="shared" ca="1" si="1"/>
        <v>17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/>
      <c r="N7" s="69"/>
      <c r="O7" s="69"/>
      <c r="P7" s="69"/>
      <c r="Q7" s="69" t="s">
        <v>372</v>
      </c>
      <c r="R7" s="96"/>
      <c r="S7" s="96" t="s">
        <v>311</v>
      </c>
      <c r="T7" s="96"/>
      <c r="U7" s="96" t="s">
        <v>330</v>
      </c>
      <c r="V7" s="69"/>
      <c r="W7" s="69"/>
      <c r="X7" s="69" t="s">
        <v>338</v>
      </c>
      <c r="Y7" s="69" t="s">
        <v>340</v>
      </c>
      <c r="Z7" s="69"/>
      <c r="AA7" s="69"/>
      <c r="AB7" s="69"/>
      <c r="AC7" s="69"/>
      <c r="AD7" s="69" t="s">
        <v>337</v>
      </c>
      <c r="AE7" s="69" t="s">
        <v>311</v>
      </c>
      <c r="AF7" s="69"/>
      <c r="AG7" s="69"/>
      <c r="AH7" s="69" t="s">
        <v>338</v>
      </c>
      <c r="AI7" s="69"/>
      <c r="AJ7" s="69"/>
      <c r="AK7" s="69"/>
      <c r="AL7" s="69"/>
      <c r="AM7" s="69"/>
      <c r="AN7" s="69"/>
      <c r="AO7" s="69"/>
      <c r="AP7" s="69" t="s">
        <v>313</v>
      </c>
      <c r="AQ7" s="69"/>
      <c r="AR7" s="96"/>
      <c r="AS7" s="69" t="s">
        <v>322</v>
      </c>
      <c r="AT7" s="69"/>
      <c r="AU7" s="69"/>
      <c r="AV7" s="69" t="s">
        <v>311</v>
      </c>
      <c r="AW7" s="69"/>
      <c r="AX7" s="69" t="s">
        <v>330</v>
      </c>
      <c r="AY7" s="69"/>
      <c r="AZ7" s="69" t="s">
        <v>311</v>
      </c>
      <c r="BA7" s="69"/>
      <c r="BB7" s="69"/>
      <c r="BC7" s="69"/>
      <c r="BD7" s="69"/>
      <c r="BE7" s="96"/>
      <c r="BF7" s="69" t="s">
        <v>311</v>
      </c>
      <c r="BG7" s="69" t="s">
        <v>311</v>
      </c>
      <c r="BH7" s="69"/>
      <c r="BI7" s="69"/>
      <c r="BJ7" s="69"/>
      <c r="BK7" s="69" t="s">
        <v>309</v>
      </c>
      <c r="BL7" s="69"/>
      <c r="BM7" s="69"/>
    </row>
    <row r="8" spans="1:65">
      <c r="A8" s="61" t="s">
        <v>3</v>
      </c>
      <c r="B8" s="68" t="s">
        <v>172</v>
      </c>
      <c r="C8" s="66">
        <v>3.5</v>
      </c>
      <c r="D8" s="64">
        <v>70</v>
      </c>
      <c r="E8" s="64">
        <f>IF(ISBLANK($D8),"0",IF(($D8-$D7)&gt;($C8-$C7),1,0))</f>
        <v>1</v>
      </c>
      <c r="F8" s="64">
        <f t="shared" ca="1" si="1"/>
        <v>38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 t="s">
        <v>350</v>
      </c>
      <c r="N8" s="70" t="s">
        <v>346</v>
      </c>
      <c r="O8" s="70" t="s">
        <v>309</v>
      </c>
      <c r="P8" s="70" t="s">
        <v>311</v>
      </c>
      <c r="Q8" s="70"/>
      <c r="R8" s="97" t="s">
        <v>309</v>
      </c>
      <c r="S8" s="97"/>
      <c r="T8" s="97" t="s">
        <v>360</v>
      </c>
      <c r="U8" s="70"/>
      <c r="V8" s="70" t="s">
        <v>309</v>
      </c>
      <c r="W8" s="70" t="s">
        <v>323</v>
      </c>
      <c r="X8" s="70"/>
      <c r="Y8" s="70"/>
      <c r="Z8" s="70" t="s">
        <v>311</v>
      </c>
      <c r="AA8" s="70" t="s">
        <v>311</v>
      </c>
      <c r="AB8" s="70" t="s">
        <v>309</v>
      </c>
      <c r="AC8" s="70" t="s">
        <v>311</v>
      </c>
      <c r="AD8" s="70"/>
      <c r="AE8" s="70"/>
      <c r="AF8" s="70" t="s">
        <v>349</v>
      </c>
      <c r="AG8" s="70" t="s">
        <v>311</v>
      </c>
      <c r="AH8" s="70"/>
      <c r="AI8" s="70" t="s">
        <v>311</v>
      </c>
      <c r="AJ8" s="70" t="s">
        <v>329</v>
      </c>
      <c r="AK8" s="70" t="s">
        <v>311</v>
      </c>
      <c r="AL8" s="70" t="s">
        <v>327</v>
      </c>
      <c r="AM8" s="70" t="s">
        <v>318</v>
      </c>
      <c r="AN8" s="70" t="s">
        <v>335</v>
      </c>
      <c r="AO8" s="70" t="s">
        <v>311</v>
      </c>
      <c r="AP8" s="70"/>
      <c r="AQ8" s="70" t="s">
        <v>311</v>
      </c>
      <c r="AR8" s="70" t="s">
        <v>309</v>
      </c>
      <c r="AS8" s="70"/>
      <c r="AT8" s="70" t="s">
        <v>336</v>
      </c>
      <c r="AU8" s="70" t="s">
        <v>309</v>
      </c>
      <c r="AV8" s="70"/>
      <c r="AW8" s="70" t="s">
        <v>393</v>
      </c>
      <c r="AX8" s="70"/>
      <c r="AY8" s="70" t="s">
        <v>393</v>
      </c>
      <c r="AZ8" s="70"/>
      <c r="BA8" s="70" t="s">
        <v>311</v>
      </c>
      <c r="BB8" s="70" t="s">
        <v>348</v>
      </c>
      <c r="BC8" s="70" t="s">
        <v>309</v>
      </c>
      <c r="BD8" s="70" t="s">
        <v>378</v>
      </c>
      <c r="BE8" s="70" t="s">
        <v>364</v>
      </c>
      <c r="BF8" s="70"/>
      <c r="BG8" s="70"/>
      <c r="BH8" s="70" t="s">
        <v>311</v>
      </c>
      <c r="BI8" s="70" t="s">
        <v>315</v>
      </c>
      <c r="BJ8" s="70" t="s">
        <v>413</v>
      </c>
      <c r="BK8" s="70"/>
      <c r="BL8" s="70" t="s">
        <v>311</v>
      </c>
      <c r="BM8" s="70" t="s">
        <v>329</v>
      </c>
    </row>
    <row r="9" spans="1:65">
      <c r="A9" s="59">
        <v>4</v>
      </c>
      <c r="B9" s="108" t="s">
        <v>252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309</v>
      </c>
      <c r="L9" s="69" t="s">
        <v>309</v>
      </c>
      <c r="M9" s="69"/>
      <c r="N9" s="69"/>
      <c r="O9" s="69"/>
      <c r="P9" s="69"/>
      <c r="Q9" s="69"/>
      <c r="R9" s="96" t="s">
        <v>309</v>
      </c>
      <c r="S9" s="96"/>
      <c r="T9" s="96"/>
      <c r="U9" s="69" t="s">
        <v>311</v>
      </c>
      <c r="V9" s="69"/>
      <c r="W9" s="69"/>
      <c r="X9" s="69"/>
      <c r="Y9" s="69"/>
      <c r="Z9" s="69" t="s">
        <v>311</v>
      </c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 t="s">
        <v>327</v>
      </c>
      <c r="AM9" s="69"/>
      <c r="AN9" s="69"/>
      <c r="AO9" s="69" t="s">
        <v>311</v>
      </c>
      <c r="AP9" s="69" t="s">
        <v>314</v>
      </c>
      <c r="AQ9" s="69"/>
      <c r="AR9" s="96"/>
      <c r="AS9" s="69"/>
      <c r="AT9" s="69" t="s">
        <v>336</v>
      </c>
      <c r="AU9" s="69"/>
      <c r="AV9" s="69"/>
      <c r="AW9" s="69"/>
      <c r="AX9" s="69" t="s">
        <v>331</v>
      </c>
      <c r="AY9" s="69"/>
      <c r="AZ9" s="69" t="s">
        <v>311</v>
      </c>
      <c r="BA9" s="69"/>
      <c r="BB9" s="69" t="s">
        <v>348</v>
      </c>
      <c r="BC9" s="69" t="s">
        <v>309</v>
      </c>
      <c r="BD9" s="69"/>
      <c r="BE9" s="96"/>
      <c r="BF9" s="69"/>
      <c r="BG9" s="69"/>
      <c r="BH9" s="69"/>
      <c r="BI9" s="69"/>
      <c r="BJ9" s="69"/>
      <c r="BK9" s="69"/>
      <c r="BL9" s="69" t="s">
        <v>311</v>
      </c>
      <c r="BM9" s="69"/>
    </row>
    <row r="10" spans="1:65">
      <c r="A10" s="61" t="s">
        <v>3</v>
      </c>
      <c r="B10" s="68" t="s">
        <v>166</v>
      </c>
      <c r="C10" s="66">
        <v>14.5</v>
      </c>
      <c r="D10" s="64">
        <v>42</v>
      </c>
      <c r="E10" s="64">
        <f>IF(ISBLANK($D10),"0",IF(($D10-$D9)&gt;($C10-$C9),1,0))</f>
        <v>1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/>
      <c r="L10" s="70"/>
      <c r="M10" s="70" t="s">
        <v>350</v>
      </c>
      <c r="N10" s="70" t="s">
        <v>323</v>
      </c>
      <c r="O10" s="70" t="s">
        <v>309</v>
      </c>
      <c r="P10" s="70" t="s">
        <v>309</v>
      </c>
      <c r="Q10" s="70" t="s">
        <v>327</v>
      </c>
      <c r="R10" s="97"/>
      <c r="S10" s="97" t="s">
        <v>311</v>
      </c>
      <c r="T10" s="97" t="s">
        <v>313</v>
      </c>
      <c r="U10" s="70"/>
      <c r="V10" s="70" t="s">
        <v>309</v>
      </c>
      <c r="W10" s="70" t="s">
        <v>318</v>
      </c>
      <c r="X10" s="70" t="s">
        <v>313</v>
      </c>
      <c r="Y10" s="70" t="s">
        <v>347</v>
      </c>
      <c r="Z10" s="70"/>
      <c r="AA10" s="70" t="s">
        <v>311</v>
      </c>
      <c r="AB10" s="70" t="s">
        <v>309</v>
      </c>
      <c r="AC10" s="70" t="s">
        <v>311</v>
      </c>
      <c r="AD10" s="70" t="s">
        <v>319</v>
      </c>
      <c r="AE10" s="70" t="s">
        <v>311</v>
      </c>
      <c r="AF10" s="70" t="s">
        <v>349</v>
      </c>
      <c r="AG10" s="70" t="s">
        <v>311</v>
      </c>
      <c r="AH10" s="70" t="s">
        <v>313</v>
      </c>
      <c r="AI10" s="70" t="s">
        <v>311</v>
      </c>
      <c r="AJ10" s="70" t="s">
        <v>329</v>
      </c>
      <c r="AK10" s="70" t="s">
        <v>311</v>
      </c>
      <c r="AL10" s="70"/>
      <c r="AM10" s="70" t="s">
        <v>346</v>
      </c>
      <c r="AN10" s="70" t="s">
        <v>335</v>
      </c>
      <c r="AO10" s="70"/>
      <c r="AP10" s="70"/>
      <c r="AQ10" s="70" t="s">
        <v>311</v>
      </c>
      <c r="AR10" s="70" t="s">
        <v>309</v>
      </c>
      <c r="AS10" s="70" t="s">
        <v>327</v>
      </c>
      <c r="AT10" s="70"/>
      <c r="AU10" s="70" t="s">
        <v>309</v>
      </c>
      <c r="AV10" s="70" t="s">
        <v>311</v>
      </c>
      <c r="AW10" s="70" t="s">
        <v>313</v>
      </c>
      <c r="AX10" s="70"/>
      <c r="AY10" s="70" t="s">
        <v>313</v>
      </c>
      <c r="AZ10" s="70"/>
      <c r="BA10" s="70" t="s">
        <v>311</v>
      </c>
      <c r="BB10" s="70"/>
      <c r="BC10" s="70"/>
      <c r="BD10" s="70" t="s">
        <v>378</v>
      </c>
      <c r="BE10" s="70" t="s">
        <v>364</v>
      </c>
      <c r="BF10" s="70" t="s">
        <v>311</v>
      </c>
      <c r="BG10" s="70" t="s">
        <v>311</v>
      </c>
      <c r="BH10" s="70" t="s">
        <v>311</v>
      </c>
      <c r="BI10" s="70" t="s">
        <v>315</v>
      </c>
      <c r="BJ10" s="70" t="s">
        <v>413</v>
      </c>
      <c r="BK10" s="70" t="s">
        <v>309</v>
      </c>
      <c r="BL10" s="70"/>
      <c r="BM10" s="70" t="s">
        <v>330</v>
      </c>
    </row>
    <row r="11" spans="1:65">
      <c r="A11" s="59">
        <v>5</v>
      </c>
      <c r="B11" s="67" t="s">
        <v>164</v>
      </c>
      <c r="C11" s="65"/>
      <c r="D11" s="64">
        <v>31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/>
      <c r="N11" s="69"/>
      <c r="O11" s="69" t="s">
        <v>309</v>
      </c>
      <c r="P11" s="69"/>
      <c r="Q11" s="69" t="s">
        <v>350</v>
      </c>
      <c r="R11" s="96"/>
      <c r="S11" s="96" t="s">
        <v>311</v>
      </c>
      <c r="T11" s="96"/>
      <c r="U11" s="69"/>
      <c r="V11" s="69" t="s">
        <v>309</v>
      </c>
      <c r="W11" s="69"/>
      <c r="X11" s="69"/>
      <c r="Y11" s="69"/>
      <c r="Z11" s="69"/>
      <c r="AA11" s="69"/>
      <c r="AB11" s="69"/>
      <c r="AC11" s="69" t="s">
        <v>311</v>
      </c>
      <c r="AD11" s="69"/>
      <c r="AE11" s="69"/>
      <c r="AF11" s="69" t="s">
        <v>349</v>
      </c>
      <c r="AG11" s="69"/>
      <c r="AH11" s="69" t="s">
        <v>414</v>
      </c>
      <c r="AI11" s="69" t="s">
        <v>311</v>
      </c>
      <c r="AJ11" s="69" t="s">
        <v>329</v>
      </c>
      <c r="AK11" s="69" t="s">
        <v>311</v>
      </c>
      <c r="AL11" s="69" t="s">
        <v>327</v>
      </c>
      <c r="AM11" s="69"/>
      <c r="AN11" s="69"/>
      <c r="AO11" s="69" t="s">
        <v>311</v>
      </c>
      <c r="AP11" s="69" t="s">
        <v>325</v>
      </c>
      <c r="AQ11" s="69" t="s">
        <v>311</v>
      </c>
      <c r="AR11" s="69"/>
      <c r="AS11" s="69" t="s">
        <v>329</v>
      </c>
      <c r="AT11" s="69"/>
      <c r="AU11" s="69"/>
      <c r="AV11" s="69"/>
      <c r="AW11" s="69"/>
      <c r="AX11" s="69"/>
      <c r="AY11" s="69" t="s">
        <v>315</v>
      </c>
      <c r="AZ11" s="69"/>
      <c r="BA11" s="69"/>
      <c r="BB11" s="69"/>
      <c r="BC11" s="69" t="s">
        <v>309</v>
      </c>
      <c r="BD11" s="69" t="s">
        <v>378</v>
      </c>
      <c r="BE11" s="96" t="s">
        <v>364</v>
      </c>
      <c r="BF11" s="69"/>
      <c r="BG11" s="69" t="s">
        <v>311</v>
      </c>
      <c r="BH11" s="69"/>
      <c r="BI11" s="69" t="s">
        <v>315</v>
      </c>
      <c r="BJ11" s="69"/>
      <c r="BK11" s="69"/>
      <c r="BL11" s="69" t="s">
        <v>311</v>
      </c>
      <c r="BM11" s="69"/>
    </row>
    <row r="12" spans="1:65">
      <c r="A12" s="61" t="s">
        <v>3</v>
      </c>
      <c r="B12" s="68" t="s">
        <v>192</v>
      </c>
      <c r="C12" s="66">
        <v>7.5</v>
      </c>
      <c r="D12" s="64">
        <v>41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 t="s">
        <v>350</v>
      </c>
      <c r="N12" s="70" t="s">
        <v>320</v>
      </c>
      <c r="O12" s="70"/>
      <c r="P12" s="70" t="s">
        <v>309</v>
      </c>
      <c r="Q12" s="70"/>
      <c r="R12" s="97" t="s">
        <v>309</v>
      </c>
      <c r="S12" s="97"/>
      <c r="T12" s="97" t="s">
        <v>325</v>
      </c>
      <c r="U12" s="70" t="s">
        <v>362</v>
      </c>
      <c r="V12" s="70"/>
      <c r="W12" s="70" t="s">
        <v>354</v>
      </c>
      <c r="X12" s="70" t="s">
        <v>354</v>
      </c>
      <c r="Y12" s="70" t="s">
        <v>323</v>
      </c>
      <c r="Z12" s="70" t="s">
        <v>311</v>
      </c>
      <c r="AA12" s="70" t="s">
        <v>311</v>
      </c>
      <c r="AB12" s="70" t="s">
        <v>309</v>
      </c>
      <c r="AC12" s="70"/>
      <c r="AD12" s="70" t="s">
        <v>338</v>
      </c>
      <c r="AE12" s="70" t="s">
        <v>311</v>
      </c>
      <c r="AF12" s="70"/>
      <c r="AG12" s="70" t="s">
        <v>311</v>
      </c>
      <c r="AH12" s="70"/>
      <c r="AI12" s="70"/>
      <c r="AJ12" s="70"/>
      <c r="AK12" s="70"/>
      <c r="AL12" s="70"/>
      <c r="AM12" s="70" t="s">
        <v>347</v>
      </c>
      <c r="AN12" s="70" t="s">
        <v>335</v>
      </c>
      <c r="AO12" s="70"/>
      <c r="AP12" s="70"/>
      <c r="AQ12" s="70"/>
      <c r="AR12" s="97" t="s">
        <v>309</v>
      </c>
      <c r="AS12" s="70"/>
      <c r="AT12" s="70" t="s">
        <v>336</v>
      </c>
      <c r="AU12" s="70" t="s">
        <v>309</v>
      </c>
      <c r="AV12" s="70" t="s">
        <v>311</v>
      </c>
      <c r="AW12" s="70" t="s">
        <v>315</v>
      </c>
      <c r="AX12" s="70" t="s">
        <v>324</v>
      </c>
      <c r="AY12" s="70"/>
      <c r="AZ12" s="70" t="s">
        <v>311</v>
      </c>
      <c r="BA12" s="70" t="s">
        <v>311</v>
      </c>
      <c r="BB12" s="70" t="s">
        <v>348</v>
      </c>
      <c r="BC12" s="70"/>
      <c r="BD12" s="70"/>
      <c r="BE12" s="70"/>
      <c r="BF12" s="70" t="s">
        <v>311</v>
      </c>
      <c r="BG12" s="70"/>
      <c r="BH12" s="70" t="s">
        <v>311</v>
      </c>
      <c r="BI12" s="70"/>
      <c r="BJ12" s="70" t="s">
        <v>413</v>
      </c>
      <c r="BK12" s="70" t="s">
        <v>309</v>
      </c>
      <c r="BL12" s="70"/>
      <c r="BM12" s="70" t="s">
        <v>331</v>
      </c>
    </row>
    <row r="13" spans="1:65">
      <c r="A13" s="59">
        <v>6</v>
      </c>
      <c r="B13" s="67" t="s">
        <v>145</v>
      </c>
      <c r="C13" s="65"/>
      <c r="D13" s="64">
        <v>34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/>
      <c r="N13" s="69"/>
      <c r="O13" s="69" t="s">
        <v>309</v>
      </c>
      <c r="P13" s="69"/>
      <c r="Q13" s="69" t="s">
        <v>328</v>
      </c>
      <c r="R13" s="96" t="s">
        <v>309</v>
      </c>
      <c r="S13" s="96" t="s">
        <v>311</v>
      </c>
      <c r="T13" s="96"/>
      <c r="U13" s="69"/>
      <c r="V13" s="69"/>
      <c r="W13" s="69" t="s">
        <v>346</v>
      </c>
      <c r="X13" s="69"/>
      <c r="Y13" s="69"/>
      <c r="Z13" s="69" t="s">
        <v>311</v>
      </c>
      <c r="AA13" s="69"/>
      <c r="AB13" s="69" t="s">
        <v>309</v>
      </c>
      <c r="AC13" s="69"/>
      <c r="AD13" s="69" t="s">
        <v>323</v>
      </c>
      <c r="AE13" s="69"/>
      <c r="AF13" s="69" t="s">
        <v>349</v>
      </c>
      <c r="AG13" s="69" t="s">
        <v>311</v>
      </c>
      <c r="AH13" s="69" t="s">
        <v>415</v>
      </c>
      <c r="AI13" s="69"/>
      <c r="AJ13" s="69" t="s">
        <v>329</v>
      </c>
      <c r="AK13" s="69" t="s">
        <v>311</v>
      </c>
      <c r="AL13" s="69"/>
      <c r="AM13" s="69" t="s">
        <v>389</v>
      </c>
      <c r="AN13" s="69"/>
      <c r="AO13" s="69"/>
      <c r="AP13" s="69"/>
      <c r="AQ13" s="69" t="s">
        <v>311</v>
      </c>
      <c r="AR13" s="96"/>
      <c r="AS13" s="69" t="s">
        <v>329</v>
      </c>
      <c r="AT13" s="69" t="s">
        <v>336</v>
      </c>
      <c r="AU13" s="69" t="s">
        <v>309</v>
      </c>
      <c r="AV13" s="69" t="s">
        <v>311</v>
      </c>
      <c r="AW13" s="69" t="s">
        <v>347</v>
      </c>
      <c r="AX13" s="69"/>
      <c r="AY13" s="69"/>
      <c r="AZ13" s="69" t="s">
        <v>321</v>
      </c>
      <c r="BA13" s="69" t="s">
        <v>311</v>
      </c>
      <c r="BB13" s="69"/>
      <c r="BC13" s="69"/>
      <c r="BD13" s="69"/>
      <c r="BE13" s="96"/>
      <c r="BF13" s="69" t="s">
        <v>311</v>
      </c>
      <c r="BG13" s="69" t="s">
        <v>311</v>
      </c>
      <c r="BH13" s="69" t="s">
        <v>311</v>
      </c>
      <c r="BI13" s="69"/>
      <c r="BJ13" s="69"/>
      <c r="BK13" s="69"/>
      <c r="BL13" s="69"/>
      <c r="BM13" s="69" t="s">
        <v>332</v>
      </c>
    </row>
    <row r="14" spans="1:65">
      <c r="A14" s="61" t="s">
        <v>3</v>
      </c>
      <c r="B14" s="68" t="s">
        <v>144</v>
      </c>
      <c r="C14" s="66">
        <v>10.5</v>
      </c>
      <c r="D14" s="64">
        <v>29</v>
      </c>
      <c r="E14" s="64">
        <f>IF(ISBLANK($D14),"0",IF(($D14-$D13)&gt;($C14-$C13),1,0))</f>
        <v>0</v>
      </c>
      <c r="F14" s="64">
        <f t="shared" ca="1" si="1"/>
        <v>27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 t="s">
        <v>350</v>
      </c>
      <c r="N14" s="70" t="s">
        <v>313</v>
      </c>
      <c r="O14" s="70"/>
      <c r="P14" s="70" t="s">
        <v>309</v>
      </c>
      <c r="Q14" s="70"/>
      <c r="R14" s="97"/>
      <c r="S14" s="97"/>
      <c r="T14" s="97" t="s">
        <v>320</v>
      </c>
      <c r="U14" s="70" t="s">
        <v>318</v>
      </c>
      <c r="V14" s="70" t="s">
        <v>309</v>
      </c>
      <c r="W14" s="70"/>
      <c r="X14" s="70" t="s">
        <v>314</v>
      </c>
      <c r="Y14" s="70" t="s">
        <v>338</v>
      </c>
      <c r="Z14" s="70"/>
      <c r="AA14" s="70" t="s">
        <v>311</v>
      </c>
      <c r="AB14" s="70"/>
      <c r="AC14" s="70" t="s">
        <v>311</v>
      </c>
      <c r="AD14" s="70"/>
      <c r="AE14" s="70" t="s">
        <v>311</v>
      </c>
      <c r="AF14" s="70"/>
      <c r="AG14" s="70"/>
      <c r="AH14" s="70"/>
      <c r="AI14" s="70" t="s">
        <v>311</v>
      </c>
      <c r="AJ14" s="70"/>
      <c r="AK14" s="70"/>
      <c r="AL14" s="70" t="s">
        <v>327</v>
      </c>
      <c r="AM14" s="70"/>
      <c r="AN14" s="70" t="s">
        <v>335</v>
      </c>
      <c r="AO14" s="70" t="s">
        <v>311</v>
      </c>
      <c r="AP14" s="70" t="s">
        <v>312</v>
      </c>
      <c r="AQ14" s="70"/>
      <c r="AR14" s="70" t="s">
        <v>309</v>
      </c>
      <c r="AS14" s="70"/>
      <c r="AT14" s="70"/>
      <c r="AU14" s="70"/>
      <c r="AV14" s="70"/>
      <c r="AW14" s="70"/>
      <c r="AX14" s="70" t="s">
        <v>408</v>
      </c>
      <c r="AY14" s="70" t="s">
        <v>372</v>
      </c>
      <c r="AZ14" s="70"/>
      <c r="BA14" s="70"/>
      <c r="BB14" s="70" t="s">
        <v>348</v>
      </c>
      <c r="BC14" s="70" t="s">
        <v>309</v>
      </c>
      <c r="BD14" s="70" t="s">
        <v>378</v>
      </c>
      <c r="BE14" s="70" t="s">
        <v>364</v>
      </c>
      <c r="BF14" s="70"/>
      <c r="BG14" s="70"/>
      <c r="BH14" s="70"/>
      <c r="BI14" s="70" t="s">
        <v>315</v>
      </c>
      <c r="BJ14" s="70" t="s">
        <v>413</v>
      </c>
      <c r="BK14" s="70" t="s">
        <v>309</v>
      </c>
      <c r="BL14" s="70" t="s">
        <v>311</v>
      </c>
      <c r="BM14" s="70"/>
    </row>
    <row r="15" spans="1:65">
      <c r="A15" s="59">
        <v>7</v>
      </c>
      <c r="B15" s="67" t="s">
        <v>165</v>
      </c>
      <c r="C15" s="65">
        <v>11.5</v>
      </c>
      <c r="D15" s="64">
        <v>45</v>
      </c>
      <c r="E15" s="64">
        <f>IF(ISBLANK($D15),"0",IF(($D16-$D15)&lt;($C16-$C15),1,0))</f>
        <v>1</v>
      </c>
      <c r="F15" s="64">
        <f t="shared" ca="1" si="1"/>
        <v>33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/>
      <c r="L15" s="69"/>
      <c r="M15" s="69" t="s">
        <v>350</v>
      </c>
      <c r="N15" s="69" t="s">
        <v>320</v>
      </c>
      <c r="O15" s="69" t="s">
        <v>309</v>
      </c>
      <c r="P15" s="69" t="s">
        <v>311</v>
      </c>
      <c r="Q15" s="69" t="s">
        <v>334</v>
      </c>
      <c r="R15" s="96" t="s">
        <v>309</v>
      </c>
      <c r="S15" s="96"/>
      <c r="T15" s="96" t="s">
        <v>334</v>
      </c>
      <c r="U15" s="69" t="s">
        <v>320</v>
      </c>
      <c r="V15" s="69"/>
      <c r="W15" s="69" t="s">
        <v>313</v>
      </c>
      <c r="X15" s="69" t="s">
        <v>362</v>
      </c>
      <c r="Y15" s="69"/>
      <c r="Z15" s="69" t="s">
        <v>311</v>
      </c>
      <c r="AA15" s="69" t="s">
        <v>311</v>
      </c>
      <c r="AB15" s="69" t="s">
        <v>309</v>
      </c>
      <c r="AC15" s="69" t="s">
        <v>311</v>
      </c>
      <c r="AD15" s="69"/>
      <c r="AE15" s="69"/>
      <c r="AF15" s="69" t="s">
        <v>349</v>
      </c>
      <c r="AG15" s="69"/>
      <c r="AH15" s="69"/>
      <c r="AI15" s="69" t="s">
        <v>311</v>
      </c>
      <c r="AJ15" s="69" t="s">
        <v>329</v>
      </c>
      <c r="AK15" s="69" t="s">
        <v>311</v>
      </c>
      <c r="AL15" s="69"/>
      <c r="AM15" s="69" t="s">
        <v>314</v>
      </c>
      <c r="AN15" s="69" t="s">
        <v>335</v>
      </c>
      <c r="AO15" s="69" t="s">
        <v>311</v>
      </c>
      <c r="AP15" s="69"/>
      <c r="AQ15" s="69" t="s">
        <v>311</v>
      </c>
      <c r="AR15" s="69"/>
      <c r="AS15" s="69" t="s">
        <v>332</v>
      </c>
      <c r="AT15" s="69" t="s">
        <v>336</v>
      </c>
      <c r="AU15" s="69"/>
      <c r="AV15" s="69" t="s">
        <v>311</v>
      </c>
      <c r="AW15" s="69" t="s">
        <v>323</v>
      </c>
      <c r="AX15" s="69"/>
      <c r="AY15" s="69"/>
      <c r="AZ15" s="69"/>
      <c r="BA15" s="69" t="s">
        <v>311</v>
      </c>
      <c r="BB15" s="69" t="s">
        <v>348</v>
      </c>
      <c r="BC15" s="69"/>
      <c r="BD15" s="69" t="s">
        <v>378</v>
      </c>
      <c r="BE15" s="96"/>
      <c r="BF15" s="69" t="s">
        <v>311</v>
      </c>
      <c r="BG15" s="69"/>
      <c r="BH15" s="69" t="s">
        <v>311</v>
      </c>
      <c r="BI15" s="69" t="s">
        <v>315</v>
      </c>
      <c r="BJ15" s="69"/>
      <c r="BK15" s="69"/>
      <c r="BL15" s="69" t="s">
        <v>311</v>
      </c>
      <c r="BM15" s="69"/>
    </row>
    <row r="16" spans="1:65">
      <c r="A16" s="61" t="s">
        <v>3</v>
      </c>
      <c r="B16" s="68" t="s">
        <v>202</v>
      </c>
      <c r="C16" s="66"/>
      <c r="D16" s="64">
        <v>33</v>
      </c>
      <c r="E16" s="64">
        <f>IF(ISBLANK($D16),"0",IF(($D16-$D15)&gt;($C16-$C15),1,0))</f>
        <v>0</v>
      </c>
      <c r="F16" s="64">
        <f t="shared" ca="1" si="1"/>
        <v>22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309</v>
      </c>
      <c r="L16" s="70" t="s">
        <v>309</v>
      </c>
      <c r="M16" s="70"/>
      <c r="N16" s="70"/>
      <c r="O16" s="70"/>
      <c r="P16" s="70"/>
      <c r="Q16" s="70"/>
      <c r="R16" s="70"/>
      <c r="S16" s="70" t="s">
        <v>311</v>
      </c>
      <c r="T16" s="70"/>
      <c r="U16" s="70"/>
      <c r="V16" s="70" t="s">
        <v>309</v>
      </c>
      <c r="W16" s="70"/>
      <c r="X16" s="70"/>
      <c r="Y16" s="70" t="s">
        <v>312</v>
      </c>
      <c r="Z16" s="70"/>
      <c r="AA16" s="70"/>
      <c r="AB16" s="70"/>
      <c r="AC16" s="70"/>
      <c r="AD16" s="70" t="s">
        <v>347</v>
      </c>
      <c r="AE16" s="70" t="s">
        <v>311</v>
      </c>
      <c r="AF16" s="70"/>
      <c r="AG16" s="70" t="s">
        <v>311</v>
      </c>
      <c r="AH16" s="70" t="s">
        <v>416</v>
      </c>
      <c r="AI16" s="70"/>
      <c r="AJ16" s="70"/>
      <c r="AK16" s="70"/>
      <c r="AL16" s="70" t="s">
        <v>327</v>
      </c>
      <c r="AM16" s="70"/>
      <c r="AN16" s="70"/>
      <c r="AO16" s="70"/>
      <c r="AP16" s="70" t="s">
        <v>325</v>
      </c>
      <c r="AQ16" s="70"/>
      <c r="AR16" s="97" t="s">
        <v>309</v>
      </c>
      <c r="AS16" s="70"/>
      <c r="AT16" s="70"/>
      <c r="AU16" s="70" t="s">
        <v>309</v>
      </c>
      <c r="AV16" s="70"/>
      <c r="AW16" s="70"/>
      <c r="AX16" s="70" t="s">
        <v>409</v>
      </c>
      <c r="AY16" s="70" t="s">
        <v>323</v>
      </c>
      <c r="AZ16" s="70" t="s">
        <v>311</v>
      </c>
      <c r="BA16" s="70"/>
      <c r="BB16" s="70"/>
      <c r="BC16" s="70" t="s">
        <v>309</v>
      </c>
      <c r="BD16" s="70"/>
      <c r="BE16" s="70" t="s">
        <v>364</v>
      </c>
      <c r="BF16" s="70"/>
      <c r="BG16" s="70" t="s">
        <v>311</v>
      </c>
      <c r="BH16" s="70"/>
      <c r="BI16" s="70"/>
      <c r="BJ16" s="70" t="s">
        <v>413</v>
      </c>
      <c r="BK16" s="70" t="s">
        <v>309</v>
      </c>
      <c r="BL16" s="70"/>
      <c r="BM16" s="70" t="s">
        <v>331</v>
      </c>
    </row>
    <row r="17" spans="1:65">
      <c r="A17" s="59">
        <v>8</v>
      </c>
      <c r="B17" s="67" t="s">
        <v>157</v>
      </c>
      <c r="C17" s="65">
        <v>21.5</v>
      </c>
      <c r="D17" s="64">
        <v>48</v>
      </c>
      <c r="E17" s="64">
        <f>IF(ISBLANK($D17),"0",IF(($D18-$D17)&lt;($C18-$C17),1,0))</f>
        <v>0</v>
      </c>
      <c r="F17" s="64">
        <f t="shared" ca="1" si="1"/>
        <v>22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 t="s">
        <v>309</v>
      </c>
      <c r="L17" s="69"/>
      <c r="M17" s="69" t="s">
        <v>350</v>
      </c>
      <c r="N17" s="69"/>
      <c r="O17" s="69"/>
      <c r="P17" s="69" t="s">
        <v>309</v>
      </c>
      <c r="Q17" s="69"/>
      <c r="R17" s="69" t="s">
        <v>309</v>
      </c>
      <c r="S17" s="69" t="s">
        <v>311</v>
      </c>
      <c r="T17" s="69"/>
      <c r="U17" s="69"/>
      <c r="V17" s="69"/>
      <c r="W17" s="69" t="s">
        <v>366</v>
      </c>
      <c r="X17" s="69" t="s">
        <v>363</v>
      </c>
      <c r="Y17" s="69"/>
      <c r="Z17" s="69" t="s">
        <v>311</v>
      </c>
      <c r="AA17" s="69"/>
      <c r="AB17" s="69" t="s">
        <v>309</v>
      </c>
      <c r="AC17" s="69"/>
      <c r="AD17" s="69" t="s">
        <v>313</v>
      </c>
      <c r="AE17" s="69"/>
      <c r="AF17" s="69" t="s">
        <v>349</v>
      </c>
      <c r="AG17" s="69"/>
      <c r="AH17" s="69" t="s">
        <v>320</v>
      </c>
      <c r="AI17" s="69" t="s">
        <v>311</v>
      </c>
      <c r="AJ17" s="69"/>
      <c r="AK17" s="69"/>
      <c r="AL17" s="69"/>
      <c r="AM17" s="69" t="s">
        <v>319</v>
      </c>
      <c r="AN17" s="69"/>
      <c r="AO17" s="69"/>
      <c r="AP17" s="69" t="s">
        <v>313</v>
      </c>
      <c r="AQ17" s="69"/>
      <c r="AR17" s="96"/>
      <c r="AS17" s="69"/>
      <c r="AT17" s="69"/>
      <c r="AU17" s="69"/>
      <c r="AV17" s="69"/>
      <c r="AW17" s="69"/>
      <c r="AX17" s="69"/>
      <c r="AY17" s="69"/>
      <c r="AZ17" s="69" t="s">
        <v>311</v>
      </c>
      <c r="BA17" s="69"/>
      <c r="BB17" s="69" t="s">
        <v>348</v>
      </c>
      <c r="BC17" s="69"/>
      <c r="BD17" s="69"/>
      <c r="BE17" s="69"/>
      <c r="BF17" s="69" t="s">
        <v>311</v>
      </c>
      <c r="BG17" s="69" t="s">
        <v>311</v>
      </c>
      <c r="BH17" s="69" t="s">
        <v>311</v>
      </c>
      <c r="BI17" s="69"/>
      <c r="BJ17" s="69" t="s">
        <v>413</v>
      </c>
      <c r="BK17" s="69" t="s">
        <v>309</v>
      </c>
      <c r="BL17" s="69"/>
      <c r="BM17" s="69"/>
    </row>
    <row r="18" spans="1:65">
      <c r="A18" s="61" t="s">
        <v>3</v>
      </c>
      <c r="B18" s="68" t="s">
        <v>167</v>
      </c>
      <c r="C18" s="66"/>
      <c r="D18" s="64">
        <v>34</v>
      </c>
      <c r="E18" s="64">
        <f>IF(ISBLANK($D18),"0",IF(($D18-$D17)&gt;($C18-$C17),1,0))</f>
        <v>1</v>
      </c>
      <c r="F18" s="64">
        <f t="shared" ca="1" si="1"/>
        <v>33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/>
      <c r="L18" s="70" t="s">
        <v>309</v>
      </c>
      <c r="M18" s="70"/>
      <c r="N18" s="70" t="s">
        <v>354</v>
      </c>
      <c r="O18" s="70" t="s">
        <v>309</v>
      </c>
      <c r="P18" s="70"/>
      <c r="Q18" s="70" t="s">
        <v>321</v>
      </c>
      <c r="R18" s="70"/>
      <c r="S18" s="70"/>
      <c r="T18" s="70" t="s">
        <v>318</v>
      </c>
      <c r="U18" s="70" t="s">
        <v>313</v>
      </c>
      <c r="V18" s="70" t="s">
        <v>309</v>
      </c>
      <c r="W18" s="70"/>
      <c r="X18" s="70"/>
      <c r="Y18" s="70" t="s">
        <v>314</v>
      </c>
      <c r="Z18" s="70"/>
      <c r="AA18" s="70" t="s">
        <v>311</v>
      </c>
      <c r="AB18" s="70"/>
      <c r="AC18" s="70" t="s">
        <v>311</v>
      </c>
      <c r="AD18" s="70"/>
      <c r="AE18" s="70" t="s">
        <v>311</v>
      </c>
      <c r="AF18" s="70"/>
      <c r="AG18" s="70" t="s">
        <v>311</v>
      </c>
      <c r="AH18" s="70"/>
      <c r="AI18" s="70"/>
      <c r="AJ18" s="70" t="s">
        <v>329</v>
      </c>
      <c r="AK18" s="70" t="s">
        <v>311</v>
      </c>
      <c r="AL18" s="70" t="s">
        <v>327</v>
      </c>
      <c r="AM18" s="70"/>
      <c r="AN18" s="70" t="s">
        <v>335</v>
      </c>
      <c r="AO18" s="70" t="s">
        <v>311</v>
      </c>
      <c r="AP18" s="70"/>
      <c r="AQ18" s="70" t="s">
        <v>311</v>
      </c>
      <c r="AR18" s="70" t="s">
        <v>309</v>
      </c>
      <c r="AS18" s="70" t="s">
        <v>364</v>
      </c>
      <c r="AT18" s="70" t="s">
        <v>336</v>
      </c>
      <c r="AU18" s="70" t="s">
        <v>309</v>
      </c>
      <c r="AV18" s="70" t="s">
        <v>311</v>
      </c>
      <c r="AW18" s="70" t="s">
        <v>367</v>
      </c>
      <c r="AX18" s="70" t="s">
        <v>359</v>
      </c>
      <c r="AY18" s="70" t="s">
        <v>367</v>
      </c>
      <c r="AZ18" s="70"/>
      <c r="BA18" s="70" t="s">
        <v>311</v>
      </c>
      <c r="BB18" s="70"/>
      <c r="BC18" s="70" t="s">
        <v>309</v>
      </c>
      <c r="BD18" s="70" t="s">
        <v>378</v>
      </c>
      <c r="BE18" s="97" t="s">
        <v>364</v>
      </c>
      <c r="BF18" s="70"/>
      <c r="BG18" s="70"/>
      <c r="BH18" s="70"/>
      <c r="BI18" s="70" t="s">
        <v>315</v>
      </c>
      <c r="BJ18" s="70"/>
      <c r="BK18" s="70"/>
      <c r="BL18" s="70" t="s">
        <v>311</v>
      </c>
      <c r="BM18" s="70" t="s">
        <v>333</v>
      </c>
    </row>
    <row r="19" spans="1:65">
      <c r="A19" s="59">
        <v>9</v>
      </c>
      <c r="B19" s="67" t="s">
        <v>205</v>
      </c>
      <c r="C19" s="65"/>
      <c r="D19" s="64">
        <v>24</v>
      </c>
      <c r="E19" s="64">
        <f>IF(ISBLANK($D19),"0",IF(($D20-$D19)&lt;($C20-$C19),1,0))</f>
        <v>1</v>
      </c>
      <c r="F19" s="64">
        <f t="shared" ca="1" si="1"/>
        <v>14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320</v>
      </c>
      <c r="K19" s="69" t="s">
        <v>309</v>
      </c>
      <c r="L19" s="69"/>
      <c r="M19" s="69"/>
      <c r="N19" s="69"/>
      <c r="O19" s="69"/>
      <c r="P19" s="69"/>
      <c r="Q19" s="69"/>
      <c r="R19" s="69"/>
      <c r="S19" s="69" t="s">
        <v>311</v>
      </c>
      <c r="T19" s="69"/>
      <c r="U19" s="69"/>
      <c r="V19" s="69"/>
      <c r="W19" s="69"/>
      <c r="X19" s="69" t="s">
        <v>380</v>
      </c>
      <c r="Y19" s="69" t="s">
        <v>354</v>
      </c>
      <c r="Z19" s="69"/>
      <c r="AA19" s="69"/>
      <c r="AB19" s="69"/>
      <c r="AC19" s="69"/>
      <c r="AD19" s="69" t="s">
        <v>366</v>
      </c>
      <c r="AE19" s="69"/>
      <c r="AF19" s="69"/>
      <c r="AG19" s="69"/>
      <c r="AH19" s="69"/>
      <c r="AI19" s="69"/>
      <c r="AJ19" s="69"/>
      <c r="AK19" s="69" t="s">
        <v>311</v>
      </c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 t="s">
        <v>311</v>
      </c>
      <c r="BB19" s="69" t="s">
        <v>348</v>
      </c>
      <c r="BC19" s="69"/>
      <c r="BD19" s="69"/>
      <c r="BE19" s="69" t="s">
        <v>364</v>
      </c>
      <c r="BF19" s="69" t="s">
        <v>311</v>
      </c>
      <c r="BG19" s="69"/>
      <c r="BH19" s="69" t="s">
        <v>311</v>
      </c>
      <c r="BI19" s="69" t="s">
        <v>315</v>
      </c>
      <c r="BJ19" s="69" t="s">
        <v>413</v>
      </c>
      <c r="BK19" s="69"/>
      <c r="BL19" s="69"/>
      <c r="BM19" s="69" t="s">
        <v>334</v>
      </c>
    </row>
    <row r="20" spans="1:65">
      <c r="A20" s="61" t="s">
        <v>3</v>
      </c>
      <c r="B20" s="68" t="s">
        <v>200</v>
      </c>
      <c r="C20" s="66">
        <v>5.5</v>
      </c>
      <c r="D20" s="64">
        <v>20</v>
      </c>
      <c r="E20" s="64">
        <f>IF(ISBLANK($D20),"0",IF(($D20-$D19)&gt;($C20-$C19),1,0))</f>
        <v>0</v>
      </c>
      <c r="F20" s="64">
        <f t="shared" ca="1" si="1"/>
        <v>41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309</v>
      </c>
      <c r="M20" s="70" t="s">
        <v>350</v>
      </c>
      <c r="N20" s="70" t="s">
        <v>337</v>
      </c>
      <c r="O20" s="70" t="s">
        <v>309</v>
      </c>
      <c r="P20" s="70" t="s">
        <v>309</v>
      </c>
      <c r="Q20" s="70" t="s">
        <v>321</v>
      </c>
      <c r="R20" s="70" t="s">
        <v>309</v>
      </c>
      <c r="S20" s="70"/>
      <c r="T20" s="70" t="s">
        <v>362</v>
      </c>
      <c r="U20" s="70" t="s">
        <v>320</v>
      </c>
      <c r="V20" s="70" t="s">
        <v>309</v>
      </c>
      <c r="W20" s="70" t="s">
        <v>405</v>
      </c>
      <c r="X20" s="70"/>
      <c r="Y20" s="70"/>
      <c r="Z20" s="70" t="s">
        <v>311</v>
      </c>
      <c r="AA20" s="70" t="s">
        <v>311</v>
      </c>
      <c r="AB20" s="70" t="s">
        <v>309</v>
      </c>
      <c r="AC20" s="70" t="s">
        <v>311</v>
      </c>
      <c r="AD20" s="70"/>
      <c r="AE20" s="70" t="s">
        <v>311</v>
      </c>
      <c r="AF20" s="70" t="s">
        <v>349</v>
      </c>
      <c r="AG20" s="70" t="s">
        <v>311</v>
      </c>
      <c r="AH20" s="70" t="s">
        <v>313</v>
      </c>
      <c r="AI20" s="70" t="s">
        <v>311</v>
      </c>
      <c r="AJ20" s="70" t="s">
        <v>329</v>
      </c>
      <c r="AK20" s="70"/>
      <c r="AL20" s="70" t="s">
        <v>327</v>
      </c>
      <c r="AM20" s="70" t="s">
        <v>319</v>
      </c>
      <c r="AN20" s="70" t="s">
        <v>335</v>
      </c>
      <c r="AO20" s="70" t="s">
        <v>311</v>
      </c>
      <c r="AP20" s="70" t="s">
        <v>314</v>
      </c>
      <c r="AQ20" s="70" t="s">
        <v>311</v>
      </c>
      <c r="AR20" s="97" t="s">
        <v>309</v>
      </c>
      <c r="AS20" s="70" t="s">
        <v>317</v>
      </c>
      <c r="AT20" s="70" t="s">
        <v>336</v>
      </c>
      <c r="AU20" s="70" t="s">
        <v>309</v>
      </c>
      <c r="AV20" s="70" t="s">
        <v>311</v>
      </c>
      <c r="AW20" s="70" t="s">
        <v>340</v>
      </c>
      <c r="AX20" s="70" t="s">
        <v>410</v>
      </c>
      <c r="AY20" s="70" t="s">
        <v>340</v>
      </c>
      <c r="AZ20" s="70" t="s">
        <v>311</v>
      </c>
      <c r="BA20" s="70"/>
      <c r="BB20" s="70"/>
      <c r="BC20" s="70" t="s">
        <v>309</v>
      </c>
      <c r="BD20" s="70" t="s">
        <v>378</v>
      </c>
      <c r="BE20" s="97"/>
      <c r="BF20" s="70"/>
      <c r="BG20" s="70" t="s">
        <v>311</v>
      </c>
      <c r="BH20" s="70"/>
      <c r="BI20" s="70"/>
      <c r="BJ20" s="70"/>
      <c r="BK20" s="70" t="s">
        <v>309</v>
      </c>
      <c r="BL20" s="70" t="s">
        <v>311</v>
      </c>
      <c r="BM20" s="70"/>
    </row>
    <row r="21" spans="1:65">
      <c r="A21" s="59">
        <v>10</v>
      </c>
      <c r="B21" s="67" t="s">
        <v>163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46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309</v>
      </c>
      <c r="P21" s="69"/>
      <c r="Q21" s="69"/>
      <c r="R21" s="69" t="s">
        <v>309</v>
      </c>
      <c r="S21" s="69" t="s">
        <v>311</v>
      </c>
      <c r="T21" s="69" t="s">
        <v>363</v>
      </c>
      <c r="U21" s="69" t="s">
        <v>404</v>
      </c>
      <c r="V21" s="69" t="s">
        <v>309</v>
      </c>
      <c r="W21" s="69" t="s">
        <v>406</v>
      </c>
      <c r="X21" s="69" t="s">
        <v>380</v>
      </c>
      <c r="Y21" s="69"/>
      <c r="Z21" s="69" t="s">
        <v>311</v>
      </c>
      <c r="AA21" s="69" t="s">
        <v>311</v>
      </c>
      <c r="AB21" s="69" t="s">
        <v>309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311</v>
      </c>
      <c r="AH21" s="69" t="s">
        <v>417</v>
      </c>
      <c r="AI21" s="69" t="s">
        <v>311</v>
      </c>
      <c r="AJ21" s="69"/>
      <c r="AK21" s="69" t="s">
        <v>311</v>
      </c>
      <c r="AL21" s="69" t="s">
        <v>327</v>
      </c>
      <c r="AM21" s="69" t="s">
        <v>407</v>
      </c>
      <c r="AN21" s="69" t="s">
        <v>335</v>
      </c>
      <c r="AO21" s="69" t="s">
        <v>311</v>
      </c>
      <c r="AP21" s="69" t="s">
        <v>363</v>
      </c>
      <c r="AQ21" s="69"/>
      <c r="AR21" s="96" t="s">
        <v>309</v>
      </c>
      <c r="AS21" s="69" t="s">
        <v>331</v>
      </c>
      <c r="AT21" s="69" t="s">
        <v>336</v>
      </c>
      <c r="AU21" s="69" t="s">
        <v>309</v>
      </c>
      <c r="AV21" s="69" t="s">
        <v>311</v>
      </c>
      <c r="AW21" s="69" t="s">
        <v>320</v>
      </c>
      <c r="AX21" s="69"/>
      <c r="AY21" s="69" t="s">
        <v>412</v>
      </c>
      <c r="AZ21" s="69" t="s">
        <v>311</v>
      </c>
      <c r="BA21" s="69" t="s">
        <v>311</v>
      </c>
      <c r="BB21" s="69" t="s">
        <v>348</v>
      </c>
      <c r="BC21" s="69" t="s">
        <v>309</v>
      </c>
      <c r="BD21" s="69" t="s">
        <v>378</v>
      </c>
      <c r="BE21" s="96"/>
      <c r="BF21" s="69" t="s">
        <v>311</v>
      </c>
      <c r="BG21" s="69" t="s">
        <v>311</v>
      </c>
      <c r="BH21" s="69" t="s">
        <v>311</v>
      </c>
      <c r="BI21" s="69" t="s">
        <v>315</v>
      </c>
      <c r="BJ21" s="69" t="s">
        <v>413</v>
      </c>
      <c r="BK21" s="69"/>
      <c r="BL21" s="69" t="s">
        <v>311</v>
      </c>
      <c r="BM21" s="69" t="s">
        <v>328</v>
      </c>
    </row>
    <row r="22" spans="1:65">
      <c r="A22" s="61" t="s">
        <v>3</v>
      </c>
      <c r="B22" s="68" t="s">
        <v>162</v>
      </c>
      <c r="C22" s="66">
        <v>20.5</v>
      </c>
      <c r="D22" s="64">
        <v>23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360</v>
      </c>
      <c r="O22" s="70"/>
      <c r="P22" s="70" t="s">
        <v>311</v>
      </c>
      <c r="Q22" s="70" t="s">
        <v>328</v>
      </c>
      <c r="R22" s="70"/>
      <c r="S22" s="70"/>
      <c r="T22" s="70"/>
      <c r="U22" s="70"/>
      <c r="V22" s="70"/>
      <c r="W22" s="70"/>
      <c r="X22" s="70"/>
      <c r="Y22" s="70" t="s">
        <v>390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 t="s">
        <v>329</v>
      </c>
      <c r="AK22" s="70"/>
      <c r="AL22" s="70"/>
      <c r="AM22" s="70"/>
      <c r="AN22" s="70"/>
      <c r="AO22" s="70"/>
      <c r="AP22" s="70"/>
      <c r="AQ22" s="70" t="s">
        <v>311</v>
      </c>
      <c r="AR22" s="70"/>
      <c r="AS22" s="70"/>
      <c r="AT22" s="70"/>
      <c r="AU22" s="70"/>
      <c r="AV22" s="70"/>
      <c r="AW22" s="70"/>
      <c r="AX22" s="70" t="s">
        <v>411</v>
      </c>
      <c r="AY22" s="70"/>
      <c r="AZ22" s="70"/>
      <c r="BA22" s="70"/>
      <c r="BB22" s="70"/>
      <c r="BC22" s="70"/>
      <c r="BD22" s="70"/>
      <c r="BE22" s="70" t="s">
        <v>364</v>
      </c>
      <c r="BF22" s="70"/>
      <c r="BG22" s="70"/>
      <c r="BH22" s="70"/>
      <c r="BI22" s="70"/>
      <c r="BJ22" s="70"/>
      <c r="BK22" s="70" t="s">
        <v>309</v>
      </c>
      <c r="BL22" s="70"/>
      <c r="BM22" s="70"/>
    </row>
    <row r="23" spans="1:65">
      <c r="A23" s="59"/>
      <c r="B23" s="67" t="str">
        <f>B21&amp; " - score"</f>
        <v>Clemson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>
        <v>30</v>
      </c>
      <c r="K23" s="78">
        <v>21</v>
      </c>
      <c r="L23" s="78">
        <v>18</v>
      </c>
      <c r="M23" s="78">
        <v>35</v>
      </c>
      <c r="N23" s="80">
        <v>14</v>
      </c>
      <c r="O23" s="78">
        <v>31</v>
      </c>
      <c r="P23" s="78">
        <v>17</v>
      </c>
      <c r="Q23" s="78">
        <v>7</v>
      </c>
      <c r="R23" s="78">
        <v>28</v>
      </c>
      <c r="S23" s="78">
        <v>24</v>
      </c>
      <c r="T23" s="78">
        <v>36</v>
      </c>
      <c r="U23" s="78">
        <v>35</v>
      </c>
      <c r="V23" s="78">
        <v>28</v>
      </c>
      <c r="W23" s="78">
        <v>31</v>
      </c>
      <c r="X23" s="78">
        <v>28</v>
      </c>
      <c r="Y23" s="78">
        <v>16</v>
      </c>
      <c r="Z23" s="78">
        <v>24</v>
      </c>
      <c r="AA23" s="78">
        <v>24</v>
      </c>
      <c r="AB23" s="78">
        <v>35</v>
      </c>
      <c r="AC23" s="78">
        <v>21</v>
      </c>
      <c r="AD23" s="78">
        <v>31</v>
      </c>
      <c r="AE23" s="78">
        <v>35</v>
      </c>
      <c r="AF23" s="78">
        <v>24</v>
      </c>
      <c r="AG23" s="78">
        <v>34</v>
      </c>
      <c r="AH23" s="78">
        <v>35</v>
      </c>
      <c r="AI23" s="78">
        <v>24</v>
      </c>
      <c r="AJ23" s="78">
        <v>21</v>
      </c>
      <c r="AK23" s="78">
        <v>32</v>
      </c>
      <c r="AL23" s="78">
        <v>20</v>
      </c>
      <c r="AM23" s="78">
        <v>27</v>
      </c>
      <c r="AN23" s="78">
        <v>21</v>
      </c>
      <c r="AO23" s="78">
        <v>28</v>
      </c>
      <c r="AP23" s="78">
        <v>31</v>
      </c>
      <c r="AQ23" s="78">
        <v>17</v>
      </c>
      <c r="AR23" s="78">
        <v>35</v>
      </c>
      <c r="AS23" s="78">
        <v>24</v>
      </c>
      <c r="AT23" s="78">
        <v>21</v>
      </c>
      <c r="AU23" s="78">
        <v>24</v>
      </c>
      <c r="AV23" s="78">
        <v>18</v>
      </c>
      <c r="AW23" s="78">
        <v>31</v>
      </c>
      <c r="AX23" s="78">
        <v>21</v>
      </c>
      <c r="AY23" s="78">
        <v>24</v>
      </c>
      <c r="AZ23" s="78">
        <v>10</v>
      </c>
      <c r="BA23" s="78">
        <v>21</v>
      </c>
      <c r="BB23" s="78">
        <v>14</v>
      </c>
      <c r="BC23" s="78">
        <v>24</v>
      </c>
      <c r="BD23" s="78">
        <v>20</v>
      </c>
      <c r="BE23" s="78">
        <v>6</v>
      </c>
      <c r="BF23" s="78">
        <v>21</v>
      </c>
      <c r="BG23" s="78">
        <v>31</v>
      </c>
      <c r="BH23" s="78">
        <v>31</v>
      </c>
      <c r="BI23" s="78">
        <v>21</v>
      </c>
      <c r="BJ23" s="78">
        <v>35</v>
      </c>
      <c r="BK23" s="78">
        <v>24</v>
      </c>
      <c r="BL23" s="78">
        <v>27</v>
      </c>
      <c r="BM23" s="78">
        <v>34</v>
      </c>
    </row>
    <row r="24" spans="1:6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37</v>
      </c>
      <c r="G24" s="61"/>
      <c r="H24" s="62"/>
      <c r="I24" s="63"/>
      <c r="J24" s="79">
        <v>21</v>
      </c>
      <c r="K24" s="79">
        <v>35</v>
      </c>
      <c r="L24" s="79">
        <v>24</v>
      </c>
      <c r="M24" s="79">
        <v>31</v>
      </c>
      <c r="N24" s="79">
        <v>51</v>
      </c>
      <c r="O24" s="79">
        <v>34</v>
      </c>
      <c r="P24" s="79">
        <v>41</v>
      </c>
      <c r="Q24" s="79">
        <v>32</v>
      </c>
      <c r="R24" s="79">
        <v>45</v>
      </c>
      <c r="S24" s="79">
        <v>40</v>
      </c>
      <c r="T24" s="79">
        <v>56</v>
      </c>
      <c r="U24" s="79">
        <v>34</v>
      </c>
      <c r="V24" s="79">
        <v>45</v>
      </c>
      <c r="W24" s="79">
        <v>30</v>
      </c>
      <c r="X24" s="79">
        <v>38</v>
      </c>
      <c r="Y24" s="79">
        <v>39</v>
      </c>
      <c r="Z24" s="79">
        <v>34</v>
      </c>
      <c r="AA24" s="79">
        <v>35</v>
      </c>
      <c r="AB24" s="79">
        <v>32</v>
      </c>
      <c r="AC24" s="79">
        <v>35</v>
      </c>
      <c r="AD24" s="79">
        <v>42</v>
      </c>
      <c r="AE24" s="79">
        <v>45</v>
      </c>
      <c r="AF24" s="79">
        <v>36</v>
      </c>
      <c r="AG24" s="79">
        <v>48</v>
      </c>
      <c r="AH24" s="79">
        <v>31</v>
      </c>
      <c r="AI24" s="79">
        <v>42</v>
      </c>
      <c r="AJ24" s="79">
        <v>42</v>
      </c>
      <c r="AK24" s="79">
        <v>42</v>
      </c>
      <c r="AL24" s="79">
        <v>35</v>
      </c>
      <c r="AM24" s="79">
        <v>38</v>
      </c>
      <c r="AN24" s="79">
        <v>31</v>
      </c>
      <c r="AO24" s="79">
        <v>31</v>
      </c>
      <c r="AP24" s="79">
        <v>28</v>
      </c>
      <c r="AQ24" s="79">
        <v>38</v>
      </c>
      <c r="AR24" s="79">
        <v>45</v>
      </c>
      <c r="AS24" s="79">
        <v>41</v>
      </c>
      <c r="AT24" s="79">
        <v>38</v>
      </c>
      <c r="AU24" s="79">
        <v>38</v>
      </c>
      <c r="AV24" s="79">
        <v>27</v>
      </c>
      <c r="AW24" s="79">
        <v>44</v>
      </c>
      <c r="AX24" s="79">
        <v>45</v>
      </c>
      <c r="AY24" s="79">
        <v>41</v>
      </c>
      <c r="AZ24" s="79">
        <v>21</v>
      </c>
      <c r="BA24" s="79">
        <v>28</v>
      </c>
      <c r="BB24" s="79">
        <v>28</v>
      </c>
      <c r="BC24" s="79">
        <v>21</v>
      </c>
      <c r="BD24" s="79">
        <v>34</v>
      </c>
      <c r="BE24" s="79">
        <v>54</v>
      </c>
      <c r="BF24" s="79">
        <v>19</v>
      </c>
      <c r="BG24" s="79">
        <v>28</v>
      </c>
      <c r="BH24" s="79">
        <v>45</v>
      </c>
      <c r="BI24" s="79">
        <v>38</v>
      </c>
      <c r="BJ24" s="79">
        <v>42</v>
      </c>
      <c r="BK24" s="79">
        <v>51</v>
      </c>
      <c r="BL24" s="79">
        <v>35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7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6</v>
      </c>
      <c r="U25" s="36">
        <f t="shared" si="3"/>
        <v>4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7</v>
      </c>
      <c r="AE25" s="36">
        <f t="shared" si="3"/>
        <v>6</v>
      </c>
      <c r="AF25" s="36">
        <f t="shared" si="3"/>
        <v>5</v>
      </c>
      <c r="AG25" s="36">
        <f t="shared" si="3"/>
        <v>6</v>
      </c>
      <c r="AH25" s="36">
        <f t="shared" si="3"/>
        <v>5</v>
      </c>
      <c r="AI25" s="36">
        <f t="shared" si="3"/>
        <v>4</v>
      </c>
      <c r="AJ25" s="36">
        <f t="shared" si="3"/>
        <v>5</v>
      </c>
      <c r="AK25" s="36">
        <f t="shared" si="3"/>
        <v>9</v>
      </c>
      <c r="AL25" s="36">
        <f t="shared" si="3"/>
        <v>5</v>
      </c>
      <c r="AM25" s="36">
        <f t="shared" si="3"/>
        <v>6</v>
      </c>
      <c r="AN25" s="36">
        <f t="shared" si="3"/>
        <v>7</v>
      </c>
      <c r="AO25" s="36">
        <f t="shared" si="3"/>
        <v>4</v>
      </c>
      <c r="AP25" s="36">
        <f t="shared" si="3"/>
        <v>2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7</v>
      </c>
      <c r="AV25" s="36">
        <f t="shared" si="3"/>
        <v>8</v>
      </c>
      <c r="AW25" s="36">
        <f t="shared" si="3"/>
        <v>7</v>
      </c>
      <c r="AX25" s="36">
        <f t="shared" si="3"/>
        <v>3</v>
      </c>
      <c r="AY25" s="36">
        <f t="shared" si="3"/>
        <v>5</v>
      </c>
      <c r="AZ25" s="36">
        <f t="shared" si="3"/>
        <v>3</v>
      </c>
      <c r="BA25" s="36">
        <f t="shared" si="3"/>
        <v>8</v>
      </c>
      <c r="BB25" s="36">
        <f t="shared" si="3"/>
        <v>6</v>
      </c>
      <c r="BC25" s="36">
        <f t="shared" si="3"/>
        <v>4</v>
      </c>
      <c r="BD25" s="36">
        <f t="shared" si="3"/>
        <v>5</v>
      </c>
      <c r="BE25" s="36">
        <f t="shared" si="3"/>
        <v>5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6</v>
      </c>
      <c r="BJ25" s="36">
        <f t="shared" si="3"/>
        <v>5</v>
      </c>
      <c r="BK25" s="36">
        <f t="shared" si="3"/>
        <v>2</v>
      </c>
      <c r="BL25" s="36">
        <f t="shared" si="3"/>
        <v>4</v>
      </c>
      <c r="BM25" s="36">
        <f t="shared" si="3"/>
        <v>9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0</v>
      </c>
      <c r="M26" s="71">
        <f t="shared" si="4"/>
        <v>10</v>
      </c>
      <c r="N26" s="71">
        <f t="shared" si="4"/>
        <v>31</v>
      </c>
      <c r="O26" s="71">
        <f t="shared" si="4"/>
        <v>3</v>
      </c>
      <c r="P26" s="71">
        <f t="shared" si="4"/>
        <v>18</v>
      </c>
      <c r="Q26" s="71">
        <f t="shared" si="4"/>
        <v>19</v>
      </c>
      <c r="R26" s="71">
        <f t="shared" si="4"/>
        <v>11</v>
      </c>
      <c r="S26" s="71">
        <f t="shared" si="4"/>
        <v>10</v>
      </c>
      <c r="T26" s="71">
        <f t="shared" si="4"/>
        <v>14</v>
      </c>
      <c r="U26" s="71">
        <f t="shared" si="4"/>
        <v>7</v>
      </c>
      <c r="V26" s="71">
        <f t="shared" si="4"/>
        <v>11</v>
      </c>
      <c r="W26" s="71">
        <f t="shared" si="4"/>
        <v>7</v>
      </c>
      <c r="X26" s="71">
        <f t="shared" si="4"/>
        <v>4</v>
      </c>
      <c r="Y26" s="71">
        <f t="shared" si="4"/>
        <v>17</v>
      </c>
      <c r="Z26" s="71">
        <f t="shared" si="4"/>
        <v>4</v>
      </c>
      <c r="AA26" s="71">
        <f t="shared" si="4"/>
        <v>5</v>
      </c>
      <c r="AB26" s="71">
        <f t="shared" si="4"/>
        <v>9</v>
      </c>
      <c r="AC26" s="71">
        <f t="shared" si="4"/>
        <v>8</v>
      </c>
      <c r="AD26" s="71">
        <f t="shared" si="4"/>
        <v>5</v>
      </c>
      <c r="AE26" s="71">
        <f t="shared" si="4"/>
        <v>4</v>
      </c>
      <c r="AF26" s="71">
        <f t="shared" si="4"/>
        <v>6</v>
      </c>
      <c r="AG26" s="71">
        <f t="shared" si="4"/>
        <v>8</v>
      </c>
      <c r="AH26" s="71">
        <f t="shared" si="4"/>
        <v>10</v>
      </c>
      <c r="AI26" s="71">
        <f t="shared" si="4"/>
        <v>12</v>
      </c>
      <c r="AJ26" s="71">
        <f t="shared" si="4"/>
        <v>15</v>
      </c>
      <c r="AK26" s="71">
        <f t="shared" si="4"/>
        <v>4</v>
      </c>
      <c r="AL26" s="71">
        <f t="shared" si="4"/>
        <v>9</v>
      </c>
      <c r="AM26" s="71">
        <f t="shared" si="4"/>
        <v>5</v>
      </c>
      <c r="AN26" s="71">
        <f t="shared" si="4"/>
        <v>4</v>
      </c>
      <c r="AO26" s="71">
        <f t="shared" si="4"/>
        <v>3</v>
      </c>
      <c r="AP26" s="71">
        <f t="shared" si="4"/>
        <v>9</v>
      </c>
      <c r="AQ26" s="71">
        <f t="shared" si="4"/>
        <v>15</v>
      </c>
      <c r="AR26" s="71">
        <f t="shared" si="4"/>
        <v>4</v>
      </c>
      <c r="AS26" s="71">
        <f t="shared" si="4"/>
        <v>11</v>
      </c>
      <c r="AT26" s="71">
        <f t="shared" si="4"/>
        <v>11</v>
      </c>
      <c r="AU26" s="71">
        <f t="shared" si="4"/>
        <v>8</v>
      </c>
      <c r="AV26" s="71">
        <f t="shared" si="4"/>
        <v>3</v>
      </c>
      <c r="AW26" s="71">
        <f t="shared" si="4"/>
        <v>7</v>
      </c>
      <c r="AX26" s="71">
        <f t="shared" si="4"/>
        <v>18</v>
      </c>
      <c r="AY26" s="71">
        <f t="shared" si="4"/>
        <v>11</v>
      </c>
      <c r="AZ26" s="71">
        <f t="shared" si="4"/>
        <v>5</v>
      </c>
      <c r="BA26" s="71">
        <f t="shared" si="4"/>
        <v>1</v>
      </c>
      <c r="BB26" s="71">
        <f t="shared" si="4"/>
        <v>8</v>
      </c>
      <c r="BC26" s="71">
        <f t="shared" si="4"/>
        <v>9</v>
      </c>
      <c r="BD26" s="71">
        <f t="shared" si="4"/>
        <v>8</v>
      </c>
      <c r="BE26" s="71">
        <f t="shared" si="4"/>
        <v>42</v>
      </c>
      <c r="BF26" s="71">
        <f t="shared" si="4"/>
        <v>8</v>
      </c>
      <c r="BG26" s="71">
        <f t="shared" si="4"/>
        <v>9</v>
      </c>
      <c r="BH26" s="71">
        <f t="shared" si="4"/>
        <v>8</v>
      </c>
      <c r="BI26" s="71">
        <f t="shared" si="4"/>
        <v>11</v>
      </c>
      <c r="BJ26" s="71">
        <f t="shared" si="4"/>
        <v>1</v>
      </c>
      <c r="BK26" s="71">
        <f t="shared" si="4"/>
        <v>21</v>
      </c>
      <c r="BL26" s="71">
        <f t="shared" si="4"/>
        <v>2</v>
      </c>
      <c r="BM26" s="71">
        <f t="shared" si="4"/>
        <v>12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2</v>
      </c>
      <c r="M27" s="71">
        <f t="shared" si="5"/>
        <v>26</v>
      </c>
      <c r="N27" s="71">
        <f t="shared" si="5"/>
        <v>25</v>
      </c>
      <c r="O27" s="71">
        <f t="shared" si="5"/>
        <v>25</v>
      </c>
      <c r="P27" s="71">
        <f t="shared" si="5"/>
        <v>18</v>
      </c>
      <c r="Q27" s="71">
        <f t="shared" si="5"/>
        <v>1</v>
      </c>
      <c r="R27" s="71">
        <f t="shared" si="5"/>
        <v>33</v>
      </c>
      <c r="S27" s="71">
        <f t="shared" si="5"/>
        <v>24</v>
      </c>
      <c r="T27" s="71">
        <f t="shared" si="5"/>
        <v>52</v>
      </c>
      <c r="U27" s="71">
        <f t="shared" si="5"/>
        <v>29</v>
      </c>
      <c r="V27" s="71">
        <f t="shared" si="5"/>
        <v>33</v>
      </c>
      <c r="W27" s="71">
        <f t="shared" si="5"/>
        <v>21</v>
      </c>
      <c r="X27" s="71">
        <f t="shared" si="5"/>
        <v>26</v>
      </c>
      <c r="Y27" s="71">
        <f t="shared" si="5"/>
        <v>15</v>
      </c>
      <c r="Z27" s="71">
        <f t="shared" si="5"/>
        <v>18</v>
      </c>
      <c r="AA27" s="71">
        <f t="shared" si="5"/>
        <v>19</v>
      </c>
      <c r="AB27" s="71">
        <f t="shared" si="5"/>
        <v>27</v>
      </c>
      <c r="AC27" s="71">
        <f t="shared" si="5"/>
        <v>16</v>
      </c>
      <c r="AD27" s="71">
        <f t="shared" si="5"/>
        <v>33</v>
      </c>
      <c r="AE27" s="71">
        <f t="shared" si="5"/>
        <v>40</v>
      </c>
      <c r="AF27" s="71">
        <f t="shared" si="5"/>
        <v>20</v>
      </c>
      <c r="AG27" s="71">
        <f t="shared" si="5"/>
        <v>42</v>
      </c>
      <c r="AH27" s="71">
        <f t="shared" si="5"/>
        <v>26</v>
      </c>
      <c r="AI27" s="71">
        <f t="shared" si="5"/>
        <v>26</v>
      </c>
      <c r="AJ27" s="71">
        <f t="shared" si="5"/>
        <v>23</v>
      </c>
      <c r="AK27" s="71">
        <f t="shared" si="5"/>
        <v>34</v>
      </c>
      <c r="AL27" s="71">
        <f t="shared" si="5"/>
        <v>15</v>
      </c>
      <c r="AM27" s="71">
        <f t="shared" si="5"/>
        <v>25</v>
      </c>
      <c r="AN27" s="71">
        <f t="shared" si="5"/>
        <v>12</v>
      </c>
      <c r="AO27" s="71">
        <f t="shared" si="5"/>
        <v>19</v>
      </c>
      <c r="AP27" s="71">
        <f t="shared" si="5"/>
        <v>19</v>
      </c>
      <c r="AQ27" s="71">
        <f t="shared" si="5"/>
        <v>15</v>
      </c>
      <c r="AR27" s="71">
        <f t="shared" si="5"/>
        <v>40</v>
      </c>
      <c r="AS27" s="71">
        <f t="shared" si="5"/>
        <v>25</v>
      </c>
      <c r="AT27" s="71">
        <f t="shared" si="5"/>
        <v>19</v>
      </c>
      <c r="AU27" s="71">
        <f t="shared" si="5"/>
        <v>22</v>
      </c>
      <c r="AV27" s="71">
        <f t="shared" si="5"/>
        <v>5</v>
      </c>
      <c r="AW27" s="71">
        <f t="shared" si="5"/>
        <v>35</v>
      </c>
      <c r="AX27" s="71">
        <f t="shared" si="5"/>
        <v>26</v>
      </c>
      <c r="AY27" s="71">
        <f t="shared" si="5"/>
        <v>25</v>
      </c>
      <c r="AZ27" s="71">
        <f t="shared" si="5"/>
        <v>9</v>
      </c>
      <c r="BA27" s="71">
        <f t="shared" si="5"/>
        <v>9</v>
      </c>
      <c r="BB27" s="71">
        <f t="shared" si="5"/>
        <v>2</v>
      </c>
      <c r="BC27" s="71">
        <f t="shared" si="5"/>
        <v>5</v>
      </c>
      <c r="BD27" s="71">
        <f t="shared" si="5"/>
        <v>14</v>
      </c>
      <c r="BE27" s="71">
        <f t="shared" si="5"/>
        <v>20</v>
      </c>
      <c r="BF27" s="71">
        <f t="shared" si="5"/>
        <v>0</v>
      </c>
      <c r="BG27" s="71">
        <f t="shared" si="5"/>
        <v>19</v>
      </c>
      <c r="BH27" s="71">
        <f t="shared" si="5"/>
        <v>36</v>
      </c>
      <c r="BI27" s="71">
        <f t="shared" si="5"/>
        <v>19</v>
      </c>
      <c r="BJ27" s="71">
        <f t="shared" si="5"/>
        <v>37</v>
      </c>
      <c r="BK27" s="71">
        <f t="shared" si="5"/>
        <v>35</v>
      </c>
      <c r="BL27" s="71">
        <f t="shared" si="5"/>
        <v>22</v>
      </c>
      <c r="BM27" s="71">
        <f t="shared" si="5"/>
        <v>22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>
        <f t="shared" ca="1" si="6"/>
        <v>1</v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0.5509090909090909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7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3</v>
      </c>
      <c r="Q29" s="71">
        <f t="shared" si="7"/>
        <v>5</v>
      </c>
      <c r="R29" s="71">
        <f t="shared" si="7"/>
        <v>6</v>
      </c>
      <c r="S29" s="71">
        <f t="shared" si="7"/>
        <v>7</v>
      </c>
      <c r="T29" s="71">
        <f t="shared" si="7"/>
        <v>3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6</v>
      </c>
      <c r="Y29" s="71">
        <f t="shared" si="7"/>
        <v>4</v>
      </c>
      <c r="Z29" s="71">
        <f t="shared" si="7"/>
        <v>6</v>
      </c>
      <c r="AA29" s="71">
        <f t="shared" si="7"/>
        <v>3</v>
      </c>
      <c r="AB29" s="71">
        <f t="shared" si="7"/>
        <v>5</v>
      </c>
      <c r="AC29" s="71">
        <f t="shared" si="7"/>
        <v>4</v>
      </c>
      <c r="AD29" s="71">
        <f t="shared" si="7"/>
        <v>6</v>
      </c>
      <c r="AE29" s="71">
        <f t="shared" si="7"/>
        <v>3</v>
      </c>
      <c r="AF29" s="71">
        <f t="shared" si="7"/>
        <v>6</v>
      </c>
      <c r="AG29" s="71">
        <f t="shared" si="7"/>
        <v>3</v>
      </c>
      <c r="AH29" s="71">
        <f t="shared" si="7"/>
        <v>6</v>
      </c>
      <c r="AI29" s="71">
        <f t="shared" si="7"/>
        <v>5</v>
      </c>
      <c r="AJ29" s="71">
        <f t="shared" si="7"/>
        <v>4</v>
      </c>
      <c r="AK29" s="71">
        <f t="shared" si="7"/>
        <v>6</v>
      </c>
      <c r="AL29" s="71">
        <f t="shared" si="7"/>
        <v>4</v>
      </c>
      <c r="AM29" s="71">
        <f t="shared" si="7"/>
        <v>5</v>
      </c>
      <c r="AN29" s="71">
        <f t="shared" si="7"/>
        <v>4</v>
      </c>
      <c r="AO29" s="71">
        <f t="shared" si="7"/>
        <v>5</v>
      </c>
      <c r="AP29" s="71">
        <f t="shared" si="7"/>
        <v>5</v>
      </c>
      <c r="AQ29" s="71">
        <f t="shared" si="7"/>
        <v>4</v>
      </c>
      <c r="AR29" s="71">
        <f t="shared" si="7"/>
        <v>1</v>
      </c>
      <c r="AS29" s="71">
        <f t="shared" si="7"/>
        <v>7</v>
      </c>
      <c r="AT29" s="71">
        <f t="shared" si="7"/>
        <v>6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2</v>
      </c>
      <c r="AZ29" s="71">
        <f t="shared" si="7"/>
        <v>6</v>
      </c>
      <c r="BA29" s="71">
        <f t="shared" si="7"/>
        <v>5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2</v>
      </c>
      <c r="BF29" s="71">
        <f t="shared" si="7"/>
        <v>8</v>
      </c>
      <c r="BG29" s="71">
        <f t="shared" si="7"/>
        <v>7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3</v>
      </c>
      <c r="BL29" s="71">
        <f t="shared" si="7"/>
        <v>5</v>
      </c>
      <c r="BM29" s="71">
        <f t="shared" si="7"/>
        <v>4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1</v>
      </c>
      <c r="N30" s="73">
        <f t="shared" si="8"/>
        <v>2</v>
      </c>
      <c r="O30" s="73">
        <f t="shared" si="8"/>
        <v>5</v>
      </c>
      <c r="P30" s="73">
        <f t="shared" si="8"/>
        <v>0</v>
      </c>
      <c r="Q30" s="73">
        <f t="shared" si="8"/>
        <v>4</v>
      </c>
      <c r="R30" s="73">
        <f t="shared" si="8"/>
        <v>3</v>
      </c>
      <c r="S30" s="73">
        <f t="shared" si="8"/>
        <v>6</v>
      </c>
      <c r="T30" s="73">
        <f t="shared" si="8"/>
        <v>2</v>
      </c>
      <c r="U30" s="73">
        <f t="shared" si="8"/>
        <v>4</v>
      </c>
      <c r="V30" s="73">
        <f t="shared" si="8"/>
        <v>5</v>
      </c>
      <c r="W30" s="73">
        <f t="shared" si="8"/>
        <v>2</v>
      </c>
      <c r="X30" s="73">
        <f t="shared" si="8"/>
        <v>3</v>
      </c>
      <c r="Y30" s="73">
        <f t="shared" si="8"/>
        <v>5</v>
      </c>
      <c r="Z30" s="73">
        <f t="shared" si="8"/>
        <v>5</v>
      </c>
      <c r="AA30" s="73">
        <f t="shared" si="8"/>
        <v>4</v>
      </c>
      <c r="AB30" s="73">
        <f t="shared" si="8"/>
        <v>2</v>
      </c>
      <c r="AC30" s="73">
        <f t="shared" si="8"/>
        <v>3</v>
      </c>
      <c r="AD30" s="73">
        <f t="shared" si="8"/>
        <v>7</v>
      </c>
      <c r="AE30" s="73">
        <f t="shared" si="8"/>
        <v>6</v>
      </c>
      <c r="AF30" s="73">
        <f t="shared" si="8"/>
        <v>3</v>
      </c>
      <c r="AG30" s="73">
        <f t="shared" si="8"/>
        <v>4</v>
      </c>
      <c r="AH30" s="73">
        <f t="shared" si="8"/>
        <v>7</v>
      </c>
      <c r="AI30" s="73">
        <f t="shared" si="8"/>
        <v>2</v>
      </c>
      <c r="AJ30" s="73">
        <f t="shared" si="8"/>
        <v>3</v>
      </c>
      <c r="AK30" s="73">
        <f t="shared" si="8"/>
        <v>7</v>
      </c>
      <c r="AL30" s="73">
        <f t="shared" si="8"/>
        <v>7</v>
      </c>
      <c r="AM30" s="73">
        <f t="shared" si="8"/>
        <v>2</v>
      </c>
      <c r="AN30" s="73">
        <f t="shared" si="8"/>
        <v>3</v>
      </c>
      <c r="AO30" s="73">
        <f t="shared" si="8"/>
        <v>4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5</v>
      </c>
      <c r="AV30" s="73">
        <f t="shared" si="8"/>
        <v>6</v>
      </c>
      <c r="AW30" s="73">
        <f t="shared" si="8"/>
        <v>3</v>
      </c>
      <c r="AX30" s="73">
        <f t="shared" si="8"/>
        <v>5</v>
      </c>
      <c r="AY30" s="73">
        <f t="shared" si="8"/>
        <v>5</v>
      </c>
      <c r="AZ30" s="73">
        <f t="shared" si="8"/>
        <v>5</v>
      </c>
      <c r="BA30" s="73">
        <f t="shared" si="8"/>
        <v>4</v>
      </c>
      <c r="BB30" s="73">
        <f t="shared" si="8"/>
        <v>4</v>
      </c>
      <c r="BC30" s="73">
        <f t="shared" si="8"/>
        <v>6</v>
      </c>
      <c r="BD30" s="73">
        <f t="shared" si="8"/>
        <v>3</v>
      </c>
      <c r="BE30" s="73">
        <f t="shared" si="8"/>
        <v>5</v>
      </c>
      <c r="BF30" s="73">
        <f t="shared" si="8"/>
        <v>5</v>
      </c>
      <c r="BG30" s="73">
        <f t="shared" si="8"/>
        <v>6</v>
      </c>
      <c r="BH30" s="73">
        <f t="shared" si="8"/>
        <v>4</v>
      </c>
      <c r="BI30" s="73">
        <f t="shared" si="8"/>
        <v>4</v>
      </c>
      <c r="BJ30" s="73">
        <f t="shared" si="8"/>
        <v>3</v>
      </c>
      <c r="BK30" s="73">
        <f t="shared" si="8"/>
        <v>2</v>
      </c>
      <c r="BL30" s="73">
        <f t="shared" si="8"/>
        <v>4</v>
      </c>
      <c r="BM30" s="73">
        <f t="shared" si="8"/>
        <v>7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2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3</v>
      </c>
      <c r="R31" s="71">
        <f t="shared" ca="1" si="9"/>
        <v>2</v>
      </c>
      <c r="S31" s="71">
        <f t="shared" ca="1" si="9"/>
        <v>5</v>
      </c>
      <c r="T31" s="71">
        <f t="shared" ca="1" si="9"/>
        <v>1</v>
      </c>
      <c r="U31" s="71">
        <f t="shared" ca="1" si="9"/>
        <v>3</v>
      </c>
      <c r="V31" s="71">
        <f t="shared" ca="1" si="9"/>
        <v>4</v>
      </c>
      <c r="W31" s="71">
        <f t="shared" ca="1" si="9"/>
        <v>1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3</v>
      </c>
      <c r="AB31" s="71">
        <f t="shared" ca="1" si="9"/>
        <v>1</v>
      </c>
      <c r="AC31" s="71">
        <f t="shared" ca="1" si="9"/>
        <v>2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1</v>
      </c>
      <c r="AH31" s="71">
        <f t="shared" ca="1" si="9"/>
        <v>6</v>
      </c>
      <c r="AI31" s="71">
        <f t="shared" ca="1" si="9"/>
        <v>3</v>
      </c>
      <c r="AJ31" s="71">
        <f t="shared" ca="1" si="9"/>
        <v>2</v>
      </c>
      <c r="AK31" s="71">
        <f t="shared" ca="1" si="9"/>
        <v>4</v>
      </c>
      <c r="AL31" s="71">
        <f t="shared" ca="1" si="9"/>
        <v>6</v>
      </c>
      <c r="AM31" s="71">
        <f t="shared" ca="1" si="9"/>
        <v>1</v>
      </c>
      <c r="AN31" s="71">
        <f t="shared" ca="1" si="9"/>
        <v>2</v>
      </c>
      <c r="AO31" s="71">
        <f t="shared" ca="1" si="9"/>
        <v>3</v>
      </c>
      <c r="AP31" s="71">
        <f t="shared" ca="1" si="9"/>
        <v>7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2</v>
      </c>
      <c r="AV31" s="71">
        <f t="shared" ca="1" si="9"/>
        <v>3</v>
      </c>
      <c r="AW31" s="71">
        <f t="shared" ca="1" si="9"/>
        <v>0</v>
      </c>
      <c r="AX31" s="71">
        <f t="shared" ca="1" si="9"/>
        <v>6</v>
      </c>
      <c r="AY31" s="71">
        <f t="shared" ca="1" si="9"/>
        <v>4</v>
      </c>
      <c r="AZ31" s="71">
        <f t="shared" ca="1" si="9"/>
        <v>4</v>
      </c>
      <c r="BA31" s="71">
        <f t="shared" ca="1" si="9"/>
        <v>1</v>
      </c>
      <c r="BB31" s="71">
        <f t="shared" ca="1" si="9"/>
        <v>5</v>
      </c>
      <c r="BC31" s="71">
        <f t="shared" ca="1" si="9"/>
        <v>5</v>
      </c>
      <c r="BD31" s="71">
        <f t="shared" ca="1" si="9"/>
        <v>2</v>
      </c>
      <c r="BE31" s="71">
        <f t="shared" ca="1" si="9"/>
        <v>6</v>
      </c>
      <c r="BF31" s="71">
        <f t="shared" ca="1" si="9"/>
        <v>4</v>
      </c>
      <c r="BG31" s="71">
        <f t="shared" ca="1" si="9"/>
        <v>5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5</v>
      </c>
      <c r="BL31" s="71">
        <f t="shared" ca="1" si="9"/>
        <v>3</v>
      </c>
      <c r="BM31" s="71">
        <f t="shared" ca="1" si="9"/>
        <v>4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121967936</v>
      </c>
      <c r="L36" s="32">
        <f t="shared" ref="L36:BM36" si="12">COUNTA(L23:L24)*((10000000*L25)+(1000000*(COUNTA(L21)*$E21+COUNTA(L22)*$E22))-(COUNTA($D$21:$D$22)*1000*L26)-(COUNTA($D$21:$D$22)*L27))</f>
        <v>81999992</v>
      </c>
      <c r="M36" s="32">
        <f t="shared" si="12"/>
        <v>101959896</v>
      </c>
      <c r="N36" s="32">
        <f t="shared" si="12"/>
        <v>119875900</v>
      </c>
      <c r="O36" s="32">
        <f t="shared" si="12"/>
        <v>141987900</v>
      </c>
      <c r="P36" s="32">
        <f t="shared" si="12"/>
        <v>79927928</v>
      </c>
      <c r="Q36" s="32">
        <f t="shared" si="12"/>
        <v>79923996</v>
      </c>
      <c r="R36" s="32">
        <f t="shared" si="12"/>
        <v>101955868</v>
      </c>
      <c r="S36" s="32">
        <f t="shared" si="12"/>
        <v>81959904</v>
      </c>
      <c r="T36" s="32">
        <f t="shared" si="12"/>
        <v>121943792</v>
      </c>
      <c r="U36" s="32">
        <f t="shared" si="12"/>
        <v>81971884</v>
      </c>
      <c r="V36" s="32">
        <f t="shared" si="12"/>
        <v>101955868</v>
      </c>
      <c r="W36" s="32">
        <f t="shared" si="12"/>
        <v>121971916</v>
      </c>
      <c r="X36" s="32">
        <f t="shared" si="12"/>
        <v>101983896</v>
      </c>
      <c r="Y36" s="32">
        <f t="shared" si="12"/>
        <v>99931940</v>
      </c>
      <c r="Z36" s="32">
        <f t="shared" si="12"/>
        <v>141983928</v>
      </c>
      <c r="AA36" s="32">
        <f t="shared" si="12"/>
        <v>161979924</v>
      </c>
      <c r="AB36" s="32">
        <f t="shared" si="12"/>
        <v>121963892</v>
      </c>
      <c r="AC36" s="32">
        <f t="shared" si="12"/>
        <v>101967936</v>
      </c>
      <c r="AD36" s="32">
        <f t="shared" si="12"/>
        <v>141979868</v>
      </c>
      <c r="AE36" s="32">
        <f t="shared" si="12"/>
        <v>121983840</v>
      </c>
      <c r="AF36" s="32">
        <f t="shared" si="12"/>
        <v>101975920</v>
      </c>
      <c r="AG36" s="32">
        <f t="shared" si="12"/>
        <v>121967832</v>
      </c>
      <c r="AH36" s="32">
        <f t="shared" si="12"/>
        <v>101959896</v>
      </c>
      <c r="AI36" s="32">
        <f t="shared" si="12"/>
        <v>81951896</v>
      </c>
      <c r="AJ36" s="32">
        <f t="shared" si="12"/>
        <v>99939908</v>
      </c>
      <c r="AK36" s="32">
        <f t="shared" si="12"/>
        <v>181983864</v>
      </c>
      <c r="AL36" s="32">
        <f t="shared" si="12"/>
        <v>101963940</v>
      </c>
      <c r="AM36" s="32">
        <f t="shared" si="12"/>
        <v>121979900</v>
      </c>
      <c r="AN36" s="32">
        <f t="shared" si="12"/>
        <v>141983952</v>
      </c>
      <c r="AO36" s="32">
        <f t="shared" si="12"/>
        <v>81987924</v>
      </c>
      <c r="AP36" s="32">
        <f t="shared" si="12"/>
        <v>41963924</v>
      </c>
      <c r="AQ36" s="32">
        <f t="shared" si="12"/>
        <v>99939940</v>
      </c>
      <c r="AR36" s="32">
        <f t="shared" si="12"/>
        <v>121983840</v>
      </c>
      <c r="AS36" s="32">
        <f t="shared" si="12"/>
        <v>121955900</v>
      </c>
      <c r="AT36" s="32">
        <f t="shared" si="12"/>
        <v>141955924</v>
      </c>
      <c r="AU36" s="32">
        <f t="shared" si="12"/>
        <v>141967912</v>
      </c>
      <c r="AV36" s="32">
        <f t="shared" si="12"/>
        <v>161987980</v>
      </c>
      <c r="AW36" s="32">
        <f t="shared" si="12"/>
        <v>141971860</v>
      </c>
      <c r="AX36" s="32">
        <f t="shared" si="12"/>
        <v>59927896</v>
      </c>
      <c r="AY36" s="32">
        <f t="shared" si="12"/>
        <v>101955900</v>
      </c>
      <c r="AZ36" s="32">
        <f t="shared" si="12"/>
        <v>61979964</v>
      </c>
      <c r="BA36" s="32">
        <f t="shared" si="12"/>
        <v>161995964</v>
      </c>
      <c r="BB36" s="32">
        <f t="shared" si="12"/>
        <v>121967992</v>
      </c>
      <c r="BC36" s="32">
        <f t="shared" si="12"/>
        <v>81963980</v>
      </c>
      <c r="BD36" s="32">
        <f t="shared" si="12"/>
        <v>101967944</v>
      </c>
      <c r="BE36" s="32">
        <f t="shared" si="12"/>
        <v>99831920</v>
      </c>
      <c r="BF36" s="32">
        <f t="shared" si="12"/>
        <v>141968000</v>
      </c>
      <c r="BG36" s="32">
        <f t="shared" si="12"/>
        <v>81963924</v>
      </c>
      <c r="BH36" s="32">
        <f t="shared" si="12"/>
        <v>161967856</v>
      </c>
      <c r="BI36" s="32">
        <f t="shared" si="12"/>
        <v>121955924</v>
      </c>
      <c r="BJ36" s="32">
        <f t="shared" si="12"/>
        <v>101995852</v>
      </c>
      <c r="BK36" s="32">
        <f t="shared" si="12"/>
        <v>39915860</v>
      </c>
      <c r="BL36" s="32">
        <f t="shared" si="12"/>
        <v>81991912</v>
      </c>
      <c r="BM36" s="32">
        <f t="shared" si="12"/>
        <v>181951912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1" priority="9" stopIfTrue="1" operator="equal">
      <formula>0</formula>
    </cfRule>
  </conditionalFormatting>
  <conditionalFormatting sqref="D26:J28 K28:BE28">
    <cfRule type="cellIs" dxfId="210" priority="10" stopIfTrue="1" operator="equal">
      <formula>1</formula>
    </cfRule>
  </conditionalFormatting>
  <conditionalFormatting sqref="H3:I3 F23 H5:I5 H7:I7 H9:I9 H11:I11 H13:I13 H15:I15 H17:I17 H19:I19 H21:I21">
    <cfRule type="cellIs" dxfId="209" priority="11" stopIfTrue="1" operator="equal">
      <formula>0</formula>
    </cfRule>
  </conditionalFormatting>
  <conditionalFormatting sqref="H4:I4 F24 H6:I6 H8:I8 H10:I10 H12:I12 H14:I14 H16:I16 H18:I18 H20:I20 H22:I22">
    <cfRule type="cellIs" dxfId="208" priority="12" stopIfTrue="1" operator="equal">
      <formula>0</formula>
    </cfRule>
  </conditionalFormatting>
  <conditionalFormatting sqref="F3 F5 F7 F9 F11 F13 F15 F17 F19 F21">
    <cfRule type="cellIs" dxfId="20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0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05" priority="15" stopIfTrue="1">
      <formula>AND(COUNTA(J4)=1,$E4=1,SUM($E3:$E4)=1)</formula>
    </cfRule>
    <cfRule type="expression" dxfId="20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3" priority="17" stopIfTrue="1">
      <formula>AND(COUNTA(J3)=1,$E3=1,SUM($E3:$E4)=1)</formula>
    </cfRule>
    <cfRule type="expression" dxfId="202" priority="18" stopIfTrue="1">
      <formula>AND(COUNTA(J3)=1,$E3=0,SUM($E3:$E4)=1)</formula>
    </cfRule>
  </conditionalFormatting>
  <conditionalFormatting sqref="BF23:BM23">
    <cfRule type="cellIs" dxfId="201" priority="7" stopIfTrue="1" operator="equal">
      <formula>0</formula>
    </cfRule>
  </conditionalFormatting>
  <conditionalFormatting sqref="BF24:BM24">
    <cfRule type="cellIs" dxfId="200" priority="6" stopIfTrue="1" operator="equal">
      <formula>0</formula>
    </cfRule>
  </conditionalFormatting>
  <conditionalFormatting sqref="BF28:BM28">
    <cfRule type="cellIs" dxfId="19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8" priority="3" stopIfTrue="1">
      <formula>AND(COUNTA(BF4)=1,$E4=1,SUM($E3:$E4)=1)</formula>
    </cfRule>
    <cfRule type="expression" dxfId="19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96" priority="1" stopIfTrue="1">
      <formula>AND(COUNTA(BF3)=1,$E3=1,SUM($E3:$E4)=1)</formula>
    </cfRule>
    <cfRule type="expression" dxfId="19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BM58"/>
  <sheetViews>
    <sheetView topLeftCell="A2" zoomScale="90" zoomScaleNormal="100" zoomScaleSheetLayoutView="100" workbookViewId="0">
      <selection activeCell="AK26" sqref="AK26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250</v>
      </c>
      <c r="C3" s="65">
        <v>5.5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350</v>
      </c>
      <c r="N3" s="69"/>
      <c r="O3" s="69"/>
      <c r="P3" s="69"/>
      <c r="Q3" s="69" t="s">
        <v>335</v>
      </c>
      <c r="R3" s="69"/>
      <c r="S3" s="69" t="s">
        <v>311</v>
      </c>
      <c r="T3" s="69" t="s">
        <v>344</v>
      </c>
      <c r="U3" s="69"/>
      <c r="V3" s="69"/>
      <c r="W3" s="69"/>
      <c r="X3" s="69" t="s">
        <v>374</v>
      </c>
      <c r="Y3" s="69" t="s">
        <v>311</v>
      </c>
      <c r="Z3" s="69"/>
      <c r="AA3" s="69"/>
      <c r="AB3" s="69" t="s">
        <v>372</v>
      </c>
      <c r="AC3" s="69" t="s">
        <v>311</v>
      </c>
      <c r="AD3" s="69" t="s">
        <v>345</v>
      </c>
      <c r="AE3" s="69" t="s">
        <v>311</v>
      </c>
      <c r="AF3" s="69"/>
      <c r="AG3" s="69"/>
      <c r="AH3" s="69"/>
      <c r="AI3" s="69" t="s">
        <v>334</v>
      </c>
      <c r="AJ3" s="69" t="s">
        <v>329</v>
      </c>
      <c r="AK3" s="69" t="s">
        <v>311</v>
      </c>
      <c r="AL3" s="69"/>
      <c r="AM3" s="69"/>
      <c r="AN3" s="69" t="s">
        <v>335</v>
      </c>
      <c r="AO3" s="69" t="s">
        <v>311</v>
      </c>
      <c r="AP3" s="69" t="s">
        <v>328</v>
      </c>
      <c r="AQ3" s="96" t="s">
        <v>364</v>
      </c>
      <c r="AR3" s="96" t="s">
        <v>309</v>
      </c>
      <c r="AS3" s="69" t="s">
        <v>375</v>
      </c>
      <c r="AT3" s="69"/>
      <c r="AU3" s="69" t="s">
        <v>311</v>
      </c>
      <c r="AV3" s="69" t="s">
        <v>311</v>
      </c>
      <c r="AW3" s="69"/>
      <c r="AX3" s="69" t="s">
        <v>361</v>
      </c>
      <c r="AY3" s="69" t="s">
        <v>434</v>
      </c>
      <c r="AZ3" s="69" t="s">
        <v>311</v>
      </c>
      <c r="BA3" s="69" t="s">
        <v>311</v>
      </c>
      <c r="BB3" s="69" t="s">
        <v>314</v>
      </c>
      <c r="BC3" s="69"/>
      <c r="BD3" s="69" t="s">
        <v>329</v>
      </c>
      <c r="BE3" s="96" t="s">
        <v>364</v>
      </c>
      <c r="BF3" s="69" t="s">
        <v>372</v>
      </c>
      <c r="BG3" s="69"/>
      <c r="BH3" s="69" t="s">
        <v>311</v>
      </c>
      <c r="BI3" s="69" t="s">
        <v>321</v>
      </c>
      <c r="BJ3" s="69"/>
      <c r="BK3" s="69"/>
      <c r="BL3" s="69" t="s">
        <v>311</v>
      </c>
      <c r="BM3" s="69" t="s">
        <v>328</v>
      </c>
    </row>
    <row r="4" spans="1:65">
      <c r="A4" s="61" t="s">
        <v>3</v>
      </c>
      <c r="B4" s="68" t="s">
        <v>245</v>
      </c>
      <c r="C4" s="66"/>
      <c r="D4" s="64">
        <v>27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 t="s">
        <v>309</v>
      </c>
      <c r="L4" s="70" t="s">
        <v>309</v>
      </c>
      <c r="M4" s="70"/>
      <c r="N4" s="70" t="s">
        <v>354</v>
      </c>
      <c r="O4" s="70" t="s">
        <v>311</v>
      </c>
      <c r="P4" s="70" t="s">
        <v>309</v>
      </c>
      <c r="Q4" s="70"/>
      <c r="R4" s="70" t="s">
        <v>309</v>
      </c>
      <c r="S4" s="70"/>
      <c r="T4" s="70"/>
      <c r="U4" s="70" t="s">
        <v>309</v>
      </c>
      <c r="V4" s="70" t="s">
        <v>309</v>
      </c>
      <c r="W4" s="70" t="s">
        <v>366</v>
      </c>
      <c r="X4" s="70"/>
      <c r="Y4" s="70"/>
      <c r="Z4" s="70" t="s">
        <v>311</v>
      </c>
      <c r="AA4" s="70" t="s">
        <v>311</v>
      </c>
      <c r="AB4" s="70"/>
      <c r="AC4" s="70"/>
      <c r="AD4" s="70"/>
      <c r="AE4" s="70"/>
      <c r="AF4" s="70" t="s">
        <v>349</v>
      </c>
      <c r="AG4" s="70" t="s">
        <v>350</v>
      </c>
      <c r="AH4" s="70" t="s">
        <v>424</v>
      </c>
      <c r="AI4" s="70"/>
      <c r="AJ4" s="70"/>
      <c r="AK4" s="70"/>
      <c r="AL4" s="70" t="s">
        <v>327</v>
      </c>
      <c r="AM4" s="70" t="s">
        <v>322</v>
      </c>
      <c r="AN4" s="70"/>
      <c r="AO4" s="70"/>
      <c r="AP4" s="70"/>
      <c r="AQ4" s="70"/>
      <c r="AR4" s="70"/>
      <c r="AS4" s="70"/>
      <c r="AT4" s="70" t="s">
        <v>336</v>
      </c>
      <c r="AU4" s="70"/>
      <c r="AV4" s="70"/>
      <c r="AW4" s="70" t="s">
        <v>327</v>
      </c>
      <c r="AX4" s="70"/>
      <c r="AY4" s="70"/>
      <c r="AZ4" s="70"/>
      <c r="BA4" s="70"/>
      <c r="BB4" s="70"/>
      <c r="BC4" s="70" t="s">
        <v>309</v>
      </c>
      <c r="BD4" s="70"/>
      <c r="BE4" s="70"/>
      <c r="BF4" s="70"/>
      <c r="BG4" s="70" t="s">
        <v>311</v>
      </c>
      <c r="BH4" s="70"/>
      <c r="BI4" s="70"/>
      <c r="BJ4" s="70" t="s">
        <v>413</v>
      </c>
      <c r="BK4" s="70" t="s">
        <v>309</v>
      </c>
      <c r="BL4" s="70"/>
      <c r="BM4" s="70"/>
    </row>
    <row r="5" spans="1:65">
      <c r="A5" s="59">
        <v>2</v>
      </c>
      <c r="B5" s="67" t="s">
        <v>148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 t="s">
        <v>335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69"/>
      <c r="AD5" s="69" t="s">
        <v>346</v>
      </c>
      <c r="AE5" s="69" t="s">
        <v>311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 t="s">
        <v>327</v>
      </c>
    </row>
    <row r="6" spans="1:65">
      <c r="A6" s="61" t="s">
        <v>3</v>
      </c>
      <c r="B6" s="68" t="s">
        <v>151</v>
      </c>
      <c r="C6" s="66">
        <v>3.5</v>
      </c>
      <c r="D6" s="64">
        <v>21</v>
      </c>
      <c r="E6" s="64">
        <f>IF(ISBLANK($D6),"0",IF(($D6-$D5)&gt;($C6-$C5),1,0))</f>
        <v>0</v>
      </c>
      <c r="F6" s="64">
        <f t="shared" ca="1" si="1"/>
        <v>51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 t="s">
        <v>350</v>
      </c>
      <c r="N6" s="70" t="s">
        <v>313</v>
      </c>
      <c r="O6" s="70" t="s">
        <v>311</v>
      </c>
      <c r="P6" s="70" t="s">
        <v>309</v>
      </c>
      <c r="Q6" s="70"/>
      <c r="R6" s="70" t="s">
        <v>309</v>
      </c>
      <c r="S6" s="70" t="s">
        <v>311</v>
      </c>
      <c r="T6" s="70" t="s">
        <v>344</v>
      </c>
      <c r="U6" s="70" t="s">
        <v>309</v>
      </c>
      <c r="V6" s="70" t="s">
        <v>309</v>
      </c>
      <c r="W6" s="70" t="s">
        <v>315</v>
      </c>
      <c r="X6" s="70" t="s">
        <v>314</v>
      </c>
      <c r="Y6" s="70" t="s">
        <v>311</v>
      </c>
      <c r="Z6" s="70" t="s">
        <v>311</v>
      </c>
      <c r="AA6" s="70" t="s">
        <v>311</v>
      </c>
      <c r="AB6" s="70" t="s">
        <v>327</v>
      </c>
      <c r="AC6" s="70" t="s">
        <v>311</v>
      </c>
      <c r="AD6" s="70"/>
      <c r="AE6" s="70"/>
      <c r="AF6" s="70" t="s">
        <v>349</v>
      </c>
      <c r="AG6" s="70" t="s">
        <v>313</v>
      </c>
      <c r="AH6" s="70" t="s">
        <v>425</v>
      </c>
      <c r="AI6" s="70" t="s">
        <v>315</v>
      </c>
      <c r="AJ6" s="70" t="s">
        <v>329</v>
      </c>
      <c r="AK6" s="70" t="s">
        <v>311</v>
      </c>
      <c r="AL6" s="70" t="s">
        <v>327</v>
      </c>
      <c r="AM6" s="70" t="s">
        <v>313</v>
      </c>
      <c r="AN6" s="70" t="s">
        <v>335</v>
      </c>
      <c r="AO6" s="70" t="s">
        <v>311</v>
      </c>
      <c r="AP6" s="70" t="s">
        <v>323</v>
      </c>
      <c r="AQ6" s="97" t="s">
        <v>364</v>
      </c>
      <c r="AR6" s="70" t="s">
        <v>309</v>
      </c>
      <c r="AS6" s="70" t="s">
        <v>312</v>
      </c>
      <c r="AT6" s="70" t="s">
        <v>336</v>
      </c>
      <c r="AU6" s="70" t="s">
        <v>311</v>
      </c>
      <c r="AV6" s="70" t="s">
        <v>311</v>
      </c>
      <c r="AW6" s="70" t="s">
        <v>360</v>
      </c>
      <c r="AX6" s="70" t="s">
        <v>331</v>
      </c>
      <c r="AY6" s="70" t="s">
        <v>435</v>
      </c>
      <c r="AZ6" s="70" t="s">
        <v>311</v>
      </c>
      <c r="BA6" s="70" t="s">
        <v>311</v>
      </c>
      <c r="BB6" s="70" t="s">
        <v>314</v>
      </c>
      <c r="BC6" s="70" t="s">
        <v>309</v>
      </c>
      <c r="BD6" s="70" t="s">
        <v>390</v>
      </c>
      <c r="BE6" s="97" t="s">
        <v>364</v>
      </c>
      <c r="BF6" s="70" t="s">
        <v>372</v>
      </c>
      <c r="BG6" s="70" t="s">
        <v>311</v>
      </c>
      <c r="BH6" s="70" t="s">
        <v>311</v>
      </c>
      <c r="BI6" s="70" t="s">
        <v>321</v>
      </c>
      <c r="BJ6" s="70" t="s">
        <v>413</v>
      </c>
      <c r="BK6" s="70" t="s">
        <v>309</v>
      </c>
      <c r="BL6" s="70" t="s">
        <v>311</v>
      </c>
      <c r="BM6" s="70"/>
    </row>
    <row r="7" spans="1:65">
      <c r="A7" s="59">
        <v>3</v>
      </c>
      <c r="B7" s="67" t="s">
        <v>160</v>
      </c>
      <c r="C7" s="65"/>
      <c r="D7" s="64">
        <v>32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 t="s">
        <v>320</v>
      </c>
      <c r="K7" s="69"/>
      <c r="L7" s="69" t="s">
        <v>309</v>
      </c>
      <c r="M7" s="69" t="s">
        <v>350</v>
      </c>
      <c r="N7" s="69" t="s">
        <v>314</v>
      </c>
      <c r="O7" s="69" t="s">
        <v>311</v>
      </c>
      <c r="P7" s="69"/>
      <c r="Q7" s="69" t="s">
        <v>335</v>
      </c>
      <c r="R7" s="96" t="s">
        <v>309</v>
      </c>
      <c r="S7" s="96"/>
      <c r="T7" s="96" t="s">
        <v>344</v>
      </c>
      <c r="U7" s="96" t="s">
        <v>309</v>
      </c>
      <c r="V7" s="69"/>
      <c r="W7" s="69" t="s">
        <v>389</v>
      </c>
      <c r="X7" s="69"/>
      <c r="Y7" s="69"/>
      <c r="Z7" s="69" t="s">
        <v>311</v>
      </c>
      <c r="AA7" s="69" t="s">
        <v>311</v>
      </c>
      <c r="AB7" s="69"/>
      <c r="AC7" s="69"/>
      <c r="AD7" s="69" t="s">
        <v>337</v>
      </c>
      <c r="AE7" s="69" t="s">
        <v>311</v>
      </c>
      <c r="AF7" s="69"/>
      <c r="AG7" s="69" t="s">
        <v>322</v>
      </c>
      <c r="AH7" s="69"/>
      <c r="AI7" s="69"/>
      <c r="AJ7" s="69"/>
      <c r="AK7" s="69" t="s">
        <v>311</v>
      </c>
      <c r="AL7" s="69" t="s">
        <v>327</v>
      </c>
      <c r="AM7" s="69"/>
      <c r="AN7" s="69" t="s">
        <v>335</v>
      </c>
      <c r="AO7" s="69" t="s">
        <v>311</v>
      </c>
      <c r="AP7" s="69"/>
      <c r="AQ7" s="96"/>
      <c r="AR7" s="96"/>
      <c r="AS7" s="69" t="s">
        <v>336</v>
      </c>
      <c r="AT7" s="69" t="s">
        <v>336</v>
      </c>
      <c r="AU7" s="69" t="s">
        <v>311</v>
      </c>
      <c r="AV7" s="69" t="s">
        <v>311</v>
      </c>
      <c r="AW7" s="69" t="s">
        <v>314</v>
      </c>
      <c r="AX7" s="69"/>
      <c r="AY7" s="69"/>
      <c r="AZ7" s="69" t="s">
        <v>311</v>
      </c>
      <c r="BA7" s="69"/>
      <c r="BB7" s="69" t="s">
        <v>314</v>
      </c>
      <c r="BC7" s="69"/>
      <c r="BD7" s="69"/>
      <c r="BE7" s="96"/>
      <c r="BF7" s="69"/>
      <c r="BG7" s="69" t="s">
        <v>311</v>
      </c>
      <c r="BH7" s="69"/>
      <c r="BI7" s="69"/>
      <c r="BJ7" s="69"/>
      <c r="BK7" s="69" t="s">
        <v>309</v>
      </c>
      <c r="BL7" s="69"/>
      <c r="BM7" s="69"/>
    </row>
    <row r="8" spans="1:65">
      <c r="A8" s="61" t="s">
        <v>3</v>
      </c>
      <c r="B8" s="68" t="s">
        <v>155</v>
      </c>
      <c r="C8" s="66">
        <v>17.5</v>
      </c>
      <c r="D8" s="64">
        <v>35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/>
      <c r="M8" s="70"/>
      <c r="N8" s="70"/>
      <c r="O8" s="70"/>
      <c r="P8" s="70" t="s">
        <v>309</v>
      </c>
      <c r="Q8" s="70"/>
      <c r="R8" s="97"/>
      <c r="S8" s="97" t="s">
        <v>311</v>
      </c>
      <c r="T8" s="97"/>
      <c r="U8" s="70"/>
      <c r="V8" s="70" t="s">
        <v>309</v>
      </c>
      <c r="W8" s="70"/>
      <c r="X8" s="70" t="s">
        <v>337</v>
      </c>
      <c r="Y8" s="70" t="s">
        <v>311</v>
      </c>
      <c r="Z8" s="70"/>
      <c r="AA8" s="70"/>
      <c r="AB8" s="70" t="s">
        <v>333</v>
      </c>
      <c r="AC8" s="70" t="s">
        <v>311</v>
      </c>
      <c r="AD8" s="70"/>
      <c r="AE8" s="70"/>
      <c r="AF8" s="70" t="s">
        <v>349</v>
      </c>
      <c r="AG8" s="70"/>
      <c r="AH8" s="70" t="s">
        <v>426</v>
      </c>
      <c r="AI8" s="70" t="s">
        <v>323</v>
      </c>
      <c r="AJ8" s="70" t="s">
        <v>329</v>
      </c>
      <c r="AK8" s="70"/>
      <c r="AL8" s="70"/>
      <c r="AM8" s="70" t="s">
        <v>313</v>
      </c>
      <c r="AN8" s="70"/>
      <c r="AO8" s="70"/>
      <c r="AP8" s="70" t="s">
        <v>314</v>
      </c>
      <c r="AQ8" s="70" t="s">
        <v>364</v>
      </c>
      <c r="AR8" s="70" t="s">
        <v>309</v>
      </c>
      <c r="AS8" s="70"/>
      <c r="AT8" s="70"/>
      <c r="AU8" s="70"/>
      <c r="AV8" s="70"/>
      <c r="AW8" s="70"/>
      <c r="AX8" s="70" t="s">
        <v>323</v>
      </c>
      <c r="AY8" s="70" t="s">
        <v>354</v>
      </c>
      <c r="AZ8" s="70"/>
      <c r="BA8" s="70" t="s">
        <v>311</v>
      </c>
      <c r="BB8" s="70"/>
      <c r="BC8" s="70" t="s">
        <v>309</v>
      </c>
      <c r="BD8" s="70" t="s">
        <v>350</v>
      </c>
      <c r="BE8" s="70" t="s">
        <v>364</v>
      </c>
      <c r="BF8" s="70" t="s">
        <v>372</v>
      </c>
      <c r="BG8" s="70"/>
      <c r="BH8" s="70" t="s">
        <v>311</v>
      </c>
      <c r="BI8" s="70" t="s">
        <v>321</v>
      </c>
      <c r="BJ8" s="70" t="s">
        <v>413</v>
      </c>
      <c r="BK8" s="70"/>
      <c r="BL8" s="70" t="s">
        <v>311</v>
      </c>
      <c r="BM8" s="70" t="s">
        <v>329</v>
      </c>
    </row>
    <row r="9" spans="1:65">
      <c r="A9" s="59">
        <v>4</v>
      </c>
      <c r="B9" s="108" t="s">
        <v>207</v>
      </c>
      <c r="C9" s="65"/>
      <c r="D9" s="81">
        <v>30</v>
      </c>
      <c r="E9" s="64">
        <f>IF(ISBLANK($D9),"0",IF(($D10-$D9)&lt;($C10-$C9),1,0))</f>
        <v>1</v>
      </c>
      <c r="F9" s="64">
        <f t="shared" ca="1" si="1"/>
        <v>21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320</v>
      </c>
      <c r="K9" s="69"/>
      <c r="L9" s="69"/>
      <c r="M9" s="69"/>
      <c r="N9" s="69"/>
      <c r="O9" s="69"/>
      <c r="P9" s="69"/>
      <c r="Q9" s="69"/>
      <c r="R9" s="96" t="s">
        <v>309</v>
      </c>
      <c r="S9" s="96" t="s">
        <v>311</v>
      </c>
      <c r="T9" s="96"/>
      <c r="U9" s="69"/>
      <c r="V9" s="69" t="s">
        <v>309</v>
      </c>
      <c r="W9" s="69"/>
      <c r="X9" s="69"/>
      <c r="Y9" s="69"/>
      <c r="Z9" s="69" t="s">
        <v>311</v>
      </c>
      <c r="AA9" s="69"/>
      <c r="AB9" s="69"/>
      <c r="AC9" s="69"/>
      <c r="AD9" s="69"/>
      <c r="AE9" s="69"/>
      <c r="AF9" s="69" t="s">
        <v>349</v>
      </c>
      <c r="AG9" s="69"/>
      <c r="AH9" s="69"/>
      <c r="AI9" s="69" t="s">
        <v>338</v>
      </c>
      <c r="AJ9" s="69"/>
      <c r="AK9" s="69" t="s">
        <v>311</v>
      </c>
      <c r="AL9" s="69"/>
      <c r="AM9" s="69"/>
      <c r="AN9" s="69" t="s">
        <v>335</v>
      </c>
      <c r="AO9" s="69" t="s">
        <v>311</v>
      </c>
      <c r="AP9" s="69" t="s">
        <v>315</v>
      </c>
      <c r="AQ9" s="96"/>
      <c r="AR9" s="96" t="s">
        <v>309</v>
      </c>
      <c r="AS9" s="69" t="s">
        <v>329</v>
      </c>
      <c r="AT9" s="69" t="s">
        <v>336</v>
      </c>
      <c r="AU9" s="69" t="s">
        <v>311</v>
      </c>
      <c r="AV9" s="69"/>
      <c r="AW9" s="69" t="s">
        <v>337</v>
      </c>
      <c r="AX9" s="69" t="s">
        <v>362</v>
      </c>
      <c r="AY9" s="69" t="s">
        <v>436</v>
      </c>
      <c r="AZ9" s="69"/>
      <c r="BA9" s="69"/>
      <c r="BB9" s="69"/>
      <c r="BC9" s="69"/>
      <c r="BD9" s="69" t="s">
        <v>313</v>
      </c>
      <c r="BE9" s="96"/>
      <c r="BF9" s="69"/>
      <c r="BG9" s="69"/>
      <c r="BH9" s="69" t="s">
        <v>311</v>
      </c>
      <c r="BI9" s="69" t="s">
        <v>321</v>
      </c>
      <c r="BJ9" s="69"/>
      <c r="BK9" s="69"/>
      <c r="BL9" s="69" t="s">
        <v>311</v>
      </c>
      <c r="BM9" s="69"/>
    </row>
    <row r="10" spans="1:65">
      <c r="A10" s="61" t="s">
        <v>3</v>
      </c>
      <c r="B10" s="68" t="s">
        <v>169</v>
      </c>
      <c r="C10" s="66">
        <v>9.5</v>
      </c>
      <c r="D10" s="64">
        <v>14</v>
      </c>
      <c r="E10" s="64">
        <f>IF(ISBLANK($D10),"0",IF(($D10-$D9)&gt;($C10-$C9),1,0))</f>
        <v>0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 t="s">
        <v>309</v>
      </c>
      <c r="M10" s="70" t="s">
        <v>350</v>
      </c>
      <c r="N10" s="70" t="s">
        <v>315</v>
      </c>
      <c r="O10" s="70" t="s">
        <v>311</v>
      </c>
      <c r="P10" s="70" t="s">
        <v>309</v>
      </c>
      <c r="Q10" s="70" t="s">
        <v>335</v>
      </c>
      <c r="R10" s="97"/>
      <c r="S10" s="97"/>
      <c r="T10" s="97" t="s">
        <v>344</v>
      </c>
      <c r="U10" s="70" t="s">
        <v>309</v>
      </c>
      <c r="V10" s="70"/>
      <c r="W10" s="70" t="s">
        <v>350</v>
      </c>
      <c r="X10" s="70" t="s">
        <v>340</v>
      </c>
      <c r="Y10" s="70" t="s">
        <v>311</v>
      </c>
      <c r="Z10" s="70"/>
      <c r="AA10" s="70" t="s">
        <v>311</v>
      </c>
      <c r="AB10" s="70" t="s">
        <v>366</v>
      </c>
      <c r="AC10" s="70" t="s">
        <v>311</v>
      </c>
      <c r="AD10" s="70" t="s">
        <v>319</v>
      </c>
      <c r="AE10" s="70" t="s">
        <v>311</v>
      </c>
      <c r="AF10" s="70"/>
      <c r="AG10" s="70" t="s">
        <v>313</v>
      </c>
      <c r="AH10" s="70" t="s">
        <v>427</v>
      </c>
      <c r="AI10" s="70"/>
      <c r="AJ10" s="70" t="s">
        <v>329</v>
      </c>
      <c r="AK10" s="70"/>
      <c r="AL10" s="70" t="s">
        <v>327</v>
      </c>
      <c r="AM10" s="70" t="s">
        <v>347</v>
      </c>
      <c r="AN10" s="70"/>
      <c r="AO10" s="70"/>
      <c r="AP10" s="70"/>
      <c r="AQ10" s="70" t="s">
        <v>364</v>
      </c>
      <c r="AR10" s="70"/>
      <c r="AS10" s="70"/>
      <c r="AT10" s="70"/>
      <c r="AU10" s="70"/>
      <c r="AV10" s="70" t="s">
        <v>311</v>
      </c>
      <c r="AW10" s="70"/>
      <c r="AX10" s="70"/>
      <c r="AY10" s="70"/>
      <c r="AZ10" s="70" t="s">
        <v>311</v>
      </c>
      <c r="BA10" s="70" t="s">
        <v>311</v>
      </c>
      <c r="BB10" s="70" t="s">
        <v>314</v>
      </c>
      <c r="BC10" s="70" t="s">
        <v>309</v>
      </c>
      <c r="BD10" s="70"/>
      <c r="BE10" s="70" t="s">
        <v>364</v>
      </c>
      <c r="BF10" s="70" t="s">
        <v>372</v>
      </c>
      <c r="BG10" s="70" t="s">
        <v>309</v>
      </c>
      <c r="BH10" s="70"/>
      <c r="BI10" s="70"/>
      <c r="BJ10" s="70" t="s">
        <v>413</v>
      </c>
      <c r="BK10" s="70" t="s">
        <v>309</v>
      </c>
      <c r="BL10" s="70"/>
      <c r="BM10" s="70" t="s">
        <v>330</v>
      </c>
    </row>
    <row r="11" spans="1:65">
      <c r="A11" s="59">
        <v>5</v>
      </c>
      <c r="B11" s="67" t="s">
        <v>254</v>
      </c>
      <c r="C11" s="65"/>
      <c r="D11" s="64">
        <v>28</v>
      </c>
      <c r="E11" s="64">
        <f>IF(ISBLANK($D11),"0",IF(($D12-$D11)&lt;($C12-$C11),1,0))</f>
        <v>1</v>
      </c>
      <c r="F11" s="64">
        <f t="shared" ca="1" si="1"/>
        <v>13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 t="s">
        <v>335</v>
      </c>
      <c r="R11" s="96"/>
      <c r="S11" s="96"/>
      <c r="T11" s="96"/>
      <c r="U11" s="69" t="s">
        <v>309</v>
      </c>
      <c r="V11" s="69" t="s">
        <v>309</v>
      </c>
      <c r="W11" s="69"/>
      <c r="X11" s="69"/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/>
      <c r="AH11" s="69" t="s">
        <v>428</v>
      </c>
      <c r="AI11" s="69"/>
      <c r="AJ11" s="69"/>
      <c r="AK11" s="69"/>
      <c r="AL11" s="69" t="s">
        <v>327</v>
      </c>
      <c r="AM11" s="69"/>
      <c r="AN11" s="69"/>
      <c r="AO11" s="69" t="s">
        <v>311</v>
      </c>
      <c r="AP11" s="69"/>
      <c r="AQ11" s="96"/>
      <c r="AR11" s="69"/>
      <c r="AS11" s="69" t="s">
        <v>327</v>
      </c>
      <c r="AT11" s="69"/>
      <c r="AU11" s="69"/>
      <c r="AV11" s="69"/>
      <c r="AW11" s="69"/>
      <c r="AX11" s="69" t="s">
        <v>363</v>
      </c>
      <c r="AY11" s="69"/>
      <c r="AZ11" s="69"/>
      <c r="BA11" s="69"/>
      <c r="BB11" s="69"/>
      <c r="BC11" s="69"/>
      <c r="BD11" s="69"/>
      <c r="BE11" s="96"/>
      <c r="BF11" s="69"/>
      <c r="BG11" s="69" t="s">
        <v>311</v>
      </c>
      <c r="BH11" s="69"/>
      <c r="BI11" s="69" t="s">
        <v>321</v>
      </c>
      <c r="BJ11" s="69"/>
      <c r="BK11" s="69"/>
      <c r="BL11" s="69"/>
      <c r="BM11" s="69" t="s">
        <v>331</v>
      </c>
    </row>
    <row r="12" spans="1:65">
      <c r="A12" s="61" t="s">
        <v>3</v>
      </c>
      <c r="B12" s="68" t="s">
        <v>195</v>
      </c>
      <c r="C12" s="66">
        <v>10.5</v>
      </c>
      <c r="D12" s="64">
        <v>35</v>
      </c>
      <c r="E12" s="64">
        <f>IF(ISBLANK($D12),"0",IF(($D12-$D11)&gt;($C12-$C11),1,0))</f>
        <v>0</v>
      </c>
      <c r="F12" s="64">
        <f t="shared" ca="1" si="1"/>
        <v>42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309</v>
      </c>
      <c r="M12" s="70" t="s">
        <v>350</v>
      </c>
      <c r="N12" s="70" t="s">
        <v>418</v>
      </c>
      <c r="O12" s="70" t="s">
        <v>311</v>
      </c>
      <c r="P12" s="70" t="s">
        <v>309</v>
      </c>
      <c r="Q12" s="70"/>
      <c r="R12" s="97" t="s">
        <v>309</v>
      </c>
      <c r="S12" s="97" t="s">
        <v>311</v>
      </c>
      <c r="T12" s="97" t="s">
        <v>344</v>
      </c>
      <c r="U12" s="70"/>
      <c r="V12" s="70"/>
      <c r="W12" s="70" t="s">
        <v>323</v>
      </c>
      <c r="X12" s="70" t="s">
        <v>332</v>
      </c>
      <c r="Y12" s="70" t="s">
        <v>311</v>
      </c>
      <c r="Z12" s="70"/>
      <c r="AA12" s="70" t="s">
        <v>311</v>
      </c>
      <c r="AB12" s="70" t="s">
        <v>324</v>
      </c>
      <c r="AC12" s="70" t="s">
        <v>311</v>
      </c>
      <c r="AD12" s="70"/>
      <c r="AE12" s="70" t="s">
        <v>311</v>
      </c>
      <c r="AF12" s="70" t="s">
        <v>349</v>
      </c>
      <c r="AG12" s="70" t="s">
        <v>313</v>
      </c>
      <c r="AH12" s="70"/>
      <c r="AI12" s="70" t="s">
        <v>319</v>
      </c>
      <c r="AJ12" s="70" t="s">
        <v>329</v>
      </c>
      <c r="AK12" s="70" t="s">
        <v>311</v>
      </c>
      <c r="AL12" s="70"/>
      <c r="AM12" s="70" t="s">
        <v>333</v>
      </c>
      <c r="AN12" s="70" t="s">
        <v>335</v>
      </c>
      <c r="AO12" s="70"/>
      <c r="AP12" s="70" t="s">
        <v>350</v>
      </c>
      <c r="AQ12" s="70" t="s">
        <v>364</v>
      </c>
      <c r="AR12" s="97" t="s">
        <v>309</v>
      </c>
      <c r="AS12" s="70"/>
      <c r="AT12" s="70" t="s">
        <v>336</v>
      </c>
      <c r="AU12" s="70" t="s">
        <v>311</v>
      </c>
      <c r="AV12" s="70" t="s">
        <v>311</v>
      </c>
      <c r="AW12" s="70" t="s">
        <v>340</v>
      </c>
      <c r="AX12" s="70"/>
      <c r="AY12" s="70" t="s">
        <v>437</v>
      </c>
      <c r="AZ12" s="70" t="s">
        <v>311</v>
      </c>
      <c r="BA12" s="70" t="s">
        <v>311</v>
      </c>
      <c r="BB12" s="70" t="s">
        <v>314</v>
      </c>
      <c r="BC12" s="70" t="s">
        <v>309</v>
      </c>
      <c r="BD12" s="70" t="s">
        <v>313</v>
      </c>
      <c r="BE12" s="70" t="s">
        <v>364</v>
      </c>
      <c r="BF12" s="70" t="s">
        <v>372</v>
      </c>
      <c r="BG12" s="70"/>
      <c r="BH12" s="70" t="s">
        <v>311</v>
      </c>
      <c r="BI12" s="70"/>
      <c r="BJ12" s="70" t="s">
        <v>413</v>
      </c>
      <c r="BK12" s="70" t="s">
        <v>309</v>
      </c>
      <c r="BL12" s="70" t="s">
        <v>311</v>
      </c>
      <c r="BM12" s="70"/>
    </row>
    <row r="13" spans="1:65">
      <c r="A13" s="59">
        <v>6</v>
      </c>
      <c r="B13" s="67" t="s">
        <v>249</v>
      </c>
      <c r="C13" s="65">
        <v>6.5</v>
      </c>
      <c r="D13" s="64">
        <v>20</v>
      </c>
      <c r="E13" s="64">
        <f>IF(ISBLANK($D13),"0",IF(($D14-$D13)&lt;($C14-$C13),1,0))</f>
        <v>1</v>
      </c>
      <c r="F13" s="64">
        <f t="shared" ca="1" si="1"/>
        <v>41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 t="s">
        <v>350</v>
      </c>
      <c r="N13" s="69" t="s">
        <v>419</v>
      </c>
      <c r="O13" s="69" t="s">
        <v>311</v>
      </c>
      <c r="P13" s="69"/>
      <c r="Q13" s="69" t="s">
        <v>335</v>
      </c>
      <c r="R13" s="96" t="s">
        <v>309</v>
      </c>
      <c r="S13" s="96" t="s">
        <v>311</v>
      </c>
      <c r="T13" s="96" t="s">
        <v>344</v>
      </c>
      <c r="U13" s="69" t="s">
        <v>309</v>
      </c>
      <c r="V13" s="69" t="s">
        <v>309</v>
      </c>
      <c r="W13" s="69" t="s">
        <v>340</v>
      </c>
      <c r="X13" s="69" t="s">
        <v>373</v>
      </c>
      <c r="Y13" s="69" t="s">
        <v>311</v>
      </c>
      <c r="Z13" s="69" t="s">
        <v>311</v>
      </c>
      <c r="AA13" s="69"/>
      <c r="AB13" s="69" t="s">
        <v>330</v>
      </c>
      <c r="AC13" s="69" t="s">
        <v>311</v>
      </c>
      <c r="AD13" s="69"/>
      <c r="AE13" s="69" t="s">
        <v>311</v>
      </c>
      <c r="AF13" s="69" t="s">
        <v>349</v>
      </c>
      <c r="AG13" s="69" t="s">
        <v>347</v>
      </c>
      <c r="AH13" s="69" t="s">
        <v>429</v>
      </c>
      <c r="AI13" s="69" t="s">
        <v>432</v>
      </c>
      <c r="AJ13" s="69" t="s">
        <v>329</v>
      </c>
      <c r="AK13" s="69"/>
      <c r="AL13" s="69" t="s">
        <v>327</v>
      </c>
      <c r="AM13" s="69" t="s">
        <v>337</v>
      </c>
      <c r="AN13" s="69"/>
      <c r="AO13" s="69"/>
      <c r="AP13" s="69" t="s">
        <v>389</v>
      </c>
      <c r="AQ13" s="96"/>
      <c r="AR13" s="96" t="s">
        <v>309</v>
      </c>
      <c r="AS13" s="69" t="s">
        <v>334</v>
      </c>
      <c r="AT13" s="69" t="s">
        <v>336</v>
      </c>
      <c r="AU13" s="69" t="s">
        <v>311</v>
      </c>
      <c r="AV13" s="69" t="s">
        <v>311</v>
      </c>
      <c r="AW13" s="69"/>
      <c r="AX13" s="69"/>
      <c r="AY13" s="69"/>
      <c r="AZ13" s="69" t="s">
        <v>311</v>
      </c>
      <c r="BA13" s="69" t="s">
        <v>311</v>
      </c>
      <c r="BB13" s="69" t="s">
        <v>314</v>
      </c>
      <c r="BC13" s="69" t="s">
        <v>309</v>
      </c>
      <c r="BD13" s="69"/>
      <c r="BE13" s="96"/>
      <c r="BF13" s="69" t="s">
        <v>372</v>
      </c>
      <c r="BG13" s="69"/>
      <c r="BH13" s="69" t="s">
        <v>311</v>
      </c>
      <c r="BI13" s="69" t="s">
        <v>321</v>
      </c>
      <c r="BJ13" s="69" t="s">
        <v>413</v>
      </c>
      <c r="BK13" s="69" t="s">
        <v>309</v>
      </c>
      <c r="BL13" s="69" t="s">
        <v>311</v>
      </c>
      <c r="BM13" s="69"/>
    </row>
    <row r="14" spans="1:65">
      <c r="A14" s="61" t="s">
        <v>3</v>
      </c>
      <c r="B14" s="68" t="s">
        <v>152</v>
      </c>
      <c r="C14" s="66"/>
      <c r="D14" s="64">
        <v>13</v>
      </c>
      <c r="E14" s="64">
        <f>IF(ISBLANK($D14),"0",IF(($D14-$D13)&gt;($C14-$C13),1,0))</f>
        <v>0</v>
      </c>
      <c r="F14" s="64">
        <f t="shared" ca="1" si="1"/>
        <v>14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/>
      <c r="N14" s="70"/>
      <c r="O14" s="70"/>
      <c r="P14" s="70" t="s">
        <v>309</v>
      </c>
      <c r="Q14" s="70"/>
      <c r="R14" s="97"/>
      <c r="S14" s="97"/>
      <c r="T14" s="97"/>
      <c r="U14" s="70"/>
      <c r="V14" s="70"/>
      <c r="W14" s="70"/>
      <c r="X14" s="70"/>
      <c r="Y14" s="70"/>
      <c r="Z14" s="70"/>
      <c r="AA14" s="70" t="s">
        <v>311</v>
      </c>
      <c r="AB14" s="70"/>
      <c r="AC14" s="70"/>
      <c r="AD14" s="70" t="s">
        <v>323</v>
      </c>
      <c r="AE14" s="70"/>
      <c r="AF14" s="70"/>
      <c r="AG14" s="70"/>
      <c r="AH14" s="70"/>
      <c r="AI14" s="70"/>
      <c r="AJ14" s="70"/>
      <c r="AK14" s="70" t="s">
        <v>311</v>
      </c>
      <c r="AL14" s="70"/>
      <c r="AM14" s="70"/>
      <c r="AN14" s="70" t="s">
        <v>335</v>
      </c>
      <c r="AO14" s="70" t="s">
        <v>311</v>
      </c>
      <c r="AP14" s="70"/>
      <c r="AQ14" s="70" t="s">
        <v>364</v>
      </c>
      <c r="AR14" s="70"/>
      <c r="AS14" s="70"/>
      <c r="AT14" s="70"/>
      <c r="AU14" s="70"/>
      <c r="AV14" s="70"/>
      <c r="AW14" s="70" t="s">
        <v>366</v>
      </c>
      <c r="AX14" s="70" t="s">
        <v>320</v>
      </c>
      <c r="AY14" s="70" t="s">
        <v>350</v>
      </c>
      <c r="AZ14" s="70"/>
      <c r="BA14" s="70"/>
      <c r="BB14" s="70"/>
      <c r="BC14" s="70"/>
      <c r="BD14" s="70" t="s">
        <v>363</v>
      </c>
      <c r="BE14" s="70" t="s">
        <v>364</v>
      </c>
      <c r="BF14" s="70"/>
      <c r="BG14" s="70" t="s">
        <v>311</v>
      </c>
      <c r="BH14" s="70"/>
      <c r="BI14" s="70"/>
      <c r="BJ14" s="70"/>
      <c r="BK14" s="70"/>
      <c r="BL14" s="70"/>
      <c r="BM14" s="70" t="s">
        <v>332</v>
      </c>
    </row>
    <row r="15" spans="1:65">
      <c r="A15" s="59">
        <v>7</v>
      </c>
      <c r="B15" s="67" t="s">
        <v>171</v>
      </c>
      <c r="C15" s="65"/>
      <c r="D15" s="64">
        <v>35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309</v>
      </c>
      <c r="M15" s="69"/>
      <c r="N15" s="69"/>
      <c r="O15" s="69"/>
      <c r="P15" s="69"/>
      <c r="Q15" s="69" t="s">
        <v>335</v>
      </c>
      <c r="R15" s="96"/>
      <c r="S15" s="96"/>
      <c r="T15" s="96"/>
      <c r="U15" s="69"/>
      <c r="V15" s="69"/>
      <c r="W15" s="69"/>
      <c r="X15" s="69"/>
      <c r="Y15" s="69" t="s">
        <v>311</v>
      </c>
      <c r="Z15" s="69"/>
      <c r="AA15" s="69"/>
      <c r="AB15" s="69"/>
      <c r="AC15" s="69"/>
      <c r="AD15" s="69" t="s">
        <v>347</v>
      </c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96" t="s">
        <v>364</v>
      </c>
      <c r="AR15" s="69"/>
      <c r="AS15" s="69"/>
      <c r="AT15" s="69"/>
      <c r="AU15" s="69"/>
      <c r="AV15" s="69" t="s">
        <v>311</v>
      </c>
      <c r="AW15" s="69"/>
      <c r="AX15" s="69"/>
      <c r="AY15" s="69"/>
      <c r="AZ15" s="69" t="s">
        <v>311</v>
      </c>
      <c r="BA15" s="69"/>
      <c r="BB15" s="69"/>
      <c r="BC15" s="69"/>
      <c r="BD15" s="69"/>
      <c r="BE15" s="96" t="s">
        <v>364</v>
      </c>
      <c r="BF15" s="69"/>
      <c r="BG15" s="69"/>
      <c r="BH15" s="69"/>
      <c r="BI15" s="69"/>
      <c r="BJ15" s="69"/>
      <c r="BK15" s="69"/>
      <c r="BL15" s="69"/>
      <c r="BM15" s="69"/>
    </row>
    <row r="16" spans="1:65">
      <c r="A16" s="61" t="s">
        <v>3</v>
      </c>
      <c r="B16" s="68" t="s">
        <v>163</v>
      </c>
      <c r="C16" s="66">
        <v>13.5</v>
      </c>
      <c r="D16" s="64">
        <v>50</v>
      </c>
      <c r="E16" s="64">
        <f>IF(ISBLANK($D16),"0",IF(($D16-$D15)&gt;($C16-$C15),1,0))</f>
        <v>1</v>
      </c>
      <c r="F16" s="64">
        <f t="shared" ca="1" si="1"/>
        <v>47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320</v>
      </c>
      <c r="K16" s="70" t="s">
        <v>309</v>
      </c>
      <c r="L16" s="70"/>
      <c r="M16" s="70" t="s">
        <v>350</v>
      </c>
      <c r="N16" s="70" t="s">
        <v>419</v>
      </c>
      <c r="O16" s="70" t="s">
        <v>311</v>
      </c>
      <c r="P16" s="70" t="s">
        <v>309</v>
      </c>
      <c r="Q16" s="70"/>
      <c r="R16" s="70" t="s">
        <v>309</v>
      </c>
      <c r="S16" s="70" t="s">
        <v>311</v>
      </c>
      <c r="T16" s="70" t="s">
        <v>344</v>
      </c>
      <c r="U16" s="70" t="s">
        <v>309</v>
      </c>
      <c r="V16" s="70" t="s">
        <v>309</v>
      </c>
      <c r="W16" s="70" t="s">
        <v>315</v>
      </c>
      <c r="X16" s="70" t="s">
        <v>336</v>
      </c>
      <c r="Y16" s="70"/>
      <c r="Z16" s="70" t="s">
        <v>311</v>
      </c>
      <c r="AA16" s="70" t="s">
        <v>311</v>
      </c>
      <c r="AB16" s="70" t="s">
        <v>357</v>
      </c>
      <c r="AC16" s="70" t="s">
        <v>311</v>
      </c>
      <c r="AD16" s="70"/>
      <c r="AE16" s="70" t="s">
        <v>311</v>
      </c>
      <c r="AF16" s="70" t="s">
        <v>349</v>
      </c>
      <c r="AG16" s="70" t="s">
        <v>334</v>
      </c>
      <c r="AH16" s="70" t="s">
        <v>427</v>
      </c>
      <c r="AI16" s="70" t="s">
        <v>433</v>
      </c>
      <c r="AJ16" s="70" t="s">
        <v>329</v>
      </c>
      <c r="AK16" s="70" t="s">
        <v>311</v>
      </c>
      <c r="AL16" s="70" t="s">
        <v>327</v>
      </c>
      <c r="AM16" s="70" t="s">
        <v>362</v>
      </c>
      <c r="AN16" s="70" t="s">
        <v>335</v>
      </c>
      <c r="AO16" s="70" t="s">
        <v>311</v>
      </c>
      <c r="AP16" s="70" t="s">
        <v>337</v>
      </c>
      <c r="AQ16" s="70"/>
      <c r="AR16" s="97" t="s">
        <v>309</v>
      </c>
      <c r="AS16" s="70" t="s">
        <v>331</v>
      </c>
      <c r="AT16" s="70" t="s">
        <v>336</v>
      </c>
      <c r="AU16" s="70" t="s">
        <v>311</v>
      </c>
      <c r="AV16" s="70"/>
      <c r="AW16" s="70" t="s">
        <v>330</v>
      </c>
      <c r="AX16" s="70" t="s">
        <v>359</v>
      </c>
      <c r="AY16" s="70" t="s">
        <v>323</v>
      </c>
      <c r="AZ16" s="70"/>
      <c r="BA16" s="70" t="s">
        <v>311</v>
      </c>
      <c r="BB16" s="70" t="s">
        <v>314</v>
      </c>
      <c r="BC16" s="70" t="s">
        <v>309</v>
      </c>
      <c r="BD16" s="70" t="s">
        <v>326</v>
      </c>
      <c r="BE16" s="70"/>
      <c r="BF16" s="70" t="s">
        <v>372</v>
      </c>
      <c r="BG16" s="70" t="s">
        <v>311</v>
      </c>
      <c r="BH16" s="70" t="s">
        <v>311</v>
      </c>
      <c r="BI16" s="70" t="s">
        <v>321</v>
      </c>
      <c r="BJ16" s="70" t="s">
        <v>413</v>
      </c>
      <c r="BK16" s="70" t="s">
        <v>309</v>
      </c>
      <c r="BL16" s="70" t="s">
        <v>311</v>
      </c>
      <c r="BM16" s="70" t="s">
        <v>331</v>
      </c>
    </row>
    <row r="17" spans="1:65">
      <c r="A17" s="59">
        <v>8</v>
      </c>
      <c r="B17" s="67" t="s">
        <v>194</v>
      </c>
      <c r="C17" s="65">
        <v>4.5</v>
      </c>
      <c r="D17" s="64">
        <v>23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/>
      <c r="M17" s="69" t="s">
        <v>350</v>
      </c>
      <c r="N17" s="69" t="s">
        <v>323</v>
      </c>
      <c r="O17" s="69" t="s">
        <v>311</v>
      </c>
      <c r="P17" s="69" t="s">
        <v>309</v>
      </c>
      <c r="Q17" s="69" t="s">
        <v>335</v>
      </c>
      <c r="R17" s="69" t="s">
        <v>309</v>
      </c>
      <c r="S17" s="69" t="s">
        <v>311</v>
      </c>
      <c r="T17" s="69"/>
      <c r="U17" s="69"/>
      <c r="V17" s="69" t="s">
        <v>309</v>
      </c>
      <c r="W17" s="69" t="s">
        <v>317</v>
      </c>
      <c r="X17" s="69" t="s">
        <v>313</v>
      </c>
      <c r="Y17" s="69" t="s">
        <v>311</v>
      </c>
      <c r="Z17" s="69" t="s">
        <v>311</v>
      </c>
      <c r="AA17" s="69" t="s">
        <v>311</v>
      </c>
      <c r="AB17" s="69"/>
      <c r="AC17" s="69" t="s">
        <v>311</v>
      </c>
      <c r="AD17" s="69" t="s">
        <v>313</v>
      </c>
      <c r="AE17" s="69" t="s">
        <v>311</v>
      </c>
      <c r="AF17" s="69"/>
      <c r="AG17" s="69" t="s">
        <v>389</v>
      </c>
      <c r="AH17" s="69" t="s">
        <v>430</v>
      </c>
      <c r="AI17" s="69" t="s">
        <v>386</v>
      </c>
      <c r="AJ17" s="69" t="s">
        <v>329</v>
      </c>
      <c r="AK17" s="69"/>
      <c r="AL17" s="69" t="s">
        <v>327</v>
      </c>
      <c r="AM17" s="69" t="s">
        <v>363</v>
      </c>
      <c r="AN17" s="69" t="s">
        <v>335</v>
      </c>
      <c r="AO17" s="69" t="s">
        <v>311</v>
      </c>
      <c r="AP17" s="69"/>
      <c r="AQ17" s="69"/>
      <c r="AR17" s="96" t="s">
        <v>309</v>
      </c>
      <c r="AS17" s="69" t="s">
        <v>336</v>
      </c>
      <c r="AT17" s="69" t="s">
        <v>336</v>
      </c>
      <c r="AU17" s="69"/>
      <c r="AV17" s="69" t="s">
        <v>311</v>
      </c>
      <c r="AW17" s="69" t="s">
        <v>314</v>
      </c>
      <c r="AX17" s="69"/>
      <c r="AY17" s="69" t="s">
        <v>325</v>
      </c>
      <c r="AZ17" s="69"/>
      <c r="BA17" s="69" t="s">
        <v>311</v>
      </c>
      <c r="BB17" s="69"/>
      <c r="BC17" s="69"/>
      <c r="BD17" s="69" t="s">
        <v>350</v>
      </c>
      <c r="BE17" s="69"/>
      <c r="BF17" s="69"/>
      <c r="BG17" s="69" t="s">
        <v>311</v>
      </c>
      <c r="BH17" s="69" t="s">
        <v>311</v>
      </c>
      <c r="BI17" s="69" t="s">
        <v>321</v>
      </c>
      <c r="BJ17" s="69" t="s">
        <v>413</v>
      </c>
      <c r="BK17" s="69" t="s">
        <v>309</v>
      </c>
      <c r="BL17" s="69" t="s">
        <v>311</v>
      </c>
      <c r="BM17" s="69"/>
    </row>
    <row r="18" spans="1:65">
      <c r="A18" s="61" t="s">
        <v>3</v>
      </c>
      <c r="B18" s="68" t="s">
        <v>190</v>
      </c>
      <c r="C18" s="66"/>
      <c r="D18" s="64">
        <v>0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309</v>
      </c>
      <c r="M18" s="70"/>
      <c r="N18" s="70"/>
      <c r="O18" s="70"/>
      <c r="P18" s="70"/>
      <c r="Q18" s="70"/>
      <c r="R18" s="70"/>
      <c r="S18" s="70"/>
      <c r="T18" s="70" t="s">
        <v>344</v>
      </c>
      <c r="U18" s="70" t="s">
        <v>309</v>
      </c>
      <c r="V18" s="70"/>
      <c r="W18" s="70"/>
      <c r="X18" s="70"/>
      <c r="Y18" s="70"/>
      <c r="Z18" s="70"/>
      <c r="AA18" s="70"/>
      <c r="AB18" s="70" t="s">
        <v>334</v>
      </c>
      <c r="AC18" s="70"/>
      <c r="AD18" s="70"/>
      <c r="AE18" s="70"/>
      <c r="AF18" s="70" t="s">
        <v>349</v>
      </c>
      <c r="AG18" s="70"/>
      <c r="AH18" s="70"/>
      <c r="AI18" s="70"/>
      <c r="AJ18" s="70"/>
      <c r="AK18" s="70" t="s">
        <v>311</v>
      </c>
      <c r="AL18" s="70"/>
      <c r="AM18" s="70"/>
      <c r="AN18" s="70"/>
      <c r="AO18" s="70"/>
      <c r="AP18" s="70" t="s">
        <v>319</v>
      </c>
      <c r="AQ18" s="97" t="s">
        <v>364</v>
      </c>
      <c r="AR18" s="70"/>
      <c r="AS18" s="70"/>
      <c r="AT18" s="70"/>
      <c r="AU18" s="70" t="s">
        <v>311</v>
      </c>
      <c r="AV18" s="70"/>
      <c r="AW18" s="70"/>
      <c r="AX18" s="70" t="s">
        <v>317</v>
      </c>
      <c r="AY18" s="70"/>
      <c r="AZ18" s="70" t="s">
        <v>311</v>
      </c>
      <c r="BA18" s="70"/>
      <c r="BB18" s="70" t="s">
        <v>314</v>
      </c>
      <c r="BC18" s="70" t="s">
        <v>309</v>
      </c>
      <c r="BD18" s="70"/>
      <c r="BE18" s="97" t="s">
        <v>364</v>
      </c>
      <c r="BF18" s="70" t="s">
        <v>372</v>
      </c>
      <c r="BG18" s="70"/>
      <c r="BH18" s="70"/>
      <c r="BI18" s="70"/>
      <c r="BJ18" s="70"/>
      <c r="BK18" s="70"/>
      <c r="BL18" s="70"/>
      <c r="BM18" s="70" t="s">
        <v>333</v>
      </c>
    </row>
    <row r="19" spans="1:65">
      <c r="A19" s="59">
        <v>9</v>
      </c>
      <c r="B19" s="67" t="s">
        <v>187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309</v>
      </c>
      <c r="L19" s="69" t="s">
        <v>309</v>
      </c>
      <c r="M19" s="69" t="s">
        <v>350</v>
      </c>
      <c r="N19" s="69"/>
      <c r="O19" s="69"/>
      <c r="P19" s="69"/>
      <c r="Q19" s="69"/>
      <c r="R19" s="69" t="s">
        <v>309</v>
      </c>
      <c r="S19" s="69"/>
      <c r="T19" s="69" t="s">
        <v>344</v>
      </c>
      <c r="U19" s="69"/>
      <c r="V19" s="69"/>
      <c r="W19" s="69" t="s">
        <v>314</v>
      </c>
      <c r="X19" s="69" t="s">
        <v>314</v>
      </c>
      <c r="Y19" s="69"/>
      <c r="Z19" s="69"/>
      <c r="AA19" s="69" t="s">
        <v>311</v>
      </c>
      <c r="AB19" s="69" t="s">
        <v>329</v>
      </c>
      <c r="AC19" s="69" t="s">
        <v>311</v>
      </c>
      <c r="AD19" s="69"/>
      <c r="AE19" s="69"/>
      <c r="AF19" s="69"/>
      <c r="AG19" s="69" t="s">
        <v>314</v>
      </c>
      <c r="AH19" s="69"/>
      <c r="AI19" s="69" t="s">
        <v>320</v>
      </c>
      <c r="AJ19" s="69"/>
      <c r="AK19" s="69"/>
      <c r="AL19" s="69"/>
      <c r="AM19" s="69"/>
      <c r="AN19" s="69"/>
      <c r="AO19" s="69" t="s">
        <v>311</v>
      </c>
      <c r="AP19" s="69" t="s">
        <v>319</v>
      </c>
      <c r="AQ19" s="69"/>
      <c r="AR19" s="69"/>
      <c r="AS19" s="69"/>
      <c r="AT19" s="69"/>
      <c r="AU19" s="69"/>
      <c r="AV19" s="69"/>
      <c r="AW19" s="69" t="s">
        <v>320</v>
      </c>
      <c r="AX19" s="69" t="s">
        <v>318</v>
      </c>
      <c r="AY19" s="69" t="s">
        <v>363</v>
      </c>
      <c r="AZ19" s="69"/>
      <c r="BA19" s="69"/>
      <c r="BB19" s="69"/>
      <c r="BC19" s="69"/>
      <c r="BD19" s="69"/>
      <c r="BE19" s="69"/>
      <c r="BF19" s="69"/>
      <c r="BG19" s="69"/>
      <c r="BH19" s="69" t="s">
        <v>311</v>
      </c>
      <c r="BI19" s="69" t="s">
        <v>321</v>
      </c>
      <c r="BJ19" s="69"/>
      <c r="BK19" s="69" t="s">
        <v>309</v>
      </c>
      <c r="BL19" s="69"/>
      <c r="BM19" s="69"/>
    </row>
    <row r="20" spans="1:65">
      <c r="A20" s="61" t="s">
        <v>3</v>
      </c>
      <c r="B20" s="68" t="s">
        <v>164</v>
      </c>
      <c r="C20" s="66">
        <v>4.5</v>
      </c>
      <c r="D20" s="64">
        <v>22</v>
      </c>
      <c r="E20" s="64">
        <f>IF(ISBLANK($D20),"0",IF(($D20-$D19)&gt;($C20-$C19),1,0))</f>
        <v>1</v>
      </c>
      <c r="F20" s="64">
        <f t="shared" ca="1" si="1"/>
        <v>35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320</v>
      </c>
      <c r="K20" s="70"/>
      <c r="L20" s="70"/>
      <c r="M20" s="70"/>
      <c r="N20" s="70" t="s">
        <v>318</v>
      </c>
      <c r="O20" s="70" t="s">
        <v>311</v>
      </c>
      <c r="P20" s="70" t="s">
        <v>309</v>
      </c>
      <c r="Q20" s="70" t="s">
        <v>335</v>
      </c>
      <c r="R20" s="70"/>
      <c r="S20" s="70" t="s">
        <v>311</v>
      </c>
      <c r="T20" s="70"/>
      <c r="U20" s="70" t="s">
        <v>309</v>
      </c>
      <c r="V20" s="70" t="s">
        <v>309</v>
      </c>
      <c r="W20" s="70"/>
      <c r="X20" s="70"/>
      <c r="Y20" s="70" t="s">
        <v>311</v>
      </c>
      <c r="Z20" s="70" t="s">
        <v>311</v>
      </c>
      <c r="AA20" s="70"/>
      <c r="AB20" s="70"/>
      <c r="AC20" s="70"/>
      <c r="AD20" s="70" t="s">
        <v>423</v>
      </c>
      <c r="AE20" s="70" t="s">
        <v>311</v>
      </c>
      <c r="AF20" s="70" t="s">
        <v>349</v>
      </c>
      <c r="AG20" s="70"/>
      <c r="AH20" s="70" t="s">
        <v>431</v>
      </c>
      <c r="AI20" s="70"/>
      <c r="AJ20" s="70" t="s">
        <v>329</v>
      </c>
      <c r="AK20" s="70" t="s">
        <v>311</v>
      </c>
      <c r="AL20" s="70" t="s">
        <v>327</v>
      </c>
      <c r="AM20" s="70" t="s">
        <v>313</v>
      </c>
      <c r="AN20" s="70" t="s">
        <v>335</v>
      </c>
      <c r="AO20" s="70"/>
      <c r="AP20" s="70"/>
      <c r="AQ20" s="97" t="s">
        <v>364</v>
      </c>
      <c r="AR20" s="97" t="s">
        <v>309</v>
      </c>
      <c r="AS20" s="70" t="s">
        <v>329</v>
      </c>
      <c r="AT20" s="70" t="s">
        <v>336</v>
      </c>
      <c r="AU20" s="70" t="s">
        <v>311</v>
      </c>
      <c r="AV20" s="70" t="s">
        <v>311</v>
      </c>
      <c r="AW20" s="70"/>
      <c r="AX20" s="70"/>
      <c r="AY20" s="70"/>
      <c r="AZ20" s="70" t="s">
        <v>311</v>
      </c>
      <c r="BA20" s="70" t="s">
        <v>311</v>
      </c>
      <c r="BB20" s="70" t="s">
        <v>314</v>
      </c>
      <c r="BC20" s="70" t="s">
        <v>309</v>
      </c>
      <c r="BD20" s="70" t="s">
        <v>337</v>
      </c>
      <c r="BE20" s="97" t="s">
        <v>364</v>
      </c>
      <c r="BF20" s="70" t="s">
        <v>372</v>
      </c>
      <c r="BG20" s="70" t="s">
        <v>311</v>
      </c>
      <c r="BH20" s="70"/>
      <c r="BI20" s="70"/>
      <c r="BJ20" s="70" t="s">
        <v>413</v>
      </c>
      <c r="BK20" s="70"/>
      <c r="BL20" s="70" t="s">
        <v>311</v>
      </c>
      <c r="BM20" s="70" t="s">
        <v>334</v>
      </c>
    </row>
    <row r="21" spans="1:65">
      <c r="A21" s="59">
        <v>10</v>
      </c>
      <c r="B21" s="67" t="s">
        <v>191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309</v>
      </c>
      <c r="M21" s="69" t="s">
        <v>350</v>
      </c>
      <c r="N21" s="69"/>
      <c r="O21" s="69"/>
      <c r="P21" s="69"/>
      <c r="Q21" s="69"/>
      <c r="R21" s="69"/>
      <c r="S21" s="69" t="s">
        <v>311</v>
      </c>
      <c r="T21" s="69"/>
      <c r="U21" s="69" t="s">
        <v>309</v>
      </c>
      <c r="V21" s="69"/>
      <c r="W21" s="69"/>
      <c r="X21" s="69" t="s">
        <v>421</v>
      </c>
      <c r="Y21" s="69" t="s">
        <v>311</v>
      </c>
      <c r="Z21" s="69"/>
      <c r="AA21" s="69"/>
      <c r="AB21" s="69" t="s">
        <v>422</v>
      </c>
      <c r="AC21" s="69"/>
      <c r="AD21" s="69"/>
      <c r="AE21" s="69"/>
      <c r="AF21" s="69" t="s">
        <v>349</v>
      </c>
      <c r="AG21" s="69" t="s">
        <v>367</v>
      </c>
      <c r="AH21" s="69"/>
      <c r="AI21" s="69"/>
      <c r="AJ21" s="69"/>
      <c r="AK21" s="69"/>
      <c r="AL21" s="69"/>
      <c r="AM21" s="69"/>
      <c r="AN21" s="69"/>
      <c r="AO21" s="69" t="s">
        <v>311</v>
      </c>
      <c r="AP21" s="69" t="s">
        <v>340</v>
      </c>
      <c r="AQ21" s="96" t="s">
        <v>364</v>
      </c>
      <c r="AR21" s="96"/>
      <c r="AS21" s="69" t="s">
        <v>329</v>
      </c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309</v>
      </c>
      <c r="BD21" s="69"/>
      <c r="BE21" s="96" t="s">
        <v>364</v>
      </c>
      <c r="BF21" s="69"/>
      <c r="BG21" s="69" t="s">
        <v>311</v>
      </c>
      <c r="BH21" s="69"/>
      <c r="BI21" s="69"/>
      <c r="BJ21" s="69" t="s">
        <v>413</v>
      </c>
      <c r="BK21" s="69"/>
      <c r="BL21" s="69"/>
      <c r="BM21" s="69"/>
    </row>
    <row r="22" spans="1:65">
      <c r="A22" s="61" t="s">
        <v>3</v>
      </c>
      <c r="B22" s="68" t="s">
        <v>157</v>
      </c>
      <c r="C22" s="66">
        <v>5.5</v>
      </c>
      <c r="D22" s="64">
        <v>20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/>
      <c r="M22" s="70"/>
      <c r="N22" s="70" t="s">
        <v>420</v>
      </c>
      <c r="O22" s="70" t="s">
        <v>311</v>
      </c>
      <c r="P22" s="70" t="s">
        <v>309</v>
      </c>
      <c r="Q22" s="70" t="s">
        <v>335</v>
      </c>
      <c r="R22" s="70" t="s">
        <v>309</v>
      </c>
      <c r="S22" s="70"/>
      <c r="T22" s="70" t="s">
        <v>344</v>
      </c>
      <c r="U22" s="70"/>
      <c r="V22" s="70" t="s">
        <v>309</v>
      </c>
      <c r="W22" s="70" t="s">
        <v>390</v>
      </c>
      <c r="X22" s="70"/>
      <c r="Y22" s="70"/>
      <c r="Z22" s="70" t="s">
        <v>311</v>
      </c>
      <c r="AA22" s="70" t="s">
        <v>311</v>
      </c>
      <c r="AB22" s="70"/>
      <c r="AC22" s="70" t="s">
        <v>311</v>
      </c>
      <c r="AD22" s="70" t="s">
        <v>321</v>
      </c>
      <c r="AE22" s="70" t="s">
        <v>311</v>
      </c>
      <c r="AF22" s="70"/>
      <c r="AG22" s="70"/>
      <c r="AH22" s="70" t="s">
        <v>420</v>
      </c>
      <c r="AI22" s="70" t="s">
        <v>321</v>
      </c>
      <c r="AJ22" s="70" t="s">
        <v>329</v>
      </c>
      <c r="AK22" s="70" t="s">
        <v>311</v>
      </c>
      <c r="AL22" s="70" t="s">
        <v>327</v>
      </c>
      <c r="AM22" s="70" t="s">
        <v>325</v>
      </c>
      <c r="AN22" s="70" t="s">
        <v>335</v>
      </c>
      <c r="AO22" s="70"/>
      <c r="AP22" s="70"/>
      <c r="AQ22" s="70"/>
      <c r="AR22" s="70" t="s">
        <v>309</v>
      </c>
      <c r="AS22" s="70"/>
      <c r="AT22" s="70" t="s">
        <v>336</v>
      </c>
      <c r="AU22" s="70" t="s">
        <v>311</v>
      </c>
      <c r="AV22" s="70" t="s">
        <v>311</v>
      </c>
      <c r="AW22" s="70" t="s">
        <v>315</v>
      </c>
      <c r="AX22" s="70" t="s">
        <v>438</v>
      </c>
      <c r="AY22" s="70" t="s">
        <v>320</v>
      </c>
      <c r="AZ22" s="70" t="s">
        <v>311</v>
      </c>
      <c r="BA22" s="70" t="s">
        <v>311</v>
      </c>
      <c r="BB22" s="70" t="s">
        <v>314</v>
      </c>
      <c r="BC22" s="70"/>
      <c r="BD22" s="70" t="s">
        <v>340</v>
      </c>
      <c r="BE22" s="70"/>
      <c r="BF22" s="70" t="s">
        <v>372</v>
      </c>
      <c r="BG22" s="70"/>
      <c r="BH22" s="70" t="s">
        <v>311</v>
      </c>
      <c r="BI22" s="70" t="s">
        <v>321</v>
      </c>
      <c r="BJ22" s="70"/>
      <c r="BK22" s="70" t="s">
        <v>309</v>
      </c>
      <c r="BL22" s="70" t="s">
        <v>311</v>
      </c>
      <c r="BM22" s="70" t="s">
        <v>321</v>
      </c>
    </row>
    <row r="23" spans="1:65">
      <c r="A23" s="59"/>
      <c r="B23" s="67" t="str">
        <f>B21&amp; " - score"</f>
        <v>Missouri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31</v>
      </c>
      <c r="K23" s="78">
        <v>28</v>
      </c>
      <c r="L23" s="78">
        <v>24</v>
      </c>
      <c r="M23" s="78">
        <v>31</v>
      </c>
      <c r="N23" s="80">
        <v>31</v>
      </c>
      <c r="O23" s="78">
        <v>24</v>
      </c>
      <c r="P23" s="78">
        <v>29</v>
      </c>
      <c r="Q23" s="78">
        <v>7</v>
      </c>
      <c r="R23" s="78">
        <v>31</v>
      </c>
      <c r="S23" s="78">
        <v>27</v>
      </c>
      <c r="T23" s="78">
        <v>14</v>
      </c>
      <c r="U23" s="78">
        <v>47</v>
      </c>
      <c r="V23" s="78">
        <v>35</v>
      </c>
      <c r="W23" s="78">
        <v>35</v>
      </c>
      <c r="X23" s="78">
        <v>30</v>
      </c>
      <c r="Y23" s="78">
        <v>31</v>
      </c>
      <c r="Z23" s="78">
        <v>28</v>
      </c>
      <c r="AA23" s="78">
        <v>21</v>
      </c>
      <c r="AB23" s="78">
        <v>32</v>
      </c>
      <c r="AC23" s="78">
        <v>28</v>
      </c>
      <c r="AD23" s="78">
        <v>34</v>
      </c>
      <c r="AE23" s="78">
        <v>21</v>
      </c>
      <c r="AF23" s="78">
        <v>28</v>
      </c>
      <c r="AG23" s="78">
        <v>38</v>
      </c>
      <c r="AH23" s="78">
        <v>28</v>
      </c>
      <c r="AI23" s="78">
        <v>24</v>
      </c>
      <c r="AJ23" s="78">
        <v>21</v>
      </c>
      <c r="AK23" s="78">
        <v>24</v>
      </c>
      <c r="AL23" s="78">
        <v>24</v>
      </c>
      <c r="AM23" s="78">
        <v>24</v>
      </c>
      <c r="AN23" s="78">
        <v>21</v>
      </c>
      <c r="AO23" s="78">
        <v>28</v>
      </c>
      <c r="AP23" s="78">
        <v>34</v>
      </c>
      <c r="AQ23" s="78"/>
      <c r="AR23" s="78">
        <v>24</v>
      </c>
      <c r="AS23" s="78">
        <v>34</v>
      </c>
      <c r="AT23" s="78">
        <v>17</v>
      </c>
      <c r="AU23" s="78">
        <v>21</v>
      </c>
      <c r="AV23" s="78">
        <v>18</v>
      </c>
      <c r="AW23" s="78">
        <v>21</v>
      </c>
      <c r="AX23" s="78">
        <v>7</v>
      </c>
      <c r="AY23" s="78">
        <v>31</v>
      </c>
      <c r="AZ23" s="78">
        <v>14</v>
      </c>
      <c r="BA23" s="78">
        <v>21</v>
      </c>
      <c r="BB23" s="78">
        <v>14</v>
      </c>
      <c r="BC23" s="78">
        <v>24</v>
      </c>
      <c r="BD23" s="78">
        <v>38</v>
      </c>
      <c r="BE23" s="78">
        <v>34</v>
      </c>
      <c r="BF23" s="78">
        <v>14</v>
      </c>
      <c r="BG23" s="78">
        <v>31</v>
      </c>
      <c r="BH23" s="78">
        <v>24</v>
      </c>
      <c r="BI23" s="78">
        <v>21</v>
      </c>
      <c r="BJ23" s="78">
        <v>31</v>
      </c>
      <c r="BK23" s="78">
        <v>17</v>
      </c>
      <c r="BL23" s="78">
        <v>30</v>
      </c>
      <c r="BM23" s="78">
        <v>21</v>
      </c>
    </row>
    <row r="24" spans="1:6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40</v>
      </c>
      <c r="K24" s="79">
        <v>35</v>
      </c>
      <c r="L24" s="79">
        <v>17</v>
      </c>
      <c r="M24" s="79">
        <v>28</v>
      </c>
      <c r="N24" s="79">
        <v>38</v>
      </c>
      <c r="O24" s="79">
        <v>31</v>
      </c>
      <c r="P24" s="79">
        <v>50</v>
      </c>
      <c r="Q24" s="79">
        <v>24</v>
      </c>
      <c r="R24" s="79">
        <v>38</v>
      </c>
      <c r="S24" s="79">
        <v>24</v>
      </c>
      <c r="T24" s="79">
        <v>30</v>
      </c>
      <c r="U24" s="79">
        <v>40</v>
      </c>
      <c r="V24" s="79">
        <v>49</v>
      </c>
      <c r="W24" s="79">
        <v>42</v>
      </c>
      <c r="X24" s="79">
        <v>31</v>
      </c>
      <c r="Y24" s="79">
        <v>21</v>
      </c>
      <c r="Z24" s="79">
        <v>34</v>
      </c>
      <c r="AA24" s="79">
        <v>28</v>
      </c>
      <c r="AB24" s="79">
        <v>35</v>
      </c>
      <c r="AC24" s="79">
        <v>35</v>
      </c>
      <c r="AD24" s="79">
        <v>40</v>
      </c>
      <c r="AE24" s="79">
        <v>31</v>
      </c>
      <c r="AF24" s="79">
        <v>33</v>
      </c>
      <c r="AG24" s="79">
        <v>37</v>
      </c>
      <c r="AH24" s="79">
        <v>35</v>
      </c>
      <c r="AI24" s="79">
        <v>41</v>
      </c>
      <c r="AJ24" s="79">
        <v>28</v>
      </c>
      <c r="AK24" s="79">
        <v>31</v>
      </c>
      <c r="AL24" s="79">
        <v>30</v>
      </c>
      <c r="AM24" s="79">
        <v>31</v>
      </c>
      <c r="AN24" s="79">
        <v>35</v>
      </c>
      <c r="AO24" s="79">
        <v>24</v>
      </c>
      <c r="AP24" s="79">
        <v>20</v>
      </c>
      <c r="AQ24" s="79"/>
      <c r="AR24" s="79">
        <v>35</v>
      </c>
      <c r="AS24" s="79">
        <v>38</v>
      </c>
      <c r="AT24" s="79">
        <v>35</v>
      </c>
      <c r="AU24" s="79">
        <v>28</v>
      </c>
      <c r="AV24" s="79">
        <v>27</v>
      </c>
      <c r="AW24" s="79">
        <v>29</v>
      </c>
      <c r="AX24" s="79">
        <v>28</v>
      </c>
      <c r="AY24" s="79">
        <v>42</v>
      </c>
      <c r="AZ24" s="79">
        <v>21</v>
      </c>
      <c r="BA24" s="79">
        <v>28</v>
      </c>
      <c r="BB24" s="79">
        <v>21</v>
      </c>
      <c r="BC24" s="79">
        <v>21</v>
      </c>
      <c r="BD24" s="79">
        <v>45</v>
      </c>
      <c r="BE24" s="79">
        <v>37</v>
      </c>
      <c r="BF24" s="79">
        <v>24</v>
      </c>
      <c r="BG24" s="79">
        <v>28</v>
      </c>
      <c r="BH24" s="79">
        <v>35</v>
      </c>
      <c r="BI24" s="79">
        <v>31</v>
      </c>
      <c r="BJ24" s="79">
        <v>35</v>
      </c>
      <c r="BK24" s="79">
        <v>28</v>
      </c>
      <c r="BL24" s="79">
        <v>37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5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3</v>
      </c>
      <c r="Q25" s="36">
        <f t="shared" si="3"/>
        <v>7</v>
      </c>
      <c r="R25" s="36">
        <f t="shared" si="3"/>
        <v>5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4</v>
      </c>
      <c r="X25" s="36">
        <f t="shared" si="3"/>
        <v>5</v>
      </c>
      <c r="Y25" s="36">
        <f t="shared" si="3"/>
        <v>5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>
        <f t="shared" si="3"/>
        <v>4</v>
      </c>
      <c r="AD25" s="36">
        <f t="shared" si="3"/>
        <v>6</v>
      </c>
      <c r="AE25" s="36">
        <f t="shared" si="3"/>
        <v>7</v>
      </c>
      <c r="AF25" s="36">
        <f t="shared" si="3"/>
        <v>5</v>
      </c>
      <c r="AG25" s="36">
        <f t="shared" si="3"/>
        <v>5</v>
      </c>
      <c r="AH25" s="36">
        <f t="shared" si="3"/>
        <v>5</v>
      </c>
      <c r="AI25" s="36">
        <f t="shared" si="3"/>
        <v>5</v>
      </c>
      <c r="AJ25" s="36">
        <f t="shared" si="3"/>
        <v>5</v>
      </c>
      <c r="AK25" s="36">
        <f t="shared" si="3"/>
        <v>5</v>
      </c>
      <c r="AL25" s="36">
        <f t="shared" si="3"/>
        <v>6</v>
      </c>
      <c r="AM25" s="36">
        <f t="shared" si="3"/>
        <v>4</v>
      </c>
      <c r="AN25" s="36">
        <f t="shared" si="3"/>
        <v>6</v>
      </c>
      <c r="AO25" s="36">
        <f t="shared" si="3"/>
        <v>7</v>
      </c>
      <c r="AP25" s="36">
        <f t="shared" si="3"/>
        <v>5</v>
      </c>
      <c r="AQ25" s="36">
        <f t="shared" si="3"/>
        <v>3</v>
      </c>
      <c r="AR25" s="36">
        <f t="shared" si="3"/>
        <v>6</v>
      </c>
      <c r="AS25" s="36">
        <f t="shared" si="3"/>
        <v>9</v>
      </c>
      <c r="AT25" s="36">
        <f t="shared" si="3"/>
        <v>6</v>
      </c>
      <c r="AU25" s="36">
        <f t="shared" si="3"/>
        <v>6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5</v>
      </c>
      <c r="BB25" s="36">
        <f t="shared" si="3"/>
        <v>5</v>
      </c>
      <c r="BC25" s="36">
        <f t="shared" si="3"/>
        <v>4</v>
      </c>
      <c r="BD25" s="36">
        <f t="shared" si="3"/>
        <v>5</v>
      </c>
      <c r="BE25" s="36">
        <f t="shared" si="3"/>
        <v>3</v>
      </c>
      <c r="BF25" s="36">
        <f t="shared" si="3"/>
        <v>4</v>
      </c>
      <c r="BG25" s="36">
        <f t="shared" si="3"/>
        <v>6</v>
      </c>
      <c r="BH25" s="36">
        <f t="shared" si="3"/>
        <v>5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6</v>
      </c>
      <c r="BM25" s="36">
        <f t="shared" si="3"/>
        <v>5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BM26" si="4">ABS((L23-L24)-($D21-$D22))</f>
        <v>6</v>
      </c>
      <c r="M26" s="71">
        <f t="shared" si="4"/>
        <v>2</v>
      </c>
      <c r="N26" s="71">
        <f t="shared" si="4"/>
        <v>8</v>
      </c>
      <c r="O26" s="71">
        <f t="shared" si="4"/>
        <v>8</v>
      </c>
      <c r="P26" s="71">
        <f t="shared" si="4"/>
        <v>22</v>
      </c>
      <c r="Q26" s="71">
        <f t="shared" si="4"/>
        <v>18</v>
      </c>
      <c r="R26" s="71">
        <f t="shared" si="4"/>
        <v>8</v>
      </c>
      <c r="S26" s="71">
        <f t="shared" si="4"/>
        <v>2</v>
      </c>
      <c r="T26" s="71">
        <f t="shared" si="4"/>
        <v>17</v>
      </c>
      <c r="U26" s="71">
        <f t="shared" si="4"/>
        <v>6</v>
      </c>
      <c r="V26" s="71">
        <f t="shared" si="4"/>
        <v>15</v>
      </c>
      <c r="W26" s="71">
        <f t="shared" si="4"/>
        <v>8</v>
      </c>
      <c r="X26" s="71">
        <f t="shared" si="4"/>
        <v>2</v>
      </c>
      <c r="Y26" s="71">
        <f t="shared" si="4"/>
        <v>9</v>
      </c>
      <c r="Z26" s="71">
        <f t="shared" si="4"/>
        <v>7</v>
      </c>
      <c r="AA26" s="71">
        <f t="shared" si="4"/>
        <v>8</v>
      </c>
      <c r="AB26" s="71">
        <f t="shared" si="4"/>
        <v>4</v>
      </c>
      <c r="AC26" s="71">
        <f t="shared" si="4"/>
        <v>8</v>
      </c>
      <c r="AD26" s="71">
        <f t="shared" si="4"/>
        <v>7</v>
      </c>
      <c r="AE26" s="71">
        <f t="shared" si="4"/>
        <v>11</v>
      </c>
      <c r="AF26" s="71">
        <f t="shared" si="4"/>
        <v>6</v>
      </c>
      <c r="AG26" s="71">
        <f t="shared" si="4"/>
        <v>0</v>
      </c>
      <c r="AH26" s="71">
        <f t="shared" si="4"/>
        <v>8</v>
      </c>
      <c r="AI26" s="71">
        <f t="shared" si="4"/>
        <v>18</v>
      </c>
      <c r="AJ26" s="71">
        <f t="shared" si="4"/>
        <v>8</v>
      </c>
      <c r="AK26" s="71">
        <f t="shared" si="4"/>
        <v>8</v>
      </c>
      <c r="AL26" s="71">
        <f t="shared" si="4"/>
        <v>7</v>
      </c>
      <c r="AM26" s="71">
        <f t="shared" si="4"/>
        <v>8</v>
      </c>
      <c r="AN26" s="71">
        <f t="shared" si="4"/>
        <v>15</v>
      </c>
      <c r="AO26" s="71">
        <f t="shared" si="4"/>
        <v>3</v>
      </c>
      <c r="AP26" s="71">
        <f t="shared" si="4"/>
        <v>13</v>
      </c>
      <c r="AQ26" s="71">
        <f t="shared" si="4"/>
        <v>1</v>
      </c>
      <c r="AR26" s="71">
        <f t="shared" si="4"/>
        <v>12</v>
      </c>
      <c r="AS26" s="71">
        <f t="shared" si="4"/>
        <v>5</v>
      </c>
      <c r="AT26" s="71">
        <f t="shared" si="4"/>
        <v>19</v>
      </c>
      <c r="AU26" s="71">
        <f t="shared" si="4"/>
        <v>8</v>
      </c>
      <c r="AV26" s="71">
        <f t="shared" si="4"/>
        <v>10</v>
      </c>
      <c r="AW26" s="71">
        <f t="shared" si="4"/>
        <v>9</v>
      </c>
      <c r="AX26" s="71">
        <f t="shared" si="4"/>
        <v>22</v>
      </c>
      <c r="AY26" s="71">
        <f t="shared" si="4"/>
        <v>12</v>
      </c>
      <c r="AZ26" s="71">
        <f t="shared" si="4"/>
        <v>8</v>
      </c>
      <c r="BA26" s="71">
        <f t="shared" si="4"/>
        <v>8</v>
      </c>
      <c r="BB26" s="71">
        <f t="shared" si="4"/>
        <v>8</v>
      </c>
      <c r="BC26" s="71">
        <f t="shared" si="4"/>
        <v>2</v>
      </c>
      <c r="BD26" s="71">
        <f t="shared" si="4"/>
        <v>8</v>
      </c>
      <c r="BE26" s="71">
        <f t="shared" si="4"/>
        <v>4</v>
      </c>
      <c r="BF26" s="71">
        <f t="shared" si="4"/>
        <v>11</v>
      </c>
      <c r="BG26" s="71">
        <f t="shared" si="4"/>
        <v>2</v>
      </c>
      <c r="BH26" s="71">
        <f t="shared" si="4"/>
        <v>12</v>
      </c>
      <c r="BI26" s="71">
        <f t="shared" si="4"/>
        <v>11</v>
      </c>
      <c r="BJ26" s="71">
        <f t="shared" si="4"/>
        <v>5</v>
      </c>
      <c r="BK26" s="71">
        <f t="shared" si="4"/>
        <v>12</v>
      </c>
      <c r="BL26" s="71">
        <f t="shared" si="4"/>
        <v>8</v>
      </c>
      <c r="BM26" s="71">
        <f t="shared" si="4"/>
        <v>8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0</v>
      </c>
      <c r="M27" s="71">
        <f t="shared" si="5"/>
        <v>18</v>
      </c>
      <c r="N27" s="71">
        <f t="shared" si="5"/>
        <v>28</v>
      </c>
      <c r="O27" s="71">
        <f t="shared" si="5"/>
        <v>14</v>
      </c>
      <c r="P27" s="71">
        <f t="shared" si="5"/>
        <v>38</v>
      </c>
      <c r="Q27" s="71">
        <f t="shared" si="5"/>
        <v>10</v>
      </c>
      <c r="R27" s="71">
        <f t="shared" si="5"/>
        <v>28</v>
      </c>
      <c r="S27" s="71">
        <f t="shared" si="5"/>
        <v>10</v>
      </c>
      <c r="T27" s="71">
        <f t="shared" si="5"/>
        <v>3</v>
      </c>
      <c r="U27" s="71">
        <f t="shared" si="5"/>
        <v>46</v>
      </c>
      <c r="V27" s="71">
        <f t="shared" si="5"/>
        <v>43</v>
      </c>
      <c r="W27" s="71">
        <f t="shared" si="5"/>
        <v>36</v>
      </c>
      <c r="X27" s="71">
        <f t="shared" si="5"/>
        <v>20</v>
      </c>
      <c r="Y27" s="71">
        <f t="shared" si="5"/>
        <v>11</v>
      </c>
      <c r="Z27" s="71">
        <f t="shared" si="5"/>
        <v>21</v>
      </c>
      <c r="AA27" s="71">
        <f t="shared" si="5"/>
        <v>8</v>
      </c>
      <c r="AB27" s="71">
        <f t="shared" si="5"/>
        <v>26</v>
      </c>
      <c r="AC27" s="71">
        <f t="shared" si="5"/>
        <v>22</v>
      </c>
      <c r="AD27" s="71">
        <f t="shared" si="5"/>
        <v>33</v>
      </c>
      <c r="AE27" s="71">
        <f t="shared" si="5"/>
        <v>11</v>
      </c>
      <c r="AF27" s="71">
        <f t="shared" si="5"/>
        <v>20</v>
      </c>
      <c r="AG27" s="71">
        <f t="shared" si="5"/>
        <v>34</v>
      </c>
      <c r="AH27" s="71">
        <f t="shared" si="5"/>
        <v>22</v>
      </c>
      <c r="AI27" s="71">
        <f t="shared" si="5"/>
        <v>24</v>
      </c>
      <c r="AJ27" s="71">
        <f t="shared" si="5"/>
        <v>8</v>
      </c>
      <c r="AK27" s="71">
        <f t="shared" si="5"/>
        <v>14</v>
      </c>
      <c r="AL27" s="71">
        <f t="shared" si="5"/>
        <v>13</v>
      </c>
      <c r="AM27" s="71">
        <f t="shared" si="5"/>
        <v>14</v>
      </c>
      <c r="AN27" s="71">
        <f t="shared" si="5"/>
        <v>15</v>
      </c>
      <c r="AO27" s="71">
        <f t="shared" si="5"/>
        <v>11</v>
      </c>
      <c r="AP27" s="71">
        <f t="shared" si="5"/>
        <v>13</v>
      </c>
      <c r="AQ27" s="71">
        <f t="shared" si="5"/>
        <v>41</v>
      </c>
      <c r="AR27" s="71">
        <f t="shared" si="5"/>
        <v>18</v>
      </c>
      <c r="AS27" s="71">
        <f t="shared" si="5"/>
        <v>31</v>
      </c>
      <c r="AT27" s="71">
        <f t="shared" si="5"/>
        <v>11</v>
      </c>
      <c r="AU27" s="71">
        <f t="shared" si="5"/>
        <v>8</v>
      </c>
      <c r="AV27" s="71">
        <f t="shared" si="5"/>
        <v>4</v>
      </c>
      <c r="AW27" s="71">
        <f t="shared" si="5"/>
        <v>9</v>
      </c>
      <c r="AX27" s="71">
        <f t="shared" si="5"/>
        <v>6</v>
      </c>
      <c r="AY27" s="71">
        <f t="shared" si="5"/>
        <v>32</v>
      </c>
      <c r="AZ27" s="71">
        <f t="shared" si="5"/>
        <v>6</v>
      </c>
      <c r="BA27" s="71">
        <f t="shared" si="5"/>
        <v>8</v>
      </c>
      <c r="BB27" s="71">
        <f t="shared" si="5"/>
        <v>6</v>
      </c>
      <c r="BC27" s="71">
        <f t="shared" si="5"/>
        <v>4</v>
      </c>
      <c r="BD27" s="71">
        <f t="shared" si="5"/>
        <v>42</v>
      </c>
      <c r="BE27" s="71">
        <f t="shared" si="5"/>
        <v>30</v>
      </c>
      <c r="BF27" s="71">
        <f t="shared" si="5"/>
        <v>3</v>
      </c>
      <c r="BG27" s="71">
        <f t="shared" si="5"/>
        <v>18</v>
      </c>
      <c r="BH27" s="71">
        <f t="shared" si="5"/>
        <v>18</v>
      </c>
      <c r="BI27" s="71">
        <f t="shared" si="5"/>
        <v>11</v>
      </c>
      <c r="BJ27" s="71">
        <f t="shared" si="5"/>
        <v>25</v>
      </c>
      <c r="BK27" s="71">
        <f t="shared" si="5"/>
        <v>4</v>
      </c>
      <c r="BL27" s="71">
        <f t="shared" si="5"/>
        <v>26</v>
      </c>
      <c r="BM27" s="71">
        <f t="shared" si="5"/>
        <v>8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>
        <f t="shared" ca="1" si="6"/>
        <v>1</v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0.50363636363636366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3</v>
      </c>
      <c r="O29" s="71">
        <f t="shared" si="7"/>
        <v>3</v>
      </c>
      <c r="P29" s="71">
        <f t="shared" si="7"/>
        <v>1</v>
      </c>
      <c r="Q29" s="71">
        <f t="shared" si="7"/>
        <v>7</v>
      </c>
      <c r="R29" s="71">
        <f t="shared" si="7"/>
        <v>5</v>
      </c>
      <c r="S29" s="71">
        <f t="shared" si="7"/>
        <v>5</v>
      </c>
      <c r="T29" s="71">
        <f t="shared" si="7"/>
        <v>4</v>
      </c>
      <c r="U29" s="71">
        <f t="shared" si="7"/>
        <v>4</v>
      </c>
      <c r="V29" s="71">
        <f t="shared" si="7"/>
        <v>4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4</v>
      </c>
      <c r="AC29" s="71">
        <f t="shared" si="7"/>
        <v>4</v>
      </c>
      <c r="AD29" s="71">
        <f t="shared" si="7"/>
        <v>6</v>
      </c>
      <c r="AE29" s="71">
        <f t="shared" si="7"/>
        <v>5</v>
      </c>
      <c r="AF29" s="71">
        <f t="shared" si="7"/>
        <v>3</v>
      </c>
      <c r="AG29" s="71">
        <f t="shared" si="7"/>
        <v>5</v>
      </c>
      <c r="AH29" s="71">
        <f t="shared" si="7"/>
        <v>3</v>
      </c>
      <c r="AI29" s="71">
        <f t="shared" si="7"/>
        <v>5</v>
      </c>
      <c r="AJ29" s="71">
        <f t="shared" si="7"/>
        <v>3</v>
      </c>
      <c r="AK29" s="71">
        <f t="shared" si="7"/>
        <v>3</v>
      </c>
      <c r="AL29" s="71">
        <f t="shared" si="7"/>
        <v>4</v>
      </c>
      <c r="AM29" s="71">
        <f t="shared" si="7"/>
        <v>2</v>
      </c>
      <c r="AN29" s="71">
        <f t="shared" si="7"/>
        <v>4</v>
      </c>
      <c r="AO29" s="71">
        <f t="shared" si="7"/>
        <v>7</v>
      </c>
      <c r="AP29" s="71">
        <f t="shared" si="7"/>
        <v>5</v>
      </c>
      <c r="AQ29" s="71">
        <f t="shared" si="7"/>
        <v>3</v>
      </c>
      <c r="AR29" s="71">
        <f t="shared" si="7"/>
        <v>4</v>
      </c>
      <c r="AS29" s="71">
        <f t="shared" si="7"/>
        <v>7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4</v>
      </c>
      <c r="AX29" s="71">
        <f t="shared" si="7"/>
        <v>4</v>
      </c>
      <c r="AY29" s="71">
        <f t="shared" si="7"/>
        <v>4</v>
      </c>
      <c r="AZ29" s="71">
        <f t="shared" si="7"/>
        <v>4</v>
      </c>
      <c r="BA29" s="71">
        <f t="shared" si="7"/>
        <v>3</v>
      </c>
      <c r="BB29" s="71">
        <f t="shared" si="7"/>
        <v>3</v>
      </c>
      <c r="BC29" s="71">
        <f t="shared" si="7"/>
        <v>2</v>
      </c>
      <c r="BD29" s="71">
        <f t="shared" si="7"/>
        <v>3</v>
      </c>
      <c r="BE29" s="71">
        <f t="shared" si="7"/>
        <v>3</v>
      </c>
      <c r="BF29" s="71">
        <f t="shared" si="7"/>
        <v>2</v>
      </c>
      <c r="BG29" s="71">
        <f t="shared" si="7"/>
        <v>4</v>
      </c>
      <c r="BH29" s="71">
        <f t="shared" si="7"/>
        <v>5</v>
      </c>
      <c r="BI29" s="71">
        <f t="shared" si="7"/>
        <v>6</v>
      </c>
      <c r="BJ29" s="71">
        <f t="shared" si="7"/>
        <v>3</v>
      </c>
      <c r="BK29" s="71">
        <f t="shared" si="7"/>
        <v>4</v>
      </c>
      <c r="BL29" s="71">
        <f t="shared" si="7"/>
        <v>4</v>
      </c>
      <c r="BM29" s="71">
        <f t="shared" si="7"/>
        <v>3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2</v>
      </c>
      <c r="Q30" s="73">
        <f t="shared" si="8"/>
        <v>4</v>
      </c>
      <c r="R30" s="73">
        <f t="shared" si="8"/>
        <v>4</v>
      </c>
      <c r="S30" s="73">
        <f t="shared" si="8"/>
        <v>2</v>
      </c>
      <c r="T30" s="73">
        <f t="shared" si="8"/>
        <v>3</v>
      </c>
      <c r="U30" s="73">
        <f t="shared" si="8"/>
        <v>5</v>
      </c>
      <c r="V30" s="73">
        <f t="shared" si="8"/>
        <v>3</v>
      </c>
      <c r="W30" s="73">
        <f t="shared" si="8"/>
        <v>3</v>
      </c>
      <c r="X30" s="73">
        <f t="shared" si="8"/>
        <v>2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3</v>
      </c>
      <c r="AC30" s="73">
        <f t="shared" si="8"/>
        <v>1</v>
      </c>
      <c r="AD30" s="73">
        <f t="shared" si="8"/>
        <v>5</v>
      </c>
      <c r="AE30" s="73">
        <f t="shared" si="8"/>
        <v>2</v>
      </c>
      <c r="AF30" s="73">
        <f t="shared" si="8"/>
        <v>4</v>
      </c>
      <c r="AG30" s="73">
        <f t="shared" si="8"/>
        <v>4</v>
      </c>
      <c r="AH30" s="73">
        <f t="shared" si="8"/>
        <v>2</v>
      </c>
      <c r="AI30" s="73">
        <f t="shared" si="8"/>
        <v>2</v>
      </c>
      <c r="AJ30" s="73">
        <f t="shared" si="8"/>
        <v>0</v>
      </c>
      <c r="AK30" s="73">
        <f t="shared" si="8"/>
        <v>4</v>
      </c>
      <c r="AL30" s="73">
        <f t="shared" si="8"/>
        <v>3</v>
      </c>
      <c r="AM30" s="73">
        <f t="shared" si="8"/>
        <v>1</v>
      </c>
      <c r="AN30" s="73">
        <f t="shared" si="8"/>
        <v>3</v>
      </c>
      <c r="AO30" s="73">
        <f t="shared" si="8"/>
        <v>6</v>
      </c>
      <c r="AP30" s="73">
        <f t="shared" si="8"/>
        <v>4</v>
      </c>
      <c r="AQ30" s="73">
        <f t="shared" si="8"/>
        <v>4</v>
      </c>
      <c r="AR30" s="73">
        <f t="shared" si="8"/>
        <v>1</v>
      </c>
      <c r="AS30" s="73">
        <f t="shared" si="8"/>
        <v>4</v>
      </c>
      <c r="AT30" s="73">
        <f t="shared" si="8"/>
        <v>3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3</v>
      </c>
      <c r="BA30" s="73">
        <f t="shared" si="8"/>
        <v>0</v>
      </c>
      <c r="BB30" s="73">
        <f t="shared" si="8"/>
        <v>2</v>
      </c>
      <c r="BC30" s="73">
        <f t="shared" si="8"/>
        <v>3</v>
      </c>
      <c r="BD30" s="73">
        <f t="shared" si="8"/>
        <v>2</v>
      </c>
      <c r="BE30" s="73">
        <f t="shared" si="8"/>
        <v>4</v>
      </c>
      <c r="BF30" s="73">
        <f t="shared" si="8"/>
        <v>1</v>
      </c>
      <c r="BG30" s="73">
        <f t="shared" si="8"/>
        <v>5</v>
      </c>
      <c r="BH30" s="73">
        <f t="shared" si="8"/>
        <v>2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1</v>
      </c>
      <c r="BM30" s="73">
        <f t="shared" si="8"/>
        <v>4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2</v>
      </c>
      <c r="P31" s="71">
        <f t="shared" ca="1" si="9"/>
        <v>2</v>
      </c>
      <c r="Q31" s="71">
        <f t="shared" ca="1" si="9"/>
        <v>4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3</v>
      </c>
      <c r="X31" s="71">
        <f t="shared" ca="1" si="9"/>
        <v>2</v>
      </c>
      <c r="Y31" s="71">
        <f t="shared" ca="1" si="9"/>
        <v>2</v>
      </c>
      <c r="Z31" s="71">
        <f t="shared" ca="1" si="9"/>
        <v>4</v>
      </c>
      <c r="AA31" s="71">
        <f t="shared" ca="1" si="9"/>
        <v>4</v>
      </c>
      <c r="AB31" s="71">
        <f t="shared" ca="1" si="9"/>
        <v>3</v>
      </c>
      <c r="AC31" s="71">
        <f t="shared" ca="1" si="9"/>
        <v>1</v>
      </c>
      <c r="AD31" s="71">
        <f t="shared" ca="1" si="9"/>
        <v>5</v>
      </c>
      <c r="AE31" s="71">
        <f t="shared" ca="1" si="9"/>
        <v>2</v>
      </c>
      <c r="AF31" s="71">
        <f t="shared" ca="1" si="9"/>
        <v>4</v>
      </c>
      <c r="AG31" s="71">
        <f t="shared" ca="1" si="9"/>
        <v>4</v>
      </c>
      <c r="AH31" s="71">
        <f t="shared" ca="1" si="9"/>
        <v>2</v>
      </c>
      <c r="AI31" s="71">
        <f t="shared" ca="1" si="9"/>
        <v>2</v>
      </c>
      <c r="AJ31" s="71">
        <f t="shared" ca="1" si="9"/>
        <v>0</v>
      </c>
      <c r="AK31" s="71">
        <f t="shared" ca="1" si="9"/>
        <v>4</v>
      </c>
      <c r="AL31" s="71">
        <f t="shared" ca="1" si="9"/>
        <v>3</v>
      </c>
      <c r="AM31" s="71">
        <f t="shared" ca="1" si="9"/>
        <v>1</v>
      </c>
      <c r="AN31" s="71">
        <f t="shared" ca="1" si="9"/>
        <v>3</v>
      </c>
      <c r="AO31" s="71">
        <f t="shared" ca="1" si="9"/>
        <v>6</v>
      </c>
      <c r="AP31" s="71">
        <f t="shared" ca="1" si="9"/>
        <v>4</v>
      </c>
      <c r="AQ31" s="71">
        <f t="shared" ca="1" si="9"/>
        <v>4</v>
      </c>
      <c r="AR31" s="71">
        <f t="shared" ca="1" si="9"/>
        <v>1</v>
      </c>
      <c r="AS31" s="71">
        <f t="shared" ca="1" si="9"/>
        <v>4</v>
      </c>
      <c r="AT31" s="71">
        <f t="shared" ca="1" si="9"/>
        <v>3</v>
      </c>
      <c r="AU31" s="71">
        <f t="shared" ca="1" si="9"/>
        <v>3</v>
      </c>
      <c r="AV31" s="71">
        <f t="shared" ca="1" si="9"/>
        <v>2</v>
      </c>
      <c r="AW31" s="71">
        <f t="shared" ca="1" si="9"/>
        <v>5</v>
      </c>
      <c r="AX31" s="71">
        <f t="shared" ca="1" si="9"/>
        <v>5</v>
      </c>
      <c r="AY31" s="71">
        <f t="shared" ca="1" si="9"/>
        <v>3</v>
      </c>
      <c r="AZ31" s="71">
        <f t="shared" ca="1" si="9"/>
        <v>3</v>
      </c>
      <c r="BA31" s="71">
        <f t="shared" ca="1" si="9"/>
        <v>0</v>
      </c>
      <c r="BB31" s="71">
        <f t="shared" ca="1" si="9"/>
        <v>2</v>
      </c>
      <c r="BC31" s="71">
        <f t="shared" ca="1" si="9"/>
        <v>3</v>
      </c>
      <c r="BD31" s="71">
        <f t="shared" ca="1" si="9"/>
        <v>2</v>
      </c>
      <c r="BE31" s="71">
        <f t="shared" ca="1" si="9"/>
        <v>4</v>
      </c>
      <c r="BF31" s="71">
        <f t="shared" ca="1" si="9"/>
        <v>1</v>
      </c>
      <c r="BG31" s="71">
        <f t="shared" ca="1" si="9"/>
        <v>5</v>
      </c>
      <c r="BH31" s="71">
        <f t="shared" ca="1" si="9"/>
        <v>2</v>
      </c>
      <c r="BI31" s="71">
        <f t="shared" ca="1" si="9"/>
        <v>3</v>
      </c>
      <c r="BJ31" s="71">
        <f t="shared" ca="1" si="9"/>
        <v>2</v>
      </c>
      <c r="BK31" s="71">
        <f t="shared" ca="1" si="9"/>
        <v>3</v>
      </c>
      <c r="BL31" s="71">
        <f t="shared" ca="1" si="9"/>
        <v>1</v>
      </c>
      <c r="BM31" s="71">
        <f t="shared" ca="1" si="9"/>
        <v>4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59967912</v>
      </c>
      <c r="L36" s="32">
        <f t="shared" ref="L36:BM36" si="12">COUNTA(L23:L24)*((10000000*L25)+(1000000*(COUNTA(L21)*$E21+COUNTA(L22)*$E22))-(COUNTA($D$21:$D$22)*1000*L26)-(COUNTA($D$21:$D$22)*L27))</f>
        <v>61976000</v>
      </c>
      <c r="M36" s="32">
        <f t="shared" si="12"/>
        <v>121991928</v>
      </c>
      <c r="N36" s="32">
        <f t="shared" si="12"/>
        <v>99967888</v>
      </c>
      <c r="O36" s="32">
        <f t="shared" si="12"/>
        <v>99967944</v>
      </c>
      <c r="P36" s="32">
        <f t="shared" si="12"/>
        <v>59911848</v>
      </c>
      <c r="Q36" s="32">
        <f t="shared" si="12"/>
        <v>139927960</v>
      </c>
      <c r="R36" s="32">
        <f t="shared" si="12"/>
        <v>99967888</v>
      </c>
      <c r="S36" s="32">
        <f t="shared" si="12"/>
        <v>141991960</v>
      </c>
      <c r="T36" s="32">
        <f t="shared" si="12"/>
        <v>79931988</v>
      </c>
      <c r="U36" s="32">
        <f t="shared" si="12"/>
        <v>121975816</v>
      </c>
      <c r="V36" s="32">
        <f t="shared" si="12"/>
        <v>119939828</v>
      </c>
      <c r="W36" s="32">
        <f t="shared" si="12"/>
        <v>79967856</v>
      </c>
      <c r="X36" s="32">
        <f t="shared" si="12"/>
        <v>101991920</v>
      </c>
      <c r="Y36" s="32">
        <f t="shared" si="12"/>
        <v>101963956</v>
      </c>
      <c r="Z36" s="32">
        <f t="shared" si="12"/>
        <v>139971916</v>
      </c>
      <c r="AA36" s="32">
        <f t="shared" si="12"/>
        <v>59967968</v>
      </c>
      <c r="AB36" s="32">
        <f t="shared" si="12"/>
        <v>81983896</v>
      </c>
      <c r="AC36" s="32">
        <f t="shared" si="12"/>
        <v>79967912</v>
      </c>
      <c r="AD36" s="32">
        <f t="shared" si="12"/>
        <v>119971868</v>
      </c>
      <c r="AE36" s="32">
        <f t="shared" si="12"/>
        <v>139955956</v>
      </c>
      <c r="AF36" s="32">
        <f t="shared" si="12"/>
        <v>101975920</v>
      </c>
      <c r="AG36" s="32">
        <f t="shared" si="12"/>
        <v>101999864</v>
      </c>
      <c r="AH36" s="32">
        <f t="shared" si="12"/>
        <v>99967912</v>
      </c>
      <c r="AI36" s="32">
        <f t="shared" si="12"/>
        <v>99927904</v>
      </c>
      <c r="AJ36" s="32">
        <f t="shared" si="12"/>
        <v>99967968</v>
      </c>
      <c r="AK36" s="32">
        <f t="shared" si="12"/>
        <v>99967944</v>
      </c>
      <c r="AL36" s="32">
        <f t="shared" si="12"/>
        <v>119971948</v>
      </c>
      <c r="AM36" s="32">
        <f t="shared" si="12"/>
        <v>79967944</v>
      </c>
      <c r="AN36" s="32">
        <f t="shared" si="12"/>
        <v>119939940</v>
      </c>
      <c r="AO36" s="32">
        <f t="shared" si="12"/>
        <v>141987956</v>
      </c>
      <c r="AP36" s="32">
        <f t="shared" si="12"/>
        <v>101947948</v>
      </c>
      <c r="AQ36" s="32">
        <f t="shared" si="12"/>
        <v>0</v>
      </c>
      <c r="AR36" s="32">
        <f t="shared" si="12"/>
        <v>119951928</v>
      </c>
      <c r="AS36" s="32">
        <f t="shared" si="12"/>
        <v>181979876</v>
      </c>
      <c r="AT36" s="32">
        <f t="shared" si="12"/>
        <v>119923956</v>
      </c>
      <c r="AU36" s="32">
        <f t="shared" si="12"/>
        <v>119967968</v>
      </c>
      <c r="AV36" s="32">
        <f t="shared" si="12"/>
        <v>99959984</v>
      </c>
      <c r="AW36" s="32">
        <f t="shared" si="12"/>
        <v>79963964</v>
      </c>
      <c r="AX36" s="32">
        <f t="shared" si="12"/>
        <v>79911976</v>
      </c>
      <c r="AY36" s="32">
        <f t="shared" si="12"/>
        <v>79951872</v>
      </c>
      <c r="AZ36" s="32">
        <f t="shared" si="12"/>
        <v>79967976</v>
      </c>
      <c r="BA36" s="32">
        <f t="shared" si="12"/>
        <v>99967968</v>
      </c>
      <c r="BB36" s="32">
        <f t="shared" si="12"/>
        <v>99967976</v>
      </c>
      <c r="BC36" s="32">
        <f t="shared" si="12"/>
        <v>81991984</v>
      </c>
      <c r="BD36" s="32">
        <f t="shared" si="12"/>
        <v>99967832</v>
      </c>
      <c r="BE36" s="32">
        <f t="shared" si="12"/>
        <v>61983880</v>
      </c>
      <c r="BF36" s="32">
        <f t="shared" si="12"/>
        <v>79955988</v>
      </c>
      <c r="BG36" s="32">
        <f t="shared" si="12"/>
        <v>121991928</v>
      </c>
      <c r="BH36" s="32">
        <f t="shared" si="12"/>
        <v>99951928</v>
      </c>
      <c r="BI36" s="32">
        <f t="shared" si="12"/>
        <v>119955956</v>
      </c>
      <c r="BJ36" s="32">
        <f t="shared" si="12"/>
        <v>101979900</v>
      </c>
      <c r="BK36" s="32">
        <f t="shared" si="12"/>
        <v>79951984</v>
      </c>
      <c r="BL36" s="32">
        <f t="shared" si="12"/>
        <v>119967896</v>
      </c>
      <c r="BM36" s="32">
        <f t="shared" si="12"/>
        <v>99967968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94" priority="12" stopIfTrue="1" operator="equal">
      <formula>0</formula>
    </cfRule>
  </conditionalFormatting>
  <conditionalFormatting sqref="B12:C12 B14:C14 B16:C16 B18:C18 B20:C20 B22:C22 B24:C24 E24 H24:I24 B10:C10 B4:C4 B6:C6 B8:C8 AO24:BE24">
    <cfRule type="cellIs" dxfId="193" priority="13" stopIfTrue="1" operator="equal">
      <formula>0</formula>
    </cfRule>
  </conditionalFormatting>
  <conditionalFormatting sqref="D26:J28 K28:BE28">
    <cfRule type="cellIs" dxfId="192" priority="14" stopIfTrue="1" operator="equal">
      <formula>1</formula>
    </cfRule>
  </conditionalFormatting>
  <conditionalFormatting sqref="H3:I3 F23 H5:I5 H7:I7 H9:I9 H11:I11 H13:I13 H15:I15 H17:I17 H19:I19 H21:I21">
    <cfRule type="cellIs" dxfId="191" priority="15" stopIfTrue="1" operator="equal">
      <formula>0</formula>
    </cfRule>
  </conditionalFormatting>
  <conditionalFormatting sqref="H4:I4 F24 H6:I6 H8:I8 H10:I10 H12:I12 H14:I14 H16:I16 H18:I18 H20:I20 H22:I22">
    <cfRule type="cellIs" dxfId="190" priority="16" stopIfTrue="1" operator="equal">
      <formula>0</formula>
    </cfRule>
  </conditionalFormatting>
  <conditionalFormatting sqref="F3 F5 F7 F9 F11 F13 F15 F17 F19 F21">
    <cfRule type="cellIs" dxfId="189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8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P6 J8:AP8 J10:AP10 J12:AP12 J14:AP14 J16:AP16 J18:AP18 J20:AP20 J22:AP22 J4:AP4 AR4:BE4 AR22:BE22 AR20:BE20 AR18:BE18 AR16:BE16 AR14:BE14 AR12:BE12 AR10:BE10 AR8:BE8 AR6:BE6">
    <cfRule type="expression" dxfId="187" priority="19" stopIfTrue="1">
      <formula>AND(COUNTA(J4)=1,$E4=1,SUM($E3:$E4)=1)</formula>
    </cfRule>
    <cfRule type="expression" dxfId="186" priority="20" stopIfTrue="1">
      <formula>AND(COUNTA(J4)=1,$E4=0,SUM($E3:$E4)=1)</formula>
    </cfRule>
  </conditionalFormatting>
  <conditionalFormatting sqref="J5:AP5 J7:AP7 J9:AP9 J11:AP11 J13:AP13 J15:AP15 J17:AP17 J19:AP19 J21:AP21 J3:AP3 AR3:BE3 AR21:BE21 AR19:BE19 AR17:BE17 AR15:BE15 AR13:BE13 AR11:BE11 AR9:BE9 AR7:BE7 AR5:BE5">
    <cfRule type="expression" dxfId="185" priority="21" stopIfTrue="1">
      <formula>AND(COUNTA(J3)=1,$E3=1,SUM($E3:$E4)=1)</formula>
    </cfRule>
    <cfRule type="expression" dxfId="184" priority="22" stopIfTrue="1">
      <formula>AND(COUNTA(J3)=1,$E3=0,SUM($E3:$E4)=1)</formula>
    </cfRule>
  </conditionalFormatting>
  <conditionalFormatting sqref="BF23:BM23">
    <cfRule type="cellIs" dxfId="183" priority="11" stopIfTrue="1" operator="equal">
      <formula>0</formula>
    </cfRule>
  </conditionalFormatting>
  <conditionalFormatting sqref="BF24:BM24">
    <cfRule type="cellIs" dxfId="182" priority="10" stopIfTrue="1" operator="equal">
      <formula>0</formula>
    </cfRule>
  </conditionalFormatting>
  <conditionalFormatting sqref="BF28:BM28">
    <cfRule type="cellIs" dxfId="181" priority="9" stopIfTrue="1" operator="equal">
      <formula>1</formula>
    </cfRule>
  </conditionalFormatting>
  <conditionalFormatting sqref="BF12:BM12 BF14:BM14 BF16:BM16 BF18:BM18 BF20:BM20 BF22:BM22 BF4:BM4 BF6:BM6 BF8:BM8 BF10:BM10">
    <cfRule type="expression" dxfId="180" priority="7" stopIfTrue="1">
      <formula>AND(COUNTA(BF4)=1,$E4=1,SUM($E3:$E4)=1)</formula>
    </cfRule>
    <cfRule type="expression" dxfId="179" priority="8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8" priority="5" stopIfTrue="1">
      <formula>AND(COUNTA(BF3)=1,$E3=1,SUM($E3:$E4)=1)</formula>
    </cfRule>
    <cfRule type="expression" dxfId="177" priority="6" stopIfTrue="1">
      <formula>AND(COUNTA(BF3)=1,$E3=0,SUM($E3:$E4)=1)</formula>
    </cfRule>
  </conditionalFormatting>
  <conditionalFormatting sqref="AQ4 AQ22 AQ20 AQ18 AQ16 AQ14 AQ12 AQ10 AQ8 AQ6">
    <cfRule type="expression" dxfId="176" priority="1" stopIfTrue="1">
      <formula>AND(COUNTA(AQ4)=1,$E4=1,SUM($E3:$E4)=1)</formula>
    </cfRule>
    <cfRule type="expression" dxfId="175" priority="2" stopIfTrue="1">
      <formula>AND(COUNTA(AQ4)=1,$E4=0,SUM($E3:$E4)=1)</formula>
    </cfRule>
  </conditionalFormatting>
  <conditionalFormatting sqref="AQ3 AQ21 AQ19 AQ17 AQ15 AQ13 AQ11 AQ9 AQ7 AQ5">
    <cfRule type="expression" dxfId="174" priority="3" stopIfTrue="1">
      <formula>AND(COUNTA(AQ3)=1,$E3=1,SUM($E3:$E4)=1)</formula>
    </cfRule>
    <cfRule type="expression" dxfId="173" priority="4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>
    <pageSetUpPr fitToPage="1"/>
  </sheetPr>
  <dimension ref="A1:BM58"/>
  <sheetViews>
    <sheetView zoomScale="90" zoomScaleNormal="100" zoomScaleSheetLayoutView="100" workbookViewId="0">
      <selection activeCell="B9" sqref="B9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252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 t="s">
        <v>320</v>
      </c>
      <c r="K3" s="69"/>
      <c r="L3" s="69" t="s">
        <v>309</v>
      </c>
      <c r="M3" s="69"/>
      <c r="N3" s="69"/>
      <c r="O3" s="69" t="s">
        <v>311</v>
      </c>
      <c r="P3" s="69"/>
      <c r="Q3" s="69"/>
      <c r="R3" s="69"/>
      <c r="S3" s="69" t="s">
        <v>311</v>
      </c>
      <c r="T3" s="69"/>
      <c r="U3" s="69" t="s">
        <v>322</v>
      </c>
      <c r="V3" s="69"/>
      <c r="W3" s="69"/>
      <c r="X3" s="69"/>
      <c r="Y3" s="69"/>
      <c r="Z3" s="69"/>
      <c r="AA3" s="69"/>
      <c r="AB3" s="69" t="s">
        <v>309</v>
      </c>
      <c r="AC3" s="69" t="s">
        <v>311</v>
      </c>
      <c r="AD3" s="69"/>
      <c r="AE3" s="69" t="s">
        <v>311</v>
      </c>
      <c r="AF3" s="69" t="s">
        <v>349</v>
      </c>
      <c r="AG3" s="69" t="s">
        <v>350</v>
      </c>
      <c r="AH3" s="69"/>
      <c r="AI3" s="69"/>
      <c r="AJ3" s="69"/>
      <c r="AK3" s="69"/>
      <c r="AL3" s="69"/>
      <c r="AM3" s="69" t="s">
        <v>387</v>
      </c>
      <c r="AN3" s="69" t="s">
        <v>335</v>
      </c>
      <c r="AO3" s="69" t="s">
        <v>311</v>
      </c>
      <c r="AP3" s="69"/>
      <c r="AQ3" s="69" t="s">
        <v>311</v>
      </c>
      <c r="AR3" s="96"/>
      <c r="AS3" s="69"/>
      <c r="AT3" s="69" t="s">
        <v>336</v>
      </c>
      <c r="AU3" s="69" t="s">
        <v>311</v>
      </c>
      <c r="AV3" s="69" t="s">
        <v>311</v>
      </c>
      <c r="AW3" s="69" t="s">
        <v>456</v>
      </c>
      <c r="AX3" s="69" t="s">
        <v>345</v>
      </c>
      <c r="AY3" s="69" t="s">
        <v>451</v>
      </c>
      <c r="AZ3" s="69" t="s">
        <v>311</v>
      </c>
      <c r="BA3" s="69"/>
      <c r="BB3" s="69" t="s">
        <v>314</v>
      </c>
      <c r="BC3" s="69" t="s">
        <v>309</v>
      </c>
      <c r="BD3" s="69"/>
      <c r="BE3" s="96" t="s">
        <v>364</v>
      </c>
      <c r="BF3" s="69"/>
      <c r="BG3" s="69" t="s">
        <v>311</v>
      </c>
      <c r="BH3" s="69"/>
      <c r="BI3" s="69"/>
      <c r="BJ3" s="69"/>
      <c r="BK3" s="69"/>
      <c r="BL3" s="69"/>
      <c r="BM3" s="69"/>
    </row>
    <row r="4" spans="1:65">
      <c r="A4" s="61" t="s">
        <v>3</v>
      </c>
      <c r="B4" s="68" t="s">
        <v>160</v>
      </c>
      <c r="C4" s="66">
        <v>2.5</v>
      </c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309</v>
      </c>
      <c r="L4" s="70"/>
      <c r="M4" s="70" t="s">
        <v>350</v>
      </c>
      <c r="N4" s="70" t="s">
        <v>439</v>
      </c>
      <c r="O4" s="70"/>
      <c r="P4" s="70" t="s">
        <v>309</v>
      </c>
      <c r="Q4" s="70" t="s">
        <v>329</v>
      </c>
      <c r="R4" s="70" t="s">
        <v>309</v>
      </c>
      <c r="S4" s="70"/>
      <c r="T4" s="70" t="s">
        <v>344</v>
      </c>
      <c r="U4" s="70"/>
      <c r="V4" s="70" t="s">
        <v>309</v>
      </c>
      <c r="W4" s="70" t="s">
        <v>328</v>
      </c>
      <c r="X4" s="70" t="s">
        <v>331</v>
      </c>
      <c r="Y4" s="70" t="s">
        <v>311</v>
      </c>
      <c r="Z4" s="70" t="s">
        <v>311</v>
      </c>
      <c r="AA4" s="70" t="s">
        <v>311</v>
      </c>
      <c r="AB4" s="70"/>
      <c r="AC4" s="70"/>
      <c r="AD4" s="70" t="s">
        <v>345</v>
      </c>
      <c r="AE4" s="70"/>
      <c r="AF4" s="70"/>
      <c r="AG4" s="70"/>
      <c r="AH4" s="70" t="s">
        <v>350</v>
      </c>
      <c r="AI4" s="70" t="s">
        <v>317</v>
      </c>
      <c r="AJ4" s="70" t="s">
        <v>329</v>
      </c>
      <c r="AK4" s="70" t="s">
        <v>311</v>
      </c>
      <c r="AL4" s="70" t="s">
        <v>327</v>
      </c>
      <c r="AM4" s="70"/>
      <c r="AN4" s="70"/>
      <c r="AO4" s="70"/>
      <c r="AP4" s="70" t="s">
        <v>446</v>
      </c>
      <c r="AQ4" s="70"/>
      <c r="AR4" s="70" t="s">
        <v>309</v>
      </c>
      <c r="AS4" s="70" t="s">
        <v>336</v>
      </c>
      <c r="AT4" s="70"/>
      <c r="AU4" s="70"/>
      <c r="AV4" s="70"/>
      <c r="AW4" s="70"/>
      <c r="AX4" s="70"/>
      <c r="AY4" s="70"/>
      <c r="AZ4" s="70"/>
      <c r="BA4" s="70" t="s">
        <v>311</v>
      </c>
      <c r="BB4" s="70"/>
      <c r="BC4" s="70"/>
      <c r="BD4" s="70" t="s">
        <v>378</v>
      </c>
      <c r="BE4" s="70"/>
      <c r="BF4" s="70" t="s">
        <v>372</v>
      </c>
      <c r="BG4" s="70"/>
      <c r="BH4" s="70" t="s">
        <v>311</v>
      </c>
      <c r="BI4" s="70" t="s">
        <v>337</v>
      </c>
      <c r="BJ4" s="70" t="s">
        <v>454</v>
      </c>
      <c r="BK4" s="70" t="s">
        <v>309</v>
      </c>
      <c r="BL4" s="70" t="s">
        <v>311</v>
      </c>
      <c r="BM4" s="70" t="s">
        <v>328</v>
      </c>
    </row>
    <row r="5" spans="1:65">
      <c r="A5" s="59">
        <v>2</v>
      </c>
      <c r="B5" s="67" t="s">
        <v>176</v>
      </c>
      <c r="C5" s="65"/>
      <c r="D5" s="64">
        <v>0</v>
      </c>
      <c r="E5" s="64">
        <f>IF(ISBLANK($D5),"0",IF(($D6-$D5)&lt;($C6-$C5),1,0))</f>
        <v>0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320</v>
      </c>
      <c r="K5" s="69"/>
      <c r="L5" s="69" t="s">
        <v>309</v>
      </c>
      <c r="M5" s="69"/>
      <c r="N5" s="69" t="s">
        <v>439</v>
      </c>
      <c r="O5" s="69"/>
      <c r="P5" s="69"/>
      <c r="Q5" s="69"/>
      <c r="R5" s="69" t="s">
        <v>309</v>
      </c>
      <c r="S5" s="69" t="s">
        <v>311</v>
      </c>
      <c r="T5" s="69" t="s">
        <v>344</v>
      </c>
      <c r="U5" s="69" t="s">
        <v>323</v>
      </c>
      <c r="V5" s="69"/>
      <c r="W5" s="69"/>
      <c r="X5" s="69"/>
      <c r="Y5" s="69" t="s">
        <v>311</v>
      </c>
      <c r="Z5" s="69" t="s">
        <v>311</v>
      </c>
      <c r="AA5" s="69" t="s">
        <v>311</v>
      </c>
      <c r="AB5" s="69"/>
      <c r="AC5" s="69"/>
      <c r="AD5" s="69"/>
      <c r="AE5" s="69" t="s">
        <v>311</v>
      </c>
      <c r="AF5" s="69" t="s">
        <v>349</v>
      </c>
      <c r="AG5" s="69" t="s">
        <v>313</v>
      </c>
      <c r="AH5" s="69"/>
      <c r="AI5" s="69"/>
      <c r="AJ5" s="69" t="s">
        <v>329</v>
      </c>
      <c r="AK5" s="69" t="s">
        <v>311</v>
      </c>
      <c r="AL5" s="69" t="s">
        <v>327</v>
      </c>
      <c r="AM5" s="69"/>
      <c r="AN5" s="69" t="s">
        <v>335</v>
      </c>
      <c r="AO5" s="69" t="s">
        <v>311</v>
      </c>
      <c r="AP5" s="69" t="s">
        <v>336</v>
      </c>
      <c r="AQ5" s="69" t="s">
        <v>311</v>
      </c>
      <c r="AR5" s="96" t="s">
        <v>309</v>
      </c>
      <c r="AS5" s="69"/>
      <c r="AT5" s="69" t="s">
        <v>336</v>
      </c>
      <c r="AU5" s="69"/>
      <c r="AV5" s="69" t="s">
        <v>311</v>
      </c>
      <c r="AW5" s="69"/>
      <c r="AX5" s="69" t="s">
        <v>337</v>
      </c>
      <c r="AY5" s="69"/>
      <c r="AZ5" s="69"/>
      <c r="BA5" s="69" t="s">
        <v>311</v>
      </c>
      <c r="BB5" s="69" t="s">
        <v>314</v>
      </c>
      <c r="BC5" s="69" t="s">
        <v>309</v>
      </c>
      <c r="BD5" s="69"/>
      <c r="BE5" s="69" t="s">
        <v>364</v>
      </c>
      <c r="BF5" s="69"/>
      <c r="BG5" s="69"/>
      <c r="BH5" s="69" t="s">
        <v>311</v>
      </c>
      <c r="BI5" s="69" t="s">
        <v>337</v>
      </c>
      <c r="BJ5" s="69"/>
      <c r="BK5" s="69"/>
      <c r="BL5" s="69"/>
      <c r="BM5" s="69"/>
    </row>
    <row r="6" spans="1:65">
      <c r="A6" s="61" t="s">
        <v>3</v>
      </c>
      <c r="B6" s="68" t="s">
        <v>163</v>
      </c>
      <c r="C6" s="66">
        <v>14.5</v>
      </c>
      <c r="D6" s="64">
        <v>41</v>
      </c>
      <c r="E6" s="64">
        <f>IF(ISBLANK($D6),"0",IF(($D6-$D5)&gt;($C6-$C5),1,0))</f>
        <v>1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309</v>
      </c>
      <c r="L6" s="70"/>
      <c r="M6" s="70" t="s">
        <v>350</v>
      </c>
      <c r="N6" s="70"/>
      <c r="O6" s="70" t="s">
        <v>311</v>
      </c>
      <c r="P6" s="70" t="s">
        <v>309</v>
      </c>
      <c r="Q6" s="70" t="s">
        <v>334</v>
      </c>
      <c r="R6" s="70"/>
      <c r="S6" s="70"/>
      <c r="T6" s="70"/>
      <c r="U6" s="70"/>
      <c r="V6" s="70" t="s">
        <v>309</v>
      </c>
      <c r="W6" s="70" t="s">
        <v>323</v>
      </c>
      <c r="X6" s="70" t="s">
        <v>323</v>
      </c>
      <c r="Y6" s="70"/>
      <c r="Z6" s="70"/>
      <c r="AA6" s="70"/>
      <c r="AB6" s="70" t="s">
        <v>309</v>
      </c>
      <c r="AC6" s="70" t="s">
        <v>311</v>
      </c>
      <c r="AD6" s="70" t="s">
        <v>346</v>
      </c>
      <c r="AE6" s="70"/>
      <c r="AF6" s="70"/>
      <c r="AG6" s="70"/>
      <c r="AH6" s="70" t="s">
        <v>314</v>
      </c>
      <c r="AI6" s="70" t="s">
        <v>318</v>
      </c>
      <c r="AJ6" s="70"/>
      <c r="AK6" s="70"/>
      <c r="AL6" s="70"/>
      <c r="AM6" s="70" t="s">
        <v>340</v>
      </c>
      <c r="AN6" s="70"/>
      <c r="AO6" s="70"/>
      <c r="AP6" s="70"/>
      <c r="AQ6" s="70"/>
      <c r="AR6" s="70"/>
      <c r="AS6" s="70" t="s">
        <v>331</v>
      </c>
      <c r="AT6" s="70"/>
      <c r="AU6" s="70" t="s">
        <v>311</v>
      </c>
      <c r="AV6" s="70"/>
      <c r="AW6" s="70" t="s">
        <v>329</v>
      </c>
      <c r="AX6" s="70"/>
      <c r="AY6" s="70" t="s">
        <v>452</v>
      </c>
      <c r="AZ6" s="70" t="s">
        <v>311</v>
      </c>
      <c r="BA6" s="70"/>
      <c r="BB6" s="70"/>
      <c r="BC6" s="70"/>
      <c r="BD6" s="70" t="s">
        <v>378</v>
      </c>
      <c r="BE6" s="97"/>
      <c r="BF6" s="70" t="s">
        <v>372</v>
      </c>
      <c r="BG6" s="70" t="s">
        <v>311</v>
      </c>
      <c r="BH6" s="70"/>
      <c r="BI6" s="70"/>
      <c r="BJ6" s="70" t="s">
        <v>454</v>
      </c>
      <c r="BK6" s="70" t="s">
        <v>309</v>
      </c>
      <c r="BL6" s="70" t="s">
        <v>311</v>
      </c>
      <c r="BM6" s="70" t="s">
        <v>327</v>
      </c>
    </row>
    <row r="7" spans="1:65">
      <c r="A7" s="59">
        <v>3</v>
      </c>
      <c r="B7" s="67" t="s">
        <v>165</v>
      </c>
      <c r="C7" s="65">
        <v>4.5</v>
      </c>
      <c r="D7" s="64">
        <v>33</v>
      </c>
      <c r="E7" s="64">
        <f>IF(ISBLANK($D7),"0",IF(($D8-$D7)&lt;($C8-$C7),1,0))</f>
        <v>0</v>
      </c>
      <c r="F7" s="64">
        <f t="shared" ca="1" si="1"/>
        <v>42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 t="s">
        <v>350</v>
      </c>
      <c r="N7" s="69" t="s">
        <v>439</v>
      </c>
      <c r="O7" s="69" t="s">
        <v>311</v>
      </c>
      <c r="P7" s="69" t="s">
        <v>309</v>
      </c>
      <c r="Q7" s="69"/>
      <c r="R7" s="96" t="s">
        <v>309</v>
      </c>
      <c r="S7" s="96"/>
      <c r="T7" s="96" t="s">
        <v>344</v>
      </c>
      <c r="U7" s="96" t="s">
        <v>374</v>
      </c>
      <c r="V7" s="69" t="s">
        <v>309</v>
      </c>
      <c r="W7" s="69" t="s">
        <v>323</v>
      </c>
      <c r="X7" s="69" t="s">
        <v>340</v>
      </c>
      <c r="Y7" s="69" t="s">
        <v>311</v>
      </c>
      <c r="Z7" s="69" t="s">
        <v>311</v>
      </c>
      <c r="AA7" s="69" t="s">
        <v>311</v>
      </c>
      <c r="AB7" s="69" t="s">
        <v>309</v>
      </c>
      <c r="AC7" s="69" t="s">
        <v>311</v>
      </c>
      <c r="AD7" s="69"/>
      <c r="AE7" s="69" t="s">
        <v>311</v>
      </c>
      <c r="AF7" s="69"/>
      <c r="AG7" s="69" t="s">
        <v>329</v>
      </c>
      <c r="AH7" s="69" t="s">
        <v>315</v>
      </c>
      <c r="AI7" s="69" t="s">
        <v>338</v>
      </c>
      <c r="AJ7" s="69"/>
      <c r="AK7" s="69" t="s">
        <v>311</v>
      </c>
      <c r="AL7" s="69" t="s">
        <v>327</v>
      </c>
      <c r="AM7" s="69" t="s">
        <v>347</v>
      </c>
      <c r="AN7" s="69" t="s">
        <v>335</v>
      </c>
      <c r="AO7" s="69" t="s">
        <v>311</v>
      </c>
      <c r="AP7" s="69"/>
      <c r="AQ7" s="69" t="s">
        <v>311</v>
      </c>
      <c r="AR7" s="96" t="s">
        <v>309</v>
      </c>
      <c r="AS7" s="69" t="s">
        <v>332</v>
      </c>
      <c r="AT7" s="69"/>
      <c r="AU7" s="69"/>
      <c r="AV7" s="69" t="s">
        <v>311</v>
      </c>
      <c r="AW7" s="69" t="s">
        <v>318</v>
      </c>
      <c r="AX7" s="69" t="s">
        <v>351</v>
      </c>
      <c r="AY7" s="69" t="s">
        <v>336</v>
      </c>
      <c r="AZ7" s="69"/>
      <c r="BA7" s="69"/>
      <c r="BB7" s="69" t="s">
        <v>314</v>
      </c>
      <c r="BC7" s="69"/>
      <c r="BD7" s="69" t="s">
        <v>378</v>
      </c>
      <c r="BE7" s="96" t="s">
        <v>364</v>
      </c>
      <c r="BF7" s="69"/>
      <c r="BG7" s="69" t="s">
        <v>309</v>
      </c>
      <c r="BH7" s="69" t="s">
        <v>311</v>
      </c>
      <c r="BI7" s="69" t="s">
        <v>337</v>
      </c>
      <c r="BJ7" s="69"/>
      <c r="BK7" s="69" t="s">
        <v>309</v>
      </c>
      <c r="BL7" s="69" t="s">
        <v>311</v>
      </c>
      <c r="BM7" s="69" t="s">
        <v>329</v>
      </c>
    </row>
    <row r="8" spans="1:65">
      <c r="A8" s="61" t="s">
        <v>3</v>
      </c>
      <c r="B8" s="68" t="s">
        <v>241</v>
      </c>
      <c r="C8" s="66"/>
      <c r="D8" s="64">
        <v>37</v>
      </c>
      <c r="E8" s="64">
        <f>IF(ISBLANK($D8),"0",IF(($D8-$D7)&gt;($C8-$C7),1,0))</f>
        <v>1</v>
      </c>
      <c r="F8" s="64">
        <f t="shared" ca="1" si="1"/>
        <v>13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 t="s">
        <v>375</v>
      </c>
      <c r="R8" s="97"/>
      <c r="S8" s="97" t="s">
        <v>311</v>
      </c>
      <c r="T8" s="97"/>
      <c r="U8" s="70"/>
      <c r="V8" s="70"/>
      <c r="W8" s="70"/>
      <c r="X8" s="70"/>
      <c r="Y8" s="70"/>
      <c r="Z8" s="70"/>
      <c r="AA8" s="70"/>
      <c r="AB8" s="70"/>
      <c r="AC8" s="70"/>
      <c r="AD8" s="70" t="s">
        <v>337</v>
      </c>
      <c r="AE8" s="70"/>
      <c r="AF8" s="70" t="s">
        <v>349</v>
      </c>
      <c r="AG8" s="70"/>
      <c r="AH8" s="70"/>
      <c r="AI8" s="70"/>
      <c r="AJ8" s="70" t="s">
        <v>329</v>
      </c>
      <c r="AK8" s="70"/>
      <c r="AL8" s="70"/>
      <c r="AM8" s="70"/>
      <c r="AN8" s="70"/>
      <c r="AO8" s="70"/>
      <c r="AP8" s="70" t="s">
        <v>372</v>
      </c>
      <c r="AQ8" s="70"/>
      <c r="AR8" s="70"/>
      <c r="AS8" s="70"/>
      <c r="AT8" s="70" t="s">
        <v>336</v>
      </c>
      <c r="AU8" s="70" t="s">
        <v>311</v>
      </c>
      <c r="AV8" s="70"/>
      <c r="AW8" s="70"/>
      <c r="AX8" s="70"/>
      <c r="AY8" s="70"/>
      <c r="AZ8" s="70" t="s">
        <v>311</v>
      </c>
      <c r="BA8" s="70" t="s">
        <v>311</v>
      </c>
      <c r="BB8" s="70"/>
      <c r="BC8" s="70" t="s">
        <v>309</v>
      </c>
      <c r="BD8" s="70"/>
      <c r="BE8" s="70"/>
      <c r="BF8" s="70" t="s">
        <v>372</v>
      </c>
      <c r="BG8" s="70"/>
      <c r="BH8" s="70"/>
      <c r="BI8" s="70"/>
      <c r="BJ8" s="70" t="s">
        <v>454</v>
      </c>
      <c r="BK8" s="70"/>
      <c r="BL8" s="70"/>
      <c r="BM8" s="70"/>
    </row>
    <row r="9" spans="1:65">
      <c r="A9" s="59">
        <v>4</v>
      </c>
      <c r="B9" s="108" t="s">
        <v>249</v>
      </c>
      <c r="C9" s="65">
        <v>2.5</v>
      </c>
      <c r="D9" s="81">
        <v>14</v>
      </c>
      <c r="E9" s="64">
        <f>IF(ISBLANK($D9),"0",IF(($D10-$D9)&lt;($C10-$C9),1,0))</f>
        <v>0</v>
      </c>
      <c r="F9" s="64">
        <f t="shared" ca="1" si="1"/>
        <v>21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309</v>
      </c>
      <c r="L9" s="69" t="s">
        <v>309</v>
      </c>
      <c r="M9" s="69"/>
      <c r="N9" s="69" t="s">
        <v>439</v>
      </c>
      <c r="O9" s="69"/>
      <c r="P9" s="69"/>
      <c r="Q9" s="69" t="s">
        <v>321</v>
      </c>
      <c r="R9" s="96"/>
      <c r="S9" s="96"/>
      <c r="T9" s="96" t="s">
        <v>344</v>
      </c>
      <c r="U9" s="69"/>
      <c r="V9" s="69" t="s">
        <v>309</v>
      </c>
      <c r="W9" s="69"/>
      <c r="X9" s="69" t="s">
        <v>362</v>
      </c>
      <c r="Y9" s="69" t="s">
        <v>311</v>
      </c>
      <c r="Z9" s="69"/>
      <c r="AA9" s="69"/>
      <c r="AB9" s="69"/>
      <c r="AC9" s="69"/>
      <c r="AD9" s="69" t="s">
        <v>319</v>
      </c>
      <c r="AE9" s="69" t="s">
        <v>311</v>
      </c>
      <c r="AF9" s="69"/>
      <c r="AG9" s="69" t="s">
        <v>314</v>
      </c>
      <c r="AH9" s="69"/>
      <c r="AI9" s="69"/>
      <c r="AJ9" s="69"/>
      <c r="AK9" s="69"/>
      <c r="AL9" s="69"/>
      <c r="AM9" s="69"/>
      <c r="AN9" s="69"/>
      <c r="AO9" s="69"/>
      <c r="AP9" s="69"/>
      <c r="AQ9" s="69" t="s">
        <v>311</v>
      </c>
      <c r="AR9" s="96"/>
      <c r="AS9" s="69"/>
      <c r="AT9" s="69" t="s">
        <v>336</v>
      </c>
      <c r="AU9" s="69" t="s">
        <v>311</v>
      </c>
      <c r="AV9" s="69" t="s">
        <v>311</v>
      </c>
      <c r="AW9" s="69"/>
      <c r="AX9" s="69"/>
      <c r="AY9" s="69"/>
      <c r="AZ9" s="69"/>
      <c r="BA9" s="69" t="s">
        <v>311</v>
      </c>
      <c r="BB9" s="69" t="s">
        <v>314</v>
      </c>
      <c r="BC9" s="69"/>
      <c r="BD9" s="69"/>
      <c r="BE9" s="96"/>
      <c r="BF9" s="69" t="s">
        <v>372</v>
      </c>
      <c r="BG9" s="69"/>
      <c r="BH9" s="69" t="s">
        <v>311</v>
      </c>
      <c r="BI9" s="69"/>
      <c r="BJ9" s="69" t="s">
        <v>454</v>
      </c>
      <c r="BK9" s="69"/>
      <c r="BL9" s="69" t="s">
        <v>311</v>
      </c>
      <c r="BM9" s="69"/>
    </row>
    <row r="10" spans="1:65">
      <c r="A10" s="61" t="s">
        <v>3</v>
      </c>
      <c r="B10" s="68" t="s">
        <v>147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/>
      <c r="L10" s="70"/>
      <c r="M10" s="70" t="s">
        <v>350</v>
      </c>
      <c r="N10" s="70"/>
      <c r="O10" s="70" t="s">
        <v>311</v>
      </c>
      <c r="P10" s="70" t="s">
        <v>309</v>
      </c>
      <c r="Q10" s="70"/>
      <c r="R10" s="97" t="s">
        <v>309</v>
      </c>
      <c r="S10" s="97" t="s">
        <v>311</v>
      </c>
      <c r="T10" s="97"/>
      <c r="U10" s="70" t="s">
        <v>318</v>
      </c>
      <c r="V10" s="70"/>
      <c r="W10" s="70" t="s">
        <v>347</v>
      </c>
      <c r="X10" s="70"/>
      <c r="Y10" s="70"/>
      <c r="Z10" s="70" t="s">
        <v>311</v>
      </c>
      <c r="AA10" s="70" t="s">
        <v>311</v>
      </c>
      <c r="AB10" s="70" t="s">
        <v>309</v>
      </c>
      <c r="AC10" s="70" t="s">
        <v>311</v>
      </c>
      <c r="AD10" s="70"/>
      <c r="AE10" s="70"/>
      <c r="AF10" s="70" t="s">
        <v>349</v>
      </c>
      <c r="AG10" s="70"/>
      <c r="AH10" s="70" t="s">
        <v>320</v>
      </c>
      <c r="AI10" s="70" t="s">
        <v>338</v>
      </c>
      <c r="AJ10" s="70" t="s">
        <v>329</v>
      </c>
      <c r="AK10" s="70" t="s">
        <v>311</v>
      </c>
      <c r="AL10" s="70" t="s">
        <v>327</v>
      </c>
      <c r="AM10" s="70" t="s">
        <v>314</v>
      </c>
      <c r="AN10" s="70" t="s">
        <v>335</v>
      </c>
      <c r="AO10" s="70" t="s">
        <v>311</v>
      </c>
      <c r="AP10" s="70" t="s">
        <v>317</v>
      </c>
      <c r="AQ10" s="70"/>
      <c r="AR10" s="70" t="s">
        <v>309</v>
      </c>
      <c r="AS10" s="70" t="s">
        <v>322</v>
      </c>
      <c r="AT10" s="70"/>
      <c r="AU10" s="70"/>
      <c r="AV10" s="70"/>
      <c r="AW10" s="70" t="s">
        <v>320</v>
      </c>
      <c r="AX10" s="70" t="s">
        <v>313</v>
      </c>
      <c r="AY10" s="70" t="s">
        <v>313</v>
      </c>
      <c r="AZ10" s="70" t="s">
        <v>311</v>
      </c>
      <c r="BA10" s="70"/>
      <c r="BB10" s="70"/>
      <c r="BC10" s="70" t="s">
        <v>309</v>
      </c>
      <c r="BD10" s="70" t="s">
        <v>378</v>
      </c>
      <c r="BE10" s="70" t="s">
        <v>364</v>
      </c>
      <c r="BF10" s="70"/>
      <c r="BG10" s="70" t="s">
        <v>309</v>
      </c>
      <c r="BH10" s="70"/>
      <c r="BI10" s="70" t="s">
        <v>337</v>
      </c>
      <c r="BJ10" s="70"/>
      <c r="BK10" s="70" t="s">
        <v>309</v>
      </c>
      <c r="BL10" s="70"/>
      <c r="BM10" s="70" t="s">
        <v>330</v>
      </c>
    </row>
    <row r="11" spans="1:65">
      <c r="A11" s="59">
        <v>5</v>
      </c>
      <c r="B11" s="67" t="s">
        <v>144</v>
      </c>
      <c r="C11" s="65"/>
      <c r="D11" s="64">
        <v>7</v>
      </c>
      <c r="E11" s="64">
        <f>IF(ISBLANK($D11),"0",IF(($D12-$D11)&lt;($C12-$C11),1,0))</f>
        <v>0</v>
      </c>
      <c r="F11" s="64">
        <f t="shared" ca="1" si="1"/>
        <v>34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320</v>
      </c>
      <c r="K11" s="69"/>
      <c r="L11" s="69" t="s">
        <v>309</v>
      </c>
      <c r="M11" s="69" t="s">
        <v>350</v>
      </c>
      <c r="N11" s="69" t="s">
        <v>439</v>
      </c>
      <c r="O11" s="69"/>
      <c r="P11" s="69" t="s">
        <v>309</v>
      </c>
      <c r="Q11" s="69" t="s">
        <v>329</v>
      </c>
      <c r="R11" s="96"/>
      <c r="S11" s="96" t="s">
        <v>311</v>
      </c>
      <c r="T11" s="96"/>
      <c r="U11" s="69" t="s">
        <v>340</v>
      </c>
      <c r="V11" s="69"/>
      <c r="W11" s="69"/>
      <c r="X11" s="69" t="s">
        <v>318</v>
      </c>
      <c r="Y11" s="69"/>
      <c r="Z11" s="69" t="s">
        <v>311</v>
      </c>
      <c r="AA11" s="69"/>
      <c r="AB11" s="69" t="s">
        <v>309</v>
      </c>
      <c r="AC11" s="69" t="s">
        <v>311</v>
      </c>
      <c r="AD11" s="69"/>
      <c r="AE11" s="69"/>
      <c r="AF11" s="69" t="s">
        <v>349</v>
      </c>
      <c r="AG11" s="69"/>
      <c r="AH11" s="69" t="s">
        <v>323</v>
      </c>
      <c r="AI11" s="69"/>
      <c r="AJ11" s="69" t="s">
        <v>329</v>
      </c>
      <c r="AK11" s="69" t="s">
        <v>311</v>
      </c>
      <c r="AL11" s="69"/>
      <c r="AM11" s="69"/>
      <c r="AN11" s="69"/>
      <c r="AO11" s="69"/>
      <c r="AP11" s="69" t="s">
        <v>314</v>
      </c>
      <c r="AQ11" s="69"/>
      <c r="AR11" s="69"/>
      <c r="AS11" s="69" t="s">
        <v>393</v>
      </c>
      <c r="AT11" s="69" t="s">
        <v>336</v>
      </c>
      <c r="AU11" s="69" t="s">
        <v>311</v>
      </c>
      <c r="AV11" s="69" t="s">
        <v>311</v>
      </c>
      <c r="AW11" s="69" t="s">
        <v>315</v>
      </c>
      <c r="AX11" s="69" t="s">
        <v>447</v>
      </c>
      <c r="AY11" s="69"/>
      <c r="AZ11" s="69" t="s">
        <v>311</v>
      </c>
      <c r="BA11" s="69" t="s">
        <v>311</v>
      </c>
      <c r="BB11" s="69" t="s">
        <v>314</v>
      </c>
      <c r="BC11" s="69" t="s">
        <v>309</v>
      </c>
      <c r="BD11" s="69" t="s">
        <v>378</v>
      </c>
      <c r="BE11" s="96" t="s">
        <v>364</v>
      </c>
      <c r="BF11" s="69" t="s">
        <v>372</v>
      </c>
      <c r="BG11" s="69"/>
      <c r="BH11" s="69" t="s">
        <v>311</v>
      </c>
      <c r="BI11" s="69"/>
      <c r="BJ11" s="69" t="s">
        <v>454</v>
      </c>
      <c r="BK11" s="69" t="s">
        <v>309</v>
      </c>
      <c r="BL11" s="69" t="s">
        <v>311</v>
      </c>
      <c r="BM11" s="69" t="s">
        <v>331</v>
      </c>
    </row>
    <row r="12" spans="1:65">
      <c r="A12" s="61" t="s">
        <v>3</v>
      </c>
      <c r="B12" s="68" t="s">
        <v>159</v>
      </c>
      <c r="C12" s="66">
        <v>8.5</v>
      </c>
      <c r="D12" s="64">
        <v>41</v>
      </c>
      <c r="E12" s="64">
        <f>IF(ISBLANK($D12),"0",IF(($D12-$D11)&gt;($C12-$C11),1,0))</f>
        <v>1</v>
      </c>
      <c r="F12" s="64">
        <f t="shared" ca="1" si="1"/>
        <v>21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309</v>
      </c>
      <c r="L12" s="70"/>
      <c r="M12" s="70"/>
      <c r="N12" s="70"/>
      <c r="O12" s="70" t="s">
        <v>311</v>
      </c>
      <c r="P12" s="70"/>
      <c r="Q12" s="70"/>
      <c r="R12" s="97" t="s">
        <v>309</v>
      </c>
      <c r="S12" s="97"/>
      <c r="T12" s="97" t="s">
        <v>344</v>
      </c>
      <c r="U12" s="70"/>
      <c r="V12" s="70" t="s">
        <v>309</v>
      </c>
      <c r="W12" s="70" t="s">
        <v>328</v>
      </c>
      <c r="X12" s="70"/>
      <c r="Y12" s="70" t="s">
        <v>311</v>
      </c>
      <c r="Z12" s="70"/>
      <c r="AA12" s="70" t="s">
        <v>311</v>
      </c>
      <c r="AB12" s="70"/>
      <c r="AC12" s="70"/>
      <c r="AD12" s="70" t="s">
        <v>338</v>
      </c>
      <c r="AE12" s="70" t="s">
        <v>311</v>
      </c>
      <c r="AF12" s="70"/>
      <c r="AG12" s="70" t="s">
        <v>390</v>
      </c>
      <c r="AH12" s="70"/>
      <c r="AI12" s="70" t="s">
        <v>313</v>
      </c>
      <c r="AJ12" s="70"/>
      <c r="AK12" s="70"/>
      <c r="AL12" s="70" t="s">
        <v>327</v>
      </c>
      <c r="AM12" s="70" t="s">
        <v>351</v>
      </c>
      <c r="AN12" s="70" t="s">
        <v>335</v>
      </c>
      <c r="AO12" s="70" t="s">
        <v>311</v>
      </c>
      <c r="AP12" s="70"/>
      <c r="AQ12" s="70" t="s">
        <v>311</v>
      </c>
      <c r="AR12" s="97" t="s">
        <v>309</v>
      </c>
      <c r="AS12" s="70"/>
      <c r="AT12" s="70"/>
      <c r="AU12" s="70"/>
      <c r="AV12" s="70"/>
      <c r="AW12" s="70"/>
      <c r="AX12" s="70"/>
      <c r="AY12" s="70" t="s">
        <v>314</v>
      </c>
      <c r="AZ12" s="70"/>
      <c r="BA12" s="70"/>
      <c r="BB12" s="70"/>
      <c r="BC12" s="70"/>
      <c r="BD12" s="70"/>
      <c r="BE12" s="70"/>
      <c r="BF12" s="70"/>
      <c r="BG12" s="70" t="s">
        <v>311</v>
      </c>
      <c r="BH12" s="70"/>
      <c r="BI12" s="70" t="s">
        <v>337</v>
      </c>
      <c r="BJ12" s="70"/>
      <c r="BK12" s="70"/>
      <c r="BL12" s="70"/>
      <c r="BM12" s="70"/>
    </row>
    <row r="13" spans="1:65">
      <c r="A13" s="59">
        <v>6</v>
      </c>
      <c r="B13" s="67" t="s">
        <v>164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17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350</v>
      </c>
      <c r="N13" s="69" t="s">
        <v>439</v>
      </c>
      <c r="O13" s="69" t="s">
        <v>311</v>
      </c>
      <c r="P13" s="69"/>
      <c r="Q13" s="69"/>
      <c r="R13" s="96"/>
      <c r="S13" s="96" t="s">
        <v>311</v>
      </c>
      <c r="T13" s="96"/>
      <c r="U13" s="69" t="s">
        <v>328</v>
      </c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 t="s">
        <v>349</v>
      </c>
      <c r="AG13" s="69" t="s">
        <v>393</v>
      </c>
      <c r="AH13" s="69" t="s">
        <v>442</v>
      </c>
      <c r="AI13" s="69"/>
      <c r="AJ13" s="69" t="s">
        <v>329</v>
      </c>
      <c r="AK13" s="69"/>
      <c r="AL13" s="69"/>
      <c r="AM13" s="69"/>
      <c r="AN13" s="69" t="s">
        <v>335</v>
      </c>
      <c r="AO13" s="69" t="s">
        <v>311</v>
      </c>
      <c r="AP13" s="69" t="s">
        <v>320</v>
      </c>
      <c r="AQ13" s="69"/>
      <c r="AR13" s="96"/>
      <c r="AS13" s="69" t="s">
        <v>329</v>
      </c>
      <c r="AT13" s="69"/>
      <c r="AU13" s="69"/>
      <c r="AV13" s="69"/>
      <c r="AW13" s="69" t="s">
        <v>393</v>
      </c>
      <c r="AX13" s="69"/>
      <c r="AY13" s="69"/>
      <c r="AZ13" s="69" t="s">
        <v>311</v>
      </c>
      <c r="BA13" s="69"/>
      <c r="BB13" s="69"/>
      <c r="BC13" s="69"/>
      <c r="BD13" s="69"/>
      <c r="BE13" s="96" t="s">
        <v>364</v>
      </c>
      <c r="BF13" s="69"/>
      <c r="BG13" s="69"/>
      <c r="BH13" s="69"/>
      <c r="BI13" s="69" t="s">
        <v>337</v>
      </c>
      <c r="BJ13" s="69"/>
      <c r="BK13" s="69"/>
      <c r="BL13" s="69"/>
      <c r="BM13" s="69"/>
    </row>
    <row r="14" spans="1:65">
      <c r="A14" s="61" t="s">
        <v>3</v>
      </c>
      <c r="B14" s="68" t="s">
        <v>146</v>
      </c>
      <c r="C14" s="66"/>
      <c r="D14" s="64">
        <v>28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 t="s">
        <v>309</v>
      </c>
      <c r="L14" s="70" t="s">
        <v>309</v>
      </c>
      <c r="M14" s="70"/>
      <c r="N14" s="70"/>
      <c r="O14" s="70"/>
      <c r="P14" s="70" t="s">
        <v>309</v>
      </c>
      <c r="Q14" s="70" t="s">
        <v>334</v>
      </c>
      <c r="R14" s="97" t="s">
        <v>309</v>
      </c>
      <c r="S14" s="97"/>
      <c r="T14" s="97" t="s">
        <v>344</v>
      </c>
      <c r="U14" s="70"/>
      <c r="V14" s="70" t="s">
        <v>309</v>
      </c>
      <c r="W14" s="70" t="s">
        <v>314</v>
      </c>
      <c r="X14" s="70" t="s">
        <v>320</v>
      </c>
      <c r="Y14" s="70" t="s">
        <v>311</v>
      </c>
      <c r="Z14" s="70" t="s">
        <v>311</v>
      </c>
      <c r="AA14" s="70" t="s">
        <v>311</v>
      </c>
      <c r="AB14" s="70" t="s">
        <v>309</v>
      </c>
      <c r="AC14" s="70" t="s">
        <v>311</v>
      </c>
      <c r="AD14" s="70" t="s">
        <v>323</v>
      </c>
      <c r="AE14" s="70" t="s">
        <v>311</v>
      </c>
      <c r="AF14" s="70"/>
      <c r="AG14" s="70"/>
      <c r="AH14" s="70"/>
      <c r="AI14" s="70" t="s">
        <v>346</v>
      </c>
      <c r="AJ14" s="70"/>
      <c r="AK14" s="70" t="s">
        <v>311</v>
      </c>
      <c r="AL14" s="70" t="s">
        <v>327</v>
      </c>
      <c r="AM14" s="70" t="s">
        <v>314</v>
      </c>
      <c r="AN14" s="70"/>
      <c r="AO14" s="70"/>
      <c r="AP14" s="70"/>
      <c r="AQ14" s="70" t="s">
        <v>311</v>
      </c>
      <c r="AR14" s="70" t="s">
        <v>309</v>
      </c>
      <c r="AS14" s="70"/>
      <c r="AT14" s="70" t="s">
        <v>336</v>
      </c>
      <c r="AU14" s="70" t="s">
        <v>311</v>
      </c>
      <c r="AV14" s="70" t="s">
        <v>311</v>
      </c>
      <c r="AW14" s="70"/>
      <c r="AX14" s="70" t="s">
        <v>448</v>
      </c>
      <c r="AY14" s="70" t="s">
        <v>453</v>
      </c>
      <c r="AZ14" s="70"/>
      <c r="BA14" s="70" t="s">
        <v>311</v>
      </c>
      <c r="BB14" s="70" t="s">
        <v>314</v>
      </c>
      <c r="BC14" s="70" t="s">
        <v>309</v>
      </c>
      <c r="BD14" s="70" t="s">
        <v>378</v>
      </c>
      <c r="BE14" s="70"/>
      <c r="BF14" s="70" t="s">
        <v>372</v>
      </c>
      <c r="BG14" s="70" t="s">
        <v>311</v>
      </c>
      <c r="BH14" s="70" t="s">
        <v>311</v>
      </c>
      <c r="BI14" s="70"/>
      <c r="BJ14" s="70" t="s">
        <v>454</v>
      </c>
      <c r="BK14" s="70" t="s">
        <v>309</v>
      </c>
      <c r="BL14" s="70" t="s">
        <v>311</v>
      </c>
      <c r="BM14" s="70" t="s">
        <v>332</v>
      </c>
    </row>
    <row r="15" spans="1:65">
      <c r="A15" s="59">
        <v>7</v>
      </c>
      <c r="B15" s="67" t="s">
        <v>157</v>
      </c>
      <c r="C15" s="65">
        <v>6.5</v>
      </c>
      <c r="D15" s="64">
        <v>38</v>
      </c>
      <c r="E15" s="64">
        <f>IF(ISBLANK($D15),"0",IF(($D16-$D15)&lt;($C16-$C15),1,0))</f>
        <v>0</v>
      </c>
      <c r="F15" s="64">
        <f t="shared" ca="1" si="1"/>
        <v>44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 t="s">
        <v>350</v>
      </c>
      <c r="N15" s="69" t="s">
        <v>439</v>
      </c>
      <c r="O15" s="69" t="s">
        <v>311</v>
      </c>
      <c r="P15" s="69" t="s">
        <v>309</v>
      </c>
      <c r="Q15" s="69" t="s">
        <v>375</v>
      </c>
      <c r="R15" s="96" t="s">
        <v>309</v>
      </c>
      <c r="S15" s="96" t="s">
        <v>311</v>
      </c>
      <c r="T15" s="96"/>
      <c r="U15" s="69"/>
      <c r="V15" s="69" t="s">
        <v>309</v>
      </c>
      <c r="W15" s="69" t="s">
        <v>338</v>
      </c>
      <c r="X15" s="69" t="s">
        <v>320</v>
      </c>
      <c r="Y15" s="69" t="s">
        <v>311</v>
      </c>
      <c r="Z15" s="69"/>
      <c r="AA15" s="69"/>
      <c r="AB15" s="69" t="s">
        <v>309</v>
      </c>
      <c r="AC15" s="69" t="s">
        <v>311</v>
      </c>
      <c r="AD15" s="69" t="s">
        <v>347</v>
      </c>
      <c r="AE15" s="69" t="s">
        <v>311</v>
      </c>
      <c r="AF15" s="69" t="s">
        <v>349</v>
      </c>
      <c r="AG15" s="69" t="s">
        <v>323</v>
      </c>
      <c r="AH15" s="69"/>
      <c r="AI15" s="69" t="s">
        <v>329</v>
      </c>
      <c r="AJ15" s="69" t="s">
        <v>329</v>
      </c>
      <c r="AK15" s="69" t="s">
        <v>311</v>
      </c>
      <c r="AL15" s="69"/>
      <c r="AM15" s="69" t="s">
        <v>346</v>
      </c>
      <c r="AN15" s="69" t="s">
        <v>335</v>
      </c>
      <c r="AO15" s="69" t="s">
        <v>311</v>
      </c>
      <c r="AP15" s="69" t="s">
        <v>320</v>
      </c>
      <c r="AQ15" s="69" t="s">
        <v>311</v>
      </c>
      <c r="AR15" s="69" t="s">
        <v>309</v>
      </c>
      <c r="AS15" s="69" t="s">
        <v>334</v>
      </c>
      <c r="AT15" s="69" t="s">
        <v>336</v>
      </c>
      <c r="AU15" s="69" t="s">
        <v>311</v>
      </c>
      <c r="AV15" s="69" t="s">
        <v>311</v>
      </c>
      <c r="AW15" s="69" t="s">
        <v>323</v>
      </c>
      <c r="AX15" s="69"/>
      <c r="AY15" s="69"/>
      <c r="AZ15" s="69" t="s">
        <v>311</v>
      </c>
      <c r="BA15" s="69" t="s">
        <v>311</v>
      </c>
      <c r="BB15" s="69" t="s">
        <v>314</v>
      </c>
      <c r="BC15" s="69"/>
      <c r="BD15" s="69" t="s">
        <v>378</v>
      </c>
      <c r="BE15" s="96" t="s">
        <v>364</v>
      </c>
      <c r="BF15" s="69"/>
      <c r="BG15" s="69"/>
      <c r="BH15" s="69" t="s">
        <v>311</v>
      </c>
      <c r="BI15" s="69" t="s">
        <v>337</v>
      </c>
      <c r="BJ15" s="69" t="s">
        <v>454</v>
      </c>
      <c r="BK15" s="69" t="s">
        <v>309</v>
      </c>
      <c r="BL15" s="69" t="s">
        <v>311</v>
      </c>
      <c r="BM15" s="69" t="s">
        <v>331</v>
      </c>
    </row>
    <row r="16" spans="1:65">
      <c r="A16" s="61" t="s">
        <v>3</v>
      </c>
      <c r="B16" s="68" t="s">
        <v>253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 t="s">
        <v>344</v>
      </c>
      <c r="U16" s="70" t="s">
        <v>314</v>
      </c>
      <c r="V16" s="70"/>
      <c r="W16" s="70"/>
      <c r="X16" s="70"/>
      <c r="Y16" s="70"/>
      <c r="Z16" s="70" t="s">
        <v>311</v>
      </c>
      <c r="AA16" s="70" t="s">
        <v>311</v>
      </c>
      <c r="AB16" s="70"/>
      <c r="AC16" s="70"/>
      <c r="AD16" s="70"/>
      <c r="AE16" s="70"/>
      <c r="AF16" s="70"/>
      <c r="AG16" s="70"/>
      <c r="AH16" s="70" t="s">
        <v>345</v>
      </c>
      <c r="AI16" s="70"/>
      <c r="AJ16" s="70"/>
      <c r="AK16" s="70"/>
      <c r="AL16" s="70" t="s">
        <v>327</v>
      </c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 t="s">
        <v>361</v>
      </c>
      <c r="AY16" s="70" t="s">
        <v>374</v>
      </c>
      <c r="AZ16" s="70"/>
      <c r="BA16" s="70"/>
      <c r="BB16" s="70"/>
      <c r="BC16" s="70" t="s">
        <v>309</v>
      </c>
      <c r="BD16" s="70"/>
      <c r="BE16" s="70"/>
      <c r="BF16" s="70" t="s">
        <v>372</v>
      </c>
      <c r="BG16" s="70" t="s">
        <v>311</v>
      </c>
      <c r="BH16" s="70"/>
      <c r="BI16" s="70"/>
      <c r="BJ16" s="70"/>
      <c r="BK16" s="70"/>
      <c r="BL16" s="70"/>
      <c r="BM16" s="70"/>
    </row>
    <row r="17" spans="1:65">
      <c r="A17" s="59">
        <v>8</v>
      </c>
      <c r="B17" s="67" t="s">
        <v>192</v>
      </c>
      <c r="C17" s="65"/>
      <c r="D17" s="64">
        <v>22</v>
      </c>
      <c r="E17" s="64">
        <f>IF(ISBLANK($D17),"0",IF(($D18-$D17)&lt;($C18-$C17),1,0))</f>
        <v>1</v>
      </c>
      <c r="F17" s="64">
        <f t="shared" ca="1" si="1"/>
        <v>22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309</v>
      </c>
      <c r="M17" s="69" t="s">
        <v>350</v>
      </c>
      <c r="N17" s="69"/>
      <c r="O17" s="69"/>
      <c r="P17" s="69" t="s">
        <v>309</v>
      </c>
      <c r="Q17" s="69"/>
      <c r="R17" s="69" t="s">
        <v>309</v>
      </c>
      <c r="S17" s="69" t="s">
        <v>311</v>
      </c>
      <c r="T17" s="69"/>
      <c r="U17" s="69" t="s">
        <v>338</v>
      </c>
      <c r="V17" s="69"/>
      <c r="W17" s="69"/>
      <c r="X17" s="69" t="s">
        <v>375</v>
      </c>
      <c r="Y17" s="69" t="s">
        <v>311</v>
      </c>
      <c r="Z17" s="69"/>
      <c r="AA17" s="69" t="s">
        <v>311</v>
      </c>
      <c r="AB17" s="69"/>
      <c r="AC17" s="69"/>
      <c r="AD17" s="69" t="s">
        <v>313</v>
      </c>
      <c r="AE17" s="69" t="s">
        <v>311</v>
      </c>
      <c r="AF17" s="69"/>
      <c r="AG17" s="69"/>
      <c r="AH17" s="69" t="s">
        <v>323</v>
      </c>
      <c r="AI17" s="69"/>
      <c r="AJ17" s="69"/>
      <c r="AK17" s="69" t="s">
        <v>311</v>
      </c>
      <c r="AL17" s="69" t="s">
        <v>327</v>
      </c>
      <c r="AM17" s="69"/>
      <c r="AN17" s="69" t="s">
        <v>335</v>
      </c>
      <c r="AO17" s="69"/>
      <c r="AP17" s="69"/>
      <c r="AQ17" s="69"/>
      <c r="AR17" s="96" t="s">
        <v>309</v>
      </c>
      <c r="AS17" s="69" t="s">
        <v>322</v>
      </c>
      <c r="AT17" s="69"/>
      <c r="AU17" s="69"/>
      <c r="AV17" s="69"/>
      <c r="AW17" s="69"/>
      <c r="AX17" s="69" t="s">
        <v>449</v>
      </c>
      <c r="AY17" s="69"/>
      <c r="AZ17" s="69" t="s">
        <v>311</v>
      </c>
      <c r="BA17" s="69"/>
      <c r="BB17" s="69" t="s">
        <v>314</v>
      </c>
      <c r="BC17" s="69"/>
      <c r="BD17" s="69"/>
      <c r="BE17" s="69" t="s">
        <v>364</v>
      </c>
      <c r="BF17" s="69"/>
      <c r="BG17" s="69" t="s">
        <v>309</v>
      </c>
      <c r="BH17" s="69"/>
      <c r="BI17" s="69"/>
      <c r="BJ17" s="69"/>
      <c r="BK17" s="69"/>
      <c r="BL17" s="69"/>
      <c r="BM17" s="69"/>
    </row>
    <row r="18" spans="1:65">
      <c r="A18" s="61" t="s">
        <v>3</v>
      </c>
      <c r="B18" s="68" t="s">
        <v>206</v>
      </c>
      <c r="C18" s="66">
        <v>8.5</v>
      </c>
      <c r="D18" s="64">
        <v>27</v>
      </c>
      <c r="E18" s="64">
        <f>IF(ISBLANK($D18),"0",IF(($D18-$D17)&gt;($C18-$C17),1,0))</f>
        <v>0</v>
      </c>
      <c r="F18" s="64">
        <f t="shared" ca="1" si="1"/>
        <v>33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 t="s">
        <v>309</v>
      </c>
      <c r="L18" s="70"/>
      <c r="M18" s="70"/>
      <c r="N18" s="70" t="s">
        <v>439</v>
      </c>
      <c r="O18" s="70" t="s">
        <v>311</v>
      </c>
      <c r="P18" s="70"/>
      <c r="Q18" s="70" t="s">
        <v>321</v>
      </c>
      <c r="R18" s="70"/>
      <c r="S18" s="70"/>
      <c r="T18" s="70" t="s">
        <v>344</v>
      </c>
      <c r="U18" s="70"/>
      <c r="V18" s="70" t="s">
        <v>309</v>
      </c>
      <c r="W18" s="70" t="s">
        <v>313</v>
      </c>
      <c r="X18" s="70"/>
      <c r="Y18" s="70"/>
      <c r="Z18" s="70" t="s">
        <v>311</v>
      </c>
      <c r="AA18" s="70"/>
      <c r="AB18" s="70" t="s">
        <v>309</v>
      </c>
      <c r="AC18" s="70" t="s">
        <v>311</v>
      </c>
      <c r="AD18" s="70"/>
      <c r="AE18" s="70"/>
      <c r="AF18" s="70" t="s">
        <v>349</v>
      </c>
      <c r="AG18" s="70" t="s">
        <v>320</v>
      </c>
      <c r="AH18" s="70"/>
      <c r="AI18" s="70" t="s">
        <v>318</v>
      </c>
      <c r="AJ18" s="70" t="s">
        <v>329</v>
      </c>
      <c r="AK18" s="70"/>
      <c r="AL18" s="70"/>
      <c r="AM18" s="70" t="s">
        <v>346</v>
      </c>
      <c r="AN18" s="70"/>
      <c r="AO18" s="70" t="s">
        <v>311</v>
      </c>
      <c r="AP18" s="70" t="s">
        <v>313</v>
      </c>
      <c r="AQ18" s="70" t="s">
        <v>311</v>
      </c>
      <c r="AR18" s="70"/>
      <c r="AS18" s="70"/>
      <c r="AT18" s="70" t="s">
        <v>336</v>
      </c>
      <c r="AU18" s="70" t="s">
        <v>311</v>
      </c>
      <c r="AV18" s="70" t="s">
        <v>311</v>
      </c>
      <c r="AW18" s="70" t="s">
        <v>320</v>
      </c>
      <c r="AX18" s="70"/>
      <c r="AY18" s="70" t="s">
        <v>327</v>
      </c>
      <c r="AZ18" s="70"/>
      <c r="BA18" s="70" t="s">
        <v>311</v>
      </c>
      <c r="BB18" s="70"/>
      <c r="BC18" s="70" t="s">
        <v>309</v>
      </c>
      <c r="BD18" s="70" t="s">
        <v>378</v>
      </c>
      <c r="BE18" s="97"/>
      <c r="BF18" s="70" t="s">
        <v>372</v>
      </c>
      <c r="BG18" s="70"/>
      <c r="BH18" s="70" t="s">
        <v>311</v>
      </c>
      <c r="BI18" s="70" t="s">
        <v>337</v>
      </c>
      <c r="BJ18" s="70" t="s">
        <v>454</v>
      </c>
      <c r="BK18" s="70" t="s">
        <v>309</v>
      </c>
      <c r="BL18" s="70" t="s">
        <v>311</v>
      </c>
      <c r="BM18" s="70" t="s">
        <v>333</v>
      </c>
    </row>
    <row r="19" spans="1:65">
      <c r="A19" s="59">
        <v>9</v>
      </c>
      <c r="B19" s="67" t="s">
        <v>195</v>
      </c>
      <c r="C19" s="65">
        <v>1.5</v>
      </c>
      <c r="D19" s="64">
        <v>31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 t="s">
        <v>309</v>
      </c>
      <c r="M19" s="69"/>
      <c r="N19" s="69" t="s">
        <v>439</v>
      </c>
      <c r="O19" s="69"/>
      <c r="P19" s="69"/>
      <c r="Q19" s="69"/>
      <c r="R19" s="69"/>
      <c r="S19" s="69"/>
      <c r="T19" s="69"/>
      <c r="U19" s="69"/>
      <c r="V19" s="69" t="s">
        <v>309</v>
      </c>
      <c r="W19" s="69" t="s">
        <v>320</v>
      </c>
      <c r="X19" s="69" t="s">
        <v>440</v>
      </c>
      <c r="Y19" s="69" t="s">
        <v>311</v>
      </c>
      <c r="Z19" s="69" t="s">
        <v>311</v>
      </c>
      <c r="AA19" s="69"/>
      <c r="AB19" s="69"/>
      <c r="AC19" s="69" t="s">
        <v>311</v>
      </c>
      <c r="AD19" s="69"/>
      <c r="AE19" s="69" t="s">
        <v>311</v>
      </c>
      <c r="AF19" s="69"/>
      <c r="AG19" s="69" t="s">
        <v>313</v>
      </c>
      <c r="AH19" s="69" t="s">
        <v>443</v>
      </c>
      <c r="AI19" s="69"/>
      <c r="AJ19" s="69" t="s">
        <v>329</v>
      </c>
      <c r="AK19" s="69" t="s">
        <v>311</v>
      </c>
      <c r="AL19" s="69"/>
      <c r="AM19" s="69" t="s">
        <v>313</v>
      </c>
      <c r="AN19" s="69" t="s">
        <v>335</v>
      </c>
      <c r="AO19" s="69" t="s">
        <v>311</v>
      </c>
      <c r="AP19" s="69"/>
      <c r="AQ19" s="69"/>
      <c r="AR19" s="69"/>
      <c r="AS19" s="69"/>
      <c r="AT19" s="69"/>
      <c r="AU19" s="69"/>
      <c r="AV19" s="69" t="s">
        <v>311</v>
      </c>
      <c r="AW19" s="69" t="s">
        <v>313</v>
      </c>
      <c r="AX19" s="69" t="s">
        <v>450</v>
      </c>
      <c r="AY19" s="69" t="s">
        <v>351</v>
      </c>
      <c r="AZ19" s="69"/>
      <c r="BA19" s="69" t="s">
        <v>311</v>
      </c>
      <c r="BB19" s="69" t="s">
        <v>314</v>
      </c>
      <c r="BC19" s="69" t="s">
        <v>309</v>
      </c>
      <c r="BD19" s="69" t="s">
        <v>378</v>
      </c>
      <c r="BE19" s="69" t="s">
        <v>364</v>
      </c>
      <c r="BF19" s="69"/>
      <c r="BG19" s="69"/>
      <c r="BH19" s="69"/>
      <c r="BI19" s="69" t="s">
        <v>337</v>
      </c>
      <c r="BJ19" s="69"/>
      <c r="BK19" s="69" t="s">
        <v>309</v>
      </c>
      <c r="BL19" s="69" t="s">
        <v>311</v>
      </c>
      <c r="BM19" s="69"/>
    </row>
    <row r="20" spans="1:65">
      <c r="A20" s="61" t="s">
        <v>3</v>
      </c>
      <c r="B20" s="68" t="s">
        <v>145</v>
      </c>
      <c r="C20" s="66"/>
      <c r="D20" s="64">
        <v>48</v>
      </c>
      <c r="E20" s="64">
        <f>IF(ISBLANK($D20),"0",IF(($D20-$D19)&gt;($C20-$C19),1,0))</f>
        <v>1</v>
      </c>
      <c r="F20" s="64">
        <f t="shared" ca="1" si="1"/>
        <v>27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/>
      <c r="M20" s="70" t="s">
        <v>350</v>
      </c>
      <c r="N20" s="70"/>
      <c r="O20" s="70" t="s">
        <v>311</v>
      </c>
      <c r="P20" s="70" t="s">
        <v>309</v>
      </c>
      <c r="Q20" s="70" t="s">
        <v>321</v>
      </c>
      <c r="R20" s="70" t="s">
        <v>309</v>
      </c>
      <c r="S20" s="70" t="s">
        <v>311</v>
      </c>
      <c r="T20" s="70" t="s">
        <v>344</v>
      </c>
      <c r="U20" s="70" t="s">
        <v>313</v>
      </c>
      <c r="V20" s="70"/>
      <c r="W20" s="70"/>
      <c r="X20" s="70"/>
      <c r="Y20" s="70"/>
      <c r="Z20" s="70"/>
      <c r="AA20" s="70" t="s">
        <v>311</v>
      </c>
      <c r="AB20" s="70" t="s">
        <v>309</v>
      </c>
      <c r="AC20" s="70"/>
      <c r="AD20" s="70" t="s">
        <v>441</v>
      </c>
      <c r="AE20" s="70"/>
      <c r="AF20" s="70" t="s">
        <v>349</v>
      </c>
      <c r="AG20" s="70"/>
      <c r="AH20" s="70"/>
      <c r="AI20" s="70" t="s">
        <v>445</v>
      </c>
      <c r="AJ20" s="70"/>
      <c r="AK20" s="70"/>
      <c r="AL20" s="70" t="s">
        <v>327</v>
      </c>
      <c r="AM20" s="70"/>
      <c r="AN20" s="70"/>
      <c r="AO20" s="70"/>
      <c r="AP20" s="70" t="s">
        <v>320</v>
      </c>
      <c r="AQ20" s="70" t="s">
        <v>311</v>
      </c>
      <c r="AR20" s="97" t="s">
        <v>309</v>
      </c>
      <c r="AS20" s="70" t="s">
        <v>329</v>
      </c>
      <c r="AT20" s="70" t="s">
        <v>336</v>
      </c>
      <c r="AU20" s="70" t="s">
        <v>311</v>
      </c>
      <c r="AV20" s="70"/>
      <c r="AW20" s="70"/>
      <c r="AX20" s="70"/>
      <c r="AY20" s="70"/>
      <c r="AZ20" s="70" t="s">
        <v>457</v>
      </c>
      <c r="BA20" s="70"/>
      <c r="BB20" s="70"/>
      <c r="BC20" s="70"/>
      <c r="BD20" s="70"/>
      <c r="BE20" s="97"/>
      <c r="BF20" s="70" t="s">
        <v>372</v>
      </c>
      <c r="BG20" s="70" t="s">
        <v>311</v>
      </c>
      <c r="BH20" s="70" t="s">
        <v>311</v>
      </c>
      <c r="BI20" s="70"/>
      <c r="BJ20" s="70" t="s">
        <v>454</v>
      </c>
      <c r="BK20" s="70"/>
      <c r="BL20" s="70"/>
      <c r="BM20" s="70" t="s">
        <v>334</v>
      </c>
    </row>
    <row r="21" spans="1:65">
      <c r="A21" s="59">
        <v>10</v>
      </c>
      <c r="B21" s="67" t="s">
        <v>166</v>
      </c>
      <c r="C21" s="65">
        <v>6.5</v>
      </c>
      <c r="D21" s="64">
        <v>17</v>
      </c>
      <c r="E21" s="64">
        <f>IF(ISBLANK($D21),"0",IF(($D22-$D21)&lt;($C22-$C21),1,0))</f>
        <v>0</v>
      </c>
      <c r="F21" s="64">
        <f t="shared" ca="1" si="1"/>
        <v>41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350</v>
      </c>
      <c r="N21" s="69" t="s">
        <v>439</v>
      </c>
      <c r="O21" s="69" t="s">
        <v>311</v>
      </c>
      <c r="P21" s="69"/>
      <c r="Q21" s="69" t="s">
        <v>329</v>
      </c>
      <c r="R21" s="69" t="s">
        <v>309</v>
      </c>
      <c r="S21" s="69"/>
      <c r="T21" s="69" t="s">
        <v>344</v>
      </c>
      <c r="U21" s="69" t="s">
        <v>321</v>
      </c>
      <c r="V21" s="69" t="s">
        <v>309</v>
      </c>
      <c r="W21" s="69" t="s">
        <v>321</v>
      </c>
      <c r="X21" s="69" t="s">
        <v>329</v>
      </c>
      <c r="Y21" s="69" t="s">
        <v>311</v>
      </c>
      <c r="Z21" s="69" t="s">
        <v>311</v>
      </c>
      <c r="AA21" s="69" t="s">
        <v>311</v>
      </c>
      <c r="AB21" s="69" t="s">
        <v>309</v>
      </c>
      <c r="AC21" s="69" t="s">
        <v>311</v>
      </c>
      <c r="AD21" s="69" t="s">
        <v>321</v>
      </c>
      <c r="AE21" s="69" t="s">
        <v>311</v>
      </c>
      <c r="AF21" s="69" t="s">
        <v>349</v>
      </c>
      <c r="AG21" s="69" t="s">
        <v>455</v>
      </c>
      <c r="AH21" s="69" t="s">
        <v>444</v>
      </c>
      <c r="AI21" s="69" t="s">
        <v>321</v>
      </c>
      <c r="AJ21" s="69" t="s">
        <v>329</v>
      </c>
      <c r="AK21" s="69" t="s">
        <v>311</v>
      </c>
      <c r="AL21" s="69" t="s">
        <v>327</v>
      </c>
      <c r="AM21" s="69" t="s">
        <v>390</v>
      </c>
      <c r="AN21" s="69"/>
      <c r="AO21" s="69"/>
      <c r="AP21" s="69"/>
      <c r="AQ21" s="69" t="s">
        <v>311</v>
      </c>
      <c r="AR21" s="96"/>
      <c r="AS21" s="69" t="s">
        <v>327</v>
      </c>
      <c r="AT21" s="69" t="s">
        <v>336</v>
      </c>
      <c r="AU21" s="69" t="s">
        <v>311</v>
      </c>
      <c r="AV21" s="69" t="s">
        <v>311</v>
      </c>
      <c r="AW21" s="69" t="s">
        <v>387</v>
      </c>
      <c r="AX21" s="69" t="s">
        <v>321</v>
      </c>
      <c r="AY21" s="69"/>
      <c r="AZ21" s="69" t="s">
        <v>311</v>
      </c>
      <c r="BA21" s="69" t="s">
        <v>311</v>
      </c>
      <c r="BB21" s="69" t="s">
        <v>314</v>
      </c>
      <c r="BC21" s="69"/>
      <c r="BD21" s="69"/>
      <c r="BE21" s="96" t="s">
        <v>364</v>
      </c>
      <c r="BF21" s="69" t="s">
        <v>372</v>
      </c>
      <c r="BG21" s="69"/>
      <c r="BH21" s="69"/>
      <c r="BI21" s="69"/>
      <c r="BJ21" s="69" t="s">
        <v>454</v>
      </c>
      <c r="BK21" s="69" t="s">
        <v>309</v>
      </c>
      <c r="BL21" s="69" t="s">
        <v>311</v>
      </c>
      <c r="BM21" s="69" t="s">
        <v>321</v>
      </c>
    </row>
    <row r="22" spans="1:65">
      <c r="A22" s="61" t="s">
        <v>3</v>
      </c>
      <c r="B22" s="68" t="s">
        <v>255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14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 t="s">
        <v>309</v>
      </c>
      <c r="L22" s="70" t="s">
        <v>309</v>
      </c>
      <c r="M22" s="70"/>
      <c r="N22" s="70"/>
      <c r="O22" s="70"/>
      <c r="P22" s="70" t="s">
        <v>309</v>
      </c>
      <c r="Q22" s="70"/>
      <c r="R22" s="70"/>
      <c r="S22" s="70" t="s">
        <v>311</v>
      </c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 t="s">
        <v>335</v>
      </c>
      <c r="AO22" s="70" t="s">
        <v>311</v>
      </c>
      <c r="AP22" s="70" t="s">
        <v>380</v>
      </c>
      <c r="AQ22" s="70"/>
      <c r="AR22" s="70" t="s">
        <v>309</v>
      </c>
      <c r="AS22" s="70"/>
      <c r="AT22" s="70"/>
      <c r="AU22" s="70"/>
      <c r="AV22" s="70"/>
      <c r="AW22" s="70"/>
      <c r="AX22" s="70"/>
      <c r="AY22" s="70" t="s">
        <v>360</v>
      </c>
      <c r="AZ22" s="70"/>
      <c r="BA22" s="70"/>
      <c r="BB22" s="70"/>
      <c r="BC22" s="70" t="s">
        <v>309</v>
      </c>
      <c r="BD22" s="70" t="s">
        <v>378</v>
      </c>
      <c r="BE22" s="70"/>
      <c r="BF22" s="70"/>
      <c r="BG22" s="70" t="s">
        <v>311</v>
      </c>
      <c r="BH22" s="70" t="s">
        <v>311</v>
      </c>
      <c r="BI22" s="70" t="s">
        <v>337</v>
      </c>
      <c r="BJ22" s="70"/>
      <c r="BK22" s="70"/>
      <c r="BL22" s="70"/>
      <c r="BM22" s="70"/>
    </row>
    <row r="23" spans="1:6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48</v>
      </c>
      <c r="G23" s="59"/>
      <c r="H23" s="59"/>
      <c r="I23" s="60"/>
      <c r="J23" s="78">
        <v>25</v>
      </c>
      <c r="K23" s="78">
        <v>28</v>
      </c>
      <c r="L23" s="78">
        <v>20</v>
      </c>
      <c r="M23" s="78">
        <v>35</v>
      </c>
      <c r="N23" s="80">
        <v>27</v>
      </c>
      <c r="O23" s="78">
        <v>24</v>
      </c>
      <c r="P23" s="78">
        <v>30</v>
      </c>
      <c r="Q23" s="78">
        <v>1000</v>
      </c>
      <c r="R23" s="78">
        <v>24</v>
      </c>
      <c r="S23" s="78">
        <v>23</v>
      </c>
      <c r="T23" s="78">
        <v>35</v>
      </c>
      <c r="U23" s="78">
        <v>35</v>
      </c>
      <c r="V23" s="78">
        <v>42</v>
      </c>
      <c r="W23" s="78">
        <v>31</v>
      </c>
      <c r="X23" s="78">
        <v>30</v>
      </c>
      <c r="Y23" s="78">
        <v>41</v>
      </c>
      <c r="Z23" s="78">
        <v>35</v>
      </c>
      <c r="AA23" s="78">
        <v>28</v>
      </c>
      <c r="AB23" s="78">
        <v>35</v>
      </c>
      <c r="AC23" s="78">
        <v>35</v>
      </c>
      <c r="AD23" s="78">
        <v>32</v>
      </c>
      <c r="AE23" s="78">
        <v>34</v>
      </c>
      <c r="AF23" s="78">
        <v>38</v>
      </c>
      <c r="AG23" s="78">
        <v>41</v>
      </c>
      <c r="AH23" s="78">
        <v>28</v>
      </c>
      <c r="AI23" s="78">
        <v>31</v>
      </c>
      <c r="AJ23" s="78">
        <v>36</v>
      </c>
      <c r="AK23" s="78">
        <v>32</v>
      </c>
      <c r="AL23" s="78">
        <v>38</v>
      </c>
      <c r="AM23" s="78">
        <v>35</v>
      </c>
      <c r="AN23" s="78">
        <v>21</v>
      </c>
      <c r="AO23" s="78">
        <v>21</v>
      </c>
      <c r="AP23" s="78">
        <v>24</v>
      </c>
      <c r="AQ23" s="78">
        <v>31</v>
      </c>
      <c r="AR23" s="78">
        <v>28</v>
      </c>
      <c r="AS23" s="78">
        <v>38</v>
      </c>
      <c r="AT23" s="78">
        <v>42</v>
      </c>
      <c r="AU23" s="78">
        <v>38</v>
      </c>
      <c r="AV23" s="78">
        <v>34</v>
      </c>
      <c r="AW23" s="78">
        <v>31</v>
      </c>
      <c r="AX23" s="78">
        <v>21</v>
      </c>
      <c r="AY23" s="78">
        <v>23</v>
      </c>
      <c r="AZ23" s="78">
        <v>21</v>
      </c>
      <c r="BA23" s="78">
        <v>32</v>
      </c>
      <c r="BB23" s="78">
        <v>21</v>
      </c>
      <c r="BC23" s="78">
        <v>31</v>
      </c>
      <c r="BD23" s="78">
        <v>24</v>
      </c>
      <c r="BE23" s="78">
        <v>41</v>
      </c>
      <c r="BF23" s="78">
        <v>28</v>
      </c>
      <c r="BG23" s="78">
        <v>28</v>
      </c>
      <c r="BH23" s="78">
        <v>35</v>
      </c>
      <c r="BI23" s="78">
        <v>27</v>
      </c>
      <c r="BJ23" s="78">
        <v>35</v>
      </c>
      <c r="BK23" s="78">
        <v>31</v>
      </c>
      <c r="BL23" s="78">
        <v>27</v>
      </c>
      <c r="BM23" s="78">
        <v>28</v>
      </c>
    </row>
    <row r="24" spans="1:65">
      <c r="A24" s="61"/>
      <c r="B24" s="68" t="str">
        <f>B22&amp; " - score"</f>
        <v>Mississippi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>
        <v>20</v>
      </c>
      <c r="K24" s="79">
        <v>24</v>
      </c>
      <c r="L24" s="79">
        <v>27</v>
      </c>
      <c r="M24" s="79">
        <v>17</v>
      </c>
      <c r="N24" s="79">
        <v>17</v>
      </c>
      <c r="O24" s="79">
        <v>17</v>
      </c>
      <c r="P24" s="79">
        <v>25</v>
      </c>
      <c r="Q24" s="79">
        <v>0</v>
      </c>
      <c r="R24" s="79">
        <v>17</v>
      </c>
      <c r="S24" s="79">
        <v>20</v>
      </c>
      <c r="T24" s="79">
        <v>28</v>
      </c>
      <c r="U24" s="79">
        <v>25</v>
      </c>
      <c r="V24" s="79">
        <v>28</v>
      </c>
      <c r="W24" s="79">
        <v>10</v>
      </c>
      <c r="X24" s="79">
        <v>14</v>
      </c>
      <c r="Y24" s="79">
        <v>28</v>
      </c>
      <c r="Z24" s="79">
        <v>23</v>
      </c>
      <c r="AA24" s="79">
        <v>21</v>
      </c>
      <c r="AB24" s="79">
        <v>21</v>
      </c>
      <c r="AC24" s="79">
        <v>21</v>
      </c>
      <c r="AD24" s="79">
        <v>14</v>
      </c>
      <c r="AE24" s="79">
        <v>21</v>
      </c>
      <c r="AF24" s="79">
        <v>24</v>
      </c>
      <c r="AG24" s="79">
        <v>33</v>
      </c>
      <c r="AH24" s="79">
        <v>21</v>
      </c>
      <c r="AI24" s="79">
        <v>24</v>
      </c>
      <c r="AJ24" s="79">
        <v>20</v>
      </c>
      <c r="AK24" s="79">
        <v>24</v>
      </c>
      <c r="AL24" s="79">
        <v>23</v>
      </c>
      <c r="AM24" s="79">
        <v>24</v>
      </c>
      <c r="AN24" s="79">
        <v>28</v>
      </c>
      <c r="AO24" s="79">
        <v>24</v>
      </c>
      <c r="AP24" s="79">
        <v>20</v>
      </c>
      <c r="AQ24" s="79">
        <v>10</v>
      </c>
      <c r="AR24" s="79">
        <v>24</v>
      </c>
      <c r="AS24" s="79">
        <v>24</v>
      </c>
      <c r="AT24" s="79">
        <v>28</v>
      </c>
      <c r="AU24" s="79">
        <v>17</v>
      </c>
      <c r="AV24" s="79">
        <v>27</v>
      </c>
      <c r="AW24" s="79">
        <v>21</v>
      </c>
      <c r="AX24" s="79">
        <v>14</v>
      </c>
      <c r="AY24" s="79">
        <v>17</v>
      </c>
      <c r="AZ24" s="79">
        <v>14</v>
      </c>
      <c r="BA24" s="79">
        <v>24</v>
      </c>
      <c r="BB24" s="79">
        <v>14</v>
      </c>
      <c r="BC24" s="79">
        <v>37</v>
      </c>
      <c r="BD24" s="79">
        <v>21</v>
      </c>
      <c r="BE24" s="79">
        <v>17</v>
      </c>
      <c r="BF24" s="79">
        <v>13</v>
      </c>
      <c r="BG24" s="79">
        <v>24</v>
      </c>
      <c r="BH24" s="79">
        <v>32</v>
      </c>
      <c r="BI24" s="79">
        <v>21</v>
      </c>
      <c r="BJ24" s="79">
        <v>20</v>
      </c>
      <c r="BK24" s="79">
        <v>17</v>
      </c>
      <c r="BL24" s="79">
        <v>20</v>
      </c>
      <c r="BM24" s="79">
        <v>21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2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5</v>
      </c>
      <c r="V25" s="36">
        <f t="shared" si="3"/>
        <v>3</v>
      </c>
      <c r="W25" s="36">
        <f t="shared" si="3"/>
        <v>4</v>
      </c>
      <c r="X25" s="36">
        <f t="shared" si="3"/>
        <v>3</v>
      </c>
      <c r="Y25" s="36">
        <f t="shared" si="3"/>
        <v>3</v>
      </c>
      <c r="Z25" s="36">
        <f t="shared" si="3"/>
        <v>3</v>
      </c>
      <c r="AA25" s="36">
        <f t="shared" si="3"/>
        <v>6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4</v>
      </c>
      <c r="AF25" s="36">
        <f t="shared" si="3"/>
        <v>4</v>
      </c>
      <c r="AG25" s="36">
        <f t="shared" si="3"/>
        <v>2</v>
      </c>
      <c r="AH25" s="36">
        <f t="shared" si="3"/>
        <v>4</v>
      </c>
      <c r="AI25" s="36">
        <f t="shared" si="3"/>
        <v>5</v>
      </c>
      <c r="AJ25" s="36">
        <f t="shared" si="3"/>
        <v>2</v>
      </c>
      <c r="AK25" s="36">
        <f t="shared" si="3"/>
        <v>3</v>
      </c>
      <c r="AL25" s="36">
        <f t="shared" si="3"/>
        <v>6</v>
      </c>
      <c r="AM25" s="36">
        <f t="shared" si="3"/>
        <v>5</v>
      </c>
      <c r="AN25" s="36">
        <f t="shared" si="3"/>
        <v>5</v>
      </c>
      <c r="AO25" s="36">
        <f t="shared" si="3"/>
        <v>4</v>
      </c>
      <c r="AP25" s="36">
        <f t="shared" si="3"/>
        <v>4</v>
      </c>
      <c r="AQ25" s="36">
        <f t="shared" si="3"/>
        <v>4</v>
      </c>
      <c r="AR25" s="36">
        <f t="shared" si="3"/>
        <v>6</v>
      </c>
      <c r="AS25" s="36">
        <f t="shared" si="3"/>
        <v>4</v>
      </c>
      <c r="AT25" s="36">
        <f t="shared" si="3"/>
        <v>4</v>
      </c>
      <c r="AU25" s="36">
        <f t="shared" si="3"/>
        <v>5</v>
      </c>
      <c r="AV25" s="36">
        <f t="shared" si="3"/>
        <v>2</v>
      </c>
      <c r="AW25" s="36">
        <f t="shared" si="3"/>
        <v>3</v>
      </c>
      <c r="AX25" s="36">
        <f t="shared" si="3"/>
        <v>5</v>
      </c>
      <c r="AY25" s="36">
        <f t="shared" si="3"/>
        <v>7</v>
      </c>
      <c r="AZ25" s="36">
        <f t="shared" si="3"/>
        <v>6</v>
      </c>
      <c r="BA25" s="36">
        <f t="shared" si="3"/>
        <v>2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9</v>
      </c>
      <c r="BH25" s="36">
        <f t="shared" si="3"/>
        <v>3</v>
      </c>
      <c r="BI25" s="36">
        <f t="shared" si="3"/>
        <v>3</v>
      </c>
      <c r="BJ25" s="36">
        <f t="shared" si="3"/>
        <v>4</v>
      </c>
      <c r="BK25" s="36">
        <f t="shared" si="3"/>
        <v>3</v>
      </c>
      <c r="BL25" s="36">
        <f t="shared" si="3"/>
        <v>2</v>
      </c>
      <c r="BM25" s="36">
        <f t="shared" si="3"/>
        <v>4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BM26" si="4">ABS((L23-L24)-($D21-$D22))</f>
        <v>1</v>
      </c>
      <c r="M26" s="71">
        <f t="shared" si="4"/>
        <v>24</v>
      </c>
      <c r="N26" s="71">
        <f t="shared" si="4"/>
        <v>16</v>
      </c>
      <c r="O26" s="71">
        <f t="shared" si="4"/>
        <v>13</v>
      </c>
      <c r="P26" s="71">
        <f t="shared" si="4"/>
        <v>11</v>
      </c>
      <c r="Q26" s="71">
        <f t="shared" si="4"/>
        <v>1006</v>
      </c>
      <c r="R26" s="71">
        <f t="shared" si="4"/>
        <v>13</v>
      </c>
      <c r="S26" s="71">
        <f t="shared" si="4"/>
        <v>9</v>
      </c>
      <c r="T26" s="71">
        <f t="shared" si="4"/>
        <v>13</v>
      </c>
      <c r="U26" s="71">
        <f t="shared" si="4"/>
        <v>16</v>
      </c>
      <c r="V26" s="71">
        <f t="shared" si="4"/>
        <v>20</v>
      </c>
      <c r="W26" s="71">
        <f t="shared" si="4"/>
        <v>27</v>
      </c>
      <c r="X26" s="71">
        <f t="shared" si="4"/>
        <v>22</v>
      </c>
      <c r="Y26" s="71">
        <f t="shared" si="4"/>
        <v>19</v>
      </c>
      <c r="Z26" s="71">
        <f t="shared" si="4"/>
        <v>18</v>
      </c>
      <c r="AA26" s="71">
        <f t="shared" si="4"/>
        <v>13</v>
      </c>
      <c r="AB26" s="71">
        <f t="shared" si="4"/>
        <v>20</v>
      </c>
      <c r="AC26" s="71">
        <f t="shared" si="4"/>
        <v>20</v>
      </c>
      <c r="AD26" s="71">
        <f t="shared" si="4"/>
        <v>24</v>
      </c>
      <c r="AE26" s="71">
        <f t="shared" si="4"/>
        <v>19</v>
      </c>
      <c r="AF26" s="71">
        <f t="shared" si="4"/>
        <v>20</v>
      </c>
      <c r="AG26" s="71">
        <f t="shared" si="4"/>
        <v>14</v>
      </c>
      <c r="AH26" s="71">
        <f t="shared" si="4"/>
        <v>13</v>
      </c>
      <c r="AI26" s="71">
        <f t="shared" si="4"/>
        <v>13</v>
      </c>
      <c r="AJ26" s="71">
        <f t="shared" si="4"/>
        <v>22</v>
      </c>
      <c r="AK26" s="71">
        <f t="shared" si="4"/>
        <v>14</v>
      </c>
      <c r="AL26" s="71">
        <f t="shared" si="4"/>
        <v>21</v>
      </c>
      <c r="AM26" s="71">
        <f t="shared" si="4"/>
        <v>17</v>
      </c>
      <c r="AN26" s="71">
        <f t="shared" si="4"/>
        <v>1</v>
      </c>
      <c r="AO26" s="71">
        <f t="shared" si="4"/>
        <v>3</v>
      </c>
      <c r="AP26" s="71">
        <f t="shared" si="4"/>
        <v>10</v>
      </c>
      <c r="AQ26" s="71">
        <f t="shared" si="4"/>
        <v>27</v>
      </c>
      <c r="AR26" s="71">
        <f t="shared" si="4"/>
        <v>10</v>
      </c>
      <c r="AS26" s="71">
        <f t="shared" si="4"/>
        <v>20</v>
      </c>
      <c r="AT26" s="71">
        <f t="shared" si="4"/>
        <v>20</v>
      </c>
      <c r="AU26" s="71">
        <f t="shared" si="4"/>
        <v>27</v>
      </c>
      <c r="AV26" s="71">
        <f t="shared" si="4"/>
        <v>13</v>
      </c>
      <c r="AW26" s="71">
        <f t="shared" si="4"/>
        <v>16</v>
      </c>
      <c r="AX26" s="71">
        <f t="shared" si="4"/>
        <v>13</v>
      </c>
      <c r="AY26" s="71">
        <f t="shared" si="4"/>
        <v>12</v>
      </c>
      <c r="AZ26" s="71">
        <f t="shared" si="4"/>
        <v>13</v>
      </c>
      <c r="BA26" s="71">
        <f t="shared" si="4"/>
        <v>14</v>
      </c>
      <c r="BB26" s="71">
        <f t="shared" si="4"/>
        <v>13</v>
      </c>
      <c r="BC26" s="71">
        <f t="shared" si="4"/>
        <v>0</v>
      </c>
      <c r="BD26" s="71">
        <f t="shared" si="4"/>
        <v>9</v>
      </c>
      <c r="BE26" s="71">
        <f t="shared" si="4"/>
        <v>30</v>
      </c>
      <c r="BF26" s="71">
        <f t="shared" si="4"/>
        <v>21</v>
      </c>
      <c r="BG26" s="71">
        <f t="shared" si="4"/>
        <v>10</v>
      </c>
      <c r="BH26" s="71">
        <f t="shared" si="4"/>
        <v>9</v>
      </c>
      <c r="BI26" s="71">
        <f t="shared" si="4"/>
        <v>12</v>
      </c>
      <c r="BJ26" s="71">
        <f t="shared" si="4"/>
        <v>21</v>
      </c>
      <c r="BK26" s="71">
        <f t="shared" si="4"/>
        <v>20</v>
      </c>
      <c r="BL26" s="71">
        <f t="shared" si="4"/>
        <v>13</v>
      </c>
      <c r="BM26" s="71">
        <f t="shared" si="4"/>
        <v>13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BM27" si="5">ABS(($D21+$D22)-(L23+L24))</f>
        <v>7</v>
      </c>
      <c r="M27" s="71">
        <f t="shared" si="5"/>
        <v>12</v>
      </c>
      <c r="N27" s="71">
        <f t="shared" si="5"/>
        <v>4</v>
      </c>
      <c r="O27" s="71">
        <f t="shared" si="5"/>
        <v>1</v>
      </c>
      <c r="P27" s="71">
        <f t="shared" si="5"/>
        <v>15</v>
      </c>
      <c r="Q27" s="71">
        <f t="shared" si="5"/>
        <v>960</v>
      </c>
      <c r="R27" s="71">
        <f t="shared" si="5"/>
        <v>1</v>
      </c>
      <c r="S27" s="71">
        <f t="shared" si="5"/>
        <v>3</v>
      </c>
      <c r="T27" s="71">
        <f t="shared" si="5"/>
        <v>23</v>
      </c>
      <c r="U27" s="71">
        <f t="shared" si="5"/>
        <v>20</v>
      </c>
      <c r="V27" s="71">
        <f t="shared" si="5"/>
        <v>30</v>
      </c>
      <c r="W27" s="71">
        <f t="shared" si="5"/>
        <v>1</v>
      </c>
      <c r="X27" s="71">
        <f t="shared" si="5"/>
        <v>4</v>
      </c>
      <c r="Y27" s="71">
        <f t="shared" si="5"/>
        <v>29</v>
      </c>
      <c r="Z27" s="71">
        <f t="shared" si="5"/>
        <v>18</v>
      </c>
      <c r="AA27" s="71">
        <f t="shared" si="5"/>
        <v>9</v>
      </c>
      <c r="AB27" s="71">
        <f t="shared" si="5"/>
        <v>16</v>
      </c>
      <c r="AC27" s="71">
        <f t="shared" si="5"/>
        <v>16</v>
      </c>
      <c r="AD27" s="71">
        <f t="shared" si="5"/>
        <v>6</v>
      </c>
      <c r="AE27" s="71">
        <f t="shared" si="5"/>
        <v>15</v>
      </c>
      <c r="AF27" s="71">
        <f t="shared" si="5"/>
        <v>22</v>
      </c>
      <c r="AG27" s="71">
        <f t="shared" si="5"/>
        <v>34</v>
      </c>
      <c r="AH27" s="71">
        <f t="shared" si="5"/>
        <v>9</v>
      </c>
      <c r="AI27" s="71">
        <f t="shared" si="5"/>
        <v>15</v>
      </c>
      <c r="AJ27" s="71">
        <f t="shared" si="5"/>
        <v>16</v>
      </c>
      <c r="AK27" s="71">
        <f t="shared" si="5"/>
        <v>16</v>
      </c>
      <c r="AL27" s="71">
        <f t="shared" si="5"/>
        <v>21</v>
      </c>
      <c r="AM27" s="71">
        <f t="shared" si="5"/>
        <v>19</v>
      </c>
      <c r="AN27" s="71">
        <f t="shared" si="5"/>
        <v>9</v>
      </c>
      <c r="AO27" s="71">
        <f t="shared" si="5"/>
        <v>5</v>
      </c>
      <c r="AP27" s="71">
        <f t="shared" si="5"/>
        <v>4</v>
      </c>
      <c r="AQ27" s="71">
        <f t="shared" si="5"/>
        <v>1</v>
      </c>
      <c r="AR27" s="71">
        <f t="shared" si="5"/>
        <v>12</v>
      </c>
      <c r="AS27" s="71">
        <f t="shared" si="5"/>
        <v>22</v>
      </c>
      <c r="AT27" s="71">
        <f t="shared" si="5"/>
        <v>30</v>
      </c>
      <c r="AU27" s="71">
        <f t="shared" si="5"/>
        <v>15</v>
      </c>
      <c r="AV27" s="71">
        <f t="shared" si="5"/>
        <v>21</v>
      </c>
      <c r="AW27" s="71">
        <f t="shared" si="5"/>
        <v>12</v>
      </c>
      <c r="AX27" s="71">
        <f t="shared" si="5"/>
        <v>5</v>
      </c>
      <c r="AY27" s="71">
        <f t="shared" si="5"/>
        <v>0</v>
      </c>
      <c r="AZ27" s="71">
        <f t="shared" si="5"/>
        <v>5</v>
      </c>
      <c r="BA27" s="71">
        <f t="shared" si="5"/>
        <v>16</v>
      </c>
      <c r="BB27" s="71">
        <f t="shared" si="5"/>
        <v>5</v>
      </c>
      <c r="BC27" s="71">
        <f t="shared" si="5"/>
        <v>28</v>
      </c>
      <c r="BD27" s="71">
        <f t="shared" si="5"/>
        <v>5</v>
      </c>
      <c r="BE27" s="71">
        <f t="shared" si="5"/>
        <v>18</v>
      </c>
      <c r="BF27" s="71">
        <f t="shared" si="5"/>
        <v>1</v>
      </c>
      <c r="BG27" s="71">
        <f t="shared" si="5"/>
        <v>12</v>
      </c>
      <c r="BH27" s="71">
        <f t="shared" si="5"/>
        <v>27</v>
      </c>
      <c r="BI27" s="71">
        <f t="shared" si="5"/>
        <v>8</v>
      </c>
      <c r="BJ27" s="71">
        <f t="shared" si="5"/>
        <v>15</v>
      </c>
      <c r="BK27" s="71">
        <f t="shared" si="5"/>
        <v>8</v>
      </c>
      <c r="BL27" s="71">
        <f t="shared" si="5"/>
        <v>7</v>
      </c>
      <c r="BM27" s="71">
        <f t="shared" si="5"/>
        <v>9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0.41818181818181815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5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6</v>
      </c>
      <c r="T29" s="71">
        <f t="shared" si="7"/>
        <v>4</v>
      </c>
      <c r="U29" s="71">
        <f t="shared" si="7"/>
        <v>7</v>
      </c>
      <c r="V29" s="71">
        <f t="shared" si="7"/>
        <v>5</v>
      </c>
      <c r="W29" s="71">
        <f t="shared" si="7"/>
        <v>4</v>
      </c>
      <c r="X29" s="71">
        <f t="shared" si="7"/>
        <v>7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8</v>
      </c>
      <c r="AF29" s="71">
        <f t="shared" si="7"/>
        <v>6</v>
      </c>
      <c r="AG29" s="71">
        <f t="shared" si="7"/>
        <v>8</v>
      </c>
      <c r="AH29" s="71">
        <f t="shared" si="7"/>
        <v>6</v>
      </c>
      <c r="AI29" s="71">
        <f t="shared" si="7"/>
        <v>3</v>
      </c>
      <c r="AJ29" s="71">
        <f t="shared" si="7"/>
        <v>6</v>
      </c>
      <c r="AK29" s="71">
        <f t="shared" si="7"/>
        <v>7</v>
      </c>
      <c r="AL29" s="71">
        <f t="shared" si="7"/>
        <v>4</v>
      </c>
      <c r="AM29" s="71">
        <f t="shared" si="7"/>
        <v>5</v>
      </c>
      <c r="AN29" s="71">
        <f t="shared" si="7"/>
        <v>7</v>
      </c>
      <c r="AO29" s="71">
        <f t="shared" si="7"/>
        <v>6</v>
      </c>
      <c r="AP29" s="71">
        <f t="shared" si="7"/>
        <v>4</v>
      </c>
      <c r="AQ29" s="71">
        <f t="shared" si="7"/>
        <v>6</v>
      </c>
      <c r="AR29" s="71">
        <f t="shared" si="7"/>
        <v>4</v>
      </c>
      <c r="AS29" s="71">
        <f t="shared" si="7"/>
        <v>6</v>
      </c>
      <c r="AT29" s="71">
        <f t="shared" si="7"/>
        <v>6</v>
      </c>
      <c r="AU29" s="71">
        <f t="shared" si="7"/>
        <v>5</v>
      </c>
      <c r="AV29" s="71">
        <f t="shared" si="7"/>
        <v>8</v>
      </c>
      <c r="AW29" s="71">
        <f t="shared" si="7"/>
        <v>7</v>
      </c>
      <c r="AX29" s="71">
        <f t="shared" si="7"/>
        <v>7</v>
      </c>
      <c r="AY29" s="71">
        <f t="shared" si="7"/>
        <v>3</v>
      </c>
      <c r="AZ29" s="71">
        <f t="shared" si="7"/>
        <v>6</v>
      </c>
      <c r="BA29" s="71">
        <f t="shared" si="7"/>
        <v>6</v>
      </c>
      <c r="BB29" s="71">
        <f t="shared" si="7"/>
        <v>9</v>
      </c>
      <c r="BC29" s="71">
        <f t="shared" si="7"/>
        <v>4</v>
      </c>
      <c r="BD29" s="71">
        <f t="shared" si="7"/>
        <v>4</v>
      </c>
      <c r="BE29" s="71">
        <f t="shared" si="7"/>
        <v>9</v>
      </c>
      <c r="BF29" s="71">
        <f t="shared" si="7"/>
        <v>3</v>
      </c>
      <c r="BG29" s="71">
        <f t="shared" si="7"/>
        <v>3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-45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4</v>
      </c>
      <c r="R30" s="73">
        <f t="shared" si="8"/>
        <v>5</v>
      </c>
      <c r="S30" s="73">
        <f t="shared" si="8"/>
        <v>8</v>
      </c>
      <c r="T30" s="73">
        <f t="shared" si="8"/>
        <v>4</v>
      </c>
      <c r="U30" s="73">
        <f t="shared" si="8"/>
        <v>7</v>
      </c>
      <c r="V30" s="73">
        <f t="shared" si="8"/>
        <v>1</v>
      </c>
      <c r="W30" s="73">
        <f t="shared" si="8"/>
        <v>2</v>
      </c>
      <c r="X30" s="73">
        <f t="shared" si="8"/>
        <v>3</v>
      </c>
      <c r="Y30" s="73">
        <f t="shared" si="8"/>
        <v>3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4</v>
      </c>
      <c r="AI30" s="73">
        <f t="shared" si="8"/>
        <v>3</v>
      </c>
      <c r="AJ30" s="73">
        <f t="shared" si="8"/>
        <v>4</v>
      </c>
      <c r="AK30" s="73">
        <f t="shared" si="8"/>
        <v>5</v>
      </c>
      <c r="AL30" s="73">
        <f t="shared" si="8"/>
        <v>6</v>
      </c>
      <c r="AM30" s="73">
        <f t="shared" si="8"/>
        <v>3</v>
      </c>
      <c r="AN30" s="73">
        <f t="shared" si="8"/>
        <v>5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6</v>
      </c>
      <c r="AS30" s="73">
        <f t="shared" si="8"/>
        <v>4</v>
      </c>
      <c r="AT30" s="73">
        <f t="shared" si="8"/>
        <v>6</v>
      </c>
      <c r="AU30" s="73">
        <f t="shared" si="8"/>
        <v>5</v>
      </c>
      <c r="AV30" s="73">
        <f t="shared" si="8"/>
        <v>4</v>
      </c>
      <c r="AW30" s="73">
        <f t="shared" si="8"/>
        <v>3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4</v>
      </c>
      <c r="BB30" s="73">
        <f t="shared" si="8"/>
        <v>5</v>
      </c>
      <c r="BC30" s="73">
        <f t="shared" si="8"/>
        <v>8</v>
      </c>
      <c r="BD30" s="73">
        <f t="shared" si="8"/>
        <v>4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5</v>
      </c>
      <c r="BI30" s="73">
        <f t="shared" si="8"/>
        <v>3</v>
      </c>
      <c r="BJ30" s="73">
        <f t="shared" si="8"/>
        <v>4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4</v>
      </c>
      <c r="N31" s="71">
        <f t="shared" ca="1" si="9"/>
        <v>2</v>
      </c>
      <c r="O31" s="71">
        <f t="shared" ca="1" si="9"/>
        <v>5</v>
      </c>
      <c r="P31" s="71">
        <f t="shared" ca="1" si="9"/>
        <v>4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5</v>
      </c>
      <c r="V31" s="71">
        <f t="shared" ca="1" si="9"/>
        <v>3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4</v>
      </c>
      <c r="AB31" s="71">
        <f t="shared" ca="1" si="9"/>
        <v>3</v>
      </c>
      <c r="AC31" s="71">
        <f t="shared" ca="1" si="9"/>
        <v>2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4</v>
      </c>
      <c r="AH31" s="71">
        <f t="shared" ca="1" si="9"/>
        <v>4</v>
      </c>
      <c r="AI31" s="71">
        <f t="shared" ca="1" si="9"/>
        <v>3</v>
      </c>
      <c r="AJ31" s="71">
        <f t="shared" ca="1" si="9"/>
        <v>2</v>
      </c>
      <c r="AK31" s="71">
        <f t="shared" ca="1" si="9"/>
        <v>1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4</v>
      </c>
      <c r="AP31" s="71">
        <f t="shared" ca="1" si="9"/>
        <v>4</v>
      </c>
      <c r="AQ31" s="71">
        <f t="shared" ca="1" si="9"/>
        <v>4</v>
      </c>
      <c r="AR31" s="71">
        <f t="shared" ca="1" si="9"/>
        <v>4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2</v>
      </c>
      <c r="AW31" s="71">
        <f t="shared" ca="1" si="9"/>
        <v>3</v>
      </c>
      <c r="AX31" s="71">
        <f t="shared" ca="1" si="9"/>
        <v>3</v>
      </c>
      <c r="AY31" s="71">
        <f t="shared" ca="1" si="9"/>
        <v>5</v>
      </c>
      <c r="AZ31" s="71">
        <f t="shared" ca="1" si="9"/>
        <v>6</v>
      </c>
      <c r="BA31" s="71">
        <f t="shared" ca="1" si="9"/>
        <v>2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5</v>
      </c>
      <c r="BG31" s="71">
        <f t="shared" ca="1" si="9"/>
        <v>7</v>
      </c>
      <c r="BH31" s="71">
        <f t="shared" ca="1" si="9"/>
        <v>3</v>
      </c>
      <c r="BI31" s="71">
        <f t="shared" ca="1" si="9"/>
        <v>3</v>
      </c>
      <c r="BJ31" s="71">
        <f t="shared" ca="1" si="9"/>
        <v>4</v>
      </c>
      <c r="BK31" s="71">
        <f t="shared" ca="1" si="9"/>
        <v>1</v>
      </c>
      <c r="BL31" s="71">
        <f t="shared" ca="1" si="9"/>
        <v>2</v>
      </c>
      <c r="BM31" s="71">
        <f t="shared" ca="1" si="9"/>
        <v>2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101959952</v>
      </c>
      <c r="L36" s="32">
        <f t="shared" ref="L36:BM36" si="12">COUNTA(L23:L24)*((10000000*L25)+(1000000*(COUNTA(L21)*$E21+COUNTA(L22)*$E22))-(COUNTA($D$21:$D$22)*1000*L26)-(COUNTA($D$21:$D$22)*L27))</f>
        <v>81995972</v>
      </c>
      <c r="M36" s="32">
        <f t="shared" si="12"/>
        <v>79903952</v>
      </c>
      <c r="N36" s="32">
        <f t="shared" si="12"/>
        <v>-64016</v>
      </c>
      <c r="O36" s="32">
        <f t="shared" si="12"/>
        <v>99947996</v>
      </c>
      <c r="P36" s="32">
        <f t="shared" si="12"/>
        <v>121955940</v>
      </c>
      <c r="Q36" s="32">
        <f t="shared" si="12"/>
        <v>75972160</v>
      </c>
      <c r="R36" s="32">
        <f t="shared" si="12"/>
        <v>99947996</v>
      </c>
      <c r="S36" s="32">
        <f t="shared" si="12"/>
        <v>121963988</v>
      </c>
      <c r="T36" s="32">
        <f t="shared" si="12"/>
        <v>79947908</v>
      </c>
      <c r="U36" s="32">
        <f t="shared" si="12"/>
        <v>99935920</v>
      </c>
      <c r="V36" s="32">
        <f t="shared" si="12"/>
        <v>59919880</v>
      </c>
      <c r="W36" s="32">
        <f t="shared" si="12"/>
        <v>79891996</v>
      </c>
      <c r="X36" s="32">
        <f t="shared" si="12"/>
        <v>59911984</v>
      </c>
      <c r="Y36" s="32">
        <f t="shared" si="12"/>
        <v>59923884</v>
      </c>
      <c r="Z36" s="32">
        <f t="shared" si="12"/>
        <v>59927928</v>
      </c>
      <c r="AA36" s="32">
        <f t="shared" si="12"/>
        <v>119947964</v>
      </c>
      <c r="AB36" s="32">
        <f t="shared" si="12"/>
        <v>99919936</v>
      </c>
      <c r="AC36" s="32">
        <f t="shared" si="12"/>
        <v>79919936</v>
      </c>
      <c r="AD36" s="32">
        <f t="shared" si="12"/>
        <v>119903976</v>
      </c>
      <c r="AE36" s="32">
        <f t="shared" si="12"/>
        <v>79923940</v>
      </c>
      <c r="AF36" s="32">
        <f t="shared" si="12"/>
        <v>79919912</v>
      </c>
      <c r="AG36" s="32">
        <f t="shared" si="12"/>
        <v>39943864</v>
      </c>
      <c r="AH36" s="32">
        <f t="shared" si="12"/>
        <v>79947964</v>
      </c>
      <c r="AI36" s="32">
        <f t="shared" si="12"/>
        <v>99947940</v>
      </c>
      <c r="AJ36" s="32">
        <f t="shared" si="12"/>
        <v>39911936</v>
      </c>
      <c r="AK36" s="32">
        <f t="shared" si="12"/>
        <v>59943936</v>
      </c>
      <c r="AL36" s="32">
        <f t="shared" si="12"/>
        <v>119915916</v>
      </c>
      <c r="AM36" s="32">
        <f t="shared" si="12"/>
        <v>99931924</v>
      </c>
      <c r="AN36" s="32">
        <f t="shared" si="12"/>
        <v>101995964</v>
      </c>
      <c r="AO36" s="32">
        <f t="shared" si="12"/>
        <v>81987980</v>
      </c>
      <c r="AP36" s="32">
        <f t="shared" si="12"/>
        <v>81959984</v>
      </c>
      <c r="AQ36" s="32">
        <f t="shared" si="12"/>
        <v>79891996</v>
      </c>
      <c r="AR36" s="32">
        <f t="shared" si="12"/>
        <v>121959952</v>
      </c>
      <c r="AS36" s="32">
        <f t="shared" si="12"/>
        <v>79919912</v>
      </c>
      <c r="AT36" s="32">
        <f t="shared" si="12"/>
        <v>79919880</v>
      </c>
      <c r="AU36" s="32">
        <f t="shared" si="12"/>
        <v>99891940</v>
      </c>
      <c r="AV36" s="32">
        <f t="shared" si="12"/>
        <v>39947916</v>
      </c>
      <c r="AW36" s="32">
        <f t="shared" si="12"/>
        <v>59935952</v>
      </c>
      <c r="AX36" s="32">
        <f t="shared" si="12"/>
        <v>99947980</v>
      </c>
      <c r="AY36" s="32">
        <f t="shared" si="12"/>
        <v>141952000</v>
      </c>
      <c r="AZ36" s="32">
        <f t="shared" si="12"/>
        <v>119947980</v>
      </c>
      <c r="BA36" s="32">
        <f t="shared" si="12"/>
        <v>39943936</v>
      </c>
      <c r="BB36" s="32">
        <f t="shared" si="12"/>
        <v>59947980</v>
      </c>
      <c r="BC36" s="32">
        <f t="shared" si="12"/>
        <v>121999888</v>
      </c>
      <c r="BD36" s="32">
        <f t="shared" si="12"/>
        <v>81963980</v>
      </c>
      <c r="BE36" s="32">
        <f t="shared" si="12"/>
        <v>59879928</v>
      </c>
      <c r="BF36" s="32">
        <f t="shared" si="12"/>
        <v>99915996</v>
      </c>
      <c r="BG36" s="32">
        <f t="shared" si="12"/>
        <v>181959952</v>
      </c>
      <c r="BH36" s="32">
        <f t="shared" si="12"/>
        <v>61963892</v>
      </c>
      <c r="BI36" s="32">
        <f t="shared" si="12"/>
        <v>61951968</v>
      </c>
      <c r="BJ36" s="32">
        <f t="shared" si="12"/>
        <v>79915940</v>
      </c>
      <c r="BK36" s="32">
        <f t="shared" si="12"/>
        <v>59919968</v>
      </c>
      <c r="BL36" s="32">
        <f t="shared" si="12"/>
        <v>39947972</v>
      </c>
      <c r="BM36" s="32">
        <f t="shared" si="12"/>
        <v>79947964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7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71" priority="9" stopIfTrue="1" operator="equal">
      <formula>0</formula>
    </cfRule>
  </conditionalFormatting>
  <conditionalFormatting sqref="D26:J28 K28:BE28">
    <cfRule type="cellIs" dxfId="170" priority="10" stopIfTrue="1" operator="equal">
      <formula>1</formula>
    </cfRule>
  </conditionalFormatting>
  <conditionalFormatting sqref="H3:I3 F23 H5:I5 H7:I7 H9:I9 H11:I11 H13:I13 H15:I15 H17:I17 H19:I19 H21:I21">
    <cfRule type="cellIs" dxfId="169" priority="11" stopIfTrue="1" operator="equal">
      <formula>0</formula>
    </cfRule>
  </conditionalFormatting>
  <conditionalFormatting sqref="H4:I4 F24 H6:I6 H8:I8 H10:I10 H12:I12 H14:I14 H16:I16 H18:I18 H20:I20 H22:I22">
    <cfRule type="cellIs" dxfId="168" priority="12" stopIfTrue="1" operator="equal">
      <formula>0</formula>
    </cfRule>
  </conditionalFormatting>
  <conditionalFormatting sqref="F3 F5 F7 F9 F11 F13 F15 F17 F19 F21">
    <cfRule type="cellIs" dxfId="16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5" priority="15" stopIfTrue="1">
      <formula>AND(COUNTA(J4)=1,$E4=1,SUM($E3:$E4)=1)</formula>
    </cfRule>
    <cfRule type="expression" dxfId="16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63" priority="17" stopIfTrue="1">
      <formula>AND(COUNTA(J3)=1,$E3=1,SUM($E3:$E4)=1)</formula>
    </cfRule>
    <cfRule type="expression" dxfId="162" priority="18" stopIfTrue="1">
      <formula>AND(COUNTA(J3)=1,$E3=0,SUM($E3:$E4)=1)</formula>
    </cfRule>
  </conditionalFormatting>
  <conditionalFormatting sqref="BF23:BM23">
    <cfRule type="cellIs" dxfId="161" priority="7" stopIfTrue="1" operator="equal">
      <formula>0</formula>
    </cfRule>
  </conditionalFormatting>
  <conditionalFormatting sqref="BF24:BM24">
    <cfRule type="cellIs" dxfId="160" priority="6" stopIfTrue="1" operator="equal">
      <formula>0</formula>
    </cfRule>
  </conditionalFormatting>
  <conditionalFormatting sqref="BF28:BM28">
    <cfRule type="cellIs" dxfId="15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8" priority="3" stopIfTrue="1">
      <formula>AND(COUNTA(BF4)=1,$E4=1,SUM($E3:$E4)=1)</formula>
    </cfRule>
    <cfRule type="expression" dxfId="15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6" priority="1" stopIfTrue="1">
      <formula>AND(COUNTA(BF3)=1,$E3=1,SUM($E3:$E4)=1)</formula>
    </cfRule>
    <cfRule type="expression" dxfId="15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>
    <pageSetUpPr fitToPage="1"/>
  </sheetPr>
  <dimension ref="A1:BM58"/>
  <sheetViews>
    <sheetView zoomScale="90" zoomScaleNormal="100" zoomScaleSheetLayoutView="100" workbookViewId="0">
      <selection activeCell="D23" sqref="D2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155</v>
      </c>
      <c r="C3" s="65">
        <v>3.5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35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311</v>
      </c>
      <c r="K3" s="69" t="s">
        <v>309</v>
      </c>
      <c r="L3" s="69" t="s">
        <v>309</v>
      </c>
      <c r="M3" s="69" t="s">
        <v>350</v>
      </c>
      <c r="N3" s="69" t="s">
        <v>458</v>
      </c>
      <c r="O3" s="69" t="s">
        <v>311</v>
      </c>
      <c r="P3" s="69" t="s">
        <v>309</v>
      </c>
      <c r="Q3" s="69" t="s">
        <v>330</v>
      </c>
      <c r="R3" s="69"/>
      <c r="S3" s="69" t="s">
        <v>311</v>
      </c>
      <c r="T3" s="69" t="s">
        <v>344</v>
      </c>
      <c r="U3" s="69"/>
      <c r="V3" s="69"/>
      <c r="W3" s="69"/>
      <c r="X3" s="69" t="s">
        <v>333</v>
      </c>
      <c r="Y3" s="69" t="s">
        <v>311</v>
      </c>
      <c r="Z3" s="69"/>
      <c r="AA3" s="69"/>
      <c r="AB3" s="69" t="s">
        <v>329</v>
      </c>
      <c r="AC3" s="69" t="s">
        <v>311</v>
      </c>
      <c r="AD3" s="69"/>
      <c r="AE3" s="69"/>
      <c r="AF3" s="69" t="s">
        <v>349</v>
      </c>
      <c r="AG3" s="69"/>
      <c r="AH3" s="69" t="s">
        <v>322</v>
      </c>
      <c r="AI3" s="69" t="s">
        <v>348</v>
      </c>
      <c r="AJ3" s="69" t="s">
        <v>329</v>
      </c>
      <c r="AK3" s="69" t="s">
        <v>345</v>
      </c>
      <c r="AL3" s="69"/>
      <c r="AM3" s="69" t="s">
        <v>323</v>
      </c>
      <c r="AN3" s="69"/>
      <c r="AO3" s="69" t="s">
        <v>311</v>
      </c>
      <c r="AP3" s="69" t="s">
        <v>366</v>
      </c>
      <c r="AQ3" s="69" t="s">
        <v>311</v>
      </c>
      <c r="AR3" s="96" t="s">
        <v>375</v>
      </c>
      <c r="AS3" s="69" t="s">
        <v>328</v>
      </c>
      <c r="AT3" s="69" t="s">
        <v>336</v>
      </c>
      <c r="AU3" s="69" t="s">
        <v>309</v>
      </c>
      <c r="AV3" s="69" t="s">
        <v>372</v>
      </c>
      <c r="AW3" s="69"/>
      <c r="AX3" s="69"/>
      <c r="AY3" s="69" t="s">
        <v>476</v>
      </c>
      <c r="AZ3" s="69" t="s">
        <v>331</v>
      </c>
      <c r="BA3" s="69"/>
      <c r="BB3" s="69"/>
      <c r="BC3" s="69"/>
      <c r="BD3" s="69" t="s">
        <v>378</v>
      </c>
      <c r="BE3" s="96"/>
      <c r="BF3" s="69"/>
      <c r="BG3" s="69" t="s">
        <v>311</v>
      </c>
      <c r="BH3" s="69"/>
      <c r="BI3" s="69"/>
      <c r="BJ3" s="69" t="s">
        <v>454</v>
      </c>
      <c r="BK3" s="69" t="s">
        <v>309</v>
      </c>
      <c r="BL3" s="69" t="s">
        <v>311</v>
      </c>
      <c r="BM3" s="69" t="s">
        <v>328</v>
      </c>
    </row>
    <row r="4" spans="1:65">
      <c r="A4" s="61" t="s">
        <v>3</v>
      </c>
      <c r="B4" s="68" t="s">
        <v>191</v>
      </c>
      <c r="C4" s="66"/>
      <c r="D4" s="64">
        <v>0</v>
      </c>
      <c r="E4" s="64">
        <f>IF(ISBLANK($D4),"0",IF(($D4-$D3)&gt;($C4-$C3),1,0))</f>
        <v>0</v>
      </c>
      <c r="F4" s="64">
        <f t="shared" ref="F4:F22" ca="1" si="1">COUNTA(INDIRECT("RC11:RC"&amp;11+playercnt-1,FALSE))</f>
        <v>20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 t="s">
        <v>309</v>
      </c>
      <c r="S4" s="70"/>
      <c r="T4" s="70"/>
      <c r="U4" s="70" t="s">
        <v>309</v>
      </c>
      <c r="V4" s="70" t="s">
        <v>309</v>
      </c>
      <c r="W4" s="70" t="s">
        <v>336</v>
      </c>
      <c r="X4" s="70"/>
      <c r="Y4" s="70"/>
      <c r="Z4" s="70" t="s">
        <v>311</v>
      </c>
      <c r="AA4" s="70" t="s">
        <v>311</v>
      </c>
      <c r="AB4" s="70"/>
      <c r="AC4" s="70"/>
      <c r="AD4" s="70" t="s">
        <v>345</v>
      </c>
      <c r="AE4" s="70" t="s">
        <v>311</v>
      </c>
      <c r="AF4" s="70"/>
      <c r="AG4" s="70" t="s">
        <v>322</v>
      </c>
      <c r="AH4" s="70"/>
      <c r="AI4" s="70"/>
      <c r="AJ4" s="70"/>
      <c r="AK4" s="70"/>
      <c r="AL4" s="70" t="s">
        <v>327</v>
      </c>
      <c r="AM4" s="70"/>
      <c r="AN4" s="70" t="s">
        <v>335</v>
      </c>
      <c r="AO4" s="70"/>
      <c r="AP4" s="70"/>
      <c r="AQ4" s="70"/>
      <c r="AR4" s="70"/>
      <c r="AS4" s="70"/>
      <c r="AT4" s="70"/>
      <c r="AU4" s="70"/>
      <c r="AV4" s="70"/>
      <c r="AW4" s="70" t="s">
        <v>334</v>
      </c>
      <c r="AX4" s="70" t="s">
        <v>474</v>
      </c>
      <c r="AY4" s="70"/>
      <c r="AZ4" s="70"/>
      <c r="BA4" s="70" t="s">
        <v>311</v>
      </c>
      <c r="BB4" s="70" t="s">
        <v>314</v>
      </c>
      <c r="BC4" s="70" t="s">
        <v>309</v>
      </c>
      <c r="BD4" s="70"/>
      <c r="BE4" s="70" t="s">
        <v>364</v>
      </c>
      <c r="BF4" s="70" t="s">
        <v>480</v>
      </c>
      <c r="BG4" s="70"/>
      <c r="BH4" s="70" t="s">
        <v>311</v>
      </c>
      <c r="BI4" s="70" t="s">
        <v>311</v>
      </c>
      <c r="BJ4" s="70"/>
      <c r="BK4" s="70"/>
      <c r="BL4" s="70"/>
      <c r="BM4" s="70"/>
    </row>
    <row r="5" spans="1:65">
      <c r="A5" s="59">
        <v>2</v>
      </c>
      <c r="B5" s="67" t="s">
        <v>187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 t="s">
        <v>311</v>
      </c>
      <c r="K5" s="69"/>
      <c r="L5" s="69"/>
      <c r="M5" s="69"/>
      <c r="N5" s="69" t="s">
        <v>459</v>
      </c>
      <c r="O5" s="69"/>
      <c r="P5" s="69" t="s">
        <v>309</v>
      </c>
      <c r="Q5" s="69" t="s">
        <v>327</v>
      </c>
      <c r="R5" s="69"/>
      <c r="S5" s="69"/>
      <c r="T5" s="69"/>
      <c r="U5" s="69"/>
      <c r="V5" s="69"/>
      <c r="W5" s="69"/>
      <c r="X5" s="69"/>
      <c r="Y5" s="69"/>
      <c r="Z5" s="69"/>
      <c r="AA5" s="69"/>
      <c r="AB5" s="69" t="s">
        <v>332</v>
      </c>
      <c r="AC5" s="69" t="s">
        <v>311</v>
      </c>
      <c r="AD5" s="69"/>
      <c r="AE5" s="69"/>
      <c r="AF5" s="69"/>
      <c r="AG5" s="69"/>
      <c r="AH5" s="69"/>
      <c r="AI5" s="69"/>
      <c r="AJ5" s="69" t="s">
        <v>329</v>
      </c>
      <c r="AK5" s="69"/>
      <c r="AL5" s="69"/>
      <c r="AM5" s="69" t="s">
        <v>318</v>
      </c>
      <c r="AN5" s="69"/>
      <c r="AO5" s="69"/>
      <c r="AP5" s="69"/>
      <c r="AQ5" s="69"/>
      <c r="AR5" s="96"/>
      <c r="AS5" s="69" t="s">
        <v>372</v>
      </c>
      <c r="AT5" s="69"/>
      <c r="AU5" s="69"/>
      <c r="AV5" s="69" t="s">
        <v>330</v>
      </c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 t="s">
        <v>454</v>
      </c>
      <c r="BK5" s="69"/>
      <c r="BL5" s="69" t="s">
        <v>362</v>
      </c>
      <c r="BM5" s="69"/>
    </row>
    <row r="6" spans="1:65">
      <c r="A6" s="61" t="s">
        <v>3</v>
      </c>
      <c r="B6" s="68" t="s">
        <v>146</v>
      </c>
      <c r="C6" s="66">
        <v>4.5</v>
      </c>
      <c r="D6" s="64">
        <v>25</v>
      </c>
      <c r="E6" s="64">
        <f>IF(ISBLANK($D6),"0",IF(($D6-$D5)&gt;($C6-$C5),1,0))</f>
        <v>0</v>
      </c>
      <c r="F6" s="64">
        <f t="shared" ca="1" si="1"/>
        <v>44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309</v>
      </c>
      <c r="L6" s="70" t="s">
        <v>309</v>
      </c>
      <c r="M6" s="70" t="s">
        <v>350</v>
      </c>
      <c r="N6" s="70"/>
      <c r="O6" s="70" t="s">
        <v>311</v>
      </c>
      <c r="P6" s="70"/>
      <c r="Q6" s="70"/>
      <c r="R6" s="70" t="s">
        <v>309</v>
      </c>
      <c r="S6" s="70" t="s">
        <v>311</v>
      </c>
      <c r="T6" s="70" t="s">
        <v>344</v>
      </c>
      <c r="U6" s="70" t="s">
        <v>309</v>
      </c>
      <c r="V6" s="70" t="s">
        <v>309</v>
      </c>
      <c r="W6" s="70" t="s">
        <v>337</v>
      </c>
      <c r="X6" s="70" t="s">
        <v>317</v>
      </c>
      <c r="Y6" s="70" t="s">
        <v>311</v>
      </c>
      <c r="Z6" s="70" t="s">
        <v>311</v>
      </c>
      <c r="AA6" s="70" t="s">
        <v>311</v>
      </c>
      <c r="AB6" s="70"/>
      <c r="AC6" s="70"/>
      <c r="AD6" s="70" t="s">
        <v>346</v>
      </c>
      <c r="AE6" s="70" t="s">
        <v>311</v>
      </c>
      <c r="AF6" s="70" t="s">
        <v>349</v>
      </c>
      <c r="AG6" s="70" t="s">
        <v>323</v>
      </c>
      <c r="AH6" s="70" t="s">
        <v>403</v>
      </c>
      <c r="AI6" s="70" t="s">
        <v>326</v>
      </c>
      <c r="AJ6" s="70"/>
      <c r="AK6" s="70" t="s">
        <v>314</v>
      </c>
      <c r="AL6" s="70" t="s">
        <v>327</v>
      </c>
      <c r="AM6" s="70"/>
      <c r="AN6" s="70" t="s">
        <v>335</v>
      </c>
      <c r="AO6" s="70" t="s">
        <v>311</v>
      </c>
      <c r="AP6" s="70" t="s">
        <v>373</v>
      </c>
      <c r="AQ6" s="70" t="s">
        <v>311</v>
      </c>
      <c r="AR6" s="70" t="s">
        <v>334</v>
      </c>
      <c r="AS6" s="70"/>
      <c r="AT6" s="70" t="s">
        <v>336</v>
      </c>
      <c r="AU6" s="70" t="s">
        <v>309</v>
      </c>
      <c r="AV6" s="70"/>
      <c r="AW6" s="70" t="s">
        <v>331</v>
      </c>
      <c r="AX6" s="70" t="s">
        <v>359</v>
      </c>
      <c r="AY6" s="70" t="s">
        <v>477</v>
      </c>
      <c r="AZ6" s="70" t="s">
        <v>327</v>
      </c>
      <c r="BA6" s="70" t="s">
        <v>311</v>
      </c>
      <c r="BB6" s="70" t="s">
        <v>314</v>
      </c>
      <c r="BC6" s="70" t="s">
        <v>309</v>
      </c>
      <c r="BD6" s="70" t="s">
        <v>378</v>
      </c>
      <c r="BE6" s="97" t="s">
        <v>364</v>
      </c>
      <c r="BF6" s="70" t="s">
        <v>481</v>
      </c>
      <c r="BG6" s="70" t="s">
        <v>311</v>
      </c>
      <c r="BH6" s="70" t="s">
        <v>311</v>
      </c>
      <c r="BI6" s="70" t="s">
        <v>311</v>
      </c>
      <c r="BJ6" s="70"/>
      <c r="BK6" s="70" t="s">
        <v>309</v>
      </c>
      <c r="BL6" s="70"/>
      <c r="BM6" s="70" t="s">
        <v>327</v>
      </c>
    </row>
    <row r="7" spans="1:65">
      <c r="A7" s="59">
        <v>3</v>
      </c>
      <c r="B7" s="67" t="s">
        <v>241</v>
      </c>
      <c r="C7" s="65"/>
      <c r="D7" s="64">
        <v>58</v>
      </c>
      <c r="E7" s="64">
        <f>IF(ISBLANK($D7),"0",IF(($D8-$D7)&lt;($C8-$C7),1,0))</f>
        <v>1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311</v>
      </c>
      <c r="K7" s="69"/>
      <c r="L7" s="69" t="s">
        <v>309</v>
      </c>
      <c r="M7" s="69"/>
      <c r="N7" s="69"/>
      <c r="O7" s="69"/>
      <c r="P7" s="69" t="s">
        <v>309</v>
      </c>
      <c r="Q7" s="69" t="s">
        <v>336</v>
      </c>
      <c r="R7" s="96" t="s">
        <v>309</v>
      </c>
      <c r="S7" s="96" t="s">
        <v>311</v>
      </c>
      <c r="T7" s="96"/>
      <c r="U7" s="96" t="s">
        <v>309</v>
      </c>
      <c r="V7" s="69" t="s">
        <v>309</v>
      </c>
      <c r="W7" s="69"/>
      <c r="X7" s="69" t="s">
        <v>313</v>
      </c>
      <c r="Y7" s="69" t="s">
        <v>311</v>
      </c>
      <c r="Z7" s="69" t="s">
        <v>311</v>
      </c>
      <c r="AA7" s="69"/>
      <c r="AB7" s="69" t="s">
        <v>374</v>
      </c>
      <c r="AC7" s="69"/>
      <c r="AD7" s="69" t="s">
        <v>337</v>
      </c>
      <c r="AE7" s="69" t="s">
        <v>311</v>
      </c>
      <c r="AF7" s="69"/>
      <c r="AG7" s="69"/>
      <c r="AH7" s="69" t="s">
        <v>393</v>
      </c>
      <c r="AI7" s="69"/>
      <c r="AJ7" s="69"/>
      <c r="AK7" s="69"/>
      <c r="AL7" s="69" t="s">
        <v>327</v>
      </c>
      <c r="AM7" s="69"/>
      <c r="AN7" s="69" t="s">
        <v>335</v>
      </c>
      <c r="AO7" s="69" t="s">
        <v>311</v>
      </c>
      <c r="AP7" s="69"/>
      <c r="AQ7" s="69"/>
      <c r="AR7" s="96" t="s">
        <v>331</v>
      </c>
      <c r="AS7" s="69"/>
      <c r="AT7" s="69" t="s">
        <v>336</v>
      </c>
      <c r="AU7" s="69" t="s">
        <v>309</v>
      </c>
      <c r="AV7" s="69" t="s">
        <v>334</v>
      </c>
      <c r="AW7" s="69" t="s">
        <v>312</v>
      </c>
      <c r="AX7" s="69"/>
      <c r="AY7" s="69"/>
      <c r="AZ7" s="69"/>
      <c r="BA7" s="69" t="s">
        <v>311</v>
      </c>
      <c r="BB7" s="69"/>
      <c r="BC7" s="69" t="s">
        <v>309</v>
      </c>
      <c r="BD7" s="69"/>
      <c r="BE7" s="96" t="s">
        <v>364</v>
      </c>
      <c r="BF7" s="69"/>
      <c r="BG7" s="69" t="s">
        <v>309</v>
      </c>
      <c r="BH7" s="69" t="s">
        <v>311</v>
      </c>
      <c r="BI7" s="69" t="s">
        <v>311</v>
      </c>
      <c r="BJ7" s="69"/>
      <c r="BK7" s="69"/>
      <c r="BL7" s="69" t="s">
        <v>362</v>
      </c>
      <c r="BM7" s="69" t="s">
        <v>329</v>
      </c>
    </row>
    <row r="8" spans="1:65">
      <c r="A8" s="61" t="s">
        <v>3</v>
      </c>
      <c r="B8" s="68" t="s">
        <v>193</v>
      </c>
      <c r="C8" s="66">
        <v>10.5</v>
      </c>
      <c r="D8" s="64">
        <v>61</v>
      </c>
      <c r="E8" s="64">
        <f>IF(ISBLANK($D8),"0",IF(($D8-$D7)&gt;($C8-$C7),1,0))</f>
        <v>0</v>
      </c>
      <c r="F8" s="64">
        <f t="shared" ca="1" si="1"/>
        <v>25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/>
      <c r="M8" s="70" t="s">
        <v>350</v>
      </c>
      <c r="N8" s="70" t="s">
        <v>460</v>
      </c>
      <c r="O8" s="70" t="s">
        <v>311</v>
      </c>
      <c r="P8" s="70"/>
      <c r="Q8" s="70"/>
      <c r="R8" s="97"/>
      <c r="S8" s="97"/>
      <c r="T8" s="97" t="s">
        <v>344</v>
      </c>
      <c r="U8" s="70"/>
      <c r="V8" s="70"/>
      <c r="W8" s="70" t="s">
        <v>360</v>
      </c>
      <c r="X8" s="70"/>
      <c r="Y8" s="70"/>
      <c r="Z8" s="70"/>
      <c r="AA8" s="70" t="s">
        <v>311</v>
      </c>
      <c r="AB8" s="70"/>
      <c r="AC8" s="70" t="s">
        <v>311</v>
      </c>
      <c r="AD8" s="70"/>
      <c r="AE8" s="70"/>
      <c r="AF8" s="70" t="s">
        <v>349</v>
      </c>
      <c r="AG8" s="70" t="s">
        <v>393</v>
      </c>
      <c r="AH8" s="70"/>
      <c r="AI8" s="70" t="s">
        <v>387</v>
      </c>
      <c r="AJ8" s="70" t="s">
        <v>329</v>
      </c>
      <c r="AK8" s="70" t="s">
        <v>351</v>
      </c>
      <c r="AL8" s="70"/>
      <c r="AM8" s="70" t="s">
        <v>325</v>
      </c>
      <c r="AN8" s="70"/>
      <c r="AO8" s="70"/>
      <c r="AP8" s="70" t="s">
        <v>323</v>
      </c>
      <c r="AQ8" s="70" t="s">
        <v>311</v>
      </c>
      <c r="AR8" s="70"/>
      <c r="AS8" s="70" t="s">
        <v>312</v>
      </c>
      <c r="AT8" s="70"/>
      <c r="AU8" s="70"/>
      <c r="AV8" s="70"/>
      <c r="AW8" s="70"/>
      <c r="AX8" s="70" t="s">
        <v>448</v>
      </c>
      <c r="AY8" s="70" t="s">
        <v>478</v>
      </c>
      <c r="AZ8" s="70" t="s">
        <v>322</v>
      </c>
      <c r="BA8" s="70"/>
      <c r="BB8" s="70" t="s">
        <v>314</v>
      </c>
      <c r="BC8" s="70"/>
      <c r="BD8" s="70" t="s">
        <v>378</v>
      </c>
      <c r="BE8" s="70"/>
      <c r="BF8" s="70" t="s">
        <v>482</v>
      </c>
      <c r="BG8" s="70"/>
      <c r="BH8" s="70"/>
      <c r="BI8" s="70"/>
      <c r="BJ8" s="70" t="s">
        <v>454</v>
      </c>
      <c r="BK8" s="70" t="s">
        <v>309</v>
      </c>
      <c r="BL8" s="70"/>
      <c r="BM8" s="70"/>
    </row>
    <row r="9" spans="1:65">
      <c r="A9" s="59">
        <v>4</v>
      </c>
      <c r="B9" s="108" t="s">
        <v>199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 t="s">
        <v>311</v>
      </c>
      <c r="K9" s="69"/>
      <c r="L9" s="69"/>
      <c r="M9" s="69"/>
      <c r="N9" s="69" t="s">
        <v>419</v>
      </c>
      <c r="O9" s="69" t="s">
        <v>311</v>
      </c>
      <c r="P9" s="69" t="s">
        <v>309</v>
      </c>
      <c r="Q9" s="69"/>
      <c r="R9" s="96"/>
      <c r="S9" s="96" t="s">
        <v>311</v>
      </c>
      <c r="T9" s="96"/>
      <c r="U9" s="69" t="s">
        <v>309</v>
      </c>
      <c r="V9" s="69" t="s">
        <v>309</v>
      </c>
      <c r="W9" s="69"/>
      <c r="X9" s="69"/>
      <c r="Y9" s="69"/>
      <c r="Z9" s="69"/>
      <c r="AA9" s="69" t="s">
        <v>311</v>
      </c>
      <c r="AB9" s="69"/>
      <c r="AC9" s="69" t="s">
        <v>311</v>
      </c>
      <c r="AD9" s="69" t="s">
        <v>319</v>
      </c>
      <c r="AE9" s="69" t="s">
        <v>311</v>
      </c>
      <c r="AF9" s="69"/>
      <c r="AG9" s="69"/>
      <c r="AH9" s="69"/>
      <c r="AI9" s="69"/>
      <c r="AJ9" s="69"/>
      <c r="AK9" s="69"/>
      <c r="AL9" s="69" t="s">
        <v>327</v>
      </c>
      <c r="AM9" s="69"/>
      <c r="AN9" s="69" t="s">
        <v>335</v>
      </c>
      <c r="AO9" s="69"/>
      <c r="AP9" s="69"/>
      <c r="AQ9" s="69"/>
      <c r="AR9" s="96"/>
      <c r="AS9" s="69" t="s">
        <v>393</v>
      </c>
      <c r="AT9" s="69"/>
      <c r="AU9" s="69"/>
      <c r="AV9" s="69"/>
      <c r="AW9" s="69" t="s">
        <v>323</v>
      </c>
      <c r="AX9" s="69" t="s">
        <v>361</v>
      </c>
      <c r="AY9" s="69"/>
      <c r="AZ9" s="69"/>
      <c r="BA9" s="69"/>
      <c r="BB9" s="69"/>
      <c r="BC9" s="69"/>
      <c r="BD9" s="69"/>
      <c r="BE9" s="96" t="s">
        <v>364</v>
      </c>
      <c r="BF9" s="69"/>
      <c r="BG9" s="69" t="s">
        <v>311</v>
      </c>
      <c r="BH9" s="69"/>
      <c r="BI9" s="69"/>
      <c r="BJ9" s="69" t="s">
        <v>454</v>
      </c>
      <c r="BK9" s="69" t="s">
        <v>309</v>
      </c>
      <c r="BL9" s="69"/>
      <c r="BM9" s="69"/>
    </row>
    <row r="10" spans="1:65">
      <c r="A10" s="61" t="s">
        <v>3</v>
      </c>
      <c r="B10" s="68" t="s">
        <v>163</v>
      </c>
      <c r="C10" s="66">
        <v>12.5</v>
      </c>
      <c r="D10" s="64">
        <v>23</v>
      </c>
      <c r="E10" s="64">
        <f>IF(ISBLANK($D10),"0",IF(($D10-$D9)&gt;($C10-$C9),1,0))</f>
        <v>0</v>
      </c>
      <c r="F10" s="64">
        <f t="shared" ca="1" si="1"/>
        <v>36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 t="s">
        <v>309</v>
      </c>
      <c r="M10" s="70" t="s">
        <v>350</v>
      </c>
      <c r="N10" s="70"/>
      <c r="O10" s="70"/>
      <c r="P10" s="70"/>
      <c r="Q10" s="70" t="s">
        <v>350</v>
      </c>
      <c r="R10" s="97" t="s">
        <v>309</v>
      </c>
      <c r="S10" s="97"/>
      <c r="T10" s="97" t="s">
        <v>344</v>
      </c>
      <c r="U10" s="70"/>
      <c r="V10" s="70"/>
      <c r="W10" s="70" t="s">
        <v>464</v>
      </c>
      <c r="X10" s="70" t="s">
        <v>325</v>
      </c>
      <c r="Y10" s="70" t="s">
        <v>311</v>
      </c>
      <c r="Z10" s="70" t="s">
        <v>311</v>
      </c>
      <c r="AA10" s="70"/>
      <c r="AB10" s="70" t="s">
        <v>330</v>
      </c>
      <c r="AC10" s="70"/>
      <c r="AD10" s="70"/>
      <c r="AE10" s="70"/>
      <c r="AF10" s="70" t="s">
        <v>349</v>
      </c>
      <c r="AG10" s="70" t="s">
        <v>323</v>
      </c>
      <c r="AH10" s="70" t="s">
        <v>313</v>
      </c>
      <c r="AI10" s="70" t="s">
        <v>366</v>
      </c>
      <c r="AJ10" s="70" t="s">
        <v>329</v>
      </c>
      <c r="AK10" s="70" t="s">
        <v>313</v>
      </c>
      <c r="AL10" s="70"/>
      <c r="AM10" s="70" t="s">
        <v>472</v>
      </c>
      <c r="AN10" s="70"/>
      <c r="AO10" s="70" t="s">
        <v>311</v>
      </c>
      <c r="AP10" s="70" t="s">
        <v>325</v>
      </c>
      <c r="AQ10" s="70" t="s">
        <v>311</v>
      </c>
      <c r="AR10" s="70" t="s">
        <v>312</v>
      </c>
      <c r="AS10" s="70"/>
      <c r="AT10" s="70" t="s">
        <v>336</v>
      </c>
      <c r="AU10" s="70" t="s">
        <v>309</v>
      </c>
      <c r="AV10" s="70" t="s">
        <v>317</v>
      </c>
      <c r="AW10" s="70"/>
      <c r="AX10" s="70"/>
      <c r="AY10" s="70" t="s">
        <v>317</v>
      </c>
      <c r="AZ10" s="70" t="s">
        <v>357</v>
      </c>
      <c r="BA10" s="70" t="s">
        <v>311</v>
      </c>
      <c r="BB10" s="70" t="s">
        <v>314</v>
      </c>
      <c r="BC10" s="70" t="s">
        <v>309</v>
      </c>
      <c r="BD10" s="70" t="s">
        <v>378</v>
      </c>
      <c r="BE10" s="70"/>
      <c r="BF10" s="70" t="s">
        <v>483</v>
      </c>
      <c r="BG10" s="70"/>
      <c r="BH10" s="70" t="s">
        <v>311</v>
      </c>
      <c r="BI10" s="70" t="s">
        <v>311</v>
      </c>
      <c r="BJ10" s="70"/>
      <c r="BK10" s="70"/>
      <c r="BL10" s="70" t="s">
        <v>362</v>
      </c>
      <c r="BM10" s="70" t="s">
        <v>330</v>
      </c>
    </row>
    <row r="11" spans="1:65">
      <c r="A11" s="59">
        <v>5</v>
      </c>
      <c r="B11" s="67" t="s">
        <v>168</v>
      </c>
      <c r="C11" s="65">
        <v>3.5</v>
      </c>
      <c r="D11" s="64">
        <v>42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309</v>
      </c>
      <c r="L11" s="69" t="s">
        <v>309</v>
      </c>
      <c r="M11" s="69" t="s">
        <v>350</v>
      </c>
      <c r="N11" s="69" t="s">
        <v>313</v>
      </c>
      <c r="O11" s="69" t="s">
        <v>311</v>
      </c>
      <c r="P11" s="69"/>
      <c r="Q11" s="69" t="s">
        <v>327</v>
      </c>
      <c r="R11" s="96" t="s">
        <v>309</v>
      </c>
      <c r="S11" s="96" t="s">
        <v>311</v>
      </c>
      <c r="T11" s="96" t="s">
        <v>344</v>
      </c>
      <c r="U11" s="69"/>
      <c r="V11" s="69" t="s">
        <v>309</v>
      </c>
      <c r="W11" s="69" t="s">
        <v>320</v>
      </c>
      <c r="X11" s="69" t="s">
        <v>325</v>
      </c>
      <c r="Y11" s="69" t="s">
        <v>311</v>
      </c>
      <c r="Z11" s="69" t="s">
        <v>311</v>
      </c>
      <c r="AA11" s="69"/>
      <c r="AB11" s="69" t="s">
        <v>331</v>
      </c>
      <c r="AC11" s="69" t="s">
        <v>311</v>
      </c>
      <c r="AD11" s="69"/>
      <c r="AE11" s="69"/>
      <c r="AF11" s="69" t="s">
        <v>349</v>
      </c>
      <c r="AG11" s="69" t="s">
        <v>320</v>
      </c>
      <c r="AH11" s="69"/>
      <c r="AI11" s="69" t="s">
        <v>423</v>
      </c>
      <c r="AJ11" s="69"/>
      <c r="AK11" s="69" t="s">
        <v>320</v>
      </c>
      <c r="AL11" s="69"/>
      <c r="AM11" s="69" t="s">
        <v>312</v>
      </c>
      <c r="AN11" s="69"/>
      <c r="AO11" s="69" t="s">
        <v>311</v>
      </c>
      <c r="AP11" s="69" t="s">
        <v>327</v>
      </c>
      <c r="AQ11" s="69" t="s">
        <v>311</v>
      </c>
      <c r="AR11" s="69"/>
      <c r="AS11" s="69" t="s">
        <v>332</v>
      </c>
      <c r="AT11" s="69" t="s">
        <v>336</v>
      </c>
      <c r="AU11" s="69"/>
      <c r="AV11" s="69" t="s">
        <v>330</v>
      </c>
      <c r="AW11" s="69"/>
      <c r="AX11" s="69"/>
      <c r="AY11" s="69" t="s">
        <v>314</v>
      </c>
      <c r="AZ11" s="69" t="s">
        <v>336</v>
      </c>
      <c r="BA11" s="69" t="s">
        <v>311</v>
      </c>
      <c r="BB11" s="69" t="s">
        <v>314</v>
      </c>
      <c r="BC11" s="69" t="s">
        <v>309</v>
      </c>
      <c r="BD11" s="69" t="s">
        <v>378</v>
      </c>
      <c r="BE11" s="96" t="s">
        <v>364</v>
      </c>
      <c r="BF11" s="69"/>
      <c r="BG11" s="69"/>
      <c r="BH11" s="69"/>
      <c r="BI11" s="69"/>
      <c r="BJ11" s="69" t="s">
        <v>454</v>
      </c>
      <c r="BK11" s="69" t="s">
        <v>309</v>
      </c>
      <c r="BL11" s="69"/>
      <c r="BM11" s="69" t="s">
        <v>331</v>
      </c>
    </row>
    <row r="12" spans="1:65">
      <c r="A12" s="61" t="s">
        <v>3</v>
      </c>
      <c r="B12" s="68" t="s">
        <v>250</v>
      </c>
      <c r="C12" s="66"/>
      <c r="D12" s="64">
        <v>30</v>
      </c>
      <c r="E12" s="64">
        <f>IF(ISBLANK($D12),"0",IF(($D12-$D11)&gt;($C12-$C11),1,0))</f>
        <v>0</v>
      </c>
      <c r="F12" s="64">
        <f t="shared" ca="1" si="1"/>
        <v>18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311</v>
      </c>
      <c r="K12" s="70"/>
      <c r="L12" s="70"/>
      <c r="M12" s="70"/>
      <c r="N12" s="70"/>
      <c r="O12" s="70"/>
      <c r="P12" s="70" t="s">
        <v>309</v>
      </c>
      <c r="Q12" s="70"/>
      <c r="R12" s="97"/>
      <c r="S12" s="97"/>
      <c r="T12" s="97"/>
      <c r="U12" s="70" t="s">
        <v>309</v>
      </c>
      <c r="V12" s="70"/>
      <c r="W12" s="70"/>
      <c r="X12" s="70"/>
      <c r="Y12" s="70"/>
      <c r="Z12" s="70"/>
      <c r="AA12" s="70" t="s">
        <v>311</v>
      </c>
      <c r="AB12" s="70"/>
      <c r="AC12" s="70"/>
      <c r="AD12" s="70" t="s">
        <v>338</v>
      </c>
      <c r="AE12" s="70" t="s">
        <v>311</v>
      </c>
      <c r="AF12" s="70"/>
      <c r="AG12" s="70"/>
      <c r="AH12" s="70" t="s">
        <v>315</v>
      </c>
      <c r="AI12" s="70"/>
      <c r="AJ12" s="70" t="s">
        <v>329</v>
      </c>
      <c r="AK12" s="70"/>
      <c r="AL12" s="70" t="s">
        <v>327</v>
      </c>
      <c r="AM12" s="70"/>
      <c r="AN12" s="70" t="s">
        <v>335</v>
      </c>
      <c r="AO12" s="70"/>
      <c r="AP12" s="70"/>
      <c r="AQ12" s="70"/>
      <c r="AR12" s="97" t="s">
        <v>330</v>
      </c>
      <c r="AS12" s="70"/>
      <c r="AT12" s="70"/>
      <c r="AU12" s="70" t="s">
        <v>309</v>
      </c>
      <c r="AV12" s="70"/>
      <c r="AW12" s="70" t="s">
        <v>367</v>
      </c>
      <c r="AX12" s="70" t="s">
        <v>349</v>
      </c>
      <c r="AY12" s="70"/>
      <c r="AZ12" s="70"/>
      <c r="BA12" s="70"/>
      <c r="BB12" s="70"/>
      <c r="BC12" s="70"/>
      <c r="BD12" s="70"/>
      <c r="BE12" s="70"/>
      <c r="BF12" s="70" t="s">
        <v>309</v>
      </c>
      <c r="BG12" s="70" t="s">
        <v>311</v>
      </c>
      <c r="BH12" s="70" t="s">
        <v>311</v>
      </c>
      <c r="BI12" s="70" t="s">
        <v>311</v>
      </c>
      <c r="BJ12" s="70"/>
      <c r="BK12" s="70"/>
      <c r="BL12" s="70" t="s">
        <v>362</v>
      </c>
      <c r="BM12" s="70"/>
    </row>
    <row r="13" spans="1:65">
      <c r="A13" s="59">
        <v>6</v>
      </c>
      <c r="B13" s="67" t="s">
        <v>152</v>
      </c>
      <c r="C13" s="65"/>
      <c r="D13" s="64">
        <v>31</v>
      </c>
      <c r="E13" s="64">
        <f>IF(ISBLANK($D13),"0",IF(($D14-$D13)&lt;($C14-$C13),1,0))</f>
        <v>1</v>
      </c>
      <c r="F13" s="64">
        <f t="shared" ca="1" si="1"/>
        <v>27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309</v>
      </c>
      <c r="L13" s="69"/>
      <c r="M13" s="69" t="s">
        <v>350</v>
      </c>
      <c r="N13" s="69"/>
      <c r="O13" s="69" t="s">
        <v>311</v>
      </c>
      <c r="P13" s="69" t="s">
        <v>309</v>
      </c>
      <c r="Q13" s="69" t="s">
        <v>374</v>
      </c>
      <c r="R13" s="96" t="s">
        <v>309</v>
      </c>
      <c r="S13" s="96" t="s">
        <v>311</v>
      </c>
      <c r="T13" s="96" t="s">
        <v>344</v>
      </c>
      <c r="U13" s="69"/>
      <c r="V13" s="69" t="s">
        <v>309</v>
      </c>
      <c r="W13" s="69" t="s">
        <v>465</v>
      </c>
      <c r="X13" s="69"/>
      <c r="Y13" s="69"/>
      <c r="Z13" s="69" t="s">
        <v>311</v>
      </c>
      <c r="AA13" s="69"/>
      <c r="AB13" s="69"/>
      <c r="AC13" s="69" t="s">
        <v>311</v>
      </c>
      <c r="AD13" s="69"/>
      <c r="AE13" s="69"/>
      <c r="AF13" s="69"/>
      <c r="AG13" s="69" t="s">
        <v>320</v>
      </c>
      <c r="AH13" s="69"/>
      <c r="AI13" s="69"/>
      <c r="AJ13" s="69" t="s">
        <v>329</v>
      </c>
      <c r="AK13" s="69"/>
      <c r="AL13" s="69"/>
      <c r="AM13" s="69"/>
      <c r="AN13" s="69" t="s">
        <v>335</v>
      </c>
      <c r="AO13" s="69"/>
      <c r="AP13" s="69"/>
      <c r="AQ13" s="69" t="s">
        <v>311</v>
      </c>
      <c r="AR13" s="96" t="s">
        <v>327</v>
      </c>
      <c r="AS13" s="69" t="s">
        <v>350</v>
      </c>
      <c r="AT13" s="69" t="s">
        <v>336</v>
      </c>
      <c r="AU13" s="69"/>
      <c r="AV13" s="69"/>
      <c r="AW13" s="69"/>
      <c r="AX13" s="69" t="s">
        <v>314</v>
      </c>
      <c r="AY13" s="69" t="s">
        <v>337</v>
      </c>
      <c r="AZ13" s="69" t="s">
        <v>312</v>
      </c>
      <c r="BA13" s="69"/>
      <c r="BB13" s="69" t="s">
        <v>314</v>
      </c>
      <c r="BC13" s="69"/>
      <c r="BD13" s="69"/>
      <c r="BE13" s="96"/>
      <c r="BF13" s="69" t="s">
        <v>309</v>
      </c>
      <c r="BG13" s="69"/>
      <c r="BH13" s="69"/>
      <c r="BI13" s="69"/>
      <c r="BJ13" s="69" t="s">
        <v>454</v>
      </c>
      <c r="BK13" s="69"/>
      <c r="BL13" s="69" t="s">
        <v>362</v>
      </c>
      <c r="BM13" s="69" t="s">
        <v>332</v>
      </c>
    </row>
    <row r="14" spans="1:65">
      <c r="A14" s="61" t="s">
        <v>3</v>
      </c>
      <c r="B14" s="68" t="s">
        <v>161</v>
      </c>
      <c r="C14" s="66">
        <v>1.5</v>
      </c>
      <c r="D14" s="64">
        <v>7</v>
      </c>
      <c r="E14" s="64">
        <f>IF(ISBLANK($D14),"0",IF(($D14-$D13)&gt;($C14-$C13),1,0))</f>
        <v>0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311</v>
      </c>
      <c r="K14" s="70"/>
      <c r="L14" s="70" t="s">
        <v>309</v>
      </c>
      <c r="M14" s="70"/>
      <c r="N14" s="70" t="s">
        <v>325</v>
      </c>
      <c r="O14" s="70"/>
      <c r="P14" s="70"/>
      <c r="Q14" s="70"/>
      <c r="R14" s="97"/>
      <c r="S14" s="97"/>
      <c r="T14" s="97"/>
      <c r="U14" s="70" t="s">
        <v>309</v>
      </c>
      <c r="V14" s="70"/>
      <c r="W14" s="70"/>
      <c r="X14" s="70" t="s">
        <v>390</v>
      </c>
      <c r="Y14" s="70" t="s">
        <v>311</v>
      </c>
      <c r="Z14" s="70"/>
      <c r="AA14" s="70" t="s">
        <v>311</v>
      </c>
      <c r="AB14" s="70" t="s">
        <v>332</v>
      </c>
      <c r="AC14" s="70"/>
      <c r="AD14" s="70" t="s">
        <v>323</v>
      </c>
      <c r="AE14" s="70" t="s">
        <v>311</v>
      </c>
      <c r="AF14" s="70" t="s">
        <v>349</v>
      </c>
      <c r="AG14" s="70"/>
      <c r="AH14" s="70" t="s">
        <v>347</v>
      </c>
      <c r="AI14" s="70" t="s">
        <v>441</v>
      </c>
      <c r="AJ14" s="70"/>
      <c r="AK14" s="70" t="s">
        <v>374</v>
      </c>
      <c r="AL14" s="70" t="s">
        <v>327</v>
      </c>
      <c r="AM14" s="70" t="s">
        <v>325</v>
      </c>
      <c r="AN14" s="70"/>
      <c r="AO14" s="70" t="s">
        <v>311</v>
      </c>
      <c r="AP14" s="70" t="s">
        <v>331</v>
      </c>
      <c r="AQ14" s="70"/>
      <c r="AR14" s="70"/>
      <c r="AS14" s="70"/>
      <c r="AT14" s="70"/>
      <c r="AU14" s="70" t="s">
        <v>309</v>
      </c>
      <c r="AV14" s="70" t="s">
        <v>374</v>
      </c>
      <c r="AW14" s="70" t="s">
        <v>346</v>
      </c>
      <c r="AX14" s="70"/>
      <c r="AY14" s="70"/>
      <c r="AZ14" s="70"/>
      <c r="BA14" s="70" t="s">
        <v>311</v>
      </c>
      <c r="BB14" s="70"/>
      <c r="BC14" s="70" t="s">
        <v>309</v>
      </c>
      <c r="BD14" s="70" t="s">
        <v>378</v>
      </c>
      <c r="BE14" s="70" t="s">
        <v>364</v>
      </c>
      <c r="BF14" s="70"/>
      <c r="BG14" s="70" t="s">
        <v>309</v>
      </c>
      <c r="BH14" s="70" t="s">
        <v>311</v>
      </c>
      <c r="BI14" s="70" t="s">
        <v>311</v>
      </c>
      <c r="BJ14" s="70"/>
      <c r="BK14" s="70" t="s">
        <v>309</v>
      </c>
      <c r="BL14" s="70"/>
      <c r="BM14" s="70"/>
    </row>
    <row r="15" spans="1:65">
      <c r="A15" s="59">
        <v>7</v>
      </c>
      <c r="B15" s="67" t="s">
        <v>166</v>
      </c>
      <c r="C15" s="65">
        <v>9.5</v>
      </c>
      <c r="D15" s="64">
        <v>14</v>
      </c>
      <c r="E15" s="64">
        <f>IF(ISBLANK($D15),"0",IF(($D16-$D15)&lt;($C16-$C15),1,0))</f>
        <v>0</v>
      </c>
      <c r="F15" s="64">
        <f t="shared" ca="1" si="1"/>
        <v>42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 t="s">
        <v>309</v>
      </c>
      <c r="M15" s="69" t="s">
        <v>350</v>
      </c>
      <c r="N15" s="69" t="s">
        <v>323</v>
      </c>
      <c r="O15" s="69" t="s">
        <v>311</v>
      </c>
      <c r="P15" s="69"/>
      <c r="Q15" s="69" t="s">
        <v>330</v>
      </c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/>
      <c r="X15" s="69" t="s">
        <v>317</v>
      </c>
      <c r="Y15" s="69" t="s">
        <v>311</v>
      </c>
      <c r="Z15" s="69"/>
      <c r="AA15" s="69"/>
      <c r="AB15" s="69" t="s">
        <v>350</v>
      </c>
      <c r="AC15" s="69" t="s">
        <v>311</v>
      </c>
      <c r="AD15" s="69"/>
      <c r="AE15" s="69" t="s">
        <v>311</v>
      </c>
      <c r="AF15" s="69" t="s">
        <v>349</v>
      </c>
      <c r="AG15" s="69" t="s">
        <v>312</v>
      </c>
      <c r="AH15" s="69" t="s">
        <v>323</v>
      </c>
      <c r="AI15" s="69" t="s">
        <v>446</v>
      </c>
      <c r="AJ15" s="69"/>
      <c r="AK15" s="69" t="s">
        <v>372</v>
      </c>
      <c r="AL15" s="69" t="s">
        <v>327</v>
      </c>
      <c r="AM15" s="69" t="s">
        <v>323</v>
      </c>
      <c r="AN15" s="69" t="s">
        <v>335</v>
      </c>
      <c r="AO15" s="69" t="s">
        <v>311</v>
      </c>
      <c r="AP15" s="69" t="s">
        <v>331</v>
      </c>
      <c r="AQ15" s="69"/>
      <c r="AR15" s="69" t="s">
        <v>336</v>
      </c>
      <c r="AS15" s="69"/>
      <c r="AT15" s="69" t="s">
        <v>336</v>
      </c>
      <c r="AU15" s="69" t="s">
        <v>309</v>
      </c>
      <c r="AV15" s="69" t="s">
        <v>327</v>
      </c>
      <c r="AW15" s="69" t="s">
        <v>337</v>
      </c>
      <c r="AX15" s="69" t="s">
        <v>362</v>
      </c>
      <c r="AY15" s="69" t="s">
        <v>340</v>
      </c>
      <c r="AZ15" s="69" t="s">
        <v>330</v>
      </c>
      <c r="BA15" s="69" t="s">
        <v>311</v>
      </c>
      <c r="BB15" s="69" t="s">
        <v>314</v>
      </c>
      <c r="BC15" s="69" t="s">
        <v>309</v>
      </c>
      <c r="BD15" s="69" t="s">
        <v>378</v>
      </c>
      <c r="BE15" s="96" t="s">
        <v>364</v>
      </c>
      <c r="BF15" s="69" t="s">
        <v>309</v>
      </c>
      <c r="BG15" s="69"/>
      <c r="BH15" s="69"/>
      <c r="BI15" s="69" t="s">
        <v>311</v>
      </c>
      <c r="BJ15" s="69" t="s">
        <v>454</v>
      </c>
      <c r="BK15" s="69" t="s">
        <v>309</v>
      </c>
      <c r="BL15" s="69"/>
      <c r="BM15" s="69"/>
    </row>
    <row r="16" spans="1:65">
      <c r="A16" s="61" t="s">
        <v>3</v>
      </c>
      <c r="B16" s="68" t="s">
        <v>254</v>
      </c>
      <c r="C16" s="66"/>
      <c r="D16" s="64">
        <v>13</v>
      </c>
      <c r="E16" s="64">
        <f>IF(ISBLANK($D16),"0",IF(($D16-$D15)&gt;($C16-$C15),1,0))</f>
        <v>1</v>
      </c>
      <c r="F16" s="64">
        <f t="shared" ca="1" si="1"/>
        <v>13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311</v>
      </c>
      <c r="K16" s="70"/>
      <c r="L16" s="70"/>
      <c r="M16" s="70"/>
      <c r="N16" s="70"/>
      <c r="O16" s="70"/>
      <c r="P16" s="70" t="s">
        <v>309</v>
      </c>
      <c r="Q16" s="70"/>
      <c r="R16" s="70" t="s">
        <v>309</v>
      </c>
      <c r="S16" s="70"/>
      <c r="T16" s="70"/>
      <c r="U16" s="70"/>
      <c r="V16" s="70"/>
      <c r="W16" s="70" t="s">
        <v>312</v>
      </c>
      <c r="X16" s="70"/>
      <c r="Y16" s="70"/>
      <c r="Z16" s="70" t="s">
        <v>311</v>
      </c>
      <c r="AA16" s="70" t="s">
        <v>311</v>
      </c>
      <c r="AB16" s="70"/>
      <c r="AC16" s="70"/>
      <c r="AD16" s="70" t="s">
        <v>347</v>
      </c>
      <c r="AE16" s="70"/>
      <c r="AF16" s="70"/>
      <c r="AG16" s="70"/>
      <c r="AH16" s="70"/>
      <c r="AI16" s="70"/>
      <c r="AJ16" s="70" t="s">
        <v>329</v>
      </c>
      <c r="AK16" s="70"/>
      <c r="AL16" s="70"/>
      <c r="AM16" s="70"/>
      <c r="AN16" s="70"/>
      <c r="AO16" s="70"/>
      <c r="AP16" s="70"/>
      <c r="AQ16" s="70" t="s">
        <v>311</v>
      </c>
      <c r="AR16" s="97"/>
      <c r="AS16" s="70" t="s">
        <v>327</v>
      </c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 t="s">
        <v>311</v>
      </c>
      <c r="BH16" s="70" t="s">
        <v>311</v>
      </c>
      <c r="BI16" s="70"/>
      <c r="BJ16" s="70"/>
      <c r="BK16" s="70"/>
      <c r="BL16" s="70" t="s">
        <v>362</v>
      </c>
      <c r="BM16" s="70" t="s">
        <v>331</v>
      </c>
    </row>
    <row r="17" spans="1:65">
      <c r="A17" s="59">
        <v>8</v>
      </c>
      <c r="B17" s="67" t="s">
        <v>255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20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 t="s">
        <v>311</v>
      </c>
      <c r="K17" s="69"/>
      <c r="L17" s="69"/>
      <c r="M17" s="69"/>
      <c r="N17" s="69"/>
      <c r="O17" s="69" t="s">
        <v>311</v>
      </c>
      <c r="P17" s="69" t="s">
        <v>309</v>
      </c>
      <c r="Q17" s="69" t="s">
        <v>327</v>
      </c>
      <c r="R17" s="69" t="s">
        <v>309</v>
      </c>
      <c r="S17" s="69"/>
      <c r="T17" s="69" t="s">
        <v>344</v>
      </c>
      <c r="U17" s="69" t="s">
        <v>309</v>
      </c>
      <c r="V17" s="69"/>
      <c r="W17" s="69"/>
      <c r="X17" s="69"/>
      <c r="Y17" s="69" t="s">
        <v>311</v>
      </c>
      <c r="Z17" s="69"/>
      <c r="AA17" s="69"/>
      <c r="AB17" s="69" t="s">
        <v>312</v>
      </c>
      <c r="AC17" s="69"/>
      <c r="AD17" s="69"/>
      <c r="AE17" s="69"/>
      <c r="AF17" s="69"/>
      <c r="AG17" s="69"/>
      <c r="AH17" s="69" t="s">
        <v>367</v>
      </c>
      <c r="AI17" s="69"/>
      <c r="AJ17" s="69" t="s">
        <v>329</v>
      </c>
      <c r="AK17" s="69"/>
      <c r="AL17" s="69" t="s">
        <v>327</v>
      </c>
      <c r="AM17" s="69"/>
      <c r="AN17" s="69" t="s">
        <v>335</v>
      </c>
      <c r="AO17" s="69" t="s">
        <v>311</v>
      </c>
      <c r="AP17" s="69"/>
      <c r="AQ17" s="69"/>
      <c r="AR17" s="96"/>
      <c r="AS17" s="69"/>
      <c r="AT17" s="69"/>
      <c r="AU17" s="69"/>
      <c r="AV17" s="69" t="s">
        <v>336</v>
      </c>
      <c r="AW17" s="69" t="s">
        <v>340</v>
      </c>
      <c r="AX17" s="69"/>
      <c r="AY17" s="69" t="s">
        <v>373</v>
      </c>
      <c r="AZ17" s="69"/>
      <c r="BA17" s="69"/>
      <c r="BB17" s="69"/>
      <c r="BC17" s="69" t="s">
        <v>309</v>
      </c>
      <c r="BD17" s="69"/>
      <c r="BE17" s="69"/>
      <c r="BF17" s="69" t="s">
        <v>309</v>
      </c>
      <c r="BG17" s="69"/>
      <c r="BH17" s="69" t="s">
        <v>311</v>
      </c>
      <c r="BI17" s="69"/>
      <c r="BJ17" s="69"/>
      <c r="BK17" s="69"/>
      <c r="BL17" s="69"/>
      <c r="BM17" s="69" t="s">
        <v>333</v>
      </c>
    </row>
    <row r="18" spans="1:65">
      <c r="A18" s="61" t="s">
        <v>3</v>
      </c>
      <c r="B18" s="68" t="s">
        <v>195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35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309</v>
      </c>
      <c r="L18" s="70" t="s">
        <v>309</v>
      </c>
      <c r="M18" s="70" t="s">
        <v>350</v>
      </c>
      <c r="N18" s="70" t="s">
        <v>461</v>
      </c>
      <c r="O18" s="70"/>
      <c r="P18" s="70"/>
      <c r="Q18" s="70"/>
      <c r="R18" s="70"/>
      <c r="S18" s="70" t="s">
        <v>311</v>
      </c>
      <c r="T18" s="70"/>
      <c r="U18" s="70"/>
      <c r="V18" s="70" t="s">
        <v>309</v>
      </c>
      <c r="W18" s="70" t="s">
        <v>466</v>
      </c>
      <c r="X18" s="70" t="s">
        <v>337</v>
      </c>
      <c r="Y18" s="70"/>
      <c r="Z18" s="70" t="s">
        <v>311</v>
      </c>
      <c r="AA18" s="70" t="s">
        <v>311</v>
      </c>
      <c r="AB18" s="70"/>
      <c r="AC18" s="70" t="s">
        <v>311</v>
      </c>
      <c r="AD18" s="70" t="s">
        <v>313</v>
      </c>
      <c r="AE18" s="70" t="s">
        <v>311</v>
      </c>
      <c r="AF18" s="70" t="s">
        <v>349</v>
      </c>
      <c r="AG18" s="70" t="s">
        <v>390</v>
      </c>
      <c r="AH18" s="70"/>
      <c r="AI18" s="70" t="s">
        <v>469</v>
      </c>
      <c r="AJ18" s="70"/>
      <c r="AK18" s="70" t="s">
        <v>318</v>
      </c>
      <c r="AL18" s="70"/>
      <c r="AM18" s="70" t="s">
        <v>362</v>
      </c>
      <c r="AN18" s="70"/>
      <c r="AO18" s="70"/>
      <c r="AP18" s="70" t="s">
        <v>317</v>
      </c>
      <c r="AQ18" s="70" t="s">
        <v>311</v>
      </c>
      <c r="AR18" s="70" t="s">
        <v>312</v>
      </c>
      <c r="AS18" s="70" t="s">
        <v>336</v>
      </c>
      <c r="AT18" s="70" t="s">
        <v>336</v>
      </c>
      <c r="AU18" s="70" t="s">
        <v>309</v>
      </c>
      <c r="AV18" s="70"/>
      <c r="AW18" s="70"/>
      <c r="AX18" s="70" t="s">
        <v>363</v>
      </c>
      <c r="AY18" s="70"/>
      <c r="AZ18" s="70" t="s">
        <v>380</v>
      </c>
      <c r="BA18" s="70" t="s">
        <v>311</v>
      </c>
      <c r="BB18" s="70" t="s">
        <v>314</v>
      </c>
      <c r="BC18" s="70"/>
      <c r="BD18" s="70" t="s">
        <v>378</v>
      </c>
      <c r="BE18" s="97" t="s">
        <v>364</v>
      </c>
      <c r="BF18" s="70"/>
      <c r="BG18" s="70" t="s">
        <v>311</v>
      </c>
      <c r="BH18" s="70"/>
      <c r="BI18" s="70" t="s">
        <v>311</v>
      </c>
      <c r="BJ18" s="70" t="s">
        <v>454</v>
      </c>
      <c r="BK18" s="70" t="s">
        <v>309</v>
      </c>
      <c r="BL18" s="70" t="s">
        <v>362</v>
      </c>
      <c r="BM18" s="70"/>
    </row>
    <row r="19" spans="1:65">
      <c r="A19" s="59">
        <v>9</v>
      </c>
      <c r="B19" s="67" t="s">
        <v>248</v>
      </c>
      <c r="C19" s="65">
        <v>3.5</v>
      </c>
      <c r="D19" s="64">
        <v>28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309</v>
      </c>
      <c r="L19" s="69"/>
      <c r="M19" s="69" t="s">
        <v>350</v>
      </c>
      <c r="N19" s="69"/>
      <c r="O19" s="69"/>
      <c r="P19" s="69"/>
      <c r="Q19" s="69" t="s">
        <v>463</v>
      </c>
      <c r="R19" s="69"/>
      <c r="S19" s="69" t="s">
        <v>311</v>
      </c>
      <c r="T19" s="69"/>
      <c r="U19" s="69"/>
      <c r="V19" s="69"/>
      <c r="W19" s="69"/>
      <c r="X19" s="69" t="s">
        <v>362</v>
      </c>
      <c r="Y19" s="69" t="s">
        <v>311</v>
      </c>
      <c r="Z19" s="69"/>
      <c r="AA19" s="69"/>
      <c r="AB19" s="69"/>
      <c r="AC19" s="69"/>
      <c r="AD19" s="69" t="s">
        <v>446</v>
      </c>
      <c r="AE19" s="69" t="s">
        <v>311</v>
      </c>
      <c r="AF19" s="69"/>
      <c r="AG19" s="69" t="s">
        <v>313</v>
      </c>
      <c r="AH19" s="69"/>
      <c r="AI19" s="69"/>
      <c r="AJ19" s="69" t="s">
        <v>329</v>
      </c>
      <c r="AK19" s="69" t="s">
        <v>313</v>
      </c>
      <c r="AL19" s="69"/>
      <c r="AM19" s="69"/>
      <c r="AN19" s="69"/>
      <c r="AO19" s="69" t="s">
        <v>311</v>
      </c>
      <c r="AP19" s="69" t="s">
        <v>332</v>
      </c>
      <c r="AQ19" s="69" t="s">
        <v>311</v>
      </c>
      <c r="AR19" s="69"/>
      <c r="AS19" s="69" t="s">
        <v>334</v>
      </c>
      <c r="AT19" s="69" t="s">
        <v>336</v>
      </c>
      <c r="AU19" s="69"/>
      <c r="AV19" s="69" t="s">
        <v>330</v>
      </c>
      <c r="AW19" s="69" t="s">
        <v>360</v>
      </c>
      <c r="AX19" s="69"/>
      <c r="AY19" s="69" t="s">
        <v>318</v>
      </c>
      <c r="AZ19" s="69" t="s">
        <v>321</v>
      </c>
      <c r="BA19" s="69" t="s">
        <v>311</v>
      </c>
      <c r="BB19" s="69" t="s">
        <v>314</v>
      </c>
      <c r="BC19" s="69" t="s">
        <v>309</v>
      </c>
      <c r="BD19" s="69" t="s">
        <v>378</v>
      </c>
      <c r="BE19" s="69" t="s">
        <v>364</v>
      </c>
      <c r="BF19" s="69" t="s">
        <v>309</v>
      </c>
      <c r="BG19" s="69"/>
      <c r="BH19" s="69"/>
      <c r="BI19" s="69"/>
      <c r="BJ19" s="69"/>
      <c r="BK19" s="69" t="s">
        <v>309</v>
      </c>
      <c r="BL19" s="69"/>
      <c r="BM19" s="69"/>
    </row>
    <row r="20" spans="1:65">
      <c r="A20" s="61" t="s">
        <v>3</v>
      </c>
      <c r="B20" s="68" t="s">
        <v>246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 t="s">
        <v>311</v>
      </c>
      <c r="K20" s="70"/>
      <c r="L20" s="70" t="s">
        <v>309</v>
      </c>
      <c r="M20" s="70"/>
      <c r="N20" s="70" t="s">
        <v>411</v>
      </c>
      <c r="O20" s="70" t="s">
        <v>311</v>
      </c>
      <c r="P20" s="70" t="s">
        <v>309</v>
      </c>
      <c r="Q20" s="70"/>
      <c r="R20" s="70" t="s">
        <v>309</v>
      </c>
      <c r="S20" s="70"/>
      <c r="T20" s="70" t="s">
        <v>344</v>
      </c>
      <c r="U20" s="70" t="s">
        <v>309</v>
      </c>
      <c r="V20" s="70" t="s">
        <v>309</v>
      </c>
      <c r="W20" s="70" t="s">
        <v>347</v>
      </c>
      <c r="X20" s="70"/>
      <c r="Y20" s="70"/>
      <c r="Z20" s="70" t="s">
        <v>311</v>
      </c>
      <c r="AA20" s="70" t="s">
        <v>311</v>
      </c>
      <c r="AB20" s="70" t="s">
        <v>330</v>
      </c>
      <c r="AC20" s="70" t="s">
        <v>311</v>
      </c>
      <c r="AD20" s="70"/>
      <c r="AE20" s="70"/>
      <c r="AF20" s="70" t="s">
        <v>349</v>
      </c>
      <c r="AG20" s="70"/>
      <c r="AH20" s="70" t="s">
        <v>340</v>
      </c>
      <c r="AI20" s="70" t="s">
        <v>470</v>
      </c>
      <c r="AJ20" s="70"/>
      <c r="AK20" s="70"/>
      <c r="AL20" s="70" t="s">
        <v>327</v>
      </c>
      <c r="AM20" s="70" t="s">
        <v>363</v>
      </c>
      <c r="AN20" s="70" t="s">
        <v>335</v>
      </c>
      <c r="AO20" s="70"/>
      <c r="AP20" s="70"/>
      <c r="AQ20" s="70"/>
      <c r="AR20" s="97" t="s">
        <v>341</v>
      </c>
      <c r="AS20" s="70"/>
      <c r="AT20" s="70"/>
      <c r="AU20" s="70" t="s">
        <v>309</v>
      </c>
      <c r="AV20" s="70"/>
      <c r="AW20" s="70"/>
      <c r="AX20" s="70" t="s">
        <v>313</v>
      </c>
      <c r="AY20" s="70"/>
      <c r="AZ20" s="70"/>
      <c r="BA20" s="70"/>
      <c r="BB20" s="70"/>
      <c r="BC20" s="70"/>
      <c r="BD20" s="70"/>
      <c r="BE20" s="97"/>
      <c r="BF20" s="70"/>
      <c r="BG20" s="70" t="s">
        <v>311</v>
      </c>
      <c r="BH20" s="70" t="s">
        <v>311</v>
      </c>
      <c r="BI20" s="70" t="s">
        <v>311</v>
      </c>
      <c r="BJ20" s="70" t="s">
        <v>454</v>
      </c>
      <c r="BK20" s="70"/>
      <c r="BL20" s="70" t="s">
        <v>362</v>
      </c>
      <c r="BM20" s="70" t="s">
        <v>334</v>
      </c>
    </row>
    <row r="21" spans="1:65">
      <c r="A21" s="59">
        <v>10</v>
      </c>
      <c r="B21" s="67" t="s">
        <v>159</v>
      </c>
      <c r="C21" s="65">
        <v>2.5</v>
      </c>
      <c r="D21" s="64">
        <v>23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311</v>
      </c>
      <c r="K21" s="69"/>
      <c r="L21" s="69" t="s">
        <v>309</v>
      </c>
      <c r="M21" s="69"/>
      <c r="N21" s="69" t="s">
        <v>462</v>
      </c>
      <c r="O21" s="69" t="s">
        <v>311</v>
      </c>
      <c r="P21" s="69"/>
      <c r="Q21" s="69"/>
      <c r="R21" s="69"/>
      <c r="S21" s="69" t="s">
        <v>311</v>
      </c>
      <c r="T21" s="69"/>
      <c r="U21" s="69" t="s">
        <v>309</v>
      </c>
      <c r="V21" s="69"/>
      <c r="W21" s="69"/>
      <c r="X21" s="69" t="s">
        <v>467</v>
      </c>
      <c r="Y21" s="69" t="s">
        <v>311</v>
      </c>
      <c r="Z21" s="69" t="s">
        <v>311</v>
      </c>
      <c r="AA21" s="69"/>
      <c r="AB21" s="69"/>
      <c r="AC21" s="69" t="s">
        <v>311</v>
      </c>
      <c r="AD21" s="69" t="s">
        <v>321</v>
      </c>
      <c r="AE21" s="69" t="s">
        <v>311</v>
      </c>
      <c r="AF21" s="69" t="s">
        <v>349</v>
      </c>
      <c r="AG21" s="69"/>
      <c r="AH21" s="69" t="s">
        <v>321</v>
      </c>
      <c r="AI21" s="69" t="s">
        <v>471</v>
      </c>
      <c r="AJ21" s="69" t="s">
        <v>329</v>
      </c>
      <c r="AK21" s="69" t="s">
        <v>335</v>
      </c>
      <c r="AL21" s="69"/>
      <c r="AM21" s="69" t="s">
        <v>320</v>
      </c>
      <c r="AN21" s="69"/>
      <c r="AO21" s="69"/>
      <c r="AP21" s="69" t="s">
        <v>341</v>
      </c>
      <c r="AQ21" s="69"/>
      <c r="AR21" s="96" t="s">
        <v>330</v>
      </c>
      <c r="AS21" s="69"/>
      <c r="AT21" s="69"/>
      <c r="AU21" s="69"/>
      <c r="AV21" s="69" t="s">
        <v>311</v>
      </c>
      <c r="AW21" s="69"/>
      <c r="AX21" s="69"/>
      <c r="AY21" s="69" t="s">
        <v>479</v>
      </c>
      <c r="AZ21" s="69"/>
      <c r="BA21" s="69"/>
      <c r="BB21" s="69" t="s">
        <v>314</v>
      </c>
      <c r="BC21" s="69"/>
      <c r="BD21" s="69" t="s">
        <v>378</v>
      </c>
      <c r="BE21" s="96"/>
      <c r="BF21" s="69"/>
      <c r="BG21" s="69" t="s">
        <v>311</v>
      </c>
      <c r="BH21" s="69"/>
      <c r="BI21" s="69" t="s">
        <v>311</v>
      </c>
      <c r="BJ21" s="69" t="s">
        <v>454</v>
      </c>
      <c r="BK21" s="69"/>
      <c r="BL21" s="69" t="s">
        <v>311</v>
      </c>
      <c r="BM21" s="69"/>
    </row>
    <row r="22" spans="1:65">
      <c r="A22" s="61" t="s">
        <v>3</v>
      </c>
      <c r="B22" s="68" t="s">
        <v>145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309</v>
      </c>
      <c r="L22" s="70"/>
      <c r="M22" s="70" t="s">
        <v>350</v>
      </c>
      <c r="N22" s="70"/>
      <c r="O22" s="70"/>
      <c r="P22" s="70" t="s">
        <v>309</v>
      </c>
      <c r="Q22" s="70" t="s">
        <v>330</v>
      </c>
      <c r="R22" s="70" t="s">
        <v>309</v>
      </c>
      <c r="S22" s="70"/>
      <c r="T22" s="70" t="s">
        <v>344</v>
      </c>
      <c r="U22" s="70"/>
      <c r="V22" s="70" t="s">
        <v>309</v>
      </c>
      <c r="W22" s="70" t="s">
        <v>320</v>
      </c>
      <c r="X22" s="70"/>
      <c r="Y22" s="70"/>
      <c r="Z22" s="70"/>
      <c r="AA22" s="70" t="s">
        <v>311</v>
      </c>
      <c r="AB22" s="70" t="s">
        <v>468</v>
      </c>
      <c r="AC22" s="70"/>
      <c r="AD22" s="70"/>
      <c r="AE22" s="70"/>
      <c r="AF22" s="70"/>
      <c r="AG22" s="70" t="s">
        <v>321</v>
      </c>
      <c r="AH22" s="70"/>
      <c r="AI22" s="70"/>
      <c r="AJ22" s="70"/>
      <c r="AK22" s="70"/>
      <c r="AL22" s="70" t="s">
        <v>327</v>
      </c>
      <c r="AM22" s="70"/>
      <c r="AN22" s="70" t="s">
        <v>335</v>
      </c>
      <c r="AO22" s="70" t="s">
        <v>311</v>
      </c>
      <c r="AP22" s="70"/>
      <c r="AQ22" s="70" t="s">
        <v>311</v>
      </c>
      <c r="AR22" s="70"/>
      <c r="AS22" s="70" t="s">
        <v>329</v>
      </c>
      <c r="AT22" s="70" t="s">
        <v>336</v>
      </c>
      <c r="AU22" s="70" t="s">
        <v>309</v>
      </c>
      <c r="AV22" s="70"/>
      <c r="AW22" s="70" t="s">
        <v>473</v>
      </c>
      <c r="AX22" s="70" t="s">
        <v>475</v>
      </c>
      <c r="AY22" s="70"/>
      <c r="AZ22" s="70" t="s">
        <v>331</v>
      </c>
      <c r="BA22" s="70" t="s">
        <v>311</v>
      </c>
      <c r="BB22" s="70"/>
      <c r="BC22" s="70" t="s">
        <v>309</v>
      </c>
      <c r="BD22" s="70"/>
      <c r="BE22" s="70" t="s">
        <v>364</v>
      </c>
      <c r="BF22" s="70" t="s">
        <v>309</v>
      </c>
      <c r="BG22" s="70"/>
      <c r="BH22" s="70" t="s">
        <v>311</v>
      </c>
      <c r="BI22" s="70"/>
      <c r="BJ22" s="70"/>
      <c r="BK22" s="70" t="s">
        <v>309</v>
      </c>
      <c r="BL22" s="70"/>
      <c r="BM22" s="70" t="s">
        <v>321</v>
      </c>
    </row>
    <row r="23" spans="1:65">
      <c r="A23" s="59"/>
      <c r="B23" s="67" t="str">
        <f>B21&amp; " - score"</f>
        <v>Auburn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35</v>
      </c>
      <c r="K23" s="78">
        <v>24</v>
      </c>
      <c r="L23" s="78">
        <v>28</v>
      </c>
      <c r="M23" s="78">
        <v>31</v>
      </c>
      <c r="N23" s="80">
        <v>34</v>
      </c>
      <c r="O23" s="78">
        <v>34</v>
      </c>
      <c r="P23" s="78">
        <v>21</v>
      </c>
      <c r="Q23" s="78">
        <v>21</v>
      </c>
      <c r="R23" s="78">
        <v>34</v>
      </c>
      <c r="S23" s="78">
        <v>30</v>
      </c>
      <c r="T23" s="78">
        <v>21</v>
      </c>
      <c r="U23" s="78">
        <v>27</v>
      </c>
      <c r="V23" s="78">
        <v>21</v>
      </c>
      <c r="W23" s="78">
        <v>38</v>
      </c>
      <c r="X23" s="78">
        <v>24</v>
      </c>
      <c r="Y23" s="78">
        <v>42</v>
      </c>
      <c r="Z23" s="78">
        <v>45</v>
      </c>
      <c r="AA23" s="78">
        <v>21</v>
      </c>
      <c r="AB23" s="78">
        <v>28</v>
      </c>
      <c r="AC23" s="78">
        <v>42</v>
      </c>
      <c r="AD23" s="78">
        <v>14</v>
      </c>
      <c r="AE23" s="78">
        <v>38</v>
      </c>
      <c r="AF23" s="78">
        <v>27</v>
      </c>
      <c r="AG23" s="78">
        <v>24</v>
      </c>
      <c r="AH23" s="78">
        <v>30</v>
      </c>
      <c r="AI23" s="78">
        <v>48</v>
      </c>
      <c r="AJ23" s="78">
        <v>21</v>
      </c>
      <c r="AK23" s="78">
        <v>31</v>
      </c>
      <c r="AL23" s="78">
        <v>23</v>
      </c>
      <c r="AM23" s="78">
        <v>37</v>
      </c>
      <c r="AN23" s="78">
        <v>21</v>
      </c>
      <c r="AO23" s="78">
        <v>28</v>
      </c>
      <c r="AP23" s="78">
        <v>28</v>
      </c>
      <c r="AQ23" s="78">
        <v>17</v>
      </c>
      <c r="AR23" s="78">
        <v>38</v>
      </c>
      <c r="AS23" s="78">
        <v>23</v>
      </c>
      <c r="AT23" s="78">
        <v>24</v>
      </c>
      <c r="AU23" s="78">
        <v>14</v>
      </c>
      <c r="AV23" s="78">
        <v>34</v>
      </c>
      <c r="AW23" s="78">
        <v>27</v>
      </c>
      <c r="AX23" s="78">
        <v>24</v>
      </c>
      <c r="AY23" s="78">
        <v>45</v>
      </c>
      <c r="AZ23" s="78">
        <v>21</v>
      </c>
      <c r="BA23" s="78">
        <v>21</v>
      </c>
      <c r="BB23" s="78">
        <v>14</v>
      </c>
      <c r="BC23" s="78">
        <v>27</v>
      </c>
      <c r="BD23" s="78">
        <v>34</v>
      </c>
      <c r="BE23" s="78">
        <v>30</v>
      </c>
      <c r="BF23" s="78">
        <v>21</v>
      </c>
      <c r="BG23" s="78">
        <v>34</v>
      </c>
      <c r="BH23" s="78">
        <v>28</v>
      </c>
      <c r="BI23" s="78">
        <v>27</v>
      </c>
      <c r="BJ23" s="78">
        <v>38</v>
      </c>
      <c r="BK23" s="78">
        <v>32</v>
      </c>
      <c r="BL23" s="78">
        <v>31</v>
      </c>
      <c r="BM23" s="78">
        <v>21</v>
      </c>
    </row>
    <row r="24" spans="1:65">
      <c r="A24" s="61"/>
      <c r="B24" s="68" t="str">
        <f>B22&amp; " - score"</f>
        <v>Mississippi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30</v>
      </c>
      <c r="K24" s="79">
        <v>28</v>
      </c>
      <c r="L24" s="79">
        <v>23</v>
      </c>
      <c r="M24" s="79">
        <v>35</v>
      </c>
      <c r="N24" s="79">
        <v>17</v>
      </c>
      <c r="O24" s="79">
        <v>24</v>
      </c>
      <c r="P24" s="79">
        <v>30</v>
      </c>
      <c r="Q24" s="79">
        <v>27</v>
      </c>
      <c r="R24" s="79">
        <v>38</v>
      </c>
      <c r="S24" s="79">
        <v>24</v>
      </c>
      <c r="T24" s="79">
        <v>20</v>
      </c>
      <c r="U24" s="79">
        <v>20</v>
      </c>
      <c r="V24" s="79">
        <v>28</v>
      </c>
      <c r="W24" s="79">
        <v>41</v>
      </c>
      <c r="X24" s="79">
        <v>7</v>
      </c>
      <c r="Y24" s="79">
        <v>35</v>
      </c>
      <c r="Z24" s="79">
        <v>38</v>
      </c>
      <c r="AA24" s="79">
        <v>25</v>
      </c>
      <c r="AB24" s="79">
        <v>35</v>
      </c>
      <c r="AC24" s="79">
        <v>35</v>
      </c>
      <c r="AD24" s="79">
        <v>10</v>
      </c>
      <c r="AE24" s="79">
        <v>31</v>
      </c>
      <c r="AF24" s="79">
        <v>17</v>
      </c>
      <c r="AG24" s="79">
        <v>35</v>
      </c>
      <c r="AH24" s="79">
        <v>27</v>
      </c>
      <c r="AI24" s="79">
        <v>37</v>
      </c>
      <c r="AJ24" s="79">
        <v>17</v>
      </c>
      <c r="AK24" s="79">
        <v>24</v>
      </c>
      <c r="AL24" s="79">
        <v>38</v>
      </c>
      <c r="AM24" s="79">
        <v>31</v>
      </c>
      <c r="AN24" s="79">
        <v>31</v>
      </c>
      <c r="AO24" s="79">
        <v>31</v>
      </c>
      <c r="AP24" s="79">
        <v>17</v>
      </c>
      <c r="AQ24" s="79">
        <v>21</v>
      </c>
      <c r="AR24" s="79">
        <v>28</v>
      </c>
      <c r="AS24" s="79">
        <v>27</v>
      </c>
      <c r="AT24" s="79">
        <v>38</v>
      </c>
      <c r="AU24" s="79">
        <v>21</v>
      </c>
      <c r="AV24" s="79">
        <v>27</v>
      </c>
      <c r="AW24" s="79">
        <v>31</v>
      </c>
      <c r="AX24" s="79">
        <v>35</v>
      </c>
      <c r="AY24" s="79">
        <v>38</v>
      </c>
      <c r="AZ24" s="79">
        <v>35</v>
      </c>
      <c r="BA24" s="79">
        <v>28</v>
      </c>
      <c r="BB24" s="79">
        <v>10</v>
      </c>
      <c r="BC24" s="79">
        <v>30</v>
      </c>
      <c r="BD24" s="79">
        <v>28</v>
      </c>
      <c r="BE24" s="79">
        <v>45</v>
      </c>
      <c r="BF24" s="79">
        <v>31</v>
      </c>
      <c r="BG24" s="79">
        <v>28</v>
      </c>
      <c r="BH24" s="79">
        <v>38</v>
      </c>
      <c r="BI24" s="79">
        <v>24</v>
      </c>
      <c r="BJ24" s="79">
        <v>28</v>
      </c>
      <c r="BK24" s="79">
        <v>35</v>
      </c>
      <c r="BL24" s="79">
        <v>27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2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6</v>
      </c>
      <c r="P25" s="36">
        <f t="shared" si="3"/>
        <v>9</v>
      </c>
      <c r="Q25" s="36">
        <f t="shared" si="3"/>
        <v>7</v>
      </c>
      <c r="R25" s="36">
        <f t="shared" si="3"/>
        <v>7</v>
      </c>
      <c r="S25" s="36">
        <f t="shared" si="3"/>
        <v>5</v>
      </c>
      <c r="T25" s="36">
        <f t="shared" si="3"/>
        <v>6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4</v>
      </c>
      <c r="AB25" s="36">
        <f t="shared" si="3"/>
        <v>7</v>
      </c>
      <c r="AC25" s="36">
        <f t="shared" si="3"/>
        <v>6</v>
      </c>
      <c r="AD25" s="36">
        <f t="shared" si="3"/>
        <v>3</v>
      </c>
      <c r="AE25" s="36">
        <f t="shared" si="3"/>
        <v>2</v>
      </c>
      <c r="AF25" s="36">
        <f t="shared" si="3"/>
        <v>3</v>
      </c>
      <c r="AG25" s="36">
        <f t="shared" si="3"/>
        <v>3</v>
      </c>
      <c r="AH25" s="36">
        <f t="shared" si="3"/>
        <v>4</v>
      </c>
      <c r="AI25" s="36">
        <f t="shared" si="3"/>
        <v>3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4</v>
      </c>
      <c r="AN25" s="36">
        <f t="shared" si="3"/>
        <v>6</v>
      </c>
      <c r="AO25" s="36">
        <f t="shared" si="3"/>
        <v>5</v>
      </c>
      <c r="AP25" s="36">
        <f t="shared" si="3"/>
        <v>2</v>
      </c>
      <c r="AQ25" s="36">
        <f t="shared" si="3"/>
        <v>5</v>
      </c>
      <c r="AR25" s="36">
        <f t="shared" si="3"/>
        <v>4</v>
      </c>
      <c r="AS25" s="36">
        <f t="shared" si="3"/>
        <v>7</v>
      </c>
      <c r="AT25" s="36">
        <f t="shared" si="3"/>
        <v>5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4</v>
      </c>
      <c r="AY25" s="36">
        <f t="shared" si="3"/>
        <v>4</v>
      </c>
      <c r="AZ25" s="36">
        <f t="shared" si="3"/>
        <v>4</v>
      </c>
      <c r="BA25" s="36">
        <f t="shared" si="3"/>
        <v>3</v>
      </c>
      <c r="BB25" s="36">
        <f t="shared" si="3"/>
        <v>2</v>
      </c>
      <c r="BC25" s="36">
        <f t="shared" si="3"/>
        <v>4</v>
      </c>
      <c r="BD25" s="36">
        <f t="shared" si="3"/>
        <v>2</v>
      </c>
      <c r="BE25" s="36">
        <f t="shared" si="3"/>
        <v>4</v>
      </c>
      <c r="BF25" s="36">
        <f t="shared" si="3"/>
        <v>3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4</v>
      </c>
      <c r="BL25" s="36">
        <f t="shared" si="3"/>
        <v>6</v>
      </c>
      <c r="BM25" s="36">
        <f t="shared" si="3"/>
        <v>8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11</v>
      </c>
      <c r="L26" s="71">
        <f t="shared" ref="L26:BM26" si="4">ABS((L23-L24)-($D21-$D22))</f>
        <v>20</v>
      </c>
      <c r="M26" s="71">
        <f t="shared" si="4"/>
        <v>11</v>
      </c>
      <c r="N26" s="71">
        <f t="shared" si="4"/>
        <v>32</v>
      </c>
      <c r="O26" s="71">
        <f t="shared" si="4"/>
        <v>25</v>
      </c>
      <c r="P26" s="71">
        <f t="shared" si="4"/>
        <v>6</v>
      </c>
      <c r="Q26" s="71">
        <f t="shared" si="4"/>
        <v>9</v>
      </c>
      <c r="R26" s="71">
        <f t="shared" si="4"/>
        <v>11</v>
      </c>
      <c r="S26" s="71">
        <f t="shared" si="4"/>
        <v>21</v>
      </c>
      <c r="T26" s="71">
        <f t="shared" si="4"/>
        <v>16</v>
      </c>
      <c r="U26" s="71">
        <f t="shared" si="4"/>
        <v>22</v>
      </c>
      <c r="V26" s="71">
        <f t="shared" si="4"/>
        <v>8</v>
      </c>
      <c r="W26" s="71">
        <f t="shared" si="4"/>
        <v>12</v>
      </c>
      <c r="X26" s="71">
        <f t="shared" si="4"/>
        <v>32</v>
      </c>
      <c r="Y26" s="71">
        <f t="shared" si="4"/>
        <v>22</v>
      </c>
      <c r="Z26" s="71">
        <f t="shared" si="4"/>
        <v>22</v>
      </c>
      <c r="AA26" s="71">
        <f t="shared" si="4"/>
        <v>11</v>
      </c>
      <c r="AB26" s="71">
        <f t="shared" si="4"/>
        <v>8</v>
      </c>
      <c r="AC26" s="71">
        <f t="shared" si="4"/>
        <v>22</v>
      </c>
      <c r="AD26" s="71">
        <f t="shared" si="4"/>
        <v>19</v>
      </c>
      <c r="AE26" s="71">
        <f t="shared" si="4"/>
        <v>22</v>
      </c>
      <c r="AF26" s="71">
        <f t="shared" si="4"/>
        <v>25</v>
      </c>
      <c r="AG26" s="71">
        <f t="shared" si="4"/>
        <v>4</v>
      </c>
      <c r="AH26" s="71">
        <f t="shared" si="4"/>
        <v>18</v>
      </c>
      <c r="AI26" s="71">
        <f t="shared" si="4"/>
        <v>26</v>
      </c>
      <c r="AJ26" s="71">
        <f t="shared" si="4"/>
        <v>19</v>
      </c>
      <c r="AK26" s="71">
        <f t="shared" si="4"/>
        <v>22</v>
      </c>
      <c r="AL26" s="71">
        <f t="shared" si="4"/>
        <v>0</v>
      </c>
      <c r="AM26" s="71">
        <f t="shared" si="4"/>
        <v>21</v>
      </c>
      <c r="AN26" s="71">
        <f t="shared" si="4"/>
        <v>5</v>
      </c>
      <c r="AO26" s="71">
        <f t="shared" si="4"/>
        <v>12</v>
      </c>
      <c r="AP26" s="71">
        <f t="shared" si="4"/>
        <v>26</v>
      </c>
      <c r="AQ26" s="71">
        <f t="shared" si="4"/>
        <v>11</v>
      </c>
      <c r="AR26" s="71">
        <f t="shared" si="4"/>
        <v>25</v>
      </c>
      <c r="AS26" s="71">
        <f t="shared" si="4"/>
        <v>11</v>
      </c>
      <c r="AT26" s="71">
        <f t="shared" si="4"/>
        <v>1</v>
      </c>
      <c r="AU26" s="71">
        <f t="shared" si="4"/>
        <v>8</v>
      </c>
      <c r="AV26" s="71">
        <f t="shared" si="4"/>
        <v>22</v>
      </c>
      <c r="AW26" s="71">
        <f t="shared" si="4"/>
        <v>11</v>
      </c>
      <c r="AX26" s="71">
        <f t="shared" si="4"/>
        <v>4</v>
      </c>
      <c r="AY26" s="71">
        <f t="shared" si="4"/>
        <v>22</v>
      </c>
      <c r="AZ26" s="71">
        <f t="shared" si="4"/>
        <v>1</v>
      </c>
      <c r="BA26" s="71">
        <f t="shared" si="4"/>
        <v>8</v>
      </c>
      <c r="BB26" s="71">
        <f t="shared" si="4"/>
        <v>19</v>
      </c>
      <c r="BC26" s="71">
        <f t="shared" si="4"/>
        <v>12</v>
      </c>
      <c r="BD26" s="71">
        <f t="shared" si="4"/>
        <v>21</v>
      </c>
      <c r="BE26" s="71">
        <f t="shared" si="4"/>
        <v>0</v>
      </c>
      <c r="BF26" s="71">
        <f t="shared" si="4"/>
        <v>5</v>
      </c>
      <c r="BG26" s="71">
        <f t="shared" si="4"/>
        <v>21</v>
      </c>
      <c r="BH26" s="71">
        <f t="shared" si="4"/>
        <v>5</v>
      </c>
      <c r="BI26" s="71">
        <f t="shared" si="4"/>
        <v>18</v>
      </c>
      <c r="BJ26" s="71">
        <f t="shared" si="4"/>
        <v>25</v>
      </c>
      <c r="BK26" s="71">
        <f t="shared" si="4"/>
        <v>12</v>
      </c>
      <c r="BL26" s="71">
        <f t="shared" si="4"/>
        <v>19</v>
      </c>
      <c r="BM26" s="71">
        <f t="shared" si="4"/>
        <v>8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10</v>
      </c>
      <c r="M27" s="71">
        <f t="shared" si="5"/>
        <v>5</v>
      </c>
      <c r="N27" s="71">
        <f t="shared" si="5"/>
        <v>10</v>
      </c>
      <c r="O27" s="71">
        <f t="shared" si="5"/>
        <v>3</v>
      </c>
      <c r="P27" s="71">
        <f t="shared" si="5"/>
        <v>10</v>
      </c>
      <c r="Q27" s="71">
        <f t="shared" si="5"/>
        <v>13</v>
      </c>
      <c r="R27" s="71">
        <f t="shared" si="5"/>
        <v>11</v>
      </c>
      <c r="S27" s="71">
        <f t="shared" si="5"/>
        <v>7</v>
      </c>
      <c r="T27" s="71">
        <f t="shared" si="5"/>
        <v>20</v>
      </c>
      <c r="U27" s="71">
        <f t="shared" si="5"/>
        <v>14</v>
      </c>
      <c r="V27" s="71">
        <f t="shared" si="5"/>
        <v>12</v>
      </c>
      <c r="W27" s="71">
        <f t="shared" si="5"/>
        <v>18</v>
      </c>
      <c r="X27" s="71">
        <f t="shared" si="5"/>
        <v>30</v>
      </c>
      <c r="Y27" s="71">
        <f t="shared" si="5"/>
        <v>16</v>
      </c>
      <c r="Z27" s="71">
        <f t="shared" si="5"/>
        <v>22</v>
      </c>
      <c r="AA27" s="71">
        <f t="shared" si="5"/>
        <v>15</v>
      </c>
      <c r="AB27" s="71">
        <f t="shared" si="5"/>
        <v>2</v>
      </c>
      <c r="AC27" s="71">
        <f t="shared" si="5"/>
        <v>16</v>
      </c>
      <c r="AD27" s="71">
        <f t="shared" si="5"/>
        <v>37</v>
      </c>
      <c r="AE27" s="71">
        <f t="shared" si="5"/>
        <v>8</v>
      </c>
      <c r="AF27" s="71">
        <f t="shared" si="5"/>
        <v>17</v>
      </c>
      <c r="AG27" s="71">
        <f t="shared" si="5"/>
        <v>2</v>
      </c>
      <c r="AH27" s="71">
        <f t="shared" si="5"/>
        <v>4</v>
      </c>
      <c r="AI27" s="71">
        <f t="shared" si="5"/>
        <v>24</v>
      </c>
      <c r="AJ27" s="71">
        <f t="shared" si="5"/>
        <v>23</v>
      </c>
      <c r="AK27" s="71">
        <f t="shared" si="5"/>
        <v>6</v>
      </c>
      <c r="AL27" s="71">
        <f t="shared" si="5"/>
        <v>0</v>
      </c>
      <c r="AM27" s="71">
        <f t="shared" si="5"/>
        <v>7</v>
      </c>
      <c r="AN27" s="71">
        <f t="shared" si="5"/>
        <v>9</v>
      </c>
      <c r="AO27" s="71">
        <f t="shared" si="5"/>
        <v>2</v>
      </c>
      <c r="AP27" s="71">
        <f t="shared" si="5"/>
        <v>16</v>
      </c>
      <c r="AQ27" s="71">
        <f t="shared" si="5"/>
        <v>23</v>
      </c>
      <c r="AR27" s="71">
        <f t="shared" si="5"/>
        <v>5</v>
      </c>
      <c r="AS27" s="71">
        <f t="shared" si="5"/>
        <v>11</v>
      </c>
      <c r="AT27" s="71">
        <f t="shared" si="5"/>
        <v>1</v>
      </c>
      <c r="AU27" s="71">
        <f t="shared" si="5"/>
        <v>26</v>
      </c>
      <c r="AV27" s="71">
        <f t="shared" si="5"/>
        <v>0</v>
      </c>
      <c r="AW27" s="71">
        <f t="shared" si="5"/>
        <v>3</v>
      </c>
      <c r="AX27" s="71">
        <f t="shared" si="5"/>
        <v>2</v>
      </c>
      <c r="AY27" s="71">
        <f t="shared" si="5"/>
        <v>22</v>
      </c>
      <c r="AZ27" s="71">
        <f t="shared" si="5"/>
        <v>5</v>
      </c>
      <c r="BA27" s="71">
        <f t="shared" si="5"/>
        <v>12</v>
      </c>
      <c r="BB27" s="71">
        <f t="shared" si="5"/>
        <v>37</v>
      </c>
      <c r="BC27" s="71">
        <f t="shared" si="5"/>
        <v>4</v>
      </c>
      <c r="BD27" s="71">
        <f t="shared" si="5"/>
        <v>1</v>
      </c>
      <c r="BE27" s="71">
        <f t="shared" si="5"/>
        <v>14</v>
      </c>
      <c r="BF27" s="71">
        <f t="shared" si="5"/>
        <v>9</v>
      </c>
      <c r="BG27" s="71">
        <f t="shared" si="5"/>
        <v>1</v>
      </c>
      <c r="BH27" s="71">
        <f t="shared" si="5"/>
        <v>5</v>
      </c>
      <c r="BI27" s="71">
        <f t="shared" si="5"/>
        <v>10</v>
      </c>
      <c r="BJ27" s="71">
        <f t="shared" si="5"/>
        <v>5</v>
      </c>
      <c r="BK27" s="71">
        <f t="shared" si="5"/>
        <v>6</v>
      </c>
      <c r="BL27" s="71">
        <f t="shared" si="5"/>
        <v>3</v>
      </c>
      <c r="BM27" s="71">
        <f t="shared" si="5"/>
        <v>12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0.45090909090909093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8</v>
      </c>
      <c r="R29" s="71">
        <f t="shared" si="7"/>
        <v>4</v>
      </c>
      <c r="S29" s="71">
        <f t="shared" si="7"/>
        <v>8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2</v>
      </c>
      <c r="X29" s="71">
        <f t="shared" si="7"/>
        <v>6</v>
      </c>
      <c r="Y29" s="71">
        <f t="shared" si="7"/>
        <v>7</v>
      </c>
      <c r="Z29" s="71">
        <f t="shared" si="7"/>
        <v>4</v>
      </c>
      <c r="AA29" s="71">
        <f t="shared" si="7"/>
        <v>1</v>
      </c>
      <c r="AB29" s="71">
        <f t="shared" si="7"/>
        <v>6</v>
      </c>
      <c r="AC29" s="71">
        <f t="shared" si="7"/>
        <v>7</v>
      </c>
      <c r="AD29" s="71">
        <f t="shared" si="7"/>
        <v>4</v>
      </c>
      <c r="AE29" s="71">
        <f t="shared" si="7"/>
        <v>5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5</v>
      </c>
      <c r="AO29" s="71">
        <f t="shared" si="7"/>
        <v>6</v>
      </c>
      <c r="AP29" s="71">
        <f t="shared" si="7"/>
        <v>5</v>
      </c>
      <c r="AQ29" s="71">
        <f t="shared" si="7"/>
        <v>4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3</v>
      </c>
      <c r="AV29" s="71">
        <f t="shared" si="7"/>
        <v>8</v>
      </c>
      <c r="AW29" s="71">
        <f t="shared" si="7"/>
        <v>5</v>
      </c>
      <c r="AX29" s="71">
        <f t="shared" si="7"/>
        <v>3</v>
      </c>
      <c r="AY29" s="71">
        <f t="shared" si="7"/>
        <v>7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5</v>
      </c>
      <c r="BD29" s="71">
        <f t="shared" si="7"/>
        <v>5</v>
      </c>
      <c r="BE29" s="71">
        <f t="shared" si="7"/>
        <v>5</v>
      </c>
      <c r="BF29" s="71">
        <f t="shared" si="7"/>
        <v>4</v>
      </c>
      <c r="BG29" s="71">
        <f t="shared" si="7"/>
        <v>4</v>
      </c>
      <c r="BH29" s="71">
        <f t="shared" si="7"/>
        <v>2</v>
      </c>
      <c r="BI29" s="71">
        <f t="shared" si="7"/>
        <v>3</v>
      </c>
      <c r="BJ29" s="71">
        <f t="shared" si="7"/>
        <v>7</v>
      </c>
      <c r="BK29" s="71">
        <f t="shared" si="7"/>
        <v>5</v>
      </c>
      <c r="BL29" s="71">
        <f t="shared" si="7"/>
        <v>5</v>
      </c>
      <c r="BM29" s="71">
        <f t="shared" si="7"/>
        <v>5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-27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2</v>
      </c>
      <c r="N30" s="73">
        <f t="shared" si="8"/>
        <v>3</v>
      </c>
      <c r="O30" s="73">
        <f t="shared" si="8"/>
        <v>4</v>
      </c>
      <c r="P30" s="73">
        <f t="shared" si="8"/>
        <v>9</v>
      </c>
      <c r="Q30" s="73">
        <f t="shared" si="8"/>
        <v>5</v>
      </c>
      <c r="R30" s="73">
        <f t="shared" si="8"/>
        <v>7</v>
      </c>
      <c r="S30" s="73">
        <f t="shared" si="8"/>
        <v>3</v>
      </c>
      <c r="T30" s="73">
        <f t="shared" si="8"/>
        <v>4</v>
      </c>
      <c r="U30" s="73">
        <f t="shared" si="8"/>
        <v>6</v>
      </c>
      <c r="V30" s="73">
        <f t="shared" si="8"/>
        <v>6</v>
      </c>
      <c r="W30" s="73">
        <f t="shared" si="8"/>
        <v>5</v>
      </c>
      <c r="X30" s="73">
        <f t="shared" si="8"/>
        <v>1</v>
      </c>
      <c r="Y30" s="73">
        <f t="shared" si="8"/>
        <v>2</v>
      </c>
      <c r="Z30" s="73">
        <f t="shared" si="8"/>
        <v>5</v>
      </c>
      <c r="AA30" s="73">
        <f t="shared" si="8"/>
        <v>6</v>
      </c>
      <c r="AB30" s="73">
        <f t="shared" si="8"/>
        <v>5</v>
      </c>
      <c r="AC30" s="73">
        <f t="shared" si="8"/>
        <v>4</v>
      </c>
      <c r="AD30" s="73">
        <f t="shared" si="8"/>
        <v>5</v>
      </c>
      <c r="AE30" s="73">
        <f t="shared" si="8"/>
        <v>4</v>
      </c>
      <c r="AF30" s="73">
        <f t="shared" si="8"/>
        <v>1</v>
      </c>
      <c r="AG30" s="73">
        <f t="shared" si="8"/>
        <v>3</v>
      </c>
      <c r="AH30" s="73">
        <f t="shared" si="8"/>
        <v>4</v>
      </c>
      <c r="AI30" s="73">
        <f t="shared" si="8"/>
        <v>1</v>
      </c>
      <c r="AJ30" s="73">
        <f t="shared" si="8"/>
        <v>5</v>
      </c>
      <c r="AK30" s="73">
        <f t="shared" si="8"/>
        <v>0</v>
      </c>
      <c r="AL30" s="73">
        <f t="shared" si="8"/>
        <v>7</v>
      </c>
      <c r="AM30" s="73">
        <f t="shared" si="8"/>
        <v>2</v>
      </c>
      <c r="AN30" s="73">
        <f t="shared" si="8"/>
        <v>8</v>
      </c>
      <c r="AO30" s="73">
        <f t="shared" si="8"/>
        <v>3</v>
      </c>
      <c r="AP30" s="73">
        <f t="shared" si="8"/>
        <v>0</v>
      </c>
      <c r="AQ30" s="73">
        <f t="shared" si="8"/>
        <v>3</v>
      </c>
      <c r="AR30" s="73">
        <f t="shared" si="8"/>
        <v>4</v>
      </c>
      <c r="AS30" s="73">
        <f t="shared" si="8"/>
        <v>5</v>
      </c>
      <c r="AT30" s="73">
        <f t="shared" si="8"/>
        <v>3</v>
      </c>
      <c r="AU30" s="73">
        <f t="shared" si="8"/>
        <v>4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2</v>
      </c>
      <c r="AZ30" s="73">
        <f t="shared" si="8"/>
        <v>2</v>
      </c>
      <c r="BA30" s="73">
        <f t="shared" si="8"/>
        <v>3</v>
      </c>
      <c r="BB30" s="73">
        <f t="shared" si="8"/>
        <v>2</v>
      </c>
      <c r="BC30" s="73">
        <f t="shared" si="8"/>
        <v>4</v>
      </c>
      <c r="BD30" s="73">
        <f t="shared" si="8"/>
        <v>0</v>
      </c>
      <c r="BE30" s="73">
        <f t="shared" si="8"/>
        <v>4</v>
      </c>
      <c r="BF30" s="73">
        <f t="shared" si="8"/>
        <v>5</v>
      </c>
      <c r="BG30" s="73">
        <f t="shared" si="8"/>
        <v>5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2</v>
      </c>
      <c r="BL30" s="73">
        <f t="shared" si="8"/>
        <v>6</v>
      </c>
      <c r="BM30" s="73">
        <f t="shared" si="8"/>
        <v>6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</v>
      </c>
      <c r="M31" s="71">
        <f t="shared" ca="1" si="9"/>
        <v>3</v>
      </c>
      <c r="N31" s="71">
        <f t="shared" ca="1" si="9"/>
        <v>4</v>
      </c>
      <c r="O31" s="71">
        <f t="shared" ca="1" si="9"/>
        <v>5</v>
      </c>
      <c r="P31" s="71">
        <f t="shared" ca="1" si="9"/>
        <v>6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3</v>
      </c>
      <c r="U31" s="71">
        <f t="shared" ca="1" si="9"/>
        <v>5</v>
      </c>
      <c r="V31" s="71">
        <f t="shared" ca="1" si="9"/>
        <v>3</v>
      </c>
      <c r="W31" s="71">
        <f t="shared" ca="1" si="9"/>
        <v>4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5</v>
      </c>
      <c r="AD31" s="71">
        <f t="shared" ca="1" si="9"/>
        <v>6</v>
      </c>
      <c r="AE31" s="71">
        <f t="shared" ca="1" si="9"/>
        <v>5</v>
      </c>
      <c r="AF31" s="71">
        <f t="shared" ca="1" si="9"/>
        <v>2</v>
      </c>
      <c r="AG31" s="71">
        <f t="shared" ca="1" si="9"/>
        <v>4</v>
      </c>
      <c r="AH31" s="71">
        <f t="shared" ca="1" si="9"/>
        <v>3</v>
      </c>
      <c r="AI31" s="71">
        <f t="shared" ca="1" si="9"/>
        <v>2</v>
      </c>
      <c r="AJ31" s="71">
        <f t="shared" ca="1" si="9"/>
        <v>8</v>
      </c>
      <c r="AK31" s="71">
        <f t="shared" ca="1" si="9"/>
        <v>3</v>
      </c>
      <c r="AL31" s="71">
        <f t="shared" ca="1" si="9"/>
        <v>4</v>
      </c>
      <c r="AM31" s="71">
        <f t="shared" ca="1" si="9"/>
        <v>3</v>
      </c>
      <c r="AN31" s="71">
        <f t="shared" ca="1" si="9"/>
        <v>5</v>
      </c>
      <c r="AO31" s="71">
        <f t="shared" ca="1" si="9"/>
        <v>2</v>
      </c>
      <c r="AP31" s="71">
        <f t="shared" ca="1" si="9"/>
        <v>3</v>
      </c>
      <c r="AQ31" s="71">
        <f t="shared" ca="1" si="9"/>
        <v>4</v>
      </c>
      <c r="AR31" s="71">
        <f t="shared" ca="1" si="9"/>
        <v>3</v>
      </c>
      <c r="AS31" s="71">
        <f t="shared" ca="1" si="9"/>
        <v>6</v>
      </c>
      <c r="AT31" s="71">
        <f t="shared" ca="1" si="9"/>
        <v>2</v>
      </c>
      <c r="AU31" s="71">
        <f t="shared" ca="1" si="9"/>
        <v>1</v>
      </c>
      <c r="AV31" s="71">
        <f t="shared" ca="1" si="9"/>
        <v>4</v>
      </c>
      <c r="AW31" s="71">
        <f t="shared" ca="1" si="9"/>
        <v>5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2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3</v>
      </c>
      <c r="BF31" s="71">
        <f t="shared" ca="1" si="9"/>
        <v>6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5</v>
      </c>
      <c r="BK31" s="71">
        <f t="shared" ca="1" si="9"/>
        <v>3</v>
      </c>
      <c r="BL31" s="71">
        <f t="shared" ca="1" si="9"/>
        <v>5</v>
      </c>
      <c r="BM31" s="71">
        <f t="shared" ca="1" si="9"/>
        <v>3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81955964</v>
      </c>
      <c r="L36" s="32">
        <f t="shared" ref="L36:BM36" si="12">COUNTA(L23:L24)*((10000000*L25)+(1000000*(COUNTA(L21)*$E21+COUNTA(L22)*$E22))-(COUNTA($D$21:$D$22)*1000*L26)-(COUNTA($D$21:$D$22)*L27))</f>
        <v>79919960</v>
      </c>
      <c r="M36" s="32">
        <f t="shared" si="12"/>
        <v>81955980</v>
      </c>
      <c r="N36" s="32">
        <f t="shared" si="12"/>
        <v>99871960</v>
      </c>
      <c r="O36" s="32">
        <f t="shared" si="12"/>
        <v>119899988</v>
      </c>
      <c r="P36" s="32">
        <f t="shared" si="12"/>
        <v>181975960</v>
      </c>
      <c r="Q36" s="32">
        <f t="shared" si="12"/>
        <v>141963948</v>
      </c>
      <c r="R36" s="32">
        <f t="shared" si="12"/>
        <v>141955956</v>
      </c>
      <c r="S36" s="32">
        <f t="shared" si="12"/>
        <v>99915972</v>
      </c>
      <c r="T36" s="32">
        <f t="shared" si="12"/>
        <v>121935920</v>
      </c>
      <c r="U36" s="32">
        <f t="shared" si="12"/>
        <v>79911944</v>
      </c>
      <c r="V36" s="32">
        <f t="shared" si="12"/>
        <v>121967952</v>
      </c>
      <c r="W36" s="32">
        <f t="shared" si="12"/>
        <v>101951928</v>
      </c>
      <c r="X36" s="32">
        <f t="shared" si="12"/>
        <v>59871880</v>
      </c>
      <c r="Y36" s="32">
        <f t="shared" si="12"/>
        <v>79911936</v>
      </c>
      <c r="Z36" s="32">
        <f t="shared" si="12"/>
        <v>99911912</v>
      </c>
      <c r="AA36" s="32">
        <f t="shared" si="12"/>
        <v>81955940</v>
      </c>
      <c r="AB36" s="32">
        <f t="shared" si="12"/>
        <v>141967992</v>
      </c>
      <c r="AC36" s="32">
        <f t="shared" si="12"/>
        <v>119911936</v>
      </c>
      <c r="AD36" s="32">
        <f t="shared" si="12"/>
        <v>59923852</v>
      </c>
      <c r="AE36" s="32">
        <f t="shared" si="12"/>
        <v>39911968</v>
      </c>
      <c r="AF36" s="32">
        <f t="shared" si="12"/>
        <v>59899932</v>
      </c>
      <c r="AG36" s="32">
        <f t="shared" si="12"/>
        <v>61983992</v>
      </c>
      <c r="AH36" s="32">
        <f t="shared" si="12"/>
        <v>79927984</v>
      </c>
      <c r="AI36" s="32">
        <f t="shared" si="12"/>
        <v>59895904</v>
      </c>
      <c r="AJ36" s="32">
        <f t="shared" si="12"/>
        <v>99923908</v>
      </c>
      <c r="AK36" s="32">
        <f t="shared" si="12"/>
        <v>39911976</v>
      </c>
      <c r="AL36" s="32">
        <f t="shared" si="12"/>
        <v>102000000</v>
      </c>
      <c r="AM36" s="32">
        <f t="shared" si="12"/>
        <v>79915972</v>
      </c>
      <c r="AN36" s="32">
        <f t="shared" si="12"/>
        <v>121979964</v>
      </c>
      <c r="AO36" s="32">
        <f t="shared" si="12"/>
        <v>101951992</v>
      </c>
      <c r="AP36" s="32">
        <f t="shared" si="12"/>
        <v>39895936</v>
      </c>
      <c r="AQ36" s="32">
        <f t="shared" si="12"/>
        <v>101955908</v>
      </c>
      <c r="AR36" s="32">
        <f t="shared" si="12"/>
        <v>79899980</v>
      </c>
      <c r="AS36" s="32">
        <f t="shared" si="12"/>
        <v>141955956</v>
      </c>
      <c r="AT36" s="32">
        <f t="shared" si="12"/>
        <v>101995996</v>
      </c>
      <c r="AU36" s="32">
        <f t="shared" si="12"/>
        <v>81967896</v>
      </c>
      <c r="AV36" s="32">
        <f t="shared" si="12"/>
        <v>99912000</v>
      </c>
      <c r="AW36" s="32">
        <f t="shared" si="12"/>
        <v>81955988</v>
      </c>
      <c r="AX36" s="32">
        <f t="shared" si="12"/>
        <v>81983992</v>
      </c>
      <c r="AY36" s="32">
        <f t="shared" si="12"/>
        <v>79911912</v>
      </c>
      <c r="AZ36" s="32">
        <f t="shared" si="12"/>
        <v>81995980</v>
      </c>
      <c r="BA36" s="32">
        <f t="shared" si="12"/>
        <v>61967952</v>
      </c>
      <c r="BB36" s="32">
        <f t="shared" si="12"/>
        <v>39923852</v>
      </c>
      <c r="BC36" s="32">
        <f t="shared" si="12"/>
        <v>81951984</v>
      </c>
      <c r="BD36" s="32">
        <f t="shared" si="12"/>
        <v>39915996</v>
      </c>
      <c r="BE36" s="32">
        <f t="shared" si="12"/>
        <v>81999944</v>
      </c>
      <c r="BF36" s="32">
        <f t="shared" si="12"/>
        <v>61979964</v>
      </c>
      <c r="BG36" s="32">
        <f t="shared" si="12"/>
        <v>99915996</v>
      </c>
      <c r="BH36" s="32">
        <f t="shared" si="12"/>
        <v>101979980</v>
      </c>
      <c r="BI36" s="32">
        <f t="shared" si="12"/>
        <v>39927960</v>
      </c>
      <c r="BJ36" s="32">
        <f t="shared" si="12"/>
        <v>119899980</v>
      </c>
      <c r="BK36" s="32">
        <f t="shared" si="12"/>
        <v>81951976</v>
      </c>
      <c r="BL36" s="32">
        <f t="shared" si="12"/>
        <v>119923988</v>
      </c>
      <c r="BM36" s="32">
        <f t="shared" si="12"/>
        <v>161967952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53" priority="9" stopIfTrue="1" operator="equal">
      <formula>0</formula>
    </cfRule>
  </conditionalFormatting>
  <conditionalFormatting sqref="D26:J28 K28:BE28">
    <cfRule type="cellIs" dxfId="152" priority="10" stopIfTrue="1" operator="equal">
      <formula>1</formula>
    </cfRule>
  </conditionalFormatting>
  <conditionalFormatting sqref="H3:I3 F23 H5:I5 H7:I7 H9:I9 H11:I11 H13:I13 H15:I15 H17:I17 H19:I19 H21:I21">
    <cfRule type="cellIs" dxfId="151" priority="11" stopIfTrue="1" operator="equal">
      <formula>0</formula>
    </cfRule>
  </conditionalFormatting>
  <conditionalFormatting sqref="H4:I4 F24 H6:I6 H8:I8 H10:I10 H12:I12 H14:I14 H16:I16 H18:I18 H20:I20 H22:I22">
    <cfRule type="cellIs" dxfId="150" priority="12" stopIfTrue="1" operator="equal">
      <formula>0</formula>
    </cfRule>
  </conditionalFormatting>
  <conditionalFormatting sqref="F3 F5 F7 F9 F11 F13 F15 F17 F19 F21">
    <cfRule type="cellIs" dxfId="14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47" priority="15" stopIfTrue="1">
      <formula>AND(COUNTA(J4)=1,$E4=1,SUM($E3:$E4)=1)</formula>
    </cfRule>
    <cfRule type="expression" dxfId="14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45" priority="17" stopIfTrue="1">
      <formula>AND(COUNTA(J3)=1,$E3=1,SUM($E3:$E4)=1)</formula>
    </cfRule>
    <cfRule type="expression" dxfId="144" priority="18" stopIfTrue="1">
      <formula>AND(COUNTA(J3)=1,$E3=0,SUM($E3:$E4)=1)</formula>
    </cfRule>
  </conditionalFormatting>
  <conditionalFormatting sqref="BF23:BM23">
    <cfRule type="cellIs" dxfId="143" priority="7" stopIfTrue="1" operator="equal">
      <formula>0</formula>
    </cfRule>
  </conditionalFormatting>
  <conditionalFormatting sqref="BF24:BM24">
    <cfRule type="cellIs" dxfId="142" priority="6" stopIfTrue="1" operator="equal">
      <formula>0</formula>
    </cfRule>
  </conditionalFormatting>
  <conditionalFormatting sqref="BF28:BM28">
    <cfRule type="cellIs" dxfId="14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40" priority="3" stopIfTrue="1">
      <formula>AND(COUNTA(BF4)=1,$E4=1,SUM($E3:$E4)=1)</formula>
    </cfRule>
    <cfRule type="expression" dxfId="13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8" priority="1" stopIfTrue="1">
      <formula>AND(COUNTA(BF3)=1,$E3=1,SUM($E3:$E4)=1)</formula>
    </cfRule>
    <cfRule type="expression" dxfId="13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BM58"/>
  <sheetViews>
    <sheetView zoomScale="90" zoomScaleNormal="100" zoomScaleSheetLayoutView="100" workbookViewId="0">
      <selection activeCell="B4" sqref="B4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193</v>
      </c>
      <c r="C3" s="65">
        <v>8.5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34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320</v>
      </c>
      <c r="K3" s="69"/>
      <c r="L3" s="69" t="s">
        <v>309</v>
      </c>
      <c r="M3" s="69" t="s">
        <v>350</v>
      </c>
      <c r="N3" s="69" t="s">
        <v>484</v>
      </c>
      <c r="O3" s="69" t="s">
        <v>311</v>
      </c>
      <c r="P3" s="69" t="s">
        <v>309</v>
      </c>
      <c r="Q3" s="69" t="s">
        <v>335</v>
      </c>
      <c r="R3" s="69" t="s">
        <v>309</v>
      </c>
      <c r="S3" s="69" t="s">
        <v>311</v>
      </c>
      <c r="T3" s="69" t="s">
        <v>344</v>
      </c>
      <c r="U3" s="69" t="s">
        <v>309</v>
      </c>
      <c r="V3" s="69"/>
      <c r="W3" s="69" t="s">
        <v>327</v>
      </c>
      <c r="X3" s="69"/>
      <c r="Y3" s="69" t="s">
        <v>311</v>
      </c>
      <c r="Z3" s="69" t="s">
        <v>311</v>
      </c>
      <c r="AA3" s="69" t="s">
        <v>311</v>
      </c>
      <c r="AB3" s="69" t="s">
        <v>490</v>
      </c>
      <c r="AC3" s="69" t="s">
        <v>311</v>
      </c>
      <c r="AD3" s="69"/>
      <c r="AE3" s="69" t="s">
        <v>311</v>
      </c>
      <c r="AF3" s="69"/>
      <c r="AG3" s="69"/>
      <c r="AH3" s="69" t="s">
        <v>317</v>
      </c>
      <c r="AI3" s="69" t="s">
        <v>328</v>
      </c>
      <c r="AJ3" s="69" t="s">
        <v>339</v>
      </c>
      <c r="AK3" s="69"/>
      <c r="AL3" s="69" t="s">
        <v>327</v>
      </c>
      <c r="AM3" s="69"/>
      <c r="AN3" s="69" t="s">
        <v>335</v>
      </c>
      <c r="AO3" s="69" t="s">
        <v>311</v>
      </c>
      <c r="AP3" s="69"/>
      <c r="AQ3" s="69" t="s">
        <v>311</v>
      </c>
      <c r="AR3" s="96" t="s">
        <v>309</v>
      </c>
      <c r="AS3" s="69"/>
      <c r="AT3" s="69"/>
      <c r="AU3" s="69"/>
      <c r="AV3" s="69" t="s">
        <v>362</v>
      </c>
      <c r="AW3" s="69" t="s">
        <v>336</v>
      </c>
      <c r="AX3" s="69" t="s">
        <v>393</v>
      </c>
      <c r="AY3" s="69" t="s">
        <v>311</v>
      </c>
      <c r="AZ3" s="69" t="s">
        <v>311</v>
      </c>
      <c r="BA3" s="69" t="s">
        <v>311</v>
      </c>
      <c r="BB3" s="69"/>
      <c r="BC3" s="69"/>
      <c r="BD3" s="69"/>
      <c r="BE3" s="96"/>
      <c r="BF3" s="69"/>
      <c r="BG3" s="69"/>
      <c r="BH3" s="69"/>
      <c r="BI3" s="69" t="s">
        <v>321</v>
      </c>
      <c r="BJ3" s="69" t="s">
        <v>312</v>
      </c>
      <c r="BK3" s="69"/>
      <c r="BL3" s="69" t="s">
        <v>311</v>
      </c>
      <c r="BM3" s="69"/>
    </row>
    <row r="4" spans="1:65">
      <c r="A4" s="61" t="s">
        <v>3</v>
      </c>
      <c r="B4" s="68" t="s">
        <v>202</v>
      </c>
      <c r="C4" s="66"/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309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 t="s">
        <v>309</v>
      </c>
      <c r="W4" s="70"/>
      <c r="X4" s="70" t="s">
        <v>393</v>
      </c>
      <c r="Y4" s="70"/>
      <c r="Z4" s="70"/>
      <c r="AA4" s="70"/>
      <c r="AB4" s="70"/>
      <c r="AC4" s="70"/>
      <c r="AD4" s="70" t="s">
        <v>345</v>
      </c>
      <c r="AE4" s="70"/>
      <c r="AF4" s="70"/>
      <c r="AG4" s="70" t="s">
        <v>324</v>
      </c>
      <c r="AH4" s="70"/>
      <c r="AI4" s="70"/>
      <c r="AJ4" s="70"/>
      <c r="AK4" s="70"/>
      <c r="AL4" s="70"/>
      <c r="AM4" s="70" t="s">
        <v>336</v>
      </c>
      <c r="AN4" s="70"/>
      <c r="AO4" s="70"/>
      <c r="AP4" s="70" t="s">
        <v>366</v>
      </c>
      <c r="AQ4" s="70"/>
      <c r="AR4" s="70"/>
      <c r="AS4" s="70" t="s">
        <v>350</v>
      </c>
      <c r="AT4" s="70" t="s">
        <v>336</v>
      </c>
      <c r="AU4" s="70" t="s">
        <v>309</v>
      </c>
      <c r="AV4" s="70"/>
      <c r="AW4" s="70"/>
      <c r="AX4" s="70"/>
      <c r="AY4" s="70"/>
      <c r="AZ4" s="70"/>
      <c r="BA4" s="70"/>
      <c r="BB4" s="70" t="s">
        <v>314</v>
      </c>
      <c r="BC4" s="70" t="s">
        <v>309</v>
      </c>
      <c r="BD4" s="70" t="s">
        <v>327</v>
      </c>
      <c r="BE4" s="70" t="s">
        <v>364</v>
      </c>
      <c r="BF4" s="70" t="s">
        <v>309</v>
      </c>
      <c r="BG4" s="70" t="s">
        <v>311</v>
      </c>
      <c r="BH4" s="70" t="s">
        <v>311</v>
      </c>
      <c r="BI4" s="70"/>
      <c r="BJ4" s="70"/>
      <c r="BK4" s="70" t="s">
        <v>309</v>
      </c>
      <c r="BL4" s="70"/>
      <c r="BM4" s="70" t="s">
        <v>328</v>
      </c>
    </row>
    <row r="5" spans="1:65">
      <c r="A5" s="59">
        <v>2</v>
      </c>
      <c r="B5" s="67" t="s">
        <v>158</v>
      </c>
      <c r="C5" s="65"/>
      <c r="D5" s="64">
        <v>31</v>
      </c>
      <c r="E5" s="64">
        <f>IF(ISBLANK($D5),"0",IF(($D6-$D5)&lt;($C6-$C5),1,0))</f>
        <v>1</v>
      </c>
      <c r="F5" s="64">
        <f t="shared" ca="1" si="1"/>
        <v>17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350</v>
      </c>
      <c r="N5" s="69"/>
      <c r="O5" s="69"/>
      <c r="P5" s="69"/>
      <c r="Q5" s="69"/>
      <c r="R5" s="69" t="s">
        <v>309</v>
      </c>
      <c r="S5" s="69"/>
      <c r="T5" s="69"/>
      <c r="U5" s="69" t="s">
        <v>309</v>
      </c>
      <c r="V5" s="69"/>
      <c r="W5" s="69" t="s">
        <v>318</v>
      </c>
      <c r="X5" s="69"/>
      <c r="Y5" s="69"/>
      <c r="Z5" s="69" t="s">
        <v>311</v>
      </c>
      <c r="AA5" s="69"/>
      <c r="AB5" s="69" t="s">
        <v>348</v>
      </c>
      <c r="AC5" s="69" t="s">
        <v>311</v>
      </c>
      <c r="AD5" s="69" t="s">
        <v>346</v>
      </c>
      <c r="AE5" s="69"/>
      <c r="AF5" s="69"/>
      <c r="AG5" s="69"/>
      <c r="AH5" s="69" t="s">
        <v>314</v>
      </c>
      <c r="AI5" s="69"/>
      <c r="AJ5" s="69"/>
      <c r="AK5" s="69"/>
      <c r="AL5" s="69"/>
      <c r="AM5" s="69"/>
      <c r="AN5" s="69"/>
      <c r="AO5" s="69"/>
      <c r="AP5" s="69" t="s">
        <v>367</v>
      </c>
      <c r="AQ5" s="69"/>
      <c r="AR5" s="96" t="s">
        <v>309</v>
      </c>
      <c r="AS5" s="69"/>
      <c r="AT5" s="69"/>
      <c r="AU5" s="69"/>
      <c r="AV5" s="69" t="s">
        <v>346</v>
      </c>
      <c r="AW5" s="69"/>
      <c r="AX5" s="69"/>
      <c r="AY5" s="69" t="s">
        <v>311</v>
      </c>
      <c r="AZ5" s="69"/>
      <c r="BA5" s="69"/>
      <c r="BB5" s="69"/>
      <c r="BC5" s="69" t="s">
        <v>309</v>
      </c>
      <c r="BD5" s="69"/>
      <c r="BE5" s="69"/>
      <c r="BF5" s="69" t="s">
        <v>309</v>
      </c>
      <c r="BG5" s="69" t="s">
        <v>309</v>
      </c>
      <c r="BH5" s="69"/>
      <c r="BI5" s="69"/>
      <c r="BJ5" s="69"/>
      <c r="BK5" s="69"/>
      <c r="BL5" s="69"/>
      <c r="BM5" s="69" t="s">
        <v>327</v>
      </c>
    </row>
    <row r="6" spans="1:65">
      <c r="A6" s="61" t="s">
        <v>3</v>
      </c>
      <c r="B6" s="68" t="s">
        <v>165</v>
      </c>
      <c r="C6" s="66">
        <v>8.5</v>
      </c>
      <c r="D6" s="64">
        <v>30</v>
      </c>
      <c r="E6" s="64">
        <f>IF(ISBLANK($D6),"0",IF(($D6-$D5)&gt;($C6-$C5),1,0))</f>
        <v>0</v>
      </c>
      <c r="F6" s="64">
        <f t="shared" ca="1" si="1"/>
        <v>36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/>
      <c r="N6" s="70" t="s">
        <v>485</v>
      </c>
      <c r="O6" s="70" t="s">
        <v>311</v>
      </c>
      <c r="P6" s="70" t="s">
        <v>309</v>
      </c>
      <c r="Q6" s="70" t="s">
        <v>335</v>
      </c>
      <c r="R6" s="70"/>
      <c r="S6" s="70" t="s">
        <v>311</v>
      </c>
      <c r="T6" s="70" t="s">
        <v>344</v>
      </c>
      <c r="U6" s="70"/>
      <c r="V6" s="70" t="s">
        <v>309</v>
      </c>
      <c r="W6" s="70"/>
      <c r="X6" s="70" t="s">
        <v>337</v>
      </c>
      <c r="Y6" s="70" t="s">
        <v>311</v>
      </c>
      <c r="Z6" s="70"/>
      <c r="AA6" s="70" t="s">
        <v>311</v>
      </c>
      <c r="AB6" s="70"/>
      <c r="AC6" s="70"/>
      <c r="AD6" s="70"/>
      <c r="AE6" s="70" t="s">
        <v>311</v>
      </c>
      <c r="AF6" s="70"/>
      <c r="AG6" s="70" t="s">
        <v>323</v>
      </c>
      <c r="AH6" s="70"/>
      <c r="AI6" s="70" t="s">
        <v>323</v>
      </c>
      <c r="AJ6" s="70" t="s">
        <v>339</v>
      </c>
      <c r="AK6" s="70"/>
      <c r="AL6" s="70" t="s">
        <v>327</v>
      </c>
      <c r="AM6" s="70" t="s">
        <v>318</v>
      </c>
      <c r="AN6" s="70" t="s">
        <v>335</v>
      </c>
      <c r="AO6" s="70" t="s">
        <v>311</v>
      </c>
      <c r="AP6" s="70"/>
      <c r="AQ6" s="70" t="s">
        <v>311</v>
      </c>
      <c r="AR6" s="70"/>
      <c r="AS6" s="70" t="s">
        <v>332</v>
      </c>
      <c r="AT6" s="70" t="s">
        <v>336</v>
      </c>
      <c r="AU6" s="70" t="s">
        <v>309</v>
      </c>
      <c r="AV6" s="70"/>
      <c r="AW6" s="70" t="s">
        <v>323</v>
      </c>
      <c r="AX6" s="70" t="s">
        <v>323</v>
      </c>
      <c r="AY6" s="70"/>
      <c r="AZ6" s="70" t="s">
        <v>311</v>
      </c>
      <c r="BA6" s="70" t="s">
        <v>311</v>
      </c>
      <c r="BB6" s="70" t="s">
        <v>314</v>
      </c>
      <c r="BC6" s="70"/>
      <c r="BD6" s="70" t="s">
        <v>315</v>
      </c>
      <c r="BE6" s="97" t="s">
        <v>364</v>
      </c>
      <c r="BF6" s="70"/>
      <c r="BG6" s="70"/>
      <c r="BH6" s="70" t="s">
        <v>311</v>
      </c>
      <c r="BI6" s="70" t="s">
        <v>321</v>
      </c>
      <c r="BJ6" s="70" t="s">
        <v>313</v>
      </c>
      <c r="BK6" s="70" t="s">
        <v>309</v>
      </c>
      <c r="BL6" s="70" t="s">
        <v>311</v>
      </c>
      <c r="BM6" s="70"/>
    </row>
    <row r="7" spans="1:65">
      <c r="A7" s="59">
        <v>3</v>
      </c>
      <c r="B7" s="67" t="s">
        <v>195</v>
      </c>
      <c r="C7" s="65"/>
      <c r="D7" s="64">
        <v>0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/>
      <c r="N7" s="69"/>
      <c r="O7" s="69"/>
      <c r="P7" s="69" t="s">
        <v>309</v>
      </c>
      <c r="Q7" s="69"/>
      <c r="R7" s="96"/>
      <c r="S7" s="96" t="s">
        <v>311</v>
      </c>
      <c r="T7" s="96"/>
      <c r="U7" s="96" t="s">
        <v>309</v>
      </c>
      <c r="V7" s="69" t="s">
        <v>309</v>
      </c>
      <c r="W7" s="69" t="s">
        <v>315</v>
      </c>
      <c r="X7" s="69"/>
      <c r="Y7" s="69" t="s">
        <v>311</v>
      </c>
      <c r="Z7" s="69" t="s">
        <v>311</v>
      </c>
      <c r="AA7" s="69"/>
      <c r="AB7" s="69"/>
      <c r="AC7" s="69"/>
      <c r="AD7" s="69"/>
      <c r="AE7" s="69" t="s">
        <v>311</v>
      </c>
      <c r="AF7" s="69"/>
      <c r="AG7" s="69"/>
      <c r="AH7" s="69"/>
      <c r="AI7" s="69"/>
      <c r="AJ7" s="69" t="s">
        <v>339</v>
      </c>
      <c r="AK7" s="69"/>
      <c r="AL7" s="69"/>
      <c r="AM7" s="69" t="s">
        <v>325</v>
      </c>
      <c r="AN7" s="69" t="s">
        <v>335</v>
      </c>
      <c r="AO7" s="69" t="s">
        <v>311</v>
      </c>
      <c r="AP7" s="69" t="s">
        <v>363</v>
      </c>
      <c r="AQ7" s="69" t="s">
        <v>311</v>
      </c>
      <c r="AR7" s="96" t="s">
        <v>309</v>
      </c>
      <c r="AS7" s="69"/>
      <c r="AT7" s="69"/>
      <c r="AU7" s="69" t="s">
        <v>309</v>
      </c>
      <c r="AV7" s="69"/>
      <c r="AW7" s="69"/>
      <c r="AX7" s="69" t="s">
        <v>320</v>
      </c>
      <c r="AY7" s="69" t="s">
        <v>311</v>
      </c>
      <c r="AZ7" s="69"/>
      <c r="BA7" s="69"/>
      <c r="BB7" s="69" t="s">
        <v>314</v>
      </c>
      <c r="BC7" s="69" t="s">
        <v>309</v>
      </c>
      <c r="BD7" s="69" t="s">
        <v>393</v>
      </c>
      <c r="BE7" s="96" t="s">
        <v>364</v>
      </c>
      <c r="BF7" s="69" t="s">
        <v>494</v>
      </c>
      <c r="BG7" s="69"/>
      <c r="BH7" s="69" t="s">
        <v>311</v>
      </c>
      <c r="BI7" s="69" t="s">
        <v>321</v>
      </c>
      <c r="BJ7" s="69" t="s">
        <v>314</v>
      </c>
      <c r="BK7" s="69" t="s">
        <v>309</v>
      </c>
      <c r="BL7" s="69" t="s">
        <v>311</v>
      </c>
      <c r="BM7" s="69"/>
    </row>
    <row r="8" spans="1:65">
      <c r="A8" s="61" t="s">
        <v>3</v>
      </c>
      <c r="B8" s="68" t="s">
        <v>166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 t="s">
        <v>350</v>
      </c>
      <c r="N8" s="70" t="s">
        <v>394</v>
      </c>
      <c r="O8" s="70" t="s">
        <v>311</v>
      </c>
      <c r="P8" s="70"/>
      <c r="Q8" s="70" t="s">
        <v>335</v>
      </c>
      <c r="R8" s="97" t="s">
        <v>309</v>
      </c>
      <c r="S8" s="97"/>
      <c r="T8" s="97" t="s">
        <v>344</v>
      </c>
      <c r="U8" s="70"/>
      <c r="V8" s="70"/>
      <c r="W8" s="70"/>
      <c r="X8" s="70" t="s">
        <v>323</v>
      </c>
      <c r="Y8" s="70"/>
      <c r="Z8" s="70"/>
      <c r="AA8" s="70" t="s">
        <v>311</v>
      </c>
      <c r="AB8" s="70" t="s">
        <v>328</v>
      </c>
      <c r="AC8" s="70" t="s">
        <v>311</v>
      </c>
      <c r="AD8" s="70" t="s">
        <v>337</v>
      </c>
      <c r="AE8" s="70"/>
      <c r="AF8" s="70"/>
      <c r="AG8" s="70" t="s">
        <v>338</v>
      </c>
      <c r="AH8" s="70" t="s">
        <v>315</v>
      </c>
      <c r="AI8" s="70" t="s">
        <v>336</v>
      </c>
      <c r="AJ8" s="70"/>
      <c r="AK8" s="70"/>
      <c r="AL8" s="70" t="s">
        <v>327</v>
      </c>
      <c r="AM8" s="70"/>
      <c r="AN8" s="70"/>
      <c r="AO8" s="70"/>
      <c r="AP8" s="70"/>
      <c r="AQ8" s="70"/>
      <c r="AR8" s="70"/>
      <c r="AS8" s="70" t="s">
        <v>327</v>
      </c>
      <c r="AT8" s="70" t="s">
        <v>336</v>
      </c>
      <c r="AU8" s="70"/>
      <c r="AV8" s="70" t="s">
        <v>323</v>
      </c>
      <c r="AW8" s="70" t="s">
        <v>320</v>
      </c>
      <c r="AX8" s="70"/>
      <c r="AY8" s="70"/>
      <c r="AZ8" s="70" t="s">
        <v>311</v>
      </c>
      <c r="BA8" s="70" t="s">
        <v>311</v>
      </c>
      <c r="BB8" s="70"/>
      <c r="BC8" s="70"/>
      <c r="BD8" s="70"/>
      <c r="BE8" s="70"/>
      <c r="BF8" s="70"/>
      <c r="BG8" s="70" t="s">
        <v>309</v>
      </c>
      <c r="BH8" s="70"/>
      <c r="BI8" s="70"/>
      <c r="BJ8" s="70"/>
      <c r="BK8" s="70"/>
      <c r="BL8" s="70"/>
      <c r="BM8" s="70" t="s">
        <v>329</v>
      </c>
    </row>
    <row r="9" spans="1:65">
      <c r="A9" s="59">
        <v>4</v>
      </c>
      <c r="B9" s="108" t="s">
        <v>250</v>
      </c>
      <c r="C9" s="65">
        <v>7.5</v>
      </c>
      <c r="D9" s="81">
        <v>36</v>
      </c>
      <c r="E9" s="64">
        <f>IF(ISBLANK($D9),"0",IF(($D10-$D9)&lt;($C10-$C9),1,0))</f>
        <v>0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/>
      <c r="M9" s="69" t="s">
        <v>350</v>
      </c>
      <c r="N9" s="69"/>
      <c r="O9" s="69" t="s">
        <v>311</v>
      </c>
      <c r="P9" s="69"/>
      <c r="Q9" s="69" t="s">
        <v>335</v>
      </c>
      <c r="R9" s="96" t="s">
        <v>309</v>
      </c>
      <c r="S9" s="96" t="s">
        <v>311</v>
      </c>
      <c r="T9" s="96"/>
      <c r="U9" s="69"/>
      <c r="V9" s="69" t="s">
        <v>309</v>
      </c>
      <c r="W9" s="69" t="s">
        <v>323</v>
      </c>
      <c r="X9" s="69" t="s">
        <v>340</v>
      </c>
      <c r="Y9" s="69" t="s">
        <v>311</v>
      </c>
      <c r="Z9" s="69" t="s">
        <v>311</v>
      </c>
      <c r="AA9" s="69" t="s">
        <v>311</v>
      </c>
      <c r="AB9" s="69" t="s">
        <v>332</v>
      </c>
      <c r="AC9" s="69" t="s">
        <v>311</v>
      </c>
      <c r="AD9" s="69"/>
      <c r="AE9" s="69"/>
      <c r="AF9" s="69"/>
      <c r="AG9" s="69"/>
      <c r="AH9" s="69" t="s">
        <v>362</v>
      </c>
      <c r="AI9" s="69" t="s">
        <v>337</v>
      </c>
      <c r="AJ9" s="69"/>
      <c r="AK9" s="69"/>
      <c r="AL9" s="69"/>
      <c r="AM9" s="69" t="s">
        <v>340</v>
      </c>
      <c r="AN9" s="69"/>
      <c r="AO9" s="69" t="s">
        <v>311</v>
      </c>
      <c r="AP9" s="69" t="s">
        <v>320</v>
      </c>
      <c r="AQ9" s="69" t="s">
        <v>311</v>
      </c>
      <c r="AR9" s="96" t="s">
        <v>309</v>
      </c>
      <c r="AS9" s="69" t="s">
        <v>375</v>
      </c>
      <c r="AT9" s="69" t="s">
        <v>336</v>
      </c>
      <c r="AU9" s="69" t="s">
        <v>309</v>
      </c>
      <c r="AV9" s="69" t="s">
        <v>320</v>
      </c>
      <c r="AW9" s="69" t="s">
        <v>320</v>
      </c>
      <c r="AX9" s="69" t="s">
        <v>315</v>
      </c>
      <c r="AY9" s="69" t="s">
        <v>311</v>
      </c>
      <c r="AZ9" s="69" t="s">
        <v>311</v>
      </c>
      <c r="BA9" s="69" t="s">
        <v>311</v>
      </c>
      <c r="BB9" s="69" t="s">
        <v>314</v>
      </c>
      <c r="BC9" s="69"/>
      <c r="BD9" s="69" t="s">
        <v>313</v>
      </c>
      <c r="BE9" s="96" t="s">
        <v>364</v>
      </c>
      <c r="BF9" s="69"/>
      <c r="BG9" s="69"/>
      <c r="BH9" s="69" t="s">
        <v>311</v>
      </c>
      <c r="BI9" s="69" t="s">
        <v>321</v>
      </c>
      <c r="BJ9" s="69" t="s">
        <v>315</v>
      </c>
      <c r="BK9" s="69" t="s">
        <v>309</v>
      </c>
      <c r="BL9" s="69"/>
      <c r="BM9" s="69" t="s">
        <v>330</v>
      </c>
    </row>
    <row r="10" spans="1:65">
      <c r="A10" s="61" t="s">
        <v>3</v>
      </c>
      <c r="B10" s="68" t="s">
        <v>161</v>
      </c>
      <c r="C10" s="66"/>
      <c r="D10" s="64">
        <v>34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309</v>
      </c>
      <c r="M10" s="70"/>
      <c r="N10" s="70" t="s">
        <v>471</v>
      </c>
      <c r="O10" s="70"/>
      <c r="P10" s="70" t="s">
        <v>309</v>
      </c>
      <c r="Q10" s="70"/>
      <c r="R10" s="97"/>
      <c r="S10" s="97"/>
      <c r="T10" s="97" t="s">
        <v>344</v>
      </c>
      <c r="U10" s="70" t="s">
        <v>309</v>
      </c>
      <c r="V10" s="70"/>
      <c r="W10" s="70"/>
      <c r="X10" s="70"/>
      <c r="Y10" s="70"/>
      <c r="Z10" s="70"/>
      <c r="AA10" s="70"/>
      <c r="AB10" s="70"/>
      <c r="AC10" s="70"/>
      <c r="AD10" s="70" t="s">
        <v>319</v>
      </c>
      <c r="AE10" s="70" t="s">
        <v>311</v>
      </c>
      <c r="AF10" s="70"/>
      <c r="AG10" s="70" t="s">
        <v>313</v>
      </c>
      <c r="AH10" s="70"/>
      <c r="AI10" s="70"/>
      <c r="AJ10" s="70" t="s">
        <v>339</v>
      </c>
      <c r="AK10" s="70"/>
      <c r="AL10" s="70" t="s">
        <v>327</v>
      </c>
      <c r="AM10" s="70"/>
      <c r="AN10" s="70" t="s">
        <v>335</v>
      </c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 t="s">
        <v>309</v>
      </c>
      <c r="BD10" s="70"/>
      <c r="BE10" s="70"/>
      <c r="BF10" s="70" t="s">
        <v>309</v>
      </c>
      <c r="BG10" s="70" t="s">
        <v>311</v>
      </c>
      <c r="BH10" s="70"/>
      <c r="BI10" s="70"/>
      <c r="BJ10" s="70"/>
      <c r="BK10" s="70"/>
      <c r="BL10" s="70" t="s">
        <v>311</v>
      </c>
      <c r="BM10" s="70"/>
    </row>
    <row r="11" spans="1:65">
      <c r="A11" s="59">
        <v>5</v>
      </c>
      <c r="B11" s="67" t="s">
        <v>163</v>
      </c>
      <c r="C11" s="65">
        <v>6.5</v>
      </c>
      <c r="D11" s="64">
        <v>17</v>
      </c>
      <c r="E11" s="64">
        <f>IF(ISBLANK($D11),"0",IF(($D12-$D11)&lt;($C12-$C11),1,0))</f>
        <v>0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 t="s">
        <v>320</v>
      </c>
      <c r="K11" s="69" t="s">
        <v>309</v>
      </c>
      <c r="L11" s="69" t="s">
        <v>309</v>
      </c>
      <c r="M11" s="69" t="s">
        <v>350</v>
      </c>
      <c r="N11" s="69" t="s">
        <v>486</v>
      </c>
      <c r="O11" s="69" t="s">
        <v>311</v>
      </c>
      <c r="P11" s="69"/>
      <c r="Q11" s="69"/>
      <c r="R11" s="96"/>
      <c r="S11" s="96"/>
      <c r="T11" s="96" t="s">
        <v>344</v>
      </c>
      <c r="U11" s="69" t="s">
        <v>309</v>
      </c>
      <c r="V11" s="69"/>
      <c r="W11" s="69" t="s">
        <v>360</v>
      </c>
      <c r="X11" s="69" t="s">
        <v>320</v>
      </c>
      <c r="Y11" s="69" t="s">
        <v>311</v>
      </c>
      <c r="Z11" s="69"/>
      <c r="AA11" s="69"/>
      <c r="AB11" s="69" t="s">
        <v>372</v>
      </c>
      <c r="AC11" s="69" t="s">
        <v>311</v>
      </c>
      <c r="AD11" s="69"/>
      <c r="AE11" s="69" t="s">
        <v>311</v>
      </c>
      <c r="AF11" s="69"/>
      <c r="AG11" s="69"/>
      <c r="AH11" s="69" t="s">
        <v>389</v>
      </c>
      <c r="AI11" s="69" t="s">
        <v>360</v>
      </c>
      <c r="AJ11" s="69"/>
      <c r="AK11" s="69"/>
      <c r="AL11" s="69" t="s">
        <v>327</v>
      </c>
      <c r="AM11" s="69" t="s">
        <v>318</v>
      </c>
      <c r="AN11" s="69" t="s">
        <v>335</v>
      </c>
      <c r="AO11" s="69" t="s">
        <v>311</v>
      </c>
      <c r="AP11" s="69" t="s">
        <v>323</v>
      </c>
      <c r="AQ11" s="69" t="s">
        <v>311</v>
      </c>
      <c r="AR11" s="69" t="s">
        <v>309</v>
      </c>
      <c r="AS11" s="69" t="s">
        <v>331</v>
      </c>
      <c r="AT11" s="69" t="s">
        <v>336</v>
      </c>
      <c r="AU11" s="69" t="s">
        <v>309</v>
      </c>
      <c r="AV11" s="69"/>
      <c r="AW11" s="69" t="s">
        <v>493</v>
      </c>
      <c r="AX11" s="69"/>
      <c r="AY11" s="69" t="s">
        <v>311</v>
      </c>
      <c r="AZ11" s="69"/>
      <c r="BA11" s="69" t="s">
        <v>311</v>
      </c>
      <c r="BB11" s="69" t="s">
        <v>314</v>
      </c>
      <c r="BC11" s="69" t="s">
        <v>309</v>
      </c>
      <c r="BD11" s="69"/>
      <c r="BE11" s="96"/>
      <c r="BF11" s="69" t="s">
        <v>309</v>
      </c>
      <c r="BG11" s="69" t="s">
        <v>311</v>
      </c>
      <c r="BH11" s="69"/>
      <c r="BI11" s="69"/>
      <c r="BJ11" s="69" t="s">
        <v>345</v>
      </c>
      <c r="BK11" s="69" t="s">
        <v>309</v>
      </c>
      <c r="BL11" s="69" t="s">
        <v>311</v>
      </c>
      <c r="BM11" s="69" t="s">
        <v>331</v>
      </c>
    </row>
    <row r="12" spans="1:65">
      <c r="A12" s="61" t="s">
        <v>3</v>
      </c>
      <c r="B12" s="68" t="s">
        <v>151</v>
      </c>
      <c r="C12" s="66"/>
      <c r="D12" s="64">
        <v>13</v>
      </c>
      <c r="E12" s="64">
        <f>IF(ISBLANK($D12),"0",IF(($D12-$D11)&gt;($C12-$C11),1,0))</f>
        <v>1</v>
      </c>
      <c r="F12" s="64">
        <f t="shared" ca="1" si="1"/>
        <v>17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309</v>
      </c>
      <c r="Q12" s="70" t="s">
        <v>335</v>
      </c>
      <c r="R12" s="97" t="s">
        <v>309</v>
      </c>
      <c r="S12" s="97" t="s">
        <v>311</v>
      </c>
      <c r="T12" s="97"/>
      <c r="U12" s="70"/>
      <c r="V12" s="70" t="s">
        <v>309</v>
      </c>
      <c r="W12" s="70"/>
      <c r="X12" s="70"/>
      <c r="Y12" s="70"/>
      <c r="Z12" s="70" t="s">
        <v>311</v>
      </c>
      <c r="AA12" s="70" t="s">
        <v>311</v>
      </c>
      <c r="AB12" s="70"/>
      <c r="AC12" s="70"/>
      <c r="AD12" s="70" t="s">
        <v>338</v>
      </c>
      <c r="AE12" s="70"/>
      <c r="AF12" s="70"/>
      <c r="AG12" s="70" t="s">
        <v>312</v>
      </c>
      <c r="AH12" s="70"/>
      <c r="AI12" s="70"/>
      <c r="AJ12" s="70" t="s">
        <v>339</v>
      </c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 t="s">
        <v>313</v>
      </c>
      <c r="AW12" s="70"/>
      <c r="AX12" s="70" t="s">
        <v>336</v>
      </c>
      <c r="AY12" s="70"/>
      <c r="AZ12" s="70" t="s">
        <v>311</v>
      </c>
      <c r="BA12" s="70"/>
      <c r="BB12" s="70"/>
      <c r="BC12" s="70"/>
      <c r="BD12" s="70" t="s">
        <v>314</v>
      </c>
      <c r="BE12" s="70" t="s">
        <v>364</v>
      </c>
      <c r="BF12" s="70"/>
      <c r="BG12" s="70"/>
      <c r="BH12" s="70" t="s">
        <v>311</v>
      </c>
      <c r="BI12" s="70" t="s">
        <v>321</v>
      </c>
      <c r="BJ12" s="70"/>
      <c r="BK12" s="70"/>
      <c r="BL12" s="70"/>
      <c r="BM12" s="70"/>
    </row>
    <row r="13" spans="1:65">
      <c r="A13" s="59">
        <v>6</v>
      </c>
      <c r="B13" s="67" t="s">
        <v>154</v>
      </c>
      <c r="C13" s="65"/>
      <c r="D13" s="64">
        <v>9</v>
      </c>
      <c r="E13" s="64">
        <f>IF(ISBLANK($D13),"0",IF(($D14-$D13)&lt;($C14-$C13),1,0))</f>
        <v>0</v>
      </c>
      <c r="F13" s="64">
        <f t="shared" ca="1" si="1"/>
        <v>15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 t="s">
        <v>335</v>
      </c>
      <c r="R13" s="96"/>
      <c r="S13" s="96" t="s">
        <v>311</v>
      </c>
      <c r="T13" s="96"/>
      <c r="U13" s="69"/>
      <c r="V13" s="69"/>
      <c r="W13" s="69"/>
      <c r="X13" s="69"/>
      <c r="Y13" s="69"/>
      <c r="Z13" s="69"/>
      <c r="AA13" s="69" t="s">
        <v>311</v>
      </c>
      <c r="AB13" s="69"/>
      <c r="AC13" s="69"/>
      <c r="AD13" s="69"/>
      <c r="AE13" s="69" t="s">
        <v>311</v>
      </c>
      <c r="AF13" s="69"/>
      <c r="AG13" s="69"/>
      <c r="AH13" s="69" t="s">
        <v>367</v>
      </c>
      <c r="AI13" s="69" t="s">
        <v>313</v>
      </c>
      <c r="AJ13" s="69"/>
      <c r="AK13" s="69"/>
      <c r="AL13" s="69"/>
      <c r="AM13" s="69"/>
      <c r="AN13" s="69"/>
      <c r="AO13" s="69" t="s">
        <v>311</v>
      </c>
      <c r="AP13" s="69"/>
      <c r="AQ13" s="69"/>
      <c r="AR13" s="96" t="s">
        <v>309</v>
      </c>
      <c r="AS13" s="69" t="s">
        <v>332</v>
      </c>
      <c r="AT13" s="69"/>
      <c r="AU13" s="69"/>
      <c r="AV13" s="69"/>
      <c r="AW13" s="69"/>
      <c r="AX13" s="69"/>
      <c r="AY13" s="69"/>
      <c r="AZ13" s="69"/>
      <c r="BA13" s="69"/>
      <c r="BB13" s="69" t="s">
        <v>314</v>
      </c>
      <c r="BC13" s="69" t="s">
        <v>309</v>
      </c>
      <c r="BD13" s="69" t="s">
        <v>320</v>
      </c>
      <c r="BE13" s="96" t="s">
        <v>364</v>
      </c>
      <c r="BF13" s="69"/>
      <c r="BG13" s="69" t="s">
        <v>311</v>
      </c>
      <c r="BH13" s="69"/>
      <c r="BI13" s="69"/>
      <c r="BJ13" s="69"/>
      <c r="BK13" s="69"/>
      <c r="BL13" s="69"/>
      <c r="BM13" s="69" t="s">
        <v>332</v>
      </c>
    </row>
    <row r="14" spans="1:65">
      <c r="A14" s="61" t="s">
        <v>3</v>
      </c>
      <c r="B14" s="68" t="s">
        <v>241</v>
      </c>
      <c r="C14" s="66">
        <v>8.5</v>
      </c>
      <c r="D14" s="64">
        <v>42</v>
      </c>
      <c r="E14" s="64">
        <f>IF(ISBLANK($D14),"0",IF(($D14-$D13)&gt;($C14-$C13),1,0))</f>
        <v>1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320</v>
      </c>
      <c r="K14" s="70" t="s">
        <v>309</v>
      </c>
      <c r="L14" s="70" t="s">
        <v>309</v>
      </c>
      <c r="M14" s="70" t="s">
        <v>350</v>
      </c>
      <c r="N14" s="70" t="s">
        <v>487</v>
      </c>
      <c r="O14" s="70" t="s">
        <v>311</v>
      </c>
      <c r="P14" s="70" t="s">
        <v>309</v>
      </c>
      <c r="Q14" s="70"/>
      <c r="R14" s="97" t="s">
        <v>309</v>
      </c>
      <c r="S14" s="97"/>
      <c r="T14" s="97" t="s">
        <v>344</v>
      </c>
      <c r="U14" s="70" t="s">
        <v>309</v>
      </c>
      <c r="V14" s="70" t="s">
        <v>309</v>
      </c>
      <c r="W14" s="70" t="s">
        <v>325</v>
      </c>
      <c r="X14" s="70" t="s">
        <v>366</v>
      </c>
      <c r="Y14" s="70" t="s">
        <v>311</v>
      </c>
      <c r="Z14" s="70" t="s">
        <v>311</v>
      </c>
      <c r="AA14" s="70"/>
      <c r="AB14" s="70" t="s">
        <v>327</v>
      </c>
      <c r="AC14" s="70" t="s">
        <v>311</v>
      </c>
      <c r="AD14" s="70" t="s">
        <v>323</v>
      </c>
      <c r="AE14" s="70"/>
      <c r="AF14" s="70"/>
      <c r="AG14" s="70" t="s">
        <v>318</v>
      </c>
      <c r="AH14" s="70"/>
      <c r="AI14" s="70"/>
      <c r="AJ14" s="70" t="s">
        <v>339</v>
      </c>
      <c r="AK14" s="70"/>
      <c r="AL14" s="70" t="s">
        <v>327</v>
      </c>
      <c r="AM14" s="70" t="s">
        <v>319</v>
      </c>
      <c r="AN14" s="70" t="s">
        <v>335</v>
      </c>
      <c r="AO14" s="70"/>
      <c r="AP14" s="70" t="s">
        <v>373</v>
      </c>
      <c r="AQ14" s="70" t="s">
        <v>311</v>
      </c>
      <c r="AR14" s="70"/>
      <c r="AS14" s="70"/>
      <c r="AT14" s="70" t="s">
        <v>336</v>
      </c>
      <c r="AU14" s="70" t="s">
        <v>309</v>
      </c>
      <c r="AV14" s="70" t="s">
        <v>347</v>
      </c>
      <c r="AW14" s="70" t="s">
        <v>336</v>
      </c>
      <c r="AX14" s="70" t="s">
        <v>323</v>
      </c>
      <c r="AY14" s="70" t="s">
        <v>311</v>
      </c>
      <c r="AZ14" s="70" t="s">
        <v>311</v>
      </c>
      <c r="BA14" s="70" t="s">
        <v>311</v>
      </c>
      <c r="BB14" s="70"/>
      <c r="BC14" s="70"/>
      <c r="BD14" s="70"/>
      <c r="BE14" s="70"/>
      <c r="BF14" s="70" t="s">
        <v>309</v>
      </c>
      <c r="BG14" s="70"/>
      <c r="BH14" s="70" t="s">
        <v>311</v>
      </c>
      <c r="BI14" s="70" t="s">
        <v>321</v>
      </c>
      <c r="BJ14" s="70" t="s">
        <v>318</v>
      </c>
      <c r="BK14" s="70" t="s">
        <v>309</v>
      </c>
      <c r="BL14" s="70" t="s">
        <v>311</v>
      </c>
      <c r="BM14" s="70"/>
    </row>
    <row r="15" spans="1:65">
      <c r="A15" s="59">
        <v>7</v>
      </c>
      <c r="B15" s="67" t="s">
        <v>155</v>
      </c>
      <c r="C15" s="65">
        <v>3.5</v>
      </c>
      <c r="D15" s="64">
        <v>45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/>
      <c r="N15" s="69" t="s">
        <v>488</v>
      </c>
      <c r="O15" s="69" t="s">
        <v>311</v>
      </c>
      <c r="P15" s="69" t="s">
        <v>309</v>
      </c>
      <c r="Q15" s="69"/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/>
      <c r="X15" s="69" t="s">
        <v>393</v>
      </c>
      <c r="Y15" s="69" t="s">
        <v>311</v>
      </c>
      <c r="Z15" s="69"/>
      <c r="AA15" s="69"/>
      <c r="AB15" s="69"/>
      <c r="AC15" s="69" t="s">
        <v>311</v>
      </c>
      <c r="AD15" s="69"/>
      <c r="AE15" s="69" t="s">
        <v>311</v>
      </c>
      <c r="AF15" s="69"/>
      <c r="AG15" s="69" t="s">
        <v>315</v>
      </c>
      <c r="AH15" s="69" t="s">
        <v>323</v>
      </c>
      <c r="AI15" s="69" t="s">
        <v>325</v>
      </c>
      <c r="AJ15" s="69" t="s">
        <v>339</v>
      </c>
      <c r="AK15" s="69"/>
      <c r="AL15" s="69" t="s">
        <v>327</v>
      </c>
      <c r="AM15" s="69" t="s">
        <v>331</v>
      </c>
      <c r="AN15" s="69" t="s">
        <v>335</v>
      </c>
      <c r="AO15" s="69" t="s">
        <v>311</v>
      </c>
      <c r="AP15" s="69"/>
      <c r="AQ15" s="69"/>
      <c r="AR15" s="69" t="s">
        <v>309</v>
      </c>
      <c r="AS15" s="69"/>
      <c r="AT15" s="69"/>
      <c r="AU15" s="69" t="s">
        <v>309</v>
      </c>
      <c r="AV15" s="69" t="s">
        <v>313</v>
      </c>
      <c r="AW15" s="69" t="s">
        <v>323</v>
      </c>
      <c r="AX15" s="69"/>
      <c r="AY15" s="69" t="s">
        <v>311</v>
      </c>
      <c r="AZ15" s="69" t="s">
        <v>311</v>
      </c>
      <c r="BA15" s="69"/>
      <c r="BB15" s="69" t="s">
        <v>314</v>
      </c>
      <c r="BC15" s="69" t="s">
        <v>309</v>
      </c>
      <c r="BD15" s="69"/>
      <c r="BE15" s="96" t="s">
        <v>364</v>
      </c>
      <c r="BF15" s="69"/>
      <c r="BG15" s="69" t="s">
        <v>311</v>
      </c>
      <c r="BH15" s="69"/>
      <c r="BI15" s="69" t="s">
        <v>321</v>
      </c>
      <c r="BJ15" s="69" t="s">
        <v>325</v>
      </c>
      <c r="BK15" s="69" t="s">
        <v>309</v>
      </c>
      <c r="BL15" s="69" t="s">
        <v>311</v>
      </c>
      <c r="BM15" s="69" t="s">
        <v>331</v>
      </c>
    </row>
    <row r="16" spans="1:65">
      <c r="A16" s="61" t="s">
        <v>3</v>
      </c>
      <c r="B16" s="68" t="s">
        <v>254</v>
      </c>
      <c r="C16" s="66"/>
      <c r="D16" s="64">
        <v>32</v>
      </c>
      <c r="E16" s="64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350</v>
      </c>
      <c r="N16" s="70"/>
      <c r="O16" s="70"/>
      <c r="P16" s="70"/>
      <c r="Q16" s="70" t="s">
        <v>335</v>
      </c>
      <c r="R16" s="70" t="s">
        <v>309</v>
      </c>
      <c r="S16" s="70"/>
      <c r="T16" s="70"/>
      <c r="U16" s="70"/>
      <c r="V16" s="70"/>
      <c r="W16" s="70" t="s">
        <v>314</v>
      </c>
      <c r="X16" s="70"/>
      <c r="Y16" s="70"/>
      <c r="Z16" s="70" t="s">
        <v>311</v>
      </c>
      <c r="AA16" s="70" t="s">
        <v>311</v>
      </c>
      <c r="AB16" s="70" t="s">
        <v>350</v>
      </c>
      <c r="AC16" s="70"/>
      <c r="AD16" s="70" t="s">
        <v>347</v>
      </c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 t="s">
        <v>347</v>
      </c>
      <c r="AQ16" s="70" t="s">
        <v>311</v>
      </c>
      <c r="AR16" s="97"/>
      <c r="AS16" s="70" t="s">
        <v>327</v>
      </c>
      <c r="AT16" s="70" t="s">
        <v>336</v>
      </c>
      <c r="AU16" s="70"/>
      <c r="AV16" s="70"/>
      <c r="AW16" s="70"/>
      <c r="AX16" s="70" t="s">
        <v>372</v>
      </c>
      <c r="AY16" s="70"/>
      <c r="AZ16" s="70"/>
      <c r="BA16" s="70" t="s">
        <v>311</v>
      </c>
      <c r="BB16" s="70"/>
      <c r="BC16" s="70"/>
      <c r="BD16" s="70" t="s">
        <v>315</v>
      </c>
      <c r="BE16" s="70"/>
      <c r="BF16" s="70" t="s">
        <v>309</v>
      </c>
      <c r="BG16" s="70"/>
      <c r="BH16" s="70" t="s">
        <v>311</v>
      </c>
      <c r="BI16" s="70"/>
      <c r="BJ16" s="70"/>
      <c r="BK16" s="70"/>
      <c r="BL16" s="70"/>
      <c r="BM16" s="70"/>
    </row>
    <row r="17" spans="1:65">
      <c r="A17" s="59">
        <v>8</v>
      </c>
      <c r="B17" s="67" t="s">
        <v>188</v>
      </c>
      <c r="C17" s="65"/>
      <c r="D17" s="64">
        <v>13</v>
      </c>
      <c r="E17" s="64">
        <f>IF(ISBLANK($D17),"0",IF(($D18-$D17)&lt;($C18-$C17),1,0))</f>
        <v>0</v>
      </c>
      <c r="F17" s="64">
        <f t="shared" ca="1" si="1"/>
        <v>21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309</v>
      </c>
      <c r="M17" s="69" t="s">
        <v>350</v>
      </c>
      <c r="N17" s="69"/>
      <c r="O17" s="69" t="s">
        <v>311</v>
      </c>
      <c r="P17" s="69"/>
      <c r="Q17" s="69"/>
      <c r="R17" s="69" t="s">
        <v>309</v>
      </c>
      <c r="S17" s="69" t="s">
        <v>311</v>
      </c>
      <c r="T17" s="69"/>
      <c r="U17" s="69" t="s">
        <v>309</v>
      </c>
      <c r="V17" s="69" t="s">
        <v>309</v>
      </c>
      <c r="W17" s="69"/>
      <c r="X17" s="69"/>
      <c r="Y17" s="69"/>
      <c r="Z17" s="69"/>
      <c r="AA17" s="69"/>
      <c r="AB17" s="69"/>
      <c r="AC17" s="69"/>
      <c r="AD17" s="69" t="s">
        <v>313</v>
      </c>
      <c r="AE17" s="69" t="s">
        <v>311</v>
      </c>
      <c r="AF17" s="69"/>
      <c r="AG17" s="69"/>
      <c r="AH17" s="69"/>
      <c r="AI17" s="69" t="s">
        <v>320</v>
      </c>
      <c r="AJ17" s="69"/>
      <c r="AK17" s="69"/>
      <c r="AL17" s="69"/>
      <c r="AM17" s="69"/>
      <c r="AN17" s="69" t="s">
        <v>335</v>
      </c>
      <c r="AO17" s="69"/>
      <c r="AP17" s="69" t="s">
        <v>313</v>
      </c>
      <c r="AQ17" s="69" t="s">
        <v>311</v>
      </c>
      <c r="AR17" s="96"/>
      <c r="AS17" s="69"/>
      <c r="AT17" s="69"/>
      <c r="AU17" s="69"/>
      <c r="AV17" s="69" t="s">
        <v>390</v>
      </c>
      <c r="AW17" s="69" t="s">
        <v>367</v>
      </c>
      <c r="AX17" s="69" t="s">
        <v>318</v>
      </c>
      <c r="AY17" s="69"/>
      <c r="AZ17" s="69" t="s">
        <v>311</v>
      </c>
      <c r="BA17" s="69"/>
      <c r="BB17" s="69"/>
      <c r="BC17" s="69" t="s">
        <v>309</v>
      </c>
      <c r="BD17" s="69" t="s">
        <v>334</v>
      </c>
      <c r="BE17" s="69"/>
      <c r="BF17" s="69"/>
      <c r="BG17" s="69"/>
      <c r="BH17" s="69"/>
      <c r="BI17" s="69"/>
      <c r="BJ17" s="69"/>
      <c r="BK17" s="69"/>
      <c r="BL17" s="69" t="s">
        <v>311</v>
      </c>
      <c r="BM17" s="69" t="s">
        <v>333</v>
      </c>
    </row>
    <row r="18" spans="1:65">
      <c r="A18" s="61" t="s">
        <v>3</v>
      </c>
      <c r="B18" s="68" t="s">
        <v>187</v>
      </c>
      <c r="C18" s="66">
        <v>2.5</v>
      </c>
      <c r="D18" s="64">
        <v>20</v>
      </c>
      <c r="E18" s="64">
        <f>IF(ISBLANK($D18),"0",IF(($D18-$D17)&gt;($C18-$C17),1,0))</f>
        <v>1</v>
      </c>
      <c r="F18" s="64">
        <f t="shared" ca="1" si="1"/>
        <v>32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320</v>
      </c>
      <c r="K18" s="70" t="s">
        <v>309</v>
      </c>
      <c r="L18" s="70"/>
      <c r="M18" s="70"/>
      <c r="N18" s="70" t="s">
        <v>489</v>
      </c>
      <c r="O18" s="70"/>
      <c r="P18" s="70" t="s">
        <v>309</v>
      </c>
      <c r="Q18" s="70" t="s">
        <v>335</v>
      </c>
      <c r="R18" s="70"/>
      <c r="S18" s="70"/>
      <c r="T18" s="70" t="s">
        <v>344</v>
      </c>
      <c r="U18" s="70"/>
      <c r="V18" s="70"/>
      <c r="W18" s="70" t="s">
        <v>319</v>
      </c>
      <c r="X18" s="70" t="s">
        <v>318</v>
      </c>
      <c r="Y18" s="70" t="s">
        <v>311</v>
      </c>
      <c r="Z18" s="70" t="s">
        <v>311</v>
      </c>
      <c r="AA18" s="70" t="s">
        <v>311</v>
      </c>
      <c r="AB18" s="70" t="s">
        <v>328</v>
      </c>
      <c r="AC18" s="70" t="s">
        <v>311</v>
      </c>
      <c r="AD18" s="70"/>
      <c r="AE18" s="70"/>
      <c r="AF18" s="70"/>
      <c r="AG18" s="70" t="s">
        <v>375</v>
      </c>
      <c r="AH18" s="70" t="s">
        <v>325</v>
      </c>
      <c r="AI18" s="70"/>
      <c r="AJ18" s="70" t="s">
        <v>339</v>
      </c>
      <c r="AK18" s="70"/>
      <c r="AL18" s="70" t="s">
        <v>327</v>
      </c>
      <c r="AM18" s="70" t="s">
        <v>323</v>
      </c>
      <c r="AN18" s="70"/>
      <c r="AO18" s="70" t="s">
        <v>311</v>
      </c>
      <c r="AP18" s="70"/>
      <c r="AQ18" s="70"/>
      <c r="AR18" s="70" t="s">
        <v>309</v>
      </c>
      <c r="AS18" s="70" t="s">
        <v>372</v>
      </c>
      <c r="AT18" s="70" t="s">
        <v>336</v>
      </c>
      <c r="AU18" s="70" t="s">
        <v>309</v>
      </c>
      <c r="AV18" s="70"/>
      <c r="AW18" s="70"/>
      <c r="AX18" s="70"/>
      <c r="AY18" s="70" t="s">
        <v>311</v>
      </c>
      <c r="AZ18" s="70"/>
      <c r="BA18" s="70" t="s">
        <v>311</v>
      </c>
      <c r="BB18" s="70" t="s">
        <v>314</v>
      </c>
      <c r="BC18" s="70"/>
      <c r="BD18" s="70"/>
      <c r="BE18" s="97" t="s">
        <v>364</v>
      </c>
      <c r="BF18" s="70" t="s">
        <v>309</v>
      </c>
      <c r="BG18" s="70" t="s">
        <v>311</v>
      </c>
      <c r="BH18" s="70" t="s">
        <v>311</v>
      </c>
      <c r="BI18" s="70" t="s">
        <v>321</v>
      </c>
      <c r="BJ18" s="70" t="s">
        <v>338</v>
      </c>
      <c r="BK18" s="70" t="s">
        <v>309</v>
      </c>
      <c r="BL18" s="70"/>
      <c r="BM18" s="70"/>
    </row>
    <row r="19" spans="1:65">
      <c r="A19" s="59">
        <v>9</v>
      </c>
      <c r="B19" s="67" t="s">
        <v>249</v>
      </c>
      <c r="C19" s="65">
        <v>3.5</v>
      </c>
      <c r="D19" s="64">
        <v>10</v>
      </c>
      <c r="E19" s="64">
        <f>IF(ISBLANK($D19),"0",IF(($D20-$D19)&lt;($C20-$C19),1,0))</f>
        <v>0</v>
      </c>
      <c r="F19" s="64">
        <f t="shared" ca="1" si="1"/>
        <v>31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 t="s">
        <v>309</v>
      </c>
      <c r="M19" s="69" t="s">
        <v>350</v>
      </c>
      <c r="N19" s="69" t="s">
        <v>455</v>
      </c>
      <c r="O19" s="69" t="s">
        <v>311</v>
      </c>
      <c r="P19" s="69" t="s">
        <v>309</v>
      </c>
      <c r="Q19" s="69" t="s">
        <v>335</v>
      </c>
      <c r="R19" s="69"/>
      <c r="S19" s="69"/>
      <c r="T19" s="69" t="s">
        <v>344</v>
      </c>
      <c r="U19" s="69"/>
      <c r="V19" s="69" t="s">
        <v>309</v>
      </c>
      <c r="W19" s="69" t="s">
        <v>389</v>
      </c>
      <c r="X19" s="69" t="s">
        <v>340</v>
      </c>
      <c r="Y19" s="69" t="s">
        <v>311</v>
      </c>
      <c r="Z19" s="69"/>
      <c r="AA19" s="69"/>
      <c r="AB19" s="69"/>
      <c r="AC19" s="69" t="s">
        <v>311</v>
      </c>
      <c r="AD19" s="69"/>
      <c r="AE19" s="69" t="s">
        <v>311</v>
      </c>
      <c r="AF19" s="69"/>
      <c r="AG19" s="69"/>
      <c r="AH19" s="69"/>
      <c r="AI19" s="69" t="s">
        <v>321</v>
      </c>
      <c r="AJ19" s="69"/>
      <c r="AK19" s="69"/>
      <c r="AL19" s="69"/>
      <c r="AM19" s="69" t="s">
        <v>346</v>
      </c>
      <c r="AN19" s="69" t="s">
        <v>335</v>
      </c>
      <c r="AO19" s="69"/>
      <c r="AP19" s="69" t="s">
        <v>373</v>
      </c>
      <c r="AQ19" s="69"/>
      <c r="AR19" s="69" t="s">
        <v>309</v>
      </c>
      <c r="AS19" s="69" t="s">
        <v>334</v>
      </c>
      <c r="AT19" s="69" t="s">
        <v>336</v>
      </c>
      <c r="AU19" s="69" t="s">
        <v>309</v>
      </c>
      <c r="AV19" s="69" t="s">
        <v>313</v>
      </c>
      <c r="AW19" s="69" t="s">
        <v>313</v>
      </c>
      <c r="AX19" s="69" t="s">
        <v>363</v>
      </c>
      <c r="AY19" s="69"/>
      <c r="AZ19" s="69" t="s">
        <v>311</v>
      </c>
      <c r="BA19" s="69"/>
      <c r="BB19" s="69" t="s">
        <v>314</v>
      </c>
      <c r="BC19" s="69"/>
      <c r="BD19" s="69"/>
      <c r="BE19" s="69" t="s">
        <v>364</v>
      </c>
      <c r="BF19" s="69"/>
      <c r="BG19" s="69"/>
      <c r="BH19" s="69" t="s">
        <v>311</v>
      </c>
      <c r="BI19" s="69"/>
      <c r="BJ19" s="69" t="s">
        <v>314</v>
      </c>
      <c r="BK19" s="69" t="s">
        <v>309</v>
      </c>
      <c r="BL19" s="69"/>
      <c r="BM19" s="69"/>
    </row>
    <row r="20" spans="1:65">
      <c r="A20" s="61" t="s">
        <v>3</v>
      </c>
      <c r="B20" s="68" t="s">
        <v>245</v>
      </c>
      <c r="C20" s="66"/>
      <c r="D20" s="64">
        <v>26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/>
      <c r="M20" s="70"/>
      <c r="N20" s="70"/>
      <c r="O20" s="70"/>
      <c r="P20" s="70"/>
      <c r="Q20" s="70"/>
      <c r="R20" s="70" t="s">
        <v>309</v>
      </c>
      <c r="S20" s="70" t="s">
        <v>311</v>
      </c>
      <c r="T20" s="70"/>
      <c r="U20" s="70" t="s">
        <v>309</v>
      </c>
      <c r="V20" s="70"/>
      <c r="W20" s="70"/>
      <c r="X20" s="70"/>
      <c r="Y20" s="70"/>
      <c r="Z20" s="70" t="s">
        <v>311</v>
      </c>
      <c r="AA20" s="70" t="s">
        <v>311</v>
      </c>
      <c r="AB20" s="70" t="s">
        <v>334</v>
      </c>
      <c r="AC20" s="70"/>
      <c r="AD20" s="70" t="s">
        <v>469</v>
      </c>
      <c r="AE20" s="70"/>
      <c r="AF20" s="70"/>
      <c r="AG20" s="70" t="s">
        <v>328</v>
      </c>
      <c r="AH20" s="70" t="s">
        <v>491</v>
      </c>
      <c r="AI20" s="70"/>
      <c r="AJ20" s="70" t="s">
        <v>339</v>
      </c>
      <c r="AK20" s="70"/>
      <c r="AL20" s="70" t="s">
        <v>327</v>
      </c>
      <c r="AM20" s="70"/>
      <c r="AN20" s="70"/>
      <c r="AO20" s="70" t="s">
        <v>311</v>
      </c>
      <c r="AP20" s="70"/>
      <c r="AQ20" s="70" t="s">
        <v>311</v>
      </c>
      <c r="AR20" s="97"/>
      <c r="AS20" s="70"/>
      <c r="AT20" s="70"/>
      <c r="AU20" s="70"/>
      <c r="AV20" s="70"/>
      <c r="AW20" s="70"/>
      <c r="AX20" s="70"/>
      <c r="AY20" s="70" t="s">
        <v>311</v>
      </c>
      <c r="AZ20" s="70"/>
      <c r="BA20" s="70" t="s">
        <v>311</v>
      </c>
      <c r="BB20" s="70"/>
      <c r="BC20" s="70" t="s">
        <v>309</v>
      </c>
      <c r="BD20" s="70" t="s">
        <v>337</v>
      </c>
      <c r="BE20" s="97"/>
      <c r="BF20" s="70" t="s">
        <v>309</v>
      </c>
      <c r="BG20" s="70" t="s">
        <v>311</v>
      </c>
      <c r="BH20" s="70"/>
      <c r="BI20" s="70" t="s">
        <v>321</v>
      </c>
      <c r="BJ20" s="70"/>
      <c r="BK20" s="70"/>
      <c r="BL20" s="70" t="s">
        <v>311</v>
      </c>
      <c r="BM20" s="70" t="s">
        <v>334</v>
      </c>
    </row>
    <row r="21" spans="1:65">
      <c r="A21" s="59">
        <v>10</v>
      </c>
      <c r="B21" s="67" t="s">
        <v>147</v>
      </c>
      <c r="C21" s="65"/>
      <c r="D21" s="64">
        <v>27</v>
      </c>
      <c r="E21" s="64">
        <f>IF(ISBLANK($D21),"0",IF(($D22-$D21)&lt;($C22-$C21),1,0))</f>
        <v>1</v>
      </c>
      <c r="F21" s="64">
        <f t="shared" ca="1" si="1"/>
        <v>37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 t="s">
        <v>309</v>
      </c>
      <c r="L21" s="69" t="s">
        <v>309</v>
      </c>
      <c r="M21" s="69" t="s">
        <v>350</v>
      </c>
      <c r="N21" s="69"/>
      <c r="O21" s="69" t="s">
        <v>311</v>
      </c>
      <c r="P21" s="69" t="s">
        <v>309</v>
      </c>
      <c r="Q21" s="69"/>
      <c r="R21" s="69" t="s">
        <v>309</v>
      </c>
      <c r="S21" s="69" t="s">
        <v>311</v>
      </c>
      <c r="T21" s="69" t="s">
        <v>344</v>
      </c>
      <c r="U21" s="69" t="s">
        <v>309</v>
      </c>
      <c r="V21" s="69" t="s">
        <v>309</v>
      </c>
      <c r="W21" s="69" t="s">
        <v>320</v>
      </c>
      <c r="X21" s="69" t="s">
        <v>450</v>
      </c>
      <c r="Y21" s="69"/>
      <c r="Z21" s="69" t="s">
        <v>311</v>
      </c>
      <c r="AA21" s="69"/>
      <c r="AB21" s="69" t="s">
        <v>321</v>
      </c>
      <c r="AC21" s="69"/>
      <c r="AD21" s="69" t="s">
        <v>321</v>
      </c>
      <c r="AE21" s="69" t="s">
        <v>311</v>
      </c>
      <c r="AF21" s="69"/>
      <c r="AG21" s="69"/>
      <c r="AH21" s="69" t="s">
        <v>492</v>
      </c>
      <c r="AI21" s="69" t="s">
        <v>321</v>
      </c>
      <c r="AJ21" s="69" t="s">
        <v>339</v>
      </c>
      <c r="AK21" s="69"/>
      <c r="AL21" s="69" t="s">
        <v>327</v>
      </c>
      <c r="AM21" s="69" t="s">
        <v>313</v>
      </c>
      <c r="AN21" s="69" t="s">
        <v>335</v>
      </c>
      <c r="AO21" s="69" t="s">
        <v>311</v>
      </c>
      <c r="AP21" s="69" t="s">
        <v>321</v>
      </c>
      <c r="AQ21" s="69"/>
      <c r="AR21" s="96"/>
      <c r="AS21" s="69"/>
      <c r="AT21" s="69" t="s">
        <v>336</v>
      </c>
      <c r="AU21" s="69" t="s">
        <v>309</v>
      </c>
      <c r="AV21" s="69"/>
      <c r="AW21" s="69"/>
      <c r="AX21" s="69" t="s">
        <v>313</v>
      </c>
      <c r="AY21" s="69" t="s">
        <v>311</v>
      </c>
      <c r="AZ21" s="69" t="s">
        <v>311</v>
      </c>
      <c r="BA21" s="69" t="s">
        <v>311</v>
      </c>
      <c r="BB21" s="69"/>
      <c r="BC21" s="69" t="s">
        <v>309</v>
      </c>
      <c r="BD21" s="69" t="s">
        <v>311</v>
      </c>
      <c r="BE21" s="96"/>
      <c r="BF21" s="69"/>
      <c r="BG21" s="69" t="s">
        <v>311</v>
      </c>
      <c r="BH21" s="69" t="s">
        <v>311</v>
      </c>
      <c r="BI21" s="69"/>
      <c r="BJ21" s="69" t="s">
        <v>496</v>
      </c>
      <c r="BK21" s="69" t="s">
        <v>309</v>
      </c>
      <c r="BL21" s="69" t="s">
        <v>311</v>
      </c>
      <c r="BM21" s="69"/>
    </row>
    <row r="22" spans="1:65">
      <c r="A22" s="61" t="s">
        <v>3</v>
      </c>
      <c r="B22" s="68" t="s">
        <v>162</v>
      </c>
      <c r="C22" s="66">
        <v>11.5</v>
      </c>
      <c r="D22" s="64">
        <v>31</v>
      </c>
      <c r="E22" s="64">
        <f>IF(ISBLANK($D22),"0",IF(($D22-$D21)&gt;($C22-$C21),1,0))</f>
        <v>0</v>
      </c>
      <c r="F22" s="64">
        <f t="shared" ca="1" si="1"/>
        <v>16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411</v>
      </c>
      <c r="O22" s="70"/>
      <c r="P22" s="70"/>
      <c r="Q22" s="70" t="s">
        <v>335</v>
      </c>
      <c r="R22" s="70"/>
      <c r="S22" s="70"/>
      <c r="T22" s="70"/>
      <c r="U22" s="70"/>
      <c r="V22" s="70"/>
      <c r="W22" s="70"/>
      <c r="X22" s="70"/>
      <c r="Y22" s="70" t="s">
        <v>311</v>
      </c>
      <c r="Z22" s="70"/>
      <c r="AA22" s="70" t="s">
        <v>311</v>
      </c>
      <c r="AB22" s="70"/>
      <c r="AC22" s="70" t="s">
        <v>311</v>
      </c>
      <c r="AD22" s="70"/>
      <c r="AE22" s="70"/>
      <c r="AF22" s="70"/>
      <c r="AG22" s="70" t="s">
        <v>327</v>
      </c>
      <c r="AH22" s="70"/>
      <c r="AI22" s="70"/>
      <c r="AJ22" s="70"/>
      <c r="AK22" s="70"/>
      <c r="AL22" s="70"/>
      <c r="AM22" s="70"/>
      <c r="AN22" s="70"/>
      <c r="AO22" s="70"/>
      <c r="AP22" s="70"/>
      <c r="AQ22" s="70" t="s">
        <v>311</v>
      </c>
      <c r="AR22" s="70" t="s">
        <v>309</v>
      </c>
      <c r="AS22" s="70" t="s">
        <v>345</v>
      </c>
      <c r="AT22" s="70"/>
      <c r="AU22" s="70"/>
      <c r="AV22" s="70" t="s">
        <v>320</v>
      </c>
      <c r="AW22" s="70" t="s">
        <v>346</v>
      </c>
      <c r="AX22" s="70"/>
      <c r="AY22" s="70"/>
      <c r="AZ22" s="70"/>
      <c r="BA22" s="70"/>
      <c r="BB22" s="70" t="s">
        <v>314</v>
      </c>
      <c r="BC22" s="70"/>
      <c r="BD22" s="70"/>
      <c r="BE22" s="70" t="s">
        <v>364</v>
      </c>
      <c r="BF22" s="70" t="s">
        <v>495</v>
      </c>
      <c r="BG22" s="70"/>
      <c r="BH22" s="70"/>
      <c r="BI22" s="70" t="s">
        <v>321</v>
      </c>
      <c r="BJ22" s="70"/>
      <c r="BK22" s="70"/>
      <c r="BL22" s="70"/>
      <c r="BM22" s="70" t="s">
        <v>321</v>
      </c>
    </row>
    <row r="23" spans="1:65">
      <c r="A23" s="59"/>
      <c r="B23" s="67" t="str">
        <f>B21&amp; " - score"</f>
        <v>Notre Dame - score</v>
      </c>
      <c r="C23" s="60"/>
      <c r="D23" s="59">
        <v>27</v>
      </c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20</v>
      </c>
      <c r="K23" s="78">
        <v>21</v>
      </c>
      <c r="L23" s="78">
        <v>14</v>
      </c>
      <c r="M23" s="78">
        <v>28</v>
      </c>
      <c r="N23" s="80">
        <v>24</v>
      </c>
      <c r="O23" s="78">
        <v>31</v>
      </c>
      <c r="P23" s="78">
        <v>25</v>
      </c>
      <c r="Q23" s="78">
        <v>7</v>
      </c>
      <c r="R23" s="78">
        <v>31</v>
      </c>
      <c r="S23" s="78">
        <v>27</v>
      </c>
      <c r="T23" s="78">
        <v>35</v>
      </c>
      <c r="U23" s="78">
        <v>38</v>
      </c>
      <c r="V23" s="78">
        <v>28</v>
      </c>
      <c r="W23" s="78">
        <v>20</v>
      </c>
      <c r="X23" s="78">
        <v>24</v>
      </c>
      <c r="Y23" s="78">
        <v>21</v>
      </c>
      <c r="Z23" s="78">
        <v>24</v>
      </c>
      <c r="AA23" s="78">
        <v>21</v>
      </c>
      <c r="AB23" s="78">
        <v>21</v>
      </c>
      <c r="AC23" s="78">
        <v>14</v>
      </c>
      <c r="AD23" s="78">
        <v>21</v>
      </c>
      <c r="AE23" s="78">
        <v>35</v>
      </c>
      <c r="AF23" s="78"/>
      <c r="AG23" s="78">
        <v>24</v>
      </c>
      <c r="AH23" s="78">
        <v>35</v>
      </c>
      <c r="AI23" s="78">
        <v>38</v>
      </c>
      <c r="AJ23" s="78">
        <v>0</v>
      </c>
      <c r="AK23" s="78"/>
      <c r="AL23" s="78">
        <v>33</v>
      </c>
      <c r="AM23" s="78">
        <v>24</v>
      </c>
      <c r="AN23" s="78">
        <v>28</v>
      </c>
      <c r="AO23" s="78">
        <v>28</v>
      </c>
      <c r="AP23" s="78">
        <v>20</v>
      </c>
      <c r="AQ23" s="78">
        <v>20</v>
      </c>
      <c r="AR23" s="78">
        <v>24</v>
      </c>
      <c r="AS23" s="78">
        <v>21</v>
      </c>
      <c r="AT23" s="78">
        <v>21</v>
      </c>
      <c r="AU23" s="78">
        <v>24</v>
      </c>
      <c r="AV23" s="78">
        <v>21</v>
      </c>
      <c r="AW23" s="78">
        <v>21</v>
      </c>
      <c r="AX23" s="78">
        <v>35</v>
      </c>
      <c r="AY23" s="78">
        <v>24</v>
      </c>
      <c r="AZ23" s="78">
        <v>21</v>
      </c>
      <c r="BA23" s="78">
        <v>38</v>
      </c>
      <c r="BB23" s="78">
        <v>14</v>
      </c>
      <c r="BC23" s="78">
        <v>24</v>
      </c>
      <c r="BD23" s="78">
        <v>21</v>
      </c>
      <c r="BE23" s="78">
        <v>14</v>
      </c>
      <c r="BF23" s="78">
        <v>14</v>
      </c>
      <c r="BG23" s="78">
        <v>31</v>
      </c>
      <c r="BH23" s="78">
        <v>21</v>
      </c>
      <c r="BI23" s="78">
        <v>21</v>
      </c>
      <c r="BJ23" s="78">
        <v>20</v>
      </c>
      <c r="BK23" s="78">
        <v>27</v>
      </c>
      <c r="BL23" s="78">
        <v>30</v>
      </c>
      <c r="BM23" s="78">
        <v>14</v>
      </c>
    </row>
    <row r="24" spans="1:65">
      <c r="A24" s="61"/>
      <c r="B24" s="68" t="str">
        <f>B22&amp; " - score"</f>
        <v>Florida State - score</v>
      </c>
      <c r="C24" s="63"/>
      <c r="D24" s="61">
        <v>31</v>
      </c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24</v>
      </c>
      <c r="N24" s="79">
        <v>38</v>
      </c>
      <c r="O24" s="79">
        <v>34</v>
      </c>
      <c r="P24" s="79">
        <v>28</v>
      </c>
      <c r="Q24" s="79">
        <v>21</v>
      </c>
      <c r="R24" s="79">
        <v>30</v>
      </c>
      <c r="S24" s="79">
        <v>34</v>
      </c>
      <c r="T24" s="79">
        <v>30</v>
      </c>
      <c r="U24" s="79">
        <v>36</v>
      </c>
      <c r="V24" s="79">
        <v>21</v>
      </c>
      <c r="W24" s="79">
        <v>17</v>
      </c>
      <c r="X24" s="79">
        <v>31</v>
      </c>
      <c r="Y24" s="79">
        <v>38</v>
      </c>
      <c r="Z24" s="79">
        <v>35</v>
      </c>
      <c r="AA24" s="79">
        <v>35</v>
      </c>
      <c r="AB24" s="79">
        <v>17</v>
      </c>
      <c r="AC24" s="79">
        <v>28</v>
      </c>
      <c r="AD24" s="79">
        <v>31</v>
      </c>
      <c r="AE24" s="79">
        <v>41</v>
      </c>
      <c r="AF24" s="79"/>
      <c r="AG24" s="79">
        <v>55</v>
      </c>
      <c r="AH24" s="79">
        <v>31</v>
      </c>
      <c r="AI24" s="79">
        <v>35</v>
      </c>
      <c r="AJ24" s="79">
        <v>11</v>
      </c>
      <c r="AK24" s="79"/>
      <c r="AL24" s="79">
        <v>27</v>
      </c>
      <c r="AM24" s="79">
        <v>31</v>
      </c>
      <c r="AN24" s="79">
        <v>35</v>
      </c>
      <c r="AO24" s="79">
        <v>31</v>
      </c>
      <c r="AP24" s="79">
        <v>24</v>
      </c>
      <c r="AQ24" s="79">
        <v>35</v>
      </c>
      <c r="AR24" s="79">
        <v>48</v>
      </c>
      <c r="AS24" s="79">
        <v>38</v>
      </c>
      <c r="AT24" s="79">
        <v>31</v>
      </c>
      <c r="AU24" s="79">
        <v>31</v>
      </c>
      <c r="AV24" s="79">
        <v>34</v>
      </c>
      <c r="AW24" s="79">
        <v>34</v>
      </c>
      <c r="AX24" s="79">
        <v>24</v>
      </c>
      <c r="AY24" s="79">
        <v>27</v>
      </c>
      <c r="AZ24" s="79">
        <v>14</v>
      </c>
      <c r="BA24" s="79">
        <v>6</v>
      </c>
      <c r="BB24" s="79">
        <v>28</v>
      </c>
      <c r="BC24" s="79">
        <v>21</v>
      </c>
      <c r="BD24" s="79">
        <v>20</v>
      </c>
      <c r="BE24" s="79">
        <v>41</v>
      </c>
      <c r="BF24" s="79">
        <v>35</v>
      </c>
      <c r="BG24" s="79">
        <v>35</v>
      </c>
      <c r="BH24" s="79">
        <v>24</v>
      </c>
      <c r="BI24" s="79">
        <v>34</v>
      </c>
      <c r="BJ24" s="79">
        <v>31</v>
      </c>
      <c r="BK24" s="79">
        <v>31</v>
      </c>
      <c r="BL24" s="79">
        <v>27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6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3</v>
      </c>
      <c r="Z25" s="36">
        <f t="shared" si="3"/>
        <v>6</v>
      </c>
      <c r="AA25" s="36">
        <f t="shared" si="3"/>
        <v>4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3</v>
      </c>
      <c r="AF25" s="36">
        <v>2</v>
      </c>
      <c r="AG25" s="36">
        <f t="shared" si="3"/>
        <v>8</v>
      </c>
      <c r="AH25" s="36">
        <f t="shared" si="3"/>
        <v>6</v>
      </c>
      <c r="AI25" s="36">
        <f t="shared" si="3"/>
        <v>3</v>
      </c>
      <c r="AJ25" s="36">
        <f t="shared" si="3"/>
        <v>7</v>
      </c>
      <c r="AK25" s="36">
        <v>2</v>
      </c>
      <c r="AL25" s="36">
        <f t="shared" si="3"/>
        <v>7</v>
      </c>
      <c r="AM25" s="36">
        <f t="shared" si="3"/>
        <v>5</v>
      </c>
      <c r="AN25" s="36">
        <f t="shared" si="3"/>
        <v>4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3</v>
      </c>
      <c r="AS25" s="36">
        <f t="shared" si="3"/>
        <v>3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3</v>
      </c>
      <c r="AX25" s="36">
        <f t="shared" si="3"/>
        <v>3</v>
      </c>
      <c r="AY25" s="36">
        <f t="shared" si="3"/>
        <v>6</v>
      </c>
      <c r="AZ25" s="36">
        <f t="shared" si="3"/>
        <v>5</v>
      </c>
      <c r="BA25" s="36">
        <f t="shared" si="3"/>
        <v>5</v>
      </c>
      <c r="BB25" s="36">
        <f t="shared" si="3"/>
        <v>3</v>
      </c>
      <c r="BC25" s="36">
        <f t="shared" si="3"/>
        <v>6</v>
      </c>
      <c r="BD25" s="36">
        <f t="shared" si="3"/>
        <v>4</v>
      </c>
      <c r="BE25" s="36">
        <f t="shared" si="3"/>
        <v>4</v>
      </c>
      <c r="BF25" s="36">
        <f t="shared" si="3"/>
        <v>6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4</v>
      </c>
      <c r="BK25" s="36">
        <f t="shared" si="3"/>
        <v>5</v>
      </c>
      <c r="BL25" s="36">
        <f t="shared" si="3"/>
        <v>5</v>
      </c>
      <c r="BM25" s="36">
        <f t="shared" si="3"/>
        <v>5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6</v>
      </c>
      <c r="M26" s="71">
        <f t="shared" si="4"/>
        <v>8</v>
      </c>
      <c r="N26" s="71">
        <f t="shared" si="4"/>
        <v>10</v>
      </c>
      <c r="O26" s="71">
        <f t="shared" si="4"/>
        <v>1</v>
      </c>
      <c r="P26" s="71">
        <f t="shared" si="4"/>
        <v>1</v>
      </c>
      <c r="Q26" s="71">
        <f t="shared" si="4"/>
        <v>10</v>
      </c>
      <c r="R26" s="71">
        <f t="shared" si="4"/>
        <v>5</v>
      </c>
      <c r="S26" s="71">
        <f t="shared" si="4"/>
        <v>3</v>
      </c>
      <c r="T26" s="71">
        <f t="shared" si="4"/>
        <v>9</v>
      </c>
      <c r="U26" s="71">
        <f t="shared" si="4"/>
        <v>6</v>
      </c>
      <c r="V26" s="71">
        <f t="shared" si="4"/>
        <v>11</v>
      </c>
      <c r="W26" s="71">
        <f t="shared" si="4"/>
        <v>7</v>
      </c>
      <c r="X26" s="71">
        <f t="shared" si="4"/>
        <v>3</v>
      </c>
      <c r="Y26" s="71">
        <f t="shared" si="4"/>
        <v>13</v>
      </c>
      <c r="Z26" s="71">
        <f t="shared" si="4"/>
        <v>7</v>
      </c>
      <c r="AA26" s="71">
        <f t="shared" si="4"/>
        <v>10</v>
      </c>
      <c r="AB26" s="71">
        <f t="shared" si="4"/>
        <v>8</v>
      </c>
      <c r="AC26" s="71">
        <f t="shared" si="4"/>
        <v>10</v>
      </c>
      <c r="AD26" s="71">
        <f t="shared" si="4"/>
        <v>6</v>
      </c>
      <c r="AE26" s="71">
        <f t="shared" si="4"/>
        <v>2</v>
      </c>
      <c r="AF26" s="71">
        <f t="shared" si="4"/>
        <v>4</v>
      </c>
      <c r="AG26" s="71">
        <f t="shared" si="4"/>
        <v>27</v>
      </c>
      <c r="AH26" s="71">
        <f t="shared" si="4"/>
        <v>8</v>
      </c>
      <c r="AI26" s="71">
        <f t="shared" si="4"/>
        <v>7</v>
      </c>
      <c r="AJ26" s="71">
        <f t="shared" si="4"/>
        <v>7</v>
      </c>
      <c r="AK26" s="71">
        <f t="shared" si="4"/>
        <v>4</v>
      </c>
      <c r="AL26" s="71">
        <f t="shared" si="4"/>
        <v>10</v>
      </c>
      <c r="AM26" s="71">
        <f t="shared" si="4"/>
        <v>3</v>
      </c>
      <c r="AN26" s="71">
        <f t="shared" si="4"/>
        <v>3</v>
      </c>
      <c r="AO26" s="71">
        <f t="shared" si="4"/>
        <v>1</v>
      </c>
      <c r="AP26" s="71">
        <f t="shared" si="4"/>
        <v>0</v>
      </c>
      <c r="AQ26" s="71">
        <f t="shared" si="4"/>
        <v>11</v>
      </c>
      <c r="AR26" s="71">
        <f t="shared" si="4"/>
        <v>20</v>
      </c>
      <c r="AS26" s="71">
        <f t="shared" si="4"/>
        <v>13</v>
      </c>
      <c r="AT26" s="71">
        <f t="shared" si="4"/>
        <v>6</v>
      </c>
      <c r="AU26" s="71">
        <f t="shared" si="4"/>
        <v>3</v>
      </c>
      <c r="AV26" s="71">
        <f t="shared" si="4"/>
        <v>9</v>
      </c>
      <c r="AW26" s="71">
        <f t="shared" si="4"/>
        <v>9</v>
      </c>
      <c r="AX26" s="71">
        <f t="shared" si="4"/>
        <v>15</v>
      </c>
      <c r="AY26" s="71">
        <f t="shared" si="4"/>
        <v>1</v>
      </c>
      <c r="AZ26" s="71">
        <f t="shared" si="4"/>
        <v>11</v>
      </c>
      <c r="BA26" s="71">
        <f t="shared" si="4"/>
        <v>36</v>
      </c>
      <c r="BB26" s="71">
        <f t="shared" si="4"/>
        <v>10</v>
      </c>
      <c r="BC26" s="71">
        <f t="shared" si="4"/>
        <v>7</v>
      </c>
      <c r="BD26" s="71">
        <f t="shared" si="4"/>
        <v>5</v>
      </c>
      <c r="BE26" s="71">
        <f t="shared" si="4"/>
        <v>23</v>
      </c>
      <c r="BF26" s="71">
        <f t="shared" si="4"/>
        <v>17</v>
      </c>
      <c r="BG26" s="71">
        <f t="shared" si="4"/>
        <v>0</v>
      </c>
      <c r="BH26" s="71">
        <f t="shared" si="4"/>
        <v>1</v>
      </c>
      <c r="BI26" s="71">
        <f t="shared" si="4"/>
        <v>9</v>
      </c>
      <c r="BJ26" s="71">
        <f t="shared" si="4"/>
        <v>7</v>
      </c>
      <c r="BK26" s="71">
        <f t="shared" si="4"/>
        <v>0</v>
      </c>
      <c r="BL26" s="71">
        <f t="shared" si="4"/>
        <v>7</v>
      </c>
      <c r="BM26" s="71">
        <f t="shared" si="4"/>
        <v>10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9</v>
      </c>
      <c r="L27" s="71">
        <f t="shared" ref="L27:BM27" si="5">ABS(($D21+$D22)-(L23+L24))</f>
        <v>20</v>
      </c>
      <c r="M27" s="71">
        <f t="shared" si="5"/>
        <v>6</v>
      </c>
      <c r="N27" s="71">
        <f t="shared" si="5"/>
        <v>4</v>
      </c>
      <c r="O27" s="71">
        <f t="shared" si="5"/>
        <v>7</v>
      </c>
      <c r="P27" s="71">
        <f t="shared" si="5"/>
        <v>5</v>
      </c>
      <c r="Q27" s="71">
        <f t="shared" si="5"/>
        <v>30</v>
      </c>
      <c r="R27" s="71">
        <f t="shared" si="5"/>
        <v>3</v>
      </c>
      <c r="S27" s="71">
        <f t="shared" si="5"/>
        <v>3</v>
      </c>
      <c r="T27" s="71">
        <f t="shared" si="5"/>
        <v>7</v>
      </c>
      <c r="U27" s="71">
        <f t="shared" si="5"/>
        <v>16</v>
      </c>
      <c r="V27" s="71">
        <f t="shared" si="5"/>
        <v>9</v>
      </c>
      <c r="W27" s="71">
        <f t="shared" si="5"/>
        <v>21</v>
      </c>
      <c r="X27" s="71">
        <f t="shared" si="5"/>
        <v>3</v>
      </c>
      <c r="Y27" s="71">
        <f t="shared" si="5"/>
        <v>1</v>
      </c>
      <c r="Z27" s="71">
        <f t="shared" si="5"/>
        <v>1</v>
      </c>
      <c r="AA27" s="71">
        <f t="shared" si="5"/>
        <v>2</v>
      </c>
      <c r="AB27" s="71">
        <f t="shared" si="5"/>
        <v>20</v>
      </c>
      <c r="AC27" s="71">
        <f t="shared" si="5"/>
        <v>16</v>
      </c>
      <c r="AD27" s="71">
        <f t="shared" si="5"/>
        <v>6</v>
      </c>
      <c r="AE27" s="71">
        <f t="shared" si="5"/>
        <v>18</v>
      </c>
      <c r="AF27" s="71">
        <f t="shared" si="5"/>
        <v>58</v>
      </c>
      <c r="AG27" s="71">
        <f t="shared" si="5"/>
        <v>21</v>
      </c>
      <c r="AH27" s="71">
        <f t="shared" si="5"/>
        <v>8</v>
      </c>
      <c r="AI27" s="71">
        <f t="shared" si="5"/>
        <v>15</v>
      </c>
      <c r="AJ27" s="71">
        <f t="shared" si="5"/>
        <v>47</v>
      </c>
      <c r="AK27" s="71">
        <f t="shared" si="5"/>
        <v>58</v>
      </c>
      <c r="AL27" s="71">
        <f t="shared" si="5"/>
        <v>2</v>
      </c>
      <c r="AM27" s="71">
        <f t="shared" si="5"/>
        <v>3</v>
      </c>
      <c r="AN27" s="71">
        <f t="shared" si="5"/>
        <v>5</v>
      </c>
      <c r="AO27" s="71">
        <f t="shared" si="5"/>
        <v>1</v>
      </c>
      <c r="AP27" s="71">
        <f t="shared" si="5"/>
        <v>14</v>
      </c>
      <c r="AQ27" s="71">
        <f t="shared" si="5"/>
        <v>3</v>
      </c>
      <c r="AR27" s="71">
        <f t="shared" si="5"/>
        <v>14</v>
      </c>
      <c r="AS27" s="71">
        <f t="shared" si="5"/>
        <v>1</v>
      </c>
      <c r="AT27" s="71">
        <f t="shared" si="5"/>
        <v>6</v>
      </c>
      <c r="AU27" s="71">
        <f t="shared" si="5"/>
        <v>3</v>
      </c>
      <c r="AV27" s="71">
        <f t="shared" si="5"/>
        <v>3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23</v>
      </c>
      <c r="BA27" s="71">
        <f t="shared" si="5"/>
        <v>14</v>
      </c>
      <c r="BB27" s="71">
        <f t="shared" si="5"/>
        <v>16</v>
      </c>
      <c r="BC27" s="71">
        <f t="shared" si="5"/>
        <v>13</v>
      </c>
      <c r="BD27" s="71">
        <f t="shared" si="5"/>
        <v>17</v>
      </c>
      <c r="BE27" s="71">
        <f t="shared" si="5"/>
        <v>3</v>
      </c>
      <c r="BF27" s="71">
        <f t="shared" si="5"/>
        <v>9</v>
      </c>
      <c r="BG27" s="71">
        <f t="shared" si="5"/>
        <v>8</v>
      </c>
      <c r="BH27" s="71">
        <f t="shared" si="5"/>
        <v>13</v>
      </c>
      <c r="BI27" s="71">
        <f t="shared" si="5"/>
        <v>3</v>
      </c>
      <c r="BJ27" s="71">
        <f t="shared" si="5"/>
        <v>7</v>
      </c>
      <c r="BK27" s="71">
        <f t="shared" si="5"/>
        <v>0</v>
      </c>
      <c r="BL27" s="71">
        <f t="shared" si="5"/>
        <v>1</v>
      </c>
      <c r="BM27" s="71">
        <f t="shared" si="5"/>
        <v>16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0.47272727272727272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7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5</v>
      </c>
      <c r="Q29" s="71">
        <f t="shared" si="7"/>
        <v>4</v>
      </c>
      <c r="R29" s="71">
        <f t="shared" si="7"/>
        <v>5</v>
      </c>
      <c r="S29" s="71">
        <f t="shared" si="7"/>
        <v>7</v>
      </c>
      <c r="T29" s="71">
        <f t="shared" si="7"/>
        <v>5</v>
      </c>
      <c r="U29" s="71">
        <f t="shared" si="7"/>
        <v>7</v>
      </c>
      <c r="V29" s="71">
        <f t="shared" si="7"/>
        <v>6</v>
      </c>
      <c r="W29" s="71">
        <f t="shared" si="7"/>
        <v>7</v>
      </c>
      <c r="X29" s="71">
        <f t="shared" si="7"/>
        <v>5</v>
      </c>
      <c r="Y29" s="71">
        <f t="shared" si="7"/>
        <v>6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8</v>
      </c>
      <c r="AF29" s="71">
        <f t="shared" si="7"/>
        <v>0</v>
      </c>
      <c r="AG29" s="71">
        <f t="shared" si="7"/>
        <v>1</v>
      </c>
      <c r="AH29" s="71">
        <f t="shared" si="7"/>
        <v>7</v>
      </c>
      <c r="AI29" s="71">
        <f t="shared" si="7"/>
        <v>8</v>
      </c>
      <c r="AJ29" s="71">
        <f t="shared" si="7"/>
        <v>4</v>
      </c>
      <c r="AK29" s="71">
        <f t="shared" si="7"/>
        <v>0</v>
      </c>
      <c r="AL29" s="71">
        <f t="shared" si="7"/>
        <v>4</v>
      </c>
      <c r="AM29" s="71">
        <f t="shared" si="7"/>
        <v>6</v>
      </c>
      <c r="AN29" s="71">
        <f t="shared" si="7"/>
        <v>7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4</v>
      </c>
      <c r="AT29" s="71">
        <f t="shared" si="7"/>
        <v>4</v>
      </c>
      <c r="AU29" s="71">
        <f t="shared" si="7"/>
        <v>6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7</v>
      </c>
      <c r="AZ29" s="71">
        <f t="shared" si="7"/>
        <v>6</v>
      </c>
      <c r="BA29" s="71">
        <f t="shared" si="7"/>
        <v>4</v>
      </c>
      <c r="BB29" s="71">
        <f t="shared" si="7"/>
        <v>6</v>
      </c>
      <c r="BC29" s="71">
        <f t="shared" si="7"/>
        <v>7</v>
      </c>
      <c r="BD29" s="71">
        <f t="shared" si="7"/>
        <v>5</v>
      </c>
      <c r="BE29" s="71">
        <f t="shared" si="7"/>
        <v>5</v>
      </c>
      <c r="BF29" s="71">
        <f t="shared" si="7"/>
        <v>3</v>
      </c>
      <c r="BG29" s="71">
        <f t="shared" si="7"/>
        <v>5</v>
      </c>
      <c r="BH29" s="71">
        <f t="shared" si="7"/>
        <v>4</v>
      </c>
      <c r="BI29" s="71">
        <f t="shared" si="7"/>
        <v>4</v>
      </c>
      <c r="BJ29" s="71">
        <f t="shared" si="7"/>
        <v>7</v>
      </c>
      <c r="BK29" s="71">
        <f t="shared" si="7"/>
        <v>6</v>
      </c>
      <c r="BL29" s="71">
        <f t="shared" si="7"/>
        <v>6</v>
      </c>
      <c r="BM29" s="71">
        <f t="shared" si="7"/>
        <v>6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1</v>
      </c>
      <c r="O30" s="73">
        <f t="shared" si="8"/>
        <v>2</v>
      </c>
      <c r="P30" s="73">
        <f t="shared" si="8"/>
        <v>4</v>
      </c>
      <c r="Q30" s="73">
        <f t="shared" si="8"/>
        <v>3</v>
      </c>
      <c r="R30" s="73">
        <f t="shared" si="8"/>
        <v>6</v>
      </c>
      <c r="S30" s="73">
        <f t="shared" si="8"/>
        <v>6</v>
      </c>
      <c r="T30" s="73">
        <f t="shared" si="8"/>
        <v>2</v>
      </c>
      <c r="U30" s="73">
        <f t="shared" si="8"/>
        <v>6</v>
      </c>
      <c r="V30" s="73">
        <f t="shared" si="8"/>
        <v>5</v>
      </c>
      <c r="W30" s="73">
        <f t="shared" si="8"/>
        <v>4</v>
      </c>
      <c r="X30" s="73">
        <f t="shared" si="8"/>
        <v>2</v>
      </c>
      <c r="Y30" s="73">
        <f t="shared" si="8"/>
        <v>1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1</v>
      </c>
      <c r="AD30" s="73">
        <f t="shared" si="8"/>
        <v>8</v>
      </c>
      <c r="AE30" s="73">
        <f t="shared" si="8"/>
        <v>5</v>
      </c>
      <c r="AF30" s="73">
        <f t="shared" si="8"/>
        <v>10</v>
      </c>
      <c r="AG30" s="73">
        <f t="shared" si="8"/>
        <v>4</v>
      </c>
      <c r="AH30" s="73">
        <f t="shared" si="8"/>
        <v>4</v>
      </c>
      <c r="AI30" s="73">
        <f t="shared" si="8"/>
        <v>3</v>
      </c>
      <c r="AJ30" s="73">
        <f t="shared" si="8"/>
        <v>5</v>
      </c>
      <c r="AK30" s="73">
        <f t="shared" si="8"/>
        <v>10</v>
      </c>
      <c r="AL30" s="73">
        <f t="shared" si="8"/>
        <v>3</v>
      </c>
      <c r="AM30" s="73">
        <f t="shared" si="8"/>
        <v>3</v>
      </c>
      <c r="AN30" s="73">
        <f t="shared" si="8"/>
        <v>4</v>
      </c>
      <c r="AO30" s="73">
        <f t="shared" si="8"/>
        <v>4</v>
      </c>
      <c r="AP30" s="73">
        <f t="shared" si="8"/>
        <v>6</v>
      </c>
      <c r="AQ30" s="73">
        <f t="shared" si="8"/>
        <v>4</v>
      </c>
      <c r="AR30" s="73">
        <f t="shared" si="8"/>
        <v>3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3</v>
      </c>
      <c r="AW30" s="73">
        <f t="shared" si="8"/>
        <v>1</v>
      </c>
      <c r="AX30" s="73">
        <f t="shared" si="8"/>
        <v>5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8</v>
      </c>
      <c r="BD30" s="73">
        <f t="shared" si="8"/>
        <v>8</v>
      </c>
      <c r="BE30" s="73">
        <f t="shared" si="8"/>
        <v>4</v>
      </c>
      <c r="BF30" s="73">
        <f t="shared" si="8"/>
        <v>6</v>
      </c>
      <c r="BG30" s="73">
        <f t="shared" si="8"/>
        <v>6</v>
      </c>
      <c r="BH30" s="73">
        <f t="shared" si="8"/>
        <v>5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5</v>
      </c>
      <c r="BM30" s="73">
        <f t="shared" si="8"/>
        <v>5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2</v>
      </c>
      <c r="Q31" s="71">
        <f t="shared" ca="1" si="9"/>
        <v>5</v>
      </c>
      <c r="R31" s="71">
        <f t="shared" ca="1" si="9"/>
        <v>6</v>
      </c>
      <c r="S31" s="71">
        <f t="shared" ca="1" si="9"/>
        <v>4</v>
      </c>
      <c r="T31" s="71">
        <f t="shared" ca="1" si="9"/>
        <v>2</v>
      </c>
      <c r="U31" s="71">
        <f t="shared" ca="1" si="9"/>
        <v>4</v>
      </c>
      <c r="V31" s="71">
        <f t="shared" ca="1" si="9"/>
        <v>3</v>
      </c>
      <c r="W31" s="71">
        <f t="shared" ca="1" si="9"/>
        <v>2</v>
      </c>
      <c r="X31" s="71">
        <f t="shared" ca="1" si="9"/>
        <v>2</v>
      </c>
      <c r="Y31" s="71">
        <f t="shared" ca="1" si="9"/>
        <v>1</v>
      </c>
      <c r="Z31" s="71">
        <f t="shared" ca="1" si="9"/>
        <v>4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8</v>
      </c>
      <c r="AE31" s="71">
        <f t="shared" ca="1" si="9"/>
        <v>3</v>
      </c>
      <c r="AF31" s="71">
        <f t="shared" ca="1" si="9"/>
        <v>10</v>
      </c>
      <c r="AG31" s="71">
        <f t="shared" ca="1" si="9"/>
        <v>6</v>
      </c>
      <c r="AH31" s="71">
        <f t="shared" ca="1" si="9"/>
        <v>4</v>
      </c>
      <c r="AI31" s="71">
        <f t="shared" ca="1" si="9"/>
        <v>3</v>
      </c>
      <c r="AJ31" s="71">
        <f t="shared" ca="1" si="9"/>
        <v>3</v>
      </c>
      <c r="AK31" s="71">
        <f t="shared" ca="1" si="9"/>
        <v>10</v>
      </c>
      <c r="AL31" s="71">
        <f t="shared" ca="1" si="9"/>
        <v>3</v>
      </c>
      <c r="AM31" s="71">
        <f t="shared" ca="1" si="9"/>
        <v>1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4</v>
      </c>
      <c r="AR31" s="71">
        <f t="shared" ca="1" si="9"/>
        <v>3</v>
      </c>
      <c r="AS31" s="71">
        <f t="shared" ca="1" si="9"/>
        <v>5</v>
      </c>
      <c r="AT31" s="71">
        <f t="shared" ca="1" si="9"/>
        <v>3</v>
      </c>
      <c r="AU31" s="71">
        <f t="shared" ca="1" si="9"/>
        <v>1</v>
      </c>
      <c r="AV31" s="71">
        <f t="shared" ca="1" si="9"/>
        <v>5</v>
      </c>
      <c r="AW31" s="71">
        <f t="shared" ca="1" si="9"/>
        <v>3</v>
      </c>
      <c r="AX31" s="71">
        <f t="shared" ca="1" si="9"/>
        <v>3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3</v>
      </c>
      <c r="BC31" s="71">
        <f t="shared" ca="1" si="9"/>
        <v>6</v>
      </c>
      <c r="BD31" s="71">
        <f t="shared" ca="1" si="9"/>
        <v>6</v>
      </c>
      <c r="BE31" s="71">
        <f t="shared" ca="1" si="9"/>
        <v>4</v>
      </c>
      <c r="BF31" s="71">
        <f t="shared" ca="1" si="9"/>
        <v>6</v>
      </c>
      <c r="BG31" s="71">
        <f t="shared" ca="1" si="9"/>
        <v>6</v>
      </c>
      <c r="BH31" s="71">
        <f t="shared" ca="1" si="9"/>
        <v>3</v>
      </c>
      <c r="BI31" s="71">
        <f t="shared" ca="1" si="9"/>
        <v>3</v>
      </c>
      <c r="BJ31" s="71">
        <f t="shared" ca="1" si="9"/>
        <v>0</v>
      </c>
      <c r="BK31" s="71">
        <f t="shared" ca="1" si="9"/>
        <v>1</v>
      </c>
      <c r="BL31" s="71">
        <f t="shared" ca="1" si="9"/>
        <v>3</v>
      </c>
      <c r="BM31" s="71">
        <f t="shared" ca="1" si="9"/>
        <v>7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101987964</v>
      </c>
      <c r="L36" s="32">
        <f t="shared" ref="L36:BM36" si="12">COUNTA(L23:L24)*((10000000*L25)+(1000000*(COUNTA(L21)*$E21+COUNTA(L22)*$E22))-(COUNTA($D$21:$D$22)*1000*L26)-(COUNTA($D$21:$D$22)*L27))</f>
        <v>81975920</v>
      </c>
      <c r="M36" s="32">
        <f t="shared" si="12"/>
        <v>81967976</v>
      </c>
      <c r="N36" s="32">
        <f t="shared" si="12"/>
        <v>99959984</v>
      </c>
      <c r="O36" s="32">
        <f t="shared" si="12"/>
        <v>81995972</v>
      </c>
      <c r="P36" s="32">
        <f t="shared" si="12"/>
        <v>121995980</v>
      </c>
      <c r="Q36" s="32">
        <f t="shared" si="12"/>
        <v>59959880</v>
      </c>
      <c r="R36" s="32">
        <f t="shared" si="12"/>
        <v>121979988</v>
      </c>
      <c r="S36" s="32">
        <f t="shared" si="12"/>
        <v>81987988</v>
      </c>
      <c r="T36" s="32">
        <f t="shared" si="12"/>
        <v>121963972</v>
      </c>
      <c r="U36" s="32">
        <f t="shared" si="12"/>
        <v>121975936</v>
      </c>
      <c r="V36" s="32">
        <f t="shared" si="12"/>
        <v>101955964</v>
      </c>
      <c r="W36" s="32">
        <f t="shared" si="12"/>
        <v>81971916</v>
      </c>
      <c r="X36" s="32">
        <f t="shared" si="12"/>
        <v>121987988</v>
      </c>
      <c r="Y36" s="32">
        <f t="shared" si="12"/>
        <v>59947996</v>
      </c>
      <c r="Z36" s="32">
        <f t="shared" si="12"/>
        <v>121971996</v>
      </c>
      <c r="AA36" s="32">
        <f t="shared" si="12"/>
        <v>79959992</v>
      </c>
      <c r="AB36" s="32">
        <f t="shared" si="12"/>
        <v>121967920</v>
      </c>
      <c r="AC36" s="32">
        <f t="shared" si="12"/>
        <v>99959936</v>
      </c>
      <c r="AD36" s="32">
        <f t="shared" si="12"/>
        <v>161975976</v>
      </c>
      <c r="AE36" s="32">
        <f t="shared" si="12"/>
        <v>61991928</v>
      </c>
      <c r="AF36" s="32">
        <f t="shared" si="12"/>
        <v>0</v>
      </c>
      <c r="AG36" s="32">
        <f t="shared" si="12"/>
        <v>159891916</v>
      </c>
      <c r="AH36" s="32">
        <f t="shared" si="12"/>
        <v>121967968</v>
      </c>
      <c r="AI36" s="32">
        <f t="shared" si="12"/>
        <v>61971940</v>
      </c>
      <c r="AJ36" s="32">
        <f t="shared" si="12"/>
        <v>141971812</v>
      </c>
      <c r="AK36" s="32">
        <f t="shared" si="12"/>
        <v>0</v>
      </c>
      <c r="AL36" s="32">
        <f t="shared" si="12"/>
        <v>141959992</v>
      </c>
      <c r="AM36" s="32">
        <f t="shared" si="12"/>
        <v>101987988</v>
      </c>
      <c r="AN36" s="32">
        <f t="shared" si="12"/>
        <v>81987980</v>
      </c>
      <c r="AO36" s="32">
        <f t="shared" si="12"/>
        <v>81995996</v>
      </c>
      <c r="AP36" s="32">
        <f t="shared" si="12"/>
        <v>81999944</v>
      </c>
      <c r="AQ36" s="32">
        <f t="shared" si="12"/>
        <v>39955988</v>
      </c>
      <c r="AR36" s="32">
        <f t="shared" si="12"/>
        <v>59919944</v>
      </c>
      <c r="AS36" s="32">
        <f t="shared" si="12"/>
        <v>59947996</v>
      </c>
      <c r="AT36" s="32">
        <f t="shared" si="12"/>
        <v>101975976</v>
      </c>
      <c r="AU36" s="32">
        <f t="shared" si="12"/>
        <v>101987988</v>
      </c>
      <c r="AV36" s="32">
        <f t="shared" si="12"/>
        <v>99963988</v>
      </c>
      <c r="AW36" s="32">
        <f t="shared" si="12"/>
        <v>59963988</v>
      </c>
      <c r="AX36" s="32">
        <f t="shared" si="12"/>
        <v>61939996</v>
      </c>
      <c r="AY36" s="32">
        <f t="shared" si="12"/>
        <v>121995972</v>
      </c>
      <c r="AZ36" s="32">
        <f t="shared" si="12"/>
        <v>101955908</v>
      </c>
      <c r="BA36" s="32">
        <f t="shared" si="12"/>
        <v>101855944</v>
      </c>
      <c r="BB36" s="32">
        <f t="shared" si="12"/>
        <v>59959936</v>
      </c>
      <c r="BC36" s="32">
        <f t="shared" si="12"/>
        <v>121971948</v>
      </c>
      <c r="BD36" s="32">
        <f t="shared" si="12"/>
        <v>81979932</v>
      </c>
      <c r="BE36" s="32">
        <f t="shared" si="12"/>
        <v>79907988</v>
      </c>
      <c r="BF36" s="32">
        <f t="shared" si="12"/>
        <v>119931964</v>
      </c>
      <c r="BG36" s="32">
        <f t="shared" si="12"/>
        <v>161999968</v>
      </c>
      <c r="BH36" s="32">
        <f t="shared" si="12"/>
        <v>101995948</v>
      </c>
      <c r="BI36" s="32">
        <f t="shared" si="12"/>
        <v>99963988</v>
      </c>
      <c r="BJ36" s="32">
        <f t="shared" si="12"/>
        <v>81971972</v>
      </c>
      <c r="BK36" s="32">
        <f t="shared" si="12"/>
        <v>102000000</v>
      </c>
      <c r="BL36" s="32">
        <f t="shared" si="12"/>
        <v>101971996</v>
      </c>
      <c r="BM36" s="32">
        <f t="shared" si="12"/>
        <v>99959936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ca="1" si="13"/>
        <v>Holley, Jeremy Remote</v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Locklear, Dave Remote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Holley, Jeremy Remote;Locklear, Dave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3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35" priority="9" stopIfTrue="1" operator="equal">
      <formula>0</formula>
    </cfRule>
  </conditionalFormatting>
  <conditionalFormatting sqref="D26:J28 K28:BE28">
    <cfRule type="cellIs" dxfId="134" priority="10" stopIfTrue="1" operator="equal">
      <formula>1</formula>
    </cfRule>
  </conditionalFormatting>
  <conditionalFormatting sqref="H3:I3 F23 H5:I5 H7:I7 H9:I9 H11:I11 H13:I13 H15:I15 H17:I17 H19:I19 H21:I21">
    <cfRule type="cellIs" dxfId="133" priority="11" stopIfTrue="1" operator="equal">
      <formula>0</formula>
    </cfRule>
  </conditionalFormatting>
  <conditionalFormatting sqref="H4:I4 F24 H6:I6 H8:I8 H10:I10 H12:I12 H14:I14 H16:I16 H18:I18 H20:I20 H22:I22">
    <cfRule type="cellIs" dxfId="132" priority="12" stopIfTrue="1" operator="equal">
      <formula>0</formula>
    </cfRule>
  </conditionalFormatting>
  <conditionalFormatting sqref="F3 F5 F7 F9 F11 F13 F15 F17 F19 F21">
    <cfRule type="cellIs" dxfId="13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3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9" priority="15" stopIfTrue="1">
      <formula>AND(COUNTA(J4)=1,$E4=1,SUM($E3:$E4)=1)</formula>
    </cfRule>
    <cfRule type="expression" dxfId="12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27" priority="17" stopIfTrue="1">
      <formula>AND(COUNTA(J3)=1,$E3=1,SUM($E3:$E4)=1)</formula>
    </cfRule>
    <cfRule type="expression" dxfId="126" priority="18" stopIfTrue="1">
      <formula>AND(COUNTA(J3)=1,$E3=0,SUM($E3:$E4)=1)</formula>
    </cfRule>
  </conditionalFormatting>
  <conditionalFormatting sqref="BF23:BM23">
    <cfRule type="cellIs" dxfId="125" priority="7" stopIfTrue="1" operator="equal">
      <formula>0</formula>
    </cfRule>
  </conditionalFormatting>
  <conditionalFormatting sqref="BF24:BM24">
    <cfRule type="cellIs" dxfId="124" priority="6" stopIfTrue="1" operator="equal">
      <formula>0</formula>
    </cfRule>
  </conditionalFormatting>
  <conditionalFormatting sqref="BF28:BM28">
    <cfRule type="cellIs" dxfId="1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22" priority="3" stopIfTrue="1">
      <formula>AND(COUNTA(BF4)=1,$E4=1,SUM($E3:$E4)=1)</formula>
    </cfRule>
    <cfRule type="expression" dxfId="1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20" priority="1" stopIfTrue="1">
      <formula>AND(COUNTA(BF3)=1,$E3=1,SUM($E3:$E4)=1)</formula>
    </cfRule>
    <cfRule type="expression" dxfId="1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>
    <pageSetUpPr fitToPage="1"/>
  </sheetPr>
  <dimension ref="A1:BM58"/>
  <sheetViews>
    <sheetView tabSelected="1" zoomScale="90" zoomScaleNormal="100" zoomScaleSheetLayoutView="100" workbookViewId="0">
      <selection activeCell="AK21" sqref="AK21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164</v>
      </c>
      <c r="C3" s="65"/>
      <c r="D3" s="64">
        <v>30</v>
      </c>
      <c r="E3" s="64">
        <f>IF(ISBLANK($D3),"0",IF(($D4-$D3)&lt;($C4-$C3),1,0))</f>
        <v>1</v>
      </c>
      <c r="F3" s="64">
        <f ca="1">COUNTA(INDIRECT("RC11:RC"&amp;11+playercnt-1,FALSE))</f>
        <v>21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 t="s">
        <v>309</v>
      </c>
      <c r="V3" s="69"/>
      <c r="W3" s="69"/>
      <c r="X3" s="69"/>
      <c r="Y3" s="69"/>
      <c r="Z3" s="69"/>
      <c r="AA3" s="69" t="s">
        <v>311</v>
      </c>
      <c r="AB3" s="69"/>
      <c r="AC3" s="69"/>
      <c r="AD3" s="69"/>
      <c r="AE3" s="69"/>
      <c r="AF3" s="69"/>
      <c r="AG3" s="69" t="s">
        <v>311</v>
      </c>
      <c r="AH3" s="69" t="s">
        <v>350</v>
      </c>
      <c r="AI3" s="69" t="s">
        <v>502</v>
      </c>
      <c r="AJ3" s="69" t="s">
        <v>339</v>
      </c>
      <c r="AK3" s="96" t="s">
        <v>311</v>
      </c>
      <c r="AL3" s="69" t="s">
        <v>327</v>
      </c>
      <c r="AM3" s="69" t="s">
        <v>322</v>
      </c>
      <c r="AN3" s="69"/>
      <c r="AO3" s="69" t="s">
        <v>311</v>
      </c>
      <c r="AP3" s="69"/>
      <c r="AQ3" s="69"/>
      <c r="AR3" s="96" t="s">
        <v>309</v>
      </c>
      <c r="AS3" s="69" t="s">
        <v>329</v>
      </c>
      <c r="AT3" s="69" t="s">
        <v>336</v>
      </c>
      <c r="AU3" s="69"/>
      <c r="AV3" s="69"/>
      <c r="AW3" s="69"/>
      <c r="AX3" s="69" t="s">
        <v>508</v>
      </c>
      <c r="AY3" s="69" t="s">
        <v>329</v>
      </c>
      <c r="AZ3" s="69" t="s">
        <v>311</v>
      </c>
      <c r="BA3" s="69" t="s">
        <v>311</v>
      </c>
      <c r="BB3" s="69"/>
      <c r="BC3" s="69"/>
      <c r="BD3" s="69"/>
      <c r="BE3" s="96" t="s">
        <v>364</v>
      </c>
      <c r="BF3" s="69"/>
      <c r="BG3" s="69" t="s">
        <v>311</v>
      </c>
      <c r="BH3" s="69" t="s">
        <v>311</v>
      </c>
      <c r="BI3" s="69"/>
      <c r="BJ3" s="69" t="s">
        <v>344</v>
      </c>
      <c r="BK3" s="69"/>
      <c r="BL3" s="69"/>
      <c r="BM3" s="69"/>
    </row>
    <row r="4" spans="1:65">
      <c r="A4" s="61" t="s">
        <v>3</v>
      </c>
      <c r="B4" s="68" t="s">
        <v>174</v>
      </c>
      <c r="C4" s="66">
        <v>1.5</v>
      </c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34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 t="s">
        <v>309</v>
      </c>
      <c r="L4" s="70" t="s">
        <v>309</v>
      </c>
      <c r="M4" s="70" t="s">
        <v>350</v>
      </c>
      <c r="N4" s="70" t="s">
        <v>354</v>
      </c>
      <c r="O4" s="70" t="s">
        <v>311</v>
      </c>
      <c r="P4" s="70" t="s">
        <v>309</v>
      </c>
      <c r="Q4" s="70" t="s">
        <v>335</v>
      </c>
      <c r="R4" s="70" t="s">
        <v>309</v>
      </c>
      <c r="S4" s="70" t="s">
        <v>311</v>
      </c>
      <c r="T4" s="70" t="s">
        <v>344</v>
      </c>
      <c r="U4" s="70"/>
      <c r="V4" s="70" t="s">
        <v>309</v>
      </c>
      <c r="W4" s="70" t="s">
        <v>312</v>
      </c>
      <c r="X4" s="70" t="s">
        <v>331</v>
      </c>
      <c r="Y4" s="70" t="s">
        <v>331</v>
      </c>
      <c r="Z4" s="70" t="s">
        <v>311</v>
      </c>
      <c r="AA4" s="70"/>
      <c r="AB4" s="70" t="s">
        <v>309</v>
      </c>
      <c r="AC4" s="70" t="s">
        <v>311</v>
      </c>
      <c r="AD4" s="70" t="s">
        <v>345</v>
      </c>
      <c r="AE4" s="70" t="s">
        <v>311</v>
      </c>
      <c r="AF4" s="70" t="s">
        <v>349</v>
      </c>
      <c r="AG4" s="70"/>
      <c r="AH4" s="70"/>
      <c r="AI4" s="70"/>
      <c r="AJ4" s="70"/>
      <c r="AK4" s="70"/>
      <c r="AL4" s="70"/>
      <c r="AM4" s="70"/>
      <c r="AN4" s="70" t="s">
        <v>335</v>
      </c>
      <c r="AO4" s="70"/>
      <c r="AP4" s="70" t="s">
        <v>334</v>
      </c>
      <c r="AQ4" s="70" t="s">
        <v>311</v>
      </c>
      <c r="AR4" s="70"/>
      <c r="AS4" s="70"/>
      <c r="AT4" s="70"/>
      <c r="AU4" s="70" t="s">
        <v>309</v>
      </c>
      <c r="AV4" s="70" t="s">
        <v>311</v>
      </c>
      <c r="AW4" s="70" t="s">
        <v>311</v>
      </c>
      <c r="AX4" s="70"/>
      <c r="AY4" s="70"/>
      <c r="AZ4" s="70"/>
      <c r="BA4" s="70"/>
      <c r="BB4" s="70" t="s">
        <v>314</v>
      </c>
      <c r="BC4" s="70" t="s">
        <v>309</v>
      </c>
      <c r="BD4" s="70" t="s">
        <v>378</v>
      </c>
      <c r="BE4" s="70"/>
      <c r="BF4" s="70" t="s">
        <v>311</v>
      </c>
      <c r="BG4" s="70"/>
      <c r="BH4" s="70"/>
      <c r="BI4" s="70" t="s">
        <v>517</v>
      </c>
      <c r="BJ4" s="70"/>
      <c r="BK4" s="70" t="s">
        <v>309</v>
      </c>
      <c r="BL4" s="70" t="s">
        <v>311</v>
      </c>
      <c r="BM4" s="70" t="s">
        <v>328</v>
      </c>
    </row>
    <row r="5" spans="1:65">
      <c r="A5" s="59">
        <v>2</v>
      </c>
      <c r="B5" s="67" t="s">
        <v>171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20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 t="s">
        <v>350</v>
      </c>
      <c r="N5" s="69"/>
      <c r="O5" s="69"/>
      <c r="P5" s="69"/>
      <c r="Q5" s="69"/>
      <c r="R5" s="69" t="s">
        <v>309</v>
      </c>
      <c r="S5" s="69" t="s">
        <v>311</v>
      </c>
      <c r="T5" s="69"/>
      <c r="U5" s="69"/>
      <c r="V5" s="69" t="s">
        <v>309</v>
      </c>
      <c r="W5" s="69" t="s">
        <v>313</v>
      </c>
      <c r="X5" s="69" t="s">
        <v>314</v>
      </c>
      <c r="Y5" s="69"/>
      <c r="Z5" s="69" t="s">
        <v>311</v>
      </c>
      <c r="AA5" s="69"/>
      <c r="AB5" s="69"/>
      <c r="AC5" s="69" t="s">
        <v>311</v>
      </c>
      <c r="AD5" s="69"/>
      <c r="AE5" s="69"/>
      <c r="AF5" s="69"/>
      <c r="AG5" s="69"/>
      <c r="AH5" s="69" t="s">
        <v>337</v>
      </c>
      <c r="AI5" s="69" t="s">
        <v>503</v>
      </c>
      <c r="AJ5" s="69" t="s">
        <v>339</v>
      </c>
      <c r="AK5" s="69"/>
      <c r="AL5" s="69"/>
      <c r="AM5" s="69"/>
      <c r="AN5" s="69"/>
      <c r="AO5" s="69"/>
      <c r="AP5" s="69"/>
      <c r="AQ5" s="69"/>
      <c r="AR5" s="96"/>
      <c r="AS5" s="69" t="s">
        <v>322</v>
      </c>
      <c r="AT5" s="69"/>
      <c r="AU5" s="69"/>
      <c r="AV5" s="69" t="s">
        <v>311</v>
      </c>
      <c r="AW5" s="69"/>
      <c r="AX5" s="69" t="s">
        <v>509</v>
      </c>
      <c r="AY5" s="69"/>
      <c r="AZ5" s="69"/>
      <c r="BA5" s="69"/>
      <c r="BB5" s="69"/>
      <c r="BC5" s="69" t="s">
        <v>309</v>
      </c>
      <c r="BD5" s="69"/>
      <c r="BE5" s="69"/>
      <c r="BF5" s="69" t="s">
        <v>311</v>
      </c>
      <c r="BG5" s="69" t="s">
        <v>311</v>
      </c>
      <c r="BH5" s="69"/>
      <c r="BI5" s="69"/>
      <c r="BJ5" s="69" t="s">
        <v>344</v>
      </c>
      <c r="BK5" s="69"/>
      <c r="BL5" s="69" t="s">
        <v>311</v>
      </c>
      <c r="BM5" s="69" t="s">
        <v>327</v>
      </c>
    </row>
    <row r="6" spans="1:65">
      <c r="A6" s="61" t="s">
        <v>3</v>
      </c>
      <c r="B6" s="68" t="s">
        <v>188</v>
      </c>
      <c r="C6" s="66">
        <v>6.5</v>
      </c>
      <c r="D6" s="64">
        <v>27</v>
      </c>
      <c r="E6" s="64">
        <f>IF(ISBLANK($D6),"0",IF(($D6-$D5)&gt;($C6-$C5),1,0))</f>
        <v>0</v>
      </c>
      <c r="F6" s="64">
        <f t="shared" ca="1" si="1"/>
        <v>35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 t="s">
        <v>309</v>
      </c>
      <c r="L6" s="70" t="s">
        <v>309</v>
      </c>
      <c r="M6" s="70"/>
      <c r="N6" s="70" t="s">
        <v>313</v>
      </c>
      <c r="O6" s="70" t="s">
        <v>311</v>
      </c>
      <c r="P6" s="70" t="s">
        <v>309</v>
      </c>
      <c r="Q6" s="70" t="s">
        <v>335</v>
      </c>
      <c r="R6" s="70"/>
      <c r="S6" s="70"/>
      <c r="T6" s="70" t="s">
        <v>344</v>
      </c>
      <c r="U6" s="70" t="s">
        <v>309</v>
      </c>
      <c r="V6" s="70"/>
      <c r="W6" s="70"/>
      <c r="X6" s="70"/>
      <c r="Y6" s="70" t="s">
        <v>314</v>
      </c>
      <c r="Z6" s="70"/>
      <c r="AA6" s="70" t="s">
        <v>311</v>
      </c>
      <c r="AB6" s="70" t="s">
        <v>309</v>
      </c>
      <c r="AC6" s="70"/>
      <c r="AD6" s="70" t="s">
        <v>346</v>
      </c>
      <c r="AE6" s="70" t="s">
        <v>311</v>
      </c>
      <c r="AF6" s="70" t="s">
        <v>349</v>
      </c>
      <c r="AG6" s="70" t="s">
        <v>311</v>
      </c>
      <c r="AH6" s="70"/>
      <c r="AI6" s="70"/>
      <c r="AJ6" s="70"/>
      <c r="AK6" s="97" t="s">
        <v>311</v>
      </c>
      <c r="AL6" s="70" t="s">
        <v>327</v>
      </c>
      <c r="AM6" s="70" t="s">
        <v>323</v>
      </c>
      <c r="AN6" s="70" t="s">
        <v>335</v>
      </c>
      <c r="AO6" s="70" t="s">
        <v>311</v>
      </c>
      <c r="AP6" s="70" t="s">
        <v>315</v>
      </c>
      <c r="AQ6" s="70" t="s">
        <v>311</v>
      </c>
      <c r="AR6" s="70" t="s">
        <v>309</v>
      </c>
      <c r="AS6" s="70"/>
      <c r="AT6" s="70" t="s">
        <v>336</v>
      </c>
      <c r="AU6" s="70" t="s">
        <v>309</v>
      </c>
      <c r="AV6" s="70"/>
      <c r="AW6" s="70" t="s">
        <v>311</v>
      </c>
      <c r="AX6" s="70"/>
      <c r="AY6" s="70" t="s">
        <v>323</v>
      </c>
      <c r="AZ6" s="70" t="s">
        <v>311</v>
      </c>
      <c r="BA6" s="70" t="s">
        <v>311</v>
      </c>
      <c r="BB6" s="70" t="s">
        <v>314</v>
      </c>
      <c r="BC6" s="70"/>
      <c r="BD6" s="70" t="s">
        <v>378</v>
      </c>
      <c r="BE6" s="97" t="s">
        <v>364</v>
      </c>
      <c r="BF6" s="70"/>
      <c r="BG6" s="70"/>
      <c r="BH6" s="70" t="s">
        <v>311</v>
      </c>
      <c r="BI6" s="70" t="s">
        <v>517</v>
      </c>
      <c r="BJ6" s="70"/>
      <c r="BK6" s="70" t="s">
        <v>309</v>
      </c>
      <c r="BL6" s="70"/>
      <c r="BM6" s="70"/>
    </row>
    <row r="7" spans="1:65">
      <c r="A7" s="59">
        <v>3</v>
      </c>
      <c r="B7" s="67" t="s">
        <v>202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31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 t="s">
        <v>309</v>
      </c>
      <c r="L7" s="69" t="s">
        <v>309</v>
      </c>
      <c r="M7" s="69" t="s">
        <v>350</v>
      </c>
      <c r="N7" s="69"/>
      <c r="O7" s="69" t="s">
        <v>311</v>
      </c>
      <c r="P7" s="69" t="s">
        <v>309</v>
      </c>
      <c r="Q7" s="69"/>
      <c r="R7" s="96" t="s">
        <v>309</v>
      </c>
      <c r="S7" s="96" t="s">
        <v>311</v>
      </c>
      <c r="T7" s="96" t="s">
        <v>344</v>
      </c>
      <c r="U7" s="96" t="s">
        <v>309</v>
      </c>
      <c r="V7" s="69" t="s">
        <v>309</v>
      </c>
      <c r="W7" s="69" t="s">
        <v>320</v>
      </c>
      <c r="X7" s="69" t="s">
        <v>340</v>
      </c>
      <c r="Y7" s="69"/>
      <c r="Z7" s="69" t="s">
        <v>311</v>
      </c>
      <c r="AA7" s="69" t="s">
        <v>311</v>
      </c>
      <c r="AB7" s="69" t="s">
        <v>309</v>
      </c>
      <c r="AC7" s="69"/>
      <c r="AD7" s="69"/>
      <c r="AE7" s="69"/>
      <c r="AF7" s="69" t="s">
        <v>349</v>
      </c>
      <c r="AG7" s="69"/>
      <c r="AH7" s="69" t="s">
        <v>442</v>
      </c>
      <c r="AI7" s="69"/>
      <c r="AJ7" s="69" t="s">
        <v>339</v>
      </c>
      <c r="AK7" s="69" t="s">
        <v>311</v>
      </c>
      <c r="AL7" s="69"/>
      <c r="AM7" s="69"/>
      <c r="AN7" s="69" t="s">
        <v>335</v>
      </c>
      <c r="AO7" s="69" t="s">
        <v>311</v>
      </c>
      <c r="AP7" s="69" t="s">
        <v>325</v>
      </c>
      <c r="AQ7" s="69"/>
      <c r="AR7" s="96" t="s">
        <v>309</v>
      </c>
      <c r="AS7" s="69"/>
      <c r="AT7" s="69"/>
      <c r="AU7" s="69" t="s">
        <v>309</v>
      </c>
      <c r="AV7" s="69"/>
      <c r="AW7" s="69"/>
      <c r="AX7" s="69" t="s">
        <v>510</v>
      </c>
      <c r="AY7" s="69" t="s">
        <v>351</v>
      </c>
      <c r="AZ7" s="69"/>
      <c r="BA7" s="69"/>
      <c r="BB7" s="69"/>
      <c r="BC7" s="69"/>
      <c r="BD7" s="69"/>
      <c r="BE7" s="96" t="s">
        <v>364</v>
      </c>
      <c r="BF7" s="69"/>
      <c r="BG7" s="69" t="s">
        <v>311</v>
      </c>
      <c r="BH7" s="69"/>
      <c r="BI7" s="69" t="s">
        <v>517</v>
      </c>
      <c r="BJ7" s="69" t="s">
        <v>344</v>
      </c>
      <c r="BK7" s="69"/>
      <c r="BL7" s="69" t="s">
        <v>311</v>
      </c>
      <c r="BM7" s="69"/>
    </row>
    <row r="8" spans="1:65">
      <c r="A8" s="61" t="s">
        <v>3</v>
      </c>
      <c r="B8" s="68" t="s">
        <v>154</v>
      </c>
      <c r="C8" s="66">
        <v>3.5</v>
      </c>
      <c r="D8" s="64">
        <v>10</v>
      </c>
      <c r="E8" s="64">
        <f>IF(ISBLANK($D8),"0",IF(($D8-$D7)&gt;($C8-$C7),1,0))</f>
        <v>0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314</v>
      </c>
      <c r="O8" s="70"/>
      <c r="P8" s="70"/>
      <c r="Q8" s="70" t="s">
        <v>335</v>
      </c>
      <c r="R8" s="97"/>
      <c r="S8" s="97"/>
      <c r="T8" s="97"/>
      <c r="U8" s="70"/>
      <c r="V8" s="70"/>
      <c r="W8" s="70"/>
      <c r="X8" s="70"/>
      <c r="Y8" s="70" t="s">
        <v>340</v>
      </c>
      <c r="Z8" s="70"/>
      <c r="AA8" s="70"/>
      <c r="AB8" s="70"/>
      <c r="AC8" s="70" t="s">
        <v>311</v>
      </c>
      <c r="AD8" s="70" t="s">
        <v>337</v>
      </c>
      <c r="AE8" s="70" t="s">
        <v>311</v>
      </c>
      <c r="AF8" s="70"/>
      <c r="AG8" s="70" t="s">
        <v>311</v>
      </c>
      <c r="AH8" s="70"/>
      <c r="AI8" s="70" t="s">
        <v>350</v>
      </c>
      <c r="AJ8" s="70"/>
      <c r="AK8" s="97"/>
      <c r="AL8" s="70" t="s">
        <v>327</v>
      </c>
      <c r="AM8" s="70" t="s">
        <v>357</v>
      </c>
      <c r="AN8" s="70"/>
      <c r="AO8" s="70"/>
      <c r="AP8" s="70"/>
      <c r="AQ8" s="70" t="s">
        <v>311</v>
      </c>
      <c r="AR8" s="70"/>
      <c r="AS8" s="70" t="s">
        <v>332</v>
      </c>
      <c r="AT8" s="70" t="s">
        <v>336</v>
      </c>
      <c r="AU8" s="70"/>
      <c r="AV8" s="70" t="s">
        <v>311</v>
      </c>
      <c r="AW8" s="70" t="s">
        <v>311</v>
      </c>
      <c r="AX8" s="70"/>
      <c r="AY8" s="70"/>
      <c r="AZ8" s="70" t="s">
        <v>311</v>
      </c>
      <c r="BA8" s="70" t="s">
        <v>311</v>
      </c>
      <c r="BB8" s="70" t="s">
        <v>314</v>
      </c>
      <c r="BC8" s="70" t="s">
        <v>309</v>
      </c>
      <c r="BD8" s="70" t="s">
        <v>378</v>
      </c>
      <c r="BE8" s="70"/>
      <c r="BF8" s="70" t="s">
        <v>311</v>
      </c>
      <c r="BG8" s="70"/>
      <c r="BH8" s="70" t="s">
        <v>311</v>
      </c>
      <c r="BI8" s="70"/>
      <c r="BJ8" s="70"/>
      <c r="BK8" s="70" t="s">
        <v>309</v>
      </c>
      <c r="BL8" s="70"/>
      <c r="BM8" s="70" t="s">
        <v>329</v>
      </c>
    </row>
    <row r="9" spans="1:65">
      <c r="A9" s="59">
        <v>4</v>
      </c>
      <c r="B9" s="108" t="s">
        <v>246</v>
      </c>
      <c r="C9" s="65">
        <v>3.5</v>
      </c>
      <c r="D9" s="81">
        <v>59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 t="s">
        <v>320</v>
      </c>
      <c r="K9" s="69" t="s">
        <v>309</v>
      </c>
      <c r="L9" s="69" t="s">
        <v>309</v>
      </c>
      <c r="M9" s="69" t="s">
        <v>350</v>
      </c>
      <c r="N9" s="69"/>
      <c r="O9" s="69" t="s">
        <v>311</v>
      </c>
      <c r="P9" s="69" t="s">
        <v>309</v>
      </c>
      <c r="Q9" s="69"/>
      <c r="R9" s="96" t="s">
        <v>309</v>
      </c>
      <c r="S9" s="96" t="s">
        <v>311</v>
      </c>
      <c r="T9" s="96"/>
      <c r="U9" s="69" t="s">
        <v>309</v>
      </c>
      <c r="V9" s="69"/>
      <c r="W9" s="69" t="s">
        <v>315</v>
      </c>
      <c r="X9" s="69"/>
      <c r="Y9" s="69" t="s">
        <v>315</v>
      </c>
      <c r="Z9" s="69" t="s">
        <v>311</v>
      </c>
      <c r="AA9" s="69"/>
      <c r="AB9" s="69" t="s">
        <v>309</v>
      </c>
      <c r="AC9" s="69" t="s">
        <v>311</v>
      </c>
      <c r="AD9" s="69"/>
      <c r="AE9" s="69" t="s">
        <v>311</v>
      </c>
      <c r="AF9" s="69"/>
      <c r="AG9" s="69" t="s">
        <v>311</v>
      </c>
      <c r="AH9" s="69" t="s">
        <v>500</v>
      </c>
      <c r="AI9" s="69" t="s">
        <v>337</v>
      </c>
      <c r="AJ9" s="69" t="s">
        <v>339</v>
      </c>
      <c r="AK9" s="69"/>
      <c r="AL9" s="69" t="s">
        <v>327</v>
      </c>
      <c r="AM9" s="69" t="s">
        <v>340</v>
      </c>
      <c r="AN9" s="69" t="s">
        <v>335</v>
      </c>
      <c r="AO9" s="69" t="s">
        <v>311</v>
      </c>
      <c r="AP9" s="69"/>
      <c r="AQ9" s="69"/>
      <c r="AR9" s="96" t="s">
        <v>309</v>
      </c>
      <c r="AS9" s="69" t="s">
        <v>327</v>
      </c>
      <c r="AT9" s="69"/>
      <c r="AU9" s="69" t="s">
        <v>309</v>
      </c>
      <c r="AV9" s="69" t="s">
        <v>311</v>
      </c>
      <c r="AW9" s="69" t="s">
        <v>311</v>
      </c>
      <c r="AX9" s="69"/>
      <c r="AY9" s="69" t="s">
        <v>337</v>
      </c>
      <c r="AZ9" s="69"/>
      <c r="BA9" s="69" t="s">
        <v>311</v>
      </c>
      <c r="BB9" s="69" t="s">
        <v>314</v>
      </c>
      <c r="BC9" s="69"/>
      <c r="BD9" s="69" t="s">
        <v>378</v>
      </c>
      <c r="BE9" s="96" t="s">
        <v>364</v>
      </c>
      <c r="BF9" s="69"/>
      <c r="BG9" s="69" t="s">
        <v>311</v>
      </c>
      <c r="BH9" s="69" t="s">
        <v>311</v>
      </c>
      <c r="BI9" s="69" t="s">
        <v>517</v>
      </c>
      <c r="BJ9" s="69"/>
      <c r="BK9" s="69" t="s">
        <v>309</v>
      </c>
      <c r="BL9" s="69" t="s">
        <v>311</v>
      </c>
      <c r="BM9" s="69" t="s">
        <v>330</v>
      </c>
    </row>
    <row r="10" spans="1:65">
      <c r="A10" s="61" t="s">
        <v>3</v>
      </c>
      <c r="B10" s="68" t="s">
        <v>251</v>
      </c>
      <c r="C10" s="66"/>
      <c r="D10" s="64">
        <v>37</v>
      </c>
      <c r="E10" s="64">
        <f>IF(ISBLANK($D10),"0",IF(($D10-$D9)&gt;($C10-$C9),1,0))</f>
        <v>0</v>
      </c>
      <c r="F10" s="64">
        <f t="shared" ca="1" si="1"/>
        <v>17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315</v>
      </c>
      <c r="O10" s="70"/>
      <c r="P10" s="70"/>
      <c r="Q10" s="70" t="s">
        <v>335</v>
      </c>
      <c r="R10" s="97"/>
      <c r="S10" s="97"/>
      <c r="T10" s="97" t="s">
        <v>344</v>
      </c>
      <c r="U10" s="70"/>
      <c r="V10" s="70" t="s">
        <v>309</v>
      </c>
      <c r="W10" s="70"/>
      <c r="X10" s="70" t="s">
        <v>357</v>
      </c>
      <c r="Y10" s="70"/>
      <c r="Z10" s="70"/>
      <c r="AA10" s="70" t="s">
        <v>311</v>
      </c>
      <c r="AB10" s="70"/>
      <c r="AC10" s="70"/>
      <c r="AD10" s="70" t="s">
        <v>319</v>
      </c>
      <c r="AE10" s="70"/>
      <c r="AF10" s="70" t="s">
        <v>349</v>
      </c>
      <c r="AG10" s="70"/>
      <c r="AH10" s="70"/>
      <c r="AI10" s="70"/>
      <c r="AJ10" s="70"/>
      <c r="AK10" s="97" t="s">
        <v>311</v>
      </c>
      <c r="AL10" s="70"/>
      <c r="AM10" s="70"/>
      <c r="AN10" s="70"/>
      <c r="AO10" s="70"/>
      <c r="AP10" s="70" t="s">
        <v>337</v>
      </c>
      <c r="AQ10" s="70" t="s">
        <v>311</v>
      </c>
      <c r="AR10" s="70"/>
      <c r="AS10" s="70"/>
      <c r="AT10" s="70" t="s">
        <v>336</v>
      </c>
      <c r="AU10" s="70"/>
      <c r="AV10" s="70"/>
      <c r="AW10" s="70"/>
      <c r="AX10" s="70" t="s">
        <v>488</v>
      </c>
      <c r="AY10" s="70"/>
      <c r="AZ10" s="70" t="s">
        <v>311</v>
      </c>
      <c r="BA10" s="70"/>
      <c r="BB10" s="70"/>
      <c r="BC10" s="70" t="s">
        <v>309</v>
      </c>
      <c r="BD10" s="70"/>
      <c r="BE10" s="70"/>
      <c r="BF10" s="70" t="s">
        <v>311</v>
      </c>
      <c r="BG10" s="70"/>
      <c r="BH10" s="70"/>
      <c r="BI10" s="70"/>
      <c r="BJ10" s="70" t="s">
        <v>344</v>
      </c>
      <c r="BK10" s="70"/>
      <c r="BL10" s="70"/>
      <c r="BM10" s="70"/>
    </row>
    <row r="11" spans="1:65">
      <c r="A11" s="59">
        <v>5</v>
      </c>
      <c r="B11" s="67" t="s">
        <v>153</v>
      </c>
      <c r="C11" s="65"/>
      <c r="D11" s="64">
        <v>6</v>
      </c>
      <c r="E11" s="64">
        <f>IF(ISBLANK($D11),"0",IF(($D12-$D11)&lt;($C12-$C11),1,0))</f>
        <v>1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 t="s">
        <v>309</v>
      </c>
      <c r="Q11" s="69" t="s">
        <v>335</v>
      </c>
      <c r="R11" s="96" t="s">
        <v>309</v>
      </c>
      <c r="S11" s="96"/>
      <c r="T11" s="96" t="s">
        <v>344</v>
      </c>
      <c r="U11" s="69" t="s">
        <v>309</v>
      </c>
      <c r="V11" s="69" t="s">
        <v>309</v>
      </c>
      <c r="W11" s="69"/>
      <c r="X11" s="69" t="s">
        <v>328</v>
      </c>
      <c r="Y11" s="69"/>
      <c r="Z11" s="69"/>
      <c r="AA11" s="69"/>
      <c r="AB11" s="69"/>
      <c r="AC11" s="69"/>
      <c r="AD11" s="69" t="s">
        <v>338</v>
      </c>
      <c r="AE11" s="69" t="s">
        <v>311</v>
      </c>
      <c r="AF11" s="69"/>
      <c r="AG11" s="69"/>
      <c r="AH11" s="69"/>
      <c r="AI11" s="69" t="s">
        <v>340</v>
      </c>
      <c r="AJ11" s="69"/>
      <c r="AK11" s="69" t="s">
        <v>311</v>
      </c>
      <c r="AL11" s="69"/>
      <c r="AM11" s="69"/>
      <c r="AN11" s="69"/>
      <c r="AO11" s="69"/>
      <c r="AP11" s="69"/>
      <c r="AQ11" s="69"/>
      <c r="AR11" s="69" t="s">
        <v>309</v>
      </c>
      <c r="AS11" s="69"/>
      <c r="AT11" s="69"/>
      <c r="AU11" s="69" t="s">
        <v>309</v>
      </c>
      <c r="AV11" s="69"/>
      <c r="AW11" s="69" t="s">
        <v>311</v>
      </c>
      <c r="AX11" s="69" t="s">
        <v>511</v>
      </c>
      <c r="AY11" s="69"/>
      <c r="AZ11" s="69"/>
      <c r="BA11" s="69"/>
      <c r="BB11" s="69" t="s">
        <v>314</v>
      </c>
      <c r="BC11" s="69"/>
      <c r="BD11" s="69" t="s">
        <v>378</v>
      </c>
      <c r="BE11" s="96" t="s">
        <v>364</v>
      </c>
      <c r="BF11" s="69"/>
      <c r="BG11" s="69" t="s">
        <v>311</v>
      </c>
      <c r="BH11" s="69" t="s">
        <v>311</v>
      </c>
      <c r="BI11" s="69"/>
      <c r="BJ11" s="69"/>
      <c r="BK11" s="69" t="s">
        <v>309</v>
      </c>
      <c r="BL11" s="69" t="s">
        <v>311</v>
      </c>
      <c r="BM11" s="69" t="s">
        <v>331</v>
      </c>
    </row>
    <row r="12" spans="1:65">
      <c r="A12" s="61" t="s">
        <v>3</v>
      </c>
      <c r="B12" s="68" t="s">
        <v>163</v>
      </c>
      <c r="C12" s="66">
        <v>15.5</v>
      </c>
      <c r="D12" s="64">
        <v>16</v>
      </c>
      <c r="E12" s="64">
        <f>IF(ISBLANK($D12),"0",IF(($D12-$D11)&gt;($C12-$C11),1,0))</f>
        <v>0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320</v>
      </c>
      <c r="K12" s="70" t="s">
        <v>309</v>
      </c>
      <c r="L12" s="70" t="s">
        <v>309</v>
      </c>
      <c r="M12" s="70" t="s">
        <v>350</v>
      </c>
      <c r="N12" s="70" t="s">
        <v>318</v>
      </c>
      <c r="O12" s="70" t="s">
        <v>311</v>
      </c>
      <c r="P12" s="70"/>
      <c r="Q12" s="70"/>
      <c r="R12" s="97"/>
      <c r="S12" s="97" t="s">
        <v>311</v>
      </c>
      <c r="T12" s="97"/>
      <c r="U12" s="70"/>
      <c r="V12" s="70"/>
      <c r="W12" s="70" t="s">
        <v>317</v>
      </c>
      <c r="X12" s="70"/>
      <c r="Y12" s="70" t="s">
        <v>328</v>
      </c>
      <c r="Z12" s="70" t="s">
        <v>311</v>
      </c>
      <c r="AA12" s="70" t="s">
        <v>311</v>
      </c>
      <c r="AB12" s="70" t="s">
        <v>309</v>
      </c>
      <c r="AC12" s="70" t="s">
        <v>311</v>
      </c>
      <c r="AD12" s="70"/>
      <c r="AE12" s="70"/>
      <c r="AF12" s="70" t="s">
        <v>349</v>
      </c>
      <c r="AG12" s="70" t="s">
        <v>311</v>
      </c>
      <c r="AH12" s="70" t="s">
        <v>372</v>
      </c>
      <c r="AI12" s="70"/>
      <c r="AJ12" s="70" t="s">
        <v>339</v>
      </c>
      <c r="AK12" s="97"/>
      <c r="AL12" s="70" t="s">
        <v>327</v>
      </c>
      <c r="AM12" s="70" t="s">
        <v>506</v>
      </c>
      <c r="AN12" s="70" t="s">
        <v>335</v>
      </c>
      <c r="AO12" s="70" t="s">
        <v>311</v>
      </c>
      <c r="AP12" s="70" t="s">
        <v>351</v>
      </c>
      <c r="AQ12" s="70" t="s">
        <v>311</v>
      </c>
      <c r="AR12" s="97"/>
      <c r="AS12" s="70" t="s">
        <v>331</v>
      </c>
      <c r="AT12" s="70" t="s">
        <v>336</v>
      </c>
      <c r="AU12" s="70"/>
      <c r="AV12" s="70" t="s">
        <v>311</v>
      </c>
      <c r="AW12" s="70"/>
      <c r="AX12" s="70"/>
      <c r="AY12" s="70" t="s">
        <v>340</v>
      </c>
      <c r="AZ12" s="70" t="s">
        <v>311</v>
      </c>
      <c r="BA12" s="70" t="s">
        <v>311</v>
      </c>
      <c r="BB12" s="70"/>
      <c r="BC12" s="70" t="s">
        <v>309</v>
      </c>
      <c r="BD12" s="70"/>
      <c r="BE12" s="70"/>
      <c r="BF12" s="70" t="s">
        <v>311</v>
      </c>
      <c r="BG12" s="70"/>
      <c r="BH12" s="70"/>
      <c r="BI12" s="70" t="s">
        <v>517</v>
      </c>
      <c r="BJ12" s="70" t="s">
        <v>344</v>
      </c>
      <c r="BK12" s="70"/>
      <c r="BL12" s="70"/>
      <c r="BM12" s="70"/>
    </row>
    <row r="13" spans="1:65">
      <c r="A13" s="59">
        <v>6</v>
      </c>
      <c r="B13" s="67" t="s">
        <v>209</v>
      </c>
      <c r="C13" s="65">
        <v>13.5</v>
      </c>
      <c r="D13" s="64">
        <v>31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/>
      <c r="M13" s="69" t="s">
        <v>350</v>
      </c>
      <c r="N13" s="69" t="s">
        <v>362</v>
      </c>
      <c r="O13" s="69"/>
      <c r="P13" s="69"/>
      <c r="Q13" s="69"/>
      <c r="R13" s="96" t="s">
        <v>309</v>
      </c>
      <c r="S13" s="96" t="s">
        <v>311</v>
      </c>
      <c r="T13" s="96" t="s">
        <v>344</v>
      </c>
      <c r="U13" s="69" t="s">
        <v>309</v>
      </c>
      <c r="V13" s="69" t="s">
        <v>309</v>
      </c>
      <c r="W13" s="69" t="s">
        <v>337</v>
      </c>
      <c r="X13" s="69" t="s">
        <v>313</v>
      </c>
      <c r="Y13" s="69" t="s">
        <v>313</v>
      </c>
      <c r="Z13" s="69" t="s">
        <v>311</v>
      </c>
      <c r="AA13" s="69" t="s">
        <v>311</v>
      </c>
      <c r="AB13" s="69" t="s">
        <v>309</v>
      </c>
      <c r="AC13" s="69"/>
      <c r="AD13" s="69" t="s">
        <v>323</v>
      </c>
      <c r="AE13" s="69"/>
      <c r="AF13" s="69" t="s">
        <v>349</v>
      </c>
      <c r="AG13" s="69" t="s">
        <v>311</v>
      </c>
      <c r="AH13" s="69"/>
      <c r="AI13" s="69" t="s">
        <v>320</v>
      </c>
      <c r="AJ13" s="69" t="s">
        <v>339</v>
      </c>
      <c r="AK13" s="96"/>
      <c r="AL13" s="69"/>
      <c r="AM13" s="69" t="s">
        <v>318</v>
      </c>
      <c r="AN13" s="69" t="s">
        <v>335</v>
      </c>
      <c r="AO13" s="69" t="s">
        <v>311</v>
      </c>
      <c r="AP13" s="69" t="s">
        <v>313</v>
      </c>
      <c r="AQ13" s="69" t="s">
        <v>311</v>
      </c>
      <c r="AR13" s="96" t="s">
        <v>309</v>
      </c>
      <c r="AS13" s="69" t="s">
        <v>332</v>
      </c>
      <c r="AT13" s="69" t="s">
        <v>336</v>
      </c>
      <c r="AU13" s="69" t="s">
        <v>309</v>
      </c>
      <c r="AV13" s="69"/>
      <c r="AW13" s="69"/>
      <c r="AX13" s="69" t="s">
        <v>512</v>
      </c>
      <c r="AY13" s="69"/>
      <c r="AZ13" s="69" t="s">
        <v>311</v>
      </c>
      <c r="BA13" s="69"/>
      <c r="BB13" s="69"/>
      <c r="BC13" s="69" t="s">
        <v>309</v>
      </c>
      <c r="BD13" s="69"/>
      <c r="BE13" s="96"/>
      <c r="BF13" s="69"/>
      <c r="BG13" s="69" t="s">
        <v>311</v>
      </c>
      <c r="BH13" s="69" t="s">
        <v>311</v>
      </c>
      <c r="BI13" s="69"/>
      <c r="BJ13" s="69"/>
      <c r="BK13" s="69" t="s">
        <v>309</v>
      </c>
      <c r="BL13" s="69" t="s">
        <v>311</v>
      </c>
      <c r="BM13" s="69" t="s">
        <v>332</v>
      </c>
    </row>
    <row r="14" spans="1:65">
      <c r="A14" s="61" t="s">
        <v>3</v>
      </c>
      <c r="B14" s="68" t="s">
        <v>210</v>
      </c>
      <c r="C14" s="66"/>
      <c r="D14" s="64">
        <v>24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 t="s">
        <v>309</v>
      </c>
      <c r="M14" s="70"/>
      <c r="N14" s="70"/>
      <c r="O14" s="70" t="s">
        <v>311</v>
      </c>
      <c r="P14" s="70" t="s">
        <v>309</v>
      </c>
      <c r="Q14" s="70" t="s">
        <v>335</v>
      </c>
      <c r="R14" s="97"/>
      <c r="S14" s="97"/>
      <c r="T14" s="97"/>
      <c r="U14" s="70"/>
      <c r="V14" s="70"/>
      <c r="W14" s="70"/>
      <c r="X14" s="70"/>
      <c r="Y14" s="70"/>
      <c r="Z14" s="70"/>
      <c r="AA14" s="70"/>
      <c r="AB14" s="70"/>
      <c r="AC14" s="70" t="s">
        <v>311</v>
      </c>
      <c r="AD14" s="70"/>
      <c r="AE14" s="70" t="s">
        <v>311</v>
      </c>
      <c r="AF14" s="70"/>
      <c r="AG14" s="70"/>
      <c r="AH14" s="70" t="s">
        <v>313</v>
      </c>
      <c r="AI14" s="70"/>
      <c r="AJ14" s="70"/>
      <c r="AK14" s="70" t="s">
        <v>311</v>
      </c>
      <c r="AL14" s="70" t="s">
        <v>327</v>
      </c>
      <c r="AM14" s="70"/>
      <c r="AN14" s="70"/>
      <c r="AO14" s="70"/>
      <c r="AP14" s="70"/>
      <c r="AQ14" s="70"/>
      <c r="AR14" s="70"/>
      <c r="AS14" s="70"/>
      <c r="AT14" s="70"/>
      <c r="AU14" s="70"/>
      <c r="AV14" s="70" t="s">
        <v>311</v>
      </c>
      <c r="AW14" s="70" t="s">
        <v>311</v>
      </c>
      <c r="AX14" s="70"/>
      <c r="AY14" s="70" t="s">
        <v>515</v>
      </c>
      <c r="AZ14" s="70"/>
      <c r="BA14" s="70" t="s">
        <v>311</v>
      </c>
      <c r="BB14" s="70" t="s">
        <v>314</v>
      </c>
      <c r="BC14" s="70"/>
      <c r="BD14" s="70" t="s">
        <v>378</v>
      </c>
      <c r="BE14" s="70" t="s">
        <v>364</v>
      </c>
      <c r="BF14" s="70" t="s">
        <v>311</v>
      </c>
      <c r="BG14" s="70"/>
      <c r="BH14" s="70"/>
      <c r="BI14" s="70" t="s">
        <v>517</v>
      </c>
      <c r="BJ14" s="70" t="s">
        <v>344</v>
      </c>
      <c r="BK14" s="70"/>
      <c r="BL14" s="70"/>
      <c r="BM14" s="70"/>
    </row>
    <row r="15" spans="1:65">
      <c r="A15" s="59">
        <v>7</v>
      </c>
      <c r="B15" s="67" t="s">
        <v>248</v>
      </c>
      <c r="C15" s="65">
        <v>1.5</v>
      </c>
      <c r="D15" s="64">
        <v>21</v>
      </c>
      <c r="E15" s="64">
        <f>IF(ISBLANK($D15),"0",IF(($D16-$D15)&lt;($C16-$C15),1,0))</f>
        <v>0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/>
      <c r="M15" s="69"/>
      <c r="N15" s="69" t="s">
        <v>389</v>
      </c>
      <c r="O15" s="69"/>
      <c r="P15" s="69" t="s">
        <v>309</v>
      </c>
      <c r="Q15" s="69" t="s">
        <v>335</v>
      </c>
      <c r="R15" s="96"/>
      <c r="S15" s="96" t="s">
        <v>311</v>
      </c>
      <c r="T15" s="96" t="s">
        <v>344</v>
      </c>
      <c r="U15" s="69" t="s">
        <v>309</v>
      </c>
      <c r="V15" s="69" t="s">
        <v>309</v>
      </c>
      <c r="W15" s="69" t="s">
        <v>362</v>
      </c>
      <c r="X15" s="69" t="s">
        <v>315</v>
      </c>
      <c r="Y15" s="69" t="s">
        <v>315</v>
      </c>
      <c r="Z15" s="69" t="s">
        <v>311</v>
      </c>
      <c r="AA15" s="69"/>
      <c r="AB15" s="69"/>
      <c r="AC15" s="69" t="s">
        <v>311</v>
      </c>
      <c r="AD15" s="69"/>
      <c r="AE15" s="69" t="s">
        <v>311</v>
      </c>
      <c r="AF15" s="69" t="s">
        <v>349</v>
      </c>
      <c r="AG15" s="69" t="s">
        <v>311</v>
      </c>
      <c r="AH15" s="69" t="s">
        <v>373</v>
      </c>
      <c r="AI15" s="69" t="s">
        <v>504</v>
      </c>
      <c r="AJ15" s="69"/>
      <c r="AK15" s="96" t="s">
        <v>311</v>
      </c>
      <c r="AL15" s="69"/>
      <c r="AM15" s="69" t="s">
        <v>325</v>
      </c>
      <c r="AN15" s="69"/>
      <c r="AO15" s="69"/>
      <c r="AP15" s="69"/>
      <c r="AQ15" s="69" t="s">
        <v>311</v>
      </c>
      <c r="AR15" s="69" t="s">
        <v>309</v>
      </c>
      <c r="AS15" s="69" t="s">
        <v>334</v>
      </c>
      <c r="AT15" s="69" t="s">
        <v>336</v>
      </c>
      <c r="AU15" s="69" t="s">
        <v>309</v>
      </c>
      <c r="AV15" s="69" t="s">
        <v>311</v>
      </c>
      <c r="AW15" s="69" t="s">
        <v>311</v>
      </c>
      <c r="AX15" s="69" t="s">
        <v>513</v>
      </c>
      <c r="AY15" s="69" t="s">
        <v>336</v>
      </c>
      <c r="AZ15" s="69" t="s">
        <v>311</v>
      </c>
      <c r="BA15" s="69"/>
      <c r="BB15" s="69" t="s">
        <v>314</v>
      </c>
      <c r="BC15" s="69" t="s">
        <v>309</v>
      </c>
      <c r="BD15" s="69"/>
      <c r="BE15" s="96" t="s">
        <v>364</v>
      </c>
      <c r="BF15" s="69" t="s">
        <v>311</v>
      </c>
      <c r="BG15" s="69" t="s">
        <v>311</v>
      </c>
      <c r="BH15" s="69" t="s">
        <v>311</v>
      </c>
      <c r="BI15" s="69" t="s">
        <v>517</v>
      </c>
      <c r="BJ15" s="69"/>
      <c r="BK15" s="69" t="s">
        <v>309</v>
      </c>
      <c r="BL15" s="69" t="s">
        <v>311</v>
      </c>
      <c r="BM15" s="69" t="s">
        <v>331</v>
      </c>
    </row>
    <row r="16" spans="1:65">
      <c r="A16" s="61" t="s">
        <v>3</v>
      </c>
      <c r="B16" s="68" t="s">
        <v>243</v>
      </c>
      <c r="C16" s="66"/>
      <c r="D16" s="64">
        <v>24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/>
      <c r="L16" s="70" t="s">
        <v>309</v>
      </c>
      <c r="M16" s="70" t="s">
        <v>350</v>
      </c>
      <c r="N16" s="70"/>
      <c r="O16" s="70" t="s">
        <v>311</v>
      </c>
      <c r="P16" s="70"/>
      <c r="Q16" s="70"/>
      <c r="R16" s="70" t="s">
        <v>309</v>
      </c>
      <c r="S16" s="70"/>
      <c r="T16" s="70"/>
      <c r="U16" s="70"/>
      <c r="V16" s="70"/>
      <c r="W16" s="70"/>
      <c r="X16" s="70"/>
      <c r="Y16" s="70"/>
      <c r="Z16" s="70"/>
      <c r="AA16" s="70" t="s">
        <v>311</v>
      </c>
      <c r="AB16" s="70" t="s">
        <v>309</v>
      </c>
      <c r="AC16" s="70"/>
      <c r="AD16" s="70" t="s">
        <v>347</v>
      </c>
      <c r="AE16" s="70"/>
      <c r="AF16" s="70"/>
      <c r="AG16" s="70"/>
      <c r="AH16" s="70"/>
      <c r="AI16" s="70"/>
      <c r="AJ16" s="70" t="s">
        <v>339</v>
      </c>
      <c r="AK16" s="70"/>
      <c r="AL16" s="70" t="s">
        <v>327</v>
      </c>
      <c r="AM16" s="70"/>
      <c r="AN16" s="70" t="s">
        <v>335</v>
      </c>
      <c r="AO16" s="70" t="s">
        <v>311</v>
      </c>
      <c r="AP16" s="70" t="s">
        <v>366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311</v>
      </c>
      <c r="BB16" s="70"/>
      <c r="BC16" s="70"/>
      <c r="BD16" s="70" t="s">
        <v>378</v>
      </c>
      <c r="BE16" s="70"/>
      <c r="BF16" s="70"/>
      <c r="BG16" s="70"/>
      <c r="BH16" s="70"/>
      <c r="BI16" s="70"/>
      <c r="BJ16" s="70" t="s">
        <v>344</v>
      </c>
      <c r="BK16" s="70"/>
      <c r="BL16" s="70"/>
      <c r="BM16" s="70"/>
    </row>
    <row r="17" spans="1:65">
      <c r="A17" s="59">
        <v>8</v>
      </c>
      <c r="B17" s="67" t="s">
        <v>146</v>
      </c>
      <c r="C17" s="65"/>
      <c r="D17" s="64">
        <v>56</v>
      </c>
      <c r="E17" s="64">
        <f>IF(ISBLANK($D17),"0",IF(($D18-$D17)&lt;($C18-$C17),1,0))</f>
        <v>1</v>
      </c>
      <c r="F17" s="64">
        <f t="shared" ca="1" si="1"/>
        <v>33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309</v>
      </c>
      <c r="L17" s="69" t="s">
        <v>309</v>
      </c>
      <c r="M17" s="69"/>
      <c r="N17" s="69" t="s">
        <v>313</v>
      </c>
      <c r="O17" s="69"/>
      <c r="P17" s="69" t="s">
        <v>309</v>
      </c>
      <c r="Q17" s="69"/>
      <c r="R17" s="69"/>
      <c r="S17" s="69" t="s">
        <v>311</v>
      </c>
      <c r="T17" s="69"/>
      <c r="U17" s="69" t="s">
        <v>309</v>
      </c>
      <c r="V17" s="69" t="s">
        <v>309</v>
      </c>
      <c r="W17" s="69"/>
      <c r="X17" s="69" t="s">
        <v>327</v>
      </c>
      <c r="Y17" s="69" t="s">
        <v>350</v>
      </c>
      <c r="Z17" s="69" t="s">
        <v>311</v>
      </c>
      <c r="AA17" s="69" t="s">
        <v>311</v>
      </c>
      <c r="AB17" s="69" t="s">
        <v>309</v>
      </c>
      <c r="AC17" s="69"/>
      <c r="AD17" s="69"/>
      <c r="AE17" s="69" t="s">
        <v>311</v>
      </c>
      <c r="AF17" s="69" t="s">
        <v>349</v>
      </c>
      <c r="AG17" s="69" t="s">
        <v>311</v>
      </c>
      <c r="AH17" s="69"/>
      <c r="AI17" s="69" t="s">
        <v>336</v>
      </c>
      <c r="AJ17" s="69"/>
      <c r="AK17" s="69" t="s">
        <v>311</v>
      </c>
      <c r="AL17" s="69" t="s">
        <v>327</v>
      </c>
      <c r="AM17" s="69" t="s">
        <v>337</v>
      </c>
      <c r="AN17" s="69"/>
      <c r="AO17" s="69" t="s">
        <v>311</v>
      </c>
      <c r="AP17" s="69"/>
      <c r="AQ17" s="69"/>
      <c r="AR17" s="96"/>
      <c r="AS17" s="69"/>
      <c r="AT17" s="69"/>
      <c r="AU17" s="69" t="s">
        <v>309</v>
      </c>
      <c r="AV17" s="69" t="s">
        <v>311</v>
      </c>
      <c r="AW17" s="69" t="s">
        <v>311</v>
      </c>
      <c r="AX17" s="69" t="s">
        <v>509</v>
      </c>
      <c r="AY17" s="69" t="s">
        <v>337</v>
      </c>
      <c r="AZ17" s="69"/>
      <c r="BA17" s="69"/>
      <c r="BB17" s="69"/>
      <c r="BC17" s="69"/>
      <c r="BD17" s="69" t="s">
        <v>378</v>
      </c>
      <c r="BE17" s="69"/>
      <c r="BF17" s="69" t="s">
        <v>311</v>
      </c>
      <c r="BG17" s="69" t="s">
        <v>311</v>
      </c>
      <c r="BH17" s="69" t="s">
        <v>311</v>
      </c>
      <c r="BI17" s="69" t="s">
        <v>517</v>
      </c>
      <c r="BJ17" s="69" t="s">
        <v>344</v>
      </c>
      <c r="BK17" s="69" t="s">
        <v>309</v>
      </c>
      <c r="BL17" s="69"/>
      <c r="BM17" s="69" t="s">
        <v>333</v>
      </c>
    </row>
    <row r="18" spans="1:65">
      <c r="A18" s="61" t="s">
        <v>3</v>
      </c>
      <c r="B18" s="68" t="s">
        <v>200</v>
      </c>
      <c r="C18" s="66">
        <v>3.5</v>
      </c>
      <c r="D18" s="64">
        <v>28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/>
      <c r="L18" s="70"/>
      <c r="M18" s="70" t="s">
        <v>350</v>
      </c>
      <c r="N18" s="70"/>
      <c r="O18" s="70" t="s">
        <v>311</v>
      </c>
      <c r="P18" s="70"/>
      <c r="Q18" s="70" t="s">
        <v>335</v>
      </c>
      <c r="R18" s="70" t="s">
        <v>309</v>
      </c>
      <c r="S18" s="70"/>
      <c r="T18" s="70" t="s">
        <v>344</v>
      </c>
      <c r="U18" s="70"/>
      <c r="V18" s="70"/>
      <c r="W18" s="70" t="s">
        <v>363</v>
      </c>
      <c r="X18" s="70"/>
      <c r="Y18" s="70"/>
      <c r="Z18" s="70"/>
      <c r="AA18" s="70"/>
      <c r="AB18" s="70"/>
      <c r="AC18" s="70" t="s">
        <v>311</v>
      </c>
      <c r="AD18" s="70" t="s">
        <v>313</v>
      </c>
      <c r="AE18" s="70"/>
      <c r="AF18" s="70"/>
      <c r="AG18" s="70"/>
      <c r="AH18" s="70" t="s">
        <v>313</v>
      </c>
      <c r="AI18" s="70"/>
      <c r="AJ18" s="70" t="s">
        <v>339</v>
      </c>
      <c r="AK18" s="97"/>
      <c r="AL18" s="70"/>
      <c r="AM18" s="70"/>
      <c r="AN18" s="70" t="s">
        <v>335</v>
      </c>
      <c r="AO18" s="70"/>
      <c r="AP18" s="70" t="s">
        <v>423</v>
      </c>
      <c r="AQ18" s="70" t="s">
        <v>311</v>
      </c>
      <c r="AR18" s="70" t="s">
        <v>309</v>
      </c>
      <c r="AS18" s="70" t="s">
        <v>317</v>
      </c>
      <c r="AT18" s="70" t="s">
        <v>336</v>
      </c>
      <c r="AU18" s="70"/>
      <c r="AV18" s="70"/>
      <c r="AW18" s="70"/>
      <c r="AX18" s="70"/>
      <c r="AY18" s="70"/>
      <c r="AZ18" s="70" t="s">
        <v>311</v>
      </c>
      <c r="BA18" s="70" t="s">
        <v>311</v>
      </c>
      <c r="BB18" s="70" t="s">
        <v>314</v>
      </c>
      <c r="BC18" s="70" t="s">
        <v>309</v>
      </c>
      <c r="BD18" s="70"/>
      <c r="BE18" s="97" t="s">
        <v>364</v>
      </c>
      <c r="BF18" s="70"/>
      <c r="BG18" s="70"/>
      <c r="BH18" s="70"/>
      <c r="BI18" s="70"/>
      <c r="BJ18" s="70"/>
      <c r="BK18" s="70"/>
      <c r="BL18" s="70" t="s">
        <v>311</v>
      </c>
      <c r="BM18" s="70"/>
    </row>
    <row r="19" spans="1:65">
      <c r="A19" s="59">
        <v>9</v>
      </c>
      <c r="B19" s="67" t="s">
        <v>157</v>
      </c>
      <c r="C19" s="65"/>
      <c r="D19" s="64">
        <v>35</v>
      </c>
      <c r="E19" s="64">
        <f>IF(ISBLANK($D19),"0",IF(($D20-$D19)&lt;($C20-$C19),1,0))</f>
        <v>1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309</v>
      </c>
      <c r="L19" s="69"/>
      <c r="M19" s="69"/>
      <c r="N19" s="69" t="s">
        <v>314</v>
      </c>
      <c r="O19" s="69"/>
      <c r="P19" s="69" t="s">
        <v>311</v>
      </c>
      <c r="Q19" s="69" t="s">
        <v>335</v>
      </c>
      <c r="R19" s="69" t="s">
        <v>309</v>
      </c>
      <c r="S19" s="69"/>
      <c r="T19" s="69" t="s">
        <v>344</v>
      </c>
      <c r="U19" s="69"/>
      <c r="V19" s="69" t="s">
        <v>309</v>
      </c>
      <c r="W19" s="69"/>
      <c r="X19" s="69"/>
      <c r="Y19" s="69"/>
      <c r="Z19" s="69" t="s">
        <v>311</v>
      </c>
      <c r="AA19" s="69"/>
      <c r="AB19" s="69"/>
      <c r="AC19" s="69"/>
      <c r="AD19" s="69"/>
      <c r="AE19" s="69" t="s">
        <v>311</v>
      </c>
      <c r="AF19" s="69" t="s">
        <v>349</v>
      </c>
      <c r="AG19" s="69" t="s">
        <v>311</v>
      </c>
      <c r="AH19" s="69" t="s">
        <v>442</v>
      </c>
      <c r="AI19" s="69"/>
      <c r="AJ19" s="69"/>
      <c r="AK19" s="69" t="s">
        <v>311</v>
      </c>
      <c r="AL19" s="69" t="s">
        <v>327</v>
      </c>
      <c r="AM19" s="69"/>
      <c r="AN19" s="69" t="s">
        <v>335</v>
      </c>
      <c r="AO19" s="69" t="s">
        <v>311</v>
      </c>
      <c r="AP19" s="69" t="s">
        <v>365</v>
      </c>
      <c r="AQ19" s="69"/>
      <c r="AR19" s="69"/>
      <c r="AS19" s="69" t="s">
        <v>334</v>
      </c>
      <c r="AT19" s="69" t="s">
        <v>336</v>
      </c>
      <c r="AU19" s="69"/>
      <c r="AV19" s="69" t="s">
        <v>311</v>
      </c>
      <c r="AW19" s="69"/>
      <c r="AX19" s="69" t="s">
        <v>314</v>
      </c>
      <c r="AY19" s="69"/>
      <c r="AZ19" s="69"/>
      <c r="BA19" s="69" t="s">
        <v>311</v>
      </c>
      <c r="BB19" s="69" t="s">
        <v>314</v>
      </c>
      <c r="BC19" s="69"/>
      <c r="BD19" s="69"/>
      <c r="BE19" s="69"/>
      <c r="BF19" s="69" t="s">
        <v>516</v>
      </c>
      <c r="BG19" s="69" t="s">
        <v>311</v>
      </c>
      <c r="BH19" s="69" t="s">
        <v>311</v>
      </c>
      <c r="BI19" s="69" t="s">
        <v>517</v>
      </c>
      <c r="BJ19" s="69"/>
      <c r="BK19" s="69"/>
      <c r="BL19" s="69" t="s">
        <v>311</v>
      </c>
      <c r="BM19" s="69" t="s">
        <v>334</v>
      </c>
    </row>
    <row r="20" spans="1:65">
      <c r="A20" s="61" t="s">
        <v>3</v>
      </c>
      <c r="B20" s="68" t="s">
        <v>159</v>
      </c>
      <c r="C20" s="66">
        <v>17.5</v>
      </c>
      <c r="D20" s="64">
        <v>42</v>
      </c>
      <c r="E20" s="64">
        <f>IF(ISBLANK($D20),"0",IF(($D20-$D19)&gt;($C20-$C19),1,0))</f>
        <v>0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 t="s">
        <v>320</v>
      </c>
      <c r="K20" s="70"/>
      <c r="L20" s="70" t="s">
        <v>309</v>
      </c>
      <c r="M20" s="70" t="s">
        <v>350</v>
      </c>
      <c r="N20" s="70"/>
      <c r="O20" s="70" t="s">
        <v>311</v>
      </c>
      <c r="P20" s="70"/>
      <c r="Q20" s="70"/>
      <c r="R20" s="70"/>
      <c r="S20" s="70" t="s">
        <v>311</v>
      </c>
      <c r="T20" s="70"/>
      <c r="U20" s="70" t="s">
        <v>309</v>
      </c>
      <c r="V20" s="70"/>
      <c r="W20" s="70" t="s">
        <v>320</v>
      </c>
      <c r="X20" s="70" t="s">
        <v>423</v>
      </c>
      <c r="Y20" s="70" t="s">
        <v>323</v>
      </c>
      <c r="Z20" s="70"/>
      <c r="AA20" s="70" t="s">
        <v>311</v>
      </c>
      <c r="AB20" s="70" t="s">
        <v>309</v>
      </c>
      <c r="AC20" s="70" t="s">
        <v>311</v>
      </c>
      <c r="AD20" s="70" t="s">
        <v>470</v>
      </c>
      <c r="AE20" s="70"/>
      <c r="AF20" s="70"/>
      <c r="AG20" s="70"/>
      <c r="AH20" s="70"/>
      <c r="AI20" s="70" t="s">
        <v>505</v>
      </c>
      <c r="AJ20" s="70" t="s">
        <v>339</v>
      </c>
      <c r="AK20" s="97"/>
      <c r="AL20" s="70"/>
      <c r="AM20" s="70" t="s">
        <v>313</v>
      </c>
      <c r="AN20" s="70"/>
      <c r="AO20" s="70"/>
      <c r="AP20" s="70"/>
      <c r="AQ20" s="70" t="s">
        <v>311</v>
      </c>
      <c r="AR20" s="97" t="s">
        <v>309</v>
      </c>
      <c r="AS20" s="70"/>
      <c r="AT20" s="70"/>
      <c r="AU20" s="70" t="s">
        <v>309</v>
      </c>
      <c r="AV20" s="70"/>
      <c r="AW20" s="70" t="s">
        <v>311</v>
      </c>
      <c r="AX20" s="70"/>
      <c r="AY20" s="70" t="s">
        <v>338</v>
      </c>
      <c r="AZ20" s="70" t="s">
        <v>311</v>
      </c>
      <c r="BA20" s="70"/>
      <c r="BB20" s="70"/>
      <c r="BC20" s="70" t="s">
        <v>309</v>
      </c>
      <c r="BD20" s="70" t="s">
        <v>378</v>
      </c>
      <c r="BE20" s="97" t="s">
        <v>364</v>
      </c>
      <c r="BF20" s="70"/>
      <c r="BG20" s="70"/>
      <c r="BH20" s="70"/>
      <c r="BI20" s="70"/>
      <c r="BJ20" s="70" t="s">
        <v>344</v>
      </c>
      <c r="BK20" s="70" t="s">
        <v>309</v>
      </c>
      <c r="BL20" s="70"/>
      <c r="BM20" s="70"/>
    </row>
    <row r="21" spans="1:65">
      <c r="A21" s="59">
        <v>10</v>
      </c>
      <c r="B21" s="67" t="s">
        <v>255</v>
      </c>
      <c r="C21" s="65">
        <v>3.5</v>
      </c>
      <c r="D21" s="64">
        <v>7</v>
      </c>
      <c r="E21" s="64">
        <f>IF(ISBLANK($D21),"0",IF(($D22-$D21)&lt;($C22-$C21),1,0))</f>
        <v>0</v>
      </c>
      <c r="F21" s="64">
        <f t="shared" ca="1" si="1"/>
        <v>37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320</v>
      </c>
      <c r="K21" s="69"/>
      <c r="L21" s="69" t="s">
        <v>309</v>
      </c>
      <c r="M21" s="69"/>
      <c r="N21" s="69" t="s">
        <v>497</v>
      </c>
      <c r="O21" s="69" t="s">
        <v>311</v>
      </c>
      <c r="P21" s="69" t="s">
        <v>309</v>
      </c>
      <c r="Q21" s="69" t="s">
        <v>335</v>
      </c>
      <c r="R21" s="69" t="s">
        <v>309</v>
      </c>
      <c r="S21" s="69" t="s">
        <v>311</v>
      </c>
      <c r="T21" s="69" t="s">
        <v>344</v>
      </c>
      <c r="U21" s="69" t="s">
        <v>309</v>
      </c>
      <c r="V21" s="69" t="s">
        <v>309</v>
      </c>
      <c r="W21" s="69" t="s">
        <v>321</v>
      </c>
      <c r="X21" s="69"/>
      <c r="Y21" s="69" t="s">
        <v>499</v>
      </c>
      <c r="Z21" s="69" t="s">
        <v>311</v>
      </c>
      <c r="AA21" s="69" t="s">
        <v>311</v>
      </c>
      <c r="AB21" s="69" t="s">
        <v>309</v>
      </c>
      <c r="AC21" s="69"/>
      <c r="AD21" s="69"/>
      <c r="AE21" s="69" t="s">
        <v>311</v>
      </c>
      <c r="AF21" s="69"/>
      <c r="AG21" s="69" t="s">
        <v>311</v>
      </c>
      <c r="AH21" s="69" t="s">
        <v>501</v>
      </c>
      <c r="AI21" s="69" t="s">
        <v>321</v>
      </c>
      <c r="AJ21" s="69"/>
      <c r="AK21" s="96"/>
      <c r="AL21" s="69" t="s">
        <v>327</v>
      </c>
      <c r="AM21" s="69" t="s">
        <v>320</v>
      </c>
      <c r="AN21" s="69" t="s">
        <v>335</v>
      </c>
      <c r="AO21" s="69" t="s">
        <v>311</v>
      </c>
      <c r="AP21" s="69"/>
      <c r="AQ21" s="69"/>
      <c r="AR21" s="96" t="s">
        <v>309</v>
      </c>
      <c r="AS21" s="69"/>
      <c r="AT21" s="69"/>
      <c r="AU21" s="69" t="s">
        <v>309</v>
      </c>
      <c r="AV21" s="69"/>
      <c r="AW21" s="69" t="s">
        <v>311</v>
      </c>
      <c r="AX21" s="69" t="s">
        <v>514</v>
      </c>
      <c r="AY21" s="69" t="s">
        <v>313</v>
      </c>
      <c r="AZ21" s="69" t="s">
        <v>311</v>
      </c>
      <c r="BA21" s="69"/>
      <c r="BB21" s="69" t="s">
        <v>314</v>
      </c>
      <c r="BC21" s="69" t="s">
        <v>309</v>
      </c>
      <c r="BD21" s="69"/>
      <c r="BE21" s="96"/>
      <c r="BF21" s="69" t="s">
        <v>311</v>
      </c>
      <c r="BG21" s="69"/>
      <c r="BH21" s="69" t="s">
        <v>311</v>
      </c>
      <c r="BI21" s="69" t="s">
        <v>517</v>
      </c>
      <c r="BJ21" s="69" t="s">
        <v>344</v>
      </c>
      <c r="BK21" s="69"/>
      <c r="BL21" s="69" t="s">
        <v>311</v>
      </c>
      <c r="BM21" s="69" t="s">
        <v>321</v>
      </c>
    </row>
    <row r="22" spans="1:65">
      <c r="A22" s="61" t="s">
        <v>3</v>
      </c>
      <c r="B22" s="68" t="s">
        <v>144</v>
      </c>
      <c r="C22" s="66"/>
      <c r="D22" s="64">
        <v>10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309</v>
      </c>
      <c r="L22" s="70"/>
      <c r="M22" s="70" t="s">
        <v>350</v>
      </c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 t="s">
        <v>498</v>
      </c>
      <c r="Y22" s="70"/>
      <c r="Z22" s="70"/>
      <c r="AA22" s="70"/>
      <c r="AB22" s="70"/>
      <c r="AC22" s="70" t="s">
        <v>311</v>
      </c>
      <c r="AD22" s="70" t="s">
        <v>321</v>
      </c>
      <c r="AE22" s="70"/>
      <c r="AF22" s="70" t="s">
        <v>349</v>
      </c>
      <c r="AG22" s="70"/>
      <c r="AH22" s="70"/>
      <c r="AI22" s="70"/>
      <c r="AJ22" s="70" t="s">
        <v>339</v>
      </c>
      <c r="AK22" s="70" t="s">
        <v>311</v>
      </c>
      <c r="AL22" s="70"/>
      <c r="AM22" s="70"/>
      <c r="AN22" s="70"/>
      <c r="AO22" s="70"/>
      <c r="AP22" s="70" t="s">
        <v>507</v>
      </c>
      <c r="AQ22" s="70" t="s">
        <v>311</v>
      </c>
      <c r="AR22" s="70"/>
      <c r="AS22" s="70" t="s">
        <v>393</v>
      </c>
      <c r="AT22" s="70" t="s">
        <v>336</v>
      </c>
      <c r="AU22" s="70"/>
      <c r="AV22" s="70" t="s">
        <v>311</v>
      </c>
      <c r="AW22" s="70"/>
      <c r="AX22" s="70"/>
      <c r="AY22" s="70"/>
      <c r="AZ22" s="70"/>
      <c r="BA22" s="70" t="s">
        <v>311</v>
      </c>
      <c r="BB22" s="70"/>
      <c r="BC22" s="70"/>
      <c r="BD22" s="70" t="s">
        <v>378</v>
      </c>
      <c r="BE22" s="70" t="s">
        <v>364</v>
      </c>
      <c r="BF22" s="70"/>
      <c r="BG22" s="70" t="s">
        <v>311</v>
      </c>
      <c r="BH22" s="70"/>
      <c r="BI22" s="70"/>
      <c r="BJ22" s="70"/>
      <c r="BK22" s="70" t="s">
        <v>309</v>
      </c>
      <c r="BL22" s="70"/>
      <c r="BM22" s="70"/>
    </row>
    <row r="23" spans="1:65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34</v>
      </c>
      <c r="K23" s="78">
        <v>17</v>
      </c>
      <c r="L23" s="78">
        <v>21</v>
      </c>
      <c r="M23" s="78">
        <v>35</v>
      </c>
      <c r="N23" s="80">
        <v>38</v>
      </c>
      <c r="O23" s="78">
        <v>28</v>
      </c>
      <c r="P23" s="78">
        <v>25</v>
      </c>
      <c r="Q23" s="78">
        <v>14</v>
      </c>
      <c r="R23" s="78">
        <v>24</v>
      </c>
      <c r="S23" s="78">
        <v>27</v>
      </c>
      <c r="T23" s="78">
        <v>42</v>
      </c>
      <c r="U23" s="78">
        <v>27</v>
      </c>
      <c r="V23" s="78">
        <v>28</v>
      </c>
      <c r="W23" s="78">
        <v>24</v>
      </c>
      <c r="X23" s="78">
        <v>10</v>
      </c>
      <c r="Y23" s="78">
        <v>28</v>
      </c>
      <c r="Z23" s="78">
        <v>31</v>
      </c>
      <c r="AA23" s="78">
        <v>28</v>
      </c>
      <c r="AB23" s="78">
        <v>14</v>
      </c>
      <c r="AC23" s="78">
        <v>21</v>
      </c>
      <c r="AD23" s="78">
        <v>10</v>
      </c>
      <c r="AE23" s="78">
        <v>41</v>
      </c>
      <c r="AF23" s="78">
        <v>33</v>
      </c>
      <c r="AG23" s="78">
        <v>58</v>
      </c>
      <c r="AH23" s="78">
        <v>35</v>
      </c>
      <c r="AI23" s="78">
        <v>45</v>
      </c>
      <c r="AJ23" s="78">
        <v>4</v>
      </c>
      <c r="AK23" s="78">
        <v>22</v>
      </c>
      <c r="AL23" s="78">
        <v>30</v>
      </c>
      <c r="AM23" s="78">
        <v>31</v>
      </c>
      <c r="AN23" s="78">
        <v>35</v>
      </c>
      <c r="AO23" s="78">
        <v>31</v>
      </c>
      <c r="AP23" s="78">
        <v>20</v>
      </c>
      <c r="AQ23" s="78">
        <v>17</v>
      </c>
      <c r="AR23" s="78">
        <v>35</v>
      </c>
      <c r="AS23" s="78">
        <v>20</v>
      </c>
      <c r="AT23" s="78">
        <v>31</v>
      </c>
      <c r="AU23" s="78">
        <v>41</v>
      </c>
      <c r="AV23" s="78">
        <v>27</v>
      </c>
      <c r="AW23" s="78">
        <v>35</v>
      </c>
      <c r="AX23" s="78">
        <v>35</v>
      </c>
      <c r="AY23" s="78">
        <v>31</v>
      </c>
      <c r="AZ23" s="78">
        <v>35</v>
      </c>
      <c r="BA23" s="78">
        <v>23</v>
      </c>
      <c r="BB23" s="78">
        <v>14</v>
      </c>
      <c r="BC23" s="78">
        <v>28</v>
      </c>
      <c r="BD23" s="78">
        <v>27</v>
      </c>
      <c r="BE23" s="78">
        <v>41</v>
      </c>
      <c r="BF23" s="78">
        <v>28</v>
      </c>
      <c r="BG23" s="78">
        <v>21</v>
      </c>
      <c r="BH23" s="78">
        <v>35</v>
      </c>
      <c r="BI23" s="78">
        <v>24</v>
      </c>
      <c r="BJ23" s="78">
        <v>42</v>
      </c>
      <c r="BK23" s="78">
        <v>10</v>
      </c>
      <c r="BL23" s="78">
        <v>30</v>
      </c>
      <c r="BM23" s="78">
        <v>28</v>
      </c>
    </row>
    <row r="24" spans="1:65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30</v>
      </c>
      <c r="K24" s="79">
        <v>21</v>
      </c>
      <c r="L24" s="79">
        <v>13</v>
      </c>
      <c r="M24" s="79">
        <v>38</v>
      </c>
      <c r="N24" s="79">
        <v>21</v>
      </c>
      <c r="O24" s="79">
        <v>24</v>
      </c>
      <c r="P24" s="79">
        <v>18</v>
      </c>
      <c r="Q24" s="79">
        <v>7</v>
      </c>
      <c r="R24" s="79">
        <v>14</v>
      </c>
      <c r="S24" s="79">
        <v>20</v>
      </c>
      <c r="T24" s="79">
        <v>24</v>
      </c>
      <c r="U24" s="79">
        <v>21</v>
      </c>
      <c r="V24" s="79">
        <v>21</v>
      </c>
      <c r="W24" s="79">
        <v>17</v>
      </c>
      <c r="X24" s="79">
        <v>31</v>
      </c>
      <c r="Y24" s="79">
        <v>21</v>
      </c>
      <c r="Z24" s="79">
        <v>17</v>
      </c>
      <c r="AA24" s="79">
        <v>21</v>
      </c>
      <c r="AB24" s="79">
        <v>10</v>
      </c>
      <c r="AC24" s="79">
        <v>24</v>
      </c>
      <c r="AD24" s="79">
        <v>17</v>
      </c>
      <c r="AE24" s="79">
        <v>34</v>
      </c>
      <c r="AF24" s="79">
        <v>36</v>
      </c>
      <c r="AG24" s="79">
        <v>16</v>
      </c>
      <c r="AH24" s="79">
        <v>31</v>
      </c>
      <c r="AI24" s="79">
        <v>27</v>
      </c>
      <c r="AJ24" s="79">
        <v>24</v>
      </c>
      <c r="AK24" s="79">
        <v>24</v>
      </c>
      <c r="AL24" s="79">
        <v>17</v>
      </c>
      <c r="AM24" s="79">
        <v>20</v>
      </c>
      <c r="AN24" s="79">
        <v>28</v>
      </c>
      <c r="AO24" s="79">
        <v>21</v>
      </c>
      <c r="AP24" s="79">
        <v>27</v>
      </c>
      <c r="AQ24" s="79">
        <v>21</v>
      </c>
      <c r="AR24" s="79">
        <v>21</v>
      </c>
      <c r="AS24" s="79">
        <v>21</v>
      </c>
      <c r="AT24" s="79">
        <v>28</v>
      </c>
      <c r="AU24" s="79">
        <v>31</v>
      </c>
      <c r="AV24" s="79">
        <v>24</v>
      </c>
      <c r="AW24" s="79">
        <v>27</v>
      </c>
      <c r="AX24" s="79">
        <v>14</v>
      </c>
      <c r="AY24" s="79">
        <v>15</v>
      </c>
      <c r="AZ24" s="79">
        <v>21</v>
      </c>
      <c r="BA24" s="79">
        <v>20</v>
      </c>
      <c r="BB24" s="79">
        <v>7</v>
      </c>
      <c r="BC24" s="79">
        <v>17</v>
      </c>
      <c r="BD24" s="79">
        <v>28</v>
      </c>
      <c r="BE24" s="79">
        <v>38</v>
      </c>
      <c r="BF24" s="79">
        <v>21</v>
      </c>
      <c r="BG24" s="79">
        <v>24</v>
      </c>
      <c r="BH24" s="79">
        <v>17</v>
      </c>
      <c r="BI24" s="79">
        <v>10</v>
      </c>
      <c r="BJ24" s="79">
        <v>20</v>
      </c>
      <c r="BK24" s="79">
        <v>24</v>
      </c>
      <c r="BL24" s="79">
        <v>21</v>
      </c>
      <c r="BM24" s="79">
        <v>21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1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4</v>
      </c>
      <c r="P25" s="36">
        <f t="shared" si="3"/>
        <v>6</v>
      </c>
      <c r="Q25" s="36">
        <f t="shared" si="3"/>
        <v>3</v>
      </c>
      <c r="R25" s="36">
        <f t="shared" si="3"/>
        <v>6</v>
      </c>
      <c r="S25" s="36">
        <f t="shared" si="3"/>
        <v>4</v>
      </c>
      <c r="T25" s="36">
        <f t="shared" si="3"/>
        <v>3</v>
      </c>
      <c r="U25" s="36">
        <f t="shared" si="3"/>
        <v>5</v>
      </c>
      <c r="V25" s="36">
        <f t="shared" si="3"/>
        <v>5</v>
      </c>
      <c r="W25" s="36">
        <f t="shared" si="3"/>
        <v>3</v>
      </c>
      <c r="X25" s="36">
        <f t="shared" si="3"/>
        <v>5</v>
      </c>
      <c r="Y25" s="36">
        <f t="shared" si="3"/>
        <v>2</v>
      </c>
      <c r="Z25" s="36">
        <f t="shared" si="3"/>
        <v>5</v>
      </c>
      <c r="AA25" s="36">
        <f t="shared" si="3"/>
        <v>4</v>
      </c>
      <c r="AB25" s="36">
        <f t="shared" si="3"/>
        <v>4</v>
      </c>
      <c r="AC25" s="36">
        <f t="shared" si="3"/>
        <v>4</v>
      </c>
      <c r="AD25" s="36">
        <f t="shared" si="3"/>
        <v>3</v>
      </c>
      <c r="AE25" s="36">
        <f t="shared" si="3"/>
        <v>5</v>
      </c>
      <c r="AF25" s="36">
        <f t="shared" si="3"/>
        <v>4</v>
      </c>
      <c r="AG25" s="36">
        <f t="shared" si="3"/>
        <v>4</v>
      </c>
      <c r="AH25" s="36">
        <f t="shared" si="3"/>
        <v>6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3</v>
      </c>
      <c r="AN25" s="36">
        <f t="shared" si="3"/>
        <v>4</v>
      </c>
      <c r="AO25" s="36">
        <f t="shared" si="3"/>
        <v>6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5</v>
      </c>
      <c r="AT25" s="36">
        <f t="shared" si="3"/>
        <v>3</v>
      </c>
      <c r="AU25" s="36">
        <f t="shared" si="3"/>
        <v>4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1</v>
      </c>
      <c r="BA25" s="36">
        <f t="shared" si="3"/>
        <v>6</v>
      </c>
      <c r="BB25" s="36">
        <f t="shared" si="3"/>
        <v>4</v>
      </c>
      <c r="BC25" s="36">
        <f t="shared" si="3"/>
        <v>1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8</v>
      </c>
      <c r="BH25" s="36">
        <f t="shared" si="3"/>
        <v>5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5</v>
      </c>
      <c r="BM25" s="36">
        <f t="shared" si="3"/>
        <v>5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</v>
      </c>
      <c r="L26" s="71">
        <f t="shared" ref="L26:BM26" si="4">ABS((L23-L24)-($D21-$D22))</f>
        <v>11</v>
      </c>
      <c r="M26" s="71">
        <f t="shared" si="4"/>
        <v>0</v>
      </c>
      <c r="N26" s="71">
        <f t="shared" si="4"/>
        <v>20</v>
      </c>
      <c r="O26" s="71">
        <f t="shared" si="4"/>
        <v>7</v>
      </c>
      <c r="P26" s="71">
        <f t="shared" si="4"/>
        <v>10</v>
      </c>
      <c r="Q26" s="71">
        <f t="shared" si="4"/>
        <v>10</v>
      </c>
      <c r="R26" s="71">
        <f t="shared" si="4"/>
        <v>13</v>
      </c>
      <c r="S26" s="71">
        <f t="shared" si="4"/>
        <v>10</v>
      </c>
      <c r="T26" s="71">
        <f t="shared" si="4"/>
        <v>21</v>
      </c>
      <c r="U26" s="71">
        <f t="shared" si="4"/>
        <v>9</v>
      </c>
      <c r="V26" s="71">
        <f t="shared" si="4"/>
        <v>10</v>
      </c>
      <c r="W26" s="71">
        <f t="shared" si="4"/>
        <v>10</v>
      </c>
      <c r="X26" s="71">
        <f t="shared" si="4"/>
        <v>18</v>
      </c>
      <c r="Y26" s="71">
        <f t="shared" si="4"/>
        <v>10</v>
      </c>
      <c r="Z26" s="71">
        <f t="shared" si="4"/>
        <v>17</v>
      </c>
      <c r="AA26" s="71">
        <f t="shared" si="4"/>
        <v>10</v>
      </c>
      <c r="AB26" s="71">
        <f t="shared" si="4"/>
        <v>7</v>
      </c>
      <c r="AC26" s="71">
        <f t="shared" si="4"/>
        <v>0</v>
      </c>
      <c r="AD26" s="71">
        <f t="shared" si="4"/>
        <v>4</v>
      </c>
      <c r="AE26" s="71">
        <f t="shared" si="4"/>
        <v>10</v>
      </c>
      <c r="AF26" s="71">
        <f t="shared" si="4"/>
        <v>0</v>
      </c>
      <c r="AG26" s="71">
        <f t="shared" si="4"/>
        <v>45</v>
      </c>
      <c r="AH26" s="71">
        <f t="shared" si="4"/>
        <v>7</v>
      </c>
      <c r="AI26" s="71">
        <f t="shared" si="4"/>
        <v>21</v>
      </c>
      <c r="AJ26" s="71">
        <f t="shared" si="4"/>
        <v>17</v>
      </c>
      <c r="AK26" s="71">
        <f t="shared" si="4"/>
        <v>1</v>
      </c>
      <c r="AL26" s="71">
        <f t="shared" si="4"/>
        <v>16</v>
      </c>
      <c r="AM26" s="71">
        <f t="shared" si="4"/>
        <v>14</v>
      </c>
      <c r="AN26" s="71">
        <f t="shared" si="4"/>
        <v>10</v>
      </c>
      <c r="AO26" s="71">
        <f t="shared" si="4"/>
        <v>13</v>
      </c>
      <c r="AP26" s="71">
        <f t="shared" si="4"/>
        <v>4</v>
      </c>
      <c r="AQ26" s="71">
        <f t="shared" si="4"/>
        <v>1</v>
      </c>
      <c r="AR26" s="71">
        <f t="shared" si="4"/>
        <v>17</v>
      </c>
      <c r="AS26" s="71">
        <f t="shared" si="4"/>
        <v>2</v>
      </c>
      <c r="AT26" s="71">
        <f t="shared" si="4"/>
        <v>6</v>
      </c>
      <c r="AU26" s="71">
        <f t="shared" si="4"/>
        <v>13</v>
      </c>
      <c r="AV26" s="71">
        <f t="shared" si="4"/>
        <v>6</v>
      </c>
      <c r="AW26" s="71">
        <f t="shared" si="4"/>
        <v>11</v>
      </c>
      <c r="AX26" s="71">
        <f t="shared" si="4"/>
        <v>24</v>
      </c>
      <c r="AY26" s="71">
        <f t="shared" si="4"/>
        <v>19</v>
      </c>
      <c r="AZ26" s="71">
        <f t="shared" si="4"/>
        <v>17</v>
      </c>
      <c r="BA26" s="71">
        <f t="shared" si="4"/>
        <v>6</v>
      </c>
      <c r="BB26" s="71">
        <f t="shared" si="4"/>
        <v>10</v>
      </c>
      <c r="BC26" s="71">
        <f t="shared" si="4"/>
        <v>14</v>
      </c>
      <c r="BD26" s="71">
        <f t="shared" si="4"/>
        <v>2</v>
      </c>
      <c r="BE26" s="71">
        <f t="shared" si="4"/>
        <v>6</v>
      </c>
      <c r="BF26" s="71">
        <f t="shared" si="4"/>
        <v>10</v>
      </c>
      <c r="BG26" s="71">
        <f t="shared" si="4"/>
        <v>0</v>
      </c>
      <c r="BH26" s="71">
        <f t="shared" si="4"/>
        <v>21</v>
      </c>
      <c r="BI26" s="71">
        <f t="shared" si="4"/>
        <v>17</v>
      </c>
      <c r="BJ26" s="71">
        <f t="shared" si="4"/>
        <v>25</v>
      </c>
      <c r="BK26" s="71">
        <f t="shared" si="4"/>
        <v>11</v>
      </c>
      <c r="BL26" s="71">
        <f t="shared" si="4"/>
        <v>12</v>
      </c>
      <c r="BM26" s="71">
        <f t="shared" si="4"/>
        <v>10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17</v>
      </c>
      <c r="M27" s="71">
        <f t="shared" si="5"/>
        <v>56</v>
      </c>
      <c r="N27" s="71">
        <f t="shared" si="5"/>
        <v>42</v>
      </c>
      <c r="O27" s="71">
        <f t="shared" si="5"/>
        <v>35</v>
      </c>
      <c r="P27" s="71">
        <f t="shared" si="5"/>
        <v>26</v>
      </c>
      <c r="Q27" s="71">
        <f t="shared" si="5"/>
        <v>4</v>
      </c>
      <c r="R27" s="71">
        <f t="shared" si="5"/>
        <v>21</v>
      </c>
      <c r="S27" s="71">
        <f t="shared" si="5"/>
        <v>30</v>
      </c>
      <c r="T27" s="71">
        <f t="shared" si="5"/>
        <v>49</v>
      </c>
      <c r="U27" s="71">
        <f t="shared" si="5"/>
        <v>31</v>
      </c>
      <c r="V27" s="71">
        <f t="shared" si="5"/>
        <v>32</v>
      </c>
      <c r="W27" s="71">
        <f t="shared" si="5"/>
        <v>24</v>
      </c>
      <c r="X27" s="71">
        <f t="shared" si="5"/>
        <v>24</v>
      </c>
      <c r="Y27" s="71">
        <f t="shared" si="5"/>
        <v>32</v>
      </c>
      <c r="Z27" s="71">
        <f t="shared" si="5"/>
        <v>31</v>
      </c>
      <c r="AA27" s="71">
        <f t="shared" si="5"/>
        <v>32</v>
      </c>
      <c r="AB27" s="71">
        <f t="shared" si="5"/>
        <v>7</v>
      </c>
      <c r="AC27" s="71">
        <f t="shared" si="5"/>
        <v>28</v>
      </c>
      <c r="AD27" s="71">
        <f t="shared" si="5"/>
        <v>10</v>
      </c>
      <c r="AE27" s="71">
        <f t="shared" si="5"/>
        <v>58</v>
      </c>
      <c r="AF27" s="71">
        <f t="shared" si="5"/>
        <v>52</v>
      </c>
      <c r="AG27" s="71">
        <f t="shared" si="5"/>
        <v>57</v>
      </c>
      <c r="AH27" s="71">
        <f t="shared" si="5"/>
        <v>49</v>
      </c>
      <c r="AI27" s="71">
        <f t="shared" si="5"/>
        <v>55</v>
      </c>
      <c r="AJ27" s="71">
        <f t="shared" si="5"/>
        <v>11</v>
      </c>
      <c r="AK27" s="71">
        <f t="shared" si="5"/>
        <v>29</v>
      </c>
      <c r="AL27" s="71">
        <f t="shared" si="5"/>
        <v>30</v>
      </c>
      <c r="AM27" s="71">
        <f t="shared" si="5"/>
        <v>34</v>
      </c>
      <c r="AN27" s="71">
        <f t="shared" si="5"/>
        <v>46</v>
      </c>
      <c r="AO27" s="71">
        <f t="shared" si="5"/>
        <v>35</v>
      </c>
      <c r="AP27" s="71">
        <f t="shared" si="5"/>
        <v>30</v>
      </c>
      <c r="AQ27" s="71">
        <f t="shared" si="5"/>
        <v>21</v>
      </c>
      <c r="AR27" s="71">
        <f t="shared" si="5"/>
        <v>39</v>
      </c>
      <c r="AS27" s="71">
        <f t="shared" si="5"/>
        <v>24</v>
      </c>
      <c r="AT27" s="71">
        <f t="shared" si="5"/>
        <v>42</v>
      </c>
      <c r="AU27" s="71">
        <f t="shared" si="5"/>
        <v>55</v>
      </c>
      <c r="AV27" s="71">
        <f t="shared" si="5"/>
        <v>34</v>
      </c>
      <c r="AW27" s="71">
        <f t="shared" si="5"/>
        <v>45</v>
      </c>
      <c r="AX27" s="71">
        <f t="shared" si="5"/>
        <v>32</v>
      </c>
      <c r="AY27" s="71">
        <f t="shared" si="5"/>
        <v>29</v>
      </c>
      <c r="AZ27" s="71">
        <f t="shared" si="5"/>
        <v>39</v>
      </c>
      <c r="BA27" s="71">
        <f t="shared" si="5"/>
        <v>26</v>
      </c>
      <c r="BB27" s="71">
        <f t="shared" si="5"/>
        <v>4</v>
      </c>
      <c r="BC27" s="71">
        <f t="shared" si="5"/>
        <v>28</v>
      </c>
      <c r="BD27" s="71">
        <f t="shared" si="5"/>
        <v>38</v>
      </c>
      <c r="BE27" s="71">
        <f t="shared" si="5"/>
        <v>62</v>
      </c>
      <c r="BF27" s="71">
        <f t="shared" si="5"/>
        <v>32</v>
      </c>
      <c r="BG27" s="71">
        <f t="shared" si="5"/>
        <v>28</v>
      </c>
      <c r="BH27" s="71">
        <f t="shared" si="5"/>
        <v>35</v>
      </c>
      <c r="BI27" s="71">
        <f t="shared" si="5"/>
        <v>17</v>
      </c>
      <c r="BJ27" s="71">
        <f t="shared" si="5"/>
        <v>45</v>
      </c>
      <c r="BK27" s="71">
        <f t="shared" si="5"/>
        <v>17</v>
      </c>
      <c r="BL27" s="71">
        <f t="shared" si="5"/>
        <v>34</v>
      </c>
      <c r="BM27" s="71">
        <f t="shared" si="5"/>
        <v>32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>
        <f t="shared" ca="1" si="6"/>
        <v>1</v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0.4490909090909091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4</v>
      </c>
      <c r="M29" s="71">
        <f t="shared" si="7"/>
        <v>4</v>
      </c>
      <c r="N29" s="71">
        <f t="shared" si="7"/>
        <v>5</v>
      </c>
      <c r="O29" s="71">
        <f t="shared" si="7"/>
        <v>3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8</v>
      </c>
      <c r="V29" s="71">
        <f t="shared" si="7"/>
        <v>8</v>
      </c>
      <c r="W29" s="71">
        <f t="shared" si="7"/>
        <v>6</v>
      </c>
      <c r="X29" s="71">
        <f t="shared" si="7"/>
        <v>6</v>
      </c>
      <c r="Y29" s="71">
        <f t="shared" si="7"/>
        <v>5</v>
      </c>
      <c r="Z29" s="71">
        <f t="shared" si="7"/>
        <v>8</v>
      </c>
      <c r="AA29" s="71">
        <f t="shared" si="7"/>
        <v>5</v>
      </c>
      <c r="AB29" s="71">
        <f t="shared" si="7"/>
        <v>5</v>
      </c>
      <c r="AC29" s="71">
        <f t="shared" si="7"/>
        <v>3</v>
      </c>
      <c r="AD29" s="71">
        <f t="shared" si="7"/>
        <v>2</v>
      </c>
      <c r="AE29" s="71">
        <f t="shared" si="7"/>
        <v>6</v>
      </c>
      <c r="AF29" s="71">
        <f t="shared" si="7"/>
        <v>5</v>
      </c>
      <c r="AG29" s="71">
        <f t="shared" si="7"/>
        <v>7</v>
      </c>
      <c r="AH29" s="71">
        <f t="shared" si="7"/>
        <v>7</v>
      </c>
      <c r="AI29" s="71">
        <f t="shared" si="7"/>
        <v>8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2</v>
      </c>
      <c r="AR29" s="71">
        <f t="shared" si="7"/>
        <v>7</v>
      </c>
      <c r="AS29" s="71">
        <f t="shared" si="7"/>
        <v>6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5</v>
      </c>
      <c r="AX29" s="71">
        <f t="shared" si="7"/>
        <v>9</v>
      </c>
      <c r="AY29" s="71">
        <f t="shared" si="7"/>
        <v>6</v>
      </c>
      <c r="AZ29" s="71">
        <f t="shared" si="7"/>
        <v>4</v>
      </c>
      <c r="BA29" s="71">
        <f t="shared" si="7"/>
        <v>3</v>
      </c>
      <c r="BB29" s="71">
        <f t="shared" si="7"/>
        <v>5</v>
      </c>
      <c r="BC29" s="71">
        <f t="shared" si="7"/>
        <v>4</v>
      </c>
      <c r="BD29" s="71">
        <f t="shared" si="7"/>
        <v>3</v>
      </c>
      <c r="BE29" s="71">
        <f t="shared" si="7"/>
        <v>5</v>
      </c>
      <c r="BF29" s="71">
        <f t="shared" si="7"/>
        <v>5</v>
      </c>
      <c r="BG29" s="71">
        <f t="shared" si="7"/>
        <v>9</v>
      </c>
      <c r="BH29" s="71">
        <f t="shared" si="7"/>
        <v>8</v>
      </c>
      <c r="BI29" s="71">
        <f t="shared" si="7"/>
        <v>6</v>
      </c>
      <c r="BJ29" s="71">
        <f t="shared" si="7"/>
        <v>5</v>
      </c>
      <c r="BK29" s="71">
        <f t="shared" si="7"/>
        <v>5</v>
      </c>
      <c r="BL29" s="71">
        <f t="shared" si="7"/>
        <v>8</v>
      </c>
      <c r="BM29" s="71">
        <f t="shared" si="7"/>
        <v>8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-28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3</v>
      </c>
      <c r="O30" s="73">
        <f t="shared" si="8"/>
        <v>3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4</v>
      </c>
      <c r="V30" s="73">
        <f t="shared" si="8"/>
        <v>6</v>
      </c>
      <c r="W30" s="73">
        <f t="shared" si="8"/>
        <v>2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5</v>
      </c>
      <c r="AB30" s="73">
        <f t="shared" si="8"/>
        <v>3</v>
      </c>
      <c r="AC30" s="73">
        <f t="shared" si="8"/>
        <v>3</v>
      </c>
      <c r="AD30" s="73">
        <f t="shared" si="8"/>
        <v>4</v>
      </c>
      <c r="AE30" s="73">
        <f t="shared" si="8"/>
        <v>4</v>
      </c>
      <c r="AF30" s="73">
        <f t="shared" si="8"/>
        <v>5</v>
      </c>
      <c r="AG30" s="73">
        <f t="shared" si="8"/>
        <v>3</v>
      </c>
      <c r="AH30" s="73">
        <f t="shared" si="8"/>
        <v>5</v>
      </c>
      <c r="AI30" s="73">
        <f t="shared" si="8"/>
        <v>4</v>
      </c>
      <c r="AJ30" s="73">
        <f t="shared" si="8"/>
        <v>5</v>
      </c>
      <c r="AK30" s="73">
        <f t="shared" si="8"/>
        <v>8</v>
      </c>
      <c r="AL30" s="73">
        <f t="shared" si="8"/>
        <v>5</v>
      </c>
      <c r="AM30" s="73">
        <f t="shared" si="8"/>
        <v>2</v>
      </c>
      <c r="AN30" s="73">
        <f t="shared" si="8"/>
        <v>3</v>
      </c>
      <c r="AO30" s="73">
        <f t="shared" si="8"/>
        <v>5</v>
      </c>
      <c r="AP30" s="73">
        <f t="shared" si="8"/>
        <v>5</v>
      </c>
      <c r="AQ30" s="73">
        <f t="shared" si="8"/>
        <v>2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3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2</v>
      </c>
      <c r="BA30" s="73">
        <f t="shared" si="8"/>
        <v>5</v>
      </c>
      <c r="BB30" s="73">
        <f t="shared" si="8"/>
        <v>3</v>
      </c>
      <c r="BC30" s="73">
        <f t="shared" si="8"/>
        <v>2</v>
      </c>
      <c r="BD30" s="73">
        <f t="shared" si="8"/>
        <v>5</v>
      </c>
      <c r="BE30" s="73">
        <f t="shared" si="8"/>
        <v>5</v>
      </c>
      <c r="BF30" s="73">
        <f t="shared" si="8"/>
        <v>5</v>
      </c>
      <c r="BG30" s="73">
        <f t="shared" si="8"/>
        <v>7</v>
      </c>
      <c r="BH30" s="73">
        <f t="shared" si="8"/>
        <v>4</v>
      </c>
      <c r="BI30" s="73">
        <f t="shared" si="8"/>
        <v>4</v>
      </c>
      <c r="BJ30" s="73">
        <f t="shared" si="8"/>
        <v>7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2</v>
      </c>
      <c r="O31" s="71">
        <f t="shared" ca="1" si="9"/>
        <v>4</v>
      </c>
      <c r="P31" s="71">
        <f t="shared" ca="1" si="9"/>
        <v>2</v>
      </c>
      <c r="Q31" s="71">
        <f t="shared" ca="1" si="9"/>
        <v>5</v>
      </c>
      <c r="R31" s="71">
        <f t="shared" ca="1" si="9"/>
        <v>4</v>
      </c>
      <c r="S31" s="71">
        <f t="shared" ca="1" si="9"/>
        <v>2</v>
      </c>
      <c r="T31" s="71">
        <f t="shared" ca="1" si="9"/>
        <v>3</v>
      </c>
      <c r="U31" s="71">
        <f t="shared" ca="1" si="9"/>
        <v>3</v>
      </c>
      <c r="V31" s="71">
        <f t="shared" ca="1" si="9"/>
        <v>3</v>
      </c>
      <c r="W31" s="71">
        <f t="shared" ca="1" si="9"/>
        <v>3</v>
      </c>
      <c r="X31" s="71">
        <f t="shared" ca="1" si="9"/>
        <v>5</v>
      </c>
      <c r="Y31" s="71">
        <f t="shared" ca="1" si="9"/>
        <v>2</v>
      </c>
      <c r="Z31" s="71">
        <f t="shared" ca="1" si="9"/>
        <v>1</v>
      </c>
      <c r="AA31" s="71">
        <f t="shared" ca="1" si="9"/>
        <v>4</v>
      </c>
      <c r="AB31" s="71">
        <f t="shared" ca="1" si="9"/>
        <v>2</v>
      </c>
      <c r="AC31" s="71">
        <f t="shared" ca="1" si="9"/>
        <v>6</v>
      </c>
      <c r="AD31" s="71">
        <f t="shared" ca="1" si="9"/>
        <v>7</v>
      </c>
      <c r="AE31" s="71">
        <f t="shared" ca="1" si="9"/>
        <v>3</v>
      </c>
      <c r="AF31" s="71">
        <f t="shared" ca="1" si="9"/>
        <v>2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6</v>
      </c>
      <c r="AK31" s="71">
        <f t="shared" ca="1" si="9"/>
        <v>5</v>
      </c>
      <c r="AL31" s="71">
        <f t="shared" ca="1" si="9"/>
        <v>4</v>
      </c>
      <c r="AM31" s="71">
        <f t="shared" ca="1" si="9"/>
        <v>3</v>
      </c>
      <c r="AN31" s="71">
        <f t="shared" ca="1" si="9"/>
        <v>2</v>
      </c>
      <c r="AO31" s="71">
        <f t="shared" ca="1" si="9"/>
        <v>2</v>
      </c>
      <c r="AP31" s="71">
        <f t="shared" ca="1" si="9"/>
        <v>4</v>
      </c>
      <c r="AQ31" s="71">
        <f t="shared" ca="1" si="9"/>
        <v>5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2</v>
      </c>
      <c r="AV31" s="71">
        <f t="shared" ca="1" si="9"/>
        <v>4</v>
      </c>
      <c r="AW31" s="71">
        <f t="shared" ca="1" si="9"/>
        <v>4</v>
      </c>
      <c r="AX31" s="71">
        <f t="shared" ca="1" si="9"/>
        <v>4</v>
      </c>
      <c r="AY31" s="71">
        <f t="shared" ca="1" si="9"/>
        <v>3</v>
      </c>
      <c r="AZ31" s="71">
        <f t="shared" ca="1" si="9"/>
        <v>5</v>
      </c>
      <c r="BA31" s="71">
        <f t="shared" ca="1" si="9"/>
        <v>6</v>
      </c>
      <c r="BB31" s="71">
        <f t="shared" ca="1" si="9"/>
        <v>4</v>
      </c>
      <c r="BC31" s="71">
        <f t="shared" ca="1" si="9"/>
        <v>5</v>
      </c>
      <c r="BD31" s="71">
        <f t="shared" ca="1" si="9"/>
        <v>6</v>
      </c>
      <c r="BE31" s="71">
        <f t="shared" ca="1" si="9"/>
        <v>6</v>
      </c>
      <c r="BF31" s="71">
        <f t="shared" ca="1" si="9"/>
        <v>4</v>
      </c>
      <c r="BG31" s="71">
        <f t="shared" ca="1" si="9"/>
        <v>4</v>
      </c>
      <c r="BH31" s="71">
        <f t="shared" ca="1" si="9"/>
        <v>3</v>
      </c>
      <c r="BI31" s="71">
        <f t="shared" ca="1" si="9"/>
        <v>1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3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101995916</v>
      </c>
      <c r="L36" s="32">
        <f t="shared" ref="L36:BM36" si="12">COUNTA(L23:L24)*((10000000*L25)+(1000000*(COUNTA(L21)*$E21+COUNTA(L22)*$E22))-(COUNTA($D$21:$D$22)*1000*L26)-(COUNTA($D$21:$D$22)*L27))</f>
        <v>99955932</v>
      </c>
      <c r="M36" s="32">
        <f t="shared" si="12"/>
        <v>101999776</v>
      </c>
      <c r="N36" s="32">
        <f t="shared" si="12"/>
        <v>39919832</v>
      </c>
      <c r="O36" s="32">
        <f t="shared" si="12"/>
        <v>79971860</v>
      </c>
      <c r="P36" s="32">
        <f t="shared" si="12"/>
        <v>119959896</v>
      </c>
      <c r="Q36" s="32">
        <f t="shared" si="12"/>
        <v>59959984</v>
      </c>
      <c r="R36" s="32">
        <f t="shared" si="12"/>
        <v>119947916</v>
      </c>
      <c r="S36" s="32">
        <f t="shared" si="12"/>
        <v>79959880</v>
      </c>
      <c r="T36" s="32">
        <f t="shared" si="12"/>
        <v>59915804</v>
      </c>
      <c r="U36" s="32">
        <f t="shared" si="12"/>
        <v>99963876</v>
      </c>
      <c r="V36" s="32">
        <f t="shared" si="12"/>
        <v>99959872</v>
      </c>
      <c r="W36" s="32">
        <f t="shared" si="12"/>
        <v>59959904</v>
      </c>
      <c r="X36" s="32">
        <f t="shared" si="12"/>
        <v>101927904</v>
      </c>
      <c r="Y36" s="32">
        <f t="shared" si="12"/>
        <v>39959872</v>
      </c>
      <c r="Z36" s="32">
        <f t="shared" si="12"/>
        <v>99931876</v>
      </c>
      <c r="AA36" s="32">
        <f t="shared" si="12"/>
        <v>79959872</v>
      </c>
      <c r="AB36" s="32">
        <f t="shared" si="12"/>
        <v>79971972</v>
      </c>
      <c r="AC36" s="32">
        <f t="shared" si="12"/>
        <v>81999888</v>
      </c>
      <c r="AD36" s="32">
        <f t="shared" si="12"/>
        <v>61983960</v>
      </c>
      <c r="AE36" s="32">
        <f t="shared" si="12"/>
        <v>99959768</v>
      </c>
      <c r="AF36" s="32">
        <f t="shared" si="12"/>
        <v>81999792</v>
      </c>
      <c r="AG36" s="32">
        <f t="shared" si="12"/>
        <v>79819772</v>
      </c>
      <c r="AH36" s="32">
        <f t="shared" si="12"/>
        <v>119971804</v>
      </c>
      <c r="AI36" s="32">
        <f t="shared" si="12"/>
        <v>99915780</v>
      </c>
      <c r="AJ36" s="32">
        <f t="shared" si="12"/>
        <v>121931956</v>
      </c>
      <c r="AK36" s="32">
        <f t="shared" si="12"/>
        <v>141995884</v>
      </c>
      <c r="AL36" s="32">
        <f t="shared" si="12"/>
        <v>119935880</v>
      </c>
      <c r="AM36" s="32">
        <f t="shared" si="12"/>
        <v>59943864</v>
      </c>
      <c r="AN36" s="32">
        <f t="shared" si="12"/>
        <v>79959816</v>
      </c>
      <c r="AO36" s="32">
        <f t="shared" si="12"/>
        <v>119947860</v>
      </c>
      <c r="AP36" s="32">
        <f t="shared" si="12"/>
        <v>81983880</v>
      </c>
      <c r="AQ36" s="32">
        <f t="shared" si="12"/>
        <v>21995916</v>
      </c>
      <c r="AR36" s="32">
        <f t="shared" si="12"/>
        <v>79931844</v>
      </c>
      <c r="AS36" s="32">
        <f t="shared" si="12"/>
        <v>101991904</v>
      </c>
      <c r="AT36" s="32">
        <f t="shared" si="12"/>
        <v>61975832</v>
      </c>
      <c r="AU36" s="32">
        <f t="shared" si="12"/>
        <v>79947780</v>
      </c>
      <c r="AV36" s="32">
        <f t="shared" si="12"/>
        <v>121975864</v>
      </c>
      <c r="AW36" s="32">
        <f t="shared" si="12"/>
        <v>79955820</v>
      </c>
      <c r="AX36" s="32">
        <f t="shared" si="12"/>
        <v>119903872</v>
      </c>
      <c r="AY36" s="32">
        <f t="shared" si="12"/>
        <v>99923884</v>
      </c>
      <c r="AZ36" s="32">
        <f t="shared" si="12"/>
        <v>19931844</v>
      </c>
      <c r="BA36" s="32">
        <f t="shared" si="12"/>
        <v>121975896</v>
      </c>
      <c r="BB36" s="32">
        <f t="shared" si="12"/>
        <v>79959984</v>
      </c>
      <c r="BC36" s="32">
        <f t="shared" si="12"/>
        <v>19943888</v>
      </c>
      <c r="BD36" s="32">
        <f t="shared" si="12"/>
        <v>121991848</v>
      </c>
      <c r="BE36" s="32">
        <f t="shared" si="12"/>
        <v>121975752</v>
      </c>
      <c r="BF36" s="32">
        <f t="shared" si="12"/>
        <v>79959872</v>
      </c>
      <c r="BG36" s="32">
        <f t="shared" si="12"/>
        <v>161999888</v>
      </c>
      <c r="BH36" s="32">
        <f t="shared" si="12"/>
        <v>99915860</v>
      </c>
      <c r="BI36" s="32">
        <f t="shared" si="12"/>
        <v>99931932</v>
      </c>
      <c r="BJ36" s="32">
        <f t="shared" si="12"/>
        <v>119899820</v>
      </c>
      <c r="BK36" s="32">
        <f t="shared" si="12"/>
        <v>81955932</v>
      </c>
      <c r="BL36" s="32">
        <f t="shared" si="12"/>
        <v>99951864</v>
      </c>
      <c r="BM36" s="32">
        <f t="shared" si="12"/>
        <v>99959872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17" priority="9" stopIfTrue="1" operator="equal">
      <formula>0</formula>
    </cfRule>
  </conditionalFormatting>
  <conditionalFormatting sqref="D26:J28 K28:BE28">
    <cfRule type="cellIs" dxfId="116" priority="10" stopIfTrue="1" operator="equal">
      <formula>1</formula>
    </cfRule>
  </conditionalFormatting>
  <conditionalFormatting sqref="H3:I3 F23 H5:I5 H7:I7 H9:I9 H11:I11 H13:I13 H15:I15 H17:I17 H19:I19 H21:I21">
    <cfRule type="cellIs" dxfId="115" priority="11" stopIfTrue="1" operator="equal">
      <formula>0</formula>
    </cfRule>
  </conditionalFormatting>
  <conditionalFormatting sqref="H4:I4 F24 H6:I6 H8:I8 H10:I10 H12:I12 H14:I14 H16:I16 H18:I18 H20:I20 H22:I22">
    <cfRule type="cellIs" dxfId="114" priority="12" stopIfTrue="1" operator="equal">
      <formula>0</formula>
    </cfRule>
  </conditionalFormatting>
  <conditionalFormatting sqref="F3 F5 F7 F9 F11 F13 F15 F17 F19 F21">
    <cfRule type="cellIs" dxfId="1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11" priority="15" stopIfTrue="1">
      <formula>AND(COUNTA(J4)=1,$E4=1,SUM($E3:$E4)=1)</formula>
    </cfRule>
    <cfRule type="expression" dxfId="1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9" priority="17" stopIfTrue="1">
      <formula>AND(COUNTA(J3)=1,$E3=1,SUM($E3:$E4)=1)</formula>
    </cfRule>
    <cfRule type="expression" dxfId="108" priority="18" stopIfTrue="1">
      <formula>AND(COUNTA(J3)=1,$E3=0,SUM($E3:$E4)=1)</formula>
    </cfRule>
  </conditionalFormatting>
  <conditionalFormatting sqref="BF23:BM23">
    <cfRule type="cellIs" dxfId="107" priority="7" stopIfTrue="1" operator="equal">
      <formula>0</formula>
    </cfRule>
  </conditionalFormatting>
  <conditionalFormatting sqref="BF24:BM24">
    <cfRule type="cellIs" dxfId="106" priority="6" stopIfTrue="1" operator="equal">
      <formula>0</formula>
    </cfRule>
  </conditionalFormatting>
  <conditionalFormatting sqref="BF28:BM28">
    <cfRule type="cellIs" dxfId="1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04" priority="3" stopIfTrue="1">
      <formula>AND(COUNTA(BF4)=1,$E4=1,SUM($E3:$E4)=1)</formula>
    </cfRule>
    <cfRule type="expression" dxfId="1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02" priority="1" stopIfTrue="1">
      <formula>AND(COUNTA(BF3)=1,$E3=1,SUM($E3:$E4)=1)</formula>
    </cfRule>
    <cfRule type="expression" dxfId="1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>
    <pageSetUpPr fitToPage="1"/>
  </sheetPr>
  <dimension ref="A1:BM58"/>
  <sheetViews>
    <sheetView zoomScale="80" zoomScaleNormal="80" zoomScaleSheetLayoutView="100" workbookViewId="0">
      <selection activeCell="J3" sqref="J3:J24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162</v>
      </c>
      <c r="C3" s="65">
        <v>6.5</v>
      </c>
      <c r="D3" s="64">
        <v>42</v>
      </c>
      <c r="E3" s="64">
        <f>IF(ISBLANK($D3),"0",IF(($D4-$D3)&lt;($C4-$C3),1,0))</f>
        <v>1</v>
      </c>
      <c r="F3" s="64">
        <f ca="1">COUNTA(INDIRECT("RC11:RC"&amp;11+playercnt-1,FALSE))</f>
        <v>28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309</v>
      </c>
      <c r="M3" s="69"/>
      <c r="N3" s="69" t="s">
        <v>518</v>
      </c>
      <c r="O3" s="69" t="s">
        <v>311</v>
      </c>
      <c r="P3" s="69"/>
      <c r="Q3" s="69" t="s">
        <v>335</v>
      </c>
      <c r="R3" s="69"/>
      <c r="S3" s="69"/>
      <c r="T3" s="69"/>
      <c r="U3" s="69"/>
      <c r="V3" s="69" t="s">
        <v>309</v>
      </c>
      <c r="W3" s="69"/>
      <c r="X3" s="69" t="s">
        <v>345</v>
      </c>
      <c r="Y3" s="69" t="s">
        <v>311</v>
      </c>
      <c r="Z3" s="69"/>
      <c r="AA3" s="69" t="s">
        <v>311</v>
      </c>
      <c r="AB3" s="69"/>
      <c r="AC3" s="69" t="s">
        <v>311</v>
      </c>
      <c r="AD3" s="69"/>
      <c r="AE3" s="69" t="s">
        <v>311</v>
      </c>
      <c r="AF3" s="69"/>
      <c r="AG3" s="69"/>
      <c r="AH3" s="69"/>
      <c r="AI3" s="69" t="s">
        <v>521</v>
      </c>
      <c r="AJ3" s="69" t="s">
        <v>339</v>
      </c>
      <c r="AK3" s="69"/>
      <c r="AL3" s="69"/>
      <c r="AM3" s="69" t="s">
        <v>367</v>
      </c>
      <c r="AN3" s="69" t="s">
        <v>335</v>
      </c>
      <c r="AO3" s="69"/>
      <c r="AP3" s="69" t="s">
        <v>366</v>
      </c>
      <c r="AQ3" s="69" t="s">
        <v>490</v>
      </c>
      <c r="AR3" s="96" t="s">
        <v>317</v>
      </c>
      <c r="AS3" s="69" t="s">
        <v>345</v>
      </c>
      <c r="AT3" s="69"/>
      <c r="AU3" s="69" t="s">
        <v>309</v>
      </c>
      <c r="AV3" s="69" t="s">
        <v>311</v>
      </c>
      <c r="AW3" s="69" t="s">
        <v>311</v>
      </c>
      <c r="AX3" s="69"/>
      <c r="AY3" s="69"/>
      <c r="AZ3" s="69" t="s">
        <v>311</v>
      </c>
      <c r="BA3" s="69" t="s">
        <v>311</v>
      </c>
      <c r="BB3" s="69" t="s">
        <v>314</v>
      </c>
      <c r="BC3" s="69"/>
      <c r="BD3" s="69"/>
      <c r="BE3" s="96" t="s">
        <v>364</v>
      </c>
      <c r="BF3" s="69" t="s">
        <v>309</v>
      </c>
      <c r="BG3" s="69"/>
      <c r="BH3" s="69"/>
      <c r="BI3" s="69" t="s">
        <v>315</v>
      </c>
      <c r="BJ3" s="69"/>
      <c r="BK3" s="69"/>
      <c r="BL3" s="69"/>
      <c r="BM3" s="69" t="s">
        <v>328</v>
      </c>
    </row>
    <row r="4" spans="1:65">
      <c r="A4" s="61" t="s">
        <v>3</v>
      </c>
      <c r="B4" s="68" t="s">
        <v>199</v>
      </c>
      <c r="C4" s="66"/>
      <c r="D4" s="64">
        <v>31</v>
      </c>
      <c r="E4" s="64">
        <f>IF(ISBLANK($D4),"0",IF(($D4-$D3)&gt;($C4-$C3),1,0))</f>
        <v>0</v>
      </c>
      <c r="F4" s="64">
        <f t="shared" ref="F4:F22" ca="1" si="1">COUNTA(INDIRECT("RC11:RC"&amp;11+playercnt-1,FALSE))</f>
        <v>27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309</v>
      </c>
      <c r="L4" s="70"/>
      <c r="M4" s="70" t="s">
        <v>350</v>
      </c>
      <c r="N4" s="70"/>
      <c r="O4" s="70"/>
      <c r="P4" s="70" t="s">
        <v>309</v>
      </c>
      <c r="Q4" s="70"/>
      <c r="R4" s="70" t="s">
        <v>309</v>
      </c>
      <c r="S4" s="70" t="s">
        <v>311</v>
      </c>
      <c r="T4" s="70" t="s">
        <v>344</v>
      </c>
      <c r="U4" s="70" t="s">
        <v>331</v>
      </c>
      <c r="V4" s="70"/>
      <c r="W4" s="70" t="s">
        <v>350</v>
      </c>
      <c r="X4" s="70"/>
      <c r="Y4" s="70"/>
      <c r="Z4" s="70" t="s">
        <v>311</v>
      </c>
      <c r="AA4" s="70"/>
      <c r="AB4" s="70" t="s">
        <v>309</v>
      </c>
      <c r="AC4" s="70"/>
      <c r="AD4" s="70" t="s">
        <v>345</v>
      </c>
      <c r="AE4" s="70"/>
      <c r="AF4" s="70" t="s">
        <v>349</v>
      </c>
      <c r="AG4" s="70" t="s">
        <v>339</v>
      </c>
      <c r="AH4" s="70" t="s">
        <v>311</v>
      </c>
      <c r="AI4" s="70"/>
      <c r="AJ4" s="70"/>
      <c r="AK4" s="70" t="s">
        <v>311</v>
      </c>
      <c r="AL4" s="70" t="s">
        <v>327</v>
      </c>
      <c r="AM4" s="70"/>
      <c r="AN4" s="70"/>
      <c r="AO4" s="70" t="s">
        <v>311</v>
      </c>
      <c r="AP4" s="70"/>
      <c r="AQ4" s="70"/>
      <c r="AR4" s="70"/>
      <c r="AS4" s="70"/>
      <c r="AT4" s="70" t="s">
        <v>336</v>
      </c>
      <c r="AU4" s="70"/>
      <c r="AV4" s="70"/>
      <c r="AW4" s="70"/>
      <c r="AX4" s="70" t="s">
        <v>331</v>
      </c>
      <c r="AY4" s="70" t="s">
        <v>375</v>
      </c>
      <c r="AZ4" s="70"/>
      <c r="BA4" s="70"/>
      <c r="BB4" s="70"/>
      <c r="BC4" s="70" t="s">
        <v>309</v>
      </c>
      <c r="BD4" s="70" t="s">
        <v>378</v>
      </c>
      <c r="BE4" s="70"/>
      <c r="BF4" s="70"/>
      <c r="BG4" s="70" t="s">
        <v>311</v>
      </c>
      <c r="BH4" s="70" t="s">
        <v>311</v>
      </c>
      <c r="BI4" s="70"/>
      <c r="BJ4" s="70" t="s">
        <v>344</v>
      </c>
      <c r="BK4" s="70" t="s">
        <v>309</v>
      </c>
      <c r="BL4" s="70" t="s">
        <v>311</v>
      </c>
      <c r="BM4" s="70"/>
    </row>
    <row r="5" spans="1:65">
      <c r="A5" s="59">
        <v>2</v>
      </c>
      <c r="B5" s="67" t="s">
        <v>187</v>
      </c>
      <c r="C5" s="65"/>
      <c r="D5" s="64">
        <v>51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309</v>
      </c>
      <c r="L5" s="69" t="s">
        <v>309</v>
      </c>
      <c r="M5" s="69" t="s">
        <v>350</v>
      </c>
      <c r="N5" s="69"/>
      <c r="O5" s="69" t="s">
        <v>311</v>
      </c>
      <c r="P5" s="69" t="s">
        <v>309</v>
      </c>
      <c r="Q5" s="69"/>
      <c r="R5" s="69" t="s">
        <v>309</v>
      </c>
      <c r="S5" s="69" t="s">
        <v>311</v>
      </c>
      <c r="T5" s="69" t="s">
        <v>344</v>
      </c>
      <c r="U5" s="69" t="s">
        <v>314</v>
      </c>
      <c r="V5" s="69"/>
      <c r="W5" s="69" t="s">
        <v>337</v>
      </c>
      <c r="X5" s="69"/>
      <c r="Y5" s="69" t="s">
        <v>311</v>
      </c>
      <c r="Z5" s="69"/>
      <c r="AA5" s="69" t="s">
        <v>311</v>
      </c>
      <c r="AB5" s="69" t="s">
        <v>309</v>
      </c>
      <c r="AC5" s="69" t="s">
        <v>311</v>
      </c>
      <c r="AD5" s="69"/>
      <c r="AE5" s="69" t="s">
        <v>311</v>
      </c>
      <c r="AF5" s="69" t="s">
        <v>349</v>
      </c>
      <c r="AG5" s="69" t="s">
        <v>339</v>
      </c>
      <c r="AH5" s="69"/>
      <c r="AI5" s="69" t="s">
        <v>522</v>
      </c>
      <c r="AJ5" s="69" t="s">
        <v>339</v>
      </c>
      <c r="AK5" s="69" t="s">
        <v>311</v>
      </c>
      <c r="AL5" s="69"/>
      <c r="AM5" s="69" t="s">
        <v>313</v>
      </c>
      <c r="AN5" s="69" t="s">
        <v>335</v>
      </c>
      <c r="AO5" s="69" t="s">
        <v>311</v>
      </c>
      <c r="AP5" s="69"/>
      <c r="AQ5" s="69"/>
      <c r="AR5" s="96" t="s">
        <v>332</v>
      </c>
      <c r="AS5" s="69" t="s">
        <v>372</v>
      </c>
      <c r="AT5" s="69"/>
      <c r="AU5" s="69" t="s">
        <v>309</v>
      </c>
      <c r="AV5" s="69" t="s">
        <v>311</v>
      </c>
      <c r="AW5" s="69" t="s">
        <v>311</v>
      </c>
      <c r="AX5" s="69"/>
      <c r="AY5" s="69" t="s">
        <v>336</v>
      </c>
      <c r="AZ5" s="69"/>
      <c r="BA5" s="69"/>
      <c r="BB5" s="69"/>
      <c r="BC5" s="69" t="s">
        <v>309</v>
      </c>
      <c r="BD5" s="69" t="s">
        <v>378</v>
      </c>
      <c r="BE5" s="69"/>
      <c r="BF5" s="69" t="s">
        <v>309</v>
      </c>
      <c r="BG5" s="69"/>
      <c r="BH5" s="69" t="s">
        <v>311</v>
      </c>
      <c r="BI5" s="69" t="s">
        <v>315</v>
      </c>
      <c r="BJ5" s="69" t="s">
        <v>344</v>
      </c>
      <c r="BK5" s="69"/>
      <c r="BL5" s="69"/>
      <c r="BM5" s="69"/>
    </row>
    <row r="6" spans="1:65">
      <c r="A6" s="61" t="s">
        <v>3</v>
      </c>
      <c r="B6" s="68" t="s">
        <v>200</v>
      </c>
      <c r="C6" s="66">
        <v>1.5</v>
      </c>
      <c r="D6" s="64">
        <v>48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 t="s">
        <v>518</v>
      </c>
      <c r="O6" s="70"/>
      <c r="P6" s="70"/>
      <c r="Q6" s="70" t="s">
        <v>335</v>
      </c>
      <c r="R6" s="70"/>
      <c r="S6" s="70"/>
      <c r="T6" s="70"/>
      <c r="U6" s="70"/>
      <c r="V6" s="70" t="s">
        <v>309</v>
      </c>
      <c r="W6" s="70"/>
      <c r="X6" s="70" t="s">
        <v>337</v>
      </c>
      <c r="Y6" s="70"/>
      <c r="Z6" s="70" t="s">
        <v>311</v>
      </c>
      <c r="AA6" s="70"/>
      <c r="AB6" s="70"/>
      <c r="AC6" s="70"/>
      <c r="AD6" s="70" t="s">
        <v>346</v>
      </c>
      <c r="AE6" s="70"/>
      <c r="AF6" s="70"/>
      <c r="AG6" s="70"/>
      <c r="AH6" s="70" t="s">
        <v>311</v>
      </c>
      <c r="AI6" s="70"/>
      <c r="AJ6" s="70"/>
      <c r="AK6" s="70"/>
      <c r="AL6" s="70" t="s">
        <v>327</v>
      </c>
      <c r="AM6" s="70"/>
      <c r="AN6" s="70"/>
      <c r="AO6" s="70"/>
      <c r="AP6" s="70" t="s">
        <v>365</v>
      </c>
      <c r="AQ6" s="70" t="s">
        <v>348</v>
      </c>
      <c r="AR6" s="70"/>
      <c r="AS6" s="70"/>
      <c r="AT6" s="70" t="s">
        <v>336</v>
      </c>
      <c r="AU6" s="70"/>
      <c r="AV6" s="70"/>
      <c r="AW6" s="70"/>
      <c r="AX6" s="70" t="s">
        <v>323</v>
      </c>
      <c r="AY6" s="70"/>
      <c r="AZ6" s="70" t="s">
        <v>311</v>
      </c>
      <c r="BA6" s="70" t="s">
        <v>311</v>
      </c>
      <c r="BB6" s="70" t="s">
        <v>314</v>
      </c>
      <c r="BC6" s="70"/>
      <c r="BD6" s="70"/>
      <c r="BE6" s="97" t="s">
        <v>364</v>
      </c>
      <c r="BF6" s="70"/>
      <c r="BG6" s="70" t="s">
        <v>311</v>
      </c>
      <c r="BH6" s="70"/>
      <c r="BI6" s="70"/>
      <c r="BJ6" s="70"/>
      <c r="BK6" s="70" t="s">
        <v>309</v>
      </c>
      <c r="BL6" s="70" t="s">
        <v>311</v>
      </c>
      <c r="BM6" s="70" t="s">
        <v>327</v>
      </c>
    </row>
    <row r="7" spans="1:65">
      <c r="A7" s="59">
        <v>3</v>
      </c>
      <c r="B7" s="67" t="s">
        <v>243</v>
      </c>
      <c r="C7" s="65"/>
      <c r="D7" s="64">
        <v>16</v>
      </c>
      <c r="E7" s="64">
        <f>IF(ISBLANK($D7),"0",IF(($D8-$D7)&lt;($C8-$C7),1,0))</f>
        <v>1</v>
      </c>
      <c r="F7" s="64">
        <f t="shared" ca="1" si="1"/>
        <v>16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518</v>
      </c>
      <c r="O7" s="69" t="s">
        <v>311</v>
      </c>
      <c r="P7" s="69" t="s">
        <v>309</v>
      </c>
      <c r="Q7" s="69"/>
      <c r="R7" s="96"/>
      <c r="S7" s="96"/>
      <c r="T7" s="96" t="s">
        <v>344</v>
      </c>
      <c r="U7" s="96"/>
      <c r="V7" s="69"/>
      <c r="W7" s="69"/>
      <c r="X7" s="69"/>
      <c r="Y7" s="69"/>
      <c r="Z7" s="69" t="s">
        <v>311</v>
      </c>
      <c r="AA7" s="69"/>
      <c r="AB7" s="69"/>
      <c r="AC7" s="69"/>
      <c r="AD7" s="69" t="s">
        <v>337</v>
      </c>
      <c r="AE7" s="69" t="s">
        <v>311</v>
      </c>
      <c r="AF7" s="69"/>
      <c r="AG7" s="69"/>
      <c r="AH7" s="69"/>
      <c r="AI7" s="69"/>
      <c r="AJ7" s="69" t="s">
        <v>339</v>
      </c>
      <c r="AK7" s="69" t="s">
        <v>311</v>
      </c>
      <c r="AL7" s="69" t="s">
        <v>327</v>
      </c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 t="s">
        <v>362</v>
      </c>
      <c r="AY7" s="69" t="s">
        <v>337</v>
      </c>
      <c r="AZ7" s="69" t="s">
        <v>311</v>
      </c>
      <c r="BA7" s="69"/>
      <c r="BB7" s="69"/>
      <c r="BC7" s="69"/>
      <c r="BD7" s="69" t="s">
        <v>378</v>
      </c>
      <c r="BE7" s="96" t="s">
        <v>364</v>
      </c>
      <c r="BF7" s="69"/>
      <c r="BG7" s="69"/>
      <c r="BH7" s="69"/>
      <c r="BI7" s="69"/>
      <c r="BJ7" s="69" t="s">
        <v>344</v>
      </c>
      <c r="BK7" s="69"/>
      <c r="BL7" s="69"/>
      <c r="BM7" s="69"/>
    </row>
    <row r="8" spans="1:65">
      <c r="A8" s="61" t="s">
        <v>3</v>
      </c>
      <c r="B8" s="68" t="s">
        <v>245</v>
      </c>
      <c r="C8" s="66">
        <v>4.5</v>
      </c>
      <c r="D8" s="64">
        <v>19</v>
      </c>
      <c r="E8" s="64">
        <f>IF(ISBLANK($D8),"0",IF(($D8-$D7)&gt;($C8-$C7),1,0))</f>
        <v>0</v>
      </c>
      <c r="F8" s="64">
        <f t="shared" ca="1" si="1"/>
        <v>39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309</v>
      </c>
      <c r="L8" s="70" t="s">
        <v>309</v>
      </c>
      <c r="M8" s="70" t="s">
        <v>350</v>
      </c>
      <c r="N8" s="70"/>
      <c r="O8" s="70"/>
      <c r="P8" s="70"/>
      <c r="Q8" s="70" t="s">
        <v>335</v>
      </c>
      <c r="R8" s="97" t="s">
        <v>309</v>
      </c>
      <c r="S8" s="97" t="s">
        <v>311</v>
      </c>
      <c r="T8" s="97"/>
      <c r="U8" s="70" t="s">
        <v>315</v>
      </c>
      <c r="V8" s="70" t="s">
        <v>309</v>
      </c>
      <c r="W8" s="70" t="s">
        <v>340</v>
      </c>
      <c r="X8" s="70" t="s">
        <v>325</v>
      </c>
      <c r="Y8" s="70" t="s">
        <v>311</v>
      </c>
      <c r="Z8" s="70"/>
      <c r="AA8" s="70" t="s">
        <v>311</v>
      </c>
      <c r="AB8" s="70" t="s">
        <v>309</v>
      </c>
      <c r="AC8" s="70" t="s">
        <v>311</v>
      </c>
      <c r="AD8" s="70"/>
      <c r="AE8" s="70"/>
      <c r="AF8" s="70" t="s">
        <v>349</v>
      </c>
      <c r="AG8" s="70" t="s">
        <v>339</v>
      </c>
      <c r="AH8" s="70" t="s">
        <v>311</v>
      </c>
      <c r="AI8" s="70" t="s">
        <v>110</v>
      </c>
      <c r="AJ8" s="70"/>
      <c r="AK8" s="70"/>
      <c r="AL8" s="70"/>
      <c r="AM8" s="70" t="s">
        <v>313</v>
      </c>
      <c r="AN8" s="70" t="s">
        <v>335</v>
      </c>
      <c r="AO8" s="70" t="s">
        <v>311</v>
      </c>
      <c r="AP8" s="70" t="s">
        <v>454</v>
      </c>
      <c r="AQ8" s="70" t="s">
        <v>345</v>
      </c>
      <c r="AR8" s="70" t="s">
        <v>332</v>
      </c>
      <c r="AS8" s="70" t="s">
        <v>327</v>
      </c>
      <c r="AT8" s="70" t="s">
        <v>336</v>
      </c>
      <c r="AU8" s="70" t="s">
        <v>309</v>
      </c>
      <c r="AV8" s="70" t="s">
        <v>311</v>
      </c>
      <c r="AW8" s="70" t="s">
        <v>311</v>
      </c>
      <c r="AX8" s="70"/>
      <c r="AY8" s="70"/>
      <c r="AZ8" s="70"/>
      <c r="BA8" s="70" t="s">
        <v>311</v>
      </c>
      <c r="BB8" s="70" t="s">
        <v>314</v>
      </c>
      <c r="BC8" s="70" t="s">
        <v>309</v>
      </c>
      <c r="BD8" s="70"/>
      <c r="BE8" s="70"/>
      <c r="BF8" s="70" t="s">
        <v>309</v>
      </c>
      <c r="BG8" s="70" t="s">
        <v>311</v>
      </c>
      <c r="BH8" s="70" t="s">
        <v>311</v>
      </c>
      <c r="BI8" s="70" t="s">
        <v>315</v>
      </c>
      <c r="BJ8" s="70"/>
      <c r="BK8" s="70" t="s">
        <v>309</v>
      </c>
      <c r="BL8" s="70" t="s">
        <v>311</v>
      </c>
      <c r="BM8" s="70" t="s">
        <v>329</v>
      </c>
    </row>
    <row r="9" spans="1:65">
      <c r="A9" s="59">
        <v>4</v>
      </c>
      <c r="B9" s="108" t="s">
        <v>249</v>
      </c>
      <c r="C9" s="65"/>
      <c r="D9" s="81">
        <v>16</v>
      </c>
      <c r="E9" s="64">
        <f>IF(ISBLANK($D9),"0",IF(($D10-$D9)&lt;($C10-$C9),1,0))</f>
        <v>0</v>
      </c>
      <c r="F9" s="64">
        <f t="shared" ca="1" si="1"/>
        <v>23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309</v>
      </c>
      <c r="M9" s="69" t="s">
        <v>350</v>
      </c>
      <c r="N9" s="69"/>
      <c r="O9" s="69"/>
      <c r="P9" s="69"/>
      <c r="Q9" s="69"/>
      <c r="R9" s="96"/>
      <c r="S9" s="96" t="s">
        <v>311</v>
      </c>
      <c r="T9" s="96" t="s">
        <v>344</v>
      </c>
      <c r="U9" s="69" t="s">
        <v>362</v>
      </c>
      <c r="V9" s="69"/>
      <c r="W9" s="69"/>
      <c r="X9" s="69" t="s">
        <v>313</v>
      </c>
      <c r="Y9" s="69"/>
      <c r="Z9" s="69"/>
      <c r="AA9" s="69"/>
      <c r="AB9" s="69"/>
      <c r="AC9" s="69"/>
      <c r="AD9" s="69"/>
      <c r="AE9" s="69" t="s">
        <v>311</v>
      </c>
      <c r="AF9" s="69" t="s">
        <v>349</v>
      </c>
      <c r="AG9" s="69" t="s">
        <v>339</v>
      </c>
      <c r="AH9" s="69"/>
      <c r="AI9" s="69"/>
      <c r="AJ9" s="69"/>
      <c r="AK9" s="69" t="s">
        <v>311</v>
      </c>
      <c r="AL9" s="69" t="s">
        <v>327</v>
      </c>
      <c r="AM9" s="69"/>
      <c r="AN9" s="69"/>
      <c r="AO9" s="69"/>
      <c r="AP9" s="69"/>
      <c r="AQ9" s="69"/>
      <c r="AR9" s="96"/>
      <c r="AS9" s="69" t="s">
        <v>334</v>
      </c>
      <c r="AT9" s="69" t="s">
        <v>336</v>
      </c>
      <c r="AU9" s="69" t="s">
        <v>309</v>
      </c>
      <c r="AV9" s="69" t="s">
        <v>311</v>
      </c>
      <c r="AW9" s="69"/>
      <c r="AX9" s="69" t="s">
        <v>363</v>
      </c>
      <c r="AY9" s="69"/>
      <c r="AZ9" s="69"/>
      <c r="BA9" s="69"/>
      <c r="BB9" s="69" t="s">
        <v>314</v>
      </c>
      <c r="BC9" s="69"/>
      <c r="BD9" s="69"/>
      <c r="BE9" s="96"/>
      <c r="BF9" s="69" t="s">
        <v>309</v>
      </c>
      <c r="BG9" s="69" t="s">
        <v>309</v>
      </c>
      <c r="BH9" s="69" t="s">
        <v>311</v>
      </c>
      <c r="BI9" s="69"/>
      <c r="BJ9" s="69" t="s">
        <v>344</v>
      </c>
      <c r="BK9" s="69"/>
      <c r="BL9" s="69" t="s">
        <v>311</v>
      </c>
      <c r="BM9" s="69" t="s">
        <v>330</v>
      </c>
    </row>
    <row r="10" spans="1:65">
      <c r="A10" s="61" t="s">
        <v>3</v>
      </c>
      <c r="B10" s="68" t="s">
        <v>168</v>
      </c>
      <c r="C10" s="66">
        <v>11.5</v>
      </c>
      <c r="D10" s="64">
        <v>45</v>
      </c>
      <c r="E10" s="64">
        <f>IF(ISBLANK($D10),"0",IF(($D10-$D9)&gt;($C10-$C9),1,0))</f>
        <v>1</v>
      </c>
      <c r="F10" s="64">
        <f t="shared" ca="1" si="1"/>
        <v>32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309</v>
      </c>
      <c r="L10" s="70"/>
      <c r="M10" s="70"/>
      <c r="N10" s="70" t="s">
        <v>518</v>
      </c>
      <c r="O10" s="70" t="s">
        <v>311</v>
      </c>
      <c r="P10" s="70" t="s">
        <v>309</v>
      </c>
      <c r="Q10" s="70" t="s">
        <v>335</v>
      </c>
      <c r="R10" s="97" t="s">
        <v>309</v>
      </c>
      <c r="S10" s="97"/>
      <c r="T10" s="97"/>
      <c r="U10" s="70"/>
      <c r="V10" s="70" t="s">
        <v>309</v>
      </c>
      <c r="W10" s="70" t="s">
        <v>336</v>
      </c>
      <c r="X10" s="70"/>
      <c r="Y10" s="70" t="s">
        <v>311</v>
      </c>
      <c r="Z10" s="70" t="s">
        <v>311</v>
      </c>
      <c r="AA10" s="70" t="s">
        <v>311</v>
      </c>
      <c r="AB10" s="70" t="s">
        <v>309</v>
      </c>
      <c r="AC10" s="70" t="s">
        <v>311</v>
      </c>
      <c r="AD10" s="70" t="s">
        <v>319</v>
      </c>
      <c r="AE10" s="70"/>
      <c r="AF10" s="70"/>
      <c r="AG10" s="70"/>
      <c r="AH10" s="70" t="s">
        <v>311</v>
      </c>
      <c r="AI10" s="70" t="s">
        <v>510</v>
      </c>
      <c r="AJ10" s="70" t="s">
        <v>339</v>
      </c>
      <c r="AK10" s="70"/>
      <c r="AL10" s="70"/>
      <c r="AM10" s="70" t="s">
        <v>363</v>
      </c>
      <c r="AN10" s="70" t="s">
        <v>335</v>
      </c>
      <c r="AO10" s="70" t="s">
        <v>311</v>
      </c>
      <c r="AP10" s="70" t="s">
        <v>365</v>
      </c>
      <c r="AQ10" s="70" t="s">
        <v>332</v>
      </c>
      <c r="AR10" s="70" t="s">
        <v>374</v>
      </c>
      <c r="AS10" s="70"/>
      <c r="AT10" s="70"/>
      <c r="AU10" s="70"/>
      <c r="AV10" s="70"/>
      <c r="AW10" s="70" t="s">
        <v>311</v>
      </c>
      <c r="AX10" s="70"/>
      <c r="AY10" s="70" t="s">
        <v>340</v>
      </c>
      <c r="AZ10" s="70" t="s">
        <v>311</v>
      </c>
      <c r="BA10" s="70" t="s">
        <v>311</v>
      </c>
      <c r="BB10" s="70"/>
      <c r="BC10" s="70" t="s">
        <v>309</v>
      </c>
      <c r="BD10" s="70" t="s">
        <v>378</v>
      </c>
      <c r="BE10" s="70" t="s">
        <v>364</v>
      </c>
      <c r="BF10" s="70"/>
      <c r="BG10" s="70"/>
      <c r="BH10" s="70"/>
      <c r="BI10" s="70" t="s">
        <v>315</v>
      </c>
      <c r="BJ10" s="70"/>
      <c r="BK10" s="70" t="s">
        <v>309</v>
      </c>
      <c r="BL10" s="70"/>
      <c r="BM10" s="70"/>
    </row>
    <row r="11" spans="1:65">
      <c r="A11" s="59">
        <v>5</v>
      </c>
      <c r="B11" s="67" t="s">
        <v>252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 t="s">
        <v>309</v>
      </c>
      <c r="S11" s="96"/>
      <c r="T11" s="96"/>
      <c r="U11" s="69" t="s">
        <v>389</v>
      </c>
      <c r="V11" s="69" t="s">
        <v>309</v>
      </c>
      <c r="W11" s="69"/>
      <c r="X11" s="69" t="s">
        <v>312</v>
      </c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 t="s">
        <v>339</v>
      </c>
      <c r="AH11" s="69"/>
      <c r="AI11" s="69"/>
      <c r="AJ11" s="69"/>
      <c r="AK11" s="69" t="s">
        <v>311</v>
      </c>
      <c r="AL11" s="69"/>
      <c r="AM11" s="69"/>
      <c r="AN11" s="69"/>
      <c r="AO11" s="69" t="s">
        <v>311</v>
      </c>
      <c r="AP11" s="69"/>
      <c r="AQ11" s="69"/>
      <c r="AR11" s="69"/>
      <c r="AS11" s="69"/>
      <c r="AT11" s="69" t="s">
        <v>336</v>
      </c>
      <c r="AU11" s="69"/>
      <c r="AV11" s="69" t="s">
        <v>311</v>
      </c>
      <c r="AW11" s="69"/>
      <c r="AX11" s="69"/>
      <c r="AY11" s="69" t="s">
        <v>336</v>
      </c>
      <c r="AZ11" s="69"/>
      <c r="BA11" s="69"/>
      <c r="BB11" s="69"/>
      <c r="BC11" s="69"/>
      <c r="BD11" s="69"/>
      <c r="BE11" s="96"/>
      <c r="BF11" s="69"/>
      <c r="BG11" s="69" t="s">
        <v>311</v>
      </c>
      <c r="BH11" s="69" t="s">
        <v>311</v>
      </c>
      <c r="BI11" s="69"/>
      <c r="BJ11" s="69" t="s">
        <v>344</v>
      </c>
      <c r="BK11" s="69"/>
      <c r="BL11" s="69"/>
      <c r="BM11" s="69"/>
    </row>
    <row r="12" spans="1:65">
      <c r="A12" s="61" t="s">
        <v>3</v>
      </c>
      <c r="B12" s="68" t="s">
        <v>155</v>
      </c>
      <c r="C12" s="66">
        <v>13.5</v>
      </c>
      <c r="D12" s="64">
        <v>20</v>
      </c>
      <c r="E12" s="64">
        <f>IF(ISBLANK($D12),"0",IF(($D12-$D11)&gt;($C12-$C11),1,0))</f>
        <v>0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 t="s">
        <v>309</v>
      </c>
      <c r="M12" s="70" t="s">
        <v>350</v>
      </c>
      <c r="N12" s="70" t="s">
        <v>518</v>
      </c>
      <c r="O12" s="70" t="s">
        <v>311</v>
      </c>
      <c r="P12" s="70" t="s">
        <v>309</v>
      </c>
      <c r="Q12" s="70" t="s">
        <v>335</v>
      </c>
      <c r="R12" s="97"/>
      <c r="S12" s="97" t="s">
        <v>311</v>
      </c>
      <c r="T12" s="97" t="s">
        <v>344</v>
      </c>
      <c r="U12" s="70"/>
      <c r="V12" s="70"/>
      <c r="W12" s="70" t="s">
        <v>389</v>
      </c>
      <c r="X12" s="70"/>
      <c r="Y12" s="70" t="s">
        <v>311</v>
      </c>
      <c r="Z12" s="70"/>
      <c r="AA12" s="70" t="s">
        <v>311</v>
      </c>
      <c r="AB12" s="70" t="s">
        <v>309</v>
      </c>
      <c r="AC12" s="70" t="s">
        <v>311</v>
      </c>
      <c r="AD12" s="70"/>
      <c r="AE12" s="70" t="s">
        <v>311</v>
      </c>
      <c r="AF12" s="70" t="s">
        <v>349</v>
      </c>
      <c r="AG12" s="70"/>
      <c r="AH12" s="70" t="s">
        <v>311</v>
      </c>
      <c r="AI12" s="70" t="s">
        <v>523</v>
      </c>
      <c r="AJ12" s="70" t="s">
        <v>339</v>
      </c>
      <c r="AK12" s="70"/>
      <c r="AL12" s="70" t="s">
        <v>327</v>
      </c>
      <c r="AM12" s="70" t="s">
        <v>326</v>
      </c>
      <c r="AN12" s="70" t="s">
        <v>335</v>
      </c>
      <c r="AO12" s="70"/>
      <c r="AP12" s="70" t="s">
        <v>507</v>
      </c>
      <c r="AQ12" s="70" t="s">
        <v>374</v>
      </c>
      <c r="AR12" s="97" t="s">
        <v>317</v>
      </c>
      <c r="AS12" s="70" t="s">
        <v>328</v>
      </c>
      <c r="AT12" s="70"/>
      <c r="AU12" s="70" t="s">
        <v>309</v>
      </c>
      <c r="AV12" s="70"/>
      <c r="AW12" s="70" t="s">
        <v>311</v>
      </c>
      <c r="AX12" s="70" t="s">
        <v>320</v>
      </c>
      <c r="AY12" s="70"/>
      <c r="AZ12" s="70" t="s">
        <v>311</v>
      </c>
      <c r="BA12" s="70" t="s">
        <v>311</v>
      </c>
      <c r="BB12" s="70" t="s">
        <v>314</v>
      </c>
      <c r="BC12" s="70" t="s">
        <v>309</v>
      </c>
      <c r="BD12" s="70" t="s">
        <v>378</v>
      </c>
      <c r="BE12" s="70" t="s">
        <v>364</v>
      </c>
      <c r="BF12" s="70" t="s">
        <v>309</v>
      </c>
      <c r="BG12" s="70"/>
      <c r="BH12" s="70"/>
      <c r="BI12" s="70" t="s">
        <v>315</v>
      </c>
      <c r="BJ12" s="70"/>
      <c r="BK12" s="70" t="s">
        <v>309</v>
      </c>
      <c r="BL12" s="70" t="s">
        <v>311</v>
      </c>
      <c r="BM12" s="70" t="s">
        <v>331</v>
      </c>
    </row>
    <row r="13" spans="1:65">
      <c r="A13" s="59">
        <v>6</v>
      </c>
      <c r="B13" s="67" t="s">
        <v>160</v>
      </c>
      <c r="C13" s="65"/>
      <c r="D13" s="64">
        <v>45</v>
      </c>
      <c r="E13" s="64">
        <f>IF(ISBLANK($D13),"0",IF(($D14-$D13)&lt;($C14-$C13),1,0))</f>
        <v>1</v>
      </c>
      <c r="F13" s="64">
        <f t="shared" ca="1" si="1"/>
        <v>29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 t="s">
        <v>350</v>
      </c>
      <c r="N13" s="69"/>
      <c r="O13" s="69" t="s">
        <v>311</v>
      </c>
      <c r="P13" s="69" t="s">
        <v>309</v>
      </c>
      <c r="Q13" s="69"/>
      <c r="R13" s="96" t="s">
        <v>309</v>
      </c>
      <c r="S13" s="96" t="s">
        <v>311</v>
      </c>
      <c r="T13" s="96"/>
      <c r="U13" s="69" t="s">
        <v>337</v>
      </c>
      <c r="V13" s="69"/>
      <c r="W13" s="69" t="s">
        <v>337</v>
      </c>
      <c r="X13" s="69"/>
      <c r="Y13" s="69" t="s">
        <v>311</v>
      </c>
      <c r="Z13" s="69" t="s">
        <v>311</v>
      </c>
      <c r="AA13" s="69" t="s">
        <v>311</v>
      </c>
      <c r="AB13" s="69" t="s">
        <v>309</v>
      </c>
      <c r="AC13" s="69"/>
      <c r="AD13" s="69" t="s">
        <v>323</v>
      </c>
      <c r="AE13" s="69"/>
      <c r="AF13" s="69"/>
      <c r="AG13" s="69"/>
      <c r="AH13" s="69" t="s">
        <v>311</v>
      </c>
      <c r="AI13" s="69"/>
      <c r="AJ13" s="69" t="s">
        <v>339</v>
      </c>
      <c r="AK13" s="69" t="s">
        <v>311</v>
      </c>
      <c r="AL13" s="69"/>
      <c r="AM13" s="69"/>
      <c r="AN13" s="69"/>
      <c r="AO13" s="69"/>
      <c r="AP13" s="69"/>
      <c r="AQ13" s="69"/>
      <c r="AR13" s="96"/>
      <c r="AS13" s="69" t="s">
        <v>336</v>
      </c>
      <c r="AT13" s="69" t="s">
        <v>336</v>
      </c>
      <c r="AU13" s="69"/>
      <c r="AV13" s="69" t="s">
        <v>311</v>
      </c>
      <c r="AW13" s="69" t="s">
        <v>311</v>
      </c>
      <c r="AX13" s="69"/>
      <c r="AY13" s="69"/>
      <c r="AZ13" s="69"/>
      <c r="BA13" s="69"/>
      <c r="BB13" s="69" t="s">
        <v>314</v>
      </c>
      <c r="BC13" s="69" t="s">
        <v>309</v>
      </c>
      <c r="BD13" s="69" t="s">
        <v>378</v>
      </c>
      <c r="BE13" s="96" t="s">
        <v>364</v>
      </c>
      <c r="BF13" s="69" t="s">
        <v>309</v>
      </c>
      <c r="BG13" s="69" t="s">
        <v>309</v>
      </c>
      <c r="BH13" s="69" t="s">
        <v>311</v>
      </c>
      <c r="BI13" s="69"/>
      <c r="BJ13" s="69" t="s">
        <v>344</v>
      </c>
      <c r="BK13" s="69" t="s">
        <v>309</v>
      </c>
      <c r="BL13" s="69" t="s">
        <v>311</v>
      </c>
      <c r="BM13" s="69"/>
    </row>
    <row r="14" spans="1:65">
      <c r="A14" s="61" t="s">
        <v>3</v>
      </c>
      <c r="B14" s="68" t="s">
        <v>157</v>
      </c>
      <c r="C14" s="66">
        <v>8.5</v>
      </c>
      <c r="D14" s="64">
        <v>42</v>
      </c>
      <c r="E14" s="64">
        <f>IF(ISBLANK($D14),"0",IF(($D14-$D13)&gt;($C14-$C13),1,0))</f>
        <v>0</v>
      </c>
      <c r="F14" s="64">
        <f t="shared" ca="1" si="1"/>
        <v>26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309</v>
      </c>
      <c r="L14" s="70" t="s">
        <v>309</v>
      </c>
      <c r="M14" s="70"/>
      <c r="N14" s="70" t="s">
        <v>518</v>
      </c>
      <c r="O14" s="70"/>
      <c r="P14" s="70"/>
      <c r="Q14" s="70" t="s">
        <v>335</v>
      </c>
      <c r="R14" s="97"/>
      <c r="S14" s="97"/>
      <c r="T14" s="97" t="s">
        <v>344</v>
      </c>
      <c r="U14" s="70"/>
      <c r="V14" s="70" t="s">
        <v>309</v>
      </c>
      <c r="W14" s="70"/>
      <c r="X14" s="70" t="s">
        <v>325</v>
      </c>
      <c r="Y14" s="70"/>
      <c r="Z14" s="70"/>
      <c r="AA14" s="70"/>
      <c r="AB14" s="70"/>
      <c r="AC14" s="70" t="s">
        <v>311</v>
      </c>
      <c r="AD14" s="70"/>
      <c r="AE14" s="70" t="s">
        <v>311</v>
      </c>
      <c r="AF14" s="70" t="s">
        <v>349</v>
      </c>
      <c r="AG14" s="70" t="s">
        <v>339</v>
      </c>
      <c r="AH14" s="70"/>
      <c r="AI14" s="70" t="s">
        <v>524</v>
      </c>
      <c r="AJ14" s="70"/>
      <c r="AK14" s="70"/>
      <c r="AL14" s="70" t="s">
        <v>327</v>
      </c>
      <c r="AM14" s="70" t="s">
        <v>389</v>
      </c>
      <c r="AN14" s="70" t="s">
        <v>335</v>
      </c>
      <c r="AO14" s="70" t="s">
        <v>311</v>
      </c>
      <c r="AP14" s="70" t="s">
        <v>320</v>
      </c>
      <c r="AQ14" s="70" t="s">
        <v>322</v>
      </c>
      <c r="AR14" s="70" t="s">
        <v>357</v>
      </c>
      <c r="AS14" s="70"/>
      <c r="AT14" s="70"/>
      <c r="AU14" s="70" t="s">
        <v>309</v>
      </c>
      <c r="AV14" s="70"/>
      <c r="AW14" s="70"/>
      <c r="AX14" s="70" t="s">
        <v>359</v>
      </c>
      <c r="AY14" s="70" t="s">
        <v>323</v>
      </c>
      <c r="AZ14" s="70" t="s">
        <v>311</v>
      </c>
      <c r="BA14" s="70" t="s">
        <v>311</v>
      </c>
      <c r="BB14" s="70"/>
      <c r="BC14" s="70"/>
      <c r="BD14" s="70"/>
      <c r="BE14" s="70"/>
      <c r="BF14" s="70"/>
      <c r="BG14" s="70"/>
      <c r="BH14" s="70"/>
      <c r="BI14" s="70" t="s">
        <v>315</v>
      </c>
      <c r="BJ14" s="70"/>
      <c r="BK14" s="70"/>
      <c r="BL14" s="70"/>
      <c r="BM14" s="70" t="s">
        <v>332</v>
      </c>
    </row>
    <row r="15" spans="1:65">
      <c r="A15" s="59">
        <v>7</v>
      </c>
      <c r="B15" s="67" t="s">
        <v>246</v>
      </c>
      <c r="C15" s="65"/>
      <c r="D15" s="64">
        <v>7</v>
      </c>
      <c r="E15" s="64">
        <f>IF(ISBLANK($D15),"0",IF(($D16-$D15)&lt;($C16-$C15),1,0))</f>
        <v>0</v>
      </c>
      <c r="F15" s="64">
        <f t="shared" ca="1" si="1"/>
        <v>37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309</v>
      </c>
      <c r="L15" s="69" t="s">
        <v>309</v>
      </c>
      <c r="M15" s="69" t="s">
        <v>350</v>
      </c>
      <c r="N15" s="69" t="s">
        <v>518</v>
      </c>
      <c r="O15" s="69" t="s">
        <v>311</v>
      </c>
      <c r="P15" s="69" t="s">
        <v>309</v>
      </c>
      <c r="Q15" s="69"/>
      <c r="R15" s="96" t="s">
        <v>309</v>
      </c>
      <c r="S15" s="96"/>
      <c r="T15" s="96"/>
      <c r="U15" s="69" t="s">
        <v>340</v>
      </c>
      <c r="V15" s="69"/>
      <c r="W15" s="69" t="s">
        <v>320</v>
      </c>
      <c r="X15" s="69" t="s">
        <v>314</v>
      </c>
      <c r="Y15" s="69"/>
      <c r="Z15" s="69"/>
      <c r="AA15" s="69"/>
      <c r="AB15" s="69" t="s">
        <v>309</v>
      </c>
      <c r="AC15" s="69" t="s">
        <v>311</v>
      </c>
      <c r="AD15" s="69" t="s">
        <v>347</v>
      </c>
      <c r="AE15" s="69" t="s">
        <v>311</v>
      </c>
      <c r="AF15" s="69" t="s">
        <v>349</v>
      </c>
      <c r="AG15" s="69" t="s">
        <v>339</v>
      </c>
      <c r="AH15" s="69" t="s">
        <v>311</v>
      </c>
      <c r="AI15" s="69"/>
      <c r="AJ15" s="69" t="s">
        <v>339</v>
      </c>
      <c r="AK15" s="69" t="s">
        <v>311</v>
      </c>
      <c r="AL15" s="69" t="s">
        <v>327</v>
      </c>
      <c r="AM15" s="69" t="s">
        <v>313</v>
      </c>
      <c r="AN15" s="69" t="s">
        <v>335</v>
      </c>
      <c r="AO15" s="69"/>
      <c r="AP15" s="69" t="s">
        <v>318</v>
      </c>
      <c r="AQ15" s="69" t="s">
        <v>332</v>
      </c>
      <c r="AR15" s="69" t="s">
        <v>331</v>
      </c>
      <c r="AS15" s="69"/>
      <c r="AT15" s="69"/>
      <c r="AU15" s="69"/>
      <c r="AV15" s="69"/>
      <c r="AW15" s="69" t="s">
        <v>311</v>
      </c>
      <c r="AX15" s="69" t="s">
        <v>336</v>
      </c>
      <c r="AY15" s="69" t="s">
        <v>367</v>
      </c>
      <c r="AZ15" s="69" t="s">
        <v>311</v>
      </c>
      <c r="BA15" s="69" t="s">
        <v>311</v>
      </c>
      <c r="BB15" s="69"/>
      <c r="BC15" s="69" t="s">
        <v>309</v>
      </c>
      <c r="BD15" s="69" t="s">
        <v>378</v>
      </c>
      <c r="BE15" s="96" t="s">
        <v>364</v>
      </c>
      <c r="BF15" s="69" t="s">
        <v>309</v>
      </c>
      <c r="BG15" s="69"/>
      <c r="BH15" s="69"/>
      <c r="BI15" s="69"/>
      <c r="BJ15" s="69" t="s">
        <v>344</v>
      </c>
      <c r="BK15" s="69"/>
      <c r="BL15" s="69" t="s">
        <v>311</v>
      </c>
      <c r="BM15" s="69" t="s">
        <v>331</v>
      </c>
    </row>
    <row r="16" spans="1:65">
      <c r="A16" s="61" t="s">
        <v>3</v>
      </c>
      <c r="B16" s="68" t="s">
        <v>250</v>
      </c>
      <c r="C16" s="66">
        <v>4.5</v>
      </c>
      <c r="D16" s="64">
        <v>17</v>
      </c>
      <c r="E16" s="64">
        <f>IF(ISBLANK($D16),"0",IF(($D16-$D15)&gt;($C16-$C15),1,0))</f>
        <v>1</v>
      </c>
      <c r="F16" s="64">
        <f t="shared" ca="1" si="1"/>
        <v>18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335</v>
      </c>
      <c r="R16" s="70"/>
      <c r="S16" s="70" t="s">
        <v>311</v>
      </c>
      <c r="T16" s="70" t="s">
        <v>344</v>
      </c>
      <c r="U16" s="70"/>
      <c r="V16" s="70" t="s">
        <v>309</v>
      </c>
      <c r="W16" s="70"/>
      <c r="X16" s="70"/>
      <c r="Y16" s="70" t="s">
        <v>311</v>
      </c>
      <c r="Z16" s="70" t="s">
        <v>311</v>
      </c>
      <c r="AA16" s="70" t="s">
        <v>311</v>
      </c>
      <c r="AB16" s="70"/>
      <c r="AC16" s="70"/>
      <c r="AD16" s="70"/>
      <c r="AE16" s="70"/>
      <c r="AF16" s="70"/>
      <c r="AG16" s="70"/>
      <c r="AH16" s="70"/>
      <c r="AI16" s="70" t="s">
        <v>330</v>
      </c>
      <c r="AJ16" s="70"/>
      <c r="AK16" s="70"/>
      <c r="AL16" s="70"/>
      <c r="AM16" s="70"/>
      <c r="AN16" s="70"/>
      <c r="AO16" s="70" t="s">
        <v>311</v>
      </c>
      <c r="AP16" s="70"/>
      <c r="AQ16" s="70"/>
      <c r="AR16" s="97"/>
      <c r="AS16" s="70" t="s">
        <v>375</v>
      </c>
      <c r="AT16" s="70" t="s">
        <v>336</v>
      </c>
      <c r="AU16" s="70" t="s">
        <v>309</v>
      </c>
      <c r="AV16" s="70" t="s">
        <v>311</v>
      </c>
      <c r="AW16" s="70"/>
      <c r="AX16" s="70"/>
      <c r="AY16" s="70"/>
      <c r="AZ16" s="70"/>
      <c r="BA16" s="70"/>
      <c r="BB16" s="70" t="s">
        <v>314</v>
      </c>
      <c r="BC16" s="70"/>
      <c r="BD16" s="70"/>
      <c r="BE16" s="70"/>
      <c r="BF16" s="70"/>
      <c r="BG16" s="70" t="s">
        <v>309</v>
      </c>
      <c r="BH16" s="70" t="s">
        <v>311</v>
      </c>
      <c r="BI16" s="70" t="s">
        <v>315</v>
      </c>
      <c r="BJ16" s="70"/>
      <c r="BK16" s="70" t="s">
        <v>309</v>
      </c>
      <c r="BL16" s="70"/>
      <c r="BM16" s="70"/>
    </row>
    <row r="17" spans="1:65">
      <c r="A17" s="59">
        <v>8</v>
      </c>
      <c r="B17" s="67" t="s">
        <v>159</v>
      </c>
      <c r="C17" s="65"/>
      <c r="D17" s="64">
        <v>35</v>
      </c>
      <c r="E17" s="64">
        <f>IF(ISBLANK($D17),"0",IF(($D18-$D17)&lt;($C18-$C17),1,0))</f>
        <v>1</v>
      </c>
      <c r="F17" s="64">
        <f t="shared" ca="1" si="1"/>
        <v>30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350</v>
      </c>
      <c r="N17" s="69"/>
      <c r="O17" s="69"/>
      <c r="P17" s="69"/>
      <c r="Q17" s="69"/>
      <c r="R17" s="69"/>
      <c r="S17" s="69"/>
      <c r="T17" s="69" t="s">
        <v>344</v>
      </c>
      <c r="U17" s="69" t="s">
        <v>360</v>
      </c>
      <c r="V17" s="69" t="s">
        <v>309</v>
      </c>
      <c r="W17" s="69" t="s">
        <v>350</v>
      </c>
      <c r="X17" s="69" t="s">
        <v>340</v>
      </c>
      <c r="Y17" s="69"/>
      <c r="Z17" s="69"/>
      <c r="AA17" s="69"/>
      <c r="AB17" s="69" t="s">
        <v>309</v>
      </c>
      <c r="AC17" s="69" t="s">
        <v>311</v>
      </c>
      <c r="AD17" s="69" t="s">
        <v>313</v>
      </c>
      <c r="AE17" s="69" t="s">
        <v>311</v>
      </c>
      <c r="AF17" s="69"/>
      <c r="AG17" s="69" t="s">
        <v>339</v>
      </c>
      <c r="AH17" s="69" t="s">
        <v>311</v>
      </c>
      <c r="AI17" s="69" t="s">
        <v>525</v>
      </c>
      <c r="AJ17" s="69" t="s">
        <v>339</v>
      </c>
      <c r="AK17" s="69" t="s">
        <v>311</v>
      </c>
      <c r="AL17" s="69" t="s">
        <v>327</v>
      </c>
      <c r="AM17" s="69"/>
      <c r="AN17" s="69"/>
      <c r="AO17" s="69"/>
      <c r="AP17" s="69"/>
      <c r="AQ17" s="69" t="s">
        <v>350</v>
      </c>
      <c r="AR17" s="96" t="s">
        <v>333</v>
      </c>
      <c r="AS17" s="69" t="s">
        <v>327</v>
      </c>
      <c r="AT17" s="69" t="s">
        <v>336</v>
      </c>
      <c r="AU17" s="69"/>
      <c r="AV17" s="69"/>
      <c r="AW17" s="69"/>
      <c r="AX17" s="69" t="s">
        <v>313</v>
      </c>
      <c r="AY17" s="69" t="s">
        <v>340</v>
      </c>
      <c r="AZ17" s="69" t="s">
        <v>311</v>
      </c>
      <c r="BA17" s="69" t="s">
        <v>311</v>
      </c>
      <c r="BB17" s="69"/>
      <c r="BC17" s="69"/>
      <c r="BD17" s="69"/>
      <c r="BE17" s="69" t="s">
        <v>364</v>
      </c>
      <c r="BF17" s="69"/>
      <c r="BG17" s="69" t="s">
        <v>311</v>
      </c>
      <c r="BH17" s="69"/>
      <c r="BI17" s="69" t="s">
        <v>315</v>
      </c>
      <c r="BJ17" s="69" t="s">
        <v>344</v>
      </c>
      <c r="BK17" s="69" t="s">
        <v>309</v>
      </c>
      <c r="BL17" s="69" t="s">
        <v>311</v>
      </c>
      <c r="BM17" s="69"/>
    </row>
    <row r="18" spans="1:65">
      <c r="A18" s="61" t="s">
        <v>3</v>
      </c>
      <c r="B18" s="68" t="s">
        <v>255</v>
      </c>
      <c r="C18" s="66">
        <v>3.5</v>
      </c>
      <c r="D18" s="64">
        <v>31</v>
      </c>
      <c r="E18" s="64">
        <f>IF(ISBLANK($D18),"0",IF(($D18-$D17)&gt;($C18-$C17),1,0))</f>
        <v>0</v>
      </c>
      <c r="F18" s="64">
        <f t="shared" ca="1" si="1"/>
        <v>25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309</v>
      </c>
      <c r="L18" s="70" t="s">
        <v>309</v>
      </c>
      <c r="M18" s="70"/>
      <c r="N18" s="70" t="s">
        <v>518</v>
      </c>
      <c r="O18" s="70" t="s">
        <v>311</v>
      </c>
      <c r="P18" s="70" t="s">
        <v>309</v>
      </c>
      <c r="Q18" s="70" t="s">
        <v>335</v>
      </c>
      <c r="R18" s="70" t="s">
        <v>309</v>
      </c>
      <c r="S18" s="70" t="s">
        <v>311</v>
      </c>
      <c r="T18" s="70"/>
      <c r="U18" s="70"/>
      <c r="V18" s="70"/>
      <c r="W18" s="70"/>
      <c r="X18" s="70"/>
      <c r="Y18" s="70" t="s">
        <v>311</v>
      </c>
      <c r="Z18" s="70" t="s">
        <v>311</v>
      </c>
      <c r="AA18" s="70" t="s">
        <v>311</v>
      </c>
      <c r="AB18" s="70"/>
      <c r="AC18" s="70"/>
      <c r="AD18" s="70"/>
      <c r="AE18" s="70"/>
      <c r="AF18" s="70" t="s">
        <v>349</v>
      </c>
      <c r="AG18" s="70"/>
      <c r="AH18" s="70"/>
      <c r="AI18" s="70"/>
      <c r="AJ18" s="70"/>
      <c r="AK18" s="70"/>
      <c r="AL18" s="70"/>
      <c r="AM18" s="70" t="s">
        <v>314</v>
      </c>
      <c r="AN18" s="70" t="s">
        <v>335</v>
      </c>
      <c r="AO18" s="70" t="s">
        <v>311</v>
      </c>
      <c r="AP18" s="70" t="s">
        <v>362</v>
      </c>
      <c r="AQ18" s="70"/>
      <c r="AR18" s="70"/>
      <c r="AS18" s="70"/>
      <c r="AT18" s="70"/>
      <c r="AU18" s="70" t="s">
        <v>309</v>
      </c>
      <c r="AV18" s="70" t="s">
        <v>311</v>
      </c>
      <c r="AW18" s="70" t="s">
        <v>311</v>
      </c>
      <c r="AX18" s="70"/>
      <c r="AY18" s="70"/>
      <c r="AZ18" s="70"/>
      <c r="BA18" s="70"/>
      <c r="BB18" s="70" t="s">
        <v>314</v>
      </c>
      <c r="BC18" s="70" t="s">
        <v>309</v>
      </c>
      <c r="BD18" s="70" t="s">
        <v>378</v>
      </c>
      <c r="BE18" s="97"/>
      <c r="BF18" s="70" t="s">
        <v>309</v>
      </c>
      <c r="BG18" s="70"/>
      <c r="BH18" s="70" t="s">
        <v>311</v>
      </c>
      <c r="BI18" s="70"/>
      <c r="BJ18" s="70"/>
      <c r="BK18" s="70"/>
      <c r="BL18" s="70"/>
      <c r="BM18" s="70" t="s">
        <v>333</v>
      </c>
    </row>
    <row r="19" spans="1:65">
      <c r="A19" s="59">
        <v>9</v>
      </c>
      <c r="B19" s="67" t="s">
        <v>188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21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518</v>
      </c>
      <c r="O19" s="69" t="s">
        <v>311</v>
      </c>
      <c r="P19" s="69"/>
      <c r="Q19" s="69" t="s">
        <v>335</v>
      </c>
      <c r="R19" s="69"/>
      <c r="S19" s="69" t="s">
        <v>311</v>
      </c>
      <c r="T19" s="69" t="s">
        <v>344</v>
      </c>
      <c r="U19" s="69" t="s">
        <v>316</v>
      </c>
      <c r="V19" s="69"/>
      <c r="W19" s="69"/>
      <c r="X19" s="69" t="s">
        <v>347</v>
      </c>
      <c r="Y19" s="69"/>
      <c r="Z19" s="69"/>
      <c r="AA19" s="69"/>
      <c r="AB19" s="69"/>
      <c r="AC19" s="69"/>
      <c r="AD19" s="69" t="s">
        <v>520</v>
      </c>
      <c r="AE19" s="69"/>
      <c r="AF19" s="69"/>
      <c r="AG19" s="69" t="s">
        <v>339</v>
      </c>
      <c r="AH19" s="69" t="s">
        <v>311</v>
      </c>
      <c r="AI19" s="69"/>
      <c r="AJ19" s="69"/>
      <c r="AK19" s="69" t="s">
        <v>311</v>
      </c>
      <c r="AL19" s="69"/>
      <c r="AM19" s="69"/>
      <c r="AN19" s="69"/>
      <c r="AO19" s="69"/>
      <c r="AP19" s="69" t="s">
        <v>363</v>
      </c>
      <c r="AQ19" s="69" t="s">
        <v>321</v>
      </c>
      <c r="AR19" s="69" t="s">
        <v>330</v>
      </c>
      <c r="AS19" s="69"/>
      <c r="AT19" s="69"/>
      <c r="AU19" s="69" t="s">
        <v>309</v>
      </c>
      <c r="AV19" s="69"/>
      <c r="AW19" s="69"/>
      <c r="AX19" s="69"/>
      <c r="AY19" s="69" t="s">
        <v>527</v>
      </c>
      <c r="AZ19" s="69"/>
      <c r="BA19" s="69"/>
      <c r="BB19" s="69"/>
      <c r="BC19" s="69" t="s">
        <v>309</v>
      </c>
      <c r="BD19" s="69"/>
      <c r="BE19" s="69" t="s">
        <v>364</v>
      </c>
      <c r="BF19" s="69" t="s">
        <v>309</v>
      </c>
      <c r="BG19" s="69"/>
      <c r="BH19" s="69"/>
      <c r="BI19" s="69" t="s">
        <v>315</v>
      </c>
      <c r="BJ19" s="69" t="s">
        <v>344</v>
      </c>
      <c r="BK19" s="69"/>
      <c r="BL19" s="69"/>
      <c r="BM19" s="69"/>
    </row>
    <row r="20" spans="1:65">
      <c r="A20" s="61" t="s">
        <v>3</v>
      </c>
      <c r="B20" s="68" t="s">
        <v>146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309</v>
      </c>
      <c r="L20" s="70" t="s">
        <v>309</v>
      </c>
      <c r="M20" s="70" t="s">
        <v>350</v>
      </c>
      <c r="N20" s="70"/>
      <c r="O20" s="70"/>
      <c r="P20" s="70" t="s">
        <v>309</v>
      </c>
      <c r="Q20" s="70"/>
      <c r="R20" s="70" t="s">
        <v>309</v>
      </c>
      <c r="S20" s="70"/>
      <c r="T20" s="70"/>
      <c r="U20" s="70"/>
      <c r="V20" s="70" t="s">
        <v>309</v>
      </c>
      <c r="W20" s="70" t="s">
        <v>397</v>
      </c>
      <c r="X20" s="70"/>
      <c r="Y20" s="70" t="s">
        <v>311</v>
      </c>
      <c r="Z20" s="70" t="s">
        <v>311</v>
      </c>
      <c r="AA20" s="70" t="s">
        <v>311</v>
      </c>
      <c r="AB20" s="70" t="s">
        <v>309</v>
      </c>
      <c r="AC20" s="70" t="s">
        <v>311</v>
      </c>
      <c r="AD20" s="70"/>
      <c r="AE20" s="70" t="s">
        <v>311</v>
      </c>
      <c r="AF20" s="70" t="s">
        <v>349</v>
      </c>
      <c r="AG20" s="70"/>
      <c r="AH20" s="70"/>
      <c r="AI20" s="70" t="s">
        <v>464</v>
      </c>
      <c r="AJ20" s="70" t="s">
        <v>339</v>
      </c>
      <c r="AK20" s="70"/>
      <c r="AL20" s="70" t="s">
        <v>327</v>
      </c>
      <c r="AM20" s="70" t="s">
        <v>346</v>
      </c>
      <c r="AN20" s="70" t="s">
        <v>335</v>
      </c>
      <c r="AO20" s="70" t="s">
        <v>311</v>
      </c>
      <c r="AP20" s="70"/>
      <c r="AQ20" s="70"/>
      <c r="AR20" s="97"/>
      <c r="AS20" s="70" t="s">
        <v>328</v>
      </c>
      <c r="AT20" s="70" t="s">
        <v>336</v>
      </c>
      <c r="AU20" s="70"/>
      <c r="AV20" s="70" t="s">
        <v>311</v>
      </c>
      <c r="AW20" s="70" t="s">
        <v>311</v>
      </c>
      <c r="AX20" s="70" t="s">
        <v>450</v>
      </c>
      <c r="AY20" s="70"/>
      <c r="AZ20" s="70" t="s">
        <v>311</v>
      </c>
      <c r="BA20" s="70" t="s">
        <v>311</v>
      </c>
      <c r="BB20" s="70" t="s">
        <v>314</v>
      </c>
      <c r="BC20" s="70"/>
      <c r="BD20" s="70" t="s">
        <v>378</v>
      </c>
      <c r="BE20" s="97"/>
      <c r="BF20" s="70"/>
      <c r="BG20" s="70" t="s">
        <v>311</v>
      </c>
      <c r="BH20" s="70" t="s">
        <v>311</v>
      </c>
      <c r="BI20" s="70"/>
      <c r="BJ20" s="70"/>
      <c r="BK20" s="70" t="s">
        <v>309</v>
      </c>
      <c r="BL20" s="70" t="s">
        <v>311</v>
      </c>
      <c r="BM20" s="70" t="s">
        <v>334</v>
      </c>
    </row>
    <row r="21" spans="1:65">
      <c r="A21" s="59">
        <v>10</v>
      </c>
      <c r="B21" s="67" t="s">
        <v>241</v>
      </c>
      <c r="C21" s="65">
        <v>5.5</v>
      </c>
      <c r="D21" s="64">
        <v>31</v>
      </c>
      <c r="E21" s="64">
        <f>IF(ISBLANK($D21),"0",IF(($D22-$D21)&lt;($C22-$C21),1,0))</f>
        <v>0</v>
      </c>
      <c r="F21" s="64">
        <f t="shared" ca="1" si="1"/>
        <v>37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309</v>
      </c>
      <c r="M21" s="69" t="s">
        <v>350</v>
      </c>
      <c r="N21" s="69" t="s">
        <v>518</v>
      </c>
      <c r="O21" s="69" t="s">
        <v>311</v>
      </c>
      <c r="P21" s="69"/>
      <c r="Q21" s="69"/>
      <c r="R21" s="69" t="s">
        <v>309</v>
      </c>
      <c r="S21" s="69" t="s">
        <v>311</v>
      </c>
      <c r="T21" s="69"/>
      <c r="U21" s="69" t="s">
        <v>519</v>
      </c>
      <c r="V21" s="69" t="s">
        <v>309</v>
      </c>
      <c r="W21" s="69" t="s">
        <v>363</v>
      </c>
      <c r="X21" s="69" t="s">
        <v>510</v>
      </c>
      <c r="Y21" s="69" t="s">
        <v>311</v>
      </c>
      <c r="Z21" s="69" t="s">
        <v>311</v>
      </c>
      <c r="AA21" s="69" t="s">
        <v>311</v>
      </c>
      <c r="AB21" s="69" t="s">
        <v>309</v>
      </c>
      <c r="AC21" s="69" t="s">
        <v>311</v>
      </c>
      <c r="AD21" s="69"/>
      <c r="AE21" s="69" t="s">
        <v>311</v>
      </c>
      <c r="AF21" s="69" t="s">
        <v>349</v>
      </c>
      <c r="AG21" s="69"/>
      <c r="AH21" s="69" t="s">
        <v>311</v>
      </c>
      <c r="AI21" s="69" t="s">
        <v>321</v>
      </c>
      <c r="AJ21" s="69"/>
      <c r="AK21" s="69"/>
      <c r="AL21" s="69"/>
      <c r="AM21" s="69" t="s">
        <v>321</v>
      </c>
      <c r="AN21" s="69" t="s">
        <v>335</v>
      </c>
      <c r="AO21" s="69" t="s">
        <v>311</v>
      </c>
      <c r="AP21" s="69" t="s">
        <v>320</v>
      </c>
      <c r="AQ21" s="69" t="s">
        <v>490</v>
      </c>
      <c r="AR21" s="96"/>
      <c r="AS21" s="69" t="s">
        <v>336</v>
      </c>
      <c r="AT21" s="69" t="s">
        <v>336</v>
      </c>
      <c r="AU21" s="69"/>
      <c r="AV21" s="69" t="s">
        <v>311</v>
      </c>
      <c r="AW21" s="69" t="s">
        <v>311</v>
      </c>
      <c r="AX21" s="69" t="s">
        <v>526</v>
      </c>
      <c r="AY21" s="69" t="s">
        <v>528</v>
      </c>
      <c r="AZ21" s="69" t="s">
        <v>311</v>
      </c>
      <c r="BA21" s="69"/>
      <c r="BB21" s="69"/>
      <c r="BC21" s="69" t="s">
        <v>309</v>
      </c>
      <c r="BD21" s="69" t="s">
        <v>378</v>
      </c>
      <c r="BE21" s="96"/>
      <c r="BF21" s="69" t="s">
        <v>309</v>
      </c>
      <c r="BG21" s="69" t="s">
        <v>311</v>
      </c>
      <c r="BH21" s="69"/>
      <c r="BI21" s="69" t="s">
        <v>315</v>
      </c>
      <c r="BJ21" s="69"/>
      <c r="BK21" s="69"/>
      <c r="BL21" s="69" t="s">
        <v>311</v>
      </c>
      <c r="BM21" s="69"/>
    </row>
    <row r="22" spans="1:65">
      <c r="A22" s="61" t="s">
        <v>3</v>
      </c>
      <c r="B22" s="68" t="s">
        <v>202</v>
      </c>
      <c r="C22" s="66"/>
      <c r="D22" s="64">
        <v>30</v>
      </c>
      <c r="E22" s="64">
        <f>IF(ISBLANK($D22),"0",IF(($D22-$D21)&gt;($C22-$C21),1,0))</f>
        <v>1</v>
      </c>
      <c r="F22" s="64">
        <f t="shared" ca="1" si="1"/>
        <v>18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309</v>
      </c>
      <c r="L22" s="70"/>
      <c r="M22" s="70"/>
      <c r="N22" s="70"/>
      <c r="O22" s="70"/>
      <c r="P22" s="70" t="s">
        <v>309</v>
      </c>
      <c r="Q22" s="70" t="s">
        <v>335</v>
      </c>
      <c r="R22" s="70"/>
      <c r="S22" s="70"/>
      <c r="T22" s="70" t="s">
        <v>344</v>
      </c>
      <c r="U22" s="70"/>
      <c r="V22" s="70"/>
      <c r="W22" s="70"/>
      <c r="X22" s="70"/>
      <c r="Y22" s="70"/>
      <c r="Z22" s="70"/>
      <c r="AA22" s="70"/>
      <c r="AB22" s="70"/>
      <c r="AC22" s="70"/>
      <c r="AD22" s="70" t="s">
        <v>321</v>
      </c>
      <c r="AE22" s="70"/>
      <c r="AF22" s="70"/>
      <c r="AG22" s="70" t="s">
        <v>339</v>
      </c>
      <c r="AH22" s="70"/>
      <c r="AI22" s="70"/>
      <c r="AJ22" s="70" t="s">
        <v>339</v>
      </c>
      <c r="AK22" s="70" t="s">
        <v>311</v>
      </c>
      <c r="AL22" s="70" t="s">
        <v>327</v>
      </c>
      <c r="AM22" s="70"/>
      <c r="AN22" s="70"/>
      <c r="AO22" s="70"/>
      <c r="AP22" s="70"/>
      <c r="AQ22" s="70"/>
      <c r="AR22" s="70" t="s">
        <v>374</v>
      </c>
      <c r="AS22" s="70"/>
      <c r="AT22" s="70"/>
      <c r="AU22" s="70" t="s">
        <v>309</v>
      </c>
      <c r="AV22" s="70"/>
      <c r="AW22" s="70"/>
      <c r="AX22" s="70"/>
      <c r="AY22" s="70"/>
      <c r="AZ22" s="70"/>
      <c r="BA22" s="70" t="s">
        <v>311</v>
      </c>
      <c r="BB22" s="70" t="s">
        <v>314</v>
      </c>
      <c r="BC22" s="70"/>
      <c r="BD22" s="70"/>
      <c r="BE22" s="70" t="s">
        <v>364</v>
      </c>
      <c r="BF22" s="70"/>
      <c r="BG22" s="70"/>
      <c r="BH22" s="70" t="s">
        <v>311</v>
      </c>
      <c r="BI22" s="70"/>
      <c r="BJ22" s="70" t="s">
        <v>344</v>
      </c>
      <c r="BK22" s="70" t="s">
        <v>309</v>
      </c>
      <c r="BL22" s="70"/>
      <c r="BM22" s="70" t="s">
        <v>321</v>
      </c>
    </row>
    <row r="23" spans="1:65">
      <c r="A23" s="59"/>
      <c r="B23" s="67" t="str">
        <f>B21&amp; " - score"</f>
        <v>TCU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/>
      <c r="K23" s="78">
        <v>24</v>
      </c>
      <c r="L23" s="78">
        <v>34</v>
      </c>
      <c r="M23" s="78">
        <v>42</v>
      </c>
      <c r="N23" s="80">
        <v>51</v>
      </c>
      <c r="O23" s="78">
        <v>45</v>
      </c>
      <c r="P23" s="78">
        <v>45</v>
      </c>
      <c r="Q23" s="78">
        <v>7</v>
      </c>
      <c r="R23" s="78">
        <v>62</v>
      </c>
      <c r="S23" s="78">
        <v>38</v>
      </c>
      <c r="T23" s="78">
        <v>27</v>
      </c>
      <c r="U23" s="78">
        <v>30</v>
      </c>
      <c r="V23" s="78">
        <v>42</v>
      </c>
      <c r="W23" s="78">
        <v>56</v>
      </c>
      <c r="X23" s="78">
        <v>24</v>
      </c>
      <c r="Y23" s="78">
        <v>42</v>
      </c>
      <c r="Z23" s="78">
        <v>42</v>
      </c>
      <c r="AA23" s="78">
        <v>28</v>
      </c>
      <c r="AB23" s="78">
        <v>42</v>
      </c>
      <c r="AC23" s="78">
        <v>42</v>
      </c>
      <c r="AD23" s="78">
        <v>45</v>
      </c>
      <c r="AE23" s="78">
        <v>48</v>
      </c>
      <c r="AF23" s="78">
        <v>44</v>
      </c>
      <c r="AG23" s="78">
        <v>7</v>
      </c>
      <c r="AH23" s="78">
        <v>38</v>
      </c>
      <c r="AI23" s="78">
        <v>51</v>
      </c>
      <c r="AJ23" s="78">
        <v>26</v>
      </c>
      <c r="AK23" s="78">
        <v>34</v>
      </c>
      <c r="AL23" s="78">
        <v>20</v>
      </c>
      <c r="AM23" s="78">
        <v>32</v>
      </c>
      <c r="AN23" s="78">
        <v>42</v>
      </c>
      <c r="AO23" s="78">
        <v>48</v>
      </c>
      <c r="AP23" s="78">
        <v>42</v>
      </c>
      <c r="AQ23" s="78">
        <v>38</v>
      </c>
      <c r="AR23" s="78">
        <v>31</v>
      </c>
      <c r="AS23" s="78">
        <v>42</v>
      </c>
      <c r="AT23" s="78">
        <v>45</v>
      </c>
      <c r="AU23" s="78">
        <v>21</v>
      </c>
      <c r="AV23" s="78">
        <v>24</v>
      </c>
      <c r="AW23" s="78">
        <v>38</v>
      </c>
      <c r="AX23" s="78">
        <v>45</v>
      </c>
      <c r="AY23" s="78">
        <v>47</v>
      </c>
      <c r="AZ23" s="78">
        <v>21</v>
      </c>
      <c r="BA23" s="78">
        <v>20</v>
      </c>
      <c r="BB23" s="78">
        <v>17</v>
      </c>
      <c r="BC23" s="78">
        <v>57</v>
      </c>
      <c r="BD23" s="78">
        <v>45</v>
      </c>
      <c r="BE23" s="78">
        <v>44</v>
      </c>
      <c r="BF23" s="78">
        <v>45</v>
      </c>
      <c r="BG23" s="78">
        <v>44</v>
      </c>
      <c r="BH23" s="78">
        <v>38</v>
      </c>
      <c r="BI23" s="78">
        <v>49</v>
      </c>
      <c r="BJ23" s="78">
        <v>27</v>
      </c>
      <c r="BK23" s="78">
        <v>42</v>
      </c>
      <c r="BL23" s="78">
        <v>37</v>
      </c>
      <c r="BM23" s="78">
        <v>21</v>
      </c>
    </row>
    <row r="24" spans="1:65">
      <c r="A24" s="61"/>
      <c r="B24" s="68" t="str">
        <f>B22&amp; " - score"</f>
        <v>West Virginia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27</v>
      </c>
      <c r="L24" s="79">
        <v>24</v>
      </c>
      <c r="M24" s="79">
        <v>31</v>
      </c>
      <c r="N24" s="79">
        <v>28</v>
      </c>
      <c r="O24" s="79">
        <v>31</v>
      </c>
      <c r="P24" s="79">
        <v>40</v>
      </c>
      <c r="Q24" s="79">
        <v>24</v>
      </c>
      <c r="R24" s="79">
        <v>45</v>
      </c>
      <c r="S24" s="79">
        <v>31</v>
      </c>
      <c r="T24" s="79">
        <v>35</v>
      </c>
      <c r="U24" s="79">
        <v>20</v>
      </c>
      <c r="V24" s="79">
        <v>35</v>
      </c>
      <c r="W24" s="79">
        <v>35</v>
      </c>
      <c r="X24" s="79">
        <v>3</v>
      </c>
      <c r="Y24" s="79">
        <v>28</v>
      </c>
      <c r="Z24" s="79">
        <v>35</v>
      </c>
      <c r="AA24" s="79">
        <v>21</v>
      </c>
      <c r="AB24" s="79">
        <v>35</v>
      </c>
      <c r="AC24" s="79">
        <v>35</v>
      </c>
      <c r="AD24" s="79">
        <v>54</v>
      </c>
      <c r="AE24" s="79">
        <v>21</v>
      </c>
      <c r="AF24" s="79">
        <v>37</v>
      </c>
      <c r="AG24" s="79">
        <v>45</v>
      </c>
      <c r="AH24" s="79">
        <v>31</v>
      </c>
      <c r="AI24" s="79">
        <v>44</v>
      </c>
      <c r="AJ24" s="79">
        <v>33</v>
      </c>
      <c r="AK24" s="79">
        <v>31</v>
      </c>
      <c r="AL24" s="79">
        <v>26</v>
      </c>
      <c r="AM24" s="79">
        <v>24</v>
      </c>
      <c r="AN24" s="79">
        <v>35</v>
      </c>
      <c r="AO24" s="79">
        <v>35</v>
      </c>
      <c r="AP24" s="79">
        <v>20</v>
      </c>
      <c r="AQ24" s="79">
        <v>28</v>
      </c>
      <c r="AR24" s="79">
        <v>42</v>
      </c>
      <c r="AS24" s="79">
        <v>35</v>
      </c>
      <c r="AT24" s="79">
        <v>31</v>
      </c>
      <c r="AU24" s="79">
        <v>24</v>
      </c>
      <c r="AV24" s="79">
        <v>17</v>
      </c>
      <c r="AW24" s="79">
        <v>27</v>
      </c>
      <c r="AX24" s="79">
        <v>14</v>
      </c>
      <c r="AY24" s="79">
        <v>41</v>
      </c>
      <c r="AZ24" s="79">
        <v>7</v>
      </c>
      <c r="BA24" s="79">
        <v>19</v>
      </c>
      <c r="BB24" s="79">
        <v>14</v>
      </c>
      <c r="BC24" s="79">
        <v>25</v>
      </c>
      <c r="BD24" s="79">
        <v>35</v>
      </c>
      <c r="BE24" s="79">
        <v>48</v>
      </c>
      <c r="BF24" s="79">
        <v>35</v>
      </c>
      <c r="BG24" s="79">
        <v>30</v>
      </c>
      <c r="BH24" s="79">
        <v>45</v>
      </c>
      <c r="BI24" s="79">
        <v>41</v>
      </c>
      <c r="BJ24" s="79">
        <v>24</v>
      </c>
      <c r="BK24" s="79">
        <v>45</v>
      </c>
      <c r="BL24" s="79">
        <v>30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6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5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6</v>
      </c>
      <c r="Z25" s="36">
        <f t="shared" si="3"/>
        <v>6</v>
      </c>
      <c r="AA25" s="36">
        <f t="shared" si="3"/>
        <v>6</v>
      </c>
      <c r="AB25" s="36">
        <f t="shared" si="3"/>
        <v>5</v>
      </c>
      <c r="AC25" s="36">
        <f t="shared" si="3"/>
        <v>5</v>
      </c>
      <c r="AD25" s="36">
        <f t="shared" si="3"/>
        <v>6</v>
      </c>
      <c r="AE25" s="36">
        <f t="shared" si="3"/>
        <v>5</v>
      </c>
      <c r="AF25" s="36">
        <f t="shared" si="3"/>
        <v>2</v>
      </c>
      <c r="AG25" s="36">
        <f t="shared" si="3"/>
        <v>4</v>
      </c>
      <c r="AH25" s="36">
        <f t="shared" si="3"/>
        <v>3</v>
      </c>
      <c r="AI25" s="36">
        <f t="shared" si="3"/>
        <v>6</v>
      </c>
      <c r="AJ25" s="36">
        <f t="shared" si="3"/>
        <v>8</v>
      </c>
      <c r="AK25" s="36">
        <f t="shared" si="3"/>
        <v>6</v>
      </c>
      <c r="AL25" s="36">
        <f t="shared" si="3"/>
        <v>4</v>
      </c>
      <c r="AM25" s="36">
        <f t="shared" si="3"/>
        <v>4</v>
      </c>
      <c r="AN25" s="36">
        <f t="shared" si="3"/>
        <v>4</v>
      </c>
      <c r="AO25" s="36">
        <f t="shared" si="3"/>
        <v>5</v>
      </c>
      <c r="AP25" s="36">
        <f t="shared" si="3"/>
        <v>2</v>
      </c>
      <c r="AQ25" s="36">
        <f t="shared" si="3"/>
        <v>3</v>
      </c>
      <c r="AR25" s="36">
        <f t="shared" si="3"/>
        <v>5</v>
      </c>
      <c r="AS25" s="36">
        <f t="shared" si="3"/>
        <v>6</v>
      </c>
      <c r="AT25" s="36">
        <f t="shared" si="3"/>
        <v>5</v>
      </c>
      <c r="AU25" s="36">
        <f t="shared" si="3"/>
        <v>4</v>
      </c>
      <c r="AV25" s="36">
        <f t="shared" si="3"/>
        <v>6</v>
      </c>
      <c r="AW25" s="36">
        <f t="shared" si="3"/>
        <v>5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3</v>
      </c>
      <c r="BD25" s="36">
        <f t="shared" si="3"/>
        <v>5</v>
      </c>
      <c r="BE25" s="36">
        <f t="shared" si="3"/>
        <v>6</v>
      </c>
      <c r="BF25" s="36">
        <f t="shared" si="3"/>
        <v>3</v>
      </c>
      <c r="BG25" s="36">
        <f t="shared" si="3"/>
        <v>5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6</v>
      </c>
      <c r="BL25" s="36">
        <f t="shared" si="3"/>
        <v>3</v>
      </c>
      <c r="BM25" s="36">
        <f t="shared" si="3"/>
        <v>3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9</v>
      </c>
      <c r="M26" s="71">
        <f t="shared" si="4"/>
        <v>10</v>
      </c>
      <c r="N26" s="71">
        <f t="shared" si="4"/>
        <v>22</v>
      </c>
      <c r="O26" s="71">
        <f t="shared" si="4"/>
        <v>13</v>
      </c>
      <c r="P26" s="71">
        <f t="shared" si="4"/>
        <v>4</v>
      </c>
      <c r="Q26" s="71">
        <f t="shared" si="4"/>
        <v>18</v>
      </c>
      <c r="R26" s="71">
        <f t="shared" si="4"/>
        <v>16</v>
      </c>
      <c r="S26" s="71">
        <f t="shared" si="4"/>
        <v>6</v>
      </c>
      <c r="T26" s="71">
        <f t="shared" si="4"/>
        <v>9</v>
      </c>
      <c r="U26" s="71">
        <f t="shared" si="4"/>
        <v>9</v>
      </c>
      <c r="V26" s="71">
        <f t="shared" si="4"/>
        <v>6</v>
      </c>
      <c r="W26" s="71">
        <f t="shared" si="4"/>
        <v>20</v>
      </c>
      <c r="X26" s="71">
        <f t="shared" si="4"/>
        <v>20</v>
      </c>
      <c r="Y26" s="71">
        <f t="shared" si="4"/>
        <v>13</v>
      </c>
      <c r="Z26" s="71">
        <f t="shared" si="4"/>
        <v>6</v>
      </c>
      <c r="AA26" s="71">
        <f t="shared" si="4"/>
        <v>6</v>
      </c>
      <c r="AB26" s="71">
        <f t="shared" si="4"/>
        <v>6</v>
      </c>
      <c r="AC26" s="71">
        <f t="shared" si="4"/>
        <v>6</v>
      </c>
      <c r="AD26" s="71">
        <f t="shared" si="4"/>
        <v>10</v>
      </c>
      <c r="AE26" s="71">
        <f t="shared" si="4"/>
        <v>26</v>
      </c>
      <c r="AF26" s="71">
        <f t="shared" si="4"/>
        <v>6</v>
      </c>
      <c r="AG26" s="71">
        <f t="shared" si="4"/>
        <v>39</v>
      </c>
      <c r="AH26" s="71">
        <f t="shared" si="4"/>
        <v>6</v>
      </c>
      <c r="AI26" s="71">
        <f t="shared" si="4"/>
        <v>6</v>
      </c>
      <c r="AJ26" s="71">
        <f t="shared" si="4"/>
        <v>8</v>
      </c>
      <c r="AK26" s="71">
        <f t="shared" si="4"/>
        <v>2</v>
      </c>
      <c r="AL26" s="71">
        <f t="shared" si="4"/>
        <v>7</v>
      </c>
      <c r="AM26" s="71">
        <f t="shared" si="4"/>
        <v>7</v>
      </c>
      <c r="AN26" s="71">
        <f t="shared" si="4"/>
        <v>6</v>
      </c>
      <c r="AO26" s="71">
        <f t="shared" si="4"/>
        <v>12</v>
      </c>
      <c r="AP26" s="71">
        <f t="shared" si="4"/>
        <v>21</v>
      </c>
      <c r="AQ26" s="71">
        <f t="shared" si="4"/>
        <v>9</v>
      </c>
      <c r="AR26" s="71">
        <f t="shared" si="4"/>
        <v>12</v>
      </c>
      <c r="AS26" s="71">
        <f t="shared" si="4"/>
        <v>6</v>
      </c>
      <c r="AT26" s="71">
        <f t="shared" si="4"/>
        <v>13</v>
      </c>
      <c r="AU26" s="71">
        <f t="shared" si="4"/>
        <v>4</v>
      </c>
      <c r="AV26" s="71">
        <f t="shared" si="4"/>
        <v>6</v>
      </c>
      <c r="AW26" s="71">
        <f t="shared" si="4"/>
        <v>10</v>
      </c>
      <c r="AX26" s="71">
        <f t="shared" si="4"/>
        <v>30</v>
      </c>
      <c r="AY26" s="71">
        <f t="shared" si="4"/>
        <v>5</v>
      </c>
      <c r="AZ26" s="71">
        <f t="shared" si="4"/>
        <v>13</v>
      </c>
      <c r="BA26" s="71">
        <f t="shared" si="4"/>
        <v>0</v>
      </c>
      <c r="BB26" s="71">
        <f t="shared" si="4"/>
        <v>2</v>
      </c>
      <c r="BC26" s="71">
        <f t="shared" si="4"/>
        <v>31</v>
      </c>
      <c r="BD26" s="71">
        <f t="shared" si="4"/>
        <v>9</v>
      </c>
      <c r="BE26" s="71">
        <f t="shared" si="4"/>
        <v>5</v>
      </c>
      <c r="BF26" s="71">
        <f t="shared" si="4"/>
        <v>9</v>
      </c>
      <c r="BG26" s="71">
        <f t="shared" si="4"/>
        <v>13</v>
      </c>
      <c r="BH26" s="71">
        <f t="shared" si="4"/>
        <v>8</v>
      </c>
      <c r="BI26" s="71">
        <f t="shared" si="4"/>
        <v>7</v>
      </c>
      <c r="BJ26" s="71">
        <f t="shared" si="4"/>
        <v>2</v>
      </c>
      <c r="BK26" s="71">
        <f t="shared" si="4"/>
        <v>4</v>
      </c>
      <c r="BL26" s="71">
        <f t="shared" si="4"/>
        <v>6</v>
      </c>
      <c r="BM26" s="71">
        <f t="shared" si="4"/>
        <v>8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3</v>
      </c>
      <c r="M27" s="71">
        <f t="shared" si="5"/>
        <v>12</v>
      </c>
      <c r="N27" s="71">
        <f t="shared" si="5"/>
        <v>18</v>
      </c>
      <c r="O27" s="71">
        <f t="shared" si="5"/>
        <v>15</v>
      </c>
      <c r="P27" s="71">
        <f t="shared" si="5"/>
        <v>24</v>
      </c>
      <c r="Q27" s="71">
        <f t="shared" si="5"/>
        <v>30</v>
      </c>
      <c r="R27" s="71">
        <f t="shared" si="5"/>
        <v>46</v>
      </c>
      <c r="S27" s="71">
        <f t="shared" si="5"/>
        <v>8</v>
      </c>
      <c r="T27" s="71">
        <f t="shared" si="5"/>
        <v>1</v>
      </c>
      <c r="U27" s="71">
        <f t="shared" si="5"/>
        <v>11</v>
      </c>
      <c r="V27" s="71">
        <f t="shared" si="5"/>
        <v>16</v>
      </c>
      <c r="W27" s="71">
        <f t="shared" si="5"/>
        <v>30</v>
      </c>
      <c r="X27" s="71">
        <f t="shared" si="5"/>
        <v>34</v>
      </c>
      <c r="Y27" s="71">
        <f t="shared" si="5"/>
        <v>9</v>
      </c>
      <c r="Z27" s="71">
        <f t="shared" si="5"/>
        <v>16</v>
      </c>
      <c r="AA27" s="71">
        <f t="shared" si="5"/>
        <v>12</v>
      </c>
      <c r="AB27" s="71">
        <f t="shared" si="5"/>
        <v>16</v>
      </c>
      <c r="AC27" s="71">
        <f t="shared" si="5"/>
        <v>16</v>
      </c>
      <c r="AD27" s="71">
        <f t="shared" si="5"/>
        <v>38</v>
      </c>
      <c r="AE27" s="71">
        <f t="shared" si="5"/>
        <v>8</v>
      </c>
      <c r="AF27" s="71">
        <f t="shared" si="5"/>
        <v>20</v>
      </c>
      <c r="AG27" s="71">
        <f t="shared" si="5"/>
        <v>9</v>
      </c>
      <c r="AH27" s="71">
        <f t="shared" si="5"/>
        <v>8</v>
      </c>
      <c r="AI27" s="71">
        <f t="shared" si="5"/>
        <v>34</v>
      </c>
      <c r="AJ27" s="71">
        <f t="shared" si="5"/>
        <v>2</v>
      </c>
      <c r="AK27" s="71">
        <f t="shared" si="5"/>
        <v>4</v>
      </c>
      <c r="AL27" s="71">
        <f t="shared" si="5"/>
        <v>15</v>
      </c>
      <c r="AM27" s="71">
        <f t="shared" si="5"/>
        <v>5</v>
      </c>
      <c r="AN27" s="71">
        <f t="shared" si="5"/>
        <v>16</v>
      </c>
      <c r="AO27" s="71">
        <f t="shared" si="5"/>
        <v>22</v>
      </c>
      <c r="AP27" s="71">
        <f t="shared" si="5"/>
        <v>1</v>
      </c>
      <c r="AQ27" s="71">
        <f t="shared" si="5"/>
        <v>5</v>
      </c>
      <c r="AR27" s="71">
        <f t="shared" si="5"/>
        <v>12</v>
      </c>
      <c r="AS27" s="71">
        <f t="shared" si="5"/>
        <v>16</v>
      </c>
      <c r="AT27" s="71">
        <f t="shared" si="5"/>
        <v>15</v>
      </c>
      <c r="AU27" s="71">
        <f t="shared" si="5"/>
        <v>16</v>
      </c>
      <c r="AV27" s="71">
        <f t="shared" si="5"/>
        <v>20</v>
      </c>
      <c r="AW27" s="71">
        <f t="shared" si="5"/>
        <v>4</v>
      </c>
      <c r="AX27" s="71">
        <f t="shared" si="5"/>
        <v>2</v>
      </c>
      <c r="AY27" s="71">
        <f t="shared" si="5"/>
        <v>27</v>
      </c>
      <c r="AZ27" s="71">
        <f t="shared" si="5"/>
        <v>33</v>
      </c>
      <c r="BA27" s="71">
        <f t="shared" si="5"/>
        <v>22</v>
      </c>
      <c r="BB27" s="71">
        <f t="shared" si="5"/>
        <v>30</v>
      </c>
      <c r="BC27" s="71">
        <f t="shared" si="5"/>
        <v>21</v>
      </c>
      <c r="BD27" s="71">
        <f t="shared" si="5"/>
        <v>19</v>
      </c>
      <c r="BE27" s="71">
        <f t="shared" si="5"/>
        <v>31</v>
      </c>
      <c r="BF27" s="71">
        <f t="shared" si="5"/>
        <v>19</v>
      </c>
      <c r="BG27" s="71">
        <f t="shared" si="5"/>
        <v>13</v>
      </c>
      <c r="BH27" s="71">
        <f t="shared" si="5"/>
        <v>22</v>
      </c>
      <c r="BI27" s="71">
        <f t="shared" si="5"/>
        <v>29</v>
      </c>
      <c r="BJ27" s="71">
        <f t="shared" si="5"/>
        <v>10</v>
      </c>
      <c r="BK27" s="71">
        <f t="shared" si="5"/>
        <v>26</v>
      </c>
      <c r="BL27" s="71">
        <f t="shared" si="5"/>
        <v>6</v>
      </c>
      <c r="BM27" s="71">
        <f t="shared" si="5"/>
        <v>12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>
        <f t="shared" ca="1" si="6"/>
        <v>1</v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5</v>
      </c>
      <c r="M29" s="71">
        <f t="shared" si="7"/>
        <v>6</v>
      </c>
      <c r="N29" s="71">
        <f t="shared" si="7"/>
        <v>5</v>
      </c>
      <c r="O29" s="71">
        <f t="shared" si="7"/>
        <v>7</v>
      </c>
      <c r="P29" s="71">
        <f t="shared" si="7"/>
        <v>4</v>
      </c>
      <c r="Q29" s="71">
        <f t="shared" si="7"/>
        <v>2</v>
      </c>
      <c r="R29" s="71">
        <f t="shared" si="7"/>
        <v>5</v>
      </c>
      <c r="S29" s="71">
        <f t="shared" si="7"/>
        <v>5</v>
      </c>
      <c r="T29" s="71">
        <f t="shared" si="7"/>
        <v>5</v>
      </c>
      <c r="U29" s="71">
        <f t="shared" si="7"/>
        <v>8</v>
      </c>
      <c r="V29" s="71">
        <f t="shared" si="7"/>
        <v>4</v>
      </c>
      <c r="W29" s="71">
        <f t="shared" si="7"/>
        <v>5</v>
      </c>
      <c r="X29" s="71">
        <f t="shared" si="7"/>
        <v>7</v>
      </c>
      <c r="Y29" s="71">
        <f t="shared" si="7"/>
        <v>4</v>
      </c>
      <c r="Z29" s="71">
        <f t="shared" si="7"/>
        <v>4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6</v>
      </c>
      <c r="AE29" s="71">
        <f t="shared" si="7"/>
        <v>7</v>
      </c>
      <c r="AF29" s="71">
        <f t="shared" si="7"/>
        <v>4</v>
      </c>
      <c r="AG29" s="71">
        <f t="shared" si="7"/>
        <v>6</v>
      </c>
      <c r="AH29" s="71">
        <f t="shared" si="7"/>
        <v>5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4</v>
      </c>
      <c r="AM29" s="71">
        <f t="shared" si="7"/>
        <v>4</v>
      </c>
      <c r="AN29" s="71">
        <f t="shared" si="7"/>
        <v>4</v>
      </c>
      <c r="AO29" s="71">
        <f t="shared" si="7"/>
        <v>3</v>
      </c>
      <c r="AP29" s="71">
        <f t="shared" si="7"/>
        <v>4</v>
      </c>
      <c r="AQ29" s="71">
        <f t="shared" si="7"/>
        <v>5</v>
      </c>
      <c r="AR29" s="71">
        <f t="shared" si="7"/>
        <v>5</v>
      </c>
      <c r="AS29" s="71">
        <f t="shared" si="7"/>
        <v>6</v>
      </c>
      <c r="AT29" s="71">
        <f t="shared" si="7"/>
        <v>5</v>
      </c>
      <c r="AU29" s="71">
        <f t="shared" si="7"/>
        <v>4</v>
      </c>
      <c r="AV29" s="71">
        <f t="shared" si="7"/>
        <v>6</v>
      </c>
      <c r="AW29" s="71">
        <f t="shared" si="7"/>
        <v>5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3</v>
      </c>
      <c r="BB29" s="71">
        <f t="shared" si="7"/>
        <v>3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7</v>
      </c>
      <c r="BG29" s="71">
        <f t="shared" si="7"/>
        <v>5</v>
      </c>
      <c r="BH29" s="71">
        <f t="shared" si="7"/>
        <v>4</v>
      </c>
      <c r="BI29" s="71">
        <f t="shared" si="7"/>
        <v>5</v>
      </c>
      <c r="BJ29" s="71">
        <f t="shared" si="7"/>
        <v>8</v>
      </c>
      <c r="BK29" s="71">
        <f t="shared" si="7"/>
        <v>2</v>
      </c>
      <c r="BL29" s="71">
        <f t="shared" si="7"/>
        <v>5</v>
      </c>
      <c r="BM29" s="71">
        <f t="shared" si="7"/>
        <v>3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6</v>
      </c>
      <c r="N30" s="73">
        <f t="shared" si="8"/>
        <v>3</v>
      </c>
      <c r="O30" s="73">
        <f t="shared" si="8"/>
        <v>5</v>
      </c>
      <c r="P30" s="73">
        <f t="shared" si="8"/>
        <v>6</v>
      </c>
      <c r="Q30" s="73">
        <f t="shared" si="8"/>
        <v>2</v>
      </c>
      <c r="R30" s="73">
        <f t="shared" si="8"/>
        <v>5</v>
      </c>
      <c r="S30" s="73">
        <f t="shared" si="8"/>
        <v>5</v>
      </c>
      <c r="T30" s="73">
        <f t="shared" si="8"/>
        <v>7</v>
      </c>
      <c r="U30" s="73">
        <f t="shared" si="8"/>
        <v>8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4</v>
      </c>
      <c r="AA30" s="73">
        <f t="shared" si="8"/>
        <v>2</v>
      </c>
      <c r="AB30" s="73">
        <f t="shared" si="8"/>
        <v>5</v>
      </c>
      <c r="AC30" s="73">
        <f t="shared" si="8"/>
        <v>3</v>
      </c>
      <c r="AD30" s="73">
        <f t="shared" si="8"/>
        <v>8</v>
      </c>
      <c r="AE30" s="73">
        <f t="shared" si="8"/>
        <v>5</v>
      </c>
      <c r="AF30" s="73">
        <f t="shared" si="8"/>
        <v>4</v>
      </c>
      <c r="AG30" s="73">
        <f t="shared" si="8"/>
        <v>8</v>
      </c>
      <c r="AH30" s="73">
        <f t="shared" si="8"/>
        <v>5</v>
      </c>
      <c r="AI30" s="73">
        <f t="shared" si="8"/>
        <v>2</v>
      </c>
      <c r="AJ30" s="73">
        <f t="shared" si="8"/>
        <v>6</v>
      </c>
      <c r="AK30" s="73">
        <f t="shared" si="8"/>
        <v>10</v>
      </c>
      <c r="AL30" s="73">
        <f t="shared" si="8"/>
        <v>6</v>
      </c>
      <c r="AM30" s="73">
        <f t="shared" si="8"/>
        <v>2</v>
      </c>
      <c r="AN30" s="73">
        <f t="shared" si="8"/>
        <v>2</v>
      </c>
      <c r="AO30" s="73">
        <f t="shared" si="8"/>
        <v>3</v>
      </c>
      <c r="AP30" s="73">
        <f t="shared" si="8"/>
        <v>2</v>
      </c>
      <c r="AQ30" s="73">
        <f t="shared" si="8"/>
        <v>3</v>
      </c>
      <c r="AR30" s="73">
        <f t="shared" si="8"/>
        <v>5</v>
      </c>
      <c r="AS30" s="73">
        <f t="shared" si="8"/>
        <v>4</v>
      </c>
      <c r="AT30" s="73">
        <f t="shared" si="8"/>
        <v>5</v>
      </c>
      <c r="AU30" s="73">
        <f t="shared" si="8"/>
        <v>4</v>
      </c>
      <c r="AV30" s="73">
        <f t="shared" si="8"/>
        <v>4</v>
      </c>
      <c r="AW30" s="73">
        <f t="shared" si="8"/>
        <v>3</v>
      </c>
      <c r="AX30" s="73">
        <f t="shared" si="8"/>
        <v>5</v>
      </c>
      <c r="AY30" s="73">
        <f t="shared" si="8"/>
        <v>7</v>
      </c>
      <c r="AZ30" s="73">
        <f t="shared" si="8"/>
        <v>3</v>
      </c>
      <c r="BA30" s="73">
        <f t="shared" si="8"/>
        <v>3</v>
      </c>
      <c r="BB30" s="73">
        <f t="shared" si="8"/>
        <v>3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5</v>
      </c>
      <c r="BH30" s="73">
        <f t="shared" si="8"/>
        <v>6</v>
      </c>
      <c r="BI30" s="73">
        <f t="shared" si="8"/>
        <v>3</v>
      </c>
      <c r="BJ30" s="73">
        <f t="shared" si="8"/>
        <v>10</v>
      </c>
      <c r="BK30" s="73">
        <f t="shared" si="8"/>
        <v>4</v>
      </c>
      <c r="BL30" s="73">
        <f t="shared" si="8"/>
        <v>5</v>
      </c>
      <c r="BM30" s="73">
        <f t="shared" si="8"/>
        <v>3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5</v>
      </c>
      <c r="O31" s="71">
        <f t="shared" ca="1" si="9"/>
        <v>3</v>
      </c>
      <c r="P31" s="71">
        <f t="shared" ca="1" si="9"/>
        <v>4</v>
      </c>
      <c r="Q31" s="71">
        <f t="shared" ca="1" si="9"/>
        <v>6</v>
      </c>
      <c r="R31" s="71">
        <f t="shared" ca="1" si="9"/>
        <v>3</v>
      </c>
      <c r="S31" s="71">
        <f t="shared" ca="1" si="9"/>
        <v>5</v>
      </c>
      <c r="T31" s="71">
        <f t="shared" ca="1" si="9"/>
        <v>7</v>
      </c>
      <c r="U31" s="71">
        <f t="shared" ca="1" si="9"/>
        <v>4</v>
      </c>
      <c r="V31" s="71">
        <f t="shared" ca="1" si="9"/>
        <v>4</v>
      </c>
      <c r="W31" s="71">
        <f t="shared" ca="1" si="9"/>
        <v>1</v>
      </c>
      <c r="X31" s="71">
        <f t="shared" ca="1" si="9"/>
        <v>5</v>
      </c>
      <c r="Y31" s="71">
        <f t="shared" ca="1" si="9"/>
        <v>2</v>
      </c>
      <c r="Z31" s="71">
        <f t="shared" ca="1" si="9"/>
        <v>6</v>
      </c>
      <c r="AA31" s="71">
        <f t="shared" ca="1" si="9"/>
        <v>2</v>
      </c>
      <c r="AB31" s="71">
        <f t="shared" ca="1" si="9"/>
        <v>1</v>
      </c>
      <c r="AC31" s="71">
        <f t="shared" ca="1" si="9"/>
        <v>1</v>
      </c>
      <c r="AD31" s="71">
        <f t="shared" ca="1" si="9"/>
        <v>6</v>
      </c>
      <c r="AE31" s="71">
        <f t="shared" ca="1" si="9"/>
        <v>3</v>
      </c>
      <c r="AF31" s="71">
        <f t="shared" ca="1" si="9"/>
        <v>4</v>
      </c>
      <c r="AG31" s="71">
        <f t="shared" ca="1" si="9"/>
        <v>6</v>
      </c>
      <c r="AH31" s="71">
        <f t="shared" ca="1" si="9"/>
        <v>3</v>
      </c>
      <c r="AI31" s="71">
        <f t="shared" ca="1" si="9"/>
        <v>2</v>
      </c>
      <c r="AJ31" s="71">
        <f t="shared" ca="1" si="9"/>
        <v>2</v>
      </c>
      <c r="AK31" s="71">
        <f t="shared" ca="1" si="9"/>
        <v>6</v>
      </c>
      <c r="AL31" s="71">
        <f t="shared" ca="1" si="9"/>
        <v>6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4</v>
      </c>
      <c r="AQ31" s="71">
        <f t="shared" ca="1" si="9"/>
        <v>3</v>
      </c>
      <c r="AR31" s="71">
        <f t="shared" ca="1" si="9"/>
        <v>3</v>
      </c>
      <c r="AS31" s="71">
        <f t="shared" ca="1" si="9"/>
        <v>2</v>
      </c>
      <c r="AT31" s="71">
        <f t="shared" ca="1" si="9"/>
        <v>5</v>
      </c>
      <c r="AU31" s="71">
        <f t="shared" ca="1" si="9"/>
        <v>6</v>
      </c>
      <c r="AV31" s="71">
        <f t="shared" ca="1" si="9"/>
        <v>4</v>
      </c>
      <c r="AW31" s="71">
        <f t="shared" ca="1" si="9"/>
        <v>1</v>
      </c>
      <c r="AX31" s="71">
        <f t="shared" ca="1" si="9"/>
        <v>5</v>
      </c>
      <c r="AY31" s="71">
        <f t="shared" ca="1" si="9"/>
        <v>5</v>
      </c>
      <c r="AZ31" s="71">
        <f t="shared" ca="1" si="9"/>
        <v>3</v>
      </c>
      <c r="BA31" s="71">
        <f t="shared" ca="1" si="9"/>
        <v>3</v>
      </c>
      <c r="BB31" s="71">
        <f t="shared" ca="1" si="9"/>
        <v>5</v>
      </c>
      <c r="BC31" s="71">
        <f t="shared" ca="1" si="9"/>
        <v>3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5</v>
      </c>
      <c r="BH31" s="71">
        <f t="shared" ca="1" si="9"/>
        <v>6</v>
      </c>
      <c r="BI31" s="71">
        <f t="shared" ca="1" si="9"/>
        <v>3</v>
      </c>
      <c r="BJ31" s="71">
        <f t="shared" ca="1" si="9"/>
        <v>6</v>
      </c>
      <c r="BK31" s="71">
        <f t="shared" ca="1" si="9"/>
        <v>4</v>
      </c>
      <c r="BL31" s="71">
        <f t="shared" ca="1" si="9"/>
        <v>3</v>
      </c>
      <c r="BM31" s="71">
        <f t="shared" ca="1" si="9"/>
        <v>5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81983960</v>
      </c>
      <c r="L36" s="32">
        <f t="shared" ref="L36:BM36" si="12">COUNTA(L23:L24)*((10000000*L25)+(1000000*(COUNTA(L21)*$E21+COUNTA(L22)*$E22))-(COUNTA($D$21:$D$22)*1000*L26)-(COUNTA($D$21:$D$22)*L27))</f>
        <v>59963988</v>
      </c>
      <c r="M36" s="32">
        <f t="shared" si="12"/>
        <v>79959952</v>
      </c>
      <c r="N36" s="32">
        <f t="shared" si="12"/>
        <v>59911928</v>
      </c>
      <c r="O36" s="32">
        <f t="shared" si="12"/>
        <v>99947940</v>
      </c>
      <c r="P36" s="32">
        <f t="shared" si="12"/>
        <v>121983904</v>
      </c>
      <c r="Q36" s="32">
        <f t="shared" si="12"/>
        <v>81927880</v>
      </c>
      <c r="R36" s="32">
        <f t="shared" si="12"/>
        <v>99935816</v>
      </c>
      <c r="S36" s="32">
        <f t="shared" si="12"/>
        <v>59975968</v>
      </c>
      <c r="T36" s="32">
        <f t="shared" si="12"/>
        <v>101963996</v>
      </c>
      <c r="U36" s="32">
        <f t="shared" si="12"/>
        <v>79963956</v>
      </c>
      <c r="V36" s="32">
        <f t="shared" si="12"/>
        <v>119975936</v>
      </c>
      <c r="W36" s="32">
        <f t="shared" si="12"/>
        <v>99919880</v>
      </c>
      <c r="X36" s="32">
        <f t="shared" si="12"/>
        <v>59919864</v>
      </c>
      <c r="Y36" s="32">
        <f t="shared" si="12"/>
        <v>119947964</v>
      </c>
      <c r="Z36" s="32">
        <f t="shared" si="12"/>
        <v>119975936</v>
      </c>
      <c r="AA36" s="32">
        <f t="shared" si="12"/>
        <v>119975952</v>
      </c>
      <c r="AB36" s="32">
        <f t="shared" si="12"/>
        <v>99975936</v>
      </c>
      <c r="AC36" s="32">
        <f t="shared" si="12"/>
        <v>99975936</v>
      </c>
      <c r="AD36" s="32">
        <f t="shared" si="12"/>
        <v>121959848</v>
      </c>
      <c r="AE36" s="32">
        <f t="shared" si="12"/>
        <v>99895968</v>
      </c>
      <c r="AF36" s="32">
        <f t="shared" si="12"/>
        <v>39975920</v>
      </c>
      <c r="AG36" s="32">
        <f t="shared" si="12"/>
        <v>81843964</v>
      </c>
      <c r="AH36" s="32">
        <f t="shared" si="12"/>
        <v>59975968</v>
      </c>
      <c r="AI36" s="32">
        <f t="shared" si="12"/>
        <v>119975864</v>
      </c>
      <c r="AJ36" s="32">
        <f t="shared" si="12"/>
        <v>161967992</v>
      </c>
      <c r="AK36" s="32">
        <f t="shared" si="12"/>
        <v>121991984</v>
      </c>
      <c r="AL36" s="32">
        <f t="shared" si="12"/>
        <v>81971940</v>
      </c>
      <c r="AM36" s="32">
        <f t="shared" si="12"/>
        <v>79971980</v>
      </c>
      <c r="AN36" s="32">
        <f t="shared" si="12"/>
        <v>79975936</v>
      </c>
      <c r="AO36" s="32">
        <f t="shared" si="12"/>
        <v>99951912</v>
      </c>
      <c r="AP36" s="32">
        <f t="shared" si="12"/>
        <v>39915996</v>
      </c>
      <c r="AQ36" s="32">
        <f t="shared" si="12"/>
        <v>59963980</v>
      </c>
      <c r="AR36" s="32">
        <f t="shared" si="12"/>
        <v>101951952</v>
      </c>
      <c r="AS36" s="32">
        <f t="shared" si="12"/>
        <v>119975936</v>
      </c>
      <c r="AT36" s="32">
        <f t="shared" si="12"/>
        <v>99947940</v>
      </c>
      <c r="AU36" s="32">
        <f t="shared" si="12"/>
        <v>81983936</v>
      </c>
      <c r="AV36" s="32">
        <f t="shared" si="12"/>
        <v>119975920</v>
      </c>
      <c r="AW36" s="32">
        <f t="shared" si="12"/>
        <v>99959984</v>
      </c>
      <c r="AX36" s="32">
        <f t="shared" si="12"/>
        <v>59879992</v>
      </c>
      <c r="AY36" s="32">
        <f t="shared" si="12"/>
        <v>99979892</v>
      </c>
      <c r="AZ36" s="32">
        <f t="shared" si="12"/>
        <v>99947868</v>
      </c>
      <c r="BA36" s="32">
        <f t="shared" si="12"/>
        <v>101999912</v>
      </c>
      <c r="BB36" s="32">
        <f t="shared" si="12"/>
        <v>101991880</v>
      </c>
      <c r="BC36" s="32">
        <f t="shared" si="12"/>
        <v>59875916</v>
      </c>
      <c r="BD36" s="32">
        <f t="shared" si="12"/>
        <v>99963924</v>
      </c>
      <c r="BE36" s="32">
        <f t="shared" si="12"/>
        <v>121979876</v>
      </c>
      <c r="BF36" s="32">
        <f t="shared" si="12"/>
        <v>59963924</v>
      </c>
      <c r="BG36" s="32">
        <f t="shared" si="12"/>
        <v>99947948</v>
      </c>
      <c r="BH36" s="32">
        <f t="shared" si="12"/>
        <v>121967912</v>
      </c>
      <c r="BI36" s="32">
        <f t="shared" si="12"/>
        <v>99971884</v>
      </c>
      <c r="BJ36" s="32">
        <f t="shared" si="12"/>
        <v>121991960</v>
      </c>
      <c r="BK36" s="32">
        <f t="shared" si="12"/>
        <v>121983896</v>
      </c>
      <c r="BL36" s="32">
        <f t="shared" si="12"/>
        <v>59975976</v>
      </c>
      <c r="BM36" s="32">
        <f t="shared" si="12"/>
        <v>61967952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9" priority="9" stopIfTrue="1" operator="equal">
      <formula>0</formula>
    </cfRule>
  </conditionalFormatting>
  <conditionalFormatting sqref="D26:J28 K28:BE28">
    <cfRule type="cellIs" dxfId="98" priority="10" stopIfTrue="1" operator="equal">
      <formula>1</formula>
    </cfRule>
  </conditionalFormatting>
  <conditionalFormatting sqref="H3:I3 F23 H5:I5 H7:I7 H9:I9 H11:I11 H13:I13 H15:I15 H17:I17 H19:I19 H21:I21">
    <cfRule type="cellIs" dxfId="97" priority="11" stopIfTrue="1" operator="equal">
      <formula>0</formula>
    </cfRule>
  </conditionalFormatting>
  <conditionalFormatting sqref="H4:I4 F24 H6:I6 H8:I8 H10:I10 H12:I12 H14:I14 H16:I16 H18:I18 H20:I20 H22:I22">
    <cfRule type="cellIs" dxfId="96" priority="12" stopIfTrue="1" operator="equal">
      <formula>0</formula>
    </cfRule>
  </conditionalFormatting>
  <conditionalFormatting sqref="F3 F5 F7 F9 F11 F13 F15 F17 F19 F21">
    <cfRule type="cellIs" dxfId="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93" priority="15" stopIfTrue="1">
      <formula>AND(COUNTA(J4)=1,$E4=1,SUM($E3:$E4)=1)</formula>
    </cfRule>
    <cfRule type="expression" dxfId="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91" priority="17" stopIfTrue="1">
      <formula>AND(COUNTA(J3)=1,$E3=1,SUM($E3:$E4)=1)</formula>
    </cfRule>
    <cfRule type="expression" dxfId="90" priority="18" stopIfTrue="1">
      <formula>AND(COUNTA(J3)=1,$E3=0,SUM($E3:$E4)=1)</formula>
    </cfRule>
  </conditionalFormatting>
  <conditionalFormatting sqref="BF23:BM23">
    <cfRule type="cellIs" dxfId="89" priority="7" stopIfTrue="1" operator="equal">
      <formula>0</formula>
    </cfRule>
  </conditionalFormatting>
  <conditionalFormatting sqref="BF24:BM24">
    <cfRule type="cellIs" dxfId="88" priority="6" stopIfTrue="1" operator="equal">
      <formula>0</formula>
    </cfRule>
  </conditionalFormatting>
  <conditionalFormatting sqref="BF28:BM28">
    <cfRule type="cellIs" dxfId="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6" priority="3" stopIfTrue="1">
      <formula>AND(COUNTA(BF4)=1,$E4=1,SUM($E3:$E4)=1)</formula>
    </cfRule>
    <cfRule type="expression" dxfId="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84" priority="1" stopIfTrue="1">
      <formula>AND(COUNTA(BF3)=1,$E3=1,SUM($E3:$E4)=1)</formula>
    </cfRule>
    <cfRule type="expression" dxfId="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>
    <pageSetUpPr fitToPage="1"/>
  </sheetPr>
  <dimension ref="A1:BM58"/>
  <sheetViews>
    <sheetView zoomScale="90" zoomScaleNormal="100" zoomScaleSheetLayoutView="100" workbookViewId="0">
      <selection activeCell="AJ13" sqref="AJ13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199</v>
      </c>
      <c r="C3" s="65">
        <v>3.5</v>
      </c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31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 t="s">
        <v>320</v>
      </c>
      <c r="K3" s="69" t="s">
        <v>309</v>
      </c>
      <c r="L3" s="69"/>
      <c r="M3" s="69" t="s">
        <v>350</v>
      </c>
      <c r="N3" s="69" t="s">
        <v>529</v>
      </c>
      <c r="O3" s="69" t="s">
        <v>311</v>
      </c>
      <c r="P3" s="69"/>
      <c r="Q3" s="69" t="s">
        <v>335</v>
      </c>
      <c r="R3" s="69" t="s">
        <v>309</v>
      </c>
      <c r="S3" s="69"/>
      <c r="T3" s="69" t="s">
        <v>339</v>
      </c>
      <c r="U3" s="69" t="s">
        <v>309</v>
      </c>
      <c r="V3" s="69" t="s">
        <v>309</v>
      </c>
      <c r="W3" s="69"/>
      <c r="X3" s="69"/>
      <c r="Y3" s="69"/>
      <c r="Z3" s="69"/>
      <c r="AA3" s="69"/>
      <c r="AB3" s="69" t="s">
        <v>309</v>
      </c>
      <c r="AC3" s="69" t="s">
        <v>311</v>
      </c>
      <c r="AD3" s="69"/>
      <c r="AE3" s="69" t="s">
        <v>311</v>
      </c>
      <c r="AF3" s="69" t="s">
        <v>349</v>
      </c>
      <c r="AG3" s="69" t="s">
        <v>311</v>
      </c>
      <c r="AH3" s="69" t="s">
        <v>327</v>
      </c>
      <c r="AI3" s="69" t="s">
        <v>312</v>
      </c>
      <c r="AJ3" s="69" t="s">
        <v>329</v>
      </c>
      <c r="AK3" s="69"/>
      <c r="AL3" s="69"/>
      <c r="AM3" s="69"/>
      <c r="AN3" s="69"/>
      <c r="AO3" s="69" t="s">
        <v>311</v>
      </c>
      <c r="AP3" s="69"/>
      <c r="AQ3" s="69"/>
      <c r="AR3" s="96"/>
      <c r="AS3" s="69"/>
      <c r="AT3" s="69" t="s">
        <v>336</v>
      </c>
      <c r="AU3" s="69" t="s">
        <v>309</v>
      </c>
      <c r="AV3" s="69" t="s">
        <v>311</v>
      </c>
      <c r="AW3" s="69" t="s">
        <v>311</v>
      </c>
      <c r="AX3" s="69" t="s">
        <v>543</v>
      </c>
      <c r="AY3" s="69" t="s">
        <v>546</v>
      </c>
      <c r="AZ3" s="69" t="s">
        <v>311</v>
      </c>
      <c r="BA3" s="69"/>
      <c r="BB3" s="69" t="s">
        <v>314</v>
      </c>
      <c r="BC3" s="69" t="s">
        <v>309</v>
      </c>
      <c r="BD3" s="69" t="s">
        <v>378</v>
      </c>
      <c r="BE3" s="96"/>
      <c r="BF3" s="69"/>
      <c r="BG3" s="69"/>
      <c r="BH3" s="69" t="s">
        <v>311</v>
      </c>
      <c r="BI3" s="69"/>
      <c r="BJ3" s="69"/>
      <c r="BK3" s="69" t="s">
        <v>309</v>
      </c>
      <c r="BL3" s="69" t="s">
        <v>311</v>
      </c>
      <c r="BM3" s="69"/>
    </row>
    <row r="4" spans="1:65">
      <c r="A4" s="61" t="s">
        <v>3</v>
      </c>
      <c r="B4" s="68" t="s">
        <v>151</v>
      </c>
      <c r="C4" s="66"/>
      <c r="D4" s="64">
        <v>19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309</v>
      </c>
      <c r="M4" s="70"/>
      <c r="N4" s="70"/>
      <c r="O4" s="70"/>
      <c r="P4" s="70" t="s">
        <v>309</v>
      </c>
      <c r="Q4" s="70"/>
      <c r="R4" s="70"/>
      <c r="S4" s="70" t="s">
        <v>311</v>
      </c>
      <c r="T4" s="70"/>
      <c r="U4" s="70"/>
      <c r="V4" s="70"/>
      <c r="W4" s="70" t="s">
        <v>349</v>
      </c>
      <c r="X4" s="70" t="s">
        <v>350</v>
      </c>
      <c r="Y4" s="70" t="s">
        <v>311</v>
      </c>
      <c r="Z4" s="70" t="s">
        <v>311</v>
      </c>
      <c r="AA4" s="70" t="s">
        <v>311</v>
      </c>
      <c r="AB4" s="70"/>
      <c r="AC4" s="70"/>
      <c r="AD4" s="70" t="s">
        <v>345</v>
      </c>
      <c r="AE4" s="70"/>
      <c r="AF4" s="70"/>
      <c r="AG4" s="70"/>
      <c r="AH4" s="70"/>
      <c r="AI4" s="70"/>
      <c r="AJ4" s="70"/>
      <c r="AK4" s="70" t="s">
        <v>311</v>
      </c>
      <c r="AL4" s="70" t="s">
        <v>327</v>
      </c>
      <c r="AM4" s="70" t="s">
        <v>339</v>
      </c>
      <c r="AN4" s="70" t="s">
        <v>335</v>
      </c>
      <c r="AO4" s="70"/>
      <c r="AP4" s="70" t="s">
        <v>345</v>
      </c>
      <c r="AQ4" s="70" t="s">
        <v>311</v>
      </c>
      <c r="AR4" s="70" t="s">
        <v>309</v>
      </c>
      <c r="AS4" s="70" t="s">
        <v>312</v>
      </c>
      <c r="AT4" s="70"/>
      <c r="AU4" s="70"/>
      <c r="AV4" s="70"/>
      <c r="AW4" s="70"/>
      <c r="AX4" s="70"/>
      <c r="AY4" s="70"/>
      <c r="AZ4" s="70"/>
      <c r="BA4" s="70" t="s">
        <v>311</v>
      </c>
      <c r="BB4" s="70"/>
      <c r="BC4" s="70"/>
      <c r="BD4" s="70"/>
      <c r="BE4" s="70" t="s">
        <v>364</v>
      </c>
      <c r="BF4" s="70"/>
      <c r="BG4" s="70" t="s">
        <v>311</v>
      </c>
      <c r="BH4" s="70"/>
      <c r="BI4" s="70"/>
      <c r="BJ4" s="70" t="s">
        <v>375</v>
      </c>
      <c r="BK4" s="70"/>
      <c r="BL4" s="70"/>
      <c r="BM4" s="70" t="s">
        <v>328</v>
      </c>
    </row>
    <row r="5" spans="1:65">
      <c r="A5" s="59">
        <v>2</v>
      </c>
      <c r="B5" s="67" t="s">
        <v>205</v>
      </c>
      <c r="C5" s="65">
        <v>2.5</v>
      </c>
      <c r="D5" s="64">
        <v>14</v>
      </c>
      <c r="E5" s="64">
        <f>IF(ISBLANK($D5),"0",IF(($D6-$D5)&lt;($C6-$C5),1,0))</f>
        <v>0</v>
      </c>
      <c r="F5" s="64">
        <f t="shared" ca="1" si="1"/>
        <v>26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309</v>
      </c>
      <c r="L5" s="69"/>
      <c r="M5" s="69"/>
      <c r="N5" s="69" t="s">
        <v>530</v>
      </c>
      <c r="O5" s="69"/>
      <c r="P5" s="69" t="s">
        <v>309</v>
      </c>
      <c r="Q5" s="69"/>
      <c r="R5" s="69"/>
      <c r="S5" s="69"/>
      <c r="T5" s="69" t="s">
        <v>339</v>
      </c>
      <c r="U5" s="69" t="s">
        <v>309</v>
      </c>
      <c r="V5" s="69" t="s">
        <v>309</v>
      </c>
      <c r="W5" s="69" t="s">
        <v>318</v>
      </c>
      <c r="X5" s="69" t="s">
        <v>313</v>
      </c>
      <c r="Y5" s="69" t="s">
        <v>311</v>
      </c>
      <c r="Z5" s="69" t="s">
        <v>311</v>
      </c>
      <c r="AA5" s="69"/>
      <c r="AB5" s="69" t="s">
        <v>309</v>
      </c>
      <c r="AC5" s="69"/>
      <c r="AD5" s="69" t="s">
        <v>346</v>
      </c>
      <c r="AE5" s="69"/>
      <c r="AF5" s="69"/>
      <c r="AG5" s="69" t="s">
        <v>311</v>
      </c>
      <c r="AH5" s="69"/>
      <c r="AI5" s="69" t="s">
        <v>539</v>
      </c>
      <c r="AJ5" s="69" t="s">
        <v>329</v>
      </c>
      <c r="AK5" s="69"/>
      <c r="AL5" s="69"/>
      <c r="AM5" s="69" t="s">
        <v>339</v>
      </c>
      <c r="AN5" s="69"/>
      <c r="AO5" s="69"/>
      <c r="AP5" s="69"/>
      <c r="AQ5" s="69"/>
      <c r="AR5" s="96"/>
      <c r="AS5" s="69"/>
      <c r="AT5" s="69"/>
      <c r="AU5" s="69"/>
      <c r="AV5" s="69" t="s">
        <v>311</v>
      </c>
      <c r="AW5" s="69" t="s">
        <v>311</v>
      </c>
      <c r="AX5" s="69" t="s">
        <v>544</v>
      </c>
      <c r="AY5" s="69"/>
      <c r="AZ5" s="69"/>
      <c r="BA5" s="69" t="s">
        <v>311</v>
      </c>
      <c r="BB5" s="69"/>
      <c r="BC5" s="69" t="s">
        <v>309</v>
      </c>
      <c r="BD5" s="69" t="s">
        <v>378</v>
      </c>
      <c r="BE5" s="69" t="s">
        <v>364</v>
      </c>
      <c r="BF5" s="69"/>
      <c r="BG5" s="69"/>
      <c r="BH5" s="69" t="s">
        <v>311</v>
      </c>
      <c r="BI5" s="69"/>
      <c r="BJ5" s="69"/>
      <c r="BK5" s="69"/>
      <c r="BL5" s="69" t="s">
        <v>311</v>
      </c>
      <c r="BM5" s="69" t="s">
        <v>327</v>
      </c>
    </row>
    <row r="6" spans="1:65">
      <c r="A6" s="61" t="s">
        <v>3</v>
      </c>
      <c r="B6" s="68" t="s">
        <v>207</v>
      </c>
      <c r="C6" s="66"/>
      <c r="D6" s="64">
        <v>51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320</v>
      </c>
      <c r="K6" s="70"/>
      <c r="L6" s="70" t="s">
        <v>309</v>
      </c>
      <c r="M6" s="70" t="s">
        <v>350</v>
      </c>
      <c r="N6" s="70"/>
      <c r="O6" s="70" t="s">
        <v>311</v>
      </c>
      <c r="P6" s="70"/>
      <c r="Q6" s="70" t="s">
        <v>335</v>
      </c>
      <c r="R6" s="70" t="s">
        <v>309</v>
      </c>
      <c r="S6" s="70" t="s">
        <v>311</v>
      </c>
      <c r="T6" s="70"/>
      <c r="U6" s="70"/>
      <c r="V6" s="70"/>
      <c r="W6" s="70"/>
      <c r="X6" s="70"/>
      <c r="Y6" s="70"/>
      <c r="Z6" s="70"/>
      <c r="AA6" s="70" t="s">
        <v>311</v>
      </c>
      <c r="AB6" s="70"/>
      <c r="AC6" s="70" t="s">
        <v>311</v>
      </c>
      <c r="AD6" s="70"/>
      <c r="AE6" s="70" t="s">
        <v>311</v>
      </c>
      <c r="AF6" s="70" t="s">
        <v>349</v>
      </c>
      <c r="AG6" s="70"/>
      <c r="AH6" s="70" t="s">
        <v>351</v>
      </c>
      <c r="AI6" s="70"/>
      <c r="AJ6" s="70"/>
      <c r="AK6" s="70" t="s">
        <v>311</v>
      </c>
      <c r="AL6" s="70" t="s">
        <v>327</v>
      </c>
      <c r="AM6" s="70"/>
      <c r="AN6" s="70" t="s">
        <v>335</v>
      </c>
      <c r="AO6" s="70" t="s">
        <v>311</v>
      </c>
      <c r="AP6" s="70" t="s">
        <v>325</v>
      </c>
      <c r="AQ6" s="70" t="s">
        <v>311</v>
      </c>
      <c r="AR6" s="70" t="s">
        <v>309</v>
      </c>
      <c r="AS6" s="70" t="s">
        <v>329</v>
      </c>
      <c r="AT6" s="70" t="s">
        <v>336</v>
      </c>
      <c r="AU6" s="70" t="s">
        <v>309</v>
      </c>
      <c r="AV6" s="70"/>
      <c r="AW6" s="70"/>
      <c r="AX6" s="70"/>
      <c r="AY6" s="70" t="s">
        <v>547</v>
      </c>
      <c r="AZ6" s="70" t="s">
        <v>311</v>
      </c>
      <c r="BA6" s="70"/>
      <c r="BB6" s="70" t="s">
        <v>314</v>
      </c>
      <c r="BC6" s="70"/>
      <c r="BD6" s="70"/>
      <c r="BE6" s="97"/>
      <c r="BF6" s="70"/>
      <c r="BG6" s="70" t="s">
        <v>311</v>
      </c>
      <c r="BH6" s="70"/>
      <c r="BI6" s="70"/>
      <c r="BJ6" s="70" t="s">
        <v>340</v>
      </c>
      <c r="BK6" s="70" t="s">
        <v>309</v>
      </c>
      <c r="BL6" s="70"/>
      <c r="BM6" s="70"/>
    </row>
    <row r="7" spans="1:65">
      <c r="A7" s="59">
        <v>3</v>
      </c>
      <c r="B7" s="67" t="s">
        <v>147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 t="s">
        <v>320</v>
      </c>
      <c r="K7" s="69"/>
      <c r="L7" s="69"/>
      <c r="M7" s="69" t="s">
        <v>350</v>
      </c>
      <c r="N7" s="69"/>
      <c r="O7" s="69"/>
      <c r="P7" s="69" t="s">
        <v>309</v>
      </c>
      <c r="Q7" s="69"/>
      <c r="R7" s="96"/>
      <c r="S7" s="96" t="s">
        <v>311</v>
      </c>
      <c r="T7" s="96"/>
      <c r="U7" s="96" t="s">
        <v>309</v>
      </c>
      <c r="V7" s="69" t="s">
        <v>309</v>
      </c>
      <c r="W7" s="69" t="s">
        <v>320</v>
      </c>
      <c r="X7" s="69" t="s">
        <v>327</v>
      </c>
      <c r="Y7" s="69"/>
      <c r="Z7" s="69"/>
      <c r="AA7" s="69" t="s">
        <v>311</v>
      </c>
      <c r="AB7" s="69" t="s">
        <v>309</v>
      </c>
      <c r="AC7" s="69"/>
      <c r="AD7" s="69"/>
      <c r="AE7" s="69" t="s">
        <v>311</v>
      </c>
      <c r="AF7" s="69"/>
      <c r="AG7" s="69"/>
      <c r="AH7" s="69"/>
      <c r="AI7" s="69" t="s">
        <v>540</v>
      </c>
      <c r="AJ7" s="69"/>
      <c r="AK7" s="69" t="s">
        <v>311</v>
      </c>
      <c r="AL7" s="69"/>
      <c r="AM7" s="69" t="s">
        <v>339</v>
      </c>
      <c r="AN7" s="69" t="s">
        <v>335</v>
      </c>
      <c r="AO7" s="69" t="s">
        <v>311</v>
      </c>
      <c r="AP7" s="69" t="s">
        <v>313</v>
      </c>
      <c r="AQ7" s="69"/>
      <c r="AR7" s="96"/>
      <c r="AS7" s="69" t="s">
        <v>322</v>
      </c>
      <c r="AT7" s="69"/>
      <c r="AU7" s="69" t="s">
        <v>309</v>
      </c>
      <c r="AV7" s="69" t="s">
        <v>311</v>
      </c>
      <c r="AW7" s="69"/>
      <c r="AX7" s="69" t="s">
        <v>372</v>
      </c>
      <c r="AY7" s="69" t="s">
        <v>332</v>
      </c>
      <c r="AZ7" s="69" t="s">
        <v>311</v>
      </c>
      <c r="BA7" s="69" t="s">
        <v>311</v>
      </c>
      <c r="BB7" s="69" t="s">
        <v>314</v>
      </c>
      <c r="BC7" s="69"/>
      <c r="BD7" s="69" t="s">
        <v>378</v>
      </c>
      <c r="BE7" s="96"/>
      <c r="BF7" s="69"/>
      <c r="BG7" s="69" t="s">
        <v>311</v>
      </c>
      <c r="BH7" s="69" t="s">
        <v>311</v>
      </c>
      <c r="BI7" s="69"/>
      <c r="BJ7" s="69" t="s">
        <v>347</v>
      </c>
      <c r="BK7" s="69" t="s">
        <v>309</v>
      </c>
      <c r="BL7" s="69" t="s">
        <v>311</v>
      </c>
      <c r="BM7" s="69"/>
    </row>
    <row r="8" spans="1:65">
      <c r="A8" s="61" t="s">
        <v>3</v>
      </c>
      <c r="B8" s="68" t="s">
        <v>245</v>
      </c>
      <c r="C8" s="66">
        <v>1.5</v>
      </c>
      <c r="D8" s="64">
        <v>55</v>
      </c>
      <c r="E8" s="64">
        <f>IF(ISBLANK($D8),"0",IF(($D8-$D7)&gt;($C8-$C7),1,0))</f>
        <v>1</v>
      </c>
      <c r="F8" s="64">
        <f t="shared" ca="1" si="1"/>
        <v>23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309</v>
      </c>
      <c r="L8" s="70" t="s">
        <v>309</v>
      </c>
      <c r="M8" s="70"/>
      <c r="N8" s="70" t="s">
        <v>531</v>
      </c>
      <c r="O8" s="70" t="s">
        <v>311</v>
      </c>
      <c r="P8" s="70"/>
      <c r="Q8" s="70" t="s">
        <v>335</v>
      </c>
      <c r="R8" s="97" t="s">
        <v>309</v>
      </c>
      <c r="S8" s="97"/>
      <c r="T8" s="97" t="s">
        <v>339</v>
      </c>
      <c r="U8" s="70"/>
      <c r="V8" s="70"/>
      <c r="W8" s="70"/>
      <c r="X8" s="70"/>
      <c r="Y8" s="70" t="s">
        <v>311</v>
      </c>
      <c r="Z8" s="70" t="s">
        <v>311</v>
      </c>
      <c r="AA8" s="70"/>
      <c r="AB8" s="70"/>
      <c r="AC8" s="70" t="s">
        <v>311</v>
      </c>
      <c r="AD8" s="70" t="s">
        <v>337</v>
      </c>
      <c r="AE8" s="70"/>
      <c r="AF8" s="70" t="s">
        <v>349</v>
      </c>
      <c r="AG8" s="70" t="s">
        <v>311</v>
      </c>
      <c r="AH8" s="70" t="s">
        <v>323</v>
      </c>
      <c r="AI8" s="70"/>
      <c r="AJ8" s="70" t="s">
        <v>329</v>
      </c>
      <c r="AK8" s="70"/>
      <c r="AL8" s="70" t="s">
        <v>327</v>
      </c>
      <c r="AM8" s="70"/>
      <c r="AN8" s="70"/>
      <c r="AO8" s="70"/>
      <c r="AP8" s="70"/>
      <c r="AQ8" s="70" t="s">
        <v>311</v>
      </c>
      <c r="AR8" s="70" t="s">
        <v>309</v>
      </c>
      <c r="AS8" s="70"/>
      <c r="AT8" s="70" t="s">
        <v>336</v>
      </c>
      <c r="AU8" s="70"/>
      <c r="AV8" s="70"/>
      <c r="AW8" s="70" t="s">
        <v>311</v>
      </c>
      <c r="AX8" s="70"/>
      <c r="AY8" s="70"/>
      <c r="AZ8" s="70"/>
      <c r="BA8" s="70"/>
      <c r="BB8" s="70"/>
      <c r="BC8" s="70" t="s">
        <v>309</v>
      </c>
      <c r="BD8" s="70"/>
      <c r="BE8" s="70" t="s">
        <v>364</v>
      </c>
      <c r="BF8" s="70"/>
      <c r="BG8" s="70"/>
      <c r="BH8" s="70"/>
      <c r="BI8" s="70"/>
      <c r="BJ8" s="70"/>
      <c r="BK8" s="70"/>
      <c r="BL8" s="70"/>
      <c r="BM8" s="70" t="s">
        <v>329</v>
      </c>
    </row>
    <row r="9" spans="1:65">
      <c r="A9" s="59">
        <v>4</v>
      </c>
      <c r="B9" s="108" t="s">
        <v>158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311</v>
      </c>
      <c r="P9" s="69"/>
      <c r="Q9" s="69"/>
      <c r="R9" s="96"/>
      <c r="S9" s="96" t="s">
        <v>311</v>
      </c>
      <c r="T9" s="96"/>
      <c r="U9" s="69" t="s">
        <v>309</v>
      </c>
      <c r="V9" s="69"/>
      <c r="W9" s="69" t="s">
        <v>315</v>
      </c>
      <c r="X9" s="69" t="s">
        <v>325</v>
      </c>
      <c r="Y9" s="69"/>
      <c r="Z9" s="69"/>
      <c r="AA9" s="69"/>
      <c r="AB9" s="69"/>
      <c r="AC9" s="69" t="s">
        <v>311</v>
      </c>
      <c r="AD9" s="69"/>
      <c r="AE9" s="69"/>
      <c r="AF9" s="69" t="s">
        <v>349</v>
      </c>
      <c r="AG9" s="69"/>
      <c r="AH9" s="69"/>
      <c r="AI9" s="69"/>
      <c r="AJ9" s="69"/>
      <c r="AK9" s="69" t="s">
        <v>311</v>
      </c>
      <c r="AL9" s="69" t="s">
        <v>327</v>
      </c>
      <c r="AM9" s="69"/>
      <c r="AN9" s="69"/>
      <c r="AO9" s="69"/>
      <c r="AP9" s="69" t="s">
        <v>313</v>
      </c>
      <c r="AQ9" s="69" t="s">
        <v>311</v>
      </c>
      <c r="AR9" s="96" t="s">
        <v>309</v>
      </c>
      <c r="AS9" s="69" t="s">
        <v>333</v>
      </c>
      <c r="AT9" s="69"/>
      <c r="AU9" s="69"/>
      <c r="AV9" s="69"/>
      <c r="AW9" s="69" t="s">
        <v>311</v>
      </c>
      <c r="AX9" s="69"/>
      <c r="AY9" s="69"/>
      <c r="AZ9" s="69"/>
      <c r="BA9" s="69"/>
      <c r="BB9" s="69"/>
      <c r="BC9" s="69"/>
      <c r="BD9" s="69"/>
      <c r="BE9" s="96"/>
      <c r="BF9" s="69"/>
      <c r="BG9" s="69" t="s">
        <v>311</v>
      </c>
      <c r="BH9" s="69" t="s">
        <v>311</v>
      </c>
      <c r="BI9" s="69"/>
      <c r="BJ9" s="69" t="s">
        <v>313</v>
      </c>
      <c r="BK9" s="69" t="s">
        <v>309</v>
      </c>
      <c r="BL9" s="69"/>
      <c r="BM9" s="69" t="s">
        <v>330</v>
      </c>
    </row>
    <row r="10" spans="1:65">
      <c r="A10" s="61" t="s">
        <v>3</v>
      </c>
      <c r="B10" s="68" t="s">
        <v>241</v>
      </c>
      <c r="C10" s="66">
        <v>5.5</v>
      </c>
      <c r="D10" s="64">
        <v>41</v>
      </c>
      <c r="E10" s="64">
        <f>IF(ISBLANK($D10),"0",IF(($D10-$D9)&gt;($C10-$C9),1,0))</f>
        <v>1</v>
      </c>
      <c r="F10" s="64">
        <f t="shared" ca="1" si="1"/>
        <v>34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320</v>
      </c>
      <c r="K10" s="70" t="s">
        <v>309</v>
      </c>
      <c r="L10" s="70" t="s">
        <v>309</v>
      </c>
      <c r="M10" s="70" t="s">
        <v>350</v>
      </c>
      <c r="N10" s="70" t="s">
        <v>332</v>
      </c>
      <c r="O10" s="70"/>
      <c r="P10" s="70" t="s">
        <v>309</v>
      </c>
      <c r="Q10" s="70" t="s">
        <v>335</v>
      </c>
      <c r="R10" s="97" t="s">
        <v>309</v>
      </c>
      <c r="S10" s="97"/>
      <c r="T10" s="97" t="s">
        <v>339</v>
      </c>
      <c r="U10" s="70"/>
      <c r="V10" s="70" t="s">
        <v>309</v>
      </c>
      <c r="W10" s="70"/>
      <c r="X10" s="70"/>
      <c r="Y10" s="70" t="s">
        <v>311</v>
      </c>
      <c r="Z10" s="70" t="s">
        <v>311</v>
      </c>
      <c r="AA10" s="70" t="s">
        <v>311</v>
      </c>
      <c r="AB10" s="70" t="s">
        <v>309</v>
      </c>
      <c r="AC10" s="70"/>
      <c r="AD10" s="70" t="s">
        <v>319</v>
      </c>
      <c r="AE10" s="70" t="s">
        <v>311</v>
      </c>
      <c r="AF10" s="70"/>
      <c r="AG10" s="70" t="s">
        <v>311</v>
      </c>
      <c r="AH10" s="70" t="s">
        <v>337</v>
      </c>
      <c r="AI10" s="70" t="s">
        <v>541</v>
      </c>
      <c r="AJ10" s="70" t="s">
        <v>329</v>
      </c>
      <c r="AK10" s="70"/>
      <c r="AL10" s="70"/>
      <c r="AM10" s="70" t="s">
        <v>339</v>
      </c>
      <c r="AN10" s="70" t="s">
        <v>335</v>
      </c>
      <c r="AO10" s="70" t="s">
        <v>311</v>
      </c>
      <c r="AP10" s="70"/>
      <c r="AQ10" s="70"/>
      <c r="AR10" s="70"/>
      <c r="AS10" s="70"/>
      <c r="AT10" s="70" t="s">
        <v>336</v>
      </c>
      <c r="AU10" s="70" t="s">
        <v>309</v>
      </c>
      <c r="AV10" s="70" t="s">
        <v>311</v>
      </c>
      <c r="AW10" s="70"/>
      <c r="AX10" s="70" t="s">
        <v>356</v>
      </c>
      <c r="AY10" s="70" t="s">
        <v>351</v>
      </c>
      <c r="AZ10" s="70" t="s">
        <v>311</v>
      </c>
      <c r="BA10" s="70" t="s">
        <v>311</v>
      </c>
      <c r="BB10" s="70" t="s">
        <v>314</v>
      </c>
      <c r="BC10" s="70" t="s">
        <v>309</v>
      </c>
      <c r="BD10" s="70" t="s">
        <v>378</v>
      </c>
      <c r="BE10" s="70" t="s">
        <v>364</v>
      </c>
      <c r="BF10" s="70"/>
      <c r="BG10" s="70"/>
      <c r="BH10" s="70"/>
      <c r="BI10" s="70"/>
      <c r="BJ10" s="70"/>
      <c r="BK10" s="70"/>
      <c r="BL10" s="70" t="s">
        <v>311</v>
      </c>
      <c r="BM10" s="70"/>
    </row>
    <row r="11" spans="1:65">
      <c r="A11" s="59">
        <v>5</v>
      </c>
      <c r="B11" s="67" t="s">
        <v>166</v>
      </c>
      <c r="C11" s="65">
        <v>6.5</v>
      </c>
      <c r="D11" s="64">
        <v>20</v>
      </c>
      <c r="E11" s="64">
        <f>IF(ISBLANK($D11),"0",IF(($D12-$D11)&lt;($C12-$C11),1,0))</f>
        <v>1</v>
      </c>
      <c r="F11" s="64">
        <f t="shared" ca="1" si="1"/>
        <v>31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309</v>
      </c>
      <c r="M11" s="69"/>
      <c r="N11" s="69" t="s">
        <v>317</v>
      </c>
      <c r="O11" s="69" t="s">
        <v>311</v>
      </c>
      <c r="P11" s="69"/>
      <c r="Q11" s="69" t="s">
        <v>335</v>
      </c>
      <c r="R11" s="96" t="s">
        <v>309</v>
      </c>
      <c r="S11" s="96" t="s">
        <v>311</v>
      </c>
      <c r="T11" s="96" t="s">
        <v>339</v>
      </c>
      <c r="U11" s="69" t="s">
        <v>309</v>
      </c>
      <c r="V11" s="69"/>
      <c r="W11" s="69" t="s">
        <v>328</v>
      </c>
      <c r="X11" s="69" t="s">
        <v>313</v>
      </c>
      <c r="Y11" s="69" t="s">
        <v>311</v>
      </c>
      <c r="Z11" s="69" t="s">
        <v>311</v>
      </c>
      <c r="AA11" s="69" t="s">
        <v>311</v>
      </c>
      <c r="AB11" s="69" t="s">
        <v>309</v>
      </c>
      <c r="AC11" s="69" t="s">
        <v>311</v>
      </c>
      <c r="AD11" s="69" t="s">
        <v>338</v>
      </c>
      <c r="AE11" s="69" t="s">
        <v>311</v>
      </c>
      <c r="AF11" s="69" t="s">
        <v>349</v>
      </c>
      <c r="AG11" s="69"/>
      <c r="AH11" s="69" t="s">
        <v>537</v>
      </c>
      <c r="AI11" s="69" t="s">
        <v>542</v>
      </c>
      <c r="AJ11" s="69" t="s">
        <v>329</v>
      </c>
      <c r="AK11" s="69"/>
      <c r="AL11" s="69" t="s">
        <v>327</v>
      </c>
      <c r="AM11" s="69" t="s">
        <v>339</v>
      </c>
      <c r="AN11" s="69"/>
      <c r="AO11" s="69" t="s">
        <v>311</v>
      </c>
      <c r="AP11" s="69"/>
      <c r="AQ11" s="69"/>
      <c r="AR11" s="69"/>
      <c r="AS11" s="69" t="s">
        <v>327</v>
      </c>
      <c r="AT11" s="69"/>
      <c r="AU11" s="69" t="s">
        <v>309</v>
      </c>
      <c r="AV11" s="69"/>
      <c r="AW11" s="69" t="s">
        <v>311</v>
      </c>
      <c r="AX11" s="69"/>
      <c r="AY11" s="69"/>
      <c r="AZ11" s="69"/>
      <c r="BA11" s="69" t="s">
        <v>311</v>
      </c>
      <c r="BB11" s="69"/>
      <c r="BC11" s="69" t="s">
        <v>309</v>
      </c>
      <c r="BD11" s="69"/>
      <c r="BE11" s="96"/>
      <c r="BF11" s="69"/>
      <c r="BG11" s="69"/>
      <c r="BH11" s="69"/>
      <c r="BI11" s="69"/>
      <c r="BJ11" s="69"/>
      <c r="BK11" s="69" t="s">
        <v>309</v>
      </c>
      <c r="BL11" s="69"/>
      <c r="BM11" s="69" t="s">
        <v>331</v>
      </c>
    </row>
    <row r="12" spans="1:65">
      <c r="A12" s="61" t="s">
        <v>3</v>
      </c>
      <c r="B12" s="68" t="s">
        <v>144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22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320</v>
      </c>
      <c r="K12" s="70" t="s">
        <v>309</v>
      </c>
      <c r="L12" s="70"/>
      <c r="M12" s="70" t="s">
        <v>350</v>
      </c>
      <c r="N12" s="70"/>
      <c r="O12" s="70"/>
      <c r="P12" s="70" t="s">
        <v>309</v>
      </c>
      <c r="Q12" s="70"/>
      <c r="R12" s="97"/>
      <c r="S12" s="97"/>
      <c r="T12" s="97"/>
      <c r="U12" s="70"/>
      <c r="V12" s="70" t="s">
        <v>309</v>
      </c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 t="s">
        <v>311</v>
      </c>
      <c r="AH12" s="70"/>
      <c r="AI12" s="70"/>
      <c r="AJ12" s="70"/>
      <c r="AK12" s="70" t="s">
        <v>311</v>
      </c>
      <c r="AL12" s="70"/>
      <c r="AM12" s="70"/>
      <c r="AN12" s="70" t="s">
        <v>335</v>
      </c>
      <c r="AO12" s="70"/>
      <c r="AP12" s="70" t="s">
        <v>332</v>
      </c>
      <c r="AQ12" s="70" t="s">
        <v>311</v>
      </c>
      <c r="AR12" s="97" t="s">
        <v>309</v>
      </c>
      <c r="AS12" s="70"/>
      <c r="AT12" s="70" t="s">
        <v>336</v>
      </c>
      <c r="AU12" s="70"/>
      <c r="AV12" s="70" t="s">
        <v>311</v>
      </c>
      <c r="AW12" s="70"/>
      <c r="AX12" s="70" t="s">
        <v>361</v>
      </c>
      <c r="AY12" s="70" t="s">
        <v>313</v>
      </c>
      <c r="AZ12" s="70" t="s">
        <v>311</v>
      </c>
      <c r="BA12" s="70"/>
      <c r="BB12" s="70" t="s">
        <v>314</v>
      </c>
      <c r="BC12" s="70"/>
      <c r="BD12" s="70" t="s">
        <v>378</v>
      </c>
      <c r="BE12" s="70" t="s">
        <v>364</v>
      </c>
      <c r="BF12" s="70"/>
      <c r="BG12" s="70" t="s">
        <v>311</v>
      </c>
      <c r="BH12" s="70" t="s">
        <v>311</v>
      </c>
      <c r="BI12" s="70"/>
      <c r="BJ12" s="70" t="s">
        <v>325</v>
      </c>
      <c r="BK12" s="70"/>
      <c r="BL12" s="70" t="s">
        <v>311</v>
      </c>
      <c r="BM12" s="70"/>
    </row>
    <row r="13" spans="1:65">
      <c r="A13" s="59">
        <v>6</v>
      </c>
      <c r="B13" s="67" t="s">
        <v>168</v>
      </c>
      <c r="C13" s="65">
        <v>9.5</v>
      </c>
      <c r="D13" s="64">
        <v>51</v>
      </c>
      <c r="E13" s="64">
        <f>IF(ISBLANK($D13),"0",IF(($D14-$D13)&lt;($C14-$C13),1,0))</f>
        <v>1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/>
      <c r="M13" s="69" t="s">
        <v>350</v>
      </c>
      <c r="N13" s="69" t="s">
        <v>532</v>
      </c>
      <c r="O13" s="69" t="s">
        <v>311</v>
      </c>
      <c r="P13" s="69" t="s">
        <v>309</v>
      </c>
      <c r="Q13" s="69" t="s">
        <v>335</v>
      </c>
      <c r="R13" s="96" t="s">
        <v>309</v>
      </c>
      <c r="S13" s="96" t="s">
        <v>311</v>
      </c>
      <c r="T13" s="96"/>
      <c r="U13" s="69" t="s">
        <v>309</v>
      </c>
      <c r="V13" s="69" t="s">
        <v>309</v>
      </c>
      <c r="W13" s="69" t="s">
        <v>318</v>
      </c>
      <c r="X13" s="69" t="s">
        <v>327</v>
      </c>
      <c r="Y13" s="69" t="s">
        <v>311</v>
      </c>
      <c r="Z13" s="69" t="s">
        <v>311</v>
      </c>
      <c r="AA13" s="69" t="s">
        <v>311</v>
      </c>
      <c r="AB13" s="69" t="s">
        <v>309</v>
      </c>
      <c r="AC13" s="69" t="s">
        <v>311</v>
      </c>
      <c r="AD13" s="69"/>
      <c r="AE13" s="69"/>
      <c r="AF13" s="69"/>
      <c r="AG13" s="69" t="s">
        <v>311</v>
      </c>
      <c r="AH13" s="69"/>
      <c r="AI13" s="69" t="s">
        <v>314</v>
      </c>
      <c r="AJ13" s="69" t="s">
        <v>329</v>
      </c>
      <c r="AK13" s="69"/>
      <c r="AL13" s="69" t="s">
        <v>327</v>
      </c>
      <c r="AM13" s="69"/>
      <c r="AN13" s="69" t="s">
        <v>335</v>
      </c>
      <c r="AO13" s="69" t="s">
        <v>311</v>
      </c>
      <c r="AP13" s="69"/>
      <c r="AQ13" s="69" t="s">
        <v>311</v>
      </c>
      <c r="AR13" s="96" t="s">
        <v>309</v>
      </c>
      <c r="AS13" s="69" t="s">
        <v>332</v>
      </c>
      <c r="AT13" s="69"/>
      <c r="AU13" s="69" t="s">
        <v>309</v>
      </c>
      <c r="AV13" s="69"/>
      <c r="AW13" s="69" t="s">
        <v>311</v>
      </c>
      <c r="AX13" s="69" t="s">
        <v>349</v>
      </c>
      <c r="AY13" s="69" t="s">
        <v>325</v>
      </c>
      <c r="AZ13" s="69" t="s">
        <v>311</v>
      </c>
      <c r="BA13" s="69" t="s">
        <v>311</v>
      </c>
      <c r="BB13" s="69" t="s">
        <v>314</v>
      </c>
      <c r="BC13" s="69"/>
      <c r="BD13" s="69" t="s">
        <v>378</v>
      </c>
      <c r="BE13" s="96"/>
      <c r="BF13" s="69"/>
      <c r="BG13" s="69"/>
      <c r="BH13" s="69" t="s">
        <v>311</v>
      </c>
      <c r="BI13" s="69"/>
      <c r="BJ13" s="69"/>
      <c r="BK13" s="69" t="s">
        <v>309</v>
      </c>
      <c r="BL13" s="69"/>
      <c r="BM13" s="69" t="s">
        <v>332</v>
      </c>
    </row>
    <row r="14" spans="1:65">
      <c r="A14" s="61" t="s">
        <v>3</v>
      </c>
      <c r="B14" s="68" t="s">
        <v>243</v>
      </c>
      <c r="C14" s="66"/>
      <c r="D14" s="64">
        <v>27</v>
      </c>
      <c r="E14" s="64">
        <f>IF(ISBLANK($D14),"0",IF(($D14-$D13)&gt;($C14-$C13),1,0))</f>
        <v>0</v>
      </c>
      <c r="F14" s="64">
        <f t="shared" ca="1" si="1"/>
        <v>16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 t="s">
        <v>309</v>
      </c>
      <c r="M14" s="70"/>
      <c r="N14" s="70"/>
      <c r="O14" s="70"/>
      <c r="P14" s="70"/>
      <c r="Q14" s="70"/>
      <c r="R14" s="97"/>
      <c r="S14" s="97"/>
      <c r="T14" s="97" t="s">
        <v>339</v>
      </c>
      <c r="U14" s="70"/>
      <c r="V14" s="70"/>
      <c r="W14" s="70"/>
      <c r="X14" s="70"/>
      <c r="Y14" s="70"/>
      <c r="Z14" s="70"/>
      <c r="AA14" s="70"/>
      <c r="AB14" s="70"/>
      <c r="AC14" s="70"/>
      <c r="AD14" s="70" t="s">
        <v>323</v>
      </c>
      <c r="AE14" s="70" t="s">
        <v>311</v>
      </c>
      <c r="AF14" s="70" t="s">
        <v>349</v>
      </c>
      <c r="AG14" s="70"/>
      <c r="AH14" s="70" t="s">
        <v>331</v>
      </c>
      <c r="AI14" s="70"/>
      <c r="AJ14" s="70"/>
      <c r="AK14" s="70" t="s">
        <v>311</v>
      </c>
      <c r="AL14" s="70"/>
      <c r="AM14" s="70" t="s">
        <v>339</v>
      </c>
      <c r="AN14" s="70"/>
      <c r="AO14" s="70"/>
      <c r="AP14" s="70" t="s">
        <v>325</v>
      </c>
      <c r="AQ14" s="70"/>
      <c r="AR14" s="70"/>
      <c r="AS14" s="70"/>
      <c r="AT14" s="70" t="s">
        <v>336</v>
      </c>
      <c r="AU14" s="70"/>
      <c r="AV14" s="70" t="s">
        <v>311</v>
      </c>
      <c r="AW14" s="70"/>
      <c r="AX14" s="70"/>
      <c r="AY14" s="70"/>
      <c r="AZ14" s="70"/>
      <c r="BA14" s="70"/>
      <c r="BB14" s="70"/>
      <c r="BC14" s="70" t="s">
        <v>309</v>
      </c>
      <c r="BD14" s="70"/>
      <c r="BE14" s="70" t="s">
        <v>364</v>
      </c>
      <c r="BF14" s="70"/>
      <c r="BG14" s="70" t="s">
        <v>309</v>
      </c>
      <c r="BH14" s="70"/>
      <c r="BI14" s="70"/>
      <c r="BJ14" s="70" t="s">
        <v>372</v>
      </c>
      <c r="BK14" s="70"/>
      <c r="BL14" s="70" t="s">
        <v>311</v>
      </c>
      <c r="BM14" s="70"/>
    </row>
    <row r="15" spans="1:65">
      <c r="A15" s="59">
        <v>7</v>
      </c>
      <c r="B15" s="67" t="s">
        <v>193</v>
      </c>
      <c r="C15" s="65"/>
      <c r="D15" s="64">
        <v>48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309</v>
      </c>
      <c r="L15" s="69"/>
      <c r="M15" s="69" t="s">
        <v>350</v>
      </c>
      <c r="N15" s="69"/>
      <c r="O15" s="69" t="s">
        <v>311</v>
      </c>
      <c r="P15" s="69" t="s">
        <v>309</v>
      </c>
      <c r="Q15" s="69"/>
      <c r="R15" s="96" t="s">
        <v>309</v>
      </c>
      <c r="S15" s="96" t="s">
        <v>311</v>
      </c>
      <c r="T15" s="96"/>
      <c r="U15" s="69"/>
      <c r="V15" s="69"/>
      <c r="W15" s="69"/>
      <c r="X15" s="69" t="s">
        <v>372</v>
      </c>
      <c r="Y15" s="69" t="s">
        <v>311</v>
      </c>
      <c r="Z15" s="69" t="s">
        <v>311</v>
      </c>
      <c r="AA15" s="69"/>
      <c r="AB15" s="69" t="s">
        <v>309</v>
      </c>
      <c r="AC15" s="69" t="s">
        <v>311</v>
      </c>
      <c r="AD15" s="69"/>
      <c r="AE15" s="69" t="s">
        <v>311</v>
      </c>
      <c r="AF15" s="69"/>
      <c r="AG15" s="69"/>
      <c r="AH15" s="69"/>
      <c r="AI15" s="69"/>
      <c r="AJ15" s="69" t="s">
        <v>329</v>
      </c>
      <c r="AK15" s="69" t="s">
        <v>311</v>
      </c>
      <c r="AL15" s="69"/>
      <c r="AM15" s="69" t="s">
        <v>339</v>
      </c>
      <c r="AN15" s="69" t="s">
        <v>335</v>
      </c>
      <c r="AO15" s="69" t="s">
        <v>311</v>
      </c>
      <c r="AP15" s="69"/>
      <c r="AQ15" s="69" t="s">
        <v>311</v>
      </c>
      <c r="AR15" s="69" t="s">
        <v>309</v>
      </c>
      <c r="AS15" s="69"/>
      <c r="AT15" s="69"/>
      <c r="AU15" s="69" t="s">
        <v>309</v>
      </c>
      <c r="AV15" s="69"/>
      <c r="AW15" s="69"/>
      <c r="AX15" s="69" t="s">
        <v>314</v>
      </c>
      <c r="AY15" s="69"/>
      <c r="AZ15" s="69"/>
      <c r="BA15" s="69"/>
      <c r="BB15" s="69"/>
      <c r="BC15" s="69" t="s">
        <v>309</v>
      </c>
      <c r="BD15" s="69"/>
      <c r="BE15" s="96"/>
      <c r="BF15" s="69"/>
      <c r="BG15" s="69"/>
      <c r="BH15" s="69" t="s">
        <v>311</v>
      </c>
      <c r="BI15" s="69"/>
      <c r="BJ15" s="69" t="s">
        <v>323</v>
      </c>
      <c r="BK15" s="69"/>
      <c r="BL15" s="69" t="s">
        <v>311</v>
      </c>
      <c r="BM15" s="69" t="s">
        <v>331</v>
      </c>
    </row>
    <row r="16" spans="1:65">
      <c r="A16" s="61" t="s">
        <v>3</v>
      </c>
      <c r="B16" s="68" t="s">
        <v>165</v>
      </c>
      <c r="C16" s="66">
        <v>4.5</v>
      </c>
      <c r="D16" s="64">
        <v>14</v>
      </c>
      <c r="E16" s="64">
        <f>IF(ISBLANK($D16),"0",IF(($D16-$D15)&gt;($C16-$C15),1,0))</f>
        <v>0</v>
      </c>
      <c r="F16" s="64">
        <f t="shared" ca="1" si="1"/>
        <v>27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 t="s">
        <v>320</v>
      </c>
      <c r="K16" s="70"/>
      <c r="L16" s="70" t="s">
        <v>309</v>
      </c>
      <c r="M16" s="70"/>
      <c r="N16" s="70" t="s">
        <v>322</v>
      </c>
      <c r="O16" s="70"/>
      <c r="P16" s="70"/>
      <c r="Q16" s="70" t="s">
        <v>335</v>
      </c>
      <c r="R16" s="70"/>
      <c r="S16" s="70"/>
      <c r="T16" s="70" t="s">
        <v>339</v>
      </c>
      <c r="U16" s="70" t="s">
        <v>309</v>
      </c>
      <c r="V16" s="70" t="s">
        <v>309</v>
      </c>
      <c r="W16" s="70" t="s">
        <v>313</v>
      </c>
      <c r="X16" s="70"/>
      <c r="Y16" s="70"/>
      <c r="Z16" s="70"/>
      <c r="AA16" s="70" t="s">
        <v>311</v>
      </c>
      <c r="AB16" s="70"/>
      <c r="AC16" s="70"/>
      <c r="AD16" s="70" t="s">
        <v>347</v>
      </c>
      <c r="AE16" s="70"/>
      <c r="AF16" s="70" t="s">
        <v>349</v>
      </c>
      <c r="AG16" s="70" t="s">
        <v>311</v>
      </c>
      <c r="AH16" s="70" t="s">
        <v>346</v>
      </c>
      <c r="AI16" s="70" t="s">
        <v>362</v>
      </c>
      <c r="AJ16" s="70"/>
      <c r="AK16" s="70"/>
      <c r="AL16" s="70" t="s">
        <v>327</v>
      </c>
      <c r="AM16" s="70"/>
      <c r="AN16" s="70"/>
      <c r="AO16" s="70"/>
      <c r="AP16" s="70" t="s">
        <v>312</v>
      </c>
      <c r="AQ16" s="70"/>
      <c r="AR16" s="97"/>
      <c r="AS16" s="70" t="s">
        <v>332</v>
      </c>
      <c r="AT16" s="70" t="s">
        <v>336</v>
      </c>
      <c r="AU16" s="70"/>
      <c r="AV16" s="70" t="s">
        <v>311</v>
      </c>
      <c r="AW16" s="70" t="s">
        <v>311</v>
      </c>
      <c r="AX16" s="70"/>
      <c r="AY16" s="70" t="s">
        <v>341</v>
      </c>
      <c r="AZ16" s="70" t="s">
        <v>311</v>
      </c>
      <c r="BA16" s="70" t="s">
        <v>311</v>
      </c>
      <c r="BB16" s="70" t="s">
        <v>314</v>
      </c>
      <c r="BC16" s="70"/>
      <c r="BD16" s="70" t="s">
        <v>378</v>
      </c>
      <c r="BE16" s="70" t="s">
        <v>364</v>
      </c>
      <c r="BF16" s="70"/>
      <c r="BG16" s="70" t="s">
        <v>309</v>
      </c>
      <c r="BH16" s="70"/>
      <c r="BI16" s="70"/>
      <c r="BJ16" s="70"/>
      <c r="BK16" s="70" t="s">
        <v>309</v>
      </c>
      <c r="BL16" s="70"/>
      <c r="BM16" s="70"/>
    </row>
    <row r="17" spans="1:65">
      <c r="A17" s="59">
        <v>8</v>
      </c>
      <c r="B17" s="67" t="s">
        <v>146</v>
      </c>
      <c r="C17" s="65">
        <v>4.5</v>
      </c>
      <c r="D17" s="64">
        <v>56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 t="s">
        <v>309</v>
      </c>
      <c r="L17" s="69" t="s">
        <v>309</v>
      </c>
      <c r="M17" s="69" t="s">
        <v>350</v>
      </c>
      <c r="N17" s="69"/>
      <c r="O17" s="69" t="s">
        <v>311</v>
      </c>
      <c r="P17" s="69" t="s">
        <v>309</v>
      </c>
      <c r="Q17" s="69"/>
      <c r="R17" s="69" t="s">
        <v>309</v>
      </c>
      <c r="S17" s="69" t="s">
        <v>311</v>
      </c>
      <c r="T17" s="69" t="s">
        <v>339</v>
      </c>
      <c r="U17" s="69" t="s">
        <v>309</v>
      </c>
      <c r="V17" s="69" t="s">
        <v>309</v>
      </c>
      <c r="W17" s="69" t="s">
        <v>320</v>
      </c>
      <c r="X17" s="69" t="s">
        <v>345</v>
      </c>
      <c r="Y17" s="69" t="s">
        <v>311</v>
      </c>
      <c r="Z17" s="69" t="s">
        <v>311</v>
      </c>
      <c r="AA17" s="69"/>
      <c r="AB17" s="69" t="s">
        <v>309</v>
      </c>
      <c r="AC17" s="69" t="s">
        <v>311</v>
      </c>
      <c r="AD17" s="69"/>
      <c r="AE17" s="69" t="s">
        <v>311</v>
      </c>
      <c r="AF17" s="69"/>
      <c r="AG17" s="69"/>
      <c r="AH17" s="69"/>
      <c r="AI17" s="69" t="s">
        <v>320</v>
      </c>
      <c r="AJ17" s="69"/>
      <c r="AK17" s="69"/>
      <c r="AL17" s="69"/>
      <c r="AM17" s="69" t="s">
        <v>339</v>
      </c>
      <c r="AN17" s="69" t="s">
        <v>335</v>
      </c>
      <c r="AO17" s="69" t="s">
        <v>311</v>
      </c>
      <c r="AP17" s="69"/>
      <c r="AQ17" s="69"/>
      <c r="AR17" s="96"/>
      <c r="AS17" s="69" t="s">
        <v>328</v>
      </c>
      <c r="AT17" s="69" t="s">
        <v>336</v>
      </c>
      <c r="AU17" s="69" t="s">
        <v>309</v>
      </c>
      <c r="AV17" s="69" t="s">
        <v>311</v>
      </c>
      <c r="AW17" s="69" t="s">
        <v>311</v>
      </c>
      <c r="AX17" s="69" t="s">
        <v>362</v>
      </c>
      <c r="AY17" s="69" t="s">
        <v>313</v>
      </c>
      <c r="AZ17" s="69" t="s">
        <v>311</v>
      </c>
      <c r="BA17" s="69" t="s">
        <v>311</v>
      </c>
      <c r="BB17" s="69"/>
      <c r="BC17" s="69"/>
      <c r="BD17" s="69" t="s">
        <v>378</v>
      </c>
      <c r="BE17" s="69" t="s">
        <v>364</v>
      </c>
      <c r="BF17" s="69"/>
      <c r="BG17" s="69" t="s">
        <v>311</v>
      </c>
      <c r="BH17" s="69" t="s">
        <v>311</v>
      </c>
      <c r="BI17" s="69"/>
      <c r="BJ17" s="69"/>
      <c r="BK17" s="69" t="s">
        <v>309</v>
      </c>
      <c r="BL17" s="69"/>
      <c r="BM17" s="69" t="s">
        <v>333</v>
      </c>
    </row>
    <row r="18" spans="1:65">
      <c r="A18" s="61" t="s">
        <v>3</v>
      </c>
      <c r="B18" s="68" t="s">
        <v>176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367</v>
      </c>
      <c r="O18" s="70"/>
      <c r="P18" s="70"/>
      <c r="Q18" s="70" t="s">
        <v>335</v>
      </c>
      <c r="R18" s="70"/>
      <c r="S18" s="70"/>
      <c r="T18" s="70"/>
      <c r="U18" s="70"/>
      <c r="V18" s="70"/>
      <c r="W18" s="70"/>
      <c r="X18" s="70"/>
      <c r="Y18" s="70"/>
      <c r="Z18" s="70"/>
      <c r="AA18" s="70" t="s">
        <v>311</v>
      </c>
      <c r="AB18" s="70"/>
      <c r="AC18" s="70"/>
      <c r="AD18" s="70" t="s">
        <v>313</v>
      </c>
      <c r="AE18" s="70"/>
      <c r="AF18" s="70" t="s">
        <v>349</v>
      </c>
      <c r="AG18" s="70" t="s">
        <v>311</v>
      </c>
      <c r="AH18" s="70" t="s">
        <v>313</v>
      </c>
      <c r="AI18" s="70"/>
      <c r="AJ18" s="70" t="s">
        <v>329</v>
      </c>
      <c r="AK18" s="70" t="s">
        <v>311</v>
      </c>
      <c r="AL18" s="70" t="s">
        <v>327</v>
      </c>
      <c r="AM18" s="70"/>
      <c r="AN18" s="70"/>
      <c r="AO18" s="70"/>
      <c r="AP18" s="70" t="s">
        <v>318</v>
      </c>
      <c r="AQ18" s="70" t="s">
        <v>311</v>
      </c>
      <c r="AR18" s="70" t="s">
        <v>309</v>
      </c>
      <c r="AS18" s="70"/>
      <c r="AT18" s="70"/>
      <c r="AU18" s="70"/>
      <c r="AV18" s="70"/>
      <c r="AW18" s="70"/>
      <c r="AX18" s="70"/>
      <c r="AY18" s="70"/>
      <c r="AZ18" s="70"/>
      <c r="BA18" s="70"/>
      <c r="BB18" s="70" t="s">
        <v>314</v>
      </c>
      <c r="BC18" s="70" t="s">
        <v>309</v>
      </c>
      <c r="BD18" s="70"/>
      <c r="BE18" s="97"/>
      <c r="BF18" s="70"/>
      <c r="BG18" s="70"/>
      <c r="BH18" s="70"/>
      <c r="BI18" s="70"/>
      <c r="BJ18" s="70" t="s">
        <v>360</v>
      </c>
      <c r="BK18" s="70"/>
      <c r="BL18" s="70" t="s">
        <v>311</v>
      </c>
      <c r="BM18" s="70"/>
    </row>
    <row r="19" spans="1:65">
      <c r="A19" s="59">
        <v>9</v>
      </c>
      <c r="B19" s="108" t="s">
        <v>250</v>
      </c>
      <c r="C19" s="65">
        <v>3.5</v>
      </c>
      <c r="D19" s="64">
        <v>44</v>
      </c>
      <c r="E19" s="64">
        <f>IF(ISBLANK($D19),"0",IF(($D20-$D19)&lt;($C20-$C19),1,0))</f>
        <v>1</v>
      </c>
      <c r="F19" s="64">
        <f t="shared" ca="1" si="1"/>
        <v>36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 t="s">
        <v>350</v>
      </c>
      <c r="N19" s="69" t="s">
        <v>533</v>
      </c>
      <c r="O19" s="69" t="s">
        <v>311</v>
      </c>
      <c r="P19" s="69" t="s">
        <v>309</v>
      </c>
      <c r="Q19" s="69" t="s">
        <v>335</v>
      </c>
      <c r="R19" s="69" t="s">
        <v>309</v>
      </c>
      <c r="S19" s="69" t="s">
        <v>311</v>
      </c>
      <c r="T19" s="69" t="s">
        <v>339</v>
      </c>
      <c r="U19" s="69" t="s">
        <v>309</v>
      </c>
      <c r="V19" s="69"/>
      <c r="W19" s="69" t="s">
        <v>320</v>
      </c>
      <c r="X19" s="69" t="s">
        <v>325</v>
      </c>
      <c r="Y19" s="69" t="s">
        <v>311</v>
      </c>
      <c r="Z19" s="69"/>
      <c r="AA19" s="69" t="s">
        <v>311</v>
      </c>
      <c r="AB19" s="69"/>
      <c r="AC19" s="69" t="s">
        <v>311</v>
      </c>
      <c r="AD19" s="69"/>
      <c r="AE19" s="69" t="s">
        <v>311</v>
      </c>
      <c r="AF19" s="69" t="s">
        <v>349</v>
      </c>
      <c r="AG19" s="69"/>
      <c r="AH19" s="69" t="s">
        <v>338</v>
      </c>
      <c r="AI19" s="69" t="s">
        <v>321</v>
      </c>
      <c r="AJ19" s="69" t="s">
        <v>329</v>
      </c>
      <c r="AK19" s="69"/>
      <c r="AL19" s="69" t="s">
        <v>327</v>
      </c>
      <c r="AM19" s="69" t="s">
        <v>339</v>
      </c>
      <c r="AN19" s="69" t="s">
        <v>335</v>
      </c>
      <c r="AO19" s="69" t="s">
        <v>311</v>
      </c>
      <c r="AP19" s="69"/>
      <c r="AQ19" s="69"/>
      <c r="AR19" s="69" t="s">
        <v>309</v>
      </c>
      <c r="AS19" s="69" t="s">
        <v>375</v>
      </c>
      <c r="AT19" s="69" t="s">
        <v>336</v>
      </c>
      <c r="AU19" s="69"/>
      <c r="AV19" s="69" t="s">
        <v>311</v>
      </c>
      <c r="AW19" s="69" t="s">
        <v>311</v>
      </c>
      <c r="AX19" s="69" t="s">
        <v>363</v>
      </c>
      <c r="AY19" s="69"/>
      <c r="AZ19" s="69"/>
      <c r="BA19" s="69" t="s">
        <v>311</v>
      </c>
      <c r="BB19" s="69"/>
      <c r="BC19" s="69" t="s">
        <v>309</v>
      </c>
      <c r="BD19" s="69"/>
      <c r="BE19" s="69"/>
      <c r="BF19" s="69"/>
      <c r="BG19" s="69" t="s">
        <v>311</v>
      </c>
      <c r="BH19" s="69" t="s">
        <v>311</v>
      </c>
      <c r="BI19" s="69"/>
      <c r="BJ19" s="69"/>
      <c r="BK19" s="69" t="s">
        <v>309</v>
      </c>
      <c r="BL19" s="69" t="s">
        <v>311</v>
      </c>
      <c r="BM19" s="69" t="s">
        <v>334</v>
      </c>
    </row>
    <row r="20" spans="1:65">
      <c r="A20" s="61" t="s">
        <v>3</v>
      </c>
      <c r="B20" s="68" t="s">
        <v>152</v>
      </c>
      <c r="C20" s="66"/>
      <c r="D20" s="64">
        <v>30</v>
      </c>
      <c r="E20" s="64">
        <f>IF(ISBLANK($D20),"0",IF(($D20-$D19)&gt;($C20-$C19),1,0))</f>
        <v>0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/>
      <c r="N20" s="70"/>
      <c r="O20" s="70"/>
      <c r="P20" s="70"/>
      <c r="Q20" s="70"/>
      <c r="R20" s="70"/>
      <c r="S20" s="70"/>
      <c r="T20" s="70"/>
      <c r="U20" s="70"/>
      <c r="V20" s="70" t="s">
        <v>309</v>
      </c>
      <c r="W20" s="70"/>
      <c r="X20" s="70"/>
      <c r="Y20" s="70"/>
      <c r="Z20" s="70" t="s">
        <v>311</v>
      </c>
      <c r="AA20" s="70"/>
      <c r="AB20" s="70" t="s">
        <v>309</v>
      </c>
      <c r="AC20" s="70"/>
      <c r="AD20" s="70" t="s">
        <v>536</v>
      </c>
      <c r="AE20" s="70"/>
      <c r="AF20" s="70"/>
      <c r="AG20" s="70" t="s">
        <v>311</v>
      </c>
      <c r="AH20" s="70"/>
      <c r="AI20" s="70"/>
      <c r="AJ20" s="70"/>
      <c r="AK20" s="70" t="s">
        <v>311</v>
      </c>
      <c r="AL20" s="70"/>
      <c r="AM20" s="70"/>
      <c r="AN20" s="70"/>
      <c r="AO20" s="70"/>
      <c r="AP20" s="70" t="s">
        <v>320</v>
      </c>
      <c r="AQ20" s="70" t="s">
        <v>311</v>
      </c>
      <c r="AR20" s="97"/>
      <c r="AS20" s="70"/>
      <c r="AT20" s="70"/>
      <c r="AU20" s="70" t="s">
        <v>309</v>
      </c>
      <c r="AV20" s="70"/>
      <c r="AW20" s="70"/>
      <c r="AX20" s="70"/>
      <c r="AY20" s="70" t="s">
        <v>315</v>
      </c>
      <c r="AZ20" s="70" t="s">
        <v>311</v>
      </c>
      <c r="BA20" s="70"/>
      <c r="BB20" s="70" t="s">
        <v>314</v>
      </c>
      <c r="BC20" s="70"/>
      <c r="BD20" s="70" t="s">
        <v>378</v>
      </c>
      <c r="BE20" s="97" t="s">
        <v>364</v>
      </c>
      <c r="BF20" s="70"/>
      <c r="BG20" s="70"/>
      <c r="BH20" s="70"/>
      <c r="BI20" s="70"/>
      <c r="BJ20" s="70" t="s">
        <v>320</v>
      </c>
      <c r="BK20" s="70"/>
      <c r="BL20" s="70"/>
      <c r="BM20" s="70"/>
    </row>
    <row r="21" spans="1:65">
      <c r="A21" s="59">
        <v>10</v>
      </c>
      <c r="B21" s="67" t="s">
        <v>209</v>
      </c>
      <c r="C21" s="65"/>
      <c r="D21" s="64">
        <v>49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534</v>
      </c>
      <c r="O21" s="69"/>
      <c r="P21" s="69"/>
      <c r="Q21" s="69" t="s">
        <v>335</v>
      </c>
      <c r="R21" s="69" t="s">
        <v>309</v>
      </c>
      <c r="S21" s="69"/>
      <c r="T21" s="69" t="s">
        <v>339</v>
      </c>
      <c r="U21" s="69" t="s">
        <v>309</v>
      </c>
      <c r="V21" s="69" t="s">
        <v>309</v>
      </c>
      <c r="W21" s="69"/>
      <c r="X21" s="69"/>
      <c r="Y21" s="69" t="s">
        <v>311</v>
      </c>
      <c r="Z21" s="69"/>
      <c r="AA21" s="69"/>
      <c r="AB21" s="69"/>
      <c r="AC21" s="69"/>
      <c r="AD21" s="69" t="s">
        <v>321</v>
      </c>
      <c r="AE21" s="69" t="s">
        <v>311</v>
      </c>
      <c r="AF21" s="69"/>
      <c r="AG21" s="69"/>
      <c r="AH21" s="69"/>
      <c r="AI21" s="69"/>
      <c r="AJ21" s="69" t="s">
        <v>329</v>
      </c>
      <c r="AK21" s="69" t="s">
        <v>311</v>
      </c>
      <c r="AL21" s="69"/>
      <c r="AM21" s="69" t="s">
        <v>339</v>
      </c>
      <c r="AN21" s="69"/>
      <c r="AO21" s="69"/>
      <c r="AP21" s="69" t="s">
        <v>315</v>
      </c>
      <c r="AQ21" s="69"/>
      <c r="AR21" s="96" t="s">
        <v>309</v>
      </c>
      <c r="AS21" s="69" t="s">
        <v>332</v>
      </c>
      <c r="AT21" s="69" t="s">
        <v>336</v>
      </c>
      <c r="AU21" s="69" t="s">
        <v>309</v>
      </c>
      <c r="AV21" s="69"/>
      <c r="AW21" s="69" t="s">
        <v>311</v>
      </c>
      <c r="AX21" s="69"/>
      <c r="AY21" s="69" t="s">
        <v>380</v>
      </c>
      <c r="AZ21" s="69"/>
      <c r="BA21" s="69" t="s">
        <v>311</v>
      </c>
      <c r="BB21" s="69" t="s">
        <v>314</v>
      </c>
      <c r="BC21" s="69"/>
      <c r="BD21" s="69" t="s">
        <v>378</v>
      </c>
      <c r="BE21" s="96"/>
      <c r="BF21" s="69"/>
      <c r="BG21" s="69" t="s">
        <v>311</v>
      </c>
      <c r="BH21" s="69"/>
      <c r="BI21" s="69"/>
      <c r="BJ21" s="69" t="s">
        <v>380</v>
      </c>
      <c r="BK21" s="69"/>
      <c r="BL21" s="69"/>
      <c r="BM21" s="69" t="s">
        <v>321</v>
      </c>
    </row>
    <row r="22" spans="1:65">
      <c r="A22" s="61" t="s">
        <v>3</v>
      </c>
      <c r="B22" s="68" t="s">
        <v>206</v>
      </c>
      <c r="C22" s="66">
        <v>3.5</v>
      </c>
      <c r="D22" s="64">
        <v>37</v>
      </c>
      <c r="E22" s="64">
        <f>IF(ISBLANK($D22),"0",IF(($D22-$D21)&gt;($C22-$C21),1,0))</f>
        <v>0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 t="s">
        <v>309</v>
      </c>
      <c r="M22" s="70" t="s">
        <v>350</v>
      </c>
      <c r="N22" s="70"/>
      <c r="O22" s="70" t="s">
        <v>311</v>
      </c>
      <c r="P22" s="70" t="s">
        <v>309</v>
      </c>
      <c r="Q22" s="70"/>
      <c r="R22" s="70"/>
      <c r="S22" s="70" t="s">
        <v>311</v>
      </c>
      <c r="T22" s="70"/>
      <c r="U22" s="70"/>
      <c r="V22" s="70"/>
      <c r="W22" s="70" t="s">
        <v>380</v>
      </c>
      <c r="X22" s="70" t="s">
        <v>535</v>
      </c>
      <c r="Y22" s="70"/>
      <c r="Z22" s="70" t="s">
        <v>311</v>
      </c>
      <c r="AA22" s="70" t="s">
        <v>311</v>
      </c>
      <c r="AB22" s="70" t="s">
        <v>309</v>
      </c>
      <c r="AC22" s="70" t="s">
        <v>311</v>
      </c>
      <c r="AD22" s="70"/>
      <c r="AE22" s="70"/>
      <c r="AF22" s="70" t="s">
        <v>349</v>
      </c>
      <c r="AG22" s="70" t="s">
        <v>311</v>
      </c>
      <c r="AH22" s="70" t="s">
        <v>538</v>
      </c>
      <c r="AI22" s="70" t="s">
        <v>321</v>
      </c>
      <c r="AJ22" s="70"/>
      <c r="AK22" s="70"/>
      <c r="AL22" s="70" t="s">
        <v>327</v>
      </c>
      <c r="AM22" s="70"/>
      <c r="AN22" s="70" t="s">
        <v>335</v>
      </c>
      <c r="AO22" s="70" t="s">
        <v>311</v>
      </c>
      <c r="AP22" s="70"/>
      <c r="AQ22" s="70" t="s">
        <v>311</v>
      </c>
      <c r="AR22" s="70"/>
      <c r="AS22" s="70"/>
      <c r="AT22" s="70"/>
      <c r="AU22" s="70"/>
      <c r="AV22" s="70" t="s">
        <v>311</v>
      </c>
      <c r="AW22" s="70"/>
      <c r="AX22" s="70" t="s">
        <v>545</v>
      </c>
      <c r="AY22" s="70"/>
      <c r="AZ22" s="70" t="s">
        <v>311</v>
      </c>
      <c r="BA22" s="70"/>
      <c r="BB22" s="70"/>
      <c r="BC22" s="70" t="s">
        <v>309</v>
      </c>
      <c r="BD22" s="70"/>
      <c r="BE22" s="70" t="s">
        <v>364</v>
      </c>
      <c r="BF22" s="70"/>
      <c r="BG22" s="70"/>
      <c r="BH22" s="70" t="s">
        <v>311</v>
      </c>
      <c r="BI22" s="70"/>
      <c r="BJ22" s="70"/>
      <c r="BK22" s="70" t="s">
        <v>309</v>
      </c>
      <c r="BL22" s="70" t="s">
        <v>311</v>
      </c>
      <c r="BM22" s="70"/>
    </row>
    <row r="23" spans="1:65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20</v>
      </c>
      <c r="K23" s="78">
        <v>24</v>
      </c>
      <c r="L23" s="78">
        <v>20</v>
      </c>
      <c r="M23" s="78">
        <v>21</v>
      </c>
      <c r="N23" s="80">
        <v>28</v>
      </c>
      <c r="O23" s="78">
        <v>17</v>
      </c>
      <c r="P23" s="78">
        <v>24</v>
      </c>
      <c r="Q23" s="78">
        <v>21</v>
      </c>
      <c r="R23" s="78">
        <v>28</v>
      </c>
      <c r="S23" s="78">
        <v>19</v>
      </c>
      <c r="T23" s="78">
        <v>39</v>
      </c>
      <c r="U23" s="78">
        <v>34</v>
      </c>
      <c r="V23" s="78">
        <v>21</v>
      </c>
      <c r="W23" s="78">
        <v>17</v>
      </c>
      <c r="X23" s="78">
        <v>20</v>
      </c>
      <c r="Y23" s="78">
        <v>24</v>
      </c>
      <c r="Z23" s="78">
        <v>21</v>
      </c>
      <c r="AA23" s="78">
        <v>27</v>
      </c>
      <c r="AB23" s="78">
        <v>21</v>
      </c>
      <c r="AC23" s="78">
        <v>21</v>
      </c>
      <c r="AD23" s="78">
        <v>24</v>
      </c>
      <c r="AE23" s="78">
        <v>31</v>
      </c>
      <c r="AF23" s="78">
        <v>28</v>
      </c>
      <c r="AG23" s="78">
        <v>36</v>
      </c>
      <c r="AH23" s="78">
        <v>27</v>
      </c>
      <c r="AI23" s="78">
        <v>24</v>
      </c>
      <c r="AJ23" s="78">
        <v>22</v>
      </c>
      <c r="AK23" s="78">
        <v>31</v>
      </c>
      <c r="AL23" s="78">
        <v>30</v>
      </c>
      <c r="AM23" s="78">
        <v>58</v>
      </c>
      <c r="AN23" s="78">
        <v>21</v>
      </c>
      <c r="AO23" s="78">
        <v>24</v>
      </c>
      <c r="AP23" s="78">
        <v>20</v>
      </c>
      <c r="AQ23" s="78">
        <v>21</v>
      </c>
      <c r="AR23" s="78">
        <v>21</v>
      </c>
      <c r="AS23" s="78">
        <v>27</v>
      </c>
      <c r="AT23" s="78">
        <v>31</v>
      </c>
      <c r="AU23" s="78">
        <v>28</v>
      </c>
      <c r="AV23" s="78">
        <v>17</v>
      </c>
      <c r="AW23" s="78">
        <v>30</v>
      </c>
      <c r="AX23" s="78">
        <v>3</v>
      </c>
      <c r="AY23" s="78">
        <v>17</v>
      </c>
      <c r="AZ23" s="78">
        <v>14</v>
      </c>
      <c r="BA23" s="78">
        <v>54</v>
      </c>
      <c r="BB23" s="78">
        <v>31</v>
      </c>
      <c r="BC23" s="78">
        <v>28</v>
      </c>
      <c r="BD23" s="78">
        <v>21</v>
      </c>
      <c r="BE23" s="78">
        <v>20</v>
      </c>
      <c r="BF23" s="78"/>
      <c r="BG23" s="78">
        <v>30</v>
      </c>
      <c r="BH23" s="78">
        <v>38</v>
      </c>
      <c r="BI23" s="78"/>
      <c r="BJ23" s="78">
        <v>38</v>
      </c>
      <c r="BK23" s="78">
        <v>24</v>
      </c>
      <c r="BL23" s="78">
        <v>24</v>
      </c>
      <c r="BM23" s="78">
        <v>28</v>
      </c>
    </row>
    <row r="24" spans="1:65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>
        <v>24</v>
      </c>
      <c r="K24" s="79">
        <v>28</v>
      </c>
      <c r="L24" s="79">
        <v>24</v>
      </c>
      <c r="M24" s="79">
        <v>28</v>
      </c>
      <c r="N24" s="79">
        <v>21</v>
      </c>
      <c r="O24" s="79">
        <v>24</v>
      </c>
      <c r="P24" s="79">
        <v>28</v>
      </c>
      <c r="Q24" s="79">
        <v>0</v>
      </c>
      <c r="R24" s="79">
        <v>24</v>
      </c>
      <c r="S24" s="79">
        <v>27</v>
      </c>
      <c r="T24" s="79">
        <v>6</v>
      </c>
      <c r="U24" s="79">
        <v>35</v>
      </c>
      <c r="V24" s="79">
        <v>14</v>
      </c>
      <c r="W24" s="79">
        <v>23</v>
      </c>
      <c r="X24" s="79">
        <v>24</v>
      </c>
      <c r="Y24" s="79">
        <v>21</v>
      </c>
      <c r="Z24" s="79">
        <v>28</v>
      </c>
      <c r="AA24" s="79">
        <v>31</v>
      </c>
      <c r="AB24" s="79">
        <v>28</v>
      </c>
      <c r="AC24" s="79">
        <v>28</v>
      </c>
      <c r="AD24" s="79">
        <v>27</v>
      </c>
      <c r="AE24" s="79">
        <v>24</v>
      </c>
      <c r="AF24" s="79">
        <v>34</v>
      </c>
      <c r="AG24" s="79">
        <v>45</v>
      </c>
      <c r="AH24" s="79">
        <v>31</v>
      </c>
      <c r="AI24" s="79">
        <v>31</v>
      </c>
      <c r="AJ24" s="79">
        <v>11</v>
      </c>
      <c r="AK24" s="79">
        <v>28</v>
      </c>
      <c r="AL24" s="79">
        <v>38</v>
      </c>
      <c r="AM24" s="79">
        <v>29</v>
      </c>
      <c r="AN24" s="79">
        <v>28</v>
      </c>
      <c r="AO24" s="79">
        <v>31</v>
      </c>
      <c r="AP24" s="79">
        <v>17</v>
      </c>
      <c r="AQ24" s="79">
        <v>28</v>
      </c>
      <c r="AR24" s="79">
        <v>24</v>
      </c>
      <c r="AS24" s="79">
        <v>24</v>
      </c>
      <c r="AT24" s="79">
        <v>24</v>
      </c>
      <c r="AU24" s="79">
        <v>21</v>
      </c>
      <c r="AV24" s="79">
        <v>28</v>
      </c>
      <c r="AW24" s="79">
        <v>31</v>
      </c>
      <c r="AX24" s="79">
        <v>14</v>
      </c>
      <c r="AY24" s="79">
        <v>20</v>
      </c>
      <c r="AZ24" s="79">
        <v>21</v>
      </c>
      <c r="BA24" s="79">
        <v>3</v>
      </c>
      <c r="BB24" s="79">
        <v>21</v>
      </c>
      <c r="BC24" s="79">
        <v>38</v>
      </c>
      <c r="BD24" s="79">
        <v>20</v>
      </c>
      <c r="BE24" s="79">
        <v>24</v>
      </c>
      <c r="BF24" s="79"/>
      <c r="BG24" s="79">
        <v>26</v>
      </c>
      <c r="BH24" s="79">
        <v>45</v>
      </c>
      <c r="BI24" s="79"/>
      <c r="BJ24" s="79">
        <v>35</v>
      </c>
      <c r="BK24" s="79">
        <v>31</v>
      </c>
      <c r="BL24" s="79">
        <v>30</v>
      </c>
      <c r="BM24" s="79">
        <v>14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7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8</v>
      </c>
      <c r="P25" s="36">
        <f t="shared" si="3"/>
        <v>5</v>
      </c>
      <c r="Q25" s="36">
        <f t="shared" si="3"/>
        <v>8</v>
      </c>
      <c r="R25" s="36">
        <f t="shared" si="3"/>
        <v>10</v>
      </c>
      <c r="S25" s="36">
        <f t="shared" si="3"/>
        <v>6</v>
      </c>
      <c r="T25" s="36">
        <f t="shared" si="3"/>
        <v>7</v>
      </c>
      <c r="U25" s="36">
        <f t="shared" si="3"/>
        <v>6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8</v>
      </c>
      <c r="Z25" s="36">
        <f t="shared" si="3"/>
        <v>6</v>
      </c>
      <c r="AA25" s="36">
        <f t="shared" si="3"/>
        <v>5</v>
      </c>
      <c r="AB25" s="36">
        <f t="shared" si="3"/>
        <v>6</v>
      </c>
      <c r="AC25" s="36">
        <f t="shared" si="3"/>
        <v>8</v>
      </c>
      <c r="AD25" s="36">
        <f t="shared" si="3"/>
        <v>4</v>
      </c>
      <c r="AE25" s="36">
        <f t="shared" si="3"/>
        <v>8</v>
      </c>
      <c r="AF25" s="36">
        <f t="shared" si="3"/>
        <v>5</v>
      </c>
      <c r="AG25" s="36">
        <f t="shared" si="3"/>
        <v>4</v>
      </c>
      <c r="AH25" s="36">
        <f t="shared" si="3"/>
        <v>6</v>
      </c>
      <c r="AI25" s="36">
        <f t="shared" si="3"/>
        <v>6</v>
      </c>
      <c r="AJ25" s="36">
        <f t="shared" si="3"/>
        <v>8</v>
      </c>
      <c r="AK25" s="36">
        <f t="shared" si="3"/>
        <v>3</v>
      </c>
      <c r="AL25" s="36">
        <f t="shared" si="3"/>
        <v>5</v>
      </c>
      <c r="AM25" s="36">
        <f t="shared" si="3"/>
        <v>6</v>
      </c>
      <c r="AN25" s="36">
        <f t="shared" si="3"/>
        <v>6</v>
      </c>
      <c r="AO25" s="36">
        <f t="shared" si="3"/>
        <v>8</v>
      </c>
      <c r="AP25" s="36">
        <f t="shared" si="3"/>
        <v>2</v>
      </c>
      <c r="AQ25" s="36">
        <f t="shared" si="3"/>
        <v>4</v>
      </c>
      <c r="AR25" s="36">
        <f t="shared" si="3"/>
        <v>6</v>
      </c>
      <c r="AS25" s="36">
        <f t="shared" si="3"/>
        <v>6</v>
      </c>
      <c r="AT25" s="36">
        <f t="shared" si="3"/>
        <v>7</v>
      </c>
      <c r="AU25" s="36">
        <f t="shared" si="3"/>
        <v>8</v>
      </c>
      <c r="AV25" s="36">
        <f t="shared" si="3"/>
        <v>4</v>
      </c>
      <c r="AW25" s="36">
        <f t="shared" si="3"/>
        <v>7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5</v>
      </c>
      <c r="BC25" s="36">
        <f t="shared" si="3"/>
        <v>6</v>
      </c>
      <c r="BD25" s="36">
        <f t="shared" si="3"/>
        <v>5</v>
      </c>
      <c r="BE25" s="36">
        <f t="shared" si="3"/>
        <v>3</v>
      </c>
      <c r="BF25" s="36">
        <v>2</v>
      </c>
      <c r="BG25" s="36">
        <f t="shared" si="3"/>
        <v>4</v>
      </c>
      <c r="BH25" s="36">
        <f t="shared" si="3"/>
        <v>5</v>
      </c>
      <c r="BI25" s="36">
        <v>2</v>
      </c>
      <c r="BJ25" s="36">
        <f t="shared" si="3"/>
        <v>3</v>
      </c>
      <c r="BK25" s="36">
        <f t="shared" si="3"/>
        <v>6</v>
      </c>
      <c r="BL25" s="36">
        <f t="shared" si="3"/>
        <v>4</v>
      </c>
      <c r="BM25" s="36">
        <f t="shared" si="3"/>
        <v>7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16</v>
      </c>
      <c r="L26" s="71">
        <f t="shared" ref="L26:BM26" si="4">ABS((L23-L24)-($D21-$D22))</f>
        <v>16</v>
      </c>
      <c r="M26" s="71">
        <f t="shared" si="4"/>
        <v>19</v>
      </c>
      <c r="N26" s="71">
        <f t="shared" si="4"/>
        <v>5</v>
      </c>
      <c r="O26" s="71">
        <f t="shared" si="4"/>
        <v>19</v>
      </c>
      <c r="P26" s="71">
        <f t="shared" si="4"/>
        <v>16</v>
      </c>
      <c r="Q26" s="71">
        <f t="shared" si="4"/>
        <v>9</v>
      </c>
      <c r="R26" s="71">
        <f t="shared" si="4"/>
        <v>8</v>
      </c>
      <c r="S26" s="71">
        <f t="shared" si="4"/>
        <v>20</v>
      </c>
      <c r="T26" s="71">
        <f t="shared" si="4"/>
        <v>21</v>
      </c>
      <c r="U26" s="71">
        <f t="shared" si="4"/>
        <v>13</v>
      </c>
      <c r="V26" s="71">
        <f t="shared" si="4"/>
        <v>5</v>
      </c>
      <c r="W26" s="71">
        <f t="shared" si="4"/>
        <v>18</v>
      </c>
      <c r="X26" s="71">
        <f t="shared" si="4"/>
        <v>16</v>
      </c>
      <c r="Y26" s="71">
        <f t="shared" si="4"/>
        <v>9</v>
      </c>
      <c r="Z26" s="71">
        <f t="shared" si="4"/>
        <v>19</v>
      </c>
      <c r="AA26" s="71">
        <f t="shared" si="4"/>
        <v>16</v>
      </c>
      <c r="AB26" s="71">
        <f t="shared" si="4"/>
        <v>19</v>
      </c>
      <c r="AC26" s="71">
        <f t="shared" si="4"/>
        <v>19</v>
      </c>
      <c r="AD26" s="71">
        <f t="shared" si="4"/>
        <v>15</v>
      </c>
      <c r="AE26" s="71">
        <f t="shared" si="4"/>
        <v>5</v>
      </c>
      <c r="AF26" s="71">
        <f t="shared" si="4"/>
        <v>18</v>
      </c>
      <c r="AG26" s="71">
        <f t="shared" si="4"/>
        <v>21</v>
      </c>
      <c r="AH26" s="71">
        <f t="shared" si="4"/>
        <v>16</v>
      </c>
      <c r="AI26" s="71">
        <f t="shared" si="4"/>
        <v>19</v>
      </c>
      <c r="AJ26" s="71">
        <f t="shared" si="4"/>
        <v>1</v>
      </c>
      <c r="AK26" s="71">
        <f t="shared" si="4"/>
        <v>9</v>
      </c>
      <c r="AL26" s="71">
        <f t="shared" si="4"/>
        <v>20</v>
      </c>
      <c r="AM26" s="71">
        <f t="shared" si="4"/>
        <v>17</v>
      </c>
      <c r="AN26" s="71">
        <f t="shared" si="4"/>
        <v>19</v>
      </c>
      <c r="AO26" s="71">
        <f t="shared" si="4"/>
        <v>19</v>
      </c>
      <c r="AP26" s="71">
        <f t="shared" si="4"/>
        <v>9</v>
      </c>
      <c r="AQ26" s="71">
        <f t="shared" si="4"/>
        <v>19</v>
      </c>
      <c r="AR26" s="71">
        <f t="shared" si="4"/>
        <v>15</v>
      </c>
      <c r="AS26" s="71">
        <f t="shared" si="4"/>
        <v>9</v>
      </c>
      <c r="AT26" s="71">
        <f t="shared" si="4"/>
        <v>5</v>
      </c>
      <c r="AU26" s="71">
        <f t="shared" si="4"/>
        <v>5</v>
      </c>
      <c r="AV26" s="71">
        <f t="shared" si="4"/>
        <v>23</v>
      </c>
      <c r="AW26" s="71">
        <f t="shared" si="4"/>
        <v>13</v>
      </c>
      <c r="AX26" s="71">
        <f t="shared" si="4"/>
        <v>23</v>
      </c>
      <c r="AY26" s="71">
        <f t="shared" si="4"/>
        <v>15</v>
      </c>
      <c r="AZ26" s="71">
        <f t="shared" si="4"/>
        <v>19</v>
      </c>
      <c r="BA26" s="71">
        <f t="shared" si="4"/>
        <v>39</v>
      </c>
      <c r="BB26" s="71">
        <f t="shared" si="4"/>
        <v>2</v>
      </c>
      <c r="BC26" s="71">
        <f t="shared" si="4"/>
        <v>22</v>
      </c>
      <c r="BD26" s="71">
        <f t="shared" si="4"/>
        <v>11</v>
      </c>
      <c r="BE26" s="71">
        <f t="shared" si="4"/>
        <v>16</v>
      </c>
      <c r="BF26" s="71">
        <f t="shared" si="4"/>
        <v>12</v>
      </c>
      <c r="BG26" s="71">
        <f t="shared" si="4"/>
        <v>8</v>
      </c>
      <c r="BH26" s="71">
        <f t="shared" si="4"/>
        <v>19</v>
      </c>
      <c r="BI26" s="71">
        <f t="shared" si="4"/>
        <v>12</v>
      </c>
      <c r="BJ26" s="71">
        <f t="shared" si="4"/>
        <v>9</v>
      </c>
      <c r="BK26" s="71">
        <f t="shared" si="4"/>
        <v>19</v>
      </c>
      <c r="BL26" s="71">
        <f t="shared" si="4"/>
        <v>18</v>
      </c>
      <c r="BM26" s="71">
        <f t="shared" si="4"/>
        <v>2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34</v>
      </c>
      <c r="L27" s="71">
        <f t="shared" ref="L27:BM27" si="5">ABS(($D21+$D22)-(L23+L24))</f>
        <v>42</v>
      </c>
      <c r="M27" s="71">
        <f t="shared" si="5"/>
        <v>37</v>
      </c>
      <c r="N27" s="71">
        <f t="shared" si="5"/>
        <v>37</v>
      </c>
      <c r="O27" s="71">
        <f t="shared" si="5"/>
        <v>45</v>
      </c>
      <c r="P27" s="71">
        <f t="shared" si="5"/>
        <v>34</v>
      </c>
      <c r="Q27" s="71">
        <f t="shared" si="5"/>
        <v>65</v>
      </c>
      <c r="R27" s="71">
        <f t="shared" si="5"/>
        <v>34</v>
      </c>
      <c r="S27" s="71">
        <f t="shared" si="5"/>
        <v>40</v>
      </c>
      <c r="T27" s="71">
        <f t="shared" si="5"/>
        <v>41</v>
      </c>
      <c r="U27" s="71">
        <f t="shared" si="5"/>
        <v>17</v>
      </c>
      <c r="V27" s="71">
        <f t="shared" si="5"/>
        <v>51</v>
      </c>
      <c r="W27" s="71">
        <f t="shared" si="5"/>
        <v>46</v>
      </c>
      <c r="X27" s="71">
        <f t="shared" si="5"/>
        <v>42</v>
      </c>
      <c r="Y27" s="71">
        <f t="shared" si="5"/>
        <v>41</v>
      </c>
      <c r="Z27" s="71">
        <f t="shared" si="5"/>
        <v>37</v>
      </c>
      <c r="AA27" s="71">
        <f t="shared" si="5"/>
        <v>28</v>
      </c>
      <c r="AB27" s="71">
        <f t="shared" si="5"/>
        <v>37</v>
      </c>
      <c r="AC27" s="71">
        <f t="shared" si="5"/>
        <v>37</v>
      </c>
      <c r="AD27" s="71">
        <f t="shared" si="5"/>
        <v>35</v>
      </c>
      <c r="AE27" s="71">
        <f t="shared" si="5"/>
        <v>31</v>
      </c>
      <c r="AF27" s="71">
        <f t="shared" si="5"/>
        <v>24</v>
      </c>
      <c r="AG27" s="71">
        <f t="shared" si="5"/>
        <v>5</v>
      </c>
      <c r="AH27" s="71">
        <f t="shared" si="5"/>
        <v>28</v>
      </c>
      <c r="AI27" s="71">
        <f t="shared" si="5"/>
        <v>31</v>
      </c>
      <c r="AJ27" s="71">
        <f t="shared" si="5"/>
        <v>53</v>
      </c>
      <c r="AK27" s="71">
        <f t="shared" si="5"/>
        <v>27</v>
      </c>
      <c r="AL27" s="71">
        <f t="shared" si="5"/>
        <v>18</v>
      </c>
      <c r="AM27" s="71">
        <f t="shared" si="5"/>
        <v>1</v>
      </c>
      <c r="AN27" s="71">
        <f t="shared" si="5"/>
        <v>37</v>
      </c>
      <c r="AO27" s="71">
        <f t="shared" si="5"/>
        <v>31</v>
      </c>
      <c r="AP27" s="71">
        <f t="shared" si="5"/>
        <v>49</v>
      </c>
      <c r="AQ27" s="71">
        <f t="shared" si="5"/>
        <v>37</v>
      </c>
      <c r="AR27" s="71">
        <f t="shared" si="5"/>
        <v>41</v>
      </c>
      <c r="AS27" s="71">
        <f t="shared" si="5"/>
        <v>35</v>
      </c>
      <c r="AT27" s="71">
        <f t="shared" si="5"/>
        <v>31</v>
      </c>
      <c r="AU27" s="71">
        <f t="shared" si="5"/>
        <v>37</v>
      </c>
      <c r="AV27" s="71">
        <f t="shared" si="5"/>
        <v>41</v>
      </c>
      <c r="AW27" s="71">
        <f t="shared" si="5"/>
        <v>25</v>
      </c>
      <c r="AX27" s="71">
        <f t="shared" si="5"/>
        <v>69</v>
      </c>
      <c r="AY27" s="71">
        <f t="shared" si="5"/>
        <v>49</v>
      </c>
      <c r="AZ27" s="71">
        <f t="shared" si="5"/>
        <v>51</v>
      </c>
      <c r="BA27" s="71">
        <f t="shared" si="5"/>
        <v>29</v>
      </c>
      <c r="BB27" s="71">
        <f t="shared" si="5"/>
        <v>34</v>
      </c>
      <c r="BC27" s="71">
        <f t="shared" si="5"/>
        <v>20</v>
      </c>
      <c r="BD27" s="71">
        <f t="shared" si="5"/>
        <v>45</v>
      </c>
      <c r="BE27" s="71">
        <f t="shared" si="5"/>
        <v>42</v>
      </c>
      <c r="BF27" s="71">
        <f t="shared" si="5"/>
        <v>86</v>
      </c>
      <c r="BG27" s="71">
        <f t="shared" si="5"/>
        <v>30</v>
      </c>
      <c r="BH27" s="71">
        <f t="shared" si="5"/>
        <v>3</v>
      </c>
      <c r="BI27" s="71">
        <f t="shared" si="5"/>
        <v>86</v>
      </c>
      <c r="BJ27" s="71">
        <f t="shared" si="5"/>
        <v>13</v>
      </c>
      <c r="BK27" s="71">
        <f t="shared" si="5"/>
        <v>31</v>
      </c>
      <c r="BL27" s="71">
        <f t="shared" si="5"/>
        <v>32</v>
      </c>
      <c r="BM27" s="71">
        <f t="shared" si="5"/>
        <v>44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0.5636363636363636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2</v>
      </c>
      <c r="M29" s="71">
        <f t="shared" si="7"/>
        <v>6</v>
      </c>
      <c r="N29" s="71">
        <f t="shared" si="7"/>
        <v>6</v>
      </c>
      <c r="O29" s="71">
        <f t="shared" si="7"/>
        <v>7</v>
      </c>
      <c r="P29" s="71">
        <f t="shared" si="7"/>
        <v>6</v>
      </c>
      <c r="Q29" s="71">
        <f t="shared" si="7"/>
        <v>5</v>
      </c>
      <c r="R29" s="71">
        <f t="shared" si="7"/>
        <v>7</v>
      </c>
      <c r="S29" s="71">
        <f t="shared" si="7"/>
        <v>7</v>
      </c>
      <c r="T29" s="71">
        <f t="shared" si="7"/>
        <v>6</v>
      </c>
      <c r="U29" s="71">
        <f t="shared" si="7"/>
        <v>9</v>
      </c>
      <c r="V29" s="71">
        <f t="shared" si="7"/>
        <v>6</v>
      </c>
      <c r="W29" s="71">
        <f t="shared" si="7"/>
        <v>7</v>
      </c>
      <c r="X29" s="71">
        <f t="shared" si="7"/>
        <v>8</v>
      </c>
      <c r="Y29" s="71">
        <f t="shared" si="7"/>
        <v>7</v>
      </c>
      <c r="Z29" s="71">
        <f t="shared" si="7"/>
        <v>5</v>
      </c>
      <c r="AA29" s="71">
        <f t="shared" si="7"/>
        <v>4</v>
      </c>
      <c r="AB29" s="71">
        <f t="shared" si="7"/>
        <v>7</v>
      </c>
      <c r="AC29" s="71">
        <f t="shared" si="7"/>
        <v>7</v>
      </c>
      <c r="AD29" s="71">
        <f t="shared" si="7"/>
        <v>3</v>
      </c>
      <c r="AE29" s="71">
        <f t="shared" si="7"/>
        <v>7</v>
      </c>
      <c r="AF29" s="71">
        <f t="shared" si="7"/>
        <v>4</v>
      </c>
      <c r="AG29" s="71">
        <f t="shared" si="7"/>
        <v>3</v>
      </c>
      <c r="AH29" s="71">
        <f t="shared" si="7"/>
        <v>3</v>
      </c>
      <c r="AI29" s="71">
        <f t="shared" si="7"/>
        <v>7</v>
      </c>
      <c r="AJ29" s="71">
        <f t="shared" si="7"/>
        <v>7</v>
      </c>
      <c r="AK29" s="71">
        <f t="shared" si="7"/>
        <v>4</v>
      </c>
      <c r="AL29" s="71">
        <f t="shared" si="7"/>
        <v>4</v>
      </c>
      <c r="AM29" s="71">
        <f t="shared" si="7"/>
        <v>7</v>
      </c>
      <c r="AN29" s="71">
        <f t="shared" si="7"/>
        <v>5</v>
      </c>
      <c r="AO29" s="71">
        <f t="shared" si="7"/>
        <v>7</v>
      </c>
      <c r="AP29" s="71">
        <f t="shared" si="7"/>
        <v>3</v>
      </c>
      <c r="AQ29" s="71">
        <f t="shared" si="7"/>
        <v>3</v>
      </c>
      <c r="AR29" s="71">
        <f t="shared" si="7"/>
        <v>5</v>
      </c>
      <c r="AS29" s="71">
        <f t="shared" si="7"/>
        <v>7</v>
      </c>
      <c r="AT29" s="71">
        <f t="shared" si="7"/>
        <v>4</v>
      </c>
      <c r="AU29" s="71">
        <f t="shared" si="7"/>
        <v>7</v>
      </c>
      <c r="AV29" s="71">
        <f t="shared" si="7"/>
        <v>5</v>
      </c>
      <c r="AW29" s="71">
        <f t="shared" si="7"/>
        <v>8</v>
      </c>
      <c r="AX29" s="71">
        <f t="shared" si="7"/>
        <v>7</v>
      </c>
      <c r="AY29" s="71">
        <f t="shared" si="7"/>
        <v>5</v>
      </c>
      <c r="AZ29" s="71">
        <f t="shared" si="7"/>
        <v>4</v>
      </c>
      <c r="BA29" s="71">
        <f t="shared" si="7"/>
        <v>7</v>
      </c>
      <c r="BB29" s="71">
        <f t="shared" si="7"/>
        <v>4</v>
      </c>
      <c r="BC29" s="71">
        <f t="shared" si="7"/>
        <v>5</v>
      </c>
      <c r="BD29" s="71">
        <f t="shared" si="7"/>
        <v>6</v>
      </c>
      <c r="BE29" s="71">
        <f t="shared" si="7"/>
        <v>2</v>
      </c>
      <c r="BF29" s="71">
        <f t="shared" si="7"/>
        <v>0</v>
      </c>
      <c r="BG29" s="71">
        <f t="shared" si="7"/>
        <v>5</v>
      </c>
      <c r="BH29" s="71">
        <f t="shared" si="7"/>
        <v>8</v>
      </c>
      <c r="BI29" s="71">
        <f t="shared" si="7"/>
        <v>0</v>
      </c>
      <c r="BJ29" s="71">
        <f t="shared" si="7"/>
        <v>4</v>
      </c>
      <c r="BK29" s="71">
        <f t="shared" si="7"/>
        <v>7</v>
      </c>
      <c r="BL29" s="71">
        <f t="shared" si="7"/>
        <v>5</v>
      </c>
      <c r="BM29" s="71">
        <f t="shared" si="7"/>
        <v>8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3</v>
      </c>
      <c r="S30" s="73">
        <f t="shared" si="8"/>
        <v>5</v>
      </c>
      <c r="T30" s="73">
        <f t="shared" si="8"/>
        <v>2</v>
      </c>
      <c r="U30" s="73">
        <f t="shared" si="8"/>
        <v>3</v>
      </c>
      <c r="V30" s="73">
        <f t="shared" si="8"/>
        <v>4</v>
      </c>
      <c r="W30" s="73">
        <f t="shared" si="8"/>
        <v>3</v>
      </c>
      <c r="X30" s="73">
        <f t="shared" si="8"/>
        <v>4</v>
      </c>
      <c r="Y30" s="73">
        <f t="shared" si="8"/>
        <v>3</v>
      </c>
      <c r="Z30" s="73">
        <f t="shared" si="8"/>
        <v>3</v>
      </c>
      <c r="AA30" s="73">
        <f t="shared" si="8"/>
        <v>4</v>
      </c>
      <c r="AB30" s="73">
        <f t="shared" si="8"/>
        <v>3</v>
      </c>
      <c r="AC30" s="73">
        <f t="shared" si="8"/>
        <v>3</v>
      </c>
      <c r="AD30" s="73">
        <f t="shared" si="8"/>
        <v>5</v>
      </c>
      <c r="AE30" s="73">
        <f t="shared" si="8"/>
        <v>5</v>
      </c>
      <c r="AF30" s="73">
        <f t="shared" si="8"/>
        <v>4</v>
      </c>
      <c r="AG30" s="73">
        <f t="shared" si="8"/>
        <v>3</v>
      </c>
      <c r="AH30" s="73">
        <f t="shared" si="8"/>
        <v>3</v>
      </c>
      <c r="AI30" s="73">
        <f t="shared" si="8"/>
        <v>1</v>
      </c>
      <c r="AJ30" s="73">
        <f t="shared" si="8"/>
        <v>3</v>
      </c>
      <c r="AK30" s="73">
        <f t="shared" si="8"/>
        <v>10</v>
      </c>
      <c r="AL30" s="73">
        <f t="shared" si="8"/>
        <v>4</v>
      </c>
      <c r="AM30" s="73">
        <f t="shared" si="8"/>
        <v>5</v>
      </c>
      <c r="AN30" s="73">
        <f t="shared" si="8"/>
        <v>5</v>
      </c>
      <c r="AO30" s="73">
        <f t="shared" si="8"/>
        <v>3</v>
      </c>
      <c r="AP30" s="73">
        <f t="shared" si="8"/>
        <v>9</v>
      </c>
      <c r="AQ30" s="73">
        <f t="shared" si="8"/>
        <v>7</v>
      </c>
      <c r="AR30" s="73">
        <f t="shared" si="8"/>
        <v>7</v>
      </c>
      <c r="AS30" s="73">
        <f t="shared" si="8"/>
        <v>5</v>
      </c>
      <c r="AT30" s="73">
        <f t="shared" si="8"/>
        <v>4</v>
      </c>
      <c r="AU30" s="73">
        <f t="shared" si="8"/>
        <v>5</v>
      </c>
      <c r="AV30" s="73">
        <f t="shared" si="8"/>
        <v>3</v>
      </c>
      <c r="AW30" s="73">
        <f t="shared" si="8"/>
        <v>2</v>
      </c>
      <c r="AX30" s="73">
        <f t="shared" si="8"/>
        <v>3</v>
      </c>
      <c r="AY30" s="73">
        <f t="shared" si="8"/>
        <v>5</v>
      </c>
      <c r="AZ30" s="73">
        <f t="shared" si="8"/>
        <v>4</v>
      </c>
      <c r="BA30" s="73">
        <f t="shared" si="8"/>
        <v>3</v>
      </c>
      <c r="BB30" s="73">
        <f t="shared" si="8"/>
        <v>6</v>
      </c>
      <c r="BC30" s="73">
        <f t="shared" si="8"/>
        <v>3</v>
      </c>
      <c r="BD30" s="73">
        <f t="shared" si="8"/>
        <v>4</v>
      </c>
      <c r="BE30" s="73">
        <f t="shared" si="8"/>
        <v>4</v>
      </c>
      <c r="BF30" s="73">
        <f t="shared" si="8"/>
        <v>10</v>
      </c>
      <c r="BG30" s="73">
        <f t="shared" si="8"/>
        <v>7</v>
      </c>
      <c r="BH30" s="73">
        <f t="shared" si="8"/>
        <v>4</v>
      </c>
      <c r="BI30" s="73">
        <f t="shared" si="8"/>
        <v>10</v>
      </c>
      <c r="BJ30" s="73">
        <f t="shared" si="8"/>
        <v>10</v>
      </c>
      <c r="BK30" s="73">
        <f t="shared" si="8"/>
        <v>3</v>
      </c>
      <c r="BL30" s="73">
        <f t="shared" si="8"/>
        <v>5</v>
      </c>
      <c r="BM30" s="73">
        <f t="shared" si="8"/>
        <v>4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3</v>
      </c>
      <c r="S31" s="71">
        <f t="shared" ca="1" si="9"/>
        <v>3</v>
      </c>
      <c r="T31" s="71">
        <f t="shared" ca="1" si="9"/>
        <v>4</v>
      </c>
      <c r="U31" s="71">
        <f t="shared" ca="1" si="9"/>
        <v>3</v>
      </c>
      <c r="V31" s="71">
        <f t="shared" ca="1" si="9"/>
        <v>4</v>
      </c>
      <c r="W31" s="71">
        <f t="shared" ca="1" si="9"/>
        <v>3</v>
      </c>
      <c r="X31" s="71">
        <f t="shared" ca="1" si="9"/>
        <v>4</v>
      </c>
      <c r="Y31" s="71">
        <f t="shared" ca="1" si="9"/>
        <v>5</v>
      </c>
      <c r="Z31" s="71">
        <f t="shared" ca="1" si="9"/>
        <v>5</v>
      </c>
      <c r="AA31" s="71">
        <f t="shared" ca="1" si="9"/>
        <v>2</v>
      </c>
      <c r="AB31" s="71">
        <f t="shared" ca="1" si="9"/>
        <v>3</v>
      </c>
      <c r="AC31" s="71">
        <f t="shared" ca="1" si="9"/>
        <v>3</v>
      </c>
      <c r="AD31" s="71">
        <f t="shared" ca="1" si="9"/>
        <v>7</v>
      </c>
      <c r="AE31" s="71">
        <f t="shared" ca="1" si="9"/>
        <v>3</v>
      </c>
      <c r="AF31" s="71">
        <f t="shared" ca="1" si="9"/>
        <v>4</v>
      </c>
      <c r="AG31" s="71">
        <f t="shared" ca="1" si="9"/>
        <v>5</v>
      </c>
      <c r="AH31" s="71">
        <f t="shared" ca="1" si="9"/>
        <v>3</v>
      </c>
      <c r="AI31" s="71">
        <f t="shared" ca="1" si="9"/>
        <v>1</v>
      </c>
      <c r="AJ31" s="71">
        <f t="shared" ca="1" si="9"/>
        <v>5</v>
      </c>
      <c r="AK31" s="71">
        <f t="shared" ca="1" si="9"/>
        <v>8</v>
      </c>
      <c r="AL31" s="71">
        <f t="shared" ca="1" si="9"/>
        <v>4</v>
      </c>
      <c r="AM31" s="71">
        <f t="shared" ca="1" si="9"/>
        <v>5</v>
      </c>
      <c r="AN31" s="71">
        <f t="shared" ca="1" si="9"/>
        <v>3</v>
      </c>
      <c r="AO31" s="71">
        <f t="shared" ca="1" si="9"/>
        <v>1</v>
      </c>
      <c r="AP31" s="71">
        <f t="shared" ca="1" si="9"/>
        <v>7</v>
      </c>
      <c r="AQ31" s="71">
        <f t="shared" ca="1" si="9"/>
        <v>7</v>
      </c>
      <c r="AR31" s="71">
        <f t="shared" ca="1" si="9"/>
        <v>7</v>
      </c>
      <c r="AS31" s="71">
        <f t="shared" ca="1" si="9"/>
        <v>3</v>
      </c>
      <c r="AT31" s="71">
        <f t="shared" ca="1" si="9"/>
        <v>4</v>
      </c>
      <c r="AU31" s="71">
        <f t="shared" ca="1" si="9"/>
        <v>3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3</v>
      </c>
      <c r="AZ31" s="71">
        <f t="shared" ca="1" si="9"/>
        <v>2</v>
      </c>
      <c r="BA31" s="71">
        <f t="shared" ca="1" si="9"/>
        <v>3</v>
      </c>
      <c r="BB31" s="71">
        <f t="shared" ca="1" si="9"/>
        <v>4</v>
      </c>
      <c r="BC31" s="71">
        <f t="shared" ca="1" si="9"/>
        <v>5</v>
      </c>
      <c r="BD31" s="71">
        <f t="shared" ca="1" si="9"/>
        <v>4</v>
      </c>
      <c r="BE31" s="71">
        <f t="shared" ca="1" si="9"/>
        <v>6</v>
      </c>
      <c r="BF31" s="71">
        <f t="shared" ca="1" si="9"/>
        <v>10</v>
      </c>
      <c r="BG31" s="71">
        <f t="shared" ca="1" si="9"/>
        <v>5</v>
      </c>
      <c r="BH31" s="71">
        <f t="shared" ca="1" si="9"/>
        <v>4</v>
      </c>
      <c r="BI31" s="71">
        <f t="shared" ca="1" si="9"/>
        <v>10</v>
      </c>
      <c r="BJ31" s="71">
        <f t="shared" ca="1" si="9"/>
        <v>8</v>
      </c>
      <c r="BK31" s="71">
        <f t="shared" ca="1" si="9"/>
        <v>1</v>
      </c>
      <c r="BL31" s="71">
        <f t="shared" ca="1" si="9"/>
        <v>5</v>
      </c>
      <c r="BM31" s="71">
        <f t="shared" ca="1" si="9"/>
        <v>6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119935864</v>
      </c>
      <c r="L36" s="32">
        <f t="shared" ref="L36:BM36" si="12">COUNTA(L23:L24)*((10000000*L25)+(1000000*(COUNTA(L21)*$E21+COUNTA(L22)*$E22))-(COUNTA($D$21:$D$22)*1000*L26)-(COUNTA($D$21:$D$22)*L27))</f>
        <v>99935832</v>
      </c>
      <c r="M36" s="32">
        <f t="shared" si="12"/>
        <v>139923852</v>
      </c>
      <c r="N36" s="32">
        <f t="shared" si="12"/>
        <v>141979852</v>
      </c>
      <c r="O36" s="32">
        <f t="shared" si="12"/>
        <v>159923820</v>
      </c>
      <c r="P36" s="32">
        <f t="shared" si="12"/>
        <v>99935864</v>
      </c>
      <c r="Q36" s="32">
        <f t="shared" si="12"/>
        <v>161963740</v>
      </c>
      <c r="R36" s="32">
        <f t="shared" si="12"/>
        <v>201967864</v>
      </c>
      <c r="S36" s="32">
        <f t="shared" si="12"/>
        <v>119919840</v>
      </c>
      <c r="T36" s="32">
        <f t="shared" si="12"/>
        <v>141915836</v>
      </c>
      <c r="U36" s="32">
        <f t="shared" si="12"/>
        <v>121947932</v>
      </c>
      <c r="V36" s="32">
        <f t="shared" si="12"/>
        <v>101979796</v>
      </c>
      <c r="W36" s="32">
        <f t="shared" si="12"/>
        <v>79927816</v>
      </c>
      <c r="X36" s="32">
        <f t="shared" si="12"/>
        <v>99935832</v>
      </c>
      <c r="Y36" s="32">
        <f t="shared" si="12"/>
        <v>161963836</v>
      </c>
      <c r="Z36" s="32">
        <f t="shared" si="12"/>
        <v>119923852</v>
      </c>
      <c r="AA36" s="32">
        <f t="shared" si="12"/>
        <v>99935888</v>
      </c>
      <c r="AB36" s="32">
        <f t="shared" si="12"/>
        <v>119923852</v>
      </c>
      <c r="AC36" s="32">
        <f t="shared" si="12"/>
        <v>159923852</v>
      </c>
      <c r="AD36" s="32">
        <f t="shared" si="12"/>
        <v>81939860</v>
      </c>
      <c r="AE36" s="32">
        <f t="shared" si="12"/>
        <v>161979876</v>
      </c>
      <c r="AF36" s="32">
        <f t="shared" si="12"/>
        <v>99927904</v>
      </c>
      <c r="AG36" s="32">
        <f t="shared" si="12"/>
        <v>79915980</v>
      </c>
      <c r="AH36" s="32">
        <f t="shared" si="12"/>
        <v>119935888</v>
      </c>
      <c r="AI36" s="32">
        <f t="shared" si="12"/>
        <v>119923876</v>
      </c>
      <c r="AJ36" s="32">
        <f t="shared" si="12"/>
        <v>161995788</v>
      </c>
      <c r="AK36" s="32">
        <f t="shared" si="12"/>
        <v>61963892</v>
      </c>
      <c r="AL36" s="32">
        <f t="shared" si="12"/>
        <v>99919928</v>
      </c>
      <c r="AM36" s="32">
        <f t="shared" si="12"/>
        <v>121931996</v>
      </c>
      <c r="AN36" s="32">
        <f t="shared" si="12"/>
        <v>119923852</v>
      </c>
      <c r="AO36" s="32">
        <f t="shared" si="12"/>
        <v>159923876</v>
      </c>
      <c r="AP36" s="32">
        <f t="shared" si="12"/>
        <v>41963804</v>
      </c>
      <c r="AQ36" s="32">
        <f t="shared" si="12"/>
        <v>79923852</v>
      </c>
      <c r="AR36" s="32">
        <f t="shared" si="12"/>
        <v>121939836</v>
      </c>
      <c r="AS36" s="32">
        <f t="shared" si="12"/>
        <v>121963860</v>
      </c>
      <c r="AT36" s="32">
        <f t="shared" si="12"/>
        <v>141979876</v>
      </c>
      <c r="AU36" s="32">
        <f t="shared" si="12"/>
        <v>161979852</v>
      </c>
      <c r="AV36" s="32">
        <f t="shared" si="12"/>
        <v>79907836</v>
      </c>
      <c r="AW36" s="32">
        <f t="shared" si="12"/>
        <v>141947900</v>
      </c>
      <c r="AX36" s="32">
        <f t="shared" si="12"/>
        <v>119907724</v>
      </c>
      <c r="AY36" s="32">
        <f t="shared" si="12"/>
        <v>121939804</v>
      </c>
      <c r="AZ36" s="32">
        <f t="shared" si="12"/>
        <v>99923796</v>
      </c>
      <c r="BA36" s="32">
        <f t="shared" si="12"/>
        <v>121843884</v>
      </c>
      <c r="BB36" s="32">
        <f t="shared" si="12"/>
        <v>101991864</v>
      </c>
      <c r="BC36" s="32">
        <f t="shared" si="12"/>
        <v>119911920</v>
      </c>
      <c r="BD36" s="32">
        <f t="shared" si="12"/>
        <v>101955820</v>
      </c>
      <c r="BE36" s="32">
        <f t="shared" si="12"/>
        <v>59935832</v>
      </c>
      <c r="BF36" s="32">
        <f t="shared" si="12"/>
        <v>0</v>
      </c>
      <c r="BG36" s="32">
        <f t="shared" si="12"/>
        <v>81967880</v>
      </c>
      <c r="BH36" s="32">
        <f t="shared" si="12"/>
        <v>99923988</v>
      </c>
      <c r="BI36" s="32">
        <f t="shared" si="12"/>
        <v>0</v>
      </c>
      <c r="BJ36" s="32">
        <f t="shared" si="12"/>
        <v>61963948</v>
      </c>
      <c r="BK36" s="32">
        <f t="shared" si="12"/>
        <v>119923876</v>
      </c>
      <c r="BL36" s="32">
        <f t="shared" si="12"/>
        <v>79927872</v>
      </c>
      <c r="BM36" s="32">
        <f t="shared" si="12"/>
        <v>141991824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ca="1" si="13"/>
        <v>Stonecypher, David</v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Todd Remote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Stonecypher, David;Warren, Todd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81" priority="9" stopIfTrue="1" operator="equal">
      <formula>0</formula>
    </cfRule>
  </conditionalFormatting>
  <conditionalFormatting sqref="D26:J28 K28:BE28">
    <cfRule type="cellIs" dxfId="80" priority="10" stopIfTrue="1" operator="equal">
      <formula>1</formula>
    </cfRule>
  </conditionalFormatting>
  <conditionalFormatting sqref="H3:I3 F23 H5:I5 H7:I7 H9:I9 H11:I11 H13:I13 H15:I15 H17:I17 H19:I19 H21:I21">
    <cfRule type="cellIs" dxfId="79" priority="11" stopIfTrue="1" operator="equal">
      <formula>0</formula>
    </cfRule>
  </conditionalFormatting>
  <conditionalFormatting sqref="H4:I4 F24 H6:I6 H8:I8 H10:I10 H12:I12 H14:I14 H16:I16 H18:I18 H20:I20 H22:I22">
    <cfRule type="cellIs" dxfId="78" priority="12" stopIfTrue="1" operator="equal">
      <formula>0</formula>
    </cfRule>
  </conditionalFormatting>
  <conditionalFormatting sqref="F3 F5 F7 F9 F11 F13 F15 F17 F19 F21">
    <cfRule type="cellIs" dxfId="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75" priority="15" stopIfTrue="1">
      <formula>AND(COUNTA(J4)=1,$E4=1,SUM($E3:$E4)=1)</formula>
    </cfRule>
    <cfRule type="expression" dxfId="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73" priority="17" stopIfTrue="1">
      <formula>AND(COUNTA(J3)=1,$E3=1,SUM($E3:$E4)=1)</formula>
    </cfRule>
    <cfRule type="expression" dxfId="72" priority="18" stopIfTrue="1">
      <formula>AND(COUNTA(J3)=1,$E3=0,SUM($E3:$E4)=1)</formula>
    </cfRule>
  </conditionalFormatting>
  <conditionalFormatting sqref="BF23:BM23">
    <cfRule type="cellIs" dxfId="71" priority="7" stopIfTrue="1" operator="equal">
      <formula>0</formula>
    </cfRule>
  </conditionalFormatting>
  <conditionalFormatting sqref="BF24:BM24">
    <cfRule type="cellIs" dxfId="70" priority="6" stopIfTrue="1" operator="equal">
      <formula>0</formula>
    </cfRule>
  </conditionalFormatting>
  <conditionalFormatting sqref="BF28:BM28">
    <cfRule type="cellIs" dxfId="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8" priority="3" stopIfTrue="1">
      <formula>AND(COUNTA(BF4)=1,$E4=1,SUM($E3:$E4)=1)</formula>
    </cfRule>
    <cfRule type="expression" dxfId="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6" priority="1" stopIfTrue="1">
      <formula>AND(COUNTA(BF3)=1,$E3=1,SUM($E3:$E4)=1)</formula>
    </cfRule>
    <cfRule type="expression" dxfId="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>
    <pageSetUpPr fitToPage="1"/>
  </sheetPr>
  <dimension ref="A1:BM58"/>
  <sheetViews>
    <sheetView zoomScale="90" zoomScaleNormal="100" zoomScaleSheetLayoutView="100" workbookViewId="0">
      <selection activeCell="AP1" sqref="AP1:AP1048576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174</v>
      </c>
      <c r="C3" s="65"/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24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309</v>
      </c>
      <c r="L3" s="69" t="s">
        <v>309</v>
      </c>
      <c r="M3" s="69"/>
      <c r="N3" s="69"/>
      <c r="O3" s="69"/>
      <c r="P3" s="69"/>
      <c r="Q3" s="69" t="s">
        <v>312</v>
      </c>
      <c r="R3" s="69"/>
      <c r="S3" s="69" t="s">
        <v>311</v>
      </c>
      <c r="T3" s="69" t="s">
        <v>339</v>
      </c>
      <c r="U3" s="69" t="s">
        <v>345</v>
      </c>
      <c r="V3" s="69" t="s">
        <v>309</v>
      </c>
      <c r="W3" s="69"/>
      <c r="X3" s="69" t="s">
        <v>327</v>
      </c>
      <c r="Y3" s="69"/>
      <c r="Z3" s="69"/>
      <c r="AA3" s="69"/>
      <c r="AB3" s="69"/>
      <c r="AC3" s="69"/>
      <c r="AD3" s="69" t="s">
        <v>345</v>
      </c>
      <c r="AE3" s="69" t="s">
        <v>311</v>
      </c>
      <c r="AF3" s="69"/>
      <c r="AG3" s="69"/>
      <c r="AH3" s="69" t="s">
        <v>350</v>
      </c>
      <c r="AI3" s="69"/>
      <c r="AJ3" s="69"/>
      <c r="AK3" s="69" t="s">
        <v>311</v>
      </c>
      <c r="AL3" s="69"/>
      <c r="AM3" s="69"/>
      <c r="AN3" s="69" t="s">
        <v>335</v>
      </c>
      <c r="AO3" s="69"/>
      <c r="AP3" s="69" t="s">
        <v>393</v>
      </c>
      <c r="AQ3" s="69" t="s">
        <v>311</v>
      </c>
      <c r="AR3" s="96"/>
      <c r="AS3" s="69" t="s">
        <v>364</v>
      </c>
      <c r="AT3" s="69" t="s">
        <v>336</v>
      </c>
      <c r="AU3" s="69"/>
      <c r="AV3" s="69" t="s">
        <v>311</v>
      </c>
      <c r="AW3" s="69" t="s">
        <v>361</v>
      </c>
      <c r="AX3" s="69" t="s">
        <v>349</v>
      </c>
      <c r="AY3" s="69"/>
      <c r="AZ3" s="69"/>
      <c r="BA3" s="69"/>
      <c r="BB3" s="69" t="s">
        <v>314</v>
      </c>
      <c r="BC3" s="69"/>
      <c r="BD3" s="69"/>
      <c r="BE3" s="96"/>
      <c r="BF3" s="69" t="s">
        <v>309</v>
      </c>
      <c r="BG3" s="69"/>
      <c r="BH3" s="69"/>
      <c r="BI3" s="69"/>
      <c r="BJ3" s="69" t="s">
        <v>317</v>
      </c>
      <c r="BK3" s="69"/>
      <c r="BL3" s="69"/>
      <c r="BM3" s="69" t="s">
        <v>328</v>
      </c>
    </row>
    <row r="4" spans="1:65">
      <c r="A4" s="61" t="s">
        <v>3</v>
      </c>
      <c r="B4" s="68" t="s">
        <v>187</v>
      </c>
      <c r="C4" s="66">
        <v>5.5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31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320</v>
      </c>
      <c r="K4" s="70"/>
      <c r="L4" s="70"/>
      <c r="M4" s="70" t="s">
        <v>350</v>
      </c>
      <c r="N4" s="70" t="s">
        <v>312</v>
      </c>
      <c r="O4" s="70" t="s">
        <v>311</v>
      </c>
      <c r="P4" s="70" t="s">
        <v>309</v>
      </c>
      <c r="Q4" s="70"/>
      <c r="R4" s="70" t="s">
        <v>309</v>
      </c>
      <c r="S4" s="70"/>
      <c r="T4" s="70"/>
      <c r="U4" s="70"/>
      <c r="V4" s="70"/>
      <c r="W4" s="70" t="s">
        <v>490</v>
      </c>
      <c r="X4" s="70"/>
      <c r="Y4" s="70" t="s">
        <v>311</v>
      </c>
      <c r="Z4" s="70" t="s">
        <v>311</v>
      </c>
      <c r="AA4" s="70" t="s">
        <v>311</v>
      </c>
      <c r="AB4" s="70" t="s">
        <v>324</v>
      </c>
      <c r="AC4" s="70" t="s">
        <v>311</v>
      </c>
      <c r="AD4" s="70"/>
      <c r="AE4" s="70"/>
      <c r="AF4" s="70" t="s">
        <v>349</v>
      </c>
      <c r="AG4" s="70" t="s">
        <v>542</v>
      </c>
      <c r="AH4" s="70"/>
      <c r="AI4" s="70" t="s">
        <v>559</v>
      </c>
      <c r="AJ4" s="70" t="s">
        <v>329</v>
      </c>
      <c r="AK4" s="70"/>
      <c r="AL4" s="70" t="s">
        <v>327</v>
      </c>
      <c r="AM4" s="70" t="s">
        <v>336</v>
      </c>
      <c r="AN4" s="70"/>
      <c r="AO4" s="70" t="s">
        <v>311</v>
      </c>
      <c r="AP4" s="70"/>
      <c r="AQ4" s="70"/>
      <c r="AR4" s="70" t="s">
        <v>309</v>
      </c>
      <c r="AS4" s="70"/>
      <c r="AT4" s="70"/>
      <c r="AU4" s="70" t="s">
        <v>309</v>
      </c>
      <c r="AV4" s="70"/>
      <c r="AW4" s="70"/>
      <c r="AX4" s="70"/>
      <c r="AY4" s="70" t="s">
        <v>568</v>
      </c>
      <c r="AZ4" s="70" t="s">
        <v>311</v>
      </c>
      <c r="BA4" s="70" t="s">
        <v>311</v>
      </c>
      <c r="BB4" s="70"/>
      <c r="BC4" s="70" t="s">
        <v>339</v>
      </c>
      <c r="BD4" s="70" t="s">
        <v>378</v>
      </c>
      <c r="BE4" s="70" t="s">
        <v>364</v>
      </c>
      <c r="BF4" s="70"/>
      <c r="BG4" s="70" t="s">
        <v>311</v>
      </c>
      <c r="BH4" s="70" t="s">
        <v>311</v>
      </c>
      <c r="BI4" s="70" t="s">
        <v>419</v>
      </c>
      <c r="BJ4" s="70"/>
      <c r="BK4" s="70" t="s">
        <v>309</v>
      </c>
      <c r="BL4" s="70" t="s">
        <v>311</v>
      </c>
      <c r="BM4" s="70"/>
    </row>
    <row r="5" spans="1:65">
      <c r="A5" s="59">
        <v>2</v>
      </c>
      <c r="B5" s="67" t="s">
        <v>209</v>
      </c>
      <c r="C5" s="65">
        <v>12.5</v>
      </c>
      <c r="D5" s="64">
        <v>31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309</v>
      </c>
      <c r="M5" s="69" t="s">
        <v>350</v>
      </c>
      <c r="N5" s="69"/>
      <c r="O5" s="69" t="s">
        <v>311</v>
      </c>
      <c r="P5" s="69" t="s">
        <v>309</v>
      </c>
      <c r="Q5" s="69" t="s">
        <v>375</v>
      </c>
      <c r="R5" s="69"/>
      <c r="S5" s="69"/>
      <c r="T5" s="69"/>
      <c r="U5" s="69" t="s">
        <v>337</v>
      </c>
      <c r="V5" s="69" t="s">
        <v>309</v>
      </c>
      <c r="W5" s="69"/>
      <c r="X5" s="69" t="s">
        <v>354</v>
      </c>
      <c r="Y5" s="69" t="s">
        <v>311</v>
      </c>
      <c r="Z5" s="69" t="s">
        <v>311</v>
      </c>
      <c r="AA5" s="69"/>
      <c r="AB5" s="69" t="s">
        <v>327</v>
      </c>
      <c r="AC5" s="69" t="s">
        <v>311</v>
      </c>
      <c r="AD5" s="69" t="s">
        <v>346</v>
      </c>
      <c r="AE5" s="69" t="s">
        <v>311</v>
      </c>
      <c r="AF5" s="69" t="s">
        <v>349</v>
      </c>
      <c r="AG5" s="69" t="s">
        <v>554</v>
      </c>
      <c r="AH5" s="69"/>
      <c r="AI5" s="69" t="s">
        <v>560</v>
      </c>
      <c r="AJ5" s="69" t="s">
        <v>329</v>
      </c>
      <c r="AK5" s="69"/>
      <c r="AL5" s="69"/>
      <c r="AM5" s="69"/>
      <c r="AN5" s="69" t="s">
        <v>335</v>
      </c>
      <c r="AO5" s="69" t="s">
        <v>311</v>
      </c>
      <c r="AP5" s="69" t="s">
        <v>313</v>
      </c>
      <c r="AQ5" s="69" t="s">
        <v>311</v>
      </c>
      <c r="AR5" s="96"/>
      <c r="AS5" s="69"/>
      <c r="AT5" s="69" t="s">
        <v>336</v>
      </c>
      <c r="AU5" s="69"/>
      <c r="AV5" s="69" t="s">
        <v>311</v>
      </c>
      <c r="AW5" s="69"/>
      <c r="AX5" s="69"/>
      <c r="AY5" s="69" t="s">
        <v>569</v>
      </c>
      <c r="AZ5" s="69" t="s">
        <v>311</v>
      </c>
      <c r="BA5" s="69" t="s">
        <v>311</v>
      </c>
      <c r="BB5" s="69" t="s">
        <v>314</v>
      </c>
      <c r="BC5" s="69" t="s">
        <v>339</v>
      </c>
      <c r="BD5" s="69" t="s">
        <v>378</v>
      </c>
      <c r="BE5" s="69" t="s">
        <v>364</v>
      </c>
      <c r="BF5" s="69"/>
      <c r="BG5" s="69"/>
      <c r="BH5" s="69" t="s">
        <v>311</v>
      </c>
      <c r="BI5" s="69" t="s">
        <v>419</v>
      </c>
      <c r="BJ5" s="69"/>
      <c r="BK5" s="69" t="s">
        <v>309</v>
      </c>
      <c r="BL5" s="69" t="s">
        <v>311</v>
      </c>
      <c r="BM5" s="69"/>
    </row>
    <row r="6" spans="1:65">
      <c r="A6" s="61" t="s">
        <v>3</v>
      </c>
      <c r="B6" s="68" t="s">
        <v>207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320</v>
      </c>
      <c r="K6" s="70" t="s">
        <v>309</v>
      </c>
      <c r="L6" s="70"/>
      <c r="M6" s="70"/>
      <c r="N6" s="70" t="s">
        <v>323</v>
      </c>
      <c r="O6" s="70"/>
      <c r="P6" s="70"/>
      <c r="Q6" s="70"/>
      <c r="R6" s="70" t="s">
        <v>309</v>
      </c>
      <c r="S6" s="70" t="s">
        <v>311</v>
      </c>
      <c r="T6" s="70" t="s">
        <v>339</v>
      </c>
      <c r="U6" s="70"/>
      <c r="V6" s="70"/>
      <c r="W6" s="70" t="s">
        <v>366</v>
      </c>
      <c r="X6" s="70"/>
      <c r="Y6" s="70"/>
      <c r="Z6" s="70"/>
      <c r="AA6" s="70" t="s">
        <v>311</v>
      </c>
      <c r="AB6" s="70"/>
      <c r="AC6" s="70"/>
      <c r="AD6" s="70"/>
      <c r="AE6" s="70"/>
      <c r="AF6" s="70"/>
      <c r="AG6" s="70"/>
      <c r="AH6" s="70" t="s">
        <v>325</v>
      </c>
      <c r="AI6" s="70"/>
      <c r="AJ6" s="70"/>
      <c r="AK6" s="70" t="s">
        <v>311</v>
      </c>
      <c r="AL6" s="70" t="s">
        <v>327</v>
      </c>
      <c r="AM6" s="70" t="s">
        <v>389</v>
      </c>
      <c r="AN6" s="70"/>
      <c r="AO6" s="70"/>
      <c r="AP6" s="70"/>
      <c r="AQ6" s="70"/>
      <c r="AR6" s="70" t="s">
        <v>309</v>
      </c>
      <c r="AS6" s="70" t="s">
        <v>329</v>
      </c>
      <c r="AT6" s="70"/>
      <c r="AU6" s="70" t="s">
        <v>309</v>
      </c>
      <c r="AV6" s="70"/>
      <c r="AW6" s="70" t="s">
        <v>563</v>
      </c>
      <c r="AX6" s="70" t="s">
        <v>327</v>
      </c>
      <c r="AY6" s="70"/>
      <c r="AZ6" s="70"/>
      <c r="BA6" s="70"/>
      <c r="BB6" s="70"/>
      <c r="BC6" s="70"/>
      <c r="BD6" s="70"/>
      <c r="BE6" s="97"/>
      <c r="BF6" s="70" t="s">
        <v>309</v>
      </c>
      <c r="BG6" s="70" t="s">
        <v>311</v>
      </c>
      <c r="BH6" s="70"/>
      <c r="BI6" s="70"/>
      <c r="BJ6" s="70" t="s">
        <v>346</v>
      </c>
      <c r="BK6" s="70"/>
      <c r="BL6" s="70"/>
      <c r="BM6" s="70" t="s">
        <v>327</v>
      </c>
    </row>
    <row r="7" spans="1:65">
      <c r="A7" s="59">
        <v>3</v>
      </c>
      <c r="B7" s="67" t="s">
        <v>163</v>
      </c>
      <c r="C7" s="65">
        <v>3.5</v>
      </c>
      <c r="D7" s="64">
        <v>6</v>
      </c>
      <c r="E7" s="64">
        <f>IF(ISBLANK($D7),"0",IF(($D8-$D7)&lt;($C8-$C7),1,0))</f>
        <v>0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350</v>
      </c>
      <c r="N7" s="69" t="s">
        <v>367</v>
      </c>
      <c r="O7" s="69" t="s">
        <v>311</v>
      </c>
      <c r="P7" s="69" t="s">
        <v>309</v>
      </c>
      <c r="Q7" s="69" t="s">
        <v>393</v>
      </c>
      <c r="R7" s="96"/>
      <c r="S7" s="96" t="s">
        <v>311</v>
      </c>
      <c r="T7" s="96" t="s">
        <v>339</v>
      </c>
      <c r="U7" s="96"/>
      <c r="V7" s="69"/>
      <c r="W7" s="69" t="s">
        <v>337</v>
      </c>
      <c r="X7" s="69" t="s">
        <v>314</v>
      </c>
      <c r="Y7" s="69" t="s">
        <v>311</v>
      </c>
      <c r="Z7" s="69"/>
      <c r="AA7" s="69" t="s">
        <v>311</v>
      </c>
      <c r="AB7" s="69" t="s">
        <v>357</v>
      </c>
      <c r="AC7" s="69"/>
      <c r="AD7" s="69"/>
      <c r="AE7" s="69"/>
      <c r="AF7" s="69"/>
      <c r="AG7" s="69" t="s">
        <v>501</v>
      </c>
      <c r="AH7" s="69" t="s">
        <v>313</v>
      </c>
      <c r="AI7" s="69" t="s">
        <v>366</v>
      </c>
      <c r="AJ7" s="69" t="s">
        <v>329</v>
      </c>
      <c r="AK7" s="69"/>
      <c r="AL7" s="69"/>
      <c r="AM7" s="69" t="s">
        <v>313</v>
      </c>
      <c r="AN7" s="69" t="s">
        <v>335</v>
      </c>
      <c r="AO7" s="69" t="s">
        <v>311</v>
      </c>
      <c r="AP7" s="69"/>
      <c r="AQ7" s="69"/>
      <c r="AR7" s="96" t="s">
        <v>309</v>
      </c>
      <c r="AS7" s="69" t="s">
        <v>331</v>
      </c>
      <c r="AT7" s="69" t="s">
        <v>336</v>
      </c>
      <c r="AU7" s="69" t="s">
        <v>309</v>
      </c>
      <c r="AV7" s="69" t="s">
        <v>311</v>
      </c>
      <c r="AW7" s="69"/>
      <c r="AX7" s="69"/>
      <c r="AY7" s="69" t="s">
        <v>374</v>
      </c>
      <c r="AZ7" s="69" t="s">
        <v>311</v>
      </c>
      <c r="BA7" s="69" t="s">
        <v>311</v>
      </c>
      <c r="BB7" s="69" t="s">
        <v>314</v>
      </c>
      <c r="BC7" s="69" t="s">
        <v>339</v>
      </c>
      <c r="BD7" s="69"/>
      <c r="BE7" s="96" t="s">
        <v>364</v>
      </c>
      <c r="BF7" s="69"/>
      <c r="BG7" s="69" t="s">
        <v>311</v>
      </c>
      <c r="BH7" s="69"/>
      <c r="BI7" s="69" t="s">
        <v>419</v>
      </c>
      <c r="BJ7" s="69"/>
      <c r="BK7" s="69" t="s">
        <v>309</v>
      </c>
      <c r="BL7" s="69" t="s">
        <v>311</v>
      </c>
      <c r="BM7" s="69" t="s">
        <v>329</v>
      </c>
    </row>
    <row r="8" spans="1:65">
      <c r="A8" s="61" t="s">
        <v>3</v>
      </c>
      <c r="B8" s="68" t="s">
        <v>146</v>
      </c>
      <c r="C8" s="66"/>
      <c r="D8" s="64">
        <v>28</v>
      </c>
      <c r="E8" s="64">
        <f>IF(ISBLANK($D8),"0",IF(($D8-$D7)&gt;($C8-$C7),1,0))</f>
        <v>1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320</v>
      </c>
      <c r="K8" s="70" t="s">
        <v>309</v>
      </c>
      <c r="L8" s="70" t="s">
        <v>309</v>
      </c>
      <c r="M8" s="70"/>
      <c r="N8" s="70"/>
      <c r="O8" s="70"/>
      <c r="P8" s="70"/>
      <c r="Q8" s="70"/>
      <c r="R8" s="97" t="s">
        <v>309</v>
      </c>
      <c r="S8" s="97"/>
      <c r="T8" s="97"/>
      <c r="U8" s="70" t="s">
        <v>325</v>
      </c>
      <c r="V8" s="70" t="s">
        <v>309</v>
      </c>
      <c r="W8" s="70"/>
      <c r="X8" s="70"/>
      <c r="Y8" s="70"/>
      <c r="Z8" s="70" t="s">
        <v>311</v>
      </c>
      <c r="AA8" s="70"/>
      <c r="AB8" s="70"/>
      <c r="AC8" s="70" t="s">
        <v>311</v>
      </c>
      <c r="AD8" s="70" t="s">
        <v>337</v>
      </c>
      <c r="AE8" s="70" t="s">
        <v>311</v>
      </c>
      <c r="AF8" s="70" t="s">
        <v>349</v>
      </c>
      <c r="AG8" s="70"/>
      <c r="AH8" s="70"/>
      <c r="AI8" s="70"/>
      <c r="AJ8" s="70"/>
      <c r="AK8" s="70" t="s">
        <v>311</v>
      </c>
      <c r="AL8" s="70" t="s">
        <v>327</v>
      </c>
      <c r="AM8" s="70"/>
      <c r="AN8" s="70"/>
      <c r="AO8" s="70"/>
      <c r="AP8" s="70" t="s">
        <v>320</v>
      </c>
      <c r="AQ8" s="70" t="s">
        <v>311</v>
      </c>
      <c r="AR8" s="70"/>
      <c r="AS8" s="70"/>
      <c r="AT8" s="70"/>
      <c r="AU8" s="70"/>
      <c r="AV8" s="70"/>
      <c r="AW8" s="70" t="s">
        <v>321</v>
      </c>
      <c r="AX8" s="70" t="s">
        <v>331</v>
      </c>
      <c r="AY8" s="70"/>
      <c r="AZ8" s="70"/>
      <c r="BA8" s="70"/>
      <c r="BB8" s="70"/>
      <c r="BC8" s="70"/>
      <c r="BD8" s="70" t="s">
        <v>378</v>
      </c>
      <c r="BE8" s="70"/>
      <c r="BF8" s="70" t="s">
        <v>309</v>
      </c>
      <c r="BG8" s="70"/>
      <c r="BH8" s="70" t="s">
        <v>311</v>
      </c>
      <c r="BI8" s="70"/>
      <c r="BJ8" s="70" t="s">
        <v>314</v>
      </c>
      <c r="BK8" s="70"/>
      <c r="BL8" s="70"/>
      <c r="BM8" s="70"/>
    </row>
    <row r="9" spans="1:65">
      <c r="A9" s="59">
        <v>4</v>
      </c>
      <c r="B9" s="108" t="s">
        <v>157</v>
      </c>
      <c r="C9" s="65"/>
      <c r="D9" s="81">
        <v>23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309</v>
      </c>
      <c r="L9" s="69"/>
      <c r="M9" s="69"/>
      <c r="N9" s="69" t="s">
        <v>346</v>
      </c>
      <c r="O9" s="69"/>
      <c r="P9" s="69" t="s">
        <v>309</v>
      </c>
      <c r="Q9" s="69" t="s">
        <v>393</v>
      </c>
      <c r="R9" s="96"/>
      <c r="S9" s="96"/>
      <c r="T9" s="96" t="s">
        <v>339</v>
      </c>
      <c r="U9" s="69"/>
      <c r="V9" s="69" t="s">
        <v>309</v>
      </c>
      <c r="W9" s="69"/>
      <c r="X9" s="69"/>
      <c r="Y9" s="69"/>
      <c r="Z9" s="69"/>
      <c r="AA9" s="69"/>
      <c r="AB9" s="69"/>
      <c r="AC9" s="69"/>
      <c r="AD9" s="69" t="s">
        <v>319</v>
      </c>
      <c r="AE9" s="69" t="s">
        <v>311</v>
      </c>
      <c r="AF9" s="69"/>
      <c r="AG9" s="69" t="s">
        <v>546</v>
      </c>
      <c r="AH9" s="69" t="s">
        <v>362</v>
      </c>
      <c r="AI9" s="69" t="s">
        <v>561</v>
      </c>
      <c r="AJ9" s="69" t="s">
        <v>329</v>
      </c>
      <c r="AK9" s="69"/>
      <c r="AL9" s="69" t="s">
        <v>327</v>
      </c>
      <c r="AM9" s="69" t="s">
        <v>332</v>
      </c>
      <c r="AN9" s="69" t="s">
        <v>335</v>
      </c>
      <c r="AO9" s="69" t="s">
        <v>311</v>
      </c>
      <c r="AP9" s="69" t="s">
        <v>320</v>
      </c>
      <c r="AQ9" s="69"/>
      <c r="AR9" s="96" t="s">
        <v>309</v>
      </c>
      <c r="AS9" s="69" t="s">
        <v>334</v>
      </c>
      <c r="AT9" s="69" t="s">
        <v>336</v>
      </c>
      <c r="AU9" s="69" t="s">
        <v>309</v>
      </c>
      <c r="AV9" s="69"/>
      <c r="AW9" s="69" t="s">
        <v>361</v>
      </c>
      <c r="AX9" s="69" t="s">
        <v>333</v>
      </c>
      <c r="AY9" s="69" t="s">
        <v>313</v>
      </c>
      <c r="AZ9" s="69" t="s">
        <v>311</v>
      </c>
      <c r="BA9" s="69"/>
      <c r="BB9" s="69" t="s">
        <v>314</v>
      </c>
      <c r="BC9" s="69" t="s">
        <v>339</v>
      </c>
      <c r="BD9" s="69" t="s">
        <v>378</v>
      </c>
      <c r="BE9" s="96"/>
      <c r="BF9" s="69" t="s">
        <v>309</v>
      </c>
      <c r="BG9" s="69" t="s">
        <v>311</v>
      </c>
      <c r="BH9" s="69" t="s">
        <v>311</v>
      </c>
      <c r="BI9" s="69"/>
      <c r="BJ9" s="69" t="s">
        <v>390</v>
      </c>
      <c r="BK9" s="69"/>
      <c r="BL9" s="69" t="s">
        <v>311</v>
      </c>
      <c r="BM9" s="69"/>
    </row>
    <row r="10" spans="1:65">
      <c r="A10" s="61" t="s">
        <v>3</v>
      </c>
      <c r="B10" s="68" t="s">
        <v>252</v>
      </c>
      <c r="C10" s="66">
        <v>6.5</v>
      </c>
      <c r="D10" s="64">
        <v>20</v>
      </c>
      <c r="E10" s="64">
        <f>IF(ISBLANK($D10),"0",IF(($D10-$D9)&gt;($C10-$C9),1,0))</f>
        <v>0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320</v>
      </c>
      <c r="K10" s="70"/>
      <c r="L10" s="70" t="s">
        <v>309</v>
      </c>
      <c r="M10" s="70" t="s">
        <v>350</v>
      </c>
      <c r="N10" s="70"/>
      <c r="O10" s="70" t="s">
        <v>311</v>
      </c>
      <c r="P10" s="70"/>
      <c r="Q10" s="70"/>
      <c r="R10" s="97" t="s">
        <v>309</v>
      </c>
      <c r="S10" s="97" t="s">
        <v>311</v>
      </c>
      <c r="T10" s="97"/>
      <c r="U10" s="70" t="s">
        <v>320</v>
      </c>
      <c r="V10" s="70"/>
      <c r="W10" s="70" t="s">
        <v>320</v>
      </c>
      <c r="X10" s="70" t="s">
        <v>340</v>
      </c>
      <c r="Y10" s="70" t="s">
        <v>311</v>
      </c>
      <c r="Z10" s="70" t="s">
        <v>311</v>
      </c>
      <c r="AA10" s="70" t="s">
        <v>311</v>
      </c>
      <c r="AB10" s="70" t="s">
        <v>393</v>
      </c>
      <c r="AC10" s="70" t="s">
        <v>311</v>
      </c>
      <c r="AD10" s="70"/>
      <c r="AE10" s="70"/>
      <c r="AF10" s="70" t="s">
        <v>349</v>
      </c>
      <c r="AG10" s="70"/>
      <c r="AH10" s="70"/>
      <c r="AI10" s="70"/>
      <c r="AJ10" s="70"/>
      <c r="AK10" s="70" t="s">
        <v>311</v>
      </c>
      <c r="AL10" s="70"/>
      <c r="AM10" s="70"/>
      <c r="AN10" s="70"/>
      <c r="AO10" s="70"/>
      <c r="AP10" s="70"/>
      <c r="AQ10" s="70" t="s">
        <v>311</v>
      </c>
      <c r="AR10" s="70"/>
      <c r="AS10" s="70"/>
      <c r="AT10" s="70"/>
      <c r="AU10" s="70"/>
      <c r="AV10" s="70" t="s">
        <v>311</v>
      </c>
      <c r="AW10" s="70"/>
      <c r="AX10" s="70"/>
      <c r="AY10" s="70"/>
      <c r="AZ10" s="70"/>
      <c r="BA10" s="70" t="s">
        <v>311</v>
      </c>
      <c r="BB10" s="70"/>
      <c r="BC10" s="70"/>
      <c r="BD10" s="70"/>
      <c r="BE10" s="70" t="s">
        <v>364</v>
      </c>
      <c r="BF10" s="70"/>
      <c r="BG10" s="70"/>
      <c r="BH10" s="70"/>
      <c r="BI10" s="70" t="s">
        <v>419</v>
      </c>
      <c r="BJ10" s="70"/>
      <c r="BK10" s="70" t="s">
        <v>309</v>
      </c>
      <c r="BL10" s="70"/>
      <c r="BM10" s="70" t="s">
        <v>330</v>
      </c>
    </row>
    <row r="11" spans="1:65">
      <c r="A11" s="59">
        <v>5</v>
      </c>
      <c r="B11" s="67" t="s">
        <v>192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 t="s">
        <v>350</v>
      </c>
      <c r="N11" s="69"/>
      <c r="O11" s="69"/>
      <c r="P11" s="69" t="s">
        <v>309</v>
      </c>
      <c r="Q11" s="69"/>
      <c r="R11" s="96"/>
      <c r="S11" s="96"/>
      <c r="T11" s="96"/>
      <c r="U11" s="69" t="s">
        <v>315</v>
      </c>
      <c r="V11" s="69" t="s">
        <v>309</v>
      </c>
      <c r="W11" s="69"/>
      <c r="X11" s="69"/>
      <c r="Y11" s="69"/>
      <c r="Z11" s="69" t="s">
        <v>311</v>
      </c>
      <c r="AA11" s="69"/>
      <c r="AB11" s="69"/>
      <c r="AC11" s="69"/>
      <c r="AD11" s="69" t="s">
        <v>338</v>
      </c>
      <c r="AE11" s="69"/>
      <c r="AF11" s="69"/>
      <c r="AG11" s="69"/>
      <c r="AH11" s="69" t="s">
        <v>363</v>
      </c>
      <c r="AI11" s="69"/>
      <c r="AJ11" s="69"/>
      <c r="AK11" s="69" t="s">
        <v>311</v>
      </c>
      <c r="AL11" s="69"/>
      <c r="AM11" s="69"/>
      <c r="AN11" s="69" t="s">
        <v>335</v>
      </c>
      <c r="AO11" s="69" t="s">
        <v>311</v>
      </c>
      <c r="AP11" s="69" t="s">
        <v>336</v>
      </c>
      <c r="AQ11" s="69"/>
      <c r="AR11" s="69" t="s">
        <v>309</v>
      </c>
      <c r="AS11" s="69" t="s">
        <v>322</v>
      </c>
      <c r="AT11" s="69" t="s">
        <v>336</v>
      </c>
      <c r="AU11" s="69"/>
      <c r="AV11" s="69"/>
      <c r="AW11" s="69"/>
      <c r="AX11" s="69" t="s">
        <v>330</v>
      </c>
      <c r="AY11" s="69"/>
      <c r="AZ11" s="69" t="s">
        <v>311</v>
      </c>
      <c r="BA11" s="69"/>
      <c r="BB11" s="69"/>
      <c r="BC11" s="69" t="s">
        <v>339</v>
      </c>
      <c r="BD11" s="69" t="s">
        <v>378</v>
      </c>
      <c r="BE11" s="96" t="s">
        <v>364</v>
      </c>
      <c r="BF11" s="69"/>
      <c r="BG11" s="69" t="s">
        <v>311</v>
      </c>
      <c r="BH11" s="69"/>
      <c r="BI11" s="69" t="s">
        <v>419</v>
      </c>
      <c r="BJ11" s="69" t="s">
        <v>323</v>
      </c>
      <c r="BK11" s="69" t="s">
        <v>309</v>
      </c>
      <c r="BL11" s="69"/>
      <c r="BM11" s="69"/>
    </row>
    <row r="12" spans="1:65">
      <c r="A12" s="61" t="s">
        <v>3</v>
      </c>
      <c r="B12" s="68" t="s">
        <v>212</v>
      </c>
      <c r="C12" s="66">
        <v>6.5</v>
      </c>
      <c r="D12" s="64">
        <v>59</v>
      </c>
      <c r="E12" s="64">
        <f>IF(ISBLANK($D12),"0",IF(($D12-$D11)&gt;($C12-$C11),1,0))</f>
        <v>1</v>
      </c>
      <c r="F12" s="64">
        <f t="shared" ca="1" si="1"/>
        <v>31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/>
      <c r="N12" s="70" t="s">
        <v>330</v>
      </c>
      <c r="O12" s="70" t="s">
        <v>311</v>
      </c>
      <c r="P12" s="70"/>
      <c r="Q12" s="70" t="s">
        <v>372</v>
      </c>
      <c r="R12" s="97" t="s">
        <v>309</v>
      </c>
      <c r="S12" s="97" t="s">
        <v>311</v>
      </c>
      <c r="T12" s="97" t="s">
        <v>339</v>
      </c>
      <c r="U12" s="70"/>
      <c r="V12" s="70"/>
      <c r="W12" s="70" t="s">
        <v>312</v>
      </c>
      <c r="X12" s="70" t="s">
        <v>347</v>
      </c>
      <c r="Y12" s="70" t="s">
        <v>311</v>
      </c>
      <c r="Z12" s="70"/>
      <c r="AA12" s="70" t="s">
        <v>311</v>
      </c>
      <c r="AB12" s="70" t="s">
        <v>334</v>
      </c>
      <c r="AC12" s="70" t="s">
        <v>311</v>
      </c>
      <c r="AD12" s="70"/>
      <c r="AE12" s="70" t="s">
        <v>311</v>
      </c>
      <c r="AF12" s="70" t="s">
        <v>349</v>
      </c>
      <c r="AG12" s="70" t="s">
        <v>316</v>
      </c>
      <c r="AH12" s="70"/>
      <c r="AI12" s="70" t="s">
        <v>349</v>
      </c>
      <c r="AJ12" s="70" t="s">
        <v>329</v>
      </c>
      <c r="AK12" s="70"/>
      <c r="AL12" s="70" t="s">
        <v>327</v>
      </c>
      <c r="AM12" s="70" t="s">
        <v>337</v>
      </c>
      <c r="AN12" s="70"/>
      <c r="AO12" s="70"/>
      <c r="AP12" s="70"/>
      <c r="AQ12" s="70" t="s">
        <v>311</v>
      </c>
      <c r="AR12" s="97"/>
      <c r="AS12" s="70"/>
      <c r="AT12" s="70"/>
      <c r="AU12" s="70" t="s">
        <v>309</v>
      </c>
      <c r="AV12" s="70" t="s">
        <v>311</v>
      </c>
      <c r="AW12" s="70" t="s">
        <v>564</v>
      </c>
      <c r="AX12" s="70"/>
      <c r="AY12" s="70" t="s">
        <v>362</v>
      </c>
      <c r="AZ12" s="70"/>
      <c r="BA12" s="70" t="s">
        <v>311</v>
      </c>
      <c r="BB12" s="70" t="s">
        <v>314</v>
      </c>
      <c r="BC12" s="70"/>
      <c r="BD12" s="70"/>
      <c r="BE12" s="70"/>
      <c r="BF12" s="70" t="s">
        <v>309</v>
      </c>
      <c r="BG12" s="70"/>
      <c r="BH12" s="70" t="s">
        <v>311</v>
      </c>
      <c r="BI12" s="70"/>
      <c r="BJ12" s="70"/>
      <c r="BK12" s="70"/>
      <c r="BL12" s="70" t="s">
        <v>311</v>
      </c>
      <c r="BM12" s="70" t="s">
        <v>331</v>
      </c>
    </row>
    <row r="13" spans="1:65">
      <c r="A13" s="59">
        <v>6</v>
      </c>
      <c r="B13" s="67" t="s">
        <v>159</v>
      </c>
      <c r="C13" s="65"/>
      <c r="D13" s="64">
        <v>7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 t="s">
        <v>320</v>
      </c>
      <c r="K13" s="69"/>
      <c r="L13" s="69" t="s">
        <v>309</v>
      </c>
      <c r="M13" s="69" t="s">
        <v>350</v>
      </c>
      <c r="N13" s="69"/>
      <c r="O13" s="69" t="s">
        <v>311</v>
      </c>
      <c r="P13" s="69" t="s">
        <v>309</v>
      </c>
      <c r="Q13" s="69" t="s">
        <v>327</v>
      </c>
      <c r="R13" s="96"/>
      <c r="S13" s="96"/>
      <c r="T13" s="96" t="s">
        <v>339</v>
      </c>
      <c r="U13" s="69" t="s">
        <v>350</v>
      </c>
      <c r="V13" s="69" t="s">
        <v>309</v>
      </c>
      <c r="W13" s="69" t="s">
        <v>314</v>
      </c>
      <c r="X13" s="69"/>
      <c r="Y13" s="69"/>
      <c r="Z13" s="69" t="s">
        <v>311</v>
      </c>
      <c r="AA13" s="69" t="s">
        <v>311</v>
      </c>
      <c r="AB13" s="69" t="s">
        <v>336</v>
      </c>
      <c r="AC13" s="69" t="s">
        <v>311</v>
      </c>
      <c r="AD13" s="69"/>
      <c r="AE13" s="69" t="s">
        <v>311</v>
      </c>
      <c r="AF13" s="69"/>
      <c r="AG13" s="69" t="s">
        <v>555</v>
      </c>
      <c r="AH13" s="69" t="s">
        <v>491</v>
      </c>
      <c r="AI13" s="69" t="s">
        <v>314</v>
      </c>
      <c r="AJ13" s="69" t="s">
        <v>329</v>
      </c>
      <c r="AK13" s="69" t="s">
        <v>311</v>
      </c>
      <c r="AL13" s="69" t="s">
        <v>327</v>
      </c>
      <c r="AM13" s="69" t="s">
        <v>320</v>
      </c>
      <c r="AN13" s="69" t="s">
        <v>335</v>
      </c>
      <c r="AO13" s="69"/>
      <c r="AP13" s="69"/>
      <c r="AQ13" s="69"/>
      <c r="AR13" s="96" t="s">
        <v>309</v>
      </c>
      <c r="AS13" s="69" t="s">
        <v>327</v>
      </c>
      <c r="AT13" s="69" t="s">
        <v>336</v>
      </c>
      <c r="AU13" s="69"/>
      <c r="AV13" s="69"/>
      <c r="AW13" s="69" t="s">
        <v>565</v>
      </c>
      <c r="AX13" s="69" t="s">
        <v>336</v>
      </c>
      <c r="AY13" s="69" t="s">
        <v>323</v>
      </c>
      <c r="AZ13" s="69" t="s">
        <v>311</v>
      </c>
      <c r="BA13" s="69"/>
      <c r="BB13" s="69"/>
      <c r="BC13" s="69"/>
      <c r="BD13" s="69"/>
      <c r="BE13" s="96" t="s">
        <v>364</v>
      </c>
      <c r="BF13" s="69"/>
      <c r="BG13" s="69" t="s">
        <v>311</v>
      </c>
      <c r="BH13" s="69" t="s">
        <v>311</v>
      </c>
      <c r="BI13" s="69" t="s">
        <v>419</v>
      </c>
      <c r="BJ13" s="69" t="s">
        <v>373</v>
      </c>
      <c r="BK13" s="69" t="s">
        <v>309</v>
      </c>
      <c r="BL13" s="69" t="s">
        <v>311</v>
      </c>
      <c r="BM13" s="69"/>
    </row>
    <row r="14" spans="1:65">
      <c r="A14" s="61" t="s">
        <v>3</v>
      </c>
      <c r="B14" s="68" t="s">
        <v>155</v>
      </c>
      <c r="C14" s="66">
        <v>2.5</v>
      </c>
      <c r="D14" s="64">
        <v>34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309</v>
      </c>
      <c r="L14" s="70"/>
      <c r="M14" s="70"/>
      <c r="N14" s="70" t="s">
        <v>346</v>
      </c>
      <c r="O14" s="70"/>
      <c r="P14" s="70"/>
      <c r="Q14" s="70"/>
      <c r="R14" s="97" t="s">
        <v>309</v>
      </c>
      <c r="S14" s="97" t="s">
        <v>311</v>
      </c>
      <c r="T14" s="97"/>
      <c r="U14" s="70"/>
      <c r="V14" s="70"/>
      <c r="W14" s="70"/>
      <c r="X14" s="70" t="s">
        <v>323</v>
      </c>
      <c r="Y14" s="70" t="s">
        <v>311</v>
      </c>
      <c r="Z14" s="70"/>
      <c r="AA14" s="70"/>
      <c r="AB14" s="70"/>
      <c r="AC14" s="70"/>
      <c r="AD14" s="70" t="s">
        <v>323</v>
      </c>
      <c r="AE14" s="70"/>
      <c r="AF14" s="70" t="s">
        <v>349</v>
      </c>
      <c r="AG14" s="70"/>
      <c r="AH14" s="70"/>
      <c r="AI14" s="70"/>
      <c r="AJ14" s="70"/>
      <c r="AK14" s="70"/>
      <c r="AL14" s="70"/>
      <c r="AM14" s="70"/>
      <c r="AN14" s="70"/>
      <c r="AO14" s="70" t="s">
        <v>311</v>
      </c>
      <c r="AP14" s="70" t="s">
        <v>389</v>
      </c>
      <c r="AQ14" s="70" t="s">
        <v>311</v>
      </c>
      <c r="AR14" s="70"/>
      <c r="AS14" s="70"/>
      <c r="AT14" s="70"/>
      <c r="AU14" s="70" t="s">
        <v>309</v>
      </c>
      <c r="AV14" s="70" t="s">
        <v>311</v>
      </c>
      <c r="AW14" s="70"/>
      <c r="AX14" s="70"/>
      <c r="AY14" s="70"/>
      <c r="AZ14" s="70"/>
      <c r="BA14" s="70" t="s">
        <v>311</v>
      </c>
      <c r="BB14" s="70" t="s">
        <v>314</v>
      </c>
      <c r="BC14" s="70" t="s">
        <v>339</v>
      </c>
      <c r="BD14" s="70" t="s">
        <v>378</v>
      </c>
      <c r="BE14" s="70"/>
      <c r="BF14" s="70" t="s">
        <v>309</v>
      </c>
      <c r="BG14" s="70"/>
      <c r="BH14" s="70"/>
      <c r="BI14" s="70"/>
      <c r="BJ14" s="70"/>
      <c r="BK14" s="70"/>
      <c r="BL14" s="70"/>
      <c r="BM14" s="70" t="s">
        <v>332</v>
      </c>
    </row>
    <row r="15" spans="1:65">
      <c r="A15" s="59">
        <v>7</v>
      </c>
      <c r="B15" s="67" t="s">
        <v>162</v>
      </c>
      <c r="C15" s="65">
        <v>2.5</v>
      </c>
      <c r="D15" s="64">
        <v>30</v>
      </c>
      <c r="E15" s="64">
        <f>IF(ISBLANK($D15),"0",IF(($D16-$D15)&lt;($C16-$C15),1,0))</f>
        <v>1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/>
      <c r="N15" s="69" t="s">
        <v>337</v>
      </c>
      <c r="O15" s="69" t="s">
        <v>311</v>
      </c>
      <c r="P15" s="69"/>
      <c r="Q15" s="69" t="s">
        <v>350</v>
      </c>
      <c r="R15" s="96" t="s">
        <v>309</v>
      </c>
      <c r="S15" s="96"/>
      <c r="T15" s="96" t="s">
        <v>339</v>
      </c>
      <c r="U15" s="69"/>
      <c r="V15" s="69"/>
      <c r="W15" s="69" t="s">
        <v>362</v>
      </c>
      <c r="X15" s="69" t="s">
        <v>340</v>
      </c>
      <c r="Y15" s="69" t="s">
        <v>311</v>
      </c>
      <c r="Z15" s="69" t="s">
        <v>311</v>
      </c>
      <c r="AA15" s="69" t="s">
        <v>311</v>
      </c>
      <c r="AB15" s="69"/>
      <c r="AC15" s="69" t="s">
        <v>311</v>
      </c>
      <c r="AD15" s="69"/>
      <c r="AE15" s="69" t="s">
        <v>311</v>
      </c>
      <c r="AF15" s="69"/>
      <c r="AG15" s="69" t="s">
        <v>556</v>
      </c>
      <c r="AH15" s="69" t="s">
        <v>557</v>
      </c>
      <c r="AI15" s="69" t="s">
        <v>437</v>
      </c>
      <c r="AJ15" s="69" t="s">
        <v>329</v>
      </c>
      <c r="AK15" s="69"/>
      <c r="AL15" s="69" t="s">
        <v>327</v>
      </c>
      <c r="AM15" s="69" t="s">
        <v>354</v>
      </c>
      <c r="AN15" s="69" t="s">
        <v>335</v>
      </c>
      <c r="AO15" s="69" t="s">
        <v>311</v>
      </c>
      <c r="AP15" s="69"/>
      <c r="AQ15" s="69" t="s">
        <v>311</v>
      </c>
      <c r="AR15" s="69" t="s">
        <v>309</v>
      </c>
      <c r="AS15" s="69" t="s">
        <v>345</v>
      </c>
      <c r="AT15" s="69"/>
      <c r="AU15" s="69" t="s">
        <v>309</v>
      </c>
      <c r="AV15" s="69" t="s">
        <v>311</v>
      </c>
      <c r="AW15" s="69" t="s">
        <v>361</v>
      </c>
      <c r="AX15" s="69" t="s">
        <v>334</v>
      </c>
      <c r="AY15" s="69" t="s">
        <v>325</v>
      </c>
      <c r="AZ15" s="69" t="s">
        <v>311</v>
      </c>
      <c r="BA15" s="69" t="s">
        <v>311</v>
      </c>
      <c r="BB15" s="69" t="s">
        <v>314</v>
      </c>
      <c r="BC15" s="69"/>
      <c r="BD15" s="69" t="s">
        <v>378</v>
      </c>
      <c r="BE15" s="96" t="s">
        <v>364</v>
      </c>
      <c r="BF15" s="69" t="s">
        <v>309</v>
      </c>
      <c r="BG15" s="69" t="s">
        <v>311</v>
      </c>
      <c r="BH15" s="69" t="s">
        <v>311</v>
      </c>
      <c r="BI15" s="69" t="s">
        <v>419</v>
      </c>
      <c r="BJ15" s="69"/>
      <c r="BK15" s="69" t="s">
        <v>309</v>
      </c>
      <c r="BL15" s="69" t="s">
        <v>311</v>
      </c>
      <c r="BM15" s="69" t="s">
        <v>331</v>
      </c>
    </row>
    <row r="16" spans="1:65">
      <c r="A16" s="61" t="s">
        <v>3</v>
      </c>
      <c r="B16" s="68" t="s">
        <v>164</v>
      </c>
      <c r="C16" s="66"/>
      <c r="D16" s="64">
        <v>26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 t="s">
        <v>320</v>
      </c>
      <c r="K16" s="70" t="s">
        <v>309</v>
      </c>
      <c r="L16" s="70" t="s">
        <v>309</v>
      </c>
      <c r="M16" s="70" t="s">
        <v>350</v>
      </c>
      <c r="N16" s="70"/>
      <c r="O16" s="70"/>
      <c r="P16" s="70" t="s">
        <v>309</v>
      </c>
      <c r="Q16" s="70"/>
      <c r="R16" s="70"/>
      <c r="S16" s="70" t="s">
        <v>311</v>
      </c>
      <c r="T16" s="70"/>
      <c r="U16" s="70" t="s">
        <v>334</v>
      </c>
      <c r="V16" s="70" t="s">
        <v>309</v>
      </c>
      <c r="W16" s="70"/>
      <c r="X16" s="70"/>
      <c r="Y16" s="70"/>
      <c r="Z16" s="70"/>
      <c r="AA16" s="70"/>
      <c r="AB16" s="70" t="s">
        <v>327</v>
      </c>
      <c r="AC16" s="70"/>
      <c r="AD16" s="70" t="s">
        <v>347</v>
      </c>
      <c r="AE16" s="70"/>
      <c r="AF16" s="70" t="s">
        <v>349</v>
      </c>
      <c r="AG16" s="70"/>
      <c r="AH16" s="70"/>
      <c r="AI16" s="70"/>
      <c r="AJ16" s="70"/>
      <c r="AK16" s="70" t="s">
        <v>311</v>
      </c>
      <c r="AL16" s="70"/>
      <c r="AM16" s="70"/>
      <c r="AN16" s="70"/>
      <c r="AO16" s="70"/>
      <c r="AP16" s="70" t="s">
        <v>314</v>
      </c>
      <c r="AQ16" s="70"/>
      <c r="AR16" s="97"/>
      <c r="AS16" s="70"/>
      <c r="AT16" s="70" t="s">
        <v>336</v>
      </c>
      <c r="AU16" s="70"/>
      <c r="AV16" s="70"/>
      <c r="AW16" s="70"/>
      <c r="AX16" s="70"/>
      <c r="AY16" s="70"/>
      <c r="AZ16" s="70"/>
      <c r="BA16" s="70"/>
      <c r="BB16" s="70"/>
      <c r="BC16" s="70" t="s">
        <v>339</v>
      </c>
      <c r="BD16" s="70"/>
      <c r="BE16" s="70"/>
      <c r="BF16" s="70"/>
      <c r="BG16" s="70"/>
      <c r="BH16" s="70"/>
      <c r="BI16" s="70"/>
      <c r="BJ16" s="70" t="s">
        <v>373</v>
      </c>
      <c r="BK16" s="70"/>
      <c r="BL16" s="70"/>
      <c r="BM16" s="70"/>
    </row>
    <row r="17" spans="1:65">
      <c r="A17" s="59">
        <v>8</v>
      </c>
      <c r="B17" s="67" t="s">
        <v>144</v>
      </c>
      <c r="C17" s="65"/>
      <c r="D17" s="64">
        <v>0</v>
      </c>
      <c r="E17" s="64">
        <f>IF(ISBLANK($D17),"0",IF(($D18-$D17)&lt;($C18-$C17),1,0))</f>
        <v>0</v>
      </c>
      <c r="F17" s="64">
        <f t="shared" ca="1" si="1"/>
        <v>45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 t="s">
        <v>320</v>
      </c>
      <c r="K17" s="69"/>
      <c r="L17" s="69" t="s">
        <v>309</v>
      </c>
      <c r="M17" s="69"/>
      <c r="N17" s="69" t="s">
        <v>360</v>
      </c>
      <c r="O17" s="69" t="s">
        <v>311</v>
      </c>
      <c r="P17" s="69" t="s">
        <v>309</v>
      </c>
      <c r="Q17" s="69" t="s">
        <v>571</v>
      </c>
      <c r="R17" s="69" t="s">
        <v>309</v>
      </c>
      <c r="S17" s="69"/>
      <c r="T17" s="69"/>
      <c r="U17" s="69" t="s">
        <v>337</v>
      </c>
      <c r="V17" s="69" t="s">
        <v>309</v>
      </c>
      <c r="W17" s="69" t="s">
        <v>363</v>
      </c>
      <c r="X17" s="69" t="s">
        <v>327</v>
      </c>
      <c r="Y17" s="69" t="s">
        <v>311</v>
      </c>
      <c r="Z17" s="69"/>
      <c r="AA17" s="69" t="s">
        <v>311</v>
      </c>
      <c r="AB17" s="69" t="s">
        <v>336</v>
      </c>
      <c r="AC17" s="69" t="s">
        <v>311</v>
      </c>
      <c r="AD17" s="69"/>
      <c r="AE17" s="69" t="s">
        <v>311</v>
      </c>
      <c r="AF17" s="69"/>
      <c r="AG17" s="69" t="s">
        <v>542</v>
      </c>
      <c r="AH17" s="69" t="s">
        <v>332</v>
      </c>
      <c r="AI17" s="69" t="s">
        <v>562</v>
      </c>
      <c r="AJ17" s="69" t="s">
        <v>329</v>
      </c>
      <c r="AK17" s="69" t="s">
        <v>311</v>
      </c>
      <c r="AL17" s="69" t="s">
        <v>327</v>
      </c>
      <c r="AM17" s="69" t="s">
        <v>314</v>
      </c>
      <c r="AN17" s="69" t="s">
        <v>335</v>
      </c>
      <c r="AO17" s="69" t="s">
        <v>311</v>
      </c>
      <c r="AP17" s="69" t="s">
        <v>340</v>
      </c>
      <c r="AQ17" s="69"/>
      <c r="AR17" s="96" t="s">
        <v>309</v>
      </c>
      <c r="AS17" s="69" t="s">
        <v>393</v>
      </c>
      <c r="AT17" s="69" t="s">
        <v>336</v>
      </c>
      <c r="AU17" s="69" t="s">
        <v>309</v>
      </c>
      <c r="AV17" s="69" t="s">
        <v>311</v>
      </c>
      <c r="AW17" s="69" t="s">
        <v>566</v>
      </c>
      <c r="AX17" s="69" t="s">
        <v>321</v>
      </c>
      <c r="AY17" s="69" t="s">
        <v>347</v>
      </c>
      <c r="AZ17" s="69" t="s">
        <v>311</v>
      </c>
      <c r="BA17" s="69" t="s">
        <v>311</v>
      </c>
      <c r="BB17" s="69" t="s">
        <v>314</v>
      </c>
      <c r="BC17" s="69"/>
      <c r="BD17" s="69" t="s">
        <v>378</v>
      </c>
      <c r="BE17" s="69" t="s">
        <v>364</v>
      </c>
      <c r="BF17" s="69" t="s">
        <v>309</v>
      </c>
      <c r="BG17" s="69" t="s">
        <v>311</v>
      </c>
      <c r="BH17" s="69" t="s">
        <v>311</v>
      </c>
      <c r="BI17" s="69" t="s">
        <v>419</v>
      </c>
      <c r="BJ17" s="69" t="s">
        <v>345</v>
      </c>
      <c r="BK17" s="69"/>
      <c r="BL17" s="69" t="s">
        <v>311</v>
      </c>
      <c r="BM17" s="69" t="s">
        <v>333</v>
      </c>
    </row>
    <row r="18" spans="1:65">
      <c r="A18" s="61" t="s">
        <v>3</v>
      </c>
      <c r="B18" s="68" t="s">
        <v>254</v>
      </c>
      <c r="C18" s="66">
        <v>2.5</v>
      </c>
      <c r="D18" s="64">
        <v>17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309</v>
      </c>
      <c r="L18" s="70"/>
      <c r="M18" s="70" t="s">
        <v>350</v>
      </c>
      <c r="N18" s="70"/>
      <c r="O18" s="70"/>
      <c r="P18" s="70"/>
      <c r="Q18" s="70"/>
      <c r="R18" s="70"/>
      <c r="S18" s="70" t="s">
        <v>311</v>
      </c>
      <c r="T18" s="70" t="s">
        <v>339</v>
      </c>
      <c r="U18" s="70"/>
      <c r="V18" s="70"/>
      <c r="W18" s="70"/>
      <c r="X18" s="70"/>
      <c r="Y18" s="70"/>
      <c r="Z18" s="70" t="s">
        <v>311</v>
      </c>
      <c r="AA18" s="70"/>
      <c r="AB18" s="70"/>
      <c r="AC18" s="70"/>
      <c r="AD18" s="70" t="s">
        <v>313</v>
      </c>
      <c r="AE18" s="70"/>
      <c r="AF18" s="70" t="s">
        <v>349</v>
      </c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 t="s">
        <v>311</v>
      </c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 t="s">
        <v>339</v>
      </c>
      <c r="BD18" s="70"/>
      <c r="BE18" s="97"/>
      <c r="BF18" s="70"/>
      <c r="BG18" s="70"/>
      <c r="BH18" s="70"/>
      <c r="BI18" s="70"/>
      <c r="BJ18" s="70"/>
      <c r="BK18" s="70" t="s">
        <v>309</v>
      </c>
      <c r="BL18" s="70"/>
      <c r="BM18" s="70"/>
    </row>
    <row r="19" spans="1:65">
      <c r="A19" s="59">
        <v>9</v>
      </c>
      <c r="B19" s="67" t="s">
        <v>245</v>
      </c>
      <c r="C19" s="65">
        <v>9.5</v>
      </c>
      <c r="D19" s="64">
        <v>27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/>
      <c r="N19" s="69" t="s">
        <v>337</v>
      </c>
      <c r="O19" s="69" t="s">
        <v>311</v>
      </c>
      <c r="P19" s="69" t="s">
        <v>309</v>
      </c>
      <c r="Q19" s="69"/>
      <c r="R19" s="69" t="s">
        <v>309</v>
      </c>
      <c r="S19" s="69"/>
      <c r="T19" s="69"/>
      <c r="U19" s="69" t="s">
        <v>549</v>
      </c>
      <c r="V19" s="69"/>
      <c r="W19" s="69" t="s">
        <v>321</v>
      </c>
      <c r="X19" s="69" t="s">
        <v>551</v>
      </c>
      <c r="Y19" s="69" t="s">
        <v>311</v>
      </c>
      <c r="Z19" s="69" t="s">
        <v>311</v>
      </c>
      <c r="AA19" s="69" t="s">
        <v>311</v>
      </c>
      <c r="AB19" s="69" t="s">
        <v>330</v>
      </c>
      <c r="AC19" s="69" t="s">
        <v>311</v>
      </c>
      <c r="AD19" s="69"/>
      <c r="AE19" s="69" t="s">
        <v>311</v>
      </c>
      <c r="AF19" s="69"/>
      <c r="AG19" s="69"/>
      <c r="AH19" s="69" t="s">
        <v>319</v>
      </c>
      <c r="AI19" s="69" t="s">
        <v>320</v>
      </c>
      <c r="AJ19" s="69" t="s">
        <v>329</v>
      </c>
      <c r="AK19" s="69"/>
      <c r="AL19" s="69" t="s">
        <v>327</v>
      </c>
      <c r="AM19" s="69" t="s">
        <v>362</v>
      </c>
      <c r="AN19" s="69" t="s">
        <v>335</v>
      </c>
      <c r="AO19" s="69" t="s">
        <v>311</v>
      </c>
      <c r="AP19" s="69" t="s">
        <v>326</v>
      </c>
      <c r="AQ19" s="69" t="s">
        <v>311</v>
      </c>
      <c r="AR19" s="69" t="s">
        <v>309</v>
      </c>
      <c r="AS19" s="69" t="s">
        <v>327</v>
      </c>
      <c r="AT19" s="69"/>
      <c r="AU19" s="69" t="s">
        <v>309</v>
      </c>
      <c r="AV19" s="69" t="s">
        <v>311</v>
      </c>
      <c r="AW19" s="69" t="s">
        <v>567</v>
      </c>
      <c r="AX19" s="69" t="s">
        <v>321</v>
      </c>
      <c r="AY19" s="69"/>
      <c r="AZ19" s="69"/>
      <c r="BA19" s="69" t="s">
        <v>311</v>
      </c>
      <c r="BB19" s="69" t="s">
        <v>314</v>
      </c>
      <c r="BC19" s="69" t="s">
        <v>339</v>
      </c>
      <c r="BD19" s="69"/>
      <c r="BE19" s="69" t="s">
        <v>364</v>
      </c>
      <c r="BF19" s="69" t="s">
        <v>309</v>
      </c>
      <c r="BG19" s="69"/>
      <c r="BH19" s="69" t="s">
        <v>311</v>
      </c>
      <c r="BI19" s="69" t="s">
        <v>419</v>
      </c>
      <c r="BJ19" s="69"/>
      <c r="BK19" s="69" t="s">
        <v>309</v>
      </c>
      <c r="BL19" s="69" t="s">
        <v>311</v>
      </c>
      <c r="BM19" s="69" t="s">
        <v>334</v>
      </c>
    </row>
    <row r="20" spans="1:65">
      <c r="A20" s="61" t="s">
        <v>3</v>
      </c>
      <c r="B20" s="68" t="s">
        <v>247</v>
      </c>
      <c r="C20" s="66"/>
      <c r="D20" s="64">
        <v>35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 t="s">
        <v>350</v>
      </c>
      <c r="N20" s="70"/>
      <c r="O20" s="70"/>
      <c r="P20" s="70"/>
      <c r="Q20" s="70" t="s">
        <v>321</v>
      </c>
      <c r="R20" s="70"/>
      <c r="S20" s="70" t="s">
        <v>311</v>
      </c>
      <c r="T20" s="70" t="s">
        <v>339</v>
      </c>
      <c r="U20" s="70"/>
      <c r="V20" s="70" t="s">
        <v>309</v>
      </c>
      <c r="W20" s="70"/>
      <c r="X20" s="70"/>
      <c r="Y20" s="70"/>
      <c r="Z20" s="70"/>
      <c r="AA20" s="70"/>
      <c r="AB20" s="70"/>
      <c r="AC20" s="70"/>
      <c r="AD20" s="70" t="s">
        <v>553</v>
      </c>
      <c r="AE20" s="70"/>
      <c r="AF20" s="70" t="s">
        <v>349</v>
      </c>
      <c r="AG20" s="70" t="s">
        <v>554</v>
      </c>
      <c r="AH20" s="70"/>
      <c r="AI20" s="70"/>
      <c r="AJ20" s="70"/>
      <c r="AK20" s="70" t="s">
        <v>311</v>
      </c>
      <c r="AL20" s="70"/>
      <c r="AM20" s="70"/>
      <c r="AN20" s="70"/>
      <c r="AO20" s="70"/>
      <c r="AP20" s="70"/>
      <c r="AQ20" s="70"/>
      <c r="AR20" s="97"/>
      <c r="AS20" s="70"/>
      <c r="AT20" s="70" t="s">
        <v>336</v>
      </c>
      <c r="AU20" s="70"/>
      <c r="AV20" s="70"/>
      <c r="AW20" s="70"/>
      <c r="AX20" s="70"/>
      <c r="AY20" s="70" t="s">
        <v>570</v>
      </c>
      <c r="AZ20" s="70" t="s">
        <v>311</v>
      </c>
      <c r="BA20" s="70"/>
      <c r="BB20" s="70"/>
      <c r="BC20" s="70"/>
      <c r="BD20" s="70" t="s">
        <v>378</v>
      </c>
      <c r="BE20" s="97"/>
      <c r="BF20" s="70"/>
      <c r="BG20" s="70" t="s">
        <v>311</v>
      </c>
      <c r="BH20" s="70"/>
      <c r="BI20" s="70"/>
      <c r="BJ20" s="70" t="s">
        <v>318</v>
      </c>
      <c r="BK20" s="70"/>
      <c r="BL20" s="70"/>
      <c r="BM20" s="70"/>
    </row>
    <row r="21" spans="1:65">
      <c r="A21" s="59">
        <v>10</v>
      </c>
      <c r="B21" s="67" t="s">
        <v>145</v>
      </c>
      <c r="C21" s="65"/>
      <c r="D21" s="64">
        <v>20</v>
      </c>
      <c r="E21" s="64">
        <f>IF(ISBLANK($D21),"0",IF(($D22-$D21)&lt;($C22-$C21),1,0))</f>
        <v>1</v>
      </c>
      <c r="F21" s="64">
        <f t="shared" ca="1" si="1"/>
        <v>41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309</v>
      </c>
      <c r="L21" s="69" t="s">
        <v>309</v>
      </c>
      <c r="M21" s="69" t="s">
        <v>350</v>
      </c>
      <c r="N21" s="69"/>
      <c r="O21" s="69" t="s">
        <v>311</v>
      </c>
      <c r="P21" s="69" t="s">
        <v>309</v>
      </c>
      <c r="Q21" s="69" t="s">
        <v>312</v>
      </c>
      <c r="R21" s="69" t="s">
        <v>309</v>
      </c>
      <c r="S21" s="69" t="s">
        <v>311</v>
      </c>
      <c r="T21" s="69" t="s">
        <v>339</v>
      </c>
      <c r="U21" s="69"/>
      <c r="V21" s="69" t="s">
        <v>309</v>
      </c>
      <c r="W21" s="69" t="s">
        <v>321</v>
      </c>
      <c r="X21" s="69" t="s">
        <v>552</v>
      </c>
      <c r="Y21" s="69" t="s">
        <v>311</v>
      </c>
      <c r="Z21" s="69" t="s">
        <v>311</v>
      </c>
      <c r="AA21" s="69" t="s">
        <v>311</v>
      </c>
      <c r="AB21" s="69" t="s">
        <v>412</v>
      </c>
      <c r="AC21" s="69" t="s">
        <v>311</v>
      </c>
      <c r="AD21" s="69" t="s">
        <v>321</v>
      </c>
      <c r="AE21" s="69"/>
      <c r="AF21" s="69" t="s">
        <v>349</v>
      </c>
      <c r="AG21" s="69" t="s">
        <v>501</v>
      </c>
      <c r="AH21" s="69"/>
      <c r="AI21" s="69"/>
      <c r="AJ21" s="69" t="s">
        <v>329</v>
      </c>
      <c r="AK21" s="69" t="s">
        <v>311</v>
      </c>
      <c r="AL21" s="69"/>
      <c r="AM21" s="69"/>
      <c r="AN21" s="69" t="s">
        <v>335</v>
      </c>
      <c r="AO21" s="69"/>
      <c r="AP21" s="69" t="s">
        <v>321</v>
      </c>
      <c r="AQ21" s="69" t="s">
        <v>311</v>
      </c>
      <c r="AR21" s="96" t="s">
        <v>309</v>
      </c>
      <c r="AS21" s="69"/>
      <c r="AT21" s="69" t="s">
        <v>336</v>
      </c>
      <c r="AU21" s="69" t="s">
        <v>309</v>
      </c>
      <c r="AV21" s="69"/>
      <c r="AW21" s="69" t="s">
        <v>321</v>
      </c>
      <c r="AX21" s="69"/>
      <c r="AY21" s="69" t="s">
        <v>464</v>
      </c>
      <c r="AZ21" s="69" t="s">
        <v>311</v>
      </c>
      <c r="BA21" s="69"/>
      <c r="BB21" s="69" t="s">
        <v>314</v>
      </c>
      <c r="BC21" s="69"/>
      <c r="BD21" s="69" t="s">
        <v>378</v>
      </c>
      <c r="BE21" s="96"/>
      <c r="BF21" s="69" t="s">
        <v>309</v>
      </c>
      <c r="BG21" s="69" t="s">
        <v>311</v>
      </c>
      <c r="BH21" s="69" t="s">
        <v>311</v>
      </c>
      <c r="BI21" s="69" t="s">
        <v>419</v>
      </c>
      <c r="BJ21" s="69" t="s">
        <v>340</v>
      </c>
      <c r="BK21" s="69" t="s">
        <v>309</v>
      </c>
      <c r="BL21" s="69" t="s">
        <v>311</v>
      </c>
      <c r="BM21" s="69" t="s">
        <v>321</v>
      </c>
    </row>
    <row r="22" spans="1:65">
      <c r="A22" s="61" t="s">
        <v>3</v>
      </c>
      <c r="B22" s="68" t="s">
        <v>166</v>
      </c>
      <c r="C22" s="66">
        <v>7.5</v>
      </c>
      <c r="D22" s="64">
        <v>25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 t="s">
        <v>320</v>
      </c>
      <c r="K22" s="70"/>
      <c r="L22" s="70"/>
      <c r="M22" s="70"/>
      <c r="N22" s="70" t="s">
        <v>548</v>
      </c>
      <c r="O22" s="70"/>
      <c r="P22" s="70"/>
      <c r="Q22" s="70"/>
      <c r="R22" s="70"/>
      <c r="S22" s="70"/>
      <c r="T22" s="70"/>
      <c r="U22" s="70" t="s">
        <v>550</v>
      </c>
      <c r="V22" s="70"/>
      <c r="W22" s="70"/>
      <c r="X22" s="70"/>
      <c r="Y22" s="70"/>
      <c r="Z22" s="70"/>
      <c r="AA22" s="70"/>
      <c r="AB22" s="70"/>
      <c r="AC22" s="70"/>
      <c r="AD22" s="70"/>
      <c r="AE22" s="70" t="s">
        <v>311</v>
      </c>
      <c r="AF22" s="70"/>
      <c r="AG22" s="70"/>
      <c r="AH22" s="70" t="s">
        <v>558</v>
      </c>
      <c r="AI22" s="70" t="s">
        <v>321</v>
      </c>
      <c r="AJ22" s="70"/>
      <c r="AK22" s="70"/>
      <c r="AL22" s="70" t="s">
        <v>327</v>
      </c>
      <c r="AM22" s="70" t="s">
        <v>363</v>
      </c>
      <c r="AN22" s="70"/>
      <c r="AO22" s="70" t="s">
        <v>311</v>
      </c>
      <c r="AP22" s="70"/>
      <c r="AQ22" s="70"/>
      <c r="AR22" s="70"/>
      <c r="AS22" s="70" t="s">
        <v>327</v>
      </c>
      <c r="AT22" s="70"/>
      <c r="AU22" s="70"/>
      <c r="AV22" s="70" t="s">
        <v>311</v>
      </c>
      <c r="AW22" s="70"/>
      <c r="AX22" s="70" t="s">
        <v>321</v>
      </c>
      <c r="AY22" s="70"/>
      <c r="AZ22" s="70"/>
      <c r="BA22" s="70" t="s">
        <v>311</v>
      </c>
      <c r="BB22" s="70"/>
      <c r="BC22" s="70" t="s">
        <v>339</v>
      </c>
      <c r="BD22" s="70"/>
      <c r="BE22" s="70" t="s">
        <v>364</v>
      </c>
      <c r="BF22" s="70"/>
      <c r="BG22" s="70"/>
      <c r="BH22" s="70"/>
      <c r="BI22" s="70"/>
      <c r="BJ22" s="70"/>
      <c r="BK22" s="70"/>
      <c r="BL22" s="70"/>
      <c r="BM22" s="70"/>
    </row>
    <row r="23" spans="1:65">
      <c r="A23" s="59"/>
      <c r="B23" s="67" t="str">
        <f>B21&amp; " - score"</f>
        <v>Mississippi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>
        <v>21</v>
      </c>
      <c r="K23" s="78">
        <v>28</v>
      </c>
      <c r="L23" s="78">
        <v>21</v>
      </c>
      <c r="M23" s="78">
        <v>35</v>
      </c>
      <c r="N23" s="80">
        <v>20</v>
      </c>
      <c r="O23" s="78">
        <v>24</v>
      </c>
      <c r="P23" s="78">
        <v>21</v>
      </c>
      <c r="Q23" s="78">
        <v>56</v>
      </c>
      <c r="R23" s="78">
        <v>21</v>
      </c>
      <c r="S23" s="78">
        <v>21</v>
      </c>
      <c r="T23" s="78">
        <v>30</v>
      </c>
      <c r="U23" s="78">
        <v>27</v>
      </c>
      <c r="V23" s="78">
        <v>14</v>
      </c>
      <c r="W23" s="78">
        <v>28</v>
      </c>
      <c r="X23" s="78">
        <v>14</v>
      </c>
      <c r="Y23" s="78">
        <v>31</v>
      </c>
      <c r="Z23" s="78">
        <v>28</v>
      </c>
      <c r="AA23" s="78">
        <v>24</v>
      </c>
      <c r="AB23" s="78">
        <v>28</v>
      </c>
      <c r="AC23" s="78">
        <v>21</v>
      </c>
      <c r="AD23" s="78">
        <v>31</v>
      </c>
      <c r="AE23" s="78">
        <v>24</v>
      </c>
      <c r="AF23" s="78">
        <v>33</v>
      </c>
      <c r="AG23" s="78">
        <v>35</v>
      </c>
      <c r="AH23" s="78">
        <v>31</v>
      </c>
      <c r="AI23" s="78">
        <v>24</v>
      </c>
      <c r="AJ23" s="78">
        <v>21</v>
      </c>
      <c r="AK23" s="78">
        <v>37</v>
      </c>
      <c r="AL23" s="78">
        <v>24</v>
      </c>
      <c r="AM23" s="78">
        <v>24</v>
      </c>
      <c r="AN23" s="78">
        <v>17</v>
      </c>
      <c r="AO23" s="78">
        <v>21</v>
      </c>
      <c r="AP23" s="78">
        <v>24</v>
      </c>
      <c r="AQ23" s="78">
        <v>28</v>
      </c>
      <c r="AR23" s="78">
        <v>31</v>
      </c>
      <c r="AS23" s="78">
        <v>20</v>
      </c>
      <c r="AT23" s="78">
        <v>38</v>
      </c>
      <c r="AU23" s="78">
        <v>21</v>
      </c>
      <c r="AV23" s="78">
        <v>18</v>
      </c>
      <c r="AW23" s="78">
        <v>31</v>
      </c>
      <c r="AX23" s="78">
        <v>24</v>
      </c>
      <c r="AY23" s="78">
        <v>27</v>
      </c>
      <c r="AZ23" s="78">
        <v>38</v>
      </c>
      <c r="BA23" s="78">
        <v>29</v>
      </c>
      <c r="BB23" s="78">
        <v>21</v>
      </c>
      <c r="BC23" s="78">
        <v>17</v>
      </c>
      <c r="BD23" s="78">
        <v>28</v>
      </c>
      <c r="BE23" s="78">
        <v>21</v>
      </c>
      <c r="BF23" s="78">
        <v>48</v>
      </c>
      <c r="BG23" s="78">
        <v>27</v>
      </c>
      <c r="BH23" s="78">
        <v>31</v>
      </c>
      <c r="BI23" s="78">
        <v>24</v>
      </c>
      <c r="BJ23" s="78">
        <v>35</v>
      </c>
      <c r="BK23" s="78">
        <v>24</v>
      </c>
      <c r="BL23" s="78">
        <v>30</v>
      </c>
      <c r="BM23" s="78">
        <v>28</v>
      </c>
    </row>
    <row r="24" spans="1:65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33</v>
      </c>
      <c r="K24" s="79">
        <v>24</v>
      </c>
      <c r="L24" s="79">
        <v>10</v>
      </c>
      <c r="M24" s="79">
        <v>31</v>
      </c>
      <c r="N24" s="79">
        <v>31</v>
      </c>
      <c r="O24" s="79">
        <v>21</v>
      </c>
      <c r="P24" s="79">
        <v>15</v>
      </c>
      <c r="Q24" s="79">
        <v>0</v>
      </c>
      <c r="R24" s="79">
        <v>24</v>
      </c>
      <c r="S24" s="79">
        <v>24</v>
      </c>
      <c r="T24" s="79">
        <v>35</v>
      </c>
      <c r="U24" s="79">
        <v>39</v>
      </c>
      <c r="V24" s="79">
        <v>7</v>
      </c>
      <c r="W24" s="79">
        <v>34</v>
      </c>
      <c r="X24" s="79">
        <v>20</v>
      </c>
      <c r="Y24" s="79">
        <v>28</v>
      </c>
      <c r="Z24" s="79">
        <v>24</v>
      </c>
      <c r="AA24" s="79">
        <v>28</v>
      </c>
      <c r="AB24" s="79">
        <v>21</v>
      </c>
      <c r="AC24" s="79">
        <v>24</v>
      </c>
      <c r="AD24" s="79">
        <v>30</v>
      </c>
      <c r="AE24" s="79">
        <v>34</v>
      </c>
      <c r="AF24" s="79">
        <v>34</v>
      </c>
      <c r="AG24" s="79">
        <v>27</v>
      </c>
      <c r="AH24" s="79">
        <v>40</v>
      </c>
      <c r="AI24" s="79">
        <v>34</v>
      </c>
      <c r="AJ24" s="79">
        <v>28</v>
      </c>
      <c r="AK24" s="79">
        <v>28</v>
      </c>
      <c r="AL24" s="79">
        <v>35</v>
      </c>
      <c r="AM24" s="79">
        <v>34</v>
      </c>
      <c r="AN24" s="79">
        <v>21</v>
      </c>
      <c r="AO24" s="79">
        <v>31</v>
      </c>
      <c r="AP24" s="79">
        <v>10</v>
      </c>
      <c r="AQ24" s="79">
        <v>17</v>
      </c>
      <c r="AR24" s="79">
        <v>17</v>
      </c>
      <c r="AS24" s="79">
        <v>31</v>
      </c>
      <c r="AT24" s="79">
        <v>24</v>
      </c>
      <c r="AU24" s="79">
        <v>14</v>
      </c>
      <c r="AV24" s="79">
        <v>27</v>
      </c>
      <c r="AW24" s="79">
        <v>27</v>
      </c>
      <c r="AX24" s="79">
        <v>35</v>
      </c>
      <c r="AY24" s="79">
        <v>20</v>
      </c>
      <c r="AZ24" s="79">
        <v>35</v>
      </c>
      <c r="BA24" s="79">
        <v>52</v>
      </c>
      <c r="BB24" s="79">
        <v>14</v>
      </c>
      <c r="BC24" s="79">
        <v>44</v>
      </c>
      <c r="BD24" s="79">
        <v>27</v>
      </c>
      <c r="BE24" s="79">
        <v>46</v>
      </c>
      <c r="BF24" s="79">
        <v>35</v>
      </c>
      <c r="BG24" s="79">
        <v>24</v>
      </c>
      <c r="BH24" s="79">
        <v>28</v>
      </c>
      <c r="BI24" s="79">
        <v>21</v>
      </c>
      <c r="BJ24" s="79">
        <v>31</v>
      </c>
      <c r="BK24" s="79">
        <v>31</v>
      </c>
      <c r="BL24" s="79">
        <v>27</v>
      </c>
      <c r="BM24" s="79">
        <v>21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2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9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2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8</v>
      </c>
      <c r="U25" s="36">
        <f t="shared" si="3"/>
        <v>2</v>
      </c>
      <c r="V25" s="36">
        <f t="shared" si="3"/>
        <v>5</v>
      </c>
      <c r="W25" s="36">
        <f t="shared" si="3"/>
        <v>4</v>
      </c>
      <c r="X25" s="36">
        <f t="shared" si="3"/>
        <v>5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2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3</v>
      </c>
      <c r="AJ25" s="36">
        <f t="shared" si="3"/>
        <v>4</v>
      </c>
      <c r="AK25" s="36">
        <f t="shared" si="3"/>
        <v>5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3</v>
      </c>
      <c r="AP25" s="36">
        <f t="shared" si="3"/>
        <v>5</v>
      </c>
      <c r="AQ25" s="36">
        <f t="shared" si="3"/>
        <v>7</v>
      </c>
      <c r="AR25" s="36">
        <f t="shared" si="3"/>
        <v>4</v>
      </c>
      <c r="AS25" s="36">
        <f t="shared" si="3"/>
        <v>4</v>
      </c>
      <c r="AT25" s="36">
        <f t="shared" si="3"/>
        <v>4</v>
      </c>
      <c r="AU25" s="36">
        <f t="shared" si="3"/>
        <v>6</v>
      </c>
      <c r="AV25" s="36">
        <f t="shared" si="3"/>
        <v>4</v>
      </c>
      <c r="AW25" s="36">
        <f t="shared" si="3"/>
        <v>7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3</v>
      </c>
      <c r="BB25" s="36">
        <f t="shared" si="3"/>
        <v>6</v>
      </c>
      <c r="BC25" s="36">
        <f t="shared" si="3"/>
        <v>3</v>
      </c>
      <c r="BD25" s="36">
        <f t="shared" si="3"/>
        <v>6</v>
      </c>
      <c r="BE25" s="36">
        <f t="shared" si="3"/>
        <v>1</v>
      </c>
      <c r="BF25" s="36">
        <f t="shared" si="3"/>
        <v>8</v>
      </c>
      <c r="BG25" s="36">
        <f t="shared" si="3"/>
        <v>5</v>
      </c>
      <c r="BH25" s="36">
        <f t="shared" si="3"/>
        <v>5</v>
      </c>
      <c r="BI25" s="36">
        <f t="shared" si="3"/>
        <v>2</v>
      </c>
      <c r="BJ25" s="36">
        <f t="shared" si="3"/>
        <v>6</v>
      </c>
      <c r="BK25" s="36">
        <f t="shared" si="3"/>
        <v>3</v>
      </c>
      <c r="BL25" s="36">
        <f t="shared" si="3"/>
        <v>4</v>
      </c>
      <c r="BM25" s="36">
        <f t="shared" si="3"/>
        <v>6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9</v>
      </c>
      <c r="L26" s="71">
        <f t="shared" ref="L26:BM26" si="4">ABS((L23-L24)-($D21-$D22))</f>
        <v>16</v>
      </c>
      <c r="M26" s="71">
        <f t="shared" si="4"/>
        <v>9</v>
      </c>
      <c r="N26" s="71">
        <f t="shared" si="4"/>
        <v>6</v>
      </c>
      <c r="O26" s="71">
        <f t="shared" si="4"/>
        <v>8</v>
      </c>
      <c r="P26" s="71">
        <f t="shared" si="4"/>
        <v>11</v>
      </c>
      <c r="Q26" s="71">
        <f t="shared" si="4"/>
        <v>61</v>
      </c>
      <c r="R26" s="71">
        <f t="shared" si="4"/>
        <v>2</v>
      </c>
      <c r="S26" s="71">
        <f t="shared" si="4"/>
        <v>2</v>
      </c>
      <c r="T26" s="71">
        <f t="shared" si="4"/>
        <v>0</v>
      </c>
      <c r="U26" s="71">
        <f t="shared" si="4"/>
        <v>7</v>
      </c>
      <c r="V26" s="71">
        <f t="shared" si="4"/>
        <v>12</v>
      </c>
      <c r="W26" s="71">
        <f t="shared" si="4"/>
        <v>1</v>
      </c>
      <c r="X26" s="71">
        <f t="shared" si="4"/>
        <v>1</v>
      </c>
      <c r="Y26" s="71">
        <f t="shared" si="4"/>
        <v>8</v>
      </c>
      <c r="Z26" s="71">
        <f t="shared" si="4"/>
        <v>9</v>
      </c>
      <c r="AA26" s="71">
        <f t="shared" si="4"/>
        <v>1</v>
      </c>
      <c r="AB26" s="71">
        <f t="shared" si="4"/>
        <v>12</v>
      </c>
      <c r="AC26" s="71">
        <f t="shared" si="4"/>
        <v>2</v>
      </c>
      <c r="AD26" s="71">
        <f t="shared" si="4"/>
        <v>6</v>
      </c>
      <c r="AE26" s="71">
        <f t="shared" si="4"/>
        <v>5</v>
      </c>
      <c r="AF26" s="71">
        <f t="shared" si="4"/>
        <v>4</v>
      </c>
      <c r="AG26" s="71">
        <f t="shared" si="4"/>
        <v>13</v>
      </c>
      <c r="AH26" s="71">
        <f t="shared" si="4"/>
        <v>4</v>
      </c>
      <c r="AI26" s="71">
        <f t="shared" si="4"/>
        <v>5</v>
      </c>
      <c r="AJ26" s="71">
        <f t="shared" si="4"/>
        <v>2</v>
      </c>
      <c r="AK26" s="71">
        <f t="shared" si="4"/>
        <v>14</v>
      </c>
      <c r="AL26" s="71">
        <f t="shared" si="4"/>
        <v>6</v>
      </c>
      <c r="AM26" s="71">
        <f t="shared" si="4"/>
        <v>5</v>
      </c>
      <c r="AN26" s="71">
        <f t="shared" si="4"/>
        <v>1</v>
      </c>
      <c r="AO26" s="71">
        <f t="shared" si="4"/>
        <v>5</v>
      </c>
      <c r="AP26" s="71">
        <f t="shared" si="4"/>
        <v>19</v>
      </c>
      <c r="AQ26" s="71">
        <f t="shared" si="4"/>
        <v>16</v>
      </c>
      <c r="AR26" s="71">
        <f t="shared" si="4"/>
        <v>19</v>
      </c>
      <c r="AS26" s="71">
        <f t="shared" si="4"/>
        <v>6</v>
      </c>
      <c r="AT26" s="71">
        <f t="shared" si="4"/>
        <v>19</v>
      </c>
      <c r="AU26" s="71">
        <f t="shared" si="4"/>
        <v>12</v>
      </c>
      <c r="AV26" s="71">
        <f t="shared" si="4"/>
        <v>4</v>
      </c>
      <c r="AW26" s="71">
        <f t="shared" si="4"/>
        <v>9</v>
      </c>
      <c r="AX26" s="71">
        <f t="shared" si="4"/>
        <v>6</v>
      </c>
      <c r="AY26" s="71">
        <f t="shared" si="4"/>
        <v>12</v>
      </c>
      <c r="AZ26" s="71">
        <f t="shared" si="4"/>
        <v>8</v>
      </c>
      <c r="BA26" s="71">
        <f t="shared" si="4"/>
        <v>18</v>
      </c>
      <c r="BB26" s="71">
        <f t="shared" si="4"/>
        <v>12</v>
      </c>
      <c r="BC26" s="71">
        <f t="shared" si="4"/>
        <v>22</v>
      </c>
      <c r="BD26" s="71">
        <f t="shared" si="4"/>
        <v>6</v>
      </c>
      <c r="BE26" s="71">
        <f t="shared" si="4"/>
        <v>20</v>
      </c>
      <c r="BF26" s="71">
        <f t="shared" si="4"/>
        <v>18</v>
      </c>
      <c r="BG26" s="71">
        <f t="shared" si="4"/>
        <v>8</v>
      </c>
      <c r="BH26" s="71">
        <f t="shared" si="4"/>
        <v>8</v>
      </c>
      <c r="BI26" s="71">
        <f t="shared" si="4"/>
        <v>8</v>
      </c>
      <c r="BJ26" s="71">
        <f t="shared" si="4"/>
        <v>9</v>
      </c>
      <c r="BK26" s="71">
        <f t="shared" si="4"/>
        <v>2</v>
      </c>
      <c r="BL26" s="71">
        <f t="shared" si="4"/>
        <v>8</v>
      </c>
      <c r="BM26" s="71">
        <f t="shared" si="4"/>
        <v>12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7</v>
      </c>
      <c r="L27" s="71">
        <f t="shared" ref="L27:BM27" si="5">ABS(($D21+$D22)-(L23+L24))</f>
        <v>14</v>
      </c>
      <c r="M27" s="71">
        <f t="shared" si="5"/>
        <v>21</v>
      </c>
      <c r="N27" s="71">
        <f t="shared" si="5"/>
        <v>6</v>
      </c>
      <c r="O27" s="71">
        <f t="shared" si="5"/>
        <v>0</v>
      </c>
      <c r="P27" s="71">
        <f t="shared" si="5"/>
        <v>9</v>
      </c>
      <c r="Q27" s="71">
        <f t="shared" si="5"/>
        <v>11</v>
      </c>
      <c r="R27" s="71">
        <f t="shared" si="5"/>
        <v>0</v>
      </c>
      <c r="S27" s="71">
        <f t="shared" si="5"/>
        <v>0</v>
      </c>
      <c r="T27" s="71">
        <f t="shared" si="5"/>
        <v>20</v>
      </c>
      <c r="U27" s="71">
        <f t="shared" si="5"/>
        <v>21</v>
      </c>
      <c r="V27" s="71">
        <f t="shared" si="5"/>
        <v>24</v>
      </c>
      <c r="W27" s="71">
        <f t="shared" si="5"/>
        <v>17</v>
      </c>
      <c r="X27" s="71">
        <f t="shared" si="5"/>
        <v>11</v>
      </c>
      <c r="Y27" s="71">
        <f t="shared" si="5"/>
        <v>14</v>
      </c>
      <c r="Z27" s="71">
        <f t="shared" si="5"/>
        <v>7</v>
      </c>
      <c r="AA27" s="71">
        <f t="shared" si="5"/>
        <v>7</v>
      </c>
      <c r="AB27" s="71">
        <f t="shared" si="5"/>
        <v>4</v>
      </c>
      <c r="AC27" s="71">
        <f t="shared" si="5"/>
        <v>0</v>
      </c>
      <c r="AD27" s="71">
        <f t="shared" si="5"/>
        <v>16</v>
      </c>
      <c r="AE27" s="71">
        <f t="shared" si="5"/>
        <v>13</v>
      </c>
      <c r="AF27" s="71">
        <f t="shared" si="5"/>
        <v>22</v>
      </c>
      <c r="AG27" s="71">
        <f t="shared" si="5"/>
        <v>17</v>
      </c>
      <c r="AH27" s="71">
        <f t="shared" si="5"/>
        <v>26</v>
      </c>
      <c r="AI27" s="71">
        <f t="shared" si="5"/>
        <v>13</v>
      </c>
      <c r="AJ27" s="71">
        <f t="shared" si="5"/>
        <v>4</v>
      </c>
      <c r="AK27" s="71">
        <f t="shared" si="5"/>
        <v>20</v>
      </c>
      <c r="AL27" s="71">
        <f t="shared" si="5"/>
        <v>14</v>
      </c>
      <c r="AM27" s="71">
        <f t="shared" si="5"/>
        <v>13</v>
      </c>
      <c r="AN27" s="71">
        <f t="shared" si="5"/>
        <v>7</v>
      </c>
      <c r="AO27" s="71">
        <f t="shared" si="5"/>
        <v>7</v>
      </c>
      <c r="AP27" s="71">
        <f t="shared" si="5"/>
        <v>11</v>
      </c>
      <c r="AQ27" s="71">
        <f t="shared" si="5"/>
        <v>0</v>
      </c>
      <c r="AR27" s="71">
        <f t="shared" si="5"/>
        <v>3</v>
      </c>
      <c r="AS27" s="71">
        <f t="shared" si="5"/>
        <v>6</v>
      </c>
      <c r="AT27" s="71">
        <f t="shared" si="5"/>
        <v>17</v>
      </c>
      <c r="AU27" s="71">
        <f t="shared" si="5"/>
        <v>10</v>
      </c>
      <c r="AV27" s="71">
        <f t="shared" si="5"/>
        <v>0</v>
      </c>
      <c r="AW27" s="71">
        <f t="shared" si="5"/>
        <v>13</v>
      </c>
      <c r="AX27" s="71">
        <f t="shared" si="5"/>
        <v>14</v>
      </c>
      <c r="AY27" s="71">
        <f t="shared" si="5"/>
        <v>2</v>
      </c>
      <c r="AZ27" s="71">
        <f t="shared" si="5"/>
        <v>28</v>
      </c>
      <c r="BA27" s="71">
        <f t="shared" si="5"/>
        <v>36</v>
      </c>
      <c r="BB27" s="71">
        <f t="shared" si="5"/>
        <v>10</v>
      </c>
      <c r="BC27" s="71">
        <f t="shared" si="5"/>
        <v>16</v>
      </c>
      <c r="BD27" s="71">
        <f t="shared" si="5"/>
        <v>10</v>
      </c>
      <c r="BE27" s="71">
        <f t="shared" si="5"/>
        <v>22</v>
      </c>
      <c r="BF27" s="71">
        <f t="shared" si="5"/>
        <v>38</v>
      </c>
      <c r="BG27" s="71">
        <f t="shared" si="5"/>
        <v>6</v>
      </c>
      <c r="BH27" s="71">
        <f t="shared" si="5"/>
        <v>14</v>
      </c>
      <c r="BI27" s="71">
        <f t="shared" si="5"/>
        <v>0</v>
      </c>
      <c r="BJ27" s="71">
        <f t="shared" si="5"/>
        <v>21</v>
      </c>
      <c r="BK27" s="71">
        <f t="shared" si="5"/>
        <v>10</v>
      </c>
      <c r="BL27" s="71">
        <f t="shared" si="5"/>
        <v>12</v>
      </c>
      <c r="BM27" s="71">
        <f t="shared" si="5"/>
        <v>4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ca="1">IF(COUNTA($D$3:$D$22)&lt;2,"",IF(K36=MAX(INDIRECT("R36C11:R36C"&amp;11+playercnt-1,FALSE)),1,""))</f>
        <v>1</v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0.46363636363636362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5</v>
      </c>
      <c r="O29" s="71">
        <f t="shared" si="7"/>
        <v>7</v>
      </c>
      <c r="P29" s="71">
        <f t="shared" si="7"/>
        <v>8</v>
      </c>
      <c r="Q29" s="71">
        <f t="shared" si="7"/>
        <v>8</v>
      </c>
      <c r="R29" s="71">
        <f t="shared" si="7"/>
        <v>4</v>
      </c>
      <c r="S29" s="71">
        <f t="shared" si="7"/>
        <v>3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6</v>
      </c>
      <c r="AA29" s="71">
        <f t="shared" si="7"/>
        <v>6</v>
      </c>
      <c r="AB29" s="71">
        <f t="shared" si="7"/>
        <v>6</v>
      </c>
      <c r="AC29" s="71">
        <f t="shared" si="7"/>
        <v>6</v>
      </c>
      <c r="AD29" s="71">
        <f t="shared" si="7"/>
        <v>5</v>
      </c>
      <c r="AE29" s="71">
        <f t="shared" si="7"/>
        <v>7</v>
      </c>
      <c r="AF29" s="71">
        <f t="shared" si="7"/>
        <v>2</v>
      </c>
      <c r="AG29" s="71">
        <f t="shared" si="7"/>
        <v>7</v>
      </c>
      <c r="AH29" s="71">
        <f t="shared" si="7"/>
        <v>8</v>
      </c>
      <c r="AI29" s="71">
        <f t="shared" si="7"/>
        <v>7</v>
      </c>
      <c r="AJ29" s="71">
        <f t="shared" si="7"/>
        <v>8</v>
      </c>
      <c r="AK29" s="71">
        <f t="shared" si="7"/>
        <v>5</v>
      </c>
      <c r="AL29" s="71">
        <f t="shared" si="7"/>
        <v>5</v>
      </c>
      <c r="AM29" s="71">
        <f t="shared" si="7"/>
        <v>6</v>
      </c>
      <c r="AN29" s="71">
        <f t="shared" si="7"/>
        <v>10</v>
      </c>
      <c r="AO29" s="71">
        <f t="shared" si="7"/>
        <v>7</v>
      </c>
      <c r="AP29" s="71">
        <f t="shared" si="7"/>
        <v>7</v>
      </c>
      <c r="AQ29" s="71">
        <f t="shared" si="7"/>
        <v>5</v>
      </c>
      <c r="AR29" s="71">
        <f t="shared" si="7"/>
        <v>8</v>
      </c>
      <c r="AS29" s="71">
        <f t="shared" si="7"/>
        <v>8</v>
      </c>
      <c r="AT29" s="71">
        <f t="shared" si="7"/>
        <v>8</v>
      </c>
      <c r="AU29" s="71">
        <f t="shared" si="7"/>
        <v>6</v>
      </c>
      <c r="AV29" s="71">
        <f t="shared" si="7"/>
        <v>6</v>
      </c>
      <c r="AW29" s="71">
        <f t="shared" si="7"/>
        <v>7</v>
      </c>
      <c r="AX29" s="71">
        <f t="shared" si="7"/>
        <v>7</v>
      </c>
      <c r="AY29" s="71">
        <f t="shared" si="7"/>
        <v>7</v>
      </c>
      <c r="AZ29" s="71">
        <f t="shared" si="7"/>
        <v>8</v>
      </c>
      <c r="BA29" s="71">
        <f t="shared" si="7"/>
        <v>5</v>
      </c>
      <c r="BB29" s="71">
        <f t="shared" si="7"/>
        <v>8</v>
      </c>
      <c r="BC29" s="71">
        <f t="shared" si="7"/>
        <v>5</v>
      </c>
      <c r="BD29" s="71">
        <f t="shared" si="7"/>
        <v>6</v>
      </c>
      <c r="BE29" s="71">
        <f t="shared" si="7"/>
        <v>7</v>
      </c>
      <c r="BF29" s="71">
        <f t="shared" si="7"/>
        <v>6</v>
      </c>
      <c r="BG29" s="71">
        <f t="shared" si="7"/>
        <v>7</v>
      </c>
      <c r="BH29" s="71">
        <f t="shared" si="7"/>
        <v>7</v>
      </c>
      <c r="BI29" s="71">
        <f t="shared" si="7"/>
        <v>8</v>
      </c>
      <c r="BJ29" s="71">
        <f t="shared" si="7"/>
        <v>6</v>
      </c>
      <c r="BK29" s="71">
        <f t="shared" si="7"/>
        <v>7</v>
      </c>
      <c r="BL29" s="71">
        <f t="shared" si="7"/>
        <v>8</v>
      </c>
      <c r="BM29" s="71">
        <f t="shared" si="7"/>
        <v>6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8</v>
      </c>
      <c r="M30" s="73">
        <f t="shared" si="8"/>
        <v>5</v>
      </c>
      <c r="N30" s="73">
        <f t="shared" si="8"/>
        <v>3</v>
      </c>
      <c r="O30" s="73">
        <f t="shared" si="8"/>
        <v>3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5</v>
      </c>
      <c r="T30" s="73">
        <f t="shared" si="8"/>
        <v>6</v>
      </c>
      <c r="U30" s="73">
        <f t="shared" si="8"/>
        <v>6</v>
      </c>
      <c r="V30" s="73">
        <f t="shared" si="8"/>
        <v>9</v>
      </c>
      <c r="W30" s="73">
        <f t="shared" si="8"/>
        <v>4</v>
      </c>
      <c r="X30" s="73">
        <f t="shared" si="8"/>
        <v>3</v>
      </c>
      <c r="Y30" s="73">
        <f t="shared" si="8"/>
        <v>2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>
        <f t="shared" si="8"/>
        <v>4</v>
      </c>
      <c r="AD30" s="73">
        <f t="shared" si="8"/>
        <v>7</v>
      </c>
      <c r="AE30" s="73">
        <f t="shared" si="8"/>
        <v>5</v>
      </c>
      <c r="AF30" s="73">
        <f t="shared" si="8"/>
        <v>4</v>
      </c>
      <c r="AG30" s="73">
        <f t="shared" si="8"/>
        <v>5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9</v>
      </c>
      <c r="AL30" s="73">
        <f t="shared" si="8"/>
        <v>5</v>
      </c>
      <c r="AM30" s="73">
        <f t="shared" si="8"/>
        <v>4</v>
      </c>
      <c r="AN30" s="73">
        <f t="shared" si="8"/>
        <v>6</v>
      </c>
      <c r="AO30" s="73">
        <f t="shared" si="8"/>
        <v>3</v>
      </c>
      <c r="AP30" s="73">
        <f t="shared" si="8"/>
        <v>7</v>
      </c>
      <c r="AQ30" s="73">
        <f t="shared" si="8"/>
        <v>3</v>
      </c>
      <c r="AR30" s="73">
        <f t="shared" si="8"/>
        <v>6</v>
      </c>
      <c r="AS30" s="73">
        <f t="shared" si="8"/>
        <v>6</v>
      </c>
      <c r="AT30" s="73">
        <f t="shared" si="8"/>
        <v>8</v>
      </c>
      <c r="AU30" s="73">
        <f t="shared" si="8"/>
        <v>4</v>
      </c>
      <c r="AV30" s="73">
        <f t="shared" si="8"/>
        <v>2</v>
      </c>
      <c r="AW30" s="73">
        <f t="shared" si="8"/>
        <v>7</v>
      </c>
      <c r="AX30" s="73">
        <f t="shared" si="8"/>
        <v>7</v>
      </c>
      <c r="AY30" s="73">
        <f t="shared" si="8"/>
        <v>5</v>
      </c>
      <c r="AZ30" s="73">
        <f t="shared" si="8"/>
        <v>6</v>
      </c>
      <c r="BA30" s="73">
        <f t="shared" si="8"/>
        <v>1</v>
      </c>
      <c r="BB30" s="73">
        <f t="shared" si="8"/>
        <v>4</v>
      </c>
      <c r="BC30" s="73">
        <f t="shared" si="8"/>
        <v>3</v>
      </c>
      <c r="BD30" s="73">
        <f t="shared" si="8"/>
        <v>6</v>
      </c>
      <c r="BE30" s="73">
        <f t="shared" si="8"/>
        <v>3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4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7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5</v>
      </c>
      <c r="N31" s="71">
        <f t="shared" ca="1" si="9"/>
        <v>3</v>
      </c>
      <c r="O31" s="71">
        <f t="shared" ca="1" si="9"/>
        <v>1</v>
      </c>
      <c r="P31" s="71">
        <f t="shared" ca="1" si="9"/>
        <v>2</v>
      </c>
      <c r="Q31" s="71">
        <f t="shared" ca="1" si="9"/>
        <v>2</v>
      </c>
      <c r="R31" s="71">
        <f t="shared" ca="1" si="9"/>
        <v>4</v>
      </c>
      <c r="S31" s="71">
        <f t="shared" ca="1" si="9"/>
        <v>7</v>
      </c>
      <c r="T31" s="71">
        <f t="shared" ca="1" si="9"/>
        <v>4</v>
      </c>
      <c r="U31" s="71">
        <f t="shared" ca="1" si="9"/>
        <v>6</v>
      </c>
      <c r="V31" s="71">
        <f t="shared" ca="1" si="9"/>
        <v>5</v>
      </c>
      <c r="W31" s="71">
        <f t="shared" ca="1" si="9"/>
        <v>2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2</v>
      </c>
      <c r="AC31" s="71">
        <f t="shared" ca="1" si="9"/>
        <v>2</v>
      </c>
      <c r="AD31" s="71">
        <f t="shared" ca="1" si="9"/>
        <v>7</v>
      </c>
      <c r="AE31" s="71">
        <f t="shared" ca="1" si="9"/>
        <v>3</v>
      </c>
      <c r="AF31" s="71">
        <f t="shared" ca="1" si="9"/>
        <v>6</v>
      </c>
      <c r="AG31" s="71">
        <f t="shared" ca="1" si="9"/>
        <v>1</v>
      </c>
      <c r="AH31" s="71">
        <f t="shared" ca="1" si="9"/>
        <v>4</v>
      </c>
      <c r="AI31" s="71">
        <f t="shared" ca="1" si="9"/>
        <v>1</v>
      </c>
      <c r="AJ31" s="71">
        <f t="shared" ca="1" si="9"/>
        <v>0</v>
      </c>
      <c r="AK31" s="71">
        <f t="shared" ca="1" si="9"/>
        <v>7</v>
      </c>
      <c r="AL31" s="71">
        <f t="shared" ca="1" si="9"/>
        <v>3</v>
      </c>
      <c r="AM31" s="71">
        <f t="shared" ca="1" si="9"/>
        <v>2</v>
      </c>
      <c r="AN31" s="71">
        <f t="shared" ca="1" si="9"/>
        <v>2</v>
      </c>
      <c r="AO31" s="71">
        <f t="shared" ca="1" si="9"/>
        <v>3</v>
      </c>
      <c r="AP31" s="71">
        <f t="shared" ca="1" si="9"/>
        <v>5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2</v>
      </c>
      <c r="AV31" s="71">
        <f t="shared" ca="1" si="9"/>
        <v>4</v>
      </c>
      <c r="AW31" s="71">
        <f t="shared" ca="1" si="9"/>
        <v>3</v>
      </c>
      <c r="AX31" s="71">
        <f t="shared" ca="1" si="9"/>
        <v>5</v>
      </c>
      <c r="AY31" s="71">
        <f t="shared" ca="1" si="9"/>
        <v>1</v>
      </c>
      <c r="AZ31" s="71">
        <f t="shared" ca="1" si="9"/>
        <v>2</v>
      </c>
      <c r="BA31" s="71">
        <f t="shared" ca="1" si="9"/>
        <v>3</v>
      </c>
      <c r="BB31" s="71">
        <f t="shared" ca="1" si="9"/>
        <v>2</v>
      </c>
      <c r="BC31" s="71">
        <f t="shared" ca="1" si="9"/>
        <v>5</v>
      </c>
      <c r="BD31" s="71">
        <f t="shared" ca="1" si="9"/>
        <v>4</v>
      </c>
      <c r="BE31" s="71">
        <f t="shared" ca="1" si="9"/>
        <v>3</v>
      </c>
      <c r="BF31" s="71">
        <f t="shared" ca="1" si="9"/>
        <v>4</v>
      </c>
      <c r="BG31" s="71">
        <f t="shared" ca="1" si="9"/>
        <v>3</v>
      </c>
      <c r="BH31" s="71">
        <f t="shared" ca="1" si="9"/>
        <v>1</v>
      </c>
      <c r="BI31" s="71">
        <f t="shared" ca="1" si="9"/>
        <v>2</v>
      </c>
      <c r="BJ31" s="71">
        <f t="shared" ca="1" si="9"/>
        <v>6</v>
      </c>
      <c r="BK31" s="71">
        <f t="shared" ca="1" si="9"/>
        <v>3</v>
      </c>
      <c r="BL31" s="71">
        <f t="shared" ca="1" si="9"/>
        <v>0</v>
      </c>
      <c r="BM31" s="71">
        <f t="shared" ca="1" si="9"/>
        <v>4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181963972</v>
      </c>
      <c r="L36" s="32">
        <f t="shared" ref="L36:BM36" si="12">COUNTA(L23:L24)*((10000000*L25)+(1000000*(COUNTA(L21)*$E21+COUNTA(L22)*$E22))-(COUNTA($D$21:$D$22)*1000*L26)-(COUNTA($D$21:$D$22)*L27))</f>
        <v>81935944</v>
      </c>
      <c r="M36" s="32">
        <f t="shared" si="12"/>
        <v>61963916</v>
      </c>
      <c r="N36" s="32">
        <f t="shared" si="12"/>
        <v>99975976</v>
      </c>
      <c r="O36" s="32">
        <f t="shared" si="12"/>
        <v>61968000</v>
      </c>
      <c r="P36" s="32">
        <f t="shared" si="12"/>
        <v>41955964</v>
      </c>
      <c r="Q36" s="32">
        <f t="shared" si="12"/>
        <v>121755956</v>
      </c>
      <c r="R36" s="32">
        <f t="shared" si="12"/>
        <v>121992000</v>
      </c>
      <c r="S36" s="32">
        <f t="shared" si="12"/>
        <v>141992000</v>
      </c>
      <c r="T36" s="32">
        <f t="shared" si="12"/>
        <v>161999920</v>
      </c>
      <c r="U36" s="32">
        <f t="shared" si="12"/>
        <v>39971916</v>
      </c>
      <c r="V36" s="32">
        <f t="shared" si="12"/>
        <v>101951904</v>
      </c>
      <c r="W36" s="32">
        <f t="shared" si="12"/>
        <v>81995932</v>
      </c>
      <c r="X36" s="32">
        <f t="shared" si="12"/>
        <v>101995956</v>
      </c>
      <c r="Y36" s="32">
        <f t="shared" si="12"/>
        <v>81967944</v>
      </c>
      <c r="Z36" s="32">
        <f t="shared" si="12"/>
        <v>81963972</v>
      </c>
      <c r="AA36" s="32">
        <f t="shared" si="12"/>
        <v>81995972</v>
      </c>
      <c r="AB36" s="32">
        <f t="shared" si="12"/>
        <v>41951984</v>
      </c>
      <c r="AC36" s="32">
        <f t="shared" si="12"/>
        <v>81992000</v>
      </c>
      <c r="AD36" s="32">
        <f t="shared" si="12"/>
        <v>141975936</v>
      </c>
      <c r="AE36" s="32">
        <f t="shared" si="12"/>
        <v>99979948</v>
      </c>
      <c r="AF36" s="32">
        <f t="shared" si="12"/>
        <v>121983912</v>
      </c>
      <c r="AG36" s="32">
        <f t="shared" si="12"/>
        <v>101947932</v>
      </c>
      <c r="AH36" s="32">
        <f t="shared" si="12"/>
        <v>79983896</v>
      </c>
      <c r="AI36" s="32">
        <f t="shared" si="12"/>
        <v>59979948</v>
      </c>
      <c r="AJ36" s="32">
        <f t="shared" si="12"/>
        <v>81991984</v>
      </c>
      <c r="AK36" s="32">
        <f t="shared" si="12"/>
        <v>101943920</v>
      </c>
      <c r="AL36" s="32">
        <f t="shared" si="12"/>
        <v>99975944</v>
      </c>
      <c r="AM36" s="32">
        <f t="shared" si="12"/>
        <v>79979948</v>
      </c>
      <c r="AN36" s="32">
        <f t="shared" si="12"/>
        <v>81995972</v>
      </c>
      <c r="AO36" s="32">
        <f t="shared" si="12"/>
        <v>59979972</v>
      </c>
      <c r="AP36" s="32">
        <f t="shared" si="12"/>
        <v>101923956</v>
      </c>
      <c r="AQ36" s="32">
        <f t="shared" si="12"/>
        <v>141936000</v>
      </c>
      <c r="AR36" s="32">
        <f t="shared" si="12"/>
        <v>81923988</v>
      </c>
      <c r="AS36" s="32">
        <f t="shared" si="12"/>
        <v>79975976</v>
      </c>
      <c r="AT36" s="32">
        <f t="shared" si="12"/>
        <v>81923932</v>
      </c>
      <c r="AU36" s="32">
        <f t="shared" si="12"/>
        <v>121951960</v>
      </c>
      <c r="AV36" s="32">
        <f t="shared" si="12"/>
        <v>79984000</v>
      </c>
      <c r="AW36" s="32">
        <f t="shared" si="12"/>
        <v>141963948</v>
      </c>
      <c r="AX36" s="32">
        <f t="shared" si="12"/>
        <v>99975944</v>
      </c>
      <c r="AY36" s="32">
        <f t="shared" si="12"/>
        <v>101951992</v>
      </c>
      <c r="AZ36" s="32">
        <f t="shared" si="12"/>
        <v>81967888</v>
      </c>
      <c r="BA36" s="32">
        <f t="shared" si="12"/>
        <v>59927856</v>
      </c>
      <c r="BB36" s="32">
        <f t="shared" si="12"/>
        <v>121951960</v>
      </c>
      <c r="BC36" s="32">
        <f t="shared" si="12"/>
        <v>59911936</v>
      </c>
      <c r="BD36" s="32">
        <f t="shared" si="12"/>
        <v>121975960</v>
      </c>
      <c r="BE36" s="32">
        <f t="shared" si="12"/>
        <v>19919912</v>
      </c>
      <c r="BF36" s="32">
        <f t="shared" si="12"/>
        <v>161927848</v>
      </c>
      <c r="BG36" s="32">
        <f t="shared" si="12"/>
        <v>101967976</v>
      </c>
      <c r="BH36" s="32">
        <f t="shared" si="12"/>
        <v>101967944</v>
      </c>
      <c r="BI36" s="32">
        <f t="shared" si="12"/>
        <v>41968000</v>
      </c>
      <c r="BJ36" s="32">
        <f t="shared" si="12"/>
        <v>121963916</v>
      </c>
      <c r="BK36" s="32">
        <f t="shared" si="12"/>
        <v>61991960</v>
      </c>
      <c r="BL36" s="32">
        <f t="shared" si="12"/>
        <v>81967952</v>
      </c>
      <c r="BM36" s="32">
        <f t="shared" si="12"/>
        <v>121951984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63" priority="9" stopIfTrue="1" operator="equal">
      <formula>0</formula>
    </cfRule>
  </conditionalFormatting>
  <conditionalFormatting sqref="D26:J28 K28:BE28">
    <cfRule type="cellIs" dxfId="62" priority="10" stopIfTrue="1" operator="equal">
      <formula>1</formula>
    </cfRule>
  </conditionalFormatting>
  <conditionalFormatting sqref="H3:I3 F23 H5:I5 H7:I7 H9:I9 H11:I11 H13:I13 H15:I15 H17:I17 H19:I19 H21:I21">
    <cfRule type="cellIs" dxfId="61" priority="11" stopIfTrue="1" operator="equal">
      <formula>0</formula>
    </cfRule>
  </conditionalFormatting>
  <conditionalFormatting sqref="H4:I4 F24 H6:I6 H8:I8 H10:I10 H12:I12 H14:I14 H16:I16 H18:I18 H20:I20 H22:I22">
    <cfRule type="cellIs" dxfId="60" priority="12" stopIfTrue="1" operator="equal">
      <formula>0</formula>
    </cfRule>
  </conditionalFormatting>
  <conditionalFormatting sqref="F3 F5 F7 F9 F11 F13 F15 F17 F19 F21">
    <cfRule type="cellIs" dxfId="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57" priority="15" stopIfTrue="1">
      <formula>AND(COUNTA(J4)=1,$E4=1,SUM($E3:$E4)=1)</formula>
    </cfRule>
    <cfRule type="expression" dxfId="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55" priority="17" stopIfTrue="1">
      <formula>AND(COUNTA(J3)=1,$E3=1,SUM($E3:$E4)=1)</formula>
    </cfRule>
    <cfRule type="expression" dxfId="54" priority="18" stopIfTrue="1">
      <formula>AND(COUNTA(J3)=1,$E3=0,SUM($E3:$E4)=1)</formula>
    </cfRule>
  </conditionalFormatting>
  <conditionalFormatting sqref="BF23:BM23">
    <cfRule type="cellIs" dxfId="53" priority="7" stopIfTrue="1" operator="equal">
      <formula>0</formula>
    </cfRule>
  </conditionalFormatting>
  <conditionalFormatting sqref="BF24:BM24">
    <cfRule type="cellIs" dxfId="52" priority="6" stopIfTrue="1" operator="equal">
      <formula>0</formula>
    </cfRule>
  </conditionalFormatting>
  <conditionalFormatting sqref="BF28:BM28">
    <cfRule type="cellIs" dxfId="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50" priority="3" stopIfTrue="1">
      <formula>AND(COUNTA(BF4)=1,$E4=1,SUM($E3:$E4)=1)</formula>
    </cfRule>
    <cfRule type="expression" dxfId="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8" priority="1" stopIfTrue="1">
      <formula>AND(COUNTA(BF3)=1,$E3=1,SUM($E3:$E4)=1)</formula>
    </cfRule>
    <cfRule type="expression" dxfId="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>
    <pageSetUpPr fitToPage="1"/>
  </sheetPr>
  <dimension ref="A1:BM58"/>
  <sheetViews>
    <sheetView topLeftCell="B1" zoomScale="90" zoomScaleNormal="100" zoomScaleSheetLayoutView="100" workbookViewId="0">
      <selection activeCell="B6" sqref="B6"/>
    </sheetView>
  </sheetViews>
  <sheetFormatPr defaultRowHeight="12.75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5" width="3.28515625" customWidth="1"/>
  </cols>
  <sheetData>
    <row r="1" spans="1:65">
      <c r="B1" s="6"/>
      <c r="I1">
        <f>COUNTA(K1:BZ1)</f>
        <v>0</v>
      </c>
      <c r="J1">
        <f>SUM(K1:BZ1)</f>
        <v>0</v>
      </c>
    </row>
    <row r="2" spans="1:65" ht="117.7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Bowers, Martin L</v>
      </c>
      <c r="P2" s="4" t="str">
        <f t="shared" ca="1" si="0"/>
        <v>Boykin, Jerome W</v>
      </c>
      <c r="Q2" s="4" t="str">
        <f t="shared" ca="1" si="0"/>
        <v>Brokaw, Brantley A</v>
      </c>
      <c r="R2" s="4" t="str">
        <f t="shared" ca="1" si="0"/>
        <v>Brunt, DavidRemote</v>
      </c>
      <c r="S2" s="4" t="str">
        <f t="shared" ca="1" si="0"/>
        <v>Carter, Chris</v>
      </c>
      <c r="T2" s="4" t="str">
        <f t="shared" ca="1" si="0"/>
        <v>Chan, Simon</v>
      </c>
      <c r="U2" s="4" t="str">
        <f t="shared" ca="1" si="0"/>
        <v>Desetto, Daniel</v>
      </c>
      <c r="V2" s="4" t="str">
        <f t="shared" ca="1" si="0"/>
        <v>Desing, Scott M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Fonville, Stephanie Remote</v>
      </c>
      <c r="AB2" s="4" t="str">
        <f t="shared" ca="1" si="0"/>
        <v>Gilmer, Justin T</v>
      </c>
      <c r="AC2" s="4" t="str">
        <f t="shared" ca="1" si="0"/>
        <v>Gregory, Adam J</v>
      </c>
      <c r="AD2" s="4" t="str">
        <f t="shared" ca="1" si="0"/>
        <v>Hendrick, Matt R</v>
      </c>
      <c r="AE2" s="4" t="str">
        <f t="shared" ca="1" si="0"/>
        <v>Holden, Brent</v>
      </c>
      <c r="AF2" s="4" t="str">
        <f t="shared" ca="1" si="0"/>
        <v>Holley, Jeremy Remote</v>
      </c>
      <c r="AG2" s="4" t="str">
        <f t="shared" ca="1" si="0"/>
        <v>Inabinet, Greg</v>
      </c>
      <c r="AH2" s="4" t="str">
        <f t="shared" ca="1" si="0"/>
        <v>James, Larry C</v>
      </c>
      <c r="AI2" s="4" t="str">
        <f t="shared" ca="1" si="0"/>
        <v>Johnson, Robert J</v>
      </c>
      <c r="AJ2" s="4" t="str">
        <f t="shared" ca="1" si="0"/>
        <v>Kandela, Marwan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Mccoy, William M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Neill, Charles H</v>
      </c>
      <c r="AS2" s="4" t="str">
        <f t="shared" ca="1" si="0"/>
        <v>Nguyen, Thai</v>
      </c>
      <c r="AT2" s="4" t="str">
        <f t="shared" ca="1" si="0"/>
        <v>Penrose, Tim Remote</v>
      </c>
      <c r="AU2" s="4" t="str">
        <f t="shared" ca="1" si="0"/>
        <v>Powell, LaMar</v>
      </c>
      <c r="AV2" s="4" t="str">
        <f t="shared" ca="1" si="0"/>
        <v>Puga, Moises</v>
      </c>
      <c r="AW2" s="4" t="str">
        <f t="shared" ca="1" si="0"/>
        <v>Reams, Byron L</v>
      </c>
      <c r="AX2" s="4" t="str">
        <f t="shared" ca="1" si="0"/>
        <v>Redys, David Remote</v>
      </c>
      <c r="AY2" s="4" t="str">
        <f t="shared" ca="1" si="0"/>
        <v>Robbins, Dale</v>
      </c>
      <c r="AZ2" s="4" t="str">
        <f t="shared" ca="1" si="0"/>
        <v>Ruffin, Chris</v>
      </c>
      <c r="BA2" s="4" t="str">
        <f t="shared" ca="1" si="0"/>
        <v>Sams, David</v>
      </c>
      <c r="BB2" s="4" t="str">
        <f t="shared" ca="1" si="0"/>
        <v>Sapp, Carl G</v>
      </c>
      <c r="BC2" s="4" t="str">
        <f t="shared" ca="1" si="0"/>
        <v>Shuey, Jeffrey M</v>
      </c>
      <c r="BD2" s="4" t="str">
        <f t="shared" ca="1" si="0"/>
        <v>Staub, Kevin</v>
      </c>
      <c r="BE2" s="4" t="str">
        <f t="shared" ca="1" si="0"/>
        <v>Steel, Van Remote</v>
      </c>
      <c r="BF2" s="4" t="str">
        <f t="shared" ca="1" si="0"/>
        <v>Stonecypher, David</v>
      </c>
      <c r="BG2" s="4" t="str">
        <f t="shared" ca="1" si="0"/>
        <v>Straw, Adam D</v>
      </c>
      <c r="BH2" s="4" t="str">
        <f t="shared" ca="1" si="0"/>
        <v>Tunnell, Justin S</v>
      </c>
      <c r="BI2" s="4" t="str">
        <f t="shared" ca="1" si="0"/>
        <v>Warren, Todd Remote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>
      <c r="A3" s="59">
        <v>1</v>
      </c>
      <c r="B3" s="67" t="s">
        <v>144</v>
      </c>
      <c r="C3" s="65">
        <v>2.5</v>
      </c>
      <c r="D3" s="64">
        <v>23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309</v>
      </c>
      <c r="M3" s="69"/>
      <c r="N3" s="69" t="s">
        <v>320</v>
      </c>
      <c r="O3" s="96" t="s">
        <v>369</v>
      </c>
      <c r="P3" s="69" t="s">
        <v>309</v>
      </c>
      <c r="Q3" s="69" t="s">
        <v>335</v>
      </c>
      <c r="R3" s="69"/>
      <c r="S3" s="69"/>
      <c r="T3" s="69" t="s">
        <v>339</v>
      </c>
      <c r="U3" s="69" t="s">
        <v>372</v>
      </c>
      <c r="V3" s="69" t="s">
        <v>339</v>
      </c>
      <c r="W3" s="69"/>
      <c r="X3" s="69" t="s">
        <v>375</v>
      </c>
      <c r="Y3" s="69"/>
      <c r="Z3" s="69" t="s">
        <v>311</v>
      </c>
      <c r="AA3" s="69" t="s">
        <v>311</v>
      </c>
      <c r="AB3" s="69" t="s">
        <v>350</v>
      </c>
      <c r="AC3" s="69" t="s">
        <v>311</v>
      </c>
      <c r="AD3" s="69"/>
      <c r="AE3" s="69" t="s">
        <v>311</v>
      </c>
      <c r="AF3" s="69"/>
      <c r="AG3" s="69" t="s">
        <v>327</v>
      </c>
      <c r="AH3" s="69"/>
      <c r="AI3" s="96" t="s">
        <v>369</v>
      </c>
      <c r="AJ3" s="96" t="s">
        <v>369</v>
      </c>
      <c r="AK3" s="69"/>
      <c r="AL3" s="96" t="s">
        <v>369</v>
      </c>
      <c r="AM3" s="69"/>
      <c r="AN3" s="69" t="s">
        <v>335</v>
      </c>
      <c r="AO3" s="69" t="s">
        <v>311</v>
      </c>
      <c r="AP3" s="69"/>
      <c r="AQ3" s="69" t="s">
        <v>311</v>
      </c>
      <c r="AR3" s="96" t="s">
        <v>309</v>
      </c>
      <c r="AS3" s="69" t="s">
        <v>393</v>
      </c>
      <c r="AT3" s="69" t="s">
        <v>336</v>
      </c>
      <c r="AU3" s="96" t="s">
        <v>369</v>
      </c>
      <c r="AV3" s="96" t="s">
        <v>369</v>
      </c>
      <c r="AW3" s="69" t="s">
        <v>580</v>
      </c>
      <c r="AX3" s="69" t="s">
        <v>575</v>
      </c>
      <c r="AY3" s="69"/>
      <c r="AZ3" s="69"/>
      <c r="BA3" s="69" t="s">
        <v>311</v>
      </c>
      <c r="BB3" s="69"/>
      <c r="BC3" s="69" t="s">
        <v>309</v>
      </c>
      <c r="BD3" s="69"/>
      <c r="BE3" s="96" t="s">
        <v>364</v>
      </c>
      <c r="BF3" s="69"/>
      <c r="BG3" s="69" t="s">
        <v>311</v>
      </c>
      <c r="BH3" s="96" t="s">
        <v>369</v>
      </c>
      <c r="BI3" s="69" t="s">
        <v>335</v>
      </c>
      <c r="BJ3" s="69"/>
      <c r="BK3" s="69" t="s">
        <v>309</v>
      </c>
      <c r="BL3" s="69" t="s">
        <v>311</v>
      </c>
      <c r="BM3" s="69"/>
    </row>
    <row r="4" spans="1:65">
      <c r="A4" s="61" t="s">
        <v>3</v>
      </c>
      <c r="B4" s="68" t="s">
        <v>195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19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320</v>
      </c>
      <c r="K4" s="70" t="s">
        <v>309</v>
      </c>
      <c r="L4" s="70"/>
      <c r="M4" s="70" t="s">
        <v>350</v>
      </c>
      <c r="N4" s="70"/>
      <c r="O4" s="70"/>
      <c r="P4" s="70"/>
      <c r="Q4" s="70"/>
      <c r="R4" s="70" t="s">
        <v>309</v>
      </c>
      <c r="S4" s="70" t="s">
        <v>311</v>
      </c>
      <c r="T4" s="70"/>
      <c r="U4" s="70"/>
      <c r="V4" s="70"/>
      <c r="W4" s="70" t="s">
        <v>350</v>
      </c>
      <c r="X4" s="70"/>
      <c r="Y4" s="70" t="s">
        <v>311</v>
      </c>
      <c r="Z4" s="70"/>
      <c r="AA4" s="70"/>
      <c r="AB4" s="70"/>
      <c r="AC4" s="70"/>
      <c r="AD4" s="70" t="s">
        <v>345</v>
      </c>
      <c r="AE4" s="70"/>
      <c r="AF4" s="70" t="s">
        <v>349</v>
      </c>
      <c r="AG4" s="70"/>
      <c r="AH4" s="70" t="s">
        <v>324</v>
      </c>
      <c r="AI4" s="70"/>
      <c r="AJ4" s="70"/>
      <c r="AK4" s="70" t="s">
        <v>311</v>
      </c>
      <c r="AL4" s="70"/>
      <c r="AM4" s="70" t="s">
        <v>327</v>
      </c>
      <c r="AN4" s="70"/>
      <c r="AO4" s="70"/>
      <c r="AP4" s="70" t="s">
        <v>393</v>
      </c>
      <c r="AQ4" s="70"/>
      <c r="AR4" s="70"/>
      <c r="AS4" s="70"/>
      <c r="AT4" s="70"/>
      <c r="AU4" s="70"/>
      <c r="AV4" s="70"/>
      <c r="AW4" s="70"/>
      <c r="AX4" s="70"/>
      <c r="AY4" s="70" t="s">
        <v>589</v>
      </c>
      <c r="AZ4" s="70" t="s">
        <v>311</v>
      </c>
      <c r="BA4" s="70"/>
      <c r="BB4" s="70" t="s">
        <v>339</v>
      </c>
      <c r="BC4" s="70"/>
      <c r="BD4" s="70" t="s">
        <v>378</v>
      </c>
      <c r="BE4" s="70"/>
      <c r="BF4" s="70" t="s">
        <v>590</v>
      </c>
      <c r="BG4" s="70"/>
      <c r="BH4" s="70"/>
      <c r="BI4" s="70"/>
      <c r="BJ4" s="70" t="s">
        <v>311</v>
      </c>
      <c r="BK4" s="70"/>
      <c r="BL4" s="70"/>
      <c r="BM4" s="70" t="s">
        <v>328</v>
      </c>
    </row>
    <row r="5" spans="1:65">
      <c r="A5" s="59">
        <v>2</v>
      </c>
      <c r="B5" s="67" t="s">
        <v>245</v>
      </c>
      <c r="C5" s="65"/>
      <c r="D5" s="64">
        <v>35</v>
      </c>
      <c r="E5" s="64">
        <f>IF(ISBLANK($D5),"0",IF(($D6-$D5)&lt;($C6-$C5),1,0))</f>
        <v>0</v>
      </c>
      <c r="F5" s="64">
        <f t="shared" ca="1" si="1"/>
        <v>30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 t="s">
        <v>320</v>
      </c>
      <c r="K5" s="69"/>
      <c r="L5" s="69"/>
      <c r="M5" s="69"/>
      <c r="N5" s="69" t="s">
        <v>337</v>
      </c>
      <c r="O5" s="96" t="s">
        <v>369</v>
      </c>
      <c r="P5" s="69"/>
      <c r="Q5" s="69"/>
      <c r="R5" s="69"/>
      <c r="S5" s="69"/>
      <c r="T5" s="69" t="s">
        <v>339</v>
      </c>
      <c r="U5" s="69"/>
      <c r="V5" s="69"/>
      <c r="W5" s="69" t="s">
        <v>337</v>
      </c>
      <c r="X5" s="69"/>
      <c r="Y5" s="69" t="s">
        <v>311</v>
      </c>
      <c r="Z5" s="69" t="s">
        <v>311</v>
      </c>
      <c r="AA5" s="69" t="s">
        <v>311</v>
      </c>
      <c r="AB5" s="69"/>
      <c r="AC5" s="69" t="s">
        <v>311</v>
      </c>
      <c r="AD5" s="69" t="s">
        <v>346</v>
      </c>
      <c r="AE5" s="69" t="s">
        <v>311</v>
      </c>
      <c r="AF5" s="69"/>
      <c r="AG5" s="69"/>
      <c r="AH5" s="69"/>
      <c r="AI5" s="96" t="s">
        <v>369</v>
      </c>
      <c r="AJ5" s="96" t="s">
        <v>369</v>
      </c>
      <c r="AK5" s="69" t="s">
        <v>311</v>
      </c>
      <c r="AL5" s="96" t="s">
        <v>369</v>
      </c>
      <c r="AM5" s="69"/>
      <c r="AN5" s="69"/>
      <c r="AO5" s="69" t="s">
        <v>311</v>
      </c>
      <c r="AP5" s="69" t="s">
        <v>314</v>
      </c>
      <c r="AQ5" s="69" t="s">
        <v>311</v>
      </c>
      <c r="AR5" s="96"/>
      <c r="AS5" s="69" t="s">
        <v>327</v>
      </c>
      <c r="AT5" s="69" t="s">
        <v>336</v>
      </c>
      <c r="AU5" s="96" t="s">
        <v>369</v>
      </c>
      <c r="AV5" s="96" t="s">
        <v>369</v>
      </c>
      <c r="AW5" s="69" t="s">
        <v>581</v>
      </c>
      <c r="AX5" s="69"/>
      <c r="AY5" s="69"/>
      <c r="AZ5" s="69"/>
      <c r="BA5" s="69"/>
      <c r="BB5" s="69"/>
      <c r="BC5" s="69"/>
      <c r="BD5" s="69" t="s">
        <v>378</v>
      </c>
      <c r="BE5" s="69" t="s">
        <v>364</v>
      </c>
      <c r="BF5" s="69" t="s">
        <v>309</v>
      </c>
      <c r="BG5" s="69" t="s">
        <v>309</v>
      </c>
      <c r="BH5" s="96" t="s">
        <v>369</v>
      </c>
      <c r="BI5" s="69" t="s">
        <v>335</v>
      </c>
      <c r="BJ5" s="69" t="s">
        <v>311</v>
      </c>
      <c r="BK5" s="69"/>
      <c r="BL5" s="69" t="s">
        <v>311</v>
      </c>
      <c r="BM5" s="69"/>
    </row>
    <row r="6" spans="1:65">
      <c r="A6" s="61" t="s">
        <v>3</v>
      </c>
      <c r="B6" s="68" t="s">
        <v>246</v>
      </c>
      <c r="C6" s="66">
        <v>4.5</v>
      </c>
      <c r="D6" s="64">
        <v>42</v>
      </c>
      <c r="E6" s="64">
        <f>IF(ISBLANK($D6),"0",IF(($D6-$D5)&gt;($C6-$C5),1,0))</f>
        <v>1</v>
      </c>
      <c r="F6" s="64">
        <f t="shared" ca="1" si="1"/>
        <v>25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309</v>
      </c>
      <c r="L6" s="70" t="s">
        <v>309</v>
      </c>
      <c r="M6" s="70" t="s">
        <v>350</v>
      </c>
      <c r="N6" s="70"/>
      <c r="O6" s="70"/>
      <c r="P6" s="70" t="s">
        <v>309</v>
      </c>
      <c r="Q6" s="70" t="s">
        <v>335</v>
      </c>
      <c r="R6" s="70" t="s">
        <v>309</v>
      </c>
      <c r="S6" s="70" t="s">
        <v>311</v>
      </c>
      <c r="T6" s="70"/>
      <c r="U6" s="70" t="s">
        <v>574</v>
      </c>
      <c r="V6" s="70" t="s">
        <v>339</v>
      </c>
      <c r="W6" s="70"/>
      <c r="X6" s="70" t="s">
        <v>329</v>
      </c>
      <c r="Y6" s="70"/>
      <c r="Z6" s="70"/>
      <c r="AA6" s="70"/>
      <c r="AB6" s="70" t="s">
        <v>330</v>
      </c>
      <c r="AC6" s="70"/>
      <c r="AD6" s="70"/>
      <c r="AE6" s="70"/>
      <c r="AF6" s="70" t="s">
        <v>349</v>
      </c>
      <c r="AG6" s="70" t="s">
        <v>340</v>
      </c>
      <c r="AH6" s="70" t="s">
        <v>323</v>
      </c>
      <c r="AI6" s="70"/>
      <c r="AJ6" s="70"/>
      <c r="AK6" s="70"/>
      <c r="AL6" s="70"/>
      <c r="AM6" s="70" t="s">
        <v>322</v>
      </c>
      <c r="AN6" s="70" t="s">
        <v>335</v>
      </c>
      <c r="AO6" s="70"/>
      <c r="AP6" s="70"/>
      <c r="AQ6" s="70"/>
      <c r="AR6" s="70" t="s">
        <v>309</v>
      </c>
      <c r="AS6" s="70"/>
      <c r="AT6" s="70"/>
      <c r="AU6" s="70"/>
      <c r="AV6" s="70"/>
      <c r="AW6" s="70"/>
      <c r="AX6" s="70" t="s">
        <v>324</v>
      </c>
      <c r="AY6" s="70" t="s">
        <v>357</v>
      </c>
      <c r="AZ6" s="70" t="s">
        <v>311</v>
      </c>
      <c r="BA6" s="70" t="s">
        <v>311</v>
      </c>
      <c r="BB6" s="70" t="s">
        <v>339</v>
      </c>
      <c r="BC6" s="70" t="s">
        <v>309</v>
      </c>
      <c r="BD6" s="70"/>
      <c r="BE6" s="97"/>
      <c r="BF6" s="70"/>
      <c r="BG6" s="70"/>
      <c r="BH6" s="70"/>
      <c r="BI6" s="70"/>
      <c r="BJ6" s="70"/>
      <c r="BK6" s="70" t="s">
        <v>309</v>
      </c>
      <c r="BL6" s="70"/>
      <c r="BM6" s="70" t="s">
        <v>327</v>
      </c>
    </row>
    <row r="7" spans="1:65">
      <c r="A7" s="59">
        <v>3</v>
      </c>
      <c r="B7" s="67" t="s">
        <v>146</v>
      </c>
      <c r="C7" s="65"/>
      <c r="D7" s="64">
        <v>30</v>
      </c>
      <c r="E7" s="64">
        <f>IF(ISBLANK($D7),"0",IF(($D8-$D7)&lt;($C8-$C7),1,0))</f>
        <v>1</v>
      </c>
      <c r="F7" s="64">
        <f t="shared" ca="1" si="1"/>
        <v>27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309</v>
      </c>
      <c r="M7" s="69"/>
      <c r="N7" s="69"/>
      <c r="O7" s="69"/>
      <c r="P7" s="69" t="s">
        <v>309</v>
      </c>
      <c r="Q7" s="69"/>
      <c r="R7" s="96"/>
      <c r="S7" s="96"/>
      <c r="T7" s="96"/>
      <c r="U7" s="96" t="s">
        <v>509</v>
      </c>
      <c r="V7" s="69" t="s">
        <v>339</v>
      </c>
      <c r="W7" s="69" t="s">
        <v>346</v>
      </c>
      <c r="X7" s="69" t="s">
        <v>323</v>
      </c>
      <c r="Y7" s="69" t="s">
        <v>311</v>
      </c>
      <c r="Z7" s="69" t="s">
        <v>311</v>
      </c>
      <c r="AA7" s="69" t="s">
        <v>311</v>
      </c>
      <c r="AB7" s="69"/>
      <c r="AC7" s="69"/>
      <c r="AD7" s="69"/>
      <c r="AE7" s="69" t="s">
        <v>311</v>
      </c>
      <c r="AF7" s="69" t="s">
        <v>349</v>
      </c>
      <c r="AG7" s="69"/>
      <c r="AH7" s="69" t="s">
        <v>319</v>
      </c>
      <c r="AI7" s="69"/>
      <c r="AJ7" s="69"/>
      <c r="AK7" s="69" t="s">
        <v>311</v>
      </c>
      <c r="AL7" s="69"/>
      <c r="AM7" s="69" t="s">
        <v>313</v>
      </c>
      <c r="AN7" s="69"/>
      <c r="AO7" s="69" t="s">
        <v>311</v>
      </c>
      <c r="AP7" s="69" t="s">
        <v>320</v>
      </c>
      <c r="AQ7" s="69"/>
      <c r="AR7" s="96" t="s">
        <v>309</v>
      </c>
      <c r="AS7" s="69"/>
      <c r="AT7" s="69"/>
      <c r="AU7" s="69"/>
      <c r="AV7" s="69"/>
      <c r="AW7" s="69" t="s">
        <v>582</v>
      </c>
      <c r="AX7" s="69" t="s">
        <v>313</v>
      </c>
      <c r="AY7" s="69" t="s">
        <v>360</v>
      </c>
      <c r="AZ7" s="69"/>
      <c r="BA7" s="69"/>
      <c r="BB7" s="69" t="s">
        <v>339</v>
      </c>
      <c r="BC7" s="69" t="s">
        <v>309</v>
      </c>
      <c r="BD7" s="69" t="s">
        <v>378</v>
      </c>
      <c r="BE7" s="96" t="s">
        <v>364</v>
      </c>
      <c r="BF7" s="69" t="s">
        <v>591</v>
      </c>
      <c r="BG7" s="69" t="s">
        <v>311</v>
      </c>
      <c r="BH7" s="69"/>
      <c r="BI7" s="69"/>
      <c r="BJ7" s="69" t="s">
        <v>311</v>
      </c>
      <c r="BK7" s="69"/>
      <c r="BL7" s="69"/>
      <c r="BM7" s="69"/>
    </row>
    <row r="8" spans="1:65">
      <c r="A8" s="61" t="s">
        <v>3</v>
      </c>
      <c r="B8" s="68" t="s">
        <v>155</v>
      </c>
      <c r="C8" s="66">
        <v>12.5</v>
      </c>
      <c r="D8" s="64">
        <v>24</v>
      </c>
      <c r="E8" s="64">
        <f>IF(ISBLANK($D8),"0",IF(($D8-$D7)&gt;($C8-$C7),1,0))</f>
        <v>0</v>
      </c>
      <c r="F8" s="64">
        <f t="shared" ca="1" si="1"/>
        <v>28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320</v>
      </c>
      <c r="K8" s="70" t="s">
        <v>309</v>
      </c>
      <c r="L8" s="70"/>
      <c r="M8" s="70" t="s">
        <v>350</v>
      </c>
      <c r="N8" s="70" t="s">
        <v>311</v>
      </c>
      <c r="O8" s="97" t="s">
        <v>369</v>
      </c>
      <c r="P8" s="70"/>
      <c r="Q8" s="70" t="s">
        <v>335</v>
      </c>
      <c r="R8" s="97" t="s">
        <v>309</v>
      </c>
      <c r="S8" s="97" t="s">
        <v>311</v>
      </c>
      <c r="T8" s="97" t="s">
        <v>339</v>
      </c>
      <c r="U8" s="70"/>
      <c r="V8" s="70"/>
      <c r="W8" s="70"/>
      <c r="X8" s="70"/>
      <c r="Y8" s="70"/>
      <c r="Z8" s="70"/>
      <c r="AA8" s="70"/>
      <c r="AB8" s="70" t="s">
        <v>350</v>
      </c>
      <c r="AC8" s="70" t="s">
        <v>311</v>
      </c>
      <c r="AD8" s="70" t="s">
        <v>337</v>
      </c>
      <c r="AE8" s="70"/>
      <c r="AF8" s="70"/>
      <c r="AG8" s="70" t="s">
        <v>390</v>
      </c>
      <c r="AH8" s="70"/>
      <c r="AI8" s="97" t="s">
        <v>369</v>
      </c>
      <c r="AJ8" s="97" t="s">
        <v>369</v>
      </c>
      <c r="AK8" s="70"/>
      <c r="AL8" s="97" t="s">
        <v>369</v>
      </c>
      <c r="AM8" s="70"/>
      <c r="AN8" s="70" t="s">
        <v>335</v>
      </c>
      <c r="AO8" s="70"/>
      <c r="AP8" s="70"/>
      <c r="AQ8" s="70" t="s">
        <v>311</v>
      </c>
      <c r="AR8" s="70"/>
      <c r="AS8" s="70" t="s">
        <v>328</v>
      </c>
      <c r="AT8" s="70" t="s">
        <v>336</v>
      </c>
      <c r="AU8" s="97" t="s">
        <v>369</v>
      </c>
      <c r="AV8" s="97" t="s">
        <v>369</v>
      </c>
      <c r="AW8" s="70"/>
      <c r="AX8" s="70"/>
      <c r="AY8" s="70"/>
      <c r="AZ8" s="70" t="s">
        <v>311</v>
      </c>
      <c r="BA8" s="70" t="s">
        <v>311</v>
      </c>
      <c r="BB8" s="70"/>
      <c r="BC8" s="70"/>
      <c r="BD8" s="70"/>
      <c r="BE8" s="70"/>
      <c r="BF8" s="70"/>
      <c r="BG8" s="70"/>
      <c r="BH8" s="97" t="s">
        <v>369</v>
      </c>
      <c r="BI8" s="70" t="s">
        <v>335</v>
      </c>
      <c r="BJ8" s="70"/>
      <c r="BK8" s="70" t="s">
        <v>309</v>
      </c>
      <c r="BL8" s="70" t="s">
        <v>311</v>
      </c>
      <c r="BM8" s="70" t="s">
        <v>329</v>
      </c>
    </row>
    <row r="9" spans="1:65">
      <c r="A9" s="59">
        <v>4</v>
      </c>
      <c r="B9" s="108" t="s">
        <v>157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309</v>
      </c>
      <c r="L9" s="69"/>
      <c r="M9" s="69"/>
      <c r="N9" s="69" t="s">
        <v>319</v>
      </c>
      <c r="O9" s="96" t="s">
        <v>369</v>
      </c>
      <c r="P9" s="69" t="s">
        <v>309</v>
      </c>
      <c r="Q9" s="69"/>
      <c r="R9" s="96" t="s">
        <v>309</v>
      </c>
      <c r="S9" s="96"/>
      <c r="T9" s="96"/>
      <c r="U9" s="69"/>
      <c r="V9" s="69" t="s">
        <v>339</v>
      </c>
      <c r="W9" s="69"/>
      <c r="X9" s="69" t="s">
        <v>351</v>
      </c>
      <c r="Y9" s="69"/>
      <c r="Z9" s="69"/>
      <c r="AA9" s="69"/>
      <c r="AB9" s="69"/>
      <c r="AC9" s="69" t="s">
        <v>311</v>
      </c>
      <c r="AD9" s="69"/>
      <c r="AE9" s="69"/>
      <c r="AF9" s="69"/>
      <c r="AG9" s="69" t="s">
        <v>348</v>
      </c>
      <c r="AH9" s="69"/>
      <c r="AI9" s="96" t="s">
        <v>369</v>
      </c>
      <c r="AJ9" s="96" t="s">
        <v>369</v>
      </c>
      <c r="AK9" s="69" t="s">
        <v>311</v>
      </c>
      <c r="AL9" s="96" t="s">
        <v>369</v>
      </c>
      <c r="AM9" s="69"/>
      <c r="AN9" s="69" t="s">
        <v>335</v>
      </c>
      <c r="AO9" s="69"/>
      <c r="AP9" s="69"/>
      <c r="AQ9" s="69"/>
      <c r="AR9" s="96" t="s">
        <v>309</v>
      </c>
      <c r="AS9" s="69" t="s">
        <v>334</v>
      </c>
      <c r="AT9" s="69" t="s">
        <v>336</v>
      </c>
      <c r="AU9" s="96" t="s">
        <v>369</v>
      </c>
      <c r="AV9" s="96" t="s">
        <v>369</v>
      </c>
      <c r="AW9" s="69" t="s">
        <v>583</v>
      </c>
      <c r="AX9" s="69" t="s">
        <v>346</v>
      </c>
      <c r="AY9" s="69"/>
      <c r="AZ9" s="69" t="s">
        <v>311</v>
      </c>
      <c r="BA9" s="69" t="s">
        <v>311</v>
      </c>
      <c r="BB9" s="69" t="s">
        <v>339</v>
      </c>
      <c r="BC9" s="69"/>
      <c r="BD9" s="69"/>
      <c r="BE9" s="96" t="s">
        <v>364</v>
      </c>
      <c r="BF9" s="69"/>
      <c r="BG9" s="69" t="s">
        <v>311</v>
      </c>
      <c r="BH9" s="96" t="s">
        <v>369</v>
      </c>
      <c r="BI9" s="69"/>
      <c r="BJ9" s="69" t="s">
        <v>311</v>
      </c>
      <c r="BK9" s="69" t="s">
        <v>309</v>
      </c>
      <c r="BL9" s="69"/>
      <c r="BM9" s="69"/>
    </row>
    <row r="10" spans="1:65">
      <c r="A10" s="61" t="s">
        <v>3</v>
      </c>
      <c r="B10" s="68" t="s">
        <v>163</v>
      </c>
      <c r="C10" s="66">
        <v>4.5</v>
      </c>
      <c r="D10" s="64">
        <v>35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320</v>
      </c>
      <c r="K10" s="70"/>
      <c r="L10" s="70" t="s">
        <v>309</v>
      </c>
      <c r="M10" s="70" t="s">
        <v>350</v>
      </c>
      <c r="N10" s="70"/>
      <c r="O10" s="70"/>
      <c r="P10" s="70"/>
      <c r="Q10" s="70" t="s">
        <v>335</v>
      </c>
      <c r="R10" s="97"/>
      <c r="S10" s="97" t="s">
        <v>311</v>
      </c>
      <c r="T10" s="97" t="s">
        <v>339</v>
      </c>
      <c r="U10" s="70" t="s">
        <v>575</v>
      </c>
      <c r="V10" s="70"/>
      <c r="W10" s="70" t="s">
        <v>346</v>
      </c>
      <c r="X10" s="70"/>
      <c r="Y10" s="70" t="s">
        <v>311</v>
      </c>
      <c r="Z10" s="70" t="s">
        <v>311</v>
      </c>
      <c r="AA10" s="70" t="s">
        <v>311</v>
      </c>
      <c r="AB10" s="70" t="s">
        <v>357</v>
      </c>
      <c r="AC10" s="70"/>
      <c r="AD10" s="70" t="s">
        <v>319</v>
      </c>
      <c r="AE10" s="70" t="s">
        <v>311</v>
      </c>
      <c r="AF10" s="70" t="s">
        <v>349</v>
      </c>
      <c r="AG10" s="70"/>
      <c r="AH10" s="70" t="s">
        <v>597</v>
      </c>
      <c r="AI10" s="70"/>
      <c r="AJ10" s="70"/>
      <c r="AK10" s="70"/>
      <c r="AL10" s="70"/>
      <c r="AM10" s="70" t="s">
        <v>367</v>
      </c>
      <c r="AN10" s="70"/>
      <c r="AO10" s="70" t="s">
        <v>311</v>
      </c>
      <c r="AP10" s="70" t="s">
        <v>315</v>
      </c>
      <c r="AQ10" s="70" t="s">
        <v>311</v>
      </c>
      <c r="AR10" s="70"/>
      <c r="AS10" s="70"/>
      <c r="AT10" s="70"/>
      <c r="AU10" s="70"/>
      <c r="AV10" s="70"/>
      <c r="AW10" s="70"/>
      <c r="AX10" s="70"/>
      <c r="AY10" s="70" t="s">
        <v>313</v>
      </c>
      <c r="AZ10" s="70"/>
      <c r="BA10" s="70"/>
      <c r="BB10" s="70"/>
      <c r="BC10" s="70" t="s">
        <v>309</v>
      </c>
      <c r="BD10" s="70" t="s">
        <v>378</v>
      </c>
      <c r="BE10" s="70"/>
      <c r="BF10" s="70" t="s">
        <v>592</v>
      </c>
      <c r="BG10" s="70"/>
      <c r="BH10" s="70"/>
      <c r="BI10" s="70" t="s">
        <v>335</v>
      </c>
      <c r="BJ10" s="70"/>
      <c r="BK10" s="70"/>
      <c r="BL10" s="70" t="s">
        <v>311</v>
      </c>
      <c r="BM10" s="70" t="s">
        <v>330</v>
      </c>
    </row>
    <row r="11" spans="1:65">
      <c r="A11" s="59">
        <v>5</v>
      </c>
      <c r="B11" s="67" t="s">
        <v>176</v>
      </c>
      <c r="C11" s="65"/>
      <c r="D11" s="64">
        <v>35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 t="s">
        <v>320</v>
      </c>
      <c r="K11" s="69"/>
      <c r="L11" s="69" t="s">
        <v>309</v>
      </c>
      <c r="M11" s="69" t="s">
        <v>350</v>
      </c>
      <c r="N11" s="69" t="s">
        <v>314</v>
      </c>
      <c r="O11" s="69"/>
      <c r="P11" s="69"/>
      <c r="Q11" s="69" t="s">
        <v>335</v>
      </c>
      <c r="R11" s="96"/>
      <c r="S11" s="96"/>
      <c r="T11" s="96" t="s">
        <v>339</v>
      </c>
      <c r="U11" s="69" t="s">
        <v>330</v>
      </c>
      <c r="V11" s="69"/>
      <c r="W11" s="69"/>
      <c r="X11" s="69" t="s">
        <v>313</v>
      </c>
      <c r="Y11" s="69" t="s">
        <v>311</v>
      </c>
      <c r="Z11" s="69"/>
      <c r="AA11" s="69" t="s">
        <v>311</v>
      </c>
      <c r="AB11" s="69"/>
      <c r="AC11" s="69"/>
      <c r="AD11" s="69" t="s">
        <v>338</v>
      </c>
      <c r="AE11" s="69"/>
      <c r="AF11" s="69" t="s">
        <v>349</v>
      </c>
      <c r="AG11" s="69"/>
      <c r="AH11" s="69" t="s">
        <v>350</v>
      </c>
      <c r="AI11" s="69"/>
      <c r="AJ11" s="69"/>
      <c r="AK11" s="69" t="s">
        <v>311</v>
      </c>
      <c r="AL11" s="69"/>
      <c r="AM11" s="69"/>
      <c r="AN11" s="69" t="s">
        <v>335</v>
      </c>
      <c r="AO11" s="69"/>
      <c r="AP11" s="69" t="s">
        <v>332</v>
      </c>
      <c r="AQ11" s="69" t="s">
        <v>311</v>
      </c>
      <c r="AR11" s="69" t="s">
        <v>309</v>
      </c>
      <c r="AS11" s="69"/>
      <c r="AT11" s="69" t="s">
        <v>336</v>
      </c>
      <c r="AU11" s="69"/>
      <c r="AV11" s="69"/>
      <c r="AW11" s="69"/>
      <c r="AX11" s="69"/>
      <c r="AY11" s="69"/>
      <c r="AZ11" s="69" t="s">
        <v>311</v>
      </c>
      <c r="BA11" s="69"/>
      <c r="BB11" s="69"/>
      <c r="BC11" s="69"/>
      <c r="BD11" s="69" t="s">
        <v>378</v>
      </c>
      <c r="BE11" s="96"/>
      <c r="BF11" s="69"/>
      <c r="BG11" s="69" t="s">
        <v>309</v>
      </c>
      <c r="BH11" s="69"/>
      <c r="BI11" s="69" t="s">
        <v>335</v>
      </c>
      <c r="BJ11" s="69" t="s">
        <v>311</v>
      </c>
      <c r="BK11" s="69"/>
      <c r="BL11" s="69" t="s">
        <v>311</v>
      </c>
      <c r="BM11" s="69" t="s">
        <v>331</v>
      </c>
    </row>
    <row r="12" spans="1:65">
      <c r="A12" s="61" t="s">
        <v>3</v>
      </c>
      <c r="B12" s="68" t="s">
        <v>171</v>
      </c>
      <c r="C12" s="66">
        <v>7.5</v>
      </c>
      <c r="D12" s="64">
        <v>7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309</v>
      </c>
      <c r="L12" s="70"/>
      <c r="M12" s="70"/>
      <c r="N12" s="70"/>
      <c r="O12" s="97" t="s">
        <v>369</v>
      </c>
      <c r="P12" s="70" t="s">
        <v>309</v>
      </c>
      <c r="Q12" s="70"/>
      <c r="R12" s="97" t="s">
        <v>309</v>
      </c>
      <c r="S12" s="97" t="s">
        <v>311</v>
      </c>
      <c r="T12" s="97"/>
      <c r="U12" s="70"/>
      <c r="V12" s="70" t="s">
        <v>339</v>
      </c>
      <c r="W12" s="70" t="s">
        <v>577</v>
      </c>
      <c r="X12" s="70"/>
      <c r="Y12" s="70"/>
      <c r="Z12" s="70" t="s">
        <v>311</v>
      </c>
      <c r="AA12" s="70"/>
      <c r="AB12" s="70" t="s">
        <v>393</v>
      </c>
      <c r="AC12" s="70" t="s">
        <v>311</v>
      </c>
      <c r="AD12" s="70"/>
      <c r="AE12" s="70" t="s">
        <v>311</v>
      </c>
      <c r="AF12" s="70"/>
      <c r="AG12" s="70" t="s">
        <v>312</v>
      </c>
      <c r="AH12" s="70"/>
      <c r="AI12" s="97" t="s">
        <v>369</v>
      </c>
      <c r="AJ12" s="97" t="s">
        <v>369</v>
      </c>
      <c r="AK12" s="70"/>
      <c r="AL12" s="97" t="s">
        <v>369</v>
      </c>
      <c r="AM12" s="70" t="s">
        <v>334</v>
      </c>
      <c r="AN12" s="70"/>
      <c r="AO12" s="70" t="s">
        <v>311</v>
      </c>
      <c r="AP12" s="70"/>
      <c r="AQ12" s="70"/>
      <c r="AR12" s="97"/>
      <c r="AS12" s="70" t="s">
        <v>322</v>
      </c>
      <c r="AT12" s="70"/>
      <c r="AU12" s="97" t="s">
        <v>369</v>
      </c>
      <c r="AV12" s="97" t="s">
        <v>369</v>
      </c>
      <c r="AW12" s="70" t="s">
        <v>584</v>
      </c>
      <c r="AX12" s="70" t="s">
        <v>346</v>
      </c>
      <c r="AY12" s="70" t="s">
        <v>315</v>
      </c>
      <c r="AZ12" s="70"/>
      <c r="BA12" s="70" t="s">
        <v>311</v>
      </c>
      <c r="BB12" s="70" t="s">
        <v>339</v>
      </c>
      <c r="BC12" s="70" t="s">
        <v>309</v>
      </c>
      <c r="BD12" s="70"/>
      <c r="BE12" s="70" t="s">
        <v>364</v>
      </c>
      <c r="BF12" s="70" t="s">
        <v>593</v>
      </c>
      <c r="BG12" s="70"/>
      <c r="BH12" s="97" t="s">
        <v>369</v>
      </c>
      <c r="BI12" s="70"/>
      <c r="BJ12" s="70"/>
      <c r="BK12" s="70" t="s">
        <v>309</v>
      </c>
      <c r="BL12" s="70"/>
      <c r="BM12" s="70"/>
    </row>
    <row r="13" spans="1:65">
      <c r="A13" s="59">
        <v>6</v>
      </c>
      <c r="B13" s="67" t="s">
        <v>145</v>
      </c>
      <c r="C13" s="65">
        <v>1.5</v>
      </c>
      <c r="D13" s="64">
        <v>17</v>
      </c>
      <c r="E13" s="64">
        <f>IF(ISBLANK($D13),"0",IF(($D14-$D13)&lt;($C14-$C13),1,0))</f>
        <v>0</v>
      </c>
      <c r="F13" s="64">
        <f t="shared" ca="1" si="1"/>
        <v>43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309</v>
      </c>
      <c r="L13" s="69" t="s">
        <v>309</v>
      </c>
      <c r="M13" s="69" t="s">
        <v>350</v>
      </c>
      <c r="N13" s="69" t="s">
        <v>362</v>
      </c>
      <c r="O13" s="96" t="s">
        <v>369</v>
      </c>
      <c r="P13" s="69" t="s">
        <v>309</v>
      </c>
      <c r="Q13" s="69" t="s">
        <v>335</v>
      </c>
      <c r="R13" s="96" t="s">
        <v>309</v>
      </c>
      <c r="S13" s="96"/>
      <c r="T13" s="96"/>
      <c r="U13" s="69"/>
      <c r="V13" s="69" t="s">
        <v>339</v>
      </c>
      <c r="W13" s="69" t="s">
        <v>317</v>
      </c>
      <c r="X13" s="69" t="s">
        <v>325</v>
      </c>
      <c r="Y13" s="69" t="s">
        <v>311</v>
      </c>
      <c r="Z13" s="69" t="s">
        <v>311</v>
      </c>
      <c r="AA13" s="69"/>
      <c r="AB13" s="69" t="s">
        <v>393</v>
      </c>
      <c r="AC13" s="69" t="s">
        <v>311</v>
      </c>
      <c r="AD13" s="69"/>
      <c r="AE13" s="69" t="s">
        <v>311</v>
      </c>
      <c r="AF13" s="69"/>
      <c r="AG13" s="69" t="s">
        <v>318</v>
      </c>
      <c r="AH13" s="69"/>
      <c r="AI13" s="96" t="s">
        <v>369</v>
      </c>
      <c r="AJ13" s="96" t="s">
        <v>369</v>
      </c>
      <c r="AK13" s="69" t="s">
        <v>311</v>
      </c>
      <c r="AL13" s="96" t="s">
        <v>369</v>
      </c>
      <c r="AM13" s="69" t="s">
        <v>315</v>
      </c>
      <c r="AN13" s="69" t="s">
        <v>335</v>
      </c>
      <c r="AO13" s="69" t="s">
        <v>311</v>
      </c>
      <c r="AP13" s="69"/>
      <c r="AQ13" s="69" t="s">
        <v>311</v>
      </c>
      <c r="AR13" s="96" t="s">
        <v>309</v>
      </c>
      <c r="AS13" s="69" t="s">
        <v>329</v>
      </c>
      <c r="AT13" s="69" t="s">
        <v>336</v>
      </c>
      <c r="AU13" s="96" t="s">
        <v>369</v>
      </c>
      <c r="AV13" s="96" t="s">
        <v>369</v>
      </c>
      <c r="AW13" s="69" t="s">
        <v>585</v>
      </c>
      <c r="AX13" s="69"/>
      <c r="AY13" s="69" t="s">
        <v>314</v>
      </c>
      <c r="AZ13" s="69" t="s">
        <v>311</v>
      </c>
      <c r="BA13" s="69" t="s">
        <v>311</v>
      </c>
      <c r="BB13" s="69" t="s">
        <v>339</v>
      </c>
      <c r="BC13" s="69"/>
      <c r="BD13" s="69" t="s">
        <v>378</v>
      </c>
      <c r="BE13" s="96" t="s">
        <v>364</v>
      </c>
      <c r="BF13" s="69" t="s">
        <v>594</v>
      </c>
      <c r="BG13" s="69" t="s">
        <v>311</v>
      </c>
      <c r="BH13" s="96" t="s">
        <v>369</v>
      </c>
      <c r="BI13" s="69" t="s">
        <v>335</v>
      </c>
      <c r="BJ13" s="69"/>
      <c r="BK13" s="69" t="s">
        <v>309</v>
      </c>
      <c r="BL13" s="69" t="s">
        <v>311</v>
      </c>
      <c r="BM13" s="69"/>
    </row>
    <row r="14" spans="1:65">
      <c r="A14" s="61" t="s">
        <v>3</v>
      </c>
      <c r="B14" s="68" t="s">
        <v>255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12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320</v>
      </c>
      <c r="K14" s="70"/>
      <c r="L14" s="70"/>
      <c r="M14" s="70"/>
      <c r="N14" s="70"/>
      <c r="O14" s="70"/>
      <c r="P14" s="70"/>
      <c r="Q14" s="70"/>
      <c r="R14" s="97"/>
      <c r="S14" s="97" t="s">
        <v>311</v>
      </c>
      <c r="T14" s="97" t="s">
        <v>339</v>
      </c>
      <c r="U14" s="70" t="s">
        <v>340</v>
      </c>
      <c r="V14" s="70"/>
      <c r="W14" s="70"/>
      <c r="X14" s="70"/>
      <c r="Y14" s="70"/>
      <c r="Z14" s="70"/>
      <c r="AA14" s="70" t="s">
        <v>311</v>
      </c>
      <c r="AB14" s="70"/>
      <c r="AC14" s="70"/>
      <c r="AD14" s="70" t="s">
        <v>323</v>
      </c>
      <c r="AE14" s="70"/>
      <c r="AF14" s="70" t="s">
        <v>349</v>
      </c>
      <c r="AG14" s="70"/>
      <c r="AH14" s="70" t="s">
        <v>314</v>
      </c>
      <c r="AI14" s="70"/>
      <c r="AJ14" s="70"/>
      <c r="AK14" s="70"/>
      <c r="AL14" s="70"/>
      <c r="AM14" s="70"/>
      <c r="AN14" s="70"/>
      <c r="AO14" s="70"/>
      <c r="AP14" s="70" t="s">
        <v>325</v>
      </c>
      <c r="AQ14" s="70"/>
      <c r="AR14" s="70"/>
      <c r="AS14" s="70"/>
      <c r="AT14" s="70"/>
      <c r="AU14" s="70"/>
      <c r="AV14" s="70"/>
      <c r="AW14" s="70"/>
      <c r="AX14" s="70" t="s">
        <v>599</v>
      </c>
      <c r="AY14" s="70"/>
      <c r="AZ14" s="70"/>
      <c r="BA14" s="70"/>
      <c r="BB14" s="70"/>
      <c r="BC14" s="70" t="s">
        <v>309</v>
      </c>
      <c r="BD14" s="70"/>
      <c r="BE14" s="70"/>
      <c r="BF14" s="70"/>
      <c r="BG14" s="70"/>
      <c r="BH14" s="70"/>
      <c r="BI14" s="70"/>
      <c r="BJ14" s="70" t="s">
        <v>311</v>
      </c>
      <c r="BK14" s="70"/>
      <c r="BL14" s="70"/>
      <c r="BM14" s="70" t="s">
        <v>332</v>
      </c>
    </row>
    <row r="15" spans="1:65">
      <c r="A15" s="59">
        <v>7</v>
      </c>
      <c r="B15" s="67" t="s">
        <v>252</v>
      </c>
      <c r="C15" s="65"/>
      <c r="D15" s="64">
        <v>19</v>
      </c>
      <c r="E15" s="64">
        <f>IF(ISBLANK($D15),"0",IF(($D16-$D15)&lt;($C16-$C15),1,0))</f>
        <v>1</v>
      </c>
      <c r="F15" s="64">
        <f t="shared" ca="1" si="1"/>
        <v>41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320</v>
      </c>
      <c r="K15" s="69" t="s">
        <v>309</v>
      </c>
      <c r="L15" s="69" t="s">
        <v>309</v>
      </c>
      <c r="M15" s="69" t="s">
        <v>350</v>
      </c>
      <c r="N15" s="69" t="s">
        <v>363</v>
      </c>
      <c r="O15" s="96" t="s">
        <v>369</v>
      </c>
      <c r="P15" s="69" t="s">
        <v>309</v>
      </c>
      <c r="Q15" s="69"/>
      <c r="R15" s="96" t="s">
        <v>309</v>
      </c>
      <c r="S15" s="96"/>
      <c r="T15" s="96"/>
      <c r="U15" s="69" t="s">
        <v>347</v>
      </c>
      <c r="V15" s="69" t="s">
        <v>339</v>
      </c>
      <c r="W15" s="69"/>
      <c r="X15" s="69" t="s">
        <v>332</v>
      </c>
      <c r="Y15" s="69" t="s">
        <v>311</v>
      </c>
      <c r="Z15" s="69" t="s">
        <v>311</v>
      </c>
      <c r="AA15" s="69" t="s">
        <v>311</v>
      </c>
      <c r="AB15" s="69" t="s">
        <v>312</v>
      </c>
      <c r="AC15" s="69" t="s">
        <v>311</v>
      </c>
      <c r="AD15" s="69"/>
      <c r="AE15" s="69"/>
      <c r="AF15" s="69" t="s">
        <v>349</v>
      </c>
      <c r="AG15" s="69" t="s">
        <v>315</v>
      </c>
      <c r="AH15" s="69" t="s">
        <v>315</v>
      </c>
      <c r="AI15" s="96" t="s">
        <v>369</v>
      </c>
      <c r="AJ15" s="96" t="s">
        <v>369</v>
      </c>
      <c r="AK15" s="69" t="s">
        <v>311</v>
      </c>
      <c r="AL15" s="96" t="s">
        <v>369</v>
      </c>
      <c r="AM15" s="69"/>
      <c r="AN15" s="69"/>
      <c r="AO15" s="69" t="s">
        <v>311</v>
      </c>
      <c r="AP15" s="69"/>
      <c r="AQ15" s="69" t="s">
        <v>311</v>
      </c>
      <c r="AR15" s="69" t="s">
        <v>309</v>
      </c>
      <c r="AS15" s="69" t="s">
        <v>345</v>
      </c>
      <c r="AT15" s="69" t="s">
        <v>336</v>
      </c>
      <c r="AU15" s="96" t="s">
        <v>369</v>
      </c>
      <c r="AV15" s="96" t="s">
        <v>369</v>
      </c>
      <c r="AW15" s="69" t="s">
        <v>586</v>
      </c>
      <c r="AX15" s="69"/>
      <c r="AY15" s="69" t="s">
        <v>367</v>
      </c>
      <c r="AZ15" s="69"/>
      <c r="BA15" s="69"/>
      <c r="BB15" s="69"/>
      <c r="BC15" s="69" t="s">
        <v>309</v>
      </c>
      <c r="BD15" s="69" t="s">
        <v>378</v>
      </c>
      <c r="BE15" s="96" t="s">
        <v>364</v>
      </c>
      <c r="BF15" s="69" t="s">
        <v>595</v>
      </c>
      <c r="BG15" s="69" t="s">
        <v>311</v>
      </c>
      <c r="BH15" s="96" t="s">
        <v>369</v>
      </c>
      <c r="BI15" s="69" t="s">
        <v>335</v>
      </c>
      <c r="BJ15" s="69" t="s">
        <v>311</v>
      </c>
      <c r="BK15" s="69" t="s">
        <v>309</v>
      </c>
      <c r="BL15" s="69"/>
      <c r="BM15" s="69" t="s">
        <v>331</v>
      </c>
    </row>
    <row r="16" spans="1:65">
      <c r="A16" s="61" t="s">
        <v>3</v>
      </c>
      <c r="B16" s="68" t="s">
        <v>162</v>
      </c>
      <c r="C16" s="66">
        <v>10.5</v>
      </c>
      <c r="D16" s="64">
        <v>24</v>
      </c>
      <c r="E16" s="64">
        <f>IF(ISBLANK($D16),"0",IF(($D16-$D15)&gt;($C16-$C15),1,0))</f>
        <v>0</v>
      </c>
      <c r="F16" s="64">
        <f t="shared" ca="1" si="1"/>
        <v>14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335</v>
      </c>
      <c r="R16" s="70"/>
      <c r="S16" s="70" t="s">
        <v>311</v>
      </c>
      <c r="T16" s="70" t="s">
        <v>339</v>
      </c>
      <c r="U16" s="70"/>
      <c r="V16" s="70"/>
      <c r="W16" s="70" t="s">
        <v>346</v>
      </c>
      <c r="X16" s="70"/>
      <c r="Y16" s="70"/>
      <c r="Z16" s="70"/>
      <c r="AA16" s="70"/>
      <c r="AB16" s="70"/>
      <c r="AC16" s="70"/>
      <c r="AD16" s="70" t="s">
        <v>347</v>
      </c>
      <c r="AE16" s="70" t="s">
        <v>311</v>
      </c>
      <c r="AF16" s="70"/>
      <c r="AG16" s="70"/>
      <c r="AH16" s="70"/>
      <c r="AI16" s="70"/>
      <c r="AJ16" s="70"/>
      <c r="AK16" s="70"/>
      <c r="AL16" s="70"/>
      <c r="AM16" s="70" t="s">
        <v>313</v>
      </c>
      <c r="AN16" s="70" t="s">
        <v>335</v>
      </c>
      <c r="AO16" s="70"/>
      <c r="AP16" s="70" t="s">
        <v>312</v>
      </c>
      <c r="AQ16" s="70"/>
      <c r="AR16" s="97"/>
      <c r="AS16" s="70"/>
      <c r="AT16" s="70"/>
      <c r="AU16" s="70"/>
      <c r="AV16" s="70"/>
      <c r="AW16" s="70"/>
      <c r="AX16" s="70" t="s">
        <v>600</v>
      </c>
      <c r="AY16" s="70"/>
      <c r="AZ16" s="70" t="s">
        <v>311</v>
      </c>
      <c r="BA16" s="70" t="s">
        <v>311</v>
      </c>
      <c r="BB16" s="70" t="s">
        <v>339</v>
      </c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311</v>
      </c>
      <c r="BM16" s="70"/>
    </row>
    <row r="17" spans="1:65">
      <c r="A17" s="59">
        <v>8</v>
      </c>
      <c r="B17" s="67" t="s">
        <v>254</v>
      </c>
      <c r="C17" s="65"/>
      <c r="D17" s="64">
        <v>14</v>
      </c>
      <c r="E17" s="64">
        <f>IF(ISBLANK($D17),"0",IF(($D18-$D17)&lt;($C18-$C17),1,0))</f>
        <v>0</v>
      </c>
      <c r="F17" s="64">
        <f t="shared" ca="1" si="1"/>
        <v>37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309</v>
      </c>
      <c r="L17" s="69" t="s">
        <v>309</v>
      </c>
      <c r="M17" s="69" t="s">
        <v>350</v>
      </c>
      <c r="N17" s="69" t="s">
        <v>572</v>
      </c>
      <c r="O17" s="96" t="s">
        <v>369</v>
      </c>
      <c r="P17" s="69" t="s">
        <v>309</v>
      </c>
      <c r="Q17" s="69" t="s">
        <v>335</v>
      </c>
      <c r="R17" s="69" t="s">
        <v>309</v>
      </c>
      <c r="S17" s="69"/>
      <c r="T17" s="69" t="s">
        <v>339</v>
      </c>
      <c r="U17" s="69" t="s">
        <v>316</v>
      </c>
      <c r="V17" s="69"/>
      <c r="W17" s="69" t="s">
        <v>314</v>
      </c>
      <c r="X17" s="69" t="s">
        <v>334</v>
      </c>
      <c r="Y17" s="69"/>
      <c r="Z17" s="69"/>
      <c r="AA17" s="69" t="s">
        <v>311</v>
      </c>
      <c r="AB17" s="69" t="s">
        <v>330</v>
      </c>
      <c r="AC17" s="69" t="s">
        <v>311</v>
      </c>
      <c r="AD17" s="69"/>
      <c r="AE17" s="69"/>
      <c r="AF17" s="69"/>
      <c r="AG17" s="69" t="s">
        <v>345</v>
      </c>
      <c r="AH17" s="69"/>
      <c r="AI17" s="96" t="s">
        <v>369</v>
      </c>
      <c r="AJ17" s="96" t="s">
        <v>369</v>
      </c>
      <c r="AK17" s="69" t="s">
        <v>311</v>
      </c>
      <c r="AL17" s="96" t="s">
        <v>369</v>
      </c>
      <c r="AM17" s="69" t="s">
        <v>314</v>
      </c>
      <c r="AN17" s="69" t="s">
        <v>335</v>
      </c>
      <c r="AO17" s="69" t="s">
        <v>311</v>
      </c>
      <c r="AP17" s="69"/>
      <c r="AQ17" s="69" t="s">
        <v>311</v>
      </c>
      <c r="AR17" s="96" t="s">
        <v>309</v>
      </c>
      <c r="AS17" s="69" t="s">
        <v>327</v>
      </c>
      <c r="AT17" s="69"/>
      <c r="AU17" s="96" t="s">
        <v>369</v>
      </c>
      <c r="AV17" s="96" t="s">
        <v>369</v>
      </c>
      <c r="AW17" s="69" t="s">
        <v>408</v>
      </c>
      <c r="AX17" s="69" t="s">
        <v>601</v>
      </c>
      <c r="AY17" s="69"/>
      <c r="AZ17" s="69"/>
      <c r="BA17" s="69"/>
      <c r="BB17" s="69" t="s">
        <v>339</v>
      </c>
      <c r="BC17" s="69"/>
      <c r="BD17" s="69"/>
      <c r="BE17" s="69"/>
      <c r="BF17" s="69"/>
      <c r="BG17" s="69" t="s">
        <v>309</v>
      </c>
      <c r="BH17" s="96" t="s">
        <v>369</v>
      </c>
      <c r="BI17" s="69" t="s">
        <v>335</v>
      </c>
      <c r="BJ17" s="69" t="s">
        <v>311</v>
      </c>
      <c r="BK17" s="69"/>
      <c r="BL17" s="69" t="s">
        <v>311</v>
      </c>
      <c r="BM17" s="69" t="s">
        <v>333</v>
      </c>
    </row>
    <row r="18" spans="1:65">
      <c r="A18" s="61" t="s">
        <v>3</v>
      </c>
      <c r="B18" s="68" t="s">
        <v>191</v>
      </c>
      <c r="C18" s="66">
        <v>1.5</v>
      </c>
      <c r="D18" s="64">
        <v>21</v>
      </c>
      <c r="E18" s="64">
        <f>IF(ISBLANK($D18),"0",IF(($D18-$D17)&gt;($C18-$C17),1,0))</f>
        <v>1</v>
      </c>
      <c r="F18" s="64">
        <f t="shared" ca="1" si="1"/>
        <v>18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320</v>
      </c>
      <c r="K18" s="70"/>
      <c r="L18" s="70"/>
      <c r="M18" s="70"/>
      <c r="N18" s="70"/>
      <c r="O18" s="70"/>
      <c r="P18" s="70"/>
      <c r="Q18" s="70"/>
      <c r="R18" s="70"/>
      <c r="S18" s="70" t="s">
        <v>311</v>
      </c>
      <c r="T18" s="70"/>
      <c r="U18" s="70"/>
      <c r="V18" s="70" t="s">
        <v>339</v>
      </c>
      <c r="W18" s="70"/>
      <c r="X18" s="70"/>
      <c r="Y18" s="70" t="s">
        <v>311</v>
      </c>
      <c r="Z18" s="70" t="s">
        <v>311</v>
      </c>
      <c r="AA18" s="70"/>
      <c r="AB18" s="70"/>
      <c r="AC18" s="70"/>
      <c r="AD18" s="70" t="s">
        <v>313</v>
      </c>
      <c r="AE18" s="70" t="s">
        <v>311</v>
      </c>
      <c r="AF18" s="70" t="s">
        <v>349</v>
      </c>
      <c r="AG18" s="70"/>
      <c r="AH18" s="70" t="s">
        <v>320</v>
      </c>
      <c r="AI18" s="70"/>
      <c r="AJ18" s="70"/>
      <c r="AK18" s="70"/>
      <c r="AL18" s="70"/>
      <c r="AM18" s="70"/>
      <c r="AN18" s="70"/>
      <c r="AO18" s="70"/>
      <c r="AP18" s="70" t="s">
        <v>318</v>
      </c>
      <c r="AQ18" s="70"/>
      <c r="AR18" s="70"/>
      <c r="AS18" s="70"/>
      <c r="AT18" s="70" t="s">
        <v>336</v>
      </c>
      <c r="AU18" s="70"/>
      <c r="AV18" s="70"/>
      <c r="AW18" s="70"/>
      <c r="AX18" s="70"/>
      <c r="AY18" s="70" t="s">
        <v>337</v>
      </c>
      <c r="AZ18" s="70" t="s">
        <v>311</v>
      </c>
      <c r="BA18" s="70" t="s">
        <v>311</v>
      </c>
      <c r="BB18" s="70"/>
      <c r="BC18" s="70" t="s">
        <v>309</v>
      </c>
      <c r="BD18" s="70" t="s">
        <v>378</v>
      </c>
      <c r="BE18" s="97" t="s">
        <v>364</v>
      </c>
      <c r="BF18" s="70" t="s">
        <v>309</v>
      </c>
      <c r="BG18" s="70"/>
      <c r="BH18" s="70"/>
      <c r="BI18" s="70"/>
      <c r="BJ18" s="70"/>
      <c r="BK18" s="70" t="s">
        <v>309</v>
      </c>
      <c r="BL18" s="70"/>
      <c r="BM18" s="70"/>
    </row>
    <row r="19" spans="1:65">
      <c r="A19" s="59">
        <v>9</v>
      </c>
      <c r="B19" s="67" t="s">
        <v>159</v>
      </c>
      <c r="C19" s="65"/>
      <c r="D19" s="64">
        <v>44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320</v>
      </c>
      <c r="K19" s="69"/>
      <c r="L19" s="69"/>
      <c r="M19" s="69"/>
      <c r="N19" s="69"/>
      <c r="O19" s="96" t="s">
        <v>369</v>
      </c>
      <c r="P19" s="69" t="s">
        <v>309</v>
      </c>
      <c r="Q19" s="69"/>
      <c r="R19" s="69"/>
      <c r="S19" s="69"/>
      <c r="T19" s="69" t="s">
        <v>339</v>
      </c>
      <c r="U19" s="69"/>
      <c r="V19" s="69"/>
      <c r="W19" s="69" t="s">
        <v>390</v>
      </c>
      <c r="X19" s="69"/>
      <c r="Y19" s="69" t="s">
        <v>311</v>
      </c>
      <c r="Z19" s="69" t="s">
        <v>311</v>
      </c>
      <c r="AA19" s="69"/>
      <c r="AB19" s="69" t="s">
        <v>357</v>
      </c>
      <c r="AC19" s="69"/>
      <c r="AD19" s="69" t="s">
        <v>579</v>
      </c>
      <c r="AE19" s="69" t="s">
        <v>311</v>
      </c>
      <c r="AF19" s="69" t="s">
        <v>349</v>
      </c>
      <c r="AG19" s="69"/>
      <c r="AH19" s="69" t="s">
        <v>323</v>
      </c>
      <c r="AI19" s="96" t="s">
        <v>369</v>
      </c>
      <c r="AJ19" s="96" t="s">
        <v>369</v>
      </c>
      <c r="AK19" s="69"/>
      <c r="AL19" s="96" t="s">
        <v>369</v>
      </c>
      <c r="AM19" s="69"/>
      <c r="AN19" s="69"/>
      <c r="AO19" s="69"/>
      <c r="AP19" s="69"/>
      <c r="AQ19" s="69"/>
      <c r="AR19" s="69" t="s">
        <v>309</v>
      </c>
      <c r="AS19" s="69" t="s">
        <v>327</v>
      </c>
      <c r="AT19" s="69" t="s">
        <v>336</v>
      </c>
      <c r="AU19" s="96" t="s">
        <v>369</v>
      </c>
      <c r="AV19" s="96" t="s">
        <v>369</v>
      </c>
      <c r="AW19" s="69"/>
      <c r="AX19" s="69" t="s">
        <v>602</v>
      </c>
      <c r="AY19" s="69" t="s">
        <v>340</v>
      </c>
      <c r="AZ19" s="69" t="s">
        <v>311</v>
      </c>
      <c r="BA19" s="69"/>
      <c r="BB19" s="69"/>
      <c r="BC19" s="69" t="s">
        <v>309</v>
      </c>
      <c r="BD19" s="69" t="s">
        <v>378</v>
      </c>
      <c r="BE19" s="69"/>
      <c r="BF19" s="69" t="s">
        <v>596</v>
      </c>
      <c r="BG19" s="69"/>
      <c r="BH19" s="96" t="s">
        <v>369</v>
      </c>
      <c r="BI19" s="69" t="s">
        <v>335</v>
      </c>
      <c r="BJ19" s="69" t="s">
        <v>311</v>
      </c>
      <c r="BK19" s="69"/>
      <c r="BL19" s="69" t="s">
        <v>311</v>
      </c>
      <c r="BM19" s="69"/>
    </row>
    <row r="20" spans="1:65">
      <c r="A20" s="61" t="s">
        <v>3</v>
      </c>
      <c r="B20" s="68" t="s">
        <v>166</v>
      </c>
      <c r="C20" s="66">
        <v>9.5</v>
      </c>
      <c r="D20" s="64">
        <v>55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309</v>
      </c>
      <c r="L20" s="70" t="s">
        <v>309</v>
      </c>
      <c r="M20" s="70" t="s">
        <v>350</v>
      </c>
      <c r="N20" s="70" t="s">
        <v>573</v>
      </c>
      <c r="O20" s="70"/>
      <c r="P20" s="70"/>
      <c r="Q20" s="70" t="s">
        <v>335</v>
      </c>
      <c r="R20" s="70" t="s">
        <v>309</v>
      </c>
      <c r="S20" s="70" t="s">
        <v>311</v>
      </c>
      <c r="T20" s="70"/>
      <c r="U20" s="70" t="s">
        <v>576</v>
      </c>
      <c r="V20" s="70" t="s">
        <v>339</v>
      </c>
      <c r="W20" s="70"/>
      <c r="X20" s="70" t="s">
        <v>375</v>
      </c>
      <c r="Y20" s="70"/>
      <c r="Z20" s="70"/>
      <c r="AA20" s="70" t="s">
        <v>311</v>
      </c>
      <c r="AB20" s="70"/>
      <c r="AC20" s="70" t="s">
        <v>311</v>
      </c>
      <c r="AD20" s="70"/>
      <c r="AE20" s="70"/>
      <c r="AF20" s="70"/>
      <c r="AG20" s="70" t="s">
        <v>334</v>
      </c>
      <c r="AH20" s="70"/>
      <c r="AI20" s="70"/>
      <c r="AJ20" s="70"/>
      <c r="AK20" s="70" t="s">
        <v>311</v>
      </c>
      <c r="AL20" s="70"/>
      <c r="AM20" s="70" t="s">
        <v>363</v>
      </c>
      <c r="AN20" s="70" t="s">
        <v>335</v>
      </c>
      <c r="AO20" s="70" t="s">
        <v>311</v>
      </c>
      <c r="AP20" s="70" t="s">
        <v>320</v>
      </c>
      <c r="AQ20" s="70" t="s">
        <v>311</v>
      </c>
      <c r="AR20" s="97"/>
      <c r="AS20" s="70"/>
      <c r="AT20" s="70"/>
      <c r="AU20" s="70"/>
      <c r="AV20" s="70"/>
      <c r="AW20" s="70" t="s">
        <v>587</v>
      </c>
      <c r="AX20" s="70"/>
      <c r="AY20" s="70"/>
      <c r="AZ20" s="70"/>
      <c r="BA20" s="70" t="s">
        <v>311</v>
      </c>
      <c r="BB20" s="70" t="s">
        <v>339</v>
      </c>
      <c r="BC20" s="70"/>
      <c r="BD20" s="70"/>
      <c r="BE20" s="97" t="s">
        <v>364</v>
      </c>
      <c r="BF20" s="70"/>
      <c r="BG20" s="70" t="s">
        <v>311</v>
      </c>
      <c r="BH20" s="70"/>
      <c r="BI20" s="70"/>
      <c r="BJ20" s="70"/>
      <c r="BK20" s="70" t="s">
        <v>309</v>
      </c>
      <c r="BL20" s="70"/>
      <c r="BM20" s="70" t="s">
        <v>334</v>
      </c>
    </row>
    <row r="21" spans="1:65">
      <c r="A21" s="59">
        <v>10</v>
      </c>
      <c r="B21" s="67" t="s">
        <v>207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23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 t="s">
        <v>350</v>
      </c>
      <c r="N21" s="69"/>
      <c r="O21" s="69"/>
      <c r="P21" s="69"/>
      <c r="Q21" s="69"/>
      <c r="R21" s="69"/>
      <c r="S21" s="69" t="s">
        <v>311</v>
      </c>
      <c r="T21" s="69" t="s">
        <v>339</v>
      </c>
      <c r="U21" s="69" t="s">
        <v>321</v>
      </c>
      <c r="V21" s="69" t="s">
        <v>339</v>
      </c>
      <c r="W21" s="69"/>
      <c r="X21" s="69"/>
      <c r="Y21" s="69" t="s">
        <v>311</v>
      </c>
      <c r="Z21" s="69" t="s">
        <v>311</v>
      </c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 t="s">
        <v>311</v>
      </c>
      <c r="AL21" s="69"/>
      <c r="AM21" s="69" t="s">
        <v>321</v>
      </c>
      <c r="AN21" s="69" t="s">
        <v>335</v>
      </c>
      <c r="AO21" s="69"/>
      <c r="AP21" s="69"/>
      <c r="AQ21" s="69" t="s">
        <v>311</v>
      </c>
      <c r="AR21" s="96" t="s">
        <v>309</v>
      </c>
      <c r="AS21" s="69"/>
      <c r="AT21" s="69" t="s">
        <v>336</v>
      </c>
      <c r="AU21" s="69"/>
      <c r="AV21" s="69"/>
      <c r="AW21" s="69" t="s">
        <v>588</v>
      </c>
      <c r="AX21" s="69" t="s">
        <v>321</v>
      </c>
      <c r="AY21" s="69"/>
      <c r="AZ21" s="69" t="s">
        <v>311</v>
      </c>
      <c r="BA21" s="69" t="s">
        <v>311</v>
      </c>
      <c r="BB21" s="69" t="s">
        <v>339</v>
      </c>
      <c r="BC21" s="69"/>
      <c r="BD21" s="69"/>
      <c r="BE21" s="96"/>
      <c r="BF21" s="69" t="s">
        <v>590</v>
      </c>
      <c r="BG21" s="69" t="s">
        <v>311</v>
      </c>
      <c r="BH21" s="69"/>
      <c r="BI21" s="69"/>
      <c r="BJ21" s="69" t="s">
        <v>311</v>
      </c>
      <c r="BK21" s="69" t="s">
        <v>309</v>
      </c>
      <c r="BL21" s="69"/>
      <c r="BM21" s="69" t="s">
        <v>321</v>
      </c>
    </row>
    <row r="22" spans="1:65">
      <c r="A22" s="61" t="s">
        <v>3</v>
      </c>
      <c r="B22" s="68" t="s">
        <v>212</v>
      </c>
      <c r="C22" s="66">
        <v>13.5</v>
      </c>
      <c r="D22" s="64">
        <v>34</v>
      </c>
      <c r="E22" s="64">
        <f>IF(ISBLANK($D22),"0",IF(($D22-$D21)&gt;($C22-$C21),1,0))</f>
        <v>0</v>
      </c>
      <c r="F22" s="64">
        <f t="shared" ca="1" si="1"/>
        <v>32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 t="s">
        <v>320</v>
      </c>
      <c r="K22" s="70" t="s">
        <v>309</v>
      </c>
      <c r="L22" s="70" t="s">
        <v>309</v>
      </c>
      <c r="M22" s="70"/>
      <c r="N22" s="70" t="s">
        <v>420</v>
      </c>
      <c r="O22" s="97" t="s">
        <v>369</v>
      </c>
      <c r="P22" s="70" t="s">
        <v>309</v>
      </c>
      <c r="Q22" s="70" t="s">
        <v>335</v>
      </c>
      <c r="R22" s="70" t="s">
        <v>309</v>
      </c>
      <c r="S22" s="70"/>
      <c r="T22" s="70"/>
      <c r="U22" s="70"/>
      <c r="V22" s="70"/>
      <c r="W22" s="70" t="s">
        <v>380</v>
      </c>
      <c r="X22" s="70" t="s">
        <v>321</v>
      </c>
      <c r="Y22" s="70"/>
      <c r="Z22" s="70"/>
      <c r="AA22" s="70" t="s">
        <v>311</v>
      </c>
      <c r="AB22" s="70" t="s">
        <v>578</v>
      </c>
      <c r="AC22" s="70" t="s">
        <v>311</v>
      </c>
      <c r="AD22" s="70" t="s">
        <v>321</v>
      </c>
      <c r="AE22" s="70" t="s">
        <v>311</v>
      </c>
      <c r="AF22" s="70" t="s">
        <v>349</v>
      </c>
      <c r="AG22" s="70" t="s">
        <v>375</v>
      </c>
      <c r="AH22" s="70" t="s">
        <v>598</v>
      </c>
      <c r="AI22" s="97" t="s">
        <v>369</v>
      </c>
      <c r="AJ22" s="97" t="s">
        <v>369</v>
      </c>
      <c r="AK22" s="70"/>
      <c r="AL22" s="97" t="s">
        <v>369</v>
      </c>
      <c r="AM22" s="70"/>
      <c r="AN22" s="70"/>
      <c r="AO22" s="70" t="s">
        <v>311</v>
      </c>
      <c r="AP22" s="70" t="s">
        <v>315</v>
      </c>
      <c r="AQ22" s="70"/>
      <c r="AR22" s="70"/>
      <c r="AS22" s="70" t="s">
        <v>350</v>
      </c>
      <c r="AT22" s="70"/>
      <c r="AU22" s="97" t="s">
        <v>369</v>
      </c>
      <c r="AV22" s="97" t="s">
        <v>369</v>
      </c>
      <c r="AW22" s="70"/>
      <c r="AX22" s="70"/>
      <c r="AY22" s="70" t="s">
        <v>420</v>
      </c>
      <c r="AZ22" s="70"/>
      <c r="BA22" s="70"/>
      <c r="BB22" s="70"/>
      <c r="BC22" s="70" t="s">
        <v>309</v>
      </c>
      <c r="BD22" s="70" t="s">
        <v>378</v>
      </c>
      <c r="BE22" s="70" t="s">
        <v>364</v>
      </c>
      <c r="BF22" s="70"/>
      <c r="BG22" s="70"/>
      <c r="BH22" s="97" t="s">
        <v>369</v>
      </c>
      <c r="BI22" s="70" t="s">
        <v>335</v>
      </c>
      <c r="BJ22" s="70"/>
      <c r="BK22" s="70"/>
      <c r="BL22" s="70" t="s">
        <v>311</v>
      </c>
      <c r="BM22" s="70"/>
    </row>
    <row r="23" spans="1:65">
      <c r="A23" s="59"/>
      <c r="B23" s="67" t="str">
        <f>B21&amp; " - score"</f>
        <v>Minnesota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>
        <v>20</v>
      </c>
      <c r="K23" s="78">
        <v>14</v>
      </c>
      <c r="L23" s="78">
        <v>14</v>
      </c>
      <c r="M23" s="78">
        <v>28</v>
      </c>
      <c r="N23" s="80">
        <v>21</v>
      </c>
      <c r="O23" s="78"/>
      <c r="P23" s="78">
        <v>21</v>
      </c>
      <c r="Q23" s="78">
        <v>0</v>
      </c>
      <c r="R23" s="78">
        <v>24</v>
      </c>
      <c r="S23" s="78">
        <v>27</v>
      </c>
      <c r="T23" s="78">
        <v>13</v>
      </c>
      <c r="U23" s="78">
        <v>31</v>
      </c>
      <c r="V23" s="78">
        <v>16</v>
      </c>
      <c r="W23" s="78">
        <v>10</v>
      </c>
      <c r="X23" s="78">
        <v>20</v>
      </c>
      <c r="Y23" s="78">
        <v>21</v>
      </c>
      <c r="Z23" s="78">
        <v>17</v>
      </c>
      <c r="AA23" s="78">
        <v>21</v>
      </c>
      <c r="AB23" s="78">
        <v>21</v>
      </c>
      <c r="AC23" s="78">
        <v>20</v>
      </c>
      <c r="AD23" s="78">
        <v>13</v>
      </c>
      <c r="AE23" s="78">
        <v>17</v>
      </c>
      <c r="AF23" s="78">
        <v>18</v>
      </c>
      <c r="AG23" s="78">
        <v>27</v>
      </c>
      <c r="AH23" s="78">
        <v>28</v>
      </c>
      <c r="AI23" s="78"/>
      <c r="AJ23" s="78"/>
      <c r="AK23" s="78">
        <v>42</v>
      </c>
      <c r="AL23" s="78"/>
      <c r="AM23" s="78">
        <v>21</v>
      </c>
      <c r="AN23" s="78">
        <v>28</v>
      </c>
      <c r="AO23" s="78">
        <v>21</v>
      </c>
      <c r="AP23" s="78">
        <v>10</v>
      </c>
      <c r="AQ23" s="78">
        <v>27</v>
      </c>
      <c r="AR23" s="78">
        <v>21</v>
      </c>
      <c r="AS23" s="78">
        <v>20</v>
      </c>
      <c r="AT23" s="78">
        <v>24</v>
      </c>
      <c r="AU23" s="78"/>
      <c r="AV23" s="78"/>
      <c r="AW23" s="78">
        <v>27</v>
      </c>
      <c r="AX23" s="78">
        <v>24</v>
      </c>
      <c r="AY23" s="78">
        <v>24</v>
      </c>
      <c r="AZ23" s="78">
        <v>20</v>
      </c>
      <c r="BA23" s="78">
        <v>55</v>
      </c>
      <c r="BB23" s="78">
        <v>63</v>
      </c>
      <c r="BC23" s="78">
        <v>14</v>
      </c>
      <c r="BD23" s="78">
        <v>14</v>
      </c>
      <c r="BE23" s="78">
        <v>24</v>
      </c>
      <c r="BF23" s="78">
        <v>35</v>
      </c>
      <c r="BG23" s="78">
        <v>27</v>
      </c>
      <c r="BH23" s="78"/>
      <c r="BI23" s="78">
        <v>20</v>
      </c>
      <c r="BJ23" s="78">
        <v>24</v>
      </c>
      <c r="BK23" s="78">
        <v>21</v>
      </c>
      <c r="BL23" s="78">
        <v>20</v>
      </c>
      <c r="BM23" s="78">
        <v>21</v>
      </c>
    </row>
    <row r="24" spans="1:65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35</v>
      </c>
      <c r="K24" s="79">
        <v>28</v>
      </c>
      <c r="L24" s="79">
        <v>28</v>
      </c>
      <c r="M24" s="79">
        <v>24</v>
      </c>
      <c r="N24" s="79">
        <v>42</v>
      </c>
      <c r="O24" s="79"/>
      <c r="P24" s="79">
        <v>35</v>
      </c>
      <c r="Q24" s="79">
        <v>21</v>
      </c>
      <c r="R24" s="79">
        <v>42</v>
      </c>
      <c r="S24" s="79">
        <v>30</v>
      </c>
      <c r="T24" s="79">
        <v>3</v>
      </c>
      <c r="U24" s="79">
        <v>40</v>
      </c>
      <c r="V24" s="79">
        <v>3</v>
      </c>
      <c r="W24" s="79">
        <v>35</v>
      </c>
      <c r="X24" s="79">
        <v>35</v>
      </c>
      <c r="Y24" s="79">
        <v>27</v>
      </c>
      <c r="Z24" s="79">
        <v>27</v>
      </c>
      <c r="AA24" s="79">
        <v>35</v>
      </c>
      <c r="AB24" s="79">
        <v>35</v>
      </c>
      <c r="AC24" s="79">
        <v>40</v>
      </c>
      <c r="AD24" s="79">
        <v>31</v>
      </c>
      <c r="AE24" s="79">
        <v>31</v>
      </c>
      <c r="AF24" s="79">
        <v>33</v>
      </c>
      <c r="AG24" s="79">
        <v>48</v>
      </c>
      <c r="AH24" s="79">
        <v>42</v>
      </c>
      <c r="AI24" s="79"/>
      <c r="AJ24" s="79"/>
      <c r="AK24" s="79">
        <v>54</v>
      </c>
      <c r="AL24" s="79"/>
      <c r="AM24" s="79">
        <v>27</v>
      </c>
      <c r="AN24" s="79">
        <v>35</v>
      </c>
      <c r="AO24" s="79">
        <v>48</v>
      </c>
      <c r="AP24" s="79">
        <v>33</v>
      </c>
      <c r="AQ24" s="79">
        <v>31</v>
      </c>
      <c r="AR24" s="79">
        <v>34</v>
      </c>
      <c r="AS24" s="79">
        <v>42</v>
      </c>
      <c r="AT24" s="79">
        <v>21</v>
      </c>
      <c r="AU24" s="79"/>
      <c r="AV24" s="79"/>
      <c r="AW24" s="79">
        <v>34</v>
      </c>
      <c r="AX24" s="79">
        <v>35</v>
      </c>
      <c r="AY24" s="79">
        <v>41</v>
      </c>
      <c r="AZ24" s="79">
        <v>21</v>
      </c>
      <c r="BA24" s="79">
        <v>0</v>
      </c>
      <c r="BB24" s="79">
        <v>60</v>
      </c>
      <c r="BC24" s="79">
        <v>31</v>
      </c>
      <c r="BD24" s="79">
        <v>42</v>
      </c>
      <c r="BE24" s="79">
        <v>43</v>
      </c>
      <c r="BF24" s="79">
        <v>18</v>
      </c>
      <c r="BG24" s="79">
        <v>24</v>
      </c>
      <c r="BH24" s="79"/>
      <c r="BI24" s="79">
        <v>35</v>
      </c>
      <c r="BJ24" s="79">
        <v>35</v>
      </c>
      <c r="BK24" s="79">
        <v>31</v>
      </c>
      <c r="BL24" s="79">
        <v>34</v>
      </c>
      <c r="BM24" s="79">
        <v>28</v>
      </c>
    </row>
    <row r="25" spans="1:6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M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4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9</v>
      </c>
      <c r="V25" s="36">
        <f t="shared" si="3"/>
        <v>7</v>
      </c>
      <c r="W25" s="36">
        <f t="shared" si="3"/>
        <v>2</v>
      </c>
      <c r="X25" s="36">
        <f t="shared" si="3"/>
        <v>6</v>
      </c>
      <c r="Y25" s="36">
        <f t="shared" si="3"/>
        <v>6</v>
      </c>
      <c r="Z25" s="36">
        <f t="shared" si="3"/>
        <v>6</v>
      </c>
      <c r="AA25" s="36">
        <f t="shared" si="3"/>
        <v>7</v>
      </c>
      <c r="AB25" s="36">
        <f t="shared" si="3"/>
        <v>4</v>
      </c>
      <c r="AC25" s="36">
        <f t="shared" si="3"/>
        <v>3</v>
      </c>
      <c r="AD25" s="36">
        <f t="shared" si="3"/>
        <v>4</v>
      </c>
      <c r="AE25" s="36">
        <f t="shared" si="3"/>
        <v>4</v>
      </c>
      <c r="AF25" s="36">
        <f t="shared" si="3"/>
        <v>7</v>
      </c>
      <c r="AG25" s="36">
        <f t="shared" si="3"/>
        <v>4</v>
      </c>
      <c r="AH25" s="36">
        <f t="shared" si="3"/>
        <v>7</v>
      </c>
      <c r="AI25" s="36">
        <f t="shared" si="3"/>
        <v>2</v>
      </c>
      <c r="AJ25" s="36">
        <f t="shared" si="3"/>
        <v>2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6</v>
      </c>
      <c r="AR25" s="36">
        <f t="shared" si="3"/>
        <v>6</v>
      </c>
      <c r="AS25" s="36">
        <f t="shared" si="3"/>
        <v>2</v>
      </c>
      <c r="AT25" s="36">
        <f t="shared" si="3"/>
        <v>5</v>
      </c>
      <c r="AU25" s="36">
        <f t="shared" si="3"/>
        <v>2</v>
      </c>
      <c r="AV25" s="36">
        <f t="shared" si="3"/>
        <v>2</v>
      </c>
      <c r="AW25" s="36">
        <f t="shared" si="3"/>
        <v>5</v>
      </c>
      <c r="AX25" s="36">
        <f t="shared" si="3"/>
        <v>5</v>
      </c>
      <c r="AY25" s="36">
        <f t="shared" si="3"/>
        <v>5</v>
      </c>
      <c r="AZ25" s="36">
        <f t="shared" si="3"/>
        <v>4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5</v>
      </c>
      <c r="BE25" s="36">
        <f t="shared" si="3"/>
        <v>5</v>
      </c>
      <c r="BF25" s="36">
        <f t="shared" si="3"/>
        <v>5</v>
      </c>
      <c r="BG25" s="36">
        <f t="shared" si="3"/>
        <v>6</v>
      </c>
      <c r="BH25" s="36">
        <f t="shared" si="3"/>
        <v>2</v>
      </c>
      <c r="BI25" s="36">
        <f t="shared" si="3"/>
        <v>4</v>
      </c>
      <c r="BJ25" s="36">
        <f t="shared" si="3"/>
        <v>5</v>
      </c>
      <c r="BK25" s="36">
        <f t="shared" si="3"/>
        <v>6</v>
      </c>
      <c r="BL25" s="36">
        <f t="shared" si="3"/>
        <v>3</v>
      </c>
      <c r="BM25" s="36">
        <f t="shared" si="3"/>
        <v>7</v>
      </c>
    </row>
    <row r="26" spans="1:6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BM26" si="4">ABS((L23-L24)-($D21-$D22))</f>
        <v>4</v>
      </c>
      <c r="M26" s="71">
        <f t="shared" si="4"/>
        <v>14</v>
      </c>
      <c r="N26" s="71">
        <f t="shared" si="4"/>
        <v>11</v>
      </c>
      <c r="O26" s="71">
        <f t="shared" si="4"/>
        <v>10</v>
      </c>
      <c r="P26" s="71">
        <f t="shared" si="4"/>
        <v>4</v>
      </c>
      <c r="Q26" s="71">
        <f t="shared" si="4"/>
        <v>11</v>
      </c>
      <c r="R26" s="71">
        <f t="shared" si="4"/>
        <v>8</v>
      </c>
      <c r="S26" s="71">
        <f t="shared" si="4"/>
        <v>7</v>
      </c>
      <c r="T26" s="71">
        <f t="shared" si="4"/>
        <v>20</v>
      </c>
      <c r="U26" s="71">
        <f t="shared" si="4"/>
        <v>1</v>
      </c>
      <c r="V26" s="71">
        <f t="shared" si="4"/>
        <v>23</v>
      </c>
      <c r="W26" s="71">
        <f t="shared" si="4"/>
        <v>15</v>
      </c>
      <c r="X26" s="71">
        <f t="shared" si="4"/>
        <v>5</v>
      </c>
      <c r="Y26" s="71">
        <f t="shared" si="4"/>
        <v>4</v>
      </c>
      <c r="Z26" s="71">
        <f t="shared" si="4"/>
        <v>0</v>
      </c>
      <c r="AA26" s="71">
        <f t="shared" si="4"/>
        <v>4</v>
      </c>
      <c r="AB26" s="71">
        <f t="shared" si="4"/>
        <v>4</v>
      </c>
      <c r="AC26" s="71">
        <f t="shared" si="4"/>
        <v>10</v>
      </c>
      <c r="AD26" s="71">
        <f t="shared" si="4"/>
        <v>8</v>
      </c>
      <c r="AE26" s="71">
        <f t="shared" si="4"/>
        <v>4</v>
      </c>
      <c r="AF26" s="71">
        <f t="shared" si="4"/>
        <v>5</v>
      </c>
      <c r="AG26" s="71">
        <f t="shared" si="4"/>
        <v>11</v>
      </c>
      <c r="AH26" s="71">
        <f t="shared" si="4"/>
        <v>4</v>
      </c>
      <c r="AI26" s="71">
        <f t="shared" si="4"/>
        <v>10</v>
      </c>
      <c r="AJ26" s="71">
        <f t="shared" si="4"/>
        <v>10</v>
      </c>
      <c r="AK26" s="71">
        <f t="shared" si="4"/>
        <v>2</v>
      </c>
      <c r="AL26" s="71">
        <f t="shared" si="4"/>
        <v>10</v>
      </c>
      <c r="AM26" s="71">
        <f t="shared" si="4"/>
        <v>4</v>
      </c>
      <c r="AN26" s="71">
        <f t="shared" si="4"/>
        <v>3</v>
      </c>
      <c r="AO26" s="71">
        <f t="shared" si="4"/>
        <v>17</v>
      </c>
      <c r="AP26" s="71">
        <f t="shared" si="4"/>
        <v>13</v>
      </c>
      <c r="AQ26" s="71">
        <f t="shared" si="4"/>
        <v>6</v>
      </c>
      <c r="AR26" s="71">
        <f t="shared" si="4"/>
        <v>3</v>
      </c>
      <c r="AS26" s="71">
        <f t="shared" si="4"/>
        <v>12</v>
      </c>
      <c r="AT26" s="71">
        <f t="shared" si="4"/>
        <v>13</v>
      </c>
      <c r="AU26" s="71">
        <f t="shared" si="4"/>
        <v>10</v>
      </c>
      <c r="AV26" s="71">
        <f t="shared" si="4"/>
        <v>10</v>
      </c>
      <c r="AW26" s="71">
        <f t="shared" si="4"/>
        <v>3</v>
      </c>
      <c r="AX26" s="71">
        <f t="shared" si="4"/>
        <v>1</v>
      </c>
      <c r="AY26" s="71">
        <f t="shared" si="4"/>
        <v>7</v>
      </c>
      <c r="AZ26" s="71">
        <f t="shared" si="4"/>
        <v>9</v>
      </c>
      <c r="BA26" s="71">
        <f t="shared" si="4"/>
        <v>65</v>
      </c>
      <c r="BB26" s="71">
        <f t="shared" si="4"/>
        <v>13</v>
      </c>
      <c r="BC26" s="71">
        <f t="shared" si="4"/>
        <v>7</v>
      </c>
      <c r="BD26" s="71">
        <f t="shared" si="4"/>
        <v>18</v>
      </c>
      <c r="BE26" s="71">
        <f t="shared" si="4"/>
        <v>9</v>
      </c>
      <c r="BF26" s="71">
        <f t="shared" si="4"/>
        <v>27</v>
      </c>
      <c r="BG26" s="71">
        <f t="shared" si="4"/>
        <v>13</v>
      </c>
      <c r="BH26" s="71">
        <f t="shared" si="4"/>
        <v>10</v>
      </c>
      <c r="BI26" s="71">
        <f t="shared" si="4"/>
        <v>5</v>
      </c>
      <c r="BJ26" s="71">
        <f t="shared" si="4"/>
        <v>1</v>
      </c>
      <c r="BK26" s="71">
        <f t="shared" si="4"/>
        <v>0</v>
      </c>
      <c r="BL26" s="71">
        <f t="shared" si="4"/>
        <v>4</v>
      </c>
      <c r="BM26" s="71">
        <f t="shared" si="4"/>
        <v>3</v>
      </c>
    </row>
    <row r="27" spans="1:6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16</v>
      </c>
      <c r="M27" s="71">
        <f t="shared" si="5"/>
        <v>6</v>
      </c>
      <c r="N27" s="71">
        <f t="shared" si="5"/>
        <v>5</v>
      </c>
      <c r="O27" s="71">
        <f t="shared" si="5"/>
        <v>58</v>
      </c>
      <c r="P27" s="71">
        <f t="shared" si="5"/>
        <v>2</v>
      </c>
      <c r="Q27" s="71">
        <f t="shared" si="5"/>
        <v>37</v>
      </c>
      <c r="R27" s="71">
        <f t="shared" si="5"/>
        <v>8</v>
      </c>
      <c r="S27" s="71">
        <f t="shared" si="5"/>
        <v>1</v>
      </c>
      <c r="T27" s="71">
        <f t="shared" si="5"/>
        <v>42</v>
      </c>
      <c r="U27" s="71">
        <f t="shared" si="5"/>
        <v>13</v>
      </c>
      <c r="V27" s="71">
        <f t="shared" si="5"/>
        <v>39</v>
      </c>
      <c r="W27" s="71">
        <f t="shared" si="5"/>
        <v>13</v>
      </c>
      <c r="X27" s="71">
        <f t="shared" si="5"/>
        <v>3</v>
      </c>
      <c r="Y27" s="71">
        <f t="shared" si="5"/>
        <v>10</v>
      </c>
      <c r="Z27" s="71">
        <f t="shared" si="5"/>
        <v>14</v>
      </c>
      <c r="AA27" s="71">
        <f t="shared" si="5"/>
        <v>2</v>
      </c>
      <c r="AB27" s="71">
        <f t="shared" si="5"/>
        <v>2</v>
      </c>
      <c r="AC27" s="71">
        <f t="shared" si="5"/>
        <v>2</v>
      </c>
      <c r="AD27" s="71">
        <f t="shared" si="5"/>
        <v>14</v>
      </c>
      <c r="AE27" s="71">
        <f t="shared" si="5"/>
        <v>10</v>
      </c>
      <c r="AF27" s="71">
        <f t="shared" si="5"/>
        <v>7</v>
      </c>
      <c r="AG27" s="71">
        <f t="shared" si="5"/>
        <v>17</v>
      </c>
      <c r="AH27" s="71">
        <f t="shared" si="5"/>
        <v>12</v>
      </c>
      <c r="AI27" s="71">
        <f t="shared" si="5"/>
        <v>58</v>
      </c>
      <c r="AJ27" s="71">
        <f t="shared" si="5"/>
        <v>58</v>
      </c>
      <c r="AK27" s="71">
        <f t="shared" si="5"/>
        <v>38</v>
      </c>
      <c r="AL27" s="71">
        <f t="shared" si="5"/>
        <v>58</v>
      </c>
      <c r="AM27" s="71">
        <f t="shared" si="5"/>
        <v>10</v>
      </c>
      <c r="AN27" s="71">
        <f t="shared" si="5"/>
        <v>5</v>
      </c>
      <c r="AO27" s="71">
        <f t="shared" si="5"/>
        <v>11</v>
      </c>
      <c r="AP27" s="71">
        <f t="shared" si="5"/>
        <v>15</v>
      </c>
      <c r="AQ27" s="71">
        <f t="shared" si="5"/>
        <v>0</v>
      </c>
      <c r="AR27" s="71">
        <f t="shared" si="5"/>
        <v>3</v>
      </c>
      <c r="AS27" s="71">
        <f t="shared" si="5"/>
        <v>4</v>
      </c>
      <c r="AT27" s="71">
        <f t="shared" si="5"/>
        <v>13</v>
      </c>
      <c r="AU27" s="71">
        <f t="shared" si="5"/>
        <v>58</v>
      </c>
      <c r="AV27" s="71">
        <f t="shared" si="5"/>
        <v>58</v>
      </c>
      <c r="AW27" s="71">
        <f t="shared" si="5"/>
        <v>3</v>
      </c>
      <c r="AX27" s="71">
        <f t="shared" si="5"/>
        <v>1</v>
      </c>
      <c r="AY27" s="71">
        <f t="shared" si="5"/>
        <v>7</v>
      </c>
      <c r="AZ27" s="71">
        <f t="shared" si="5"/>
        <v>17</v>
      </c>
      <c r="BA27" s="71">
        <f t="shared" si="5"/>
        <v>3</v>
      </c>
      <c r="BB27" s="71">
        <f t="shared" si="5"/>
        <v>65</v>
      </c>
      <c r="BC27" s="71">
        <f t="shared" si="5"/>
        <v>13</v>
      </c>
      <c r="BD27" s="71">
        <f t="shared" si="5"/>
        <v>2</v>
      </c>
      <c r="BE27" s="71">
        <f t="shared" si="5"/>
        <v>9</v>
      </c>
      <c r="BF27" s="71">
        <f t="shared" si="5"/>
        <v>5</v>
      </c>
      <c r="BG27" s="71">
        <f t="shared" si="5"/>
        <v>7</v>
      </c>
      <c r="BH27" s="71">
        <f t="shared" si="5"/>
        <v>58</v>
      </c>
      <c r="BI27" s="71">
        <f t="shared" si="5"/>
        <v>3</v>
      </c>
      <c r="BJ27" s="71">
        <f t="shared" si="5"/>
        <v>1</v>
      </c>
      <c r="BK27" s="71">
        <f t="shared" si="5"/>
        <v>6</v>
      </c>
      <c r="BL27" s="71">
        <f t="shared" si="5"/>
        <v>4</v>
      </c>
      <c r="BM27" s="71">
        <f t="shared" si="5"/>
        <v>9</v>
      </c>
    </row>
    <row r="28" spans="1:6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>
        <f t="shared" ca="1" si="6"/>
        <v>1</v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>
      <c r="A29" s="35"/>
      <c r="B29" s="35" t="s">
        <v>8</v>
      </c>
      <c r="C29" s="37">
        <f ca="1">IF(COUNTA(D3:D22)=0,0,SUM(INDIRECT("R[-4]C11:R[-4]C"&amp;11+playercnt-1,FALSE))/(COUNTA(D3:D22)*playercnt/2))</f>
        <v>0.47090909090909089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7</v>
      </c>
      <c r="P29" s="71">
        <f t="shared" si="7"/>
        <v>7</v>
      </c>
      <c r="Q29" s="71">
        <f t="shared" si="7"/>
        <v>4</v>
      </c>
      <c r="R29" s="71">
        <f t="shared" si="7"/>
        <v>4</v>
      </c>
      <c r="S29" s="71">
        <f t="shared" si="7"/>
        <v>1</v>
      </c>
      <c r="T29" s="71">
        <f t="shared" si="7"/>
        <v>6</v>
      </c>
      <c r="U29" s="71">
        <f t="shared" si="7"/>
        <v>6</v>
      </c>
      <c r="V29" s="71">
        <f t="shared" si="7"/>
        <v>6</v>
      </c>
      <c r="W29" s="71">
        <f t="shared" si="7"/>
        <v>5</v>
      </c>
      <c r="X29" s="71">
        <f t="shared" si="7"/>
        <v>7</v>
      </c>
      <c r="Y29" s="71">
        <f t="shared" si="7"/>
        <v>7</v>
      </c>
      <c r="Z29" s="71">
        <f t="shared" si="7"/>
        <v>7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4</v>
      </c>
      <c r="AG29" s="71">
        <f t="shared" si="7"/>
        <v>5</v>
      </c>
      <c r="AH29" s="71">
        <f t="shared" si="7"/>
        <v>4</v>
      </c>
      <c r="AI29" s="71">
        <f t="shared" si="7"/>
        <v>7</v>
      </c>
      <c r="AJ29" s="71">
        <f t="shared" si="7"/>
        <v>7</v>
      </c>
      <c r="AK29" s="71">
        <f t="shared" si="7"/>
        <v>8</v>
      </c>
      <c r="AL29" s="71">
        <f t="shared" si="7"/>
        <v>7</v>
      </c>
      <c r="AM29" s="71">
        <f t="shared" si="7"/>
        <v>4</v>
      </c>
      <c r="AN29" s="71">
        <f t="shared" si="7"/>
        <v>6</v>
      </c>
      <c r="AO29" s="71">
        <f t="shared" si="7"/>
        <v>6</v>
      </c>
      <c r="AP29" s="71">
        <f t="shared" si="7"/>
        <v>3</v>
      </c>
      <c r="AQ29" s="71">
        <f t="shared" si="7"/>
        <v>7</v>
      </c>
      <c r="AR29" s="71">
        <f t="shared" si="7"/>
        <v>9</v>
      </c>
      <c r="AS29" s="71">
        <f t="shared" si="7"/>
        <v>7</v>
      </c>
      <c r="AT29" s="71">
        <f t="shared" si="7"/>
        <v>8</v>
      </c>
      <c r="AU29" s="71">
        <f t="shared" si="7"/>
        <v>7</v>
      </c>
      <c r="AV29" s="71">
        <f t="shared" si="7"/>
        <v>7</v>
      </c>
      <c r="AW29" s="71">
        <f t="shared" si="7"/>
        <v>8</v>
      </c>
      <c r="AX29" s="71">
        <f t="shared" si="7"/>
        <v>6</v>
      </c>
      <c r="AY29" s="71">
        <f t="shared" si="7"/>
        <v>4</v>
      </c>
      <c r="AZ29" s="71">
        <f t="shared" si="7"/>
        <v>5</v>
      </c>
      <c r="BA29" s="71">
        <f t="shared" si="7"/>
        <v>4</v>
      </c>
      <c r="BB29" s="71">
        <f t="shared" si="7"/>
        <v>5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6</v>
      </c>
      <c r="BG29" s="71">
        <f t="shared" si="7"/>
        <v>9</v>
      </c>
      <c r="BH29" s="71">
        <f t="shared" si="7"/>
        <v>7</v>
      </c>
      <c r="BI29" s="71">
        <f t="shared" si="7"/>
        <v>7</v>
      </c>
      <c r="BJ29" s="71">
        <f t="shared" si="7"/>
        <v>8</v>
      </c>
      <c r="BK29" s="71">
        <f t="shared" si="7"/>
        <v>5</v>
      </c>
      <c r="BL29" s="71">
        <f t="shared" si="7"/>
        <v>6</v>
      </c>
      <c r="BM29" s="71">
        <f t="shared" si="7"/>
        <v>4</v>
      </c>
    </row>
    <row r="30" spans="1:65">
      <c r="A30" s="35"/>
      <c r="B30" s="35" t="s">
        <v>39</v>
      </c>
      <c r="C30" s="35">
        <f ca="1">SUM(INDIRECT("R[-5]C11:R[-5]C"&amp;11+playercnt-1,FALSE))-((COUNTA($D$3:$D$22)/2)*playercnt)/2</f>
        <v>-16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5</v>
      </c>
      <c r="Q30" s="73">
        <f t="shared" si="8"/>
        <v>2</v>
      </c>
      <c r="R30" s="73">
        <f t="shared" si="8"/>
        <v>4</v>
      </c>
      <c r="S30" s="73">
        <f t="shared" si="8"/>
        <v>3</v>
      </c>
      <c r="T30" s="73">
        <f t="shared" si="8"/>
        <v>6</v>
      </c>
      <c r="U30" s="73">
        <f t="shared" si="8"/>
        <v>6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7</v>
      </c>
      <c r="Z30" s="73">
        <f t="shared" si="8"/>
        <v>5</v>
      </c>
      <c r="AA30" s="73">
        <f t="shared" si="8"/>
        <v>6</v>
      </c>
      <c r="AB30" s="73">
        <f t="shared" si="8"/>
        <v>3</v>
      </c>
      <c r="AC30" s="73">
        <f t="shared" si="8"/>
        <v>4</v>
      </c>
      <c r="AD30" s="73">
        <f t="shared" si="8"/>
        <v>5</v>
      </c>
      <c r="AE30" s="73">
        <f t="shared" si="8"/>
        <v>3</v>
      </c>
      <c r="AF30" s="73">
        <f t="shared" si="8"/>
        <v>6</v>
      </c>
      <c r="AG30" s="73">
        <f t="shared" si="8"/>
        <v>3</v>
      </c>
      <c r="AH30" s="73">
        <f t="shared" si="8"/>
        <v>6</v>
      </c>
      <c r="AI30" s="73">
        <f t="shared" si="8"/>
        <v>5</v>
      </c>
      <c r="AJ30" s="73">
        <f t="shared" si="8"/>
        <v>5</v>
      </c>
      <c r="AK30" s="73">
        <f t="shared" si="8"/>
        <v>8</v>
      </c>
      <c r="AL30" s="73">
        <f t="shared" si="8"/>
        <v>5</v>
      </c>
      <c r="AM30" s="73">
        <f t="shared" si="8"/>
        <v>4</v>
      </c>
      <c r="AN30" s="73">
        <f t="shared" si="8"/>
        <v>4</v>
      </c>
      <c r="AO30" s="73">
        <f t="shared" si="8"/>
        <v>4</v>
      </c>
      <c r="AP30" s="73">
        <f t="shared" si="8"/>
        <v>5</v>
      </c>
      <c r="AQ30" s="73">
        <f t="shared" si="8"/>
        <v>5</v>
      </c>
      <c r="AR30" s="73">
        <f t="shared" si="8"/>
        <v>7</v>
      </c>
      <c r="AS30" s="73">
        <f t="shared" si="8"/>
        <v>5</v>
      </c>
      <c r="AT30" s="73">
        <f t="shared" si="8"/>
        <v>6</v>
      </c>
      <c r="AU30" s="73">
        <f t="shared" si="8"/>
        <v>5</v>
      </c>
      <c r="AV30" s="73">
        <f t="shared" si="8"/>
        <v>5</v>
      </c>
      <c r="AW30" s="73">
        <f t="shared" si="8"/>
        <v>6</v>
      </c>
      <c r="AX30" s="73">
        <f t="shared" si="8"/>
        <v>6</v>
      </c>
      <c r="AY30" s="73">
        <f t="shared" si="8"/>
        <v>4</v>
      </c>
      <c r="AZ30" s="73">
        <f t="shared" si="8"/>
        <v>5</v>
      </c>
      <c r="BA30" s="73">
        <f t="shared" si="8"/>
        <v>2</v>
      </c>
      <c r="BB30" s="73">
        <f t="shared" si="8"/>
        <v>5</v>
      </c>
      <c r="BC30" s="73">
        <f t="shared" si="8"/>
        <v>4</v>
      </c>
      <c r="BD30" s="73">
        <f t="shared" si="8"/>
        <v>6</v>
      </c>
      <c r="BE30" s="73">
        <f t="shared" si="8"/>
        <v>4</v>
      </c>
      <c r="BF30" s="73">
        <f t="shared" si="8"/>
        <v>6</v>
      </c>
      <c r="BG30" s="73">
        <f t="shared" si="8"/>
        <v>7</v>
      </c>
      <c r="BH30" s="73">
        <f t="shared" si="8"/>
        <v>5</v>
      </c>
      <c r="BI30" s="73">
        <f t="shared" si="8"/>
        <v>5</v>
      </c>
      <c r="BJ30" s="73">
        <f t="shared" si="8"/>
        <v>10</v>
      </c>
      <c r="BK30" s="73">
        <f t="shared" si="8"/>
        <v>3</v>
      </c>
      <c r="BL30" s="73">
        <f t="shared" si="8"/>
        <v>4</v>
      </c>
      <c r="BM30" s="73">
        <f t="shared" si="8"/>
        <v>6</v>
      </c>
    </row>
    <row r="31" spans="1:6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6</v>
      </c>
      <c r="N31" s="71">
        <f t="shared" ca="1" si="9"/>
        <v>2</v>
      </c>
      <c r="O31" s="71">
        <f t="shared" ca="1" si="9"/>
        <v>0</v>
      </c>
      <c r="P31" s="71">
        <f t="shared" ca="1" si="9"/>
        <v>2</v>
      </c>
      <c r="Q31" s="71">
        <f t="shared" ca="1" si="9"/>
        <v>5</v>
      </c>
      <c r="R31" s="71">
        <f t="shared" ca="1" si="9"/>
        <v>3</v>
      </c>
      <c r="S31" s="71">
        <f t="shared" ca="1" si="9"/>
        <v>8</v>
      </c>
      <c r="T31" s="71">
        <f t="shared" ca="1" si="9"/>
        <v>5</v>
      </c>
      <c r="U31" s="71">
        <f t="shared" ca="1" si="9"/>
        <v>7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6</v>
      </c>
      <c r="Z31" s="71">
        <f t="shared" ca="1" si="9"/>
        <v>4</v>
      </c>
      <c r="AA31" s="71">
        <f t="shared" ca="1" si="9"/>
        <v>5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7</v>
      </c>
      <c r="AG31" s="71">
        <f t="shared" ca="1" si="9"/>
        <v>2</v>
      </c>
      <c r="AH31" s="71">
        <f t="shared" ca="1" si="9"/>
        <v>7</v>
      </c>
      <c r="AI31" s="71">
        <f t="shared" ca="1" si="9"/>
        <v>0</v>
      </c>
      <c r="AJ31" s="71">
        <f t="shared" ca="1" si="9"/>
        <v>0</v>
      </c>
      <c r="AK31" s="71">
        <f t="shared" ca="1" si="9"/>
        <v>5</v>
      </c>
      <c r="AL31" s="71">
        <f t="shared" ca="1" si="9"/>
        <v>0</v>
      </c>
      <c r="AM31" s="71">
        <f t="shared" ca="1" si="9"/>
        <v>7</v>
      </c>
      <c r="AN31" s="71">
        <f t="shared" ca="1" si="9"/>
        <v>5</v>
      </c>
      <c r="AO31" s="71">
        <f t="shared" ca="1" si="9"/>
        <v>3</v>
      </c>
      <c r="AP31" s="71">
        <f t="shared" ca="1" si="9"/>
        <v>8</v>
      </c>
      <c r="AQ31" s="71">
        <f t="shared" ca="1" si="9"/>
        <v>4</v>
      </c>
      <c r="AR31" s="71">
        <f t="shared" ca="1" si="9"/>
        <v>4</v>
      </c>
      <c r="AS31" s="71">
        <f t="shared" ca="1" si="9"/>
        <v>0</v>
      </c>
      <c r="AT31" s="71">
        <f t="shared" ca="1" si="9"/>
        <v>3</v>
      </c>
      <c r="AU31" s="71">
        <f t="shared" ca="1" si="9"/>
        <v>0</v>
      </c>
      <c r="AV31" s="71">
        <f t="shared" ca="1" si="9"/>
        <v>0</v>
      </c>
      <c r="AW31" s="71">
        <f t="shared" ca="1" si="9"/>
        <v>3</v>
      </c>
      <c r="AX31" s="71">
        <f t="shared" ca="1" si="9"/>
        <v>5</v>
      </c>
      <c r="AY31" s="71">
        <f t="shared" ca="1" si="9"/>
        <v>5</v>
      </c>
      <c r="AZ31" s="71">
        <f t="shared" ca="1" si="9"/>
        <v>6</v>
      </c>
      <c r="BA31" s="71">
        <f t="shared" ca="1" si="9"/>
        <v>5</v>
      </c>
      <c r="BB31" s="71">
        <f t="shared" ca="1" si="9"/>
        <v>6</v>
      </c>
      <c r="BC31" s="71">
        <f t="shared" ca="1" si="9"/>
        <v>5</v>
      </c>
      <c r="BD31" s="71">
        <f t="shared" ca="1" si="9"/>
        <v>5</v>
      </c>
      <c r="BE31" s="71">
        <f t="shared" ca="1" si="9"/>
        <v>3</v>
      </c>
      <c r="BF31" s="71">
        <f t="shared" ca="1" si="9"/>
        <v>5</v>
      </c>
      <c r="BG31" s="71">
        <f t="shared" ca="1" si="9"/>
        <v>4</v>
      </c>
      <c r="BH31" s="71">
        <f t="shared" ca="1" si="9"/>
        <v>0</v>
      </c>
      <c r="BI31" s="71">
        <f t="shared" ca="1" si="9"/>
        <v>2</v>
      </c>
      <c r="BJ31" s="71">
        <f t="shared" ca="1" si="9"/>
        <v>5</v>
      </c>
      <c r="BK31" s="71">
        <f t="shared" ca="1" si="9"/>
        <v>4</v>
      </c>
      <c r="BL31" s="71">
        <f t="shared" ca="1" si="9"/>
        <v>3</v>
      </c>
      <c r="BM31" s="71">
        <f t="shared" ca="1" si="9"/>
        <v>7</v>
      </c>
    </row>
    <row r="32" spans="1:6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59983936</v>
      </c>
      <c r="L36" s="32">
        <f t="shared" ref="L36:BM36" si="12">COUNTA(L23:L24)*((10000000*L25)+(1000000*(COUNTA(L21)*$E21+COUNTA(L22)*$E22))-(COUNTA($D$21:$D$22)*1000*L26)-(COUNTA($D$21:$D$22)*L27))</f>
        <v>139983936</v>
      </c>
      <c r="M36" s="32">
        <f t="shared" si="12"/>
        <v>121943976</v>
      </c>
      <c r="N36" s="32">
        <f t="shared" si="12"/>
        <v>79955980</v>
      </c>
      <c r="O36" s="32">
        <f t="shared" si="12"/>
        <v>0</v>
      </c>
      <c r="P36" s="32">
        <f t="shared" si="12"/>
        <v>79983992</v>
      </c>
      <c r="Q36" s="32">
        <f t="shared" si="12"/>
        <v>99955852</v>
      </c>
      <c r="R36" s="32">
        <f t="shared" si="12"/>
        <v>59967968</v>
      </c>
      <c r="S36" s="32">
        <f t="shared" si="12"/>
        <v>121971996</v>
      </c>
      <c r="T36" s="32">
        <f t="shared" si="12"/>
        <v>101919832</v>
      </c>
      <c r="U36" s="32">
        <f t="shared" si="12"/>
        <v>181995948</v>
      </c>
      <c r="V36" s="32">
        <f t="shared" si="12"/>
        <v>141907844</v>
      </c>
      <c r="W36" s="32">
        <f t="shared" si="12"/>
        <v>39939948</v>
      </c>
      <c r="X36" s="32">
        <f t="shared" si="12"/>
        <v>119979988</v>
      </c>
      <c r="Y36" s="32">
        <f t="shared" si="12"/>
        <v>121983960</v>
      </c>
      <c r="Z36" s="32">
        <f t="shared" si="12"/>
        <v>121999944</v>
      </c>
      <c r="AA36" s="32">
        <f t="shared" si="12"/>
        <v>139983992</v>
      </c>
      <c r="AB36" s="32">
        <f t="shared" si="12"/>
        <v>79983992</v>
      </c>
      <c r="AC36" s="32">
        <f t="shared" si="12"/>
        <v>59959992</v>
      </c>
      <c r="AD36" s="32">
        <f t="shared" si="12"/>
        <v>79967944</v>
      </c>
      <c r="AE36" s="32">
        <f t="shared" si="12"/>
        <v>79983960</v>
      </c>
      <c r="AF36" s="32">
        <f t="shared" si="12"/>
        <v>139979972</v>
      </c>
      <c r="AG36" s="32">
        <f t="shared" si="12"/>
        <v>79955932</v>
      </c>
      <c r="AH36" s="32">
        <f t="shared" si="12"/>
        <v>139983952</v>
      </c>
      <c r="AI36" s="32">
        <f t="shared" si="12"/>
        <v>0</v>
      </c>
      <c r="AJ36" s="32">
        <f t="shared" si="12"/>
        <v>0</v>
      </c>
      <c r="AK36" s="32">
        <f t="shared" si="12"/>
        <v>101991848</v>
      </c>
      <c r="AL36" s="32">
        <f t="shared" si="12"/>
        <v>0</v>
      </c>
      <c r="AM36" s="32">
        <f t="shared" si="12"/>
        <v>101983960</v>
      </c>
      <c r="AN36" s="32">
        <f t="shared" si="12"/>
        <v>101987980</v>
      </c>
      <c r="AO36" s="32">
        <f t="shared" si="12"/>
        <v>99931956</v>
      </c>
      <c r="AP36" s="32">
        <f t="shared" si="12"/>
        <v>119947940</v>
      </c>
      <c r="AQ36" s="32">
        <f t="shared" si="12"/>
        <v>121976000</v>
      </c>
      <c r="AR36" s="32">
        <f t="shared" si="12"/>
        <v>121987988</v>
      </c>
      <c r="AS36" s="32">
        <f t="shared" si="12"/>
        <v>39951984</v>
      </c>
      <c r="AT36" s="32">
        <f t="shared" si="12"/>
        <v>101947948</v>
      </c>
      <c r="AU36" s="32">
        <f t="shared" si="12"/>
        <v>0</v>
      </c>
      <c r="AV36" s="32">
        <f t="shared" si="12"/>
        <v>0</v>
      </c>
      <c r="AW36" s="32">
        <f t="shared" si="12"/>
        <v>101987988</v>
      </c>
      <c r="AX36" s="32">
        <f t="shared" si="12"/>
        <v>101995996</v>
      </c>
      <c r="AY36" s="32">
        <f t="shared" si="12"/>
        <v>99971972</v>
      </c>
      <c r="AZ36" s="32">
        <f t="shared" si="12"/>
        <v>81963932</v>
      </c>
      <c r="BA36" s="32">
        <f t="shared" si="12"/>
        <v>101739988</v>
      </c>
      <c r="BB36" s="32">
        <f t="shared" si="12"/>
        <v>81947740</v>
      </c>
      <c r="BC36" s="32">
        <f t="shared" si="12"/>
        <v>139971948</v>
      </c>
      <c r="BD36" s="32">
        <f t="shared" si="12"/>
        <v>99927992</v>
      </c>
      <c r="BE36" s="32">
        <f t="shared" si="12"/>
        <v>99963964</v>
      </c>
      <c r="BF36" s="32">
        <f t="shared" si="12"/>
        <v>101891980</v>
      </c>
      <c r="BG36" s="32">
        <f t="shared" si="12"/>
        <v>121947972</v>
      </c>
      <c r="BH36" s="32">
        <f t="shared" si="12"/>
        <v>0</v>
      </c>
      <c r="BI36" s="32">
        <f t="shared" si="12"/>
        <v>79979988</v>
      </c>
      <c r="BJ36" s="32">
        <f t="shared" si="12"/>
        <v>101995996</v>
      </c>
      <c r="BK36" s="32">
        <f t="shared" si="12"/>
        <v>121999976</v>
      </c>
      <c r="BL36" s="32">
        <f t="shared" si="12"/>
        <v>59983984</v>
      </c>
      <c r="BM36" s="32">
        <f t="shared" si="12"/>
        <v>141987964</v>
      </c>
    </row>
    <row r="38" spans="1:6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>
      <c r="B39" s="8" t="s">
        <v>130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>
      <c r="B40" s="8" t="s">
        <v>298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M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Bowers, Martin L</v>
      </c>
      <c r="P40" s="3" t="str">
        <f t="shared" ca="1" si="14"/>
        <v>Boykin, Jerome W</v>
      </c>
      <c r="Q40" s="3" t="str">
        <f t="shared" ca="1" si="14"/>
        <v>Brokaw, Brantley A</v>
      </c>
      <c r="R40" s="3" t="str">
        <f t="shared" ca="1" si="14"/>
        <v>Brunt, DavidRemote</v>
      </c>
      <c r="S40" s="3" t="str">
        <f t="shared" ca="1" si="14"/>
        <v>Carter, Chris</v>
      </c>
      <c r="T40" s="3" t="str">
        <f t="shared" ca="1" si="14"/>
        <v>Chan, Simon</v>
      </c>
      <c r="U40" s="3" t="str">
        <f t="shared" ca="1" si="14"/>
        <v>Desetto, Daniel</v>
      </c>
      <c r="V40" s="3" t="str">
        <f t="shared" ca="1" si="14"/>
        <v>Desing, Scott M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Fonville, Stephanie Remote</v>
      </c>
      <c r="AB40" s="3" t="str">
        <f t="shared" ca="1" si="14"/>
        <v>Gilmer, Justin T</v>
      </c>
      <c r="AC40" s="3" t="str">
        <f t="shared" ca="1" si="14"/>
        <v>Gregory, Adam J</v>
      </c>
      <c r="AD40" s="3" t="str">
        <f t="shared" ca="1" si="14"/>
        <v>Hendrick, Matt R</v>
      </c>
      <c r="AE40" s="3" t="str">
        <f t="shared" ca="1" si="14"/>
        <v>Holden, Brent</v>
      </c>
      <c r="AF40" s="3" t="str">
        <f t="shared" ca="1" si="14"/>
        <v>Holley, Jeremy Remote</v>
      </c>
      <c r="AG40" s="3" t="str">
        <f t="shared" ca="1" si="14"/>
        <v>Inabinet, Greg</v>
      </c>
      <c r="AH40" s="3" t="str">
        <f t="shared" ca="1" si="14"/>
        <v>James, Larry C</v>
      </c>
      <c r="AI40" s="3" t="str">
        <f t="shared" ca="1" si="14"/>
        <v>Johnson, Robert J</v>
      </c>
      <c r="AJ40" s="3" t="str">
        <f t="shared" ca="1" si="14"/>
        <v>Kandela, Marwan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Mccoy, William M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Neill, Charles H</v>
      </c>
      <c r="AS40" s="3" t="str">
        <f t="shared" ca="1" si="14"/>
        <v>Nguyen, Thai</v>
      </c>
      <c r="AT40" s="3" t="str">
        <f t="shared" ca="1" si="14"/>
        <v>Penrose, Tim Remote</v>
      </c>
      <c r="AU40" s="3" t="str">
        <f t="shared" ca="1" si="14"/>
        <v>Powell, LaMar</v>
      </c>
      <c r="AV40" s="3" t="str">
        <f t="shared" ca="1" si="14"/>
        <v>Puga, Moises</v>
      </c>
      <c r="AW40" s="3" t="str">
        <f t="shared" ca="1" si="14"/>
        <v>Reams, Byron L</v>
      </c>
      <c r="AX40" s="3" t="str">
        <f t="shared" ca="1" si="14"/>
        <v>Redys, David Remote</v>
      </c>
      <c r="AY40" s="3" t="str">
        <f t="shared" ca="1" si="14"/>
        <v>Robbins, Dale</v>
      </c>
      <c r="AZ40" s="3" t="str">
        <f t="shared" ca="1" si="14"/>
        <v>Ruffin, Chris</v>
      </c>
      <c r="BA40" s="3" t="str">
        <f t="shared" ca="1" si="14"/>
        <v>Sams, David</v>
      </c>
      <c r="BB40" s="3" t="str">
        <f t="shared" ca="1" si="14"/>
        <v>Sapp, Carl G</v>
      </c>
      <c r="BC40" s="3" t="str">
        <f t="shared" ca="1" si="14"/>
        <v>Shuey, Jeffrey M</v>
      </c>
      <c r="BD40" s="3" t="str">
        <f t="shared" ca="1" si="14"/>
        <v>Staub, Kevin</v>
      </c>
      <c r="BE40" s="3" t="str">
        <f t="shared" ca="1" si="14"/>
        <v>Steel, Van Remote</v>
      </c>
      <c r="BF40" s="3" t="str">
        <f t="shared" ca="1" si="14"/>
        <v>Stonecypher, David</v>
      </c>
      <c r="BG40" s="3" t="str">
        <f t="shared" ca="1" si="14"/>
        <v>Straw, Adam D</v>
      </c>
      <c r="BH40" s="3" t="str">
        <f t="shared" ca="1" si="14"/>
        <v>Tunnell, Justin S</v>
      </c>
      <c r="BI40" s="3" t="str">
        <f t="shared" ca="1" si="14"/>
        <v>Warren, Todd Remote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>
      <c r="B41" s="8" t="s">
        <v>131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>
      <c r="B42" s="8" t="s">
        <v>299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Greg;Bowers, Martin L;Boykin, Jerome W;Brokaw, Brantley A;Brunt, DavidRemote;Carter, Chris;Chan, Simon;Desetto, Daniel;Desing, Scott M;Edwards, Christopher S;Emptage, Nick;Ferguson, Scott Remote;Fonville, Chris;Fonville, Stephanie Remote;Gilmer, Justin T;Gregory, Adam J;Hendrick, Matt R;Holden, Brent;Holley, Jeremy Remote;Inabinet, Greg;James, Larry C;Johnson, Robert J;Kandela, Marwan;Locklear, Dave Remote;Marsh, Alexander Remote;Martin, Douglas C;Mccoy, William M;Moore, Kevin B;Murphy, William A;Nance, Rob;Neill, Charles H;Nguyen, Thai;Penrose, Tim Remote;Powell, LaMar;Puga, Moises;Reams, Byron L;Redys, David Remote;Robbins, Dale;Ruffin, Chris;Sams, David;Sapp, Carl G;Shuey, Jeffrey M;Staub, Kevin;Steel, Van Remote;Stonecypher, David;Straw, Adam D;Tunnell, Justin S;Warren,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>
      <c r="B57" s="8"/>
      <c r="AK57" s="3"/>
      <c r="AL57" s="3"/>
      <c r="AM57" s="3"/>
      <c r="AN57" s="3"/>
    </row>
    <row r="58" spans="2:40">
      <c r="B58" s="8"/>
      <c r="AN58" s="3"/>
    </row>
  </sheetData>
  <conditionalFormatting sqref="G17 G15 G13 G11 G9 G7 G5 A23:E23 G23:I23 G19 A3:C3 A5:C5 A7:C7 A9:C9 A11:C11 A13:C13 A15:C15 A17:C17 A19:C19 A21:C21 G3 G21 AO23:AW23 AY23:BE23">
    <cfRule type="cellIs" dxfId="46" priority="34" stopIfTrue="1" operator="equal">
      <formula>0</formula>
    </cfRule>
  </conditionalFormatting>
  <conditionalFormatting sqref="B12:C12 B14:C14 B16:C16 B18:C18 B20:C20 B22:C22 B24:C24 E24 H24:I24 B10:C10 B4:C4 B6:C6 B8:C8 AO24:AW24 AY24:BE24">
    <cfRule type="cellIs" dxfId="45" priority="35" stopIfTrue="1" operator="equal">
      <formula>0</formula>
    </cfRule>
  </conditionalFormatting>
  <conditionalFormatting sqref="D26:J28 K28:BE28">
    <cfRule type="cellIs" dxfId="44" priority="36" stopIfTrue="1" operator="equal">
      <formula>1</formula>
    </cfRule>
  </conditionalFormatting>
  <conditionalFormatting sqref="H3:I3 F23 H5:I5 H7:I7 H9:I9 H11:I11 H13:I13 H15:I15 H17:I17 H19:I19 H21:I21">
    <cfRule type="cellIs" dxfId="43" priority="37" stopIfTrue="1" operator="equal">
      <formula>0</formula>
    </cfRule>
  </conditionalFormatting>
  <conditionalFormatting sqref="H4:I4 F24 H6:I6 H8:I8 H10:I10 H12:I12 H14:I14 H16:I16 H18:I18 H20:I20 H22:I22">
    <cfRule type="cellIs" dxfId="42" priority="38" stopIfTrue="1" operator="equal">
      <formula>0</formula>
    </cfRule>
  </conditionalFormatting>
  <conditionalFormatting sqref="F3 F5 F7 F9 F11 F13 F15 F17 F19 F21">
    <cfRule type="cellIs" dxfId="41" priority="3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40" priority="4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N6 J8:N8 J10:N10 J12:N12 J14:N14 J16:N16 J18:N18 J20:N20 J22:N22 J4:N4 AW4:BE4 AW22:BE22 AW20:BE20 AW18:BE18 AW16:BE16 AW14:BE14 AW12:BE12 AW10:BE10 AW8:BE8 AW6:BE6 AK4 AK22 AK20 AK18 AK16 AK14 AK12 AK10 AK8 AK6 P4:AH4 P22:AH22 P20:AH20 P18:AH18 P16:AH16 P14:AH14 P12:AH12 P10:AH10 P8:AH8 P6:AH6 AM6:AT6 AM8:AT8 AM10:AT10 AM12:AT12 AM14:AT14 AM16:AT16 AM18:AT18 AM20:AT20 AM22:AT22 AM4:AT4">
    <cfRule type="expression" dxfId="39" priority="41" stopIfTrue="1">
      <formula>AND(COUNTA(J4)=1,$E4=1,SUM($E3:$E4)=1)</formula>
    </cfRule>
    <cfRule type="expression" dxfId="38" priority="42" stopIfTrue="1">
      <formula>AND(COUNTA(J4)=1,$E4=0,SUM($E3:$E4)=1)</formula>
    </cfRule>
  </conditionalFormatting>
  <conditionalFormatting sqref="J5:N5 J7:N7 J9:N9 J11:N11 J13:N13 J15:N15 J17:N17 J19:N19 J21:N21 J3:N3 AW3:BE3 AW21:BE21 AW19:BE19 AW17:BE17 AW15:BE15 AW13:BE13 AW11:BE11 AW9:BE9 AW7:BE7 AW5:BE5 AK3 AK21 AK19 AK17 AK15 AK13 AK11 AK9 AK7 AK5 P3:AH3 P21:AH21 P19:AH19 P17:AH17 P15:AH15 P13:AH13 P11:AH11 P9:AH9 P7:AH7 P5:AH5 AM5:AT5 AM7:AT7 AM9:AT9 AM11:AT11 AM13:AT13 AM15:AT15 AM17:AT17 AM19:AT19 AM21:AT21 AM3:AT3">
    <cfRule type="expression" dxfId="37" priority="43" stopIfTrue="1">
      <formula>AND(COUNTA(J3)=1,$E3=1,SUM($E3:$E4)=1)</formula>
    </cfRule>
    <cfRule type="expression" dxfId="36" priority="44" stopIfTrue="1">
      <formula>AND(COUNTA(J3)=1,$E3=0,SUM($E3:$E4)=1)</formula>
    </cfRule>
  </conditionalFormatting>
  <conditionalFormatting sqref="BF23:BM23">
    <cfRule type="cellIs" dxfId="35" priority="33" stopIfTrue="1" operator="equal">
      <formula>0</formula>
    </cfRule>
  </conditionalFormatting>
  <conditionalFormatting sqref="BF24:BM24">
    <cfRule type="cellIs" dxfId="34" priority="32" stopIfTrue="1" operator="equal">
      <formula>0</formula>
    </cfRule>
  </conditionalFormatting>
  <conditionalFormatting sqref="BF28:BM28">
    <cfRule type="cellIs" dxfId="33" priority="31" stopIfTrue="1" operator="equal">
      <formula>1</formula>
    </cfRule>
  </conditionalFormatting>
  <conditionalFormatting sqref="BF12:BG12 BF14:BG14 BF16:BG16 BF18:BG18 BF20:BG20 BF22:BG22 BF4:BG4 BF6:BG6 BF8:BG8 BF10:BG10 BI10:BM10 BI8:BM8 BI6:BM6 BI4:BM4 BI22:BM22 BI20:BM20 BI18:BM18 BI16:BM16 BI14:BM14 BI12:BM12">
    <cfRule type="expression" dxfId="32" priority="29" stopIfTrue="1">
      <formula>AND(COUNTA(BF4)=1,$E4=1,SUM($E3:$E4)=1)</formula>
    </cfRule>
    <cfRule type="expression" dxfId="31" priority="30" stopIfTrue="1">
      <formula>AND(COUNTA(BF4)=1,$E4=0,SUM($E3:$E4)=1)</formula>
    </cfRule>
  </conditionalFormatting>
  <conditionalFormatting sqref="BF11:BG11 BF13:BG13 BF15:BG15 BF17:BG17 BF19:BG19 BF21:BG21 BF3:BG3 BF5:BG5 BF7:BG7 BF9:BG9 BI9:BM9 BI7:BM7 BI5:BM5 BI3:BM3 BI21:BM21 BI19:BM19 BI17:BM17 BI15:BM15 BI13:BM13 BI11:BM11">
    <cfRule type="expression" dxfId="30" priority="27" stopIfTrue="1">
      <formula>AND(COUNTA(BF3)=1,$E3=1,SUM($E3:$E4)=1)</formula>
    </cfRule>
    <cfRule type="expression" dxfId="29" priority="28" stopIfTrue="1">
      <formula>AND(COUNTA(BF3)=1,$E3=0,SUM($E3:$E4)=1)</formula>
    </cfRule>
  </conditionalFormatting>
  <conditionalFormatting sqref="AX23">
    <cfRule type="cellIs" dxfId="28" priority="25" stopIfTrue="1" operator="equal">
      <formula>0</formula>
    </cfRule>
  </conditionalFormatting>
  <conditionalFormatting sqref="AX24">
    <cfRule type="cellIs" dxfId="27" priority="26" stopIfTrue="1" operator="equal">
      <formula>0</formula>
    </cfRule>
  </conditionalFormatting>
  <conditionalFormatting sqref="AU6 AU8 AU10 AU12 AU14 AU16 AU18 AU20 AU22 AU4">
    <cfRule type="expression" dxfId="26" priority="21" stopIfTrue="1">
      <formula>AND(COUNTA(AU4)=1,$E4=1,SUM($E3:$E4)=1)</formula>
    </cfRule>
    <cfRule type="expression" dxfId="25" priority="22" stopIfTrue="1">
      <formula>AND(COUNTA(AU4)=1,$E4=0,SUM($E3:$E4)=1)</formula>
    </cfRule>
  </conditionalFormatting>
  <conditionalFormatting sqref="AU5 AU7 AU9 AU11 AU13 AU15 AU17 AU19 AU21 AU3">
    <cfRule type="expression" dxfId="24" priority="23" stopIfTrue="1">
      <formula>AND(COUNTA(AU3)=1,$E3=1,SUM($E3:$E4)=1)</formula>
    </cfRule>
    <cfRule type="expression" dxfId="23" priority="24" stopIfTrue="1">
      <formula>AND(COUNTA(AU3)=1,$E3=0,SUM($E3:$E4)=1)</formula>
    </cfRule>
  </conditionalFormatting>
  <conditionalFormatting sqref="BH6 BH8 BH10 BH12 BH14 BH16 BH18 BH20 BH22 BH4">
    <cfRule type="expression" dxfId="22" priority="17" stopIfTrue="1">
      <formula>AND(COUNTA(BH4)=1,$E4=1,SUM($E3:$E4)=1)</formula>
    </cfRule>
    <cfRule type="expression" dxfId="21" priority="18" stopIfTrue="1">
      <formula>AND(COUNTA(BH4)=1,$E4=0,SUM($E3:$E4)=1)</formula>
    </cfRule>
  </conditionalFormatting>
  <conditionalFormatting sqref="BH5 BH7 BH9 BH11 BH13 BH15 BH17 BH19 BH21 BH3">
    <cfRule type="expression" dxfId="20" priority="19" stopIfTrue="1">
      <formula>AND(COUNTA(BH3)=1,$E3=1,SUM($E3:$E4)=1)</formula>
    </cfRule>
    <cfRule type="expression" dxfId="19" priority="20" stopIfTrue="1">
      <formula>AND(COUNTA(BH3)=1,$E3=0,SUM($E3:$E4)=1)</formula>
    </cfRule>
  </conditionalFormatting>
  <conditionalFormatting sqref="AI6:AJ6 AI8:AJ8 AI10:AJ10 AI12:AJ12 AI14:AJ14 AI16:AJ16 AI18:AJ18 AI20:AJ20 AI22:AJ22 AI4:AJ4">
    <cfRule type="expression" dxfId="18" priority="13" stopIfTrue="1">
      <formula>AND(COUNTA(AI4)=1,$E4=1,SUM($E3:$E4)=1)</formula>
    </cfRule>
    <cfRule type="expression" dxfId="17" priority="14" stopIfTrue="1">
      <formula>AND(COUNTA(AI4)=1,$E4=0,SUM($E3:$E4)=1)</formula>
    </cfRule>
  </conditionalFormatting>
  <conditionalFormatting sqref="AI5:AJ5 AI7:AJ7 AI9:AJ9 AI11:AJ11 AI13:AJ13 AI15:AJ15 AI17:AJ17 AI19:AJ19 AI21:AJ21 AI3:AJ3">
    <cfRule type="expression" dxfId="16" priority="15" stopIfTrue="1">
      <formula>AND(COUNTA(AI3)=1,$E3=1,SUM($E3:$E4)=1)</formula>
    </cfRule>
    <cfRule type="expression" dxfId="15" priority="16" stopIfTrue="1">
      <formula>AND(COUNTA(AI3)=1,$E3=0,SUM($E3:$E4)=1)</formula>
    </cfRule>
  </conditionalFormatting>
  <conditionalFormatting sqref="O6 O8 O10 O12 O14 O16 O18 O20 O22 O4">
    <cfRule type="expression" dxfId="14" priority="9" stopIfTrue="1">
      <formula>AND(COUNTA(O4)=1,$E4=1,SUM($E3:$E4)=1)</formula>
    </cfRule>
    <cfRule type="expression" dxfId="13" priority="10" stopIfTrue="1">
      <formula>AND(COUNTA(O4)=1,$E4=0,SUM($E3:$E4)=1)</formula>
    </cfRule>
  </conditionalFormatting>
  <conditionalFormatting sqref="O5 O7 O9 O11 O13 O15 O17 O19 O21 O3">
    <cfRule type="expression" dxfId="12" priority="11" stopIfTrue="1">
      <formula>AND(COUNTA(O3)=1,$E3=1,SUM($E3:$E4)=1)</formula>
    </cfRule>
    <cfRule type="expression" dxfId="11" priority="12" stopIfTrue="1">
      <formula>AND(COUNTA(O3)=1,$E3=0,SUM($E3:$E4)=1)</formula>
    </cfRule>
  </conditionalFormatting>
  <conditionalFormatting sqref="AL6 AL8 AL10 AL12 AL14 AL16 AL18 AL20 AL22 AL4">
    <cfRule type="expression" dxfId="10" priority="5" stopIfTrue="1">
      <formula>AND(COUNTA(AL4)=1,$E4=1,SUM($E3:$E4)=1)</formula>
    </cfRule>
    <cfRule type="expression" dxfId="9" priority="6" stopIfTrue="1">
      <formula>AND(COUNTA(AL4)=1,$E4=0,SUM($E3:$E4)=1)</formula>
    </cfRule>
  </conditionalFormatting>
  <conditionalFormatting sqref="AL5 AL7 AL9 AL11 AL13 AL15 AL17 AL19 AL21 AL3">
    <cfRule type="expression" dxfId="8" priority="7" stopIfTrue="1">
      <formula>AND(COUNTA(AL3)=1,$E3=1,SUM($E3:$E4)=1)</formula>
    </cfRule>
    <cfRule type="expression" dxfId="7" priority="8" stopIfTrue="1">
      <formula>AND(COUNTA(AL3)=1,$E3=0,SUM($E3:$E4)=1)</formula>
    </cfRule>
  </conditionalFormatting>
  <conditionalFormatting sqref="AV6 AV8 AV10 AV12 AV14 AV16 AV18 AV20 AV22 AV4">
    <cfRule type="expression" dxfId="6" priority="1" stopIfTrue="1">
      <formula>AND(COUNTA(AV4)=1,$E4=1,SUM($E3:$E4)=1)</formula>
    </cfRule>
    <cfRule type="expression" dxfId="5" priority="2" stopIfTrue="1">
      <formula>AND(COUNTA(AV4)=1,$E4=0,SUM($E3:$E4)=1)</formula>
    </cfRule>
  </conditionalFormatting>
  <conditionalFormatting sqref="AV5 AV7 AV9 AV11 AV13 AV15 AV17 AV19 AV21 AV3">
    <cfRule type="expression" dxfId="4" priority="3" stopIfTrue="1">
      <formula>AND(COUNTA(AV3)=1,$E3=1,SUM($E3:$E4)=1)</formula>
    </cfRule>
    <cfRule type="expression" dxfId="3" priority="4" stopIfTrue="1">
      <formula>AND(COUNTA(AV3)=1,$E3=0,SUM($E3:$E4)=1)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41"/>
  <dimension ref="A1:W34"/>
  <sheetViews>
    <sheetView workbookViewId="0">
      <selection activeCell="B3" sqref="B3"/>
    </sheetView>
  </sheetViews>
  <sheetFormatPr defaultRowHeight="12.75"/>
  <cols>
    <col min="3" max="3" width="10.28515625" bestFit="1" customWidth="1"/>
    <col min="4" max="4" width="3.28515625" bestFit="1" customWidth="1"/>
    <col min="5" max="23" width="3.28515625" customWidth="1"/>
  </cols>
  <sheetData>
    <row r="1" spans="1:23">
      <c r="A1" t="s">
        <v>133</v>
      </c>
    </row>
    <row r="2" spans="1:23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42"/>
  <dimension ref="A2:W202"/>
  <sheetViews>
    <sheetView workbookViewId="0">
      <selection activeCell="A4" sqref="A4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271</v>
      </c>
    </row>
    <row r="3" spans="1:23">
      <c r="B3" s="106">
        <f ca="1">SUM(B4:B14)</f>
        <v>20</v>
      </c>
      <c r="C3" s="106">
        <f t="shared" ref="C3:O3" ca="1" si="0">SUM(C4:C14)</f>
        <v>20</v>
      </c>
      <c r="D3" s="106">
        <f t="shared" ca="1" si="0"/>
        <v>19</v>
      </c>
      <c r="E3" s="106">
        <f t="shared" ca="1" si="0"/>
        <v>19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20</v>
      </c>
      <c r="O3" s="106">
        <f t="shared" ca="1" si="0"/>
        <v>258</v>
      </c>
      <c r="P3" s="2"/>
      <c r="Q3" s="2"/>
      <c r="R3" s="2"/>
      <c r="S3" s="2"/>
      <c r="T3" s="2"/>
      <c r="U3" s="2"/>
      <c r="V3" s="2"/>
      <c r="W3" s="2"/>
    </row>
    <row r="4" spans="1:23">
      <c r="A4" s="88" t="str">
        <f>A$19</f>
        <v>Atlantic Coast</v>
      </c>
      <c r="B4" s="86">
        <f t="shared" ref="B4:N14" ca="1" si="1">SUMIF($A$19:$A$201,$A4,B$19:B$201)</f>
        <v>4</v>
      </c>
      <c r="C4" s="86">
        <f t="shared" ca="1" si="1"/>
        <v>4</v>
      </c>
      <c r="D4" s="86">
        <f t="shared" ca="1" si="1"/>
        <v>4</v>
      </c>
      <c r="E4" s="86">
        <f t="shared" ca="1" si="1"/>
        <v>7</v>
      </c>
      <c r="F4" s="86">
        <f t="shared" ca="1" si="1"/>
        <v>5</v>
      </c>
      <c r="G4" s="86">
        <f t="shared" ca="1" si="1"/>
        <v>4</v>
      </c>
      <c r="H4" s="86">
        <f t="shared" ca="1" si="1"/>
        <v>4</v>
      </c>
      <c r="I4" s="86">
        <f t="shared" ca="1" si="1"/>
        <v>5</v>
      </c>
      <c r="J4" s="86">
        <f t="shared" ca="1" si="1"/>
        <v>8</v>
      </c>
      <c r="K4" s="86">
        <f t="shared" ca="1" si="1"/>
        <v>6</v>
      </c>
      <c r="L4" s="86">
        <f t="shared" ca="1" si="1"/>
        <v>4</v>
      </c>
      <c r="M4" s="86">
        <f t="shared" ca="1" si="1"/>
        <v>6</v>
      </c>
      <c r="N4" s="86">
        <f t="shared" ca="1" si="1"/>
        <v>5</v>
      </c>
      <c r="O4" s="92">
        <f t="shared" ref="O4:O14" ca="1" si="2">SUM(B4:N4)</f>
        <v>66</v>
      </c>
      <c r="P4" s="2"/>
      <c r="Q4" s="2"/>
      <c r="R4" s="2"/>
      <c r="S4" s="2"/>
      <c r="T4" s="2"/>
      <c r="U4" s="2"/>
      <c r="V4" s="2"/>
      <c r="W4" s="2"/>
    </row>
    <row r="5" spans="1:23">
      <c r="A5" s="88" t="str">
        <f>A$159</f>
        <v>Southeastern</v>
      </c>
      <c r="B5" s="86">
        <f t="shared" ca="1" si="1"/>
        <v>6</v>
      </c>
      <c r="C5" s="86">
        <f t="shared" ca="1" si="1"/>
        <v>1</v>
      </c>
      <c r="D5" s="86">
        <f t="shared" ca="1" si="1"/>
        <v>4</v>
      </c>
      <c r="E5" s="86">
        <f t="shared" ca="1" si="1"/>
        <v>6</v>
      </c>
      <c r="F5" s="86">
        <f t="shared" ca="1" si="1"/>
        <v>6</v>
      </c>
      <c r="G5" s="86">
        <f t="shared" ca="1" si="1"/>
        <v>10</v>
      </c>
      <c r="H5" s="86">
        <f t="shared" ca="1" si="1"/>
        <v>8</v>
      </c>
      <c r="I5" s="86">
        <f t="shared" ca="1" si="1"/>
        <v>4</v>
      </c>
      <c r="J5" s="86">
        <f t="shared" ca="1" si="1"/>
        <v>4</v>
      </c>
      <c r="K5" s="86">
        <f t="shared" ca="1" si="1"/>
        <v>6</v>
      </c>
      <c r="L5" s="86">
        <f t="shared" ca="1" si="1"/>
        <v>2</v>
      </c>
      <c r="M5" s="86">
        <f t="shared" ca="1" si="1"/>
        <v>8</v>
      </c>
      <c r="N5" s="86">
        <f t="shared" ca="1" si="1"/>
        <v>11</v>
      </c>
      <c r="O5" s="92">
        <f t="shared" ca="1" si="2"/>
        <v>76</v>
      </c>
    </row>
    <row r="6" spans="1:23">
      <c r="A6" s="88" t="str">
        <f>A$129</f>
        <v>Mountain West</v>
      </c>
      <c r="B6" s="86">
        <f t="shared" ca="1" si="1"/>
        <v>2</v>
      </c>
      <c r="C6" s="86">
        <f t="shared" ca="1" si="1"/>
        <v>4</v>
      </c>
      <c r="D6" s="86">
        <f t="shared" ca="1" si="1"/>
        <v>0</v>
      </c>
      <c r="E6" s="86">
        <f t="shared" ca="1" si="1"/>
        <v>0</v>
      </c>
      <c r="F6" s="86">
        <f t="shared" ca="1" si="1"/>
        <v>1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7</v>
      </c>
    </row>
    <row r="7" spans="1:23">
      <c r="A7" s="88" t="str">
        <f>A$66</f>
        <v>Big Ten</v>
      </c>
      <c r="B7" s="86">
        <f t="shared" ca="1" si="1"/>
        <v>3</v>
      </c>
      <c r="C7" s="86">
        <f t="shared" ca="1" si="1"/>
        <v>3</v>
      </c>
      <c r="D7" s="86">
        <f t="shared" ca="1" si="1"/>
        <v>3</v>
      </c>
      <c r="E7" s="86">
        <f t="shared" ca="1" si="1"/>
        <v>2</v>
      </c>
      <c r="F7" s="86">
        <f t="shared" ca="1" si="1"/>
        <v>2</v>
      </c>
      <c r="G7" s="86">
        <f t="shared" ca="1" si="1"/>
        <v>2</v>
      </c>
      <c r="H7" s="86">
        <f t="shared" ca="1" si="1"/>
        <v>0</v>
      </c>
      <c r="I7" s="86">
        <f t="shared" ca="1" si="1"/>
        <v>0</v>
      </c>
      <c r="J7" s="86">
        <f t="shared" ca="1" si="1"/>
        <v>2</v>
      </c>
      <c r="K7" s="86">
        <f t="shared" ca="1" si="1"/>
        <v>0</v>
      </c>
      <c r="L7" s="86">
        <f t="shared" ca="1" si="1"/>
        <v>4</v>
      </c>
      <c r="M7" s="86">
        <f t="shared" ca="1" si="1"/>
        <v>4</v>
      </c>
      <c r="N7" s="86">
        <f t="shared" ca="1" si="1"/>
        <v>2</v>
      </c>
      <c r="O7" s="92">
        <f t="shared" ca="1" si="2"/>
        <v>27</v>
      </c>
    </row>
    <row r="8" spans="1:23">
      <c r="A8" s="88" t="str">
        <f>A$144</f>
        <v>Pacific 12</v>
      </c>
      <c r="B8" s="86">
        <f t="shared" ca="1" si="1"/>
        <v>1</v>
      </c>
      <c r="C8" s="86">
        <f t="shared" ca="1" si="1"/>
        <v>3</v>
      </c>
      <c r="D8" s="86">
        <f t="shared" ca="1" si="1"/>
        <v>1</v>
      </c>
      <c r="E8" s="86">
        <f t="shared" ca="1" si="1"/>
        <v>0</v>
      </c>
      <c r="F8" s="86">
        <f t="shared" ca="1" si="1"/>
        <v>4</v>
      </c>
      <c r="G8" s="86">
        <f t="shared" ca="1" si="1"/>
        <v>1</v>
      </c>
      <c r="H8" s="86">
        <f t="shared" ca="1" si="1"/>
        <v>6</v>
      </c>
      <c r="I8" s="86">
        <f t="shared" ca="1" si="1"/>
        <v>4</v>
      </c>
      <c r="J8" s="86">
        <f t="shared" ca="1" si="1"/>
        <v>4</v>
      </c>
      <c r="K8" s="86">
        <f t="shared" ca="1" si="1"/>
        <v>6</v>
      </c>
      <c r="L8" s="86">
        <f t="shared" ca="1" si="1"/>
        <v>5</v>
      </c>
      <c r="M8" s="86">
        <f t="shared" ca="1" si="1"/>
        <v>2</v>
      </c>
      <c r="N8" s="86">
        <f t="shared" ca="1" si="1"/>
        <v>2</v>
      </c>
      <c r="O8" s="92">
        <f t="shared" ca="1" si="2"/>
        <v>39</v>
      </c>
    </row>
    <row r="9" spans="1:23">
      <c r="A9" s="88" t="str">
        <f>A$36</f>
        <v>Big 12</v>
      </c>
      <c r="B9" s="86">
        <f t="shared" ca="1" si="1"/>
        <v>2</v>
      </c>
      <c r="C9" s="86">
        <f t="shared" ca="1" si="1"/>
        <v>1</v>
      </c>
      <c r="D9" s="86">
        <f t="shared" ca="1" si="1"/>
        <v>4</v>
      </c>
      <c r="E9" s="86">
        <f t="shared" ca="1" si="1"/>
        <v>3</v>
      </c>
      <c r="F9" s="86">
        <f t="shared" ca="1" si="1"/>
        <v>2</v>
      </c>
      <c r="G9" s="86">
        <f t="shared" ca="1" si="1"/>
        <v>2</v>
      </c>
      <c r="H9" s="86">
        <f t="shared" ca="1" si="1"/>
        <v>2</v>
      </c>
      <c r="I9" s="86">
        <f t="shared" ca="1" si="1"/>
        <v>6</v>
      </c>
      <c r="J9" s="86">
        <f t="shared" ca="1" si="1"/>
        <v>2</v>
      </c>
      <c r="K9" s="86">
        <f t="shared" ca="1" si="1"/>
        <v>2</v>
      </c>
      <c r="L9" s="86">
        <f t="shared" ca="1" si="1"/>
        <v>4</v>
      </c>
      <c r="M9" s="86">
        <f t="shared" ca="1" si="1"/>
        <v>0</v>
      </c>
      <c r="N9" s="86">
        <f t="shared" ca="1" si="1"/>
        <v>0</v>
      </c>
      <c r="O9" s="92">
        <f t="shared" ca="1" si="2"/>
        <v>30</v>
      </c>
    </row>
    <row r="10" spans="1:23">
      <c r="A10" s="88" t="str">
        <f>A$99</f>
        <v>Independents</v>
      </c>
      <c r="B10" s="86">
        <f t="shared" ca="1" si="1"/>
        <v>1</v>
      </c>
      <c r="C10" s="86">
        <f t="shared" ca="1" si="1"/>
        <v>2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1</v>
      </c>
      <c r="M10" s="86">
        <f t="shared" ca="1" si="1"/>
        <v>0</v>
      </c>
      <c r="N10" s="86">
        <f t="shared" ca="1" si="1"/>
        <v>0</v>
      </c>
      <c r="O10" s="92">
        <f t="shared" ca="1" si="2"/>
        <v>6</v>
      </c>
    </row>
    <row r="11" spans="1:23">
      <c r="A11" s="88" t="str">
        <f>A$52</f>
        <v>American Athletic</v>
      </c>
      <c r="B11" s="86">
        <f t="shared" ca="1" si="1"/>
        <v>0</v>
      </c>
      <c r="C11" s="86">
        <f t="shared" ca="1" si="1"/>
        <v>2</v>
      </c>
      <c r="D11" s="86">
        <f t="shared" ca="1" si="1"/>
        <v>3</v>
      </c>
      <c r="E11" s="86">
        <f t="shared" ca="1" si="1"/>
        <v>1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>
      <c r="A13" s="88" t="str">
        <f>A$114</f>
        <v>Mid American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>
      <c r="A14" s="88" t="str">
        <f>A$178</f>
        <v>Sun Belt</v>
      </c>
      <c r="B14" s="86">
        <f t="shared" ca="1" si="1"/>
        <v>1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1</v>
      </c>
    </row>
    <row r="15" spans="1:23">
      <c r="O15"/>
    </row>
    <row r="19" spans="1:15" s="28" customFormat="1" ht="13.5" thickBot="1">
      <c r="A19" s="94" t="s">
        <v>184</v>
      </c>
      <c r="B19" s="89">
        <f ca="1">SUM(B20:B34)</f>
        <v>4</v>
      </c>
      <c r="C19" s="89">
        <f t="shared" ref="C19:N19" ca="1" si="3">SUM(C20:C34)</f>
        <v>4</v>
      </c>
      <c r="D19" s="89">
        <f t="shared" ca="1" si="3"/>
        <v>4</v>
      </c>
      <c r="E19" s="89">
        <f t="shared" ca="1" si="3"/>
        <v>7</v>
      </c>
      <c r="F19" s="89">
        <f t="shared" ca="1" si="3"/>
        <v>5</v>
      </c>
      <c r="G19" s="89">
        <f t="shared" ca="1" si="3"/>
        <v>4</v>
      </c>
      <c r="H19" s="89">
        <f t="shared" ca="1" si="3"/>
        <v>4</v>
      </c>
      <c r="I19" s="89">
        <f t="shared" ca="1" si="3"/>
        <v>5</v>
      </c>
      <c r="J19" s="89">
        <f t="shared" ca="1" si="3"/>
        <v>8</v>
      </c>
      <c r="K19" s="89">
        <f t="shared" ca="1" si="3"/>
        <v>6</v>
      </c>
      <c r="L19" s="89">
        <f t="shared" ca="1" si="3"/>
        <v>4</v>
      </c>
      <c r="M19" s="89">
        <f t="shared" ca="1" si="3"/>
        <v>6</v>
      </c>
      <c r="N19" s="89">
        <f t="shared" ca="1" si="3"/>
        <v>5</v>
      </c>
      <c r="O19" s="91"/>
    </row>
    <row r="20" spans="1:15">
      <c r="A20" s="95" t="s">
        <v>163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2">
        <f t="shared" ref="O20:O33" ca="1" si="4">SUM(B20:N20)</f>
        <v>9</v>
      </c>
    </row>
    <row r="21" spans="1:15">
      <c r="A21" s="95" t="s">
        <v>162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0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1</v>
      </c>
      <c r="O21" s="92">
        <f t="shared" ca="1" si="4"/>
        <v>6</v>
      </c>
    </row>
    <row r="22" spans="1:15">
      <c r="A22" s="95" t="s">
        <v>200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1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1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4</v>
      </c>
    </row>
    <row r="23" spans="1:15">
      <c r="A23" s="95" t="s">
        <v>151</v>
      </c>
      <c r="B23" s="86">
        <f ca="1">COUNTIF(INDIRECT(ADDRESS(3,2,1,,B$2)):INDIRECT(ADDRESS(22,2,1,,B$2)),$A23)</f>
        <v>0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1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0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4</v>
      </c>
    </row>
    <row r="24" spans="1:15">
      <c r="A24" s="95" t="s">
        <v>146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1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1</v>
      </c>
      <c r="N24" s="86">
        <f ca="1">COUNTIF(INDIRECT(ADDRESS(3,2,1,,N$2)):INDIRECT(ADDRESS(22,2,1,,N$2)),$A24)</f>
        <v>1</v>
      </c>
      <c r="O24" s="92">
        <f t="shared" ca="1" si="4"/>
        <v>9</v>
      </c>
    </row>
    <row r="25" spans="1:15">
      <c r="A25" s="95" t="s">
        <v>164</v>
      </c>
      <c r="B25" s="86">
        <f ca="1">COUNTIF(INDIRECT(ADDRESS(3,2,1,,B$2)):INDIRECT(ADDRESS(22,2,1,,B$2)),$A25)</f>
        <v>1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1</v>
      </c>
      <c r="N25" s="86">
        <f ca="1">COUNTIF(INDIRECT(ADDRESS(3,2,1,,N$2)):INDIRECT(ADDRESS(22,2,1,,N$2)),$A25)</f>
        <v>0</v>
      </c>
      <c r="O25" s="92">
        <f t="shared" ca="1" si="4"/>
        <v>6</v>
      </c>
    </row>
    <row r="26" spans="1:15">
      <c r="A26" s="95" t="s">
        <v>174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1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1</v>
      </c>
      <c r="N26" s="86">
        <f ca="1">COUNTIF(INDIRECT(ADDRESS(3,2,1,,N$2)):INDIRECT(ADDRESS(22,2,1,,N$2)),$A26)</f>
        <v>0</v>
      </c>
      <c r="O26" s="92">
        <f t="shared" ca="1" si="4"/>
        <v>5</v>
      </c>
    </row>
    <row r="27" spans="1:15">
      <c r="A27" s="95" t="s">
        <v>171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4</v>
      </c>
    </row>
    <row r="28" spans="1:15">
      <c r="A28" s="95" t="s">
        <v>153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1</v>
      </c>
    </row>
    <row r="29" spans="1:15">
      <c r="A29" s="95" t="s">
        <v>187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1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1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2">
        <f t="shared" ca="1" si="4"/>
        <v>5</v>
      </c>
    </row>
    <row r="30" spans="1:15">
      <c r="A30" s="95" t="s">
        <v>199</v>
      </c>
      <c r="B30" s="86">
        <f ca="1">COUNTIF(INDIRECT(ADDRESS(3,2,1,,B$2)):INDIRECT(ADDRESS(22,2,1,,B$2)),$A30)</f>
        <v>1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1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1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1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5</v>
      </c>
    </row>
    <row r="31" spans="1:15">
      <c r="A31" s="95" t="s">
        <v>176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1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4</v>
      </c>
    </row>
    <row r="32" spans="1:15">
      <c r="A32" s="95" t="s">
        <v>188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1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4</v>
      </c>
    </row>
    <row r="33" spans="1:23">
      <c r="A33" s="95" t="s">
        <v>150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>
      <c r="A36" s="94" t="s">
        <v>185</v>
      </c>
      <c r="B36" s="89">
        <f t="shared" ref="B36:N36" ca="1" si="5">SUM(B37:B49)</f>
        <v>2</v>
      </c>
      <c r="C36" s="89">
        <f t="shared" ca="1" si="5"/>
        <v>1</v>
      </c>
      <c r="D36" s="89">
        <f t="shared" ca="1" si="5"/>
        <v>4</v>
      </c>
      <c r="E36" s="89">
        <f t="shared" ca="1" si="5"/>
        <v>3</v>
      </c>
      <c r="F36" s="89">
        <f t="shared" ca="1" si="5"/>
        <v>2</v>
      </c>
      <c r="G36" s="89">
        <f t="shared" ca="1" si="5"/>
        <v>2</v>
      </c>
      <c r="H36" s="89">
        <f t="shared" ca="1" si="5"/>
        <v>2</v>
      </c>
      <c r="I36" s="89">
        <f t="shared" ca="1" si="5"/>
        <v>6</v>
      </c>
      <c r="J36" s="89">
        <f t="shared" ca="1" si="5"/>
        <v>2</v>
      </c>
      <c r="K36" s="89">
        <f t="shared" ca="1" si="5"/>
        <v>2</v>
      </c>
      <c r="L36" s="89">
        <f t="shared" ca="1" si="5"/>
        <v>4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>
      <c r="A37" s="95" t="s">
        <v>154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1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3</v>
      </c>
    </row>
    <row r="38" spans="1:23">
      <c r="A38" s="95" t="s">
        <v>194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1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0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>
      <c r="A39" s="95" t="s">
        <v>202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1</v>
      </c>
      <c r="E39" s="86">
        <f ca="1">COUNTIF(INDIRECT(ADDRESS(3,2,1,,E$2)):INDIRECT(ADDRESS(22,2,1,,E$2)),$A39)</f>
        <v>1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1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6</v>
      </c>
    </row>
    <row r="40" spans="1:23">
      <c r="A40" s="95" t="s">
        <v>241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1</v>
      </c>
      <c r="H40" s="86">
        <f ca="1">COUNTIF(INDIRECT(ADDRESS(3,2,1,,H$2)):INDIRECT(ADDRESS(22,2,1,,H$2)),$A40)</f>
        <v>1</v>
      </c>
      <c r="I40" s="86">
        <f ca="1">COUNTIF(INDIRECT(ADDRESS(3,2,1,,I$2)):INDIRECT(ADDRESS(22,2,1,,I$2)),$A40)</f>
        <v>1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1</v>
      </c>
      <c r="L40" s="86">
        <f ca="1">COUNTIF(INDIRECT(ADDRESS(3,2,1,,L$2)):INDIRECT(ADDRESS(22,2,1,,L$2)),$A40)</f>
        <v>1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5</v>
      </c>
    </row>
    <row r="41" spans="1:23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1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1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3</v>
      </c>
    </row>
    <row r="42" spans="1:23">
      <c r="A42" s="95" t="s">
        <v>189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1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1</v>
      </c>
    </row>
    <row r="43" spans="1:23">
      <c r="A43" s="95" t="s">
        <v>190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1</v>
      </c>
    </row>
    <row r="44" spans="1:23">
      <c r="A44" s="95" t="s">
        <v>158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1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1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3</v>
      </c>
    </row>
    <row r="45" spans="1:23">
      <c r="A45" s="95" t="s">
        <v>165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1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1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1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1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4</v>
      </c>
    </row>
    <row r="46" spans="1:23">
      <c r="A46" s="95" t="s">
        <v>196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1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1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94" t="s">
        <v>291</v>
      </c>
      <c r="B52" s="89">
        <f t="shared" ref="B52:N52" ca="1" si="7">SUM(B53:B64)</f>
        <v>0</v>
      </c>
      <c r="C52" s="89">
        <f t="shared" ca="1" si="7"/>
        <v>2</v>
      </c>
      <c r="D52" s="89">
        <f t="shared" ca="1" si="7"/>
        <v>3</v>
      </c>
      <c r="E52" s="89">
        <f t="shared" ca="1" si="7"/>
        <v>1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>
      <c r="A53" s="95" t="s">
        <v>220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1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>
      <c r="A54" s="95" t="s">
        <v>172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1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1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3</v>
      </c>
    </row>
    <row r="55" spans="1:15">
      <c r="A55" s="95" t="s">
        <v>197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>
      <c r="A56" s="95" t="s">
        <v>198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>
      <c r="A57" s="95" t="s">
        <v>217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>
      <c r="A58" s="95" t="s">
        <v>216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>
      <c r="A59" s="95" t="s">
        <v>221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>
      <c r="A60" s="95" t="s">
        <v>173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1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1</v>
      </c>
    </row>
    <row r="61" spans="1:15">
      <c r="A61" s="95" t="s">
        <v>219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>
      <c r="A62" s="95" t="s">
        <v>231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>
      <c r="A63" s="95" t="s">
        <v>214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1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1</v>
      </c>
    </row>
    <row r="66" spans="1:15" s="28" customFormat="1" ht="13.5" thickBot="1">
      <c r="A66" s="94" t="s">
        <v>177</v>
      </c>
      <c r="B66" s="89">
        <f t="shared" ref="B66:N66" ca="1" si="9">SUM(B67:B79)</f>
        <v>3</v>
      </c>
      <c r="C66" s="89">
        <f t="shared" ca="1" si="9"/>
        <v>3</v>
      </c>
      <c r="D66" s="89">
        <f t="shared" ca="1" si="9"/>
        <v>3</v>
      </c>
      <c r="E66" s="89">
        <f t="shared" ca="1" si="9"/>
        <v>2</v>
      </c>
      <c r="F66" s="89">
        <f t="shared" ca="1" si="9"/>
        <v>2</v>
      </c>
      <c r="G66" s="89">
        <f t="shared" ca="1" si="9"/>
        <v>2</v>
      </c>
      <c r="H66" s="89">
        <f t="shared" ca="1" si="9"/>
        <v>0</v>
      </c>
      <c r="I66" s="89">
        <f t="shared" ca="1" si="9"/>
        <v>0</v>
      </c>
      <c r="J66" s="89">
        <f t="shared" ca="1" si="9"/>
        <v>2</v>
      </c>
      <c r="K66" s="89">
        <f t="shared" ca="1" si="9"/>
        <v>0</v>
      </c>
      <c r="L66" s="89">
        <f t="shared" ca="1" si="9"/>
        <v>4</v>
      </c>
      <c r="M66" s="89">
        <f t="shared" ca="1" si="9"/>
        <v>4</v>
      </c>
      <c r="N66" s="89">
        <f t="shared" ca="1" si="9"/>
        <v>2</v>
      </c>
      <c r="O66" s="91"/>
    </row>
    <row r="67" spans="1:15">
      <c r="A67" s="95" t="s">
        <v>169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3</v>
      </c>
    </row>
    <row r="68" spans="1:15">
      <c r="A68" s="95" t="s">
        <v>209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>
      <c r="A69" s="95" t="s">
        <v>206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1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3</v>
      </c>
    </row>
    <row r="70" spans="1:15">
      <c r="A70" s="95" t="s">
        <v>212</v>
      </c>
      <c r="B70" s="86">
        <f ca="1">COUNTIF(INDIRECT(ADDRESS(3,2,1,,B$2)):INDIRECT(ADDRESS(22,2,1,,B$2)),$A70)</f>
        <v>1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1</v>
      </c>
      <c r="O70" s="92">
        <f t="shared" ca="1" si="10"/>
        <v>3</v>
      </c>
    </row>
    <row r="71" spans="1:15">
      <c r="A71" s="95" t="s">
        <v>208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>
      <c r="A72" s="95" t="s">
        <v>210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1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1</v>
      </c>
      <c r="K72" s="86">
        <f ca="1">COUNTIF(INDIRECT(ADDRESS(3,2,1,,K$2)):INDIRECT(ADDRESS(22,2,1,,K$2)),$A72)</f>
        <v>0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2</v>
      </c>
    </row>
    <row r="73" spans="1:15">
      <c r="A73" s="95" t="s">
        <v>203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>
      <c r="A74" s="95" t="s">
        <v>204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>
      <c r="A75" s="95" t="s">
        <v>205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1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>
      <c r="A76" s="95" t="s">
        <v>207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1</v>
      </c>
      <c r="M76" s="86">
        <f ca="1">COUNTIF(INDIRECT(ADDRESS(3,2,1,,M$2)):INDIRECT(ADDRESS(22,2,1,,M$2)),$A76)</f>
        <v>1</v>
      </c>
      <c r="N76" s="86">
        <f ca="1">COUNTIF(INDIRECT(ADDRESS(3,2,1,,N$2)):INDIRECT(ADDRESS(22,2,1,,N$2)),$A76)</f>
        <v>1</v>
      </c>
      <c r="O76" s="92">
        <f t="shared" ca="1" si="10"/>
        <v>4</v>
      </c>
    </row>
    <row r="77" spans="1:15">
      <c r="A77" s="95" t="s">
        <v>192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1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1</v>
      </c>
      <c r="N77" s="86">
        <f ca="1">COUNTIF(INDIRECT(ADDRESS(3,2,1,,N$2)):INDIRECT(ADDRESS(22,2,1,,N$2)),$A77)</f>
        <v>0</v>
      </c>
      <c r="O77" s="92">
        <f t="shared" ca="1" si="10"/>
        <v>3</v>
      </c>
    </row>
    <row r="78" spans="1:15">
      <c r="A78" s="95" t="s">
        <v>211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>
      <c r="A79" s="95" t="s">
        <v>186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1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0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>
      <c r="A80" s="95" t="s">
        <v>201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1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1</v>
      </c>
    </row>
    <row r="82" spans="1:15" s="28" customFormat="1" ht="13.5" thickBot="1">
      <c r="A82" s="94" t="s">
        <v>178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>
      <c r="A83" s="95" t="s">
        <v>257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>
      <c r="A84" s="95" t="s">
        <v>258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>
      <c r="A85" s="95" t="s">
        <v>266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>
      <c r="A86" s="95" t="s">
        <v>215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>
      <c r="A87" s="95" t="s">
        <v>260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>
      <c r="A88" s="95" t="s">
        <v>261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>
      <c r="A89" s="95" t="s">
        <v>293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>
      <c r="A90" s="95" t="s">
        <v>218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>
      <c r="A91" s="95" t="s">
        <v>170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>
      <c r="A92" s="95" t="s">
        <v>292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>
      <c r="A93" s="95" t="s">
        <v>290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>
      <c r="A94" s="95" t="s">
        <v>224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>
      <c r="A95" s="95" t="s">
        <v>213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>
      <c r="A99" s="94" t="s">
        <v>179</v>
      </c>
      <c r="B99" s="89">
        <f t="shared" ref="B99:N99" ca="1" si="13">SUM(B100:B112)</f>
        <v>1</v>
      </c>
      <c r="C99" s="89">
        <f t="shared" ca="1" si="13"/>
        <v>2</v>
      </c>
      <c r="D99" s="89">
        <f t="shared" ca="1" si="13"/>
        <v>0</v>
      </c>
      <c r="E99" s="89">
        <f t="shared" ca="1" si="13"/>
        <v>0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1</v>
      </c>
      <c r="J99" s="89">
        <f t="shared" ca="1" si="13"/>
        <v>0</v>
      </c>
      <c r="K99" s="89">
        <f t="shared" ca="1" si="13"/>
        <v>0</v>
      </c>
      <c r="L99" s="89">
        <f t="shared" ca="1" si="13"/>
        <v>1</v>
      </c>
      <c r="M99" s="89">
        <f t="shared" ca="1" si="13"/>
        <v>0</v>
      </c>
      <c r="N99" s="89">
        <f t="shared" ca="1" si="13"/>
        <v>0</v>
      </c>
      <c r="O99" s="91"/>
    </row>
    <row r="100" spans="1:15">
      <c r="A100" s="95" t="s">
        <v>280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1</v>
      </c>
    </row>
    <row r="101" spans="1:15">
      <c r="A101" s="95" t="s">
        <v>223</v>
      </c>
      <c r="B101" s="86">
        <f ca="1">COUNTIF(INDIRECT(ADDRESS(3,2,1,,B$2)):INDIRECT(ADDRESS(22,2,1,,B$2)),$A101)</f>
        <v>1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>
      <c r="A102" s="95" t="s">
        <v>147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1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4</v>
      </c>
    </row>
    <row r="103" spans="1:15">
      <c r="A103" s="95" t="s">
        <v>222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>
      <c r="A114" s="94" t="s">
        <v>180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>
      <c r="A115" s="95" t="s">
        <v>225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>
      <c r="A116" s="95" t="s">
        <v>232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>
      <c r="A117" s="95" t="s">
        <v>226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>
      <c r="A118" s="95" t="s">
        <v>227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>
      <c r="A119" s="95" t="s">
        <v>233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>
      <c r="A120" s="95" t="s">
        <v>234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>
      <c r="A121" s="95" t="s">
        <v>228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>
      <c r="A122" s="95" t="s">
        <v>289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>
      <c r="A123" s="95" t="s">
        <v>229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>
      <c r="A124" s="95" t="s">
        <v>235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>
      <c r="A125" s="95" t="s">
        <v>230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>
      <c r="A126" s="95" t="s">
        <v>236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>
      <c r="A127" s="95" t="s">
        <v>237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>
      <c r="A129" s="94" t="s">
        <v>181</v>
      </c>
      <c r="B129" s="89">
        <f t="shared" ref="B129:N129" ca="1" si="16">SUM(B130:B142)</f>
        <v>2</v>
      </c>
      <c r="C129" s="89">
        <f t="shared" ca="1" si="16"/>
        <v>4</v>
      </c>
      <c r="D129" s="89">
        <f t="shared" ca="1" si="16"/>
        <v>0</v>
      </c>
      <c r="E129" s="89">
        <f t="shared" ca="1" si="16"/>
        <v>0</v>
      </c>
      <c r="F129" s="89">
        <f t="shared" ca="1" si="16"/>
        <v>1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>
      <c r="A130" s="95" t="s">
        <v>175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1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2</v>
      </c>
    </row>
    <row r="131" spans="1:15">
      <c r="A131" s="95" t="s">
        <v>148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1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1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3</v>
      </c>
    </row>
    <row r="132" spans="1:15">
      <c r="A132" s="95" t="s">
        <v>238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1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>
      <c r="A133" s="95" t="s">
        <v>244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1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1</v>
      </c>
    </row>
    <row r="134" spans="1:15">
      <c r="A134" s="95" t="s">
        <v>270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>
      <c r="A135" s="95" t="s">
        <v>263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>
      <c r="A136" s="95" t="s">
        <v>264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>
      <c r="A137" s="95" t="s">
        <v>267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>
      <c r="A138" s="95" t="s">
        <v>239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>
      <c r="A139" s="95" t="s">
        <v>240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>
      <c r="A140" s="95" t="s">
        <v>269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>
      <c r="A141" s="95" t="s">
        <v>242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>
      <c r="A144" s="94" t="s">
        <v>283</v>
      </c>
      <c r="B144" s="89">
        <f t="shared" ref="B144:N144" ca="1" si="18">SUM(B145:B157)</f>
        <v>1</v>
      </c>
      <c r="C144" s="89">
        <f t="shared" ca="1" si="18"/>
        <v>3</v>
      </c>
      <c r="D144" s="89">
        <f t="shared" ca="1" si="18"/>
        <v>1</v>
      </c>
      <c r="E144" s="89">
        <f t="shared" ca="1" si="18"/>
        <v>0</v>
      </c>
      <c r="F144" s="89">
        <f t="shared" ca="1" si="18"/>
        <v>4</v>
      </c>
      <c r="G144" s="89">
        <f t="shared" ca="1" si="18"/>
        <v>1</v>
      </c>
      <c r="H144" s="89">
        <f t="shared" ca="1" si="18"/>
        <v>6</v>
      </c>
      <c r="I144" s="89">
        <f t="shared" ca="1" si="18"/>
        <v>4</v>
      </c>
      <c r="J144" s="89">
        <f t="shared" ca="1" si="18"/>
        <v>4</v>
      </c>
      <c r="K144" s="89">
        <f t="shared" ca="1" si="18"/>
        <v>6</v>
      </c>
      <c r="L144" s="89">
        <f t="shared" ca="1" si="18"/>
        <v>5</v>
      </c>
      <c r="M144" s="89">
        <f t="shared" ca="1" si="18"/>
        <v>2</v>
      </c>
      <c r="N144" s="89">
        <f t="shared" ca="1" si="18"/>
        <v>2</v>
      </c>
      <c r="O144" s="91"/>
    </row>
    <row r="145" spans="1:15">
      <c r="A145" s="95" t="s">
        <v>149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1</v>
      </c>
    </row>
    <row r="146" spans="1:15">
      <c r="A146" s="95" t="s">
        <v>168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1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1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>
      <c r="A147" s="95" t="s">
        <v>248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1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0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1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3</v>
      </c>
    </row>
    <row r="148" spans="1:15">
      <c r="A148" s="95" t="s">
        <v>249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1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1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5</v>
      </c>
    </row>
    <row r="149" spans="1:15">
      <c r="A149" s="95" t="s">
        <v>161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>
      <c r="A150" s="95" t="s">
        <v>243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1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>
      <c r="A151" s="95" t="s">
        <v>152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3</v>
      </c>
    </row>
    <row r="152" spans="1:15">
      <c r="A152" s="95" t="s">
        <v>246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1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4</v>
      </c>
    </row>
    <row r="153" spans="1:15">
      <c r="A153" s="95" t="s">
        <v>245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1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1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1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1</v>
      </c>
      <c r="N153" s="86">
        <f ca="1">COUNTIF(INDIRECT(ADDRESS(3,2,1,,N$2)):INDIRECT(ADDRESS(22,2,1,,N$2)),$A153)</f>
        <v>1</v>
      </c>
      <c r="O153" s="92">
        <f t="shared" ca="1" si="19"/>
        <v>6</v>
      </c>
    </row>
    <row r="154" spans="1:15">
      <c r="A154" s="95" t="s">
        <v>247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1</v>
      </c>
      <c r="N154" s="86">
        <f ca="1">COUNTIF(INDIRECT(ADDRESS(3,2,1,,N$2)):INDIRECT(ADDRESS(22,2,1,,N$2)),$A154)</f>
        <v>0</v>
      </c>
      <c r="O154" s="92">
        <f t="shared" ca="1" si="19"/>
        <v>1</v>
      </c>
    </row>
    <row r="155" spans="1:15">
      <c r="A155" s="95" t="s">
        <v>250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1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1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1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6</v>
      </c>
    </row>
    <row r="156" spans="1:15">
      <c r="A156" s="95" t="s">
        <v>251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1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1</v>
      </c>
    </row>
    <row r="159" spans="1:15" s="28" customFormat="1" ht="13.5" thickBot="1">
      <c r="A159" s="94" t="s">
        <v>182</v>
      </c>
      <c r="B159" s="89">
        <f t="shared" ref="B159:N159" ca="1" si="20">SUM(B160:B172)</f>
        <v>6</v>
      </c>
      <c r="C159" s="89">
        <f t="shared" ca="1" si="20"/>
        <v>1</v>
      </c>
      <c r="D159" s="89">
        <f ca="1">SUM(D160:D173)</f>
        <v>4</v>
      </c>
      <c r="E159" s="89">
        <f t="shared" ca="1" si="20"/>
        <v>6</v>
      </c>
      <c r="F159" s="89">
        <f t="shared" ca="1" si="20"/>
        <v>6</v>
      </c>
      <c r="G159" s="89">
        <f t="shared" ca="1" si="20"/>
        <v>10</v>
      </c>
      <c r="H159" s="89">
        <f t="shared" ca="1" si="20"/>
        <v>8</v>
      </c>
      <c r="I159" s="89">
        <f t="shared" ca="1" si="20"/>
        <v>4</v>
      </c>
      <c r="J159" s="89">
        <f t="shared" ca="1" si="20"/>
        <v>4</v>
      </c>
      <c r="K159" s="89">
        <f t="shared" ca="1" si="20"/>
        <v>6</v>
      </c>
      <c r="L159" s="89">
        <f t="shared" ca="1" si="20"/>
        <v>2</v>
      </c>
      <c r="M159" s="89">
        <f t="shared" ca="1" si="20"/>
        <v>8</v>
      </c>
      <c r="N159" s="89">
        <f t="shared" ca="1" si="20"/>
        <v>11</v>
      </c>
      <c r="O159" s="91"/>
    </row>
    <row r="160" spans="1:15">
      <c r="A160" s="95" t="s">
        <v>157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1</v>
      </c>
      <c r="O160" s="92">
        <f t="shared" ref="O160:O173" ca="1" si="21">SUM(B160:N160)</f>
        <v>10</v>
      </c>
    </row>
    <row r="161" spans="1:15">
      <c r="A161" s="95" t="s">
        <v>155</v>
      </c>
      <c r="B161" s="86">
        <f ca="1">COUNTIF(INDIRECT(ADDRESS(3,2,1,,B$2)):INDIRECT(ADDRESS(22,2,1,,B$2)),$A161)</f>
        <v>1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1</v>
      </c>
      <c r="N161" s="86">
        <f ca="1">COUNTIF(INDIRECT(ADDRESS(3,2,1,,N$2)):INDIRECT(ADDRESS(22,2,1,,N$2)),$A161)</f>
        <v>1</v>
      </c>
      <c r="O161" s="92">
        <f t="shared" ca="1" si="21"/>
        <v>8</v>
      </c>
    </row>
    <row r="162" spans="1:15">
      <c r="A162" s="95" t="s">
        <v>144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0</v>
      </c>
      <c r="E162" s="86">
        <f ca="1">COUNTIF(INDIRECT(ADDRESS(3,2,1,,E$2)):INDIRECT(ADDRESS(22,2,1,,E$2)),$A162)</f>
        <v>1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0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0</v>
      </c>
      <c r="L162" s="86">
        <f ca="1">COUNTIF(INDIRECT(ADDRESS(3,2,1,,L$2)):INDIRECT(ADDRESS(22,2,1,,L$2)),$A162)</f>
        <v>1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2">
        <f t="shared" ca="1" si="21"/>
        <v>7</v>
      </c>
    </row>
    <row r="163" spans="1:15">
      <c r="A163" s="95" t="s">
        <v>166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1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1</v>
      </c>
      <c r="O163" s="92">
        <f t="shared" ca="1" si="21"/>
        <v>8</v>
      </c>
    </row>
    <row r="164" spans="1:15">
      <c r="A164" s="95" t="s">
        <v>255</v>
      </c>
      <c r="B164" s="86">
        <f ca="1">COUNTIF(INDIRECT(ADDRESS(3,2,1,,B$2)):INDIRECT(ADDRESS(22,2,1,,B$2)),$A164)</f>
        <v>1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1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1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6</v>
      </c>
    </row>
    <row r="165" spans="1:15">
      <c r="A165" s="95" t="s">
        <v>195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1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6</v>
      </c>
    </row>
    <row r="166" spans="1:15">
      <c r="A166" s="95" t="s">
        <v>145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0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0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5</v>
      </c>
    </row>
    <row r="167" spans="1:15">
      <c r="A167" s="95" t="s">
        <v>254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1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1</v>
      </c>
      <c r="O167" s="92">
        <f t="shared" ca="1" si="21"/>
        <v>6</v>
      </c>
    </row>
    <row r="168" spans="1:15">
      <c r="A168" s="95" t="s">
        <v>159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1</v>
      </c>
      <c r="O168" s="92">
        <f t="shared" ca="1" si="21"/>
        <v>7</v>
      </c>
    </row>
    <row r="169" spans="1:15">
      <c r="A169" s="95" t="s">
        <v>252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0</v>
      </c>
      <c r="K169" s="86">
        <f ca="1">COUNTIF(INDIRECT(ADDRESS(3,2,1,,K$2)):INDIRECT(ADDRESS(22,2,1,,K$2)),$A169)</f>
        <v>1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1</v>
      </c>
      <c r="O169" s="92">
        <f t="shared" ca="1" si="21"/>
        <v>5</v>
      </c>
    </row>
    <row r="170" spans="1:15">
      <c r="A170" s="95" t="s">
        <v>253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0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1</v>
      </c>
    </row>
    <row r="171" spans="1:15">
      <c r="A171" s="95" t="s">
        <v>191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1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1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1</v>
      </c>
      <c r="O171" s="92">
        <f t="shared" ca="1" si="21"/>
        <v>4</v>
      </c>
    </row>
    <row r="172" spans="1:15">
      <c r="A172" s="95" t="s">
        <v>160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3</v>
      </c>
    </row>
    <row r="173" spans="1:15">
      <c r="A173" s="95" t="s">
        <v>167</v>
      </c>
      <c r="B173" s="86">
        <f ca="1">COUNTIF(INDIRECT(ADDRESS(3,2,1,,B$2)):INDIRECT(ADDRESS(22,2,1,,B$2)),$A173)</f>
        <v>0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1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/>
    <row r="178" spans="1:15" ht="13.5" thickBot="1">
      <c r="A178" s="94" t="s">
        <v>183</v>
      </c>
      <c r="B178" s="89">
        <f t="shared" ref="B178:N178" ca="1" si="22">SUM(B179:B191)</f>
        <v>1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>
      <c r="A179" s="95" t="s">
        <v>382</v>
      </c>
      <c r="B179" s="86">
        <f ca="1">COUNTIF(INDIRECT(ADDRESS(3,2,1,,B$2)):INDIRECT(ADDRESS(22,2,1,,B$2)),$A179)</f>
        <v>1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1</v>
      </c>
    </row>
    <row r="180" spans="1:15">
      <c r="A180" s="95" t="s">
        <v>256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>
      <c r="A181" s="95" t="s">
        <v>383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>
      <c r="A182" s="95" t="s">
        <v>294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>
      <c r="A183" s="95" t="s">
        <v>265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>
      <c r="A184" s="95" t="s">
        <v>259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>
      <c r="A185" s="95" t="s">
        <v>268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>
      <c r="A186" s="95" t="s">
        <v>276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>
      <c r="A187" s="95" t="s">
        <v>295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>
      <c r="A188" s="95" t="s">
        <v>262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>
      <c r="A189" s="95" t="s">
        <v>156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44"/>
  <dimension ref="A2:W202"/>
  <sheetViews>
    <sheetView workbookViewId="0">
      <selection activeCell="A26" sqref="A26"/>
    </sheetView>
  </sheetViews>
  <sheetFormatPr defaultRowHeight="12.75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271</v>
      </c>
    </row>
    <row r="3" spans="1:23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2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1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4</v>
      </c>
      <c r="P3" s="2"/>
      <c r="Q3" s="2"/>
      <c r="R3" s="2"/>
      <c r="S3" s="2"/>
      <c r="T3" s="2"/>
      <c r="U3" s="2"/>
      <c r="V3" s="2"/>
      <c r="W3" s="2"/>
    </row>
    <row r="4" spans="1:23">
      <c r="A4" s="102" t="str">
        <f>A$159</f>
        <v>Southeastern</v>
      </c>
      <c r="B4" s="103">
        <f t="shared" ca="1" si="0"/>
        <v>1</v>
      </c>
      <c r="C4" s="103">
        <f t="shared" ca="1" si="0"/>
        <v>0</v>
      </c>
      <c r="D4" s="103">
        <f t="shared" ca="1" si="0"/>
        <v>2</v>
      </c>
      <c r="E4" s="103">
        <f t="shared" ca="1" si="0"/>
        <v>0</v>
      </c>
      <c r="F4" s="103">
        <f t="shared" ca="1" si="0"/>
        <v>2</v>
      </c>
      <c r="G4" s="103">
        <f t="shared" ca="1" si="0"/>
        <v>2</v>
      </c>
      <c r="H4" s="103">
        <f t="shared" ca="1" si="0"/>
        <v>2</v>
      </c>
      <c r="I4" s="103">
        <f t="shared" ca="1" si="0"/>
        <v>0</v>
      </c>
      <c r="J4" s="103">
        <f t="shared" ca="1" si="0"/>
        <v>2</v>
      </c>
      <c r="K4" s="103">
        <f t="shared" ca="1" si="0"/>
        <v>0</v>
      </c>
      <c r="L4" s="103">
        <f t="shared" ca="1" si="0"/>
        <v>0</v>
      </c>
      <c r="M4" s="103">
        <f t="shared" ca="1" si="0"/>
        <v>2</v>
      </c>
      <c r="N4" s="103">
        <f t="shared" ca="1" si="0"/>
        <v>0</v>
      </c>
      <c r="O4" s="92">
        <f t="shared" ca="1" si="1"/>
        <v>13</v>
      </c>
    </row>
    <row r="5" spans="1:23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2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2</v>
      </c>
    </row>
    <row r="7" spans="1:23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0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2</v>
      </c>
      <c r="M7" s="103">
        <f t="shared" ca="1" si="0"/>
        <v>0</v>
      </c>
      <c r="N7" s="103">
        <f t="shared" ca="1" si="0"/>
        <v>2</v>
      </c>
      <c r="O7" s="92">
        <f t="shared" ca="1" si="1"/>
        <v>4</v>
      </c>
    </row>
    <row r="8" spans="1:23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1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1</v>
      </c>
    </row>
    <row r="10" spans="1:23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>
      <c r="A12" s="102" t="str">
        <f>A$144</f>
        <v>Pacific 12</v>
      </c>
      <c r="B12" s="103">
        <f t="shared" ca="1" si="0"/>
        <v>0</v>
      </c>
      <c r="C12" s="103">
        <f t="shared" ca="1" si="0"/>
        <v>2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2</v>
      </c>
    </row>
    <row r="13" spans="1:23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>
      <c r="O15"/>
    </row>
    <row r="19" spans="1:15" s="28" customFormat="1" ht="13.5" thickBot="1">
      <c r="A19" s="104" t="s">
        <v>184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2</v>
      </c>
      <c r="F19" s="100">
        <f t="shared" ca="1" si="3"/>
        <v>0</v>
      </c>
      <c r="G19" s="100">
        <f t="shared" ca="1" si="3"/>
        <v>0</v>
      </c>
      <c r="H19" s="100">
        <f t="shared" ca="1" si="3"/>
        <v>0</v>
      </c>
      <c r="I19" s="100">
        <f t="shared" ca="1" si="3"/>
        <v>1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>
      <c r="A20" s="105" t="s">
        <v>163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1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>
      <c r="A21" s="105" t="s">
        <v>151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>
      <c r="A22" s="105" t="s">
        <v>187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>
      <c r="A23" s="105" t="s">
        <v>162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1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1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>
      <c r="A24" s="105" t="s">
        <v>146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>
      <c r="A25" s="105" t="s">
        <v>199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>
      <c r="A26" s="105" t="s">
        <v>164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>
      <c r="A27" s="105" t="s">
        <v>176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>
      <c r="A28" s="105" t="s">
        <v>171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>
      <c r="A29" s="105" t="s">
        <v>200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>
      <c r="A30" s="105" t="s">
        <v>153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>
      <c r="A31" s="105" t="s">
        <v>188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>
      <c r="A32" s="105" t="s">
        <v>174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>
      <c r="A33" s="105" t="s">
        <v>150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>
      <c r="A36" s="104" t="s">
        <v>185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2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>
      <c r="A37" s="105" t="s">
        <v>193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>
      <c r="A38" s="105" t="s">
        <v>189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>
      <c r="A39" s="105" t="s">
        <v>190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>
      <c r="A40" s="105" t="s">
        <v>158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>
      <c r="A41" s="105" t="s">
        <v>165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>
      <c r="A42" s="105" t="s">
        <v>154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>
      <c r="A43" s="105" t="s">
        <v>241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1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1</v>
      </c>
    </row>
    <row r="44" spans="1:23">
      <c r="A44" s="105" t="s">
        <v>194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>
      <c r="A45" s="105" t="s">
        <v>196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>
      <c r="A46" s="105" t="s">
        <v>202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1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1</v>
      </c>
    </row>
    <row r="47" spans="1:23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>
      <c r="A52" s="104" t="s">
        <v>291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>
      <c r="A53" s="105" t="s">
        <v>197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>
      <c r="A54" s="105" t="s">
        <v>198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>
      <c r="A55" s="105" t="s">
        <v>217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>
      <c r="A56" s="105" t="s">
        <v>220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>
      <c r="A57" s="105" t="s">
        <v>216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>
      <c r="A58" s="105" t="s">
        <v>221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>
      <c r="A59" s="105" t="s">
        <v>173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>
      <c r="A60" s="105" t="s">
        <v>219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>
      <c r="A61" s="105" t="s">
        <v>231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>
      <c r="A62" s="105" t="s">
        <v>214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>
      <c r="A63" s="105" t="s">
        <v>172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5" thickBot="1">
      <c r="A66" s="104" t="s">
        <v>177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0</v>
      </c>
      <c r="F66" s="100">
        <f t="shared" ca="1" si="10"/>
        <v>0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0</v>
      </c>
      <c r="L66" s="100">
        <f t="shared" ca="1" si="10"/>
        <v>2</v>
      </c>
      <c r="M66" s="100">
        <f t="shared" ca="1" si="10"/>
        <v>0</v>
      </c>
      <c r="N66" s="100">
        <f t="shared" ca="1" si="10"/>
        <v>2</v>
      </c>
      <c r="O66" s="101"/>
    </row>
    <row r="67" spans="1:15">
      <c r="A67" s="105" t="s">
        <v>203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>
      <c r="A68" s="105" t="s">
        <v>204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>
      <c r="A69" s="105" t="s">
        <v>205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>
      <c r="A70" s="105" t="s">
        <v>169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0</v>
      </c>
    </row>
    <row r="71" spans="1:15">
      <c r="A71" s="105" t="s">
        <v>206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1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1</v>
      </c>
    </row>
    <row r="72" spans="1:15">
      <c r="A72" s="105" t="s">
        <v>207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1</v>
      </c>
      <c r="O72" s="92">
        <f t="shared" ca="1" si="11"/>
        <v>1</v>
      </c>
    </row>
    <row r="73" spans="1:15">
      <c r="A73" s="105" t="s">
        <v>192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0</v>
      </c>
    </row>
    <row r="74" spans="1:15">
      <c r="A74" s="105" t="s">
        <v>208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>
      <c r="A75" s="105" t="s">
        <v>209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1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1</v>
      </c>
    </row>
    <row r="76" spans="1:15">
      <c r="A76" s="105" t="s">
        <v>210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0</v>
      </c>
    </row>
    <row r="77" spans="1:15">
      <c r="A77" s="105" t="s">
        <v>211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>
      <c r="A78" s="105" t="s">
        <v>212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1</v>
      </c>
      <c r="O78" s="92">
        <f t="shared" ca="1" si="11"/>
        <v>1</v>
      </c>
    </row>
    <row r="79" spans="1:15">
      <c r="A79" s="105" t="s">
        <v>186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>
      <c r="A80" s="105" t="s">
        <v>201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5" thickBot="1">
      <c r="A82" s="104" t="s">
        <v>178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>
      <c r="A83" s="105" t="s">
        <v>257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>
      <c r="A84" s="105" t="s">
        <v>258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>
      <c r="A85" s="105" t="s">
        <v>266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>
      <c r="A86" s="105" t="s">
        <v>215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>
      <c r="A87" s="105" t="s">
        <v>260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>
      <c r="A88" s="105" t="s">
        <v>261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>
      <c r="A89" s="105" t="s">
        <v>293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>
      <c r="A90" s="105" t="s">
        <v>218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>
      <c r="A91" s="105" t="s">
        <v>170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>
      <c r="A92" s="105" t="s">
        <v>292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>
      <c r="A93" s="105" t="s">
        <v>290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>
      <c r="A94" s="105" t="s">
        <v>224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>
      <c r="A95" s="105" t="s">
        <v>213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5" thickBot="1">
      <c r="A99" s="104" t="s">
        <v>179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1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>
      <c r="A100" s="105" t="s">
        <v>222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>
      <c r="A101" s="105" t="s">
        <v>280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>
      <c r="A102" s="105" t="s">
        <v>223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>
      <c r="A103" s="105" t="s">
        <v>147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1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1</v>
      </c>
    </row>
    <row r="114" spans="1:15" s="28" customFormat="1" ht="13.5" thickBot="1">
      <c r="A114" s="104" t="s">
        <v>180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>
      <c r="A115" s="105" t="s">
        <v>225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>
      <c r="A116" s="105" t="s">
        <v>232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>
      <c r="A117" s="105" t="s">
        <v>226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>
      <c r="A118" s="105" t="s">
        <v>227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>
      <c r="A119" s="105" t="s">
        <v>233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>
      <c r="A120" s="105" t="s">
        <v>234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>
      <c r="A121" s="105" t="s">
        <v>228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>
      <c r="A122" s="105" t="s">
        <v>289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>
      <c r="A123" s="105" t="s">
        <v>229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>
      <c r="A124" s="105" t="s">
        <v>235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>
      <c r="A125" s="105" t="s">
        <v>230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>
      <c r="A126" s="105" t="s">
        <v>236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>
      <c r="A127" s="105" t="s">
        <v>237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5" thickBot="1">
      <c r="A129" s="104" t="s">
        <v>181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>
      <c r="A130" s="105" t="s">
        <v>238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>
      <c r="A131" s="105" t="s">
        <v>175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>
      <c r="A132" s="105" t="s">
        <v>148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>
      <c r="A133" s="105" t="s">
        <v>263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>
      <c r="A134" s="105" t="s">
        <v>264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>
      <c r="A135" s="105" t="s">
        <v>267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>
      <c r="A136" s="105" t="s">
        <v>239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>
      <c r="A137" s="105" t="s">
        <v>240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>
      <c r="A138" s="105" t="s">
        <v>269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>
      <c r="A139" s="105" t="s">
        <v>242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>
      <c r="A140" s="105" t="s">
        <v>270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>
      <c r="A141" s="105" t="s">
        <v>244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5" thickBot="1">
      <c r="A144" s="104" t="s">
        <v>283</v>
      </c>
      <c r="B144" s="100">
        <f t="shared" ref="B144:N144" ca="1" si="21">SUM(B145:B157)</f>
        <v>0</v>
      </c>
      <c r="C144" s="100">
        <f t="shared" ca="1" si="21"/>
        <v>2</v>
      </c>
      <c r="D144" s="100">
        <f t="shared" ca="1" si="21"/>
        <v>0</v>
      </c>
      <c r="E144" s="100">
        <f t="shared" ca="1" si="21"/>
        <v>0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0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>
      <c r="A145" s="105" t="s">
        <v>246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0</v>
      </c>
    </row>
    <row r="146" spans="1:15">
      <c r="A146" s="105" t="s">
        <v>245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>
      <c r="A147" s="105" t="s">
        <v>161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>
      <c r="A148" s="105" t="s">
        <v>149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>
      <c r="A149" s="105" t="s">
        <v>168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0</v>
      </c>
    </row>
    <row r="150" spans="1:15">
      <c r="A150" s="105" t="s">
        <v>247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>
      <c r="A151" s="105" t="s">
        <v>248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1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1</v>
      </c>
    </row>
    <row r="152" spans="1:15">
      <c r="A152" s="105" t="s">
        <v>249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1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1</v>
      </c>
    </row>
    <row r="153" spans="1:15">
      <c r="A153" s="105" t="s">
        <v>250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>
      <c r="A154" s="105" t="s">
        <v>243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>
      <c r="A155" s="105" t="s">
        <v>152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0</v>
      </c>
    </row>
    <row r="156" spans="1:15">
      <c r="A156" s="105" t="s">
        <v>251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5" thickBot="1">
      <c r="A159" s="104" t="s">
        <v>182</v>
      </c>
      <c r="B159" s="100">
        <f t="shared" ref="B159:N159" ca="1" si="23">SUM(B160:B172)</f>
        <v>1</v>
      </c>
      <c r="C159" s="100">
        <f t="shared" ca="1" si="23"/>
        <v>0</v>
      </c>
      <c r="D159" s="100">
        <f ca="1">SUM(D160:D173)</f>
        <v>2</v>
      </c>
      <c r="E159" s="100">
        <f t="shared" ca="1" si="23"/>
        <v>0</v>
      </c>
      <c r="F159" s="100">
        <f t="shared" ca="1" si="23"/>
        <v>2</v>
      </c>
      <c r="G159" s="100">
        <f t="shared" ca="1" si="23"/>
        <v>2</v>
      </c>
      <c r="H159" s="100">
        <f t="shared" ca="1" si="23"/>
        <v>2</v>
      </c>
      <c r="I159" s="100">
        <f t="shared" ca="1" si="23"/>
        <v>0</v>
      </c>
      <c r="J159" s="100">
        <f t="shared" ca="1" si="23"/>
        <v>2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2</v>
      </c>
      <c r="N159" s="100">
        <f t="shared" ca="1" si="23"/>
        <v>0</v>
      </c>
      <c r="O159" s="101"/>
    </row>
    <row r="160" spans="1:15">
      <c r="A160" s="105" t="s">
        <v>155</v>
      </c>
      <c r="B160" s="103">
        <f ca="1">COUNTIF(INDIRECT(ADDRESS(21,2,1,,B$2)):INDIRECT(ADDRESS(22,2,1,,B$2)),$A160)</f>
        <v>1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1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4">SUM(B160:N160)</f>
        <v>2</v>
      </c>
    </row>
    <row r="161" spans="1:15">
      <c r="A161" s="105" t="s">
        <v>166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1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1</v>
      </c>
      <c r="N161" s="103">
        <f ca="1">COUNTIF(INDIRECT(ADDRESS(21,2,1,,N$2)):INDIRECT(ADDRESS(22,2,1,,N$2)),$A161)</f>
        <v>0</v>
      </c>
      <c r="O161" s="92">
        <f t="shared" ca="1" si="24"/>
        <v>2</v>
      </c>
    </row>
    <row r="162" spans="1:15">
      <c r="A162" s="105" t="s">
        <v>254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>
      <c r="A163" s="105" t="s">
        <v>159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1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1</v>
      </c>
    </row>
    <row r="164" spans="1:15">
      <c r="A164" s="105" t="s">
        <v>252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4"/>
        <v>0</v>
      </c>
    </row>
    <row r="165" spans="1:15">
      <c r="A165" s="105" t="s">
        <v>253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0</v>
      </c>
    </row>
    <row r="166" spans="1:15">
      <c r="A166" s="105" t="s">
        <v>144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1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1</v>
      </c>
    </row>
    <row r="167" spans="1:15">
      <c r="A167" s="105" t="s">
        <v>255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1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1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2</v>
      </c>
    </row>
    <row r="168" spans="1:15">
      <c r="A168" s="105" t="s">
        <v>145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1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1</v>
      </c>
      <c r="N168" s="103">
        <f ca="1">COUNTIF(INDIRECT(ADDRESS(21,2,1,,N$2)):INDIRECT(ADDRESS(22,2,1,,N$2)),$A168)</f>
        <v>0</v>
      </c>
      <c r="O168" s="92">
        <f t="shared" ca="1" si="24"/>
        <v>2</v>
      </c>
    </row>
    <row r="169" spans="1:15">
      <c r="A169" s="105" t="s">
        <v>191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1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1</v>
      </c>
    </row>
    <row r="170" spans="1:15">
      <c r="A170" s="105" t="s">
        <v>157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1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1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2</v>
      </c>
    </row>
    <row r="171" spans="1:15">
      <c r="A171" s="105" t="s">
        <v>160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0</v>
      </c>
    </row>
    <row r="172" spans="1:15">
      <c r="A172" s="105" t="s">
        <v>195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>
      <c r="A173" s="105" t="s">
        <v>167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/>
    <row r="178" spans="1:15" ht="13.5" thickBot="1">
      <c r="A178" s="104" t="s">
        <v>183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>
      <c r="A179" s="105" t="s">
        <v>382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>
      <c r="A180" s="105" t="s">
        <v>256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>
      <c r="A181" s="105" t="s">
        <v>383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>
      <c r="A182" s="105" t="s">
        <v>294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>
      <c r="A183" s="105" t="s">
        <v>265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>
      <c r="A184" s="105" t="s">
        <v>259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>
      <c r="A185" s="105" t="s">
        <v>268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>
      <c r="A186" s="105" t="s">
        <v>276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>
      <c r="A187" s="105" t="s">
        <v>295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>
      <c r="A188" s="105" t="s">
        <v>262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>
      <c r="A189" s="105" t="s">
        <v>156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>
      <c r="O191"/>
    </row>
    <row r="192" spans="1:15">
      <c r="O192"/>
    </row>
    <row r="193" spans="15:15">
      <c r="O193"/>
    </row>
    <row r="194" spans="15:15">
      <c r="O194"/>
    </row>
    <row r="195" spans="15:15">
      <c r="O195"/>
    </row>
    <row r="196" spans="15:15">
      <c r="O196"/>
    </row>
    <row r="197" spans="15:15">
      <c r="O197"/>
    </row>
    <row r="198" spans="15:15">
      <c r="O198"/>
    </row>
    <row r="199" spans="15:15">
      <c r="O199"/>
    </row>
    <row r="200" spans="15:15">
      <c r="O200"/>
    </row>
    <row r="201" spans="15:15">
      <c r="O201"/>
    </row>
    <row r="202" spans="15:1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"/>
  <dimension ref="A1:D78"/>
  <sheetViews>
    <sheetView workbookViewId="0">
      <selection activeCell="B31" sqref="B31"/>
    </sheetView>
  </sheetViews>
  <sheetFormatPr defaultRowHeight="12.75"/>
  <sheetData>
    <row r="1" spans="1:4" ht="15.75">
      <c r="A1" s="57" t="s">
        <v>54</v>
      </c>
    </row>
    <row r="2" spans="1:4">
      <c r="A2" s="28" t="s">
        <v>55</v>
      </c>
    </row>
    <row r="3" spans="1:4">
      <c r="B3" t="s">
        <v>56</v>
      </c>
    </row>
    <row r="4" spans="1:4">
      <c r="B4" t="s">
        <v>58</v>
      </c>
    </row>
    <row r="5" spans="1:4">
      <c r="A5" s="28" t="s">
        <v>57</v>
      </c>
    </row>
    <row r="6" spans="1:4">
      <c r="B6" t="s">
        <v>59</v>
      </c>
    </row>
    <row r="7" spans="1:4">
      <c r="C7" t="s">
        <v>60</v>
      </c>
    </row>
    <row r="8" spans="1:4">
      <c r="C8" t="s">
        <v>77</v>
      </c>
    </row>
    <row r="9" spans="1:4">
      <c r="B9" t="s">
        <v>68</v>
      </c>
    </row>
    <row r="10" spans="1:4">
      <c r="C10" t="s">
        <v>69</v>
      </c>
    </row>
    <row r="11" spans="1:4">
      <c r="C11" t="s">
        <v>76</v>
      </c>
    </row>
    <row r="12" spans="1:4">
      <c r="C12" t="s">
        <v>64</v>
      </c>
    </row>
    <row r="13" spans="1:4">
      <c r="C13" t="s">
        <v>70</v>
      </c>
    </row>
    <row r="14" spans="1:4">
      <c r="D14" t="s">
        <v>71</v>
      </c>
    </row>
    <row r="15" spans="1:4">
      <c r="D15" t="s">
        <v>72</v>
      </c>
    </row>
    <row r="16" spans="1:4">
      <c r="B16" t="s">
        <v>67</v>
      </c>
    </row>
    <row r="17" spans="2:3">
      <c r="C17" t="s">
        <v>61</v>
      </c>
    </row>
    <row r="18" spans="2:3">
      <c r="C18" t="s">
        <v>62</v>
      </c>
    </row>
    <row r="25" spans="2:3">
      <c r="B25" t="s">
        <v>66</v>
      </c>
    </row>
    <row r="26" spans="2:3">
      <c r="C26" t="s">
        <v>63</v>
      </c>
    </row>
    <row r="27" spans="2:3">
      <c r="C27" t="s">
        <v>65</v>
      </c>
    </row>
    <row r="31" spans="2:3">
      <c r="B31" t="s">
        <v>73</v>
      </c>
    </row>
    <row r="32" spans="2:3">
      <c r="C32" t="s">
        <v>74</v>
      </c>
    </row>
    <row r="34" spans="1:3">
      <c r="C34" t="s">
        <v>75</v>
      </c>
    </row>
    <row r="36" spans="1:3">
      <c r="B36" t="s">
        <v>78</v>
      </c>
    </row>
    <row r="38" spans="1:3" ht="15.75">
      <c r="A38" s="57" t="s">
        <v>79</v>
      </c>
    </row>
    <row r="39" spans="1:3">
      <c r="A39" s="28" t="s">
        <v>80</v>
      </c>
    </row>
    <row r="40" spans="1:3">
      <c r="B40" t="s">
        <v>81</v>
      </c>
    </row>
    <row r="41" spans="1:3">
      <c r="B41" t="s">
        <v>82</v>
      </c>
    </row>
    <row r="42" spans="1:3">
      <c r="A42" s="28" t="s">
        <v>83</v>
      </c>
    </row>
    <row r="43" spans="1:3">
      <c r="B43" t="s">
        <v>84</v>
      </c>
    </row>
    <row r="44" spans="1:3">
      <c r="B44" t="s">
        <v>114</v>
      </c>
    </row>
    <row r="45" spans="1:3">
      <c r="A45" s="28" t="s">
        <v>85</v>
      </c>
    </row>
    <row r="46" spans="1:3">
      <c r="B46" t="s">
        <v>86</v>
      </c>
    </row>
    <row r="47" spans="1:3">
      <c r="B47" t="s">
        <v>87</v>
      </c>
    </row>
    <row r="48" spans="1:3">
      <c r="C48" t="s">
        <v>88</v>
      </c>
    </row>
    <row r="49" spans="1:3">
      <c r="C49" t="s">
        <v>89</v>
      </c>
    </row>
    <row r="50" spans="1:3">
      <c r="C50" t="s">
        <v>90</v>
      </c>
    </row>
    <row r="51" spans="1:3">
      <c r="B51" t="s">
        <v>91</v>
      </c>
    </row>
    <row r="52" spans="1:3">
      <c r="B52" t="s">
        <v>115</v>
      </c>
    </row>
    <row r="53" spans="1:3">
      <c r="C53" t="s">
        <v>116</v>
      </c>
    </row>
    <row r="54" spans="1:3">
      <c r="A54" s="28" t="s">
        <v>92</v>
      </c>
    </row>
    <row r="55" spans="1:3">
      <c r="B55" t="s">
        <v>93</v>
      </c>
    </row>
    <row r="56" spans="1:3">
      <c r="B56" t="s">
        <v>94</v>
      </c>
    </row>
    <row r="57" spans="1:3">
      <c r="B57" t="s">
        <v>95</v>
      </c>
    </row>
    <row r="58" spans="1:3">
      <c r="B58" t="s">
        <v>125</v>
      </c>
    </row>
    <row r="59" spans="1:3">
      <c r="C59" t="s">
        <v>124</v>
      </c>
    </row>
    <row r="60" spans="1:3">
      <c r="C60" t="s">
        <v>96</v>
      </c>
    </row>
    <row r="61" spans="1:3">
      <c r="C61" t="s">
        <v>97</v>
      </c>
    </row>
    <row r="62" spans="1:3">
      <c r="B62" t="s">
        <v>117</v>
      </c>
    </row>
    <row r="63" spans="1:3">
      <c r="C63" t="s">
        <v>118</v>
      </c>
    </row>
    <row r="64" spans="1:3">
      <c r="A64" s="28" t="s">
        <v>98</v>
      </c>
    </row>
    <row r="65" spans="1:3">
      <c r="B65" t="s">
        <v>99</v>
      </c>
    </row>
    <row r="66" spans="1:3">
      <c r="B66" t="s">
        <v>100</v>
      </c>
    </row>
    <row r="67" spans="1:3">
      <c r="B67" t="s">
        <v>101</v>
      </c>
    </row>
    <row r="68" spans="1:3">
      <c r="B68" t="s">
        <v>102</v>
      </c>
    </row>
    <row r="69" spans="1:3">
      <c r="B69" t="s">
        <v>107</v>
      </c>
    </row>
    <row r="70" spans="1:3">
      <c r="B70" t="s">
        <v>108</v>
      </c>
    </row>
    <row r="71" spans="1:3">
      <c r="B71" t="s">
        <v>103</v>
      </c>
    </row>
    <row r="72" spans="1:3">
      <c r="B72" t="s">
        <v>104</v>
      </c>
    </row>
    <row r="73" spans="1:3">
      <c r="B73" t="s">
        <v>105</v>
      </c>
    </row>
    <row r="74" spans="1:3">
      <c r="B74" t="s">
        <v>106</v>
      </c>
    </row>
    <row r="75" spans="1:3">
      <c r="A75" s="28" t="s">
        <v>119</v>
      </c>
    </row>
    <row r="76" spans="1:3">
      <c r="B76" t="s">
        <v>120</v>
      </c>
    </row>
    <row r="77" spans="1:3">
      <c r="C77" t="s">
        <v>121</v>
      </c>
    </row>
    <row r="78" spans="1:3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2015-06-28T02:39:56Z</dcterms:modified>
</cp:coreProperties>
</file>